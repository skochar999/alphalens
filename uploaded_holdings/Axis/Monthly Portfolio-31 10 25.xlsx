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202300"/>
  <xr:revisionPtr revIDLastSave="0" documentId="13_ncr:1_{4D93263F-DA7C-47B8-8AED-D847C04DFE4B}" xr6:coauthVersionLast="47" xr6:coauthVersionMax="47" xr10:uidLastSave="{00000000-0000-0000-0000-000000000000}"/>
  <bookViews>
    <workbookView xWindow="-108" yWindow="-108" windowWidth="41496" windowHeight="16896" tabRatio="920" activeTab="26" xr2:uid="{00000000-000D-0000-FFFF-FFFF00000000}"/>
  </bookViews>
  <sheets>
    <sheet name="Index" sheetId="1" r:id="rId1"/>
    <sheet name="AXIS112" sheetId="2" r:id="rId2"/>
    <sheet name="AXIS113" sheetId="3" r:id="rId3"/>
    <sheet name="AXIS500" sheetId="4" r:id="rId4"/>
    <sheet name="AXISASD" sheetId="5" r:id="rId5"/>
    <sheet name="AXISBCF" sheetId="6" r:id="rId6"/>
    <sheet name="AXISBDF" sheetId="7" r:id="rId7"/>
    <sheet name="AXISBETF" sheetId="8" r:id="rId8"/>
    <sheet name="AXISBTF" sheetId="9" r:id="rId9"/>
    <sheet name="AXISCBS" sheetId="10" r:id="rId10"/>
    <sheet name="AXISCDL" sheetId="11" r:id="rId11"/>
    <sheet name="AXISCETF" sheetId="12" r:id="rId12"/>
    <sheet name="AXISCFS" sheetId="13" r:id="rId13"/>
    <sheet name="AXISCGF" sheetId="14" r:id="rId14"/>
    <sheet name="AXISCIB" sheetId="15" r:id="rId15"/>
    <sheet name="AXISCIG" sheetId="16" r:id="rId16"/>
    <sheet name="AXISCOF" sheetId="17" r:id="rId17"/>
    <sheet name="AXISCON" sheetId="18" r:id="rId18"/>
    <sheet name="AXISCSDL" sheetId="19" r:id="rId19"/>
    <sheet name="AXISDBF" sheetId="20" r:id="rId20"/>
    <sheet name="AXISDEF" sheetId="21" r:id="rId21"/>
    <sheet name="AXISEAF" sheetId="22" r:id="rId22"/>
    <sheet name="AXISEFOF" sheetId="23" r:id="rId23"/>
    <sheet name="AXISEHF" sheetId="24" r:id="rId24"/>
    <sheet name="AXISEQF" sheetId="25" r:id="rId25"/>
    <sheet name="AXISESF" sheetId="26" r:id="rId26"/>
    <sheet name="AXISESG" sheetId="27" r:id="rId27"/>
    <sheet name="AXISETS" sheetId="28" r:id="rId28"/>
    <sheet name="AXISF25" sheetId="29" r:id="rId29"/>
    <sheet name="AXISFLO" sheetId="30" r:id="rId30"/>
    <sheet name="AXISFSD" sheetId="31" r:id="rId31"/>
    <sheet name="AXISGCE" sheetId="32" r:id="rId32"/>
    <sheet name="AXISGEA" sheetId="33" r:id="rId33"/>
    <sheet name="AXISGETF" sheetId="34" r:id="rId34"/>
    <sheet name="AXISGIF" sheetId="35" r:id="rId35"/>
    <sheet name="AXISGLD" sheetId="36" r:id="rId36"/>
    <sheet name="AXISGOF" sheetId="37" r:id="rId37"/>
    <sheet name="AXISHETF" sheetId="38" r:id="rId38"/>
    <sheet name="AXISIFD" sheetId="39" r:id="rId39"/>
    <sheet name="AXISIMF" sheetId="40" r:id="rId40"/>
    <sheet name="AXISIOF" sheetId="41" r:id="rId41"/>
    <sheet name="AXISISF" sheetId="42" r:id="rId42"/>
    <sheet name="AXISLDF" sheetId="43" r:id="rId43"/>
    <sheet name="AXISLFA" sheetId="44" r:id="rId44"/>
    <sheet name="AXISM10" sheetId="45" r:id="rId45"/>
    <sheet name="AXISMCF" sheetId="46" r:id="rId46"/>
    <sheet name="AXISMIF" sheetId="47" r:id="rId47"/>
    <sheet name="AXISMLC" sheetId="48" r:id="rId48"/>
    <sheet name="AXISMLF" sheetId="49" r:id="rId49"/>
    <sheet name="AXISMMF" sheetId="50" r:id="rId50"/>
    <sheet name="AXISN50" sheetId="51" r:id="rId51"/>
    <sheet name="AXISN500" sheetId="52" r:id="rId52"/>
    <sheet name="AXISNBI" sheetId="53" r:id="rId53"/>
    <sheet name="AXISNETF" sheetId="54" r:id="rId54"/>
    <sheet name="AXISNFOF" sheetId="55" r:id="rId55"/>
    <sheet name="AXISNHS" sheetId="56" r:id="rId56"/>
    <sheet name="AXISNIF" sheetId="57" r:id="rId57"/>
    <sheet name="AXISNIT" sheetId="58" r:id="rId58"/>
    <sheet name="AXISNM50" sheetId="59" r:id="rId59"/>
    <sheet name="AXISNNF" sheetId="60" r:id="rId60"/>
    <sheet name="AXISNS50" sheetId="61" r:id="rId61"/>
    <sheet name="AXISNTF" sheetId="62" r:id="rId62"/>
    <sheet name="AXISONF" sheetId="63" r:id="rId63"/>
    <sheet name="AXISQIF" sheetId="64" r:id="rId64"/>
    <sheet name="AXISQUA" sheetId="65" r:id="rId65"/>
    <sheet name="AXISRAP" sheetId="66" r:id="rId66"/>
    <sheet name="AXISRCP" sheetId="67" r:id="rId67"/>
    <sheet name="AXISRDP" sheetId="68" r:id="rId68"/>
    <sheet name="AXISSCF" sheetId="69" r:id="rId69"/>
    <sheet name="AXISSDI" sheetId="70" r:id="rId70"/>
    <sheet name="AXISSDL" sheetId="71" r:id="rId71"/>
    <sheet name="AXISSETF" sheetId="72" r:id="rId72"/>
    <sheet name="AXISSIF" sheetId="73" r:id="rId73"/>
    <sheet name="AXISSIL" sheetId="74" r:id="rId74"/>
    <sheet name="AXISSOF" sheetId="75" r:id="rId75"/>
    <sheet name="AXISSSF" sheetId="76" r:id="rId76"/>
    <sheet name="AXISSTF" sheetId="77" r:id="rId77"/>
    <sheet name="AXISTAA" sheetId="78" r:id="rId78"/>
    <sheet name="AXISTAF" sheetId="79" r:id="rId79"/>
    <sheet name="AXISTDB" sheetId="80" r:id="rId80"/>
    <sheet name="AXISTETF" sheetId="81" r:id="rId81"/>
    <sheet name="AXISTSF" sheetId="82" r:id="rId82"/>
    <sheet name="AXISUSF" sheetId="83" r:id="rId83"/>
    <sheet name="AXISVAL" sheetId="84" r:id="rId84"/>
    <sheet name="AXISVIF" sheetId="85" r:id="rId85"/>
  </sheets>
  <definedNames>
    <definedName name="_xlnm._FilterDatabase" localSheetId="26" hidden="1">AXISESG!$B$4:$L$65</definedName>
    <definedName name="AxisAggressiveHybridFund">Index!$B$24</definedName>
    <definedName name="AxisArbitrageFund">Index!$B$22</definedName>
    <definedName name="AxisBalancedAdvantageFund">Index!$B$21</definedName>
    <definedName name="AxisBankingPSUDebtFund">Index!$B$7</definedName>
    <definedName name="AxisBSESensexETF">Index!$B$9</definedName>
    <definedName name="AxisBSESensexIndexFund">Index!$B$73</definedName>
    <definedName name="AxisBusinessCyclesFund">Index!$B$6</definedName>
    <definedName name="AxisChildrensFund">Index!$B$14</definedName>
    <definedName name="AxisConservativeHybridFund">Index!$B$42</definedName>
    <definedName name="AxisConsumptionFund">Index!$B$18</definedName>
    <definedName name="AxisCorporateBondFund">Index!$B$17</definedName>
    <definedName name="AxisCreditRiskFund">Index!$B$41</definedName>
    <definedName name="AxisCRISILIBX5050GiltPlusSDLJune2028IndexFund">Index!$B$15</definedName>
    <definedName name="AxisCRISILIBX5050GiltPlusSDLSep2027IndexFund">Index!$B$16</definedName>
    <definedName name="AxisCRISILIBXAAABondFinancialServicesSep2027IndexFund">Index!$B$13</definedName>
    <definedName name="AxisCRISILIBXAAABondNBFCHFCJun2027IndexFund">Index!$B$56</definedName>
    <definedName name="AxisCRISILIBXAAABondNBFCJun2027IndexFund">Index!$B$11</definedName>
    <definedName name="AxisCRISILIBXFinSvcs36MonDebtIndexFund">Index!$B$31</definedName>
    <definedName name="AxisCRISILIBXSDLJune2034DebtIndexFund">Index!$B$10</definedName>
    <definedName name="AxisCRISILIBXSDLMay2027IndexFund">Index!$B$19</definedName>
    <definedName name="AxisDynamicBondFund">Index!$B$20</definedName>
    <definedName name="AxisELSSTaxSaverFund">Index!$B$82</definedName>
    <definedName name="AxisEquitySavingsFund">Index!$B$26</definedName>
    <definedName name="AxisESGIntegrationStrategyFund">Index!$B$27</definedName>
    <definedName name="AxisFixedTermPlanSeries1121143Days">Index!$B$2</definedName>
    <definedName name="AxisFixedTermPlanSeries1131228Days">Index!$B$3</definedName>
    <definedName name="AxisFlexiCapFund">Index!$B$49</definedName>
    <definedName name="AxisFloaterFund">Index!$B$30</definedName>
    <definedName name="AxisFocusedFund">Index!$B$29</definedName>
    <definedName name="AxisGiltFund">Index!$B$45</definedName>
    <definedName name="AxisGlobalEquityAlphaFundofFund">Index!$B$33</definedName>
    <definedName name="AxisGlobalInnovationFundofFund">Index!$B$35</definedName>
    <definedName name="AxisGoldETF">Index!$B$34</definedName>
    <definedName name="AxisGoldFund">Index!$B$36</definedName>
    <definedName name="AxisGreaterChinaEquityFundofFund">Index!$B$32</definedName>
    <definedName name="AxisIncomePlusArbitrageActiveFOF">Index!$B$5</definedName>
    <definedName name="AxisIndiaManufacturingFund">Index!$B$40</definedName>
    <definedName name="AxisInnovationFund">Index!$B$76</definedName>
    <definedName name="AxisLargeCapFund">Index!$B$25</definedName>
    <definedName name="AxisLargeMidCapFund">Index!$B$37</definedName>
    <definedName name="AxisLiquidFund">Index!$B$44</definedName>
    <definedName name="AxisLongDurationFund">Index!$B$43</definedName>
    <definedName name="AxisMidcapFund">Index!$B$46</definedName>
    <definedName name="AxisMomentumFund">Index!$B$47</definedName>
    <definedName name="AxisMoneyMarketFund">Index!$B$50</definedName>
    <definedName name="AxisMultiAssetAllocationFund">Index!$B$79</definedName>
    <definedName name="AxisMulticapFund">Index!$B$48</definedName>
    <definedName name="AxisMultiFactorPassiveFoF">Index!$B$23</definedName>
    <definedName name="AxisNifty100IndexFund">Index!$B$57</definedName>
    <definedName name="AxisNifty500IndexFund">Index!$B$4</definedName>
    <definedName name="AxisNifty500Momentum50IndexFund">Index!$B$52</definedName>
    <definedName name="AxisNifty500Quality50IndexFund">Index!$B$64</definedName>
    <definedName name="AxisNifty500Value50ETF">Index!$B$62</definedName>
    <definedName name="AxisNifty500Value50IndexFund">Index!$B$85</definedName>
    <definedName name="AxisNIFTY50ETF">Index!$B$54</definedName>
    <definedName name="AxisNifty50IndexFund">Index!$B$51</definedName>
    <definedName name="AxisNiftyAAABondPlusSDLApr20265050ETF">Index!$B$72</definedName>
    <definedName name="AxisNiftyAAABondPlusSDLApr20265050ETFFOF">Index!$B$71</definedName>
    <definedName name="AxisNIFTYBankETF">Index!$B$8</definedName>
    <definedName name="AxisNiftyBankIndexFund">Index!$B$53</definedName>
    <definedName name="AxisNIFTYHealthcareETF">Index!$B$38</definedName>
    <definedName name="AxisNIFTYIndiaConsumptionETF">Index!$B$12</definedName>
    <definedName name="AxisNIFTYITETF">Index!$B$81</definedName>
    <definedName name="AxisNiftyITIndexFund">Index!$B$58</definedName>
    <definedName name="AXISNIFTYMIDCAP50INDEXFUND">Index!$B$59</definedName>
    <definedName name="AxisNiftyNext50IndexFund">Index!$B$60</definedName>
    <definedName name="AxisNIFTYSDLSeptember2026DebtIndexFund">Index!$B$70</definedName>
    <definedName name="AXISNIFTYSMALLCAP50INDEXFUND">Index!$B$61</definedName>
    <definedName name="AxisOvernightFund">Index!$B$63</definedName>
    <definedName name="AxisQuantFund">Index!$B$65</definedName>
    <definedName name="AxisRetirementFundAggressivePlan">Index!$B$66</definedName>
    <definedName name="AxisRetirementFundConservativePlan">Index!$B$67</definedName>
    <definedName name="AxisRetirementFundDynamicPlan">Index!$B$68</definedName>
    <definedName name="AxisServicesOpportunitiesFund">Index!$B$75</definedName>
    <definedName name="AxisShortDurationFund">Index!$B$77</definedName>
    <definedName name="AxisSilverETF">Index!$B$28</definedName>
    <definedName name="AxisSilverFundofFund">Index!$B$74</definedName>
    <definedName name="AxisSmallCapFund">Index!$B$69</definedName>
    <definedName name="AxisStrategicBondFund">Index!$B$39</definedName>
    <definedName name="AxisTreasuryAdvantageFund">Index!$B$78</definedName>
    <definedName name="AxisUltraShortDurationFund">Index!$B$83</definedName>
    <definedName name="AxisUSSpecificEquityPassiveFOF">Index!$B$55</definedName>
    <definedName name="AxisUSSpecificTreasuryDynamicDebtPassiveFOF">Index!$B$80</definedName>
    <definedName name="AxisValueFund">Index!$B$84</definedName>
    <definedName name="Index">AXISVIF!$B$1</definedName>
    <definedName name="JR_PAGE_ANCHOR_0_1">Index!$A$1</definedName>
    <definedName name="JR_PAGE_ANCHOR_0_10">AXISCBS!$A$1</definedName>
    <definedName name="JR_PAGE_ANCHOR_0_11">AXISCDL!$A$1</definedName>
    <definedName name="JR_PAGE_ANCHOR_0_12">AXISCETF!$A$1</definedName>
    <definedName name="JR_PAGE_ANCHOR_0_13">AXISCFS!$A$1</definedName>
    <definedName name="JR_PAGE_ANCHOR_0_14">AXISCGF!$A$1</definedName>
    <definedName name="JR_PAGE_ANCHOR_0_15">AXISCIB!$A$1</definedName>
    <definedName name="JR_PAGE_ANCHOR_0_16">AXISCIG!$A$1</definedName>
    <definedName name="JR_PAGE_ANCHOR_0_17">AXISCOF!$A$1</definedName>
    <definedName name="JR_PAGE_ANCHOR_0_18">AXISCON!$A$1</definedName>
    <definedName name="JR_PAGE_ANCHOR_0_19">AXISCSDL!$A$1</definedName>
    <definedName name="JR_PAGE_ANCHOR_0_2">AXIS112!$A$1</definedName>
    <definedName name="JR_PAGE_ANCHOR_0_20">AXISDBF!$A$1</definedName>
    <definedName name="JR_PAGE_ANCHOR_0_21">AXISDEF!$A$1</definedName>
    <definedName name="JR_PAGE_ANCHOR_0_22">AXISEAF!$A$1</definedName>
    <definedName name="JR_PAGE_ANCHOR_0_23">AXISEFOF!$A$1</definedName>
    <definedName name="JR_PAGE_ANCHOR_0_24">AXISEHF!$A$1</definedName>
    <definedName name="JR_PAGE_ANCHOR_0_25">AXISEQF!$A$1</definedName>
    <definedName name="JR_PAGE_ANCHOR_0_26">AXISESF!$A$1</definedName>
    <definedName name="JR_PAGE_ANCHOR_0_27">AXISESG!$A$1</definedName>
    <definedName name="JR_PAGE_ANCHOR_0_28">AXISETS!$A$1</definedName>
    <definedName name="JR_PAGE_ANCHOR_0_29">AXISF25!$A$1</definedName>
    <definedName name="JR_PAGE_ANCHOR_0_3">AXIS113!$A$1</definedName>
    <definedName name="JR_PAGE_ANCHOR_0_30">AXISFLO!$A$1</definedName>
    <definedName name="JR_PAGE_ANCHOR_0_31">AXISFSD!$A$1</definedName>
    <definedName name="JR_PAGE_ANCHOR_0_32">AXISGCE!$A$1</definedName>
    <definedName name="JR_PAGE_ANCHOR_0_33">AXISGEA!$A$1</definedName>
    <definedName name="JR_PAGE_ANCHOR_0_34">AXISGETF!$A$1</definedName>
    <definedName name="JR_PAGE_ANCHOR_0_35">AXISGIF!$A$1</definedName>
    <definedName name="JR_PAGE_ANCHOR_0_36">AXISGLD!$A$1</definedName>
    <definedName name="JR_PAGE_ANCHOR_0_37">AXISGOF!$A$1</definedName>
    <definedName name="JR_PAGE_ANCHOR_0_38">AXISHETF!$A$1</definedName>
    <definedName name="JR_PAGE_ANCHOR_0_39">AXISIFD!$A$1</definedName>
    <definedName name="JR_PAGE_ANCHOR_0_4">AXIS500!$A$1</definedName>
    <definedName name="JR_PAGE_ANCHOR_0_40">AXISIMF!$A$1</definedName>
    <definedName name="JR_PAGE_ANCHOR_0_41">AXISIOF!$A$1</definedName>
    <definedName name="JR_PAGE_ANCHOR_0_42">AXISISF!$A$1</definedName>
    <definedName name="JR_PAGE_ANCHOR_0_43">AXISLDF!$A$1</definedName>
    <definedName name="JR_PAGE_ANCHOR_0_44">AXISLFA!$A$1</definedName>
    <definedName name="JR_PAGE_ANCHOR_0_45">AXISM10!$A$1</definedName>
    <definedName name="JR_PAGE_ANCHOR_0_46">AXISMCF!$A$1</definedName>
    <definedName name="JR_PAGE_ANCHOR_0_47">AXISMIF!$A$1</definedName>
    <definedName name="JR_PAGE_ANCHOR_0_48">AXISMLC!$A$1</definedName>
    <definedName name="JR_PAGE_ANCHOR_0_49">AXISMLF!$A$1</definedName>
    <definedName name="JR_PAGE_ANCHOR_0_5">AXISASD!$A$1</definedName>
    <definedName name="JR_PAGE_ANCHOR_0_50">AXISMMF!$A$1</definedName>
    <definedName name="JR_PAGE_ANCHOR_0_51">AXISN50!$A$1</definedName>
    <definedName name="JR_PAGE_ANCHOR_0_52">AXISN500!$A$1</definedName>
    <definedName name="JR_PAGE_ANCHOR_0_53">AXISNBI!$A$1</definedName>
    <definedName name="JR_PAGE_ANCHOR_0_54">AXISNETF!$A$1</definedName>
    <definedName name="JR_PAGE_ANCHOR_0_55">AXISNFOF!$A$1</definedName>
    <definedName name="JR_PAGE_ANCHOR_0_56">AXISNHS!$A$1</definedName>
    <definedName name="JR_PAGE_ANCHOR_0_57">AXISNIF!$A$1</definedName>
    <definedName name="JR_PAGE_ANCHOR_0_58">AXISNIT!$A$1</definedName>
    <definedName name="JR_PAGE_ANCHOR_0_59">AXISNM50!$A$1</definedName>
    <definedName name="JR_PAGE_ANCHOR_0_6">AXISBCF!$A$1</definedName>
    <definedName name="JR_PAGE_ANCHOR_0_60">AXISNNF!$A$1</definedName>
    <definedName name="JR_PAGE_ANCHOR_0_61">AXISNS50!$A$1</definedName>
    <definedName name="JR_PAGE_ANCHOR_0_62">AXISNTF!$A$1</definedName>
    <definedName name="JR_PAGE_ANCHOR_0_63">AXISONF!$A$1</definedName>
    <definedName name="JR_PAGE_ANCHOR_0_64">AXISQIF!$A$1</definedName>
    <definedName name="JR_PAGE_ANCHOR_0_65">AXISQUA!$A$1</definedName>
    <definedName name="JR_PAGE_ANCHOR_0_66">AXISRAP!$A$1</definedName>
    <definedName name="JR_PAGE_ANCHOR_0_67">AXISRCP!$A$1</definedName>
    <definedName name="JR_PAGE_ANCHOR_0_68">AXISRDP!$A$1</definedName>
    <definedName name="JR_PAGE_ANCHOR_0_69">AXISSCF!$A$1</definedName>
    <definedName name="JR_PAGE_ANCHOR_0_7">AXISBDF!$A$1</definedName>
    <definedName name="JR_PAGE_ANCHOR_0_70">AXISSDI!$A$1</definedName>
    <definedName name="JR_PAGE_ANCHOR_0_71">AXISSDL!$A$1</definedName>
    <definedName name="JR_PAGE_ANCHOR_0_72">AXISSETF!$A$1</definedName>
    <definedName name="JR_PAGE_ANCHOR_0_73">AXISSIF!$A$1</definedName>
    <definedName name="JR_PAGE_ANCHOR_0_74">AXISSIL!$A$1</definedName>
    <definedName name="JR_PAGE_ANCHOR_0_75">AXISSOF!$A$1</definedName>
    <definedName name="JR_PAGE_ANCHOR_0_76">AXISSSF!$A$1</definedName>
    <definedName name="JR_PAGE_ANCHOR_0_77">AXISSTF!$A$1</definedName>
    <definedName name="JR_PAGE_ANCHOR_0_78">AXISTAA!$A$1</definedName>
    <definedName name="JR_PAGE_ANCHOR_0_79">AXISTAF!$A$1</definedName>
    <definedName name="JR_PAGE_ANCHOR_0_8">AXISBETF!$A$1</definedName>
    <definedName name="JR_PAGE_ANCHOR_0_80">AXISTDB!$A$1</definedName>
    <definedName name="JR_PAGE_ANCHOR_0_81">AXISTETF!$A$1</definedName>
    <definedName name="JR_PAGE_ANCHOR_0_82">AXISTSF!$A$1</definedName>
    <definedName name="JR_PAGE_ANCHOR_0_83">AXISUSF!$A$1</definedName>
    <definedName name="JR_PAGE_ANCHOR_0_84">AXISVAL!$A$1</definedName>
    <definedName name="JR_PAGE_ANCHOR_0_85">AXISVIF!$A$1</definedName>
    <definedName name="JR_PAGE_ANCHOR_0_9">AXISBTF!$A$1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9" i="27" l="1"/>
  <c r="G29" i="11"/>
</calcChain>
</file>

<file path=xl/sharedStrings.xml><?xml version="1.0" encoding="utf-8"?>
<sst xmlns="http://schemas.openxmlformats.org/spreadsheetml/2006/main" count="24669" uniqueCount="5590">
  <si>
    <t>Sr No.</t>
  </si>
  <si>
    <t>Short Name</t>
  </si>
  <si>
    <t>Scheme Name</t>
  </si>
  <si>
    <t>Exchange</t>
  </si>
  <si>
    <t>AXIS112</t>
  </si>
  <si>
    <t>Axis Fixed Term Plan - Series 112 (1143 Days)</t>
  </si>
  <si>
    <t>AXIS113</t>
  </si>
  <si>
    <t>Axis Fixed Term Plan - Series 113 (1228 Days)</t>
  </si>
  <si>
    <t>AXIS500</t>
  </si>
  <si>
    <t>Axis Nifty 500 Index Fund</t>
  </si>
  <si>
    <t>AXISASD</t>
  </si>
  <si>
    <t>Axis Income Plus Arbitrage Active FOF</t>
  </si>
  <si>
    <t>AXISBCF</t>
  </si>
  <si>
    <t>Axis Business Cycles Fund</t>
  </si>
  <si>
    <t>AXISBDF</t>
  </si>
  <si>
    <t>Axis Banking &amp; PSU Debt Fund</t>
  </si>
  <si>
    <t>AXISBETF</t>
  </si>
  <si>
    <t>Axis NIFTY Bank ETF</t>
  </si>
  <si>
    <t>NSE</t>
  </si>
  <si>
    <t>AXISBTF</t>
  </si>
  <si>
    <t>Axis BSE Sensex ETF</t>
  </si>
  <si>
    <t>AXISCBS</t>
  </si>
  <si>
    <t>Axis CRISIL IBX SDL June 2034 Debt Index Fund</t>
  </si>
  <si>
    <t>AXISCDL</t>
  </si>
  <si>
    <t>Axis CRISIL IBX AAA Bond NBFC Jun 2027 Index Fund</t>
  </si>
  <si>
    <t>AXISCETF</t>
  </si>
  <si>
    <t>Axis NIFTY India Consumption ETF</t>
  </si>
  <si>
    <t>AXISCFS</t>
  </si>
  <si>
    <t>Axis CRISIL-IBX AAA Bond Financial Services - Sep 2027 Index Fund</t>
  </si>
  <si>
    <t>AXISCGF</t>
  </si>
  <si>
    <t>Axis Children’s Fund</t>
  </si>
  <si>
    <t>AXISCIB</t>
  </si>
  <si>
    <t>Axis CRISIL IBX50:50 Gilt Plus SDL June 2028 Index Fund</t>
  </si>
  <si>
    <t>AXISCIG</t>
  </si>
  <si>
    <t>Axis CRISIL IBX50:50 Gilt Plus SDL Sep 2027 Index Fund</t>
  </si>
  <si>
    <t>AXISCOF</t>
  </si>
  <si>
    <t>Axis Corporate Bond Fund</t>
  </si>
  <si>
    <t>AXISCON</t>
  </si>
  <si>
    <t>Axis Consumption Fund</t>
  </si>
  <si>
    <t>AXISCSDL</t>
  </si>
  <si>
    <t>Axis CRISIL IBX SDL May 2027 Index Fund</t>
  </si>
  <si>
    <t>AXISDBF</t>
  </si>
  <si>
    <t>Axis Dynamic Bond Fund</t>
  </si>
  <si>
    <t>AXISDEF</t>
  </si>
  <si>
    <t>Axis Balanced Advantage Fund</t>
  </si>
  <si>
    <t>AXISEAF</t>
  </si>
  <si>
    <t>Axis Arbitrage Fund</t>
  </si>
  <si>
    <t>AXISEFOF</t>
  </si>
  <si>
    <t>Axis Multi Factor Passive FoF</t>
  </si>
  <si>
    <t>AXISEHF</t>
  </si>
  <si>
    <t>Axis Aggressive Hybrid Fund</t>
  </si>
  <si>
    <t>AXISEQF</t>
  </si>
  <si>
    <t>Axis Large Cap Fund</t>
  </si>
  <si>
    <t>AXISESF</t>
  </si>
  <si>
    <t>Axis Equity Savings Fund</t>
  </si>
  <si>
    <t>AXISESG</t>
  </si>
  <si>
    <t>Axis ESG Integration Strategy Fund</t>
  </si>
  <si>
    <t>AXISETS</t>
  </si>
  <si>
    <t>Axis Silver ETF</t>
  </si>
  <si>
    <t>AXISF25</t>
  </si>
  <si>
    <t>Axis Focused Fund</t>
  </si>
  <si>
    <t>AXISFLO</t>
  </si>
  <si>
    <t>Axis Floater Fund</t>
  </si>
  <si>
    <t>AXISFSD</t>
  </si>
  <si>
    <t>AXISGCE</t>
  </si>
  <si>
    <t>Axis Greater China Equity Fund of Fund</t>
  </si>
  <si>
    <t>AXISGEA</t>
  </si>
  <si>
    <t>Axis Global Equity Alpha Fund of Fund</t>
  </si>
  <si>
    <t>AXISGETF</t>
  </si>
  <si>
    <t>Axis Gold ETF</t>
  </si>
  <si>
    <t>AXISGIF</t>
  </si>
  <si>
    <t>Axis Global Innovation Fund of Fund</t>
  </si>
  <si>
    <t>AXISGLD</t>
  </si>
  <si>
    <t>Axis Gold Fund</t>
  </si>
  <si>
    <t>AXISGOF</t>
  </si>
  <si>
    <t>Axis Large &amp; Mid Cap Fund</t>
  </si>
  <si>
    <t>AXISHETF</t>
  </si>
  <si>
    <t>Axis NIFTY Healthcare ETF</t>
  </si>
  <si>
    <t>AXISIFD</t>
  </si>
  <si>
    <t>Axis Strategic Bond Fund</t>
  </si>
  <si>
    <t>AXISIMF</t>
  </si>
  <si>
    <t>Axis India Manufacturing Fund</t>
  </si>
  <si>
    <t>AXISIOF</t>
  </si>
  <si>
    <t>Axis Credit Risk Fund</t>
  </si>
  <si>
    <t>AXISISF</t>
  </si>
  <si>
    <t>Axis Conservative Hybrid Fund</t>
  </si>
  <si>
    <t>AXISLDF</t>
  </si>
  <si>
    <t>Axis Long Duration Fund</t>
  </si>
  <si>
    <t>AXISLFA</t>
  </si>
  <si>
    <t>Axis Liquid Fund</t>
  </si>
  <si>
    <t>AXISM10</t>
  </si>
  <si>
    <t>Axis Gilt Fund</t>
  </si>
  <si>
    <t>AXISMCF</t>
  </si>
  <si>
    <t>Axis Midcap Fund</t>
  </si>
  <si>
    <t>AXISMIF</t>
  </si>
  <si>
    <t>Axis Momentum Fund</t>
  </si>
  <si>
    <t>AXISMLC</t>
  </si>
  <si>
    <t>Axis Multicap Fund</t>
  </si>
  <si>
    <t>AXISMLF</t>
  </si>
  <si>
    <t>Axis Flexi Cap Fund</t>
  </si>
  <si>
    <t>AXISMMF</t>
  </si>
  <si>
    <t>Axis Money Market Fund</t>
  </si>
  <si>
    <t>AXISN50</t>
  </si>
  <si>
    <t>Axis Nifty 50 Index Fund</t>
  </si>
  <si>
    <t>AXISN500</t>
  </si>
  <si>
    <t>Axis Nifty500 Momentum 50 Index Fund</t>
  </si>
  <si>
    <t>AXISNBI</t>
  </si>
  <si>
    <t>Axis Nifty Bank Index Fund</t>
  </si>
  <si>
    <t>AXISNETF</t>
  </si>
  <si>
    <t>Axis NIFTY 50 ETF</t>
  </si>
  <si>
    <t>AXISNFOF</t>
  </si>
  <si>
    <t>Axis US Specific Equity Passive FOF</t>
  </si>
  <si>
    <t>AXISNHS</t>
  </si>
  <si>
    <t>Axis CRISIL-IBX AAA Bond NBFC-HFC - Jun 2027 Index Fund</t>
  </si>
  <si>
    <t>AXISNIF</t>
  </si>
  <si>
    <t>Axis Nifty 100 Index Fund</t>
  </si>
  <si>
    <t>AXISNIT</t>
  </si>
  <si>
    <t>Axis Nifty IT Index Fund</t>
  </si>
  <si>
    <t>AXISNM50</t>
  </si>
  <si>
    <t>AXIS NIFTY MIDCAP 50 INDEX FUND</t>
  </si>
  <si>
    <t>AXISNNF</t>
  </si>
  <si>
    <t>Axis Nifty Next 50 Index Fund</t>
  </si>
  <si>
    <t>AXISNS50</t>
  </si>
  <si>
    <t>AXIS NIFTY SMALLCAP 50 INDEX FUND</t>
  </si>
  <si>
    <t>AXISNTF</t>
  </si>
  <si>
    <t>Axis Nifty500 Value 50 ETF</t>
  </si>
  <si>
    <t>AXISONF</t>
  </si>
  <si>
    <t>Axis Overnight Fund</t>
  </si>
  <si>
    <t>AXISQIF</t>
  </si>
  <si>
    <t>Axis Nifty500 Quality 50 Index Fund</t>
  </si>
  <si>
    <t>AXISQUA</t>
  </si>
  <si>
    <t>Axis Quant Fund</t>
  </si>
  <si>
    <t>AXISRAP</t>
  </si>
  <si>
    <t>Axis Retirement Fund - Aggressive Plan</t>
  </si>
  <si>
    <t>AXISRCP</t>
  </si>
  <si>
    <t>Axis Retirement Fund - Conservative Plan</t>
  </si>
  <si>
    <t>AXISRDP</t>
  </si>
  <si>
    <t>Axis Retirement Fund - Dynamic Plan</t>
  </si>
  <si>
    <t>AXISSCF</t>
  </si>
  <si>
    <t>Axis Small Cap Fund</t>
  </si>
  <si>
    <t>AXISSDI</t>
  </si>
  <si>
    <t>Axis NIFTY SDL September 2026 Debt Index Fund</t>
  </si>
  <si>
    <t>AXISSDL</t>
  </si>
  <si>
    <t>Axis Nifty AAA Bond Plus SDL Apr 2026 50:50 ETF FOF</t>
  </si>
  <si>
    <t>AXISSETF</t>
  </si>
  <si>
    <t>Axis Nifty AAA Bond Plus SDL Apr 2026 50:50 ETF</t>
  </si>
  <si>
    <t>AXISSIF</t>
  </si>
  <si>
    <t>Axis BSE Sensex Index Fund</t>
  </si>
  <si>
    <t>AXISSIL</t>
  </si>
  <si>
    <t>Axis Silver Fund of Fund</t>
  </si>
  <si>
    <t>AXISSOF</t>
  </si>
  <si>
    <t>Axis Services Opportunities Fund</t>
  </si>
  <si>
    <t>AXISSSF</t>
  </si>
  <si>
    <t>Axis Innovation Fund</t>
  </si>
  <si>
    <t>AXISSTF</t>
  </si>
  <si>
    <t>Axis Short Duration Fund</t>
  </si>
  <si>
    <t>AXISTAA</t>
  </si>
  <si>
    <t>Axis Treasury Advantage Fund</t>
  </si>
  <si>
    <t>AXISTAF</t>
  </si>
  <si>
    <t>Axis Multi Asset Allocation Fund</t>
  </si>
  <si>
    <t>AXISTDB</t>
  </si>
  <si>
    <t>Axis US Specific Treasury Dynamic Debt Passive FOF</t>
  </si>
  <si>
    <t>AXISTETF</t>
  </si>
  <si>
    <t>Axis NIFTY IT ETF</t>
  </si>
  <si>
    <t>AXISTSF</t>
  </si>
  <si>
    <t>Axis ELSS Tax Saver Fund</t>
  </si>
  <si>
    <t>AXISUSF</t>
  </si>
  <si>
    <t>Axis Ultra Short Duration Fund</t>
  </si>
  <si>
    <t>AXISVAL</t>
  </si>
  <si>
    <t>Axis Value Fund</t>
  </si>
  <si>
    <t>AXISVIF</t>
  </si>
  <si>
    <t>Axis Nifty500 Value 50 Index Fund</t>
  </si>
  <si>
    <t xml:space="preserve">
  </t>
  </si>
  <si>
    <t>Monthly Portfolio Statement as on October 31, 2025</t>
  </si>
  <si>
    <t>Name of the Instrument</t>
  </si>
  <si>
    <t>ISIN</t>
  </si>
  <si>
    <t>Industry / Rating</t>
  </si>
  <si>
    <t>Quantity</t>
  </si>
  <si>
    <t>Market/Fair Value
 (Rs. in Lakhs)</t>
  </si>
  <si>
    <t>% to Net
 Assets</t>
  </si>
  <si>
    <t>YTM~</t>
  </si>
  <si>
    <t>YTC^</t>
  </si>
  <si>
    <t>null</t>
  </si>
  <si>
    <t>Debt Instruments</t>
  </si>
  <si>
    <t>(a) Listed / awaiting listing on Stock Exchange</t>
  </si>
  <si>
    <t>GOI4656</t>
  </si>
  <si>
    <t>7.40% Government of India (19/03/2026)</t>
  </si>
  <si>
    <t>IN000326C040</t>
  </si>
  <si>
    <t>Sovereign</t>
  </si>
  <si>
    <t>GOI4747</t>
  </si>
  <si>
    <t>7.36% Government of India (12/03/2026)</t>
  </si>
  <si>
    <t>IN000326C057</t>
  </si>
  <si>
    <t>Sub Total</t>
  </si>
  <si>
    <t>(b) Privately placed / Unlisted</t>
  </si>
  <si>
    <t>NIL</t>
  </si>
  <si>
    <t>Total</t>
  </si>
  <si>
    <t>Reverse Repo / TREPS</t>
  </si>
  <si>
    <t>TRP_031125</t>
  </si>
  <si>
    <t>Clearing Corporation of India Ltd</t>
  </si>
  <si>
    <t>Net Receivables / (Payables)</t>
  </si>
  <si>
    <t>GRAND TOTAL</t>
  </si>
  <si>
    <t>~ YTM as on October 31, 2025</t>
  </si>
  <si>
    <t>^ YTC represents Yield to Call provided by valuation agencies as on October 31, 2025.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</si>
  <si>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</si>
  <si>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r>
      <rPr>
        <b/>
        <sz val="9"/>
        <color rgb="FF000000"/>
        <rFont val="Arial"/>
        <family val="2"/>
      </rPr>
      <t>Note - Schemes &amp; Benchmark Riskometer(s) mentioned are as per the latest details available with the AMC as on the date of hosting of portfolio.</t>
    </r>
  </si>
  <si>
    <r>
      <rPr>
        <b/>
        <sz val="9"/>
        <color rgb="FF000000"/>
        <rFont val="Arial"/>
        <family val="2"/>
      </rPr>
      <t>For latest Riskometer(s), kindly visit www.axismf.com</t>
    </r>
  </si>
  <si>
    <t>Benchmark Name - CRISIL MEDIUM TERM DEBT INDEX</t>
  </si>
  <si>
    <t>Scheme Risk-O-Meter</t>
  </si>
  <si>
    <t>Benchmark Risk-O-Meter</t>
  </si>
  <si>
    <t>Rating</t>
  </si>
  <si>
    <t>SIDB493</t>
  </si>
  <si>
    <t>7.59% Small Industries Dev Bank of India (10/02/2026) **</t>
  </si>
  <si>
    <t>INE556F08KG3</t>
  </si>
  <si>
    <t>CRISIL AAA</t>
  </si>
  <si>
    <t>IRLY366</t>
  </si>
  <si>
    <t>7.4% Indian Railway Finance Corporation Limited (18/04/2026) **</t>
  </si>
  <si>
    <t>INE053F08239</t>
  </si>
  <si>
    <t>BPCL130</t>
  </si>
  <si>
    <t>7.58% Bharat Petroleum Corporation Limited (17/03/2026) **</t>
  </si>
  <si>
    <t>INE029A08073</t>
  </si>
  <si>
    <t>NBAR699</t>
  </si>
  <si>
    <t>7.57% National Bank For Agriculture and Rural Development (19/03/2026) **</t>
  </si>
  <si>
    <t>INE261F08DW2</t>
  </si>
  <si>
    <t>RECL429</t>
  </si>
  <si>
    <t>7.6% REC Limited (27/02/2026) **</t>
  </si>
  <si>
    <t>INE020B08EF4</t>
  </si>
  <si>
    <t>POWF487</t>
  </si>
  <si>
    <t>7.13% Power Finance Corporation Limited (15/07/2026) **</t>
  </si>
  <si>
    <t>INE134E08LP1</t>
  </si>
  <si>
    <t>NUCL109</t>
  </si>
  <si>
    <t>8.40% Nuclear Power Corporation Of India Limited (28/11/2025) **</t>
  </si>
  <si>
    <t>INE206D08212</t>
  </si>
  <si>
    <t>LICH646</t>
  </si>
  <si>
    <t>8.1432% LIC Housing Finance Limited (25/03/2026) **</t>
  </si>
  <si>
    <t>INE115A07QG8</t>
  </si>
  <si>
    <t>BAFL826</t>
  </si>
  <si>
    <t>7.9% Bajaj Finance Limited (17/11/2025) **</t>
  </si>
  <si>
    <t>INE296A07SF4</t>
  </si>
  <si>
    <t>BHFL96</t>
  </si>
  <si>
    <t>7.9237% Bajaj Housing Finance Limited (16/03/2026) **</t>
  </si>
  <si>
    <t>INE377Y07375</t>
  </si>
  <si>
    <t>NTPC243</t>
  </si>
  <si>
    <t>7.35% NTPC Limited (17/04/2026) **</t>
  </si>
  <si>
    <t>INE733E08247</t>
  </si>
  <si>
    <t>NTPC108</t>
  </si>
  <si>
    <t>8.05% NTPC Limited (05/05/2026) **</t>
  </si>
  <si>
    <t>INE733E07KA6</t>
  </si>
  <si>
    <t>POWF512</t>
  </si>
  <si>
    <t>7.37% Power Finance Corporation Limited (22/05/2026) **</t>
  </si>
  <si>
    <t>INE134E08MO2</t>
  </si>
  <si>
    <t>**  Thinly Traded / Non Traded Security</t>
  </si>
  <si>
    <t>Industry</t>
  </si>
  <si>
    <t>Equity &amp; Equity related</t>
  </si>
  <si>
    <t>(a) Listed / awaiting listing on Stock Exchanges</t>
  </si>
  <si>
    <t>HDFB03</t>
  </si>
  <si>
    <t>HDFC Bank Limited</t>
  </si>
  <si>
    <t>INE040A01034</t>
  </si>
  <si>
    <t>Banks</t>
  </si>
  <si>
    <t>RIND01</t>
  </si>
  <si>
    <t>Reliance Industries Limited</t>
  </si>
  <si>
    <t>INE002A01018</t>
  </si>
  <si>
    <t>Petroleum Products</t>
  </si>
  <si>
    <t>IBCL05</t>
  </si>
  <si>
    <t>ICICI Bank Limited</t>
  </si>
  <si>
    <t>INE090A01021</t>
  </si>
  <si>
    <t>BTVL02</t>
  </si>
  <si>
    <t>Bharti Airtel Limited</t>
  </si>
  <si>
    <t>INE397D01024</t>
  </si>
  <si>
    <t>Telecom - Services</t>
  </si>
  <si>
    <t>INFS02</t>
  </si>
  <si>
    <t>Infosys Limited</t>
  </si>
  <si>
    <t>INE009A01021</t>
  </si>
  <si>
    <t>IT - Software</t>
  </si>
  <si>
    <t>LARS02</t>
  </si>
  <si>
    <t>Larsen &amp; Toubro Limited</t>
  </si>
  <si>
    <t>INE018A01030</t>
  </si>
  <si>
    <t>Construction</t>
  </si>
  <si>
    <t>ITCL02</t>
  </si>
  <si>
    <t>ITC Limited</t>
  </si>
  <si>
    <t>INE154A01025</t>
  </si>
  <si>
    <t>Diversified FMCG</t>
  </si>
  <si>
    <t>SBAI02</t>
  </si>
  <si>
    <t>State Bank of India</t>
  </si>
  <si>
    <t>INE062A01020</t>
  </si>
  <si>
    <t>UTIB02</t>
  </si>
  <si>
    <t>Axis Bank Limited</t>
  </si>
  <si>
    <t>INE238A01034</t>
  </si>
  <si>
    <t>TCSL01</t>
  </si>
  <si>
    <t>Tata Consultancy Services Limited</t>
  </si>
  <si>
    <t>INE467B01029</t>
  </si>
  <si>
    <t>KOMA02</t>
  </si>
  <si>
    <t>Kotak Mahindra Bank Limited</t>
  </si>
  <si>
    <t>INE237A01028</t>
  </si>
  <si>
    <t>MAHI02</t>
  </si>
  <si>
    <t>Mahindra &amp; Mahindra Limited</t>
  </si>
  <si>
    <t>INE101A01026</t>
  </si>
  <si>
    <t>Automobiles</t>
  </si>
  <si>
    <t>BAFL03</t>
  </si>
  <si>
    <t>Bajaj Finance Limited</t>
  </si>
  <si>
    <t>INE296A01032</t>
  </si>
  <si>
    <t>Finance</t>
  </si>
  <si>
    <t>ZMPL01</t>
  </si>
  <si>
    <t>Eternal Limited</t>
  </si>
  <si>
    <t>INE758T01015</t>
  </si>
  <si>
    <t>Retailing</t>
  </si>
  <si>
    <t>HLEL02</t>
  </si>
  <si>
    <t>Hindustan Unilever Limited</t>
  </si>
  <si>
    <t>INE030A01027</t>
  </si>
  <si>
    <t>MAUD01</t>
  </si>
  <si>
    <t>Maruti Suzuki India Limited</t>
  </si>
  <si>
    <t>INE585B01010</t>
  </si>
  <si>
    <t>SPIL03</t>
  </si>
  <si>
    <t>Sun Pharmaceutical Industries Limited</t>
  </si>
  <si>
    <t>INE044A01036</t>
  </si>
  <si>
    <t>Pharmaceuticals &amp; Biotechnology</t>
  </si>
  <si>
    <t>HCLT02</t>
  </si>
  <si>
    <t>HCL Technologies Limited</t>
  </si>
  <si>
    <t>INE860A01027</t>
  </si>
  <si>
    <t>NTPC01</t>
  </si>
  <si>
    <t>NTPC Limited</t>
  </si>
  <si>
    <t>INE733E01010</t>
  </si>
  <si>
    <t>Power</t>
  </si>
  <si>
    <t>TWAT02</t>
  </si>
  <si>
    <t>Titan Company Limited</t>
  </si>
  <si>
    <t>INE280A01028</t>
  </si>
  <si>
    <t>Consumer Durables</t>
  </si>
  <si>
    <t>BHEL02</t>
  </si>
  <si>
    <t>Bharat Electronics Limited</t>
  </si>
  <si>
    <t>INE263A01024</t>
  </si>
  <si>
    <t>Aerospace &amp; Defense</t>
  </si>
  <si>
    <t>TISC03</t>
  </si>
  <si>
    <t>Tata Steel Limited</t>
  </si>
  <si>
    <t>INE081A01020</t>
  </si>
  <si>
    <t>Ferrous Metals</t>
  </si>
  <si>
    <t>ULCC01</t>
  </si>
  <si>
    <t>UltraTech Cement Limited</t>
  </si>
  <si>
    <t>INE481G01011</t>
  </si>
  <si>
    <t>Cement &amp; Cement Products</t>
  </si>
  <si>
    <t>PGCI01</t>
  </si>
  <si>
    <t>Power Grid Corporation of India Limited</t>
  </si>
  <si>
    <t>INE752E01010</t>
  </si>
  <si>
    <t>HINI02</t>
  </si>
  <si>
    <t>Hindalco Industries Limited</t>
  </si>
  <si>
    <t>INE038A01020</t>
  </si>
  <si>
    <t>Non - Ferrous Metals</t>
  </si>
  <si>
    <t>INAV01</t>
  </si>
  <si>
    <t>InterGlobe Aviation Limited</t>
  </si>
  <si>
    <t>INE646L01027</t>
  </si>
  <si>
    <t>Transport Services</t>
  </si>
  <si>
    <t>BFSL02</t>
  </si>
  <si>
    <t>Bajaj Finserv Limited</t>
  </si>
  <si>
    <t>INE918I01026</t>
  </si>
  <si>
    <t>ASPA02</t>
  </si>
  <si>
    <t>Asian Paints Limited</t>
  </si>
  <si>
    <t>INE021A01026</t>
  </si>
  <si>
    <t>JVSL04</t>
  </si>
  <si>
    <t>JSW Steel Limited</t>
  </si>
  <si>
    <t>INE019A01038</t>
  </si>
  <si>
    <t>GRAS02</t>
  </si>
  <si>
    <t>Grasim Industries Limited</t>
  </si>
  <si>
    <t>INE047A01021</t>
  </si>
  <si>
    <t>MUND02</t>
  </si>
  <si>
    <t>Adani Ports and Special Economic Zone Limited</t>
  </si>
  <si>
    <t>INE742F01042</t>
  </si>
  <si>
    <t>Transport Infrastructure</t>
  </si>
  <si>
    <t>SHTR02</t>
  </si>
  <si>
    <t>Shriram Finance Limited</t>
  </si>
  <si>
    <t>INE721A01047</t>
  </si>
  <si>
    <t>LAKM02</t>
  </si>
  <si>
    <t>Trent Limited</t>
  </si>
  <si>
    <t>INE849A01020</t>
  </si>
  <si>
    <t>BSEL02</t>
  </si>
  <si>
    <t>BSE Limited</t>
  </si>
  <si>
    <t>INE118H01025</t>
  </si>
  <si>
    <t>Capital Markets</t>
  </si>
  <si>
    <t>RELS01</t>
  </si>
  <si>
    <t>Jio Financial Services Limited</t>
  </si>
  <si>
    <t>INE758E01017</t>
  </si>
  <si>
    <t>ONGC02</t>
  </si>
  <si>
    <t>Oil &amp; Natural Gas Corporation Limited</t>
  </si>
  <si>
    <t>INE213A01029</t>
  </si>
  <si>
    <t>Oil</t>
  </si>
  <si>
    <t>BALN01</t>
  </si>
  <si>
    <t>Bajaj Auto Limited</t>
  </si>
  <si>
    <t>INE917I01010</t>
  </si>
  <si>
    <t>EIML02</t>
  </si>
  <si>
    <t>Eicher Motors Limited</t>
  </si>
  <si>
    <t>INE066A01021</t>
  </si>
  <si>
    <t>NEST02</t>
  </si>
  <si>
    <t>Nestle India Limited</t>
  </si>
  <si>
    <t>INE239A01024</t>
  </si>
  <si>
    <t>Food Products</t>
  </si>
  <si>
    <t>TEMA02</t>
  </si>
  <si>
    <t>Tech Mahindra Limited</t>
  </si>
  <si>
    <t>INE669C01036</t>
  </si>
  <si>
    <t>HALT02</t>
  </si>
  <si>
    <t>Hindustan Aeronautics Limited</t>
  </si>
  <si>
    <t>INE066F01020</t>
  </si>
  <si>
    <t>COAL01</t>
  </si>
  <si>
    <t>Coal India Limited</t>
  </si>
  <si>
    <t>INE522F01014</t>
  </si>
  <si>
    <t>Consumable Fuels</t>
  </si>
  <si>
    <t>SLIF01</t>
  </si>
  <si>
    <t>SBI Life Insurance Company Limited</t>
  </si>
  <si>
    <t>INE123W01016</t>
  </si>
  <si>
    <t>Insurance</t>
  </si>
  <si>
    <t>DIVI02</t>
  </si>
  <si>
    <t>Divi's Laboratories Limited</t>
  </si>
  <si>
    <t>INE361B01024</t>
  </si>
  <si>
    <t>TELC03</t>
  </si>
  <si>
    <t>Tata Motors Passenger Vehicles Limited</t>
  </si>
  <si>
    <t>INE155A01022</t>
  </si>
  <si>
    <t>MAHE01</t>
  </si>
  <si>
    <t>Max Healthcare Institute Limited</t>
  </si>
  <si>
    <t>INE027H01010</t>
  </si>
  <si>
    <t>Healthcare Services</t>
  </si>
  <si>
    <t>CIPL03</t>
  </si>
  <si>
    <t>Cipla Limited</t>
  </si>
  <si>
    <t>INE059A01026</t>
  </si>
  <si>
    <t>SESA02</t>
  </si>
  <si>
    <t>Vedanta Limited</t>
  </si>
  <si>
    <t>INE205A01025</t>
  </si>
  <si>
    <t>Diversified Metals</t>
  </si>
  <si>
    <t>SAEL02</t>
  </si>
  <si>
    <t>TVS Motor Company Limited</t>
  </si>
  <si>
    <t>INE494B01023</t>
  </si>
  <si>
    <t>HDLI01</t>
  </si>
  <si>
    <t>HDFC Life Insurance Company Limited</t>
  </si>
  <si>
    <t>INE795G01014</t>
  </si>
  <si>
    <t>APOL02</t>
  </si>
  <si>
    <t>Apollo Hospitals Enterprise Limited</t>
  </si>
  <si>
    <t>INE437A01024</t>
  </si>
  <si>
    <t>TTEA02</t>
  </si>
  <si>
    <t>Tata Consumer Products Limited</t>
  </si>
  <si>
    <t>INE192A01025</t>
  </si>
  <si>
    <t>Agricultural Food &amp; other Products</t>
  </si>
  <si>
    <t>DRRL03</t>
  </si>
  <si>
    <t>Dr. Reddy's Laboratories Limited</t>
  </si>
  <si>
    <t>INE089A01031</t>
  </si>
  <si>
    <t>HERO02</t>
  </si>
  <si>
    <t>Hero MotoCorp Limited</t>
  </si>
  <si>
    <t>INE158A01026</t>
  </si>
  <si>
    <t>SUZE02</t>
  </si>
  <si>
    <t>Suzlon Energy Limited</t>
  </si>
  <si>
    <t>INE040H01021</t>
  </si>
  <si>
    <t>Electrical Equipment</t>
  </si>
  <si>
    <t>CHOL02</t>
  </si>
  <si>
    <t>Cholamandalam Investment and Finance Company Ltd</t>
  </si>
  <si>
    <t>INE121A01024</t>
  </si>
  <si>
    <t>BPCL01</t>
  </si>
  <si>
    <t>Bharat Petroleum Corporation Limited</t>
  </si>
  <si>
    <t>INE029A01011</t>
  </si>
  <si>
    <t>BRIT03</t>
  </si>
  <si>
    <t>Britannia Industries Limited</t>
  </si>
  <si>
    <t>INE216A01030</t>
  </si>
  <si>
    <t>WIPR02</t>
  </si>
  <si>
    <t>Wipro Limited</t>
  </si>
  <si>
    <t>INE075A01022</t>
  </si>
  <si>
    <t>TPOW02</t>
  </si>
  <si>
    <t>Tata Power Company Limited</t>
  </si>
  <si>
    <t>INE245A01021</t>
  </si>
  <si>
    <t>IHOT02</t>
  </si>
  <si>
    <t>The Indian Hotels Company Limited</t>
  </si>
  <si>
    <t>INE053A01029</t>
  </si>
  <si>
    <t>Leisure Services</t>
  </si>
  <si>
    <t>ADAN02</t>
  </si>
  <si>
    <t>Adani Enterprises Limited</t>
  </si>
  <si>
    <t>INE423A01024</t>
  </si>
  <si>
    <t>Metals &amp; Minerals Trading</t>
  </si>
  <si>
    <t>PSYL02</t>
  </si>
  <si>
    <t>Persistent Systems Limited</t>
  </si>
  <si>
    <t>INE262H01021</t>
  </si>
  <si>
    <t>VNBL03</t>
  </si>
  <si>
    <t>Varun Beverages Limited</t>
  </si>
  <si>
    <t>INE200M01039</t>
  </si>
  <si>
    <t>Beverages</t>
  </si>
  <si>
    <t>DIXO02</t>
  </si>
  <si>
    <t>Dixon Technologies (India) Limited</t>
  </si>
  <si>
    <t>INE935N01020</t>
  </si>
  <si>
    <t>ADAP02</t>
  </si>
  <si>
    <t>Adani Power Limited</t>
  </si>
  <si>
    <t>INE814H01029</t>
  </si>
  <si>
    <t>IOIC01</t>
  </si>
  <si>
    <t>Indian Oil Corporation Limited</t>
  </si>
  <si>
    <t>INE242A01010</t>
  </si>
  <si>
    <t>AVSP01</t>
  </si>
  <si>
    <t>Avenue Supermarts Limited</t>
  </si>
  <si>
    <t>INE192R01011</t>
  </si>
  <si>
    <t>NITL02</t>
  </si>
  <si>
    <t>Coforge Limited</t>
  </si>
  <si>
    <t>INE591G01025</t>
  </si>
  <si>
    <t>ESMC02</t>
  </si>
  <si>
    <t>PB Fintech Limited</t>
  </si>
  <si>
    <t>INE417T01026</t>
  </si>
  <si>
    <t>Financial Technology (Fintech)</t>
  </si>
  <si>
    <t>FEBA02</t>
  </si>
  <si>
    <t>The Federal Bank Limited</t>
  </si>
  <si>
    <t>INE171A01029</t>
  </si>
  <si>
    <t>KCUL02</t>
  </si>
  <si>
    <t>Cummins India Limited</t>
  </si>
  <si>
    <t>INE298A01020</t>
  </si>
  <si>
    <t>Industrial Products</t>
  </si>
  <si>
    <t>PFCL01</t>
  </si>
  <si>
    <t>Power Finance Corporation Limited</t>
  </si>
  <si>
    <t>INE134E01011</t>
  </si>
  <si>
    <t>TMLC01</t>
  </si>
  <si>
    <t>INE1TAE01010</t>
  </si>
  <si>
    <t>Agricultural, Commercial &amp; Construction Vehicles</t>
  </si>
  <si>
    <t>HDAM01</t>
  </si>
  <si>
    <t>HDFC Asset Management Company Limited</t>
  </si>
  <si>
    <t>INE127D01025</t>
  </si>
  <si>
    <t>IDBK01</t>
  </si>
  <si>
    <t>IDFC First Bank Limited</t>
  </si>
  <si>
    <t>INE092T01019</t>
  </si>
  <si>
    <t>FRHL01</t>
  </si>
  <si>
    <t>Fortis Healthcare Limited</t>
  </si>
  <si>
    <t>INE061F01013</t>
  </si>
  <si>
    <t>BAJA01</t>
  </si>
  <si>
    <t>Bajaj Holdings &amp; Investment Limited</t>
  </si>
  <si>
    <t>INE118A01012</t>
  </si>
  <si>
    <t>LTIL01</t>
  </si>
  <si>
    <t>LTIMindtree Limited</t>
  </si>
  <si>
    <t>INE214T01019</t>
  </si>
  <si>
    <t>IEIN02</t>
  </si>
  <si>
    <t>Info Edge (India) Limited</t>
  </si>
  <si>
    <t>INE663F01032</t>
  </si>
  <si>
    <t>IIBL01</t>
  </si>
  <si>
    <t>IndusInd Bank Limited</t>
  </si>
  <si>
    <t>INE095A01012</t>
  </si>
  <si>
    <t>BKBA02</t>
  </si>
  <si>
    <t>Bank of Baroda</t>
  </si>
  <si>
    <t>INE028A01039</t>
  </si>
  <si>
    <t>CROM02</t>
  </si>
  <si>
    <t>CG Power and Industrial Solutions Limited</t>
  </si>
  <si>
    <t>INE067A01029</t>
  </si>
  <si>
    <t>AFPL02</t>
  </si>
  <si>
    <t>AU Small Finance Bank Limited</t>
  </si>
  <si>
    <t>INE949L01017</t>
  </si>
  <si>
    <t>DLFL01</t>
  </si>
  <si>
    <t>DLF Limited</t>
  </si>
  <si>
    <t>INE271C01023</t>
  </si>
  <si>
    <t>Realty</t>
  </si>
  <si>
    <t>GAIL01</t>
  </si>
  <si>
    <t>GAIL (India) Limited</t>
  </si>
  <si>
    <t>INE129A01019</t>
  </si>
  <si>
    <t>Gas</t>
  </si>
  <si>
    <t>ILOM01</t>
  </si>
  <si>
    <t>ICICI Lombard General Insurance Company Limited</t>
  </si>
  <si>
    <t>INE765G01017</t>
  </si>
  <si>
    <t>LUPL02</t>
  </si>
  <si>
    <t>Lupin Limited</t>
  </si>
  <si>
    <t>INE326A01037</t>
  </si>
  <si>
    <t>BINL01</t>
  </si>
  <si>
    <t>Indus Towers Limited</t>
  </si>
  <si>
    <t>INE121J01017</t>
  </si>
  <si>
    <t>ONCO02</t>
  </si>
  <si>
    <t>One 97 Communications Limited</t>
  </si>
  <si>
    <t>INE982J01020</t>
  </si>
  <si>
    <t>MCEX01</t>
  </si>
  <si>
    <t>Multi Commodity Exchange of India Limited</t>
  </si>
  <si>
    <t>INE745G01035</t>
  </si>
  <si>
    <t>RELC01</t>
  </si>
  <si>
    <t>REC Limited</t>
  </si>
  <si>
    <t>INE020B01018</t>
  </si>
  <si>
    <t>MOSU03</t>
  </si>
  <si>
    <t>Samvardhana Motherson International Limited</t>
  </si>
  <si>
    <t>INE775A01035</t>
  </si>
  <si>
    <t>Auto Components</t>
  </si>
  <si>
    <t>CANB02</t>
  </si>
  <si>
    <t>Canara Bank</t>
  </si>
  <si>
    <t>INE476A01022</t>
  </si>
  <si>
    <t>HPEC01</t>
  </si>
  <si>
    <t>Hindustan Petroleum Corporation Limited</t>
  </si>
  <si>
    <t>INE094A01015</t>
  </si>
  <si>
    <t>GCPL02</t>
  </si>
  <si>
    <t>Godrej Consumer Products Limited</t>
  </si>
  <si>
    <t>INE102D01028</t>
  </si>
  <si>
    <t>Personal Products</t>
  </si>
  <si>
    <t>PIDI02</t>
  </si>
  <si>
    <t>Pidilite Industries Limited</t>
  </si>
  <si>
    <t>INE318A01026</t>
  </si>
  <si>
    <t>Chemicals &amp; Petrochemicals</t>
  </si>
  <si>
    <t>YESB03</t>
  </si>
  <si>
    <t>Yes Bank Limited</t>
  </si>
  <si>
    <t>INE528G01035</t>
  </si>
  <si>
    <t>SRFL01</t>
  </si>
  <si>
    <t>SRF Limited</t>
  </si>
  <si>
    <t>INE647A01010</t>
  </si>
  <si>
    <t>PUBA02</t>
  </si>
  <si>
    <t>Punjab National Bank</t>
  </si>
  <si>
    <t>INE160A01022</t>
  </si>
  <si>
    <t>MCSP02</t>
  </si>
  <si>
    <t>United Spirits Limited</t>
  </si>
  <si>
    <t>INE854D01024</t>
  </si>
  <si>
    <t>MAXI02</t>
  </si>
  <si>
    <t>Max Financial Services Limited</t>
  </si>
  <si>
    <t>INE180A01020</t>
  </si>
  <si>
    <t>ASHL02</t>
  </si>
  <si>
    <t>Ashok Leyland Limited</t>
  </si>
  <si>
    <t>INE208A01029</t>
  </si>
  <si>
    <t>SECH03</t>
  </si>
  <si>
    <t>UPL Limited</t>
  </si>
  <si>
    <t>INE628A01036</t>
  </si>
  <si>
    <t>Fertilizers &amp; Agrochemicals</t>
  </si>
  <si>
    <t>JSPL03</t>
  </si>
  <si>
    <t>Jindal Steel Limited</t>
  </si>
  <si>
    <t>INE749A01030</t>
  </si>
  <si>
    <t>POCA01</t>
  </si>
  <si>
    <t>Polycab India Limited</t>
  </si>
  <si>
    <t>INE455K01017</t>
  </si>
  <si>
    <t>MARC02</t>
  </si>
  <si>
    <t>Marico Limited</t>
  </si>
  <si>
    <t>INE196A01026</t>
  </si>
  <si>
    <t>SHCE01</t>
  </si>
  <si>
    <t>Shree Cement Limited</t>
  </si>
  <si>
    <t>INE070A01015</t>
  </si>
  <si>
    <t>ALLI02</t>
  </si>
  <si>
    <t>GE Vernova T&amp;D India Limited</t>
  </si>
  <si>
    <t>INE200A01026</t>
  </si>
  <si>
    <t>HAIL03</t>
  </si>
  <si>
    <t>Havells India Limited</t>
  </si>
  <si>
    <t>INE176B01034</t>
  </si>
  <si>
    <t>LAUR02</t>
  </si>
  <si>
    <t>Laurus Labs Limited</t>
  </si>
  <si>
    <t>INE947Q01028</t>
  </si>
  <si>
    <t>TOPH02</t>
  </si>
  <si>
    <t>Torrent Pharmaceuticals Limited</t>
  </si>
  <si>
    <t>INE685A01028</t>
  </si>
  <si>
    <t>BHFO02</t>
  </si>
  <si>
    <t>Bharat Forge Limited</t>
  </si>
  <si>
    <t>INE465A01025</t>
  </si>
  <si>
    <t>AGEL01</t>
  </si>
  <si>
    <t>Adani Green Energy Limited</t>
  </si>
  <si>
    <t>INE364U01010</t>
  </si>
  <si>
    <t>GUAM02</t>
  </si>
  <si>
    <t>Ambuja Cements Limited</t>
  </si>
  <si>
    <t>INE079A01024</t>
  </si>
  <si>
    <t>GODP02</t>
  </si>
  <si>
    <t>Godrej Properties Limited</t>
  </si>
  <si>
    <t>INE484J01027</t>
  </si>
  <si>
    <t>HYUN01</t>
  </si>
  <si>
    <t>Hyundai Motor India Ltd</t>
  </si>
  <si>
    <t>INE0V6F01027</t>
  </si>
  <si>
    <t>MUFL01</t>
  </si>
  <si>
    <t>Muthoot Finance Limited</t>
  </si>
  <si>
    <t>INE414G01012</t>
  </si>
  <si>
    <t>BHAH02</t>
  </si>
  <si>
    <t>Bharat Heavy Electricals Limited</t>
  </si>
  <si>
    <t>INE257A01026</t>
  </si>
  <si>
    <t>SOEL02</t>
  </si>
  <si>
    <t>Solar Industries India Limited</t>
  </si>
  <si>
    <t>INE343H01029</t>
  </si>
  <si>
    <t>FSNE01</t>
  </si>
  <si>
    <t>FSN E-Commerce Ventures Limited</t>
  </si>
  <si>
    <t>INE388Y01029</t>
  </si>
  <si>
    <t>GMRI03</t>
  </si>
  <si>
    <t>GMR Airports Limited</t>
  </si>
  <si>
    <t>INE776C01039</t>
  </si>
  <si>
    <t>ADTL01</t>
  </si>
  <si>
    <t>Adani Energy Solutions Limited</t>
  </si>
  <si>
    <t>INE931S01010</t>
  </si>
  <si>
    <t>MACR01</t>
  </si>
  <si>
    <t>Lodha Developers Limited</t>
  </si>
  <si>
    <t>INE670K01029</t>
  </si>
  <si>
    <t>BLTE01</t>
  </si>
  <si>
    <t>Swiggy Limited</t>
  </si>
  <si>
    <t>INE00H001014</t>
  </si>
  <si>
    <t>BTUL02</t>
  </si>
  <si>
    <t>APL Apollo Tubes Limited</t>
  </si>
  <si>
    <t>INE702C01027</t>
  </si>
  <si>
    <t>WENE01</t>
  </si>
  <si>
    <t>Waaree Energies Limited</t>
  </si>
  <si>
    <t>INE377N01017</t>
  </si>
  <si>
    <t>MOTI02</t>
  </si>
  <si>
    <t>Bosch Limited</t>
  </si>
  <si>
    <t>INE323A01026</t>
  </si>
  <si>
    <t>AUPH03</t>
  </si>
  <si>
    <t>Aurobindo Pharma Limited</t>
  </si>
  <si>
    <t>INE406A01037</t>
  </si>
  <si>
    <t>TLFH01</t>
  </si>
  <si>
    <t>Tube Investments of India Limited</t>
  </si>
  <si>
    <t>INE974X01010</t>
  </si>
  <si>
    <t>SUFI01</t>
  </si>
  <si>
    <t>Sundaram Finance Limited</t>
  </si>
  <si>
    <t>INE660A01013</t>
  </si>
  <si>
    <t>BFLS01</t>
  </si>
  <si>
    <t>Mphasis Limited</t>
  </si>
  <si>
    <t>INE356A01018</t>
  </si>
  <si>
    <t>MRFL01</t>
  </si>
  <si>
    <t>MRF Limited</t>
  </si>
  <si>
    <t>INE883A01011</t>
  </si>
  <si>
    <t>VOLT02</t>
  </si>
  <si>
    <t>Voltas Limited</t>
  </si>
  <si>
    <t>INE226A01021</t>
  </si>
  <si>
    <t>PHMI02</t>
  </si>
  <si>
    <t>The Phoenix Mills Limited</t>
  </si>
  <si>
    <t>INE211B01039</t>
  </si>
  <si>
    <t>ALKE01</t>
  </si>
  <si>
    <t>Alkem Laboratories Limited</t>
  </si>
  <si>
    <t>INE540L01014</t>
  </si>
  <si>
    <t>INBK01</t>
  </si>
  <si>
    <t>Indian Bank</t>
  </si>
  <si>
    <t>INE562A01011</t>
  </si>
  <si>
    <t>COLG02</t>
  </si>
  <si>
    <t>Colgate Palmolive (India) Limited</t>
  </si>
  <si>
    <t>INE259A01022</t>
  </si>
  <si>
    <t>PREP01</t>
  </si>
  <si>
    <t>Prestige Estates Projects Limited</t>
  </si>
  <si>
    <t>INE811K01011</t>
  </si>
  <si>
    <t>VMML01</t>
  </si>
  <si>
    <t>Vishal Mega Mart Limited</t>
  </si>
  <si>
    <t>INE01EA01019</t>
  </si>
  <si>
    <t>PIIN03</t>
  </si>
  <si>
    <t>PI Industries Limited</t>
  </si>
  <si>
    <t>INE603J01030</t>
  </si>
  <si>
    <t>DABU02</t>
  </si>
  <si>
    <t>Dabur India Limited</t>
  </si>
  <si>
    <t>INE016A01026</t>
  </si>
  <si>
    <t>UNBI01</t>
  </si>
  <si>
    <t>Union Bank of India</t>
  </si>
  <si>
    <t>INE692A01016</t>
  </si>
  <si>
    <t>GLPH03</t>
  </si>
  <si>
    <t>Glenmark Pharmaceuticals Limited</t>
  </si>
  <si>
    <t>INE935A01035</t>
  </si>
  <si>
    <t>CDSL01</t>
  </si>
  <si>
    <t>Central Depository Services (India) Limited</t>
  </si>
  <si>
    <t>INE736A01011</t>
  </si>
  <si>
    <t>JSWE01</t>
  </si>
  <si>
    <t>JSW Energy Limited</t>
  </si>
  <si>
    <t>INE121E01018</t>
  </si>
  <si>
    <t>SENE01</t>
  </si>
  <si>
    <t>Siemens Energy India Limited</t>
  </si>
  <si>
    <t>INE1NPP01017</t>
  </si>
  <si>
    <t>SIEM02</t>
  </si>
  <si>
    <t>Siemens Limited</t>
  </si>
  <si>
    <t>INE003A01024</t>
  </si>
  <si>
    <t>ASEA02</t>
  </si>
  <si>
    <t>ABB India Limited</t>
  </si>
  <si>
    <t>INE117A01022</t>
  </si>
  <si>
    <t>MKIP01</t>
  </si>
  <si>
    <t>Mankind Pharma Limited</t>
  </si>
  <si>
    <t>INE634S01028</t>
  </si>
  <si>
    <t>NHPC01</t>
  </si>
  <si>
    <t>NHPC Limited</t>
  </si>
  <si>
    <t>INE848E01016</t>
  </si>
  <si>
    <t>SBCP01</t>
  </si>
  <si>
    <t>SBI Cards and Payment Services Limited</t>
  </si>
  <si>
    <t>INE018E01016</t>
  </si>
  <si>
    <t>NMDC01</t>
  </si>
  <si>
    <t>NMDC Limited</t>
  </si>
  <si>
    <t>INE584A01023</t>
  </si>
  <si>
    <t>Minerals &amp; Mining</t>
  </si>
  <si>
    <t>JKCE01</t>
  </si>
  <si>
    <t>JK Cement Limited</t>
  </si>
  <si>
    <t>INE823G01014</t>
  </si>
  <si>
    <t>PAGE01</t>
  </si>
  <si>
    <t>Page Industries Limited</t>
  </si>
  <si>
    <t>INE761H01022</t>
  </si>
  <si>
    <t>Textiles &amp; Apparels</t>
  </si>
  <si>
    <t>COFE03</t>
  </si>
  <si>
    <t>Coromandel International Limited</t>
  </si>
  <si>
    <t>INE169A01031</t>
  </si>
  <si>
    <t>TOPL01</t>
  </si>
  <si>
    <t>Torrent Power Limited</t>
  </si>
  <si>
    <t>INE813H01021</t>
  </si>
  <si>
    <t>BLUS03</t>
  </si>
  <si>
    <t>Blue Star Limited</t>
  </si>
  <si>
    <t>INE472A01039</t>
  </si>
  <si>
    <t>KEII02</t>
  </si>
  <si>
    <t>KEI Industries Limited</t>
  </si>
  <si>
    <t>INE878B01027</t>
  </si>
  <si>
    <t>SUPI02</t>
  </si>
  <si>
    <t>Supreme Industries Limited</t>
  </si>
  <si>
    <t>INE195A01028</t>
  </si>
  <si>
    <t>RAKH02</t>
  </si>
  <si>
    <t>Radico Khaitan Limited</t>
  </si>
  <si>
    <t>INE944F01028</t>
  </si>
  <si>
    <t>CHEL02</t>
  </si>
  <si>
    <t>Zydus Lifesciences Limited</t>
  </si>
  <si>
    <t>INE010B01027</t>
  </si>
  <si>
    <t>JSTA02</t>
  </si>
  <si>
    <t>Jindal Stainless Limited</t>
  </si>
  <si>
    <t>INE220G01021</t>
  </si>
  <si>
    <t>ABFS01</t>
  </si>
  <si>
    <t>Aditya Birla Capital Limited</t>
  </si>
  <si>
    <t>INE674K01013</t>
  </si>
  <si>
    <t>BTAT01</t>
  </si>
  <si>
    <t>Vodafone Idea Limited</t>
  </si>
  <si>
    <t>INE669E01016</t>
  </si>
  <si>
    <t>SSNL02</t>
  </si>
  <si>
    <t>Delhivery Limited</t>
  </si>
  <si>
    <t>INE148O01028</t>
  </si>
  <si>
    <t>IIFM02</t>
  </si>
  <si>
    <t>360 One WAM Limited</t>
  </si>
  <si>
    <t>INE466L01038</t>
  </si>
  <si>
    <t>OIIL01</t>
  </si>
  <si>
    <t>Oil India Limited</t>
  </si>
  <si>
    <t>INE274J01014</t>
  </si>
  <si>
    <t>IPLI01</t>
  </si>
  <si>
    <t>ICICI Prudential Life Insurance Company Limited</t>
  </si>
  <si>
    <t>INE726G01019</t>
  </si>
  <si>
    <t>KAVY06</t>
  </si>
  <si>
    <t>Karur Vysya Bank Limited</t>
  </si>
  <si>
    <t>INE036D01028</t>
  </si>
  <si>
    <t>JUFL02</t>
  </si>
  <si>
    <t>Jubilant Foodworks Limited</t>
  </si>
  <si>
    <t>INE797F01020</t>
  </si>
  <si>
    <t>ABBP01</t>
  </si>
  <si>
    <t>Hitachi Energy India Limited</t>
  </si>
  <si>
    <t>INE07Y701011</t>
  </si>
  <si>
    <t>MIIL02</t>
  </si>
  <si>
    <t>UNO Minda Limited</t>
  </si>
  <si>
    <t>INE405E01023</t>
  </si>
  <si>
    <t>IRLY01</t>
  </si>
  <si>
    <t>Indian Railway Finance Corporation Limited</t>
  </si>
  <si>
    <t>INE053F01010</t>
  </si>
  <si>
    <t>VSNL01</t>
  </si>
  <si>
    <t>Tata Communications Limited</t>
  </si>
  <si>
    <t>INE151A01013</t>
  </si>
  <si>
    <t>BIOC01</t>
  </si>
  <si>
    <t>Biocon Limited</t>
  </si>
  <si>
    <t>INE376G01013</t>
  </si>
  <si>
    <t>LTFL01</t>
  </si>
  <si>
    <t>L&amp;T Finance Limited</t>
  </si>
  <si>
    <t>INE498L01015</t>
  </si>
  <si>
    <t>IRCT02</t>
  </si>
  <si>
    <t>Indian Railway Catering And Tourism Corporation Limited</t>
  </si>
  <si>
    <t>INE335Y01020</t>
  </si>
  <si>
    <t>SONB01</t>
  </si>
  <si>
    <t>Sona BLW Precision Forgings Limited</t>
  </si>
  <si>
    <t>INE073K01018</t>
  </si>
  <si>
    <t>PLNG01</t>
  </si>
  <si>
    <t>Petronet LNG Limited</t>
  </si>
  <si>
    <t>INE347G01014</t>
  </si>
  <si>
    <t>OBRL01</t>
  </si>
  <si>
    <t>Oberoi Realty Limited</t>
  </si>
  <si>
    <t>INE093I01010</t>
  </si>
  <si>
    <t>NACL03</t>
  </si>
  <si>
    <t>National Aluminium Company Limited</t>
  </si>
  <si>
    <t>INE139A01034</t>
  </si>
  <si>
    <t>MAFS02</t>
  </si>
  <si>
    <t>Mahindra &amp; Mahindra Financial Services Limited</t>
  </si>
  <si>
    <t>INE774D01024</t>
  </si>
  <si>
    <t>KAYN01</t>
  </si>
  <si>
    <t>Kaynes Technology India Limited</t>
  </si>
  <si>
    <t>INE918Z01012</t>
  </si>
  <si>
    <t>Industrial Manufacturing</t>
  </si>
  <si>
    <t>MAZG02</t>
  </si>
  <si>
    <t>Mazagon Dock Shipbuilders Limited</t>
  </si>
  <si>
    <t>INE249Z01020</t>
  </si>
  <si>
    <t>HZIN02</t>
  </si>
  <si>
    <t>Hindustan Zinc Limited</t>
  </si>
  <si>
    <t>INE267A01025</t>
  </si>
  <si>
    <t>IFEL01</t>
  </si>
  <si>
    <t>Oracle Financial Services Software Limited</t>
  </si>
  <si>
    <t>INE881D01027</t>
  </si>
  <si>
    <t>RUCH03</t>
  </si>
  <si>
    <t>Patanjali Foods Limited</t>
  </si>
  <si>
    <t>INE619A01035</t>
  </si>
  <si>
    <t>LICO01</t>
  </si>
  <si>
    <t>Life Insurance Corporation Of India</t>
  </si>
  <si>
    <t>INE0J1Y01017</t>
  </si>
  <si>
    <t>PRRC03</t>
  </si>
  <si>
    <t>Navin Fluorine International Limited</t>
  </si>
  <si>
    <t>INE048G01026</t>
  </si>
  <si>
    <t>SAIL01</t>
  </si>
  <si>
    <t>Steel Authority of India Limited</t>
  </si>
  <si>
    <t>INE114A01011</t>
  </si>
  <si>
    <t>KALJ01</t>
  </si>
  <si>
    <t>Kalyan Jewellers India Limited</t>
  </si>
  <si>
    <t>INE303R01014</t>
  </si>
  <si>
    <t>RATN01</t>
  </si>
  <si>
    <t>RBL Bank Limited</t>
  </si>
  <si>
    <t>INE976G01028</t>
  </si>
  <si>
    <t>KPEL01</t>
  </si>
  <si>
    <t>KPIT Technologies Limited</t>
  </si>
  <si>
    <t>INE04I401011</t>
  </si>
  <si>
    <t>TINV04</t>
  </si>
  <si>
    <t>Cholamandalam Financial Holdings Limited</t>
  </si>
  <si>
    <t>INE149A01033</t>
  </si>
  <si>
    <t>ITHO02</t>
  </si>
  <si>
    <t>ITC Hotels Limited</t>
  </si>
  <si>
    <t>INE379A01028</t>
  </si>
  <si>
    <t>TAEL01</t>
  </si>
  <si>
    <t>Tata Elxsi Limited</t>
  </si>
  <si>
    <t>INE670A01012</t>
  </si>
  <si>
    <t>CAMS01</t>
  </si>
  <si>
    <t>Computer Age Management Services Limited</t>
  </si>
  <si>
    <t>INE596I01012</t>
  </si>
  <si>
    <t>CCOI02</t>
  </si>
  <si>
    <t>Container Corporation of India Limited</t>
  </si>
  <si>
    <t>INE111A01025</t>
  </si>
  <si>
    <t>RVNL01</t>
  </si>
  <si>
    <t>Rail Vikas Nigam Limited</t>
  </si>
  <si>
    <t>INE415G01027</t>
  </si>
  <si>
    <t>BALI02</t>
  </si>
  <si>
    <t>Balkrishna Industries Limited</t>
  </si>
  <si>
    <t>INE787D01026</t>
  </si>
  <si>
    <t>CGCE01</t>
  </si>
  <si>
    <t>Crompton Greaves Consumer Electricals Limited</t>
  </si>
  <si>
    <t>INE299U01018</t>
  </si>
  <si>
    <t>ASTP04</t>
  </si>
  <si>
    <t>Astral Limited</t>
  </si>
  <si>
    <t>INE006I01046</t>
  </si>
  <si>
    <t>IPCA03</t>
  </si>
  <si>
    <t>IPCA Laboratories Limited</t>
  </si>
  <si>
    <t>INE571A01038</t>
  </si>
  <si>
    <t>KIMS02</t>
  </si>
  <si>
    <t>Krishna Institute Of Medical Sciences Limited</t>
  </si>
  <si>
    <t>INE967H01025</t>
  </si>
  <si>
    <t>ADGL01</t>
  </si>
  <si>
    <t>Adani Total Gas Limited</t>
  </si>
  <si>
    <t>INE399L01023</t>
  </si>
  <si>
    <t>CHLO02</t>
  </si>
  <si>
    <t>Exide Industries Limited</t>
  </si>
  <si>
    <t>INE302A01020</t>
  </si>
  <si>
    <t>LICH02</t>
  </si>
  <si>
    <t>LIC Housing Finance Limited</t>
  </si>
  <si>
    <t>INE115A01026</t>
  </si>
  <si>
    <t>PHFP02</t>
  </si>
  <si>
    <t>PNB Housing Finance Limited</t>
  </si>
  <si>
    <t>INE572E01012</t>
  </si>
  <si>
    <t>LMEL03</t>
  </si>
  <si>
    <t>Lloyds Metals And Energy Limited</t>
  </si>
  <si>
    <t>INE281B01032</t>
  </si>
  <si>
    <t>BKIN01</t>
  </si>
  <si>
    <t>Bank of India</t>
  </si>
  <si>
    <t>INE084A01016</t>
  </si>
  <si>
    <t>ODCL03</t>
  </si>
  <si>
    <t>Dalmia Bharat Limited</t>
  </si>
  <si>
    <t>INE00R701025</t>
  </si>
  <si>
    <t>AMBE01</t>
  </si>
  <si>
    <t>Amber Enterprises India Limited</t>
  </si>
  <si>
    <t>INE371P01015</t>
  </si>
  <si>
    <t>CUBI02</t>
  </si>
  <si>
    <t>City Union Bank Limited</t>
  </si>
  <si>
    <t>INE491A01021</t>
  </si>
  <si>
    <t>APOT02</t>
  </si>
  <si>
    <t>Apollo Tyres Limited</t>
  </si>
  <si>
    <t>INE438A01022</t>
  </si>
  <si>
    <t>FAGP02</t>
  </si>
  <si>
    <t>Schaeffler India Limited</t>
  </si>
  <si>
    <t>INE513A01022</t>
  </si>
  <si>
    <t>AGBL01</t>
  </si>
  <si>
    <t>Angel One Limited</t>
  </si>
  <si>
    <t>INE732I01013</t>
  </si>
  <si>
    <t>BERG03</t>
  </si>
  <si>
    <t>Berger Paints (I) Limited</t>
  </si>
  <si>
    <t>INE463A01038</t>
  </si>
  <si>
    <t>GLAN02</t>
  </si>
  <si>
    <t>Gland Pharma Limited</t>
  </si>
  <si>
    <t>INE068V01023</t>
  </si>
  <si>
    <t>BOOT01</t>
  </si>
  <si>
    <t>Abbott India Limited</t>
  </si>
  <si>
    <t>INE358A01014</t>
  </si>
  <si>
    <t>RCAM01</t>
  </si>
  <si>
    <t>Nippon Life India Asset Management Limited</t>
  </si>
  <si>
    <t>INE298J01013</t>
  </si>
  <si>
    <t>ADHL01</t>
  </si>
  <si>
    <t>Aster DM Healthcare Limited</t>
  </si>
  <si>
    <t>INE914M01019</t>
  </si>
  <si>
    <t>INOF01</t>
  </si>
  <si>
    <t>Gujarat Fluorochemicals Limited</t>
  </si>
  <si>
    <t>INE09N301011</t>
  </si>
  <si>
    <t>COCH02</t>
  </si>
  <si>
    <t>Cochin Shipyard Limited</t>
  </si>
  <si>
    <t>INE704P01025</t>
  </si>
  <si>
    <t>REIN02</t>
  </si>
  <si>
    <t>Redington Limited</t>
  </si>
  <si>
    <t>INE891D01026</t>
  </si>
  <si>
    <t>Commercial Services &amp; Supplies</t>
  </si>
  <si>
    <t>IGAS02</t>
  </si>
  <si>
    <t>Indraprastha Gas Limited</t>
  </si>
  <si>
    <t>INE203G01027</t>
  </si>
  <si>
    <t>INOW01</t>
  </si>
  <si>
    <t>Inox Wind Limited</t>
  </si>
  <si>
    <t>INE066P01011</t>
  </si>
  <si>
    <t>MNGF02</t>
  </si>
  <si>
    <t>Manappuram Finance Limited</t>
  </si>
  <si>
    <t>INE522D01027</t>
  </si>
  <si>
    <t>MOFS03</t>
  </si>
  <si>
    <t>Motilal Oswal Financial Services Limited</t>
  </si>
  <si>
    <t>INE338I01027</t>
  </si>
  <si>
    <t>IBHF01</t>
  </si>
  <si>
    <t>Sammaan Capital Limited</t>
  </si>
  <si>
    <t>INE148I01020</t>
  </si>
  <si>
    <t>GAPA02</t>
  </si>
  <si>
    <t>Apar Industries Limited</t>
  </si>
  <si>
    <t>INE372A01015</t>
  </si>
  <si>
    <t>BRIG01</t>
  </si>
  <si>
    <t>Brigade Enterprises Limited</t>
  </si>
  <si>
    <t>INE791I01019</t>
  </si>
  <si>
    <t>KFIN01</t>
  </si>
  <si>
    <t>KFin Technologies Limited</t>
  </si>
  <si>
    <t>INE138Y01010</t>
  </si>
  <si>
    <t>NELA01</t>
  </si>
  <si>
    <t>Neuland Laboratories Limited</t>
  </si>
  <si>
    <t>INE794A01010</t>
  </si>
  <si>
    <t>KPTL02</t>
  </si>
  <si>
    <t>Kalpataru Projects International Limited</t>
  </si>
  <si>
    <t>INE220B01022</t>
  </si>
  <si>
    <t>BHDY02</t>
  </si>
  <si>
    <t>Bharat Dynamics Limited</t>
  </si>
  <si>
    <t>INE171Z01026</t>
  </si>
  <si>
    <t>BHHX01</t>
  </si>
  <si>
    <t>Bharti Hexacom Limited</t>
  </si>
  <si>
    <t>INE343G01021</t>
  </si>
  <si>
    <t>TCHE01</t>
  </si>
  <si>
    <t>Tata Chemicals Limited</t>
  </si>
  <si>
    <t>INE092A01019</t>
  </si>
  <si>
    <t>MALE02</t>
  </si>
  <si>
    <t>Poonawalla Fincorp Limited</t>
  </si>
  <si>
    <t>INE511C01022</t>
  </si>
  <si>
    <t>JBCH03</t>
  </si>
  <si>
    <t>JB Chemicals &amp; Pharmaceuticals Limited</t>
  </si>
  <si>
    <t>INE572A01036</t>
  </si>
  <si>
    <t>MCEL03</t>
  </si>
  <si>
    <t>The Ramco Cements Limited</t>
  </si>
  <si>
    <t>INE331A01037</t>
  </si>
  <si>
    <t>BAND01</t>
  </si>
  <si>
    <t>Bandhan Bank Limited</t>
  </si>
  <si>
    <t>INE545U01014</t>
  </si>
  <si>
    <t>RLPL01</t>
  </si>
  <si>
    <t>Reliance Power Limited</t>
  </si>
  <si>
    <t>INE614G01033</t>
  </si>
  <si>
    <t>UBBL02</t>
  </si>
  <si>
    <t>United Breweries Limited</t>
  </si>
  <si>
    <t>INE686F01025</t>
  </si>
  <si>
    <t>BOCL01</t>
  </si>
  <si>
    <t>Linde India Limited</t>
  </si>
  <si>
    <t>INE473A01011</t>
  </si>
  <si>
    <t>AIEL02</t>
  </si>
  <si>
    <t>AIA Engineering Limited</t>
  </si>
  <si>
    <t>INE212H01026</t>
  </si>
  <si>
    <t>WGSR02</t>
  </si>
  <si>
    <t>Welspun Corp Limited</t>
  </si>
  <si>
    <t>INE191B01025</t>
  </si>
  <si>
    <t>ESCO01</t>
  </si>
  <si>
    <t>Escorts Kubota Limited</t>
  </si>
  <si>
    <t>INE042A01014</t>
  </si>
  <si>
    <t>THER02</t>
  </si>
  <si>
    <t>Thermax Limited</t>
  </si>
  <si>
    <t>INE152A01029</t>
  </si>
  <si>
    <t>AMRA03</t>
  </si>
  <si>
    <t>Amara Raja Energy &amp; Mobility Ltd</t>
  </si>
  <si>
    <t>INE885A01032</t>
  </si>
  <si>
    <t>IINF02</t>
  </si>
  <si>
    <t>IIFL Finance Limited</t>
  </si>
  <si>
    <t>INE530B01024</t>
  </si>
  <si>
    <t>AUTH02</t>
  </si>
  <si>
    <t>Authum Investment And Infrastructure Limited</t>
  </si>
  <si>
    <t>INE206F01022</t>
  </si>
  <si>
    <t>PREE01</t>
  </si>
  <si>
    <t>Premier Energies Limited</t>
  </si>
  <si>
    <t>INE0BS701011</t>
  </si>
  <si>
    <t>SYNI01</t>
  </si>
  <si>
    <t>Syngene International Limited</t>
  </si>
  <si>
    <t>INE398R01022</t>
  </si>
  <si>
    <t>PPHA01</t>
  </si>
  <si>
    <t>Piramal Pharma Limited</t>
  </si>
  <si>
    <t>INE0DK501011</t>
  </si>
  <si>
    <t>GODF02</t>
  </si>
  <si>
    <t>Godfrey Phillips India Limited</t>
  </si>
  <si>
    <t>INE260B01028</t>
  </si>
  <si>
    <t>Cigarettes &amp; Tobacco Products</t>
  </si>
  <si>
    <t>AFFI02</t>
  </si>
  <si>
    <t>Affle 3i Limited</t>
  </si>
  <si>
    <t>INE00WC01027</t>
  </si>
  <si>
    <t>IT - Services</t>
  </si>
  <si>
    <t>FSBF02</t>
  </si>
  <si>
    <t>Five Star Business Finance Limited</t>
  </si>
  <si>
    <t>INE128S01021</t>
  </si>
  <si>
    <t>NBCC03</t>
  </si>
  <si>
    <t>NBCC (India) Limited</t>
  </si>
  <si>
    <t>INE095N01031</t>
  </si>
  <si>
    <t>IREA01</t>
  </si>
  <si>
    <t>Indian Renewable Energy Development Agency Limited</t>
  </si>
  <si>
    <t>INE202E01016</t>
  </si>
  <si>
    <t>MSUW01</t>
  </si>
  <si>
    <t>Motherson Sumi Wiring India Limited</t>
  </si>
  <si>
    <t>INE0FS801015</t>
  </si>
  <si>
    <t>CRED02</t>
  </si>
  <si>
    <t>CRISIL Limited</t>
  </si>
  <si>
    <t>INE007A01025</t>
  </si>
  <si>
    <t>PROG01</t>
  </si>
  <si>
    <t>Procter &amp; Gamble Hygiene and Health Care Limited</t>
  </si>
  <si>
    <t>INE179A01014</t>
  </si>
  <si>
    <t>HURD01</t>
  </si>
  <si>
    <t>Housing &amp; Urban Development Corporation Limited</t>
  </si>
  <si>
    <t>INE031A01017</t>
  </si>
  <si>
    <t>NAHR01</t>
  </si>
  <si>
    <t>Narayana Hrudayalaya Limited</t>
  </si>
  <si>
    <t>INE410P01011</t>
  </si>
  <si>
    <t>DENI02</t>
  </si>
  <si>
    <t>Deepak Nitrite Limited</t>
  </si>
  <si>
    <t>INE288B01029</t>
  </si>
  <si>
    <t>ACCL02</t>
  </si>
  <si>
    <t>ACC Limited</t>
  </si>
  <si>
    <t>INE012A01025</t>
  </si>
  <si>
    <t>KPRM03</t>
  </si>
  <si>
    <t>K.P.R. Mill Limited</t>
  </si>
  <si>
    <t>INE930H01031</t>
  </si>
  <si>
    <t>DLPL01</t>
  </si>
  <si>
    <t>Dr. Lal Path Labs Limited</t>
  </si>
  <si>
    <t>INE600L01024</t>
  </si>
  <si>
    <t>GICI01</t>
  </si>
  <si>
    <t>General Insurance Corporation of India</t>
  </si>
  <si>
    <t>INE481Y01014</t>
  </si>
  <si>
    <t>ARWL01</t>
  </si>
  <si>
    <t>Anand Rathi Wealth Limited</t>
  </si>
  <si>
    <t>INE463V01026</t>
  </si>
  <si>
    <t>LTTS01</t>
  </si>
  <si>
    <t>L&amp;T Technology Services Limited</t>
  </si>
  <si>
    <t>INE010V01017</t>
  </si>
  <si>
    <t>CALC03</t>
  </si>
  <si>
    <t>CESC Limited</t>
  </si>
  <si>
    <t>INE486A01021</t>
  </si>
  <si>
    <t>HNPS02</t>
  </si>
  <si>
    <t>HBL Engineering Limited</t>
  </si>
  <si>
    <t>INE292B01021</t>
  </si>
  <si>
    <t>ICON01</t>
  </si>
  <si>
    <t>Firstsource Solutions Limited</t>
  </si>
  <si>
    <t>INE684F01012</t>
  </si>
  <si>
    <t>HIMC02</t>
  </si>
  <si>
    <t>Himadri Speciality Chemical Limited</t>
  </si>
  <si>
    <t>INE019C01026</t>
  </si>
  <si>
    <t>TIIN01</t>
  </si>
  <si>
    <t>Timken India Limited</t>
  </si>
  <si>
    <t>INE325A01013</t>
  </si>
  <si>
    <t>HICO02</t>
  </si>
  <si>
    <t>Hindustan Copper Limited</t>
  </si>
  <si>
    <t>INE531E01026</t>
  </si>
  <si>
    <t>GHPL01</t>
  </si>
  <si>
    <t>Global Health Limited</t>
  </si>
  <si>
    <t>INE474Q01031</t>
  </si>
  <si>
    <t>EIDP03</t>
  </si>
  <si>
    <t>EID Parry India Limited</t>
  </si>
  <si>
    <t>INE126A01031</t>
  </si>
  <si>
    <t>GREA03</t>
  </si>
  <si>
    <t>The Great Eastern Shipping Company Limited</t>
  </si>
  <si>
    <t>INE017A01032</t>
  </si>
  <si>
    <t>GLAX01</t>
  </si>
  <si>
    <t>GlaxoSmithKline Pharmaceuticals Limited</t>
  </si>
  <si>
    <t>INE159A01016</t>
  </si>
  <si>
    <t>TTEC01</t>
  </si>
  <si>
    <t>Tata Technologies Limited</t>
  </si>
  <si>
    <t>INE142M01025</t>
  </si>
  <si>
    <t>ELGI02</t>
  </si>
  <si>
    <t>Elgi Equipments Limited</t>
  </si>
  <si>
    <t>INE285A01027</t>
  </si>
  <si>
    <t>EDEL01</t>
  </si>
  <si>
    <t>Nuvama Wealth Management Limited</t>
  </si>
  <si>
    <t>INE531F01015</t>
  </si>
  <si>
    <t>WOPA02</t>
  </si>
  <si>
    <t>Wockhardt Limited</t>
  </si>
  <si>
    <t>INE049B01025</t>
  </si>
  <si>
    <t>EMAM02</t>
  </si>
  <si>
    <t>Emami Limited</t>
  </si>
  <si>
    <t>INE548C01032</t>
  </si>
  <si>
    <t>IEEL02</t>
  </si>
  <si>
    <t>Indian Energy Exchange Limited</t>
  </si>
  <si>
    <t>INE022Q01020</t>
  </si>
  <si>
    <t>PTIN01</t>
  </si>
  <si>
    <t>PTC Industries Limited</t>
  </si>
  <si>
    <t>INE596F01018</t>
  </si>
  <si>
    <t>SUFA02</t>
  </si>
  <si>
    <t>Sundram Fasteners Limited</t>
  </si>
  <si>
    <t>INE387A01021</t>
  </si>
  <si>
    <t>IDAL01</t>
  </si>
  <si>
    <t>Intellect Design Arena Limited</t>
  </si>
  <si>
    <t>INE306R01017</t>
  </si>
  <si>
    <t>STHE01</t>
  </si>
  <si>
    <t>Star Health And Allied Insurance Company Limited</t>
  </si>
  <si>
    <t>INE575P01011</t>
  </si>
  <si>
    <t>CARU03</t>
  </si>
  <si>
    <t>Carborundum Universal Limited</t>
  </si>
  <si>
    <t>INE120A01034</t>
  </si>
  <si>
    <t>AJPH03</t>
  </si>
  <si>
    <t>Ajanta Pharma Limited</t>
  </si>
  <si>
    <t>INE031B01049</t>
  </si>
  <si>
    <t>TAIC02</t>
  </si>
  <si>
    <t>Tata Investment Corporation Limited</t>
  </si>
  <si>
    <t>INE672A01026</t>
  </si>
  <si>
    <t>BHFL01</t>
  </si>
  <si>
    <t>Bajaj Housing Finance Limited</t>
  </si>
  <si>
    <t>INE377Y01014</t>
  </si>
  <si>
    <t>ECLE01</t>
  </si>
  <si>
    <t>eClerx Services Limited</t>
  </si>
  <si>
    <t>INE738I01010</t>
  </si>
  <si>
    <t>KACE03</t>
  </si>
  <si>
    <t>Kajaria Ceramics Limited</t>
  </si>
  <si>
    <t>INE217B01036</t>
  </si>
  <si>
    <t>ASAI01</t>
  </si>
  <si>
    <t>Asahi India Glass Limited</t>
  </si>
  <si>
    <t>INE439A01020</t>
  </si>
  <si>
    <t>DEFE01</t>
  </si>
  <si>
    <t>Deepak Fertilizers and Petrochemicals Corporation Limited</t>
  </si>
  <si>
    <t>INE501A01019</t>
  </si>
  <si>
    <t>ENDT01</t>
  </si>
  <si>
    <t>Endurance Technologies Limited</t>
  </si>
  <si>
    <t>INE913H01037</t>
  </si>
  <si>
    <t>INEN02</t>
  </si>
  <si>
    <t>Cyient Limited</t>
  </si>
  <si>
    <t>INE136B01020</t>
  </si>
  <si>
    <t>KEIN02</t>
  </si>
  <si>
    <t>KEC International Limited</t>
  </si>
  <si>
    <t>INE389H01022</t>
  </si>
  <si>
    <t>CENT02</t>
  </si>
  <si>
    <t>Aditya Birla Real Estate Limited</t>
  </si>
  <si>
    <t>INE055A01016</t>
  </si>
  <si>
    <t>Paper, Forest &amp; Jute Products</t>
  </si>
  <si>
    <t>STBL01</t>
  </si>
  <si>
    <t>Onesource Specialty Pharma Limited</t>
  </si>
  <si>
    <t>INE013P01021</t>
  </si>
  <si>
    <t>SUVP01</t>
  </si>
  <si>
    <t>Cohance Lifesciences Limited</t>
  </si>
  <si>
    <t>INE03QK01018</t>
  </si>
  <si>
    <t>NGEL01</t>
  </si>
  <si>
    <t>NTPC Green Energy Limited</t>
  </si>
  <si>
    <t>INE0ONG01011</t>
  </si>
  <si>
    <t>AEGI03</t>
  </si>
  <si>
    <t>Aegis Logistics Limited</t>
  </si>
  <si>
    <t>INE208C01025</t>
  </si>
  <si>
    <t>CAST03</t>
  </si>
  <si>
    <t>Castrol India Limited</t>
  </si>
  <si>
    <t>INE172A01027</t>
  </si>
  <si>
    <t>HFFC02</t>
  </si>
  <si>
    <t>Home First Finance Company India Limited</t>
  </si>
  <si>
    <t>INE481N01025</t>
  </si>
  <si>
    <t>ZEET02</t>
  </si>
  <si>
    <t>Zee Entertainment Enterprises Limited</t>
  </si>
  <si>
    <t>INE256A01028</t>
  </si>
  <si>
    <t>Entertainment</t>
  </si>
  <si>
    <t>ATUL01</t>
  </si>
  <si>
    <t>Atul Limited</t>
  </si>
  <si>
    <t>INE100A01010</t>
  </si>
  <si>
    <t>JSWI01</t>
  </si>
  <si>
    <t>JSW Infrastructure Ltd</t>
  </si>
  <si>
    <t>INE880J01026</t>
  </si>
  <si>
    <t>FUJI02</t>
  </si>
  <si>
    <t>Zensar Technologies Limited</t>
  </si>
  <si>
    <t>INE520A01027</t>
  </si>
  <si>
    <t>NAVB03</t>
  </si>
  <si>
    <t>Nava Limited</t>
  </si>
  <si>
    <t>INE725A01030</t>
  </si>
  <si>
    <t>ADWI01</t>
  </si>
  <si>
    <t>AWL Agri Business Limited</t>
  </si>
  <si>
    <t>INE699H01024</t>
  </si>
  <si>
    <t>SAPH01</t>
  </si>
  <si>
    <t>Sai Life Sciences Limited</t>
  </si>
  <si>
    <t>INE570L01029</t>
  </si>
  <si>
    <t>BOMA01</t>
  </si>
  <si>
    <t>Bank of Maharashtra</t>
  </si>
  <si>
    <t>INE457A01014</t>
  </si>
  <si>
    <t>IRBL02</t>
  </si>
  <si>
    <t>IRB Infrastructure Developers Limited</t>
  </si>
  <si>
    <t>INE821I01022</t>
  </si>
  <si>
    <t>GSPL01</t>
  </si>
  <si>
    <t>Gujarat State Petronet Limited</t>
  </si>
  <si>
    <t>INE246F01010</t>
  </si>
  <si>
    <t>WABT01</t>
  </si>
  <si>
    <t>ZF Commercial Vehicle Control Systems India Limited</t>
  </si>
  <si>
    <t>INE342J01019</t>
  </si>
  <si>
    <t>ANRA02</t>
  </si>
  <si>
    <t>Anant Raj Limited</t>
  </si>
  <si>
    <t>INE242C01024</t>
  </si>
  <si>
    <t>KELV01</t>
  </si>
  <si>
    <t>Whirlpool of India Limited</t>
  </si>
  <si>
    <t>INE716A01013</t>
  </si>
  <si>
    <t>JHPL01</t>
  </si>
  <si>
    <t>Jaiprakash Power Ventures Limited</t>
  </si>
  <si>
    <t>INE351F01018</t>
  </si>
  <si>
    <t>PVRL01</t>
  </si>
  <si>
    <t>PVR INOX Limited</t>
  </si>
  <si>
    <t>INE191H01014</t>
  </si>
  <si>
    <t>APLI04</t>
  </si>
  <si>
    <t>Hexaware Technologies Limited</t>
  </si>
  <si>
    <t>INE093A01041</t>
  </si>
  <si>
    <t>CEAT02</t>
  </si>
  <si>
    <t>CEAT Limited</t>
  </si>
  <si>
    <t>INE482A01020</t>
  </si>
  <si>
    <t>ERIS01</t>
  </si>
  <si>
    <t>Eris Lifesciences Limited</t>
  </si>
  <si>
    <t>INE406M01024</t>
  </si>
  <si>
    <t>NAYV01</t>
  </si>
  <si>
    <t>NLC India Limited</t>
  </si>
  <si>
    <t>INE589A01014</t>
  </si>
  <si>
    <t>AVHF01</t>
  </si>
  <si>
    <t>Aptus Value Housing Finance India Limited</t>
  </si>
  <si>
    <t>INE852O01025</t>
  </si>
  <si>
    <t>VORC03</t>
  </si>
  <si>
    <t>Jubilant Pharmova Limited</t>
  </si>
  <si>
    <t>INE700A01033</t>
  </si>
  <si>
    <t>BHAE01</t>
  </si>
  <si>
    <t>BEML Limited</t>
  </si>
  <si>
    <t>INE258A01016</t>
  </si>
  <si>
    <t>KENI01</t>
  </si>
  <si>
    <t>Kirloskar Oil Engines Limited</t>
  </si>
  <si>
    <t>INE146L01010</t>
  </si>
  <si>
    <t>PGEL02</t>
  </si>
  <si>
    <t>PG Electroplast Limited</t>
  </si>
  <si>
    <t>INE457L01029</t>
  </si>
  <si>
    <t>GRAN02</t>
  </si>
  <si>
    <t>Granules India Limited</t>
  </si>
  <si>
    <t>INE101D01020</t>
  </si>
  <si>
    <t>LTHL01</t>
  </si>
  <si>
    <t>Lemon Tree Hotels Limited</t>
  </si>
  <si>
    <t>INE970X01018</t>
  </si>
  <si>
    <t>BAJT01</t>
  </si>
  <si>
    <t>Force Motors Limited</t>
  </si>
  <si>
    <t>INE451A01017</t>
  </si>
  <si>
    <t>PFIZ01</t>
  </si>
  <si>
    <t>Pfizer Limited</t>
  </si>
  <si>
    <t>INE182A01018</t>
  </si>
  <si>
    <t>UBEL03</t>
  </si>
  <si>
    <t>Usha Martin Limited</t>
  </si>
  <si>
    <t>INE228A01035</t>
  </si>
  <si>
    <t>GODI01</t>
  </si>
  <si>
    <t>Go Digit General Insurance Limited</t>
  </si>
  <si>
    <t>INE03JT01014</t>
  </si>
  <si>
    <t>TAHO01</t>
  </si>
  <si>
    <t>Honeywell Automation India Limited</t>
  </si>
  <si>
    <t>INE671A01010</t>
  </si>
  <si>
    <t>NAGF02</t>
  </si>
  <si>
    <t>NCC Limited</t>
  </si>
  <si>
    <t>INE868B01028</t>
  </si>
  <si>
    <t>SAGI01</t>
  </si>
  <si>
    <t>Sagility India Limited</t>
  </si>
  <si>
    <t>INE0W2G01015</t>
  </si>
  <si>
    <t>MASC01</t>
  </si>
  <si>
    <t>Maharashtra Scooters Limited</t>
  </si>
  <si>
    <t>INE288A01013</t>
  </si>
  <si>
    <t>AARI02</t>
  </si>
  <si>
    <t>Aarti Industries Limited</t>
  </si>
  <si>
    <t>INE769A01020</t>
  </si>
  <si>
    <t>MOMF03</t>
  </si>
  <si>
    <t>Capri Global Capital Limited</t>
  </si>
  <si>
    <t>INE180C01042</t>
  </si>
  <si>
    <t>POME02</t>
  </si>
  <si>
    <t>Poly Medicure Limited</t>
  </si>
  <si>
    <t>INE205C01021</t>
  </si>
  <si>
    <t>Healthcare Equipment &amp; Supplies</t>
  </si>
  <si>
    <t>BIRM01</t>
  </si>
  <si>
    <t>3M India Limited</t>
  </si>
  <si>
    <t>INE470A01017</t>
  </si>
  <si>
    <t>Diversified</t>
  </si>
  <si>
    <t>GRAM01</t>
  </si>
  <si>
    <t>CreditAccess Grameen Limited</t>
  </si>
  <si>
    <t>INE741K01010</t>
  </si>
  <si>
    <t>INKN01</t>
  </si>
  <si>
    <t>Inventurus Knowledge Solutions Limited</t>
  </si>
  <si>
    <t>INE115Q01022</t>
  </si>
  <si>
    <t>CRAF01</t>
  </si>
  <si>
    <t>Craftsman Automation Limited</t>
  </si>
  <si>
    <t>INE00LO01017</t>
  </si>
  <si>
    <t>GRSE01</t>
  </si>
  <si>
    <t>Garden Reach Shipbuilders &amp; Engineers Limited</t>
  </si>
  <si>
    <t>INE382Z01011</t>
  </si>
  <si>
    <t>IMIN01</t>
  </si>
  <si>
    <t>Indiamart Intermesh Limited</t>
  </si>
  <si>
    <t>INE933S01016</t>
  </si>
  <si>
    <t>ISHA01</t>
  </si>
  <si>
    <t>Gillette India Limited</t>
  </si>
  <si>
    <t>INE322A01010</t>
  </si>
  <si>
    <t>EASI02</t>
  </si>
  <si>
    <t>EIH Limited</t>
  </si>
  <si>
    <t>INE230A01023</t>
  </si>
  <si>
    <t>AENP01</t>
  </si>
  <si>
    <t>Ather Energy Limited</t>
  </si>
  <si>
    <t>INE0LEZ01016</t>
  </si>
  <si>
    <t>JYCN01</t>
  </si>
  <si>
    <t>Jyoti CNC Automation Ltd</t>
  </si>
  <si>
    <t>INE980O01024</t>
  </si>
  <si>
    <t>DPIL01</t>
  </si>
  <si>
    <t>Data Patterns (India) Limited</t>
  </si>
  <si>
    <t>INE0IX101010</t>
  </si>
  <si>
    <t>MAGL01</t>
  </si>
  <si>
    <t>Mahanagar Gas Limited</t>
  </si>
  <si>
    <t>INE002S01010</t>
  </si>
  <si>
    <t>CHAM01</t>
  </si>
  <si>
    <t>Chambal Fertilizers &amp; Chemicals Limited</t>
  </si>
  <si>
    <t>INE085A01013</t>
  </si>
  <si>
    <t>SOSO03</t>
  </si>
  <si>
    <t>Sonata Software Limited</t>
  </si>
  <si>
    <t>INE269A01021</t>
  </si>
  <si>
    <t>BBEE01</t>
  </si>
  <si>
    <t>Brainbees Solutions Ltd</t>
  </si>
  <si>
    <t>INE02RE01045</t>
  </si>
  <si>
    <t>TGWL02</t>
  </si>
  <si>
    <t>Titagarh Rail Systems Limited</t>
  </si>
  <si>
    <t>INE615H01020</t>
  </si>
  <si>
    <t>GGLT02</t>
  </si>
  <si>
    <t>Gujarat Gas Limited</t>
  </si>
  <si>
    <t>INE844O01030</t>
  </si>
  <si>
    <t>GPIS03</t>
  </si>
  <si>
    <t>Godawari Power And Ispat limited</t>
  </si>
  <si>
    <t>INE177H01039</t>
  </si>
  <si>
    <t>BATA02</t>
  </si>
  <si>
    <t>Bata India Limited</t>
  </si>
  <si>
    <t>INE176A01028</t>
  </si>
  <si>
    <t>RACM01</t>
  </si>
  <si>
    <t>Rainbow Childrens Medicare Limited</t>
  </si>
  <si>
    <t>INE961O01016</t>
  </si>
  <si>
    <t>HIMF02</t>
  </si>
  <si>
    <t>HFCL Limited</t>
  </si>
  <si>
    <t>INE548A01028</t>
  </si>
  <si>
    <t>SAPF02</t>
  </si>
  <si>
    <t>Sapphire Foods India Limited</t>
  </si>
  <si>
    <t>INE806T01020</t>
  </si>
  <si>
    <t>CHAL01</t>
  </si>
  <si>
    <t>Chalet Hotels Limited</t>
  </si>
  <si>
    <t>INE427F01016</t>
  </si>
  <si>
    <t>NETW01</t>
  </si>
  <si>
    <t>Netweb Technologies India Limited</t>
  </si>
  <si>
    <t>INE0NT901020</t>
  </si>
  <si>
    <t>NAPH02</t>
  </si>
  <si>
    <t>Natco Pharma Limited</t>
  </si>
  <si>
    <t>INE987B01026</t>
  </si>
  <si>
    <t>DEVY01</t>
  </si>
  <si>
    <t>Devyani International Limited</t>
  </si>
  <si>
    <t>INE872J01023</t>
  </si>
  <si>
    <t>SIMW01</t>
  </si>
  <si>
    <t>Techno Electric &amp; Engineering Company Limited</t>
  </si>
  <si>
    <t>INE285K01026</t>
  </si>
  <si>
    <t>CANH02</t>
  </si>
  <si>
    <t>Can Fin Homes Limited</t>
  </si>
  <si>
    <t>INE477A01020</t>
  </si>
  <si>
    <t>PCBL03</t>
  </si>
  <si>
    <t>PCBL Chemical Limited</t>
  </si>
  <si>
    <t>INE602A01031</t>
  </si>
  <si>
    <t>AFCI01</t>
  </si>
  <si>
    <t>Afcons Infrastructure Limited</t>
  </si>
  <si>
    <t>INE101I01011</t>
  </si>
  <si>
    <t>AUHF01</t>
  </si>
  <si>
    <t>Aavas Financiers Limited</t>
  </si>
  <si>
    <t>INE216P01012</t>
  </si>
  <si>
    <t>SJVN01</t>
  </si>
  <si>
    <t>SJVN Limited</t>
  </si>
  <si>
    <t>INE002L01015</t>
  </si>
  <si>
    <t>SODL01</t>
  </si>
  <si>
    <t>Sobha Limited</t>
  </si>
  <si>
    <t>INE671H01015</t>
  </si>
  <si>
    <t>SKFI01</t>
  </si>
  <si>
    <t>INE2J8701016</t>
  </si>
  <si>
    <t>BAYE02</t>
  </si>
  <si>
    <t>Bayer Cropscience Limited</t>
  </si>
  <si>
    <t>INE462A01022</t>
  </si>
  <si>
    <t>TRTL01</t>
  </si>
  <si>
    <t>Triveni Turbine Limited</t>
  </si>
  <si>
    <t>INE152M01016</t>
  </si>
  <si>
    <t>KPIT03</t>
  </si>
  <si>
    <t>Birlasoft Limited</t>
  </si>
  <si>
    <t>INE836A01035</t>
  </si>
  <si>
    <t>SYRM01</t>
  </si>
  <si>
    <t>Syrma SGS Technology Limited</t>
  </si>
  <si>
    <t>INE0DYJ01015</t>
  </si>
  <si>
    <t>CINT01</t>
  </si>
  <si>
    <t>Choice International Limited</t>
  </si>
  <si>
    <t>INE102B01014</t>
  </si>
  <si>
    <t>ZENT02</t>
  </si>
  <si>
    <t>Zen Technologies Limited</t>
  </si>
  <si>
    <t>INE251B01027</t>
  </si>
  <si>
    <t>NSTL01</t>
  </si>
  <si>
    <t>Newgen Software Technologies Limited</t>
  </si>
  <si>
    <t>INE619B01017</t>
  </si>
  <si>
    <t>BSES01</t>
  </si>
  <si>
    <t>Reliance Infrastructure Limited</t>
  </si>
  <si>
    <t>INE036A01016</t>
  </si>
  <si>
    <t>FINO02</t>
  </si>
  <si>
    <t>Finolex Cables Limited</t>
  </si>
  <si>
    <t>INE235A01022</t>
  </si>
  <si>
    <t>VGIL02</t>
  </si>
  <si>
    <t>V-Guard Industries Limited</t>
  </si>
  <si>
    <t>INE951I01027</t>
  </si>
  <si>
    <t>JMFL02</t>
  </si>
  <si>
    <t>JM Financial Limited</t>
  </si>
  <si>
    <t>INE780C01023</t>
  </si>
  <si>
    <t>ADBL01</t>
  </si>
  <si>
    <t>Aditya Birla Lifestyle Brands Limited</t>
  </si>
  <si>
    <t>INE14LE01019</t>
  </si>
  <si>
    <t>SWAN03</t>
  </si>
  <si>
    <t>Swan Corp Limited</t>
  </si>
  <si>
    <t>INE665A01038</t>
  </si>
  <si>
    <t>JKIL04</t>
  </si>
  <si>
    <t>JK Tyre &amp; Industries Limited</t>
  </si>
  <si>
    <t>INE573A01042</t>
  </si>
  <si>
    <t>JUIL01</t>
  </si>
  <si>
    <t>Jubilant Ingrevia Limited</t>
  </si>
  <si>
    <t>INE0BY001018</t>
  </si>
  <si>
    <t>RAFO02</t>
  </si>
  <si>
    <t>Ramkrishna Forgings Limited</t>
  </si>
  <si>
    <t>INE399G01023</t>
  </si>
  <si>
    <t>SUMI01</t>
  </si>
  <si>
    <t>Sumitomo Chemical India Limited</t>
  </si>
  <si>
    <t>INE258G01013</t>
  </si>
  <si>
    <t>GOTS01</t>
  </si>
  <si>
    <t>Olectra Greentech Limited</t>
  </si>
  <si>
    <t>INE260D01016</t>
  </si>
  <si>
    <t>DCMC02</t>
  </si>
  <si>
    <t>DCM Shriram Limited</t>
  </si>
  <si>
    <t>INE499A01024</t>
  </si>
  <si>
    <t>SHYA01</t>
  </si>
  <si>
    <t>Shyam Metalics and Energy Limited</t>
  </si>
  <si>
    <t>INE810G01011</t>
  </si>
  <si>
    <t>CPIL02</t>
  </si>
  <si>
    <t>CCL Products (India) Limited</t>
  </si>
  <si>
    <t>INE421D01022</t>
  </si>
  <si>
    <t>GOSL03</t>
  </si>
  <si>
    <t>Godrej Industries Limited</t>
  </si>
  <si>
    <t>INE233A01035</t>
  </si>
  <si>
    <t>ASPH02</t>
  </si>
  <si>
    <t>AstraZeneca Pharma India Limited</t>
  </si>
  <si>
    <t>INE203A01020</t>
  </si>
  <si>
    <t>FECT01</t>
  </si>
  <si>
    <t>Fertilizers and Chemicals Travancore Limited</t>
  </si>
  <si>
    <t>INE188A01015</t>
  </si>
  <si>
    <t>OLAE01</t>
  </si>
  <si>
    <t>Ola Electric Mobility Ltd</t>
  </si>
  <si>
    <t>INE0LXG01040</t>
  </si>
  <si>
    <t>AAHF01</t>
  </si>
  <si>
    <t>Aadhar Housing Finance Limited</t>
  </si>
  <si>
    <t>INE883F01010</t>
  </si>
  <si>
    <t>LTOS02</t>
  </si>
  <si>
    <t>LT Foods Limited</t>
  </si>
  <si>
    <t>INE818H01020</t>
  </si>
  <si>
    <t>BASF01</t>
  </si>
  <si>
    <t>BASF India Limited</t>
  </si>
  <si>
    <t>INE373A01013</t>
  </si>
  <si>
    <t>IDBI01</t>
  </si>
  <si>
    <t>IDBI Bank Limited</t>
  </si>
  <si>
    <t>INE008A01015</t>
  </si>
  <si>
    <t>IRCO02</t>
  </si>
  <si>
    <t>IRCON International Limited</t>
  </si>
  <si>
    <t>INE962Y01021</t>
  </si>
  <si>
    <t>ENGI02</t>
  </si>
  <si>
    <t>Engineers India Limited</t>
  </si>
  <si>
    <t>INE510A01028</t>
  </si>
  <si>
    <t>SKFB02</t>
  </si>
  <si>
    <t>SKF India Limited</t>
  </si>
  <si>
    <t>INE640A01023</t>
  </si>
  <si>
    <t>SUNT02</t>
  </si>
  <si>
    <t>Sun TV Network Limited</t>
  </si>
  <si>
    <t>INE424H01027</t>
  </si>
  <si>
    <t>TBOT01</t>
  </si>
  <si>
    <t>TBO Tek Limited</t>
  </si>
  <si>
    <t>INE673O01025</t>
  </si>
  <si>
    <t>FINI02</t>
  </si>
  <si>
    <t>Finolex Industries Limited</t>
  </si>
  <si>
    <t>INE183A01024</t>
  </si>
  <si>
    <t>KIBO03</t>
  </si>
  <si>
    <t>Kirloskar Brothers Limited</t>
  </si>
  <si>
    <t>INE732A01036</t>
  </si>
  <si>
    <t>BSLM02</t>
  </si>
  <si>
    <t>Aditya Birla Sun Life AMC Limited</t>
  </si>
  <si>
    <t>INE404A01024</t>
  </si>
  <si>
    <t>TARL02</t>
  </si>
  <si>
    <t>Transformers And Rectifiers (India) Limited</t>
  </si>
  <si>
    <t>INE763I01026</t>
  </si>
  <si>
    <t>BALC02</t>
  </si>
  <si>
    <t>Balrampur Chini Mills Limited</t>
  </si>
  <si>
    <t>INE119A01028</t>
  </si>
  <si>
    <t>NIVB01</t>
  </si>
  <si>
    <t>Niva Bupa Health Insurance Company Limited</t>
  </si>
  <si>
    <t>INE995S01015</t>
  </si>
  <si>
    <t>UTIA01</t>
  </si>
  <si>
    <t>UTI Asset Management Company Limited</t>
  </si>
  <si>
    <t>INE094J01016</t>
  </si>
  <si>
    <t>IEPL01</t>
  </si>
  <si>
    <t>Indegene Limited</t>
  </si>
  <si>
    <t>INE065X01017</t>
  </si>
  <si>
    <t>METR01</t>
  </si>
  <si>
    <t>Metropolis Healthcare Limited</t>
  </si>
  <si>
    <t>INE112L01020</t>
  </si>
  <si>
    <t>HEGL02</t>
  </si>
  <si>
    <t>HEG Limited</t>
  </si>
  <si>
    <t>INE545A01024</t>
  </si>
  <si>
    <t>ELCO03</t>
  </si>
  <si>
    <t>Elecon Engineering Company Limited</t>
  </si>
  <si>
    <t>INE205B01031</t>
  </si>
  <si>
    <t>NMST01</t>
  </si>
  <si>
    <t>NMDC Steel Limited</t>
  </si>
  <si>
    <t>INE0NNS01018</t>
  </si>
  <si>
    <t>GMDC02</t>
  </si>
  <si>
    <t>Gujarat Mineral Development Corporation Limited</t>
  </si>
  <si>
    <t>INE131A01031</t>
  </si>
  <si>
    <t>ALPM01</t>
  </si>
  <si>
    <t>Alembic Pharmaceuticals Limited</t>
  </si>
  <si>
    <t>INE901L01018</t>
  </si>
  <si>
    <t>CEBC01</t>
  </si>
  <si>
    <t>Jupiter Wagons Limited</t>
  </si>
  <si>
    <t>INE209L01016</t>
  </si>
  <si>
    <t>RAAL02</t>
  </si>
  <si>
    <t>Sarda Energy &amp; Minerals Limited</t>
  </si>
  <si>
    <t>INE385C01021</t>
  </si>
  <si>
    <t>RRKL01</t>
  </si>
  <si>
    <t>R R Kabel Limited</t>
  </si>
  <si>
    <t>INE777K01022</t>
  </si>
  <si>
    <t>HMTP01</t>
  </si>
  <si>
    <t>Happiest Minds Technologies Limited</t>
  </si>
  <si>
    <t>INE419U01012</t>
  </si>
  <si>
    <t>TEJN01</t>
  </si>
  <si>
    <t>Tejas Networks Limited</t>
  </si>
  <si>
    <t>INE010J01012</t>
  </si>
  <si>
    <t>Telecom - Equipment &amp; Accessories</t>
  </si>
  <si>
    <t>GVIL02</t>
  </si>
  <si>
    <t>Gravita India Limited</t>
  </si>
  <si>
    <t>INE024L01027</t>
  </si>
  <si>
    <t>SADS01</t>
  </si>
  <si>
    <t>Schneider Electric Infrastructure Limited</t>
  </si>
  <si>
    <t>INE839M01018</t>
  </si>
  <si>
    <t>INOB01</t>
  </si>
  <si>
    <t>Indian Overseas Bank</t>
  </si>
  <si>
    <t>INE565A01014</t>
  </si>
  <si>
    <t>DOMS01</t>
  </si>
  <si>
    <t>Doms Industries Limited</t>
  </si>
  <si>
    <t>INE321T01012</t>
  </si>
  <si>
    <t>Household Products</t>
  </si>
  <si>
    <t>CONB01</t>
  </si>
  <si>
    <t>Concord Biotech Limited</t>
  </si>
  <si>
    <t>INE338H01029</t>
  </si>
  <si>
    <t>JKBL02</t>
  </si>
  <si>
    <t>The Jammu &amp; Kashmir Bank Limited</t>
  </si>
  <si>
    <t>INE168A01041</t>
  </si>
  <si>
    <t>MREL01</t>
  </si>
  <si>
    <t>Chennai Petroleum Corporation Limited</t>
  </si>
  <si>
    <t>INE178A01016</t>
  </si>
  <si>
    <t>VIDI01</t>
  </si>
  <si>
    <t>Vijaya Diagnostic Centre Limited</t>
  </si>
  <si>
    <t>INE043W01024</t>
  </si>
  <si>
    <t>TNIA01</t>
  </si>
  <si>
    <t>The New India Assurance Company Limited</t>
  </si>
  <si>
    <t>INE470Y01017</t>
  </si>
  <si>
    <t>BIKA02</t>
  </si>
  <si>
    <t>BIKAJI FOODS INTERNATIONAL LIMITED</t>
  </si>
  <si>
    <t>INE00E101023</t>
  </si>
  <si>
    <t>CEPL02</t>
  </si>
  <si>
    <t>Century Plyboards (India) Limited</t>
  </si>
  <si>
    <t>INE348B01021</t>
  </si>
  <si>
    <t>MINC01</t>
  </si>
  <si>
    <t>Minda Corporation Limited</t>
  </si>
  <si>
    <t>INE842C01021</t>
  </si>
  <si>
    <t>WELS02</t>
  </si>
  <si>
    <t>Welspun Living Limited</t>
  </si>
  <si>
    <t>INE192B01031</t>
  </si>
  <si>
    <t>MASP02</t>
  </si>
  <si>
    <t>Vardhman Textiles Limited</t>
  </si>
  <si>
    <t>INE825A01020</t>
  </si>
  <si>
    <t>NCCL01</t>
  </si>
  <si>
    <t>Nuvoco Vistas Corporation Limited</t>
  </si>
  <si>
    <t>INE118D01016</t>
  </si>
  <si>
    <t>ACEQ02</t>
  </si>
  <si>
    <t>Action Construction Equipment Limited</t>
  </si>
  <si>
    <t>INE731H01025</t>
  </si>
  <si>
    <t>SAWP03</t>
  </si>
  <si>
    <t>Jindal Saw Limited</t>
  </si>
  <si>
    <t>INE324A01032</t>
  </si>
  <si>
    <t>SBFC01</t>
  </si>
  <si>
    <t>SBFC Finance Limited</t>
  </si>
  <si>
    <t>INE423Y01016</t>
  </si>
  <si>
    <t>KSPL02</t>
  </si>
  <si>
    <t>KSB Limited</t>
  </si>
  <si>
    <t>INE999A01023</t>
  </si>
  <si>
    <t>JYLL02</t>
  </si>
  <si>
    <t>Jyothy Labs Limited</t>
  </si>
  <si>
    <t>INE668F01031</t>
  </si>
  <si>
    <t>PEFR01</t>
  </si>
  <si>
    <t>Aditya Birla Fashion and Retail Limited</t>
  </si>
  <si>
    <t>INE647O01011</t>
  </si>
  <si>
    <t>UCOB01</t>
  </si>
  <si>
    <t>UCO Bank</t>
  </si>
  <si>
    <t>INE691A01018</t>
  </si>
  <si>
    <t>SHIP01</t>
  </si>
  <si>
    <t>Shipping Corporation Of India Limited</t>
  </si>
  <si>
    <t>INE109A01011</t>
  </si>
  <si>
    <t>DRAH01</t>
  </si>
  <si>
    <t>Dr Agarwals Health Care Limited</t>
  </si>
  <si>
    <t>INE943P01029</t>
  </si>
  <si>
    <t>PRAJ02</t>
  </si>
  <si>
    <t>Praj Industries Limited</t>
  </si>
  <si>
    <t>INE074A01025</t>
  </si>
  <si>
    <t>CTBA01</t>
  </si>
  <si>
    <t>Central Bank of India</t>
  </si>
  <si>
    <t>INE483A01010</t>
  </si>
  <si>
    <t>IFCI01</t>
  </si>
  <si>
    <t>IFCI Limited</t>
  </si>
  <si>
    <t>INE039A01010</t>
  </si>
  <si>
    <t>CARB02</t>
  </si>
  <si>
    <t>Graphite India Limited</t>
  </si>
  <si>
    <t>INE371A01025</t>
  </si>
  <si>
    <t>CAPP02</t>
  </si>
  <si>
    <t>Caplin Point Laboratories Limited</t>
  </si>
  <si>
    <t>INE475E01026</t>
  </si>
  <si>
    <t>SGPL02</t>
  </si>
  <si>
    <t>SignatureGlobal (India) Limited</t>
  </si>
  <si>
    <t>INE903U01023</t>
  </si>
  <si>
    <t>HONA01</t>
  </si>
  <si>
    <t>Honasa Consumer Limited</t>
  </si>
  <si>
    <t>INE0J5401028</t>
  </si>
  <si>
    <t>VEDF01</t>
  </si>
  <si>
    <t>Vedant Fashions Limited</t>
  </si>
  <si>
    <t>INE825V01034</t>
  </si>
  <si>
    <t>BLDA01</t>
  </si>
  <si>
    <t>Blue Dart Express Limited</t>
  </si>
  <si>
    <t>INE233B01017</t>
  </si>
  <si>
    <t>IGIP02</t>
  </si>
  <si>
    <t>International Gemmological Institute India Ltd</t>
  </si>
  <si>
    <t>INE0Q9301021</t>
  </si>
  <si>
    <t>DBRL01</t>
  </si>
  <si>
    <t>Valor Estate Limited</t>
  </si>
  <si>
    <t>INE879I01012</t>
  </si>
  <si>
    <t>BLSS01</t>
  </si>
  <si>
    <t>BLS International Services Limited</t>
  </si>
  <si>
    <t>INE153T01027</t>
  </si>
  <si>
    <t>CERA01</t>
  </si>
  <si>
    <t>Cera Sanitaryware Limited</t>
  </si>
  <si>
    <t>INE739E01017</t>
  </si>
  <si>
    <t>ABIL02</t>
  </si>
  <si>
    <t>Trident Limited</t>
  </si>
  <si>
    <t>INE064C01022</t>
  </si>
  <si>
    <t>GRCO02</t>
  </si>
  <si>
    <t>Saregama India Limited</t>
  </si>
  <si>
    <t>INE979A01025</t>
  </si>
  <si>
    <t>BOBU02</t>
  </si>
  <si>
    <t>Bombay Burmah Trading Corporation Limited</t>
  </si>
  <si>
    <t>INE050A01025</t>
  </si>
  <si>
    <t>RILI01</t>
  </si>
  <si>
    <t>RITES Limited</t>
  </si>
  <si>
    <t>INE320J01015</t>
  </si>
  <si>
    <t>AEVO01</t>
  </si>
  <si>
    <t>Aegis Vopak Terminals Limited</t>
  </si>
  <si>
    <t>INE0INX01018</t>
  </si>
  <si>
    <t>RAIT01</t>
  </si>
  <si>
    <t>RailTel Corporation of India Limited</t>
  </si>
  <si>
    <t>INE0DD101019</t>
  </si>
  <si>
    <t>ACSO01</t>
  </si>
  <si>
    <t>Acme Solar Holdings Ltd</t>
  </si>
  <si>
    <t>INE622W01025</t>
  </si>
  <si>
    <t>ICII01</t>
  </si>
  <si>
    <t>Akzo Nobel India Limited</t>
  </si>
  <si>
    <t>INE133A01011</t>
  </si>
  <si>
    <t>LATE01</t>
  </si>
  <si>
    <t>Latent View Analytics Limited</t>
  </si>
  <si>
    <t>INE0I7C01011</t>
  </si>
  <si>
    <t>GOAG01</t>
  </si>
  <si>
    <t>Godrej Agrovet Limited</t>
  </si>
  <si>
    <t>INE850D01014</t>
  </si>
  <si>
    <t>SCLB01</t>
  </si>
  <si>
    <t>Leela Palaces Hotels &amp; Resorts Limited</t>
  </si>
  <si>
    <t>INE0AQ201015</t>
  </si>
  <si>
    <t>TREN01</t>
  </si>
  <si>
    <t>Triveni Engineering &amp; Industries Limited</t>
  </si>
  <si>
    <t>INE256C01024</t>
  </si>
  <si>
    <t>INOI01</t>
  </si>
  <si>
    <t>Inox India Limited</t>
  </si>
  <si>
    <t>INE616N01034</t>
  </si>
  <si>
    <t>ITIL01</t>
  </si>
  <si>
    <t>ITI Limited</t>
  </si>
  <si>
    <t>INE248A01017</t>
  </si>
  <si>
    <t>MARE01</t>
  </si>
  <si>
    <t>Mangalore Refinery and Petrochemicals Limited</t>
  </si>
  <si>
    <t>INE103A01014</t>
  </si>
  <si>
    <t>ORRE01</t>
  </si>
  <si>
    <t>RHI Magnesita India Limited</t>
  </si>
  <si>
    <t>INE743M01012</t>
  </si>
  <si>
    <t>EMPH02</t>
  </si>
  <si>
    <t>Emcure Pharmaceuticals Limited</t>
  </si>
  <si>
    <t>INE168P01015</t>
  </si>
  <si>
    <t>HUTE01</t>
  </si>
  <si>
    <t>Tata Teleservices (Maharashtra) Limited</t>
  </si>
  <si>
    <t>INE517B01013</t>
  </si>
  <si>
    <t>PESL04</t>
  </si>
  <si>
    <t>JBM Auto Limited</t>
  </si>
  <si>
    <t>INE927D01051</t>
  </si>
  <si>
    <t>BLJH01</t>
  </si>
  <si>
    <t>Blue Jet Healthcare Ltd</t>
  </si>
  <si>
    <t>INE0KBH01020</t>
  </si>
  <si>
    <t>AACL03</t>
  </si>
  <si>
    <t>Alkyl Amines Chemicals Limited</t>
  </si>
  <si>
    <t>INE150B01039</t>
  </si>
  <si>
    <t>CEIS01</t>
  </si>
  <si>
    <t>C.E. Info Systems Limited</t>
  </si>
  <si>
    <t>INE0BV301023</t>
  </si>
  <si>
    <t>MHSE02</t>
  </si>
  <si>
    <t>Maharashtra Seamless Limited</t>
  </si>
  <si>
    <t>INE271B01025</t>
  </si>
  <si>
    <t>VEHO01</t>
  </si>
  <si>
    <t>Ventive Hospitality Limited</t>
  </si>
  <si>
    <t>INE781S01027</t>
  </si>
  <si>
    <t>CAMP01</t>
  </si>
  <si>
    <t>Campus Activewear Limited</t>
  </si>
  <si>
    <t>INE278Y01022</t>
  </si>
  <si>
    <t>CSTL01</t>
  </si>
  <si>
    <t>Clean Science and Technology Limited</t>
  </si>
  <si>
    <t>INE227W01023</t>
  </si>
  <si>
    <t>ALOK03</t>
  </si>
  <si>
    <t>Alok Industries Limited</t>
  </si>
  <si>
    <t>INE270A01029</t>
  </si>
  <si>
    <t>ICEM01</t>
  </si>
  <si>
    <t>The India Cements Limited</t>
  </si>
  <si>
    <t>INE383A01012</t>
  </si>
  <si>
    <t>RCFL01</t>
  </si>
  <si>
    <t>Rashtriya Chemicals and Fertilizers Limited</t>
  </si>
  <si>
    <t>INE027A01015</t>
  </si>
  <si>
    <t>AKDP01</t>
  </si>
  <si>
    <t>Akums Drugs and Pharmaceuticals Limited</t>
  </si>
  <si>
    <t>INE09XN01023</t>
  </si>
  <si>
    <t>MTCT02</t>
  </si>
  <si>
    <t>MMTC Limited</t>
  </si>
  <si>
    <t>INE123F01029</t>
  </si>
  <si>
    <t>$0.00%</t>
  </si>
  <si>
    <t>ADVE01</t>
  </si>
  <si>
    <t>INE28GN01010</t>
  </si>
  <si>
    <t>(b) Unlisted</t>
  </si>
  <si>
    <t>(c) Preference shares</t>
  </si>
  <si>
    <t>SAEL21PS</t>
  </si>
  <si>
    <t>INE494B04019</t>
  </si>
  <si>
    <t xml:space="preserve">$  Less Than 0.01% of Net Asset Value </t>
  </si>
  <si>
    <t>Benchmark Name - NIFTY 500 TRI</t>
  </si>
  <si>
    <t>Others</t>
  </si>
  <si>
    <t>Mutual Fund Units</t>
  </si>
  <si>
    <t>141588</t>
  </si>
  <si>
    <t>Axis Corporate Bond Fund - Direct Plan Growth</t>
  </si>
  <si>
    <t>INF846K01ZM8</t>
  </si>
  <si>
    <t>130773</t>
  </si>
  <si>
    <t>Axis Arbitrage Fund Direct Plan Growth</t>
  </si>
  <si>
    <t>INF846K01PZ1</t>
  </si>
  <si>
    <t>118814</t>
  </si>
  <si>
    <t>Nippon India Corporate Bond Fund - Direct Plan-Growth Plan</t>
  </si>
  <si>
    <t>INF204K01C15</t>
  </si>
  <si>
    <t>119771</t>
  </si>
  <si>
    <t>Kotak Arbitrage Fund - Growth - Direct</t>
  </si>
  <si>
    <t>INF174K01LC6</t>
  </si>
  <si>
    <t>119526</t>
  </si>
  <si>
    <t>Aditya Birla Sun Life Arbitrage Fund - Growth - Direct Plan</t>
  </si>
  <si>
    <t>INF209K01VP1</t>
  </si>
  <si>
    <t>119533</t>
  </si>
  <si>
    <t>Aditya Birla SL Corp Bond Fund(G)-Direct Plan</t>
  </si>
  <si>
    <t>INF209K01S38</t>
  </si>
  <si>
    <t>Benchmark Name - 65% NIFTY COMPOSITE DEBT INDEX +35% NIFTY 50 ARBITRAGE TRI</t>
  </si>
  <si>
    <t>AETH01</t>
  </si>
  <si>
    <t>Aether Industries Limited</t>
  </si>
  <si>
    <t>INE0BWX01014</t>
  </si>
  <si>
    <t>SUCH02</t>
  </si>
  <si>
    <t>Sudarshan Chemical Industries Limited</t>
  </si>
  <si>
    <t>INE659A01023</t>
  </si>
  <si>
    <t>NSDD02</t>
  </si>
  <si>
    <t>National Securities Depository Limited</t>
  </si>
  <si>
    <t>INE301O01023</t>
  </si>
  <si>
    <t>ARVF01</t>
  </si>
  <si>
    <t>Arvind Fashions Limited</t>
  </si>
  <si>
    <t>INE955V01021</t>
  </si>
  <si>
    <t>ABOI01</t>
  </si>
  <si>
    <t>Anthem Biosciences Limited</t>
  </si>
  <si>
    <t>INE0CZ201020</t>
  </si>
  <si>
    <t>TCAL01</t>
  </si>
  <si>
    <t>Tata Capital Limited</t>
  </si>
  <si>
    <t>INE976I01016</t>
  </si>
  <si>
    <t>LGEL01</t>
  </si>
  <si>
    <t>LG Electronics India Ltd</t>
  </si>
  <si>
    <t>INE324D01010</t>
  </si>
  <si>
    <t>PNGJ01</t>
  </si>
  <si>
    <t>P N Gadgil Jewellers Limited</t>
  </si>
  <si>
    <t>INE953R01016</t>
  </si>
  <si>
    <t>CEIG01</t>
  </si>
  <si>
    <t>Ceigall India Ltd</t>
  </si>
  <si>
    <t>INE0AG901020</t>
  </si>
  <si>
    <t>Money Market Instruments</t>
  </si>
  <si>
    <t>Treasury Bill</t>
  </si>
  <si>
    <t>TBIL2450</t>
  </si>
  <si>
    <t>364 Days Tbill (MD 18/12/2025)</t>
  </si>
  <si>
    <t>IN002024Z362</t>
  </si>
  <si>
    <t>Derivatives</t>
  </si>
  <si>
    <t>Interest Rate Swaps</t>
  </si>
  <si>
    <t>IRS1837186</t>
  </si>
  <si>
    <t>Interest Rate Swaps Pay Fix Receive Floating -ICISECPD (06/03/2027) (FV 5000 Lacs)</t>
  </si>
  <si>
    <t>IRS1859283</t>
  </si>
  <si>
    <t>Interest Rate Swaps Pay Fix Receive Floating -ICISECPD (21/03/2027) (FV 7500 Lacs)</t>
  </si>
  <si>
    <t>IRS1777282</t>
  </si>
  <si>
    <t>Interest Rate Swaps Pay Fix Receive Floating -ICISECPD (29/01/2030) (FV 2500 Lacs)</t>
  </si>
  <si>
    <t>IRS1843848</t>
  </si>
  <si>
    <t>Interest Rate Swaps Pay Fix Receive Floating -ICICI BANK (11/03/2027) (FV 10000 Lacs)</t>
  </si>
  <si>
    <t>GOI6156</t>
  </si>
  <si>
    <t>6.79% Government of India (07/10/2034)</t>
  </si>
  <si>
    <t>IN0020240126</t>
  </si>
  <si>
    <t>EXIM736</t>
  </si>
  <si>
    <t>7.1% Export Import Bank of India (18/03/2026) **</t>
  </si>
  <si>
    <t>INE514E08GA6</t>
  </si>
  <si>
    <t>RECL454</t>
  </si>
  <si>
    <t>7.59% REC Limited (31/05/2027) **</t>
  </si>
  <si>
    <t>INE020B08FA2</t>
  </si>
  <si>
    <t>GOI5228</t>
  </si>
  <si>
    <t>7.18% Government of India (14/08/2033)</t>
  </si>
  <si>
    <t>IN0020230085</t>
  </si>
  <si>
    <t>POWF541</t>
  </si>
  <si>
    <t>7.42% Power Finance Corporation Limited (15/04/2028) **</t>
  </si>
  <si>
    <t>INE134E08NL6</t>
  </si>
  <si>
    <t>NBAR796</t>
  </si>
  <si>
    <t>7.44% National Bank For Agriculture and Rural Development (24/02/2028) **</t>
  </si>
  <si>
    <t>INE261F08EK5</t>
  </si>
  <si>
    <t>SIDB573</t>
  </si>
  <si>
    <t>7.34% Small Industries Dev Bank of India (26/02/2029)</t>
  </si>
  <si>
    <t>INE556F08KS8</t>
  </si>
  <si>
    <t>NBAR838</t>
  </si>
  <si>
    <t>7.48% National Bank For Agriculture and Rural Development (15/09/2028)</t>
  </si>
  <si>
    <t>INE261F08EO7</t>
  </si>
  <si>
    <t>IRLY394</t>
  </si>
  <si>
    <t>6.58% Indian Railway Finance Corporation Limited (30/05/2030) **</t>
  </si>
  <si>
    <t>INE053F08528</t>
  </si>
  <si>
    <t>INBK359</t>
  </si>
  <si>
    <t>6.18% Indian Bank (13/01/2031) **</t>
  </si>
  <si>
    <t>INE562A08081</t>
  </si>
  <si>
    <t>PGCI464</t>
  </si>
  <si>
    <t>7.12% Power Grid Corporation of India Limited (24/12/2034) **</t>
  </si>
  <si>
    <t>INE752E08775</t>
  </si>
  <si>
    <t>SIDB591</t>
  </si>
  <si>
    <t>7.42% Small Industries Dev Bank of India (12/03/2029) **</t>
  </si>
  <si>
    <t>INE556F08KW0</t>
  </si>
  <si>
    <t>KOMP1746</t>
  </si>
  <si>
    <t>7.288% Kotak Mahindra Prime Limited (24/10/2028) **</t>
  </si>
  <si>
    <t>INE916DA7TE6</t>
  </si>
  <si>
    <t>SIDB488</t>
  </si>
  <si>
    <t>7.54% Small Industries Dev Bank of India (12/01/2026) **</t>
  </si>
  <si>
    <t>INE556F08KF5</t>
  </si>
  <si>
    <t>ICRA AAA</t>
  </si>
  <si>
    <t>NTPC166</t>
  </si>
  <si>
    <t>7.32% NTPC Limited (17/07/2029) **</t>
  </si>
  <si>
    <t>INE733E07KL3</t>
  </si>
  <si>
    <t>IRLY358</t>
  </si>
  <si>
    <t>6.92% Indian Railway Finance Corporation Limited (29/08/2031)</t>
  </si>
  <si>
    <t>INE053F08122</t>
  </si>
  <si>
    <t>BAFL974</t>
  </si>
  <si>
    <t>7.3763% Bajaj Finance Limited (26/06/2028) **</t>
  </si>
  <si>
    <t>INE296A07TJ4</t>
  </si>
  <si>
    <t>RECL457</t>
  </si>
  <si>
    <t>7.58% REC Limited (31/05/2029) **</t>
  </si>
  <si>
    <t>INE020B08FD6</t>
  </si>
  <si>
    <t>SIDB579</t>
  </si>
  <si>
    <t>7.51% Small Industries Dev Bank of India (12/06/2028) **</t>
  </si>
  <si>
    <t>INE556F08KU4</t>
  </si>
  <si>
    <t>NBAR805</t>
  </si>
  <si>
    <t>7.53% National Bank For Agriculture and Rural Development (24/03/2028)</t>
  </si>
  <si>
    <t>INE261F08EM1</t>
  </si>
  <si>
    <t>SIDB539</t>
  </si>
  <si>
    <t>7.79% Small Industries Dev Bank of India (14/05/2027) **</t>
  </si>
  <si>
    <t>INE556F08KM1</t>
  </si>
  <si>
    <t>NHBA329</t>
  </si>
  <si>
    <t>7.59% National Housing Bank (14/07/2027) **</t>
  </si>
  <si>
    <t>INE557F08FY4</t>
  </si>
  <si>
    <t>PGCI463</t>
  </si>
  <si>
    <t>7.08% Power Grid Corporation of India Limited (25/10/2034) **</t>
  </si>
  <si>
    <t>INE752E08767</t>
  </si>
  <si>
    <t>RECL478</t>
  </si>
  <si>
    <t>6.60% REC Limited (30/06/2027) **</t>
  </si>
  <si>
    <t>INE020B08FZ9</t>
  </si>
  <si>
    <t>NHBA337</t>
  </si>
  <si>
    <t>6.80% National Housing Bank (02/04/2032) **</t>
  </si>
  <si>
    <t>INE557F08GE4</t>
  </si>
  <si>
    <t>CARE AAA</t>
  </si>
  <si>
    <t>GOI4976</t>
  </si>
  <si>
    <t>7.26% Government of India (06/02/2033)</t>
  </si>
  <si>
    <t>IN0020220151</t>
  </si>
  <si>
    <t>GOI4449</t>
  </si>
  <si>
    <t>7.54% Government of India (23/05/2036)</t>
  </si>
  <si>
    <t>IN0020220029</t>
  </si>
  <si>
    <t>NBAR780</t>
  </si>
  <si>
    <t>7.70% National Bank For Agriculture and Rural Development (30/09/2027) **</t>
  </si>
  <si>
    <t>INE261F08EI9</t>
  </si>
  <si>
    <t>MMFS1188</t>
  </si>
  <si>
    <t>8.18% Mahindra &amp; Mahindra Financial Services Limited (31/05/2029) **</t>
  </si>
  <si>
    <t>INE774D07VF8</t>
  </si>
  <si>
    <t>NABA22</t>
  </si>
  <si>
    <t>7.43% National Bank For Financing Infrastructure And Development (04/07/2034) **</t>
  </si>
  <si>
    <t>INE0KUG08035</t>
  </si>
  <si>
    <t>RECL465</t>
  </si>
  <si>
    <t>7.34% REC Limited (30/04/2030)</t>
  </si>
  <si>
    <t>INE020B08FL9</t>
  </si>
  <si>
    <t>NHBA336</t>
  </si>
  <si>
    <t>7.35% National Housing Bank (02/01/2032) **</t>
  </si>
  <si>
    <t>INE557F08GD6</t>
  </si>
  <si>
    <t>SIDB543</t>
  </si>
  <si>
    <t>7.75% Small Industries Dev Bank of India (10/06/2027) **</t>
  </si>
  <si>
    <t>INE556F08KN9</t>
  </si>
  <si>
    <t>HDBF345</t>
  </si>
  <si>
    <t>7.5519% HDB Financial Services Limited (04/04/2029) **</t>
  </si>
  <si>
    <t>INE756I07FE0</t>
  </si>
  <si>
    <t>SIDB614</t>
  </si>
  <si>
    <t>6.66% Small Industries Dev Bank of India (25/10/2028)</t>
  </si>
  <si>
    <t>INE556F08KZ3</t>
  </si>
  <si>
    <t>PGCI465</t>
  </si>
  <si>
    <t>6.94% Power Grid Corporation of India Limited (15/04/2035)</t>
  </si>
  <si>
    <t>INE752E08783</t>
  </si>
  <si>
    <t>POWF457</t>
  </si>
  <si>
    <t>7.68% Power Finance Corporation Limited (15/07/2030) **</t>
  </si>
  <si>
    <t>INE134E08KR9</t>
  </si>
  <si>
    <t>IRLY325</t>
  </si>
  <si>
    <t>8.23% Indian Railway Finance Corporation Limited (29/03/2029) **</t>
  </si>
  <si>
    <t>INE053F07BE7</t>
  </si>
  <si>
    <t>EXIM794</t>
  </si>
  <si>
    <t>7.35% Export Import Bank of India (27/07/2028)</t>
  </si>
  <si>
    <t>INE514E08GE8</t>
  </si>
  <si>
    <t>NBAR787</t>
  </si>
  <si>
    <t>7.64% National Bank For Agriculture and Rural Development (06/12/2029)</t>
  </si>
  <si>
    <t>INE261F08EJ7</t>
  </si>
  <si>
    <t>POWF537</t>
  </si>
  <si>
    <t>7.40% Power Finance Corporation Limited (15/01/2030) **</t>
  </si>
  <si>
    <t>INE134E08NH4</t>
  </si>
  <si>
    <t>NHBA331</t>
  </si>
  <si>
    <t>7.59% National Housing Bank (08/09/2027) **</t>
  </si>
  <si>
    <t>INE557F08FZ1</t>
  </si>
  <si>
    <t>GOI6542</t>
  </si>
  <si>
    <t>7.04% Tamilnadu State Development Loans (19/03/2030)</t>
  </si>
  <si>
    <t>IN3120240707</t>
  </si>
  <si>
    <t>RECL470</t>
  </si>
  <si>
    <t>7.32% REC Limited (28/02/2035) **</t>
  </si>
  <si>
    <t>INE020B08FQ8</t>
  </si>
  <si>
    <t>NXST22</t>
  </si>
  <si>
    <t>7.6937% Nexus Select Trust - REIT (28/05/2027) **</t>
  </si>
  <si>
    <t>INE0NDH07043</t>
  </si>
  <si>
    <t>RECL433</t>
  </si>
  <si>
    <t>7.51% REC Limited (31/07/2026) **</t>
  </si>
  <si>
    <t>INE020B08EI8</t>
  </si>
  <si>
    <t>TCHF426</t>
  </si>
  <si>
    <t>7.123% Tata Capital Housing Finance Limited (21/07/2027) **</t>
  </si>
  <si>
    <t>INE033L07IO1</t>
  </si>
  <si>
    <t>SUFI768</t>
  </si>
  <si>
    <t>7.05% Sundaram Finance Limited (11/10/2028)</t>
  </si>
  <si>
    <t>INE660A07SA2</t>
  </si>
  <si>
    <t>PGCI466</t>
  </si>
  <si>
    <t>6.98% Power Grid Corporation of India Limited (12/08/2035) **</t>
  </si>
  <si>
    <t>INE752E08791</t>
  </si>
  <si>
    <t>RECL451</t>
  </si>
  <si>
    <t>7.64% REC Limited (30/04/2027) **</t>
  </si>
  <si>
    <t>INE020B08EX7</t>
  </si>
  <si>
    <t>TCHF375</t>
  </si>
  <si>
    <t>7.8% Tata Capital Housing Finance Limited (05/08/2027) **</t>
  </si>
  <si>
    <t>INE033L07HU0</t>
  </si>
  <si>
    <t>NHBA335</t>
  </si>
  <si>
    <t>7.29% National Housing Bank (04/07/2031) **</t>
  </si>
  <si>
    <t>INE557F08GC8</t>
  </si>
  <si>
    <t>BAFL943</t>
  </si>
  <si>
    <t>7.7951% Bajaj Finance Limited (10/12/2027) **</t>
  </si>
  <si>
    <t>INE296A07TF2</t>
  </si>
  <si>
    <t>RECL461</t>
  </si>
  <si>
    <t>7.56% REC Limited (31/08/2027) **</t>
  </si>
  <si>
    <t>INE020B08FF1</t>
  </si>
  <si>
    <t>HDBF305</t>
  </si>
  <si>
    <t>HDB Financial Services Limited (13/01/2026) (ZCB) **</t>
  </si>
  <si>
    <t>INE756I07EK0</t>
  </si>
  <si>
    <t>BHFL135</t>
  </si>
  <si>
    <t>7.02% Bajaj Housing Finance Limited (26/05/2028) **</t>
  </si>
  <si>
    <t>INE377Y07565</t>
  </si>
  <si>
    <t>POWF508</t>
  </si>
  <si>
    <t>7.66% Power Finance Corporation Limited (15/04/2033) **</t>
  </si>
  <si>
    <t>INE134E08MH6</t>
  </si>
  <si>
    <t>POWF498</t>
  </si>
  <si>
    <t>7.64% Power Finance Corporation Limited (22/02/2033) **</t>
  </si>
  <si>
    <t>INE134E08MA1</t>
  </si>
  <si>
    <t>HDFB914</t>
  </si>
  <si>
    <t>7.65% HDFC Bank Limited (25/05/2033) **</t>
  </si>
  <si>
    <t>INE040A08930</t>
  </si>
  <si>
    <t>NBAR772</t>
  </si>
  <si>
    <t>7.62% National Bank For Agriculture and Rural Development (10/05/2029) **</t>
  </si>
  <si>
    <t>INE261F08EH1</t>
  </si>
  <si>
    <t>IRLY331</t>
  </si>
  <si>
    <t>7.48% Indian Railway Finance Corporation Limited (29/08/2034) **</t>
  </si>
  <si>
    <t>INE053F07BV1</t>
  </si>
  <si>
    <t>HDBF262</t>
  </si>
  <si>
    <t>8.05% HDB Financial Services Limited (08/08/2029)</t>
  </si>
  <si>
    <t>INE756I07EV7</t>
  </si>
  <si>
    <t>IRLY379</t>
  </si>
  <si>
    <t>7.44% Indian Railway Finance Corporation Limited (28/02/2034) **</t>
  </si>
  <si>
    <t>INE053F08379</t>
  </si>
  <si>
    <t>EXIM761</t>
  </si>
  <si>
    <t>7.45% Export Import Bank of India (12/04/2028) **</t>
  </si>
  <si>
    <t>INE514E08GB4</t>
  </si>
  <si>
    <t>POWF542</t>
  </si>
  <si>
    <t>7.38% Power Finance Corporation Limited (15/01/2032) **</t>
  </si>
  <si>
    <t>INE134E08NM4</t>
  </si>
  <si>
    <t>TCHF381</t>
  </si>
  <si>
    <t>8% Tata Capital Housing Finance Limited (03/11/2027) **</t>
  </si>
  <si>
    <t>INE033L07HY2</t>
  </si>
  <si>
    <t>KOMP1680</t>
  </si>
  <si>
    <t>7.83% Kotak Mahindra Prime Limited (13/07/2028) **</t>
  </si>
  <si>
    <t>INE916DA7SJ7</t>
  </si>
  <si>
    <t>EXIM803</t>
  </si>
  <si>
    <t>7.12% Export Import Bank of India (27/06/2030) **</t>
  </si>
  <si>
    <t>INE514E08GF5</t>
  </si>
  <si>
    <t>RECL449</t>
  </si>
  <si>
    <t>7.71% REC Limited (26/02/2027) **</t>
  </si>
  <si>
    <t>INE020B08EW9</t>
  </si>
  <si>
    <t>IRLY303</t>
  </si>
  <si>
    <t>7.27% Indian Railway Finance Corporation Limited (15/06/2027) **</t>
  </si>
  <si>
    <t>INE053F07AB5</t>
  </si>
  <si>
    <t>TCHF422</t>
  </si>
  <si>
    <t>7.27% Tata Capital Housing Finance Limited (25/04/2028) **</t>
  </si>
  <si>
    <t>INE033L07IN3</t>
  </si>
  <si>
    <t>KOMP1745</t>
  </si>
  <si>
    <t>7.299% Kotak Mahindra Prime Limited (22/09/2028) **</t>
  </si>
  <si>
    <t>INE916DA7TD8</t>
  </si>
  <si>
    <t>BHFL141</t>
  </si>
  <si>
    <t>6.97% Bajaj Housing Finance Limited (17/07/2028) **</t>
  </si>
  <si>
    <t>INE377Y07599</t>
  </si>
  <si>
    <t>IRLY385</t>
  </si>
  <si>
    <t>7.15% Indian Railway Finance Corporation Limited (14/11/2039) **</t>
  </si>
  <si>
    <t>INE053F08437</t>
  </si>
  <si>
    <t>NBAR860</t>
  </si>
  <si>
    <t>6.66% National Bank For Agriculture and Rural Development (12/10/2028) **</t>
  </si>
  <si>
    <t>INE261F08EP4</t>
  </si>
  <si>
    <t>POWF550</t>
  </si>
  <si>
    <t>6.61% Power Finance Corporation Limited (15/07/2028) **</t>
  </si>
  <si>
    <t>INE134E08NS1</t>
  </si>
  <si>
    <t>NBAR747</t>
  </si>
  <si>
    <t>7.68% National Bank For Agriculture and Rural Development (30/04/2029)</t>
  </si>
  <si>
    <t>INE261F08EG3</t>
  </si>
  <si>
    <t>NHBA322</t>
  </si>
  <si>
    <t>7.4% National Housing Bank (16/07/2026) **</t>
  </si>
  <si>
    <t>INE557F08FS6</t>
  </si>
  <si>
    <t>IRLY318</t>
  </si>
  <si>
    <t>8.4% Indian Railway Finance Corporation Limited (08/01/2029) **</t>
  </si>
  <si>
    <t>INE053F07AZ4</t>
  </si>
  <si>
    <t>BHFL108</t>
  </si>
  <si>
    <t>7.85% Bajaj Housing Finance Limited (01/09/2028) **</t>
  </si>
  <si>
    <t>INE377Y07433</t>
  </si>
  <si>
    <t>RECL407</t>
  </si>
  <si>
    <t>5.81% REC Limited (31/12/2025) **</t>
  </si>
  <si>
    <t>INE020B08DH2</t>
  </si>
  <si>
    <t>RECL432</t>
  </si>
  <si>
    <t>7.69% REC Limited (31/03/2033) **</t>
  </si>
  <si>
    <t>INE020B08EG2</t>
  </si>
  <si>
    <t>HDBF329</t>
  </si>
  <si>
    <t>8.3439% HDB Financial Services Limited (05/07/2027) **</t>
  </si>
  <si>
    <t>INE756I07EZ8</t>
  </si>
  <si>
    <t>GOI6435</t>
  </si>
  <si>
    <t>7.08% Karnataka State Development Loans (12/08/2031)</t>
  </si>
  <si>
    <t>IN1920240232</t>
  </si>
  <si>
    <t>IGIF43</t>
  </si>
  <si>
    <t>7.88% IndiGRID Infrastructure Trust (30/04/2029) **</t>
  </si>
  <si>
    <t>INE219X07439</t>
  </si>
  <si>
    <t>HDFB934</t>
  </si>
  <si>
    <t>7.71% HDFC Bank Limited (20/12/2033) **</t>
  </si>
  <si>
    <t>INE040A08AJ4</t>
  </si>
  <si>
    <t>POWF526</t>
  </si>
  <si>
    <t>7.6% Power Finance Corporation Limited (13/04/2029) **</t>
  </si>
  <si>
    <t>INE134E08MX3</t>
  </si>
  <si>
    <t>RECL431</t>
  </si>
  <si>
    <t>7.77% REC Limited (31/03/2028)</t>
  </si>
  <si>
    <t>INE020B08EH0</t>
  </si>
  <si>
    <t>RECL331</t>
  </si>
  <si>
    <t>7.70% REC Limited (10/12/2027) **</t>
  </si>
  <si>
    <t>INE020B08AQ9</t>
  </si>
  <si>
    <t>SIDB586</t>
  </si>
  <si>
    <t>7.48% Small Industries Dev Bank of India (24/05/2029) **</t>
  </si>
  <si>
    <t>INE556F08KV2</t>
  </si>
  <si>
    <t>NABA20</t>
  </si>
  <si>
    <t>7.43% National Bank For Financing Infrastructure And Development (16/06/2033) **</t>
  </si>
  <si>
    <t>INE0KUG08019</t>
  </si>
  <si>
    <t>NBAR695</t>
  </si>
  <si>
    <t>7.62% National Bank For Agriculture and Rural Development (31/01/2028) **</t>
  </si>
  <si>
    <t>INE261F08DV4</t>
  </si>
  <si>
    <t>RECL426</t>
  </si>
  <si>
    <t>7.55% REC Limited (31/03/2028) **</t>
  </si>
  <si>
    <t>INE020B08EA5</t>
  </si>
  <si>
    <t>POWF544</t>
  </si>
  <si>
    <t>7.40% Power Finance Corporation Limited (15/01/2035)</t>
  </si>
  <si>
    <t>INE134E08NN2</t>
  </si>
  <si>
    <t>NUCL124</t>
  </si>
  <si>
    <t>7.25% Nuclear Power Corporation Of India Limited (15/12/2027) **</t>
  </si>
  <si>
    <t>INE206D08410</t>
  </si>
  <si>
    <t>SIDB553</t>
  </si>
  <si>
    <t>7.68% Small Industries Dev Bank of India (10/08/2027) **</t>
  </si>
  <si>
    <t>INE556F08KP4</t>
  </si>
  <si>
    <t>NXST23</t>
  </si>
  <si>
    <t>7.7165% Nexus Select Trust - REIT (14/06/2028) **</t>
  </si>
  <si>
    <t>INE0NDH07035</t>
  </si>
  <si>
    <t>BHFL123</t>
  </si>
  <si>
    <t>7.56% Bajaj Housing Finance Limited (04/10/2034)</t>
  </si>
  <si>
    <t>INE377Y07516</t>
  </si>
  <si>
    <t>GOI2440</t>
  </si>
  <si>
    <t>6.97% Karnataka State Development Loans (26/02/2030)</t>
  </si>
  <si>
    <t>IN1920190197</t>
  </si>
  <si>
    <t>POWF507</t>
  </si>
  <si>
    <t>7.70% Power Finance Corporation Limited (15/09/2026) **</t>
  </si>
  <si>
    <t>INE134E08MK0</t>
  </si>
  <si>
    <t>BHFL132</t>
  </si>
  <si>
    <t>7.50% Bajaj Housing Finance Limited (09/04/2035) **</t>
  </si>
  <si>
    <t>INE377Y07540</t>
  </si>
  <si>
    <t>BAFL968</t>
  </si>
  <si>
    <t>7.55% Bajaj Finance Limited (03/04/2035) **</t>
  </si>
  <si>
    <t>INE296A07TH8</t>
  </si>
  <si>
    <t>RECL439</t>
  </si>
  <si>
    <t>7.64% REC Limited (30/06/2026) **</t>
  </si>
  <si>
    <t>INE020B08EM0</t>
  </si>
  <si>
    <t>SUFI762</t>
  </si>
  <si>
    <t>6.99% Sundaram Finance Limited (28/05/2027) **</t>
  </si>
  <si>
    <t>INE660A07RY4</t>
  </si>
  <si>
    <t>RECL479</t>
  </si>
  <si>
    <t>7.06% REC Limited (30/06/2035) **</t>
  </si>
  <si>
    <t>INE020B08GA0</t>
  </si>
  <si>
    <t>SIDB570</t>
  </si>
  <si>
    <t>7.47% Small Industries Dev Bank of India (05/09/2029)</t>
  </si>
  <si>
    <t>INE556F08KR0</t>
  </si>
  <si>
    <t>BHFL119</t>
  </si>
  <si>
    <t>8.1% Bajaj Housing Finance Limited (08/07/2027) **</t>
  </si>
  <si>
    <t>INE377Y07482</t>
  </si>
  <si>
    <t>NBAR803</t>
  </si>
  <si>
    <t>7.40 % National Bank For Agriculture and Rural Development (29/04/2030)</t>
  </si>
  <si>
    <t>INE261F08EL3</t>
  </si>
  <si>
    <t>SUHF262</t>
  </si>
  <si>
    <t>7.9% Sundaram Home Finance Limited (24/09/2027) **</t>
  </si>
  <si>
    <t>INE667F07IV3</t>
  </si>
  <si>
    <t>EXIM515</t>
  </si>
  <si>
    <t>8.18% Export Import Bank of India (07/12/2025) **</t>
  </si>
  <si>
    <t>INE514E08EU9</t>
  </si>
  <si>
    <t>GOI2255</t>
  </si>
  <si>
    <t>7.39% Maharashtra State Development Loans (03/07/2030)</t>
  </si>
  <si>
    <t>IN2220190036</t>
  </si>
  <si>
    <t>TCHF412</t>
  </si>
  <si>
    <t>7.86% Tata Capital Housing Finance Limited (21/09/2029) **</t>
  </si>
  <si>
    <t>INE033L07IJ1</t>
  </si>
  <si>
    <t>SIDB593</t>
  </si>
  <si>
    <t>7.49% Small Industries Dev Bank of India (11/06/2029)</t>
  </si>
  <si>
    <t>INE556F08KX8</t>
  </si>
  <si>
    <t>LICH676</t>
  </si>
  <si>
    <t>7.9265% LIC Housing Finance Limited (14/07/2027) **</t>
  </si>
  <si>
    <t>INE115A07QS3</t>
  </si>
  <si>
    <t>LTFL700</t>
  </si>
  <si>
    <t>8.24% L&amp;T Finance Limited (16/06/2027)</t>
  </si>
  <si>
    <t>INE498L07038</t>
  </si>
  <si>
    <t>POWF386</t>
  </si>
  <si>
    <t>7.44% Power Finance Corporation Limited (11/06/2027) **</t>
  </si>
  <si>
    <t>INE134E08JC3</t>
  </si>
  <si>
    <t>POWF374</t>
  </si>
  <si>
    <t>7.10% Power Finance Corporation Limited (11/01/2027) **</t>
  </si>
  <si>
    <t>INE134E08IP7</t>
  </si>
  <si>
    <t>HDFB865</t>
  </si>
  <si>
    <t>8.32% HDFC Bank Limited (04/05/2026) **</t>
  </si>
  <si>
    <t>INE040A08468</t>
  </si>
  <si>
    <t>KOMP1682</t>
  </si>
  <si>
    <t>7.9% Kotak Mahindra Prime Limited (13/01/2026) **</t>
  </si>
  <si>
    <t>INE916DA7SB4</t>
  </si>
  <si>
    <t>GOI3968</t>
  </si>
  <si>
    <t>6.95% Rajasthan State Development Loans (10/02/2031)</t>
  </si>
  <si>
    <t>IN2920200655</t>
  </si>
  <si>
    <t>GOI7008</t>
  </si>
  <si>
    <t>7.54% Bihar State Development Loans (03/09/2033)</t>
  </si>
  <si>
    <t>IN1320250088</t>
  </si>
  <si>
    <t>GOI3639</t>
  </si>
  <si>
    <t>5.74% Government of India (15/11/2026)</t>
  </si>
  <si>
    <t>IN0020210186</t>
  </si>
  <si>
    <t>GOI1479</t>
  </si>
  <si>
    <t>8.53% Tamil Nadu State Development Loans (09/03/2026)</t>
  </si>
  <si>
    <t>IN3120150211</t>
  </si>
  <si>
    <t>GOI3006</t>
  </si>
  <si>
    <t>8.04% Chattisgarh State Development Loans (20/03/2026)</t>
  </si>
  <si>
    <t>IN3520180131</t>
  </si>
  <si>
    <t>KOMP1667</t>
  </si>
  <si>
    <t>8.255% Kotak Mahindra Prime Limited (22/06/2026) **</t>
  </si>
  <si>
    <t>INE916DA7SF5</t>
  </si>
  <si>
    <t>GOI1409</t>
  </si>
  <si>
    <t>8.22% Tamil Nadu State Development Loans (09/12/2025)</t>
  </si>
  <si>
    <t>IN3120150153</t>
  </si>
  <si>
    <t>ENAM264</t>
  </si>
  <si>
    <t>8.30% Axis Finance Limited (26/12/2025) **</t>
  </si>
  <si>
    <t>INE891K07911</t>
  </si>
  <si>
    <t>GOI2462</t>
  </si>
  <si>
    <t>5.79% Government of India (11/05/2030)</t>
  </si>
  <si>
    <t>IN0020200070</t>
  </si>
  <si>
    <t>GOI3103</t>
  </si>
  <si>
    <t>5.63% Government of India (12/04/2026)</t>
  </si>
  <si>
    <t>IN0020210012</t>
  </si>
  <si>
    <t>GOI6226</t>
  </si>
  <si>
    <t>6.92% Government of India (18/11/2039)</t>
  </si>
  <si>
    <t>IN0020240134</t>
  </si>
  <si>
    <t>HDFB887</t>
  </si>
  <si>
    <t>5.78% HDFC Bank Limited (25/11/2025)</t>
  </si>
  <si>
    <t>INE040A08856</t>
  </si>
  <si>
    <t>TCFS681</t>
  </si>
  <si>
    <t>8.285% Tata Capital Limited (10/05/2027) **</t>
  </si>
  <si>
    <t>INE976I07CT9</t>
  </si>
  <si>
    <t>GOI6320</t>
  </si>
  <si>
    <t>6.79% Government of India (30/12/2031)</t>
  </si>
  <si>
    <t>IN0020240191</t>
  </si>
  <si>
    <t>GOI2122</t>
  </si>
  <si>
    <t>8.72% Tamilnadu State Development Loans (19/09/2026)</t>
  </si>
  <si>
    <t>IN3120180127</t>
  </si>
  <si>
    <t>GOI6580</t>
  </si>
  <si>
    <t>7.08% Andhra Pradesh State Development Loans (26/03/2037)</t>
  </si>
  <si>
    <t>IN1020240801</t>
  </si>
  <si>
    <t>MMFS1184</t>
  </si>
  <si>
    <t>8.25% Mahindra &amp; Mahindra Financial Services Limited (25/03/2027) **</t>
  </si>
  <si>
    <t>INE774D07VE1</t>
  </si>
  <si>
    <t>HDBF349</t>
  </si>
  <si>
    <t>8.2378% HDB Financial Services Limited (06/04/2027) **</t>
  </si>
  <si>
    <t>INE756I07EX3</t>
  </si>
  <si>
    <t>KMIL458</t>
  </si>
  <si>
    <t>Kotak Mahindra Investments Limited (29/01/2026) (ZCB) **</t>
  </si>
  <si>
    <t>INE975F07HV2</t>
  </si>
  <si>
    <t>(c) Securitised Debt</t>
  </si>
  <si>
    <t>SHIU20</t>
  </si>
  <si>
    <t>Shivshakti Securitisation Trust (28/09/2029) **</t>
  </si>
  <si>
    <t>INE2I7G15010</t>
  </si>
  <si>
    <t>CRISIL AAA(SO)</t>
  </si>
  <si>
    <t>SIDI20</t>
  </si>
  <si>
    <t>Siddhivinayak Securitisation Trust (28/09/2030) **</t>
  </si>
  <si>
    <t>INE2I7F15012</t>
  </si>
  <si>
    <t>RADS20</t>
  </si>
  <si>
    <t>Radhakrishna Securitisation Trust (28/09/2028) **</t>
  </si>
  <si>
    <t>INE2I7H15018</t>
  </si>
  <si>
    <t>Certificate of Deposit</t>
  </si>
  <si>
    <t>INBK469</t>
  </si>
  <si>
    <t>Indian Bank (12/03/2026) **</t>
  </si>
  <si>
    <t>INE562A16OI3</t>
  </si>
  <si>
    <t>CRISIL A1+</t>
  </si>
  <si>
    <t>CANB1046</t>
  </si>
  <si>
    <t>Canara Bank (18/03/2026) **</t>
  </si>
  <si>
    <t>INE476A16B64</t>
  </si>
  <si>
    <t>KMBK885</t>
  </si>
  <si>
    <t>Kotak Mahindra Bank Limited (19/03/2026) **</t>
  </si>
  <si>
    <t>INE237A168Z9</t>
  </si>
  <si>
    <t>INBK499</t>
  </si>
  <si>
    <t>Indian Bank (25/03/2026)</t>
  </si>
  <si>
    <t>INE562A16ON3</t>
  </si>
  <si>
    <t>EXIM802</t>
  </si>
  <si>
    <t>Export Import Bank of India (20/03/2026) **</t>
  </si>
  <si>
    <t>INE514E16CK7</t>
  </si>
  <si>
    <t>PUBA1074</t>
  </si>
  <si>
    <t>Punjab National Bank (08/01/2026) **</t>
  </si>
  <si>
    <t>INE160A16QT8</t>
  </si>
  <si>
    <t>BKBA534</t>
  </si>
  <si>
    <t>Bank of Baroda (18/12/2025) **</t>
  </si>
  <si>
    <t>INE028A16JY2</t>
  </si>
  <si>
    <t>IND A1+</t>
  </si>
  <si>
    <t>Alternative Investment Fund Units</t>
  </si>
  <si>
    <t>CDMD50ME</t>
  </si>
  <si>
    <t>SBI - Corporate Debt Market Development Fund (CDMDF) - Class A2</t>
  </si>
  <si>
    <t>INF0RQ622028</t>
  </si>
  <si>
    <t>ZCB - Zero Coupon Bond</t>
  </si>
  <si>
    <t>Benchmark Name - NIFTY BANKING &amp; PSU DEBT INDEX A-II</t>
  </si>
  <si>
    <t>Benchmark Name - NIFTY BANK TRI</t>
  </si>
  <si>
    <t>TML Commercial Vehicles Ltd</t>
  </si>
  <si>
    <t>Benchmark Name - BSE SENSEX TRI</t>
  </si>
  <si>
    <t>GOI5731</t>
  </si>
  <si>
    <t>7.49% Tamilnadu State Development Loans (24/04/2034)</t>
  </si>
  <si>
    <t>IN3120240038</t>
  </si>
  <si>
    <t>GOI5706</t>
  </si>
  <si>
    <t>7.42% Tamilnadu State Development Loans (03/04/2034)</t>
  </si>
  <si>
    <t>IN3120240012</t>
  </si>
  <si>
    <t>GOI4457</t>
  </si>
  <si>
    <t>7.72% Maharashtra State Development Loans (25/05/2034)</t>
  </si>
  <si>
    <t>IN2220220072</t>
  </si>
  <si>
    <t>GOI4499</t>
  </si>
  <si>
    <t>7.94% Haryana State Development Loans (29/06/2034)</t>
  </si>
  <si>
    <t>IN1620220120</t>
  </si>
  <si>
    <t>GOI5825</t>
  </si>
  <si>
    <t>7.44% Tamilnadu State Development Loans (05/06/2034)</t>
  </si>
  <si>
    <t>IN3120240103</t>
  </si>
  <si>
    <t>GOI4473</t>
  </si>
  <si>
    <t>7.9% Andhra Pradesh State Development Loans (01/06/2034)</t>
  </si>
  <si>
    <t>IN1020220167</t>
  </si>
  <si>
    <t>GOI5585</t>
  </si>
  <si>
    <t>7.44% Karnataka State Development Loans (28/02/2034)</t>
  </si>
  <si>
    <t>IN1920230274</t>
  </si>
  <si>
    <r>
      <rPr>
        <b/>
        <sz val="9"/>
        <color rgb="FF000000"/>
        <rFont val="Arial"/>
        <family val="2"/>
      </rPr>
      <t>The DIRF score is 94.65 %</t>
    </r>
  </si>
  <si>
    <t>Benchmark Name - CRISIL IBX SDL INDEX - JUNE 2034</t>
  </si>
  <si>
    <t>BGFL1093</t>
  </si>
  <si>
    <t>8.33% Aditya Birla Capital Limited (19/05/2027) **</t>
  </si>
  <si>
    <t>INE860H07IY4</t>
  </si>
  <si>
    <t>HDBF325</t>
  </si>
  <si>
    <t>8.3324% HDB Financial Services Limited (10/05/2027) **</t>
  </si>
  <si>
    <t>INE756I07EY1</t>
  </si>
  <si>
    <t>KOMP739</t>
  </si>
  <si>
    <t>8.12% Kotak Mahindra Prime Limited (21/06/2027) **</t>
  </si>
  <si>
    <t>INE916DA7SU4</t>
  </si>
  <si>
    <t>SUFI749</t>
  </si>
  <si>
    <t>8.12% Sundaram Finance Limited (21/06/2027) **</t>
  </si>
  <si>
    <t>INE660A07RT4</t>
  </si>
  <si>
    <t>LTFL704</t>
  </si>
  <si>
    <t>7.2092% L&amp;T Finance Limited (29/06/2027) **</t>
  </si>
  <si>
    <t>INE498L07137</t>
  </si>
  <si>
    <t>KOMP1694</t>
  </si>
  <si>
    <t>8.225% Kotak Mahindra Prime Limited (21/04/2027) **</t>
  </si>
  <si>
    <t>INE916DA7SO7</t>
  </si>
  <si>
    <t>KMIL510</t>
  </si>
  <si>
    <t>8.2366% Kotak Mahindra Investments Limited (27/05/2027) **</t>
  </si>
  <si>
    <t>INE975F07IQ0</t>
  </si>
  <si>
    <t>MMFS1206</t>
  </si>
  <si>
    <t>8% Mahindra &amp; Mahindra Financial Services Limited (27/04/2027) **</t>
  </si>
  <si>
    <t>INE774D07VJ0</t>
  </si>
  <si>
    <t>BAFL973</t>
  </si>
  <si>
    <t>7.2337% Bajaj Finance Limited (28/06/2027) **</t>
  </si>
  <si>
    <t>INE296A07TK2</t>
  </si>
  <si>
    <t>KMIL480</t>
  </si>
  <si>
    <t>8.1929% Kotak Mahindra Investments Limited (28/01/2027) **</t>
  </si>
  <si>
    <t>INE975F07IP2</t>
  </si>
  <si>
    <t>BAFL808</t>
  </si>
  <si>
    <t>7.70% Bajaj Finance Limited (07/06/2027) **</t>
  </si>
  <si>
    <t>INE296A07RZ4</t>
  </si>
  <si>
    <t>BAFL906</t>
  </si>
  <si>
    <t>8.1167% Bajaj Finance Limited (10/05/2027) **</t>
  </si>
  <si>
    <t>INE296A07SX7</t>
  </si>
  <si>
    <t>KMIL483</t>
  </si>
  <si>
    <t>8.3774% Kotak Mahindra Investments Limited (21/06/2027) **</t>
  </si>
  <si>
    <t>INE975F07IR8</t>
  </si>
  <si>
    <t>BAFL883</t>
  </si>
  <si>
    <t>8.1% Bajaj Finance Limited (08/01/2027) **</t>
  </si>
  <si>
    <t>INE296A07SR9</t>
  </si>
  <si>
    <r>
      <rPr>
        <b/>
        <sz val="9"/>
        <color rgb="FF000000"/>
        <rFont val="Arial"/>
        <family val="2"/>
      </rPr>
      <t>The DIRF score is 77.75 %</t>
    </r>
  </si>
  <si>
    <t>Benchmark Name - CRISIL IBX AAA NBFC INDEX - JUNE 2027</t>
  </si>
  <si>
    <t>Benchmark Name - NIFTY INDIA CONSUMPTION TRI INDEX</t>
  </si>
  <si>
    <t>HDBF303</t>
  </si>
  <si>
    <t>7.65% HDB Financial Services Limited (10/09/2027) **</t>
  </si>
  <si>
    <t>INE756I07EJ2</t>
  </si>
  <si>
    <t>MMFS1158</t>
  </si>
  <si>
    <t>7.90% Mahindra &amp; Mahindra Financial Services Limited (30/08/2027) **</t>
  </si>
  <si>
    <t>INE774D07UM6</t>
  </si>
  <si>
    <t>BAFL926</t>
  </si>
  <si>
    <t>8.12% Bajaj Finance Limited (10/09/2027) **</t>
  </si>
  <si>
    <t>INE296A07TC9</t>
  </si>
  <si>
    <t>POWF490</t>
  </si>
  <si>
    <t>7.15% Power Finance Corporation Limited (08/09/2027) **</t>
  </si>
  <si>
    <t>INE134E08LT3</t>
  </si>
  <si>
    <r>
      <rPr>
        <b/>
        <sz val="9"/>
        <color rgb="FF000000"/>
        <rFont val="Arial"/>
        <family val="2"/>
      </rPr>
      <t>The DIRF score is 62.03 %</t>
    </r>
  </si>
  <si>
    <t>Benchmark Name - CRISIL-IBX AAA FINANCIAL SERVICES INDEX – SEP 2027</t>
  </si>
  <si>
    <t>CHOL06A</t>
  </si>
  <si>
    <t>Cholamandalam Investment and Finance Company Ltd (CCD)</t>
  </si>
  <si>
    <t>INE121A08PJ0</t>
  </si>
  <si>
    <t>AWFI01</t>
  </si>
  <si>
    <t>Awfis Space Solutions Limited</t>
  </si>
  <si>
    <t>INE108V01019</t>
  </si>
  <si>
    <t>BHHI01</t>
  </si>
  <si>
    <t>Indus Infra Trust</t>
  </si>
  <si>
    <t>INE0NHL23019</t>
  </si>
  <si>
    <t>NECH01</t>
  </si>
  <si>
    <t>Neogen Chemicals Limited</t>
  </si>
  <si>
    <t>INE136S01016</t>
  </si>
  <si>
    <t>SANE01</t>
  </si>
  <si>
    <t>Sansera Engineering Limited</t>
  </si>
  <si>
    <t>INE953O01021</t>
  </si>
  <si>
    <t>VATL01</t>
  </si>
  <si>
    <t>Voltamp Transformers Limited</t>
  </si>
  <si>
    <t>INE540H01012</t>
  </si>
  <si>
    <t>GOI5713</t>
  </si>
  <si>
    <t>7.1% Government of India (08/04/2034)</t>
  </si>
  <si>
    <t>IN0020240019</t>
  </si>
  <si>
    <t>MUFL411</t>
  </si>
  <si>
    <t>8.4% Muthoot Finance Limited (28/08/2028)</t>
  </si>
  <si>
    <t>INE414G07II5</t>
  </si>
  <si>
    <t>CRISIL AA+</t>
  </si>
  <si>
    <t>GMRA43</t>
  </si>
  <si>
    <t>5% GMR Airports Limited (13/02/2027) **</t>
  </si>
  <si>
    <t>INE776C08083</t>
  </si>
  <si>
    <t>CRISIL A+</t>
  </si>
  <si>
    <t>RECL473</t>
  </si>
  <si>
    <t>6.87% REC Limited (31/05/2030)</t>
  </si>
  <si>
    <t>INE020B08FU0</t>
  </si>
  <si>
    <t>JOIC20</t>
  </si>
  <si>
    <t>7.19% JIO Credit Limited (15/03/2028) **</t>
  </si>
  <si>
    <t>INE282H07018</t>
  </si>
  <si>
    <t>SBAI201</t>
  </si>
  <si>
    <t>6.8% State Bank of India (21/08/2035) **</t>
  </si>
  <si>
    <t>INE062A08231</t>
  </si>
  <si>
    <t>HDFB916</t>
  </si>
  <si>
    <t>7.75% HDFC Bank Limited (13/06/2033)</t>
  </si>
  <si>
    <t>INE040A08AF2</t>
  </si>
  <si>
    <t>POWF543</t>
  </si>
  <si>
    <t>7.44% Power Finance Corporation Limited (15/01/2030) **</t>
  </si>
  <si>
    <t>INE134E08NO0</t>
  </si>
  <si>
    <t>SUCL21</t>
  </si>
  <si>
    <t>8.65% TVS Holdings Limited (07/06/2029) **</t>
  </si>
  <si>
    <t>INE105A08022</t>
  </si>
  <si>
    <t>BDFL20</t>
  </si>
  <si>
    <t>8.8% Aditya Birla Digital Fashion Ventures Limited (26/08/2027) **</t>
  </si>
  <si>
    <t>INE0M8D08016</t>
  </si>
  <si>
    <t>CRISIL AA-</t>
  </si>
  <si>
    <t>GOI3528</t>
  </si>
  <si>
    <t>6.1% Government of India (12/07/2031)</t>
  </si>
  <si>
    <t>IN0020210095</t>
  </si>
  <si>
    <t>GOI2484</t>
  </si>
  <si>
    <t>6.19% Government of India (16/09/2034)</t>
  </si>
  <si>
    <t>IN0020200096</t>
  </si>
  <si>
    <t>GOI2249</t>
  </si>
  <si>
    <t>7.57% Government of India (17/06/2033)</t>
  </si>
  <si>
    <t>IN0020190065</t>
  </si>
  <si>
    <t>GOI1430</t>
  </si>
  <si>
    <t>7.59% Government of India (11/01/2026)</t>
  </si>
  <si>
    <t>IN0020150093</t>
  </si>
  <si>
    <t>CCD - Compulsory Convertible Debenture</t>
  </si>
  <si>
    <t>#YTM as provided by valuation agencies for debt component</t>
  </si>
  <si>
    <t>Benchmark Name - NIFTY 50 HYBRID COMPOSITE DEBT 65:35 INDEX</t>
  </si>
  <si>
    <t>GOI5077</t>
  </si>
  <si>
    <t>7.06% Government of India (10/04/2028)</t>
  </si>
  <si>
    <t>IN0020230010</t>
  </si>
  <si>
    <t>GOI2041</t>
  </si>
  <si>
    <t>8.05% Tamilnadu State Development Loans (18/04/2028)</t>
  </si>
  <si>
    <t>IN3120180010</t>
  </si>
  <si>
    <t>GOI2089</t>
  </si>
  <si>
    <t>8.15% Tamil Nadu State Development Loans (09/05/2028)</t>
  </si>
  <si>
    <t>IN3120180036</t>
  </si>
  <si>
    <t>GOI2008</t>
  </si>
  <si>
    <t>8.44% Rajasthan State Development Loans (07/03/2028)</t>
  </si>
  <si>
    <t>IN2920170189</t>
  </si>
  <si>
    <t>GOI4096</t>
  </si>
  <si>
    <t>8.16% Rajasthan State Development Loans (09/05/2028)</t>
  </si>
  <si>
    <t>IN2920180030</t>
  </si>
  <si>
    <t>GOI2039</t>
  </si>
  <si>
    <t>8% Kerala State Development Loans (11/04/2028)</t>
  </si>
  <si>
    <t>IN2020180013</t>
  </si>
  <si>
    <t>GOI6812</t>
  </si>
  <si>
    <t>6.73% Kerala State Development Loans (10/06/2028)</t>
  </si>
  <si>
    <t>IN2020200134</t>
  </si>
  <si>
    <r>
      <rPr>
        <b/>
        <sz val="9"/>
        <color rgb="FF000000"/>
        <rFont val="Arial"/>
        <family val="2"/>
      </rPr>
      <t>The DIRF score is 85.03 %</t>
    </r>
  </si>
  <si>
    <t>Benchmark Name - CRISIL IBX 50:50 GILT PLUS SDL - JUNE 2028 INDEX</t>
  </si>
  <si>
    <t>GOI4485</t>
  </si>
  <si>
    <t>7.38% Government of India (20/06/2027)</t>
  </si>
  <si>
    <t>IN0020220037</t>
  </si>
  <si>
    <t>GOI1976</t>
  </si>
  <si>
    <t>7.33% Maharashtra State Development Loans (13/09/2027)</t>
  </si>
  <si>
    <t>IN2220170103</t>
  </si>
  <si>
    <t>GOI2849</t>
  </si>
  <si>
    <t>7.23% Tamilnadu State Development Loans (14/06/2027)</t>
  </si>
  <si>
    <t>IN3120170045</t>
  </si>
  <si>
    <t>GOI1890</t>
  </si>
  <si>
    <t>7.24% Tamil Nadu State Development Loans (28/06/2027)</t>
  </si>
  <si>
    <t>IN3120170052</t>
  </si>
  <si>
    <t>GOI3570</t>
  </si>
  <si>
    <t>6.38% Maharashtra State Development Loans (25/08/2027)</t>
  </si>
  <si>
    <t>IN2220210230</t>
  </si>
  <si>
    <t>GOI1904</t>
  </si>
  <si>
    <t>7.2% Maharashtra State Development Loans (09/08/2027)</t>
  </si>
  <si>
    <t>IN2220170061</t>
  </si>
  <si>
    <t>GOI1908</t>
  </si>
  <si>
    <t>7.18% Tamilnadu State Development Loans (26/07/2027)</t>
  </si>
  <si>
    <t>IN3120170078</t>
  </si>
  <si>
    <r>
      <rPr>
        <b/>
        <sz val="9"/>
        <color rgb="FF000000"/>
        <rFont val="Arial"/>
        <family val="2"/>
      </rPr>
      <t>The DIRF score is 94.72 %</t>
    </r>
  </si>
  <si>
    <t>Benchmark Name - CRISIL IBX 50:50 GILT PLUS SDL INDEX - SEPTEMBER 2027</t>
  </si>
  <si>
    <t>IGIF45</t>
  </si>
  <si>
    <t>7.87% IndiGRID Infrastructure Trust (24/02/2027) **</t>
  </si>
  <si>
    <t>INE219X07454</t>
  </si>
  <si>
    <t>KOMP1733</t>
  </si>
  <si>
    <t>7.6% Kotak Mahindra Prime Limited (19/05/2028) **</t>
  </si>
  <si>
    <t>INE916DA7SZ3</t>
  </si>
  <si>
    <t>KHML20</t>
  </si>
  <si>
    <t>8% Kohima-Mariani Transmission Limited (30/06/2027) **</t>
  </si>
  <si>
    <t>INE483Z08012</t>
  </si>
  <si>
    <t>SUMM27</t>
  </si>
  <si>
    <t>7.89% Summit Digitel Infrastructure Limited (30/04/2029) **</t>
  </si>
  <si>
    <t>INE507T07138</t>
  </si>
  <si>
    <t>POWF556</t>
  </si>
  <si>
    <t>6.73% Power Finance Corporation Limited (15/10/2027) **</t>
  </si>
  <si>
    <t>INE134E08NW3</t>
  </si>
  <si>
    <t>RECL474</t>
  </si>
  <si>
    <t>6.52% REC Limited (31/01/2028) **</t>
  </si>
  <si>
    <t>INE020B08FW6</t>
  </si>
  <si>
    <t>RECL437</t>
  </si>
  <si>
    <t>7.46% REC Limited (30/06/2028) **</t>
  </si>
  <si>
    <t>INE020B08EK4</t>
  </si>
  <si>
    <t>SIDB536</t>
  </si>
  <si>
    <t>7.83% Small Industries Dev Bank of India (24/11/2028) **</t>
  </si>
  <si>
    <t>INE556F08KL3</t>
  </si>
  <si>
    <t>TCAL511</t>
  </si>
  <si>
    <t>8.098% Tata Capital Limited (23/09/2027) **</t>
  </si>
  <si>
    <t>INE976I07CY9</t>
  </si>
  <si>
    <t>BAFL730</t>
  </si>
  <si>
    <t>7.60% Bajaj Finance Limited (11/02/2030) **</t>
  </si>
  <si>
    <t>INE296A07RD1</t>
  </si>
  <si>
    <t>BHAT84</t>
  </si>
  <si>
    <t>7.45% Bharti Telecom Limited (15/12/2028)</t>
  </si>
  <si>
    <t>INE403D08280</t>
  </si>
  <si>
    <t>LTMR58</t>
  </si>
  <si>
    <t>7.55% L&amp;T Metro Rail (Hyderabad) Limited (28/04/2035) **</t>
  </si>
  <si>
    <t>INE128M08094</t>
  </si>
  <si>
    <t>CRISIL AAA(CE)</t>
  </si>
  <si>
    <t>GOI6865</t>
  </si>
  <si>
    <t>6.98% Maharashtra State Development Loans (25/06/2037)</t>
  </si>
  <si>
    <t>IN2220250095</t>
  </si>
  <si>
    <t>GOI6889</t>
  </si>
  <si>
    <t>6.68% Government of India (07/07/2040)</t>
  </si>
  <si>
    <t>IN0020250042</t>
  </si>
  <si>
    <t>HDBF333</t>
  </si>
  <si>
    <t>7.9611% HDB Financial Services Limited (05/01/2028) **</t>
  </si>
  <si>
    <t>INE756I07FB6</t>
  </si>
  <si>
    <t>BHFL147</t>
  </si>
  <si>
    <t>7.10% Bajaj Housing Finance Limited (16/10/2028) **</t>
  </si>
  <si>
    <t>INE377Y07607</t>
  </si>
  <si>
    <t>SIDB547</t>
  </si>
  <si>
    <t>7.68% Small Industries Dev Bank of India (09/07/2027) **</t>
  </si>
  <si>
    <t>INE556F08KO7</t>
  </si>
  <si>
    <t>RECL460</t>
  </si>
  <si>
    <t>7.45% REC Limited (31/08/2035) **</t>
  </si>
  <si>
    <t>INE020B08FG9</t>
  </si>
  <si>
    <t>POWF462</t>
  </si>
  <si>
    <t>7.75% Power Finance Corporation Limited (11/06/2030) **</t>
  </si>
  <si>
    <t>INE134E08KV1</t>
  </si>
  <si>
    <t>LARS419</t>
  </si>
  <si>
    <t>7.725% Larsen &amp; Toubro Limited (28/04/2028) **</t>
  </si>
  <si>
    <t>INE018A08BE9</t>
  </si>
  <si>
    <t>SUHF272</t>
  </si>
  <si>
    <t>7.15% Sundaram Home Finance Limited (16/05/2028) **</t>
  </si>
  <si>
    <t>INE667F07JB3</t>
  </si>
  <si>
    <t>IRLY333</t>
  </si>
  <si>
    <t>7.5% Indian Railway Finance Corporation Limited (07/09/2029) **</t>
  </si>
  <si>
    <t>INE053F07BW9</t>
  </si>
  <si>
    <t>IRLY330</t>
  </si>
  <si>
    <t>7.48% Indian Railway Finance Corporation Limited (13/08/2029)</t>
  </si>
  <si>
    <t>INE053F07BU3</t>
  </si>
  <si>
    <t>IGIF42</t>
  </si>
  <si>
    <t>7.85% IndiGRID Infrastructure Trust (28/02/2028) **</t>
  </si>
  <si>
    <t>INE219X07363</t>
  </si>
  <si>
    <t>POWF546</t>
  </si>
  <si>
    <t>7.45% Power Finance Corporation Limited (15/07/2028) **</t>
  </si>
  <si>
    <t>INE134E08NP7</t>
  </si>
  <si>
    <t>BHFL125</t>
  </si>
  <si>
    <t>7.66% Bajaj Housing Finance Limited (20/03/2028) **</t>
  </si>
  <si>
    <t>INE377Y07532</t>
  </si>
  <si>
    <t>POWF372</t>
  </si>
  <si>
    <t>7.60% Power Finance Corporation Limited (20/02/2027) **</t>
  </si>
  <si>
    <t>INE134E08IT9</t>
  </si>
  <si>
    <t>TCFS633</t>
  </si>
  <si>
    <t>7.89% Tata Capital Limited (26/07/2027) **</t>
  </si>
  <si>
    <t>INE306N07MX0</t>
  </si>
  <si>
    <t>IGIF46</t>
  </si>
  <si>
    <t>7.04% IndiGRID Infrastructure Trust (27/09/2028) **</t>
  </si>
  <si>
    <t>INE219X07512</t>
  </si>
  <si>
    <t>TCHF371</t>
  </si>
  <si>
    <t>7.75% Tata Capital Housing Finance Limited (18/05/2027) **</t>
  </si>
  <si>
    <t>INE033L07HQ8</t>
  </si>
  <si>
    <t>MMFS1194</t>
  </si>
  <si>
    <t>8.01% Mahindra &amp; Mahindra Financial Services Limited (24/12/2027) **</t>
  </si>
  <si>
    <t>INE774D07VG6</t>
  </si>
  <si>
    <t>PGCI455</t>
  </si>
  <si>
    <t>7.52% Power Grid Corporation of India Limited (23/03/2033) **</t>
  </si>
  <si>
    <t>INE752E08684</t>
  </si>
  <si>
    <t>PGCI458</t>
  </si>
  <si>
    <t>7.7% Power Grid Corporation of India Limited (12/10/2033) **</t>
  </si>
  <si>
    <t>INE752E08718</t>
  </si>
  <si>
    <t>NUCL133</t>
  </si>
  <si>
    <t>7.7% Nuclear Power Corporation Of India Limited (21/03/2038) **</t>
  </si>
  <si>
    <t>INE206D08501</t>
  </si>
  <si>
    <t>LICH403</t>
  </si>
  <si>
    <t>7.56% LIC Housing Finance Limited (14/06/2027) **</t>
  </si>
  <si>
    <t>INE115A07MC6</t>
  </si>
  <si>
    <t>SIDB566</t>
  </si>
  <si>
    <t>7.68% Small Industries Dev Bank of India (10/09/2027) **</t>
  </si>
  <si>
    <t>INE556F08KQ2</t>
  </si>
  <si>
    <t>TCHF401</t>
  </si>
  <si>
    <t>8.1% Tata Capital Housing Finance Limited (19/02/2027) **</t>
  </si>
  <si>
    <t>INE033L07IE2</t>
  </si>
  <si>
    <t>BHAT85</t>
  </si>
  <si>
    <t>7.35% Bharti Telecom Limited (15/10/2027) **</t>
  </si>
  <si>
    <t>INE403D08272</t>
  </si>
  <si>
    <t>TCHF425</t>
  </si>
  <si>
    <t>7.17% Tata Capital Housing Finance Limited (21/05/2030) **</t>
  </si>
  <si>
    <t>INE033L07IP8</t>
  </si>
  <si>
    <t>RUPL50</t>
  </si>
  <si>
    <t>7.90% Jamnagar Utilities &amp; Power Private Limited (10/08/2028) **</t>
  </si>
  <si>
    <t>INE936D07182</t>
  </si>
  <si>
    <t>LICH675</t>
  </si>
  <si>
    <t>7.68% LIC Housing Finance Limited (29/05/2034) **</t>
  </si>
  <si>
    <t>INE115A07QR5</t>
  </si>
  <si>
    <t>BAFL914</t>
  </si>
  <si>
    <t>7.82% Bajaj Finance Limited (31/01/2034) **</t>
  </si>
  <si>
    <t>INE296A07SV1</t>
  </si>
  <si>
    <t>LICH696</t>
  </si>
  <si>
    <t>7.58% LIC Housing Finance Limited (23/03/2035) **</t>
  </si>
  <si>
    <t>INE115A07RF8</t>
  </si>
  <si>
    <t>KOMP1665</t>
  </si>
  <si>
    <t>8.05% Kotak Mahindra Prime Limited (28/02/2028) **</t>
  </si>
  <si>
    <t>INE916DA7SE8</t>
  </si>
  <si>
    <t>KOMP1699</t>
  </si>
  <si>
    <t>8.135% Kotak Mahindra Prime Limited (10/02/2027) **</t>
  </si>
  <si>
    <t>INE916DA7SR0</t>
  </si>
  <si>
    <t>PIPE23</t>
  </si>
  <si>
    <t>7.96% Pipeline Infrastructure Private Limited (11/03/2027) **</t>
  </si>
  <si>
    <t>INE01XX07059</t>
  </si>
  <si>
    <t>TCHF414</t>
  </si>
  <si>
    <t>7.712% Tata Capital Housing Finance Limited (14/01/2028) **</t>
  </si>
  <si>
    <t>INE033L07IK9</t>
  </si>
  <si>
    <t>RECL467</t>
  </si>
  <si>
    <t>7.2% REC Limited (15/01/2035) **</t>
  </si>
  <si>
    <t>INE020B08FN5</t>
  </si>
  <si>
    <t>NBAR867</t>
  </si>
  <si>
    <t>6.85% National Bank For Agriculture and Rural Development (19/01/2029) **</t>
  </si>
  <si>
    <t>INE261F08EQ2</t>
  </si>
  <si>
    <t>POWF485</t>
  </si>
  <si>
    <t>6.92% Power Finance Corporation Limited (14/04/2032) **</t>
  </si>
  <si>
    <t>INE134E08LN6</t>
  </si>
  <si>
    <t>RECL421</t>
  </si>
  <si>
    <t>6.92% REC Limited (20/03/2032) **</t>
  </si>
  <si>
    <t>INE020B08DV3</t>
  </si>
  <si>
    <t>BAFL779</t>
  </si>
  <si>
    <t>7.02% Bajaj Finance Limited (18/04/2031) **</t>
  </si>
  <si>
    <t>INE296A07RS9</t>
  </si>
  <si>
    <t>RECL475</t>
  </si>
  <si>
    <t>6.81% REC Limited (30/04/2036) **</t>
  </si>
  <si>
    <t>INE020B08FV8</t>
  </si>
  <si>
    <t>GOI4750</t>
  </si>
  <si>
    <t>7.36% Government of India (12/09/2027)</t>
  </si>
  <si>
    <t>IN000927C052</t>
  </si>
  <si>
    <t>HDBF346</t>
  </si>
  <si>
    <t>7.4091% HDB Financial Services Limited (05/06/2028) **</t>
  </si>
  <si>
    <t>INE756I07FG5</t>
  </si>
  <si>
    <t>PGCI453</t>
  </si>
  <si>
    <t>7.40% Power Grid Corporation of India Limited (17/02/2033) **</t>
  </si>
  <si>
    <t>INE752E08676</t>
  </si>
  <si>
    <t>IRLY323</t>
  </si>
  <si>
    <t>8.35% Indian Railway Finance Corporation Limited (13/03/2029) **</t>
  </si>
  <si>
    <t>INE053F07BC1</t>
  </si>
  <si>
    <t>KOMP1691</t>
  </si>
  <si>
    <t>8.2% Kotak Mahindra Prime Limited (11/01/2027) **</t>
  </si>
  <si>
    <t>INE916DA7SN9</t>
  </si>
  <si>
    <t>GOI6103</t>
  </si>
  <si>
    <t>Government of India (05/08/2027)</t>
  </si>
  <si>
    <t>IN000827C039</t>
  </si>
  <si>
    <t>GOI6000</t>
  </si>
  <si>
    <t>Government of India (06/05/2028)</t>
  </si>
  <si>
    <t>IN000528C025</t>
  </si>
  <si>
    <t>HDFB631</t>
  </si>
  <si>
    <t>8.44% HDFC Bank Limited (28/12/2028) **</t>
  </si>
  <si>
    <t>INE040A08393</t>
  </si>
  <si>
    <t>GOI5196</t>
  </si>
  <si>
    <t>7.18% Government of India (24/07/2037)</t>
  </si>
  <si>
    <t>IN0020230077</t>
  </si>
  <si>
    <t>BAFL891</t>
  </si>
  <si>
    <t>7.87% Bajaj Finance Limited (08/02/2034) **</t>
  </si>
  <si>
    <t>INE296A07SU3</t>
  </si>
  <si>
    <t>POWF496</t>
  </si>
  <si>
    <t>7.59% Power Finance Corporation Limited (17/01/2028) **</t>
  </si>
  <si>
    <t>INE134E08LX5</t>
  </si>
  <si>
    <t>GOI5081</t>
  </si>
  <si>
    <t>7.17% Government of India (17/04/2030)</t>
  </si>
  <si>
    <t>IN0020230036</t>
  </si>
  <si>
    <t>GOI5137</t>
  </si>
  <si>
    <t>7.25% Government of India (12/06/2063)</t>
  </si>
  <si>
    <t>IN0020230044</t>
  </si>
  <si>
    <t>SIDB486</t>
  </si>
  <si>
    <t>7.47% Small Industries Dev Bank of India (25/11/2025) **</t>
  </si>
  <si>
    <t>INE556F08KE8</t>
  </si>
  <si>
    <t>GOI5379</t>
  </si>
  <si>
    <t>7.32% Government of India (13/11/2030)</t>
  </si>
  <si>
    <t>IN0020230135</t>
  </si>
  <si>
    <t>GOI1530</t>
  </si>
  <si>
    <t>8.21% Haryana UDAY BOND(31/03/2026)</t>
  </si>
  <si>
    <t>IN1620150186</t>
  </si>
  <si>
    <t>GOI6900</t>
  </si>
  <si>
    <t>6.28% Government of India (14/07/2032)</t>
  </si>
  <si>
    <t>IN0020250059</t>
  </si>
  <si>
    <t>GOI4584</t>
  </si>
  <si>
    <t>7.26% Government of India (22/08/2032)</t>
  </si>
  <si>
    <t>IN0020220060</t>
  </si>
  <si>
    <t>GOI5336</t>
  </si>
  <si>
    <t>7.37% Government of India (23/10/2028)</t>
  </si>
  <si>
    <t>IN0020230101</t>
  </si>
  <si>
    <t>GOI3727</t>
  </si>
  <si>
    <t>7.29% Karnataka State Development Loans (12/01/2034)</t>
  </si>
  <si>
    <t>IN1920210250</t>
  </si>
  <si>
    <t>IUNT22</t>
  </si>
  <si>
    <t>India Universal Trust (20/09/2030) **</t>
  </si>
  <si>
    <t>INE16J715035</t>
  </si>
  <si>
    <t>IUNT25</t>
  </si>
  <si>
    <t>India Universal Trust (21/11/2030) **</t>
  </si>
  <si>
    <t>INE1CBK15037</t>
  </si>
  <si>
    <t>IUNT21</t>
  </si>
  <si>
    <t>India Universal Trust (20/07/2027) **</t>
  </si>
  <si>
    <t>INE16J715027</t>
  </si>
  <si>
    <t>IUNT24</t>
  </si>
  <si>
    <t>India Universal Trust (21/11/2027) **</t>
  </si>
  <si>
    <t>INE1CBK15029</t>
  </si>
  <si>
    <t>INBK502</t>
  </si>
  <si>
    <t>Indian Bank (30/04/2026) **</t>
  </si>
  <si>
    <t>INE562A16PQ3</t>
  </si>
  <si>
    <t>Commercial Paper</t>
  </si>
  <si>
    <t>IOIC689</t>
  </si>
  <si>
    <t>Indian Oil Corporation Limited (04/11/2025) **</t>
  </si>
  <si>
    <t>INE242A14YF2</t>
  </si>
  <si>
    <t>ICRA A1+</t>
  </si>
  <si>
    <t>Aggregate Investments by other schemes (At NAV)  as on October 31, 2025 RS 64914.87 Lakh's</t>
  </si>
  <si>
    <t>Benchmark Name - NIFTY CORPORATE BOND INDEX A-II</t>
  </si>
  <si>
    <t>TRFO01</t>
  </si>
  <si>
    <t>Travel Food Services Limited</t>
  </si>
  <si>
    <t>INE103V01028</t>
  </si>
  <si>
    <t>WIML01</t>
  </si>
  <si>
    <t>Wework India Management Limited</t>
  </si>
  <si>
    <t>INE085001019</t>
  </si>
  <si>
    <t>VMAR01</t>
  </si>
  <si>
    <t>V-Mart Retail Limited</t>
  </si>
  <si>
    <t>INE665J01013</t>
  </si>
  <si>
    <t>BJLP02</t>
  </si>
  <si>
    <t>Bluestone Jewellery and Lifestyle Limited</t>
  </si>
  <si>
    <t>INE304W01038</t>
  </si>
  <si>
    <t>LENS01</t>
  </si>
  <si>
    <t>Lenskart Solutions Limited</t>
  </si>
  <si>
    <t>INE956O01016</t>
  </si>
  <si>
    <t>Benchmark Name - NIFTY INDIA CONSUMPTION TRI</t>
  </si>
  <si>
    <t>GOI1869</t>
  </si>
  <si>
    <t>7.51% Maharashtra State Development Loans (24/05/2027)</t>
  </si>
  <si>
    <t>IN2220170020</t>
  </si>
  <si>
    <t>GOI1873</t>
  </si>
  <si>
    <t>7.52% Gujarat State Development Loans (24/05/2027)</t>
  </si>
  <si>
    <t>IN1520170045</t>
  </si>
  <si>
    <t>GOI1872</t>
  </si>
  <si>
    <t>7.52% Tamilnadu State Development Loans (24/05/2027)</t>
  </si>
  <si>
    <t>IN3120170037</t>
  </si>
  <si>
    <t>GOI1871</t>
  </si>
  <si>
    <t>7.53% Haryana State Development Loans (24/05/2027)</t>
  </si>
  <si>
    <t>IN1620170010</t>
  </si>
  <si>
    <t>GOI1785</t>
  </si>
  <si>
    <t>7.86% Karnataka State Development Loans (15/03/2027)</t>
  </si>
  <si>
    <t>IN1920160117</t>
  </si>
  <si>
    <t>GOI1834</t>
  </si>
  <si>
    <t>7.92% West Bangal State Development Loans (15/03/2027)</t>
  </si>
  <si>
    <t>IN3420160175</t>
  </si>
  <si>
    <t>GOI1831</t>
  </si>
  <si>
    <t>7.64% West Bangal State Development Loans (29/03/2027)</t>
  </si>
  <si>
    <t>IN3420160183</t>
  </si>
  <si>
    <t>GOI3764</t>
  </si>
  <si>
    <t>7.52% Uttar Pradesh State Development Loans (24/05/2027)</t>
  </si>
  <si>
    <t>IN3320170043</t>
  </si>
  <si>
    <t>GOI1893</t>
  </si>
  <si>
    <t>7.59% Karnataka State Development Loans (29/03/2027)</t>
  </si>
  <si>
    <t>IN1920160125</t>
  </si>
  <si>
    <t>GOI4359</t>
  </si>
  <si>
    <t>8.31% Rajasthan State Development Loans (08/04/2027)</t>
  </si>
  <si>
    <t>IN2920200036</t>
  </si>
  <si>
    <t>GOI1788</t>
  </si>
  <si>
    <t>7.88% Chattisgarh State Development Loans (15/03/2027)</t>
  </si>
  <si>
    <t>IN3520160034</t>
  </si>
  <si>
    <t>GOI3644</t>
  </si>
  <si>
    <t>6.58% Gujarat State Development Loans (31/03/2027)</t>
  </si>
  <si>
    <t>IN1520200347</t>
  </si>
  <si>
    <t>GOI1891</t>
  </si>
  <si>
    <t>7.63% Gujarat State Development Loans (12/04/2027)</t>
  </si>
  <si>
    <t>IN1520170011</t>
  </si>
  <si>
    <t>GOI3765</t>
  </si>
  <si>
    <t>7.51% Rajasthan State Development Loans (24/05/2027)</t>
  </si>
  <si>
    <t>IN2920170015</t>
  </si>
  <si>
    <t>GOI3085</t>
  </si>
  <si>
    <t>6.72% Kerala State Development Loans (24/03/2027)</t>
  </si>
  <si>
    <t>IN2020200290</t>
  </si>
  <si>
    <t>GOI1761</t>
  </si>
  <si>
    <t>7.78% Bihar State Development Loans (01/03/2027)</t>
  </si>
  <si>
    <t>IN1320160170</t>
  </si>
  <si>
    <t>GOI1758</t>
  </si>
  <si>
    <t>7.78% West Bengal State Development Loans (01/03/2027)</t>
  </si>
  <si>
    <t>IN3420160167</t>
  </si>
  <si>
    <t>GOI1793</t>
  </si>
  <si>
    <t>7.85% Rajasthan State Development Loans (15/03/2027)</t>
  </si>
  <si>
    <t>IN2920160438</t>
  </si>
  <si>
    <t>GOI6176</t>
  </si>
  <si>
    <t>6.48% Rajasthan State Development Loans (02/03/2027)</t>
  </si>
  <si>
    <t>IN2920210506</t>
  </si>
  <si>
    <t>GOI4371</t>
  </si>
  <si>
    <t>7.61% Uttar Pradesh State Development Loans (11/05/2027)</t>
  </si>
  <si>
    <t>IN3320170035</t>
  </si>
  <si>
    <t>GOI4592</t>
  </si>
  <si>
    <t>7.61% Uttar Pradesh State Development Loans (26/04/2027)</t>
  </si>
  <si>
    <t>IN3320170027</t>
  </si>
  <si>
    <t>GOI5794</t>
  </si>
  <si>
    <t>7.16% Haryana State Development Loans (24/05/2027)</t>
  </si>
  <si>
    <t>IN1620230046</t>
  </si>
  <si>
    <t>GOI4298</t>
  </si>
  <si>
    <t>7.87% Uttar Pradesh State Development Loans (15/03/2027)</t>
  </si>
  <si>
    <t>IN3320160341</t>
  </si>
  <si>
    <t>GOI5804</t>
  </si>
  <si>
    <t>7.55% Kerala State Development Loans (11/05/2027)</t>
  </si>
  <si>
    <t>IN2020170022</t>
  </si>
  <si>
    <t>GOI1756</t>
  </si>
  <si>
    <t>7.80% Haryana State Development Loans 2027 (01/03/2027)</t>
  </si>
  <si>
    <t>IN1620160276</t>
  </si>
  <si>
    <r>
      <rPr>
        <b/>
        <sz val="9"/>
        <color rgb="FF000000"/>
        <rFont val="Arial"/>
        <family val="2"/>
      </rPr>
      <t>The DIRF score is 97.39 %</t>
    </r>
  </si>
  <si>
    <t>Benchmark Name - CRISIL IBX SDL INDEX - MAY 2027</t>
  </si>
  <si>
    <t>GOI5152</t>
  </si>
  <si>
    <t>7.3% Government of India (19/06/2053)</t>
  </si>
  <si>
    <t>IN0020230051</t>
  </si>
  <si>
    <t>NHBA333</t>
  </si>
  <si>
    <t>7.14% National Housing Bank (17/11/2034) **</t>
  </si>
  <si>
    <t>INE557F08GA2</t>
  </si>
  <si>
    <t>GOI5728</t>
  </si>
  <si>
    <t>7.34% Government of India (22/04/2064)</t>
  </si>
  <si>
    <t>IN0020240035</t>
  </si>
  <si>
    <t>GOI6240</t>
  </si>
  <si>
    <t>7.09% Government of India (25/11/2074)</t>
  </si>
  <si>
    <t>IN0020240142</t>
  </si>
  <si>
    <t>NHPC117</t>
  </si>
  <si>
    <t>8.12% NHPC Limited (22/03/2029) **</t>
  </si>
  <si>
    <t>INE848E08136</t>
  </si>
  <si>
    <t>NBAR382</t>
  </si>
  <si>
    <t>7.60% National Bank For Agriculture and Rural Development (23/11/2032) **</t>
  </si>
  <si>
    <t>INE261F08931</t>
  </si>
  <si>
    <t>SIDB598</t>
  </si>
  <si>
    <t>7.39% Small Industries Dev Bank of India (21/03/2030) **</t>
  </si>
  <si>
    <t>INE556F08KY6</t>
  </si>
  <si>
    <t>GOI5593</t>
  </si>
  <si>
    <t>7.46% Uttar Pradesh State Development Loans (28/02/2034)</t>
  </si>
  <si>
    <t>IN3320230276</t>
  </si>
  <si>
    <t>GOI5656</t>
  </si>
  <si>
    <t>7.47% Uttarakhand State Development Loans (20/03/2034)</t>
  </si>
  <si>
    <t>IN3620230075</t>
  </si>
  <si>
    <t>HDFB878</t>
  </si>
  <si>
    <t>9% HDFC Bank Limited (29/11/2028) **</t>
  </si>
  <si>
    <t>INE040A08AB1</t>
  </si>
  <si>
    <t>EXIM630</t>
  </si>
  <si>
    <t>7.88% Export Import Bank of India (11/01/2033) **</t>
  </si>
  <si>
    <t>INE514E08FQ4</t>
  </si>
  <si>
    <t>GOI5406</t>
  </si>
  <si>
    <t>7.75% Uttar Pradesh State Development Loans (29/11/2034)</t>
  </si>
  <si>
    <t>IN3320230201</t>
  </si>
  <si>
    <t>GOI5335</t>
  </si>
  <si>
    <t>7.68% Uttar Pradesh State Development Loans (18/10/2034)</t>
  </si>
  <si>
    <t>IN3320230102</t>
  </si>
  <si>
    <t>GOI5151</t>
  </si>
  <si>
    <t>7.41% Uttar Pradesh State Development Loans (14/06/2034)</t>
  </si>
  <si>
    <t>IN3320230037</t>
  </si>
  <si>
    <t>EXIM628</t>
  </si>
  <si>
    <t>7.02% Export Import Bank of India (25/11/2031) **</t>
  </si>
  <si>
    <t>INE514E08FH3</t>
  </si>
  <si>
    <t>IRLY356</t>
  </si>
  <si>
    <t>7.03% Indian Railway Finance Corporation Limited (30/07/2036) **</t>
  </si>
  <si>
    <t>INE053F08114</t>
  </si>
  <si>
    <t>NHAI61</t>
  </si>
  <si>
    <t>8.49% National Highways Authority Of India (05/02/2029) **</t>
  </si>
  <si>
    <t>INE906B07GO3</t>
  </si>
  <si>
    <t>RECL417</t>
  </si>
  <si>
    <t>7.4% REC Limited (15/03/2036) **</t>
  </si>
  <si>
    <t>INE020B08DO8</t>
  </si>
  <si>
    <t>RECL370</t>
  </si>
  <si>
    <t>8.80% REC Limited (14/05/2029) **</t>
  </si>
  <si>
    <t>INE020B08BS3</t>
  </si>
  <si>
    <t>HDFB875</t>
  </si>
  <si>
    <t>9.05% HDFC Bank Limited (16/10/2028) **</t>
  </si>
  <si>
    <t>INE040A08732</t>
  </si>
  <si>
    <t>NBAR516</t>
  </si>
  <si>
    <t>8.5% National Bank For Agriculture and Rural Development (27/02/2029) **</t>
  </si>
  <si>
    <t>INE261F08BC8</t>
  </si>
  <si>
    <t>HDFB879</t>
  </si>
  <si>
    <t>8.55% HDFC Bank Limited (27/03/2029) **</t>
  </si>
  <si>
    <t>INE040A08724</t>
  </si>
  <si>
    <t>NHAI62</t>
  </si>
  <si>
    <t>8.27% National Highways Authority Of India (28/03/2029) **</t>
  </si>
  <si>
    <t>INE906B07GP0</t>
  </si>
  <si>
    <t>NBAR511</t>
  </si>
  <si>
    <t>8.15% National Bank For Agriculture and Rural Development (28/03/2029) **</t>
  </si>
  <si>
    <t>INE261F08BH7</t>
  </si>
  <si>
    <t>POWF460</t>
  </si>
  <si>
    <t>7.79% Power Finance Corporation Limited (22/07/2030) **</t>
  </si>
  <si>
    <t>INE134E08KU3</t>
  </si>
  <si>
    <t>HDFB881</t>
  </si>
  <si>
    <t>8.05% HDFC Bank Limited (22/10/2029) **</t>
  </si>
  <si>
    <t>INE040A08AC9</t>
  </si>
  <si>
    <t>NHPC122</t>
  </si>
  <si>
    <t>7.5% NHPC Limited (06/10/2029) **</t>
  </si>
  <si>
    <t>INE848E07AS5</t>
  </si>
  <si>
    <t>NHAI65</t>
  </si>
  <si>
    <t>7.49% National Highways Authority Of India (01/08/2029) **</t>
  </si>
  <si>
    <t>INE906B07HG7</t>
  </si>
  <si>
    <t>POWF464</t>
  </si>
  <si>
    <t>7.4% Power Finance Corporation Limited (08/05/2030) **</t>
  </si>
  <si>
    <t>INE134E08KQ1</t>
  </si>
  <si>
    <t>NHPC124</t>
  </si>
  <si>
    <t>7.5% NHPC Limited (07/10/2027) **</t>
  </si>
  <si>
    <t>INE848E07AQ9</t>
  </si>
  <si>
    <t>NBAR636</t>
  </si>
  <si>
    <t>6.97% National Bank For Agriculture and Rural Development (17/03/2031) **</t>
  </si>
  <si>
    <t>INE261F08CZ7</t>
  </si>
  <si>
    <t>PGCI363</t>
  </si>
  <si>
    <t>8.20% Power Grid Corporation of India Limited (23/01/2030) **</t>
  </si>
  <si>
    <t>INE752E07MH7</t>
  </si>
  <si>
    <t>GOI4366</t>
  </si>
  <si>
    <t>7.1% Government of India (18/04/2029)</t>
  </si>
  <si>
    <t>IN0020220011</t>
  </si>
  <si>
    <t>GOI2767</t>
  </si>
  <si>
    <t>6.63% Maharashtra State Development Loans (14/10/2030)</t>
  </si>
  <si>
    <t>IN2220200264</t>
  </si>
  <si>
    <t>GOI2954</t>
  </si>
  <si>
    <t>6.51% Karnataka State Development Loans (30/12/2030)</t>
  </si>
  <si>
    <t>IN1920200533</t>
  </si>
  <si>
    <t>IIFC28</t>
  </si>
  <si>
    <t>9.41% India Infrastructure Fin Co Ltd (27/07/2037) **</t>
  </si>
  <si>
    <t>INE787H07057</t>
  </si>
  <si>
    <t>GOI6638</t>
  </si>
  <si>
    <t>6.9% Government of India (15/04/2065)</t>
  </si>
  <si>
    <t>IN0020250018</t>
  </si>
  <si>
    <t>GOI2543</t>
  </si>
  <si>
    <t>7.04% Gujarat State Development Loans (18/03/2030)</t>
  </si>
  <si>
    <t>IN1520190217</t>
  </si>
  <si>
    <t>GOI6960</t>
  </si>
  <si>
    <t>7.24% Government of India (18/08/2055)</t>
  </si>
  <si>
    <t>IN0020250075</t>
  </si>
  <si>
    <t>GOI1197</t>
  </si>
  <si>
    <t>8.60% Government of India (02/06/2028)</t>
  </si>
  <si>
    <t>IN0020140011</t>
  </si>
  <si>
    <t>Benchmark Name - NIFTY COMPOSITE DEBT INDEX A-III</t>
  </si>
  <si>
    <t>KRET01</t>
  </si>
  <si>
    <t>Knowledge Realty Trust</t>
  </si>
  <si>
    <t>INE1JAR25012</t>
  </si>
  <si>
    <t>ADTH01</t>
  </si>
  <si>
    <t>Aditya Infotech Limited</t>
  </si>
  <si>
    <t>INE819V01029</t>
  </si>
  <si>
    <t>Index / Stock Futures</t>
  </si>
  <si>
    <t>BNIFYNOV25</t>
  </si>
  <si>
    <t>Bank Nifty Index November 2025 Future</t>
  </si>
  <si>
    <t>BRITNOV25</t>
  </si>
  <si>
    <t>Britannia Industries Limited November 2025 Future</t>
  </si>
  <si>
    <t>GMRINOV25</t>
  </si>
  <si>
    <t>GMR Airports Limited November 2025 Future</t>
  </si>
  <si>
    <t>APOLNOV25</t>
  </si>
  <si>
    <t>Apollo Hospitals Enterprise Limited November 2025 Future</t>
  </si>
  <si>
    <t>AUPHNOV25</t>
  </si>
  <si>
    <t>Aurobindo Pharma Limited November 2025 Future</t>
  </si>
  <si>
    <t>GLPHNOV25</t>
  </si>
  <si>
    <t>Glenmark Pharmaceuticals Limited November 2025 Future</t>
  </si>
  <si>
    <t>CGCENOV25</t>
  </si>
  <si>
    <t>Crompton Greaves Consumer Electricals Limited November 2025 Future</t>
  </si>
  <si>
    <t>TOPHNOV25</t>
  </si>
  <si>
    <t>Torrent Pharmaceuticals Limited November 2025 Future</t>
  </si>
  <si>
    <t>BIOCNOV25</t>
  </si>
  <si>
    <t>Biocon Limited November 2025 Future</t>
  </si>
  <si>
    <t>CHLONOV25</t>
  </si>
  <si>
    <t>Exide Industries Limited November 2025 Future</t>
  </si>
  <si>
    <t>BINLNOV25</t>
  </si>
  <si>
    <t>Indus Towers Limited November 2025 Future</t>
  </si>
  <si>
    <t>PGELNOV25</t>
  </si>
  <si>
    <t>PG Electroplast Limited November 2025 Future</t>
  </si>
  <si>
    <t>IIFMNOV25</t>
  </si>
  <si>
    <t>360 One WAM Limited November 2025 Future</t>
  </si>
  <si>
    <t>IPLINOV25</t>
  </si>
  <si>
    <t>ICICI Prudential Life Insurance Company Limited November 2025 Future</t>
  </si>
  <si>
    <t>LAURNOV25</t>
  </si>
  <si>
    <t>Laurus Labs Limited November 2025 Future</t>
  </si>
  <si>
    <t>BKBANOV25</t>
  </si>
  <si>
    <t>Bank of Baroda November 2025 Future</t>
  </si>
  <si>
    <t>ABFSNOV25</t>
  </si>
  <si>
    <t>Aditya Birla Capital Limited November 2025 Future</t>
  </si>
  <si>
    <t>BFLSNOV25</t>
  </si>
  <si>
    <t>Mphasis Limited November 2025 Future</t>
  </si>
  <si>
    <t>CANBNOV25</t>
  </si>
  <si>
    <t>Canara Bank November 2025 Future</t>
  </si>
  <si>
    <t>TWATNOV25</t>
  </si>
  <si>
    <t>Titan Company Limited November 2025 Future</t>
  </si>
  <si>
    <t>KMBKNOV25</t>
  </si>
  <si>
    <t>Kotak Mahindra Bank Limited November 2025 Future</t>
  </si>
  <si>
    <t>BFSLNOV25</t>
  </si>
  <si>
    <t>Bajaj Finserv Limited November 2025 Future</t>
  </si>
  <si>
    <t>LTFLNOV25</t>
  </si>
  <si>
    <t>L&amp;T Finance Limited November 2025 Future</t>
  </si>
  <si>
    <t>IIBLNOV25</t>
  </si>
  <si>
    <t>IndusInd Bank Limited November 2025 Future</t>
  </si>
  <si>
    <t>VNBLNOV25</t>
  </si>
  <si>
    <t>Varun Beverages Limited November 2025 Future</t>
  </si>
  <si>
    <t>ITCLNOV25</t>
  </si>
  <si>
    <t>ITC Limited November 2025 Future</t>
  </si>
  <si>
    <t>IEINNOV25</t>
  </si>
  <si>
    <t>Info Edge (India) Limited November 2025 Future</t>
  </si>
  <si>
    <t>BHAHNOV25</t>
  </si>
  <si>
    <t>Bharat Heavy Electricals Limited November 2025 Future</t>
  </si>
  <si>
    <t>MIILNOV25</t>
  </si>
  <si>
    <t>UNO Minda Limited November 2025 Future</t>
  </si>
  <si>
    <t>DLFLNOV25</t>
  </si>
  <si>
    <t>DLF Limited November 2025 Future</t>
  </si>
  <si>
    <t>SAILNOV25</t>
  </si>
  <si>
    <t>Steel Authority of India Limited November 2025 Future</t>
  </si>
  <si>
    <t>INAVNOV25</t>
  </si>
  <si>
    <t>InterGlobe Aviation Limited November 2025 Future</t>
  </si>
  <si>
    <t>PGCINOV25</t>
  </si>
  <si>
    <t>Power Grid Corporation of India Limited November 2025 Future</t>
  </si>
  <si>
    <t>ULCCNOV25</t>
  </si>
  <si>
    <t>UltraTech Cement Limited November 2025 Future</t>
  </si>
  <si>
    <t>ONGCNOV25</t>
  </si>
  <si>
    <t>Oil &amp; Natural Gas Corporation Limited November 2025 Future</t>
  </si>
  <si>
    <t>RELCNOV25</t>
  </si>
  <si>
    <t>REC Limited November 2025 Future</t>
  </si>
  <si>
    <t>MAHENOV25</t>
  </si>
  <si>
    <t>Max Healthcare Institute Limited November 2025 Future</t>
  </si>
  <si>
    <t>SBAINOV25</t>
  </si>
  <si>
    <t>State Bank of India November 2025 Future</t>
  </si>
  <si>
    <t>SAELNOV25</t>
  </si>
  <si>
    <t>TVS Motor Company Limited November 2025 Future</t>
  </si>
  <si>
    <t>TISCNOV25</t>
  </si>
  <si>
    <t>Tata Steel Limited November 2025 Future</t>
  </si>
  <si>
    <t>IBCLNOV25</t>
  </si>
  <si>
    <t>ICICI Bank Limited November 2025 Future</t>
  </si>
  <si>
    <t>EIMLNOV25</t>
  </si>
  <si>
    <t>Eicher Motors Limited November 2025 Future</t>
  </si>
  <si>
    <t>HDLINOV25</t>
  </si>
  <si>
    <t>HDFC Life Insurance Company Limited November 2025 Future</t>
  </si>
  <si>
    <t>HDFBNOV25</t>
  </si>
  <si>
    <t>HDFC Bank Limited November 2025 Future</t>
  </si>
  <si>
    <t>KCULNOV25</t>
  </si>
  <si>
    <t>Cummins India Limited November 2025 Future</t>
  </si>
  <si>
    <t>BPCLNOV25</t>
  </si>
  <si>
    <t>Bharat Petroleum Corporation Limited November 2025 Future</t>
  </si>
  <si>
    <t>MOSUNOV25</t>
  </si>
  <si>
    <t>Samvardhana Motherson International Limited November 2025 Future</t>
  </si>
  <si>
    <t>HININOV25</t>
  </si>
  <si>
    <t>Hindalco Industries Limited November 2025 Future</t>
  </si>
  <si>
    <t>GRASNOV25</t>
  </si>
  <si>
    <t>Grasim Industries Limited November 2025 Future</t>
  </si>
  <si>
    <t>SPILNOV25</t>
  </si>
  <si>
    <t>Sun Pharmaceutical Industries Limited November 2025 Future</t>
  </si>
  <si>
    <t>NITLNOV25</t>
  </si>
  <si>
    <t>Coforge Limited November 2025 Future</t>
  </si>
  <si>
    <t>SLIFNOV25</t>
  </si>
  <si>
    <t>SBI Life Insurance Company Limited November 2025 Future</t>
  </si>
  <si>
    <t>RINDNOV25</t>
  </si>
  <si>
    <t>Reliance Industries Limited November 2025 Future</t>
  </si>
  <si>
    <t>MAHINOV25</t>
  </si>
  <si>
    <t>Mahindra &amp; Mahindra Limited November 2025 Future</t>
  </si>
  <si>
    <t>TCSLNOV25</t>
  </si>
  <si>
    <t>Tata Consultancy Services Limited November 2025 Future</t>
  </si>
  <si>
    <t>BAFLNOV25</t>
  </si>
  <si>
    <t>Bajaj Finance Limited November 2025 Future</t>
  </si>
  <si>
    <t>Index / Stock Options</t>
  </si>
  <si>
    <t>BF25NO2557700C</t>
  </si>
  <si>
    <t>Bank Nifty Index 57700 Call November 2025 Option</t>
  </si>
  <si>
    <t>GH25NO25720P</t>
  </si>
  <si>
    <t>Shriram Finance Limited 720 Put November 2025 Option</t>
  </si>
  <si>
    <t>MUFL457</t>
  </si>
  <si>
    <t>8.52% Muthoot Finance Limited (07/04/2028)</t>
  </si>
  <si>
    <t>INE414G07JN3</t>
  </si>
  <si>
    <t>EOPR41</t>
  </si>
  <si>
    <t>7.25% Embassy Office Parks REIT (24/07/2035) **</t>
  </si>
  <si>
    <t>INE041007191</t>
  </si>
  <si>
    <t>BHAT77</t>
  </si>
  <si>
    <t>8.75% Bharti Telecom Limited (05/11/2029) **</t>
  </si>
  <si>
    <t>INE403D08264</t>
  </si>
  <si>
    <t>BHAT75</t>
  </si>
  <si>
    <t>8.65% Bharti Telecom Limited (05/11/2027) **</t>
  </si>
  <si>
    <t>INE403D08231</t>
  </si>
  <si>
    <t>GMHI20</t>
  </si>
  <si>
    <t>8.58% GMR Hyderabad International Airport Limited (28/03/2034) **</t>
  </si>
  <si>
    <t>INE802J07035</t>
  </si>
  <si>
    <t>ICRA AA+</t>
  </si>
  <si>
    <t>SHTR500</t>
  </si>
  <si>
    <t>8.75% Shriram Finance Limited (05/10/2026) **</t>
  </si>
  <si>
    <t>INE721A07RQ0</t>
  </si>
  <si>
    <t>MALE635</t>
  </si>
  <si>
    <t>7.60% Poonawalla Fincorp Limited (28/05/2027) **</t>
  </si>
  <si>
    <t>INE511C07870</t>
  </si>
  <si>
    <t>GOSL409</t>
  </si>
  <si>
    <t>8.10% Godrej Industries Limited (22/05/2028) **</t>
  </si>
  <si>
    <t>INE233A08154</t>
  </si>
  <si>
    <t>GOI2748</t>
  </si>
  <si>
    <t>7.22% Maharashtra State Development Loans (26/10/2026)</t>
  </si>
  <si>
    <t>IN2220160096</t>
  </si>
  <si>
    <t>NAHR20</t>
  </si>
  <si>
    <t>8.4% Narayana Hrudayalaya Limited (15/02/2030) **</t>
  </si>
  <si>
    <t>INE410P08024</t>
  </si>
  <si>
    <t>ICRA AA</t>
  </si>
  <si>
    <t>HDFB888</t>
  </si>
  <si>
    <t>6.83% HDFC Bank Limited (08/01/2031) **</t>
  </si>
  <si>
    <t>INE040A08864</t>
  </si>
  <si>
    <t>BHFL121</t>
  </si>
  <si>
    <t>7.98% Bajaj Housing Finance Limited (09/09/2026) **</t>
  </si>
  <si>
    <t>INE377Y07490</t>
  </si>
  <si>
    <t>TISC240</t>
  </si>
  <si>
    <t>8.03% Tata Steel Limited (25/02/2028) **</t>
  </si>
  <si>
    <t>INE081A08330</t>
  </si>
  <si>
    <t>CARE AA+</t>
  </si>
  <si>
    <t>HDFB871</t>
  </si>
  <si>
    <t>7.9% HDFC Bank Limited (24/08/2026) **</t>
  </si>
  <si>
    <t>INE040A08484</t>
  </si>
  <si>
    <t>MAHT36</t>
  </si>
  <si>
    <t>7.80% Mahanagar Telephone Nigam Limited (07/11/2033) **</t>
  </si>
  <si>
    <t>INE153A08170</t>
  </si>
  <si>
    <t>CARE AAA(CE)</t>
  </si>
  <si>
    <t>GODP219</t>
  </si>
  <si>
    <t>8.15% Godrej Properties Limited (03/07/2026) **</t>
  </si>
  <si>
    <t>INE484J08048</t>
  </si>
  <si>
    <t>AAHF88</t>
  </si>
  <si>
    <t>8.50% Aadhar Housing Finance Limited (26/05/2026) **</t>
  </si>
  <si>
    <t>INE883F07306</t>
  </si>
  <si>
    <t>GOI4586</t>
  </si>
  <si>
    <t>6.39% Andhra Pradesh State Development Loans (20/05/2026)</t>
  </si>
  <si>
    <t>IN1020200136</t>
  </si>
  <si>
    <t>GOI3642</t>
  </si>
  <si>
    <t>6.24% Maharashtra State Development Loans (11/08/2026)</t>
  </si>
  <si>
    <t>IN2220210214</t>
  </si>
  <si>
    <t>IRLY382</t>
  </si>
  <si>
    <t>7.39% Indian Railway Finance Corporation Limited (15/07/2034) **</t>
  </si>
  <si>
    <t>INE053F08403</t>
  </si>
  <si>
    <t>VAJR20</t>
  </si>
  <si>
    <t>Vajra Trust (20/04/2029) **</t>
  </si>
  <si>
    <t>INE0S9015015</t>
  </si>
  <si>
    <t>ICRA AAA(SO)</t>
  </si>
  <si>
    <t>TBIL2544</t>
  </si>
  <si>
    <t>91 Days Tbill (MD 06/11/2025)</t>
  </si>
  <si>
    <t>IN002025X190</t>
  </si>
  <si>
    <t>TBIL2547</t>
  </si>
  <si>
    <t>91 Days Tbill (MD 13/11/2025)</t>
  </si>
  <si>
    <t>IN002025X208</t>
  </si>
  <si>
    <t>TBIL2580</t>
  </si>
  <si>
    <t>91 Days Tbill (MD 29/01/2026)</t>
  </si>
  <si>
    <t>IN002025X315</t>
  </si>
  <si>
    <t>TBIL2553</t>
  </si>
  <si>
    <t>91 Days Tbill (MD 28/11/2025)</t>
  </si>
  <si>
    <t>IN002025X224</t>
  </si>
  <si>
    <t>Benchmark Name - NIFTY 50 HYBRID COMPOSITE DEBT 50:50 INDEX</t>
  </si>
  <si>
    <t>TELCNOV25</t>
  </si>
  <si>
    <t>Tata Motors Passenger Vehicles Limited November 2025 Future</t>
  </si>
  <si>
    <t>COLGNOV25</t>
  </si>
  <si>
    <t>Colgate Palmolive (India) Limited November 2025 Future</t>
  </si>
  <si>
    <t>TTECNOV25</t>
  </si>
  <si>
    <t>Tata Technologies Limited November 2025 Future</t>
  </si>
  <si>
    <t>ASEANOV25</t>
  </si>
  <si>
    <t>ABB India Limited November 2025 Future</t>
  </si>
  <si>
    <t>SIEMNOV25</t>
  </si>
  <si>
    <t>Siemens Limited November 2025 Future</t>
  </si>
  <si>
    <t>MKIPNOV25</t>
  </si>
  <si>
    <t>Mankind Pharma Limited November 2025 Future</t>
  </si>
  <si>
    <t>INENNOV25</t>
  </si>
  <si>
    <t>Cyient Limited November 2025 Future</t>
  </si>
  <si>
    <t>BALNNOV25</t>
  </si>
  <si>
    <t>Bajaj Auto Limited November 2025 Future</t>
  </si>
  <si>
    <t>TLFHNOV25</t>
  </si>
  <si>
    <t>Tube Investments of India Limited November 2025 Future</t>
  </si>
  <si>
    <t>ILOMNOV25</t>
  </si>
  <si>
    <t>ICICI Lombard General Insurance Company Limited November 2025 Future</t>
  </si>
  <si>
    <t>ABBPNOV25</t>
  </si>
  <si>
    <t>Hitachi Energy India Limited November 2025 Future</t>
  </si>
  <si>
    <t>HAILNOV25</t>
  </si>
  <si>
    <t>Havells India Limited November 2025 Future</t>
  </si>
  <si>
    <t>IGASNOV25</t>
  </si>
  <si>
    <t>Indraprastha Gas Limited November 2025 Future</t>
  </si>
  <si>
    <t>PPHANOV25</t>
  </si>
  <si>
    <t>Piramal Pharma Limited November 2025 Future</t>
  </si>
  <si>
    <t>SUPINOV25</t>
  </si>
  <si>
    <t>Supreme Industries Limited November 2025 Future</t>
  </si>
  <si>
    <t>MNGFNOV25</t>
  </si>
  <si>
    <t>Manappuram Finance Limited November 2025 Future</t>
  </si>
  <si>
    <t>NHPCNOV25</t>
  </si>
  <si>
    <t>NHPC Limited November 2025 Future</t>
  </si>
  <si>
    <t>NAGFNOV25</t>
  </si>
  <si>
    <t>NCC Limited November 2025 Future</t>
  </si>
  <si>
    <t>CROMNOV25</t>
  </si>
  <si>
    <t>CG Power and Industrial Solutions Limited November 2025 Future</t>
  </si>
  <si>
    <t>ASPANOV25</t>
  </si>
  <si>
    <t>Asian Paints Limited November 2025 Future</t>
  </si>
  <si>
    <t>CCOIDEC25</t>
  </si>
  <si>
    <t>Container Corporation of India Limited December 2025 Future</t>
  </si>
  <si>
    <t>OBRLNOV25</t>
  </si>
  <si>
    <t>Oberoi Realty Limited November 2025 Future</t>
  </si>
  <si>
    <t>JSPLNOV25</t>
  </si>
  <si>
    <t>Jindal Steel Limited November 2025 Future</t>
  </si>
  <si>
    <t>PGCIDEC25</t>
  </si>
  <si>
    <t>Power Grid Corporation of India Limited December 2025 Future</t>
  </si>
  <si>
    <t>HLELNOV25</t>
  </si>
  <si>
    <t>Hindustan Unilever Limited November 2025 Future</t>
  </si>
  <si>
    <t>ATATDEC25</t>
  </si>
  <si>
    <t>Vodafone Idea Limited December 2025 Future</t>
  </si>
  <si>
    <t>KAYNNOV25</t>
  </si>
  <si>
    <t>Kaynes Technology India Limited November 2025 Future</t>
  </si>
  <si>
    <t>TEMANOV25</t>
  </si>
  <si>
    <t>Tech Mahindra Limited November 2025 Future</t>
  </si>
  <si>
    <t>CIPLNOV25</t>
  </si>
  <si>
    <t>Cipla Limited November 2025 Future</t>
  </si>
  <si>
    <t>CDSLNOV25</t>
  </si>
  <si>
    <t>Central Depository Services (India) Limited November 2025 Future</t>
  </si>
  <si>
    <t>NTPCNOV25</t>
  </si>
  <si>
    <t>NTPC Limited November 2025 Future</t>
  </si>
  <si>
    <t>NTPCDEC25</t>
  </si>
  <si>
    <t>NTPC Limited December 2025 Future</t>
  </si>
  <si>
    <t>DABUNOV25</t>
  </si>
  <si>
    <t>Dabur India Limited November 2025 Future</t>
  </si>
  <si>
    <t>ODCLNOV25</t>
  </si>
  <si>
    <t>Dalmia Bharat Limited November 2025 Future</t>
  </si>
  <si>
    <t>SUZENOV25</t>
  </si>
  <si>
    <t>Suzlon Energy Limited November 2025 Future</t>
  </si>
  <si>
    <t>SECHNOV25</t>
  </si>
  <si>
    <t>UPL Limited November 2025 Future</t>
  </si>
  <si>
    <t>FSNENOV25</t>
  </si>
  <si>
    <t>FSN E-Commerce Ventures Limited November 2025 Future</t>
  </si>
  <si>
    <t>HURDNOV25</t>
  </si>
  <si>
    <t>Housing &amp; Urban Development Corporation Limited November 2025 Future</t>
  </si>
  <si>
    <t>TGWLNOV25</t>
  </si>
  <si>
    <t>Titagarh Rail Systems Limited November 2025 Future</t>
  </si>
  <si>
    <t>JUFLNOV25</t>
  </si>
  <si>
    <t>Jubilant Foodworks Limited November 2025 Future</t>
  </si>
  <si>
    <t>HDAMNOV25</t>
  </si>
  <si>
    <t>HDFC Asset Management Company Limited November 2025 Future</t>
  </si>
  <si>
    <t>POWFDEC25</t>
  </si>
  <si>
    <t>Power Finance Corporation Limited December 2025 Future</t>
  </si>
  <si>
    <t>MAXINOV25</t>
  </si>
  <si>
    <t>Max Financial Services Limited November 2025 Future</t>
  </si>
  <si>
    <t>ASTPNOV25</t>
  </si>
  <si>
    <t>Astral Limited November 2025 Future</t>
  </si>
  <si>
    <t>LICONOV25</t>
  </si>
  <si>
    <t>Life Insurance Corporation Of India November 2025 Future</t>
  </si>
  <si>
    <t>LUPLNOV25</t>
  </si>
  <si>
    <t>Lupin Limited November 2025 Future</t>
  </si>
  <si>
    <t>NACLNOV25</t>
  </si>
  <si>
    <t>National Aluminium Company Limited November 2025 Future</t>
  </si>
  <si>
    <t>IFELNOV25</t>
  </si>
  <si>
    <t>Oracle Financial Services Software Limited November 2025 Future</t>
  </si>
  <si>
    <t>IEELNOV25</t>
  </si>
  <si>
    <t>Indian Energy Exchange Limited November 2025 Future</t>
  </si>
  <si>
    <t>PHMINOV25</t>
  </si>
  <si>
    <t>The Phoenix Mills Limited November 2025 Future</t>
  </si>
  <si>
    <t>BKINNOV25</t>
  </si>
  <si>
    <t>Bank of India November 2025 Future</t>
  </si>
  <si>
    <t>IRLYNOV25</t>
  </si>
  <si>
    <t>Indian Railway Finance Corporation Limited November 2025 Future</t>
  </si>
  <si>
    <t>SSNLNOV25</t>
  </si>
  <si>
    <t>Delhivery Limited November 2025 Future</t>
  </si>
  <si>
    <t>HPECNOV25</t>
  </si>
  <si>
    <t>Hindustan Petroleum Corporation Limited November 2025 Future</t>
  </si>
  <si>
    <t>HIMFNOV25</t>
  </si>
  <si>
    <t>HFCL Limited November 2025 Future</t>
  </si>
  <si>
    <t>INOWNOV25</t>
  </si>
  <si>
    <t>Inox Wind Limited November 2025 Future</t>
  </si>
  <si>
    <t>SYNINOV25</t>
  </si>
  <si>
    <t>Syngene International Limited November 2025 Future</t>
  </si>
  <si>
    <t>MAZGNOV25</t>
  </si>
  <si>
    <t>Mazagon Dock Shipbuilders Limited November 2025 Future</t>
  </si>
  <si>
    <t>PSYLNOV25</t>
  </si>
  <si>
    <t>Persistent Systems Limited November 2025 Future</t>
  </si>
  <si>
    <t>UNBINOV25</t>
  </si>
  <si>
    <t>Union Bank of India November 2025 Future</t>
  </si>
  <si>
    <t>IHOTNOV25</t>
  </si>
  <si>
    <t>The Indian Hotels Company Limited November 2025 Future</t>
  </si>
  <si>
    <t>BANDNOV25</t>
  </si>
  <si>
    <t>Bandhan Bank Limited November 2025 Future</t>
  </si>
  <si>
    <t>ADANNOV25</t>
  </si>
  <si>
    <t>Adani Enterprises Limited November 2025 Future</t>
  </si>
  <si>
    <t>ESMCNOV25</t>
  </si>
  <si>
    <t>PB Fintech Limited November 2025 Future</t>
  </si>
  <si>
    <t>PREPNOV25</t>
  </si>
  <si>
    <t>Prestige Estates Projects Limited November 2025 Future</t>
  </si>
  <si>
    <t>TOPLNOV25</t>
  </si>
  <si>
    <t>Torrent Power Limited November 2025 Future</t>
  </si>
  <si>
    <t>FEBANOV25</t>
  </si>
  <si>
    <t>The Federal Bank Limited November 2025 Future</t>
  </si>
  <si>
    <t>BHDYNOV25</t>
  </si>
  <si>
    <t>Bharat Dynamics Limited November 2025 Future</t>
  </si>
  <si>
    <t>PLNGNOV25</t>
  </si>
  <si>
    <t>Petronet LNG Limited November 2025 Future</t>
  </si>
  <si>
    <t>POCANOV25</t>
  </si>
  <si>
    <t>Polycab India Limited November 2025 Future</t>
  </si>
  <si>
    <t>CAMSNOV25</t>
  </si>
  <si>
    <t>Computer Age Management Services Limited November 2025 Future</t>
  </si>
  <si>
    <t>SRFLNOV25</t>
  </si>
  <si>
    <t>SRF Limited November 2025 Future</t>
  </si>
  <si>
    <t>MAUDNOV25</t>
  </si>
  <si>
    <t>Maruti Suzuki India Limited November 2025 Future</t>
  </si>
  <si>
    <t>IBHFNOV25</t>
  </si>
  <si>
    <t>Sammaan Capital Limited November 2025 Future</t>
  </si>
  <si>
    <t>BSELNOV25</t>
  </si>
  <si>
    <t>BSE Limited November 2025 Future</t>
  </si>
  <si>
    <t>HCLTNOV25</t>
  </si>
  <si>
    <t>HCL Technologies Limited November 2025 Future</t>
  </si>
  <si>
    <t>SOELNOV25</t>
  </si>
  <si>
    <t>Solar Industries India Limited November 2025 Future</t>
  </si>
  <si>
    <t>MUNDNOV25</t>
  </si>
  <si>
    <t>Adani Ports and Special Economic Zone Limited November 2025 Future</t>
  </si>
  <si>
    <t>NESTNOV25</t>
  </si>
  <si>
    <t>Nestle India Limited November 2025 Future</t>
  </si>
  <si>
    <t>HERONOV25</t>
  </si>
  <si>
    <t>Hero MotoCorp Limited November 2025 Future</t>
  </si>
  <si>
    <t>YESBNOV25</t>
  </si>
  <si>
    <t>Yes Bank Limited November 2025 Future</t>
  </si>
  <si>
    <t>ALKENOV25</t>
  </si>
  <si>
    <t>Alkem Laboratories Limited November 2025 Future</t>
  </si>
  <si>
    <t>RUCHNOV25</t>
  </si>
  <si>
    <t>Patanjali Foods Limited November 2025 Future</t>
  </si>
  <si>
    <t>IINFNOV25</t>
  </si>
  <si>
    <t>IIFL Finance Limited November 2025 Future</t>
  </si>
  <si>
    <t>GUAMNOV25</t>
  </si>
  <si>
    <t>Ambuja Cements Limited November 2025 Future</t>
  </si>
  <si>
    <t>MACRNOV25</t>
  </si>
  <si>
    <t>Lodha Developers Limited November 2025 Future</t>
  </si>
  <si>
    <t>LICHNOV25</t>
  </si>
  <si>
    <t>LIC Housing Finance Limited November 2025 Future</t>
  </si>
  <si>
    <t>NBCCNOV25</t>
  </si>
  <si>
    <t>NBCC (India) Limited November 2025 Future</t>
  </si>
  <si>
    <t>HZINNOV25</t>
  </si>
  <si>
    <t>Hindustan Zinc Limited November 2025 Future</t>
  </si>
  <si>
    <t>TTEANOV25</t>
  </si>
  <si>
    <t>Tata Consumer Products Limited November 2025 Future</t>
  </si>
  <si>
    <t>ADTLNOV25</t>
  </si>
  <si>
    <t>Adani Energy Solutions Limited November 2025 Future</t>
  </si>
  <si>
    <t>AGELNOV25</t>
  </si>
  <si>
    <t>Adani Green Energy Limited November 2025 Future</t>
  </si>
  <si>
    <t>MCSPNOV25</t>
  </si>
  <si>
    <t>United Spirits Limited November 2025 Future</t>
  </si>
  <si>
    <t>RELSNOV25</t>
  </si>
  <si>
    <t>Jio Financial Services Limited November 2025 Future</t>
  </si>
  <si>
    <t>HALTNOV25</t>
  </si>
  <si>
    <t>Hindustan Aeronautics Limited November 2025 Future</t>
  </si>
  <si>
    <t>DIVINOV25</t>
  </si>
  <si>
    <t>Divi's Laboratories Limited November 2025 Future</t>
  </si>
  <si>
    <t>MOTINOV25</t>
  </si>
  <si>
    <t>Bosch Limited November 2025 Future</t>
  </si>
  <si>
    <t>LAKMNOV25</t>
  </si>
  <si>
    <t>Trent Limited November 2025 Future</t>
  </si>
  <si>
    <t>BTULNOV25</t>
  </si>
  <si>
    <t>APL Apollo Tubes Limited November 2025 Future</t>
  </si>
  <si>
    <t>KALJNOV25</t>
  </si>
  <si>
    <t>Kalyan Jewellers India Limited November 2025 Future</t>
  </si>
  <si>
    <t>NMDCNOV25</t>
  </si>
  <si>
    <t>NMDC Limited November 2025 Future</t>
  </si>
  <si>
    <t>BHELNOV25</t>
  </si>
  <si>
    <t>Bharat Electronics Limited November 2025 Future</t>
  </si>
  <si>
    <t>DIXONOV25</t>
  </si>
  <si>
    <t>Dixon Technologies (India) Limited November 2025 Future</t>
  </si>
  <si>
    <t>SESANOV25</t>
  </si>
  <si>
    <t>Vedanta Limited November 2025 Future</t>
  </si>
  <si>
    <t>LARSNOV25</t>
  </si>
  <si>
    <t>Larsen &amp; Toubro Limited November 2025 Future</t>
  </si>
  <si>
    <t>JSWENOV25</t>
  </si>
  <si>
    <t>JSW Energy Limited November 2025 Future</t>
  </si>
  <si>
    <t>JVSLNOV25</t>
  </si>
  <si>
    <t>JSW Steel Limited November 2025 Future</t>
  </si>
  <si>
    <t>SHTRNOV25</t>
  </si>
  <si>
    <t>Shriram Finance Limited November 2025 Future</t>
  </si>
  <si>
    <t>AFPLNOV25</t>
  </si>
  <si>
    <t>AU Small Finance Bank Limited November 2025 Future</t>
  </si>
  <si>
    <t>MCEXNOV25</t>
  </si>
  <si>
    <t>Multi Commodity Exchange of India Limited November 2025 Future</t>
  </si>
  <si>
    <t>PIDINOV25</t>
  </si>
  <si>
    <t>Pidilite Industries Limited November 2025 Future</t>
  </si>
  <si>
    <t>MARCNOV25</t>
  </si>
  <si>
    <t>Marico Limited November 2025 Future</t>
  </si>
  <si>
    <t>ONCONOV25</t>
  </si>
  <si>
    <t>One 97 Communications Limited November 2025 Future</t>
  </si>
  <si>
    <t>PHFPNOV25</t>
  </si>
  <si>
    <t>PNB Housing Finance Limited November 2025 Future</t>
  </si>
  <si>
    <t>RTBKNOV25</t>
  </si>
  <si>
    <t>RBL Bank Limited November 2025 Future</t>
  </si>
  <si>
    <t>TPOWNOV25</t>
  </si>
  <si>
    <t>Tata Power Company Limited November 2025 Future</t>
  </si>
  <si>
    <t>SONBNOV25</t>
  </si>
  <si>
    <t>Sona BLW Precision Forgings Limited November 2025 Future</t>
  </si>
  <si>
    <t>BTVLNOV25</t>
  </si>
  <si>
    <t>Bharti Airtel Limited November 2025 Future</t>
  </si>
  <si>
    <t>GODPNOV25</t>
  </si>
  <si>
    <t>Godrej Properties Limited November 2025 Future</t>
  </si>
  <si>
    <t>PUBANOV25</t>
  </si>
  <si>
    <t>Punjab National Bank November 2025 Future</t>
  </si>
  <si>
    <t>ZMPLNOV25</t>
  </si>
  <si>
    <t>Eternal Limited November 2025 Future</t>
  </si>
  <si>
    <t>IDBKNOV25</t>
  </si>
  <si>
    <t>IDFC First Bank Limited November 2025 Future</t>
  </si>
  <si>
    <t>ATATNOV25</t>
  </si>
  <si>
    <t>Vodafone Idea Limited November 2025 Future</t>
  </si>
  <si>
    <t>KOMP1683</t>
  </si>
  <si>
    <t>8.1% Kotak Mahindra Prime Limited (10/04/2026) **</t>
  </si>
  <si>
    <t>INE916DA7SK5</t>
  </si>
  <si>
    <t>RECL436</t>
  </si>
  <si>
    <t>7.44% REC Limited (30/04/2026) **</t>
  </si>
  <si>
    <t>INE020B08EL2</t>
  </si>
  <si>
    <t>NBAR677</t>
  </si>
  <si>
    <t>7.4% National Bank For Agriculture and Rural Development (30/01/2026) **</t>
  </si>
  <si>
    <t>INE261F08DO9</t>
  </si>
  <si>
    <t>TCFS658</t>
  </si>
  <si>
    <t>8.30% Tata Capital Limited (13/03/2026) **</t>
  </si>
  <si>
    <t>INE306N07NL3</t>
  </si>
  <si>
    <t>HDBF308</t>
  </si>
  <si>
    <t>7.99% HDB Financial Services Limited (16/03/2026) **</t>
  </si>
  <si>
    <t>INE756I07EO2</t>
  </si>
  <si>
    <t>NBAR719</t>
  </si>
  <si>
    <t>7.50% National Bank For Agriculture and Rural Development (31/08/2026) **</t>
  </si>
  <si>
    <t>INE261F08EA6</t>
  </si>
  <si>
    <t>SIDB513</t>
  </si>
  <si>
    <t>7.43% Small Industries Dev Bank of India (31/08/2026)</t>
  </si>
  <si>
    <t>INE556F08KH1</t>
  </si>
  <si>
    <t>GOI4439</t>
  </si>
  <si>
    <t>6.2% Rajasthan State Development Loans (02/02/2026)</t>
  </si>
  <si>
    <t>IN2920210464</t>
  </si>
  <si>
    <t>NBAR723</t>
  </si>
  <si>
    <t>7.49% National Bank For Agriculture and Rural Development (15/10/2026) **</t>
  </si>
  <si>
    <t>INE261F08EB4</t>
  </si>
  <si>
    <t>SIDB519</t>
  </si>
  <si>
    <t>7.44% Small Industries Dev Bank of India (04/09/2026) **</t>
  </si>
  <si>
    <t>INE556F08KI9</t>
  </si>
  <si>
    <t>IRLY375</t>
  </si>
  <si>
    <t>7.68% Indian Railway Finance Corporation Limited (24/11/2026) **</t>
  </si>
  <si>
    <t>INE053F08338</t>
  </si>
  <si>
    <t>SIDB596</t>
  </si>
  <si>
    <t>Small Industries Dev Bank of India (11/03/2026)</t>
  </si>
  <si>
    <t>INE556F16BD2</t>
  </si>
  <si>
    <t>CARE A1+</t>
  </si>
  <si>
    <t>PUBA1118</t>
  </si>
  <si>
    <t>Punjab National Bank (18/12/2025) **</t>
  </si>
  <si>
    <t>INE160A16SR8</t>
  </si>
  <si>
    <t>PUBA1073</t>
  </si>
  <si>
    <t>Punjab National Bank (19/12/2025) **</t>
  </si>
  <si>
    <t>INE160A16QS0</t>
  </si>
  <si>
    <t>PUBA1075</t>
  </si>
  <si>
    <t>Punjab National Bank (16/01/2026) **</t>
  </si>
  <si>
    <t>INE160A16QV4</t>
  </si>
  <si>
    <t>LTFH120</t>
  </si>
  <si>
    <t>L&amp;T Finance Limited (10/03/2026) **</t>
  </si>
  <si>
    <t>INE498L14DT2</t>
  </si>
  <si>
    <t>RICL208</t>
  </si>
  <si>
    <t>Barclays Investments &amp; Loans (India) Private Limited (30/01/2026) **</t>
  </si>
  <si>
    <t>INE704I14KK3</t>
  </si>
  <si>
    <t>LTFH125</t>
  </si>
  <si>
    <t>L&amp;T Finance Limited (02/06/2026) **</t>
  </si>
  <si>
    <t>INE498L14EB8</t>
  </si>
  <si>
    <t>HDFS314</t>
  </si>
  <si>
    <t>HDFC Securities Limited (13/03/2026) **</t>
  </si>
  <si>
    <t>INE700G14QD7</t>
  </si>
  <si>
    <t>ICBR571</t>
  </si>
  <si>
    <t>ICICI Securities Limited (04/03/2026) **</t>
  </si>
  <si>
    <t>INE763G14XM2</t>
  </si>
  <si>
    <t>TBIL2526</t>
  </si>
  <si>
    <t>182 Days Tbill (MD 11/12/2025)</t>
  </si>
  <si>
    <t>IN002025Y115</t>
  </si>
  <si>
    <t>TBIL2487</t>
  </si>
  <si>
    <t>364 Days Tbill (MD 19/03/2026)</t>
  </si>
  <si>
    <t>IN002024Z495</t>
  </si>
  <si>
    <t>147567</t>
  </si>
  <si>
    <t>Axis Money Market Fund - Direct Plan - Growth Option</t>
  </si>
  <si>
    <t>INF846K01Q62</t>
  </si>
  <si>
    <t>Aggregate Investments by other schemes (At NAV)  as on October 31, 2025 RS 37848.27 Lakh's</t>
  </si>
  <si>
    <t>Benchmark Name - NIFTY 50 ARBITRAGE INDEX</t>
  </si>
  <si>
    <t>Exchange Traded Funds</t>
  </si>
  <si>
    <t>145648</t>
  </si>
  <si>
    <t>SBI Nifty 200 Quality 30 ETF</t>
  </si>
  <si>
    <t>INF200KA1WX6</t>
  </si>
  <si>
    <t>153414</t>
  </si>
  <si>
    <t>INF846KA1119</t>
  </si>
  <si>
    <t>141596</t>
  </si>
  <si>
    <t>ICICI Prudential Nifty 100 Low Volatility 30 ETF</t>
  </si>
  <si>
    <t>INF109KC19U5</t>
  </si>
  <si>
    <t>150455</t>
  </si>
  <si>
    <t>ICICI Prudential Nifty 200 Momentum 30 ETF</t>
  </si>
  <si>
    <t>INF109KC17C7</t>
  </si>
  <si>
    <t>EOPR01</t>
  </si>
  <si>
    <t>Embassy Office Parks REIT</t>
  </si>
  <si>
    <t>INE041025011</t>
  </si>
  <si>
    <t>SMFP01</t>
  </si>
  <si>
    <t>Suryoday Small Finance Bank Limited</t>
  </si>
  <si>
    <t>INE428Q01011</t>
  </si>
  <si>
    <t>SESA536</t>
  </si>
  <si>
    <t>9.40% Vedanta Limited (20/02/2027) **</t>
  </si>
  <si>
    <t>INE205A08038</t>
  </si>
  <si>
    <t>BABM20</t>
  </si>
  <si>
    <t>Bamboo Hotel And Global Centre (Delhi) Private limited (31/01/2028) **</t>
  </si>
  <si>
    <t>INE755L07015</t>
  </si>
  <si>
    <t>ICRA A+(CE)</t>
  </si>
  <si>
    <t>TCHF389</t>
  </si>
  <si>
    <t>7.8445% Tata Capital Housing Finance Limited (18/09/2026) **</t>
  </si>
  <si>
    <t>INE033L07IC6</t>
  </si>
  <si>
    <t>MAHT34</t>
  </si>
  <si>
    <t>7.59% Mahanagar Telephone Nigam Limited (20/07/2033) **</t>
  </si>
  <si>
    <t>INE153A08154</t>
  </si>
  <si>
    <t>APTU21</t>
  </si>
  <si>
    <t>8.95% Aptus Finance India Private Limited (06/03/2029) **</t>
  </si>
  <si>
    <t>INE04MH07059</t>
  </si>
  <si>
    <t>CARE AA</t>
  </si>
  <si>
    <t>GOI5817</t>
  </si>
  <si>
    <t>7.04% Government of India (03/06/2029)</t>
  </si>
  <si>
    <t>IN0020240050</t>
  </si>
  <si>
    <t>AVHF21</t>
  </si>
  <si>
    <t>8.75% Aptus Value Housing Finance India Limited (11/03/2030) **</t>
  </si>
  <si>
    <t>INE852O07154</t>
  </si>
  <si>
    <t>IKFF23</t>
  </si>
  <si>
    <t>9.4% IKF Finance Limited (12/08/2027) **</t>
  </si>
  <si>
    <t>INE859C07246</t>
  </si>
  <si>
    <t>CARE A+</t>
  </si>
  <si>
    <t>GOI2634</t>
  </si>
  <si>
    <t>7.17% Tamilnadu State Development Loans (27/11/2029)</t>
  </si>
  <si>
    <t>IN3120190217</t>
  </si>
  <si>
    <t>GOI3704</t>
  </si>
  <si>
    <t>7.17% Karnataka State Development Loans (27/11/2029)</t>
  </si>
  <si>
    <t>IN1920190106</t>
  </si>
  <si>
    <t>GOI6322</t>
  </si>
  <si>
    <t>6.9% Karnataka State Development Loans (17/07/2029)</t>
  </si>
  <si>
    <t>IN1920190015</t>
  </si>
  <si>
    <t>GOI3607</t>
  </si>
  <si>
    <t>4.04% Government of India (04/10/2028)</t>
  </si>
  <si>
    <t>IN0020210160</t>
  </si>
  <si>
    <t>TBIL2563</t>
  </si>
  <si>
    <t>182 Days Tbill (MD 05/03/2026)</t>
  </si>
  <si>
    <t>IN002025Y230</t>
  </si>
  <si>
    <t>Benchmark Name - CRISIL HYBRID 35+65 - AGGRESSIVE INDEX</t>
  </si>
  <si>
    <t>AXNE51ME</t>
  </si>
  <si>
    <t>INF846K01W98</t>
  </si>
  <si>
    <t>Benchmark Name - BSE 100 TRI</t>
  </si>
  <si>
    <t>SJSE01</t>
  </si>
  <si>
    <t>S.J.S. Enterprises Limited</t>
  </si>
  <si>
    <t>INE284S01014</t>
  </si>
  <si>
    <t>HGEL01</t>
  </si>
  <si>
    <t>Healthcare Global Enterprises Limited</t>
  </si>
  <si>
    <t>INE075I01017</t>
  </si>
  <si>
    <t>TLSL01</t>
  </si>
  <si>
    <t>TeamLease Services Limited</t>
  </si>
  <si>
    <t>INE985S01024</t>
  </si>
  <si>
    <t>MUFLNOV25</t>
  </si>
  <si>
    <t>Muthoot Finance Limited November 2025 Future</t>
  </si>
  <si>
    <t>MUFL433</t>
  </si>
  <si>
    <t>8.9% Muthoot Finance Limited (07/10/2027) **</t>
  </si>
  <si>
    <t>INE414G07JI3</t>
  </si>
  <si>
    <t>GOI5490</t>
  </si>
  <si>
    <t>7.37% Government of India (23/01/2054)</t>
  </si>
  <si>
    <t>IN0020230176</t>
  </si>
  <si>
    <t>MUFL423</t>
  </si>
  <si>
    <t>9.02% Muthoot Finance Limited (14/07/2027) **</t>
  </si>
  <si>
    <t>INE414G07JF9</t>
  </si>
  <si>
    <t>NBAR351</t>
  </si>
  <si>
    <t>7.69% National Bank For Agriculture and Rural Development (31/03/2032)</t>
  </si>
  <si>
    <t>INE261F08832</t>
  </si>
  <si>
    <t>GOI1389</t>
  </si>
  <si>
    <t>7.72% Government of India (26/10/2055)</t>
  </si>
  <si>
    <t>IN0020150077</t>
  </si>
  <si>
    <t>TBIL2442</t>
  </si>
  <si>
    <t>364 Days Tbill (MD 04/12/2025)</t>
  </si>
  <si>
    <t>IN002024Z347</t>
  </si>
  <si>
    <t>TBIL2568</t>
  </si>
  <si>
    <t>91 Days Tbill (MD 02/01/2026)</t>
  </si>
  <si>
    <t>IN002025X273</t>
  </si>
  <si>
    <t>TBIL2435</t>
  </si>
  <si>
    <t>364 Days Tbill (MD 21/11/2025)</t>
  </si>
  <si>
    <t>IN002024Z321</t>
  </si>
  <si>
    <t>Benchmark Name - NIFTY EQUITY SAVINGS INDEX</t>
  </si>
  <si>
    <t>SPCO02</t>
  </si>
  <si>
    <t>Symphony Limited</t>
  </si>
  <si>
    <t>INE225D01027</t>
  </si>
  <si>
    <t>GFPL01</t>
  </si>
  <si>
    <t>Go Fashion (India) Limited</t>
  </si>
  <si>
    <t>INE0BJS01011</t>
  </si>
  <si>
    <t>ATVL02</t>
  </si>
  <si>
    <t>Aditya Vision Ltd</t>
  </si>
  <si>
    <t>INE679V01027</t>
  </si>
  <si>
    <t>• ESG Scores disclosed in the above portfolio is provided based on ESG scores of domestic securities, it does not include ESG scores for foreign securities.</t>
  </si>
  <si>
    <t>• We consider parameters like carbon intensity, water usage, waste management, exposure to standard assets, resource reduction targets, etc. while considering the environmental impact (contribution to positive environmental change) for each company</t>
  </si>
  <si>
    <t>1. Matters related to Corporate Governance (including change in board structure, management compensation etc.)                                        
2. Enhancement in the disclosures and practices
3. Matters related to ESG targets, climate change, Social and corporate responsibility issues
4. Recommendation on related party transactions of the investee companies (excluding own group companies)                                                                                                                       
5. Discussion on the medium to long term business strategy followed by the company
6. Discussion on capital allocation strategies</t>
  </si>
  <si>
    <r>
      <rPr>
        <b/>
        <sz val="9"/>
        <color rgb="FF000000"/>
        <rFont val="Arial"/>
        <family val="2"/>
      </rPr>
      <t xml:space="preserve">Source: </t>
    </r>
  </si>
  <si>
    <r>
      <rPr>
        <b/>
        <sz val="9"/>
        <color rgb="FF000000"/>
        <rFont val="Arial"/>
        <family val="2"/>
      </rPr>
      <t>https://www.nseindia.com/companies-listing/corporate-filings-bussiness-sustainabilitiy-reports; or</t>
    </r>
  </si>
  <si>
    <r>
      <rPr>
        <b/>
        <sz val="9"/>
        <color rgb="FF000000"/>
        <rFont val="Arial"/>
        <family val="2"/>
      </rPr>
      <t>https://www.bseindia.com/corporates/BRSR.aspx or respective company website</t>
    </r>
  </si>
  <si>
    <t>Benchmark Name - NIFTY 100 ESG TRI</t>
  </si>
  <si>
    <t>Silver</t>
  </si>
  <si>
    <t>SILR100</t>
  </si>
  <si>
    <t>SILVER 999 1KG BAR</t>
  </si>
  <si>
    <t>Aggregate Investments by other schemes (At NAV)  as on October 31, 2025 RS 49178.36 Lakh's</t>
  </si>
  <si>
    <t>Benchmark Name - DOMESTIC PRICE OF PHYSICAL SILVER</t>
  </si>
  <si>
    <t>IRS2186427</t>
  </si>
  <si>
    <t>Interest Rate Swaps Pay Fix Receive Floating -CCIL (10/12/2025) (FV 3500 Lacs)</t>
  </si>
  <si>
    <t>IRS2178841</t>
  </si>
  <si>
    <t>Interest Rate Swaps Pay Fix Receive Floating -IDFC BANK (08/12/2025) (FV 1000 Lacs)</t>
  </si>
  <si>
    <t>IRS2178833</t>
  </si>
  <si>
    <t>Interest Rate Swaps Pay Fix Receive Floating -ICICI BANK (08/12/2025) (FV 1000 Lacs)</t>
  </si>
  <si>
    <t>IRS2178845</t>
  </si>
  <si>
    <t>Interest Rate Swaps Pay Fix Receive Floating -ICISECPD (08/12/2025) (FV 1000 Lacs)</t>
  </si>
  <si>
    <t>IRS2178843</t>
  </si>
  <si>
    <t>Interest Rate Swaps Pay Fix Receive Floating -CCIL (08/12/2025) (FV 500 Lacs)</t>
  </si>
  <si>
    <t>IRS1930913</t>
  </si>
  <si>
    <t>Interest Rate Swaps Pay Fix Receive Floating -HSBC BANK (30/04/2027) (FV 500 Lacs)</t>
  </si>
  <si>
    <t>GOI6703</t>
  </si>
  <si>
    <t>6.33% Government of India (05/05/2035)</t>
  </si>
  <si>
    <t>IN0020250026</t>
  </si>
  <si>
    <t>GOI6838</t>
  </si>
  <si>
    <t>6.96% Andhra Pradesh State Development Loans (19/05/2035)</t>
  </si>
  <si>
    <t>IN1020210077</t>
  </si>
  <si>
    <t>JUBL20</t>
  </si>
  <si>
    <t>Jubilant Bevco Limited (31/05/2028) (ZCB) **</t>
  </si>
  <si>
    <t>INE1D4P08019</t>
  </si>
  <si>
    <t>CRISIL AA</t>
  </si>
  <si>
    <t>JUBT20</t>
  </si>
  <si>
    <t>Jubilant Beverages Limited (31/05/2028) (ZCB) **</t>
  </si>
  <si>
    <t>INE1D4O08012</t>
  </si>
  <si>
    <t>PIPE22</t>
  </si>
  <si>
    <t>7.96% Pipeline Infrastructure Private Limited (11/03/2028) **</t>
  </si>
  <si>
    <t>INE01XX07042</t>
  </si>
  <si>
    <t>MUFL458</t>
  </si>
  <si>
    <t>8.52% Muthoot Finance Limited (26/05/2028) **</t>
  </si>
  <si>
    <t>INE414G07JO1</t>
  </si>
  <si>
    <t>MOFV79</t>
  </si>
  <si>
    <t>8.75% Motilal Oswal Finvest Limited (29/10/2027) **</t>
  </si>
  <si>
    <t>INE01WN07136</t>
  </si>
  <si>
    <t>IIFW338</t>
  </si>
  <si>
    <t>8.75% 360 One Prime Limited (10/09/2027) **</t>
  </si>
  <si>
    <t>INE248U07GA9</t>
  </si>
  <si>
    <t>DHFL424</t>
  </si>
  <si>
    <t>8.75% Piramal Finance Limited (29/10/2027)</t>
  </si>
  <si>
    <t>INE202B07JW4</t>
  </si>
  <si>
    <t>POWF480</t>
  </si>
  <si>
    <t>7.11% Power Finance Corporation Limited (30/06/2036) **</t>
  </si>
  <si>
    <t>INE134E08LI6</t>
  </si>
  <si>
    <t>TBIL2582</t>
  </si>
  <si>
    <t>182 Days Tbill (MD 30/04/2026)</t>
  </si>
  <si>
    <t>IN002025Y313</t>
  </si>
  <si>
    <t>Benchmark Name - NIFTY MEDIUM TO LONG DURATION DEBT INDEX A-III</t>
  </si>
  <si>
    <t>BAFL840</t>
  </si>
  <si>
    <t>Bajaj Finance Limited (18/02/2026) (ZCB) **</t>
  </si>
  <si>
    <t>INE296A07RY7</t>
  </si>
  <si>
    <t>PUBA1090</t>
  </si>
  <si>
    <t>Punjab National Bank (18/03/2026) **</t>
  </si>
  <si>
    <t>INE160A16RK5</t>
  </si>
  <si>
    <t>EXIM799</t>
  </si>
  <si>
    <t>Export Import Bank of India (04/03/2026)</t>
  </si>
  <si>
    <t>INE514E16CJ9</t>
  </si>
  <si>
    <t>SIDB592</t>
  </si>
  <si>
    <t>Small Industries Dev Bank of India (27/02/2026) **</t>
  </si>
  <si>
    <t>INE556F16BB6</t>
  </si>
  <si>
    <t>CANB1041</t>
  </si>
  <si>
    <t>Canara Bank (12/03/2026) **</t>
  </si>
  <si>
    <t>INE476A16B23</t>
  </si>
  <si>
    <t>INBK458</t>
  </si>
  <si>
    <t>Indian Bank (04/02/2026) **</t>
  </si>
  <si>
    <t>INE562A16OA0</t>
  </si>
  <si>
    <t>KMBK880</t>
  </si>
  <si>
    <t>Kotak Mahindra Bank Limited (18/02/2026) **</t>
  </si>
  <si>
    <t>INE237A165Z5</t>
  </si>
  <si>
    <t>BKBA523</t>
  </si>
  <si>
    <t>Bank of Baroda (24/02/2026) **</t>
  </si>
  <si>
    <t>INE028A16JJ3</t>
  </si>
  <si>
    <t>NBAR825</t>
  </si>
  <si>
    <t>National Bank For Agriculture and Rural Development (27/02/2026) **</t>
  </si>
  <si>
    <t>INE261F16967</t>
  </si>
  <si>
    <t>UNBI445</t>
  </si>
  <si>
    <t>Union Bank of India (27/02/2026) **</t>
  </si>
  <si>
    <t>INE692A16IX9</t>
  </si>
  <si>
    <t>SUFI766</t>
  </si>
  <si>
    <t>Sundaram Finance Limited (20/02/2026) **</t>
  </si>
  <si>
    <t>INE660A14YI9</t>
  </si>
  <si>
    <t>HDBF342</t>
  </si>
  <si>
    <t>HDB Financial Services Limited (16/03/2026) **</t>
  </si>
  <si>
    <t>INE756I14EZ4</t>
  </si>
  <si>
    <t>BGFL1167</t>
  </si>
  <si>
    <t>Aditya Birla Capital Limited (18/03/2026) **</t>
  </si>
  <si>
    <t>INE674K14974</t>
  </si>
  <si>
    <r>
      <rPr>
        <b/>
        <sz val="9"/>
        <color rgb="FF000000"/>
        <rFont val="Arial"/>
        <family val="2"/>
      </rPr>
      <t>The DIRF score is 55.23 %</t>
    </r>
  </si>
  <si>
    <t>Benchmark Name - CRISIL-IBX FINANCIAL SERVICES 3-6 MONTHS DEBT INDEX</t>
  </si>
  <si>
    <t>International  Mutual Fund Units</t>
  </si>
  <si>
    <t>110017585USD</t>
  </si>
  <si>
    <t>Schroder ISF Greater China Class X Acc</t>
  </si>
  <si>
    <t>LU2289884996</t>
  </si>
  <si>
    <t>Benchmark Name - MSCI GOLDEN DRAGON (INR)</t>
  </si>
  <si>
    <t>SCHR01USD</t>
  </si>
  <si>
    <t>Schroder ISF Global Equity Alpha Class X1 Acc</t>
  </si>
  <si>
    <t>LU2225036040</t>
  </si>
  <si>
    <t>Benchmark Name - MSCI WORLD NET TOTAL RETURN INDEX</t>
  </si>
  <si>
    <t>Gold</t>
  </si>
  <si>
    <t>GOLD100</t>
  </si>
  <si>
    <t>GOLD .995 1KG BAR</t>
  </si>
  <si>
    <t>Aggregate Investments by other schemes (At NAV)  as on October 31, 2025 RS 192210.26 Lakh's</t>
  </si>
  <si>
    <t>Benchmark Name - DOMESTIC PRICE OF GOLD</t>
  </si>
  <si>
    <t>111854105USD</t>
  </si>
  <si>
    <t>Schroder International Selection Fund Global innovation</t>
  </si>
  <si>
    <t>LU2340194146</t>
  </si>
  <si>
    <t>Benchmark Name - MSCI ACWI INDEX (INR)</t>
  </si>
  <si>
    <t>AXGE02</t>
  </si>
  <si>
    <t>INF846K01W80</t>
  </si>
  <si>
    <t>HDBF01</t>
  </si>
  <si>
    <t>HDB Financial Services Limited</t>
  </si>
  <si>
    <t>INE756I01012</t>
  </si>
  <si>
    <t>Equity &amp; Equity related Foreign Investments</t>
  </si>
  <si>
    <t>29798540USD</t>
  </si>
  <si>
    <t>Alphabet Inc A</t>
  </si>
  <si>
    <t>US02079K3059</t>
  </si>
  <si>
    <t>Interactive Media &amp; Services</t>
  </si>
  <si>
    <t>724641USD</t>
  </si>
  <si>
    <t>Taiwan Semiconductor Sp ADR</t>
  </si>
  <si>
    <t>US8740391003</t>
  </si>
  <si>
    <t>Semiconductors</t>
  </si>
  <si>
    <t>40656108USD</t>
  </si>
  <si>
    <t>Booking Holdings Inc</t>
  </si>
  <si>
    <t>US09857L1089</t>
  </si>
  <si>
    <t>Hotels, Resorts &amp; Cruise Lines</t>
  </si>
  <si>
    <t>913577USD</t>
  </si>
  <si>
    <t>Boston Scientific Corp</t>
  </si>
  <si>
    <t>US1011371077</t>
  </si>
  <si>
    <t>Health Care Equipment</t>
  </si>
  <si>
    <t>951692USD</t>
  </si>
  <si>
    <t>Microsoft Corp</t>
  </si>
  <si>
    <t>US5949181045</t>
  </si>
  <si>
    <t>Systems Software</t>
  </si>
  <si>
    <t>978121USD</t>
  </si>
  <si>
    <t>TJX ORD</t>
  </si>
  <si>
    <t>US8725401090</t>
  </si>
  <si>
    <t>Apparel Retail</t>
  </si>
  <si>
    <t>47459333USD</t>
  </si>
  <si>
    <t>Uber Technologies Inc</t>
  </si>
  <si>
    <t>US90353T1007</t>
  </si>
  <si>
    <t>Passenger Ground Transportation</t>
  </si>
  <si>
    <t>42290USD</t>
  </si>
  <si>
    <t>SAP SE</t>
  </si>
  <si>
    <t>US8030542042</t>
  </si>
  <si>
    <t>Application Software</t>
  </si>
  <si>
    <t>1413346USD</t>
  </si>
  <si>
    <t>Netflix Inc</t>
  </si>
  <si>
    <t>US64110L1061</t>
  </si>
  <si>
    <t>Movies &amp; Entertainment</t>
  </si>
  <si>
    <t>3826452USD</t>
  </si>
  <si>
    <t>Visa Inc</t>
  </si>
  <si>
    <t>US92826C8394</t>
  </si>
  <si>
    <t>Transaction &amp; Payment Processing Services</t>
  </si>
  <si>
    <t>14971609USD</t>
  </si>
  <si>
    <t>Meta Platforms Registered Shares A</t>
  </si>
  <si>
    <t>US30303M1027</t>
  </si>
  <si>
    <t>960541USD</t>
  </si>
  <si>
    <t>Parker-Hannifin Corp</t>
  </si>
  <si>
    <t>US7010941042</t>
  </si>
  <si>
    <t>Industrial Machinery &amp; Supplies &amp; Components</t>
  </si>
  <si>
    <t>910125USD</t>
  </si>
  <si>
    <t>Autozone Inc</t>
  </si>
  <si>
    <t>US0533321024</t>
  </si>
  <si>
    <t>Automotive Retail</t>
  </si>
  <si>
    <t>919390USD</t>
  </si>
  <si>
    <t>Coca Cola Co.</t>
  </si>
  <si>
    <t>US1912161007</t>
  </si>
  <si>
    <t>Soft Drinks &amp; Non-alcoholic Beverages</t>
  </si>
  <si>
    <t>40769307USD</t>
  </si>
  <si>
    <t>Spotify Technology SA</t>
  </si>
  <si>
    <t>LU1778762911</t>
  </si>
  <si>
    <t>TBIL2556</t>
  </si>
  <si>
    <t>91 Days Tbill (MD 04/12/2025)</t>
  </si>
  <si>
    <t>IN002025X232</t>
  </si>
  <si>
    <t>International Exchange Traded Funds</t>
  </si>
  <si>
    <t>10737617USD</t>
  </si>
  <si>
    <t>iShares VII PLC - iShares NASDAQ 100 UCITS ETF</t>
  </si>
  <si>
    <t>IE00B53SZB19</t>
  </si>
  <si>
    <t>10737041USD</t>
  </si>
  <si>
    <t>ISHARES CORE S&amp;P 500 (USD) UCITS ETF</t>
  </si>
  <si>
    <t>IE00B5BMR087</t>
  </si>
  <si>
    <t>Benchmark Name - NIFTY LARGE MIDCAP 250 TRI</t>
  </si>
  <si>
    <t>Benchmark Name - NIFTY HEALTHCARE TRI</t>
  </si>
  <si>
    <t>IRS2068359</t>
  </si>
  <si>
    <t>Interest Rate Swaps Pay Fix Receive Floating -ICICI BANK (14/07/2027) (FV 5000 Lacs)</t>
  </si>
  <si>
    <t>NIMA374</t>
  </si>
  <si>
    <t>8.5% Nirma Limited (07/04/2027) **</t>
  </si>
  <si>
    <t>INE091A07208</t>
  </si>
  <si>
    <t>EFIL119</t>
  </si>
  <si>
    <t>9.75% Nuvama Wealth Finance Limited (17/01/2028) **</t>
  </si>
  <si>
    <t>INE918K07PU7</t>
  </si>
  <si>
    <t>DEIA22</t>
  </si>
  <si>
    <t>9.5% Delhi International Airport Limited (22/03/2034) **</t>
  </si>
  <si>
    <t>INE657H08043</t>
  </si>
  <si>
    <t>DCCD21</t>
  </si>
  <si>
    <t>8.4% DLF Cyber City Developers Limited (18/06/2027) **</t>
  </si>
  <si>
    <t>INE186K07098</t>
  </si>
  <si>
    <t>AAHF90</t>
  </si>
  <si>
    <t>8.65% Aadhar Housing Finance Limited (20/08/2027) **</t>
  </si>
  <si>
    <t>INE883F07330</t>
  </si>
  <si>
    <t>MACR29</t>
  </si>
  <si>
    <t>7.96% Lodha Developers Limited (07/07/2028) **</t>
  </si>
  <si>
    <t>INE670K07299</t>
  </si>
  <si>
    <t>KEYS21</t>
  </si>
  <si>
    <t>9.5% Keystone Realtors Limited (29/09/2028) **</t>
  </si>
  <si>
    <t>INE263M07109</t>
  </si>
  <si>
    <t>ICRA A+</t>
  </si>
  <si>
    <t>JTMT20</t>
  </si>
  <si>
    <t>JTPM Metal Traders Limited (29/09/2028) (ZCB) **</t>
  </si>
  <si>
    <t>INE02PE08036</t>
  </si>
  <si>
    <t>ADRE20</t>
  </si>
  <si>
    <t>8.60% Aditya Birla Renewables Limited (24/09/2027) **</t>
  </si>
  <si>
    <t>INE01QP08016</t>
  </si>
  <si>
    <t>ICFP155</t>
  </si>
  <si>
    <t>9.4% IndoStar Capital Finance Limited (18/06/2027) **</t>
  </si>
  <si>
    <t>INE896L07AL4</t>
  </si>
  <si>
    <t>CARE AA-</t>
  </si>
  <si>
    <t>TCAP20</t>
  </si>
  <si>
    <t>9.9% Tyger Capital Private Limited (13/08/2027) **</t>
  </si>
  <si>
    <t>INE01EQ07137</t>
  </si>
  <si>
    <t>SUMM26</t>
  </si>
  <si>
    <t>8.06% Summit Digitel Infrastructure Limited (29/01/2029) **</t>
  </si>
  <si>
    <t>INE507T07120</t>
  </si>
  <si>
    <t>VFSL25</t>
  </si>
  <si>
    <t>9.65% Vistaar Financial Services Private Limited (18/06/2026) **</t>
  </si>
  <si>
    <t>INE016P07229</t>
  </si>
  <si>
    <t>GOI6662</t>
  </si>
  <si>
    <t>6.76% Maharashtra State Development Loans (23/04/2037)</t>
  </si>
  <si>
    <t>IN2220250012</t>
  </si>
  <si>
    <t>TATP56</t>
  </si>
  <si>
    <t>8.3% Tata Projects Limited (07/01/2028) **</t>
  </si>
  <si>
    <t>INE725H08238</t>
  </si>
  <si>
    <t>GOSL408</t>
  </si>
  <si>
    <t>8.15% Godrej Industries Limited (22/11/2029) **</t>
  </si>
  <si>
    <t>INE233A08147</t>
  </si>
  <si>
    <t>JFCS94</t>
  </si>
  <si>
    <t>9.3% JM Financial Credit Solution Limited (15/02/2027) **</t>
  </si>
  <si>
    <t>INE651J07986</t>
  </si>
  <si>
    <t>EOPR34</t>
  </si>
  <si>
    <t>7.73% Embassy Office Parks REIT (14/12/2029) **</t>
  </si>
  <si>
    <t>INE041007159</t>
  </si>
  <si>
    <t>ICFP149</t>
  </si>
  <si>
    <t>9.95% IndoStar Capital Finance Limited (27/05/2026) **</t>
  </si>
  <si>
    <t>INE896L07AI0</t>
  </si>
  <si>
    <t>NBAR353</t>
  </si>
  <si>
    <t>7.20% National Bank For Agriculture and Rural Development (21/10/2031) **</t>
  </si>
  <si>
    <t>INE261F08691</t>
  </si>
  <si>
    <t>IPLT20</t>
  </si>
  <si>
    <t>8.6% Infopark Properties Limited (19/06/2039) **</t>
  </si>
  <si>
    <t>INE0KZX07023</t>
  </si>
  <si>
    <t>GOI4845</t>
  </si>
  <si>
    <t>7.86% Jharkhand State Development Loans (09/11/2034)</t>
  </si>
  <si>
    <t>IN3720220018</t>
  </si>
  <si>
    <t>DATI24</t>
  </si>
  <si>
    <t>7.45% Altius Telecom Infrastructure Trust (20/04/2035) **</t>
  </si>
  <si>
    <t>INE0BWS07045</t>
  </si>
  <si>
    <t>SESA538</t>
  </si>
  <si>
    <t>9.31% Vedanta Limited (03/12/2027) **</t>
  </si>
  <si>
    <t>INE205A08046</t>
  </si>
  <si>
    <t>VEFP25</t>
  </si>
  <si>
    <t>9.75% Veritas Finance Private Limited (28/11/2026) **</t>
  </si>
  <si>
    <t>INE448U07240</t>
  </si>
  <si>
    <t>NXST20</t>
  </si>
  <si>
    <t>7.86% Nexus Select Trust - REIT (16/06/2026) **</t>
  </si>
  <si>
    <t>INE0NDH07019</t>
  </si>
  <si>
    <t>GOI5646</t>
  </si>
  <si>
    <t>7.46% Karnataka State Development Loans (20/03/2038)</t>
  </si>
  <si>
    <t>IN1920230365</t>
  </si>
  <si>
    <t>GOI1291</t>
  </si>
  <si>
    <t>7.88% Government of India (19/03/2030)</t>
  </si>
  <si>
    <t>IN0020150028</t>
  </si>
  <si>
    <t>GOI5721</t>
  </si>
  <si>
    <t>7.23% Government of India (15/04/2039)</t>
  </si>
  <si>
    <t>IN0020240027</t>
  </si>
  <si>
    <t>RECL405</t>
  </si>
  <si>
    <t>5.85% REC Limited (20/12/2025) **</t>
  </si>
  <si>
    <t>INE020B08DF6</t>
  </si>
  <si>
    <t>GOI2179</t>
  </si>
  <si>
    <t>7.26% Government of India (14/01/2029)</t>
  </si>
  <si>
    <t>IN0020180454</t>
  </si>
  <si>
    <t>EOPR30</t>
  </si>
  <si>
    <t>7.35% Embassy Office Parks REIT (05/04/2027) **</t>
  </si>
  <si>
    <t>INE041007092</t>
  </si>
  <si>
    <t>GOI1252</t>
  </si>
  <si>
    <t>8.15% Government of India (24/11/2026)</t>
  </si>
  <si>
    <t>IN0020140060</t>
  </si>
  <si>
    <t>GOI1380</t>
  </si>
  <si>
    <t>7.59% Government of India (20/03/2029)</t>
  </si>
  <si>
    <t>IN0020150069</t>
  </si>
  <si>
    <t>Benchmark Name - NIFTY MEDIUM DURATION DEBT INDEX A-III</t>
  </si>
  <si>
    <t>GIND02</t>
  </si>
  <si>
    <t>Gabriel India Limited</t>
  </si>
  <si>
    <t>INE524A01029</t>
  </si>
  <si>
    <t>HAFO01</t>
  </si>
  <si>
    <t>Happy Forgings Limited</t>
  </si>
  <si>
    <t>INE330T01021</t>
  </si>
  <si>
    <t>AVAT01</t>
  </si>
  <si>
    <t>Avalon Technologies Limited</t>
  </si>
  <si>
    <t>INE0LCL01028</t>
  </si>
  <si>
    <t>GRIN02</t>
  </si>
  <si>
    <t>Grindwell Norton Limited</t>
  </si>
  <si>
    <t>INE536A01023</t>
  </si>
  <si>
    <t>ROLR02</t>
  </si>
  <si>
    <t>Rolex Rings Limited</t>
  </si>
  <si>
    <t>INE645S01024</t>
  </si>
  <si>
    <t>Benchmark Name - NIFTY INDIA MANUFACTURING TRI</t>
  </si>
  <si>
    <t>BIRJ44</t>
  </si>
  <si>
    <t>9.25% Birla Corporation Limited (18/08/2026) **</t>
  </si>
  <si>
    <t>INE340A07084</t>
  </si>
  <si>
    <t>GOI7094</t>
  </si>
  <si>
    <t>6.48% Government of India (06/10/2035)</t>
  </si>
  <si>
    <t>IN0020250091</t>
  </si>
  <si>
    <t>GOI6473</t>
  </si>
  <si>
    <t>7.18% Tamilnadu State Development Loans (27/08/2036)</t>
  </si>
  <si>
    <t>IN3120240582</t>
  </si>
  <si>
    <t>Benchmark Name - CRISIL CREDIT RISK DEBT B-II INDEX</t>
  </si>
  <si>
    <t>IRS1864657</t>
  </si>
  <si>
    <t>Interest Rate Swaps Pay Fix Receive Floating -ICISECPD (25/03/2030) (FV 1500 Lacs)</t>
  </si>
  <si>
    <t>MOSU199</t>
  </si>
  <si>
    <t>8.15% Samvardhana Motherson International Limited (23/01/2026) **</t>
  </si>
  <si>
    <t>INE775A08089</t>
  </si>
  <si>
    <t>MUFL394</t>
  </si>
  <si>
    <t>8.50% Muthoot Finance Limited (29/01/2026) **</t>
  </si>
  <si>
    <t>INE414G07HK3</t>
  </si>
  <si>
    <t>INBK357</t>
  </si>
  <si>
    <t>8.44% Indian Bank (30/12/2025) **</t>
  </si>
  <si>
    <t>INE562A08073</t>
  </si>
  <si>
    <t>IGIF36</t>
  </si>
  <si>
    <t>6.72% IndiGRID Infrastructure Trust (14/09/2026) **</t>
  </si>
  <si>
    <t>INE219X07306</t>
  </si>
  <si>
    <t>Benchmark Name - NIFTY 50 HYBRID COMPOSITE DEBT 15:85 INDEX</t>
  </si>
  <si>
    <t>GOI4639</t>
  </si>
  <si>
    <t>7.36% Government of India (12/09/2052)</t>
  </si>
  <si>
    <t>IN0020220086</t>
  </si>
  <si>
    <t>GOI6019</t>
  </si>
  <si>
    <t>7.09% Government of India (05/08/2054)</t>
  </si>
  <si>
    <t>IN0020240118</t>
  </si>
  <si>
    <t>Benchmark Name - NIFTY LONG DURATION DEBT INDEX A-III</t>
  </si>
  <si>
    <t>TWAT25</t>
  </si>
  <si>
    <t>7.75% Titan Company Limited (03/11/2025) **</t>
  </si>
  <si>
    <t>INE280A08015</t>
  </si>
  <si>
    <t>LICH638</t>
  </si>
  <si>
    <t>7.82% LIC Housing Finance Limited (28/11/2025) **</t>
  </si>
  <si>
    <t>INE115A07QD5</t>
  </si>
  <si>
    <t>GOI1632</t>
  </si>
  <si>
    <t>8.15% Haryana State Development Loans (13/11/2025)</t>
  </si>
  <si>
    <t>IN1620150095</t>
  </si>
  <si>
    <t>BKBA532</t>
  </si>
  <si>
    <t>Bank of Baroda (02/12/2025) **</t>
  </si>
  <si>
    <t>INE028A16JS4</t>
  </si>
  <si>
    <t>HDFB983</t>
  </si>
  <si>
    <t>HDFC Bank Limited (18/12/2025)</t>
  </si>
  <si>
    <t>INE040A16GA3</t>
  </si>
  <si>
    <t>PUBA1117</t>
  </si>
  <si>
    <t>Punjab National Bank (16/12/2025) **</t>
  </si>
  <si>
    <t>INE160A16SP2</t>
  </si>
  <si>
    <t>IDBK534</t>
  </si>
  <si>
    <t>IDFC First Bank Limited (18/12/2025) **</t>
  </si>
  <si>
    <t>INE092T16YO8</t>
  </si>
  <si>
    <t>BKBA520</t>
  </si>
  <si>
    <t>Bank of Baroda (05/01/2026) **</t>
  </si>
  <si>
    <t>INE028A16JI5</t>
  </si>
  <si>
    <t>INBK500</t>
  </si>
  <si>
    <t>Indian Bank (17/12/2025) **</t>
  </si>
  <si>
    <t>INE562A16PM2</t>
  </si>
  <si>
    <t>CANB1060</t>
  </si>
  <si>
    <t>Canara Bank (19/11/2025) **</t>
  </si>
  <si>
    <t>INE476A16D62</t>
  </si>
  <si>
    <t>KAVY271</t>
  </si>
  <si>
    <t>Karur Vysya Bank Limited (02/12/2025) **</t>
  </si>
  <si>
    <t>INE036D16IY1</t>
  </si>
  <si>
    <t>BKIN490</t>
  </si>
  <si>
    <t>Bank of India (17/12/2025) **</t>
  </si>
  <si>
    <t>INE084A16EH1</t>
  </si>
  <si>
    <t>SIDB581</t>
  </si>
  <si>
    <t>Small Industries Dev Bank of India (05/12/2025) **</t>
  </si>
  <si>
    <t>INE556F16AX2</t>
  </si>
  <si>
    <t>IDBL851</t>
  </si>
  <si>
    <t>IDBI Bank Limited (05/12/2025) **</t>
  </si>
  <si>
    <t>INE008A16X40</t>
  </si>
  <si>
    <t>UNBI410</t>
  </si>
  <si>
    <t>Union Bank of India (10/12/2025) **</t>
  </si>
  <si>
    <t>INE692A16IF6</t>
  </si>
  <si>
    <t>HDFB979</t>
  </si>
  <si>
    <t>HDFC Bank Limited (04/12/2025)</t>
  </si>
  <si>
    <t>INE040A16FY5</t>
  </si>
  <si>
    <t>BKBA540</t>
  </si>
  <si>
    <t>Bank of Baroda (02/01/2026) **</t>
  </si>
  <si>
    <t>INE028A16JT2</t>
  </si>
  <si>
    <t>PUBA1067</t>
  </si>
  <si>
    <t>Punjab National Bank (11/12/2025)</t>
  </si>
  <si>
    <t>INE160A16QL5</t>
  </si>
  <si>
    <t>UNBI412</t>
  </si>
  <si>
    <t>Union Bank of India (18/12/2025)</t>
  </si>
  <si>
    <t>INE692A16II0</t>
  </si>
  <si>
    <t>UNBI408</t>
  </si>
  <si>
    <t>Union Bank of India (05/12/2025) **</t>
  </si>
  <si>
    <t>INE692A16ID1</t>
  </si>
  <si>
    <t>KMBK875</t>
  </si>
  <si>
    <t>Kotak Mahindra Bank Limited (15/01/2026) **</t>
  </si>
  <si>
    <t>INE237A162Z2</t>
  </si>
  <si>
    <t>HDFB1011</t>
  </si>
  <si>
    <t>HDFC Bank Limited (18/11/2025) **</t>
  </si>
  <si>
    <t>INE040A16HG8</t>
  </si>
  <si>
    <t>IDBK520</t>
  </si>
  <si>
    <t>IDFC First Bank Limited (18/11/2025) **</t>
  </si>
  <si>
    <t>INE092T16XS1</t>
  </si>
  <si>
    <t>HDFB1012</t>
  </si>
  <si>
    <t>HDFC Bank Limited (03/12/2025) **</t>
  </si>
  <si>
    <t>INE040A16HI4</t>
  </si>
  <si>
    <t>KAVY272</t>
  </si>
  <si>
    <t>Karur Vysya Bank Limited (08/12/2025) **</t>
  </si>
  <si>
    <t>INE036D16JA9</t>
  </si>
  <si>
    <t>BKBA489</t>
  </si>
  <si>
    <t>Bank of Baroda (16/12/2025) **</t>
  </si>
  <si>
    <t>INE028A16ID8</t>
  </si>
  <si>
    <t>BKBA536</t>
  </si>
  <si>
    <t>Bank of Baroda (06/01/2026) **</t>
  </si>
  <si>
    <t>INE028A16KA0</t>
  </si>
  <si>
    <t>SIDB588</t>
  </si>
  <si>
    <t>Small Industries Dev Bank of India (13/01/2026) **</t>
  </si>
  <si>
    <t>INE556F16AY0</t>
  </si>
  <si>
    <t>FEBA340</t>
  </si>
  <si>
    <t>The Federal Bank Limited (28/11/2025) **</t>
  </si>
  <si>
    <t>INE171A16MM9</t>
  </si>
  <si>
    <t>BKBA529</t>
  </si>
  <si>
    <t>Bank of Baroda (17/11/2025) **</t>
  </si>
  <si>
    <t>INE028A16JP0</t>
  </si>
  <si>
    <t>KMBK873</t>
  </si>
  <si>
    <t>Kotak Mahindra Bank Limited (11/12/2025)</t>
  </si>
  <si>
    <t>INE237A160Z6</t>
  </si>
  <si>
    <t>HDFB1017</t>
  </si>
  <si>
    <t>HDFC Bank Limited (22/12/2025) **</t>
  </si>
  <si>
    <t>INE040A16HQ7</t>
  </si>
  <si>
    <t>INBK456</t>
  </si>
  <si>
    <t>Indian Bank (08/01/2026) **</t>
  </si>
  <si>
    <t>INE562A16NV8</t>
  </si>
  <si>
    <t>CANB1061</t>
  </si>
  <si>
    <t>Canara Bank (27/11/2025) **</t>
  </si>
  <si>
    <t>INE476A16D88</t>
  </si>
  <si>
    <t>FEBA345</t>
  </si>
  <si>
    <t>The Federal Bank Limited (13/01/2026) **</t>
  </si>
  <si>
    <t>INE171A16MR8</t>
  </si>
  <si>
    <t>IDBL850</t>
  </si>
  <si>
    <t>IDBI Bank Limited (10/12/2025) **</t>
  </si>
  <si>
    <t>INE008A16Y56</t>
  </si>
  <si>
    <t>CANB1021</t>
  </si>
  <si>
    <t>Canara Bank (18/12/2025)</t>
  </si>
  <si>
    <t>INE476A16ZT9</t>
  </si>
  <si>
    <t>CANB1027</t>
  </si>
  <si>
    <t>Canara Bank (26/12/2025)</t>
  </si>
  <si>
    <t>INE476A16ZW3</t>
  </si>
  <si>
    <t>NBAR806</t>
  </si>
  <si>
    <t>National Bank For Agriculture and Rural Development (20/01/2026) **</t>
  </si>
  <si>
    <t>INE261F16892</t>
  </si>
  <si>
    <t>PUBA1064</t>
  </si>
  <si>
    <t>Punjab National Bank (05/12/2025) **</t>
  </si>
  <si>
    <t>INE160A16QM3</t>
  </si>
  <si>
    <t>RRVL194</t>
  </si>
  <si>
    <t>Reliance Retail Ventures Limited (25/11/2025) **</t>
  </si>
  <si>
    <t>INE929O14DY0</t>
  </si>
  <si>
    <t>MMFS1208</t>
  </si>
  <si>
    <t>Mahindra &amp; Mahindra Financial Services Limited (13/11/2025) **</t>
  </si>
  <si>
    <t>INE774D14TB7</t>
  </si>
  <si>
    <t>ABHF159</t>
  </si>
  <si>
    <t>Aditya Birla Housing Finance Limited (02/12/2025) **</t>
  </si>
  <si>
    <t>INE831R14FF5</t>
  </si>
  <si>
    <t>TISC281</t>
  </si>
  <si>
    <t>Tata Steel Limited (16/12/2025) **</t>
  </si>
  <si>
    <t>INE081A14GH7</t>
  </si>
  <si>
    <t>NBAR862</t>
  </si>
  <si>
    <t>National Bank For Agriculture and Rural Development (19/11/2025) **</t>
  </si>
  <si>
    <t>INE261F14OI6</t>
  </si>
  <si>
    <t>RRVL191</t>
  </si>
  <si>
    <t>Reliance Retail Ventures Limited (19/11/2025) **</t>
  </si>
  <si>
    <t>INE929O14DW4</t>
  </si>
  <si>
    <t>ICBR615</t>
  </si>
  <si>
    <t>ICICI Securities Limited (18/11/2025) **</t>
  </si>
  <si>
    <t>INE763G14ZZ9</t>
  </si>
  <si>
    <t>TWAT35</t>
  </si>
  <si>
    <t>Titan Company Limited (09/12/2025) **</t>
  </si>
  <si>
    <t>INE280A14484</t>
  </si>
  <si>
    <t>INBS518</t>
  </si>
  <si>
    <t>Reliance Jio Infocomm Limited (22/12/2025) **</t>
  </si>
  <si>
    <t>INE110L14UI0</t>
  </si>
  <si>
    <t>BAFL993</t>
  </si>
  <si>
    <t>Bajaj Finance Limited (09/12/2025) **</t>
  </si>
  <si>
    <t>INE296A14C22</t>
  </si>
  <si>
    <t>ICBR624</t>
  </si>
  <si>
    <t>ICICI Securities Limited (10/12/2025)</t>
  </si>
  <si>
    <t>INE763G14A71</t>
  </si>
  <si>
    <t>BHFL145</t>
  </si>
  <si>
    <t>Bajaj Housing Finance Limited (07/11/2025) **</t>
  </si>
  <si>
    <t>INE377Y14BO6</t>
  </si>
  <si>
    <t>KOSE352</t>
  </si>
  <si>
    <t>Kotak Securities Limited (17/12/2025) **</t>
  </si>
  <si>
    <t>INE028E14SW4</t>
  </si>
  <si>
    <t>MOFS243</t>
  </si>
  <si>
    <t>Motilal Oswal Financial Services Limited (28/01/2026) **</t>
  </si>
  <si>
    <t>INE338I14LE1</t>
  </si>
  <si>
    <t>INBS517</t>
  </si>
  <si>
    <t>Reliance Jio Infocomm Limited (15/12/2025) **</t>
  </si>
  <si>
    <t>INE110L14UG4</t>
  </si>
  <si>
    <t>KOSE354</t>
  </si>
  <si>
    <t>Kotak Securities Limited (18/12/2025) **</t>
  </si>
  <si>
    <t>INE028E14SX2</t>
  </si>
  <si>
    <t>BGFL1157</t>
  </si>
  <si>
    <t>Aditya Birla Capital Limited (17/11/2025) **</t>
  </si>
  <si>
    <t>INE674K14AK5</t>
  </si>
  <si>
    <t>IINF156</t>
  </si>
  <si>
    <t>IIFL Finance Limited (24/11/2025) **</t>
  </si>
  <si>
    <t>INE530B14EW5</t>
  </si>
  <si>
    <t>IOIC693</t>
  </si>
  <si>
    <t>Indian Oil Corporation Limited (04/12/2025) **</t>
  </si>
  <si>
    <t>INE242A14YI6</t>
  </si>
  <si>
    <t>NBAR856</t>
  </si>
  <si>
    <t>National Bank For Agriculture and Rural Development (10/12/2025) **</t>
  </si>
  <si>
    <t>INE261F14OC9</t>
  </si>
  <si>
    <t>HINI122</t>
  </si>
  <si>
    <t>Hindalco Industries Limited (15/01/2026) **</t>
  </si>
  <si>
    <t>INE038A14395</t>
  </si>
  <si>
    <t>IGHL42</t>
  </si>
  <si>
    <t>IGH Holdings Private Limited (04/12/2025) **</t>
  </si>
  <si>
    <t>INE02FN14622</t>
  </si>
  <si>
    <t>HDFS304</t>
  </si>
  <si>
    <t>HDFC Securities Limited (19/11/2025) **</t>
  </si>
  <si>
    <t>INE700G14PL2</t>
  </si>
  <si>
    <t>HDFS306</t>
  </si>
  <si>
    <t>HDFC Securities Limited (02/12/2025) **</t>
  </si>
  <si>
    <t>INE700G14PO6</t>
  </si>
  <si>
    <t>BGHP202</t>
  </si>
  <si>
    <t>Birla Group Holdings Private Limited (04/12/2025) **</t>
  </si>
  <si>
    <t>INE09OL14HU4</t>
  </si>
  <si>
    <t>BGHP204</t>
  </si>
  <si>
    <t>Birla Group Holdings Private Limited (10/12/2025) **</t>
  </si>
  <si>
    <t>INE09OL14HW0</t>
  </si>
  <si>
    <t>LTFL707</t>
  </si>
  <si>
    <t>L&amp;T Finance Limited (17/12/2025) **</t>
  </si>
  <si>
    <t>INE498L14ES2</t>
  </si>
  <si>
    <t>BGHP206</t>
  </si>
  <si>
    <t>Birla Group Holdings Private Limited (18/12/2025) **</t>
  </si>
  <si>
    <t>INE09OL14HX8</t>
  </si>
  <si>
    <t>ICHF262</t>
  </si>
  <si>
    <t>ICICI Home Finance Company Limited (26/12/2025) **</t>
  </si>
  <si>
    <t>INE071G14HC4</t>
  </si>
  <si>
    <t>KOSE339</t>
  </si>
  <si>
    <t>Kotak Securities Limited (18/11/2025) **</t>
  </si>
  <si>
    <t>INE028E14SG7</t>
  </si>
  <si>
    <t>NCCL49</t>
  </si>
  <si>
    <t>Nuvoco Vistas Corporation Limited (17/11/2025) **</t>
  </si>
  <si>
    <t>INE118D14910</t>
  </si>
  <si>
    <t>ICBR620</t>
  </si>
  <si>
    <t>ICICI Securities Limited (04/12/2025) **</t>
  </si>
  <si>
    <t>INE763G14A48</t>
  </si>
  <si>
    <t>NEFL334</t>
  </si>
  <si>
    <t>Network18 Media &amp; Investments Limited (11/12/2025) **</t>
  </si>
  <si>
    <t>INE870H14VZ9</t>
  </si>
  <si>
    <t>BGHP203</t>
  </si>
  <si>
    <t>Birla Group Holdings Private Limited (08/12/2025) **</t>
  </si>
  <si>
    <t>INE09OL14HV2</t>
  </si>
  <si>
    <t>IINF157</t>
  </si>
  <si>
    <t>IIFL Finance Limited (03/12/2025) **</t>
  </si>
  <si>
    <t>INE530B14EY1</t>
  </si>
  <si>
    <t>IINF158</t>
  </si>
  <si>
    <t>IIFL Finance Limited (12/12/2025) **</t>
  </si>
  <si>
    <t>INE530B14FE0</t>
  </si>
  <si>
    <t>ICHF261</t>
  </si>
  <si>
    <t>ICICI Home Finance Company Limited (18/11/2025) **</t>
  </si>
  <si>
    <t>INE071G14HB6</t>
  </si>
  <si>
    <t>GODP290</t>
  </si>
  <si>
    <t>Godrej Properties Limited (24/11/2025) **</t>
  </si>
  <si>
    <t>INE484J14YK1</t>
  </si>
  <si>
    <t>JBCI180</t>
  </si>
  <si>
    <t>Julius Baer Capital India Pvt Ltd (16/12/2025) **</t>
  </si>
  <si>
    <t>INE824H14SJ6</t>
  </si>
  <si>
    <t>KOSE337</t>
  </si>
  <si>
    <t>Kotak Securities Limited (11/11/2025) **</t>
  </si>
  <si>
    <t>INE028E14RZ9</t>
  </si>
  <si>
    <t>IOIC697</t>
  </si>
  <si>
    <t>Indian Oil Corporation Limited (16/12/2025) **</t>
  </si>
  <si>
    <t>INE242A14YO4</t>
  </si>
  <si>
    <t>EFIL122</t>
  </si>
  <si>
    <t>Nuvama Wealth Finance Limited (11/12/2025) **</t>
  </si>
  <si>
    <t>INE918K14CQ9</t>
  </si>
  <si>
    <t>JBCI168</t>
  </si>
  <si>
    <t>Julius Baer Capital India Pvt Ltd (23/12/2025) **</t>
  </si>
  <si>
    <t>INE824H14RF6</t>
  </si>
  <si>
    <t>IINF159</t>
  </si>
  <si>
    <t>IIFL Finance Limited (31/12/2025) **</t>
  </si>
  <si>
    <t>INE530B14FI1</t>
  </si>
  <si>
    <t>GOSL448</t>
  </si>
  <si>
    <t>Godrej Industries Limited (11/11/2025) **</t>
  </si>
  <si>
    <t>INE233A143L6</t>
  </si>
  <si>
    <t>GOSL449</t>
  </si>
  <si>
    <t>Godrej Industries Limited (12/11/2025) **</t>
  </si>
  <si>
    <t>INE233A143M4</t>
  </si>
  <si>
    <t>EXIM789</t>
  </si>
  <si>
    <t>Export Import Bank of India (17/11/2025) **</t>
  </si>
  <si>
    <t>INE514E14SJ0</t>
  </si>
  <si>
    <t>DALM142</t>
  </si>
  <si>
    <t>Dalmia Cement (Bharat) Limited (27/11/2025) **</t>
  </si>
  <si>
    <t>INE755K14FO3</t>
  </si>
  <si>
    <t>IIFW336</t>
  </si>
  <si>
    <t>360 One Prime Limited (24/11/2025) **</t>
  </si>
  <si>
    <t>INE248U14SF9</t>
  </si>
  <si>
    <t>IIFM92</t>
  </si>
  <si>
    <t>360 One WAM Limited (11/12/2025) **</t>
  </si>
  <si>
    <t>INE466L14EW1</t>
  </si>
  <si>
    <t>JOIC23</t>
  </si>
  <si>
    <t>JIO Credit Limited (14/11/2025) **</t>
  </si>
  <si>
    <t>INE282H14048</t>
  </si>
  <si>
    <t>CHOL1084</t>
  </si>
  <si>
    <t>Cholamandalam Investment and Finance Company Ltd (14/11/2025) **</t>
  </si>
  <si>
    <t>INE121A14XG8</t>
  </si>
  <si>
    <t>BAFL946</t>
  </si>
  <si>
    <t>Bajaj Finance Limited (18/11/2025) **</t>
  </si>
  <si>
    <t>INE296A14ZD0</t>
  </si>
  <si>
    <t>TBIL2574</t>
  </si>
  <si>
    <t>91 Days Tbill (MD 15/01/2026)</t>
  </si>
  <si>
    <t>IN002025X299</t>
  </si>
  <si>
    <t>TBIL2550</t>
  </si>
  <si>
    <t>91 Days Tbill (MD 20/11/2025)</t>
  </si>
  <si>
    <t>IN002025X216</t>
  </si>
  <si>
    <t>TBIL2431</t>
  </si>
  <si>
    <t>364 Days Tbill (MD 13/11/2025)</t>
  </si>
  <si>
    <t>IN002024Z313</t>
  </si>
  <si>
    <t>TBIL2561</t>
  </si>
  <si>
    <t>91 Days Tbill (MD 18/12/2025)</t>
  </si>
  <si>
    <t>IN002025X257</t>
  </si>
  <si>
    <t>TBIL2513</t>
  </si>
  <si>
    <t>182 Days Tbill (MD 20/11/2025)</t>
  </si>
  <si>
    <t>IN002025Y081</t>
  </si>
  <si>
    <t>TRP_061125_VAL</t>
  </si>
  <si>
    <t>Benchmark Name - NIFTY LIQUID INDEX A-I</t>
  </si>
  <si>
    <t>GOI5677</t>
  </si>
  <si>
    <t>7.49% Haryana State Development Loans (27/03/2035)</t>
  </si>
  <si>
    <t>IN1620230426</t>
  </si>
  <si>
    <t>GOI5363</t>
  </si>
  <si>
    <t>7.46% Government of India (06/11/2073)</t>
  </si>
  <si>
    <t>IN0020230127</t>
  </si>
  <si>
    <t>GOI5636</t>
  </si>
  <si>
    <t>7.39% Chhatisgarh State Development Loans (13/03/2033)</t>
  </si>
  <si>
    <t>IN3520230241</t>
  </si>
  <si>
    <t>GOI3661</t>
  </si>
  <si>
    <t>7.05% Andhra Pradesh State Development Loans (01/09/2035)</t>
  </si>
  <si>
    <t>IN1020210234</t>
  </si>
  <si>
    <t>Benchmark Name - CRISIL DYNAMIC GILT INDEX</t>
  </si>
  <si>
    <t>FOIL01</t>
  </si>
  <si>
    <t>Fine Organic Industries Limited</t>
  </si>
  <si>
    <t>INE686Y01026</t>
  </si>
  <si>
    <t>Benchmark Name - BSE MIDCAP 150 TRI</t>
  </si>
  <si>
    <t>GALS01</t>
  </si>
  <si>
    <t>Galaxy Surfactants Limited</t>
  </si>
  <si>
    <t>INE600K01018</t>
  </si>
  <si>
    <t>TTPL02</t>
  </si>
  <si>
    <t>TTK Prestige Limited</t>
  </si>
  <si>
    <t>INE690A01028</t>
  </si>
  <si>
    <t>Benchmark Name - NIFTY 500 MULTICAP 50:25:25 INDEX</t>
  </si>
  <si>
    <t>BEFS01</t>
  </si>
  <si>
    <t>Mrs. Bectors Food Specialities Limited</t>
  </si>
  <si>
    <t>INE495P01012</t>
  </si>
  <si>
    <t>BRHO01</t>
  </si>
  <si>
    <t>Brigade Hotel Ventures Limited</t>
  </si>
  <si>
    <t>INE03NU01014</t>
  </si>
  <si>
    <t>STAR01</t>
  </si>
  <si>
    <t>Strides Pharma Science Limited</t>
  </si>
  <si>
    <t>INE939A01011</t>
  </si>
  <si>
    <t>GOEX02</t>
  </si>
  <si>
    <t>Gokaldas Exports Limited</t>
  </si>
  <si>
    <t>INE887G01027</t>
  </si>
  <si>
    <t>OMSP02</t>
  </si>
  <si>
    <t>One MobiKwik Systems Limited</t>
  </si>
  <si>
    <t>INE0HLU01028</t>
  </si>
  <si>
    <t>IRS2236754</t>
  </si>
  <si>
    <t>Interest Rate Swaps Pay Floating Receive Fix -BARC (07/10/2026) (FV 10000 Lacs)</t>
  </si>
  <si>
    <t>IRS2236752</t>
  </si>
  <si>
    <t>Interest Rate Swaps Pay Floating Receive Fix -DBS (07/10/2026) (FV 10000 Lacs)</t>
  </si>
  <si>
    <t>IRS2233265</t>
  </si>
  <si>
    <t>Interest Rate Swaps Pay Floating Receive Fix -IDFC BANK (06/10/2026) (FV 15000 Lacs)</t>
  </si>
  <si>
    <t>GOI1467</t>
  </si>
  <si>
    <t>8.67% Karnataka State Development Loans (24/02/2026)</t>
  </si>
  <si>
    <t>IN1920150092</t>
  </si>
  <si>
    <t>GOI775</t>
  </si>
  <si>
    <t>6.90% Government of India (04/02/2026)</t>
  </si>
  <si>
    <t>IN0020089069</t>
  </si>
  <si>
    <t>GOI1566</t>
  </si>
  <si>
    <t>8.08% Maharastra State Development Loans(15/06/2026)</t>
  </si>
  <si>
    <t>IN2220160013</t>
  </si>
  <si>
    <t>GOI1470</t>
  </si>
  <si>
    <t>8.69% Tamilnadu State Development Loans (24/02/2026)</t>
  </si>
  <si>
    <t>IN3120150203</t>
  </si>
  <si>
    <t>GOI1454</t>
  </si>
  <si>
    <t>8.47% Maharashtra State Development Loans (10/02/2026)</t>
  </si>
  <si>
    <t>IN2220150188</t>
  </si>
  <si>
    <t>GOI1464</t>
  </si>
  <si>
    <t>8.83% Uttar Pradesh State Development Loans (24/02/2026)</t>
  </si>
  <si>
    <t>IN3320150383</t>
  </si>
  <si>
    <t>GOI3350</t>
  </si>
  <si>
    <t>8.23% Chhatisgarh State Development Loans (09/12/2025)</t>
  </si>
  <si>
    <t>IN3520150035</t>
  </si>
  <si>
    <t>GOI1448</t>
  </si>
  <si>
    <t>8.38% Tamil Nadu State Development Loans (27/01/2026)</t>
  </si>
  <si>
    <t>IN3120150187</t>
  </si>
  <si>
    <t>GOI1433</t>
  </si>
  <si>
    <t>8.27% Tamilnadu State Development Loans (13/01/2026)</t>
  </si>
  <si>
    <t>IN3120150179</t>
  </si>
  <si>
    <t>GOI1472</t>
  </si>
  <si>
    <t>8.60% Bihar State Development Loans (09/03/2026)</t>
  </si>
  <si>
    <t>IN1320150056</t>
  </si>
  <si>
    <t>CANB1032</t>
  </si>
  <si>
    <t>Canara Bank (04/02/2026) **</t>
  </si>
  <si>
    <t>INE476A16A32</t>
  </si>
  <si>
    <t>HDFB1002</t>
  </si>
  <si>
    <t>HDFC Bank Limited (19/05/2026)</t>
  </si>
  <si>
    <t>INE040A16GW7</t>
  </si>
  <si>
    <t>PUBA1092</t>
  </si>
  <si>
    <t>Punjab National Bank (25/03/2026) **</t>
  </si>
  <si>
    <t>INE160A16RP4</t>
  </si>
  <si>
    <t>NBAR818</t>
  </si>
  <si>
    <t>National Bank For Agriculture and Rural Development (06/02/2026) **</t>
  </si>
  <si>
    <t>INE261F16942</t>
  </si>
  <si>
    <t>BKIN493</t>
  </si>
  <si>
    <t>Bank of India (10/03/2026) **</t>
  </si>
  <si>
    <t>INE084A16EK5</t>
  </si>
  <si>
    <t>HDFB1008</t>
  </si>
  <si>
    <t>HDFC Bank Limited (02/04/2026) **</t>
  </si>
  <si>
    <t>INE040A16HC7</t>
  </si>
  <si>
    <t>HDFB1020</t>
  </si>
  <si>
    <t>HDFC Bank Limited (04/06/2026) **</t>
  </si>
  <si>
    <t>INE040A16HT1</t>
  </si>
  <si>
    <t>SIDB619</t>
  </si>
  <si>
    <t>Small Industries Dev Bank of India (13/10/2026) **</t>
  </si>
  <si>
    <t>INE556F16BL5</t>
  </si>
  <si>
    <t>SIDB589</t>
  </si>
  <si>
    <t>Small Industries Dev Bank of India (04/02/2026) **</t>
  </si>
  <si>
    <t>INE556F16AZ7</t>
  </si>
  <si>
    <t>CANB1067</t>
  </si>
  <si>
    <t>Canara Bank (12/06/2026) **</t>
  </si>
  <si>
    <t>INE476A16E20</t>
  </si>
  <si>
    <t>IDBK537</t>
  </si>
  <si>
    <t>IDFC First Bank Limited (09/06/2026) **</t>
  </si>
  <si>
    <t>INE092T16YR1</t>
  </si>
  <si>
    <t>IIBL981</t>
  </si>
  <si>
    <t>IndusInd Bank Limited (20/01/2026) **</t>
  </si>
  <si>
    <t>INE095A16X93</t>
  </si>
  <si>
    <t>KMBK890</t>
  </si>
  <si>
    <t>Kotak Mahindra Bank Limited (18/05/2026) **</t>
  </si>
  <si>
    <t>INE237AD6059</t>
  </si>
  <si>
    <t>UNBI417</t>
  </si>
  <si>
    <t>Union Bank of India (29/01/2026)</t>
  </si>
  <si>
    <t>INE692A16IN0</t>
  </si>
  <si>
    <t>NBAR823</t>
  </si>
  <si>
    <t>National Bank For Agriculture and Rural Development (17/02/2026) **</t>
  </si>
  <si>
    <t>INE261F16959</t>
  </si>
  <si>
    <t>IDBK539</t>
  </si>
  <si>
    <t>IDFC First Bank Limited (27/02/2026) **</t>
  </si>
  <si>
    <t>INE092T16YX9</t>
  </si>
  <si>
    <t>BKBA491</t>
  </si>
  <si>
    <t>Bank of Baroda (11/03/2026) **</t>
  </si>
  <si>
    <t>INE028A16HZ3</t>
  </si>
  <si>
    <t>HDFB996</t>
  </si>
  <si>
    <t>HDFC Bank Limited (24/03/2026) **</t>
  </si>
  <si>
    <t>INE040A16GS5</t>
  </si>
  <si>
    <t>SIDB605</t>
  </si>
  <si>
    <t>Small Industries Dev Bank of India (20/05/2026) **</t>
  </si>
  <si>
    <t>INE556F16BI1</t>
  </si>
  <si>
    <t>KMBK879</t>
  </si>
  <si>
    <t>Kotak Mahindra Bank Limited (30/01/2026) **</t>
  </si>
  <si>
    <t>INE237A164Z8</t>
  </si>
  <si>
    <t>KMBK891</t>
  </si>
  <si>
    <t>Kotak Mahindra Bank Limited (31/08/2026) **</t>
  </si>
  <si>
    <t>INE237AD6075</t>
  </si>
  <si>
    <t>IDBL844</t>
  </si>
  <si>
    <t>IDBI Bank Limited (03/02/2026) **</t>
  </si>
  <si>
    <t>INE008A16X65</t>
  </si>
  <si>
    <t>IDBL846</t>
  </si>
  <si>
    <t>IDBI Bank Limited (23/02/2026) **</t>
  </si>
  <si>
    <t>INE008A16X99</t>
  </si>
  <si>
    <t>CANB1062</t>
  </si>
  <si>
    <t>Canara Bank (27/02/2026)</t>
  </si>
  <si>
    <t>INE476A16D96</t>
  </si>
  <si>
    <t>NBAR835</t>
  </si>
  <si>
    <t>National Bank For Agriculture and Rural Development (13/03/2026)</t>
  </si>
  <si>
    <t>INE261F16983</t>
  </si>
  <si>
    <t>BKBA518</t>
  </si>
  <si>
    <t>Bank of Baroda (06/04/2026) **</t>
  </si>
  <si>
    <t>INE028A16JG9</t>
  </si>
  <si>
    <t>SIDB624</t>
  </si>
  <si>
    <t>Small Industries Dev Bank of India (27/10/2026) **</t>
  </si>
  <si>
    <t>INE556F16BN1</t>
  </si>
  <si>
    <t>IIBL978</t>
  </si>
  <si>
    <t>IndusInd Bank Limited (05/12/2025) **</t>
  </si>
  <si>
    <t>INE095A16X85</t>
  </si>
  <si>
    <t>AFPL159</t>
  </si>
  <si>
    <t>AU Small Finance Bank Limited (27/01/2026) **</t>
  </si>
  <si>
    <t>INE949L16DG6</t>
  </si>
  <si>
    <t>NBAR829</t>
  </si>
  <si>
    <t>National Bank For Agriculture and Rural Development (10/03/2026) **</t>
  </si>
  <si>
    <t>INE261F16975</t>
  </si>
  <si>
    <t>NBAR839</t>
  </si>
  <si>
    <t>National Bank For Agriculture and Rural Development (25/03/2026) **</t>
  </si>
  <si>
    <t>INE261F16AA7</t>
  </si>
  <si>
    <t>BKBA488</t>
  </si>
  <si>
    <t>Bank of Baroda (13/03/2026) **</t>
  </si>
  <si>
    <t>INE028A16IC0</t>
  </si>
  <si>
    <t>IIBL977</t>
  </si>
  <si>
    <t>IndusInd Bank Limited (28/11/2025) **</t>
  </si>
  <si>
    <t>INE095A16X77</t>
  </si>
  <si>
    <t>NBAR812</t>
  </si>
  <si>
    <t>National Bank For Agriculture and Rural Development (23/01/2026) **</t>
  </si>
  <si>
    <t>INE261F16918</t>
  </si>
  <si>
    <t>UNBI423</t>
  </si>
  <si>
    <t>Union Bank of India (20/02/2026) **</t>
  </si>
  <si>
    <t>INE692A16IU5</t>
  </si>
  <si>
    <t>FEBA347</t>
  </si>
  <si>
    <t>The Federal Bank Limited (20/02/2026) **</t>
  </si>
  <si>
    <t>INE171A16MU2</t>
  </si>
  <si>
    <t>HDFB992</t>
  </si>
  <si>
    <t>HDFC Bank Limited (12/03/2026) **</t>
  </si>
  <si>
    <t>INE040A16GN6</t>
  </si>
  <si>
    <t>UNBI451</t>
  </si>
  <si>
    <t>Union Bank of India (15/05/2026) **</t>
  </si>
  <si>
    <t>INE692A16KC9</t>
  </si>
  <si>
    <t>BKBA535</t>
  </si>
  <si>
    <t>Bank of Baroda (20/05/2026) **</t>
  </si>
  <si>
    <t>INE028A16JZ9</t>
  </si>
  <si>
    <t>BKBA530</t>
  </si>
  <si>
    <t>Bank of Baroda (25/05/2026) **</t>
  </si>
  <si>
    <t>INE028A16JR6</t>
  </si>
  <si>
    <t>UNBI418</t>
  </si>
  <si>
    <t>Union Bank of India (03/02/2026) **</t>
  </si>
  <si>
    <t>INE692A16IP5</t>
  </si>
  <si>
    <t>BKBA531</t>
  </si>
  <si>
    <t>Bank of Baroda (23/02/2026) **</t>
  </si>
  <si>
    <t>INE028A16JO3</t>
  </si>
  <si>
    <t>SIDB604</t>
  </si>
  <si>
    <t>Small Industries Dev Bank of India (05/05/2026) **</t>
  </si>
  <si>
    <t>INE556F16BH3</t>
  </si>
  <si>
    <t>BKBA537</t>
  </si>
  <si>
    <t>Bank of Baroda (16/09/2026) **</t>
  </si>
  <si>
    <t>INE028A16KC6</t>
  </si>
  <si>
    <t>AFPL165</t>
  </si>
  <si>
    <t>AU Small Finance Bank Limited (20/01/2026) **</t>
  </si>
  <si>
    <t>INE949L16DO0</t>
  </si>
  <si>
    <t>SIDB590</t>
  </si>
  <si>
    <t>Small Industries Dev Bank of India (06/02/2026)</t>
  </si>
  <si>
    <t>INE556F16BA8</t>
  </si>
  <si>
    <t>KMBK882</t>
  </si>
  <si>
    <t>Kotak Mahindra Bank Limited (13/03/2026) **</t>
  </si>
  <si>
    <t>INE237A167Z1</t>
  </si>
  <si>
    <t>CANB1030</t>
  </si>
  <si>
    <t>Canara Bank (21/01/2026) **</t>
  </si>
  <si>
    <t>INE476A16A08</t>
  </si>
  <si>
    <t>BHFL126</t>
  </si>
  <si>
    <t>Bajaj Housing Finance Limited (20/01/2026) **</t>
  </si>
  <si>
    <t>INE377Y14BA5</t>
  </si>
  <si>
    <t>BHAT80</t>
  </si>
  <si>
    <t>Bharti Telecom Limited (13/02/2026) **</t>
  </si>
  <si>
    <t>INE403D14551</t>
  </si>
  <si>
    <t>KOSE358</t>
  </si>
  <si>
    <t>Kotak Securities Limited (27/02/2026) **</t>
  </si>
  <si>
    <t>INE028E14SR4</t>
  </si>
  <si>
    <t>BGHP194</t>
  </si>
  <si>
    <t>Birla Group Holdings Private Limited (05/03/2026) **</t>
  </si>
  <si>
    <t>INE09OL14HF5</t>
  </si>
  <si>
    <t>NICH1019</t>
  </si>
  <si>
    <t>Piramal Finance Limited (12/03/2026) **</t>
  </si>
  <si>
    <t>INE140A146N7</t>
  </si>
  <si>
    <t>TCAL519</t>
  </si>
  <si>
    <t>Tata Capital Limited (19/05/2026) **</t>
  </si>
  <si>
    <t>INE976I14PY7</t>
  </si>
  <si>
    <t>MOFV77</t>
  </si>
  <si>
    <t>Motilal Oswal Finvest Limited (12/06/2026) **</t>
  </si>
  <si>
    <t>INE01WN14BW9</t>
  </si>
  <si>
    <t>IIFW333</t>
  </si>
  <si>
    <t>360 One Prime Limited (20/02/2026) **</t>
  </si>
  <si>
    <t>INE248U14RY2</t>
  </si>
  <si>
    <t>ISFC573</t>
  </si>
  <si>
    <t>ICICI Sec Primary Dealership Limited (10/02/2026) **</t>
  </si>
  <si>
    <t>INE849D14HW8</t>
  </si>
  <si>
    <t>EBRL40</t>
  </si>
  <si>
    <t>Nuvama Wealth And Invest Ltd (15/12/2025) **</t>
  </si>
  <si>
    <t>INE523L14989</t>
  </si>
  <si>
    <t>NICH1017</t>
  </si>
  <si>
    <t>Piramal Finance Limited (05/02/2026) **</t>
  </si>
  <si>
    <t>INE140A146I7</t>
  </si>
  <si>
    <t>IIFW332</t>
  </si>
  <si>
    <t>360 One Prime Limited (13/02/2026) **</t>
  </si>
  <si>
    <t>INE248U14RZ9</t>
  </si>
  <si>
    <t>BGFL1169</t>
  </si>
  <si>
    <t>Aditya Birla Capital Limited (27/02/2026) **</t>
  </si>
  <si>
    <t>INE674K14AX8</t>
  </si>
  <si>
    <t>NICH1016</t>
  </si>
  <si>
    <t>Piramal Finance Limited (20/02/2026) **</t>
  </si>
  <si>
    <t>INE140A146J5</t>
  </si>
  <si>
    <t>IIFW342</t>
  </si>
  <si>
    <t>360 One Prime Limited (29/05/2026) **</t>
  </si>
  <si>
    <t>INE248U14SL7</t>
  </si>
  <si>
    <t>MFPL222</t>
  </si>
  <si>
    <t>Infina Finance Private Limited (17/02/2026) **</t>
  </si>
  <si>
    <t>INE879F14KJ1</t>
  </si>
  <si>
    <t>BGHP174</t>
  </si>
  <si>
    <t>Birla Group Holdings Private Limited (23/01/2026) **</t>
  </si>
  <si>
    <t>INE09OL14GH3</t>
  </si>
  <si>
    <t>CRFS85</t>
  </si>
  <si>
    <t>Credila Financial Services Limited (23/01/2026) **</t>
  </si>
  <si>
    <t>INE539K14BU7</t>
  </si>
  <si>
    <t>SCIN327</t>
  </si>
  <si>
    <t>Standard Chartered Capital Limited (27/02/2026) **</t>
  </si>
  <si>
    <t>INE403G14TF7</t>
  </si>
  <si>
    <t>MOFS237</t>
  </si>
  <si>
    <t>Motilal Oswal Financial Services Limited (06/03/2026) **</t>
  </si>
  <si>
    <t>INE338I14KT1</t>
  </si>
  <si>
    <t>ARKA28</t>
  </si>
  <si>
    <t>Arka Fincap Limited (27/02/2026) **</t>
  </si>
  <si>
    <t>INE03W114708</t>
  </si>
  <si>
    <t>SHHF37</t>
  </si>
  <si>
    <t>Truhome Finance Limited (30/04/2026) **</t>
  </si>
  <si>
    <t>INE432R14303</t>
  </si>
  <si>
    <t>LTFH121</t>
  </si>
  <si>
    <t>L&amp;T Finance Limited (15/05/2026) **</t>
  </si>
  <si>
    <t>INE498L14DW6</t>
  </si>
  <si>
    <t>RICL215</t>
  </si>
  <si>
    <t>Barclays Investments &amp; Loans (India) Private Limited (12/06/2026) **</t>
  </si>
  <si>
    <t>INE704I14KS6</t>
  </si>
  <si>
    <t>MOFS236</t>
  </si>
  <si>
    <t>Motilal Oswal Financial Services Limited (12/06/2026) **</t>
  </si>
  <si>
    <t>INE338I14KS3</t>
  </si>
  <si>
    <t>BGHP179</t>
  </si>
  <si>
    <t>Birla Group Holdings Private Limited (05/02/2026) **</t>
  </si>
  <si>
    <t>INE09OL14GL5</t>
  </si>
  <si>
    <t>BGHP180</t>
  </si>
  <si>
    <t>Birla Group Holdings Private Limited (06/02/2026) **</t>
  </si>
  <si>
    <t>INE09OL14GM3</t>
  </si>
  <si>
    <t>PILN58</t>
  </si>
  <si>
    <t>Pilani Investment and Industries Corporation Limited (06/02/2026) **</t>
  </si>
  <si>
    <t>INE417C14868</t>
  </si>
  <si>
    <t>NBAR857</t>
  </si>
  <si>
    <t>National Bank For Agriculture and Rural Development (02/03/2026) **</t>
  </si>
  <si>
    <t>INE261F14OD7</t>
  </si>
  <si>
    <t>GOFL35</t>
  </si>
  <si>
    <t>Godrej Finance Limited (17/02/2026) **</t>
  </si>
  <si>
    <t>INE02KN14440</t>
  </si>
  <si>
    <t>SCIN340</t>
  </si>
  <si>
    <t>Standard Chartered Capital Limited (29/05/2026) **</t>
  </si>
  <si>
    <t>INE403G14TR2</t>
  </si>
  <si>
    <t>SCIN339</t>
  </si>
  <si>
    <t>Standard Chartered Capital Limited (05/06/2026) **</t>
  </si>
  <si>
    <t>INE403G14TQ4</t>
  </si>
  <si>
    <t>GOFL36</t>
  </si>
  <si>
    <t>Godrej Finance Limited (27/02/2026) **</t>
  </si>
  <si>
    <t>INE02KN14465</t>
  </si>
  <si>
    <t>SIDB612</t>
  </si>
  <si>
    <t>Small Industries Dev Bank of India (03/03/2026) **</t>
  </si>
  <si>
    <t>INE556F14LG9</t>
  </si>
  <si>
    <t>GOFL38</t>
  </si>
  <si>
    <t>Godrej Finance Limited (05/03/2026) **</t>
  </si>
  <si>
    <t>INE02KN14457</t>
  </si>
  <si>
    <t>TCAL512</t>
  </si>
  <si>
    <t>Tata Capital Limited (11/03/2026) **</t>
  </si>
  <si>
    <t>INE976I14PU5</t>
  </si>
  <si>
    <t>BGHP192</t>
  </si>
  <si>
    <t>Birla Group Holdings Private Limited (13/03/2026) **</t>
  </si>
  <si>
    <t>INE09OL14HC2</t>
  </si>
  <si>
    <t>TBIL2581</t>
  </si>
  <si>
    <t>364 Days Tbill (MD 29/10/2026)</t>
  </si>
  <si>
    <t>IN002025Z310</t>
  </si>
  <si>
    <t>TBIL2576</t>
  </si>
  <si>
    <t>364 Days Tbill (MD 15/10/2026)</t>
  </si>
  <si>
    <t>IN002025Z294</t>
  </si>
  <si>
    <t>TBIL2468</t>
  </si>
  <si>
    <t>364 Days Tbill (MD 05/02/2026)</t>
  </si>
  <si>
    <t>IN002024Z438</t>
  </si>
  <si>
    <t>TBIL2554</t>
  </si>
  <si>
    <t>182 Days Tbill (MD 27/02/2026)</t>
  </si>
  <si>
    <t>IN002025Y222</t>
  </si>
  <si>
    <t>TBIL2543</t>
  </si>
  <si>
    <t>182 Days Tbill (MD 29/01/2026)</t>
  </si>
  <si>
    <t>IN002025Y180</t>
  </si>
  <si>
    <t>TBIL2579</t>
  </si>
  <si>
    <t>364 Days Tbill (MD 23/10/2026)</t>
  </si>
  <si>
    <t>IN002025Z302</t>
  </si>
  <si>
    <t>TBIL2532</t>
  </si>
  <si>
    <t>182 Days Tbill (MD 08/01/2026)</t>
  </si>
  <si>
    <t>IN002025Y156</t>
  </si>
  <si>
    <t>TBIL2545</t>
  </si>
  <si>
    <t>182 Days Tbill (MD 05/02/2026)</t>
  </si>
  <si>
    <t>IN002025Y198</t>
  </si>
  <si>
    <t>REP15_311025</t>
  </si>
  <si>
    <t>REP19_311025</t>
  </si>
  <si>
    <t>Aggregate Investments by other schemes (At NAV)  as on October 31, 2025 RS 79333.24 Lakh's</t>
  </si>
  <si>
    <t>Benchmark Name - NIFTY MONEY MARKET INDEX A-I</t>
  </si>
  <si>
    <t>Benchmark Name - NIFTY 50 TRI</t>
  </si>
  <si>
    <t>Benchmark Name - NIFTY500 MOMENTUM 50 TRI</t>
  </si>
  <si>
    <t>Aggregate Investments by other schemes (At NAV)  as on October 31, 2025 RS 39669.51 Lakh's</t>
  </si>
  <si>
    <t>Benchmark Name - NASDAQ 100 TRI (INR)</t>
  </si>
  <si>
    <t>LICH666</t>
  </si>
  <si>
    <t>7.8350% LIC Housing Finance Limited (11/05/2027) **</t>
  </si>
  <si>
    <t>INE115A07QO2</t>
  </si>
  <si>
    <t>ICHF223</t>
  </si>
  <si>
    <t>8.10% ICICI Home Finance Company Limited (05/03/2027) **</t>
  </si>
  <si>
    <t>INE071G07660</t>
  </si>
  <si>
    <t>BHFL88</t>
  </si>
  <si>
    <t>7.7% Bajaj Housing Finance Limited (21/05/2027) **</t>
  </si>
  <si>
    <t>INE377Y07300</t>
  </si>
  <si>
    <t>TCHF397</t>
  </si>
  <si>
    <t>8.0409% Tata Capital Housing Finance Limited (19/03/2027) **</t>
  </si>
  <si>
    <t>INE033L07ID4</t>
  </si>
  <si>
    <r>
      <rPr>
        <b/>
        <sz val="9"/>
        <color rgb="FF000000"/>
        <rFont val="Arial"/>
        <family val="2"/>
      </rPr>
      <t>The DIRF score is 58.85 %</t>
    </r>
  </si>
  <si>
    <t>Benchmark Name - CRISIL-IBX AAA NBFC-HFC INDEX - JUN 2027</t>
  </si>
  <si>
    <t>Benchmark Name - NIFTY 100 TRI</t>
  </si>
  <si>
    <t>Benchmark Name - NIFTY IT TRI</t>
  </si>
  <si>
    <t>Benchmark Name - NIFTY MIDCAP 50 INDEX TRI</t>
  </si>
  <si>
    <t>Benchmark Name - NIFTY NEXT 50 INDEX TRI</t>
  </si>
  <si>
    <t>Benchmark Name - NIFTY SMALLCAP 50 INDEX TRI</t>
  </si>
  <si>
    <t>Aggregate Investments by other schemes (At NAV)  as on October 31, 2025 RS 858.44 Lakh's</t>
  </si>
  <si>
    <t>Benchmark Name - NIFTY500 VALUE 50 TRI</t>
  </si>
  <si>
    <t>TBIL2546</t>
  </si>
  <si>
    <t>182 Days Tbill (MD 27/11/2025)</t>
  </si>
  <si>
    <t>IN002025Y099</t>
  </si>
  <si>
    <t>TBIL2507</t>
  </si>
  <si>
    <t>182 Days Tbill (MD 13/11/2025)</t>
  </si>
  <si>
    <t>IN002025Y073</t>
  </si>
  <si>
    <t>REP18_311025</t>
  </si>
  <si>
    <t>REP14_311025</t>
  </si>
  <si>
    <t>REP13_311025</t>
  </si>
  <si>
    <t>REP16_311025</t>
  </si>
  <si>
    <t>REP17_311025</t>
  </si>
  <si>
    <t>Benchmark Name - NIFTY 1D RATE INDEX</t>
  </si>
  <si>
    <t>TSLD02</t>
  </si>
  <si>
    <t>Tanla Platforms Limited</t>
  </si>
  <si>
    <t>INE483C01032</t>
  </si>
  <si>
    <t>Benchmark Name - NIFTY500 QUALITY 50 TRI</t>
  </si>
  <si>
    <t>MEDP01</t>
  </si>
  <si>
    <t>MedPlus Health Services Limited</t>
  </si>
  <si>
    <t>INE804L01022</t>
  </si>
  <si>
    <t>RATG01</t>
  </si>
  <si>
    <t>Rategain Travel Technologies Limited</t>
  </si>
  <si>
    <t>INE0CLI01024</t>
  </si>
  <si>
    <t>Benchmark Name - BSE 200 TRI</t>
  </si>
  <si>
    <t>Benchmark Name - CRISIL HYBRID 25+75 - AGGRESSIVE INDEX</t>
  </si>
  <si>
    <t>Benchmark Name - CRISIL HYBRID 75+25 - CONSERVATIVE INDEX</t>
  </si>
  <si>
    <t>STPR03</t>
  </si>
  <si>
    <t>JK Lakshmi Cement Limited</t>
  </si>
  <si>
    <t>INE786A01032</t>
  </si>
  <si>
    <t>VESU02</t>
  </si>
  <si>
    <t>Vesuvius India Limited</t>
  </si>
  <si>
    <t>INE386A01023</t>
  </si>
  <si>
    <t>AHCO01</t>
  </si>
  <si>
    <t>Ahluwalia Contracts (India) Limited</t>
  </si>
  <si>
    <t>INE758C01029</t>
  </si>
  <si>
    <t>CHEM04</t>
  </si>
  <si>
    <t>Chemplast Sanmar Limited</t>
  </si>
  <si>
    <t>INE488A01050</t>
  </si>
  <si>
    <t>ISHF02</t>
  </si>
  <si>
    <t>India Shelter Finance Corporation Limited</t>
  </si>
  <si>
    <t>INE922K01024</t>
  </si>
  <si>
    <t>MAAU01</t>
  </si>
  <si>
    <t>CIE Automotive India Limited</t>
  </si>
  <si>
    <t>INE536H01010</t>
  </si>
  <si>
    <t>OREL01</t>
  </si>
  <si>
    <t>Orient Electric Limited</t>
  </si>
  <si>
    <t>INE142Z01019</t>
  </si>
  <si>
    <t>GESC01</t>
  </si>
  <si>
    <t>Mahindra Lifespace Developers Limited</t>
  </si>
  <si>
    <t>INE813A01018</t>
  </si>
  <si>
    <t>ELLE01</t>
  </si>
  <si>
    <t>Ellenbarrie Industrial Gases Limited</t>
  </si>
  <si>
    <t>INE236E01022</t>
  </si>
  <si>
    <t>PNCI02</t>
  </si>
  <si>
    <t>PNC Infratech Limited</t>
  </si>
  <si>
    <t>INE195J01029</t>
  </si>
  <si>
    <t>USFB01</t>
  </si>
  <si>
    <t>Ujjivan Small Finance Bank Limited</t>
  </si>
  <si>
    <t>INE551W01018</t>
  </si>
  <si>
    <t>MYCE01</t>
  </si>
  <si>
    <t>HeidelbergCement India Limited</t>
  </si>
  <si>
    <t>INE578A01017</t>
  </si>
  <si>
    <t>JRRL01</t>
  </si>
  <si>
    <t>Jain Resource Recycling Limited</t>
  </si>
  <si>
    <t>INE0YD401026</t>
  </si>
  <si>
    <t>EMCL02</t>
  </si>
  <si>
    <t>Alicon Castalloy Limited</t>
  </si>
  <si>
    <t>INE062D01024</t>
  </si>
  <si>
    <t>KNRC02</t>
  </si>
  <si>
    <t>KNR Constructions Limited</t>
  </si>
  <si>
    <t>INE634I01029</t>
  </si>
  <si>
    <t>SMIL02</t>
  </si>
  <si>
    <t>Sharda Motor Industries Ltd.</t>
  </si>
  <si>
    <t>INE597I01028</t>
  </si>
  <si>
    <t>PDSM02</t>
  </si>
  <si>
    <t>PDS Limited</t>
  </si>
  <si>
    <t>INE111Q01021</t>
  </si>
  <si>
    <t>SUEN02</t>
  </si>
  <si>
    <t>Suprajit Engineering Limited</t>
  </si>
  <si>
    <t>INE399C01030</t>
  </si>
  <si>
    <t>AZAD01</t>
  </si>
  <si>
    <t>Azad Engineering Ltd</t>
  </si>
  <si>
    <t>INE02IJ01035</t>
  </si>
  <si>
    <t>TITL02</t>
  </si>
  <si>
    <t>Time Technoplast Limited</t>
  </si>
  <si>
    <t>INE508G01029</t>
  </si>
  <si>
    <t>MDWL01</t>
  </si>
  <si>
    <t>Midwest Limited</t>
  </si>
  <si>
    <t>INE0XAD01024</t>
  </si>
  <si>
    <t>ELMA01</t>
  </si>
  <si>
    <t>Electronics Mart India Limited</t>
  </si>
  <si>
    <t>INE02YR01019</t>
  </si>
  <si>
    <t>CANA01</t>
  </si>
  <si>
    <t>Canara Robeco Asset Management Company Ltd</t>
  </si>
  <si>
    <t>INE218I01013</t>
  </si>
  <si>
    <t>PRUD01</t>
  </si>
  <si>
    <t>Prudent Corporate Advisory Services Limited</t>
  </si>
  <si>
    <t>INE00F201020</t>
  </si>
  <si>
    <t>ESSP02</t>
  </si>
  <si>
    <t>EPL Limited</t>
  </si>
  <si>
    <t>INE255A01020</t>
  </si>
  <si>
    <t>ATEL01</t>
  </si>
  <si>
    <t>Atlanta Electricals Ltd</t>
  </si>
  <si>
    <t>INE0Z4F01028</t>
  </si>
  <si>
    <t>AJAX01</t>
  </si>
  <si>
    <t>Ajax Engineering Limited</t>
  </si>
  <si>
    <t>INE274Y01021</t>
  </si>
  <si>
    <t>VSTI01</t>
  </si>
  <si>
    <t>VST Industries Limited</t>
  </si>
  <si>
    <t>INE710A01016</t>
  </si>
  <si>
    <t>HITE01</t>
  </si>
  <si>
    <t>Hi-Tech Pipes Limited</t>
  </si>
  <si>
    <t>INE106T01025</t>
  </si>
  <si>
    <t>NIFTYFNOV25</t>
  </si>
  <si>
    <t>NIFTY November 2025 Future</t>
  </si>
  <si>
    <t>Benchmark Name - NIFTY SMALLCAP 250 TRI</t>
  </si>
  <si>
    <t>GOI3730</t>
  </si>
  <si>
    <t>7.38% Rajasthan State Development Loans (14/09/2026)</t>
  </si>
  <si>
    <t>IN2920160156</t>
  </si>
  <si>
    <t>GOI3668</t>
  </si>
  <si>
    <t>7.6% Gujarat State Development Loans (09/08/2026)</t>
  </si>
  <si>
    <t>IN1520160087</t>
  </si>
  <si>
    <t>GOI4855</t>
  </si>
  <si>
    <t>7.61% Kerala State Development Loans (09/08/2026)</t>
  </si>
  <si>
    <t>IN2020160072</t>
  </si>
  <si>
    <t>GOI4527</t>
  </si>
  <si>
    <t>7.17% Rajasthan State Development Loans (28/09/2026)</t>
  </si>
  <si>
    <t>IN2920160164</t>
  </si>
  <si>
    <t>GOI1623</t>
  </si>
  <si>
    <t>7.58% Maharashtra State Development Loans(24/08/2026)</t>
  </si>
  <si>
    <t>IN2220160054</t>
  </si>
  <si>
    <t>GOI2759</t>
  </si>
  <si>
    <t>7.16% Maharashtra State Development Loans (28/09/2026)</t>
  </si>
  <si>
    <t>IN2220160070</t>
  </si>
  <si>
    <t>GOI3541</t>
  </si>
  <si>
    <t>7.37% Maharashtra State Development Loans (14/09/2026)</t>
  </si>
  <si>
    <t>IN2220160062</t>
  </si>
  <si>
    <t>GOI4858</t>
  </si>
  <si>
    <t>7.59% Kerala State Development Loans (24/08/2026)</t>
  </si>
  <si>
    <t>IN2020160080</t>
  </si>
  <si>
    <r>
      <rPr>
        <b/>
        <sz val="9"/>
        <color rgb="FF000000"/>
        <rFont val="Arial"/>
        <family val="2"/>
      </rPr>
      <t>The DIRF score is 96.44 %</t>
    </r>
  </si>
  <si>
    <t>Benchmark Name - NIFTY SDL SEP 2026 INDEX</t>
  </si>
  <si>
    <t>148926</t>
  </si>
  <si>
    <t>Axis Nifty AAA Bond Plus SDL Apr 2026 50-50 ETF</t>
  </si>
  <si>
    <t>INF846K01Z04</t>
  </si>
  <si>
    <t>Benchmark Name - NIFTY AAA BOND PLUS SDL APR 2026 50:50 INDEX</t>
  </si>
  <si>
    <t>GOI4062</t>
  </si>
  <si>
    <t>6.18% Gujarat State Development Loans (31/03/2026)</t>
  </si>
  <si>
    <t>IN1520200339</t>
  </si>
  <si>
    <t>POWF497</t>
  </si>
  <si>
    <t>7.58% Power Finance Corporation Limited (15/01/2026) **</t>
  </si>
  <si>
    <t>INE134E08LZ0</t>
  </si>
  <si>
    <t>GOI1475</t>
  </si>
  <si>
    <t>8.88% West Bengal State Development Loans (24/02/2026)</t>
  </si>
  <si>
    <t>IN3420150150</t>
  </si>
  <si>
    <t>GOI1474</t>
  </si>
  <si>
    <t>8.51% Maharashtra State Development Loans (09/03/2026)</t>
  </si>
  <si>
    <t>IN2220150204</t>
  </si>
  <si>
    <t>GOI1517</t>
  </si>
  <si>
    <t>8% Gujarat State Development Loans(20/04/2026)</t>
  </si>
  <si>
    <t>IN1520160012</t>
  </si>
  <si>
    <t>NTPC105</t>
  </si>
  <si>
    <t>8.19% NTPC Limited (15/12/2025) **</t>
  </si>
  <si>
    <t>INE733E07JX0</t>
  </si>
  <si>
    <t>GOI2218</t>
  </si>
  <si>
    <t>8.28% Karnataka State Development Loans (06/03/2026)</t>
  </si>
  <si>
    <t>IN1920180198</t>
  </si>
  <si>
    <t>GOI4024</t>
  </si>
  <si>
    <t>8.15% West Bengal State Development Loans (13/11/2025)</t>
  </si>
  <si>
    <t>IN3420150085</t>
  </si>
  <si>
    <t>GOI1462</t>
  </si>
  <si>
    <t>8.67% Maharastra State Development Loans (24/02/2026)</t>
  </si>
  <si>
    <t>IN2220150196</t>
  </si>
  <si>
    <t>GOI4585</t>
  </si>
  <si>
    <t>8.02% Uttar Pradesh State Development Loans (20/04/2026)</t>
  </si>
  <si>
    <t>IN3320160010</t>
  </si>
  <si>
    <t>GOI4352</t>
  </si>
  <si>
    <t>6.18% Gujarat State Development Loans (25/01/2026)</t>
  </si>
  <si>
    <t>IN1520210171</t>
  </si>
  <si>
    <t>GOI2941</t>
  </si>
  <si>
    <t>8.34% Uttar Pradesh State Development Loans (13/01/2026)</t>
  </si>
  <si>
    <t>IN3320150359</t>
  </si>
  <si>
    <t>GOI1417</t>
  </si>
  <si>
    <t>8.26% Maharashtra State Development Loans(23/12/2025)</t>
  </si>
  <si>
    <t>IN2220150154</t>
  </si>
  <si>
    <t>GOI1447</t>
  </si>
  <si>
    <t>8.38% Karnataka State Development Loans (27/01/2026)</t>
  </si>
  <si>
    <t>IN1920150084</t>
  </si>
  <si>
    <t>GOI1434</t>
  </si>
  <si>
    <t>8.27% Gujarat State Development Loans (13/01/2026)</t>
  </si>
  <si>
    <t>IN1520150104</t>
  </si>
  <si>
    <t>GOI4604</t>
  </si>
  <si>
    <t>8.01% Tamilnadu State Development Loans (20/04/2026)</t>
  </si>
  <si>
    <t>IN3120160012</t>
  </si>
  <si>
    <t>GOI1458</t>
  </si>
  <si>
    <t>8.49% Tamil Nadu State Development Loans (10/02/2026)</t>
  </si>
  <si>
    <t>IN3120150195</t>
  </si>
  <si>
    <t>GOI1647</t>
  </si>
  <si>
    <t>8.53% Uttar Pradesh State Development Loans (10/02/2026)</t>
  </si>
  <si>
    <t>IN3320150375</t>
  </si>
  <si>
    <t>GOI3087</t>
  </si>
  <si>
    <t>8.4% West Bangal State Development Loans (27/01/2026)</t>
  </si>
  <si>
    <t>IN3420150135</t>
  </si>
  <si>
    <t>GOI3573</t>
  </si>
  <si>
    <t>8.1% West Bangal State Development Loans (23/03/2026)</t>
  </si>
  <si>
    <t>IN3420150176</t>
  </si>
  <si>
    <r>
      <rPr>
        <b/>
        <sz val="9"/>
        <color rgb="FF000000"/>
        <rFont val="Arial"/>
        <family val="2"/>
      </rPr>
      <t>The DIRF score is 86.63 %</t>
    </r>
  </si>
  <si>
    <t>Aggregate Investments by other schemes (At NAV)  as on October 31, 2025 RS 24296.83 Lakh's</t>
  </si>
  <si>
    <t>150610</t>
  </si>
  <si>
    <t>INF846K011K1</t>
  </si>
  <si>
    <t>Benchmark Name - NIFTY SERVICES SECTOR TRI</t>
  </si>
  <si>
    <t>IDEF01</t>
  </si>
  <si>
    <t>Ideaforge Technology Limited</t>
  </si>
  <si>
    <t>INE349Y01013</t>
  </si>
  <si>
    <t>41112361USD</t>
  </si>
  <si>
    <t>Broadcom Inc</t>
  </si>
  <si>
    <t>US11135F1012</t>
  </si>
  <si>
    <t>645156USD</t>
  </si>
  <si>
    <t>Amazon Com Inc</t>
  </si>
  <si>
    <t>US0231351067</t>
  </si>
  <si>
    <t>Broadline Retail</t>
  </si>
  <si>
    <t>994529USD</t>
  </si>
  <si>
    <t>Nvidia Corp Com</t>
  </si>
  <si>
    <t>US67066G1040</t>
  </si>
  <si>
    <t>903491USD</t>
  </si>
  <si>
    <t>Advanced Micro Devices Inc</t>
  </si>
  <si>
    <t>US0079031078</t>
  </si>
  <si>
    <t>20085930USD</t>
  </si>
  <si>
    <t>ASML Holding NV</t>
  </si>
  <si>
    <t>USN070592100</t>
  </si>
  <si>
    <t>Semiconductor Materials &amp; Equipment</t>
  </si>
  <si>
    <t>947556USD</t>
  </si>
  <si>
    <t>Eli Lilly &amp; Co</t>
  </si>
  <si>
    <t>US5324571083</t>
  </si>
  <si>
    <t>Pharmaceuticals</t>
  </si>
  <si>
    <t>977576USD</t>
  </si>
  <si>
    <t>Thermo Fisher Scientific Inc</t>
  </si>
  <si>
    <t>US8835561023</t>
  </si>
  <si>
    <t>Life Sciences Tools &amp; Services</t>
  </si>
  <si>
    <t>139795197USD</t>
  </si>
  <si>
    <t>Arista Networks Inc</t>
  </si>
  <si>
    <t>US0404132054</t>
  </si>
  <si>
    <t>Communications Equipment</t>
  </si>
  <si>
    <t>1130337USD</t>
  </si>
  <si>
    <t>Moody's Corp</t>
  </si>
  <si>
    <t>US6153691059</t>
  </si>
  <si>
    <t>Financial Exchanges &amp; Data</t>
  </si>
  <si>
    <t>3109814USD</t>
  </si>
  <si>
    <t>MercadoLibre Inc</t>
  </si>
  <si>
    <t>US58733R1023</t>
  </si>
  <si>
    <t>12117355USD</t>
  </si>
  <si>
    <t>Motorola Solutions Inc</t>
  </si>
  <si>
    <t>US6200763075</t>
  </si>
  <si>
    <t>763302USD</t>
  </si>
  <si>
    <t>Sony Group Corporation - ADR</t>
  </si>
  <si>
    <t>US8356993076</t>
  </si>
  <si>
    <t>Consumer Electronics</t>
  </si>
  <si>
    <t>956191USD</t>
  </si>
  <si>
    <t>Ebay Inc</t>
  </si>
  <si>
    <t>US2786421030</t>
  </si>
  <si>
    <t>1755645USD</t>
  </si>
  <si>
    <t>Salesforce Inc</t>
  </si>
  <si>
    <t>US79466L3024</t>
  </si>
  <si>
    <t>128046052USD</t>
  </si>
  <si>
    <t>SharkNinja INC</t>
  </si>
  <si>
    <t>KYG8068L1086</t>
  </si>
  <si>
    <t>Household Appliances</t>
  </si>
  <si>
    <t>461641USD</t>
  </si>
  <si>
    <t>Novo Nordisk A/S</t>
  </si>
  <si>
    <t>US6701002056</t>
  </si>
  <si>
    <t>916187USD</t>
  </si>
  <si>
    <t>CADENCE DESIGN SYSTEM COM</t>
  </si>
  <si>
    <t>US1273871087</t>
  </si>
  <si>
    <t>117812USD</t>
  </si>
  <si>
    <t>Gartner Inc</t>
  </si>
  <si>
    <t>US3666511072</t>
  </si>
  <si>
    <t>IT Consulting &amp; Other Services</t>
  </si>
  <si>
    <t>3632181GBP</t>
  </si>
  <si>
    <t>Relx Plc</t>
  </si>
  <si>
    <t>GB00B2B0DG97</t>
  </si>
  <si>
    <t>Research &amp; Consulting Services</t>
  </si>
  <si>
    <t>11363205USD</t>
  </si>
  <si>
    <t>NextEra Energy Inc</t>
  </si>
  <si>
    <t>US65339F1012</t>
  </si>
  <si>
    <t>Electric Utilities</t>
  </si>
  <si>
    <t>18868154USD</t>
  </si>
  <si>
    <t>ServiceNow Inc</t>
  </si>
  <si>
    <t>US81762P1021</t>
  </si>
  <si>
    <t>903618USD</t>
  </si>
  <si>
    <t>Costco Wholesale Corp</t>
  </si>
  <si>
    <t>US22160K1051</t>
  </si>
  <si>
    <t>Consumer Staples Merchandise Retail</t>
  </si>
  <si>
    <t>38736734USD</t>
  </si>
  <si>
    <t>Tapestry Inc</t>
  </si>
  <si>
    <t>US8760301072</t>
  </si>
  <si>
    <t>Apparel, Accessories and Luxury Goods</t>
  </si>
  <si>
    <t>30890825USD</t>
  </si>
  <si>
    <t>Hubbell Inc</t>
  </si>
  <si>
    <t>US4435106079</t>
  </si>
  <si>
    <t>Electrical Components &amp; Equipment</t>
  </si>
  <si>
    <t>132063100USD</t>
  </si>
  <si>
    <t>Amer Sports Incorporation</t>
  </si>
  <si>
    <t>KYG0260P1028</t>
  </si>
  <si>
    <t>903472USD</t>
  </si>
  <si>
    <t>Adobe Inc</t>
  </si>
  <si>
    <t>US00724F1012</t>
  </si>
  <si>
    <t>494683USD</t>
  </si>
  <si>
    <t>Check Point Software Tech</t>
  </si>
  <si>
    <t>IL0010824113</t>
  </si>
  <si>
    <t>38497535USD</t>
  </si>
  <si>
    <t>Sea Ltd</t>
  </si>
  <si>
    <t>US81141R1005</t>
  </si>
  <si>
    <t>145670405USD</t>
  </si>
  <si>
    <t>Sony Financial Group Inc -ADR</t>
  </si>
  <si>
    <t>US83571B1008</t>
  </si>
  <si>
    <t>Diversified Financial Services</t>
  </si>
  <si>
    <t>TBIL2530</t>
  </si>
  <si>
    <t>182 Days Tbill (MD 18/12/2025)</t>
  </si>
  <si>
    <t>IN002025Y123</t>
  </si>
  <si>
    <t>IRS1217086</t>
  </si>
  <si>
    <t>Interest Rate Swaps Pay Fix Receive Floating -AXIS BANK (04/12/2025) (FV 5000 Lacs)</t>
  </si>
  <si>
    <t>RECL462</t>
  </si>
  <si>
    <t>7.55% REC Limited (31/10/2026) **</t>
  </si>
  <si>
    <t>INE020B08FH7</t>
  </si>
  <si>
    <t>BHAT67</t>
  </si>
  <si>
    <t>8.95% Bharti Telecom Limited (04/12/2026) **</t>
  </si>
  <si>
    <t>INE403D08207</t>
  </si>
  <si>
    <t>NBAR741</t>
  </si>
  <si>
    <t>7.8% National Bank For Agriculture and Rural Development (15/03/2027) **</t>
  </si>
  <si>
    <t>INE261F08EF5</t>
  </si>
  <si>
    <t>SIDB534</t>
  </si>
  <si>
    <t>7.79% Small Industries Dev Bank of India (19/04/2027) **</t>
  </si>
  <si>
    <t>INE556F08KK5</t>
  </si>
  <si>
    <t>GSGL25</t>
  </si>
  <si>
    <t>7.99% Godrej Seeds &amp; Genetics Limited (26/12/2028) **</t>
  </si>
  <si>
    <t>INE316Z08055</t>
  </si>
  <si>
    <t>SIDB525</t>
  </si>
  <si>
    <t>7.55% Small Industries Dev Bank of India (22/09/2026) **</t>
  </si>
  <si>
    <t>INE556F08KJ7</t>
  </si>
  <si>
    <t>GSGL24</t>
  </si>
  <si>
    <t>7.99% Godrej Seeds &amp; Genetics Limited (26/03/2029) **</t>
  </si>
  <si>
    <t>INE316Z08063</t>
  </si>
  <si>
    <t>BGFL1111</t>
  </si>
  <si>
    <t>8.46% Aditya Birla Capital Limited (26/02/2027) (FRN) **</t>
  </si>
  <si>
    <t>INE860H07IX6</t>
  </si>
  <si>
    <t>BAFL991</t>
  </si>
  <si>
    <t>7.11% Bajaj Finance Limited (10/07/2028) **</t>
  </si>
  <si>
    <t>INE296A07TM8</t>
  </si>
  <si>
    <t>POWF552</t>
  </si>
  <si>
    <t>6.27% Power Finance Corporation Limited (15/07/2027) **</t>
  </si>
  <si>
    <t>INE134E08NT9</t>
  </si>
  <si>
    <t>SHTR526</t>
  </si>
  <si>
    <t>8.7% Shriram Finance Limited (09/04/2028) **</t>
  </si>
  <si>
    <t>INE721A07SL9</t>
  </si>
  <si>
    <t>GODP242</t>
  </si>
  <si>
    <t>8.40% Godrej Properties Limited (25/01/2028) **</t>
  </si>
  <si>
    <t>INE484J08089</t>
  </si>
  <si>
    <t>KOMP1709</t>
  </si>
  <si>
    <t>8.08% Kotak Mahindra Prime Limited (21/10/2027) **</t>
  </si>
  <si>
    <t>INE916DA7SV2</t>
  </si>
  <si>
    <t>AAHF94</t>
  </si>
  <si>
    <t>8.37% Aadhar Housing Finance Limited (29/05/2028) **</t>
  </si>
  <si>
    <t>INE883F07389</t>
  </si>
  <si>
    <t>SUMM25</t>
  </si>
  <si>
    <t>8.19% Summit Digitel Infrastructure Limited (01/11/2026) **</t>
  </si>
  <si>
    <t>INE507T07112</t>
  </si>
  <si>
    <t>MEBP28</t>
  </si>
  <si>
    <t>7.75% Mindspace Business Parks REIT (30/06/2026) **</t>
  </si>
  <si>
    <t>INE0CCU07082</t>
  </si>
  <si>
    <t>RECL318</t>
  </si>
  <si>
    <t>7.95% REC Limited (12/03/2027) **</t>
  </si>
  <si>
    <t>INE020B08AH8</t>
  </si>
  <si>
    <t>LICH686</t>
  </si>
  <si>
    <t>7.74% LIC Housing Finance Limited (22/10/2027) **</t>
  </si>
  <si>
    <t>INE115A07QZ8</t>
  </si>
  <si>
    <t>IRLY293</t>
  </si>
  <si>
    <t>7.83% Indian Railway Finance Corporation Limited (19/03/2027) **</t>
  </si>
  <si>
    <t>INE053F07983</t>
  </si>
  <si>
    <t>MUFL447</t>
  </si>
  <si>
    <t>8.65% Muthoot Finance Limited (31/01/2028) **</t>
  </si>
  <si>
    <t>INE414G07JL7</t>
  </si>
  <si>
    <t>MUFL456</t>
  </si>
  <si>
    <t>8.60% Muthoot Finance Limited (02/03/2028) **</t>
  </si>
  <si>
    <t>INE414G07JM5</t>
  </si>
  <si>
    <t>POWF398</t>
  </si>
  <si>
    <t>7.30% Power Finance Corporation Limited (07/08/2027) **</t>
  </si>
  <si>
    <t>INE134E08JE9</t>
  </si>
  <si>
    <t>POWF368</t>
  </si>
  <si>
    <t>7.18% Power Finance Corporation Limited (20/01/2027) **</t>
  </si>
  <si>
    <t>INE134E08IR3</t>
  </si>
  <si>
    <t>MUFL464</t>
  </si>
  <si>
    <t>8.05% Muthoot Finance Limited (25/11/2027)</t>
  </si>
  <si>
    <t>INE414G07JQ6</t>
  </si>
  <si>
    <t>LICH701</t>
  </si>
  <si>
    <t>6.90% LIC Housing Finance Limited (17/09/2027) **</t>
  </si>
  <si>
    <t>INE115A07RH4</t>
  </si>
  <si>
    <t>POWF551</t>
  </si>
  <si>
    <t>6.64% Power Finance Corporation Limited (15/07/2030)</t>
  </si>
  <si>
    <t>INE134E08NR3</t>
  </si>
  <si>
    <t>BHFL97</t>
  </si>
  <si>
    <t>7.98% Bajaj Housing Finance Limited (18/11/2027)</t>
  </si>
  <si>
    <t>INE377Y07383</t>
  </si>
  <si>
    <t>GOI6566</t>
  </si>
  <si>
    <t>7.39% Andhra Pradesh State Development Loans (03/04/2030)</t>
  </si>
  <si>
    <t>IN1020240017</t>
  </si>
  <si>
    <t>GOFL24</t>
  </si>
  <si>
    <t>8.75% Godrej Finance Limited (18/01/2027) **</t>
  </si>
  <si>
    <t>INE02KN07022</t>
  </si>
  <si>
    <t>DCCD22</t>
  </si>
  <si>
    <t>6.92% DLF Cyber City Developers Limited (28/07/2028) **</t>
  </si>
  <si>
    <t>INE186K07122</t>
  </si>
  <si>
    <t>MUFL421</t>
  </si>
  <si>
    <t>8.95% Muthoot Finance Limited (03/05/2027) **</t>
  </si>
  <si>
    <t>INE414G07JD4</t>
  </si>
  <si>
    <t>GOI5026</t>
  </si>
  <si>
    <t>7.7% Andhra Pradesh State Development Loans (08/03/2029)</t>
  </si>
  <si>
    <t>IN1020220720</t>
  </si>
  <si>
    <t>GOI5099</t>
  </si>
  <si>
    <t>7.6% Andhra Pradesh State Development Loans (06/04/2029)</t>
  </si>
  <si>
    <t>IN1020230018</t>
  </si>
  <si>
    <t>SHTR505</t>
  </si>
  <si>
    <t>9.233% Shriram Finance Limited (18/05/2027) **</t>
  </si>
  <si>
    <t>INE721A07RV0</t>
  </si>
  <si>
    <t>LICH437</t>
  </si>
  <si>
    <t>7.75% LIC Housing Finance Limited (23/11/2027) **</t>
  </si>
  <si>
    <t>INE115A07MQ6</t>
  </si>
  <si>
    <t>GODP225</t>
  </si>
  <si>
    <t>8.30% Godrej Properties Limited (19/03/2027) **</t>
  </si>
  <si>
    <t>INE484J08055</t>
  </si>
  <si>
    <t>RECL458</t>
  </si>
  <si>
    <t>7.70% REC Limited (31/08/2026) **</t>
  </si>
  <si>
    <t>INE020B08FC8</t>
  </si>
  <si>
    <t>POWF500</t>
  </si>
  <si>
    <t>7.77% Power Finance Corporation Limited (15/07/2026) **</t>
  </si>
  <si>
    <t>INE134E08MC7</t>
  </si>
  <si>
    <t>IRLY390</t>
  </si>
  <si>
    <t>7.17% Indian Railway Finance Corporation Limited (27/04/2035) **</t>
  </si>
  <si>
    <t>INE053F08486</t>
  </si>
  <si>
    <t>GOI6567</t>
  </si>
  <si>
    <t>6.54% Rajasthan State Development Loans (18/11/2030)</t>
  </si>
  <si>
    <t>IN2920200481</t>
  </si>
  <si>
    <t>BHAT79</t>
  </si>
  <si>
    <t>8.9% Bharti Telecom Limited (05/11/2034) **</t>
  </si>
  <si>
    <t>INE403D08215</t>
  </si>
  <si>
    <t>TOPL49</t>
  </si>
  <si>
    <t>8.32% Torrent Power Limited (28/02/2027) **</t>
  </si>
  <si>
    <t>INE813H07382</t>
  </si>
  <si>
    <t>POWF355</t>
  </si>
  <si>
    <t>7.63% Power Finance Corporation Limited (14/08/2026) **</t>
  </si>
  <si>
    <t>INE134E08II2</t>
  </si>
  <si>
    <t>GSGL20</t>
  </si>
  <si>
    <t>7.68% Godrej Seeds &amp; Genetics Limited (28/01/2028) **</t>
  </si>
  <si>
    <t>INE316Z08022</t>
  </si>
  <si>
    <t>GSGL21</t>
  </si>
  <si>
    <t>7.68% Godrej Seeds &amp; Genetics Limited (28/04/2028) **</t>
  </si>
  <si>
    <t>INE316Z08048</t>
  </si>
  <si>
    <t>TRIF109</t>
  </si>
  <si>
    <t>8.2% TATA Realty &amp; Infrastructure Limited (03/05/2026) **</t>
  </si>
  <si>
    <t>INE371K08235</t>
  </si>
  <si>
    <t>GSGL23</t>
  </si>
  <si>
    <t>7.68% Godrej Seeds &amp; Genetics Limited (27/10/2028) **</t>
  </si>
  <si>
    <t>INE316Z08014</t>
  </si>
  <si>
    <t>GSGL22</t>
  </si>
  <si>
    <t>7.68% Godrej Seeds &amp; Genetics Limited (28/07/2028) **</t>
  </si>
  <si>
    <t>INE316Z08030</t>
  </si>
  <si>
    <t>GOI6099</t>
  </si>
  <si>
    <t>Government of India (05/08/2032)</t>
  </si>
  <si>
    <t>IN000832C039</t>
  </si>
  <si>
    <t>GOI6669</t>
  </si>
  <si>
    <t>Government of India (15/10/2032)</t>
  </si>
  <si>
    <t>IN001032C043</t>
  </si>
  <si>
    <t>EOPR32</t>
  </si>
  <si>
    <t>7.96% Embassy Office Parks REIT (27/09/2027) **</t>
  </si>
  <si>
    <t>INE041007142</t>
  </si>
  <si>
    <t>GOI3121</t>
  </si>
  <si>
    <t>6.76% Government of India (22/08/2027)</t>
  </si>
  <si>
    <t>IN000827C021</t>
  </si>
  <si>
    <t>GOI5783</t>
  </si>
  <si>
    <t>Government of India (22/10/2028)</t>
  </si>
  <si>
    <t>IN001028C033</t>
  </si>
  <si>
    <t>GOI2936</t>
  </si>
  <si>
    <t>4.7% Government of India (22/09/2033)</t>
  </si>
  <si>
    <t>IN0020200120</t>
  </si>
  <si>
    <t>GOI4964</t>
  </si>
  <si>
    <t>7.54% Andhra Pradesh State Development Loans (11/01/2029)</t>
  </si>
  <si>
    <t>IN1020220613</t>
  </si>
  <si>
    <t>GOSL411</t>
  </si>
  <si>
    <t>8.30% Godrej Industries Limited (12/06/2026) **</t>
  </si>
  <si>
    <t>INE233A08071</t>
  </si>
  <si>
    <t>POWF483</t>
  </si>
  <si>
    <t>6.09% Power Finance Corporation Limited (27/08/2026) **</t>
  </si>
  <si>
    <t>INE134E08LK2</t>
  </si>
  <si>
    <t>GOI6102</t>
  </si>
  <si>
    <t>Government of India (05/02/2027)</t>
  </si>
  <si>
    <t>IN000227C032</t>
  </si>
  <si>
    <t>GOI6104</t>
  </si>
  <si>
    <t>Government of India (05/02/2028)</t>
  </si>
  <si>
    <t>IN000228C030</t>
  </si>
  <si>
    <t>GOI1089</t>
  </si>
  <si>
    <t>9.20% Government of India (30/09/2030)</t>
  </si>
  <si>
    <t>IN0020130053</t>
  </si>
  <si>
    <t>NBAR471</t>
  </si>
  <si>
    <t>8.22% National Bank For Agriculture and Rural Development (13/12/2028) **</t>
  </si>
  <si>
    <t>INE261F08AV0</t>
  </si>
  <si>
    <t>LICH537</t>
  </si>
  <si>
    <t>7.99% LIC Housing Finance Limited (12/07/2029) **</t>
  </si>
  <si>
    <t>INE115A07OF5</t>
  </si>
  <si>
    <t>GOI2738</t>
  </si>
  <si>
    <t>6.69% Tamilnadu State Development Loans (23/09/2030)</t>
  </si>
  <si>
    <t>IN3120200297</t>
  </si>
  <si>
    <t>TCHF351</t>
  </si>
  <si>
    <t>6.50% Tata Capital Housing Finance Limited (15/06/2026) **</t>
  </si>
  <si>
    <t>INE033L07HF1</t>
  </si>
  <si>
    <t>GOI3588</t>
  </si>
  <si>
    <t>6.67% Government of India (15/12/2035)</t>
  </si>
  <si>
    <t>IN0020210152</t>
  </si>
  <si>
    <t>GOI3102</t>
  </si>
  <si>
    <t>6.64% Government of India (16/06/2035)</t>
  </si>
  <si>
    <t>IN0020210020</t>
  </si>
  <si>
    <t>CHOL1035</t>
  </si>
  <si>
    <t>8.5% Cholamandalam Investment and Finance Company Ltd (30/01/2027) **</t>
  </si>
  <si>
    <t>INE121A07RT7</t>
  </si>
  <si>
    <t>GOI6306</t>
  </si>
  <si>
    <t>6.75% Government of India (23/12/2029)</t>
  </si>
  <si>
    <t>IN0020240183</t>
  </si>
  <si>
    <t>GOI4067</t>
  </si>
  <si>
    <t>7.17% West Bangal State Development Loans (02/03/2032)</t>
  </si>
  <si>
    <t>IN3420210269</t>
  </si>
  <si>
    <t>GOI1864</t>
  </si>
  <si>
    <t>6.79% Government of India (15/05/2027)</t>
  </si>
  <si>
    <t>IN0020170026</t>
  </si>
  <si>
    <t>FCOI31</t>
  </si>
  <si>
    <t>7.64% Food Corporation Of India (12/12/2029) **</t>
  </si>
  <si>
    <t>INE861G08050</t>
  </si>
  <si>
    <t>GOI1673</t>
  </si>
  <si>
    <t>6.79% Government of India (26/12/2029)</t>
  </si>
  <si>
    <t>IN0020160118</t>
  </si>
  <si>
    <t>BHFL100</t>
  </si>
  <si>
    <t>7.90% Bajaj Housing Finance Limited (28/04/2028) **</t>
  </si>
  <si>
    <t>INE377Y07417</t>
  </si>
  <si>
    <t>HDBF310</t>
  </si>
  <si>
    <t>8.3774% HDB Financial Services Limited (24/04/2026) **</t>
  </si>
  <si>
    <t>INE756I07ER5</t>
  </si>
  <si>
    <t>GOI6639</t>
  </si>
  <si>
    <t>7.16% Rajasthan State Development Loans (16/10/2029)</t>
  </si>
  <si>
    <t>IN2920190237</t>
  </si>
  <si>
    <t>GOI1398</t>
  </si>
  <si>
    <t>8.12% Maharashtra State Development Loans (13/11/2025)</t>
  </si>
  <si>
    <t>IN2220150121</t>
  </si>
  <si>
    <t>GOI838</t>
  </si>
  <si>
    <t>8.97% Government of India (05/12/2030)</t>
  </si>
  <si>
    <t>IN0020110055</t>
  </si>
  <si>
    <t>GOI7024</t>
  </si>
  <si>
    <t>7.45% Bihar State Development Loans (10/09/2034)</t>
  </si>
  <si>
    <t>IN1320250104</t>
  </si>
  <si>
    <t>RLSP22</t>
  </si>
  <si>
    <t>7.7954% Reliance Life Sciences Private Limited (05/11/2027) ** #</t>
  </si>
  <si>
    <t>INE11LM07031</t>
  </si>
  <si>
    <t>SATR50</t>
  </si>
  <si>
    <t>Sansar Trust (25/04/2031) **</t>
  </si>
  <si>
    <t>INE1WMT15017</t>
  </si>
  <si>
    <t>SATR46</t>
  </si>
  <si>
    <t>Sansar Trust (25/06/2030) **</t>
  </si>
  <si>
    <t>INE0YWN15017</t>
  </si>
  <si>
    <t>SATR42</t>
  </si>
  <si>
    <t>Sansar Trust (17/03/2028) **</t>
  </si>
  <si>
    <t>INE0RVR15014</t>
  </si>
  <si>
    <t>IUNT20</t>
  </si>
  <si>
    <t>India Universal Trust (20/09/2026) **</t>
  </si>
  <si>
    <t>INE16J715019</t>
  </si>
  <si>
    <t>SIDB621</t>
  </si>
  <si>
    <t>Small Industries Dev Bank of India (23/10/2026) **</t>
  </si>
  <si>
    <t>INE556F16BM3</t>
  </si>
  <si>
    <t>HDFB1015</t>
  </si>
  <si>
    <t>HDFC Bank Limited (11/09/2026) **</t>
  </si>
  <si>
    <t>INE040A16HN4</t>
  </si>
  <si>
    <t>#Unlisted Security</t>
  </si>
  <si>
    <t>FRN - Floating Rate Note , ZCB - Zero Coupon Bond</t>
  </si>
  <si>
    <t>Benchmark Name - NIFTY SHORT DURATION DEBT INDEX A-II</t>
  </si>
  <si>
    <t>IRS2198414</t>
  </si>
  <si>
    <t>Interest Rate Swaps Pay Fix Receive Floating -ICISECPD (16/09/2027) (FV 2500 Lacs)</t>
  </si>
  <si>
    <t>IRS1991475</t>
  </si>
  <si>
    <t>Interest Rate Swaps Pay Fix Receive Floating -IDFC BANK (30/05/2027) (FV 5000 Lacs)</t>
  </si>
  <si>
    <t>IRS2068357</t>
  </si>
  <si>
    <t>IRS1854677</t>
  </si>
  <si>
    <t>Interest Rate Swaps Pay Fix Receive Floating -ICISECPD (19/03/2026) (FV 5000 Lacs)</t>
  </si>
  <si>
    <t>IRS1837676</t>
  </si>
  <si>
    <t>Interest Rate Swaps Pay Fix Receive Floating -ICICI BANK (07/03/2026) (FV 5000 Lacs)</t>
  </si>
  <si>
    <t>IRS1834757</t>
  </si>
  <si>
    <t>Interest Rate Swaps Pay Fix Receive Floating -ICISECPD (06/03/2026) (FV 5000 Lacs)</t>
  </si>
  <si>
    <t>IRS1887055</t>
  </si>
  <si>
    <t>Interest Rate Swaps Pay Fix Receive Floating -ICICI BANK (04/04/2027) (FV 2500 Lacs)</t>
  </si>
  <si>
    <t>IRS1858358</t>
  </si>
  <si>
    <t>Interest Rate Swaps Pay Fix Receive Floating -ICICI BANK (20/03/2026) (FV 10000 Lacs)</t>
  </si>
  <si>
    <t>IRS1840563</t>
  </si>
  <si>
    <t>Interest Rate Swaps Pay Fix Receive Floating -ICICI BANK (10/03/2027) (FV 2500 Lacs)</t>
  </si>
  <si>
    <t>IRS1795059</t>
  </si>
  <si>
    <t>Interest Rate Swaps Pay Fix Receive Floating -ICISECPD (07/02/2027) (FV 2500 Lacs)</t>
  </si>
  <si>
    <t>MALE645</t>
  </si>
  <si>
    <t>7.55% Poonawalla Fincorp Limited (25/03/2027) **</t>
  </si>
  <si>
    <t>INE511C07946</t>
  </si>
  <si>
    <t>PFPL129</t>
  </si>
  <si>
    <t>9% Piramal Finance Limited (28/06/2027) **</t>
  </si>
  <si>
    <t>INE202B07JT0</t>
  </si>
  <si>
    <t>LICH635</t>
  </si>
  <si>
    <t>7.7201% LIC Housing Finance Limited (12/02/2026) **</t>
  </si>
  <si>
    <t>INE115A07QB9</t>
  </si>
  <si>
    <t>TATP67</t>
  </si>
  <si>
    <t>8.33% Tata Projects Limited (24/06/2027) **</t>
  </si>
  <si>
    <t>INE725H08188</t>
  </si>
  <si>
    <t>GOI1575</t>
  </si>
  <si>
    <t>8.18% Haryana Uday Bond (15/06/2026)</t>
  </si>
  <si>
    <t>IN1620160052</t>
  </si>
  <si>
    <t>NCIP38</t>
  </si>
  <si>
    <t>8.55% Nomura Capital India Pvt Limited (30/04/2026) **</t>
  </si>
  <si>
    <t>INE357L07465</t>
  </si>
  <si>
    <t>SHTR515</t>
  </si>
  <si>
    <t>09.15% Shriram Finance Limited (28/06/2029) **</t>
  </si>
  <si>
    <t>INE721A07SD6</t>
  </si>
  <si>
    <t>GOI1713</t>
  </si>
  <si>
    <t>7.59% Karnataka State Development Loans (15/02/2027)</t>
  </si>
  <si>
    <t>IN1920160091</t>
  </si>
  <si>
    <t>GOI3353</t>
  </si>
  <si>
    <t>8.27% Haryana State Development Loans (09/12/2025)</t>
  </si>
  <si>
    <t>IN1620150103</t>
  </si>
  <si>
    <t>GOI3540</t>
  </si>
  <si>
    <t>8.49% Kerala State Development Loans (10/02/2026)</t>
  </si>
  <si>
    <t>IN2020150156</t>
  </si>
  <si>
    <t>GOI1702</t>
  </si>
  <si>
    <t>7.19% Gujarat State Development Loans (25/01/2027)</t>
  </si>
  <si>
    <t>IN1520160186</t>
  </si>
  <si>
    <t>POWF520</t>
  </si>
  <si>
    <t>Power Finance Corporation Limited (25/08/2026) (ZCB) **</t>
  </si>
  <si>
    <t>INE134E08MS3</t>
  </si>
  <si>
    <t>NBAR732</t>
  </si>
  <si>
    <t>7.83% National Bank For Agriculture and Rural Development (30/12/2026) **</t>
  </si>
  <si>
    <t>INE261F08ED0</t>
  </si>
  <si>
    <t>EOPR39</t>
  </si>
  <si>
    <t>7.22% Embassy Office Parks REIT (16/05/2028) **</t>
  </si>
  <si>
    <t>INE041007175</t>
  </si>
  <si>
    <t>EOPR27</t>
  </si>
  <si>
    <t>7.05% Embassy Office Parks REIT (18/10/2026) **</t>
  </si>
  <si>
    <t>INE041007084</t>
  </si>
  <si>
    <t>GOI3354</t>
  </si>
  <si>
    <t>8.27% Haryana State Development Loans (23/12/2025)</t>
  </si>
  <si>
    <t>IN1620150111</t>
  </si>
  <si>
    <t>NBAR701</t>
  </si>
  <si>
    <t>7.58% National Bank For Agriculture and Rural Development (31/07/2026)</t>
  </si>
  <si>
    <t>INE261F08DX0</t>
  </si>
  <si>
    <t>HDBF319</t>
  </si>
  <si>
    <t>8.0736% HDB Financial Services Limited (17/04/2026) **</t>
  </si>
  <si>
    <t>INE756I07EP9</t>
  </si>
  <si>
    <t>GOI654</t>
  </si>
  <si>
    <t>8% Government of India (23/03/2026)</t>
  </si>
  <si>
    <t>IN0020089077</t>
  </si>
  <si>
    <t>GOI588</t>
  </si>
  <si>
    <t>7.95% Government of India (18/02/2026)</t>
  </si>
  <si>
    <t>IN0020079037</t>
  </si>
  <si>
    <t>DMED29</t>
  </si>
  <si>
    <t>6.85% DME Development Limited (16/03/2037) (FRN) **</t>
  </si>
  <si>
    <t>INE0J7Q07017</t>
  </si>
  <si>
    <t>DMED28</t>
  </si>
  <si>
    <t>6.85% DME Development Limited (16/03/2036) (FRN) **</t>
  </si>
  <si>
    <t>INE0J7Q07108</t>
  </si>
  <si>
    <t>DMED27</t>
  </si>
  <si>
    <t>6.85% DME Development Limited (16/03/2035) (FRN) **</t>
  </si>
  <si>
    <t>INE0J7Q07090</t>
  </si>
  <si>
    <t>DMED24</t>
  </si>
  <si>
    <t>6.85% DME Development Limited (16/03/2032) (FRN) **</t>
  </si>
  <si>
    <t>INE0J7Q07066</t>
  </si>
  <si>
    <t>DMED26</t>
  </si>
  <si>
    <t>6.85% DME Development Limited (16/03/2034) (FRN) **</t>
  </si>
  <si>
    <t>INE0J7Q07082</t>
  </si>
  <si>
    <t>DMED25</t>
  </si>
  <si>
    <t>6.85% DME Development Limited (16/03/2033) (FRN) **</t>
  </si>
  <si>
    <t>INE0J7Q07074</t>
  </si>
  <si>
    <t>DMED23</t>
  </si>
  <si>
    <t>6.85% DME Development Limited (16/03/2031) (FRN) **</t>
  </si>
  <si>
    <t>INE0J7Q07058</t>
  </si>
  <si>
    <t>DMED22</t>
  </si>
  <si>
    <t>6.85% DME Development Limited (16/03/2030) (FRN) **</t>
  </si>
  <si>
    <t>INE0J7Q07041</t>
  </si>
  <si>
    <t>DMED21</t>
  </si>
  <si>
    <t>6.85% DME Development Limited (16/03/2029) (FRN) **</t>
  </si>
  <si>
    <t>INE0J7Q07033</t>
  </si>
  <si>
    <t>DMED20</t>
  </si>
  <si>
    <t>6.85% DME Development Limited (16/03/2028) (FRN) **</t>
  </si>
  <si>
    <t>INE0J7Q07025</t>
  </si>
  <si>
    <t>RLSP21</t>
  </si>
  <si>
    <t>7.7954% Reliance Life Sciences Private Limited (08/05/2026) ** #</t>
  </si>
  <si>
    <t>INE11LM07023</t>
  </si>
  <si>
    <t>LIGS26</t>
  </si>
  <si>
    <t>Liquid Gold Series (20/01/2028) **</t>
  </si>
  <si>
    <t>INE2JYU15015</t>
  </si>
  <si>
    <t>IUNT23</t>
  </si>
  <si>
    <t>India Universal Trust (21/11/2026) **</t>
  </si>
  <si>
    <t>INE1CBK15011</t>
  </si>
  <si>
    <t>BKBA521</t>
  </si>
  <si>
    <t>Bank of Baroda (27/01/2026) **</t>
  </si>
  <si>
    <t>INE028A16JH7</t>
  </si>
  <si>
    <t>IDBL854</t>
  </si>
  <si>
    <t>IDBI Bank Limited (05/02/2026) **</t>
  </si>
  <si>
    <t>INE008A16X73</t>
  </si>
  <si>
    <t>HDFB990</t>
  </si>
  <si>
    <t>HDFC Bank Limited (25/02/2026) **</t>
  </si>
  <si>
    <t>INE040A16GJ4</t>
  </si>
  <si>
    <t>HDFB1014</t>
  </si>
  <si>
    <t>HDFC Bank Limited (09/03/2026) **</t>
  </si>
  <si>
    <t>INE040A16HM6</t>
  </si>
  <si>
    <t>IIBL991</t>
  </si>
  <si>
    <t>IndusInd Bank Limited (11/03/2026) **</t>
  </si>
  <si>
    <t>INE095A16Z42</t>
  </si>
  <si>
    <t>BKBA525</t>
  </si>
  <si>
    <t>Bank of Baroda (06/02/2026)</t>
  </si>
  <si>
    <t>INE028A16JM7</t>
  </si>
  <si>
    <t>CANB1063</t>
  </si>
  <si>
    <t>Canara Bank (27/01/2026)</t>
  </si>
  <si>
    <t>INE476A16E12</t>
  </si>
  <si>
    <t>IDBK525</t>
  </si>
  <si>
    <t>IDFC First Bank Limited (28/01/2026) **</t>
  </si>
  <si>
    <t>INE092T16XZ6</t>
  </si>
  <si>
    <t>HDFB986</t>
  </si>
  <si>
    <t>HDFC Bank Limited (06/02/2026) **</t>
  </si>
  <si>
    <t>INE040A16GF2</t>
  </si>
  <si>
    <t>CANB1035</t>
  </si>
  <si>
    <t>Canara Bank (20/02/2026)</t>
  </si>
  <si>
    <t>INE476A16A57</t>
  </si>
  <si>
    <t>MOFV78</t>
  </si>
  <si>
    <t>Motilal Oswal Finvest Limited (15/06/2026) **</t>
  </si>
  <si>
    <t>INE01WN14BU3</t>
  </si>
  <si>
    <t>Benchmark Name - NIFTY LOW DURATION DEBT INDEX A-I</t>
  </si>
  <si>
    <t>BHAT68</t>
  </si>
  <si>
    <t>9% Bharti Telecom Limited (04/12/2028) **</t>
  </si>
  <si>
    <t>INE403D08199</t>
  </si>
  <si>
    <t>GOI1662</t>
  </si>
  <si>
    <t>8.21% Rajasthan UDAY BOND (31/03/2026)</t>
  </si>
  <si>
    <t>IN2920150454</t>
  </si>
  <si>
    <t>Benchmark Name - Nifty 500 TRI Index (65%) + Nifty Composite Debt Index (20%) + Domestic Price of Physical Gold (7.5%) + Domestic Price of Physical Silver (7.5%).</t>
  </si>
  <si>
    <t>10200800USD</t>
  </si>
  <si>
    <t>iShares USD Treasury Bond 7-10yr UCITS ETF</t>
  </si>
  <si>
    <t>IE00B3VWN518</t>
  </si>
  <si>
    <t>Benchmark Name - BLOOMBERG US INTERMEDIATE TREASURY TRI</t>
  </si>
  <si>
    <t>IRS2194839</t>
  </si>
  <si>
    <t>Interest Rate Swaps Pay Fix Receive Floating -NOMURA (15/06/2026) (FV 20000 Lacs)</t>
  </si>
  <si>
    <t>IRS2192511</t>
  </si>
  <si>
    <t>Interest Rate Swaps Pay Fix Receive Floating -ICISECPD (12/03/2026) (FV 25000 Lacs)</t>
  </si>
  <si>
    <t>IRS2118221</t>
  </si>
  <si>
    <t>Interest Rate Swaps Pay Fix Receive Floating -IDFC BANK (05/11/2025) (FV 25000 Lacs)</t>
  </si>
  <si>
    <t>IRS1963314</t>
  </si>
  <si>
    <t>Interest Rate Swaps Pay Fix Receive Floating -HSBC BANK (19/11/2025) (FV 10000 Lacs)</t>
  </si>
  <si>
    <t>IRS1812150</t>
  </si>
  <si>
    <t>Interest Rate Swaps Pay Fix Receive Floating -IDFC BANK (20/11/2025) (FV 12500 Lacs)</t>
  </si>
  <si>
    <t>IRS2222260</t>
  </si>
  <si>
    <t>Interest Rate Swaps Pay Fix Receive Floating -HSBC BANK (30/09/2027) (FV 10000 Lacs)</t>
  </si>
  <si>
    <t>IRS1768707</t>
  </si>
  <si>
    <t>Interest Rate Swaps Pay Fix Receive Floating -NOMURA (23/01/2026) (FV 7500 Lacs)</t>
  </si>
  <si>
    <t>IRS1779402</t>
  </si>
  <si>
    <t>Interest Rate Swaps Pay Fix Receive Floating -HSBC BANK (30/01/2026) (FV 7500 Lacs)</t>
  </si>
  <si>
    <t>TATP39</t>
  </si>
  <si>
    <t>8.43% Tata Projects Limited (06/02/2026) **</t>
  </si>
  <si>
    <t>INE725H08154</t>
  </si>
  <si>
    <t>TOPL50</t>
  </si>
  <si>
    <t>7.1% Torrent Power Limited (11/03/2026) **</t>
  </si>
  <si>
    <t>INE813H07184</t>
  </si>
  <si>
    <t>GOI1759</t>
  </si>
  <si>
    <t>7.74% Tamilnadu State Development Loans (01/03/2027)</t>
  </si>
  <si>
    <t>IN3120161309</t>
  </si>
  <si>
    <t>GOI1829</t>
  </si>
  <si>
    <t>7.62% Tamilnadu State Development Loans (29/03/2027)</t>
  </si>
  <si>
    <t>IN3120161424</t>
  </si>
  <si>
    <t>GOI2940</t>
  </si>
  <si>
    <t>7.14% Gujarat State Development Loans (11/01/2027)</t>
  </si>
  <si>
    <t>IN1520160178</t>
  </si>
  <si>
    <t>SHTR490</t>
  </si>
  <si>
    <t>8.75% Shriram Finance Limited (15/06/2026) **</t>
  </si>
  <si>
    <t>INE721A07RH9</t>
  </si>
  <si>
    <t>MEBP27</t>
  </si>
  <si>
    <t>8.02% Mindspace Business Parks REIT (13/04/2026) **</t>
  </si>
  <si>
    <t>INE0CCU07074</t>
  </si>
  <si>
    <t>EKAF34</t>
  </si>
  <si>
    <t>9.25% SK Finance Limited (24/10/2027) **</t>
  </si>
  <si>
    <t>INE124N07762</t>
  </si>
  <si>
    <t>ICRA AA-</t>
  </si>
  <si>
    <t>SIDB479</t>
  </si>
  <si>
    <t>7.23% Small Industries Dev Bank of India (09/03/2026) **</t>
  </si>
  <si>
    <t>INE556F08KC2</t>
  </si>
  <si>
    <t>SHTR504</t>
  </si>
  <si>
    <t>9.25% Shriram Finance Limited (19/12/2025)</t>
  </si>
  <si>
    <t>INE721A07RU2</t>
  </si>
  <si>
    <t>SHHF34</t>
  </si>
  <si>
    <t>8.94% Truhome Finance Limited (26/12/2025) **</t>
  </si>
  <si>
    <t>INE432R07422</t>
  </si>
  <si>
    <t>MKIP20</t>
  </si>
  <si>
    <t>7.99% Mankind Pharma Limited (16/04/2026) **</t>
  </si>
  <si>
    <t>INE634S07017</t>
  </si>
  <si>
    <t>GOI1643</t>
  </si>
  <si>
    <t>8.38% Rajasthan State Development Loans (27/01/2026)</t>
  </si>
  <si>
    <t>IN2920150231</t>
  </si>
  <si>
    <t>SHTR507</t>
  </si>
  <si>
    <t>9.10% Shriram Finance Limited (18/03/2027) **</t>
  </si>
  <si>
    <t>INE721A07RZ1</t>
  </si>
  <si>
    <t>GOSL410</t>
  </si>
  <si>
    <t>8.36% Godrej Industries Limited (28/08/2026) **</t>
  </si>
  <si>
    <t>INE233A08121</t>
  </si>
  <si>
    <t>GOI1445</t>
  </si>
  <si>
    <t>8.36% Maharashtra State Development Loans (27/01/2026)</t>
  </si>
  <si>
    <t>IN2220150170</t>
  </si>
  <si>
    <t>EOPR25</t>
  </si>
  <si>
    <t>6.8% Embassy Office Parks REIT (07/09/2026) **</t>
  </si>
  <si>
    <t>INE041007068</t>
  </si>
  <si>
    <t>GOI1403</t>
  </si>
  <si>
    <t>8.17% Tamilnadu State Development Loans (26/11/2025)</t>
  </si>
  <si>
    <t>IN3120150146</t>
  </si>
  <si>
    <t>TATP38</t>
  </si>
  <si>
    <t>8.20% Tata Projects Limited (27/04/2026) **</t>
  </si>
  <si>
    <t>INE725H08121</t>
  </si>
  <si>
    <t>GOI4357</t>
  </si>
  <si>
    <t>7.62% Tamilnadu State Development Loans (09/08/2026)</t>
  </si>
  <si>
    <t>IN3120160087</t>
  </si>
  <si>
    <t>NIMA376</t>
  </si>
  <si>
    <t>8.4% Nirma Limited (07/04/2026) **</t>
  </si>
  <si>
    <t>INE091A07216</t>
  </si>
  <si>
    <t>GOI4536</t>
  </si>
  <si>
    <t>7.63% Andhra Pradesh State Development Loans (09/08/2026)</t>
  </si>
  <si>
    <t>IN1020160066</t>
  </si>
  <si>
    <t>SUHF270</t>
  </si>
  <si>
    <t>7.27% Sundaram Home Finance Limited (24/05/2027) **</t>
  </si>
  <si>
    <t>INE667F07JA5</t>
  </si>
  <si>
    <t>RLSP20</t>
  </si>
  <si>
    <t>7.7954% Reliance Life Sciences Private Limited (13/11/2025) ** #</t>
  </si>
  <si>
    <t>INE11LM07015</t>
  </si>
  <si>
    <t>LIGS25</t>
  </si>
  <si>
    <t>Liquid Gold Series (20/10/2027) **</t>
  </si>
  <si>
    <t>INE29DX15014</t>
  </si>
  <si>
    <t>NBAR842</t>
  </si>
  <si>
    <t>National Bank For Agriculture and Rural Development (24/03/2026) **</t>
  </si>
  <si>
    <t>INE261F16991</t>
  </si>
  <si>
    <t>IIBL997</t>
  </si>
  <si>
    <t>IndusInd Bank Limited (12/03/2026) **</t>
  </si>
  <si>
    <t>INE095A167B3</t>
  </si>
  <si>
    <t>PUBA1112</t>
  </si>
  <si>
    <t>Punjab National Bank (20/03/2026) **</t>
  </si>
  <si>
    <t>INE160A16RM1</t>
  </si>
  <si>
    <t>SIDB600</t>
  </si>
  <si>
    <t>Small Industries Dev Bank of India (25/03/2026) **</t>
  </si>
  <si>
    <t>INE556F16BF7</t>
  </si>
  <si>
    <t>UNBI414</t>
  </si>
  <si>
    <t>Union Bank of India (16/01/2026) **</t>
  </si>
  <si>
    <t>INE692A16IK6</t>
  </si>
  <si>
    <t>TATE65</t>
  </si>
  <si>
    <t>Tata Teleservices Limited (18/11/2025) **</t>
  </si>
  <si>
    <t>INE037E14AQ5</t>
  </si>
  <si>
    <t>GHFL48</t>
  </si>
  <si>
    <t>Godrej Housing Finance Limited (13/02/2026) **</t>
  </si>
  <si>
    <t>INE02JD14591</t>
  </si>
  <si>
    <t>MFPL227</t>
  </si>
  <si>
    <t>Infina Finance Private Limited (22/05/2026) **</t>
  </si>
  <si>
    <t>INE879F14KU8</t>
  </si>
  <si>
    <t>NCLS20</t>
  </si>
  <si>
    <t>Nuvama Clearing Services Ltd (07/11/2025) **</t>
  </si>
  <si>
    <t>INE525L14133</t>
  </si>
  <si>
    <t>KOMP1721</t>
  </si>
  <si>
    <t>Kotak Mahindra Prime Limited (05/11/2025) **</t>
  </si>
  <si>
    <t>INE916D144I1</t>
  </si>
  <si>
    <t>TBIL2523</t>
  </si>
  <si>
    <t>182 Days Tbill (MD 25/12/2025)</t>
  </si>
  <si>
    <t>IN002025Y131</t>
  </si>
  <si>
    <t>Benchmark Name - NIFTY ULTRA SHORT DURATION DEBT INDEX A-I</t>
  </si>
  <si>
    <t>TEGA01</t>
  </si>
  <si>
    <t>Tega Industries Limited</t>
  </si>
  <si>
    <t>INE011K01018</t>
  </si>
  <si>
    <t>Benchmark Name - NIFTY 500 VALUE 50 TRI</t>
  </si>
  <si>
    <t>7.15%#</t>
  </si>
  <si>
    <t>Axis CRISIL-IBX Financial Services 3-6 Months Debt Index Fund</t>
  </si>
  <si>
    <t>Advent Hotels International Private Ltd</t>
  </si>
  <si>
    <t>SKF India (Industrial) Ltd</t>
  </si>
  <si>
    <t>6% TVS Motor Co Non Convertible Redeemable Preference shares **</t>
  </si>
  <si>
    <t>ESG Score $</t>
  </si>
  <si>
    <t>Core ESG Score</t>
  </si>
  <si>
    <t>Link to BRSR</t>
  </si>
  <si>
    <t>https://www.icicibank.com/content/dam/icicibank/managed-assets/docs/investor/annual-reports/2025/icici-bank-brsr-2025.pdf</t>
  </si>
  <si>
    <t>https://www.bseindia.com/stockinfo/AnnPdfOpen.aspx?Pname=\adc3e93f-b32f-4f2b-a08c-91f0b18c6aeb.pdf</t>
  </si>
  <si>
    <t>https://nsearchives.nseindia.com/corporate/HDFCBANK_14072025080813_BRSR.pdf</t>
  </si>
  <si>
    <t>https://www.bseindia.com/stockinfo/AnnPdfOpen.aspx?Pname=\fb6dabcf-112a-41d7-8e6d-83e358153c89.pdf</t>
  </si>
  <si>
    <t>https://www.bseindia.com/xml-data/corpfiling/AttachHis//b080fcc4-f9b5-4a8d-9cf5-fe5c4a1e7e92.pdf</t>
  </si>
  <si>
    <t>https://www.bseindia.com/stockinfo/AnnPdfOpen.aspx?Pname=\648b7ceb-a0c5-4f5c-a8d9-80f687561427.pdf</t>
  </si>
  <si>
    <t>NA</t>
  </si>
  <si>
    <t>https://www.bseindia.com/stockinfo/AnnPdfOpen.aspx?Pname=\44acd327-2dbb-42ea-833b-f988fdbf1206.pdf</t>
  </si>
  <si>
    <t>https://www.bseindia.com/stockinfo/AnnPdfOpen.aspx?Pname=\5bf7b8df-2b30-4e1e-a520-ea051c134813.pdf</t>
  </si>
  <si>
    <t>https://www.bseindia.com/stockinfo/AnnPdfOpen.aspx?Pname=\7ead86ed-ca36-4e60-979f-5d9fd4cd1f73.pdf</t>
  </si>
  <si>
    <t>https://www.bseindia.com/stockinfo/AnnPdfOpen.aspx?Pname=\5e2ee0c9-f4b4-4486-b247-674b01b11936.pdf</t>
  </si>
  <si>
    <t>https://www.aubank.in/business-responsibility-report-2025-BRSR-2025.pdf</t>
  </si>
  <si>
    <t>https://www.bseindia.com/XBRLFILES/BRSRDuplicateUploadDocument/BRSR_532500_582025212232_BRSR.html</t>
  </si>
  <si>
    <t>https://www.bseindia.com/stockinfo/AnnPdfOpen.aspx?Pname=\72687367-3a22-4292-b67a-6ab6728b0e3a.pdf</t>
  </si>
  <si>
    <t>https://www.bseindia.com/stockinfo/AnnPdfOpen.aspx?Pname=\3e2eefe5-b432-4464-a334-c92749deddb0.pdf</t>
  </si>
  <si>
    <t>https://www.bseindia.com/xml-data/corpfiling/AttachHis/63959ce8-b641-4bd4-9a62-43ab52301856.pdf</t>
  </si>
  <si>
    <t>https://www.bseindia.com/stockinfo/AnnPdfOpen.aspx?Pname=\4c8ef117-d14c-4e96-9224-3c9593fac70d.pdf</t>
  </si>
  <si>
    <t>https://nsearchives.nseindia.com/corporate/Apekshakhemka_23062025234552_StockExchangeIntimationBRSR_S.pdf</t>
  </si>
  <si>
    <t>https://www.bseindia.com/stockinfo/AnnPdfOpen.aspx?Pname=\47626896-31fb-456b-8664-8c36b0e1d5fe.pdf</t>
  </si>
  <si>
    <t>https://www.bseindia.com/stockinfo/AnnPdfOpen.aspx?Pname=\65486ad5-1835-4414-9038-51543138d964.pdf</t>
  </si>
  <si>
    <t>https://www.bseindia.com/stockinfo/AnnPdfOpen.aspx?Pname=\121582fa-b16d-4e7f-a75e-756fde02815e.pdf</t>
  </si>
  <si>
    <t>https://www.bseindia.com/stockinfo/AnnPdfOpen.aspx?Pname=\231d48a0-905d-4979-bee1-f855c401d4e8.pdf</t>
  </si>
  <si>
    <t>https://www.bseindia.com/stockinfo/AnnPdfOpen.aspx?Pname=\6a364ef1-0c4c-4046-b56a-12f18ce9d520.pdf</t>
  </si>
  <si>
    <t>https://www.bseindia.com/stockinfo/AnnPdfOpen.aspx?Pname=\362110eb-d0d6-49f8-9e12-45dc9fa87866.pdf</t>
  </si>
  <si>
    <t>https://www.bseindia.com/stockinfo/AnnPdfOpen.aspx?Pname=\938c3dc8-b424-40fc-836b-101415d323cd.pdf</t>
  </si>
  <si>
    <t>https://www.bseindia.com/stockinfo/AnnPdfOpen.aspx?Pname=\fc38eee2-c7fa-44bb-81a2-f13c151eff8d.pdf</t>
  </si>
  <si>
    <t>https://www.bseindia.com/stockinfo/AnnPdfOpen.aspx?Pname=\4b92ba61-b856-4f32-8f61-7ecff507f58f.pdf</t>
  </si>
  <si>
    <t>https://www.bseindia.com/stockinfo/AnnPdfOpen.aspx?Pname=\09e8d0eb-6001-4f60-ab76-3866e4c8c25a.pdf</t>
  </si>
  <si>
    <t>https://www.bseindia.com/stockinfo/AnnPdfOpen.aspx?Pname=\a5e846a9-9190-4494-a112-590cf018c735.pdf</t>
  </si>
  <si>
    <t>https://www.bseindia.com/stockinfo/AnnPdfOpen.aspx?Pname=\8bbc99c1-98e8-41e8-89ac-86e81221a963.pdf</t>
  </si>
  <si>
    <t>https://www.bseindia.com/stockinfo/AnnPdfOpen.aspx?Pname=\550ebf61-11e4-4de0-98ce-7e25abacd9eb.pdf</t>
  </si>
  <si>
    <t>https://www.bseindia.com/stockinfo/AnnPdfOpen.aspx?Pname=\a3fa3c06-68a4-408b-9d3e-089ebd48d102.pdf</t>
  </si>
  <si>
    <t>https://www.bseindia.com/stockinfo/AnnPdfOpen.aspx?Pname=\a1f1d737-cc7e-445f-bee8-ca4bf993e03e.pdf</t>
  </si>
  <si>
    <t>https://www.bseindia.com/stockinfo/AnnPdfOpen.aspx?Pname=\0ab929be-ff32-4b19-a799-5b63bd464c41.pdf</t>
  </si>
  <si>
    <t>https://www.bseindia.com/stockinfo/AnnPdfOpen.aspx?Pname=\ddc43203-ec04-4e85-8e23-2bbcf4361bc3.pdf</t>
  </si>
  <si>
    <t>https://www.bseindia.com/stockinfo/AnnPdfOpen.aspx?Pname=\802be001-1ba9-4d98-bcce-9c93d94cf1d2.pdf</t>
  </si>
  <si>
    <t>https://www.ltimindtree.com/annual-report-html/pdf/business-responsibility.pdf</t>
  </si>
  <si>
    <t>https://www.bseindia.com/stockinfo/AnnPdfOpen.aspx?Pname=\ca45f9c9-e992-4358-8886-6d82c856295c.pdf</t>
  </si>
  <si>
    <t>https://www.bseindia.com/stockinfo/AnnPdfOpen.aspx?Pname=\5a8395fe-99f8-4312-9ace-787322fec1c2.pdf</t>
  </si>
  <si>
    <t>https://nsearchives.nseindia.com/corporate/ICICIPRULI_20062025125244_BRSR_FY2025.pdf</t>
  </si>
  <si>
    <t>https://www.bseindia.com/stockinfo/AnnPdfOpen.aspx?Pname=\c6e7f7e9-2a0f-443b-8358-94ef1ff64f62.pdf</t>
  </si>
  <si>
    <t>https://www.bseindia.com/stockinfo/AnnPdfOpen.aspx?Pname=\be63ce6e-1854-4bcb-abc4-f25e41f8c6b5.pdf</t>
  </si>
  <si>
    <t>https://www.bseindia.com/stockinfo/AnnPdfOpen.aspx?Pname=\b127505e-9185-49fa-826e-4db5383ca4fd.pdf</t>
  </si>
  <si>
    <t>https://www.bseindia.com/stockinfo/AnnPdfOpen.aspx?Pname=\79bc8a13-3ff7-4890-96c5-f7dda64078c0.pdf</t>
  </si>
  <si>
    <t>https://www.bseindia.com/stockinfo/AnnPdfOpen.aspx?Pname=\141ef7e3-e697-430b-a62c-108fbc78db2f.pdf</t>
  </si>
  <si>
    <t xml:space="preserve">During FY2025, the AMC had carried out stewardship engagement with various companies whose equity shares were held by Axis ESG Integration Strategy Fund. During the engagement, following aspects were broadly covered:     </t>
  </si>
  <si>
    <t xml:space="preserve">Security wise ESG scores disclosed above are provided by SES ESG Research Private Limited. </t>
  </si>
  <si>
    <t>We are transitioning from CRISIL to SES ESG Research Private Limited to better align with industry peers.</t>
  </si>
  <si>
    <t>Please refer to link https://www.nseindia.com/companies-listing/corporate-filings-bussiness-sustainabilitiy-reports in case the above individual BRSR link provided for the company is not functional</t>
  </si>
  <si>
    <t>`</t>
  </si>
  <si>
    <t>(a) Index / Stock Futures</t>
  </si>
  <si>
    <t>Silver December 2025 Commodity Future</t>
  </si>
  <si>
    <t>Silver March 2026 Commodity Future</t>
  </si>
  <si>
    <t>IND AAA</t>
  </si>
  <si>
    <t>IND AAA(SO)</t>
  </si>
  <si>
    <t>IND AA</t>
  </si>
  <si>
    <t>https://www.bseindia.com/xml-data/corpfiling/AttachHis//c4bb275b-3f35-4d6b-bf23-2ee7cbf82033.pdf</t>
  </si>
  <si>
    <t>(b) Commodity Futures (ETCD)</t>
  </si>
  <si>
    <t>• $ Weighted average score - excluding foreign securities - 74.01</t>
  </si>
  <si>
    <t>• $ Weighted average score - including foreign securities - 74.01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</si>
</sst>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00\)%"/>
    <numFmt numFmtId="166" formatCode="#,##0.00%"/>
    <numFmt numFmtId="167" formatCode="0.0000"/>
    <numFmt numFmtId="168" formatCode="#,##0.0000"/>
    <numFmt numFmtId="169" formatCode="#,##0.000000000000000000_);\(#,##0.000000000000000000\)"/>
    <numFmt numFmtId="170" formatCode="#,##0.00000000000000000_);\(#,##0.00000000000000000\)"/>
  </numFmts>
  <fonts count="11">
    <font>
      <sz val="11"/>
      <color theme="1"/>
      <name val="Aptos Narrow"/>
      <family val="2"/>
      <scheme val="minor"/>
    </font>
    <font>
      <sz val="9"/>
      <color rgb="FF000000"/>
      <name val="Arial"/>
      <family val="2"/>
    </font>
    <font>
      <sz val="10"/>
      <color rgb="FFFFFFFF"/>
      <name val="SansSerif"/>
      <family val="2"/>
    </font>
    <font>
      <b/>
      <sz val="9"/>
      <color rgb="FF000000"/>
      <name val="Arial"/>
      <family val="2"/>
    </font>
    <font>
      <b/>
      <sz val="10"/>
      <color rgb="FF000000"/>
      <name val="SansSerif"/>
      <family val="2"/>
    </font>
    <font>
      <sz val="10"/>
      <color rgb="FF000000"/>
      <name val="SansSerif"/>
      <family val="2"/>
    </font>
    <font>
      <sz val="9"/>
      <color rgb="FFFFFFFF"/>
      <name val="Arial"/>
      <family val="2"/>
    </font>
    <font>
      <b/>
      <sz val="11"/>
      <color rgb="FF000000"/>
      <name val="Arial"/>
      <family val="2"/>
    </font>
    <font>
      <u/>
      <sz val="11"/>
      <color theme="10"/>
      <name val="Aptos Narrow"/>
      <family val="2"/>
      <scheme val="minor"/>
    </font>
    <font>
      <sz val="11"/>
      <color theme="0"/>
      <name val="Aptos Narrow"/>
      <family val="2"/>
      <scheme val="minor"/>
    </font>
    <font>
      <sz val="11"/>
      <color theme="1"/>
      <name val="Aptos Narrow"/>
      <family val="2"/>
      <scheme val="minor"/>
    </font>
  </fonts>
  <fills count="44">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s>
  <cellStyleXfs count="3">
    <xf numFmtId="0" fontId="0" fillId="0" borderId="0"/>
    <xf numFmtId="0" fontId="8" fillId="0" borderId="0" applyNumberFormat="0" applyFill="0" applyBorder="0" applyAlignment="0" applyProtection="0"/>
    <xf numFmtId="9" fontId="10" fillId="0" borderId="0" applyFont="0" applyFill="0" applyBorder="0" applyAlignment="0" applyProtection="0"/>
  </cellStyleXfs>
  <cellXfs count="161">
    <xf numFmtId="0" fontId="0" fillId="0" borderId="0" xfId="0"/>
    <xf numFmtId="0" fontId="1" fillId="2" borderId="1" xfId="0" applyNumberFormat="1" applyFont="1" applyFill="1" applyBorder="1" applyAlignment="1" applyProtection="1">
      <alignment horizontal="left" vertical="top" wrapText="1"/>
    </xf>
    <xf numFmtId="0" fontId="1" fillId="3" borderId="1" xfId="0" applyNumberFormat="1" applyFont="1" applyFill="1" applyBorder="1" applyAlignment="1" applyProtection="1">
      <alignment horizontal="left" vertical="top" wrapText="1"/>
    </xf>
    <xf numFmtId="0" fontId="2" fillId="4" borderId="2" xfId="0" applyNumberFormat="1" applyFont="1" applyFill="1" applyBorder="1" applyAlignment="1" applyProtection="1">
      <alignment horizontal="left" vertical="top" wrapText="1"/>
    </xf>
    <xf numFmtId="0" fontId="3" fillId="5" borderId="3" xfId="0" applyNumberFormat="1" applyFont="1" applyFill="1" applyBorder="1" applyAlignment="1" applyProtection="1">
      <alignment horizontal="left" vertical="top" wrapText="1"/>
    </xf>
    <xf numFmtId="0" fontId="0" fillId="6" borderId="0" xfId="0" applyNumberFormat="1" applyFont="1" applyFill="1" applyBorder="1" applyAlignment="1" applyProtection="1">
      <alignment wrapText="1"/>
      <protection locked="0"/>
    </xf>
    <xf numFmtId="0" fontId="3" fillId="7" borderId="3" xfId="0" applyNumberFormat="1" applyFont="1" applyFill="1" applyBorder="1" applyAlignment="1" applyProtection="1">
      <alignment horizontal="center" vertical="top" wrapText="1"/>
    </xf>
    <xf numFmtId="0" fontId="1" fillId="8" borderId="3" xfId="0" applyNumberFormat="1" applyFont="1" applyFill="1" applyBorder="1" applyAlignment="1" applyProtection="1">
      <alignment horizontal="left" vertical="top" wrapText="1"/>
    </xf>
    <xf numFmtId="0" fontId="4" fillId="9" borderId="3" xfId="0" applyNumberFormat="1" applyFont="1" applyFill="1" applyBorder="1" applyAlignment="1" applyProtection="1">
      <alignment horizontal="left" vertical="top" wrapText="1"/>
    </xf>
    <xf numFmtId="0" fontId="3" fillId="10" borderId="4" xfId="0" applyNumberFormat="1" applyFont="1" applyFill="1" applyBorder="1" applyAlignment="1" applyProtection="1">
      <alignment horizontal="left" vertical="center" wrapText="1"/>
    </xf>
    <xf numFmtId="0" fontId="3" fillId="11" borderId="5" xfId="0" applyNumberFormat="1" applyFont="1" applyFill="1" applyBorder="1" applyAlignment="1" applyProtection="1">
      <alignment horizontal="left" vertical="center" wrapText="1"/>
    </xf>
    <xf numFmtId="0" fontId="3" fillId="12" borderId="5" xfId="0" applyNumberFormat="1" applyFont="1" applyFill="1" applyBorder="1" applyAlignment="1" applyProtection="1">
      <alignment horizontal="center" vertical="center" wrapText="1"/>
    </xf>
    <xf numFmtId="0" fontId="3" fillId="13" borderId="6" xfId="0" applyNumberFormat="1" applyFont="1" applyFill="1" applyBorder="1" applyAlignment="1" applyProtection="1">
      <alignment horizontal="center" vertical="center" wrapText="1"/>
    </xf>
    <xf numFmtId="0" fontId="2" fillId="14" borderId="2" xfId="0" applyNumberFormat="1" applyFont="1" applyFill="1" applyBorder="1" applyAlignment="1" applyProtection="1">
      <alignment horizontal="justify" vertical="top" wrapText="1"/>
    </xf>
    <xf numFmtId="0" fontId="3" fillId="15" borderId="7" xfId="0" applyNumberFormat="1" applyFont="1" applyFill="1" applyBorder="1" applyAlignment="1" applyProtection="1">
      <alignment horizontal="left" vertical="top" wrapText="1"/>
    </xf>
    <xf numFmtId="0" fontId="1" fillId="16" borderId="8" xfId="0" applyNumberFormat="1" applyFont="1" applyFill="1" applyBorder="1" applyAlignment="1" applyProtection="1">
      <alignment horizontal="left" vertical="top" wrapText="1"/>
    </xf>
    <xf numFmtId="0" fontId="5" fillId="17" borderId="9" xfId="0" applyNumberFormat="1" applyFont="1" applyFill="1" applyBorder="1" applyAlignment="1" applyProtection="1">
      <alignment horizontal="right" vertical="top" wrapText="1"/>
    </xf>
    <xf numFmtId="0" fontId="5" fillId="18" borderId="10" xfId="0" applyNumberFormat="1" applyFont="1" applyFill="1" applyBorder="1" applyAlignment="1" applyProtection="1">
      <alignment horizontal="right" vertical="top" wrapText="1"/>
    </xf>
    <xf numFmtId="0" fontId="6" fillId="19" borderId="2" xfId="0" applyNumberFormat="1" applyFont="1" applyFill="1" applyBorder="1" applyAlignment="1" applyProtection="1">
      <alignment horizontal="left" vertical="top" wrapText="1"/>
    </xf>
    <xf numFmtId="0" fontId="1" fillId="20" borderId="7" xfId="0" applyNumberFormat="1" applyFont="1" applyFill="1" applyBorder="1" applyAlignment="1" applyProtection="1">
      <alignment horizontal="left" vertical="top" wrapText="1"/>
    </xf>
    <xf numFmtId="3" fontId="1" fillId="21" borderId="8" xfId="0" applyNumberFormat="1" applyFont="1" applyFill="1" applyBorder="1" applyAlignment="1" applyProtection="1">
      <alignment horizontal="right" vertical="top" wrapText="1"/>
    </xf>
    <xf numFmtId="164" fontId="1" fillId="22" borderId="9" xfId="0" applyNumberFormat="1" applyFont="1" applyFill="1" applyBorder="1" applyAlignment="1" applyProtection="1">
      <alignment horizontal="right" vertical="top" wrapText="1"/>
    </xf>
    <xf numFmtId="165" fontId="1" fillId="23" borderId="8" xfId="0" applyNumberFormat="1" applyFont="1" applyFill="1" applyBorder="1" applyAlignment="1" applyProtection="1">
      <alignment horizontal="right" vertical="top" wrapText="1"/>
    </xf>
    <xf numFmtId="166" fontId="1" fillId="24" borderId="9" xfId="0" applyNumberFormat="1" applyFont="1" applyFill="1" applyBorder="1" applyAlignment="1" applyProtection="1">
      <alignment horizontal="right" vertical="top" wrapText="1"/>
    </xf>
    <xf numFmtId="0" fontId="1" fillId="25" borderId="10" xfId="0" applyNumberFormat="1" applyFont="1" applyFill="1" applyBorder="1" applyAlignment="1" applyProtection="1">
      <alignment horizontal="right" vertical="top" wrapText="1"/>
    </xf>
    <xf numFmtId="164" fontId="3" fillId="26" borderId="11" xfId="0" applyNumberFormat="1" applyFont="1" applyFill="1" applyBorder="1" applyAlignment="1" applyProtection="1">
      <alignment horizontal="right" vertical="top" wrapText="1"/>
    </xf>
    <xf numFmtId="165" fontId="3" fillId="27" borderId="1" xfId="0" applyNumberFormat="1" applyFont="1" applyFill="1" applyBorder="1" applyAlignment="1" applyProtection="1">
      <alignment horizontal="right" vertical="top" wrapText="1"/>
    </xf>
    <xf numFmtId="0" fontId="3" fillId="28" borderId="1" xfId="0" applyNumberFormat="1" applyFont="1" applyFill="1" applyBorder="1" applyAlignment="1" applyProtection="1">
      <alignment horizontal="right" vertical="top" wrapText="1"/>
    </xf>
    <xf numFmtId="0" fontId="3" fillId="29" borderId="12" xfId="0" applyNumberFormat="1" applyFont="1" applyFill="1" applyBorder="1" applyAlignment="1" applyProtection="1">
      <alignment horizontal="right" vertical="top" wrapText="1"/>
    </xf>
    <xf numFmtId="0" fontId="3" fillId="30" borderId="13" xfId="0" applyNumberFormat="1" applyFont="1" applyFill="1" applyBorder="1" applyAlignment="1" applyProtection="1">
      <alignment horizontal="left" vertical="top" wrapText="1"/>
    </xf>
    <xf numFmtId="0" fontId="1" fillId="31" borderId="14" xfId="0" applyNumberFormat="1" applyFont="1" applyFill="1" applyBorder="1" applyAlignment="1" applyProtection="1">
      <alignment horizontal="left" vertical="top" wrapText="1"/>
    </xf>
    <xf numFmtId="164" fontId="3" fillId="32" borderId="1" xfId="0" applyNumberFormat="1" applyFont="1" applyFill="1" applyBorder="1" applyAlignment="1" applyProtection="1">
      <alignment horizontal="right" vertical="top" wrapText="1"/>
    </xf>
    <xf numFmtId="0" fontId="3" fillId="33" borderId="15" xfId="0" applyNumberFormat="1" applyFont="1" applyFill="1" applyBorder="1" applyAlignment="1" applyProtection="1">
      <alignment horizontal="left" vertical="top" wrapText="1"/>
    </xf>
    <xf numFmtId="0" fontId="1" fillId="34" borderId="16" xfId="0" applyNumberFormat="1" applyFont="1" applyFill="1" applyBorder="1" applyAlignment="1" applyProtection="1">
      <alignment horizontal="left" vertical="top" wrapText="1"/>
    </xf>
    <xf numFmtId="164" fontId="3" fillId="35" borderId="17" xfId="0" applyNumberFormat="1" applyFont="1" applyFill="1" applyBorder="1" applyAlignment="1" applyProtection="1">
      <alignment horizontal="right" vertical="top" wrapText="1"/>
    </xf>
    <xf numFmtId="166" fontId="3" fillId="36" borderId="17" xfId="0" applyNumberFormat="1" applyFont="1" applyFill="1" applyBorder="1" applyAlignment="1" applyProtection="1">
      <alignment horizontal="right" vertical="top" wrapText="1"/>
    </xf>
    <xf numFmtId="0" fontId="3" fillId="37" borderId="18" xfId="0" applyNumberFormat="1" applyFont="1" applyFill="1" applyBorder="1" applyAlignment="1" applyProtection="1">
      <alignment horizontal="right" vertical="top" wrapText="1"/>
    </xf>
    <xf numFmtId="0" fontId="3" fillId="38" borderId="19" xfId="0" applyNumberFormat="1" applyFont="1" applyFill="1" applyBorder="1" applyAlignment="1" applyProtection="1">
      <alignment horizontal="right" vertical="top" wrapText="1"/>
    </xf>
    <xf numFmtId="0" fontId="7" fillId="39" borderId="3" xfId="0" applyNumberFormat="1" applyFont="1" applyFill="1" applyBorder="1" applyAlignment="1" applyProtection="1">
      <alignment horizontal="left" vertical="top" wrapText="1"/>
    </xf>
    <xf numFmtId="0" fontId="0" fillId="40" borderId="3" xfId="0" applyNumberFormat="1" applyFont="1" applyFill="1" applyBorder="1" applyAlignment="1" applyProtection="1">
      <alignment wrapText="1"/>
      <protection locked="0"/>
    </xf>
    <xf numFmtId="0" fontId="1" fillId="41" borderId="9" xfId="0" applyNumberFormat="1" applyFont="1" applyFill="1" applyBorder="1" applyAlignment="1" applyProtection="1">
      <alignment horizontal="right" vertical="top" wrapText="1"/>
    </xf>
    <xf numFmtId="0" fontId="1" fillId="42" borderId="8" xfId="0" applyNumberFormat="1" applyFont="1" applyFill="1" applyBorder="1" applyAlignment="1" applyProtection="1">
      <alignment horizontal="right" vertical="top" wrapText="1"/>
    </xf>
    <xf numFmtId="166" fontId="1" fillId="43" borderId="10" xfId="0" applyNumberFormat="1" applyFont="1" applyFill="1" applyBorder="1" applyAlignment="1" applyProtection="1">
      <alignment horizontal="right" vertical="top" wrapText="1"/>
    </xf>
    <xf numFmtId="10" fontId="3" fillId="28" borderId="1" xfId="0" applyNumberFormat="1" applyFont="1" applyFill="1" applyBorder="1" applyAlignment="1" applyProtection="1">
      <alignment horizontal="right" vertical="top" wrapText="1"/>
    </xf>
    <xf numFmtId="0" fontId="0" fillId="6" borderId="3" xfId="0" applyNumberFormat="1" applyFont="1" applyFill="1" applyBorder="1" applyAlignment="1" applyProtection="1">
      <alignment wrapText="1"/>
      <protection locked="0"/>
    </xf>
    <xf numFmtId="0" fontId="3" fillId="43" borderId="3" xfId="0" applyFont="1" applyFill="1" applyBorder="1" applyAlignment="1">
      <alignment horizontal="left" vertical="top" wrapText="1"/>
    </xf>
    <xf numFmtId="10" fontId="0" fillId="0" borderId="0" xfId="0" applyNumberFormat="1"/>
    <xf numFmtId="0" fontId="2" fillId="43" borderId="3" xfId="0" applyFont="1" applyFill="1" applyBorder="1" applyAlignment="1">
      <alignment horizontal="left" vertical="top" wrapText="1"/>
    </xf>
    <xf numFmtId="0" fontId="0" fillId="43" borderId="3" xfId="0" applyFill="1" applyBorder="1" applyAlignment="1" applyProtection="1">
      <alignment wrapText="1"/>
      <protection locked="0"/>
    </xf>
    <xf numFmtId="0" fontId="3" fillId="43" borderId="3" xfId="0" applyFont="1" applyFill="1" applyBorder="1" applyAlignment="1">
      <alignment horizontal="center" vertical="top" wrapText="1"/>
    </xf>
    <xf numFmtId="0" fontId="1" fillId="43" borderId="3" xfId="0" applyFont="1" applyFill="1" applyBorder="1" applyAlignment="1">
      <alignment horizontal="left" vertical="top" wrapText="1"/>
    </xf>
    <xf numFmtId="0" fontId="4" fillId="43" borderId="3" xfId="0" applyFont="1" applyFill="1" applyBorder="1" applyAlignment="1">
      <alignment horizontal="left" vertical="top" wrapText="1"/>
    </xf>
    <xf numFmtId="0" fontId="3" fillId="43" borderId="4" xfId="0" applyFont="1" applyFill="1" applyBorder="1" applyAlignment="1">
      <alignment horizontal="left" vertical="center" wrapText="1"/>
    </xf>
    <xf numFmtId="0" fontId="3" fillId="43" borderId="5" xfId="0" applyFont="1" applyFill="1" applyBorder="1" applyAlignment="1">
      <alignment horizontal="left" vertical="center" wrapText="1"/>
    </xf>
    <xf numFmtId="0" fontId="3" fillId="43" borderId="5" xfId="0" applyFont="1" applyFill="1" applyBorder="1" applyAlignment="1">
      <alignment horizontal="center" vertical="center" wrapText="1"/>
    </xf>
    <xf numFmtId="0" fontId="3" fillId="43" borderId="6" xfId="0" applyFont="1" applyFill="1" applyBorder="1" applyAlignment="1">
      <alignment horizontal="center" vertical="center" wrapText="1"/>
    </xf>
    <xf numFmtId="0" fontId="2" fillId="43" borderId="3" xfId="0" applyFont="1" applyFill="1" applyBorder="1" applyAlignment="1">
      <alignment horizontal="justify" vertical="top" wrapText="1"/>
    </xf>
    <xf numFmtId="0" fontId="3" fillId="43" borderId="7" xfId="0" applyFont="1" applyFill="1" applyBorder="1" applyAlignment="1">
      <alignment horizontal="left" vertical="top" wrapText="1"/>
    </xf>
    <xf numFmtId="0" fontId="1" fillId="43" borderId="8" xfId="0" applyFont="1" applyFill="1" applyBorder="1" applyAlignment="1">
      <alignment horizontal="left" vertical="top" wrapText="1"/>
    </xf>
    <xf numFmtId="0" fontId="5" fillId="43" borderId="9" xfId="0" applyFont="1" applyFill="1" applyBorder="1" applyAlignment="1">
      <alignment horizontal="right" vertical="top" wrapText="1"/>
    </xf>
    <xf numFmtId="0" fontId="5" fillId="43" borderId="10" xfId="0" applyFont="1" applyFill="1" applyBorder="1" applyAlignment="1">
      <alignment horizontal="right" vertical="top" wrapText="1"/>
    </xf>
    <xf numFmtId="0" fontId="6" fillId="43" borderId="3" xfId="0" applyFont="1" applyFill="1" applyBorder="1" applyAlignment="1">
      <alignment horizontal="left" vertical="top" wrapText="1"/>
    </xf>
    <xf numFmtId="0" fontId="1" fillId="43" borderId="7" xfId="0" applyFont="1" applyFill="1" applyBorder="1" applyAlignment="1">
      <alignment horizontal="left" vertical="top" wrapText="1"/>
    </xf>
    <xf numFmtId="3" fontId="1" fillId="43" borderId="8" xfId="0" applyNumberFormat="1" applyFont="1" applyFill="1" applyBorder="1" applyAlignment="1">
      <alignment horizontal="right" vertical="top" wrapText="1"/>
    </xf>
    <xf numFmtId="164" fontId="1" fillId="43" borderId="9" xfId="0" applyNumberFormat="1" applyFont="1" applyFill="1" applyBorder="1" applyAlignment="1">
      <alignment horizontal="right" vertical="top" wrapText="1"/>
    </xf>
    <xf numFmtId="165" fontId="1" fillId="43" borderId="8" xfId="0" applyNumberFormat="1" applyFont="1" applyFill="1" applyBorder="1" applyAlignment="1">
      <alignment horizontal="right" vertical="top" wrapText="1"/>
    </xf>
    <xf numFmtId="166" fontId="1" fillId="43" borderId="9" xfId="0" applyNumberFormat="1" applyFont="1" applyFill="1" applyBorder="1" applyAlignment="1">
      <alignment horizontal="right" vertical="top" wrapText="1"/>
    </xf>
    <xf numFmtId="0" fontId="1" fillId="43" borderId="10" xfId="0" applyFont="1" applyFill="1" applyBorder="1" applyAlignment="1">
      <alignment horizontal="right" vertical="top" wrapText="1"/>
    </xf>
    <xf numFmtId="4" fontId="0" fillId="0" borderId="0" xfId="0" applyNumberFormat="1"/>
    <xf numFmtId="164" fontId="3" fillId="43" borderId="11" xfId="0" applyNumberFormat="1" applyFont="1" applyFill="1" applyBorder="1" applyAlignment="1">
      <alignment horizontal="right" vertical="top" wrapText="1"/>
    </xf>
    <xf numFmtId="165" fontId="3" fillId="43" borderId="1" xfId="0" applyNumberFormat="1" applyFont="1" applyFill="1" applyBorder="1" applyAlignment="1">
      <alignment horizontal="right" vertical="top" wrapText="1"/>
    </xf>
    <xf numFmtId="0" fontId="3" fillId="43" borderId="1" xfId="0" applyFont="1" applyFill="1" applyBorder="1" applyAlignment="1">
      <alignment horizontal="right" vertical="top" wrapText="1"/>
    </xf>
    <xf numFmtId="0" fontId="3" fillId="43" borderId="12" xfId="0" applyFont="1" applyFill="1" applyBorder="1" applyAlignment="1">
      <alignment horizontal="right" vertical="top" wrapText="1"/>
    </xf>
    <xf numFmtId="167" fontId="0" fillId="43" borderId="3" xfId="0" applyNumberFormat="1" applyFill="1" applyBorder="1" applyAlignment="1" applyProtection="1">
      <alignment wrapText="1"/>
      <protection locked="0"/>
    </xf>
    <xf numFmtId="0" fontId="3" fillId="43" borderId="13" xfId="0" applyFont="1" applyFill="1" applyBorder="1" applyAlignment="1">
      <alignment horizontal="left" vertical="top" wrapText="1"/>
    </xf>
    <xf numFmtId="0" fontId="1" fillId="43" borderId="1" xfId="0" applyFont="1" applyFill="1" applyBorder="1" applyAlignment="1">
      <alignment horizontal="left" vertical="top" wrapText="1"/>
    </xf>
    <xf numFmtId="0" fontId="1" fillId="43" borderId="14" xfId="0" applyFont="1" applyFill="1" applyBorder="1" applyAlignment="1">
      <alignment horizontal="left" vertical="top" wrapText="1"/>
    </xf>
    <xf numFmtId="164" fontId="3" fillId="43" borderId="1" xfId="0" applyNumberFormat="1" applyFont="1" applyFill="1" applyBorder="1" applyAlignment="1">
      <alignment horizontal="right" vertical="top" wrapText="1"/>
    </xf>
    <xf numFmtId="0" fontId="3" fillId="43" borderId="15" xfId="0" applyFont="1" applyFill="1" applyBorder="1" applyAlignment="1">
      <alignment horizontal="left" vertical="top" wrapText="1"/>
    </xf>
    <xf numFmtId="0" fontId="1" fillId="43" borderId="16" xfId="0" applyFont="1" applyFill="1" applyBorder="1" applyAlignment="1">
      <alignment horizontal="left" vertical="top" wrapText="1"/>
    </xf>
    <xf numFmtId="164" fontId="3" fillId="43" borderId="17" xfId="0" applyNumberFormat="1" applyFont="1" applyFill="1" applyBorder="1" applyAlignment="1">
      <alignment horizontal="right" vertical="top" wrapText="1"/>
    </xf>
    <xf numFmtId="166" fontId="3" fillId="43" borderId="17" xfId="0" applyNumberFormat="1" applyFont="1" applyFill="1" applyBorder="1" applyAlignment="1">
      <alignment horizontal="right" vertical="top" wrapText="1"/>
    </xf>
    <xf numFmtId="0" fontId="3" fillId="43" borderId="18" xfId="0" applyFont="1" applyFill="1" applyBorder="1" applyAlignment="1">
      <alignment horizontal="right" vertical="top" wrapText="1"/>
    </xf>
    <xf numFmtId="0" fontId="3" fillId="43" borderId="19" xfId="0" applyFont="1" applyFill="1" applyBorder="1" applyAlignment="1">
      <alignment horizontal="right" vertical="top" wrapText="1"/>
    </xf>
    <xf numFmtId="168" fontId="0" fillId="43" borderId="3" xfId="0" applyNumberFormat="1" applyFill="1" applyBorder="1" applyAlignment="1" applyProtection="1">
      <alignment wrapText="1"/>
      <protection locked="0"/>
    </xf>
    <xf numFmtId="169" fontId="0" fillId="0" borderId="0" xfId="0" applyNumberFormat="1"/>
    <xf numFmtId="170" fontId="0" fillId="43" borderId="3" xfId="0" applyNumberFormat="1" applyFill="1" applyBorder="1" applyAlignment="1" applyProtection="1">
      <alignment wrapText="1"/>
      <protection locked="0"/>
    </xf>
    <xf numFmtId="0" fontId="7" fillId="43" borderId="3" xfId="0" applyFont="1" applyFill="1" applyBorder="1" applyAlignment="1">
      <alignment horizontal="left" vertical="top" wrapText="1"/>
    </xf>
    <xf numFmtId="0" fontId="0" fillId="0" borderId="0" xfId="0" applyAlignment="1">
      <alignment horizontal="left"/>
    </xf>
    <xf numFmtId="0" fontId="6" fillId="19" borderId="3" xfId="0" applyNumberFormat="1" applyFont="1" applyFill="1" applyBorder="1" applyAlignment="1" applyProtection="1">
      <alignment horizontal="left" vertical="top" wrapText="1"/>
    </xf>
    <xf numFmtId="164" fontId="1" fillId="22" borderId="24" xfId="0" applyNumberFormat="1" applyFont="1" applyFill="1" applyBorder="1" applyAlignment="1" applyProtection="1">
      <alignment horizontal="right" vertical="top" wrapText="1"/>
    </xf>
    <xf numFmtId="165" fontId="1" fillId="23" borderId="25" xfId="0" applyNumberFormat="1" applyFont="1" applyFill="1" applyBorder="1" applyAlignment="1" applyProtection="1">
      <alignment horizontal="right" vertical="top" wrapText="1"/>
    </xf>
    <xf numFmtId="10" fontId="3" fillId="26" borderId="11" xfId="2" applyNumberFormat="1" applyFont="1" applyFill="1" applyBorder="1" applyAlignment="1" applyProtection="1">
      <alignment horizontal="right" vertical="top" wrapText="1"/>
    </xf>
    <xf numFmtId="10" fontId="3" fillId="27" borderId="1" xfId="2" applyNumberFormat="1" applyFont="1" applyFill="1" applyBorder="1" applyAlignment="1" applyProtection="1">
      <alignment horizontal="right" vertical="top" wrapText="1"/>
    </xf>
    <xf numFmtId="164" fontId="1" fillId="22" borderId="27" xfId="0" applyNumberFormat="1" applyFont="1" applyFill="1" applyBorder="1" applyAlignment="1" applyProtection="1">
      <alignment horizontal="right" vertical="top" wrapText="1"/>
    </xf>
    <xf numFmtId="164" fontId="1" fillId="22" borderId="28" xfId="0" applyNumberFormat="1" applyFont="1" applyFill="1" applyBorder="1" applyAlignment="1" applyProtection="1">
      <alignment horizontal="right" vertical="top" wrapText="1"/>
    </xf>
    <xf numFmtId="164" fontId="3" fillId="26" borderId="26" xfId="0" applyNumberFormat="1" applyFont="1" applyFill="1" applyBorder="1" applyAlignment="1" applyProtection="1">
      <alignment horizontal="right" vertical="top" wrapText="1"/>
    </xf>
    <xf numFmtId="166" fontId="1" fillId="43" borderId="3" xfId="0" applyNumberFormat="1" applyFont="1" applyFill="1" applyBorder="1" applyAlignment="1">
      <alignment horizontal="right" vertical="top" wrapText="1"/>
    </xf>
    <xf numFmtId="0" fontId="3" fillId="43" borderId="3" xfId="0" applyFont="1" applyFill="1" applyBorder="1" applyAlignment="1">
      <alignment horizontal="left" vertical="top" wrapText="1"/>
    </xf>
    <xf numFmtId="0" fontId="0" fillId="43" borderId="3" xfId="0" applyFill="1" applyBorder="1" applyAlignment="1" applyProtection="1">
      <alignment wrapText="1"/>
      <protection locked="0"/>
    </xf>
    <xf numFmtId="0" fontId="3" fillId="43" borderId="3" xfId="0" applyFont="1" applyFill="1" applyBorder="1" applyAlignment="1">
      <alignment vertical="top" wrapText="1"/>
    </xf>
    <xf numFmtId="0" fontId="7" fillId="43" borderId="3" xfId="0" applyFont="1" applyFill="1" applyBorder="1" applyAlignment="1">
      <alignment vertical="top" wrapText="1"/>
    </xf>
    <xf numFmtId="0" fontId="8" fillId="0" borderId="28" xfId="1" applyBorder="1"/>
    <xf numFmtId="0" fontId="3" fillId="5" borderId="3" xfId="0" applyNumberFormat="1" applyFont="1" applyFill="1" applyBorder="1" applyAlignment="1" applyProtection="1">
      <alignment horizontal="left" vertical="top" wrapText="1"/>
    </xf>
    <xf numFmtId="0" fontId="7" fillId="39" borderId="3" xfId="0" applyNumberFormat="1" applyFont="1" applyFill="1" applyBorder="1" applyAlignment="1" applyProtection="1">
      <alignment horizontal="left" vertical="top" wrapText="1"/>
    </xf>
    <xf numFmtId="0" fontId="0" fillId="40" borderId="3" xfId="0" applyNumberFormat="1" applyFont="1" applyFill="1" applyBorder="1" applyAlignment="1" applyProtection="1">
      <alignment wrapText="1"/>
      <protection locked="0"/>
    </xf>
    <xf numFmtId="0" fontId="3" fillId="43" borderId="3" xfId="0" applyFont="1" applyFill="1" applyBorder="1" applyAlignment="1">
      <alignment horizontal="left" vertical="top" wrapText="1"/>
    </xf>
    <xf numFmtId="0" fontId="7" fillId="43" borderId="3" xfId="0" applyFont="1" applyFill="1" applyBorder="1" applyAlignment="1">
      <alignment horizontal="left" vertical="top" wrapText="1"/>
    </xf>
    <xf numFmtId="0" fontId="0" fillId="43" borderId="3" xfId="0" applyFill="1" applyBorder="1" applyAlignment="1" applyProtection="1">
      <alignment wrapText="1"/>
      <protection locked="0"/>
    </xf>
    <xf numFmtId="0" fontId="1" fillId="8" borderId="3" xfId="0" applyNumberFormat="1" applyFont="1" applyFill="1" applyBorder="1" applyAlignment="1" applyProtection="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pplyProtection="1">
      <alignment wrapText="1"/>
      <protection locked="0"/>
    </xf>
    <xf numFmtId="0" fontId="0" fillId="0" borderId="0" xfId="0" applyAlignment="1" applyProtection="1">
      <alignment horizontal="left" wrapText="1"/>
      <protection locked="0"/>
    </xf>
    <xf numFmtId="0" fontId="3" fillId="0" borderId="0" xfId="0" applyFont="1" applyAlignment="1">
      <alignment horizontal="center" vertical="top" wrapText="1"/>
    </xf>
    <xf numFmtId="0" fontId="1" fillId="0" borderId="0" xfId="0" applyFont="1" applyAlignment="1">
      <alignment horizontal="left" vertical="top" wrapText="1"/>
    </xf>
    <xf numFmtId="0" fontId="4" fillId="0" borderId="0" xfId="0" applyFont="1" applyAlignment="1">
      <alignment horizontal="left" vertical="top"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5"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6" xfId="0" applyFont="1" applyBorder="1" applyAlignment="1">
      <alignment horizontal="center" vertical="center" wrapText="1"/>
    </xf>
    <xf numFmtId="0" fontId="2" fillId="0" borderId="0" xfId="0" applyFont="1" applyAlignment="1">
      <alignment horizontal="justify" vertical="top" wrapText="1"/>
    </xf>
    <xf numFmtId="0" fontId="3" fillId="0" borderId="7" xfId="0" applyFont="1" applyBorder="1" applyAlignment="1">
      <alignment horizontal="left" vertical="top" wrapText="1"/>
    </xf>
    <xf numFmtId="0" fontId="1" fillId="0" borderId="8" xfId="0" applyFont="1" applyBorder="1" applyAlignment="1">
      <alignment horizontal="left" vertical="top" wrapText="1"/>
    </xf>
    <xf numFmtId="0" fontId="5" fillId="0" borderId="21" xfId="0" applyFont="1" applyBorder="1" applyAlignment="1">
      <alignment horizontal="right" vertical="top" wrapText="1"/>
    </xf>
    <xf numFmtId="0" fontId="5" fillId="0" borderId="9" xfId="0" applyFont="1" applyBorder="1" applyAlignment="1">
      <alignment horizontal="right" vertical="top" wrapText="1"/>
    </xf>
    <xf numFmtId="0" fontId="5" fillId="0" borderId="10" xfId="0" applyFont="1" applyBorder="1" applyAlignment="1">
      <alignment horizontal="left" vertical="top" wrapText="1"/>
    </xf>
    <xf numFmtId="0" fontId="6" fillId="0" borderId="0" xfId="0" applyFont="1" applyAlignment="1">
      <alignment horizontal="left" vertical="top" wrapText="1"/>
    </xf>
    <xf numFmtId="0" fontId="1" fillId="0" borderId="7" xfId="0" applyFont="1" applyBorder="1" applyAlignment="1">
      <alignment horizontal="left" vertical="top" wrapText="1"/>
    </xf>
    <xf numFmtId="3" fontId="1" fillId="0" borderId="8" xfId="0" applyNumberFormat="1" applyFont="1" applyBorder="1" applyAlignment="1">
      <alignment horizontal="right" vertical="top" wrapText="1"/>
    </xf>
    <xf numFmtId="164" fontId="1" fillId="0" borderId="9" xfId="0" applyNumberFormat="1" applyFont="1" applyBorder="1" applyAlignment="1">
      <alignment horizontal="right" vertical="top" wrapText="1"/>
    </xf>
    <xf numFmtId="165" fontId="1" fillId="0" borderId="8" xfId="0" applyNumberFormat="1" applyFont="1" applyBorder="1" applyAlignment="1">
      <alignment horizontal="right" vertical="top" wrapText="1"/>
    </xf>
    <xf numFmtId="0" fontId="1" fillId="0" borderId="21" xfId="0" applyFont="1" applyBorder="1" applyAlignment="1">
      <alignment horizontal="right" vertical="top" wrapText="1"/>
    </xf>
    <xf numFmtId="0" fontId="1" fillId="0" borderId="9" xfId="0" applyFont="1" applyBorder="1" applyAlignment="1">
      <alignment horizontal="right" vertical="top" wrapText="1"/>
    </xf>
    <xf numFmtId="0" fontId="8" fillId="43" borderId="9" xfId="1" applyNumberFormat="1" applyFill="1" applyBorder="1" applyAlignment="1" applyProtection="1">
      <alignment horizontal="left" vertical="top" wrapText="1"/>
    </xf>
    <xf numFmtId="164" fontId="3" fillId="0" borderId="11" xfId="0" applyNumberFormat="1" applyFont="1" applyBorder="1" applyAlignment="1">
      <alignment horizontal="right" vertical="top" wrapText="1"/>
    </xf>
    <xf numFmtId="165" fontId="3" fillId="0" borderId="1" xfId="0" applyNumberFormat="1" applyFont="1" applyBorder="1" applyAlignment="1">
      <alignment horizontal="right" vertical="top" wrapText="1"/>
    </xf>
    <xf numFmtId="0" fontId="3" fillId="0" borderId="22" xfId="0" applyFont="1" applyBorder="1" applyAlignment="1">
      <alignment horizontal="right" vertical="top" wrapText="1"/>
    </xf>
    <xf numFmtId="0" fontId="3" fillId="0" borderId="1" xfId="0" applyFont="1" applyBorder="1" applyAlignment="1">
      <alignment horizontal="righ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1" fillId="0" borderId="1" xfId="0" applyFont="1" applyBorder="1" applyAlignment="1">
      <alignment horizontal="left" vertical="top" wrapText="1"/>
    </xf>
    <xf numFmtId="0" fontId="8" fillId="43" borderId="10" xfId="1" applyNumberFormat="1" applyFill="1" applyBorder="1" applyAlignment="1" applyProtection="1">
      <alignment horizontal="left" vertical="top" wrapText="1"/>
    </xf>
    <xf numFmtId="0" fontId="9" fillId="0" borderId="0" xfId="0" applyFont="1" applyAlignment="1" applyProtection="1">
      <alignment wrapText="1"/>
      <protection locked="0"/>
    </xf>
    <xf numFmtId="0" fontId="1" fillId="0" borderId="14" xfId="0" applyFont="1" applyBorder="1" applyAlignment="1">
      <alignment horizontal="left" vertical="top" wrapText="1"/>
    </xf>
    <xf numFmtId="166" fontId="1" fillId="0" borderId="21" xfId="0" applyNumberFormat="1" applyFont="1" applyBorder="1" applyAlignment="1">
      <alignment horizontal="right" vertical="top" wrapText="1"/>
    </xf>
    <xf numFmtId="0" fontId="1" fillId="0" borderId="10" xfId="0" applyFont="1" applyBorder="1" applyAlignment="1">
      <alignment horizontal="left" vertical="top" wrapText="1"/>
    </xf>
    <xf numFmtId="164" fontId="3" fillId="0" borderId="1" xfId="0" applyNumberFormat="1" applyFont="1" applyBorder="1" applyAlignment="1">
      <alignment horizontal="right" vertical="top" wrapText="1"/>
    </xf>
    <xf numFmtId="0" fontId="3" fillId="0" borderId="15" xfId="0" applyFont="1" applyBorder="1" applyAlignment="1">
      <alignment horizontal="left" vertical="top" wrapText="1"/>
    </xf>
    <xf numFmtId="0" fontId="1" fillId="0" borderId="16" xfId="0" applyFont="1" applyBorder="1" applyAlignment="1">
      <alignment horizontal="left" vertical="top" wrapText="1"/>
    </xf>
    <xf numFmtId="164" fontId="3" fillId="0" borderId="17" xfId="0" applyNumberFormat="1" applyFont="1" applyBorder="1" applyAlignment="1">
      <alignment horizontal="right" vertical="top" wrapText="1"/>
    </xf>
    <xf numFmtId="166" fontId="3" fillId="0" borderId="17" xfId="0" applyNumberFormat="1" applyFont="1" applyBorder="1" applyAlignment="1">
      <alignment horizontal="right" vertical="top" wrapText="1"/>
    </xf>
    <xf numFmtId="0" fontId="3" fillId="0" borderId="23" xfId="0" applyFont="1" applyBorder="1" applyAlignment="1">
      <alignment horizontal="right" vertical="top" wrapText="1"/>
    </xf>
    <xf numFmtId="0" fontId="3" fillId="0" borderId="18" xfId="0" applyFont="1" applyBorder="1" applyAlignment="1">
      <alignment horizontal="right" vertical="top" wrapText="1"/>
    </xf>
    <xf numFmtId="0" fontId="3" fillId="0" borderId="19" xfId="0" applyFont="1" applyBorder="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7" fillId="0" borderId="0" xfId="0" applyFont="1" applyAlignment="1">
      <alignment horizontal="left" vertical="top" wrapText="1"/>
    </xf>
    <xf numFmtId="0" fontId="7" fillId="0" borderId="0" xfId="0" applyFont="1" applyAlignment="1">
      <alignment horizontal="left" vertical="top" wrapText="1"/>
    </xf>
    <xf numFmtId="0" fontId="0" fillId="0" borderId="0" xfId="0" applyAlignment="1" applyProtection="1">
      <alignment wrapText="1"/>
      <protection locked="0"/>
    </xf>
  </cellXfs>
  <cellStyles count="3">
    <cellStyle name="Hyperlink" xfId="1"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ustomXml" Target="../customXml/item1.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haredStrings" Target="sharedStrings.xml"/><Relationship Id="rId9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6.jpg"/></Relationships>
</file>

<file path=xl/drawings/_rels/drawing5.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6.jpg"/></Relationships>
</file>

<file path=xl/drawings/_rels/drawing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10.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12.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3.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4.jpg"/></Relationships>
</file>

<file path=xl/drawings/_rels/drawing14.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1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18.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20.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4.jpg"/></Relationships>
</file>

<file path=xl/drawings/_rels/drawing21.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3.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4.jpg"/></Relationships>
</file>

<file path=xl/drawings/_rels/drawing2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0.jpg"/></Relationships>
</file>

<file path=xl/drawings/_rels/drawing2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2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0.jpg"/></Relationships>
</file>

<file path=xl/drawings/_rels/drawing30.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3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3.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11.jpg"/></Relationships>
</file>

<file path=xl/drawings/_rels/drawing3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5.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8.jpg"/></Relationships>
</file>

<file path=xl/drawings/_rels/drawing3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0.jpg"/></Relationships>
</file>

<file path=xl/drawings/_rels/drawing3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0.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1.jpg"/></Relationships>
</file>

<file path=xl/drawings/_rels/drawing41.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0.jpg"/></Relationships>
</file>

<file path=xl/drawings/_rels/drawing4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4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7.jpg"/></Relationships>
</file>

<file path=xl/drawings/_rels/drawing4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45.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9.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7.jpg"/></Relationships>
</file>

<file path=xl/drawings/_rels/drawing5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7.jpg"/></Relationships>
</file>

<file path=xl/drawings/_rels/drawing5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6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5.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4.jpg"/></Relationships>
</file>

<file path=xl/drawings/_rels/drawing66.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1.jpg"/></Relationships>
</file>

<file path=xl/drawings/_rels/drawing67.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4.jpg"/></Relationships>
</file>

<file path=xl/drawings/_rels/drawing6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9.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70.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71.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7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5.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6.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6.jpg"/></Relationships>
</file>

<file path=xl/drawings/_rels/drawing77.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7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2.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6.jpg"/></Relationships>
</file>

<file path=xl/drawings/_rels/drawing8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2</xdr:col>
      <xdr:colOff>0</xdr:colOff>
      <xdr:row>31</xdr:row>
      <xdr:rowOff>0</xdr:rowOff>
    </xdr:to>
    <xdr:pic>
      <xdr:nvPicPr>
        <xdr:cNvPr id="731203541" name="Picture">
          <a:extLst>
            <a:ext uri="{FF2B5EF4-FFF2-40B4-BE49-F238E27FC236}">
              <a16:creationId xmlns:a16="http://schemas.microsoft.com/office/drawing/2014/main" id="{00000000-0008-0000-0100-0000D547952B}"/>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30</xdr:row>
      <xdr:rowOff>0</xdr:rowOff>
    </xdr:from>
    <xdr:to>
      <xdr:col>4</xdr:col>
      <xdr:colOff>0</xdr:colOff>
      <xdr:row>31</xdr:row>
      <xdr:rowOff>0</xdr:rowOff>
    </xdr:to>
    <xdr:pic>
      <xdr:nvPicPr>
        <xdr:cNvPr id="683954409" name="Picture">
          <a:extLst>
            <a:ext uri="{FF2B5EF4-FFF2-40B4-BE49-F238E27FC236}">
              <a16:creationId xmlns:a16="http://schemas.microsoft.com/office/drawing/2014/main" id="{00000000-0008-0000-0100-0000E950C428}"/>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2</xdr:col>
      <xdr:colOff>0</xdr:colOff>
      <xdr:row>43</xdr:row>
      <xdr:rowOff>0</xdr:rowOff>
    </xdr:to>
    <xdr:pic>
      <xdr:nvPicPr>
        <xdr:cNvPr id="34184730" name="Picture">
          <a:extLst>
            <a:ext uri="{FF2B5EF4-FFF2-40B4-BE49-F238E27FC236}">
              <a16:creationId xmlns:a16="http://schemas.microsoft.com/office/drawing/2014/main" id="{00000000-0008-0000-0200-00001A9E0902}"/>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42</xdr:row>
      <xdr:rowOff>0</xdr:rowOff>
    </xdr:from>
    <xdr:to>
      <xdr:col>4</xdr:col>
      <xdr:colOff>0</xdr:colOff>
      <xdr:row>43</xdr:row>
      <xdr:rowOff>0</xdr:rowOff>
    </xdr:to>
    <xdr:pic>
      <xdr:nvPicPr>
        <xdr:cNvPr id="493731277" name="Picture">
          <a:extLst>
            <a:ext uri="{FF2B5EF4-FFF2-40B4-BE49-F238E27FC236}">
              <a16:creationId xmlns:a16="http://schemas.microsoft.com/office/drawing/2014/main" id="{00000000-0008-0000-0200-0000CDBD6D1D}"/>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534</xdr:row>
      <xdr:rowOff>0</xdr:rowOff>
    </xdr:from>
    <xdr:to>
      <xdr:col>2</xdr:col>
      <xdr:colOff>0</xdr:colOff>
      <xdr:row>535</xdr:row>
      <xdr:rowOff>0</xdr:rowOff>
    </xdr:to>
    <xdr:pic>
      <xdr:nvPicPr>
        <xdr:cNvPr id="2047629764" name="Picture">
          <a:extLst>
            <a:ext uri="{FF2B5EF4-FFF2-40B4-BE49-F238E27FC236}">
              <a16:creationId xmlns:a16="http://schemas.microsoft.com/office/drawing/2014/main" id="{00000000-0008-0000-0300-0000C4590C7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534</xdr:row>
      <xdr:rowOff>0</xdr:rowOff>
    </xdr:from>
    <xdr:to>
      <xdr:col>4</xdr:col>
      <xdr:colOff>0</xdr:colOff>
      <xdr:row>535</xdr:row>
      <xdr:rowOff>0</xdr:rowOff>
    </xdr:to>
    <xdr:pic>
      <xdr:nvPicPr>
        <xdr:cNvPr id="517723399" name="Picture">
          <a:extLst>
            <a:ext uri="{FF2B5EF4-FFF2-40B4-BE49-F238E27FC236}">
              <a16:creationId xmlns:a16="http://schemas.microsoft.com/office/drawing/2014/main" id="{00000000-0008-0000-0300-000007D5DB1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2</xdr:col>
      <xdr:colOff>0</xdr:colOff>
      <xdr:row>31</xdr:row>
      <xdr:rowOff>0</xdr:rowOff>
    </xdr:to>
    <xdr:pic>
      <xdr:nvPicPr>
        <xdr:cNvPr id="1298389673" name="Picture">
          <a:extLst>
            <a:ext uri="{FF2B5EF4-FFF2-40B4-BE49-F238E27FC236}">
              <a16:creationId xmlns:a16="http://schemas.microsoft.com/office/drawing/2014/main" id="{00000000-0008-0000-0400-0000A9DA634D}"/>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30</xdr:row>
      <xdr:rowOff>0</xdr:rowOff>
    </xdr:from>
    <xdr:to>
      <xdr:col>4</xdr:col>
      <xdr:colOff>0</xdr:colOff>
      <xdr:row>31</xdr:row>
      <xdr:rowOff>0</xdr:rowOff>
    </xdr:to>
    <xdr:pic>
      <xdr:nvPicPr>
        <xdr:cNvPr id="326207707" name="Picture">
          <a:extLst>
            <a:ext uri="{FF2B5EF4-FFF2-40B4-BE49-F238E27FC236}">
              <a16:creationId xmlns:a16="http://schemas.microsoft.com/office/drawing/2014/main" id="{00000000-0008-0000-0400-0000DB887113}"/>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0</xdr:colOff>
      <xdr:row>121</xdr:row>
      <xdr:rowOff>0</xdr:rowOff>
    </xdr:to>
    <xdr:pic>
      <xdr:nvPicPr>
        <xdr:cNvPr id="1400378775" name="Picture">
          <a:extLst>
            <a:ext uri="{FF2B5EF4-FFF2-40B4-BE49-F238E27FC236}">
              <a16:creationId xmlns:a16="http://schemas.microsoft.com/office/drawing/2014/main" id="{00000000-0008-0000-0500-000097157853}"/>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120</xdr:row>
      <xdr:rowOff>0</xdr:rowOff>
    </xdr:from>
    <xdr:to>
      <xdr:col>4</xdr:col>
      <xdr:colOff>0</xdr:colOff>
      <xdr:row>121</xdr:row>
      <xdr:rowOff>0</xdr:rowOff>
    </xdr:to>
    <xdr:pic>
      <xdr:nvPicPr>
        <xdr:cNvPr id="1049272205" name="Picture">
          <a:extLst>
            <a:ext uri="{FF2B5EF4-FFF2-40B4-BE49-F238E27FC236}">
              <a16:creationId xmlns:a16="http://schemas.microsoft.com/office/drawing/2014/main" id="{00000000-0008-0000-0500-00008D9F8A3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0</xdr:colOff>
      <xdr:row>211</xdr:row>
      <xdr:rowOff>0</xdr:rowOff>
    </xdr:to>
    <xdr:pic>
      <xdr:nvPicPr>
        <xdr:cNvPr id="1462964958" name="Picture">
          <a:extLst>
            <a:ext uri="{FF2B5EF4-FFF2-40B4-BE49-F238E27FC236}">
              <a16:creationId xmlns:a16="http://schemas.microsoft.com/office/drawing/2014/main" id="{00000000-0008-0000-0600-0000DE123357}"/>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210</xdr:row>
      <xdr:rowOff>0</xdr:rowOff>
    </xdr:from>
    <xdr:to>
      <xdr:col>4</xdr:col>
      <xdr:colOff>0</xdr:colOff>
      <xdr:row>211</xdr:row>
      <xdr:rowOff>0</xdr:rowOff>
    </xdr:to>
    <xdr:pic>
      <xdr:nvPicPr>
        <xdr:cNvPr id="1026525506" name="Picture">
          <a:extLst>
            <a:ext uri="{FF2B5EF4-FFF2-40B4-BE49-F238E27FC236}">
              <a16:creationId xmlns:a16="http://schemas.microsoft.com/office/drawing/2014/main" id="{00000000-0008-0000-0600-000042892F3D}"/>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777418278" name="Picture">
          <a:extLst>
            <a:ext uri="{FF2B5EF4-FFF2-40B4-BE49-F238E27FC236}">
              <a16:creationId xmlns:a16="http://schemas.microsoft.com/office/drawing/2014/main" id="{00000000-0008-0000-0700-00002676562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878167351" name="Picture">
          <a:extLst>
            <a:ext uri="{FF2B5EF4-FFF2-40B4-BE49-F238E27FC236}">
              <a16:creationId xmlns:a16="http://schemas.microsoft.com/office/drawing/2014/main" id="{00000000-0008-0000-0700-0000378FF26F}"/>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0</xdr:colOff>
      <xdr:row>58</xdr:row>
      <xdr:rowOff>0</xdr:rowOff>
    </xdr:to>
    <xdr:pic>
      <xdr:nvPicPr>
        <xdr:cNvPr id="1248774810" name="Picture">
          <a:extLst>
            <a:ext uri="{FF2B5EF4-FFF2-40B4-BE49-F238E27FC236}">
              <a16:creationId xmlns:a16="http://schemas.microsoft.com/office/drawing/2014/main" id="{00000000-0008-0000-0800-00009ACA6E4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57</xdr:row>
      <xdr:rowOff>0</xdr:rowOff>
    </xdr:from>
    <xdr:to>
      <xdr:col>4</xdr:col>
      <xdr:colOff>0</xdr:colOff>
      <xdr:row>58</xdr:row>
      <xdr:rowOff>0</xdr:rowOff>
    </xdr:to>
    <xdr:pic>
      <xdr:nvPicPr>
        <xdr:cNvPr id="1253823407" name="Picture">
          <a:extLst>
            <a:ext uri="{FF2B5EF4-FFF2-40B4-BE49-F238E27FC236}">
              <a16:creationId xmlns:a16="http://schemas.microsoft.com/office/drawing/2014/main" id="{00000000-0008-0000-0800-0000AFD3BB4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2</xdr:col>
      <xdr:colOff>0</xdr:colOff>
      <xdr:row>35</xdr:row>
      <xdr:rowOff>0</xdr:rowOff>
    </xdr:to>
    <xdr:pic>
      <xdr:nvPicPr>
        <xdr:cNvPr id="1472297880" name="Picture">
          <a:extLst>
            <a:ext uri="{FF2B5EF4-FFF2-40B4-BE49-F238E27FC236}">
              <a16:creationId xmlns:a16="http://schemas.microsoft.com/office/drawing/2014/main" id="{00000000-0008-0000-0900-0000987BC157}"/>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34</xdr:row>
      <xdr:rowOff>0</xdr:rowOff>
    </xdr:from>
    <xdr:to>
      <xdr:col>4</xdr:col>
      <xdr:colOff>0</xdr:colOff>
      <xdr:row>35</xdr:row>
      <xdr:rowOff>0</xdr:rowOff>
    </xdr:to>
    <xdr:pic>
      <xdr:nvPicPr>
        <xdr:cNvPr id="741465440" name="Picture">
          <a:extLst>
            <a:ext uri="{FF2B5EF4-FFF2-40B4-BE49-F238E27FC236}">
              <a16:creationId xmlns:a16="http://schemas.microsoft.com/office/drawing/2014/main" id="{00000000-0008-0000-0900-000060DD312C}"/>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298450</xdr:colOff>
      <xdr:row>45</xdr:row>
      <xdr:rowOff>222250</xdr:rowOff>
    </xdr:from>
    <xdr:to>
      <xdr:col>2</xdr:col>
      <xdr:colOff>1098550</xdr:colOff>
      <xdr:row>46</xdr:row>
      <xdr:rowOff>1708150</xdr:rowOff>
    </xdr:to>
    <xdr:pic>
      <xdr:nvPicPr>
        <xdr:cNvPr id="280488038" name="Picture">
          <a:extLst>
            <a:ext uri="{FF2B5EF4-FFF2-40B4-BE49-F238E27FC236}">
              <a16:creationId xmlns:a16="http://schemas.microsoft.com/office/drawing/2014/main" id="{00000000-0008-0000-0A00-000066E8B710}"/>
            </a:ext>
          </a:extLst>
        </xdr:cNvPr>
        <xdr:cNvPicPr/>
      </xdr:nvPicPr>
      <xdr:blipFill>
        <a:blip xmlns:r="http://schemas.openxmlformats.org/officeDocument/2006/relationships" r:embed="rId1"/>
        <a:srcRect/>
        <a:stretch>
          <a:fillRect r="57831"/>
        </a:stretch>
      </xdr:blipFill>
      <xdr:spPr>
        <a:xfrm>
          <a:off x="533400" y="8045450"/>
          <a:ext cx="4832350" cy="1714500"/>
        </a:xfrm>
        <a:prstGeom prst="rect">
          <a:avLst/>
        </a:prstGeom>
      </xdr:spPr>
    </xdr:pic>
    <xdr:clientData/>
  </xdr:twoCellAnchor>
  <xdr:twoCellAnchor editAs="oneCell">
    <xdr:from>
      <xdr:col>2</xdr:col>
      <xdr:colOff>133350</xdr:colOff>
      <xdr:row>46</xdr:row>
      <xdr:rowOff>39370</xdr:rowOff>
    </xdr:from>
    <xdr:to>
      <xdr:col>4</xdr:col>
      <xdr:colOff>133350</xdr:colOff>
      <xdr:row>47</xdr:row>
      <xdr:rowOff>39370</xdr:rowOff>
    </xdr:to>
    <xdr:pic>
      <xdr:nvPicPr>
        <xdr:cNvPr id="67463028" name="Picture">
          <a:extLst>
            <a:ext uri="{FF2B5EF4-FFF2-40B4-BE49-F238E27FC236}">
              <a16:creationId xmlns:a16="http://schemas.microsoft.com/office/drawing/2014/main" id="{00000000-0008-0000-0A00-000074670504}"/>
            </a:ext>
          </a:extLst>
        </xdr:cNvPr>
        <xdr:cNvPicPr/>
      </xdr:nvPicPr>
      <xdr:blipFill>
        <a:blip xmlns:r="http://schemas.openxmlformats.org/officeDocument/2006/relationships" r:embed="rId2"/>
        <a:srcRect/>
        <a:stretch>
          <a:fillRect r="40333"/>
        </a:stretch>
      </xdr:blipFill>
      <xdr:spPr>
        <a:xfrm>
          <a:off x="4400550" y="8091170"/>
          <a:ext cx="3492500" cy="1714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60</xdr:row>
      <xdr:rowOff>0</xdr:rowOff>
    </xdr:from>
    <xdr:to>
      <xdr:col>2</xdr:col>
      <xdr:colOff>0</xdr:colOff>
      <xdr:row>61</xdr:row>
      <xdr:rowOff>0</xdr:rowOff>
    </xdr:to>
    <xdr:pic>
      <xdr:nvPicPr>
        <xdr:cNvPr id="1489293783" name="Picture">
          <a:extLst>
            <a:ext uri="{FF2B5EF4-FFF2-40B4-BE49-F238E27FC236}">
              <a16:creationId xmlns:a16="http://schemas.microsoft.com/office/drawing/2014/main" id="{00000000-0008-0000-0B00-0000D7D1C45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60</xdr:row>
      <xdr:rowOff>0</xdr:rowOff>
    </xdr:from>
    <xdr:to>
      <xdr:col>4</xdr:col>
      <xdr:colOff>0</xdr:colOff>
      <xdr:row>61</xdr:row>
      <xdr:rowOff>0</xdr:rowOff>
    </xdr:to>
    <xdr:pic>
      <xdr:nvPicPr>
        <xdr:cNvPr id="2050809202" name="Picture">
          <a:extLst>
            <a:ext uri="{FF2B5EF4-FFF2-40B4-BE49-F238E27FC236}">
              <a16:creationId xmlns:a16="http://schemas.microsoft.com/office/drawing/2014/main" id="{00000000-0008-0000-0B00-000072DD3C7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2</xdr:col>
      <xdr:colOff>0</xdr:colOff>
      <xdr:row>42</xdr:row>
      <xdr:rowOff>0</xdr:rowOff>
    </xdr:to>
    <xdr:pic>
      <xdr:nvPicPr>
        <xdr:cNvPr id="1432878731" name="Picture">
          <a:extLst>
            <a:ext uri="{FF2B5EF4-FFF2-40B4-BE49-F238E27FC236}">
              <a16:creationId xmlns:a16="http://schemas.microsoft.com/office/drawing/2014/main" id="{00000000-0008-0000-0C00-00008BFE6755}"/>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41</xdr:row>
      <xdr:rowOff>0</xdr:rowOff>
    </xdr:from>
    <xdr:to>
      <xdr:col>4</xdr:col>
      <xdr:colOff>0</xdr:colOff>
      <xdr:row>42</xdr:row>
      <xdr:rowOff>0</xdr:rowOff>
    </xdr:to>
    <xdr:pic>
      <xdr:nvPicPr>
        <xdr:cNvPr id="2062949780" name="Picture">
          <a:extLst>
            <a:ext uri="{FF2B5EF4-FFF2-40B4-BE49-F238E27FC236}">
              <a16:creationId xmlns:a16="http://schemas.microsoft.com/office/drawing/2014/main" id="{00000000-0008-0000-0C00-0000941DF67A}"/>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142</xdr:row>
      <xdr:rowOff>0</xdr:rowOff>
    </xdr:from>
    <xdr:to>
      <xdr:col>2</xdr:col>
      <xdr:colOff>0</xdr:colOff>
      <xdr:row>143</xdr:row>
      <xdr:rowOff>0</xdr:rowOff>
    </xdr:to>
    <xdr:pic>
      <xdr:nvPicPr>
        <xdr:cNvPr id="79835508" name="Picture">
          <a:extLst>
            <a:ext uri="{FF2B5EF4-FFF2-40B4-BE49-F238E27FC236}">
              <a16:creationId xmlns:a16="http://schemas.microsoft.com/office/drawing/2014/main" id="{00000000-0008-0000-0D00-00007431C204}"/>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142</xdr:row>
      <xdr:rowOff>0</xdr:rowOff>
    </xdr:from>
    <xdr:to>
      <xdr:col>4</xdr:col>
      <xdr:colOff>0</xdr:colOff>
      <xdr:row>143</xdr:row>
      <xdr:rowOff>0</xdr:rowOff>
    </xdr:to>
    <xdr:pic>
      <xdr:nvPicPr>
        <xdr:cNvPr id="763161465" name="Picture">
          <a:extLst>
            <a:ext uri="{FF2B5EF4-FFF2-40B4-BE49-F238E27FC236}">
              <a16:creationId xmlns:a16="http://schemas.microsoft.com/office/drawing/2014/main" id="{00000000-0008-0000-0D00-000079EB7C2D}"/>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2</xdr:col>
      <xdr:colOff>0</xdr:colOff>
      <xdr:row>35</xdr:row>
      <xdr:rowOff>0</xdr:rowOff>
    </xdr:to>
    <xdr:pic>
      <xdr:nvPicPr>
        <xdr:cNvPr id="2021530166" name="Picture">
          <a:extLst>
            <a:ext uri="{FF2B5EF4-FFF2-40B4-BE49-F238E27FC236}">
              <a16:creationId xmlns:a16="http://schemas.microsoft.com/office/drawing/2014/main" id="{00000000-0008-0000-0E00-0000361A7E78}"/>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34</xdr:row>
      <xdr:rowOff>0</xdr:rowOff>
    </xdr:from>
    <xdr:to>
      <xdr:col>4</xdr:col>
      <xdr:colOff>0</xdr:colOff>
      <xdr:row>35</xdr:row>
      <xdr:rowOff>0</xdr:rowOff>
    </xdr:to>
    <xdr:pic>
      <xdr:nvPicPr>
        <xdr:cNvPr id="236420899" name="Picture">
          <a:extLst>
            <a:ext uri="{FF2B5EF4-FFF2-40B4-BE49-F238E27FC236}">
              <a16:creationId xmlns:a16="http://schemas.microsoft.com/office/drawing/2014/main" id="{00000000-0008-0000-0E00-0000237F170E}"/>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2</xdr:col>
      <xdr:colOff>0</xdr:colOff>
      <xdr:row>35</xdr:row>
      <xdr:rowOff>0</xdr:rowOff>
    </xdr:to>
    <xdr:pic>
      <xdr:nvPicPr>
        <xdr:cNvPr id="933924509" name="Picture">
          <a:extLst>
            <a:ext uri="{FF2B5EF4-FFF2-40B4-BE49-F238E27FC236}">
              <a16:creationId xmlns:a16="http://schemas.microsoft.com/office/drawing/2014/main" id="{00000000-0008-0000-0F00-00009D8EAA37}"/>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34</xdr:row>
      <xdr:rowOff>0</xdr:rowOff>
    </xdr:from>
    <xdr:to>
      <xdr:col>4</xdr:col>
      <xdr:colOff>0</xdr:colOff>
      <xdr:row>35</xdr:row>
      <xdr:rowOff>0</xdr:rowOff>
    </xdr:to>
    <xdr:pic>
      <xdr:nvPicPr>
        <xdr:cNvPr id="2110229554" name="Picture">
          <a:extLst>
            <a:ext uri="{FF2B5EF4-FFF2-40B4-BE49-F238E27FC236}">
              <a16:creationId xmlns:a16="http://schemas.microsoft.com/office/drawing/2014/main" id="{00000000-0008-0000-0F00-0000328CC77D}"/>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199</xdr:row>
      <xdr:rowOff>0</xdr:rowOff>
    </xdr:from>
    <xdr:to>
      <xdr:col>2</xdr:col>
      <xdr:colOff>0</xdr:colOff>
      <xdr:row>200</xdr:row>
      <xdr:rowOff>0</xdr:rowOff>
    </xdr:to>
    <xdr:pic>
      <xdr:nvPicPr>
        <xdr:cNvPr id="1977648662" name="Picture">
          <a:extLst>
            <a:ext uri="{FF2B5EF4-FFF2-40B4-BE49-F238E27FC236}">
              <a16:creationId xmlns:a16="http://schemas.microsoft.com/office/drawing/2014/main" id="{00000000-0008-0000-1000-00001686E075}"/>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199</xdr:row>
      <xdr:rowOff>0</xdr:rowOff>
    </xdr:from>
    <xdr:to>
      <xdr:col>4</xdr:col>
      <xdr:colOff>0</xdr:colOff>
      <xdr:row>200</xdr:row>
      <xdr:rowOff>0</xdr:rowOff>
    </xdr:to>
    <xdr:pic>
      <xdr:nvPicPr>
        <xdr:cNvPr id="1077613038" name="Picture">
          <a:extLst>
            <a:ext uri="{FF2B5EF4-FFF2-40B4-BE49-F238E27FC236}">
              <a16:creationId xmlns:a16="http://schemas.microsoft.com/office/drawing/2014/main" id="{00000000-0008-0000-1000-0000EE113B40}"/>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0</xdr:colOff>
      <xdr:row>102</xdr:row>
      <xdr:rowOff>0</xdr:rowOff>
    </xdr:to>
    <xdr:pic>
      <xdr:nvPicPr>
        <xdr:cNvPr id="596029714" name="Picture">
          <a:extLst>
            <a:ext uri="{FF2B5EF4-FFF2-40B4-BE49-F238E27FC236}">
              <a16:creationId xmlns:a16="http://schemas.microsoft.com/office/drawing/2014/main" id="{00000000-0008-0000-1100-000012B18623}"/>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101</xdr:row>
      <xdr:rowOff>0</xdr:rowOff>
    </xdr:from>
    <xdr:to>
      <xdr:col>4</xdr:col>
      <xdr:colOff>0</xdr:colOff>
      <xdr:row>102</xdr:row>
      <xdr:rowOff>0</xdr:rowOff>
    </xdr:to>
    <xdr:pic>
      <xdr:nvPicPr>
        <xdr:cNvPr id="1650532172" name="Picture">
          <a:extLst>
            <a:ext uri="{FF2B5EF4-FFF2-40B4-BE49-F238E27FC236}">
              <a16:creationId xmlns:a16="http://schemas.microsoft.com/office/drawing/2014/main" id="{00000000-0008-0000-1100-00004C1F6162}"/>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2</xdr:col>
      <xdr:colOff>0</xdr:colOff>
      <xdr:row>53</xdr:row>
      <xdr:rowOff>0</xdr:rowOff>
    </xdr:to>
    <xdr:pic>
      <xdr:nvPicPr>
        <xdr:cNvPr id="323020064" name="Picture">
          <a:extLst>
            <a:ext uri="{FF2B5EF4-FFF2-40B4-BE49-F238E27FC236}">
              <a16:creationId xmlns:a16="http://schemas.microsoft.com/office/drawing/2014/main" id="{00000000-0008-0000-1200-000020E54013}"/>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52</xdr:row>
      <xdr:rowOff>0</xdr:rowOff>
    </xdr:from>
    <xdr:to>
      <xdr:col>4</xdr:col>
      <xdr:colOff>0</xdr:colOff>
      <xdr:row>53</xdr:row>
      <xdr:rowOff>0</xdr:rowOff>
    </xdr:to>
    <xdr:pic>
      <xdr:nvPicPr>
        <xdr:cNvPr id="200028871" name="Picture">
          <a:extLst>
            <a:ext uri="{FF2B5EF4-FFF2-40B4-BE49-F238E27FC236}">
              <a16:creationId xmlns:a16="http://schemas.microsoft.com/office/drawing/2014/main" id="{00000000-0008-0000-1200-0000C732EC0B}"/>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0</xdr:colOff>
      <xdr:row>95</xdr:row>
      <xdr:rowOff>0</xdr:rowOff>
    </xdr:to>
    <xdr:pic>
      <xdr:nvPicPr>
        <xdr:cNvPr id="494148745" name="Picture">
          <a:extLst>
            <a:ext uri="{FF2B5EF4-FFF2-40B4-BE49-F238E27FC236}">
              <a16:creationId xmlns:a16="http://schemas.microsoft.com/office/drawing/2014/main" id="{00000000-0008-0000-1300-0000891C741D}"/>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94</xdr:row>
      <xdr:rowOff>0</xdr:rowOff>
    </xdr:from>
    <xdr:to>
      <xdr:col>4</xdr:col>
      <xdr:colOff>0</xdr:colOff>
      <xdr:row>95</xdr:row>
      <xdr:rowOff>0</xdr:rowOff>
    </xdr:to>
    <xdr:pic>
      <xdr:nvPicPr>
        <xdr:cNvPr id="1996876564" name="Picture">
          <a:extLst>
            <a:ext uri="{FF2B5EF4-FFF2-40B4-BE49-F238E27FC236}">
              <a16:creationId xmlns:a16="http://schemas.microsoft.com/office/drawing/2014/main" id="{00000000-0008-0000-1300-000014EB0577}"/>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266</xdr:row>
      <xdr:rowOff>0</xdr:rowOff>
    </xdr:from>
    <xdr:to>
      <xdr:col>2</xdr:col>
      <xdr:colOff>0</xdr:colOff>
      <xdr:row>267</xdr:row>
      <xdr:rowOff>0</xdr:rowOff>
    </xdr:to>
    <xdr:pic>
      <xdr:nvPicPr>
        <xdr:cNvPr id="1668835633" name="Picture">
          <a:extLst>
            <a:ext uri="{FF2B5EF4-FFF2-40B4-BE49-F238E27FC236}">
              <a16:creationId xmlns:a16="http://schemas.microsoft.com/office/drawing/2014/main" id="{00000000-0008-0000-1400-000031697863}"/>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266</xdr:row>
      <xdr:rowOff>0</xdr:rowOff>
    </xdr:from>
    <xdr:to>
      <xdr:col>4</xdr:col>
      <xdr:colOff>0</xdr:colOff>
      <xdr:row>267</xdr:row>
      <xdr:rowOff>0</xdr:rowOff>
    </xdr:to>
    <xdr:pic>
      <xdr:nvPicPr>
        <xdr:cNvPr id="157816211" name="Picture">
          <a:extLst>
            <a:ext uri="{FF2B5EF4-FFF2-40B4-BE49-F238E27FC236}">
              <a16:creationId xmlns:a16="http://schemas.microsoft.com/office/drawing/2014/main" id="{00000000-0008-0000-1400-00009315680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426</xdr:row>
      <xdr:rowOff>0</xdr:rowOff>
    </xdr:from>
    <xdr:to>
      <xdr:col>2</xdr:col>
      <xdr:colOff>0</xdr:colOff>
      <xdr:row>427</xdr:row>
      <xdr:rowOff>0</xdr:rowOff>
    </xdr:to>
    <xdr:pic>
      <xdr:nvPicPr>
        <xdr:cNvPr id="885379171" name="Picture">
          <a:extLst>
            <a:ext uri="{FF2B5EF4-FFF2-40B4-BE49-F238E27FC236}">
              <a16:creationId xmlns:a16="http://schemas.microsoft.com/office/drawing/2014/main" id="{00000000-0008-0000-1500-000063D0C534}"/>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426</xdr:row>
      <xdr:rowOff>0</xdr:rowOff>
    </xdr:from>
    <xdr:to>
      <xdr:col>4</xdr:col>
      <xdr:colOff>0</xdr:colOff>
      <xdr:row>427</xdr:row>
      <xdr:rowOff>0</xdr:rowOff>
    </xdr:to>
    <xdr:pic>
      <xdr:nvPicPr>
        <xdr:cNvPr id="528536424" name="Picture">
          <a:extLst>
            <a:ext uri="{FF2B5EF4-FFF2-40B4-BE49-F238E27FC236}">
              <a16:creationId xmlns:a16="http://schemas.microsoft.com/office/drawing/2014/main" id="{00000000-0008-0000-1500-000068D3801F}"/>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0</xdr:colOff>
      <xdr:row>29</xdr:row>
      <xdr:rowOff>0</xdr:rowOff>
    </xdr:to>
    <xdr:pic>
      <xdr:nvPicPr>
        <xdr:cNvPr id="1966073308" name="Picture">
          <a:extLst>
            <a:ext uri="{FF2B5EF4-FFF2-40B4-BE49-F238E27FC236}">
              <a16:creationId xmlns:a16="http://schemas.microsoft.com/office/drawing/2014/main" id="{00000000-0008-0000-1600-0000DCE52F7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28</xdr:row>
      <xdr:rowOff>0</xdr:rowOff>
    </xdr:from>
    <xdr:to>
      <xdr:col>4</xdr:col>
      <xdr:colOff>0</xdr:colOff>
      <xdr:row>29</xdr:row>
      <xdr:rowOff>0</xdr:rowOff>
    </xdr:to>
    <xdr:pic>
      <xdr:nvPicPr>
        <xdr:cNvPr id="836057320" name="Picture">
          <a:extLst>
            <a:ext uri="{FF2B5EF4-FFF2-40B4-BE49-F238E27FC236}">
              <a16:creationId xmlns:a16="http://schemas.microsoft.com/office/drawing/2014/main" id="{00000000-0008-0000-1600-0000E838D53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2</xdr:col>
      <xdr:colOff>0</xdr:colOff>
      <xdr:row>157</xdr:row>
      <xdr:rowOff>0</xdr:rowOff>
    </xdr:to>
    <xdr:pic>
      <xdr:nvPicPr>
        <xdr:cNvPr id="1443173415" name="Picture">
          <a:extLst>
            <a:ext uri="{FF2B5EF4-FFF2-40B4-BE49-F238E27FC236}">
              <a16:creationId xmlns:a16="http://schemas.microsoft.com/office/drawing/2014/main" id="{00000000-0008-0000-1700-00002714055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156</xdr:row>
      <xdr:rowOff>0</xdr:rowOff>
    </xdr:from>
    <xdr:to>
      <xdr:col>4</xdr:col>
      <xdr:colOff>0</xdr:colOff>
      <xdr:row>157</xdr:row>
      <xdr:rowOff>0</xdr:rowOff>
    </xdr:to>
    <xdr:pic>
      <xdr:nvPicPr>
        <xdr:cNvPr id="1334281756" name="Picture">
          <a:extLst>
            <a:ext uri="{FF2B5EF4-FFF2-40B4-BE49-F238E27FC236}">
              <a16:creationId xmlns:a16="http://schemas.microsoft.com/office/drawing/2014/main" id="{00000000-0008-0000-1700-00001C86874F}"/>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0</xdr:colOff>
      <xdr:row>86</xdr:row>
      <xdr:rowOff>0</xdr:rowOff>
    </xdr:to>
    <xdr:pic>
      <xdr:nvPicPr>
        <xdr:cNvPr id="1158449973" name="Picture">
          <a:extLst>
            <a:ext uri="{FF2B5EF4-FFF2-40B4-BE49-F238E27FC236}">
              <a16:creationId xmlns:a16="http://schemas.microsoft.com/office/drawing/2014/main" id="{00000000-0008-0000-1800-0000358B0C4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85</xdr:row>
      <xdr:rowOff>0</xdr:rowOff>
    </xdr:from>
    <xdr:to>
      <xdr:col>4</xdr:col>
      <xdr:colOff>0</xdr:colOff>
      <xdr:row>86</xdr:row>
      <xdr:rowOff>0</xdr:rowOff>
    </xdr:to>
    <xdr:pic>
      <xdr:nvPicPr>
        <xdr:cNvPr id="1560738052" name="Picture">
          <a:extLst>
            <a:ext uri="{FF2B5EF4-FFF2-40B4-BE49-F238E27FC236}">
              <a16:creationId xmlns:a16="http://schemas.microsoft.com/office/drawing/2014/main" id="{00000000-0008-0000-1800-000004F9065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223</xdr:row>
      <xdr:rowOff>0</xdr:rowOff>
    </xdr:from>
    <xdr:to>
      <xdr:col>2</xdr:col>
      <xdr:colOff>0</xdr:colOff>
      <xdr:row>224</xdr:row>
      <xdr:rowOff>0</xdr:rowOff>
    </xdr:to>
    <xdr:pic>
      <xdr:nvPicPr>
        <xdr:cNvPr id="457755211" name="Picture">
          <a:extLst>
            <a:ext uri="{FF2B5EF4-FFF2-40B4-BE49-F238E27FC236}">
              <a16:creationId xmlns:a16="http://schemas.microsoft.com/office/drawing/2014/main" id="{00000000-0008-0000-1900-00004BCA481B}"/>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223</xdr:row>
      <xdr:rowOff>0</xdr:rowOff>
    </xdr:from>
    <xdr:to>
      <xdr:col>4</xdr:col>
      <xdr:colOff>0</xdr:colOff>
      <xdr:row>224</xdr:row>
      <xdr:rowOff>0</xdr:rowOff>
    </xdr:to>
    <xdr:pic>
      <xdr:nvPicPr>
        <xdr:cNvPr id="1535234719" name="Picture">
          <a:extLst>
            <a:ext uri="{FF2B5EF4-FFF2-40B4-BE49-F238E27FC236}">
              <a16:creationId xmlns:a16="http://schemas.microsoft.com/office/drawing/2014/main" id="{00000000-0008-0000-1900-00009FD2815B}"/>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198120</xdr:colOff>
      <xdr:row>88</xdr:row>
      <xdr:rowOff>190500</xdr:rowOff>
    </xdr:from>
    <xdr:to>
      <xdr:col>4</xdr:col>
      <xdr:colOff>198120</xdr:colOff>
      <xdr:row>90</xdr:row>
      <xdr:rowOff>7620</xdr:rowOff>
    </xdr:to>
    <xdr:pic>
      <xdr:nvPicPr>
        <xdr:cNvPr id="1360018612" name="Picture">
          <a:extLst>
            <a:ext uri="{FF2B5EF4-FFF2-40B4-BE49-F238E27FC236}">
              <a16:creationId xmlns:a16="http://schemas.microsoft.com/office/drawing/2014/main" id="{00000000-0008-0000-1A00-0000B43C1051}"/>
            </a:ext>
          </a:extLst>
        </xdr:cNvPr>
        <xdr:cNvPicPr/>
      </xdr:nvPicPr>
      <xdr:blipFill>
        <a:blip xmlns:r="http://schemas.openxmlformats.org/officeDocument/2006/relationships" r:embed="rId1"/>
        <a:srcRect/>
        <a:stretch>
          <a:fillRect r="38666"/>
        </a:stretch>
      </xdr:blipFill>
      <xdr:spPr>
        <a:xfrm>
          <a:off x="5173980" y="15255240"/>
          <a:ext cx="3429000" cy="1714500"/>
        </a:xfrm>
        <a:prstGeom prst="rect">
          <a:avLst/>
        </a:prstGeom>
      </xdr:spPr>
    </xdr:pic>
    <xdr:clientData/>
  </xdr:twoCellAnchor>
  <xdr:twoCellAnchor editAs="oneCell">
    <xdr:from>
      <xdr:col>1</xdr:col>
      <xdr:colOff>0</xdr:colOff>
      <xdr:row>88</xdr:row>
      <xdr:rowOff>0</xdr:rowOff>
    </xdr:from>
    <xdr:to>
      <xdr:col>2</xdr:col>
      <xdr:colOff>0</xdr:colOff>
      <xdr:row>89</xdr:row>
      <xdr:rowOff>0</xdr:rowOff>
    </xdr:to>
    <xdr:pic>
      <xdr:nvPicPr>
        <xdr:cNvPr id="2" name="Picture">
          <a:extLst>
            <a:ext uri="{FF2B5EF4-FFF2-40B4-BE49-F238E27FC236}">
              <a16:creationId xmlns:a16="http://schemas.microsoft.com/office/drawing/2014/main" id="{B77348B1-F2F5-48CE-843F-4A516431C5C9}"/>
            </a:ext>
          </a:extLst>
        </xdr:cNvPr>
        <xdr:cNvPicPr/>
      </xdr:nvPicPr>
      <xdr:blipFill>
        <a:blip xmlns:r="http://schemas.openxmlformats.org/officeDocument/2006/relationships" r:embed="rId2"/>
        <a:srcRect/>
        <a:stretch>
          <a:fillRect r="54698"/>
        </a:stretch>
      </xdr:blipFill>
      <xdr:spPr>
        <a:xfrm>
          <a:off x="228600" y="15064740"/>
          <a:ext cx="4747260" cy="17145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280513691" name="Picture">
          <a:extLst>
            <a:ext uri="{FF2B5EF4-FFF2-40B4-BE49-F238E27FC236}">
              <a16:creationId xmlns:a16="http://schemas.microsoft.com/office/drawing/2014/main" id="{00000000-0008-0000-1B00-00009B4CB81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1967770364" name="Picture">
          <a:extLst>
            <a:ext uri="{FF2B5EF4-FFF2-40B4-BE49-F238E27FC236}">
              <a16:creationId xmlns:a16="http://schemas.microsoft.com/office/drawing/2014/main" id="{00000000-0008-0000-1B00-0000FCCA497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2</xdr:col>
      <xdr:colOff>0</xdr:colOff>
      <xdr:row>52</xdr:row>
      <xdr:rowOff>0</xdr:rowOff>
    </xdr:to>
    <xdr:pic>
      <xdr:nvPicPr>
        <xdr:cNvPr id="1895912197" name="Picture">
          <a:extLst>
            <a:ext uri="{FF2B5EF4-FFF2-40B4-BE49-F238E27FC236}">
              <a16:creationId xmlns:a16="http://schemas.microsoft.com/office/drawing/2014/main" id="{00000000-0008-0000-1C00-00000553017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51</xdr:row>
      <xdr:rowOff>0</xdr:rowOff>
    </xdr:from>
    <xdr:to>
      <xdr:col>4</xdr:col>
      <xdr:colOff>0</xdr:colOff>
      <xdr:row>52</xdr:row>
      <xdr:rowOff>0</xdr:rowOff>
    </xdr:to>
    <xdr:pic>
      <xdr:nvPicPr>
        <xdr:cNvPr id="556016653" name="Picture">
          <a:extLst>
            <a:ext uri="{FF2B5EF4-FFF2-40B4-BE49-F238E27FC236}">
              <a16:creationId xmlns:a16="http://schemas.microsoft.com/office/drawing/2014/main" id="{00000000-0008-0000-1C00-00000D24242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66</xdr:row>
      <xdr:rowOff>0</xdr:rowOff>
    </xdr:from>
    <xdr:to>
      <xdr:col>2</xdr:col>
      <xdr:colOff>0</xdr:colOff>
      <xdr:row>67</xdr:row>
      <xdr:rowOff>0</xdr:rowOff>
    </xdr:to>
    <xdr:pic>
      <xdr:nvPicPr>
        <xdr:cNvPr id="1208963717" name="Picture">
          <a:extLst>
            <a:ext uri="{FF2B5EF4-FFF2-40B4-BE49-F238E27FC236}">
              <a16:creationId xmlns:a16="http://schemas.microsoft.com/office/drawing/2014/main" id="{00000000-0008-0000-1D00-000085520F48}"/>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66</xdr:row>
      <xdr:rowOff>0</xdr:rowOff>
    </xdr:from>
    <xdr:to>
      <xdr:col>4</xdr:col>
      <xdr:colOff>0</xdr:colOff>
      <xdr:row>67</xdr:row>
      <xdr:rowOff>0</xdr:rowOff>
    </xdr:to>
    <xdr:pic>
      <xdr:nvPicPr>
        <xdr:cNvPr id="862824954" name="Picture">
          <a:extLst>
            <a:ext uri="{FF2B5EF4-FFF2-40B4-BE49-F238E27FC236}">
              <a16:creationId xmlns:a16="http://schemas.microsoft.com/office/drawing/2014/main" id="{00000000-0008-0000-1D00-0000FAA96D33}"/>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2</xdr:col>
      <xdr:colOff>0</xdr:colOff>
      <xdr:row>53</xdr:row>
      <xdr:rowOff>0</xdr:rowOff>
    </xdr:to>
    <xdr:pic>
      <xdr:nvPicPr>
        <xdr:cNvPr id="862578646" name="Picture">
          <a:extLst>
            <a:ext uri="{FF2B5EF4-FFF2-40B4-BE49-F238E27FC236}">
              <a16:creationId xmlns:a16="http://schemas.microsoft.com/office/drawing/2014/main" id="{00000000-0008-0000-1E00-0000D6E76933}"/>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52</xdr:row>
      <xdr:rowOff>0</xdr:rowOff>
    </xdr:from>
    <xdr:to>
      <xdr:col>4</xdr:col>
      <xdr:colOff>0</xdr:colOff>
      <xdr:row>53</xdr:row>
      <xdr:rowOff>0</xdr:rowOff>
    </xdr:to>
    <xdr:pic>
      <xdr:nvPicPr>
        <xdr:cNvPr id="329405125" name="Picture">
          <a:extLst>
            <a:ext uri="{FF2B5EF4-FFF2-40B4-BE49-F238E27FC236}">
              <a16:creationId xmlns:a16="http://schemas.microsoft.com/office/drawing/2014/main" id="{00000000-0008-0000-1E00-0000C552A213}"/>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562803022" name="Picture">
          <a:extLst>
            <a:ext uri="{FF2B5EF4-FFF2-40B4-BE49-F238E27FC236}">
              <a16:creationId xmlns:a16="http://schemas.microsoft.com/office/drawing/2014/main" id="{00000000-0008-0000-1F00-00004EB18B2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2146959100" name="Picture">
          <a:extLst>
            <a:ext uri="{FF2B5EF4-FFF2-40B4-BE49-F238E27FC236}">
              <a16:creationId xmlns:a16="http://schemas.microsoft.com/office/drawing/2014/main" id="{00000000-0008-0000-1F00-0000FCFEF77F}"/>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64807299" name="Picture">
          <a:extLst>
            <a:ext uri="{FF2B5EF4-FFF2-40B4-BE49-F238E27FC236}">
              <a16:creationId xmlns:a16="http://schemas.microsoft.com/office/drawing/2014/main" id="{00000000-0008-0000-2000-000083E1DC03}"/>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48873287" name="Picture">
          <a:extLst>
            <a:ext uri="{FF2B5EF4-FFF2-40B4-BE49-F238E27FC236}">
              <a16:creationId xmlns:a16="http://schemas.microsoft.com/office/drawing/2014/main" id="{00000000-0008-0000-2000-000047BFE902}"/>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0</xdr:colOff>
      <xdr:row>24</xdr:row>
      <xdr:rowOff>0</xdr:rowOff>
    </xdr:to>
    <xdr:pic>
      <xdr:nvPicPr>
        <xdr:cNvPr id="356306841" name="Picture">
          <a:extLst>
            <a:ext uri="{FF2B5EF4-FFF2-40B4-BE49-F238E27FC236}">
              <a16:creationId xmlns:a16="http://schemas.microsoft.com/office/drawing/2014/main" id="{00000000-0008-0000-2100-000099CF3C15}"/>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23</xdr:row>
      <xdr:rowOff>0</xdr:rowOff>
    </xdr:from>
    <xdr:to>
      <xdr:col>4</xdr:col>
      <xdr:colOff>0</xdr:colOff>
      <xdr:row>24</xdr:row>
      <xdr:rowOff>0</xdr:rowOff>
    </xdr:to>
    <xdr:pic>
      <xdr:nvPicPr>
        <xdr:cNvPr id="1216967276" name="Picture">
          <a:extLst>
            <a:ext uri="{FF2B5EF4-FFF2-40B4-BE49-F238E27FC236}">
              <a16:creationId xmlns:a16="http://schemas.microsoft.com/office/drawing/2014/main" id="{00000000-0008-0000-2100-00006C728948}"/>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437928478" name="Picture">
          <a:extLst>
            <a:ext uri="{FF2B5EF4-FFF2-40B4-BE49-F238E27FC236}">
              <a16:creationId xmlns:a16="http://schemas.microsoft.com/office/drawing/2014/main" id="{00000000-0008-0000-2200-00001E0CB55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227348181" name="Picture">
          <a:extLst>
            <a:ext uri="{FF2B5EF4-FFF2-40B4-BE49-F238E27FC236}">
              <a16:creationId xmlns:a16="http://schemas.microsoft.com/office/drawing/2014/main" id="{00000000-0008-0000-2200-0000D50E8D0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2</xdr:col>
      <xdr:colOff>0</xdr:colOff>
      <xdr:row>25</xdr:row>
      <xdr:rowOff>0</xdr:rowOff>
    </xdr:from>
    <xdr:to>
      <xdr:col>4</xdr:col>
      <xdr:colOff>0</xdr:colOff>
      <xdr:row>26</xdr:row>
      <xdr:rowOff>0</xdr:rowOff>
    </xdr:to>
    <xdr:pic>
      <xdr:nvPicPr>
        <xdr:cNvPr id="2108116819" name="Picture">
          <a:extLst>
            <a:ext uri="{FF2B5EF4-FFF2-40B4-BE49-F238E27FC236}">
              <a16:creationId xmlns:a16="http://schemas.microsoft.com/office/drawing/2014/main" id="{00000000-0008-0000-2300-0000534FA77D}"/>
            </a:ext>
          </a:extLst>
        </xdr:cNvPr>
        <xdr:cNvPicPr/>
      </xdr:nvPicPr>
      <xdr:blipFill>
        <a:blip xmlns:r="http://schemas.openxmlformats.org/officeDocument/2006/relationships" r:embed="rId1"/>
        <a:srcRect/>
        <a:stretch>
          <a:fillRect r="39666"/>
        </a:stretch>
      </xdr:blipFill>
      <xdr:spPr>
        <a:xfrm>
          <a:off x="0" y="0"/>
          <a:ext cx="0" cy="0"/>
        </a:xfrm>
        <a:prstGeom prst="rect">
          <a:avLst/>
        </a:prstGeom>
      </xdr:spPr>
    </xdr:pic>
    <xdr:clientData/>
  </xdr:twoCellAnchor>
  <xdr:twoCellAnchor editAs="oneCell">
    <xdr:from>
      <xdr:col>1</xdr:col>
      <xdr:colOff>0</xdr:colOff>
      <xdr:row>25</xdr:row>
      <xdr:rowOff>0</xdr:rowOff>
    </xdr:from>
    <xdr:to>
      <xdr:col>2</xdr:col>
      <xdr:colOff>0</xdr:colOff>
      <xdr:row>26</xdr:row>
      <xdr:rowOff>0</xdr:rowOff>
    </xdr:to>
    <xdr:pic>
      <xdr:nvPicPr>
        <xdr:cNvPr id="2" name="Picture">
          <a:extLst>
            <a:ext uri="{FF2B5EF4-FFF2-40B4-BE49-F238E27FC236}">
              <a16:creationId xmlns:a16="http://schemas.microsoft.com/office/drawing/2014/main" id="{59CD76AD-2404-4423-A1F9-3BF477B39410}"/>
            </a:ext>
          </a:extLst>
        </xdr:cNvPr>
        <xdr:cNvPicPr/>
      </xdr:nvPicPr>
      <xdr:blipFill>
        <a:blip xmlns:r="http://schemas.openxmlformats.org/officeDocument/2006/relationships" r:embed="rId2"/>
        <a:srcRect/>
        <a:stretch>
          <a:fillRect r="55662"/>
        </a:stretch>
      </xdr:blipFill>
      <xdr:spPr>
        <a:xfrm>
          <a:off x="234950" y="4521200"/>
          <a:ext cx="4832350" cy="17145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0</xdr:colOff>
      <xdr:row>167</xdr:row>
      <xdr:rowOff>0</xdr:rowOff>
    </xdr:to>
    <xdr:pic>
      <xdr:nvPicPr>
        <xdr:cNvPr id="1014021" name="Picture">
          <a:extLst>
            <a:ext uri="{FF2B5EF4-FFF2-40B4-BE49-F238E27FC236}">
              <a16:creationId xmlns:a16="http://schemas.microsoft.com/office/drawing/2014/main" id="{00000000-0008-0000-2400-000005790F0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166</xdr:row>
      <xdr:rowOff>0</xdr:rowOff>
    </xdr:from>
    <xdr:to>
      <xdr:col>4</xdr:col>
      <xdr:colOff>0</xdr:colOff>
      <xdr:row>167</xdr:row>
      <xdr:rowOff>0</xdr:rowOff>
    </xdr:to>
    <xdr:pic>
      <xdr:nvPicPr>
        <xdr:cNvPr id="1695626359" name="Picture">
          <a:extLst>
            <a:ext uri="{FF2B5EF4-FFF2-40B4-BE49-F238E27FC236}">
              <a16:creationId xmlns:a16="http://schemas.microsoft.com/office/drawing/2014/main" id="{00000000-0008-0000-2400-00007734116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2</xdr:col>
      <xdr:colOff>0</xdr:colOff>
      <xdr:row>47</xdr:row>
      <xdr:rowOff>0</xdr:rowOff>
    </xdr:to>
    <xdr:pic>
      <xdr:nvPicPr>
        <xdr:cNvPr id="1768212903" name="Picture">
          <a:extLst>
            <a:ext uri="{FF2B5EF4-FFF2-40B4-BE49-F238E27FC236}">
              <a16:creationId xmlns:a16="http://schemas.microsoft.com/office/drawing/2014/main" id="{00000000-0008-0000-2500-0000A7C9646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46</xdr:row>
      <xdr:rowOff>0</xdr:rowOff>
    </xdr:from>
    <xdr:to>
      <xdr:col>4</xdr:col>
      <xdr:colOff>0</xdr:colOff>
      <xdr:row>47</xdr:row>
      <xdr:rowOff>0</xdr:rowOff>
    </xdr:to>
    <xdr:pic>
      <xdr:nvPicPr>
        <xdr:cNvPr id="780062223" name="Picture">
          <a:extLst>
            <a:ext uri="{FF2B5EF4-FFF2-40B4-BE49-F238E27FC236}">
              <a16:creationId xmlns:a16="http://schemas.microsoft.com/office/drawing/2014/main" id="{00000000-0008-0000-2500-00000FCE7E2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2</xdr:col>
      <xdr:colOff>0</xdr:colOff>
      <xdr:row>123</xdr:row>
      <xdr:rowOff>0</xdr:rowOff>
    </xdr:to>
    <xdr:pic>
      <xdr:nvPicPr>
        <xdr:cNvPr id="1430408596" name="Picture">
          <a:extLst>
            <a:ext uri="{FF2B5EF4-FFF2-40B4-BE49-F238E27FC236}">
              <a16:creationId xmlns:a16="http://schemas.microsoft.com/office/drawing/2014/main" id="{00000000-0008-0000-2600-0000944D4255}"/>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122</xdr:row>
      <xdr:rowOff>0</xdr:rowOff>
    </xdr:from>
    <xdr:to>
      <xdr:col>4</xdr:col>
      <xdr:colOff>0</xdr:colOff>
      <xdr:row>123</xdr:row>
      <xdr:rowOff>0</xdr:rowOff>
    </xdr:to>
    <xdr:pic>
      <xdr:nvPicPr>
        <xdr:cNvPr id="958167495" name="Picture">
          <a:extLst>
            <a:ext uri="{FF2B5EF4-FFF2-40B4-BE49-F238E27FC236}">
              <a16:creationId xmlns:a16="http://schemas.microsoft.com/office/drawing/2014/main" id="{00000000-0008-0000-2600-0000C7791C3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0</xdr:colOff>
      <xdr:row>120</xdr:row>
      <xdr:rowOff>0</xdr:rowOff>
    </xdr:to>
    <xdr:pic>
      <xdr:nvPicPr>
        <xdr:cNvPr id="1987753650" name="Picture">
          <a:extLst>
            <a:ext uri="{FF2B5EF4-FFF2-40B4-BE49-F238E27FC236}">
              <a16:creationId xmlns:a16="http://schemas.microsoft.com/office/drawing/2014/main" id="{00000000-0008-0000-2700-0000B2B67A7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119</xdr:row>
      <xdr:rowOff>0</xdr:rowOff>
    </xdr:from>
    <xdr:to>
      <xdr:col>4</xdr:col>
      <xdr:colOff>0</xdr:colOff>
      <xdr:row>120</xdr:row>
      <xdr:rowOff>0</xdr:rowOff>
    </xdr:to>
    <xdr:pic>
      <xdr:nvPicPr>
        <xdr:cNvPr id="774639812" name="Picture">
          <a:extLst>
            <a:ext uri="{FF2B5EF4-FFF2-40B4-BE49-F238E27FC236}">
              <a16:creationId xmlns:a16="http://schemas.microsoft.com/office/drawing/2014/main" id="{00000000-0008-0000-2700-0000C4102C2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0</xdr:colOff>
      <xdr:row>86</xdr:row>
      <xdr:rowOff>0</xdr:rowOff>
    </xdr:to>
    <xdr:pic>
      <xdr:nvPicPr>
        <xdr:cNvPr id="1766180472" name="Picture">
          <a:extLst>
            <a:ext uri="{FF2B5EF4-FFF2-40B4-BE49-F238E27FC236}">
              <a16:creationId xmlns:a16="http://schemas.microsoft.com/office/drawing/2014/main" id="{00000000-0008-0000-2800-000078C64569}"/>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85</xdr:row>
      <xdr:rowOff>0</xdr:rowOff>
    </xdr:from>
    <xdr:to>
      <xdr:col>4</xdr:col>
      <xdr:colOff>0</xdr:colOff>
      <xdr:row>86</xdr:row>
      <xdr:rowOff>0</xdr:rowOff>
    </xdr:to>
    <xdr:pic>
      <xdr:nvPicPr>
        <xdr:cNvPr id="435438717" name="Picture">
          <a:extLst>
            <a:ext uri="{FF2B5EF4-FFF2-40B4-BE49-F238E27FC236}">
              <a16:creationId xmlns:a16="http://schemas.microsoft.com/office/drawing/2014/main" id="{00000000-0008-0000-2800-00007D44F41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100</xdr:row>
      <xdr:rowOff>0</xdr:rowOff>
    </xdr:from>
    <xdr:to>
      <xdr:col>2</xdr:col>
      <xdr:colOff>0</xdr:colOff>
      <xdr:row>101</xdr:row>
      <xdr:rowOff>0</xdr:rowOff>
    </xdr:to>
    <xdr:pic>
      <xdr:nvPicPr>
        <xdr:cNvPr id="1084630125" name="Picture">
          <a:extLst>
            <a:ext uri="{FF2B5EF4-FFF2-40B4-BE49-F238E27FC236}">
              <a16:creationId xmlns:a16="http://schemas.microsoft.com/office/drawing/2014/main" id="{00000000-0008-0000-2900-00006D24A640}"/>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100</xdr:row>
      <xdr:rowOff>0</xdr:rowOff>
    </xdr:from>
    <xdr:to>
      <xdr:col>4</xdr:col>
      <xdr:colOff>0</xdr:colOff>
      <xdr:row>101</xdr:row>
      <xdr:rowOff>0</xdr:rowOff>
    </xdr:to>
    <xdr:pic>
      <xdr:nvPicPr>
        <xdr:cNvPr id="1571019565" name="Picture">
          <a:extLst>
            <a:ext uri="{FF2B5EF4-FFF2-40B4-BE49-F238E27FC236}">
              <a16:creationId xmlns:a16="http://schemas.microsoft.com/office/drawing/2014/main" id="{00000000-0008-0000-2900-00002DDBA35D}"/>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711924789" name="Picture">
          <a:extLst>
            <a:ext uri="{FF2B5EF4-FFF2-40B4-BE49-F238E27FC236}">
              <a16:creationId xmlns:a16="http://schemas.microsoft.com/office/drawing/2014/main" id="{00000000-0008-0000-2A00-0000351C6F2A}"/>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293827241" name="Picture">
          <a:extLst>
            <a:ext uri="{FF2B5EF4-FFF2-40B4-BE49-F238E27FC236}">
              <a16:creationId xmlns:a16="http://schemas.microsoft.com/office/drawing/2014/main" id="{00000000-0008-0000-2A00-0000A9728311}"/>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2</xdr:col>
      <xdr:colOff>0</xdr:colOff>
      <xdr:row>152</xdr:row>
      <xdr:rowOff>0</xdr:rowOff>
    </xdr:from>
    <xdr:to>
      <xdr:col>4</xdr:col>
      <xdr:colOff>0</xdr:colOff>
      <xdr:row>153</xdr:row>
      <xdr:rowOff>0</xdr:rowOff>
    </xdr:to>
    <xdr:pic>
      <xdr:nvPicPr>
        <xdr:cNvPr id="600734760" name="Picture">
          <a:extLst>
            <a:ext uri="{FF2B5EF4-FFF2-40B4-BE49-F238E27FC236}">
              <a16:creationId xmlns:a16="http://schemas.microsoft.com/office/drawing/2014/main" id="{00000000-0008-0000-2B00-0000287CCE23}"/>
            </a:ext>
          </a:extLst>
        </xdr:cNvPr>
        <xdr:cNvPicPr/>
      </xdr:nvPicPr>
      <xdr:blipFill>
        <a:blip xmlns:r="http://schemas.openxmlformats.org/officeDocument/2006/relationships" r:embed="rId1"/>
        <a:srcRect/>
        <a:stretch>
          <a:fillRect r="40333"/>
        </a:stretch>
      </xdr:blipFill>
      <xdr:spPr>
        <a:xfrm>
          <a:off x="0" y="0"/>
          <a:ext cx="0" cy="0"/>
        </a:xfrm>
        <a:prstGeom prst="rect">
          <a:avLst/>
        </a:prstGeom>
      </xdr:spPr>
    </xdr:pic>
    <xdr:clientData/>
  </xdr:twoCellAnchor>
  <xdr:twoCellAnchor editAs="oneCell">
    <xdr:from>
      <xdr:col>1</xdr:col>
      <xdr:colOff>0</xdr:colOff>
      <xdr:row>152</xdr:row>
      <xdr:rowOff>0</xdr:rowOff>
    </xdr:from>
    <xdr:to>
      <xdr:col>2</xdr:col>
      <xdr:colOff>0</xdr:colOff>
      <xdr:row>153</xdr:row>
      <xdr:rowOff>0</xdr:rowOff>
    </xdr:to>
    <xdr:pic>
      <xdr:nvPicPr>
        <xdr:cNvPr id="2" name="Picture">
          <a:extLst>
            <a:ext uri="{FF2B5EF4-FFF2-40B4-BE49-F238E27FC236}">
              <a16:creationId xmlns:a16="http://schemas.microsoft.com/office/drawing/2014/main" id="{7D63CA84-F807-496A-BF18-10ADE36F95C7}"/>
            </a:ext>
          </a:extLst>
        </xdr:cNvPr>
        <xdr:cNvPicPr/>
      </xdr:nvPicPr>
      <xdr:blipFill>
        <a:blip xmlns:r="http://schemas.openxmlformats.org/officeDocument/2006/relationships" r:embed="rId2"/>
        <a:srcRect/>
        <a:stretch>
          <a:fillRect r="57831"/>
        </a:stretch>
      </xdr:blipFill>
      <xdr:spPr>
        <a:xfrm>
          <a:off x="234950" y="25488900"/>
          <a:ext cx="4832350" cy="17145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2</xdr:col>
      <xdr:colOff>0</xdr:colOff>
      <xdr:row>50</xdr:row>
      <xdr:rowOff>0</xdr:rowOff>
    </xdr:to>
    <xdr:pic>
      <xdr:nvPicPr>
        <xdr:cNvPr id="1905410768" name="Picture">
          <a:extLst>
            <a:ext uri="{FF2B5EF4-FFF2-40B4-BE49-F238E27FC236}">
              <a16:creationId xmlns:a16="http://schemas.microsoft.com/office/drawing/2014/main" id="{00000000-0008-0000-2C00-0000D0429271}"/>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49</xdr:row>
      <xdr:rowOff>0</xdr:rowOff>
    </xdr:from>
    <xdr:to>
      <xdr:col>4</xdr:col>
      <xdr:colOff>0</xdr:colOff>
      <xdr:row>50</xdr:row>
      <xdr:rowOff>0</xdr:rowOff>
    </xdr:to>
    <xdr:pic>
      <xdr:nvPicPr>
        <xdr:cNvPr id="2064543857" name="Picture">
          <a:extLst>
            <a:ext uri="{FF2B5EF4-FFF2-40B4-BE49-F238E27FC236}">
              <a16:creationId xmlns:a16="http://schemas.microsoft.com/office/drawing/2014/main" id="{00000000-0008-0000-2C00-000071700E7B}"/>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0</xdr:colOff>
      <xdr:row>129</xdr:row>
      <xdr:rowOff>0</xdr:rowOff>
    </xdr:to>
    <xdr:pic>
      <xdr:nvPicPr>
        <xdr:cNvPr id="644426945" name="Picture">
          <a:extLst>
            <a:ext uri="{FF2B5EF4-FFF2-40B4-BE49-F238E27FC236}">
              <a16:creationId xmlns:a16="http://schemas.microsoft.com/office/drawing/2014/main" id="{00000000-0008-0000-2D00-0000C12C692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128</xdr:row>
      <xdr:rowOff>0</xdr:rowOff>
    </xdr:from>
    <xdr:to>
      <xdr:col>4</xdr:col>
      <xdr:colOff>0</xdr:colOff>
      <xdr:row>129</xdr:row>
      <xdr:rowOff>0</xdr:rowOff>
    </xdr:to>
    <xdr:pic>
      <xdr:nvPicPr>
        <xdr:cNvPr id="1981168408" name="Picture">
          <a:extLst>
            <a:ext uri="{FF2B5EF4-FFF2-40B4-BE49-F238E27FC236}">
              <a16:creationId xmlns:a16="http://schemas.microsoft.com/office/drawing/2014/main" id="{00000000-0008-0000-2D00-0000183B167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67</xdr:row>
      <xdr:rowOff>0</xdr:rowOff>
    </xdr:from>
    <xdr:to>
      <xdr:col>2</xdr:col>
      <xdr:colOff>0</xdr:colOff>
      <xdr:row>68</xdr:row>
      <xdr:rowOff>0</xdr:rowOff>
    </xdr:to>
    <xdr:pic>
      <xdr:nvPicPr>
        <xdr:cNvPr id="368145352" name="Picture">
          <a:extLst>
            <a:ext uri="{FF2B5EF4-FFF2-40B4-BE49-F238E27FC236}">
              <a16:creationId xmlns:a16="http://schemas.microsoft.com/office/drawing/2014/main" id="{00000000-0008-0000-2E00-0000C873F11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67</xdr:row>
      <xdr:rowOff>0</xdr:rowOff>
    </xdr:from>
    <xdr:to>
      <xdr:col>4</xdr:col>
      <xdr:colOff>0</xdr:colOff>
      <xdr:row>68</xdr:row>
      <xdr:rowOff>0</xdr:rowOff>
    </xdr:to>
    <xdr:pic>
      <xdr:nvPicPr>
        <xdr:cNvPr id="494142719" name="Picture">
          <a:extLst>
            <a:ext uri="{FF2B5EF4-FFF2-40B4-BE49-F238E27FC236}">
              <a16:creationId xmlns:a16="http://schemas.microsoft.com/office/drawing/2014/main" id="{00000000-0008-0000-2E00-0000FF04741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2</xdr:col>
      <xdr:colOff>0</xdr:colOff>
      <xdr:row>156</xdr:row>
      <xdr:rowOff>0</xdr:rowOff>
    </xdr:to>
    <xdr:pic>
      <xdr:nvPicPr>
        <xdr:cNvPr id="1913924788" name="Picture">
          <a:extLst>
            <a:ext uri="{FF2B5EF4-FFF2-40B4-BE49-F238E27FC236}">
              <a16:creationId xmlns:a16="http://schemas.microsoft.com/office/drawing/2014/main" id="{00000000-0008-0000-2F00-0000B42C147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155</xdr:row>
      <xdr:rowOff>0</xdr:rowOff>
    </xdr:from>
    <xdr:to>
      <xdr:col>4</xdr:col>
      <xdr:colOff>0</xdr:colOff>
      <xdr:row>156</xdr:row>
      <xdr:rowOff>0</xdr:rowOff>
    </xdr:to>
    <xdr:pic>
      <xdr:nvPicPr>
        <xdr:cNvPr id="891098901" name="Picture">
          <a:extLst>
            <a:ext uri="{FF2B5EF4-FFF2-40B4-BE49-F238E27FC236}">
              <a16:creationId xmlns:a16="http://schemas.microsoft.com/office/drawing/2014/main" id="{00000000-0008-0000-2F00-000015171D3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0</xdr:colOff>
      <xdr:row>88</xdr:row>
      <xdr:rowOff>0</xdr:rowOff>
    </xdr:to>
    <xdr:pic>
      <xdr:nvPicPr>
        <xdr:cNvPr id="736910669" name="Picture">
          <a:extLst>
            <a:ext uri="{FF2B5EF4-FFF2-40B4-BE49-F238E27FC236}">
              <a16:creationId xmlns:a16="http://schemas.microsoft.com/office/drawing/2014/main" id="{00000000-0008-0000-3000-00004D5DEC2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87</xdr:row>
      <xdr:rowOff>0</xdr:rowOff>
    </xdr:from>
    <xdr:to>
      <xdr:col>4</xdr:col>
      <xdr:colOff>0</xdr:colOff>
      <xdr:row>88</xdr:row>
      <xdr:rowOff>0</xdr:rowOff>
    </xdr:to>
    <xdr:pic>
      <xdr:nvPicPr>
        <xdr:cNvPr id="369293107" name="Picture">
          <a:extLst>
            <a:ext uri="{FF2B5EF4-FFF2-40B4-BE49-F238E27FC236}">
              <a16:creationId xmlns:a16="http://schemas.microsoft.com/office/drawing/2014/main" id="{00000000-0008-0000-3000-000033F7021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2</xdr:col>
      <xdr:colOff>0</xdr:colOff>
      <xdr:row>169</xdr:row>
      <xdr:rowOff>0</xdr:rowOff>
    </xdr:from>
    <xdr:to>
      <xdr:col>4</xdr:col>
      <xdr:colOff>0</xdr:colOff>
      <xdr:row>170</xdr:row>
      <xdr:rowOff>0</xdr:rowOff>
    </xdr:to>
    <xdr:pic>
      <xdr:nvPicPr>
        <xdr:cNvPr id="408423125" name="Picture">
          <a:extLst>
            <a:ext uri="{FF2B5EF4-FFF2-40B4-BE49-F238E27FC236}">
              <a16:creationId xmlns:a16="http://schemas.microsoft.com/office/drawing/2014/main" id="{00000000-0008-0000-3100-0000D50A5818}"/>
            </a:ext>
          </a:extLst>
        </xdr:cNvPr>
        <xdr:cNvPicPr/>
      </xdr:nvPicPr>
      <xdr:blipFill>
        <a:blip xmlns:r="http://schemas.openxmlformats.org/officeDocument/2006/relationships" r:embed="rId1"/>
        <a:srcRect/>
        <a:stretch>
          <a:fillRect r="40333"/>
        </a:stretch>
      </xdr:blipFill>
      <xdr:spPr>
        <a:xfrm>
          <a:off x="0" y="0"/>
          <a:ext cx="0" cy="0"/>
        </a:xfrm>
        <a:prstGeom prst="rect">
          <a:avLst/>
        </a:prstGeom>
      </xdr:spPr>
    </xdr:pic>
    <xdr:clientData/>
  </xdr:twoCellAnchor>
  <xdr:twoCellAnchor editAs="oneCell">
    <xdr:from>
      <xdr:col>1</xdr:col>
      <xdr:colOff>0</xdr:colOff>
      <xdr:row>169</xdr:row>
      <xdr:rowOff>0</xdr:rowOff>
    </xdr:from>
    <xdr:to>
      <xdr:col>2</xdr:col>
      <xdr:colOff>0</xdr:colOff>
      <xdr:row>170</xdr:row>
      <xdr:rowOff>0</xdr:rowOff>
    </xdr:to>
    <xdr:pic>
      <xdr:nvPicPr>
        <xdr:cNvPr id="2" name="Picture">
          <a:extLst>
            <a:ext uri="{FF2B5EF4-FFF2-40B4-BE49-F238E27FC236}">
              <a16:creationId xmlns:a16="http://schemas.microsoft.com/office/drawing/2014/main" id="{EF39AEA6-3615-4E8E-85C5-04B818E4EAF9}"/>
            </a:ext>
          </a:extLst>
        </xdr:cNvPr>
        <xdr:cNvPicPr/>
      </xdr:nvPicPr>
      <xdr:blipFill>
        <a:blip xmlns:r="http://schemas.openxmlformats.org/officeDocument/2006/relationships" r:embed="rId2"/>
        <a:srcRect/>
        <a:stretch>
          <a:fillRect r="57831"/>
        </a:stretch>
      </xdr:blipFill>
      <xdr:spPr>
        <a:xfrm>
          <a:off x="234950" y="28295600"/>
          <a:ext cx="4832350" cy="17145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0</xdr:colOff>
      <xdr:row>79</xdr:row>
      <xdr:rowOff>0</xdr:rowOff>
    </xdr:to>
    <xdr:pic>
      <xdr:nvPicPr>
        <xdr:cNvPr id="1360476838" name="Picture">
          <a:extLst>
            <a:ext uri="{FF2B5EF4-FFF2-40B4-BE49-F238E27FC236}">
              <a16:creationId xmlns:a16="http://schemas.microsoft.com/office/drawing/2014/main" id="{00000000-0008-0000-3200-0000A63A175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78</xdr:row>
      <xdr:rowOff>0</xdr:rowOff>
    </xdr:from>
    <xdr:to>
      <xdr:col>4</xdr:col>
      <xdr:colOff>0</xdr:colOff>
      <xdr:row>79</xdr:row>
      <xdr:rowOff>0</xdr:rowOff>
    </xdr:to>
    <xdr:pic>
      <xdr:nvPicPr>
        <xdr:cNvPr id="1345184984" name="Picture">
          <a:extLst>
            <a:ext uri="{FF2B5EF4-FFF2-40B4-BE49-F238E27FC236}">
              <a16:creationId xmlns:a16="http://schemas.microsoft.com/office/drawing/2014/main" id="{00000000-0008-0000-3200-0000D8E42D5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2</xdr:col>
      <xdr:colOff>0</xdr:colOff>
      <xdr:row>77</xdr:row>
      <xdr:rowOff>0</xdr:rowOff>
    </xdr:to>
    <xdr:pic>
      <xdr:nvPicPr>
        <xdr:cNvPr id="353294422" name="Picture">
          <a:extLst>
            <a:ext uri="{FF2B5EF4-FFF2-40B4-BE49-F238E27FC236}">
              <a16:creationId xmlns:a16="http://schemas.microsoft.com/office/drawing/2014/main" id="{00000000-0008-0000-3300-000056D80E1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76</xdr:row>
      <xdr:rowOff>0</xdr:rowOff>
    </xdr:from>
    <xdr:to>
      <xdr:col>4</xdr:col>
      <xdr:colOff>0</xdr:colOff>
      <xdr:row>77</xdr:row>
      <xdr:rowOff>0</xdr:rowOff>
    </xdr:to>
    <xdr:pic>
      <xdr:nvPicPr>
        <xdr:cNvPr id="1306027648" name="Picture">
          <a:extLst>
            <a:ext uri="{FF2B5EF4-FFF2-40B4-BE49-F238E27FC236}">
              <a16:creationId xmlns:a16="http://schemas.microsoft.com/office/drawing/2014/main" id="{00000000-0008-0000-3300-00008066D84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636659607" name="Picture">
          <a:extLst>
            <a:ext uri="{FF2B5EF4-FFF2-40B4-BE49-F238E27FC236}">
              <a16:creationId xmlns:a16="http://schemas.microsoft.com/office/drawing/2014/main" id="{00000000-0008-0000-3400-000097A7F22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440835285" name="Picture">
          <a:extLst>
            <a:ext uri="{FF2B5EF4-FFF2-40B4-BE49-F238E27FC236}">
              <a16:creationId xmlns:a16="http://schemas.microsoft.com/office/drawing/2014/main" id="{00000000-0008-0000-3400-0000D59C461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0</xdr:colOff>
      <xdr:row>78</xdr:row>
      <xdr:rowOff>0</xdr:rowOff>
    </xdr:to>
    <xdr:pic>
      <xdr:nvPicPr>
        <xdr:cNvPr id="2036939683" name="Picture">
          <a:extLst>
            <a:ext uri="{FF2B5EF4-FFF2-40B4-BE49-F238E27FC236}">
              <a16:creationId xmlns:a16="http://schemas.microsoft.com/office/drawing/2014/main" id="{00000000-0008-0000-3500-0000A33B697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77</xdr:row>
      <xdr:rowOff>0</xdr:rowOff>
    </xdr:from>
    <xdr:to>
      <xdr:col>4</xdr:col>
      <xdr:colOff>0</xdr:colOff>
      <xdr:row>78</xdr:row>
      <xdr:rowOff>0</xdr:rowOff>
    </xdr:to>
    <xdr:pic>
      <xdr:nvPicPr>
        <xdr:cNvPr id="1997254248" name="Picture">
          <a:extLst>
            <a:ext uri="{FF2B5EF4-FFF2-40B4-BE49-F238E27FC236}">
              <a16:creationId xmlns:a16="http://schemas.microsoft.com/office/drawing/2014/main" id="{00000000-0008-0000-3500-000068AE0B7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207267585" name="Picture">
          <a:extLst>
            <a:ext uri="{FF2B5EF4-FFF2-40B4-BE49-F238E27FC236}">
              <a16:creationId xmlns:a16="http://schemas.microsoft.com/office/drawing/2014/main" id="{00000000-0008-0000-3600-00000171F54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1769729310" name="Picture">
          <a:extLst>
            <a:ext uri="{FF2B5EF4-FFF2-40B4-BE49-F238E27FC236}">
              <a16:creationId xmlns:a16="http://schemas.microsoft.com/office/drawing/2014/main" id="{00000000-0008-0000-3600-00001EED7B6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2</xdr:col>
      <xdr:colOff>0</xdr:colOff>
      <xdr:row>40</xdr:row>
      <xdr:rowOff>0</xdr:rowOff>
    </xdr:from>
    <xdr:to>
      <xdr:col>4</xdr:col>
      <xdr:colOff>0</xdr:colOff>
      <xdr:row>41</xdr:row>
      <xdr:rowOff>0</xdr:rowOff>
    </xdr:to>
    <xdr:pic>
      <xdr:nvPicPr>
        <xdr:cNvPr id="1932392984" name="Picture">
          <a:extLst>
            <a:ext uri="{FF2B5EF4-FFF2-40B4-BE49-F238E27FC236}">
              <a16:creationId xmlns:a16="http://schemas.microsoft.com/office/drawing/2014/main" id="{00000000-0008-0000-3700-000018FA2D73}"/>
            </a:ext>
          </a:extLst>
        </xdr:cNvPr>
        <xdr:cNvPicPr/>
      </xdr:nvPicPr>
      <xdr:blipFill>
        <a:blip xmlns:r="http://schemas.openxmlformats.org/officeDocument/2006/relationships" r:embed="rId1"/>
        <a:srcRect/>
        <a:stretch>
          <a:fillRect r="40333"/>
        </a:stretch>
      </xdr:blipFill>
      <xdr:spPr>
        <a:xfrm>
          <a:off x="0" y="0"/>
          <a:ext cx="0" cy="0"/>
        </a:xfrm>
        <a:prstGeom prst="rect">
          <a:avLst/>
        </a:prstGeom>
      </xdr:spPr>
    </xdr:pic>
    <xdr:clientData/>
  </xdr:twoCellAnchor>
  <xdr:twoCellAnchor editAs="oneCell">
    <xdr:from>
      <xdr:col>1</xdr:col>
      <xdr:colOff>0</xdr:colOff>
      <xdr:row>40</xdr:row>
      <xdr:rowOff>0</xdr:rowOff>
    </xdr:from>
    <xdr:to>
      <xdr:col>2</xdr:col>
      <xdr:colOff>0</xdr:colOff>
      <xdr:row>41</xdr:row>
      <xdr:rowOff>0</xdr:rowOff>
    </xdr:to>
    <xdr:pic>
      <xdr:nvPicPr>
        <xdr:cNvPr id="2" name="Picture">
          <a:extLst>
            <a:ext uri="{FF2B5EF4-FFF2-40B4-BE49-F238E27FC236}">
              <a16:creationId xmlns:a16="http://schemas.microsoft.com/office/drawing/2014/main" id="{CF3E2676-3CC2-4AA3-83C3-AE4385C63BF2}"/>
            </a:ext>
          </a:extLst>
        </xdr:cNvPr>
        <xdr:cNvPicPr/>
      </xdr:nvPicPr>
      <xdr:blipFill>
        <a:blip xmlns:r="http://schemas.openxmlformats.org/officeDocument/2006/relationships" r:embed="rId2"/>
        <a:srcRect/>
        <a:stretch>
          <a:fillRect r="57831"/>
        </a:stretch>
      </xdr:blipFill>
      <xdr:spPr>
        <a:xfrm>
          <a:off x="234950" y="6997700"/>
          <a:ext cx="4832350" cy="17145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0</xdr:colOff>
      <xdr:row>132</xdr:row>
      <xdr:rowOff>0</xdr:rowOff>
    </xdr:to>
    <xdr:pic>
      <xdr:nvPicPr>
        <xdr:cNvPr id="532471813" name="Picture">
          <a:extLst>
            <a:ext uri="{FF2B5EF4-FFF2-40B4-BE49-F238E27FC236}">
              <a16:creationId xmlns:a16="http://schemas.microsoft.com/office/drawing/2014/main" id="{00000000-0008-0000-3800-000005E0BC1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131</xdr:row>
      <xdr:rowOff>0</xdr:rowOff>
    </xdr:from>
    <xdr:to>
      <xdr:col>4</xdr:col>
      <xdr:colOff>0</xdr:colOff>
      <xdr:row>132</xdr:row>
      <xdr:rowOff>0</xdr:rowOff>
    </xdr:to>
    <xdr:pic>
      <xdr:nvPicPr>
        <xdr:cNvPr id="689565169" name="Picture">
          <a:extLst>
            <a:ext uri="{FF2B5EF4-FFF2-40B4-BE49-F238E27FC236}">
              <a16:creationId xmlns:a16="http://schemas.microsoft.com/office/drawing/2014/main" id="{00000000-0008-0000-3800-0000F1ED192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0</xdr:colOff>
      <xdr:row>37</xdr:row>
      <xdr:rowOff>0</xdr:rowOff>
    </xdr:to>
    <xdr:pic>
      <xdr:nvPicPr>
        <xdr:cNvPr id="200918428" name="Picture">
          <a:extLst>
            <a:ext uri="{FF2B5EF4-FFF2-40B4-BE49-F238E27FC236}">
              <a16:creationId xmlns:a16="http://schemas.microsoft.com/office/drawing/2014/main" id="{00000000-0008-0000-3900-00009CC5F90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36</xdr:row>
      <xdr:rowOff>0</xdr:rowOff>
    </xdr:from>
    <xdr:to>
      <xdr:col>4</xdr:col>
      <xdr:colOff>0</xdr:colOff>
      <xdr:row>37</xdr:row>
      <xdr:rowOff>0</xdr:rowOff>
    </xdr:to>
    <xdr:pic>
      <xdr:nvPicPr>
        <xdr:cNvPr id="395842497" name="Picture">
          <a:extLst>
            <a:ext uri="{FF2B5EF4-FFF2-40B4-BE49-F238E27FC236}">
              <a16:creationId xmlns:a16="http://schemas.microsoft.com/office/drawing/2014/main" id="{00000000-0008-0000-3900-0000C113981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2</xdr:col>
      <xdr:colOff>0</xdr:colOff>
      <xdr:row>77</xdr:row>
      <xdr:rowOff>0</xdr:rowOff>
    </xdr:to>
    <xdr:pic>
      <xdr:nvPicPr>
        <xdr:cNvPr id="1876715007" name="Picture">
          <a:extLst>
            <a:ext uri="{FF2B5EF4-FFF2-40B4-BE49-F238E27FC236}">
              <a16:creationId xmlns:a16="http://schemas.microsoft.com/office/drawing/2014/main" id="{00000000-0008-0000-3A00-0000FF65DC6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76</xdr:row>
      <xdr:rowOff>0</xdr:rowOff>
    </xdr:from>
    <xdr:to>
      <xdr:col>4</xdr:col>
      <xdr:colOff>0</xdr:colOff>
      <xdr:row>77</xdr:row>
      <xdr:rowOff>0</xdr:rowOff>
    </xdr:to>
    <xdr:pic>
      <xdr:nvPicPr>
        <xdr:cNvPr id="164391824" name="Picture">
          <a:extLst>
            <a:ext uri="{FF2B5EF4-FFF2-40B4-BE49-F238E27FC236}">
              <a16:creationId xmlns:a16="http://schemas.microsoft.com/office/drawing/2014/main" id="{00000000-0008-0000-3A00-0000906BCC0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2</xdr:col>
      <xdr:colOff>0</xdr:colOff>
      <xdr:row>81</xdr:row>
      <xdr:rowOff>0</xdr:rowOff>
    </xdr:to>
    <xdr:pic>
      <xdr:nvPicPr>
        <xdr:cNvPr id="1281133072" name="Picture">
          <a:extLst>
            <a:ext uri="{FF2B5EF4-FFF2-40B4-BE49-F238E27FC236}">
              <a16:creationId xmlns:a16="http://schemas.microsoft.com/office/drawing/2014/main" id="{00000000-0008-0000-3B00-0000108A5C4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80</xdr:row>
      <xdr:rowOff>0</xdr:rowOff>
    </xdr:from>
    <xdr:to>
      <xdr:col>4</xdr:col>
      <xdr:colOff>0</xdr:colOff>
      <xdr:row>81</xdr:row>
      <xdr:rowOff>0</xdr:rowOff>
    </xdr:to>
    <xdr:pic>
      <xdr:nvPicPr>
        <xdr:cNvPr id="462261825" name="Picture">
          <a:extLst>
            <a:ext uri="{FF2B5EF4-FFF2-40B4-BE49-F238E27FC236}">
              <a16:creationId xmlns:a16="http://schemas.microsoft.com/office/drawing/2014/main" id="{00000000-0008-0000-3B00-0000418E8D1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2</xdr:col>
      <xdr:colOff>0</xdr:colOff>
      <xdr:row>77</xdr:row>
      <xdr:rowOff>0</xdr:rowOff>
    </xdr:to>
    <xdr:pic>
      <xdr:nvPicPr>
        <xdr:cNvPr id="393405266" name="Picture">
          <a:extLst>
            <a:ext uri="{FF2B5EF4-FFF2-40B4-BE49-F238E27FC236}">
              <a16:creationId xmlns:a16="http://schemas.microsoft.com/office/drawing/2014/main" id="{00000000-0008-0000-3C00-000052E3721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76</xdr:row>
      <xdr:rowOff>0</xdr:rowOff>
    </xdr:from>
    <xdr:to>
      <xdr:col>4</xdr:col>
      <xdr:colOff>0</xdr:colOff>
      <xdr:row>77</xdr:row>
      <xdr:rowOff>0</xdr:rowOff>
    </xdr:to>
    <xdr:pic>
      <xdr:nvPicPr>
        <xdr:cNvPr id="2097715911" name="Picture">
          <a:extLst>
            <a:ext uri="{FF2B5EF4-FFF2-40B4-BE49-F238E27FC236}">
              <a16:creationId xmlns:a16="http://schemas.microsoft.com/office/drawing/2014/main" id="{00000000-0008-0000-3C00-0000C79A087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0</xdr:colOff>
      <xdr:row>78</xdr:row>
      <xdr:rowOff>0</xdr:rowOff>
    </xdr:to>
    <xdr:pic>
      <xdr:nvPicPr>
        <xdr:cNvPr id="1428980604" name="Picture">
          <a:extLst>
            <a:ext uri="{FF2B5EF4-FFF2-40B4-BE49-F238E27FC236}">
              <a16:creationId xmlns:a16="http://schemas.microsoft.com/office/drawing/2014/main" id="{00000000-0008-0000-3D00-00007C832C5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77</xdr:row>
      <xdr:rowOff>0</xdr:rowOff>
    </xdr:from>
    <xdr:to>
      <xdr:col>4</xdr:col>
      <xdr:colOff>0</xdr:colOff>
      <xdr:row>78</xdr:row>
      <xdr:rowOff>0</xdr:rowOff>
    </xdr:to>
    <xdr:pic>
      <xdr:nvPicPr>
        <xdr:cNvPr id="581230622" name="Picture">
          <a:extLst>
            <a:ext uri="{FF2B5EF4-FFF2-40B4-BE49-F238E27FC236}">
              <a16:creationId xmlns:a16="http://schemas.microsoft.com/office/drawing/2014/main" id="{00000000-0008-0000-3D00-00001EE0A422}"/>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0</xdr:colOff>
      <xdr:row>37</xdr:row>
      <xdr:rowOff>0</xdr:rowOff>
    </xdr:to>
    <xdr:pic>
      <xdr:nvPicPr>
        <xdr:cNvPr id="575467371" name="Picture">
          <a:extLst>
            <a:ext uri="{FF2B5EF4-FFF2-40B4-BE49-F238E27FC236}">
              <a16:creationId xmlns:a16="http://schemas.microsoft.com/office/drawing/2014/main" id="{00000000-0008-0000-3E00-00006BEF4C22}"/>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36</xdr:row>
      <xdr:rowOff>0</xdr:rowOff>
    </xdr:from>
    <xdr:to>
      <xdr:col>4</xdr:col>
      <xdr:colOff>0</xdr:colOff>
      <xdr:row>37</xdr:row>
      <xdr:rowOff>0</xdr:rowOff>
    </xdr:to>
    <xdr:pic>
      <xdr:nvPicPr>
        <xdr:cNvPr id="455841607" name="Picture">
          <a:extLst>
            <a:ext uri="{FF2B5EF4-FFF2-40B4-BE49-F238E27FC236}">
              <a16:creationId xmlns:a16="http://schemas.microsoft.com/office/drawing/2014/main" id="{00000000-0008-0000-3E00-000047972B1B}"/>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2</xdr:col>
      <xdr:colOff>0</xdr:colOff>
      <xdr:row>77</xdr:row>
      <xdr:rowOff>0</xdr:rowOff>
    </xdr:to>
    <xdr:pic>
      <xdr:nvPicPr>
        <xdr:cNvPr id="716034109" name="Picture">
          <a:extLst>
            <a:ext uri="{FF2B5EF4-FFF2-40B4-BE49-F238E27FC236}">
              <a16:creationId xmlns:a16="http://schemas.microsoft.com/office/drawing/2014/main" id="{00000000-0008-0000-3F00-00003DD0AD2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76</xdr:row>
      <xdr:rowOff>0</xdr:rowOff>
    </xdr:from>
    <xdr:to>
      <xdr:col>4</xdr:col>
      <xdr:colOff>0</xdr:colOff>
      <xdr:row>77</xdr:row>
      <xdr:rowOff>0</xdr:rowOff>
    </xdr:to>
    <xdr:pic>
      <xdr:nvPicPr>
        <xdr:cNvPr id="797729126" name="Picture">
          <a:extLst>
            <a:ext uri="{FF2B5EF4-FFF2-40B4-BE49-F238E27FC236}">
              <a16:creationId xmlns:a16="http://schemas.microsoft.com/office/drawing/2014/main" id="{00000000-0008-0000-3F00-000066618C2F}"/>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2</xdr:col>
      <xdr:colOff>0</xdr:colOff>
      <xdr:row>69</xdr:row>
      <xdr:rowOff>0</xdr:rowOff>
    </xdr:to>
    <xdr:pic>
      <xdr:nvPicPr>
        <xdr:cNvPr id="1795093579" name="Picture">
          <a:extLst>
            <a:ext uri="{FF2B5EF4-FFF2-40B4-BE49-F238E27FC236}">
              <a16:creationId xmlns:a16="http://schemas.microsoft.com/office/drawing/2014/main" id="{00000000-0008-0000-4000-00004BF4FE6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68</xdr:row>
      <xdr:rowOff>0</xdr:rowOff>
    </xdr:from>
    <xdr:to>
      <xdr:col>4</xdr:col>
      <xdr:colOff>0</xdr:colOff>
      <xdr:row>69</xdr:row>
      <xdr:rowOff>0</xdr:rowOff>
    </xdr:to>
    <xdr:pic>
      <xdr:nvPicPr>
        <xdr:cNvPr id="766040060" name="Picture">
          <a:extLst>
            <a:ext uri="{FF2B5EF4-FFF2-40B4-BE49-F238E27FC236}">
              <a16:creationId xmlns:a16="http://schemas.microsoft.com/office/drawing/2014/main" id="{00000000-0008-0000-4000-0000FCD7A82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0</xdr:colOff>
      <xdr:row>129</xdr:row>
      <xdr:rowOff>0</xdr:rowOff>
    </xdr:to>
    <xdr:pic>
      <xdr:nvPicPr>
        <xdr:cNvPr id="1774241356" name="Picture">
          <a:extLst>
            <a:ext uri="{FF2B5EF4-FFF2-40B4-BE49-F238E27FC236}">
              <a16:creationId xmlns:a16="http://schemas.microsoft.com/office/drawing/2014/main" id="{00000000-0008-0000-4100-00004CC6C06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128</xdr:row>
      <xdr:rowOff>0</xdr:rowOff>
    </xdr:from>
    <xdr:to>
      <xdr:col>4</xdr:col>
      <xdr:colOff>0</xdr:colOff>
      <xdr:row>129</xdr:row>
      <xdr:rowOff>0</xdr:rowOff>
    </xdr:to>
    <xdr:pic>
      <xdr:nvPicPr>
        <xdr:cNvPr id="629873987" name="Picture">
          <a:extLst>
            <a:ext uri="{FF2B5EF4-FFF2-40B4-BE49-F238E27FC236}">
              <a16:creationId xmlns:a16="http://schemas.microsoft.com/office/drawing/2014/main" id="{00000000-0008-0000-4100-0000431D8B25}"/>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2</xdr:col>
      <xdr:colOff>0</xdr:colOff>
      <xdr:row>70</xdr:row>
      <xdr:rowOff>0</xdr:rowOff>
    </xdr:to>
    <xdr:pic>
      <xdr:nvPicPr>
        <xdr:cNvPr id="952826133" name="Picture">
          <a:extLst>
            <a:ext uri="{FF2B5EF4-FFF2-40B4-BE49-F238E27FC236}">
              <a16:creationId xmlns:a16="http://schemas.microsoft.com/office/drawing/2014/main" id="{00000000-0008-0000-4200-000015F9CA38}"/>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69</xdr:row>
      <xdr:rowOff>0</xdr:rowOff>
    </xdr:from>
    <xdr:to>
      <xdr:col>4</xdr:col>
      <xdr:colOff>0</xdr:colOff>
      <xdr:row>70</xdr:row>
      <xdr:rowOff>0</xdr:rowOff>
    </xdr:to>
    <xdr:pic>
      <xdr:nvPicPr>
        <xdr:cNvPr id="1404489415" name="Picture">
          <a:extLst>
            <a:ext uri="{FF2B5EF4-FFF2-40B4-BE49-F238E27FC236}">
              <a16:creationId xmlns:a16="http://schemas.microsoft.com/office/drawing/2014/main" id="{00000000-0008-0000-4200-0000C7CEB653}"/>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0</xdr:colOff>
      <xdr:row>129</xdr:row>
      <xdr:rowOff>0</xdr:rowOff>
    </xdr:to>
    <xdr:pic>
      <xdr:nvPicPr>
        <xdr:cNvPr id="1009483867" name="Picture">
          <a:extLst>
            <a:ext uri="{FF2B5EF4-FFF2-40B4-BE49-F238E27FC236}">
              <a16:creationId xmlns:a16="http://schemas.microsoft.com/office/drawing/2014/main" id="{00000000-0008-0000-4300-00005B802B3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128</xdr:row>
      <xdr:rowOff>0</xdr:rowOff>
    </xdr:from>
    <xdr:to>
      <xdr:col>4</xdr:col>
      <xdr:colOff>0</xdr:colOff>
      <xdr:row>129</xdr:row>
      <xdr:rowOff>0</xdr:rowOff>
    </xdr:to>
    <xdr:pic>
      <xdr:nvPicPr>
        <xdr:cNvPr id="1102574488" name="Picture">
          <a:extLst>
            <a:ext uri="{FF2B5EF4-FFF2-40B4-BE49-F238E27FC236}">
              <a16:creationId xmlns:a16="http://schemas.microsoft.com/office/drawing/2014/main" id="{00000000-0008-0000-4300-000098F3B741}"/>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0</xdr:colOff>
      <xdr:row>177</xdr:row>
      <xdr:rowOff>0</xdr:rowOff>
    </xdr:from>
    <xdr:to>
      <xdr:col>2</xdr:col>
      <xdr:colOff>0</xdr:colOff>
      <xdr:row>178</xdr:row>
      <xdr:rowOff>0</xdr:rowOff>
    </xdr:to>
    <xdr:pic>
      <xdr:nvPicPr>
        <xdr:cNvPr id="777693418" name="Picture">
          <a:extLst>
            <a:ext uri="{FF2B5EF4-FFF2-40B4-BE49-F238E27FC236}">
              <a16:creationId xmlns:a16="http://schemas.microsoft.com/office/drawing/2014/main" id="{00000000-0008-0000-4400-0000EAA85A2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177</xdr:row>
      <xdr:rowOff>0</xdr:rowOff>
    </xdr:from>
    <xdr:to>
      <xdr:col>4</xdr:col>
      <xdr:colOff>0</xdr:colOff>
      <xdr:row>178</xdr:row>
      <xdr:rowOff>0</xdr:rowOff>
    </xdr:to>
    <xdr:pic>
      <xdr:nvPicPr>
        <xdr:cNvPr id="1275038480" name="Picture">
          <a:extLst>
            <a:ext uri="{FF2B5EF4-FFF2-40B4-BE49-F238E27FC236}">
              <a16:creationId xmlns:a16="http://schemas.microsoft.com/office/drawing/2014/main" id="{00000000-0008-0000-4400-0000108BFF4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2</xdr:col>
      <xdr:colOff>0</xdr:colOff>
      <xdr:row>38</xdr:row>
      <xdr:rowOff>0</xdr:rowOff>
    </xdr:to>
    <xdr:pic>
      <xdr:nvPicPr>
        <xdr:cNvPr id="725017452" name="Picture">
          <a:extLst>
            <a:ext uri="{FF2B5EF4-FFF2-40B4-BE49-F238E27FC236}">
              <a16:creationId xmlns:a16="http://schemas.microsoft.com/office/drawing/2014/main" id="{00000000-0008-0000-4500-00006CE3362B}"/>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37</xdr:row>
      <xdr:rowOff>0</xdr:rowOff>
    </xdr:from>
    <xdr:to>
      <xdr:col>4</xdr:col>
      <xdr:colOff>0</xdr:colOff>
      <xdr:row>38</xdr:row>
      <xdr:rowOff>0</xdr:rowOff>
    </xdr:to>
    <xdr:pic>
      <xdr:nvPicPr>
        <xdr:cNvPr id="1441005217" name="Picture">
          <a:extLst>
            <a:ext uri="{FF2B5EF4-FFF2-40B4-BE49-F238E27FC236}">
              <a16:creationId xmlns:a16="http://schemas.microsoft.com/office/drawing/2014/main" id="{00000000-0008-0000-4500-0000A1FEE355}"/>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780468495" name="Picture">
          <a:extLst>
            <a:ext uri="{FF2B5EF4-FFF2-40B4-BE49-F238E27FC236}">
              <a16:creationId xmlns:a16="http://schemas.microsoft.com/office/drawing/2014/main" id="{00000000-0008-0000-4600-00000F01852E}"/>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420853956" name="Picture">
          <a:extLst>
            <a:ext uri="{FF2B5EF4-FFF2-40B4-BE49-F238E27FC236}">
              <a16:creationId xmlns:a16="http://schemas.microsoft.com/office/drawing/2014/main" id="{00000000-0008-0000-4600-0000C4B81519}"/>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0</xdr:colOff>
      <xdr:row>58</xdr:row>
      <xdr:rowOff>0</xdr:rowOff>
    </xdr:from>
    <xdr:to>
      <xdr:col>2</xdr:col>
      <xdr:colOff>0</xdr:colOff>
      <xdr:row>59</xdr:row>
      <xdr:rowOff>0</xdr:rowOff>
    </xdr:to>
    <xdr:pic>
      <xdr:nvPicPr>
        <xdr:cNvPr id="94635273" name="Picture">
          <a:extLst>
            <a:ext uri="{FF2B5EF4-FFF2-40B4-BE49-F238E27FC236}">
              <a16:creationId xmlns:a16="http://schemas.microsoft.com/office/drawing/2014/main" id="{00000000-0008-0000-4700-00000905A405}"/>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58</xdr:row>
      <xdr:rowOff>0</xdr:rowOff>
    </xdr:from>
    <xdr:to>
      <xdr:col>4</xdr:col>
      <xdr:colOff>0</xdr:colOff>
      <xdr:row>59</xdr:row>
      <xdr:rowOff>0</xdr:rowOff>
    </xdr:to>
    <xdr:pic>
      <xdr:nvPicPr>
        <xdr:cNvPr id="1333323242" name="Picture">
          <a:extLst>
            <a:ext uri="{FF2B5EF4-FFF2-40B4-BE49-F238E27FC236}">
              <a16:creationId xmlns:a16="http://schemas.microsoft.com/office/drawing/2014/main" id="{00000000-0008-0000-4700-0000EAE5784F}"/>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0</xdr:colOff>
      <xdr:row>58</xdr:row>
      <xdr:rowOff>0</xdr:rowOff>
    </xdr:to>
    <xdr:pic>
      <xdr:nvPicPr>
        <xdr:cNvPr id="1232275571" name="Picture">
          <a:extLst>
            <a:ext uri="{FF2B5EF4-FFF2-40B4-BE49-F238E27FC236}">
              <a16:creationId xmlns:a16="http://schemas.microsoft.com/office/drawing/2014/main" id="{00000000-0008-0000-4800-00007308734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57</xdr:row>
      <xdr:rowOff>0</xdr:rowOff>
    </xdr:from>
    <xdr:to>
      <xdr:col>4</xdr:col>
      <xdr:colOff>0</xdr:colOff>
      <xdr:row>58</xdr:row>
      <xdr:rowOff>0</xdr:rowOff>
    </xdr:to>
    <xdr:pic>
      <xdr:nvPicPr>
        <xdr:cNvPr id="2106870273" name="Picture">
          <a:extLst>
            <a:ext uri="{FF2B5EF4-FFF2-40B4-BE49-F238E27FC236}">
              <a16:creationId xmlns:a16="http://schemas.microsoft.com/office/drawing/2014/main" id="{00000000-0008-0000-4800-0000014A947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480426743" name="Picture">
          <a:extLst>
            <a:ext uri="{FF2B5EF4-FFF2-40B4-BE49-F238E27FC236}">
              <a16:creationId xmlns:a16="http://schemas.microsoft.com/office/drawing/2014/main" id="{00000000-0008-0000-4900-0000F7843D5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1348627887" name="Picture">
          <a:extLst>
            <a:ext uri="{FF2B5EF4-FFF2-40B4-BE49-F238E27FC236}">
              <a16:creationId xmlns:a16="http://schemas.microsoft.com/office/drawing/2014/main" id="{00000000-0008-0000-4900-0000AF6D625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0</xdr:colOff>
      <xdr:row>62</xdr:row>
      <xdr:rowOff>0</xdr:rowOff>
    </xdr:to>
    <xdr:pic>
      <xdr:nvPicPr>
        <xdr:cNvPr id="25413440" name="Picture">
          <a:extLst>
            <a:ext uri="{FF2B5EF4-FFF2-40B4-BE49-F238E27FC236}">
              <a16:creationId xmlns:a16="http://schemas.microsoft.com/office/drawing/2014/main" id="{00000000-0008-0000-4A00-000040C7830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61</xdr:row>
      <xdr:rowOff>0</xdr:rowOff>
    </xdr:from>
    <xdr:to>
      <xdr:col>4</xdr:col>
      <xdr:colOff>0</xdr:colOff>
      <xdr:row>62</xdr:row>
      <xdr:rowOff>0</xdr:rowOff>
    </xdr:to>
    <xdr:pic>
      <xdr:nvPicPr>
        <xdr:cNvPr id="1587040563" name="Picture">
          <a:extLst>
            <a:ext uri="{FF2B5EF4-FFF2-40B4-BE49-F238E27FC236}">
              <a16:creationId xmlns:a16="http://schemas.microsoft.com/office/drawing/2014/main" id="{00000000-0008-0000-4A00-00003351985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0</xdr:colOff>
      <xdr:row>146</xdr:row>
      <xdr:rowOff>0</xdr:rowOff>
    </xdr:from>
    <xdr:to>
      <xdr:col>2</xdr:col>
      <xdr:colOff>0</xdr:colOff>
      <xdr:row>147</xdr:row>
      <xdr:rowOff>0</xdr:rowOff>
    </xdr:to>
    <xdr:pic>
      <xdr:nvPicPr>
        <xdr:cNvPr id="1781955627" name="Picture">
          <a:extLst>
            <a:ext uri="{FF2B5EF4-FFF2-40B4-BE49-F238E27FC236}">
              <a16:creationId xmlns:a16="http://schemas.microsoft.com/office/drawing/2014/main" id="{00000000-0008-0000-4B00-00002B7C366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146</xdr:row>
      <xdr:rowOff>0</xdr:rowOff>
    </xdr:from>
    <xdr:to>
      <xdr:col>4</xdr:col>
      <xdr:colOff>0</xdr:colOff>
      <xdr:row>147</xdr:row>
      <xdr:rowOff>0</xdr:rowOff>
    </xdr:to>
    <xdr:pic>
      <xdr:nvPicPr>
        <xdr:cNvPr id="695892951" name="Picture">
          <a:extLst>
            <a:ext uri="{FF2B5EF4-FFF2-40B4-BE49-F238E27FC236}">
              <a16:creationId xmlns:a16="http://schemas.microsoft.com/office/drawing/2014/main" id="{00000000-0008-0000-4B00-0000D77B7A2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0</xdr:colOff>
      <xdr:row>261</xdr:row>
      <xdr:rowOff>0</xdr:rowOff>
    </xdr:from>
    <xdr:to>
      <xdr:col>2</xdr:col>
      <xdr:colOff>0</xdr:colOff>
      <xdr:row>262</xdr:row>
      <xdr:rowOff>0</xdr:rowOff>
    </xdr:to>
    <xdr:pic>
      <xdr:nvPicPr>
        <xdr:cNvPr id="912003199" name="Picture">
          <a:extLst>
            <a:ext uri="{FF2B5EF4-FFF2-40B4-BE49-F238E27FC236}">
              <a16:creationId xmlns:a16="http://schemas.microsoft.com/office/drawing/2014/main" id="{00000000-0008-0000-4C00-00007F105C36}"/>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261</xdr:row>
      <xdr:rowOff>0</xdr:rowOff>
    </xdr:from>
    <xdr:to>
      <xdr:col>4</xdr:col>
      <xdr:colOff>0</xdr:colOff>
      <xdr:row>262</xdr:row>
      <xdr:rowOff>0</xdr:rowOff>
    </xdr:to>
    <xdr:pic>
      <xdr:nvPicPr>
        <xdr:cNvPr id="718392910" name="Picture">
          <a:extLst>
            <a:ext uri="{FF2B5EF4-FFF2-40B4-BE49-F238E27FC236}">
              <a16:creationId xmlns:a16="http://schemas.microsoft.com/office/drawing/2014/main" id="{00000000-0008-0000-4C00-00004ECED12A}"/>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0</xdr:colOff>
      <xdr:row>191</xdr:row>
      <xdr:rowOff>0</xdr:rowOff>
    </xdr:to>
    <xdr:pic>
      <xdr:nvPicPr>
        <xdr:cNvPr id="1935616027" name="Picture">
          <a:extLst>
            <a:ext uri="{FF2B5EF4-FFF2-40B4-BE49-F238E27FC236}">
              <a16:creationId xmlns:a16="http://schemas.microsoft.com/office/drawing/2014/main" id="{00000000-0008-0000-4D00-00001B285F73}"/>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190</xdr:row>
      <xdr:rowOff>0</xdr:rowOff>
    </xdr:from>
    <xdr:to>
      <xdr:col>4</xdr:col>
      <xdr:colOff>0</xdr:colOff>
      <xdr:row>191</xdr:row>
      <xdr:rowOff>0</xdr:rowOff>
    </xdr:to>
    <xdr:pic>
      <xdr:nvPicPr>
        <xdr:cNvPr id="159469924" name="Picture">
          <a:extLst>
            <a:ext uri="{FF2B5EF4-FFF2-40B4-BE49-F238E27FC236}">
              <a16:creationId xmlns:a16="http://schemas.microsoft.com/office/drawing/2014/main" id="{00000000-0008-0000-4D00-000064518109}"/>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0</xdr:colOff>
      <xdr:row>167</xdr:row>
      <xdr:rowOff>0</xdr:rowOff>
    </xdr:from>
    <xdr:to>
      <xdr:col>2</xdr:col>
      <xdr:colOff>0</xdr:colOff>
      <xdr:row>168</xdr:row>
      <xdr:rowOff>0</xdr:rowOff>
    </xdr:to>
    <xdr:pic>
      <xdr:nvPicPr>
        <xdr:cNvPr id="1602779075" name="Picture">
          <a:extLst>
            <a:ext uri="{FF2B5EF4-FFF2-40B4-BE49-F238E27FC236}">
              <a16:creationId xmlns:a16="http://schemas.microsoft.com/office/drawing/2014/main" id="{00000000-0008-0000-4E00-0000C377885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167</xdr:row>
      <xdr:rowOff>0</xdr:rowOff>
    </xdr:from>
    <xdr:to>
      <xdr:col>3</xdr:col>
      <xdr:colOff>1987550</xdr:colOff>
      <xdr:row>168</xdr:row>
      <xdr:rowOff>0</xdr:rowOff>
    </xdr:to>
    <xdr:pic>
      <xdr:nvPicPr>
        <xdr:cNvPr id="2064605634" name="Picture">
          <a:extLst>
            <a:ext uri="{FF2B5EF4-FFF2-40B4-BE49-F238E27FC236}">
              <a16:creationId xmlns:a16="http://schemas.microsoft.com/office/drawing/2014/main" id="{00000000-0008-0000-4E00-0000C2610F7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897562440" name="Picture">
          <a:extLst>
            <a:ext uri="{FF2B5EF4-FFF2-40B4-BE49-F238E27FC236}">
              <a16:creationId xmlns:a16="http://schemas.microsoft.com/office/drawing/2014/main" id="{00000000-0008-0000-4F00-000048811A7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1922299006" name="Picture">
          <a:extLst>
            <a:ext uri="{FF2B5EF4-FFF2-40B4-BE49-F238E27FC236}">
              <a16:creationId xmlns:a16="http://schemas.microsoft.com/office/drawing/2014/main" id="{00000000-0008-0000-4F00-00007EF49372}"/>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0</xdr:colOff>
      <xdr:row>37</xdr:row>
      <xdr:rowOff>0</xdr:rowOff>
    </xdr:to>
    <xdr:pic>
      <xdr:nvPicPr>
        <xdr:cNvPr id="1857663872" name="Picture">
          <a:extLst>
            <a:ext uri="{FF2B5EF4-FFF2-40B4-BE49-F238E27FC236}">
              <a16:creationId xmlns:a16="http://schemas.microsoft.com/office/drawing/2014/main" id="{00000000-0008-0000-5000-000080B3B96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36</xdr:row>
      <xdr:rowOff>0</xdr:rowOff>
    </xdr:from>
    <xdr:to>
      <xdr:col>4</xdr:col>
      <xdr:colOff>0</xdr:colOff>
      <xdr:row>37</xdr:row>
      <xdr:rowOff>0</xdr:rowOff>
    </xdr:to>
    <xdr:pic>
      <xdr:nvPicPr>
        <xdr:cNvPr id="1857609444" name="Picture">
          <a:extLst>
            <a:ext uri="{FF2B5EF4-FFF2-40B4-BE49-F238E27FC236}">
              <a16:creationId xmlns:a16="http://schemas.microsoft.com/office/drawing/2014/main" id="{00000000-0008-0000-5000-0000E4DEB86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0</xdr:colOff>
      <xdr:row>128</xdr:row>
      <xdr:rowOff>0</xdr:rowOff>
    </xdr:to>
    <xdr:pic>
      <xdr:nvPicPr>
        <xdr:cNvPr id="1259147962" name="Picture">
          <a:extLst>
            <a:ext uri="{FF2B5EF4-FFF2-40B4-BE49-F238E27FC236}">
              <a16:creationId xmlns:a16="http://schemas.microsoft.com/office/drawing/2014/main" id="{00000000-0008-0000-5100-0000BA120D4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127</xdr:row>
      <xdr:rowOff>0</xdr:rowOff>
    </xdr:from>
    <xdr:to>
      <xdr:col>4</xdr:col>
      <xdr:colOff>0</xdr:colOff>
      <xdr:row>128</xdr:row>
      <xdr:rowOff>0</xdr:rowOff>
    </xdr:to>
    <xdr:pic>
      <xdr:nvPicPr>
        <xdr:cNvPr id="642789281" name="Picture">
          <a:extLst>
            <a:ext uri="{FF2B5EF4-FFF2-40B4-BE49-F238E27FC236}">
              <a16:creationId xmlns:a16="http://schemas.microsoft.com/office/drawing/2014/main" id="{00000000-0008-0000-5100-0000A12F502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0</xdr:colOff>
      <xdr:row>145</xdr:row>
      <xdr:rowOff>0</xdr:rowOff>
    </xdr:from>
    <xdr:to>
      <xdr:col>2</xdr:col>
      <xdr:colOff>0</xdr:colOff>
      <xdr:row>146</xdr:row>
      <xdr:rowOff>0</xdr:rowOff>
    </xdr:to>
    <xdr:pic>
      <xdr:nvPicPr>
        <xdr:cNvPr id="89570648" name="Picture">
          <a:extLst>
            <a:ext uri="{FF2B5EF4-FFF2-40B4-BE49-F238E27FC236}">
              <a16:creationId xmlns:a16="http://schemas.microsoft.com/office/drawing/2014/main" id="{00000000-0008-0000-5200-000058BD5605}"/>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145</xdr:row>
      <xdr:rowOff>0</xdr:rowOff>
    </xdr:from>
    <xdr:to>
      <xdr:col>4</xdr:col>
      <xdr:colOff>0</xdr:colOff>
      <xdr:row>146</xdr:row>
      <xdr:rowOff>0</xdr:rowOff>
    </xdr:to>
    <xdr:pic>
      <xdr:nvPicPr>
        <xdr:cNvPr id="758189288" name="Picture">
          <a:extLst>
            <a:ext uri="{FF2B5EF4-FFF2-40B4-BE49-F238E27FC236}">
              <a16:creationId xmlns:a16="http://schemas.microsoft.com/office/drawing/2014/main" id="{00000000-0008-0000-5200-0000E80C312D}"/>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2</xdr:col>
      <xdr:colOff>0</xdr:colOff>
      <xdr:row>126</xdr:row>
      <xdr:rowOff>0</xdr:rowOff>
    </xdr:to>
    <xdr:pic>
      <xdr:nvPicPr>
        <xdr:cNvPr id="243946294" name="Picture">
          <a:extLst>
            <a:ext uri="{FF2B5EF4-FFF2-40B4-BE49-F238E27FC236}">
              <a16:creationId xmlns:a16="http://schemas.microsoft.com/office/drawing/2014/main" id="{00000000-0008-0000-5300-000036538A0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125</xdr:row>
      <xdr:rowOff>0</xdr:rowOff>
    </xdr:from>
    <xdr:to>
      <xdr:col>4</xdr:col>
      <xdr:colOff>0</xdr:colOff>
      <xdr:row>126</xdr:row>
      <xdr:rowOff>0</xdr:rowOff>
    </xdr:to>
    <xdr:pic>
      <xdr:nvPicPr>
        <xdr:cNvPr id="687888481" name="Picture">
          <a:extLst>
            <a:ext uri="{FF2B5EF4-FFF2-40B4-BE49-F238E27FC236}">
              <a16:creationId xmlns:a16="http://schemas.microsoft.com/office/drawing/2014/main" id="{00000000-0008-0000-5300-00006158002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0</xdr:colOff>
      <xdr:row>79</xdr:row>
      <xdr:rowOff>0</xdr:rowOff>
    </xdr:to>
    <xdr:pic>
      <xdr:nvPicPr>
        <xdr:cNvPr id="420252772" name="Picture">
          <a:extLst>
            <a:ext uri="{FF2B5EF4-FFF2-40B4-BE49-F238E27FC236}">
              <a16:creationId xmlns:a16="http://schemas.microsoft.com/office/drawing/2014/main" id="{00000000-0008-0000-5400-0000648C0C1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78</xdr:row>
      <xdr:rowOff>0</xdr:rowOff>
    </xdr:from>
    <xdr:to>
      <xdr:col>4</xdr:col>
      <xdr:colOff>0</xdr:colOff>
      <xdr:row>79</xdr:row>
      <xdr:rowOff>0</xdr:rowOff>
    </xdr:to>
    <xdr:pic>
      <xdr:nvPicPr>
        <xdr:cNvPr id="1023383009" name="Picture">
          <a:extLst>
            <a:ext uri="{FF2B5EF4-FFF2-40B4-BE49-F238E27FC236}">
              <a16:creationId xmlns:a16="http://schemas.microsoft.com/office/drawing/2014/main" id="{00000000-0008-0000-5400-0000E195FF3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3" Type="http://schemas.openxmlformats.org/officeDocument/2006/relationships/hyperlink" Target="https://www.bseindia.com/stockinfo/AnnPdfOpen.aspx?Pname=\adc3e93f-b32f-4f2b-a08c-91f0b18c6aeb.pdf" TargetMode="External"/><Relationship Id="rId18" Type="http://schemas.openxmlformats.org/officeDocument/2006/relationships/hyperlink" Target="https://www.bseindia.com/stockinfo/AnnPdfOpen.aspx?Pname=\47626896-31fb-456b-8664-8c36b0e1d5fe.pdf" TargetMode="External"/><Relationship Id="rId26" Type="http://schemas.openxmlformats.org/officeDocument/2006/relationships/hyperlink" Target="https://www.bseindia.com/stockinfo/AnnPdfOpen.aspx?Pname=\4b92ba61-b856-4f32-8f61-7ecff507f58f.pdf" TargetMode="External"/><Relationship Id="rId39" Type="http://schemas.openxmlformats.org/officeDocument/2006/relationships/hyperlink" Target="https://nsearchives.nseindia.com/corporate/ICICIPRULI_20062025125244_BRSR_FY2025.pdf" TargetMode="External"/><Relationship Id="rId21" Type="http://schemas.openxmlformats.org/officeDocument/2006/relationships/hyperlink" Target="https://www.bseindia.com/stockinfo/AnnPdfOpen.aspx?Pname=\231d48a0-905d-4979-bee1-f855c401d4e8.pdf" TargetMode="External"/><Relationship Id="rId34" Type="http://schemas.openxmlformats.org/officeDocument/2006/relationships/hyperlink" Target="https://www.bseindia.com/stockinfo/AnnPdfOpen.aspx?Pname=\ddc43203-ec04-4e85-8e23-2bbcf4361bc3.pdf" TargetMode="External"/><Relationship Id="rId42" Type="http://schemas.openxmlformats.org/officeDocument/2006/relationships/hyperlink" Target="https://www.bseindia.com/stockinfo/AnnPdfOpen.aspx?Pname=\b127505e-9185-49fa-826e-4db5383ca4fd.pdf" TargetMode="External"/><Relationship Id="rId47" Type="http://schemas.openxmlformats.org/officeDocument/2006/relationships/hyperlink" Target="https://www.bseindia.com/stockinfo/AnnPdfOpen.aspx?Pname=\141ef7e3-e697-430b-a62c-108fbc78db2f.pdf" TargetMode="External"/><Relationship Id="rId7" Type="http://schemas.openxmlformats.org/officeDocument/2006/relationships/hyperlink" Target="https://www.bseindia.com/stockinfo/AnnPdfOpen.aspx?Pname=\5bf7b8df-2b30-4e1e-a520-ea051c134813.pdf" TargetMode="External"/><Relationship Id="rId2" Type="http://schemas.openxmlformats.org/officeDocument/2006/relationships/hyperlink" Target="https://nsearchives.nseindia.com/corporate/HDFCBANK_14072025080813_BRSR.pdf" TargetMode="External"/><Relationship Id="rId16" Type="http://schemas.openxmlformats.org/officeDocument/2006/relationships/hyperlink" Target="https://www.bseindia.com/stockinfo/AnnPdfOpen.aspx?Pname=\4c8ef117-d14c-4e96-9224-3c9593fac70d.pdf" TargetMode="External"/><Relationship Id="rId29" Type="http://schemas.openxmlformats.org/officeDocument/2006/relationships/hyperlink" Target="https://www.bseindia.com/stockinfo/AnnPdfOpen.aspx?Pname=\8bbc99c1-98e8-41e8-89ac-86e81221a963.pdf" TargetMode="External"/><Relationship Id="rId1" Type="http://schemas.openxmlformats.org/officeDocument/2006/relationships/hyperlink" Target="https://www.icicibank.com/content/dam/icicibank/managed-assets/docs/investor/annual-reports/2025/icici-bank-brsr-2025.pdf" TargetMode="External"/><Relationship Id="rId6" Type="http://schemas.openxmlformats.org/officeDocument/2006/relationships/hyperlink" Target="https://www.bseindia.com/stockinfo/AnnPdfOpen.aspx?Pname=\44acd327-2dbb-42ea-833b-f988fdbf1206.pdf" TargetMode="External"/><Relationship Id="rId11" Type="http://schemas.openxmlformats.org/officeDocument/2006/relationships/hyperlink" Target="https://www.bseindia.com/XBRLFILES/BRSRDuplicateUploadDocument/BRSR_532500_582025212232_BRSR.html" TargetMode="External"/><Relationship Id="rId24" Type="http://schemas.openxmlformats.org/officeDocument/2006/relationships/hyperlink" Target="https://www.bseindia.com/stockinfo/AnnPdfOpen.aspx?Pname=\938c3dc8-b424-40fc-836b-101415d323cd.pdf" TargetMode="External"/><Relationship Id="rId32" Type="http://schemas.openxmlformats.org/officeDocument/2006/relationships/hyperlink" Target="https://www.bseindia.com/stockinfo/AnnPdfOpen.aspx?Pname=\a1f1d737-cc7e-445f-bee8-ca4bf993e03e.pdf" TargetMode="External"/><Relationship Id="rId37" Type="http://schemas.openxmlformats.org/officeDocument/2006/relationships/hyperlink" Target="https://www.bseindia.com/stockinfo/AnnPdfOpen.aspx?Pname=\ca45f9c9-e992-4358-8886-6d82c856295c.pdf" TargetMode="External"/><Relationship Id="rId40" Type="http://schemas.openxmlformats.org/officeDocument/2006/relationships/hyperlink" Target="https://www.bseindia.com/stockinfo/AnnPdfOpen.aspx?Pname=\c6e7f7e9-2a0f-443b-8358-94ef1ff64f62.pdf" TargetMode="External"/><Relationship Id="rId45" Type="http://schemas.openxmlformats.org/officeDocument/2006/relationships/hyperlink" Target="https://www.bseindia.com/stockinfo/AnnPdfOpen.aspx?Pname=\0ab929be-ff32-4b19-a799-5b63bd464c41.pdf" TargetMode="External"/><Relationship Id="rId5" Type="http://schemas.openxmlformats.org/officeDocument/2006/relationships/hyperlink" Target="https://www.bseindia.com/stockinfo/AnnPdfOpen.aspx?Pname=\648b7ceb-a0c5-4f5c-a8d9-80f687561427.pdf" TargetMode="External"/><Relationship Id="rId15" Type="http://schemas.openxmlformats.org/officeDocument/2006/relationships/hyperlink" Target="https://www.bseindia.com/xml-data/corpfiling/AttachHis/63959ce8-b641-4bd4-9a62-43ab52301856.pdf" TargetMode="External"/><Relationship Id="rId23" Type="http://schemas.openxmlformats.org/officeDocument/2006/relationships/hyperlink" Target="https://www.bseindia.com/stockinfo/AnnPdfOpen.aspx?Pname=\362110eb-d0d6-49f8-9e12-45dc9fa87866.pdf" TargetMode="External"/><Relationship Id="rId28" Type="http://schemas.openxmlformats.org/officeDocument/2006/relationships/hyperlink" Target="https://www.bseindia.com/stockinfo/AnnPdfOpen.aspx?Pname=\a5e846a9-9190-4494-a112-590cf018c735.pdf" TargetMode="External"/><Relationship Id="rId36" Type="http://schemas.openxmlformats.org/officeDocument/2006/relationships/hyperlink" Target="https://www.ltimindtree.com/annual-report-html/pdf/business-responsibility.pdf" TargetMode="External"/><Relationship Id="rId10" Type="http://schemas.openxmlformats.org/officeDocument/2006/relationships/hyperlink" Target="https://www.aubank.in/business-responsibility-report-2025-BRSR-2025.pdf" TargetMode="External"/><Relationship Id="rId19" Type="http://schemas.openxmlformats.org/officeDocument/2006/relationships/hyperlink" Target="https://www.bseindia.com/stockinfo/AnnPdfOpen.aspx?Pname=\65486ad5-1835-4414-9038-51543138d964.pdf" TargetMode="External"/><Relationship Id="rId31" Type="http://schemas.openxmlformats.org/officeDocument/2006/relationships/hyperlink" Target="https://www.bseindia.com/stockinfo/AnnPdfOpen.aspx?Pname=\a3fa3c06-68a4-408b-9d3e-089ebd48d102.pdf" TargetMode="External"/><Relationship Id="rId44" Type="http://schemas.openxmlformats.org/officeDocument/2006/relationships/hyperlink" Target="https://www.bseindia.com/stockinfo/AnnPdfOpen.aspx?Pname=\adc3e93f-b32f-4f2b-a08c-91f0b18c6aeb.pdf" TargetMode="External"/><Relationship Id="rId4" Type="http://schemas.openxmlformats.org/officeDocument/2006/relationships/hyperlink" Target="https://www.bseindia.com/xml-data/corpfiling/AttachHis/b080fcc4-f9b5-4a8d-9cf5-fe5c4a1e7e92.pdf" TargetMode="External"/><Relationship Id="rId9" Type="http://schemas.openxmlformats.org/officeDocument/2006/relationships/hyperlink" Target="https://www.bseindia.com/stockinfo/AnnPdfOpen.aspx?Pname=\5e2ee0c9-f4b4-4486-b247-674b01b11936.pdf" TargetMode="External"/><Relationship Id="rId14" Type="http://schemas.openxmlformats.org/officeDocument/2006/relationships/hyperlink" Target="https://www.bseindia.com/stockinfo/AnnPdfOpen.aspx?Pname=\3e2eefe5-b432-4464-a334-c92749deddb0.pdf" TargetMode="External"/><Relationship Id="rId22" Type="http://schemas.openxmlformats.org/officeDocument/2006/relationships/hyperlink" Target="https://www.bseindia.com/stockinfo/AnnPdfOpen.aspx?Pname=\6a364ef1-0c4c-4046-b56a-12f18ce9d520.pdf" TargetMode="External"/><Relationship Id="rId27" Type="http://schemas.openxmlformats.org/officeDocument/2006/relationships/hyperlink" Target="https://www.bseindia.com/stockinfo/AnnPdfOpen.aspx?Pname=\09e8d0eb-6001-4f60-ab76-3866e4c8c25a.pdf" TargetMode="External"/><Relationship Id="rId30" Type="http://schemas.openxmlformats.org/officeDocument/2006/relationships/hyperlink" Target="https://www.bseindia.com/stockinfo/AnnPdfOpen.aspx?Pname=\550ebf61-11e4-4de0-98ce-7e25abacd9eb.pdf" TargetMode="External"/><Relationship Id="rId35" Type="http://schemas.openxmlformats.org/officeDocument/2006/relationships/hyperlink" Target="https://www.bseindia.com/stockinfo/AnnPdfOpen.aspx?Pname=\802be001-1ba9-4d98-bcce-9c93d94cf1d2.pdf" TargetMode="External"/><Relationship Id="rId43" Type="http://schemas.openxmlformats.org/officeDocument/2006/relationships/hyperlink" Target="https://www.bseindia.com/stockinfo/AnnPdfOpen.aspx?Pname=\79bc8a13-3ff7-4890-96c5-f7dda64078c0.pdf" TargetMode="External"/><Relationship Id="rId48" Type="http://schemas.openxmlformats.org/officeDocument/2006/relationships/drawing" Target="../drawings/drawing26.xml"/><Relationship Id="rId8" Type="http://schemas.openxmlformats.org/officeDocument/2006/relationships/hyperlink" Target="https://www.bseindia.com/stockinfo/AnnPdfOpen.aspx?Pname=\7ead86ed-ca36-4e60-979f-5d9fd4cd1f73.pdf" TargetMode="External"/><Relationship Id="rId3" Type="http://schemas.openxmlformats.org/officeDocument/2006/relationships/hyperlink" Target="https://www.bseindia.com/stockinfo/AnnPdfOpen.aspx?Pname=\fb6dabcf-112a-41d7-8e6d-83e358153c89.pdf" TargetMode="External"/><Relationship Id="rId12" Type="http://schemas.openxmlformats.org/officeDocument/2006/relationships/hyperlink" Target="https://www.bseindia.com/stockinfo/AnnPdfOpen.aspx?Pname=\72687367-3a22-4292-b67a-6ab6728b0e3a.pdf" TargetMode="External"/><Relationship Id="rId17" Type="http://schemas.openxmlformats.org/officeDocument/2006/relationships/hyperlink" Target="https://nsearchives.nseindia.com/corporate/Apekshakhemka_23062025234552_StockExchangeIntimationBRSR_S.pdf" TargetMode="External"/><Relationship Id="rId25" Type="http://schemas.openxmlformats.org/officeDocument/2006/relationships/hyperlink" Target="https://www.bseindia.com/stockinfo/AnnPdfOpen.aspx?Pname=\fc38eee2-c7fa-44bb-81a2-f13c151eff8d.pdf" TargetMode="External"/><Relationship Id="rId33" Type="http://schemas.openxmlformats.org/officeDocument/2006/relationships/hyperlink" Target="https://www.bseindia.com/stockinfo/AnnPdfOpen.aspx?Pname=\0ab929be-ff32-4b19-a799-5b63bd464c41.pdf" TargetMode="External"/><Relationship Id="rId38" Type="http://schemas.openxmlformats.org/officeDocument/2006/relationships/hyperlink" Target="https://www.bseindia.com/stockinfo/AnnPdfOpen.aspx?Pname=\5a8395fe-99f8-4312-9ace-787322fec1c2.pdf" TargetMode="External"/><Relationship Id="rId46" Type="http://schemas.openxmlformats.org/officeDocument/2006/relationships/hyperlink" Target="https://www.bseindia.com/xml-data/corpfiling/AttachHis/c4bb275b-3f35-4d6b-bf23-2ee7cbf82033.pdf" TargetMode="External"/><Relationship Id="rId20" Type="http://schemas.openxmlformats.org/officeDocument/2006/relationships/hyperlink" Target="https://www.bseindia.com/stockinfo/AnnPdfOpen.aspx?Pname=\121582fa-b16d-4e7f-a75e-756fde02815e.pdf" TargetMode="External"/><Relationship Id="rId41" Type="http://schemas.openxmlformats.org/officeDocument/2006/relationships/hyperlink" Target="https://www.bseindia.com/stockinfo/AnnPdfOpen.aspx?Pname=\be63ce6e-1854-4bcb-abc4-f25e41f8c6b5.pdf"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heetPr>
  <dimension ref="A1:D85"/>
  <sheetViews>
    <sheetView workbookViewId="0">
      <selection activeCell="B27" sqref="B27"/>
    </sheetView>
  </sheetViews>
  <sheetFormatPr defaultRowHeight="14.4"/>
  <cols>
    <col min="1" max="1" width="7" customWidth="1"/>
    <col min="2" max="2" width="16.6640625" customWidth="1"/>
    <col min="3" max="3" width="41.6640625" customWidth="1"/>
    <col min="4" max="4" width="16.33203125" customWidth="1"/>
  </cols>
  <sheetData>
    <row r="1" spans="1:4" ht="13.05" customHeight="1">
      <c r="A1" s="1" t="s">
        <v>0</v>
      </c>
      <c r="B1" s="1" t="s">
        <v>1</v>
      </c>
      <c r="C1" s="1" t="s">
        <v>2</v>
      </c>
      <c r="D1" s="1" t="s">
        <v>3</v>
      </c>
    </row>
    <row r="2" spans="1:4" ht="13.05" customHeight="1">
      <c r="A2" s="2">
        <v>1</v>
      </c>
      <c r="B2" s="2" t="s">
        <v>4</v>
      </c>
      <c r="C2" s="2" t="s">
        <v>5</v>
      </c>
      <c r="D2" s="2"/>
    </row>
    <row r="3" spans="1:4" ht="13.05" customHeight="1">
      <c r="A3" s="2">
        <v>2</v>
      </c>
      <c r="B3" s="2" t="s">
        <v>6</v>
      </c>
      <c r="C3" s="2" t="s">
        <v>7</v>
      </c>
      <c r="D3" s="2"/>
    </row>
    <row r="4" spans="1:4" ht="13.05" customHeight="1">
      <c r="A4" s="2">
        <v>3</v>
      </c>
      <c r="B4" s="2" t="s">
        <v>8</v>
      </c>
      <c r="C4" s="2" t="s">
        <v>9</v>
      </c>
      <c r="D4" s="2"/>
    </row>
    <row r="5" spans="1:4" ht="13.05" customHeight="1">
      <c r="A5" s="2">
        <v>4</v>
      </c>
      <c r="B5" s="2" t="s">
        <v>10</v>
      </c>
      <c r="C5" s="2" t="s">
        <v>11</v>
      </c>
      <c r="D5" s="2"/>
    </row>
    <row r="6" spans="1:4" ht="13.05" customHeight="1">
      <c r="A6" s="2">
        <v>5</v>
      </c>
      <c r="B6" s="2" t="s">
        <v>12</v>
      </c>
      <c r="C6" s="2" t="s">
        <v>13</v>
      </c>
      <c r="D6" s="2"/>
    </row>
    <row r="7" spans="1:4" ht="13.05" customHeight="1">
      <c r="A7" s="2">
        <v>6</v>
      </c>
      <c r="B7" s="2" t="s">
        <v>14</v>
      </c>
      <c r="C7" s="2" t="s">
        <v>15</v>
      </c>
      <c r="D7" s="2"/>
    </row>
    <row r="8" spans="1:4" ht="13.05" customHeight="1">
      <c r="A8" s="2">
        <v>7</v>
      </c>
      <c r="B8" s="2" t="s">
        <v>16</v>
      </c>
      <c r="C8" s="2" t="s">
        <v>17</v>
      </c>
      <c r="D8" s="2" t="s">
        <v>18</v>
      </c>
    </row>
    <row r="9" spans="1:4" ht="13.05" customHeight="1">
      <c r="A9" s="2">
        <v>8</v>
      </c>
      <c r="B9" s="2" t="s">
        <v>19</v>
      </c>
      <c r="C9" s="2" t="s">
        <v>20</v>
      </c>
      <c r="D9" s="2"/>
    </row>
    <row r="10" spans="1:4" ht="13.05" customHeight="1">
      <c r="A10" s="2">
        <v>9</v>
      </c>
      <c r="B10" s="2" t="s">
        <v>21</v>
      </c>
      <c r="C10" s="2" t="s">
        <v>22</v>
      </c>
      <c r="D10" s="2"/>
    </row>
    <row r="11" spans="1:4" ht="13.05" customHeight="1">
      <c r="A11" s="2">
        <v>10</v>
      </c>
      <c r="B11" s="2" t="s">
        <v>23</v>
      </c>
      <c r="C11" s="2" t="s">
        <v>24</v>
      </c>
      <c r="D11" s="2"/>
    </row>
    <row r="12" spans="1:4" ht="13.05" customHeight="1">
      <c r="A12" s="2">
        <v>11</v>
      </c>
      <c r="B12" s="2" t="s">
        <v>25</v>
      </c>
      <c r="C12" s="2" t="s">
        <v>26</v>
      </c>
      <c r="D12" s="2"/>
    </row>
    <row r="13" spans="1:4" ht="13.05" customHeight="1">
      <c r="A13" s="2">
        <v>12</v>
      </c>
      <c r="B13" s="2" t="s">
        <v>27</v>
      </c>
      <c r="C13" s="2" t="s">
        <v>28</v>
      </c>
      <c r="D13" s="2"/>
    </row>
    <row r="14" spans="1:4" ht="13.05" customHeight="1">
      <c r="A14" s="2">
        <v>13</v>
      </c>
      <c r="B14" s="2" t="s">
        <v>29</v>
      </c>
      <c r="C14" s="2" t="s">
        <v>30</v>
      </c>
      <c r="D14" s="2"/>
    </row>
    <row r="15" spans="1:4" ht="13.05" customHeight="1">
      <c r="A15" s="2">
        <v>14</v>
      </c>
      <c r="B15" s="2" t="s">
        <v>31</v>
      </c>
      <c r="C15" s="2" t="s">
        <v>32</v>
      </c>
      <c r="D15" s="2"/>
    </row>
    <row r="16" spans="1:4" ht="13.05" customHeight="1">
      <c r="A16" s="2">
        <v>15</v>
      </c>
      <c r="B16" s="2" t="s">
        <v>33</v>
      </c>
      <c r="C16" s="2" t="s">
        <v>34</v>
      </c>
      <c r="D16" s="2"/>
    </row>
    <row r="17" spans="1:4" ht="13.05" customHeight="1">
      <c r="A17" s="2">
        <v>16</v>
      </c>
      <c r="B17" s="2" t="s">
        <v>35</v>
      </c>
      <c r="C17" s="2" t="s">
        <v>36</v>
      </c>
      <c r="D17" s="2"/>
    </row>
    <row r="18" spans="1:4" ht="13.05" customHeight="1">
      <c r="A18" s="2">
        <v>17</v>
      </c>
      <c r="B18" s="2" t="s">
        <v>37</v>
      </c>
      <c r="C18" s="2" t="s">
        <v>38</v>
      </c>
      <c r="D18" s="2"/>
    </row>
    <row r="19" spans="1:4" ht="13.05" customHeight="1">
      <c r="A19" s="2">
        <v>18</v>
      </c>
      <c r="B19" s="2" t="s">
        <v>39</v>
      </c>
      <c r="C19" s="2" t="s">
        <v>40</v>
      </c>
      <c r="D19" s="2"/>
    </row>
    <row r="20" spans="1:4" ht="13.05" customHeight="1">
      <c r="A20" s="2">
        <v>19</v>
      </c>
      <c r="B20" s="2" t="s">
        <v>41</v>
      </c>
      <c r="C20" s="2" t="s">
        <v>42</v>
      </c>
      <c r="D20" s="2"/>
    </row>
    <row r="21" spans="1:4" ht="13.05" customHeight="1">
      <c r="A21" s="2">
        <v>20</v>
      </c>
      <c r="B21" s="2" t="s">
        <v>43</v>
      </c>
      <c r="C21" s="2" t="s">
        <v>44</v>
      </c>
      <c r="D21" s="2"/>
    </row>
    <row r="22" spans="1:4" ht="13.05" customHeight="1">
      <c r="A22" s="2">
        <v>21</v>
      </c>
      <c r="B22" s="2" t="s">
        <v>45</v>
      </c>
      <c r="C22" s="2" t="s">
        <v>46</v>
      </c>
      <c r="D22" s="2"/>
    </row>
    <row r="23" spans="1:4" ht="13.05" customHeight="1">
      <c r="A23" s="2">
        <v>22</v>
      </c>
      <c r="B23" s="2" t="s">
        <v>47</v>
      </c>
      <c r="C23" s="2" t="s">
        <v>48</v>
      </c>
      <c r="D23" s="2"/>
    </row>
    <row r="24" spans="1:4" ht="13.05" customHeight="1">
      <c r="A24" s="2">
        <v>23</v>
      </c>
      <c r="B24" s="2" t="s">
        <v>49</v>
      </c>
      <c r="C24" s="2" t="s">
        <v>50</v>
      </c>
      <c r="D24" s="2"/>
    </row>
    <row r="25" spans="1:4" ht="13.05" customHeight="1">
      <c r="A25" s="2">
        <v>24</v>
      </c>
      <c r="B25" s="2" t="s">
        <v>51</v>
      </c>
      <c r="C25" s="2" t="s">
        <v>52</v>
      </c>
      <c r="D25" s="2"/>
    </row>
    <row r="26" spans="1:4" ht="13.05" customHeight="1">
      <c r="A26" s="2">
        <v>25</v>
      </c>
      <c r="B26" s="2" t="s">
        <v>53</v>
      </c>
      <c r="C26" s="2" t="s">
        <v>54</v>
      </c>
      <c r="D26" s="2"/>
    </row>
    <row r="27" spans="1:4" ht="13.05" customHeight="1">
      <c r="A27" s="2">
        <v>26</v>
      </c>
      <c r="B27" s="2" t="s">
        <v>55</v>
      </c>
      <c r="C27" s="2" t="s">
        <v>56</v>
      </c>
      <c r="D27" s="2"/>
    </row>
    <row r="28" spans="1:4" ht="13.05" customHeight="1">
      <c r="A28" s="2">
        <v>27</v>
      </c>
      <c r="B28" s="2" t="s">
        <v>57</v>
      </c>
      <c r="C28" s="2" t="s">
        <v>58</v>
      </c>
      <c r="D28" s="2"/>
    </row>
    <row r="29" spans="1:4" ht="13.05" customHeight="1">
      <c r="A29" s="2">
        <v>28</v>
      </c>
      <c r="B29" s="2" t="s">
        <v>59</v>
      </c>
      <c r="C29" s="2" t="s">
        <v>60</v>
      </c>
      <c r="D29" s="2"/>
    </row>
    <row r="30" spans="1:4" ht="13.05" customHeight="1">
      <c r="A30" s="2">
        <v>29</v>
      </c>
      <c r="B30" s="2" t="s">
        <v>61</v>
      </c>
      <c r="C30" s="2" t="s">
        <v>62</v>
      </c>
      <c r="D30" s="2"/>
    </row>
    <row r="31" spans="1:4" ht="13.05" customHeight="1">
      <c r="A31" s="2">
        <v>30</v>
      </c>
      <c r="B31" s="2" t="s">
        <v>63</v>
      </c>
      <c r="C31" s="2" t="s">
        <v>5523</v>
      </c>
      <c r="D31" s="2"/>
    </row>
    <row r="32" spans="1:4" ht="13.05" customHeight="1">
      <c r="A32" s="2">
        <v>31</v>
      </c>
      <c r="B32" s="2" t="s">
        <v>64</v>
      </c>
      <c r="C32" s="2" t="s">
        <v>65</v>
      </c>
      <c r="D32" s="2"/>
    </row>
    <row r="33" spans="1:4" ht="13.05" customHeight="1">
      <c r="A33" s="2">
        <v>32</v>
      </c>
      <c r="B33" s="2" t="s">
        <v>66</v>
      </c>
      <c r="C33" s="2" t="s">
        <v>67</v>
      </c>
      <c r="D33" s="2"/>
    </row>
    <row r="34" spans="1:4" ht="13.05" customHeight="1">
      <c r="A34" s="2">
        <v>33</v>
      </c>
      <c r="B34" s="2" t="s">
        <v>68</v>
      </c>
      <c r="C34" s="2" t="s">
        <v>69</v>
      </c>
      <c r="D34" s="2" t="s">
        <v>18</v>
      </c>
    </row>
    <row r="35" spans="1:4" ht="13.05" customHeight="1">
      <c r="A35" s="2">
        <v>34</v>
      </c>
      <c r="B35" s="2" t="s">
        <v>70</v>
      </c>
      <c r="C35" s="2" t="s">
        <v>71</v>
      </c>
      <c r="D35" s="2"/>
    </row>
    <row r="36" spans="1:4" ht="13.05" customHeight="1">
      <c r="A36" s="2">
        <v>35</v>
      </c>
      <c r="B36" s="2" t="s">
        <v>72</v>
      </c>
      <c r="C36" s="2" t="s">
        <v>73</v>
      </c>
      <c r="D36" s="2"/>
    </row>
    <row r="37" spans="1:4" ht="13.05" customHeight="1">
      <c r="A37" s="2">
        <v>36</v>
      </c>
      <c r="B37" s="2" t="s">
        <v>74</v>
      </c>
      <c r="C37" s="2" t="s">
        <v>75</v>
      </c>
      <c r="D37" s="2"/>
    </row>
    <row r="38" spans="1:4" ht="13.05" customHeight="1">
      <c r="A38" s="2">
        <v>37</v>
      </c>
      <c r="B38" s="2" t="s">
        <v>76</v>
      </c>
      <c r="C38" s="2" t="s">
        <v>77</v>
      </c>
      <c r="D38" s="2"/>
    </row>
    <row r="39" spans="1:4" ht="13.05" customHeight="1">
      <c r="A39" s="2">
        <v>38</v>
      </c>
      <c r="B39" s="2" t="s">
        <v>78</v>
      </c>
      <c r="C39" s="2" t="s">
        <v>79</v>
      </c>
      <c r="D39" s="2"/>
    </row>
    <row r="40" spans="1:4" ht="13.05" customHeight="1">
      <c r="A40" s="2">
        <v>39</v>
      </c>
      <c r="B40" s="2" t="s">
        <v>80</v>
      </c>
      <c r="C40" s="2" t="s">
        <v>81</v>
      </c>
      <c r="D40" s="2"/>
    </row>
    <row r="41" spans="1:4" ht="13.05" customHeight="1">
      <c r="A41" s="2">
        <v>40</v>
      </c>
      <c r="B41" s="2" t="s">
        <v>82</v>
      </c>
      <c r="C41" s="2" t="s">
        <v>83</v>
      </c>
      <c r="D41" s="2"/>
    </row>
    <row r="42" spans="1:4" ht="13.05" customHeight="1">
      <c r="A42" s="2">
        <v>41</v>
      </c>
      <c r="B42" s="2" t="s">
        <v>84</v>
      </c>
      <c r="C42" s="2" t="s">
        <v>85</v>
      </c>
      <c r="D42" s="2"/>
    </row>
    <row r="43" spans="1:4" ht="13.05" customHeight="1">
      <c r="A43" s="2">
        <v>42</v>
      </c>
      <c r="B43" s="2" t="s">
        <v>86</v>
      </c>
      <c r="C43" s="2" t="s">
        <v>87</v>
      </c>
      <c r="D43" s="2"/>
    </row>
    <row r="44" spans="1:4" ht="13.05" customHeight="1">
      <c r="A44" s="2">
        <v>43</v>
      </c>
      <c r="B44" s="2" t="s">
        <v>88</v>
      </c>
      <c r="C44" s="2" t="s">
        <v>89</v>
      </c>
      <c r="D44" s="2"/>
    </row>
    <row r="45" spans="1:4" ht="13.05" customHeight="1">
      <c r="A45" s="2">
        <v>44</v>
      </c>
      <c r="B45" s="2" t="s">
        <v>90</v>
      </c>
      <c r="C45" s="2" t="s">
        <v>91</v>
      </c>
      <c r="D45" s="2"/>
    </row>
    <row r="46" spans="1:4" ht="13.05" customHeight="1">
      <c r="A46" s="2">
        <v>45</v>
      </c>
      <c r="B46" s="2" t="s">
        <v>92</v>
      </c>
      <c r="C46" s="2" t="s">
        <v>93</v>
      </c>
      <c r="D46" s="2"/>
    </row>
    <row r="47" spans="1:4" ht="13.05" customHeight="1">
      <c r="A47" s="2">
        <v>46</v>
      </c>
      <c r="B47" s="2" t="s">
        <v>94</v>
      </c>
      <c r="C47" s="2" t="s">
        <v>95</v>
      </c>
      <c r="D47" s="2"/>
    </row>
    <row r="48" spans="1:4" ht="13.05" customHeight="1">
      <c r="A48" s="2">
        <v>47</v>
      </c>
      <c r="B48" s="2" t="s">
        <v>96</v>
      </c>
      <c r="C48" s="2" t="s">
        <v>97</v>
      </c>
      <c r="D48" s="2"/>
    </row>
    <row r="49" spans="1:4" ht="13.05" customHeight="1">
      <c r="A49" s="2">
        <v>48</v>
      </c>
      <c r="B49" s="2" t="s">
        <v>98</v>
      </c>
      <c r="C49" s="2" t="s">
        <v>99</v>
      </c>
      <c r="D49" s="2"/>
    </row>
    <row r="50" spans="1:4" ht="13.05" customHeight="1">
      <c r="A50" s="2">
        <v>49</v>
      </c>
      <c r="B50" s="2" t="s">
        <v>100</v>
      </c>
      <c r="C50" s="2" t="s">
        <v>101</v>
      </c>
      <c r="D50" s="2"/>
    </row>
    <row r="51" spans="1:4" ht="13.05" customHeight="1">
      <c r="A51" s="2">
        <v>50</v>
      </c>
      <c r="B51" s="2" t="s">
        <v>102</v>
      </c>
      <c r="C51" s="2" t="s">
        <v>103</v>
      </c>
      <c r="D51" s="2"/>
    </row>
    <row r="52" spans="1:4" ht="13.05" customHeight="1">
      <c r="A52" s="2">
        <v>51</v>
      </c>
      <c r="B52" s="2" t="s">
        <v>104</v>
      </c>
      <c r="C52" s="2" t="s">
        <v>105</v>
      </c>
      <c r="D52" s="2"/>
    </row>
    <row r="53" spans="1:4" ht="13.05" customHeight="1">
      <c r="A53" s="2">
        <v>52</v>
      </c>
      <c r="B53" s="2" t="s">
        <v>106</v>
      </c>
      <c r="C53" s="2" t="s">
        <v>107</v>
      </c>
      <c r="D53" s="2"/>
    </row>
    <row r="54" spans="1:4" ht="13.05" customHeight="1">
      <c r="A54" s="2">
        <v>53</v>
      </c>
      <c r="B54" s="2" t="s">
        <v>108</v>
      </c>
      <c r="C54" s="2" t="s">
        <v>109</v>
      </c>
      <c r="D54" s="2" t="s">
        <v>18</v>
      </c>
    </row>
    <row r="55" spans="1:4" ht="13.05" customHeight="1">
      <c r="A55" s="2">
        <v>54</v>
      </c>
      <c r="B55" s="2" t="s">
        <v>110</v>
      </c>
      <c r="C55" s="2" t="s">
        <v>111</v>
      </c>
      <c r="D55" s="2"/>
    </row>
    <row r="56" spans="1:4" ht="13.05" customHeight="1">
      <c r="A56" s="2">
        <v>55</v>
      </c>
      <c r="B56" s="2" t="s">
        <v>112</v>
      </c>
      <c r="C56" s="2" t="s">
        <v>113</v>
      </c>
      <c r="D56" s="2"/>
    </row>
    <row r="57" spans="1:4" ht="13.05" customHeight="1">
      <c r="A57" s="2">
        <v>56</v>
      </c>
      <c r="B57" s="2" t="s">
        <v>114</v>
      </c>
      <c r="C57" s="2" t="s">
        <v>115</v>
      </c>
      <c r="D57" s="2"/>
    </row>
    <row r="58" spans="1:4" ht="13.05" customHeight="1">
      <c r="A58" s="2">
        <v>57</v>
      </c>
      <c r="B58" s="2" t="s">
        <v>116</v>
      </c>
      <c r="C58" s="2" t="s">
        <v>117</v>
      </c>
      <c r="D58" s="2"/>
    </row>
    <row r="59" spans="1:4" ht="13.05" customHeight="1">
      <c r="A59" s="2">
        <v>58</v>
      </c>
      <c r="B59" s="2" t="s">
        <v>118</v>
      </c>
      <c r="C59" s="2" t="s">
        <v>119</v>
      </c>
      <c r="D59" s="2"/>
    </row>
    <row r="60" spans="1:4" ht="13.05" customHeight="1">
      <c r="A60" s="2">
        <v>59</v>
      </c>
      <c r="B60" s="2" t="s">
        <v>120</v>
      </c>
      <c r="C60" s="2" t="s">
        <v>121</v>
      </c>
      <c r="D60" s="2"/>
    </row>
    <row r="61" spans="1:4" ht="13.05" customHeight="1">
      <c r="A61" s="2">
        <v>60</v>
      </c>
      <c r="B61" s="2" t="s">
        <v>122</v>
      </c>
      <c r="C61" s="2" t="s">
        <v>123</v>
      </c>
      <c r="D61" s="2"/>
    </row>
    <row r="62" spans="1:4" ht="13.05" customHeight="1">
      <c r="A62" s="2">
        <v>61</v>
      </c>
      <c r="B62" s="2" t="s">
        <v>124</v>
      </c>
      <c r="C62" s="2" t="s">
        <v>125</v>
      </c>
      <c r="D62" s="2"/>
    </row>
    <row r="63" spans="1:4" ht="13.05" customHeight="1">
      <c r="A63" s="2">
        <v>62</v>
      </c>
      <c r="B63" s="2" t="s">
        <v>126</v>
      </c>
      <c r="C63" s="2" t="s">
        <v>127</v>
      </c>
      <c r="D63" s="2"/>
    </row>
    <row r="64" spans="1:4" ht="13.05" customHeight="1">
      <c r="A64" s="2">
        <v>63</v>
      </c>
      <c r="B64" s="2" t="s">
        <v>128</v>
      </c>
      <c r="C64" s="2" t="s">
        <v>129</v>
      </c>
      <c r="D64" s="2"/>
    </row>
    <row r="65" spans="1:4" ht="13.05" customHeight="1">
      <c r="A65" s="2">
        <v>64</v>
      </c>
      <c r="B65" s="2" t="s">
        <v>130</v>
      </c>
      <c r="C65" s="2" t="s">
        <v>131</v>
      </c>
      <c r="D65" s="2"/>
    </row>
    <row r="66" spans="1:4" ht="13.05" customHeight="1">
      <c r="A66" s="2">
        <v>65</v>
      </c>
      <c r="B66" s="2" t="s">
        <v>132</v>
      </c>
      <c r="C66" s="2" t="s">
        <v>133</v>
      </c>
      <c r="D66" s="2"/>
    </row>
    <row r="67" spans="1:4" ht="13.05" customHeight="1">
      <c r="A67" s="2">
        <v>66</v>
      </c>
      <c r="B67" s="2" t="s">
        <v>134</v>
      </c>
      <c r="C67" s="2" t="s">
        <v>135</v>
      </c>
      <c r="D67" s="2"/>
    </row>
    <row r="68" spans="1:4" ht="13.05" customHeight="1">
      <c r="A68" s="2">
        <v>67</v>
      </c>
      <c r="B68" s="2" t="s">
        <v>136</v>
      </c>
      <c r="C68" s="2" t="s">
        <v>137</v>
      </c>
      <c r="D68" s="2"/>
    </row>
    <row r="69" spans="1:4" ht="13.05" customHeight="1">
      <c r="A69" s="2">
        <v>68</v>
      </c>
      <c r="B69" s="2" t="s">
        <v>138</v>
      </c>
      <c r="C69" s="2" t="s">
        <v>139</v>
      </c>
      <c r="D69" s="2"/>
    </row>
    <row r="70" spans="1:4" ht="13.05" customHeight="1">
      <c r="A70" s="2">
        <v>69</v>
      </c>
      <c r="B70" s="2" t="s">
        <v>140</v>
      </c>
      <c r="C70" s="2" t="s">
        <v>141</v>
      </c>
      <c r="D70" s="2"/>
    </row>
    <row r="71" spans="1:4" ht="13.05" customHeight="1">
      <c r="A71" s="2">
        <v>70</v>
      </c>
      <c r="B71" s="2" t="s">
        <v>142</v>
      </c>
      <c r="C71" s="2" t="s">
        <v>143</v>
      </c>
      <c r="D71" s="2"/>
    </row>
    <row r="72" spans="1:4" ht="13.05" customHeight="1">
      <c r="A72" s="2">
        <v>71</v>
      </c>
      <c r="B72" s="2" t="s">
        <v>144</v>
      </c>
      <c r="C72" s="2" t="s">
        <v>145</v>
      </c>
      <c r="D72" s="2" t="s">
        <v>18</v>
      </c>
    </row>
    <row r="73" spans="1:4" ht="13.05" customHeight="1">
      <c r="A73" s="2">
        <v>72</v>
      </c>
      <c r="B73" s="2" t="s">
        <v>146</v>
      </c>
      <c r="C73" s="2" t="s">
        <v>147</v>
      </c>
      <c r="D73" s="2"/>
    </row>
    <row r="74" spans="1:4" ht="13.05" customHeight="1">
      <c r="A74" s="2">
        <v>73</v>
      </c>
      <c r="B74" s="2" t="s">
        <v>148</v>
      </c>
      <c r="C74" s="2" t="s">
        <v>149</v>
      </c>
      <c r="D74" s="2"/>
    </row>
    <row r="75" spans="1:4" ht="13.05" customHeight="1">
      <c r="A75" s="2">
        <v>74</v>
      </c>
      <c r="B75" s="2" t="s">
        <v>150</v>
      </c>
      <c r="C75" s="2" t="s">
        <v>151</v>
      </c>
      <c r="D75" s="2"/>
    </row>
    <row r="76" spans="1:4" ht="13.05" customHeight="1">
      <c r="A76" s="2">
        <v>75</v>
      </c>
      <c r="B76" s="2" t="s">
        <v>152</v>
      </c>
      <c r="C76" s="2" t="s">
        <v>153</v>
      </c>
      <c r="D76" s="2"/>
    </row>
    <row r="77" spans="1:4" ht="13.05" customHeight="1">
      <c r="A77" s="2">
        <v>76</v>
      </c>
      <c r="B77" s="2" t="s">
        <v>154</v>
      </c>
      <c r="C77" s="2" t="s">
        <v>155</v>
      </c>
      <c r="D77" s="2"/>
    </row>
    <row r="78" spans="1:4" ht="13.05" customHeight="1">
      <c r="A78" s="2">
        <v>77</v>
      </c>
      <c r="B78" s="2" t="s">
        <v>156</v>
      </c>
      <c r="C78" s="2" t="s">
        <v>157</v>
      </c>
      <c r="D78" s="2"/>
    </row>
    <row r="79" spans="1:4" ht="13.05" customHeight="1">
      <c r="A79" s="2">
        <v>78</v>
      </c>
      <c r="B79" s="2" t="s">
        <v>158</v>
      </c>
      <c r="C79" s="2" t="s">
        <v>159</v>
      </c>
      <c r="D79" s="2"/>
    </row>
    <row r="80" spans="1:4" ht="13.05" customHeight="1">
      <c r="A80" s="2">
        <v>79</v>
      </c>
      <c r="B80" s="2" t="s">
        <v>160</v>
      </c>
      <c r="C80" s="2" t="s">
        <v>161</v>
      </c>
      <c r="D80" s="2"/>
    </row>
    <row r="81" spans="1:4" ht="13.05" customHeight="1">
      <c r="A81" s="2">
        <v>80</v>
      </c>
      <c r="B81" s="2" t="s">
        <v>162</v>
      </c>
      <c r="C81" s="2" t="s">
        <v>163</v>
      </c>
      <c r="D81" s="2"/>
    </row>
    <row r="82" spans="1:4" ht="13.05" customHeight="1">
      <c r="A82" s="2">
        <v>81</v>
      </c>
      <c r="B82" s="2" t="s">
        <v>164</v>
      </c>
      <c r="C82" s="2" t="s">
        <v>165</v>
      </c>
      <c r="D82" s="2"/>
    </row>
    <row r="83" spans="1:4" ht="13.05" customHeight="1">
      <c r="A83" s="2">
        <v>82</v>
      </c>
      <c r="B83" s="2" t="s">
        <v>166</v>
      </c>
      <c r="C83" s="2" t="s">
        <v>167</v>
      </c>
      <c r="D83" s="2"/>
    </row>
    <row r="84" spans="1:4" ht="13.05" customHeight="1">
      <c r="A84" s="2">
        <v>83</v>
      </c>
      <c r="B84" s="2" t="s">
        <v>168</v>
      </c>
      <c r="C84" s="2" t="s">
        <v>169</v>
      </c>
      <c r="D84" s="2"/>
    </row>
    <row r="85" spans="1:4" ht="13.05" customHeight="1">
      <c r="A85" s="2">
        <v>84</v>
      </c>
      <c r="B85" s="2" t="s">
        <v>170</v>
      </c>
      <c r="C85" s="2" t="s">
        <v>171</v>
      </c>
      <c r="D85" s="2"/>
    </row>
  </sheetData>
  <hyperlinks>
    <hyperlink ref="B2" location="JR_PAGE_ANCHOR_0_2" display="AXIS112" xr:uid="{00000000-0004-0000-0000-000000000000}"/>
    <hyperlink ref="B3" location="JR_PAGE_ANCHOR_0_3" display="AXIS113" xr:uid="{00000000-0004-0000-0000-000001000000}"/>
    <hyperlink ref="B4" location="JR_PAGE_ANCHOR_0_4" display="AXIS500" xr:uid="{00000000-0004-0000-0000-000002000000}"/>
    <hyperlink ref="B5" location="JR_PAGE_ANCHOR_0_5" display="AXISASD" xr:uid="{00000000-0004-0000-0000-000003000000}"/>
    <hyperlink ref="B6" location="JR_PAGE_ANCHOR_0_6" display="AXISBCF" xr:uid="{00000000-0004-0000-0000-000004000000}"/>
    <hyperlink ref="B7" location="JR_PAGE_ANCHOR_0_7" display="AXISBDF" xr:uid="{00000000-0004-0000-0000-000005000000}"/>
    <hyperlink ref="B8" location="JR_PAGE_ANCHOR_0_8" display="AXISBETF" xr:uid="{00000000-0004-0000-0000-000006000000}"/>
    <hyperlink ref="B9" location="JR_PAGE_ANCHOR_0_9" display="AXISBTF" xr:uid="{00000000-0004-0000-0000-000007000000}"/>
    <hyperlink ref="B10" location="JR_PAGE_ANCHOR_0_10" display="AXISCBS" xr:uid="{00000000-0004-0000-0000-000008000000}"/>
    <hyperlink ref="B11" location="JR_PAGE_ANCHOR_0_11" display="AXISCDL" xr:uid="{00000000-0004-0000-0000-000009000000}"/>
    <hyperlink ref="B12" location="JR_PAGE_ANCHOR_0_12" display="AXISCETF" xr:uid="{00000000-0004-0000-0000-00000A000000}"/>
    <hyperlink ref="B13" location="JR_PAGE_ANCHOR_0_13" display="AXISCFS" xr:uid="{00000000-0004-0000-0000-00000B000000}"/>
    <hyperlink ref="B14" location="JR_PAGE_ANCHOR_0_14" display="AXISCGF" xr:uid="{00000000-0004-0000-0000-00000C000000}"/>
    <hyperlink ref="B15" location="JR_PAGE_ANCHOR_0_15" display="AXISCIB" xr:uid="{00000000-0004-0000-0000-00000D000000}"/>
    <hyperlink ref="B16" location="JR_PAGE_ANCHOR_0_16" display="AXISCIG" xr:uid="{00000000-0004-0000-0000-00000E000000}"/>
    <hyperlink ref="B17" location="JR_PAGE_ANCHOR_0_17" display="AXISCOF" xr:uid="{00000000-0004-0000-0000-00000F000000}"/>
    <hyperlink ref="B18" location="JR_PAGE_ANCHOR_0_18" display="AXISCON" xr:uid="{00000000-0004-0000-0000-000010000000}"/>
    <hyperlink ref="B19" location="JR_PAGE_ANCHOR_0_19" display="AXISCSDL" xr:uid="{00000000-0004-0000-0000-000011000000}"/>
    <hyperlink ref="B20" location="JR_PAGE_ANCHOR_0_20" display="AXISDBF" xr:uid="{00000000-0004-0000-0000-000012000000}"/>
    <hyperlink ref="B21" location="JR_PAGE_ANCHOR_0_21" display="AXISDEF" xr:uid="{00000000-0004-0000-0000-000013000000}"/>
    <hyperlink ref="B22" location="JR_PAGE_ANCHOR_0_22" display="AXISEAF" xr:uid="{00000000-0004-0000-0000-000014000000}"/>
    <hyperlink ref="B23" location="JR_PAGE_ANCHOR_0_23" display="AXISEFOF" xr:uid="{00000000-0004-0000-0000-000015000000}"/>
    <hyperlink ref="B24" location="JR_PAGE_ANCHOR_0_24" display="AXISEHF" xr:uid="{00000000-0004-0000-0000-000016000000}"/>
    <hyperlink ref="B25" location="JR_PAGE_ANCHOR_0_25" display="AXISEQF" xr:uid="{00000000-0004-0000-0000-000017000000}"/>
    <hyperlink ref="B26" location="JR_PAGE_ANCHOR_0_26" display="AXISESF" xr:uid="{00000000-0004-0000-0000-000018000000}"/>
    <hyperlink ref="B27" location="JR_PAGE_ANCHOR_0_27" display="AXISESG" xr:uid="{00000000-0004-0000-0000-000019000000}"/>
    <hyperlink ref="B28" location="JR_PAGE_ANCHOR_0_28" display="AXISETS" xr:uid="{00000000-0004-0000-0000-00001A000000}"/>
    <hyperlink ref="B29" location="JR_PAGE_ANCHOR_0_29" display="AXISF25" xr:uid="{00000000-0004-0000-0000-00001B000000}"/>
    <hyperlink ref="B30" location="JR_PAGE_ANCHOR_0_30" display="AXISFLO" xr:uid="{00000000-0004-0000-0000-00001C000000}"/>
    <hyperlink ref="B31" location="JR_PAGE_ANCHOR_0_31" display="AXISFSD" xr:uid="{00000000-0004-0000-0000-00001D000000}"/>
    <hyperlink ref="B32" location="JR_PAGE_ANCHOR_0_32" display="AXISGCE" xr:uid="{00000000-0004-0000-0000-00001E000000}"/>
    <hyperlink ref="B33" location="JR_PAGE_ANCHOR_0_33" display="AXISGEA" xr:uid="{00000000-0004-0000-0000-00001F000000}"/>
    <hyperlink ref="B34" location="JR_PAGE_ANCHOR_0_34" display="AXISGETF" xr:uid="{00000000-0004-0000-0000-000020000000}"/>
    <hyperlink ref="B35" location="JR_PAGE_ANCHOR_0_35" display="AXISGIF" xr:uid="{00000000-0004-0000-0000-000021000000}"/>
    <hyperlink ref="B36" location="JR_PAGE_ANCHOR_0_36" display="AXISGLD" xr:uid="{00000000-0004-0000-0000-000022000000}"/>
    <hyperlink ref="B37" location="JR_PAGE_ANCHOR_0_37" display="AXISGOF" xr:uid="{00000000-0004-0000-0000-000023000000}"/>
    <hyperlink ref="B38" location="JR_PAGE_ANCHOR_0_38" display="AXISHETF" xr:uid="{00000000-0004-0000-0000-000024000000}"/>
    <hyperlink ref="B39" location="JR_PAGE_ANCHOR_0_39" display="AXISIFD" xr:uid="{00000000-0004-0000-0000-000025000000}"/>
    <hyperlink ref="B40" location="JR_PAGE_ANCHOR_0_40" display="AXISIMF" xr:uid="{00000000-0004-0000-0000-000026000000}"/>
    <hyperlink ref="B41" location="JR_PAGE_ANCHOR_0_41" display="AXISIOF" xr:uid="{00000000-0004-0000-0000-000027000000}"/>
    <hyperlink ref="B42" location="JR_PAGE_ANCHOR_0_42" display="AXISISF" xr:uid="{00000000-0004-0000-0000-000028000000}"/>
    <hyperlink ref="B43" location="JR_PAGE_ANCHOR_0_43" display="AXISLDF" xr:uid="{00000000-0004-0000-0000-000029000000}"/>
    <hyperlink ref="B44" location="JR_PAGE_ANCHOR_0_44" display="AXISLFA" xr:uid="{00000000-0004-0000-0000-00002A000000}"/>
    <hyperlink ref="B45" location="JR_PAGE_ANCHOR_0_45" display="AXISM10" xr:uid="{00000000-0004-0000-0000-00002B000000}"/>
    <hyperlink ref="B46" location="JR_PAGE_ANCHOR_0_46" display="AXISMCF" xr:uid="{00000000-0004-0000-0000-00002C000000}"/>
    <hyperlink ref="B47" location="JR_PAGE_ANCHOR_0_47" display="AXISMIF" xr:uid="{00000000-0004-0000-0000-00002D000000}"/>
    <hyperlink ref="B48" location="JR_PAGE_ANCHOR_0_48" display="AXISMLC" xr:uid="{00000000-0004-0000-0000-00002E000000}"/>
    <hyperlink ref="B49" location="JR_PAGE_ANCHOR_0_49" display="AXISMLF" xr:uid="{00000000-0004-0000-0000-00002F000000}"/>
    <hyperlink ref="B50" location="JR_PAGE_ANCHOR_0_50" display="AXISMMF" xr:uid="{00000000-0004-0000-0000-000030000000}"/>
    <hyperlink ref="B51" location="JR_PAGE_ANCHOR_0_51" display="AXISN50" xr:uid="{00000000-0004-0000-0000-000031000000}"/>
    <hyperlink ref="B52" location="JR_PAGE_ANCHOR_0_52" display="AXISN500" xr:uid="{00000000-0004-0000-0000-000032000000}"/>
    <hyperlink ref="B53" location="JR_PAGE_ANCHOR_0_53" display="AXISNBI" xr:uid="{00000000-0004-0000-0000-000033000000}"/>
    <hyperlink ref="B54" location="JR_PAGE_ANCHOR_0_54" display="AXISNETF" xr:uid="{00000000-0004-0000-0000-000034000000}"/>
    <hyperlink ref="B55" location="JR_PAGE_ANCHOR_0_55" display="AXISNFOF" xr:uid="{00000000-0004-0000-0000-000035000000}"/>
    <hyperlink ref="B56" location="JR_PAGE_ANCHOR_0_56" display="AXISNHS" xr:uid="{00000000-0004-0000-0000-000036000000}"/>
    <hyperlink ref="B57" location="JR_PAGE_ANCHOR_0_57" display="AXISNIF" xr:uid="{00000000-0004-0000-0000-000037000000}"/>
    <hyperlink ref="B58" location="JR_PAGE_ANCHOR_0_58" display="AXISNIT" xr:uid="{00000000-0004-0000-0000-000038000000}"/>
    <hyperlink ref="B59" location="JR_PAGE_ANCHOR_0_59" display="AXISNM50" xr:uid="{00000000-0004-0000-0000-000039000000}"/>
    <hyperlink ref="B60" location="JR_PAGE_ANCHOR_0_60" display="AXISNNF" xr:uid="{00000000-0004-0000-0000-00003A000000}"/>
    <hyperlink ref="B61" location="JR_PAGE_ANCHOR_0_61" display="AXISNS50" xr:uid="{00000000-0004-0000-0000-00003B000000}"/>
    <hyperlink ref="B62" location="JR_PAGE_ANCHOR_0_62" display="AXISNTF" xr:uid="{00000000-0004-0000-0000-00003C000000}"/>
    <hyperlink ref="B63" location="JR_PAGE_ANCHOR_0_63" display="AXISONF" xr:uid="{00000000-0004-0000-0000-00003D000000}"/>
    <hyperlink ref="B64" location="JR_PAGE_ANCHOR_0_64" display="AXISQIF" xr:uid="{00000000-0004-0000-0000-00003E000000}"/>
    <hyperlink ref="B65" location="JR_PAGE_ANCHOR_0_65" display="AXISQUA" xr:uid="{00000000-0004-0000-0000-00003F000000}"/>
    <hyperlink ref="B66" location="JR_PAGE_ANCHOR_0_66" display="AXISRAP" xr:uid="{00000000-0004-0000-0000-000040000000}"/>
    <hyperlink ref="B67" location="JR_PAGE_ANCHOR_0_67" display="AXISRCP" xr:uid="{00000000-0004-0000-0000-000041000000}"/>
    <hyperlink ref="B68" location="JR_PAGE_ANCHOR_0_68" display="AXISRDP" xr:uid="{00000000-0004-0000-0000-000042000000}"/>
    <hyperlink ref="B69" location="JR_PAGE_ANCHOR_0_69" display="AXISSCF" xr:uid="{00000000-0004-0000-0000-000043000000}"/>
    <hyperlink ref="B70" location="JR_PAGE_ANCHOR_0_70" display="AXISSDI" xr:uid="{00000000-0004-0000-0000-000044000000}"/>
    <hyperlink ref="B71" location="JR_PAGE_ANCHOR_0_71" display="AXISSDL" xr:uid="{00000000-0004-0000-0000-000045000000}"/>
    <hyperlink ref="B72" location="JR_PAGE_ANCHOR_0_72" display="AXISSETF" xr:uid="{00000000-0004-0000-0000-000046000000}"/>
    <hyperlink ref="B73" location="JR_PAGE_ANCHOR_0_73" display="AXISSIF" xr:uid="{00000000-0004-0000-0000-000047000000}"/>
    <hyperlink ref="B74" location="JR_PAGE_ANCHOR_0_74" display="AXISSIL" xr:uid="{00000000-0004-0000-0000-000048000000}"/>
    <hyperlink ref="B75" location="JR_PAGE_ANCHOR_0_75" display="AXISSOF" xr:uid="{00000000-0004-0000-0000-000049000000}"/>
    <hyperlink ref="B76" location="JR_PAGE_ANCHOR_0_76" display="AXISSSF" xr:uid="{00000000-0004-0000-0000-00004A000000}"/>
    <hyperlink ref="B77" location="JR_PAGE_ANCHOR_0_77" display="AXISSTF" xr:uid="{00000000-0004-0000-0000-00004B000000}"/>
    <hyperlink ref="B78" location="JR_PAGE_ANCHOR_0_78" display="AXISTAA" xr:uid="{00000000-0004-0000-0000-00004C000000}"/>
    <hyperlink ref="B79" location="JR_PAGE_ANCHOR_0_79" display="AXISTAF" xr:uid="{00000000-0004-0000-0000-00004D000000}"/>
    <hyperlink ref="B80" location="JR_PAGE_ANCHOR_0_80" display="AXISTDB" xr:uid="{00000000-0004-0000-0000-00004E000000}"/>
    <hyperlink ref="B81" location="JR_PAGE_ANCHOR_0_81" display="AXISTETF" xr:uid="{00000000-0004-0000-0000-00004F000000}"/>
    <hyperlink ref="B82" location="JR_PAGE_ANCHOR_0_82" display="AXISTSF" xr:uid="{00000000-0004-0000-0000-000050000000}"/>
    <hyperlink ref="B83" location="JR_PAGE_ANCHOR_0_83" display="AXISUSF" xr:uid="{00000000-0004-0000-0000-000051000000}"/>
    <hyperlink ref="B84" location="JR_PAGE_ANCHOR_0_84" display="AXISVAL" xr:uid="{00000000-0004-0000-0000-000052000000}"/>
    <hyperlink ref="B85" location="JR_PAGE_ANCHOR_0_85" display="AXISVIF" xr:uid="{00000000-0004-0000-0000-000053000000}"/>
  </hyperlinks>
  <pageMargins left="0" right="0" top="0" bottom="0" header="0" footer="0"/>
  <pageSetup orientation="landscape"/>
  <headerFooter>
    <oddFooter xml:space="preserve">&amp;C_x000D_&amp;1#&amp;"Calibri"&amp;10&amp;K000000  For internal use only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J31"/>
  <sheetViews>
    <sheetView topLeftCell="A22" workbookViewId="0">
      <selection activeCell="B26" sqref="B26:I26"/>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4</v>
      </c>
      <c r="B1" s="4" t="s">
        <v>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185</v>
      </c>
      <c r="B7" s="19" t="s">
        <v>186</v>
      </c>
      <c r="C7" s="15" t="s">
        <v>187</v>
      </c>
      <c r="D7" s="15" t="s">
        <v>188</v>
      </c>
      <c r="E7" s="20">
        <v>4726000</v>
      </c>
      <c r="F7" s="21">
        <v>4627.1746000000003</v>
      </c>
      <c r="G7" s="22">
        <v>0.57040000000000002</v>
      </c>
      <c r="H7" s="23">
        <v>5.6489999999999999E-2</v>
      </c>
      <c r="I7" s="24"/>
      <c r="J7" s="5"/>
    </row>
    <row r="8" spans="1:10" ht="13.05" customHeight="1">
      <c r="A8" s="18" t="s">
        <v>189</v>
      </c>
      <c r="B8" s="19" t="s">
        <v>190</v>
      </c>
      <c r="C8" s="15" t="s">
        <v>191</v>
      </c>
      <c r="D8" s="15" t="s">
        <v>188</v>
      </c>
      <c r="E8" s="20">
        <v>3532800</v>
      </c>
      <c r="F8" s="21">
        <v>3462.7269000000001</v>
      </c>
      <c r="G8" s="22">
        <v>0.4269</v>
      </c>
      <c r="H8" s="23">
        <v>5.6384999999999998E-2</v>
      </c>
      <c r="I8" s="24"/>
      <c r="J8" s="5"/>
    </row>
    <row r="9" spans="1:10" ht="13.05" customHeight="1">
      <c r="A9" s="5"/>
      <c r="B9" s="14" t="s">
        <v>192</v>
      </c>
      <c r="C9" s="15"/>
      <c r="D9" s="15"/>
      <c r="E9" s="15"/>
      <c r="F9" s="25">
        <v>8089.9014999999999</v>
      </c>
      <c r="G9" s="26">
        <v>0.99729999999999996</v>
      </c>
      <c r="H9" s="27"/>
      <c r="I9" s="28"/>
      <c r="J9" s="5"/>
    </row>
    <row r="10" spans="1:10" ht="13.05" customHeight="1">
      <c r="A10" s="5"/>
      <c r="B10" s="29" t="s">
        <v>193</v>
      </c>
      <c r="C10" s="2"/>
      <c r="D10" s="2"/>
      <c r="E10" s="2"/>
      <c r="F10" s="27" t="s">
        <v>194</v>
      </c>
      <c r="G10" s="27" t="s">
        <v>194</v>
      </c>
      <c r="H10" s="27"/>
      <c r="I10" s="28"/>
      <c r="J10" s="5"/>
    </row>
    <row r="11" spans="1:10" ht="13.05" customHeight="1">
      <c r="A11" s="5"/>
      <c r="B11" s="29" t="s">
        <v>192</v>
      </c>
      <c r="C11" s="2"/>
      <c r="D11" s="2"/>
      <c r="E11" s="2"/>
      <c r="F11" s="27" t="s">
        <v>194</v>
      </c>
      <c r="G11" s="27" t="s">
        <v>194</v>
      </c>
      <c r="H11" s="27"/>
      <c r="I11" s="28"/>
      <c r="J11" s="5"/>
    </row>
    <row r="12" spans="1:10" ht="13.05" customHeight="1">
      <c r="A12" s="5"/>
      <c r="B12" s="29" t="s">
        <v>195</v>
      </c>
      <c r="C12" s="30"/>
      <c r="D12" s="2"/>
      <c r="E12" s="30"/>
      <c r="F12" s="25">
        <v>8089.9014999999999</v>
      </c>
      <c r="G12" s="26">
        <v>0.99729999999999996</v>
      </c>
      <c r="H12" s="27"/>
      <c r="I12" s="28"/>
      <c r="J12" s="5"/>
    </row>
    <row r="13" spans="1:10" ht="13.05" customHeight="1">
      <c r="A13" s="5"/>
      <c r="B13" s="14" t="s">
        <v>196</v>
      </c>
      <c r="C13" s="15"/>
      <c r="D13" s="15"/>
      <c r="E13" s="15"/>
      <c r="F13" s="15"/>
      <c r="G13" s="15"/>
      <c r="H13" s="16"/>
      <c r="I13" s="17"/>
      <c r="J13" s="5"/>
    </row>
    <row r="14" spans="1:10" ht="13.05" customHeight="1">
      <c r="A14" s="18" t="s">
        <v>197</v>
      </c>
      <c r="B14" s="19" t="s">
        <v>198</v>
      </c>
      <c r="C14" s="15"/>
      <c r="D14" s="15"/>
      <c r="E14" s="20"/>
      <c r="F14" s="21">
        <v>1.3495999999999999</v>
      </c>
      <c r="G14" s="22">
        <v>2.0000000000000001E-4</v>
      </c>
      <c r="H14" s="23">
        <v>5.5578030722439595E-2</v>
      </c>
      <c r="I14" s="24"/>
      <c r="J14" s="5"/>
    </row>
    <row r="15" spans="1:10" ht="13.05" customHeight="1">
      <c r="A15" s="5"/>
      <c r="B15" s="14" t="s">
        <v>192</v>
      </c>
      <c r="C15" s="15"/>
      <c r="D15" s="15"/>
      <c r="E15" s="15"/>
      <c r="F15" s="25">
        <v>1.3495999999999999</v>
      </c>
      <c r="G15" s="26">
        <v>2.0000000000000001E-4</v>
      </c>
      <c r="H15" s="27"/>
      <c r="I15" s="28"/>
      <c r="J15" s="5"/>
    </row>
    <row r="16" spans="1:10" ht="13.05" customHeight="1">
      <c r="A16" s="5"/>
      <c r="B16" s="29" t="s">
        <v>193</v>
      </c>
      <c r="C16" s="2"/>
      <c r="D16" s="2"/>
      <c r="E16" s="2"/>
      <c r="F16" s="27" t="s">
        <v>194</v>
      </c>
      <c r="G16" s="27" t="s">
        <v>194</v>
      </c>
      <c r="H16" s="27"/>
      <c r="I16" s="28"/>
      <c r="J16" s="5"/>
    </row>
    <row r="17" spans="1:10" ht="13.05" customHeight="1">
      <c r="A17" s="5"/>
      <c r="B17" s="29" t="s">
        <v>192</v>
      </c>
      <c r="C17" s="2"/>
      <c r="D17" s="2"/>
      <c r="E17" s="2"/>
      <c r="F17" s="27" t="s">
        <v>194</v>
      </c>
      <c r="G17" s="27" t="s">
        <v>194</v>
      </c>
      <c r="H17" s="27"/>
      <c r="I17" s="28"/>
      <c r="J17" s="5"/>
    </row>
    <row r="18" spans="1:10" ht="13.05" customHeight="1">
      <c r="A18" s="5"/>
      <c r="B18" s="29" t="s">
        <v>195</v>
      </c>
      <c r="C18" s="30"/>
      <c r="D18" s="2"/>
      <c r="E18" s="30"/>
      <c r="F18" s="25">
        <v>1.3495999999999999</v>
      </c>
      <c r="G18" s="26">
        <v>2.0000000000000001E-4</v>
      </c>
      <c r="H18" s="27"/>
      <c r="I18" s="28"/>
      <c r="J18" s="5"/>
    </row>
    <row r="19" spans="1:10" ht="13.05" customHeight="1">
      <c r="A19" s="5"/>
      <c r="B19" s="29" t="s">
        <v>199</v>
      </c>
      <c r="C19" s="15"/>
      <c r="D19" s="2"/>
      <c r="E19" s="15"/>
      <c r="F19" s="31">
        <v>20.5489</v>
      </c>
      <c r="G19" s="26">
        <v>2.5000000000000001E-3</v>
      </c>
      <c r="H19" s="27"/>
      <c r="I19" s="28"/>
      <c r="J19" s="5"/>
    </row>
    <row r="20" spans="1:10" ht="13.05" customHeight="1">
      <c r="A20" s="5"/>
      <c r="B20" s="32" t="s">
        <v>200</v>
      </c>
      <c r="C20" s="33"/>
      <c r="D20" s="33"/>
      <c r="E20" s="33"/>
      <c r="F20" s="34">
        <v>8111.8</v>
      </c>
      <c r="G20" s="35">
        <v>1</v>
      </c>
      <c r="H20" s="36"/>
      <c r="I20" s="37"/>
      <c r="J20" s="5"/>
    </row>
    <row r="21" spans="1:10" ht="13.05" customHeight="1">
      <c r="A21" s="5"/>
      <c r="B21" s="7"/>
      <c r="C21" s="5"/>
      <c r="D21" s="5"/>
      <c r="E21" s="5"/>
      <c r="F21" s="5"/>
      <c r="G21" s="5"/>
      <c r="H21" s="5"/>
      <c r="I21" s="5"/>
      <c r="J21" s="5"/>
    </row>
    <row r="22" spans="1:10" ht="13.05" customHeight="1">
      <c r="A22" s="5"/>
      <c r="B22" s="4" t="s">
        <v>201</v>
      </c>
      <c r="C22" s="5"/>
      <c r="D22" s="5"/>
      <c r="E22" s="5"/>
      <c r="F22" s="5"/>
      <c r="G22" s="5"/>
      <c r="H22" s="5"/>
      <c r="I22" s="5"/>
      <c r="J22" s="5"/>
    </row>
    <row r="23" spans="1:10" ht="25.95" customHeight="1">
      <c r="A23" s="5"/>
      <c r="B23" s="103" t="s">
        <v>202</v>
      </c>
      <c r="C23" s="103"/>
      <c r="D23" s="103"/>
      <c r="E23" s="103"/>
      <c r="F23" s="103"/>
      <c r="G23" s="103"/>
      <c r="H23" s="103"/>
      <c r="I23" s="103"/>
      <c r="J23" s="5"/>
    </row>
    <row r="24" spans="1:10" ht="13.05" customHeight="1">
      <c r="A24" s="5"/>
      <c r="B24" s="103" t="s">
        <v>203</v>
      </c>
      <c r="C24" s="103"/>
      <c r="D24" s="103"/>
      <c r="E24" s="103"/>
      <c r="F24" s="103"/>
      <c r="G24" s="103"/>
      <c r="H24" s="103"/>
      <c r="I24" s="103"/>
      <c r="J24" s="5"/>
    </row>
    <row r="25" spans="1:10" ht="13.05" customHeight="1">
      <c r="A25" s="5"/>
      <c r="B25" s="103"/>
      <c r="C25" s="103"/>
      <c r="D25" s="103"/>
      <c r="E25" s="103"/>
      <c r="F25" s="103"/>
      <c r="G25" s="103"/>
      <c r="H25" s="103"/>
      <c r="I25" s="103"/>
      <c r="J25" s="5"/>
    </row>
    <row r="26" spans="1:10" ht="13.05" customHeight="1">
      <c r="A26" s="5"/>
      <c r="B26" s="103"/>
      <c r="C26" s="103"/>
      <c r="D26" s="103"/>
      <c r="E26" s="103"/>
      <c r="F26" s="103"/>
      <c r="G26" s="103"/>
      <c r="H26" s="103"/>
      <c r="I26" s="103"/>
      <c r="J26" s="5"/>
    </row>
    <row r="27" spans="1:10" ht="13.05" customHeight="1">
      <c r="A27" s="5"/>
      <c r="B27" s="103"/>
      <c r="C27" s="103"/>
      <c r="D27" s="103"/>
      <c r="E27" s="103"/>
      <c r="F27" s="103"/>
      <c r="G27" s="103"/>
      <c r="H27" s="103"/>
      <c r="I27" s="103"/>
      <c r="J27" s="5"/>
    </row>
    <row r="28" spans="1:10" ht="13.05" customHeight="1">
      <c r="A28" s="5"/>
      <c r="B28" s="103"/>
      <c r="C28" s="103"/>
      <c r="D28" s="103"/>
      <c r="E28" s="103"/>
      <c r="F28" s="103"/>
      <c r="G28" s="103"/>
      <c r="H28" s="103"/>
      <c r="I28" s="103"/>
      <c r="J28" s="5"/>
    </row>
    <row r="29" spans="1:10" ht="13.05" customHeight="1">
      <c r="A29" s="5"/>
      <c r="B29" s="5"/>
      <c r="C29" s="104" t="s">
        <v>206</v>
      </c>
      <c r="D29" s="104"/>
      <c r="E29" s="104"/>
      <c r="F29" s="104"/>
      <c r="G29" s="5"/>
      <c r="H29" s="5"/>
      <c r="I29" s="5"/>
      <c r="J29" s="5"/>
    </row>
    <row r="30" spans="1:10" ht="13.05" customHeight="1">
      <c r="A30" s="5"/>
      <c r="B30" s="38" t="s">
        <v>207</v>
      </c>
      <c r="C30" s="104" t="s">
        <v>208</v>
      </c>
      <c r="D30" s="104"/>
      <c r="E30" s="104"/>
      <c r="F30" s="104"/>
      <c r="G30" s="5"/>
      <c r="H30" s="5"/>
      <c r="I30" s="5"/>
      <c r="J30" s="5"/>
    </row>
    <row r="31" spans="1:10" ht="135" customHeight="1">
      <c r="A31" s="5"/>
      <c r="B31" s="39"/>
      <c r="C31" s="105"/>
      <c r="D31" s="105"/>
      <c r="E31" s="5"/>
      <c r="F31" s="5"/>
      <c r="G31" s="5"/>
      <c r="H31" s="5"/>
      <c r="I31" s="5"/>
      <c r="J31" s="5"/>
    </row>
  </sheetData>
  <mergeCells count="9">
    <mergeCell ref="B28:I28"/>
    <mergeCell ref="C29:F29"/>
    <mergeCell ref="C30:F30"/>
    <mergeCell ref="C31:D31"/>
    <mergeCell ref="B23:I23"/>
    <mergeCell ref="B24:I24"/>
    <mergeCell ref="B25:I25"/>
    <mergeCell ref="B26:I26"/>
    <mergeCell ref="B27:I27"/>
  </mergeCells>
  <hyperlinks>
    <hyperlink ref="A1" location="AxisFixedTermPlanSeries1121143Days" display="AXIS112" xr:uid="{00000000-0004-0000-0100-000000000000}"/>
    <hyperlink ref="B1" location="AxisFixedTermPlanSeries1121143Days" display="Axis Fixed Term Plan - Series 112 (1143 Days)" xr:uid="{00000000-0004-0000-0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J43"/>
  <sheetViews>
    <sheetView topLeftCell="A32" workbookViewId="0">
      <selection activeCell="B33" sqref="B33"/>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6</v>
      </c>
      <c r="B1" s="4" t="s">
        <v>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210</v>
      </c>
      <c r="B7" s="19" t="s">
        <v>211</v>
      </c>
      <c r="C7" s="15" t="s">
        <v>212</v>
      </c>
      <c r="D7" s="15" t="s">
        <v>213</v>
      </c>
      <c r="E7" s="20">
        <v>1050</v>
      </c>
      <c r="F7" s="21">
        <v>1053.3905</v>
      </c>
      <c r="G7" s="22">
        <v>0.107</v>
      </c>
      <c r="H7" s="23">
        <v>6.2798000000000007E-2</v>
      </c>
      <c r="I7" s="24"/>
      <c r="J7" s="5"/>
    </row>
    <row r="8" spans="1:10" ht="13.05" customHeight="1">
      <c r="A8" s="18" t="s">
        <v>214</v>
      </c>
      <c r="B8" s="19" t="s">
        <v>215</v>
      </c>
      <c r="C8" s="15" t="s">
        <v>216</v>
      </c>
      <c r="D8" s="15" t="s">
        <v>213</v>
      </c>
      <c r="E8" s="20">
        <v>950</v>
      </c>
      <c r="F8" s="21">
        <v>954.04700000000003</v>
      </c>
      <c r="G8" s="22">
        <v>9.69E-2</v>
      </c>
      <c r="H8" s="23">
        <v>6.4251000000000003E-2</v>
      </c>
      <c r="I8" s="24"/>
      <c r="J8" s="5"/>
    </row>
    <row r="9" spans="1:10" ht="13.05" customHeight="1">
      <c r="A9" s="18" t="s">
        <v>217</v>
      </c>
      <c r="B9" s="19" t="s">
        <v>218</v>
      </c>
      <c r="C9" s="15" t="s">
        <v>219</v>
      </c>
      <c r="D9" s="15" t="s">
        <v>213</v>
      </c>
      <c r="E9" s="20">
        <v>900</v>
      </c>
      <c r="F9" s="21">
        <v>903.43619999999999</v>
      </c>
      <c r="G9" s="22">
        <v>9.1800000000000007E-2</v>
      </c>
      <c r="H9" s="23">
        <v>6.2350000000000003E-2</v>
      </c>
      <c r="I9" s="24"/>
      <c r="J9" s="5"/>
    </row>
    <row r="10" spans="1:10" ht="13.05" customHeight="1">
      <c r="A10" s="18" t="s">
        <v>220</v>
      </c>
      <c r="B10" s="19" t="s">
        <v>221</v>
      </c>
      <c r="C10" s="15" t="s">
        <v>222</v>
      </c>
      <c r="D10" s="15" t="s">
        <v>213</v>
      </c>
      <c r="E10" s="20">
        <v>900</v>
      </c>
      <c r="F10" s="21">
        <v>903.35789999999997</v>
      </c>
      <c r="G10" s="22">
        <v>9.1800000000000007E-2</v>
      </c>
      <c r="H10" s="23">
        <v>6.2649999999999997E-2</v>
      </c>
      <c r="I10" s="24"/>
      <c r="J10" s="5"/>
    </row>
    <row r="11" spans="1:10" ht="13.05" customHeight="1">
      <c r="A11" s="18" t="s">
        <v>223</v>
      </c>
      <c r="B11" s="19" t="s">
        <v>224</v>
      </c>
      <c r="C11" s="15" t="s">
        <v>225</v>
      </c>
      <c r="D11" s="15" t="s">
        <v>213</v>
      </c>
      <c r="E11" s="20">
        <v>900</v>
      </c>
      <c r="F11" s="21">
        <v>902.952</v>
      </c>
      <c r="G11" s="22">
        <v>9.1700000000000004E-2</v>
      </c>
      <c r="H11" s="23">
        <v>6.2451E-2</v>
      </c>
      <c r="I11" s="24"/>
      <c r="J11" s="5"/>
    </row>
    <row r="12" spans="1:10" ht="13.05" customHeight="1">
      <c r="A12" s="18" t="s">
        <v>226</v>
      </c>
      <c r="B12" s="19" t="s">
        <v>227</v>
      </c>
      <c r="C12" s="15" t="s">
        <v>228</v>
      </c>
      <c r="D12" s="15" t="s">
        <v>213</v>
      </c>
      <c r="E12" s="20">
        <v>89</v>
      </c>
      <c r="F12" s="21">
        <v>893.11680000000001</v>
      </c>
      <c r="G12" s="22">
        <v>9.0700000000000003E-2</v>
      </c>
      <c r="H12" s="23">
        <v>6.5200999999999995E-2</v>
      </c>
      <c r="I12" s="24"/>
      <c r="J12" s="5"/>
    </row>
    <row r="13" spans="1:10" ht="13.05" customHeight="1">
      <c r="A13" s="18" t="s">
        <v>229</v>
      </c>
      <c r="B13" s="19" t="s">
        <v>230</v>
      </c>
      <c r="C13" s="15" t="s">
        <v>231</v>
      </c>
      <c r="D13" s="15" t="s">
        <v>213</v>
      </c>
      <c r="E13" s="20">
        <v>87</v>
      </c>
      <c r="F13" s="21">
        <v>871.3424</v>
      </c>
      <c r="G13" s="22">
        <v>8.8499999999999995E-2</v>
      </c>
      <c r="H13" s="23">
        <v>6.0847999999999999E-2</v>
      </c>
      <c r="I13" s="24"/>
      <c r="J13" s="5"/>
    </row>
    <row r="14" spans="1:10" ht="13.05" customHeight="1">
      <c r="A14" s="18" t="s">
        <v>232</v>
      </c>
      <c r="B14" s="19" t="s">
        <v>233</v>
      </c>
      <c r="C14" s="15" t="s">
        <v>234</v>
      </c>
      <c r="D14" s="15" t="s">
        <v>213</v>
      </c>
      <c r="E14" s="20">
        <v>75</v>
      </c>
      <c r="F14" s="21">
        <v>754.31849999999997</v>
      </c>
      <c r="G14" s="22">
        <v>7.6600000000000001E-2</v>
      </c>
      <c r="H14" s="23">
        <v>6.3350000000000004E-2</v>
      </c>
      <c r="I14" s="24"/>
      <c r="J14" s="5"/>
    </row>
    <row r="15" spans="1:10" ht="13.05" customHeight="1">
      <c r="A15" s="18" t="s">
        <v>235</v>
      </c>
      <c r="B15" s="19" t="s">
        <v>236</v>
      </c>
      <c r="C15" s="15" t="s">
        <v>237</v>
      </c>
      <c r="D15" s="15" t="s">
        <v>213</v>
      </c>
      <c r="E15" s="20">
        <v>75</v>
      </c>
      <c r="F15" s="21">
        <v>750.31050000000005</v>
      </c>
      <c r="G15" s="22">
        <v>7.6200000000000004E-2</v>
      </c>
      <c r="H15" s="23">
        <v>6.4645999999999995E-2</v>
      </c>
      <c r="I15" s="24"/>
      <c r="J15" s="5"/>
    </row>
    <row r="16" spans="1:10" ht="13.05" customHeight="1">
      <c r="A16" s="18" t="s">
        <v>238</v>
      </c>
      <c r="B16" s="19" t="s">
        <v>239</v>
      </c>
      <c r="C16" s="15" t="s">
        <v>240</v>
      </c>
      <c r="D16" s="15" t="s">
        <v>213</v>
      </c>
      <c r="E16" s="20">
        <v>50</v>
      </c>
      <c r="F16" s="21">
        <v>502.32</v>
      </c>
      <c r="G16" s="22">
        <v>5.0999999999999997E-2</v>
      </c>
      <c r="H16" s="23">
        <v>6.3242000000000007E-2</v>
      </c>
      <c r="I16" s="24"/>
      <c r="J16" s="5"/>
    </row>
    <row r="17" spans="1:10" ht="13.05" customHeight="1">
      <c r="A17" s="18" t="s">
        <v>241</v>
      </c>
      <c r="B17" s="19" t="s">
        <v>242</v>
      </c>
      <c r="C17" s="15" t="s">
        <v>243</v>
      </c>
      <c r="D17" s="15" t="s">
        <v>213</v>
      </c>
      <c r="E17" s="20">
        <v>500</v>
      </c>
      <c r="F17" s="21">
        <v>501.66</v>
      </c>
      <c r="G17" s="22">
        <v>5.0999999999999997E-2</v>
      </c>
      <c r="H17" s="23">
        <v>6.3500000000000001E-2</v>
      </c>
      <c r="I17" s="24"/>
      <c r="J17" s="5"/>
    </row>
    <row r="18" spans="1:10" ht="13.05" customHeight="1">
      <c r="A18" s="18" t="s">
        <v>244</v>
      </c>
      <c r="B18" s="19" t="s">
        <v>245</v>
      </c>
      <c r="C18" s="15" t="s">
        <v>246</v>
      </c>
      <c r="D18" s="15" t="s">
        <v>213</v>
      </c>
      <c r="E18" s="20">
        <v>25</v>
      </c>
      <c r="F18" s="21">
        <v>251.7775</v>
      </c>
      <c r="G18" s="22">
        <v>2.5600000000000001E-2</v>
      </c>
      <c r="H18" s="23">
        <v>6.3500000000000001E-2</v>
      </c>
      <c r="I18" s="24"/>
      <c r="J18" s="5"/>
    </row>
    <row r="19" spans="1:10" ht="13.05" customHeight="1">
      <c r="A19" s="18" t="s">
        <v>247</v>
      </c>
      <c r="B19" s="19" t="s">
        <v>248</v>
      </c>
      <c r="C19" s="15" t="s">
        <v>249</v>
      </c>
      <c r="D19" s="15" t="s">
        <v>213</v>
      </c>
      <c r="E19" s="20">
        <v>50</v>
      </c>
      <c r="F19" s="21">
        <v>50.194699999999997</v>
      </c>
      <c r="G19" s="22">
        <v>5.1000000000000004E-3</v>
      </c>
      <c r="H19" s="23">
        <v>6.4299999999999996E-2</v>
      </c>
      <c r="I19" s="24"/>
      <c r="J19" s="5"/>
    </row>
    <row r="20" spans="1:10" ht="13.05" customHeight="1">
      <c r="A20" s="5"/>
      <c r="B20" s="14" t="s">
        <v>192</v>
      </c>
      <c r="C20" s="15"/>
      <c r="D20" s="15"/>
      <c r="E20" s="15"/>
      <c r="F20" s="25">
        <v>9292.2239000000009</v>
      </c>
      <c r="G20" s="26">
        <v>0.94399999999999995</v>
      </c>
      <c r="H20" s="27"/>
      <c r="I20" s="28"/>
      <c r="J20" s="5"/>
    </row>
    <row r="21" spans="1:10" ht="13.05" customHeight="1">
      <c r="A21" s="5"/>
      <c r="B21" s="29" t="s">
        <v>193</v>
      </c>
      <c r="C21" s="2"/>
      <c r="D21" s="2"/>
      <c r="E21" s="2"/>
      <c r="F21" s="27" t="s">
        <v>194</v>
      </c>
      <c r="G21" s="27" t="s">
        <v>194</v>
      </c>
      <c r="H21" s="27"/>
      <c r="I21" s="28"/>
      <c r="J21" s="5"/>
    </row>
    <row r="22" spans="1:10" ht="13.05" customHeight="1">
      <c r="A22" s="5"/>
      <c r="B22" s="29" t="s">
        <v>192</v>
      </c>
      <c r="C22" s="2"/>
      <c r="D22" s="2"/>
      <c r="E22" s="2"/>
      <c r="F22" s="27" t="s">
        <v>194</v>
      </c>
      <c r="G22" s="27" t="s">
        <v>194</v>
      </c>
      <c r="H22" s="27"/>
      <c r="I22" s="28"/>
      <c r="J22" s="5"/>
    </row>
    <row r="23" spans="1:10" ht="13.05" customHeight="1">
      <c r="A23" s="5"/>
      <c r="B23" s="29" t="s">
        <v>195</v>
      </c>
      <c r="C23" s="30"/>
      <c r="D23" s="2"/>
      <c r="E23" s="30"/>
      <c r="F23" s="25">
        <v>9292.2239000000009</v>
      </c>
      <c r="G23" s="26">
        <v>0.94399999999999995</v>
      </c>
      <c r="H23" s="27"/>
      <c r="I23" s="28"/>
      <c r="J23" s="5"/>
    </row>
    <row r="24" spans="1:10" ht="13.05" customHeight="1">
      <c r="A24" s="5"/>
      <c r="B24" s="14" t="s">
        <v>196</v>
      </c>
      <c r="C24" s="15"/>
      <c r="D24" s="15"/>
      <c r="E24" s="15"/>
      <c r="F24" s="15"/>
      <c r="G24" s="15"/>
      <c r="H24" s="16"/>
      <c r="I24" s="17"/>
      <c r="J24" s="5"/>
    </row>
    <row r="25" spans="1:10" ht="13.05" customHeight="1">
      <c r="A25" s="18" t="s">
        <v>197</v>
      </c>
      <c r="B25" s="19" t="s">
        <v>198</v>
      </c>
      <c r="C25" s="15"/>
      <c r="D25" s="15"/>
      <c r="E25" s="20"/>
      <c r="F25" s="21">
        <v>142.47659999999999</v>
      </c>
      <c r="G25" s="22">
        <v>1.4500000000000001E-2</v>
      </c>
      <c r="H25" s="23">
        <v>5.5573646228281481E-2</v>
      </c>
      <c r="I25" s="24"/>
      <c r="J25" s="5"/>
    </row>
    <row r="26" spans="1:10" ht="13.05" customHeight="1">
      <c r="A26" s="5"/>
      <c r="B26" s="14" t="s">
        <v>192</v>
      </c>
      <c r="C26" s="15"/>
      <c r="D26" s="15"/>
      <c r="E26" s="15"/>
      <c r="F26" s="25">
        <v>142.47659999999999</v>
      </c>
      <c r="G26" s="26">
        <v>1.4500000000000001E-2</v>
      </c>
      <c r="H26" s="27"/>
      <c r="I26" s="28"/>
      <c r="J26" s="5"/>
    </row>
    <row r="27" spans="1:10" ht="13.05" customHeight="1">
      <c r="A27" s="5"/>
      <c r="B27" s="29" t="s">
        <v>193</v>
      </c>
      <c r="C27" s="2"/>
      <c r="D27" s="2"/>
      <c r="E27" s="2"/>
      <c r="F27" s="27" t="s">
        <v>194</v>
      </c>
      <c r="G27" s="27" t="s">
        <v>194</v>
      </c>
      <c r="H27" s="27"/>
      <c r="I27" s="28"/>
      <c r="J27" s="5"/>
    </row>
    <row r="28" spans="1:10" ht="13.05" customHeight="1">
      <c r="A28" s="5"/>
      <c r="B28" s="29" t="s">
        <v>192</v>
      </c>
      <c r="C28" s="2"/>
      <c r="D28" s="2"/>
      <c r="E28" s="2"/>
      <c r="F28" s="27" t="s">
        <v>194</v>
      </c>
      <c r="G28" s="27" t="s">
        <v>194</v>
      </c>
      <c r="H28" s="27"/>
      <c r="I28" s="28"/>
      <c r="J28" s="5"/>
    </row>
    <row r="29" spans="1:10" ht="13.05" customHeight="1">
      <c r="A29" s="5"/>
      <c r="B29" s="29" t="s">
        <v>195</v>
      </c>
      <c r="C29" s="30"/>
      <c r="D29" s="2"/>
      <c r="E29" s="30"/>
      <c r="F29" s="25">
        <v>142.47659999999999</v>
      </c>
      <c r="G29" s="26">
        <v>1.4500000000000001E-2</v>
      </c>
      <c r="H29" s="27"/>
      <c r="I29" s="28"/>
      <c r="J29" s="5"/>
    </row>
    <row r="30" spans="1:10" ht="13.05" customHeight="1">
      <c r="A30" s="5"/>
      <c r="B30" s="29" t="s">
        <v>199</v>
      </c>
      <c r="C30" s="15"/>
      <c r="D30" s="2"/>
      <c r="E30" s="15"/>
      <c r="F30" s="31">
        <v>408.84949999999998</v>
      </c>
      <c r="G30" s="26">
        <v>4.1500000000000002E-2</v>
      </c>
      <c r="H30" s="27"/>
      <c r="I30" s="28"/>
      <c r="J30" s="5"/>
    </row>
    <row r="31" spans="1:10" ht="13.05" customHeight="1">
      <c r="A31" s="5"/>
      <c r="B31" s="32" t="s">
        <v>200</v>
      </c>
      <c r="C31" s="33"/>
      <c r="D31" s="33"/>
      <c r="E31" s="33"/>
      <c r="F31" s="34">
        <v>9843.5499999999993</v>
      </c>
      <c r="G31" s="35">
        <v>1</v>
      </c>
      <c r="H31" s="36"/>
      <c r="I31" s="37"/>
      <c r="J31" s="5"/>
    </row>
    <row r="32" spans="1:10" ht="13.05" customHeight="1">
      <c r="A32" s="5"/>
      <c r="B32" s="7"/>
      <c r="C32" s="5"/>
      <c r="D32" s="5"/>
      <c r="E32" s="5"/>
      <c r="F32" s="5"/>
      <c r="G32" s="5"/>
      <c r="H32" s="5"/>
      <c r="I32" s="5"/>
      <c r="J32" s="5"/>
    </row>
    <row r="33" spans="1:10" ht="13.05" customHeight="1">
      <c r="A33" s="5"/>
      <c r="B33" s="4" t="s">
        <v>250</v>
      </c>
      <c r="C33" s="5"/>
      <c r="D33" s="5"/>
      <c r="E33" s="5"/>
      <c r="F33" s="5"/>
      <c r="G33" s="5"/>
      <c r="H33" s="5"/>
      <c r="I33" s="5"/>
      <c r="J33" s="5"/>
    </row>
    <row r="34" spans="1:10" ht="13.05" customHeight="1">
      <c r="A34" s="5"/>
      <c r="B34" s="4" t="s">
        <v>201</v>
      </c>
      <c r="C34" s="5"/>
      <c r="D34" s="5"/>
      <c r="E34" s="5"/>
      <c r="F34" s="5"/>
      <c r="G34" s="5"/>
      <c r="H34" s="5"/>
      <c r="I34" s="5"/>
      <c r="J34" s="5"/>
    </row>
    <row r="35" spans="1:10" ht="25.95" customHeight="1">
      <c r="A35" s="5"/>
      <c r="B35" s="103" t="s">
        <v>202</v>
      </c>
      <c r="C35" s="103"/>
      <c r="D35" s="103"/>
      <c r="E35" s="103"/>
      <c r="F35" s="103"/>
      <c r="G35" s="103"/>
      <c r="H35" s="103"/>
      <c r="I35" s="103"/>
      <c r="J35" s="5"/>
    </row>
    <row r="36" spans="1:10" ht="13.05" customHeight="1">
      <c r="A36" s="5"/>
      <c r="B36" s="103" t="s">
        <v>203</v>
      </c>
      <c r="C36" s="103"/>
      <c r="D36" s="103"/>
      <c r="E36" s="103"/>
      <c r="F36" s="103"/>
      <c r="G36" s="103"/>
      <c r="H36" s="103"/>
      <c r="I36" s="103"/>
      <c r="J36" s="5"/>
    </row>
    <row r="37" spans="1:10" ht="13.05" customHeight="1">
      <c r="A37" s="5"/>
      <c r="B37" s="103"/>
      <c r="C37" s="103"/>
      <c r="D37" s="103"/>
      <c r="E37" s="103"/>
      <c r="F37" s="103"/>
      <c r="G37" s="103"/>
      <c r="H37" s="103"/>
      <c r="I37" s="103"/>
      <c r="J37" s="5"/>
    </row>
    <row r="38" spans="1:10" ht="13.05" customHeight="1">
      <c r="A38" s="5"/>
      <c r="B38" s="103"/>
      <c r="C38" s="103"/>
      <c r="D38" s="103"/>
      <c r="E38" s="103"/>
      <c r="F38" s="103"/>
      <c r="G38" s="103"/>
      <c r="H38" s="103"/>
      <c r="I38" s="103"/>
      <c r="J38" s="5"/>
    </row>
    <row r="39" spans="1:10" ht="13.05" customHeight="1">
      <c r="A39" s="5"/>
      <c r="B39" s="103"/>
      <c r="C39" s="103"/>
      <c r="D39" s="103"/>
      <c r="E39" s="103"/>
      <c r="F39" s="103"/>
      <c r="G39" s="103"/>
      <c r="H39" s="103"/>
      <c r="I39" s="103"/>
      <c r="J39" s="5"/>
    </row>
    <row r="40" spans="1:10" ht="13.05" customHeight="1">
      <c r="A40" s="5"/>
      <c r="B40" s="103"/>
      <c r="C40" s="103"/>
      <c r="D40" s="103"/>
      <c r="E40" s="103"/>
      <c r="F40" s="103"/>
      <c r="G40" s="103"/>
      <c r="H40" s="103"/>
      <c r="I40" s="103"/>
      <c r="J40" s="5"/>
    </row>
    <row r="41" spans="1:10" ht="13.05" customHeight="1">
      <c r="A41" s="5"/>
      <c r="B41" s="5"/>
      <c r="C41" s="104" t="s">
        <v>206</v>
      </c>
      <c r="D41" s="104"/>
      <c r="E41" s="104"/>
      <c r="F41" s="104"/>
      <c r="G41" s="5"/>
      <c r="H41" s="5"/>
      <c r="I41" s="5"/>
      <c r="J41" s="5"/>
    </row>
    <row r="42" spans="1:10" ht="13.05" customHeight="1">
      <c r="A42" s="5"/>
      <c r="B42" s="38" t="s">
        <v>207</v>
      </c>
      <c r="C42" s="104" t="s">
        <v>208</v>
      </c>
      <c r="D42" s="104"/>
      <c r="E42" s="104"/>
      <c r="F42" s="104"/>
      <c r="G42" s="5"/>
      <c r="H42" s="5"/>
      <c r="I42" s="5"/>
      <c r="J42" s="5"/>
    </row>
    <row r="43" spans="1:10" ht="135" customHeight="1">
      <c r="A43" s="5"/>
      <c r="B43" s="39"/>
      <c r="C43" s="105"/>
      <c r="D43" s="105"/>
      <c r="E43" s="5"/>
      <c r="F43" s="5"/>
      <c r="G43" s="5"/>
      <c r="H43" s="5"/>
      <c r="I43" s="5"/>
      <c r="J43" s="5"/>
    </row>
  </sheetData>
  <mergeCells count="9">
    <mergeCell ref="B40:I40"/>
    <mergeCell ref="C41:F41"/>
    <mergeCell ref="C42:F42"/>
    <mergeCell ref="C43:D43"/>
    <mergeCell ref="B35:I35"/>
    <mergeCell ref="B36:I36"/>
    <mergeCell ref="B37:I37"/>
    <mergeCell ref="B38:I38"/>
    <mergeCell ref="B39:I39"/>
  </mergeCells>
  <hyperlinks>
    <hyperlink ref="A1" location="AxisFixedTermPlanSeries1131228Days" display="AXIS113" xr:uid="{00000000-0004-0000-0200-000000000000}"/>
    <hyperlink ref="B1" location="AxisFixedTermPlanSeries1131228Days" display="Axis Fixed Term Plan - Series 113 (1228 Days)" xr:uid="{00000000-0004-0000-0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heetPr>
  <dimension ref="A1:J535"/>
  <sheetViews>
    <sheetView topLeftCell="A444" workbookViewId="0">
      <selection activeCell="D456" sqref="D456"/>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8</v>
      </c>
      <c r="B1" s="4" t="s">
        <v>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233134</v>
      </c>
      <c r="F7" s="21">
        <v>2301.732</v>
      </c>
      <c r="G7" s="22">
        <v>7.5600000000000001E-2</v>
      </c>
      <c r="H7" s="40"/>
      <c r="I7" s="24"/>
      <c r="J7" s="5"/>
    </row>
    <row r="8" spans="1:10" ht="13.05" customHeight="1">
      <c r="A8" s="18" t="s">
        <v>258</v>
      </c>
      <c r="B8" s="19" t="s">
        <v>259</v>
      </c>
      <c r="C8" s="15" t="s">
        <v>260</v>
      </c>
      <c r="D8" s="15" t="s">
        <v>261</v>
      </c>
      <c r="E8" s="20">
        <v>103260</v>
      </c>
      <c r="F8" s="21">
        <v>1534.8566000000001</v>
      </c>
      <c r="G8" s="22">
        <v>5.04E-2</v>
      </c>
      <c r="H8" s="40"/>
      <c r="I8" s="24"/>
      <c r="J8" s="5"/>
    </row>
    <row r="9" spans="1:10" ht="13.05" customHeight="1">
      <c r="A9" s="18" t="s">
        <v>262</v>
      </c>
      <c r="B9" s="19" t="s">
        <v>263</v>
      </c>
      <c r="C9" s="15" t="s">
        <v>264</v>
      </c>
      <c r="D9" s="15" t="s">
        <v>257</v>
      </c>
      <c r="E9" s="20">
        <v>108848</v>
      </c>
      <c r="F9" s="21">
        <v>1464.3321000000001</v>
      </c>
      <c r="G9" s="22">
        <v>4.8099999999999997E-2</v>
      </c>
      <c r="H9" s="40"/>
      <c r="I9" s="24"/>
      <c r="J9" s="5"/>
    </row>
    <row r="10" spans="1:10" ht="13.05" customHeight="1">
      <c r="A10" s="18" t="s">
        <v>265</v>
      </c>
      <c r="B10" s="19" t="s">
        <v>266</v>
      </c>
      <c r="C10" s="15" t="s">
        <v>267</v>
      </c>
      <c r="D10" s="15" t="s">
        <v>268</v>
      </c>
      <c r="E10" s="20">
        <v>41580</v>
      </c>
      <c r="F10" s="21">
        <v>854.26110000000006</v>
      </c>
      <c r="G10" s="22">
        <v>2.8000000000000001E-2</v>
      </c>
      <c r="H10" s="40"/>
      <c r="I10" s="24"/>
      <c r="J10" s="5"/>
    </row>
    <row r="11" spans="1:10" ht="13.05" customHeight="1">
      <c r="A11" s="18" t="s">
        <v>269</v>
      </c>
      <c r="B11" s="19" t="s">
        <v>270</v>
      </c>
      <c r="C11" s="15" t="s">
        <v>271</v>
      </c>
      <c r="D11" s="15" t="s">
        <v>272</v>
      </c>
      <c r="E11" s="20">
        <v>54946</v>
      </c>
      <c r="F11" s="21">
        <v>814.46460000000002</v>
      </c>
      <c r="G11" s="22">
        <v>2.6700000000000002E-2</v>
      </c>
      <c r="H11" s="40"/>
      <c r="I11" s="24"/>
      <c r="J11" s="5"/>
    </row>
    <row r="12" spans="1:10" ht="13.05" customHeight="1">
      <c r="A12" s="18" t="s">
        <v>273</v>
      </c>
      <c r="B12" s="19" t="s">
        <v>274</v>
      </c>
      <c r="C12" s="15" t="s">
        <v>275</v>
      </c>
      <c r="D12" s="15" t="s">
        <v>276</v>
      </c>
      <c r="E12" s="20">
        <v>17917</v>
      </c>
      <c r="F12" s="21">
        <v>722.21640000000002</v>
      </c>
      <c r="G12" s="22">
        <v>2.3699999999999999E-2</v>
      </c>
      <c r="H12" s="40"/>
      <c r="I12" s="24"/>
      <c r="J12" s="5"/>
    </row>
    <row r="13" spans="1:10" ht="13.05" customHeight="1">
      <c r="A13" s="18" t="s">
        <v>277</v>
      </c>
      <c r="B13" s="19" t="s">
        <v>278</v>
      </c>
      <c r="C13" s="15" t="s">
        <v>279</v>
      </c>
      <c r="D13" s="15" t="s">
        <v>280</v>
      </c>
      <c r="E13" s="20">
        <v>146976</v>
      </c>
      <c r="F13" s="21">
        <v>617.81359999999995</v>
      </c>
      <c r="G13" s="22">
        <v>2.0299999999999999E-2</v>
      </c>
      <c r="H13" s="40"/>
      <c r="I13" s="24"/>
      <c r="J13" s="5"/>
    </row>
    <row r="14" spans="1:10" ht="13.05" customHeight="1">
      <c r="A14" s="18" t="s">
        <v>281</v>
      </c>
      <c r="B14" s="19" t="s">
        <v>282</v>
      </c>
      <c r="C14" s="15" t="s">
        <v>283</v>
      </c>
      <c r="D14" s="15" t="s">
        <v>257</v>
      </c>
      <c r="E14" s="20">
        <v>63302</v>
      </c>
      <c r="F14" s="21">
        <v>593.13969999999995</v>
      </c>
      <c r="G14" s="22">
        <v>1.95E-2</v>
      </c>
      <c r="H14" s="40"/>
      <c r="I14" s="24"/>
      <c r="J14" s="5"/>
    </row>
    <row r="15" spans="1:10" ht="13.05" customHeight="1">
      <c r="A15" s="18" t="s">
        <v>284</v>
      </c>
      <c r="B15" s="19" t="s">
        <v>285</v>
      </c>
      <c r="C15" s="15" t="s">
        <v>286</v>
      </c>
      <c r="D15" s="15" t="s">
        <v>257</v>
      </c>
      <c r="E15" s="20">
        <v>43687</v>
      </c>
      <c r="F15" s="21">
        <v>538.57330000000002</v>
      </c>
      <c r="G15" s="22">
        <v>1.77E-2</v>
      </c>
      <c r="H15" s="40"/>
      <c r="I15" s="24"/>
      <c r="J15" s="5"/>
    </row>
    <row r="16" spans="1:10" ht="13.05" customHeight="1">
      <c r="A16" s="18" t="s">
        <v>287</v>
      </c>
      <c r="B16" s="19" t="s">
        <v>288</v>
      </c>
      <c r="C16" s="15" t="s">
        <v>289</v>
      </c>
      <c r="D16" s="15" t="s">
        <v>272</v>
      </c>
      <c r="E16" s="20">
        <v>15581</v>
      </c>
      <c r="F16" s="21">
        <v>476.46699999999998</v>
      </c>
      <c r="G16" s="22">
        <v>1.5599999999999999E-2</v>
      </c>
      <c r="H16" s="40"/>
      <c r="I16" s="24"/>
      <c r="J16" s="5"/>
    </row>
    <row r="17" spans="1:10" ht="13.05" customHeight="1">
      <c r="A17" s="18" t="s">
        <v>290</v>
      </c>
      <c r="B17" s="19" t="s">
        <v>291</v>
      </c>
      <c r="C17" s="15" t="s">
        <v>292</v>
      </c>
      <c r="D17" s="15" t="s">
        <v>257</v>
      </c>
      <c r="E17" s="20">
        <v>22450</v>
      </c>
      <c r="F17" s="21">
        <v>471.94389999999999</v>
      </c>
      <c r="G17" s="22">
        <v>1.55E-2</v>
      </c>
      <c r="H17" s="40"/>
      <c r="I17" s="24"/>
      <c r="J17" s="5"/>
    </row>
    <row r="18" spans="1:10" ht="13.05" customHeight="1">
      <c r="A18" s="18" t="s">
        <v>293</v>
      </c>
      <c r="B18" s="19" t="s">
        <v>294</v>
      </c>
      <c r="C18" s="15" t="s">
        <v>295</v>
      </c>
      <c r="D18" s="15" t="s">
        <v>296</v>
      </c>
      <c r="E18" s="20">
        <v>13484</v>
      </c>
      <c r="F18" s="21">
        <v>470.214</v>
      </c>
      <c r="G18" s="22">
        <v>1.54E-2</v>
      </c>
      <c r="H18" s="40"/>
      <c r="I18" s="24"/>
      <c r="J18" s="5"/>
    </row>
    <row r="19" spans="1:10" ht="13.05" customHeight="1">
      <c r="A19" s="18" t="s">
        <v>297</v>
      </c>
      <c r="B19" s="19" t="s">
        <v>298</v>
      </c>
      <c r="C19" s="15" t="s">
        <v>299</v>
      </c>
      <c r="D19" s="15" t="s">
        <v>300</v>
      </c>
      <c r="E19" s="20">
        <v>40469</v>
      </c>
      <c r="F19" s="21">
        <v>422.01069999999999</v>
      </c>
      <c r="G19" s="22">
        <v>1.3899999999999999E-2</v>
      </c>
      <c r="H19" s="40"/>
      <c r="I19" s="24"/>
      <c r="J19" s="5"/>
    </row>
    <row r="20" spans="1:10" ht="13.05" customHeight="1">
      <c r="A20" s="18" t="s">
        <v>301</v>
      </c>
      <c r="B20" s="19" t="s">
        <v>302</v>
      </c>
      <c r="C20" s="15" t="s">
        <v>303</v>
      </c>
      <c r="D20" s="15" t="s">
        <v>304</v>
      </c>
      <c r="E20" s="20">
        <v>105872</v>
      </c>
      <c r="F20" s="21">
        <v>336.4083</v>
      </c>
      <c r="G20" s="22">
        <v>1.0999999999999999E-2</v>
      </c>
      <c r="H20" s="40"/>
      <c r="I20" s="24"/>
      <c r="J20" s="5"/>
    </row>
    <row r="21" spans="1:10" ht="13.05" customHeight="1">
      <c r="A21" s="18" t="s">
        <v>305</v>
      </c>
      <c r="B21" s="19" t="s">
        <v>306</v>
      </c>
      <c r="C21" s="15" t="s">
        <v>307</v>
      </c>
      <c r="D21" s="15" t="s">
        <v>280</v>
      </c>
      <c r="E21" s="20">
        <v>13501</v>
      </c>
      <c r="F21" s="21">
        <v>332.86720000000003</v>
      </c>
      <c r="G21" s="22">
        <v>1.09E-2</v>
      </c>
      <c r="H21" s="40"/>
      <c r="I21" s="24"/>
      <c r="J21" s="5"/>
    </row>
    <row r="22" spans="1:10" ht="13.05" customHeight="1">
      <c r="A22" s="18" t="s">
        <v>308</v>
      </c>
      <c r="B22" s="19" t="s">
        <v>309</v>
      </c>
      <c r="C22" s="15" t="s">
        <v>310</v>
      </c>
      <c r="D22" s="15" t="s">
        <v>296</v>
      </c>
      <c r="E22" s="20">
        <v>1999</v>
      </c>
      <c r="F22" s="21">
        <v>323.55810000000002</v>
      </c>
      <c r="G22" s="22">
        <v>1.06E-2</v>
      </c>
      <c r="H22" s="40"/>
      <c r="I22" s="24"/>
      <c r="J22" s="5"/>
    </row>
    <row r="23" spans="1:10" ht="13.05" customHeight="1">
      <c r="A23" s="18" t="s">
        <v>311</v>
      </c>
      <c r="B23" s="19" t="s">
        <v>312</v>
      </c>
      <c r="C23" s="15" t="s">
        <v>313</v>
      </c>
      <c r="D23" s="15" t="s">
        <v>314</v>
      </c>
      <c r="E23" s="20">
        <v>16026</v>
      </c>
      <c r="F23" s="21">
        <v>270.95159999999998</v>
      </c>
      <c r="G23" s="22">
        <v>8.8999999999999999E-3</v>
      </c>
      <c r="H23" s="40"/>
      <c r="I23" s="24"/>
      <c r="J23" s="5"/>
    </row>
    <row r="24" spans="1:10" ht="13.05" customHeight="1">
      <c r="A24" s="18" t="s">
        <v>315</v>
      </c>
      <c r="B24" s="19" t="s">
        <v>316</v>
      </c>
      <c r="C24" s="15" t="s">
        <v>317</v>
      </c>
      <c r="D24" s="15" t="s">
        <v>272</v>
      </c>
      <c r="E24" s="20">
        <v>16117</v>
      </c>
      <c r="F24" s="21">
        <v>248.4436</v>
      </c>
      <c r="G24" s="22">
        <v>8.2000000000000007E-3</v>
      </c>
      <c r="H24" s="40"/>
      <c r="I24" s="24"/>
      <c r="J24" s="5"/>
    </row>
    <row r="25" spans="1:10" ht="13.05" customHeight="1">
      <c r="A25" s="18" t="s">
        <v>318</v>
      </c>
      <c r="B25" s="19" t="s">
        <v>319</v>
      </c>
      <c r="C25" s="15" t="s">
        <v>320</v>
      </c>
      <c r="D25" s="15" t="s">
        <v>321</v>
      </c>
      <c r="E25" s="20">
        <v>72118</v>
      </c>
      <c r="F25" s="21">
        <v>243.0016</v>
      </c>
      <c r="G25" s="22">
        <v>8.0000000000000002E-3</v>
      </c>
      <c r="H25" s="40"/>
      <c r="I25" s="24"/>
      <c r="J25" s="5"/>
    </row>
    <row r="26" spans="1:10" ht="13.05" customHeight="1">
      <c r="A26" s="18" t="s">
        <v>322</v>
      </c>
      <c r="B26" s="19" t="s">
        <v>323</v>
      </c>
      <c r="C26" s="15" t="s">
        <v>324</v>
      </c>
      <c r="D26" s="15" t="s">
        <v>325</v>
      </c>
      <c r="E26" s="20">
        <v>6275</v>
      </c>
      <c r="F26" s="21">
        <v>235.1054</v>
      </c>
      <c r="G26" s="22">
        <v>7.7000000000000002E-3</v>
      </c>
      <c r="H26" s="40"/>
      <c r="I26" s="24"/>
      <c r="J26" s="5"/>
    </row>
    <row r="27" spans="1:10" ht="13.05" customHeight="1">
      <c r="A27" s="18" t="s">
        <v>326</v>
      </c>
      <c r="B27" s="19" t="s">
        <v>327</v>
      </c>
      <c r="C27" s="15" t="s">
        <v>328</v>
      </c>
      <c r="D27" s="15" t="s">
        <v>329</v>
      </c>
      <c r="E27" s="20">
        <v>54448</v>
      </c>
      <c r="F27" s="21">
        <v>232.00290000000001</v>
      </c>
      <c r="G27" s="22">
        <v>7.6E-3</v>
      </c>
      <c r="H27" s="40"/>
      <c r="I27" s="24"/>
      <c r="J27" s="5"/>
    </row>
    <row r="28" spans="1:10" ht="13.05" customHeight="1">
      <c r="A28" s="18" t="s">
        <v>330</v>
      </c>
      <c r="B28" s="19" t="s">
        <v>331</v>
      </c>
      <c r="C28" s="15" t="s">
        <v>332</v>
      </c>
      <c r="D28" s="15" t="s">
        <v>333</v>
      </c>
      <c r="E28" s="20">
        <v>125794</v>
      </c>
      <c r="F28" s="21">
        <v>230.0017</v>
      </c>
      <c r="G28" s="22">
        <v>7.6E-3</v>
      </c>
      <c r="H28" s="40"/>
      <c r="I28" s="24"/>
      <c r="J28" s="5"/>
    </row>
    <row r="29" spans="1:10" ht="13.05" customHeight="1">
      <c r="A29" s="18" t="s">
        <v>334</v>
      </c>
      <c r="B29" s="19" t="s">
        <v>335</v>
      </c>
      <c r="C29" s="15" t="s">
        <v>336</v>
      </c>
      <c r="D29" s="15" t="s">
        <v>337</v>
      </c>
      <c r="E29" s="20">
        <v>1807</v>
      </c>
      <c r="F29" s="21">
        <v>215.88229999999999</v>
      </c>
      <c r="G29" s="22">
        <v>7.1000000000000004E-3</v>
      </c>
      <c r="H29" s="40"/>
      <c r="I29" s="24"/>
      <c r="J29" s="5"/>
    </row>
    <row r="30" spans="1:10" ht="13.05" customHeight="1">
      <c r="A30" s="18" t="s">
        <v>338</v>
      </c>
      <c r="B30" s="19" t="s">
        <v>339</v>
      </c>
      <c r="C30" s="15" t="s">
        <v>340</v>
      </c>
      <c r="D30" s="15" t="s">
        <v>321</v>
      </c>
      <c r="E30" s="20">
        <v>68861</v>
      </c>
      <c r="F30" s="21">
        <v>198.423</v>
      </c>
      <c r="G30" s="22">
        <v>6.4999999999999997E-3</v>
      </c>
      <c r="H30" s="40"/>
      <c r="I30" s="24"/>
      <c r="J30" s="5"/>
    </row>
    <row r="31" spans="1:10" ht="13.05" customHeight="1">
      <c r="A31" s="18" t="s">
        <v>341</v>
      </c>
      <c r="B31" s="19" t="s">
        <v>342</v>
      </c>
      <c r="C31" s="15" t="s">
        <v>343</v>
      </c>
      <c r="D31" s="15" t="s">
        <v>344</v>
      </c>
      <c r="E31" s="20">
        <v>22027</v>
      </c>
      <c r="F31" s="21">
        <v>186.7559</v>
      </c>
      <c r="G31" s="22">
        <v>6.1000000000000004E-3</v>
      </c>
      <c r="H31" s="40"/>
      <c r="I31" s="24"/>
      <c r="J31" s="5"/>
    </row>
    <row r="32" spans="1:10" ht="13.05" customHeight="1">
      <c r="A32" s="18" t="s">
        <v>345</v>
      </c>
      <c r="B32" s="19" t="s">
        <v>346</v>
      </c>
      <c r="C32" s="15" t="s">
        <v>347</v>
      </c>
      <c r="D32" s="15" t="s">
        <v>348</v>
      </c>
      <c r="E32" s="20">
        <v>3312</v>
      </c>
      <c r="F32" s="21">
        <v>186.3</v>
      </c>
      <c r="G32" s="22">
        <v>6.1000000000000004E-3</v>
      </c>
      <c r="H32" s="40"/>
      <c r="I32" s="24"/>
      <c r="J32" s="5"/>
    </row>
    <row r="33" spans="1:10" ht="13.05" customHeight="1">
      <c r="A33" s="18" t="s">
        <v>349</v>
      </c>
      <c r="B33" s="19" t="s">
        <v>350</v>
      </c>
      <c r="C33" s="15" t="s">
        <v>351</v>
      </c>
      <c r="D33" s="15" t="s">
        <v>300</v>
      </c>
      <c r="E33" s="20">
        <v>8669</v>
      </c>
      <c r="F33" s="21">
        <v>181.03469999999999</v>
      </c>
      <c r="G33" s="22">
        <v>5.8999999999999999E-3</v>
      </c>
      <c r="H33" s="40"/>
      <c r="I33" s="24"/>
      <c r="J33" s="5"/>
    </row>
    <row r="34" spans="1:10" ht="13.05" customHeight="1">
      <c r="A34" s="18" t="s">
        <v>352</v>
      </c>
      <c r="B34" s="19" t="s">
        <v>353</v>
      </c>
      <c r="C34" s="15" t="s">
        <v>354</v>
      </c>
      <c r="D34" s="15" t="s">
        <v>325</v>
      </c>
      <c r="E34" s="20">
        <v>6875</v>
      </c>
      <c r="F34" s="21">
        <v>172.61750000000001</v>
      </c>
      <c r="G34" s="22">
        <v>5.7000000000000002E-3</v>
      </c>
      <c r="H34" s="40"/>
      <c r="I34" s="24"/>
      <c r="J34" s="5"/>
    </row>
    <row r="35" spans="1:10" ht="13.05" customHeight="1">
      <c r="A35" s="18" t="s">
        <v>355</v>
      </c>
      <c r="B35" s="19" t="s">
        <v>356</v>
      </c>
      <c r="C35" s="15" t="s">
        <v>357</v>
      </c>
      <c r="D35" s="15" t="s">
        <v>333</v>
      </c>
      <c r="E35" s="20">
        <v>14238</v>
      </c>
      <c r="F35" s="21">
        <v>171.71029999999999</v>
      </c>
      <c r="G35" s="22">
        <v>5.5999999999999999E-3</v>
      </c>
      <c r="H35" s="40"/>
      <c r="I35" s="24"/>
      <c r="J35" s="5"/>
    </row>
    <row r="36" spans="1:10" ht="13.05" customHeight="1">
      <c r="A36" s="18" t="s">
        <v>358</v>
      </c>
      <c r="B36" s="19" t="s">
        <v>359</v>
      </c>
      <c r="C36" s="15" t="s">
        <v>360</v>
      </c>
      <c r="D36" s="15" t="s">
        <v>337</v>
      </c>
      <c r="E36" s="20">
        <v>5817</v>
      </c>
      <c r="F36" s="21">
        <v>168.21019999999999</v>
      </c>
      <c r="G36" s="22">
        <v>5.4999999999999997E-3</v>
      </c>
      <c r="H36" s="40"/>
      <c r="I36" s="24"/>
      <c r="J36" s="5"/>
    </row>
    <row r="37" spans="1:10" ht="13.05" customHeight="1">
      <c r="A37" s="18" t="s">
        <v>361</v>
      </c>
      <c r="B37" s="19" t="s">
        <v>362</v>
      </c>
      <c r="C37" s="15" t="s">
        <v>363</v>
      </c>
      <c r="D37" s="15" t="s">
        <v>364</v>
      </c>
      <c r="E37" s="20">
        <v>11223</v>
      </c>
      <c r="F37" s="21">
        <v>162.90180000000001</v>
      </c>
      <c r="G37" s="22">
        <v>5.3E-3</v>
      </c>
      <c r="H37" s="40"/>
      <c r="I37" s="24"/>
      <c r="J37" s="5"/>
    </row>
    <row r="38" spans="1:10" ht="13.05" customHeight="1">
      <c r="A38" s="18" t="s">
        <v>365</v>
      </c>
      <c r="B38" s="19" t="s">
        <v>366</v>
      </c>
      <c r="C38" s="15" t="s">
        <v>367</v>
      </c>
      <c r="D38" s="15" t="s">
        <v>300</v>
      </c>
      <c r="E38" s="20">
        <v>21291</v>
      </c>
      <c r="F38" s="21">
        <v>159.44829999999999</v>
      </c>
      <c r="G38" s="22">
        <v>5.1999999999999998E-3</v>
      </c>
      <c r="H38" s="40"/>
      <c r="I38" s="24"/>
      <c r="J38" s="5"/>
    </row>
    <row r="39" spans="1:10" ht="13.05" customHeight="1">
      <c r="A39" s="18" t="s">
        <v>368</v>
      </c>
      <c r="B39" s="19" t="s">
        <v>369</v>
      </c>
      <c r="C39" s="15" t="s">
        <v>370</v>
      </c>
      <c r="D39" s="15" t="s">
        <v>304</v>
      </c>
      <c r="E39" s="20">
        <v>3379</v>
      </c>
      <c r="F39" s="21">
        <v>158.62039999999999</v>
      </c>
      <c r="G39" s="22">
        <v>5.1999999999999998E-3</v>
      </c>
      <c r="H39" s="40"/>
      <c r="I39" s="24"/>
      <c r="J39" s="5"/>
    </row>
    <row r="40" spans="1:10" ht="13.05" customHeight="1">
      <c r="A40" s="18" t="s">
        <v>371</v>
      </c>
      <c r="B40" s="19" t="s">
        <v>372</v>
      </c>
      <c r="C40" s="15" t="s">
        <v>373</v>
      </c>
      <c r="D40" s="15" t="s">
        <v>374</v>
      </c>
      <c r="E40" s="20">
        <v>6215</v>
      </c>
      <c r="F40" s="21">
        <v>154.06989999999999</v>
      </c>
      <c r="G40" s="22">
        <v>5.1000000000000004E-3</v>
      </c>
      <c r="H40" s="40"/>
      <c r="I40" s="24"/>
      <c r="J40" s="5"/>
    </row>
    <row r="41" spans="1:10" ht="13.05" customHeight="1">
      <c r="A41" s="18" t="s">
        <v>375</v>
      </c>
      <c r="B41" s="19" t="s">
        <v>376</v>
      </c>
      <c r="C41" s="15" t="s">
        <v>377</v>
      </c>
      <c r="D41" s="15" t="s">
        <v>300</v>
      </c>
      <c r="E41" s="20">
        <v>49811</v>
      </c>
      <c r="F41" s="21">
        <v>152.8201</v>
      </c>
      <c r="G41" s="22">
        <v>5.0000000000000001E-3</v>
      </c>
      <c r="H41" s="40"/>
      <c r="I41" s="24"/>
      <c r="J41" s="5"/>
    </row>
    <row r="42" spans="1:10" ht="13.05" customHeight="1">
      <c r="A42" s="18" t="s">
        <v>378</v>
      </c>
      <c r="B42" s="19" t="s">
        <v>379</v>
      </c>
      <c r="C42" s="15" t="s">
        <v>380</v>
      </c>
      <c r="D42" s="15" t="s">
        <v>381</v>
      </c>
      <c r="E42" s="20">
        <v>59104</v>
      </c>
      <c r="F42" s="21">
        <v>150.93389999999999</v>
      </c>
      <c r="G42" s="22">
        <v>5.0000000000000001E-3</v>
      </c>
      <c r="H42" s="40"/>
      <c r="I42" s="24"/>
      <c r="J42" s="5"/>
    </row>
    <row r="43" spans="1:10" ht="13.05" customHeight="1">
      <c r="A43" s="18" t="s">
        <v>382</v>
      </c>
      <c r="B43" s="19" t="s">
        <v>383</v>
      </c>
      <c r="C43" s="15" t="s">
        <v>384</v>
      </c>
      <c r="D43" s="15" t="s">
        <v>296</v>
      </c>
      <c r="E43" s="20">
        <v>1687</v>
      </c>
      <c r="F43" s="21">
        <v>150.01650000000001</v>
      </c>
      <c r="G43" s="22">
        <v>4.8999999999999998E-3</v>
      </c>
      <c r="H43" s="40"/>
      <c r="I43" s="24"/>
      <c r="J43" s="5"/>
    </row>
    <row r="44" spans="1:10" ht="13.05" customHeight="1">
      <c r="A44" s="18" t="s">
        <v>385</v>
      </c>
      <c r="B44" s="19" t="s">
        <v>386</v>
      </c>
      <c r="C44" s="15" t="s">
        <v>387</v>
      </c>
      <c r="D44" s="15" t="s">
        <v>296</v>
      </c>
      <c r="E44" s="20">
        <v>2095</v>
      </c>
      <c r="F44" s="21">
        <v>146.79669999999999</v>
      </c>
      <c r="G44" s="22">
        <v>4.7999999999999996E-3</v>
      </c>
      <c r="H44" s="40"/>
      <c r="I44" s="24"/>
      <c r="J44" s="5"/>
    </row>
    <row r="45" spans="1:10" ht="13.05" customHeight="1">
      <c r="A45" s="18" t="s">
        <v>388</v>
      </c>
      <c r="B45" s="19" t="s">
        <v>389</v>
      </c>
      <c r="C45" s="15" t="s">
        <v>390</v>
      </c>
      <c r="D45" s="15" t="s">
        <v>391</v>
      </c>
      <c r="E45" s="20">
        <v>10918</v>
      </c>
      <c r="F45" s="21">
        <v>138.83330000000001</v>
      </c>
      <c r="G45" s="22">
        <v>4.5999999999999999E-3</v>
      </c>
      <c r="H45" s="40"/>
      <c r="I45" s="24"/>
      <c r="J45" s="5"/>
    </row>
    <row r="46" spans="1:10" ht="13.05" customHeight="1">
      <c r="A46" s="18" t="s">
        <v>392</v>
      </c>
      <c r="B46" s="19" t="s">
        <v>393</v>
      </c>
      <c r="C46" s="15" t="s">
        <v>394</v>
      </c>
      <c r="D46" s="15" t="s">
        <v>272</v>
      </c>
      <c r="E46" s="20">
        <v>9657</v>
      </c>
      <c r="F46" s="21">
        <v>137.55430000000001</v>
      </c>
      <c r="G46" s="22">
        <v>4.4999999999999997E-3</v>
      </c>
      <c r="H46" s="40"/>
      <c r="I46" s="24"/>
      <c r="J46" s="5"/>
    </row>
    <row r="47" spans="1:10" ht="13.05" customHeight="1">
      <c r="A47" s="18" t="s">
        <v>395</v>
      </c>
      <c r="B47" s="19" t="s">
        <v>396</v>
      </c>
      <c r="C47" s="15" t="s">
        <v>397</v>
      </c>
      <c r="D47" s="15" t="s">
        <v>329</v>
      </c>
      <c r="E47" s="20">
        <v>2890</v>
      </c>
      <c r="F47" s="21">
        <v>135.24619999999999</v>
      </c>
      <c r="G47" s="22">
        <v>4.4000000000000003E-3</v>
      </c>
      <c r="H47" s="40"/>
      <c r="I47" s="24"/>
      <c r="J47" s="5"/>
    </row>
    <row r="48" spans="1:10" ht="13.05" customHeight="1">
      <c r="A48" s="18" t="s">
        <v>398</v>
      </c>
      <c r="B48" s="19" t="s">
        <v>399</v>
      </c>
      <c r="C48" s="15" t="s">
        <v>400</v>
      </c>
      <c r="D48" s="15" t="s">
        <v>401</v>
      </c>
      <c r="E48" s="20">
        <v>34524</v>
      </c>
      <c r="F48" s="21">
        <v>134.17750000000001</v>
      </c>
      <c r="G48" s="22">
        <v>4.4000000000000003E-3</v>
      </c>
      <c r="H48" s="40"/>
      <c r="I48" s="24"/>
      <c r="J48" s="5"/>
    </row>
    <row r="49" spans="1:10" ht="13.05" customHeight="1">
      <c r="A49" s="18" t="s">
        <v>402</v>
      </c>
      <c r="B49" s="19" t="s">
        <v>403</v>
      </c>
      <c r="C49" s="15" t="s">
        <v>404</v>
      </c>
      <c r="D49" s="15" t="s">
        <v>405</v>
      </c>
      <c r="E49" s="20">
        <v>6818</v>
      </c>
      <c r="F49" s="21">
        <v>133.33959999999999</v>
      </c>
      <c r="G49" s="22">
        <v>4.4000000000000003E-3</v>
      </c>
      <c r="H49" s="40"/>
      <c r="I49" s="24"/>
      <c r="J49" s="5"/>
    </row>
    <row r="50" spans="1:10" ht="13.05" customHeight="1">
      <c r="A50" s="18" t="s">
        <v>406</v>
      </c>
      <c r="B50" s="19" t="s">
        <v>407</v>
      </c>
      <c r="C50" s="15" t="s">
        <v>408</v>
      </c>
      <c r="D50" s="15" t="s">
        <v>314</v>
      </c>
      <c r="E50" s="20">
        <v>1956</v>
      </c>
      <c r="F50" s="21">
        <v>131.7953</v>
      </c>
      <c r="G50" s="22">
        <v>4.3E-3</v>
      </c>
      <c r="H50" s="40"/>
      <c r="I50" s="24"/>
      <c r="J50" s="5"/>
    </row>
    <row r="51" spans="1:10" ht="13.05" customHeight="1">
      <c r="A51" s="18" t="s">
        <v>409</v>
      </c>
      <c r="B51" s="19" t="s">
        <v>410</v>
      </c>
      <c r="C51" s="15" t="s">
        <v>411</v>
      </c>
      <c r="D51" s="15" t="s">
        <v>296</v>
      </c>
      <c r="E51" s="20">
        <v>31761</v>
      </c>
      <c r="F51" s="21">
        <v>130.2201</v>
      </c>
      <c r="G51" s="22">
        <v>4.3E-3</v>
      </c>
      <c r="H51" s="40"/>
      <c r="I51" s="24"/>
      <c r="J51" s="5"/>
    </row>
    <row r="52" spans="1:10" ht="13.05" customHeight="1">
      <c r="A52" s="18" t="s">
        <v>412</v>
      </c>
      <c r="B52" s="19" t="s">
        <v>413</v>
      </c>
      <c r="C52" s="15" t="s">
        <v>414</v>
      </c>
      <c r="D52" s="15" t="s">
        <v>415</v>
      </c>
      <c r="E52" s="20">
        <v>11322</v>
      </c>
      <c r="F52" s="21">
        <v>129.9539</v>
      </c>
      <c r="G52" s="22">
        <v>4.3E-3</v>
      </c>
      <c r="H52" s="40"/>
      <c r="I52" s="24"/>
      <c r="J52" s="5"/>
    </row>
    <row r="53" spans="1:10" ht="13.05" customHeight="1">
      <c r="A53" s="18" t="s">
        <v>416</v>
      </c>
      <c r="B53" s="19" t="s">
        <v>417</v>
      </c>
      <c r="C53" s="15" t="s">
        <v>418</v>
      </c>
      <c r="D53" s="15" t="s">
        <v>314</v>
      </c>
      <c r="E53" s="20">
        <v>8558</v>
      </c>
      <c r="F53" s="21">
        <v>128.4813</v>
      </c>
      <c r="G53" s="22">
        <v>4.1999999999999997E-3</v>
      </c>
      <c r="H53" s="40"/>
      <c r="I53" s="24"/>
      <c r="J53" s="5"/>
    </row>
    <row r="54" spans="1:10" ht="13.05" customHeight="1">
      <c r="A54" s="18" t="s">
        <v>419</v>
      </c>
      <c r="B54" s="19" t="s">
        <v>420</v>
      </c>
      <c r="C54" s="15" t="s">
        <v>421</v>
      </c>
      <c r="D54" s="15" t="s">
        <v>422</v>
      </c>
      <c r="E54" s="20">
        <v>25823</v>
      </c>
      <c r="F54" s="21">
        <v>127.4494</v>
      </c>
      <c r="G54" s="22">
        <v>4.1999999999999997E-3</v>
      </c>
      <c r="H54" s="40"/>
      <c r="I54" s="24"/>
      <c r="J54" s="5"/>
    </row>
    <row r="55" spans="1:10" ht="13.05" customHeight="1">
      <c r="A55" s="18" t="s">
        <v>423</v>
      </c>
      <c r="B55" s="19" t="s">
        <v>424</v>
      </c>
      <c r="C55" s="15" t="s">
        <v>425</v>
      </c>
      <c r="D55" s="15" t="s">
        <v>296</v>
      </c>
      <c r="E55" s="20">
        <v>3570</v>
      </c>
      <c r="F55" s="21">
        <v>125.2606</v>
      </c>
      <c r="G55" s="22">
        <v>4.1000000000000003E-3</v>
      </c>
      <c r="H55" s="40"/>
      <c r="I55" s="24"/>
      <c r="J55" s="5"/>
    </row>
    <row r="56" spans="1:10" ht="13.05" customHeight="1">
      <c r="A56" s="18" t="s">
        <v>426</v>
      </c>
      <c r="B56" s="19" t="s">
        <v>427</v>
      </c>
      <c r="C56" s="15" t="s">
        <v>428</v>
      </c>
      <c r="D56" s="15" t="s">
        <v>405</v>
      </c>
      <c r="E56" s="20">
        <v>16335</v>
      </c>
      <c r="F56" s="21">
        <v>119.54770000000001</v>
      </c>
      <c r="G56" s="22">
        <v>3.8999999999999998E-3</v>
      </c>
      <c r="H56" s="40"/>
      <c r="I56" s="24"/>
      <c r="J56" s="5"/>
    </row>
    <row r="57" spans="1:10" ht="13.05" customHeight="1">
      <c r="A57" s="18" t="s">
        <v>429</v>
      </c>
      <c r="B57" s="19" t="s">
        <v>430</v>
      </c>
      <c r="C57" s="15" t="s">
        <v>431</v>
      </c>
      <c r="D57" s="15" t="s">
        <v>415</v>
      </c>
      <c r="E57" s="20">
        <v>1538</v>
      </c>
      <c r="F57" s="21">
        <v>118.13379999999999</v>
      </c>
      <c r="G57" s="22">
        <v>3.8999999999999998E-3</v>
      </c>
      <c r="H57" s="40"/>
      <c r="I57" s="24"/>
      <c r="J57" s="5"/>
    </row>
    <row r="58" spans="1:10" ht="13.05" customHeight="1">
      <c r="A58" s="18" t="s">
        <v>432</v>
      </c>
      <c r="B58" s="19" t="s">
        <v>433</v>
      </c>
      <c r="C58" s="15" t="s">
        <v>434</v>
      </c>
      <c r="D58" s="15" t="s">
        <v>435</v>
      </c>
      <c r="E58" s="20">
        <v>9911</v>
      </c>
      <c r="F58" s="21">
        <v>115.4632</v>
      </c>
      <c r="G58" s="22">
        <v>3.8E-3</v>
      </c>
      <c r="H58" s="40"/>
      <c r="I58" s="24"/>
      <c r="J58" s="5"/>
    </row>
    <row r="59" spans="1:10" ht="13.05" customHeight="1">
      <c r="A59" s="18" t="s">
        <v>436</v>
      </c>
      <c r="B59" s="19" t="s">
        <v>437</v>
      </c>
      <c r="C59" s="15" t="s">
        <v>438</v>
      </c>
      <c r="D59" s="15" t="s">
        <v>314</v>
      </c>
      <c r="E59" s="20">
        <v>9270</v>
      </c>
      <c r="F59" s="21">
        <v>111.0175</v>
      </c>
      <c r="G59" s="22">
        <v>3.5999999999999999E-3</v>
      </c>
      <c r="H59" s="40"/>
      <c r="I59" s="24"/>
      <c r="J59" s="5"/>
    </row>
    <row r="60" spans="1:10" ht="13.05" customHeight="1">
      <c r="A60" s="18" t="s">
        <v>439</v>
      </c>
      <c r="B60" s="19" t="s">
        <v>440</v>
      </c>
      <c r="C60" s="15" t="s">
        <v>441</v>
      </c>
      <c r="D60" s="15" t="s">
        <v>296</v>
      </c>
      <c r="E60" s="20">
        <v>1977</v>
      </c>
      <c r="F60" s="21">
        <v>109.6049</v>
      </c>
      <c r="G60" s="22">
        <v>3.5999999999999999E-3</v>
      </c>
      <c r="H60" s="40"/>
      <c r="I60" s="24"/>
      <c r="J60" s="5"/>
    </row>
    <row r="61" spans="1:10" ht="13.05" customHeight="1">
      <c r="A61" s="18" t="s">
        <v>442</v>
      </c>
      <c r="B61" s="19" t="s">
        <v>443</v>
      </c>
      <c r="C61" s="15" t="s">
        <v>444</v>
      </c>
      <c r="D61" s="15" t="s">
        <v>445</v>
      </c>
      <c r="E61" s="20">
        <v>183925</v>
      </c>
      <c r="F61" s="21">
        <v>109.0675</v>
      </c>
      <c r="G61" s="22">
        <v>3.5999999999999999E-3</v>
      </c>
      <c r="H61" s="40"/>
      <c r="I61" s="24"/>
      <c r="J61" s="5"/>
    </row>
    <row r="62" spans="1:10" ht="13.05" customHeight="1">
      <c r="A62" s="18" t="s">
        <v>446</v>
      </c>
      <c r="B62" s="19" t="s">
        <v>447</v>
      </c>
      <c r="C62" s="15" t="s">
        <v>448</v>
      </c>
      <c r="D62" s="15" t="s">
        <v>300</v>
      </c>
      <c r="E62" s="20">
        <v>6411</v>
      </c>
      <c r="F62" s="21">
        <v>108.7818</v>
      </c>
      <c r="G62" s="22">
        <v>3.5999999999999999E-3</v>
      </c>
      <c r="H62" s="40"/>
      <c r="I62" s="24"/>
      <c r="J62" s="5"/>
    </row>
    <row r="63" spans="1:10" ht="13.05" customHeight="1">
      <c r="A63" s="18" t="s">
        <v>449</v>
      </c>
      <c r="B63" s="19" t="s">
        <v>450</v>
      </c>
      <c r="C63" s="15" t="s">
        <v>451</v>
      </c>
      <c r="D63" s="15" t="s">
        <v>261</v>
      </c>
      <c r="E63" s="20">
        <v>29475</v>
      </c>
      <c r="F63" s="21">
        <v>105.16679999999999</v>
      </c>
      <c r="G63" s="22">
        <v>3.5000000000000001E-3</v>
      </c>
      <c r="H63" s="40"/>
      <c r="I63" s="24"/>
      <c r="J63" s="5"/>
    </row>
    <row r="64" spans="1:10" ht="13.05" customHeight="1">
      <c r="A64" s="18" t="s">
        <v>452</v>
      </c>
      <c r="B64" s="19" t="s">
        <v>453</v>
      </c>
      <c r="C64" s="15" t="s">
        <v>454</v>
      </c>
      <c r="D64" s="15" t="s">
        <v>391</v>
      </c>
      <c r="E64" s="20">
        <v>1797</v>
      </c>
      <c r="F64" s="21">
        <v>104.8819</v>
      </c>
      <c r="G64" s="22">
        <v>3.3999999999999998E-3</v>
      </c>
      <c r="H64" s="40"/>
      <c r="I64" s="24"/>
      <c r="J64" s="5"/>
    </row>
    <row r="65" spans="1:10" ht="13.05" customHeight="1">
      <c r="A65" s="18" t="s">
        <v>455</v>
      </c>
      <c r="B65" s="19" t="s">
        <v>456</v>
      </c>
      <c r="C65" s="15" t="s">
        <v>457</v>
      </c>
      <c r="D65" s="15" t="s">
        <v>272</v>
      </c>
      <c r="E65" s="20">
        <v>43340</v>
      </c>
      <c r="F65" s="21">
        <v>104.3064</v>
      </c>
      <c r="G65" s="22">
        <v>3.3999999999999998E-3</v>
      </c>
      <c r="H65" s="40"/>
      <c r="I65" s="24"/>
      <c r="J65" s="5"/>
    </row>
    <row r="66" spans="1:10" ht="13.05" customHeight="1">
      <c r="A66" s="18" t="s">
        <v>458</v>
      </c>
      <c r="B66" s="19" t="s">
        <v>459</v>
      </c>
      <c r="C66" s="15" t="s">
        <v>460</v>
      </c>
      <c r="D66" s="15" t="s">
        <v>321</v>
      </c>
      <c r="E66" s="20">
        <v>25521</v>
      </c>
      <c r="F66" s="21">
        <v>103.33450000000001</v>
      </c>
      <c r="G66" s="22">
        <v>3.3999999999999998E-3</v>
      </c>
      <c r="H66" s="40"/>
      <c r="I66" s="24"/>
      <c r="J66" s="5"/>
    </row>
    <row r="67" spans="1:10" ht="13.05" customHeight="1">
      <c r="A67" s="18" t="s">
        <v>461</v>
      </c>
      <c r="B67" s="19" t="s">
        <v>462</v>
      </c>
      <c r="C67" s="15" t="s">
        <v>463</v>
      </c>
      <c r="D67" s="15" t="s">
        <v>464</v>
      </c>
      <c r="E67" s="20">
        <v>13370</v>
      </c>
      <c r="F67" s="21">
        <v>99.178700000000006</v>
      </c>
      <c r="G67" s="22">
        <v>3.3E-3</v>
      </c>
      <c r="H67" s="40"/>
      <c r="I67" s="24"/>
      <c r="J67" s="5"/>
    </row>
    <row r="68" spans="1:10" ht="13.05" customHeight="1">
      <c r="A68" s="18" t="s">
        <v>465</v>
      </c>
      <c r="B68" s="19" t="s">
        <v>466</v>
      </c>
      <c r="C68" s="15" t="s">
        <v>467</v>
      </c>
      <c r="D68" s="15" t="s">
        <v>468</v>
      </c>
      <c r="E68" s="20">
        <v>3961</v>
      </c>
      <c r="F68" s="21">
        <v>98.272400000000005</v>
      </c>
      <c r="G68" s="22">
        <v>3.2000000000000002E-3</v>
      </c>
      <c r="H68" s="40"/>
      <c r="I68" s="24"/>
      <c r="J68" s="5"/>
    </row>
    <row r="69" spans="1:10" ht="13.05" customHeight="1">
      <c r="A69" s="18" t="s">
        <v>469</v>
      </c>
      <c r="B69" s="19" t="s">
        <v>470</v>
      </c>
      <c r="C69" s="15" t="s">
        <v>471</v>
      </c>
      <c r="D69" s="15" t="s">
        <v>272</v>
      </c>
      <c r="E69" s="20">
        <v>1651</v>
      </c>
      <c r="F69" s="21">
        <v>97.683099999999996</v>
      </c>
      <c r="G69" s="22">
        <v>3.2000000000000002E-3</v>
      </c>
      <c r="H69" s="40"/>
      <c r="I69" s="24"/>
      <c r="J69" s="5"/>
    </row>
    <row r="70" spans="1:10" ht="13.05" customHeight="1">
      <c r="A70" s="18" t="s">
        <v>472</v>
      </c>
      <c r="B70" s="19" t="s">
        <v>473</v>
      </c>
      <c r="C70" s="15" t="s">
        <v>474</v>
      </c>
      <c r="D70" s="15" t="s">
        <v>475</v>
      </c>
      <c r="E70" s="20">
        <v>20796</v>
      </c>
      <c r="F70" s="21">
        <v>97.668400000000005</v>
      </c>
      <c r="G70" s="22">
        <v>3.2000000000000002E-3</v>
      </c>
      <c r="H70" s="40"/>
      <c r="I70" s="24"/>
      <c r="J70" s="5"/>
    </row>
    <row r="71" spans="1:10" ht="13.05" customHeight="1">
      <c r="A71" s="18" t="s">
        <v>476</v>
      </c>
      <c r="B71" s="19" t="s">
        <v>477</v>
      </c>
      <c r="C71" s="15" t="s">
        <v>478</v>
      </c>
      <c r="D71" s="15" t="s">
        <v>325</v>
      </c>
      <c r="E71" s="20">
        <v>622</v>
      </c>
      <c r="F71" s="21">
        <v>96.372699999999995</v>
      </c>
      <c r="G71" s="22">
        <v>3.2000000000000002E-3</v>
      </c>
      <c r="H71" s="40"/>
      <c r="I71" s="24"/>
      <c r="J71" s="5"/>
    </row>
    <row r="72" spans="1:10" ht="13.05" customHeight="1">
      <c r="A72" s="18" t="s">
        <v>479</v>
      </c>
      <c r="B72" s="19" t="s">
        <v>480</v>
      </c>
      <c r="C72" s="15" t="s">
        <v>481</v>
      </c>
      <c r="D72" s="15" t="s">
        <v>321</v>
      </c>
      <c r="E72" s="20">
        <v>59929</v>
      </c>
      <c r="F72" s="21">
        <v>94.597899999999996</v>
      </c>
      <c r="G72" s="22">
        <v>3.0999999999999999E-3</v>
      </c>
      <c r="H72" s="40"/>
      <c r="I72" s="24"/>
      <c r="J72" s="5"/>
    </row>
    <row r="73" spans="1:10" ht="13.05" customHeight="1">
      <c r="A73" s="18" t="s">
        <v>482</v>
      </c>
      <c r="B73" s="19" t="s">
        <v>483</v>
      </c>
      <c r="C73" s="15" t="s">
        <v>484</v>
      </c>
      <c r="D73" s="15" t="s">
        <v>261</v>
      </c>
      <c r="E73" s="20">
        <v>56922</v>
      </c>
      <c r="F73" s="21">
        <v>94.433599999999998</v>
      </c>
      <c r="G73" s="22">
        <v>3.0999999999999999E-3</v>
      </c>
      <c r="H73" s="40"/>
      <c r="I73" s="24"/>
      <c r="J73" s="5"/>
    </row>
    <row r="74" spans="1:10" ht="13.05" customHeight="1">
      <c r="A74" s="18" t="s">
        <v>485</v>
      </c>
      <c r="B74" s="19" t="s">
        <v>486</v>
      </c>
      <c r="C74" s="15" t="s">
        <v>487</v>
      </c>
      <c r="D74" s="15" t="s">
        <v>304</v>
      </c>
      <c r="E74" s="20">
        <v>2241</v>
      </c>
      <c r="F74" s="21">
        <v>93.079899999999995</v>
      </c>
      <c r="G74" s="22">
        <v>3.0999999999999999E-3</v>
      </c>
      <c r="H74" s="40"/>
      <c r="I74" s="24"/>
      <c r="J74" s="5"/>
    </row>
    <row r="75" spans="1:10" ht="13.05" customHeight="1">
      <c r="A75" s="18" t="s">
        <v>488</v>
      </c>
      <c r="B75" s="19" t="s">
        <v>489</v>
      </c>
      <c r="C75" s="15" t="s">
        <v>490</v>
      </c>
      <c r="D75" s="15" t="s">
        <v>272</v>
      </c>
      <c r="E75" s="20">
        <v>5164</v>
      </c>
      <c r="F75" s="21">
        <v>91.821100000000001</v>
      </c>
      <c r="G75" s="22">
        <v>3.0000000000000001E-3</v>
      </c>
      <c r="H75" s="40"/>
      <c r="I75" s="24"/>
      <c r="J75" s="5"/>
    </row>
    <row r="76" spans="1:10" ht="13.05" customHeight="1">
      <c r="A76" s="18" t="s">
        <v>491</v>
      </c>
      <c r="B76" s="19" t="s">
        <v>492</v>
      </c>
      <c r="C76" s="15" t="s">
        <v>493</v>
      </c>
      <c r="D76" s="15" t="s">
        <v>494</v>
      </c>
      <c r="E76" s="20">
        <v>5131</v>
      </c>
      <c r="F76" s="21">
        <v>91.608900000000006</v>
      </c>
      <c r="G76" s="22">
        <v>3.0000000000000001E-3</v>
      </c>
      <c r="H76" s="40"/>
      <c r="I76" s="24"/>
      <c r="J76" s="5"/>
    </row>
    <row r="77" spans="1:10" ht="13.05" customHeight="1">
      <c r="A77" s="18" t="s">
        <v>495</v>
      </c>
      <c r="B77" s="19" t="s">
        <v>496</v>
      </c>
      <c r="C77" s="15" t="s">
        <v>497</v>
      </c>
      <c r="D77" s="15" t="s">
        <v>257</v>
      </c>
      <c r="E77" s="20">
        <v>37874</v>
      </c>
      <c r="F77" s="21">
        <v>89.613699999999994</v>
      </c>
      <c r="G77" s="22">
        <v>2.8999999999999998E-3</v>
      </c>
      <c r="H77" s="40"/>
      <c r="I77" s="24"/>
      <c r="J77" s="5"/>
    </row>
    <row r="78" spans="1:10" ht="13.05" customHeight="1">
      <c r="A78" s="18" t="s">
        <v>498</v>
      </c>
      <c r="B78" s="19" t="s">
        <v>499</v>
      </c>
      <c r="C78" s="15" t="s">
        <v>500</v>
      </c>
      <c r="D78" s="15" t="s">
        <v>501</v>
      </c>
      <c r="E78" s="20">
        <v>2059</v>
      </c>
      <c r="F78" s="21">
        <v>89.444999999999993</v>
      </c>
      <c r="G78" s="22">
        <v>2.8999999999999998E-3</v>
      </c>
      <c r="H78" s="40"/>
      <c r="I78" s="24"/>
      <c r="J78" s="5"/>
    </row>
    <row r="79" spans="1:10" ht="13.05" customHeight="1">
      <c r="A79" s="18" t="s">
        <v>502</v>
      </c>
      <c r="B79" s="19" t="s">
        <v>503</v>
      </c>
      <c r="C79" s="15" t="s">
        <v>504</v>
      </c>
      <c r="D79" s="15" t="s">
        <v>300</v>
      </c>
      <c r="E79" s="20">
        <v>22141</v>
      </c>
      <c r="F79" s="21">
        <v>89.283600000000007</v>
      </c>
      <c r="G79" s="22">
        <v>2.8999999999999998E-3</v>
      </c>
      <c r="H79" s="40"/>
      <c r="I79" s="24"/>
      <c r="J79" s="5"/>
    </row>
    <row r="80" spans="1:10" ht="13.05" customHeight="1">
      <c r="A80" s="18" t="s">
        <v>505</v>
      </c>
      <c r="B80" s="19" t="s">
        <v>2339</v>
      </c>
      <c r="C80" s="15" t="s">
        <v>506</v>
      </c>
      <c r="D80" s="15" t="s">
        <v>507</v>
      </c>
      <c r="E80" s="20">
        <v>31996</v>
      </c>
      <c r="F80" s="21">
        <v>83.429599999999994</v>
      </c>
      <c r="G80" s="22">
        <v>2.7000000000000001E-3</v>
      </c>
      <c r="H80" s="40"/>
      <c r="I80" s="24"/>
      <c r="J80" s="5"/>
    </row>
    <row r="81" spans="1:10" ht="13.05" customHeight="1">
      <c r="A81" s="18" t="s">
        <v>508</v>
      </c>
      <c r="B81" s="19" t="s">
        <v>509</v>
      </c>
      <c r="C81" s="15" t="s">
        <v>510</v>
      </c>
      <c r="D81" s="15" t="s">
        <v>374</v>
      </c>
      <c r="E81" s="20">
        <v>1548</v>
      </c>
      <c r="F81" s="21">
        <v>83.266900000000007</v>
      </c>
      <c r="G81" s="22">
        <v>2.7000000000000001E-3</v>
      </c>
      <c r="H81" s="40"/>
      <c r="I81" s="24"/>
      <c r="J81" s="5"/>
    </row>
    <row r="82" spans="1:10" ht="13.05" customHeight="1">
      <c r="A82" s="18" t="s">
        <v>511</v>
      </c>
      <c r="B82" s="19" t="s">
        <v>512</v>
      </c>
      <c r="C82" s="15" t="s">
        <v>513</v>
      </c>
      <c r="D82" s="15" t="s">
        <v>257</v>
      </c>
      <c r="E82" s="20">
        <v>101358</v>
      </c>
      <c r="F82" s="21">
        <v>82.880399999999995</v>
      </c>
      <c r="G82" s="22">
        <v>2.7000000000000001E-3</v>
      </c>
      <c r="H82" s="40"/>
      <c r="I82" s="24"/>
      <c r="J82" s="5"/>
    </row>
    <row r="83" spans="1:10" ht="13.05" customHeight="1">
      <c r="A83" s="18" t="s">
        <v>514</v>
      </c>
      <c r="B83" s="19" t="s">
        <v>515</v>
      </c>
      <c r="C83" s="15" t="s">
        <v>516</v>
      </c>
      <c r="D83" s="15" t="s">
        <v>415</v>
      </c>
      <c r="E83" s="20">
        <v>8067</v>
      </c>
      <c r="F83" s="21">
        <v>82.529399999999995</v>
      </c>
      <c r="G83" s="22">
        <v>2.7000000000000001E-3</v>
      </c>
      <c r="H83" s="40"/>
      <c r="I83" s="24"/>
      <c r="J83" s="5"/>
    </row>
    <row r="84" spans="1:10" ht="13.05" customHeight="1">
      <c r="A84" s="18" t="s">
        <v>517</v>
      </c>
      <c r="B84" s="19" t="s">
        <v>518</v>
      </c>
      <c r="C84" s="15" t="s">
        <v>519</v>
      </c>
      <c r="D84" s="15" t="s">
        <v>300</v>
      </c>
      <c r="E84" s="20">
        <v>668</v>
      </c>
      <c r="F84" s="21">
        <v>82.183999999999997</v>
      </c>
      <c r="G84" s="22">
        <v>2.7000000000000001E-3</v>
      </c>
      <c r="H84" s="40"/>
      <c r="I84" s="24"/>
      <c r="J84" s="5"/>
    </row>
    <row r="85" spans="1:10" ht="13.05" customHeight="1">
      <c r="A85" s="18" t="s">
        <v>520</v>
      </c>
      <c r="B85" s="19" t="s">
        <v>521</v>
      </c>
      <c r="C85" s="15" t="s">
        <v>522</v>
      </c>
      <c r="D85" s="15" t="s">
        <v>272</v>
      </c>
      <c r="E85" s="20">
        <v>1434</v>
      </c>
      <c r="F85" s="21">
        <v>81.515699999999995</v>
      </c>
      <c r="G85" s="22">
        <v>2.7000000000000001E-3</v>
      </c>
      <c r="H85" s="40"/>
      <c r="I85" s="24"/>
      <c r="J85" s="5"/>
    </row>
    <row r="86" spans="1:10" ht="13.05" customHeight="1">
      <c r="A86" s="18" t="s">
        <v>523</v>
      </c>
      <c r="B86" s="19" t="s">
        <v>524</v>
      </c>
      <c r="C86" s="15" t="s">
        <v>525</v>
      </c>
      <c r="D86" s="15" t="s">
        <v>304</v>
      </c>
      <c r="E86" s="20">
        <v>5910</v>
      </c>
      <c r="F86" s="21">
        <v>81.457499999999996</v>
      </c>
      <c r="G86" s="22">
        <v>2.7000000000000001E-3</v>
      </c>
      <c r="H86" s="40"/>
      <c r="I86" s="24"/>
      <c r="J86" s="5"/>
    </row>
    <row r="87" spans="1:10" ht="13.05" customHeight="1">
      <c r="A87" s="18" t="s">
        <v>526</v>
      </c>
      <c r="B87" s="19" t="s">
        <v>527</v>
      </c>
      <c r="C87" s="15" t="s">
        <v>528</v>
      </c>
      <c r="D87" s="15" t="s">
        <v>257</v>
      </c>
      <c r="E87" s="20">
        <v>10179</v>
      </c>
      <c r="F87" s="21">
        <v>80.902699999999996</v>
      </c>
      <c r="G87" s="22">
        <v>2.7000000000000001E-3</v>
      </c>
      <c r="H87" s="40"/>
      <c r="I87" s="24"/>
      <c r="J87" s="5"/>
    </row>
    <row r="88" spans="1:10" ht="13.05" customHeight="1">
      <c r="A88" s="18" t="s">
        <v>529</v>
      </c>
      <c r="B88" s="19" t="s">
        <v>530</v>
      </c>
      <c r="C88" s="15" t="s">
        <v>531</v>
      </c>
      <c r="D88" s="15" t="s">
        <v>257</v>
      </c>
      <c r="E88" s="20">
        <v>28039</v>
      </c>
      <c r="F88" s="21">
        <v>78.060599999999994</v>
      </c>
      <c r="G88" s="22">
        <v>2.5999999999999999E-3</v>
      </c>
      <c r="H88" s="40"/>
      <c r="I88" s="24"/>
      <c r="J88" s="5"/>
    </row>
    <row r="89" spans="1:10" ht="13.05" customHeight="1">
      <c r="A89" s="18" t="s">
        <v>532</v>
      </c>
      <c r="B89" s="19" t="s">
        <v>533</v>
      </c>
      <c r="C89" s="15" t="s">
        <v>534</v>
      </c>
      <c r="D89" s="15" t="s">
        <v>445</v>
      </c>
      <c r="E89" s="20">
        <v>10461</v>
      </c>
      <c r="F89" s="21">
        <v>77.061000000000007</v>
      </c>
      <c r="G89" s="22">
        <v>2.5000000000000001E-3</v>
      </c>
      <c r="H89" s="40"/>
      <c r="I89" s="24"/>
      <c r="J89" s="5"/>
    </row>
    <row r="90" spans="1:10" ht="13.05" customHeight="1">
      <c r="A90" s="18" t="s">
        <v>535</v>
      </c>
      <c r="B90" s="19" t="s">
        <v>536</v>
      </c>
      <c r="C90" s="15" t="s">
        <v>537</v>
      </c>
      <c r="D90" s="15" t="s">
        <v>257</v>
      </c>
      <c r="E90" s="20">
        <v>8686</v>
      </c>
      <c r="F90" s="21">
        <v>76.250100000000003</v>
      </c>
      <c r="G90" s="22">
        <v>2.5000000000000001E-3</v>
      </c>
      <c r="H90" s="40"/>
      <c r="I90" s="24"/>
      <c r="J90" s="5"/>
    </row>
    <row r="91" spans="1:10" ht="13.05" customHeight="1">
      <c r="A91" s="18" t="s">
        <v>538</v>
      </c>
      <c r="B91" s="19" t="s">
        <v>539</v>
      </c>
      <c r="C91" s="15" t="s">
        <v>540</v>
      </c>
      <c r="D91" s="15" t="s">
        <v>541</v>
      </c>
      <c r="E91" s="20">
        <v>9926</v>
      </c>
      <c r="F91" s="21">
        <v>75.065399999999997</v>
      </c>
      <c r="G91" s="22">
        <v>2.5000000000000001E-3</v>
      </c>
      <c r="H91" s="40"/>
      <c r="I91" s="24"/>
      <c r="J91" s="5"/>
    </row>
    <row r="92" spans="1:10" ht="13.05" customHeight="1">
      <c r="A92" s="18" t="s">
        <v>542</v>
      </c>
      <c r="B92" s="19" t="s">
        <v>543</v>
      </c>
      <c r="C92" s="15" t="s">
        <v>544</v>
      </c>
      <c r="D92" s="15" t="s">
        <v>545</v>
      </c>
      <c r="E92" s="20">
        <v>40954</v>
      </c>
      <c r="F92" s="21">
        <v>74.847499999999997</v>
      </c>
      <c r="G92" s="22">
        <v>2.5000000000000001E-3</v>
      </c>
      <c r="H92" s="40"/>
      <c r="I92" s="24"/>
      <c r="J92" s="5"/>
    </row>
    <row r="93" spans="1:10" ht="13.05" customHeight="1">
      <c r="A93" s="18" t="s">
        <v>546</v>
      </c>
      <c r="B93" s="19" t="s">
        <v>547</v>
      </c>
      <c r="C93" s="15" t="s">
        <v>548</v>
      </c>
      <c r="D93" s="15" t="s">
        <v>405</v>
      </c>
      <c r="E93" s="20">
        <v>3704</v>
      </c>
      <c r="F93" s="21">
        <v>73.846599999999995</v>
      </c>
      <c r="G93" s="22">
        <v>2.3999999999999998E-3</v>
      </c>
      <c r="H93" s="40"/>
      <c r="I93" s="24"/>
      <c r="J93" s="5"/>
    </row>
    <row r="94" spans="1:10" ht="13.05" customHeight="1">
      <c r="A94" s="18" t="s">
        <v>549</v>
      </c>
      <c r="B94" s="19" t="s">
        <v>550</v>
      </c>
      <c r="C94" s="15" t="s">
        <v>551</v>
      </c>
      <c r="D94" s="15" t="s">
        <v>314</v>
      </c>
      <c r="E94" s="20">
        <v>3741</v>
      </c>
      <c r="F94" s="21">
        <v>73.454499999999996</v>
      </c>
      <c r="G94" s="22">
        <v>2.3999999999999998E-3</v>
      </c>
      <c r="H94" s="40"/>
      <c r="I94" s="24"/>
      <c r="J94" s="5"/>
    </row>
    <row r="95" spans="1:10" ht="13.05" customHeight="1">
      <c r="A95" s="18" t="s">
        <v>552</v>
      </c>
      <c r="B95" s="19" t="s">
        <v>553</v>
      </c>
      <c r="C95" s="15" t="s">
        <v>554</v>
      </c>
      <c r="D95" s="15" t="s">
        <v>268</v>
      </c>
      <c r="E95" s="20">
        <v>20067</v>
      </c>
      <c r="F95" s="21">
        <v>72.9636</v>
      </c>
      <c r="G95" s="22">
        <v>2.3999999999999998E-3</v>
      </c>
      <c r="H95" s="40"/>
      <c r="I95" s="24"/>
      <c r="J95" s="5"/>
    </row>
    <row r="96" spans="1:10" ht="13.05" customHeight="1">
      <c r="A96" s="18" t="s">
        <v>555</v>
      </c>
      <c r="B96" s="19" t="s">
        <v>556</v>
      </c>
      <c r="C96" s="15" t="s">
        <v>557</v>
      </c>
      <c r="D96" s="15" t="s">
        <v>494</v>
      </c>
      <c r="E96" s="20">
        <v>5588</v>
      </c>
      <c r="F96" s="21">
        <v>72.822800000000001</v>
      </c>
      <c r="G96" s="22">
        <v>2.3999999999999998E-3</v>
      </c>
      <c r="H96" s="40"/>
      <c r="I96" s="24"/>
      <c r="J96" s="5"/>
    </row>
    <row r="97" spans="1:10" ht="13.05" customHeight="1">
      <c r="A97" s="18" t="s">
        <v>558</v>
      </c>
      <c r="B97" s="19" t="s">
        <v>559</v>
      </c>
      <c r="C97" s="15" t="s">
        <v>560</v>
      </c>
      <c r="D97" s="15" t="s">
        <v>374</v>
      </c>
      <c r="E97" s="20">
        <v>784</v>
      </c>
      <c r="F97" s="21">
        <v>72.468999999999994</v>
      </c>
      <c r="G97" s="22">
        <v>2.3999999999999998E-3</v>
      </c>
      <c r="H97" s="40"/>
      <c r="I97" s="24"/>
      <c r="J97" s="5"/>
    </row>
    <row r="98" spans="1:10" ht="13.05" customHeight="1">
      <c r="A98" s="18" t="s">
        <v>561</v>
      </c>
      <c r="B98" s="19" t="s">
        <v>562</v>
      </c>
      <c r="C98" s="15" t="s">
        <v>563</v>
      </c>
      <c r="D98" s="15" t="s">
        <v>300</v>
      </c>
      <c r="E98" s="20">
        <v>19306</v>
      </c>
      <c r="F98" s="21">
        <v>72.368499999999997</v>
      </c>
      <c r="G98" s="22">
        <v>2.3999999999999998E-3</v>
      </c>
      <c r="H98" s="40"/>
      <c r="I98" s="24"/>
      <c r="J98" s="5"/>
    </row>
    <row r="99" spans="1:10" ht="13.05" customHeight="1">
      <c r="A99" s="18" t="s">
        <v>564</v>
      </c>
      <c r="B99" s="19" t="s">
        <v>565</v>
      </c>
      <c r="C99" s="15" t="s">
        <v>566</v>
      </c>
      <c r="D99" s="15" t="s">
        <v>567</v>
      </c>
      <c r="E99" s="20">
        <v>68394</v>
      </c>
      <c r="F99" s="21">
        <v>72.080399999999997</v>
      </c>
      <c r="G99" s="22">
        <v>2.3999999999999998E-3</v>
      </c>
      <c r="H99" s="40"/>
      <c r="I99" s="24"/>
      <c r="J99" s="5"/>
    </row>
    <row r="100" spans="1:10" ht="13.05" customHeight="1">
      <c r="A100" s="18" t="s">
        <v>568</v>
      </c>
      <c r="B100" s="19" t="s">
        <v>569</v>
      </c>
      <c r="C100" s="15" t="s">
        <v>570</v>
      </c>
      <c r="D100" s="15" t="s">
        <v>257</v>
      </c>
      <c r="E100" s="20">
        <v>52066</v>
      </c>
      <c r="F100" s="21">
        <v>71.325199999999995</v>
      </c>
      <c r="G100" s="22">
        <v>2.3E-3</v>
      </c>
      <c r="H100" s="40"/>
      <c r="I100" s="24"/>
      <c r="J100" s="5"/>
    </row>
    <row r="101" spans="1:10" ht="13.05" customHeight="1">
      <c r="A101" s="18" t="s">
        <v>571</v>
      </c>
      <c r="B101" s="19" t="s">
        <v>572</v>
      </c>
      <c r="C101" s="15" t="s">
        <v>573</v>
      </c>
      <c r="D101" s="15" t="s">
        <v>261</v>
      </c>
      <c r="E101" s="20">
        <v>14896</v>
      </c>
      <c r="F101" s="21">
        <v>70.905000000000001</v>
      </c>
      <c r="G101" s="22">
        <v>2.3E-3</v>
      </c>
      <c r="H101" s="40"/>
      <c r="I101" s="24"/>
      <c r="J101" s="5"/>
    </row>
    <row r="102" spans="1:10" ht="13.05" customHeight="1">
      <c r="A102" s="18" t="s">
        <v>574</v>
      </c>
      <c r="B102" s="19" t="s">
        <v>575</v>
      </c>
      <c r="C102" s="15" t="s">
        <v>576</v>
      </c>
      <c r="D102" s="15" t="s">
        <v>577</v>
      </c>
      <c r="E102" s="20">
        <v>6193</v>
      </c>
      <c r="F102" s="21">
        <v>69.274900000000002</v>
      </c>
      <c r="G102" s="22">
        <v>2.3E-3</v>
      </c>
      <c r="H102" s="40"/>
      <c r="I102" s="24"/>
      <c r="J102" s="5"/>
    </row>
    <row r="103" spans="1:10" ht="13.05" customHeight="1">
      <c r="A103" s="18" t="s">
        <v>578</v>
      </c>
      <c r="B103" s="19" t="s">
        <v>579</v>
      </c>
      <c r="C103" s="15" t="s">
        <v>580</v>
      </c>
      <c r="D103" s="15" t="s">
        <v>581</v>
      </c>
      <c r="E103" s="20">
        <v>4785</v>
      </c>
      <c r="F103" s="21">
        <v>69.124099999999999</v>
      </c>
      <c r="G103" s="22">
        <v>2.3E-3</v>
      </c>
      <c r="H103" s="40"/>
      <c r="I103" s="24"/>
      <c r="J103" s="5"/>
    </row>
    <row r="104" spans="1:10" ht="13.05" customHeight="1">
      <c r="A104" s="18" t="s">
        <v>582</v>
      </c>
      <c r="B104" s="19" t="s">
        <v>583</v>
      </c>
      <c r="C104" s="15" t="s">
        <v>584</v>
      </c>
      <c r="D104" s="15" t="s">
        <v>257</v>
      </c>
      <c r="E104" s="20">
        <v>300168</v>
      </c>
      <c r="F104" s="21">
        <v>68.258200000000002</v>
      </c>
      <c r="G104" s="22">
        <v>2.2000000000000001E-3</v>
      </c>
      <c r="H104" s="40"/>
      <c r="I104" s="24"/>
      <c r="J104" s="5"/>
    </row>
    <row r="105" spans="1:10" ht="13.05" customHeight="1">
      <c r="A105" s="18" t="s">
        <v>585</v>
      </c>
      <c r="B105" s="19" t="s">
        <v>586</v>
      </c>
      <c r="C105" s="15" t="s">
        <v>587</v>
      </c>
      <c r="D105" s="15" t="s">
        <v>581</v>
      </c>
      <c r="E105" s="20">
        <v>2248</v>
      </c>
      <c r="F105" s="21">
        <v>65.877600000000001</v>
      </c>
      <c r="G105" s="22">
        <v>2.2000000000000001E-3</v>
      </c>
      <c r="H105" s="40"/>
      <c r="I105" s="24"/>
      <c r="J105" s="5"/>
    </row>
    <row r="106" spans="1:10" ht="13.05" customHeight="1">
      <c r="A106" s="18" t="s">
        <v>588</v>
      </c>
      <c r="B106" s="19" t="s">
        <v>589</v>
      </c>
      <c r="C106" s="15" t="s">
        <v>590</v>
      </c>
      <c r="D106" s="15" t="s">
        <v>257</v>
      </c>
      <c r="E106" s="20">
        <v>53435</v>
      </c>
      <c r="F106" s="21">
        <v>65.666300000000007</v>
      </c>
      <c r="G106" s="22">
        <v>2.2000000000000001E-3</v>
      </c>
      <c r="H106" s="40"/>
      <c r="I106" s="24"/>
      <c r="J106" s="5"/>
    </row>
    <row r="107" spans="1:10" ht="13.05" customHeight="1">
      <c r="A107" s="18" t="s">
        <v>591</v>
      </c>
      <c r="B107" s="19" t="s">
        <v>592</v>
      </c>
      <c r="C107" s="15" t="s">
        <v>593</v>
      </c>
      <c r="D107" s="15" t="s">
        <v>475</v>
      </c>
      <c r="E107" s="20">
        <v>4577</v>
      </c>
      <c r="F107" s="21">
        <v>65.515199999999993</v>
      </c>
      <c r="G107" s="22">
        <v>2.2000000000000001E-3</v>
      </c>
      <c r="H107" s="40"/>
      <c r="I107" s="24"/>
      <c r="J107" s="5"/>
    </row>
    <row r="108" spans="1:10" ht="13.05" customHeight="1">
      <c r="A108" s="18" t="s">
        <v>594</v>
      </c>
      <c r="B108" s="19" t="s">
        <v>595</v>
      </c>
      <c r="C108" s="15" t="s">
        <v>596</v>
      </c>
      <c r="D108" s="15" t="s">
        <v>405</v>
      </c>
      <c r="E108" s="20">
        <v>4079</v>
      </c>
      <c r="F108" s="21">
        <v>63.081699999999998</v>
      </c>
      <c r="G108" s="22">
        <v>2.0999999999999999E-3</v>
      </c>
      <c r="H108" s="40"/>
      <c r="I108" s="24"/>
      <c r="J108" s="5"/>
    </row>
    <row r="109" spans="1:10" ht="13.05" customHeight="1">
      <c r="A109" s="18" t="s">
        <v>597</v>
      </c>
      <c r="B109" s="19" t="s">
        <v>598</v>
      </c>
      <c r="C109" s="15" t="s">
        <v>599</v>
      </c>
      <c r="D109" s="15" t="s">
        <v>507</v>
      </c>
      <c r="E109" s="20">
        <v>44211</v>
      </c>
      <c r="F109" s="21">
        <v>62.571800000000003</v>
      </c>
      <c r="G109" s="22">
        <v>2.0999999999999999E-3</v>
      </c>
      <c r="H109" s="40"/>
      <c r="I109" s="24"/>
      <c r="J109" s="5"/>
    </row>
    <row r="110" spans="1:10" ht="13.05" customHeight="1">
      <c r="A110" s="18" t="s">
        <v>600</v>
      </c>
      <c r="B110" s="19" t="s">
        <v>601</v>
      </c>
      <c r="C110" s="15" t="s">
        <v>602</v>
      </c>
      <c r="D110" s="15" t="s">
        <v>603</v>
      </c>
      <c r="E110" s="20">
        <v>8618</v>
      </c>
      <c r="F110" s="21">
        <v>62.058199999999999</v>
      </c>
      <c r="G110" s="22">
        <v>2E-3</v>
      </c>
      <c r="H110" s="40"/>
      <c r="I110" s="24"/>
      <c r="J110" s="5"/>
    </row>
    <row r="111" spans="1:10" ht="13.05" customHeight="1">
      <c r="A111" s="18" t="s">
        <v>604</v>
      </c>
      <c r="B111" s="19" t="s">
        <v>605</v>
      </c>
      <c r="C111" s="15" t="s">
        <v>606</v>
      </c>
      <c r="D111" s="15" t="s">
        <v>333</v>
      </c>
      <c r="E111" s="20">
        <v>5696</v>
      </c>
      <c r="F111" s="21">
        <v>60.764899999999997</v>
      </c>
      <c r="G111" s="22">
        <v>2E-3</v>
      </c>
      <c r="H111" s="40"/>
      <c r="I111" s="24"/>
      <c r="J111" s="5"/>
    </row>
    <row r="112" spans="1:10" ht="13.05" customHeight="1">
      <c r="A112" s="18" t="s">
        <v>607</v>
      </c>
      <c r="B112" s="19" t="s">
        <v>608</v>
      </c>
      <c r="C112" s="15" t="s">
        <v>609</v>
      </c>
      <c r="D112" s="15" t="s">
        <v>501</v>
      </c>
      <c r="E112" s="20">
        <v>776</v>
      </c>
      <c r="F112" s="21">
        <v>59.783000000000001</v>
      </c>
      <c r="G112" s="22">
        <v>2E-3</v>
      </c>
      <c r="H112" s="40"/>
      <c r="I112" s="24"/>
      <c r="J112" s="5"/>
    </row>
    <row r="113" spans="1:10" ht="13.05" customHeight="1">
      <c r="A113" s="18" t="s">
        <v>610</v>
      </c>
      <c r="B113" s="19" t="s">
        <v>611</v>
      </c>
      <c r="C113" s="15" t="s">
        <v>612</v>
      </c>
      <c r="D113" s="15" t="s">
        <v>435</v>
      </c>
      <c r="E113" s="20">
        <v>8194</v>
      </c>
      <c r="F113" s="21">
        <v>58.992699999999999</v>
      </c>
      <c r="G113" s="22">
        <v>1.9E-3</v>
      </c>
      <c r="H113" s="40"/>
      <c r="I113" s="24"/>
      <c r="J113" s="5"/>
    </row>
    <row r="114" spans="1:10" ht="13.05" customHeight="1">
      <c r="A114" s="18" t="s">
        <v>613</v>
      </c>
      <c r="B114" s="19" t="s">
        <v>614</v>
      </c>
      <c r="C114" s="15" t="s">
        <v>615</v>
      </c>
      <c r="D114" s="15" t="s">
        <v>337</v>
      </c>
      <c r="E114" s="20">
        <v>208</v>
      </c>
      <c r="F114" s="21">
        <v>58.884799999999998</v>
      </c>
      <c r="G114" s="22">
        <v>1.9E-3</v>
      </c>
      <c r="H114" s="40"/>
      <c r="I114" s="24"/>
      <c r="J114" s="5"/>
    </row>
    <row r="115" spans="1:10" ht="13.05" customHeight="1">
      <c r="A115" s="18" t="s">
        <v>616</v>
      </c>
      <c r="B115" s="19" t="s">
        <v>617</v>
      </c>
      <c r="C115" s="15" t="s">
        <v>618</v>
      </c>
      <c r="D115" s="15" t="s">
        <v>445</v>
      </c>
      <c r="E115" s="20">
        <v>1929</v>
      </c>
      <c r="F115" s="21">
        <v>58.5914</v>
      </c>
      <c r="G115" s="22">
        <v>1.9E-3</v>
      </c>
      <c r="H115" s="40"/>
      <c r="I115" s="24"/>
      <c r="J115" s="5"/>
    </row>
    <row r="116" spans="1:10" ht="13.05" customHeight="1">
      <c r="A116" s="18" t="s">
        <v>619</v>
      </c>
      <c r="B116" s="19" t="s">
        <v>620</v>
      </c>
      <c r="C116" s="15" t="s">
        <v>621</v>
      </c>
      <c r="D116" s="15" t="s">
        <v>325</v>
      </c>
      <c r="E116" s="20">
        <v>3911</v>
      </c>
      <c r="F116" s="21">
        <v>58.426400000000001</v>
      </c>
      <c r="G116" s="22">
        <v>1.9E-3</v>
      </c>
      <c r="H116" s="40"/>
      <c r="I116" s="24"/>
      <c r="J116" s="5"/>
    </row>
    <row r="117" spans="1:10" ht="13.05" customHeight="1">
      <c r="A117" s="18" t="s">
        <v>622</v>
      </c>
      <c r="B117" s="19" t="s">
        <v>623</v>
      </c>
      <c r="C117" s="15" t="s">
        <v>624</v>
      </c>
      <c r="D117" s="15" t="s">
        <v>314</v>
      </c>
      <c r="E117" s="20">
        <v>6068</v>
      </c>
      <c r="F117" s="21">
        <v>57.8675</v>
      </c>
      <c r="G117" s="22">
        <v>1.9E-3</v>
      </c>
      <c r="H117" s="40"/>
      <c r="I117" s="24"/>
      <c r="J117" s="5"/>
    </row>
    <row r="118" spans="1:10" ht="13.05" customHeight="1">
      <c r="A118" s="18" t="s">
        <v>625</v>
      </c>
      <c r="B118" s="19" t="s">
        <v>626</v>
      </c>
      <c r="C118" s="15" t="s">
        <v>627</v>
      </c>
      <c r="D118" s="15" t="s">
        <v>314</v>
      </c>
      <c r="E118" s="20">
        <v>1621</v>
      </c>
      <c r="F118" s="21">
        <v>57.709200000000003</v>
      </c>
      <c r="G118" s="22">
        <v>1.9E-3</v>
      </c>
      <c r="H118" s="40"/>
      <c r="I118" s="24"/>
      <c r="J118" s="5"/>
    </row>
    <row r="119" spans="1:10" ht="13.05" customHeight="1">
      <c r="A119" s="18" t="s">
        <v>628</v>
      </c>
      <c r="B119" s="19" t="s">
        <v>629</v>
      </c>
      <c r="C119" s="15" t="s">
        <v>630</v>
      </c>
      <c r="D119" s="15" t="s">
        <v>567</v>
      </c>
      <c r="E119" s="20">
        <v>4141</v>
      </c>
      <c r="F119" s="21">
        <v>54.855800000000002</v>
      </c>
      <c r="G119" s="22">
        <v>1.8E-3</v>
      </c>
      <c r="H119" s="40"/>
      <c r="I119" s="24"/>
      <c r="J119" s="5"/>
    </row>
    <row r="120" spans="1:10" ht="13.05" customHeight="1">
      <c r="A120" s="18" t="s">
        <v>631</v>
      </c>
      <c r="B120" s="19" t="s">
        <v>632</v>
      </c>
      <c r="C120" s="15" t="s">
        <v>633</v>
      </c>
      <c r="D120" s="15" t="s">
        <v>321</v>
      </c>
      <c r="E120" s="20">
        <v>4762</v>
      </c>
      <c r="F120" s="21">
        <v>54.286799999999999</v>
      </c>
      <c r="G120" s="22">
        <v>1.8E-3</v>
      </c>
      <c r="H120" s="40"/>
      <c r="I120" s="24"/>
      <c r="J120" s="5"/>
    </row>
    <row r="121" spans="1:10" ht="13.05" customHeight="1">
      <c r="A121" s="18" t="s">
        <v>634</v>
      </c>
      <c r="B121" s="19" t="s">
        <v>635</v>
      </c>
      <c r="C121" s="15" t="s">
        <v>636</v>
      </c>
      <c r="D121" s="15" t="s">
        <v>337</v>
      </c>
      <c r="E121" s="20">
        <v>9499</v>
      </c>
      <c r="F121" s="21">
        <v>53.707299999999996</v>
      </c>
      <c r="G121" s="22">
        <v>1.8E-3</v>
      </c>
      <c r="H121" s="40"/>
      <c r="I121" s="24"/>
      <c r="J121" s="5"/>
    </row>
    <row r="122" spans="1:10" ht="13.05" customHeight="1">
      <c r="A122" s="18" t="s">
        <v>637</v>
      </c>
      <c r="B122" s="19" t="s">
        <v>638</v>
      </c>
      <c r="C122" s="15" t="s">
        <v>639</v>
      </c>
      <c r="D122" s="15" t="s">
        <v>541</v>
      </c>
      <c r="E122" s="20">
        <v>2339</v>
      </c>
      <c r="F122" s="21">
        <v>53.516300000000001</v>
      </c>
      <c r="G122" s="22">
        <v>1.8E-3</v>
      </c>
      <c r="H122" s="40"/>
      <c r="I122" s="24"/>
      <c r="J122" s="5"/>
    </row>
    <row r="123" spans="1:10" ht="13.05" customHeight="1">
      <c r="A123" s="18" t="s">
        <v>640</v>
      </c>
      <c r="B123" s="19" t="s">
        <v>641</v>
      </c>
      <c r="C123" s="15" t="s">
        <v>642</v>
      </c>
      <c r="D123" s="15" t="s">
        <v>296</v>
      </c>
      <c r="E123" s="20">
        <v>2185</v>
      </c>
      <c r="F123" s="21">
        <v>53.285600000000002</v>
      </c>
      <c r="G123" s="22">
        <v>1.6999999999999999E-3</v>
      </c>
      <c r="H123" s="40"/>
      <c r="I123" s="24"/>
      <c r="J123" s="5"/>
    </row>
    <row r="124" spans="1:10" ht="13.05" customHeight="1">
      <c r="A124" s="18" t="s">
        <v>643</v>
      </c>
      <c r="B124" s="19" t="s">
        <v>644</v>
      </c>
      <c r="C124" s="15" t="s">
        <v>645</v>
      </c>
      <c r="D124" s="15" t="s">
        <v>300</v>
      </c>
      <c r="E124" s="20">
        <v>1664</v>
      </c>
      <c r="F124" s="21">
        <v>52.893599999999999</v>
      </c>
      <c r="G124" s="22">
        <v>1.6999999999999999E-3</v>
      </c>
      <c r="H124" s="40"/>
      <c r="I124" s="24"/>
      <c r="J124" s="5"/>
    </row>
    <row r="125" spans="1:10" ht="13.05" customHeight="1">
      <c r="A125" s="18" t="s">
        <v>646</v>
      </c>
      <c r="B125" s="19" t="s">
        <v>647</v>
      </c>
      <c r="C125" s="15" t="s">
        <v>648</v>
      </c>
      <c r="D125" s="15" t="s">
        <v>445</v>
      </c>
      <c r="E125" s="20">
        <v>19859</v>
      </c>
      <c r="F125" s="21">
        <v>52.723700000000001</v>
      </c>
      <c r="G125" s="22">
        <v>1.6999999999999999E-3</v>
      </c>
      <c r="H125" s="40"/>
      <c r="I125" s="24"/>
      <c r="J125" s="5"/>
    </row>
    <row r="126" spans="1:10" ht="13.05" customHeight="1">
      <c r="A126" s="18" t="s">
        <v>649</v>
      </c>
      <c r="B126" s="19" t="s">
        <v>650</v>
      </c>
      <c r="C126" s="15" t="s">
        <v>651</v>
      </c>
      <c r="D126" s="15" t="s">
        <v>581</v>
      </c>
      <c r="E126" s="20">
        <v>378</v>
      </c>
      <c r="F126" s="21">
        <v>52.458799999999997</v>
      </c>
      <c r="G126" s="22">
        <v>1.6999999999999999E-3</v>
      </c>
      <c r="H126" s="40"/>
      <c r="I126" s="24"/>
      <c r="J126" s="5"/>
    </row>
    <row r="127" spans="1:10" ht="13.05" customHeight="1">
      <c r="A127" s="18" t="s">
        <v>652</v>
      </c>
      <c r="B127" s="19" t="s">
        <v>653</v>
      </c>
      <c r="C127" s="15" t="s">
        <v>654</v>
      </c>
      <c r="D127" s="15" t="s">
        <v>304</v>
      </c>
      <c r="E127" s="20">
        <v>21058</v>
      </c>
      <c r="F127" s="21">
        <v>52.211199999999998</v>
      </c>
      <c r="G127" s="22">
        <v>1.6999999999999999E-3</v>
      </c>
      <c r="H127" s="40"/>
      <c r="I127" s="24"/>
      <c r="J127" s="5"/>
    </row>
    <row r="128" spans="1:10" ht="13.05" customHeight="1">
      <c r="A128" s="18" t="s">
        <v>655</v>
      </c>
      <c r="B128" s="19" t="s">
        <v>656</v>
      </c>
      <c r="C128" s="15" t="s">
        <v>657</v>
      </c>
      <c r="D128" s="15" t="s">
        <v>364</v>
      </c>
      <c r="E128" s="20">
        <v>55559</v>
      </c>
      <c r="F128" s="21">
        <v>52.208799999999997</v>
      </c>
      <c r="G128" s="22">
        <v>1.6999999999999999E-3</v>
      </c>
      <c r="H128" s="40"/>
      <c r="I128" s="24"/>
      <c r="J128" s="5"/>
    </row>
    <row r="129" spans="1:10" ht="13.05" customHeight="1">
      <c r="A129" s="18" t="s">
        <v>658</v>
      </c>
      <c r="B129" s="19" t="s">
        <v>659</v>
      </c>
      <c r="C129" s="15" t="s">
        <v>660</v>
      </c>
      <c r="D129" s="15" t="s">
        <v>321</v>
      </c>
      <c r="E129" s="20">
        <v>5285</v>
      </c>
      <c r="F129" s="21">
        <v>52.120699999999999</v>
      </c>
      <c r="G129" s="22">
        <v>1.6999999999999999E-3</v>
      </c>
      <c r="H129" s="40"/>
      <c r="I129" s="24"/>
      <c r="J129" s="5"/>
    </row>
    <row r="130" spans="1:10" ht="13.05" customHeight="1">
      <c r="A130" s="18" t="s">
        <v>661</v>
      </c>
      <c r="B130" s="19" t="s">
        <v>662</v>
      </c>
      <c r="C130" s="15" t="s">
        <v>663</v>
      </c>
      <c r="D130" s="15" t="s">
        <v>541</v>
      </c>
      <c r="E130" s="20">
        <v>4332</v>
      </c>
      <c r="F130" s="21">
        <v>51.893000000000001</v>
      </c>
      <c r="G130" s="22">
        <v>1.6999999999999999E-3</v>
      </c>
      <c r="H130" s="40"/>
      <c r="I130" s="24"/>
      <c r="J130" s="5"/>
    </row>
    <row r="131" spans="1:10" ht="13.05" customHeight="1">
      <c r="A131" s="18" t="s">
        <v>664</v>
      </c>
      <c r="B131" s="19" t="s">
        <v>665</v>
      </c>
      <c r="C131" s="15" t="s">
        <v>666</v>
      </c>
      <c r="D131" s="15" t="s">
        <v>304</v>
      </c>
      <c r="E131" s="20">
        <v>12639</v>
      </c>
      <c r="F131" s="21">
        <v>51.813600000000001</v>
      </c>
      <c r="G131" s="22">
        <v>1.6999999999999999E-3</v>
      </c>
      <c r="H131" s="40"/>
      <c r="I131" s="24"/>
      <c r="J131" s="5"/>
    </row>
    <row r="132" spans="1:10" ht="13.05" customHeight="1">
      <c r="A132" s="18" t="s">
        <v>667</v>
      </c>
      <c r="B132" s="19" t="s">
        <v>668</v>
      </c>
      <c r="C132" s="15" t="s">
        <v>669</v>
      </c>
      <c r="D132" s="15" t="s">
        <v>501</v>
      </c>
      <c r="E132" s="20">
        <v>2805</v>
      </c>
      <c r="F132" s="21">
        <v>50.251600000000003</v>
      </c>
      <c r="G132" s="22">
        <v>1.6000000000000001E-3</v>
      </c>
      <c r="H132" s="40"/>
      <c r="I132" s="24"/>
      <c r="J132" s="5"/>
    </row>
    <row r="133" spans="1:10" ht="13.05" customHeight="1">
      <c r="A133" s="18" t="s">
        <v>670</v>
      </c>
      <c r="B133" s="19" t="s">
        <v>671</v>
      </c>
      <c r="C133" s="15" t="s">
        <v>672</v>
      </c>
      <c r="D133" s="15" t="s">
        <v>445</v>
      </c>
      <c r="E133" s="20">
        <v>1451</v>
      </c>
      <c r="F133" s="21">
        <v>49.7316</v>
      </c>
      <c r="G133" s="22">
        <v>1.6000000000000001E-3</v>
      </c>
      <c r="H133" s="40"/>
      <c r="I133" s="24"/>
      <c r="J133" s="5"/>
    </row>
    <row r="134" spans="1:10" ht="13.05" customHeight="1">
      <c r="A134" s="18" t="s">
        <v>673</v>
      </c>
      <c r="B134" s="19" t="s">
        <v>674</v>
      </c>
      <c r="C134" s="15" t="s">
        <v>675</v>
      </c>
      <c r="D134" s="15" t="s">
        <v>567</v>
      </c>
      <c r="E134" s="20">
        <v>133</v>
      </c>
      <c r="F134" s="21">
        <v>49.535899999999998</v>
      </c>
      <c r="G134" s="22">
        <v>1.6000000000000001E-3</v>
      </c>
      <c r="H134" s="40"/>
      <c r="I134" s="24"/>
      <c r="J134" s="5"/>
    </row>
    <row r="135" spans="1:10" ht="13.05" customHeight="1">
      <c r="A135" s="18" t="s">
        <v>676</v>
      </c>
      <c r="B135" s="19" t="s">
        <v>677</v>
      </c>
      <c r="C135" s="15" t="s">
        <v>678</v>
      </c>
      <c r="D135" s="15" t="s">
        <v>314</v>
      </c>
      <c r="E135" s="20">
        <v>4342</v>
      </c>
      <c r="F135" s="21">
        <v>49.451000000000001</v>
      </c>
      <c r="G135" s="22">
        <v>1.6000000000000001E-3</v>
      </c>
      <c r="H135" s="40"/>
      <c r="I135" s="24"/>
      <c r="J135" s="5"/>
    </row>
    <row r="136" spans="1:10" ht="13.05" customHeight="1">
      <c r="A136" s="18" t="s">
        <v>679</v>
      </c>
      <c r="B136" s="19" t="s">
        <v>680</v>
      </c>
      <c r="C136" s="15" t="s">
        <v>681</v>
      </c>
      <c r="D136" s="15" t="s">
        <v>567</v>
      </c>
      <c r="E136" s="20">
        <v>1624</v>
      </c>
      <c r="F136" s="21">
        <v>49.093499999999999</v>
      </c>
      <c r="G136" s="22">
        <v>1.6000000000000001E-3</v>
      </c>
      <c r="H136" s="40"/>
      <c r="I136" s="24"/>
      <c r="J136" s="5"/>
    </row>
    <row r="137" spans="1:10" ht="13.05" customHeight="1">
      <c r="A137" s="18" t="s">
        <v>682</v>
      </c>
      <c r="B137" s="19" t="s">
        <v>683</v>
      </c>
      <c r="C137" s="15" t="s">
        <v>684</v>
      </c>
      <c r="D137" s="15" t="s">
        <v>300</v>
      </c>
      <c r="E137" s="20">
        <v>1064</v>
      </c>
      <c r="F137" s="21">
        <v>48.8855</v>
      </c>
      <c r="G137" s="22">
        <v>1.6000000000000001E-3</v>
      </c>
      <c r="H137" s="40"/>
      <c r="I137" s="24"/>
      <c r="J137" s="5"/>
    </row>
    <row r="138" spans="1:10" ht="13.05" customHeight="1">
      <c r="A138" s="18" t="s">
        <v>685</v>
      </c>
      <c r="B138" s="19" t="s">
        <v>686</v>
      </c>
      <c r="C138" s="15" t="s">
        <v>687</v>
      </c>
      <c r="D138" s="15" t="s">
        <v>272</v>
      </c>
      <c r="E138" s="20">
        <v>1767</v>
      </c>
      <c r="F138" s="21">
        <v>48.846899999999998</v>
      </c>
      <c r="G138" s="22">
        <v>1.6000000000000001E-3</v>
      </c>
      <c r="H138" s="40"/>
      <c r="I138" s="24"/>
      <c r="J138" s="5"/>
    </row>
    <row r="139" spans="1:10" ht="13.05" customHeight="1">
      <c r="A139" s="18" t="s">
        <v>688</v>
      </c>
      <c r="B139" s="19" t="s">
        <v>689</v>
      </c>
      <c r="C139" s="15" t="s">
        <v>690</v>
      </c>
      <c r="D139" s="15" t="s">
        <v>567</v>
      </c>
      <c r="E139" s="20">
        <v>31</v>
      </c>
      <c r="F139" s="21">
        <v>48.829700000000003</v>
      </c>
      <c r="G139" s="22">
        <v>1.6000000000000001E-3</v>
      </c>
      <c r="H139" s="40"/>
      <c r="I139" s="24"/>
      <c r="J139" s="5"/>
    </row>
    <row r="140" spans="1:10" ht="13.05" customHeight="1">
      <c r="A140" s="18" t="s">
        <v>691</v>
      </c>
      <c r="B140" s="19" t="s">
        <v>692</v>
      </c>
      <c r="C140" s="15" t="s">
        <v>693</v>
      </c>
      <c r="D140" s="15" t="s">
        <v>325</v>
      </c>
      <c r="E140" s="20">
        <v>3522</v>
      </c>
      <c r="F140" s="21">
        <v>48.730400000000003</v>
      </c>
      <c r="G140" s="22">
        <v>1.6000000000000001E-3</v>
      </c>
      <c r="H140" s="40"/>
      <c r="I140" s="24"/>
      <c r="J140" s="5"/>
    </row>
    <row r="141" spans="1:10" ht="13.05" customHeight="1">
      <c r="A141" s="18" t="s">
        <v>694</v>
      </c>
      <c r="B141" s="19" t="s">
        <v>695</v>
      </c>
      <c r="C141" s="15" t="s">
        <v>696</v>
      </c>
      <c r="D141" s="15" t="s">
        <v>541</v>
      </c>
      <c r="E141" s="20">
        <v>2890</v>
      </c>
      <c r="F141" s="21">
        <v>48.627099999999999</v>
      </c>
      <c r="G141" s="22">
        <v>1.6000000000000001E-3</v>
      </c>
      <c r="H141" s="40"/>
      <c r="I141" s="24"/>
      <c r="J141" s="5"/>
    </row>
    <row r="142" spans="1:10" ht="13.05" customHeight="1">
      <c r="A142" s="18" t="s">
        <v>697</v>
      </c>
      <c r="B142" s="19" t="s">
        <v>698</v>
      </c>
      <c r="C142" s="15" t="s">
        <v>699</v>
      </c>
      <c r="D142" s="15" t="s">
        <v>314</v>
      </c>
      <c r="E142" s="20">
        <v>861</v>
      </c>
      <c r="F142" s="21">
        <v>47.411000000000001</v>
      </c>
      <c r="G142" s="22">
        <v>1.6000000000000001E-3</v>
      </c>
      <c r="H142" s="40"/>
      <c r="I142" s="24"/>
      <c r="J142" s="5"/>
    </row>
    <row r="143" spans="1:10" ht="13.05" customHeight="1">
      <c r="A143" s="18" t="s">
        <v>700</v>
      </c>
      <c r="B143" s="19" t="s">
        <v>701</v>
      </c>
      <c r="C143" s="15" t="s">
        <v>702</v>
      </c>
      <c r="D143" s="15" t="s">
        <v>257</v>
      </c>
      <c r="E143" s="20">
        <v>5481</v>
      </c>
      <c r="F143" s="21">
        <v>47.065300000000001</v>
      </c>
      <c r="G143" s="22">
        <v>1.5E-3</v>
      </c>
      <c r="H143" s="40"/>
      <c r="I143" s="24"/>
      <c r="J143" s="5"/>
    </row>
    <row r="144" spans="1:10" ht="13.05" customHeight="1">
      <c r="A144" s="18" t="s">
        <v>703</v>
      </c>
      <c r="B144" s="19" t="s">
        <v>704</v>
      </c>
      <c r="C144" s="15" t="s">
        <v>705</v>
      </c>
      <c r="D144" s="15" t="s">
        <v>577</v>
      </c>
      <c r="E144" s="20">
        <v>2039</v>
      </c>
      <c r="F144" s="21">
        <v>45.7348</v>
      </c>
      <c r="G144" s="22">
        <v>1.5E-3</v>
      </c>
      <c r="H144" s="40"/>
      <c r="I144" s="24"/>
      <c r="J144" s="5"/>
    </row>
    <row r="145" spans="1:10" ht="13.05" customHeight="1">
      <c r="A145" s="18" t="s">
        <v>706</v>
      </c>
      <c r="B145" s="19" t="s">
        <v>707</v>
      </c>
      <c r="C145" s="15" t="s">
        <v>708</v>
      </c>
      <c r="D145" s="15" t="s">
        <v>541</v>
      </c>
      <c r="E145" s="20">
        <v>2620</v>
      </c>
      <c r="F145" s="21">
        <v>45.711100000000002</v>
      </c>
      <c r="G145" s="22">
        <v>1.5E-3</v>
      </c>
      <c r="H145" s="40"/>
      <c r="I145" s="24"/>
      <c r="J145" s="5"/>
    </row>
    <row r="146" spans="1:10" ht="13.05" customHeight="1">
      <c r="A146" s="18" t="s">
        <v>709</v>
      </c>
      <c r="B146" s="19" t="s">
        <v>710</v>
      </c>
      <c r="C146" s="15" t="s">
        <v>711</v>
      </c>
      <c r="D146" s="15" t="s">
        <v>304</v>
      </c>
      <c r="E146" s="20">
        <v>31308</v>
      </c>
      <c r="F146" s="21">
        <v>45.299500000000002</v>
      </c>
      <c r="G146" s="22">
        <v>1.5E-3</v>
      </c>
      <c r="H146" s="40"/>
      <c r="I146" s="24"/>
      <c r="J146" s="5"/>
    </row>
    <row r="147" spans="1:10" ht="13.05" customHeight="1">
      <c r="A147" s="18" t="s">
        <v>712</v>
      </c>
      <c r="B147" s="19" t="s">
        <v>713</v>
      </c>
      <c r="C147" s="15" t="s">
        <v>714</v>
      </c>
      <c r="D147" s="15" t="s">
        <v>603</v>
      </c>
      <c r="E147" s="20">
        <v>1258</v>
      </c>
      <c r="F147" s="21">
        <v>45.003700000000002</v>
      </c>
      <c r="G147" s="22">
        <v>1.5E-3</v>
      </c>
      <c r="H147" s="40"/>
      <c r="I147" s="24"/>
      <c r="J147" s="5"/>
    </row>
    <row r="148" spans="1:10" ht="13.05" customHeight="1">
      <c r="A148" s="18" t="s">
        <v>715</v>
      </c>
      <c r="B148" s="19" t="s">
        <v>716</v>
      </c>
      <c r="C148" s="15" t="s">
        <v>717</v>
      </c>
      <c r="D148" s="15" t="s">
        <v>577</v>
      </c>
      <c r="E148" s="20">
        <v>9135</v>
      </c>
      <c r="F148" s="21">
        <v>44.537700000000001</v>
      </c>
      <c r="G148" s="22">
        <v>1.5E-3</v>
      </c>
      <c r="H148" s="40"/>
      <c r="I148" s="24"/>
      <c r="J148" s="5"/>
    </row>
    <row r="149" spans="1:10" ht="13.05" customHeight="1">
      <c r="A149" s="18" t="s">
        <v>718</v>
      </c>
      <c r="B149" s="19" t="s">
        <v>719</v>
      </c>
      <c r="C149" s="15" t="s">
        <v>720</v>
      </c>
      <c r="D149" s="15" t="s">
        <v>257</v>
      </c>
      <c r="E149" s="20">
        <v>29869</v>
      </c>
      <c r="F149" s="21">
        <v>44.406199999999998</v>
      </c>
      <c r="G149" s="22">
        <v>1.5E-3</v>
      </c>
      <c r="H149" s="40"/>
      <c r="I149" s="24"/>
      <c r="J149" s="5"/>
    </row>
    <row r="150" spans="1:10" ht="13.05" customHeight="1">
      <c r="A150" s="18" t="s">
        <v>721</v>
      </c>
      <c r="B150" s="19" t="s">
        <v>722</v>
      </c>
      <c r="C150" s="15" t="s">
        <v>723</v>
      </c>
      <c r="D150" s="15" t="s">
        <v>314</v>
      </c>
      <c r="E150" s="20">
        <v>2343</v>
      </c>
      <c r="F150" s="21">
        <v>44.3108</v>
      </c>
      <c r="G150" s="22">
        <v>1.5E-3</v>
      </c>
      <c r="H150" s="40"/>
      <c r="I150" s="24"/>
      <c r="J150" s="5"/>
    </row>
    <row r="151" spans="1:10" ht="13.05" customHeight="1">
      <c r="A151" s="18" t="s">
        <v>724</v>
      </c>
      <c r="B151" s="19" t="s">
        <v>725</v>
      </c>
      <c r="C151" s="15" t="s">
        <v>726</v>
      </c>
      <c r="D151" s="15" t="s">
        <v>374</v>
      </c>
      <c r="E151" s="20">
        <v>2761</v>
      </c>
      <c r="F151" s="21">
        <v>43.822600000000001</v>
      </c>
      <c r="G151" s="22">
        <v>1.4E-3</v>
      </c>
      <c r="H151" s="40"/>
      <c r="I151" s="24"/>
      <c r="J151" s="5"/>
    </row>
    <row r="152" spans="1:10" ht="13.05" customHeight="1">
      <c r="A152" s="18" t="s">
        <v>727</v>
      </c>
      <c r="B152" s="19" t="s">
        <v>728</v>
      </c>
      <c r="C152" s="15" t="s">
        <v>729</v>
      </c>
      <c r="D152" s="15" t="s">
        <v>321</v>
      </c>
      <c r="E152" s="20">
        <v>8265</v>
      </c>
      <c r="F152" s="21">
        <v>43.593699999999998</v>
      </c>
      <c r="G152" s="22">
        <v>1.4E-3</v>
      </c>
      <c r="H152" s="40"/>
      <c r="I152" s="24"/>
      <c r="J152" s="5"/>
    </row>
    <row r="153" spans="1:10" ht="13.05" customHeight="1">
      <c r="A153" s="18" t="s">
        <v>730</v>
      </c>
      <c r="B153" s="19" t="s">
        <v>731</v>
      </c>
      <c r="C153" s="15" t="s">
        <v>732</v>
      </c>
      <c r="D153" s="15" t="s">
        <v>445</v>
      </c>
      <c r="E153" s="20">
        <v>1349</v>
      </c>
      <c r="F153" s="21">
        <v>42.973700000000001</v>
      </c>
      <c r="G153" s="22">
        <v>1.4E-3</v>
      </c>
      <c r="H153" s="40"/>
      <c r="I153" s="24"/>
      <c r="J153" s="5"/>
    </row>
    <row r="154" spans="1:10" ht="13.05" customHeight="1">
      <c r="A154" s="18" t="s">
        <v>733</v>
      </c>
      <c r="B154" s="19" t="s">
        <v>734</v>
      </c>
      <c r="C154" s="15" t="s">
        <v>735</v>
      </c>
      <c r="D154" s="15" t="s">
        <v>445</v>
      </c>
      <c r="E154" s="20">
        <v>1378</v>
      </c>
      <c r="F154" s="21">
        <v>42.667000000000002</v>
      </c>
      <c r="G154" s="22">
        <v>1.4E-3</v>
      </c>
      <c r="H154" s="40"/>
      <c r="I154" s="24"/>
      <c r="J154" s="5"/>
    </row>
    <row r="155" spans="1:10" ht="13.05" customHeight="1">
      <c r="A155" s="18" t="s">
        <v>736</v>
      </c>
      <c r="B155" s="19" t="s">
        <v>737</v>
      </c>
      <c r="C155" s="15" t="s">
        <v>738</v>
      </c>
      <c r="D155" s="15" t="s">
        <v>445</v>
      </c>
      <c r="E155" s="20">
        <v>811</v>
      </c>
      <c r="F155" s="21">
        <v>42.334200000000003</v>
      </c>
      <c r="G155" s="22">
        <v>1.4E-3</v>
      </c>
      <c r="H155" s="40"/>
      <c r="I155" s="24"/>
      <c r="J155" s="5"/>
    </row>
    <row r="156" spans="1:10" ht="13.05" customHeight="1">
      <c r="A156" s="18" t="s">
        <v>739</v>
      </c>
      <c r="B156" s="19" t="s">
        <v>740</v>
      </c>
      <c r="C156" s="15" t="s">
        <v>741</v>
      </c>
      <c r="D156" s="15" t="s">
        <v>314</v>
      </c>
      <c r="E156" s="20">
        <v>1753</v>
      </c>
      <c r="F156" s="21">
        <v>41.791499999999999</v>
      </c>
      <c r="G156" s="22">
        <v>1.4E-3</v>
      </c>
      <c r="H156" s="40"/>
      <c r="I156" s="24"/>
      <c r="J156" s="5"/>
    </row>
    <row r="157" spans="1:10" ht="13.05" customHeight="1">
      <c r="A157" s="18" t="s">
        <v>742</v>
      </c>
      <c r="B157" s="19" t="s">
        <v>743</v>
      </c>
      <c r="C157" s="15" t="s">
        <v>744</v>
      </c>
      <c r="D157" s="15" t="s">
        <v>321</v>
      </c>
      <c r="E157" s="20">
        <v>48955</v>
      </c>
      <c r="F157" s="21">
        <v>41.5334</v>
      </c>
      <c r="G157" s="22">
        <v>1.4E-3</v>
      </c>
      <c r="H157" s="40"/>
      <c r="I157" s="24"/>
      <c r="J157" s="5"/>
    </row>
    <row r="158" spans="1:10" ht="13.05" customHeight="1">
      <c r="A158" s="18" t="s">
        <v>745</v>
      </c>
      <c r="B158" s="19" t="s">
        <v>746</v>
      </c>
      <c r="C158" s="15" t="s">
        <v>747</v>
      </c>
      <c r="D158" s="15" t="s">
        <v>300</v>
      </c>
      <c r="E158" s="20">
        <v>4635</v>
      </c>
      <c r="F158" s="21">
        <v>40.7254</v>
      </c>
      <c r="G158" s="22">
        <v>1.2999999999999999E-3</v>
      </c>
      <c r="H158" s="40"/>
      <c r="I158" s="24"/>
      <c r="J158" s="5"/>
    </row>
    <row r="159" spans="1:10" ht="13.05" customHeight="1">
      <c r="A159" s="18" t="s">
        <v>748</v>
      </c>
      <c r="B159" s="19" t="s">
        <v>749</v>
      </c>
      <c r="C159" s="15" t="s">
        <v>750</v>
      </c>
      <c r="D159" s="15" t="s">
        <v>751</v>
      </c>
      <c r="E159" s="20">
        <v>53467</v>
      </c>
      <c r="F159" s="21">
        <v>40.522599999999997</v>
      </c>
      <c r="G159" s="22">
        <v>1.2999999999999999E-3</v>
      </c>
      <c r="H159" s="40"/>
      <c r="I159" s="24"/>
      <c r="J159" s="5"/>
    </row>
    <row r="160" spans="1:10" ht="13.05" customHeight="1">
      <c r="A160" s="18" t="s">
        <v>752</v>
      </c>
      <c r="B160" s="19" t="s">
        <v>753</v>
      </c>
      <c r="C160" s="15" t="s">
        <v>754</v>
      </c>
      <c r="D160" s="15" t="s">
        <v>337</v>
      </c>
      <c r="E160" s="20">
        <v>647</v>
      </c>
      <c r="F160" s="21">
        <v>40.204599999999999</v>
      </c>
      <c r="G160" s="22">
        <v>1.2999999999999999E-3</v>
      </c>
      <c r="H160" s="40"/>
      <c r="I160" s="24"/>
      <c r="J160" s="5"/>
    </row>
    <row r="161" spans="1:10" ht="13.05" customHeight="1">
      <c r="A161" s="18" t="s">
        <v>755</v>
      </c>
      <c r="B161" s="19" t="s">
        <v>756</v>
      </c>
      <c r="C161" s="15" t="s">
        <v>757</v>
      </c>
      <c r="D161" s="15" t="s">
        <v>758</v>
      </c>
      <c r="E161" s="20">
        <v>96</v>
      </c>
      <c r="F161" s="21">
        <v>39.552</v>
      </c>
      <c r="G161" s="22">
        <v>1.2999999999999999E-3</v>
      </c>
      <c r="H161" s="40"/>
      <c r="I161" s="24"/>
      <c r="J161" s="5"/>
    </row>
    <row r="162" spans="1:10" ht="13.05" customHeight="1">
      <c r="A162" s="18" t="s">
        <v>759</v>
      </c>
      <c r="B162" s="19" t="s">
        <v>760</v>
      </c>
      <c r="C162" s="15" t="s">
        <v>761</v>
      </c>
      <c r="D162" s="15" t="s">
        <v>603</v>
      </c>
      <c r="E162" s="20">
        <v>1832</v>
      </c>
      <c r="F162" s="21">
        <v>38.922699999999999</v>
      </c>
      <c r="G162" s="22">
        <v>1.2999999999999999E-3</v>
      </c>
      <c r="H162" s="40"/>
      <c r="I162" s="24"/>
      <c r="J162" s="5"/>
    </row>
    <row r="163" spans="1:10" ht="13.05" customHeight="1">
      <c r="A163" s="18" t="s">
        <v>762</v>
      </c>
      <c r="B163" s="19" t="s">
        <v>763</v>
      </c>
      <c r="C163" s="15" t="s">
        <v>764</v>
      </c>
      <c r="D163" s="15" t="s">
        <v>321</v>
      </c>
      <c r="E163" s="20">
        <v>2955</v>
      </c>
      <c r="F163" s="21">
        <v>38.9026</v>
      </c>
      <c r="G163" s="22">
        <v>1.2999999999999999E-3</v>
      </c>
      <c r="H163" s="40"/>
      <c r="I163" s="24"/>
      <c r="J163" s="5"/>
    </row>
    <row r="164" spans="1:10" ht="13.05" customHeight="1">
      <c r="A164" s="18" t="s">
        <v>765</v>
      </c>
      <c r="B164" s="19" t="s">
        <v>766</v>
      </c>
      <c r="C164" s="15" t="s">
        <v>767</v>
      </c>
      <c r="D164" s="15" t="s">
        <v>325</v>
      </c>
      <c r="E164" s="20">
        <v>2007</v>
      </c>
      <c r="F164" s="21">
        <v>38.883600000000001</v>
      </c>
      <c r="G164" s="22">
        <v>1.2999999999999999E-3</v>
      </c>
      <c r="H164" s="40"/>
      <c r="I164" s="24"/>
      <c r="J164" s="5"/>
    </row>
    <row r="165" spans="1:10" ht="13.05" customHeight="1">
      <c r="A165" s="18" t="s">
        <v>768</v>
      </c>
      <c r="B165" s="19" t="s">
        <v>769</v>
      </c>
      <c r="C165" s="15" t="s">
        <v>770</v>
      </c>
      <c r="D165" s="15" t="s">
        <v>501</v>
      </c>
      <c r="E165" s="20">
        <v>959</v>
      </c>
      <c r="F165" s="21">
        <v>38.666899999999998</v>
      </c>
      <c r="G165" s="22">
        <v>1.2999999999999999E-3</v>
      </c>
      <c r="H165" s="40"/>
      <c r="I165" s="24"/>
      <c r="J165" s="5"/>
    </row>
    <row r="166" spans="1:10" ht="13.05" customHeight="1">
      <c r="A166" s="18" t="s">
        <v>771</v>
      </c>
      <c r="B166" s="19" t="s">
        <v>772</v>
      </c>
      <c r="C166" s="15" t="s">
        <v>773</v>
      </c>
      <c r="D166" s="15" t="s">
        <v>501</v>
      </c>
      <c r="E166" s="20">
        <v>1000</v>
      </c>
      <c r="F166" s="21">
        <v>38.125</v>
      </c>
      <c r="G166" s="22">
        <v>1.2999999999999999E-3</v>
      </c>
      <c r="H166" s="40"/>
      <c r="I166" s="24"/>
      <c r="J166" s="5"/>
    </row>
    <row r="167" spans="1:10" ht="13.05" customHeight="1">
      <c r="A167" s="18" t="s">
        <v>774</v>
      </c>
      <c r="B167" s="19" t="s">
        <v>775</v>
      </c>
      <c r="C167" s="15" t="s">
        <v>776</v>
      </c>
      <c r="D167" s="15" t="s">
        <v>475</v>
      </c>
      <c r="E167" s="20">
        <v>1207</v>
      </c>
      <c r="F167" s="21">
        <v>37.797199999999997</v>
      </c>
      <c r="G167" s="22">
        <v>1.1999999999999999E-3</v>
      </c>
      <c r="H167" s="40"/>
      <c r="I167" s="24"/>
      <c r="J167" s="5"/>
    </row>
    <row r="168" spans="1:10" ht="13.05" customHeight="1">
      <c r="A168" s="18" t="s">
        <v>777</v>
      </c>
      <c r="B168" s="19" t="s">
        <v>778</v>
      </c>
      <c r="C168" s="15" t="s">
        <v>779</v>
      </c>
      <c r="D168" s="15" t="s">
        <v>314</v>
      </c>
      <c r="E168" s="20">
        <v>3875</v>
      </c>
      <c r="F168" s="21">
        <v>37.759900000000002</v>
      </c>
      <c r="G168" s="22">
        <v>1.1999999999999999E-3</v>
      </c>
      <c r="H168" s="40"/>
      <c r="I168" s="24"/>
      <c r="J168" s="5"/>
    </row>
    <row r="169" spans="1:10" ht="13.05" customHeight="1">
      <c r="A169" s="18" t="s">
        <v>780</v>
      </c>
      <c r="B169" s="19" t="s">
        <v>781</v>
      </c>
      <c r="C169" s="15" t="s">
        <v>782</v>
      </c>
      <c r="D169" s="15" t="s">
        <v>333</v>
      </c>
      <c r="E169" s="20">
        <v>5005</v>
      </c>
      <c r="F169" s="21">
        <v>37.722700000000003</v>
      </c>
      <c r="G169" s="22">
        <v>1.1999999999999999E-3</v>
      </c>
      <c r="H169" s="40"/>
      <c r="I169" s="24"/>
      <c r="J169" s="5"/>
    </row>
    <row r="170" spans="1:10" ht="13.05" customHeight="1">
      <c r="A170" s="18" t="s">
        <v>783</v>
      </c>
      <c r="B170" s="19" t="s">
        <v>784</v>
      </c>
      <c r="C170" s="15" t="s">
        <v>785</v>
      </c>
      <c r="D170" s="15" t="s">
        <v>300</v>
      </c>
      <c r="E170" s="20">
        <v>11614</v>
      </c>
      <c r="F170" s="21">
        <v>37.6526</v>
      </c>
      <c r="G170" s="22">
        <v>1.1999999999999999E-3</v>
      </c>
      <c r="H170" s="40"/>
      <c r="I170" s="24"/>
      <c r="J170" s="5"/>
    </row>
    <row r="171" spans="1:10" ht="13.05" customHeight="1">
      <c r="A171" s="18" t="s">
        <v>786</v>
      </c>
      <c r="B171" s="19" t="s">
        <v>787</v>
      </c>
      <c r="C171" s="15" t="s">
        <v>788</v>
      </c>
      <c r="D171" s="15" t="s">
        <v>268</v>
      </c>
      <c r="E171" s="20">
        <v>425449</v>
      </c>
      <c r="F171" s="21">
        <v>37.1417</v>
      </c>
      <c r="G171" s="22">
        <v>1.1999999999999999E-3</v>
      </c>
      <c r="H171" s="40"/>
      <c r="I171" s="24"/>
      <c r="J171" s="5"/>
    </row>
    <row r="172" spans="1:10" ht="13.05" customHeight="1">
      <c r="A172" s="18" t="s">
        <v>789</v>
      </c>
      <c r="B172" s="19" t="s">
        <v>790</v>
      </c>
      <c r="C172" s="15" t="s">
        <v>791</v>
      </c>
      <c r="D172" s="15" t="s">
        <v>348</v>
      </c>
      <c r="E172" s="20">
        <v>7944</v>
      </c>
      <c r="F172" s="21">
        <v>37.015099999999997</v>
      </c>
      <c r="G172" s="22">
        <v>1.1999999999999999E-3</v>
      </c>
      <c r="H172" s="40"/>
      <c r="I172" s="24"/>
      <c r="J172" s="5"/>
    </row>
    <row r="173" spans="1:10" ht="13.05" customHeight="1">
      <c r="A173" s="18" t="s">
        <v>792</v>
      </c>
      <c r="B173" s="19" t="s">
        <v>793</v>
      </c>
      <c r="C173" s="15" t="s">
        <v>794</v>
      </c>
      <c r="D173" s="15" t="s">
        <v>374</v>
      </c>
      <c r="E173" s="20">
        <v>3407</v>
      </c>
      <c r="F173" s="21">
        <v>36.819400000000002</v>
      </c>
      <c r="G173" s="22">
        <v>1.1999999999999999E-3</v>
      </c>
      <c r="H173" s="40"/>
      <c r="I173" s="24"/>
      <c r="J173" s="5"/>
    </row>
    <row r="174" spans="1:10" ht="13.05" customHeight="1">
      <c r="A174" s="18" t="s">
        <v>795</v>
      </c>
      <c r="B174" s="19" t="s">
        <v>796</v>
      </c>
      <c r="C174" s="15" t="s">
        <v>797</v>
      </c>
      <c r="D174" s="15" t="s">
        <v>381</v>
      </c>
      <c r="E174" s="20">
        <v>8418</v>
      </c>
      <c r="F174" s="21">
        <v>36.479399999999998</v>
      </c>
      <c r="G174" s="22">
        <v>1.1999999999999999E-3</v>
      </c>
      <c r="H174" s="40"/>
      <c r="I174" s="24"/>
      <c r="J174" s="5"/>
    </row>
    <row r="175" spans="1:10" ht="13.05" customHeight="1">
      <c r="A175" s="18" t="s">
        <v>798</v>
      </c>
      <c r="B175" s="19" t="s">
        <v>799</v>
      </c>
      <c r="C175" s="15" t="s">
        <v>800</v>
      </c>
      <c r="D175" s="15" t="s">
        <v>405</v>
      </c>
      <c r="E175" s="20">
        <v>6046</v>
      </c>
      <c r="F175" s="21">
        <v>35.740900000000003</v>
      </c>
      <c r="G175" s="22">
        <v>1.1999999999999999E-3</v>
      </c>
      <c r="H175" s="40"/>
      <c r="I175" s="24"/>
      <c r="J175" s="5"/>
    </row>
    <row r="176" spans="1:10" ht="13.05" customHeight="1">
      <c r="A176" s="18" t="s">
        <v>801</v>
      </c>
      <c r="B176" s="19" t="s">
        <v>802</v>
      </c>
      <c r="C176" s="15" t="s">
        <v>803</v>
      </c>
      <c r="D176" s="15" t="s">
        <v>257</v>
      </c>
      <c r="E176" s="20">
        <v>14569</v>
      </c>
      <c r="F176" s="21">
        <v>35.424500000000002</v>
      </c>
      <c r="G176" s="22">
        <v>1.1999999999999999E-3</v>
      </c>
      <c r="H176" s="40"/>
      <c r="I176" s="24"/>
      <c r="J176" s="5"/>
    </row>
    <row r="177" spans="1:10" ht="13.05" customHeight="1">
      <c r="A177" s="18" t="s">
        <v>804</v>
      </c>
      <c r="B177" s="19" t="s">
        <v>805</v>
      </c>
      <c r="C177" s="15" t="s">
        <v>806</v>
      </c>
      <c r="D177" s="15" t="s">
        <v>464</v>
      </c>
      <c r="E177" s="20">
        <v>5904</v>
      </c>
      <c r="F177" s="21">
        <v>35.2971</v>
      </c>
      <c r="G177" s="22">
        <v>1.1999999999999999E-3</v>
      </c>
      <c r="H177" s="40"/>
      <c r="I177" s="24"/>
      <c r="J177" s="5"/>
    </row>
    <row r="178" spans="1:10" ht="13.05" customHeight="1">
      <c r="A178" s="18" t="s">
        <v>807</v>
      </c>
      <c r="B178" s="19" t="s">
        <v>808</v>
      </c>
      <c r="C178" s="15" t="s">
        <v>809</v>
      </c>
      <c r="D178" s="15" t="s">
        <v>445</v>
      </c>
      <c r="E178" s="20">
        <v>198</v>
      </c>
      <c r="F178" s="21">
        <v>35.200400000000002</v>
      </c>
      <c r="G178" s="22">
        <v>1.1999999999999999E-3</v>
      </c>
      <c r="H178" s="40"/>
      <c r="I178" s="24"/>
      <c r="J178" s="5"/>
    </row>
    <row r="179" spans="1:10" ht="13.05" customHeight="1">
      <c r="A179" s="18" t="s">
        <v>810</v>
      </c>
      <c r="B179" s="19" t="s">
        <v>811</v>
      </c>
      <c r="C179" s="15" t="s">
        <v>812</v>
      </c>
      <c r="D179" s="15" t="s">
        <v>567</v>
      </c>
      <c r="E179" s="20">
        <v>2774</v>
      </c>
      <c r="F179" s="21">
        <v>34.264400000000002</v>
      </c>
      <c r="G179" s="22">
        <v>1.1000000000000001E-3</v>
      </c>
      <c r="H179" s="40"/>
      <c r="I179" s="24"/>
      <c r="J179" s="5"/>
    </row>
    <row r="180" spans="1:10" ht="13.05" customHeight="1">
      <c r="A180" s="18" t="s">
        <v>813</v>
      </c>
      <c r="B180" s="19" t="s">
        <v>814</v>
      </c>
      <c r="C180" s="15" t="s">
        <v>815</v>
      </c>
      <c r="D180" s="15" t="s">
        <v>300</v>
      </c>
      <c r="E180" s="20">
        <v>27766</v>
      </c>
      <c r="F180" s="21">
        <v>34.238300000000002</v>
      </c>
      <c r="G180" s="22">
        <v>1.1000000000000001E-3</v>
      </c>
      <c r="H180" s="40"/>
      <c r="I180" s="24"/>
      <c r="J180" s="5"/>
    </row>
    <row r="181" spans="1:10" ht="13.05" customHeight="1">
      <c r="A181" s="18" t="s">
        <v>816</v>
      </c>
      <c r="B181" s="19" t="s">
        <v>817</v>
      </c>
      <c r="C181" s="15" t="s">
        <v>818</v>
      </c>
      <c r="D181" s="15" t="s">
        <v>268</v>
      </c>
      <c r="E181" s="20">
        <v>1825</v>
      </c>
      <c r="F181" s="21">
        <v>34.226100000000002</v>
      </c>
      <c r="G181" s="22">
        <v>1.1000000000000001E-3</v>
      </c>
      <c r="H181" s="40"/>
      <c r="I181" s="24"/>
      <c r="J181" s="5"/>
    </row>
    <row r="182" spans="1:10" ht="13.05" customHeight="1">
      <c r="A182" s="18" t="s">
        <v>819</v>
      </c>
      <c r="B182" s="19" t="s">
        <v>820</v>
      </c>
      <c r="C182" s="15" t="s">
        <v>821</v>
      </c>
      <c r="D182" s="15" t="s">
        <v>314</v>
      </c>
      <c r="E182" s="20">
        <v>9190</v>
      </c>
      <c r="F182" s="21">
        <v>34.195999999999998</v>
      </c>
      <c r="G182" s="22">
        <v>1.1000000000000001E-3</v>
      </c>
      <c r="H182" s="40"/>
      <c r="I182" s="24"/>
      <c r="J182" s="5"/>
    </row>
    <row r="183" spans="1:10" ht="13.05" customHeight="1">
      <c r="A183" s="18" t="s">
        <v>822</v>
      </c>
      <c r="B183" s="19" t="s">
        <v>823</v>
      </c>
      <c r="C183" s="15" t="s">
        <v>824</v>
      </c>
      <c r="D183" s="15" t="s">
        <v>300</v>
      </c>
      <c r="E183" s="20">
        <v>12441</v>
      </c>
      <c r="F183" s="21">
        <v>33.651699999999998</v>
      </c>
      <c r="G183" s="22">
        <v>1.1000000000000001E-3</v>
      </c>
      <c r="H183" s="40"/>
      <c r="I183" s="24"/>
      <c r="J183" s="5"/>
    </row>
    <row r="184" spans="1:10" ht="13.05" customHeight="1">
      <c r="A184" s="18" t="s">
        <v>825</v>
      </c>
      <c r="B184" s="19" t="s">
        <v>826</v>
      </c>
      <c r="C184" s="15" t="s">
        <v>827</v>
      </c>
      <c r="D184" s="15" t="s">
        <v>464</v>
      </c>
      <c r="E184" s="20">
        <v>4659</v>
      </c>
      <c r="F184" s="21">
        <v>33.484200000000001</v>
      </c>
      <c r="G184" s="22">
        <v>1.1000000000000001E-3</v>
      </c>
      <c r="H184" s="40"/>
      <c r="I184" s="24"/>
      <c r="J184" s="5"/>
    </row>
    <row r="185" spans="1:10" ht="13.05" customHeight="1">
      <c r="A185" s="18" t="s">
        <v>828</v>
      </c>
      <c r="B185" s="19" t="s">
        <v>829</v>
      </c>
      <c r="C185" s="15" t="s">
        <v>830</v>
      </c>
      <c r="D185" s="15" t="s">
        <v>567</v>
      </c>
      <c r="E185" s="20">
        <v>6971</v>
      </c>
      <c r="F185" s="21">
        <v>32.955399999999997</v>
      </c>
      <c r="G185" s="22">
        <v>1.1000000000000001E-3</v>
      </c>
      <c r="H185" s="40"/>
      <c r="I185" s="24"/>
      <c r="J185" s="5"/>
    </row>
    <row r="186" spans="1:10" ht="13.05" customHeight="1">
      <c r="A186" s="18" t="s">
        <v>831</v>
      </c>
      <c r="B186" s="19" t="s">
        <v>832</v>
      </c>
      <c r="C186" s="15" t="s">
        <v>833</v>
      </c>
      <c r="D186" s="15" t="s">
        <v>545</v>
      </c>
      <c r="E186" s="20">
        <v>11657</v>
      </c>
      <c r="F186" s="21">
        <v>32.785299999999999</v>
      </c>
      <c r="G186" s="22">
        <v>1.1000000000000001E-3</v>
      </c>
      <c r="H186" s="40"/>
      <c r="I186" s="24"/>
      <c r="J186" s="5"/>
    </row>
    <row r="187" spans="1:10" ht="13.05" customHeight="1">
      <c r="A187" s="18" t="s">
        <v>834</v>
      </c>
      <c r="B187" s="19" t="s">
        <v>835</v>
      </c>
      <c r="C187" s="15" t="s">
        <v>836</v>
      </c>
      <c r="D187" s="15" t="s">
        <v>541</v>
      </c>
      <c r="E187" s="20">
        <v>1833</v>
      </c>
      <c r="F187" s="21">
        <v>32.596200000000003</v>
      </c>
      <c r="G187" s="22">
        <v>1.1000000000000001E-3</v>
      </c>
      <c r="H187" s="40"/>
      <c r="I187" s="24"/>
      <c r="J187" s="5"/>
    </row>
    <row r="188" spans="1:10" ht="13.05" customHeight="1">
      <c r="A188" s="18" t="s">
        <v>837</v>
      </c>
      <c r="B188" s="19" t="s">
        <v>838</v>
      </c>
      <c r="C188" s="15" t="s">
        <v>839</v>
      </c>
      <c r="D188" s="15" t="s">
        <v>344</v>
      </c>
      <c r="E188" s="20">
        <v>13843</v>
      </c>
      <c r="F188" s="21">
        <v>32.411999999999999</v>
      </c>
      <c r="G188" s="22">
        <v>1.1000000000000001E-3</v>
      </c>
      <c r="H188" s="40"/>
      <c r="I188" s="24"/>
      <c r="J188" s="5"/>
    </row>
    <row r="189" spans="1:10" ht="13.05" customHeight="1">
      <c r="A189" s="18" t="s">
        <v>840</v>
      </c>
      <c r="B189" s="19" t="s">
        <v>841</v>
      </c>
      <c r="C189" s="15" t="s">
        <v>842</v>
      </c>
      <c r="D189" s="15" t="s">
        <v>300</v>
      </c>
      <c r="E189" s="20">
        <v>10240</v>
      </c>
      <c r="F189" s="21">
        <v>32.3123</v>
      </c>
      <c r="G189" s="22">
        <v>1.1000000000000001E-3</v>
      </c>
      <c r="H189" s="40"/>
      <c r="I189" s="24"/>
      <c r="J189" s="5"/>
    </row>
    <row r="190" spans="1:10" ht="13.05" customHeight="1">
      <c r="A190" s="18" t="s">
        <v>843</v>
      </c>
      <c r="B190" s="19" t="s">
        <v>844</v>
      </c>
      <c r="C190" s="15" t="s">
        <v>845</v>
      </c>
      <c r="D190" s="15" t="s">
        <v>846</v>
      </c>
      <c r="E190" s="20">
        <v>475</v>
      </c>
      <c r="F190" s="21">
        <v>31.846399999999999</v>
      </c>
      <c r="G190" s="22">
        <v>1E-3</v>
      </c>
      <c r="H190" s="40"/>
      <c r="I190" s="24"/>
      <c r="J190" s="5"/>
    </row>
    <row r="191" spans="1:10" ht="13.05" customHeight="1">
      <c r="A191" s="18" t="s">
        <v>847</v>
      </c>
      <c r="B191" s="19" t="s">
        <v>848</v>
      </c>
      <c r="C191" s="15" t="s">
        <v>849</v>
      </c>
      <c r="D191" s="15" t="s">
        <v>846</v>
      </c>
      <c r="E191" s="20">
        <v>1159</v>
      </c>
      <c r="F191" s="21">
        <v>31.629100000000001</v>
      </c>
      <c r="G191" s="22">
        <v>1E-3</v>
      </c>
      <c r="H191" s="40"/>
      <c r="I191" s="24"/>
      <c r="J191" s="5"/>
    </row>
    <row r="192" spans="1:10" ht="13.05" customHeight="1">
      <c r="A192" s="18" t="s">
        <v>850</v>
      </c>
      <c r="B192" s="19" t="s">
        <v>851</v>
      </c>
      <c r="C192" s="15" t="s">
        <v>852</v>
      </c>
      <c r="D192" s="15" t="s">
        <v>344</v>
      </c>
      <c r="E192" s="20">
        <v>6555</v>
      </c>
      <c r="F192" s="21">
        <v>31.2346</v>
      </c>
      <c r="G192" s="22">
        <v>1E-3</v>
      </c>
      <c r="H192" s="40"/>
      <c r="I192" s="24"/>
      <c r="J192" s="5"/>
    </row>
    <row r="193" spans="1:10" ht="13.05" customHeight="1">
      <c r="A193" s="18" t="s">
        <v>853</v>
      </c>
      <c r="B193" s="19" t="s">
        <v>854</v>
      </c>
      <c r="C193" s="15" t="s">
        <v>855</v>
      </c>
      <c r="D193" s="15" t="s">
        <v>272</v>
      </c>
      <c r="E193" s="20">
        <v>366</v>
      </c>
      <c r="F193" s="21">
        <v>31.164899999999999</v>
      </c>
      <c r="G193" s="22">
        <v>1E-3</v>
      </c>
      <c r="H193" s="40"/>
      <c r="I193" s="24"/>
      <c r="J193" s="5"/>
    </row>
    <row r="194" spans="1:10" ht="13.05" customHeight="1">
      <c r="A194" s="18" t="s">
        <v>856</v>
      </c>
      <c r="B194" s="19" t="s">
        <v>857</v>
      </c>
      <c r="C194" s="15" t="s">
        <v>858</v>
      </c>
      <c r="D194" s="15" t="s">
        <v>435</v>
      </c>
      <c r="E194" s="20">
        <v>5149</v>
      </c>
      <c r="F194" s="21">
        <v>31.017600000000002</v>
      </c>
      <c r="G194" s="22">
        <v>1E-3</v>
      </c>
      <c r="H194" s="40"/>
      <c r="I194" s="24"/>
      <c r="J194" s="5"/>
    </row>
    <row r="195" spans="1:10" ht="13.05" customHeight="1">
      <c r="A195" s="18" t="s">
        <v>859</v>
      </c>
      <c r="B195" s="19" t="s">
        <v>860</v>
      </c>
      <c r="C195" s="15" t="s">
        <v>861</v>
      </c>
      <c r="D195" s="15" t="s">
        <v>405</v>
      </c>
      <c r="E195" s="20">
        <v>3448</v>
      </c>
      <c r="F195" s="21">
        <v>30.849299999999999</v>
      </c>
      <c r="G195" s="22">
        <v>1E-3</v>
      </c>
      <c r="H195" s="40"/>
      <c r="I195" s="24"/>
      <c r="J195" s="5"/>
    </row>
    <row r="196" spans="1:10" ht="13.05" customHeight="1">
      <c r="A196" s="18" t="s">
        <v>862</v>
      </c>
      <c r="B196" s="19" t="s">
        <v>863</v>
      </c>
      <c r="C196" s="15" t="s">
        <v>864</v>
      </c>
      <c r="D196" s="15" t="s">
        <v>581</v>
      </c>
      <c r="E196" s="20">
        <v>541</v>
      </c>
      <c r="F196" s="21">
        <v>30.768799999999999</v>
      </c>
      <c r="G196" s="22">
        <v>1E-3</v>
      </c>
      <c r="H196" s="40"/>
      <c r="I196" s="24"/>
      <c r="J196" s="5"/>
    </row>
    <row r="197" spans="1:10" ht="13.05" customHeight="1">
      <c r="A197" s="18" t="s">
        <v>865</v>
      </c>
      <c r="B197" s="19" t="s">
        <v>866</v>
      </c>
      <c r="C197" s="15" t="s">
        <v>867</v>
      </c>
      <c r="D197" s="15" t="s">
        <v>333</v>
      </c>
      <c r="E197" s="20">
        <v>22312</v>
      </c>
      <c r="F197" s="21">
        <v>30.533999999999999</v>
      </c>
      <c r="G197" s="22">
        <v>1E-3</v>
      </c>
      <c r="H197" s="40"/>
      <c r="I197" s="24"/>
      <c r="J197" s="5"/>
    </row>
    <row r="198" spans="1:10" ht="13.05" customHeight="1">
      <c r="A198" s="18" t="s">
        <v>868</v>
      </c>
      <c r="B198" s="19" t="s">
        <v>869</v>
      </c>
      <c r="C198" s="15" t="s">
        <v>870</v>
      </c>
      <c r="D198" s="15" t="s">
        <v>325</v>
      </c>
      <c r="E198" s="20">
        <v>5973</v>
      </c>
      <c r="F198" s="21">
        <v>30.444400000000002</v>
      </c>
      <c r="G198" s="22">
        <v>1E-3</v>
      </c>
      <c r="H198" s="40"/>
      <c r="I198" s="24"/>
      <c r="J198" s="5"/>
    </row>
    <row r="199" spans="1:10" ht="13.05" customHeight="1">
      <c r="A199" s="18" t="s">
        <v>871</v>
      </c>
      <c r="B199" s="19" t="s">
        <v>872</v>
      </c>
      <c r="C199" s="15" t="s">
        <v>873</v>
      </c>
      <c r="D199" s="15" t="s">
        <v>257</v>
      </c>
      <c r="E199" s="20">
        <v>9254</v>
      </c>
      <c r="F199" s="21">
        <v>30.200399999999998</v>
      </c>
      <c r="G199" s="22">
        <v>1E-3</v>
      </c>
      <c r="H199" s="40"/>
      <c r="I199" s="24"/>
      <c r="J199" s="5"/>
    </row>
    <row r="200" spans="1:10" ht="13.05" customHeight="1">
      <c r="A200" s="18" t="s">
        <v>874</v>
      </c>
      <c r="B200" s="19" t="s">
        <v>875</v>
      </c>
      <c r="C200" s="15" t="s">
        <v>876</v>
      </c>
      <c r="D200" s="15" t="s">
        <v>272</v>
      </c>
      <c r="E200" s="20">
        <v>2524</v>
      </c>
      <c r="F200" s="21">
        <v>29.447500000000002</v>
      </c>
      <c r="G200" s="22">
        <v>1E-3</v>
      </c>
      <c r="H200" s="40"/>
      <c r="I200" s="24"/>
      <c r="J200" s="5"/>
    </row>
    <row r="201" spans="1:10" ht="13.05" customHeight="1">
      <c r="A201" s="18" t="s">
        <v>877</v>
      </c>
      <c r="B201" s="19" t="s">
        <v>878</v>
      </c>
      <c r="C201" s="15" t="s">
        <v>879</v>
      </c>
      <c r="D201" s="15" t="s">
        <v>300</v>
      </c>
      <c r="E201" s="20">
        <v>1539</v>
      </c>
      <c r="F201" s="21">
        <v>29.434899999999999</v>
      </c>
      <c r="G201" s="22">
        <v>1E-3</v>
      </c>
      <c r="H201" s="40"/>
      <c r="I201" s="24"/>
      <c r="J201" s="5"/>
    </row>
    <row r="202" spans="1:10" ht="13.05" customHeight="1">
      <c r="A202" s="18" t="s">
        <v>880</v>
      </c>
      <c r="B202" s="19" t="s">
        <v>881</v>
      </c>
      <c r="C202" s="15" t="s">
        <v>882</v>
      </c>
      <c r="D202" s="15" t="s">
        <v>464</v>
      </c>
      <c r="E202" s="20">
        <v>13517</v>
      </c>
      <c r="F202" s="21">
        <v>29.3157</v>
      </c>
      <c r="G202" s="22">
        <v>1E-3</v>
      </c>
      <c r="H202" s="40"/>
      <c r="I202" s="24"/>
      <c r="J202" s="5"/>
    </row>
    <row r="203" spans="1:10" ht="13.05" customHeight="1">
      <c r="A203" s="18" t="s">
        <v>883</v>
      </c>
      <c r="B203" s="19" t="s">
        <v>884</v>
      </c>
      <c r="C203" s="15" t="s">
        <v>885</v>
      </c>
      <c r="D203" s="15" t="s">
        <v>272</v>
      </c>
      <c r="E203" s="20">
        <v>535</v>
      </c>
      <c r="F203" s="21">
        <v>29.1816</v>
      </c>
      <c r="G203" s="22">
        <v>1E-3</v>
      </c>
      <c r="H203" s="40"/>
      <c r="I203" s="24"/>
      <c r="J203" s="5"/>
    </row>
    <row r="204" spans="1:10" ht="13.05" customHeight="1">
      <c r="A204" s="18" t="s">
        <v>886</v>
      </c>
      <c r="B204" s="19" t="s">
        <v>887</v>
      </c>
      <c r="C204" s="15" t="s">
        <v>888</v>
      </c>
      <c r="D204" s="15" t="s">
        <v>374</v>
      </c>
      <c r="E204" s="20">
        <v>739</v>
      </c>
      <c r="F204" s="21">
        <v>29.126200000000001</v>
      </c>
      <c r="G204" s="22">
        <v>1E-3</v>
      </c>
      <c r="H204" s="40"/>
      <c r="I204" s="24"/>
      <c r="J204" s="5"/>
    </row>
    <row r="205" spans="1:10" ht="13.05" customHeight="1">
      <c r="A205" s="18" t="s">
        <v>889</v>
      </c>
      <c r="B205" s="19" t="s">
        <v>890</v>
      </c>
      <c r="C205" s="15" t="s">
        <v>891</v>
      </c>
      <c r="D205" s="15" t="s">
        <v>348</v>
      </c>
      <c r="E205" s="20">
        <v>5318</v>
      </c>
      <c r="F205" s="21">
        <v>28.996400000000001</v>
      </c>
      <c r="G205" s="22">
        <v>1E-3</v>
      </c>
      <c r="H205" s="40"/>
      <c r="I205" s="24"/>
      <c r="J205" s="5"/>
    </row>
    <row r="206" spans="1:10" ht="13.05" customHeight="1">
      <c r="A206" s="18" t="s">
        <v>892</v>
      </c>
      <c r="B206" s="19" t="s">
        <v>893</v>
      </c>
      <c r="C206" s="15" t="s">
        <v>894</v>
      </c>
      <c r="D206" s="15" t="s">
        <v>276</v>
      </c>
      <c r="E206" s="20">
        <v>8764</v>
      </c>
      <c r="F206" s="21">
        <v>28.815999999999999</v>
      </c>
      <c r="G206" s="22">
        <v>8.9999999999999998E-4</v>
      </c>
      <c r="H206" s="40"/>
      <c r="I206" s="24"/>
      <c r="J206" s="5"/>
    </row>
    <row r="207" spans="1:10" ht="13.05" customHeight="1">
      <c r="A207" s="18" t="s">
        <v>895</v>
      </c>
      <c r="B207" s="19" t="s">
        <v>896</v>
      </c>
      <c r="C207" s="15" t="s">
        <v>897</v>
      </c>
      <c r="D207" s="15" t="s">
        <v>567</v>
      </c>
      <c r="E207" s="20">
        <v>1248</v>
      </c>
      <c r="F207" s="21">
        <v>28.451899999999998</v>
      </c>
      <c r="G207" s="22">
        <v>8.9999999999999998E-4</v>
      </c>
      <c r="H207" s="40"/>
      <c r="I207" s="24"/>
      <c r="J207" s="5"/>
    </row>
    <row r="208" spans="1:10" ht="13.05" customHeight="1">
      <c r="A208" s="18" t="s">
        <v>898</v>
      </c>
      <c r="B208" s="19" t="s">
        <v>899</v>
      </c>
      <c r="C208" s="15" t="s">
        <v>900</v>
      </c>
      <c r="D208" s="15" t="s">
        <v>325</v>
      </c>
      <c r="E208" s="20">
        <v>9953</v>
      </c>
      <c r="F208" s="21">
        <v>28.1371</v>
      </c>
      <c r="G208" s="22">
        <v>8.9999999999999998E-4</v>
      </c>
      <c r="H208" s="40"/>
      <c r="I208" s="24"/>
      <c r="J208" s="5"/>
    </row>
    <row r="209" spans="1:10" ht="13.05" customHeight="1">
      <c r="A209" s="18" t="s">
        <v>901</v>
      </c>
      <c r="B209" s="19" t="s">
        <v>902</v>
      </c>
      <c r="C209" s="15" t="s">
        <v>903</v>
      </c>
      <c r="D209" s="15" t="s">
        <v>501</v>
      </c>
      <c r="E209" s="20">
        <v>1912</v>
      </c>
      <c r="F209" s="21">
        <v>27.725899999999999</v>
      </c>
      <c r="G209" s="22">
        <v>8.9999999999999998E-4</v>
      </c>
      <c r="H209" s="40"/>
      <c r="I209" s="24"/>
      <c r="J209" s="5"/>
    </row>
    <row r="210" spans="1:10" ht="13.05" customHeight="1">
      <c r="A210" s="18" t="s">
        <v>904</v>
      </c>
      <c r="B210" s="19" t="s">
        <v>905</v>
      </c>
      <c r="C210" s="15" t="s">
        <v>906</v>
      </c>
      <c r="D210" s="15" t="s">
        <v>314</v>
      </c>
      <c r="E210" s="20">
        <v>2167</v>
      </c>
      <c r="F210" s="21">
        <v>27.546900000000001</v>
      </c>
      <c r="G210" s="22">
        <v>8.9999999999999998E-4</v>
      </c>
      <c r="H210" s="40"/>
      <c r="I210" s="24"/>
      <c r="J210" s="5"/>
    </row>
    <row r="211" spans="1:10" ht="13.05" customHeight="1">
      <c r="A211" s="18" t="s">
        <v>907</v>
      </c>
      <c r="B211" s="19" t="s">
        <v>908</v>
      </c>
      <c r="C211" s="15" t="s">
        <v>909</v>
      </c>
      <c r="D211" s="15" t="s">
        <v>415</v>
      </c>
      <c r="E211" s="20">
        <v>3818</v>
      </c>
      <c r="F211" s="21">
        <v>27.529699999999998</v>
      </c>
      <c r="G211" s="22">
        <v>8.9999999999999998E-4</v>
      </c>
      <c r="H211" s="40"/>
      <c r="I211" s="24"/>
      <c r="J211" s="5"/>
    </row>
    <row r="212" spans="1:10" ht="13.05" customHeight="1">
      <c r="A212" s="18" t="s">
        <v>910</v>
      </c>
      <c r="B212" s="19" t="s">
        <v>911</v>
      </c>
      <c r="C212" s="15" t="s">
        <v>912</v>
      </c>
      <c r="D212" s="15" t="s">
        <v>545</v>
      </c>
      <c r="E212" s="20">
        <v>4308</v>
      </c>
      <c r="F212" s="21">
        <v>27.209299999999999</v>
      </c>
      <c r="G212" s="22">
        <v>8.9999999999999998E-4</v>
      </c>
      <c r="H212" s="40"/>
      <c r="I212" s="24"/>
      <c r="J212" s="5"/>
    </row>
    <row r="213" spans="1:10" ht="13.05" customHeight="1">
      <c r="A213" s="18" t="s">
        <v>913</v>
      </c>
      <c r="B213" s="19" t="s">
        <v>914</v>
      </c>
      <c r="C213" s="15" t="s">
        <v>915</v>
      </c>
      <c r="D213" s="15" t="s">
        <v>567</v>
      </c>
      <c r="E213" s="20">
        <v>7025</v>
      </c>
      <c r="F213" s="21">
        <v>26.828499999999998</v>
      </c>
      <c r="G213" s="22">
        <v>8.9999999999999998E-4</v>
      </c>
      <c r="H213" s="40"/>
      <c r="I213" s="24"/>
      <c r="J213" s="5"/>
    </row>
    <row r="214" spans="1:10" ht="13.05" customHeight="1">
      <c r="A214" s="18" t="s">
        <v>916</v>
      </c>
      <c r="B214" s="19" t="s">
        <v>917</v>
      </c>
      <c r="C214" s="15" t="s">
        <v>918</v>
      </c>
      <c r="D214" s="15" t="s">
        <v>300</v>
      </c>
      <c r="E214" s="20">
        <v>4677</v>
      </c>
      <c r="F214" s="21">
        <v>26.703299999999999</v>
      </c>
      <c r="G214" s="22">
        <v>8.9999999999999998E-4</v>
      </c>
      <c r="H214" s="40"/>
      <c r="I214" s="24"/>
      <c r="J214" s="5"/>
    </row>
    <row r="215" spans="1:10" ht="13.05" customHeight="1">
      <c r="A215" s="18" t="s">
        <v>919</v>
      </c>
      <c r="B215" s="19" t="s">
        <v>920</v>
      </c>
      <c r="C215" s="15" t="s">
        <v>921</v>
      </c>
      <c r="D215" s="15" t="s">
        <v>300</v>
      </c>
      <c r="E215" s="20">
        <v>2842</v>
      </c>
      <c r="F215" s="21">
        <v>26.393699999999999</v>
      </c>
      <c r="G215" s="22">
        <v>8.9999999999999998E-4</v>
      </c>
      <c r="H215" s="40"/>
      <c r="I215" s="24"/>
      <c r="J215" s="5"/>
    </row>
    <row r="216" spans="1:10" ht="13.05" customHeight="1">
      <c r="A216" s="18" t="s">
        <v>922</v>
      </c>
      <c r="B216" s="19" t="s">
        <v>923</v>
      </c>
      <c r="C216" s="15" t="s">
        <v>924</v>
      </c>
      <c r="D216" s="15" t="s">
        <v>751</v>
      </c>
      <c r="E216" s="20">
        <v>2022</v>
      </c>
      <c r="F216" s="21">
        <v>26.383099999999999</v>
      </c>
      <c r="G216" s="22">
        <v>8.9999999999999998E-4</v>
      </c>
      <c r="H216" s="40"/>
      <c r="I216" s="24"/>
      <c r="J216" s="5"/>
    </row>
    <row r="217" spans="1:10" ht="13.05" customHeight="1">
      <c r="A217" s="18" t="s">
        <v>925</v>
      </c>
      <c r="B217" s="19" t="s">
        <v>926</v>
      </c>
      <c r="C217" s="15" t="s">
        <v>927</v>
      </c>
      <c r="D217" s="15" t="s">
        <v>257</v>
      </c>
      <c r="E217" s="20">
        <v>18852</v>
      </c>
      <c r="F217" s="21">
        <v>26.370200000000001</v>
      </c>
      <c r="G217" s="22">
        <v>8.9999999999999998E-4</v>
      </c>
      <c r="H217" s="40"/>
      <c r="I217" s="24"/>
      <c r="J217" s="5"/>
    </row>
    <row r="218" spans="1:10" ht="13.05" customHeight="1">
      <c r="A218" s="18" t="s">
        <v>928</v>
      </c>
      <c r="B218" s="19" t="s">
        <v>929</v>
      </c>
      <c r="C218" s="15" t="s">
        <v>930</v>
      </c>
      <c r="D218" s="15" t="s">
        <v>337</v>
      </c>
      <c r="E218" s="20">
        <v>1239</v>
      </c>
      <c r="F218" s="21">
        <v>25.979399999999998</v>
      </c>
      <c r="G218" s="22">
        <v>8.9999999999999998E-4</v>
      </c>
      <c r="H218" s="40"/>
      <c r="I218" s="24"/>
      <c r="J218" s="5"/>
    </row>
    <row r="219" spans="1:10" ht="13.05" customHeight="1">
      <c r="A219" s="18" t="s">
        <v>931</v>
      </c>
      <c r="B219" s="19" t="s">
        <v>932</v>
      </c>
      <c r="C219" s="15" t="s">
        <v>933</v>
      </c>
      <c r="D219" s="15" t="s">
        <v>325</v>
      </c>
      <c r="E219" s="20">
        <v>319</v>
      </c>
      <c r="F219" s="21">
        <v>25.636399999999998</v>
      </c>
      <c r="G219" s="22">
        <v>8.0000000000000004E-4</v>
      </c>
      <c r="H219" s="40"/>
      <c r="I219" s="24"/>
      <c r="J219" s="5"/>
    </row>
    <row r="220" spans="1:10" ht="13.05" customHeight="1">
      <c r="A220" s="18" t="s">
        <v>934</v>
      </c>
      <c r="B220" s="19" t="s">
        <v>935</v>
      </c>
      <c r="C220" s="15" t="s">
        <v>936</v>
      </c>
      <c r="D220" s="15" t="s">
        <v>257</v>
      </c>
      <c r="E220" s="20">
        <v>11202</v>
      </c>
      <c r="F220" s="21">
        <v>25.615600000000001</v>
      </c>
      <c r="G220" s="22">
        <v>8.0000000000000004E-4</v>
      </c>
      <c r="H220" s="40"/>
      <c r="I220" s="24"/>
      <c r="J220" s="5"/>
    </row>
    <row r="221" spans="1:10" ht="13.05" customHeight="1">
      <c r="A221" s="18" t="s">
        <v>937</v>
      </c>
      <c r="B221" s="19" t="s">
        <v>938</v>
      </c>
      <c r="C221" s="15" t="s">
        <v>939</v>
      </c>
      <c r="D221" s="15" t="s">
        <v>567</v>
      </c>
      <c r="E221" s="20">
        <v>4968</v>
      </c>
      <c r="F221" s="21">
        <v>24.9145</v>
      </c>
      <c r="G221" s="22">
        <v>8.0000000000000004E-4</v>
      </c>
      <c r="H221" s="40"/>
      <c r="I221" s="24"/>
      <c r="J221" s="5"/>
    </row>
    <row r="222" spans="1:10" ht="13.05" customHeight="1">
      <c r="A222" s="18" t="s">
        <v>940</v>
      </c>
      <c r="B222" s="19" t="s">
        <v>941</v>
      </c>
      <c r="C222" s="15" t="s">
        <v>942</v>
      </c>
      <c r="D222" s="15" t="s">
        <v>567</v>
      </c>
      <c r="E222" s="20">
        <v>619</v>
      </c>
      <c r="F222" s="21">
        <v>24.892499999999998</v>
      </c>
      <c r="G222" s="22">
        <v>8.0000000000000004E-4</v>
      </c>
      <c r="H222" s="40"/>
      <c r="I222" s="24"/>
      <c r="J222" s="5"/>
    </row>
    <row r="223" spans="1:10" ht="13.05" customHeight="1">
      <c r="A223" s="18" t="s">
        <v>943</v>
      </c>
      <c r="B223" s="19" t="s">
        <v>944</v>
      </c>
      <c r="C223" s="15" t="s">
        <v>945</v>
      </c>
      <c r="D223" s="15" t="s">
        <v>374</v>
      </c>
      <c r="E223" s="20">
        <v>976</v>
      </c>
      <c r="F223" s="21">
        <v>24.325800000000001</v>
      </c>
      <c r="G223" s="22">
        <v>8.0000000000000004E-4</v>
      </c>
      <c r="H223" s="40"/>
      <c r="I223" s="24"/>
      <c r="J223" s="5"/>
    </row>
    <row r="224" spans="1:10" ht="13.05" customHeight="1">
      <c r="A224" s="18" t="s">
        <v>946</v>
      </c>
      <c r="B224" s="19" t="s">
        <v>947</v>
      </c>
      <c r="C224" s="15" t="s">
        <v>948</v>
      </c>
      <c r="D224" s="15" t="s">
        <v>325</v>
      </c>
      <c r="E224" s="20">
        <v>4426</v>
      </c>
      <c r="F224" s="21">
        <v>23.993300000000001</v>
      </c>
      <c r="G224" s="22">
        <v>8.0000000000000004E-4</v>
      </c>
      <c r="H224" s="40"/>
      <c r="I224" s="24"/>
      <c r="J224" s="5"/>
    </row>
    <row r="225" spans="1:10" ht="13.05" customHeight="1">
      <c r="A225" s="18" t="s">
        <v>949</v>
      </c>
      <c r="B225" s="19" t="s">
        <v>950</v>
      </c>
      <c r="C225" s="15" t="s">
        <v>951</v>
      </c>
      <c r="D225" s="15" t="s">
        <v>314</v>
      </c>
      <c r="E225" s="20">
        <v>1233</v>
      </c>
      <c r="F225" s="21">
        <v>23.783300000000001</v>
      </c>
      <c r="G225" s="22">
        <v>8.0000000000000004E-4</v>
      </c>
      <c r="H225" s="40"/>
      <c r="I225" s="24"/>
      <c r="J225" s="5"/>
    </row>
    <row r="226" spans="1:10" ht="13.05" customHeight="1">
      <c r="A226" s="18" t="s">
        <v>952</v>
      </c>
      <c r="B226" s="19" t="s">
        <v>953</v>
      </c>
      <c r="C226" s="15" t="s">
        <v>954</v>
      </c>
      <c r="D226" s="15" t="s">
        <v>314</v>
      </c>
      <c r="E226" s="20">
        <v>82</v>
      </c>
      <c r="F226" s="21">
        <v>23.7759</v>
      </c>
      <c r="G226" s="22">
        <v>8.0000000000000004E-4</v>
      </c>
      <c r="H226" s="40"/>
      <c r="I226" s="24"/>
      <c r="J226" s="5"/>
    </row>
    <row r="227" spans="1:10" ht="13.05" customHeight="1">
      <c r="A227" s="18" t="s">
        <v>955</v>
      </c>
      <c r="B227" s="19" t="s">
        <v>956</v>
      </c>
      <c r="C227" s="15" t="s">
        <v>957</v>
      </c>
      <c r="D227" s="15" t="s">
        <v>374</v>
      </c>
      <c r="E227" s="20">
        <v>2711</v>
      </c>
      <c r="F227" s="21">
        <v>23.715800000000002</v>
      </c>
      <c r="G227" s="22">
        <v>8.0000000000000004E-4</v>
      </c>
      <c r="H227" s="40"/>
      <c r="I227" s="24"/>
      <c r="J227" s="5"/>
    </row>
    <row r="228" spans="1:10" ht="13.05" customHeight="1">
      <c r="A228" s="18" t="s">
        <v>958</v>
      </c>
      <c r="B228" s="19" t="s">
        <v>959</v>
      </c>
      <c r="C228" s="15" t="s">
        <v>960</v>
      </c>
      <c r="D228" s="15" t="s">
        <v>415</v>
      </c>
      <c r="E228" s="20">
        <v>3487</v>
      </c>
      <c r="F228" s="21">
        <v>23.643599999999999</v>
      </c>
      <c r="G228" s="22">
        <v>8.0000000000000004E-4</v>
      </c>
      <c r="H228" s="40"/>
      <c r="I228" s="24"/>
      <c r="J228" s="5"/>
    </row>
    <row r="229" spans="1:10" ht="13.05" customHeight="1">
      <c r="A229" s="18" t="s">
        <v>961</v>
      </c>
      <c r="B229" s="19" t="s">
        <v>962</v>
      </c>
      <c r="C229" s="15" t="s">
        <v>963</v>
      </c>
      <c r="D229" s="15" t="s">
        <v>581</v>
      </c>
      <c r="E229" s="20">
        <v>629</v>
      </c>
      <c r="F229" s="21">
        <v>23.5472</v>
      </c>
      <c r="G229" s="22">
        <v>8.0000000000000004E-4</v>
      </c>
      <c r="H229" s="40"/>
      <c r="I229" s="24"/>
      <c r="J229" s="5"/>
    </row>
    <row r="230" spans="1:10" ht="13.05" customHeight="1">
      <c r="A230" s="18" t="s">
        <v>964</v>
      </c>
      <c r="B230" s="19" t="s">
        <v>965</v>
      </c>
      <c r="C230" s="15" t="s">
        <v>966</v>
      </c>
      <c r="D230" s="15" t="s">
        <v>846</v>
      </c>
      <c r="E230" s="20">
        <v>1314</v>
      </c>
      <c r="F230" s="21">
        <v>23.513999999999999</v>
      </c>
      <c r="G230" s="22">
        <v>8.0000000000000004E-4</v>
      </c>
      <c r="H230" s="40"/>
      <c r="I230" s="24"/>
      <c r="J230" s="5"/>
    </row>
    <row r="231" spans="1:10" ht="13.05" customHeight="1">
      <c r="A231" s="18" t="s">
        <v>967</v>
      </c>
      <c r="B231" s="19" t="s">
        <v>968</v>
      </c>
      <c r="C231" s="15" t="s">
        <v>969</v>
      </c>
      <c r="D231" s="15" t="s">
        <v>970</v>
      </c>
      <c r="E231" s="20">
        <v>9181</v>
      </c>
      <c r="F231" s="21">
        <v>23.296800000000001</v>
      </c>
      <c r="G231" s="22">
        <v>8.0000000000000004E-4</v>
      </c>
      <c r="H231" s="40"/>
      <c r="I231" s="24"/>
      <c r="J231" s="5"/>
    </row>
    <row r="232" spans="1:10" ht="13.05" customHeight="1">
      <c r="A232" s="18" t="s">
        <v>971</v>
      </c>
      <c r="B232" s="19" t="s">
        <v>972</v>
      </c>
      <c r="C232" s="15" t="s">
        <v>973</v>
      </c>
      <c r="D232" s="15" t="s">
        <v>545</v>
      </c>
      <c r="E232" s="20">
        <v>10870</v>
      </c>
      <c r="F232" s="21">
        <v>23.0379</v>
      </c>
      <c r="G232" s="22">
        <v>8.0000000000000004E-4</v>
      </c>
      <c r="H232" s="40"/>
      <c r="I232" s="24"/>
      <c r="J232" s="5"/>
    </row>
    <row r="233" spans="1:10" ht="13.05" customHeight="1">
      <c r="A233" s="18" t="s">
        <v>974</v>
      </c>
      <c r="B233" s="19" t="s">
        <v>975</v>
      </c>
      <c r="C233" s="15" t="s">
        <v>976</v>
      </c>
      <c r="D233" s="15" t="s">
        <v>445</v>
      </c>
      <c r="E233" s="20">
        <v>14697</v>
      </c>
      <c r="F233" s="21">
        <v>22.799499999999998</v>
      </c>
      <c r="G233" s="22">
        <v>6.9999999999999999E-4</v>
      </c>
      <c r="H233" s="40"/>
      <c r="I233" s="24"/>
      <c r="J233" s="5"/>
    </row>
    <row r="234" spans="1:10" ht="13.05" customHeight="1">
      <c r="A234" s="18" t="s">
        <v>977</v>
      </c>
      <c r="B234" s="19" t="s">
        <v>978</v>
      </c>
      <c r="C234" s="15" t="s">
        <v>979</v>
      </c>
      <c r="D234" s="15" t="s">
        <v>300</v>
      </c>
      <c r="E234" s="20">
        <v>8445</v>
      </c>
      <c r="F234" s="21">
        <v>22.7593</v>
      </c>
      <c r="G234" s="22">
        <v>6.9999999999999999E-4</v>
      </c>
      <c r="H234" s="40"/>
      <c r="I234" s="24"/>
      <c r="J234" s="5"/>
    </row>
    <row r="235" spans="1:10" ht="13.05" customHeight="1">
      <c r="A235" s="18" t="s">
        <v>980</v>
      </c>
      <c r="B235" s="19" t="s">
        <v>981</v>
      </c>
      <c r="C235" s="15" t="s">
        <v>982</v>
      </c>
      <c r="D235" s="15" t="s">
        <v>374</v>
      </c>
      <c r="E235" s="20">
        <v>2326</v>
      </c>
      <c r="F235" s="21">
        <v>22.7483</v>
      </c>
      <c r="G235" s="22">
        <v>6.9999999999999999E-4</v>
      </c>
      <c r="H235" s="40"/>
      <c r="I235" s="24"/>
      <c r="J235" s="5"/>
    </row>
    <row r="236" spans="1:10" ht="13.05" customHeight="1">
      <c r="A236" s="18" t="s">
        <v>983</v>
      </c>
      <c r="B236" s="19" t="s">
        <v>984</v>
      </c>
      <c r="C236" s="15" t="s">
        <v>985</v>
      </c>
      <c r="D236" s="15" t="s">
        <v>300</v>
      </c>
      <c r="E236" s="20">
        <v>11968</v>
      </c>
      <c r="F236" s="21">
        <v>22.570499999999999</v>
      </c>
      <c r="G236" s="22">
        <v>6.9999999999999999E-4</v>
      </c>
      <c r="H236" s="40"/>
      <c r="I236" s="24"/>
      <c r="J236" s="5"/>
    </row>
    <row r="237" spans="1:10" ht="13.05" customHeight="1">
      <c r="A237" s="18" t="s">
        <v>986</v>
      </c>
      <c r="B237" s="19" t="s">
        <v>987</v>
      </c>
      <c r="C237" s="15" t="s">
        <v>988</v>
      </c>
      <c r="D237" s="15" t="s">
        <v>445</v>
      </c>
      <c r="E237" s="20">
        <v>260</v>
      </c>
      <c r="F237" s="21">
        <v>22.544599999999999</v>
      </c>
      <c r="G237" s="22">
        <v>6.9999999999999999E-4</v>
      </c>
      <c r="H237" s="40"/>
      <c r="I237" s="24"/>
      <c r="J237" s="5"/>
    </row>
    <row r="238" spans="1:10" ht="13.05" customHeight="1">
      <c r="A238" s="18" t="s">
        <v>989</v>
      </c>
      <c r="B238" s="19" t="s">
        <v>990</v>
      </c>
      <c r="C238" s="15" t="s">
        <v>991</v>
      </c>
      <c r="D238" s="15" t="s">
        <v>541</v>
      </c>
      <c r="E238" s="20">
        <v>2155</v>
      </c>
      <c r="F238" s="21">
        <v>22.362400000000001</v>
      </c>
      <c r="G238" s="22">
        <v>6.9999999999999999E-4</v>
      </c>
      <c r="H238" s="40"/>
      <c r="I238" s="24"/>
      <c r="J238" s="5"/>
    </row>
    <row r="239" spans="1:10" ht="13.05" customHeight="1">
      <c r="A239" s="18" t="s">
        <v>992</v>
      </c>
      <c r="B239" s="19" t="s">
        <v>993</v>
      </c>
      <c r="C239" s="15" t="s">
        <v>994</v>
      </c>
      <c r="D239" s="15" t="s">
        <v>374</v>
      </c>
      <c r="E239" s="20">
        <v>2036</v>
      </c>
      <c r="F239" s="21">
        <v>22.357299999999999</v>
      </c>
      <c r="G239" s="22">
        <v>6.9999999999999999E-4</v>
      </c>
      <c r="H239" s="40"/>
      <c r="I239" s="24"/>
      <c r="J239" s="5"/>
    </row>
    <row r="240" spans="1:10" ht="13.05" customHeight="1">
      <c r="A240" s="18" t="s">
        <v>995</v>
      </c>
      <c r="B240" s="19" t="s">
        <v>996</v>
      </c>
      <c r="C240" s="15" t="s">
        <v>997</v>
      </c>
      <c r="D240" s="15" t="s">
        <v>314</v>
      </c>
      <c r="E240" s="20">
        <v>135</v>
      </c>
      <c r="F240" s="21">
        <v>22.238600000000002</v>
      </c>
      <c r="G240" s="22">
        <v>6.9999999999999999E-4</v>
      </c>
      <c r="H240" s="40"/>
      <c r="I240" s="24"/>
      <c r="J240" s="5"/>
    </row>
    <row r="241" spans="1:10" ht="13.05" customHeight="1">
      <c r="A241" s="18" t="s">
        <v>998</v>
      </c>
      <c r="B241" s="19" t="s">
        <v>999</v>
      </c>
      <c r="C241" s="15" t="s">
        <v>1000</v>
      </c>
      <c r="D241" s="15" t="s">
        <v>276</v>
      </c>
      <c r="E241" s="20">
        <v>1761</v>
      </c>
      <c r="F241" s="21">
        <v>22.1252</v>
      </c>
      <c r="G241" s="22">
        <v>6.9999999999999999E-4</v>
      </c>
      <c r="H241" s="40"/>
      <c r="I241" s="24"/>
      <c r="J241" s="5"/>
    </row>
    <row r="242" spans="1:10" ht="13.05" customHeight="1">
      <c r="A242" s="18" t="s">
        <v>1001</v>
      </c>
      <c r="B242" s="19" t="s">
        <v>1002</v>
      </c>
      <c r="C242" s="15" t="s">
        <v>1003</v>
      </c>
      <c r="D242" s="15" t="s">
        <v>329</v>
      </c>
      <c r="E242" s="20">
        <v>1431</v>
      </c>
      <c r="F242" s="21">
        <v>21.892900000000001</v>
      </c>
      <c r="G242" s="22">
        <v>6.9999999999999999E-4</v>
      </c>
      <c r="H242" s="40"/>
      <c r="I242" s="24"/>
      <c r="J242" s="5"/>
    </row>
    <row r="243" spans="1:10" ht="13.05" customHeight="1">
      <c r="A243" s="18" t="s">
        <v>1004</v>
      </c>
      <c r="B243" s="19" t="s">
        <v>1005</v>
      </c>
      <c r="C243" s="15" t="s">
        <v>1006</v>
      </c>
      <c r="D243" s="15" t="s">
        <v>268</v>
      </c>
      <c r="E243" s="20">
        <v>1171</v>
      </c>
      <c r="F243" s="21">
        <v>21.79</v>
      </c>
      <c r="G243" s="22">
        <v>6.9999999999999999E-4</v>
      </c>
      <c r="H243" s="40"/>
      <c r="I243" s="24"/>
      <c r="J243" s="5"/>
    </row>
    <row r="244" spans="1:10" ht="13.05" customHeight="1">
      <c r="A244" s="18" t="s">
        <v>1007</v>
      </c>
      <c r="B244" s="19" t="s">
        <v>1008</v>
      </c>
      <c r="C244" s="15" t="s">
        <v>1009</v>
      </c>
      <c r="D244" s="15" t="s">
        <v>581</v>
      </c>
      <c r="E244" s="20">
        <v>2442</v>
      </c>
      <c r="F244" s="21">
        <v>21.749700000000001</v>
      </c>
      <c r="G244" s="22">
        <v>6.9999999999999999E-4</v>
      </c>
      <c r="H244" s="40"/>
      <c r="I244" s="24"/>
      <c r="J244" s="5"/>
    </row>
    <row r="245" spans="1:10" ht="13.05" customHeight="1">
      <c r="A245" s="18" t="s">
        <v>1010</v>
      </c>
      <c r="B245" s="19" t="s">
        <v>1011</v>
      </c>
      <c r="C245" s="15" t="s">
        <v>1012</v>
      </c>
      <c r="D245" s="15" t="s">
        <v>300</v>
      </c>
      <c r="E245" s="20">
        <v>4445</v>
      </c>
      <c r="F245" s="21">
        <v>21.418199999999999</v>
      </c>
      <c r="G245" s="22">
        <v>6.9999999999999999E-4</v>
      </c>
      <c r="H245" s="40"/>
      <c r="I245" s="24"/>
      <c r="J245" s="5"/>
    </row>
    <row r="246" spans="1:10" ht="13.05" customHeight="1">
      <c r="A246" s="18" t="s">
        <v>1013</v>
      </c>
      <c r="B246" s="19" t="s">
        <v>1014</v>
      </c>
      <c r="C246" s="15" t="s">
        <v>1015</v>
      </c>
      <c r="D246" s="15" t="s">
        <v>314</v>
      </c>
      <c r="E246" s="20">
        <v>1235</v>
      </c>
      <c r="F246" s="21">
        <v>20.776399999999999</v>
      </c>
      <c r="G246" s="22">
        <v>6.9999999999999999E-4</v>
      </c>
      <c r="H246" s="40"/>
      <c r="I246" s="24"/>
      <c r="J246" s="5"/>
    </row>
    <row r="247" spans="1:10" ht="13.05" customHeight="1">
      <c r="A247" s="18" t="s">
        <v>1016</v>
      </c>
      <c r="B247" s="19" t="s">
        <v>1017</v>
      </c>
      <c r="C247" s="15" t="s">
        <v>1018</v>
      </c>
      <c r="D247" s="15" t="s">
        <v>337</v>
      </c>
      <c r="E247" s="20">
        <v>1963</v>
      </c>
      <c r="F247" s="21">
        <v>20.502600000000001</v>
      </c>
      <c r="G247" s="22">
        <v>6.9999999999999999E-4</v>
      </c>
      <c r="H247" s="40"/>
      <c r="I247" s="24"/>
      <c r="J247" s="5"/>
    </row>
    <row r="248" spans="1:10" ht="13.05" customHeight="1">
      <c r="A248" s="18" t="s">
        <v>1019</v>
      </c>
      <c r="B248" s="19" t="s">
        <v>1020</v>
      </c>
      <c r="C248" s="15" t="s">
        <v>1021</v>
      </c>
      <c r="D248" s="15" t="s">
        <v>257</v>
      </c>
      <c r="E248" s="20">
        <v>12881</v>
      </c>
      <c r="F248" s="21">
        <v>20.166499999999999</v>
      </c>
      <c r="G248" s="22">
        <v>6.9999999999999999E-4</v>
      </c>
      <c r="H248" s="40"/>
      <c r="I248" s="24"/>
      <c r="J248" s="5"/>
    </row>
    <row r="249" spans="1:10" ht="13.05" customHeight="1">
      <c r="A249" s="18" t="s">
        <v>1022</v>
      </c>
      <c r="B249" s="19" t="s">
        <v>1023</v>
      </c>
      <c r="C249" s="15" t="s">
        <v>1024</v>
      </c>
      <c r="D249" s="15" t="s">
        <v>321</v>
      </c>
      <c r="E249" s="20">
        <v>43326</v>
      </c>
      <c r="F249" s="21">
        <v>20.111899999999999</v>
      </c>
      <c r="G249" s="22">
        <v>6.9999999999999999E-4</v>
      </c>
      <c r="H249" s="40"/>
      <c r="I249" s="24"/>
      <c r="J249" s="5"/>
    </row>
    <row r="250" spans="1:10" ht="13.05" customHeight="1">
      <c r="A250" s="18" t="s">
        <v>1025</v>
      </c>
      <c r="B250" s="19" t="s">
        <v>1026</v>
      </c>
      <c r="C250" s="15" t="s">
        <v>1027</v>
      </c>
      <c r="D250" s="15" t="s">
        <v>475</v>
      </c>
      <c r="E250" s="20">
        <v>1108</v>
      </c>
      <c r="F250" s="21">
        <v>19.915199999999999</v>
      </c>
      <c r="G250" s="22">
        <v>6.9999999999999999E-4</v>
      </c>
      <c r="H250" s="40"/>
      <c r="I250" s="24"/>
      <c r="J250" s="5"/>
    </row>
    <row r="251" spans="1:10" ht="13.05" customHeight="1">
      <c r="A251" s="18" t="s">
        <v>1028</v>
      </c>
      <c r="B251" s="19" t="s">
        <v>1029</v>
      </c>
      <c r="C251" s="15" t="s">
        <v>1030</v>
      </c>
      <c r="D251" s="15" t="s">
        <v>581</v>
      </c>
      <c r="E251" s="20">
        <v>328</v>
      </c>
      <c r="F251" s="21">
        <v>19.724299999999999</v>
      </c>
      <c r="G251" s="22">
        <v>5.9999999999999995E-4</v>
      </c>
      <c r="H251" s="40"/>
      <c r="I251" s="24"/>
      <c r="J251" s="5"/>
    </row>
    <row r="252" spans="1:10" ht="13.05" customHeight="1">
      <c r="A252" s="18" t="s">
        <v>1031</v>
      </c>
      <c r="B252" s="19" t="s">
        <v>1032</v>
      </c>
      <c r="C252" s="15" t="s">
        <v>1033</v>
      </c>
      <c r="D252" s="15" t="s">
        <v>501</v>
      </c>
      <c r="E252" s="20">
        <v>601</v>
      </c>
      <c r="F252" s="21">
        <v>19.5319</v>
      </c>
      <c r="G252" s="22">
        <v>5.9999999999999995E-4</v>
      </c>
      <c r="H252" s="40"/>
      <c r="I252" s="24"/>
      <c r="J252" s="5"/>
    </row>
    <row r="253" spans="1:10" ht="13.05" customHeight="1">
      <c r="A253" s="18" t="s">
        <v>1034</v>
      </c>
      <c r="B253" s="19" t="s">
        <v>1035</v>
      </c>
      <c r="C253" s="15" t="s">
        <v>1036</v>
      </c>
      <c r="D253" s="15" t="s">
        <v>501</v>
      </c>
      <c r="E253" s="20">
        <v>2020</v>
      </c>
      <c r="F253" s="21">
        <v>19.508199999999999</v>
      </c>
      <c r="G253" s="22">
        <v>5.9999999999999995E-4</v>
      </c>
      <c r="H253" s="40"/>
      <c r="I253" s="24"/>
      <c r="J253" s="5"/>
    </row>
    <row r="254" spans="1:10" ht="13.05" customHeight="1">
      <c r="A254" s="18" t="s">
        <v>1037</v>
      </c>
      <c r="B254" s="19" t="s">
        <v>1038</v>
      </c>
      <c r="C254" s="15" t="s">
        <v>1039</v>
      </c>
      <c r="D254" s="15" t="s">
        <v>507</v>
      </c>
      <c r="E254" s="20">
        <v>510</v>
      </c>
      <c r="F254" s="21">
        <v>19.311199999999999</v>
      </c>
      <c r="G254" s="22">
        <v>5.9999999999999995E-4</v>
      </c>
      <c r="H254" s="40"/>
      <c r="I254" s="24"/>
      <c r="J254" s="5"/>
    </row>
    <row r="255" spans="1:10" ht="13.05" customHeight="1">
      <c r="A255" s="18" t="s">
        <v>1040</v>
      </c>
      <c r="B255" s="19" t="s">
        <v>1041</v>
      </c>
      <c r="C255" s="15" t="s">
        <v>1042</v>
      </c>
      <c r="D255" s="15" t="s">
        <v>445</v>
      </c>
      <c r="E255" s="20">
        <v>597</v>
      </c>
      <c r="F255" s="21">
        <v>19.216200000000001</v>
      </c>
      <c r="G255" s="22">
        <v>5.9999999999999995E-4</v>
      </c>
      <c r="H255" s="40"/>
      <c r="I255" s="24"/>
      <c r="J255" s="5"/>
    </row>
    <row r="256" spans="1:10" ht="13.05" customHeight="1">
      <c r="A256" s="18" t="s">
        <v>1043</v>
      </c>
      <c r="B256" s="19" t="s">
        <v>1044</v>
      </c>
      <c r="C256" s="15" t="s">
        <v>1045</v>
      </c>
      <c r="D256" s="15" t="s">
        <v>567</v>
      </c>
      <c r="E256" s="20">
        <v>1911</v>
      </c>
      <c r="F256" s="21">
        <v>19.200800000000001</v>
      </c>
      <c r="G256" s="22">
        <v>5.9999999999999995E-4</v>
      </c>
      <c r="H256" s="40"/>
      <c r="I256" s="24"/>
      <c r="J256" s="5"/>
    </row>
    <row r="257" spans="1:10" ht="13.05" customHeight="1">
      <c r="A257" s="18" t="s">
        <v>1046</v>
      </c>
      <c r="B257" s="19" t="s">
        <v>1047</v>
      </c>
      <c r="C257" s="15" t="s">
        <v>1048</v>
      </c>
      <c r="D257" s="15" t="s">
        <v>300</v>
      </c>
      <c r="E257" s="20">
        <v>3590</v>
      </c>
      <c r="F257" s="21">
        <v>19.1921</v>
      </c>
      <c r="G257" s="22">
        <v>5.9999999999999995E-4</v>
      </c>
      <c r="H257" s="40"/>
      <c r="I257" s="24"/>
      <c r="J257" s="5"/>
    </row>
    <row r="258" spans="1:10" ht="13.05" customHeight="1">
      <c r="A258" s="18" t="s">
        <v>1049</v>
      </c>
      <c r="B258" s="19" t="s">
        <v>1050</v>
      </c>
      <c r="C258" s="15" t="s">
        <v>1051</v>
      </c>
      <c r="D258" s="15" t="s">
        <v>300</v>
      </c>
      <c r="E258" s="20">
        <v>659</v>
      </c>
      <c r="F258" s="21">
        <v>19.164400000000001</v>
      </c>
      <c r="G258" s="22">
        <v>5.9999999999999995E-4</v>
      </c>
      <c r="H258" s="40"/>
      <c r="I258" s="24"/>
      <c r="J258" s="5"/>
    </row>
    <row r="259" spans="1:10" ht="13.05" customHeight="1">
      <c r="A259" s="18" t="s">
        <v>1052</v>
      </c>
      <c r="B259" s="19" t="s">
        <v>1053</v>
      </c>
      <c r="C259" s="15" t="s">
        <v>1054</v>
      </c>
      <c r="D259" s="15" t="s">
        <v>445</v>
      </c>
      <c r="E259" s="20">
        <v>1752</v>
      </c>
      <c r="F259" s="21">
        <v>19.152899999999999</v>
      </c>
      <c r="G259" s="22">
        <v>5.9999999999999995E-4</v>
      </c>
      <c r="H259" s="40"/>
      <c r="I259" s="24"/>
      <c r="J259" s="5"/>
    </row>
    <row r="260" spans="1:10" ht="13.05" customHeight="1">
      <c r="A260" s="18" t="s">
        <v>1055</v>
      </c>
      <c r="B260" s="19" t="s">
        <v>1056</v>
      </c>
      <c r="C260" s="15" t="s">
        <v>1057</v>
      </c>
      <c r="D260" s="15" t="s">
        <v>415</v>
      </c>
      <c r="E260" s="20">
        <v>2939</v>
      </c>
      <c r="F260" s="21">
        <v>19.106400000000001</v>
      </c>
      <c r="G260" s="22">
        <v>5.9999999999999995E-4</v>
      </c>
      <c r="H260" s="40"/>
      <c r="I260" s="24"/>
      <c r="J260" s="5"/>
    </row>
    <row r="261" spans="1:10" ht="13.05" customHeight="1">
      <c r="A261" s="18" t="s">
        <v>1058</v>
      </c>
      <c r="B261" s="19" t="s">
        <v>1059</v>
      </c>
      <c r="C261" s="15" t="s">
        <v>1060</v>
      </c>
      <c r="D261" s="15" t="s">
        <v>314</v>
      </c>
      <c r="E261" s="20">
        <v>9559</v>
      </c>
      <c r="F261" s="21">
        <v>19.082599999999999</v>
      </c>
      <c r="G261" s="22">
        <v>5.9999999999999995E-4</v>
      </c>
      <c r="H261" s="40"/>
      <c r="I261" s="24"/>
      <c r="J261" s="5"/>
    </row>
    <row r="262" spans="1:10" ht="13.05" customHeight="1">
      <c r="A262" s="18" t="s">
        <v>1061</v>
      </c>
      <c r="B262" s="19" t="s">
        <v>1062</v>
      </c>
      <c r="C262" s="15" t="s">
        <v>1063</v>
      </c>
      <c r="D262" s="15" t="s">
        <v>1064</v>
      </c>
      <c r="E262" s="20">
        <v>620</v>
      </c>
      <c r="F262" s="21">
        <v>19.081700000000001</v>
      </c>
      <c r="G262" s="22">
        <v>5.9999999999999995E-4</v>
      </c>
      <c r="H262" s="40"/>
      <c r="I262" s="24"/>
      <c r="J262" s="5"/>
    </row>
    <row r="263" spans="1:10" ht="13.05" customHeight="1">
      <c r="A263" s="18" t="s">
        <v>1065</v>
      </c>
      <c r="B263" s="19" t="s">
        <v>1066</v>
      </c>
      <c r="C263" s="15" t="s">
        <v>1067</v>
      </c>
      <c r="D263" s="15" t="s">
        <v>1068</v>
      </c>
      <c r="E263" s="20">
        <v>985</v>
      </c>
      <c r="F263" s="21">
        <v>19.016400000000001</v>
      </c>
      <c r="G263" s="22">
        <v>5.9999999999999995E-4</v>
      </c>
      <c r="H263" s="40"/>
      <c r="I263" s="24"/>
      <c r="J263" s="5"/>
    </row>
    <row r="264" spans="1:10" ht="13.05" customHeight="1">
      <c r="A264" s="18" t="s">
        <v>1069</v>
      </c>
      <c r="B264" s="19" t="s">
        <v>1070</v>
      </c>
      <c r="C264" s="15" t="s">
        <v>1071</v>
      </c>
      <c r="D264" s="15" t="s">
        <v>300</v>
      </c>
      <c r="E264" s="20">
        <v>2892</v>
      </c>
      <c r="F264" s="21">
        <v>18.877500000000001</v>
      </c>
      <c r="G264" s="22">
        <v>5.9999999999999995E-4</v>
      </c>
      <c r="H264" s="40"/>
      <c r="I264" s="24"/>
      <c r="J264" s="5"/>
    </row>
    <row r="265" spans="1:10" ht="13.05" customHeight="1">
      <c r="A265" s="18" t="s">
        <v>1072</v>
      </c>
      <c r="B265" s="19" t="s">
        <v>1073</v>
      </c>
      <c r="C265" s="15" t="s">
        <v>1074</v>
      </c>
      <c r="D265" s="15" t="s">
        <v>276</v>
      </c>
      <c r="E265" s="20">
        <v>16057</v>
      </c>
      <c r="F265" s="21">
        <v>18.852499999999999</v>
      </c>
      <c r="G265" s="22">
        <v>5.9999999999999995E-4</v>
      </c>
      <c r="H265" s="40"/>
      <c r="I265" s="24"/>
      <c r="J265" s="5"/>
    </row>
    <row r="266" spans="1:10" ht="13.05" customHeight="1">
      <c r="A266" s="18" t="s">
        <v>1075</v>
      </c>
      <c r="B266" s="19" t="s">
        <v>1076</v>
      </c>
      <c r="C266" s="15" t="s">
        <v>1077</v>
      </c>
      <c r="D266" s="15" t="s">
        <v>300</v>
      </c>
      <c r="E266" s="20">
        <v>12178</v>
      </c>
      <c r="F266" s="21">
        <v>18.501999999999999</v>
      </c>
      <c r="G266" s="22">
        <v>5.9999999999999995E-4</v>
      </c>
      <c r="H266" s="40"/>
      <c r="I266" s="24"/>
      <c r="J266" s="5"/>
    </row>
    <row r="267" spans="1:10" ht="13.05" customHeight="1">
      <c r="A267" s="18" t="s">
        <v>1078</v>
      </c>
      <c r="B267" s="19" t="s">
        <v>1079</v>
      </c>
      <c r="C267" s="15" t="s">
        <v>1080</v>
      </c>
      <c r="D267" s="15" t="s">
        <v>567</v>
      </c>
      <c r="E267" s="20">
        <v>39125</v>
      </c>
      <c r="F267" s="21">
        <v>18.4709</v>
      </c>
      <c r="G267" s="22">
        <v>5.9999999999999995E-4</v>
      </c>
      <c r="H267" s="40"/>
      <c r="I267" s="24"/>
      <c r="J267" s="5"/>
    </row>
    <row r="268" spans="1:10" ht="13.05" customHeight="1">
      <c r="A268" s="18" t="s">
        <v>1081</v>
      </c>
      <c r="B268" s="19" t="s">
        <v>1082</v>
      </c>
      <c r="C268" s="15" t="s">
        <v>1083</v>
      </c>
      <c r="D268" s="15" t="s">
        <v>300</v>
      </c>
      <c r="E268" s="20">
        <v>374</v>
      </c>
      <c r="F268" s="21">
        <v>18.435199999999998</v>
      </c>
      <c r="G268" s="22">
        <v>5.9999999999999995E-4</v>
      </c>
      <c r="H268" s="40"/>
      <c r="I268" s="24"/>
      <c r="J268" s="5"/>
    </row>
    <row r="269" spans="1:10" ht="13.05" customHeight="1">
      <c r="A269" s="18" t="s">
        <v>1084</v>
      </c>
      <c r="B269" s="19" t="s">
        <v>1085</v>
      </c>
      <c r="C269" s="15" t="s">
        <v>1086</v>
      </c>
      <c r="D269" s="15" t="s">
        <v>577</v>
      </c>
      <c r="E269" s="20">
        <v>138</v>
      </c>
      <c r="F269" s="21">
        <v>18.424399999999999</v>
      </c>
      <c r="G269" s="22">
        <v>5.9999999999999995E-4</v>
      </c>
      <c r="H269" s="40"/>
      <c r="I269" s="24"/>
      <c r="J269" s="5"/>
    </row>
    <row r="270" spans="1:10" ht="13.05" customHeight="1">
      <c r="A270" s="18" t="s">
        <v>1087</v>
      </c>
      <c r="B270" s="19" t="s">
        <v>1088</v>
      </c>
      <c r="C270" s="15" t="s">
        <v>1089</v>
      </c>
      <c r="D270" s="15" t="s">
        <v>300</v>
      </c>
      <c r="E270" s="20">
        <v>7752</v>
      </c>
      <c r="F270" s="21">
        <v>18.372199999999999</v>
      </c>
      <c r="G270" s="22">
        <v>5.9999999999999995E-4</v>
      </c>
      <c r="H270" s="40"/>
      <c r="I270" s="24"/>
      <c r="J270" s="5"/>
    </row>
    <row r="271" spans="1:10" ht="13.05" customHeight="1">
      <c r="A271" s="18" t="s">
        <v>1090</v>
      </c>
      <c r="B271" s="19" t="s">
        <v>1091</v>
      </c>
      <c r="C271" s="15" t="s">
        <v>1092</v>
      </c>
      <c r="D271" s="15" t="s">
        <v>415</v>
      </c>
      <c r="E271" s="20">
        <v>1045</v>
      </c>
      <c r="F271" s="21">
        <v>18.364799999999999</v>
      </c>
      <c r="G271" s="22">
        <v>5.9999999999999995E-4</v>
      </c>
      <c r="H271" s="40"/>
      <c r="I271" s="24"/>
      <c r="J271" s="5"/>
    </row>
    <row r="272" spans="1:10" ht="13.05" customHeight="1">
      <c r="A272" s="18" t="s">
        <v>1093</v>
      </c>
      <c r="B272" s="19" t="s">
        <v>1094</v>
      </c>
      <c r="C272" s="15" t="s">
        <v>1095</v>
      </c>
      <c r="D272" s="15" t="s">
        <v>581</v>
      </c>
      <c r="E272" s="20">
        <v>1059</v>
      </c>
      <c r="F272" s="21">
        <v>18.303799999999999</v>
      </c>
      <c r="G272" s="22">
        <v>5.9999999999999995E-4</v>
      </c>
      <c r="H272" s="40"/>
      <c r="I272" s="24"/>
      <c r="J272" s="5"/>
    </row>
    <row r="273" spans="1:10" ht="13.05" customHeight="1">
      <c r="A273" s="18" t="s">
        <v>1096</v>
      </c>
      <c r="B273" s="19" t="s">
        <v>1097</v>
      </c>
      <c r="C273" s="15" t="s">
        <v>1098</v>
      </c>
      <c r="D273" s="15" t="s">
        <v>337</v>
      </c>
      <c r="E273" s="20">
        <v>960</v>
      </c>
      <c r="F273" s="21">
        <v>18.0624</v>
      </c>
      <c r="G273" s="22">
        <v>5.9999999999999995E-4</v>
      </c>
      <c r="H273" s="40"/>
      <c r="I273" s="24"/>
      <c r="J273" s="5"/>
    </row>
    <row r="274" spans="1:10" ht="13.05" customHeight="1">
      <c r="A274" s="18" t="s">
        <v>1099</v>
      </c>
      <c r="B274" s="19" t="s">
        <v>1100</v>
      </c>
      <c r="C274" s="15" t="s">
        <v>1101</v>
      </c>
      <c r="D274" s="15" t="s">
        <v>758</v>
      </c>
      <c r="E274" s="20">
        <v>1687</v>
      </c>
      <c r="F274" s="21">
        <v>18.040800000000001</v>
      </c>
      <c r="G274" s="22">
        <v>5.9999999999999995E-4</v>
      </c>
      <c r="H274" s="40"/>
      <c r="I274" s="24"/>
      <c r="J274" s="5"/>
    </row>
    <row r="275" spans="1:10" ht="13.05" customHeight="1">
      <c r="A275" s="18" t="s">
        <v>1102</v>
      </c>
      <c r="B275" s="19" t="s">
        <v>1103</v>
      </c>
      <c r="C275" s="15" t="s">
        <v>1104</v>
      </c>
      <c r="D275" s="15" t="s">
        <v>415</v>
      </c>
      <c r="E275" s="20">
        <v>574</v>
      </c>
      <c r="F275" s="21">
        <v>17.997800000000002</v>
      </c>
      <c r="G275" s="22">
        <v>5.9999999999999995E-4</v>
      </c>
      <c r="H275" s="40"/>
      <c r="I275" s="24"/>
      <c r="J275" s="5"/>
    </row>
    <row r="276" spans="1:10" ht="13.05" customHeight="1">
      <c r="A276" s="18" t="s">
        <v>1105</v>
      </c>
      <c r="B276" s="19" t="s">
        <v>1106</v>
      </c>
      <c r="C276" s="15" t="s">
        <v>1107</v>
      </c>
      <c r="D276" s="15" t="s">
        <v>405</v>
      </c>
      <c r="E276" s="20">
        <v>4806</v>
      </c>
      <c r="F276" s="21">
        <v>17.984100000000002</v>
      </c>
      <c r="G276" s="22">
        <v>5.9999999999999995E-4</v>
      </c>
      <c r="H276" s="40"/>
      <c r="I276" s="24"/>
      <c r="J276" s="5"/>
    </row>
    <row r="277" spans="1:10" ht="13.05" customHeight="1">
      <c r="A277" s="18" t="s">
        <v>1108</v>
      </c>
      <c r="B277" s="19" t="s">
        <v>1109</v>
      </c>
      <c r="C277" s="15" t="s">
        <v>1110</v>
      </c>
      <c r="D277" s="15" t="s">
        <v>374</v>
      </c>
      <c r="E277" s="20">
        <v>571</v>
      </c>
      <c r="F277" s="21">
        <v>17.634799999999998</v>
      </c>
      <c r="G277" s="22">
        <v>5.9999999999999995E-4</v>
      </c>
      <c r="H277" s="40"/>
      <c r="I277" s="24"/>
      <c r="J277" s="5"/>
    </row>
    <row r="278" spans="1:10" ht="13.05" customHeight="1">
      <c r="A278" s="18" t="s">
        <v>1111</v>
      </c>
      <c r="B278" s="19" t="s">
        <v>1112</v>
      </c>
      <c r="C278" s="15" t="s">
        <v>1113</v>
      </c>
      <c r="D278" s="15" t="s">
        <v>1068</v>
      </c>
      <c r="E278" s="20">
        <v>427</v>
      </c>
      <c r="F278" s="21">
        <v>17.587299999999999</v>
      </c>
      <c r="G278" s="22">
        <v>5.9999999999999995E-4</v>
      </c>
      <c r="H278" s="40"/>
      <c r="I278" s="24"/>
      <c r="J278" s="5"/>
    </row>
    <row r="279" spans="1:10" ht="13.05" customHeight="1">
      <c r="A279" s="18" t="s">
        <v>1114</v>
      </c>
      <c r="B279" s="19" t="s">
        <v>1115</v>
      </c>
      <c r="C279" s="15" t="s">
        <v>1116</v>
      </c>
      <c r="D279" s="15" t="s">
        <v>321</v>
      </c>
      <c r="E279" s="20">
        <v>9769</v>
      </c>
      <c r="F279" s="21">
        <v>17.580300000000001</v>
      </c>
      <c r="G279" s="22">
        <v>5.9999999999999995E-4</v>
      </c>
      <c r="H279" s="40"/>
      <c r="I279" s="24"/>
      <c r="J279" s="5"/>
    </row>
    <row r="280" spans="1:10" ht="13.05" customHeight="1">
      <c r="A280" s="18" t="s">
        <v>1117</v>
      </c>
      <c r="B280" s="19" t="s">
        <v>1118</v>
      </c>
      <c r="C280" s="15" t="s">
        <v>1119</v>
      </c>
      <c r="D280" s="15" t="s">
        <v>501</v>
      </c>
      <c r="E280" s="20">
        <v>1739</v>
      </c>
      <c r="F280" s="21">
        <v>17.463000000000001</v>
      </c>
      <c r="G280" s="22">
        <v>5.9999999999999995E-4</v>
      </c>
      <c r="H280" s="40"/>
      <c r="I280" s="24"/>
      <c r="J280" s="5"/>
    </row>
    <row r="281" spans="1:10" ht="13.05" customHeight="1">
      <c r="A281" s="18" t="s">
        <v>1120</v>
      </c>
      <c r="B281" s="19" t="s">
        <v>1121</v>
      </c>
      <c r="C281" s="15" t="s">
        <v>1122</v>
      </c>
      <c r="D281" s="15" t="s">
        <v>970</v>
      </c>
      <c r="E281" s="20">
        <v>4923</v>
      </c>
      <c r="F281" s="21">
        <v>17.422499999999999</v>
      </c>
      <c r="G281" s="22">
        <v>5.9999999999999995E-4</v>
      </c>
      <c r="H281" s="40"/>
      <c r="I281" s="24"/>
      <c r="J281" s="5"/>
    </row>
    <row r="282" spans="1:10" ht="13.05" customHeight="1">
      <c r="A282" s="18" t="s">
        <v>1123</v>
      </c>
      <c r="B282" s="19" t="s">
        <v>1124</v>
      </c>
      <c r="C282" s="15" t="s">
        <v>1125</v>
      </c>
      <c r="D282" s="15" t="s">
        <v>581</v>
      </c>
      <c r="E282" s="20">
        <v>3612</v>
      </c>
      <c r="F282" s="21">
        <v>17.418900000000001</v>
      </c>
      <c r="G282" s="22">
        <v>5.9999999999999995E-4</v>
      </c>
      <c r="H282" s="40"/>
      <c r="I282" s="24"/>
      <c r="J282" s="5"/>
    </row>
    <row r="283" spans="1:10" ht="13.05" customHeight="1">
      <c r="A283" s="18" t="s">
        <v>1126</v>
      </c>
      <c r="B283" s="19" t="s">
        <v>1127</v>
      </c>
      <c r="C283" s="15" t="s">
        <v>1128</v>
      </c>
      <c r="D283" s="15" t="s">
        <v>501</v>
      </c>
      <c r="E283" s="20">
        <v>554</v>
      </c>
      <c r="F283" s="21">
        <v>17.4178</v>
      </c>
      <c r="G283" s="22">
        <v>5.9999999999999995E-4</v>
      </c>
      <c r="H283" s="40"/>
      <c r="I283" s="24"/>
      <c r="J283" s="5"/>
    </row>
    <row r="284" spans="1:10" ht="13.05" customHeight="1">
      <c r="A284" s="18" t="s">
        <v>1129</v>
      </c>
      <c r="B284" s="19" t="s">
        <v>1130</v>
      </c>
      <c r="C284" s="15" t="s">
        <v>1131</v>
      </c>
      <c r="D284" s="15" t="s">
        <v>344</v>
      </c>
      <c r="E284" s="20">
        <v>5096</v>
      </c>
      <c r="F284" s="21">
        <v>17.339099999999998</v>
      </c>
      <c r="G284" s="22">
        <v>5.9999999999999995E-4</v>
      </c>
      <c r="H284" s="40"/>
      <c r="I284" s="24"/>
      <c r="J284" s="5"/>
    </row>
    <row r="285" spans="1:10" ht="13.05" customHeight="1">
      <c r="A285" s="18" t="s">
        <v>1132</v>
      </c>
      <c r="B285" s="19" t="s">
        <v>1133</v>
      </c>
      <c r="C285" s="15" t="s">
        <v>1134</v>
      </c>
      <c r="D285" s="15" t="s">
        <v>415</v>
      </c>
      <c r="E285" s="20">
        <v>1303</v>
      </c>
      <c r="F285" s="21">
        <v>17.088799999999999</v>
      </c>
      <c r="G285" s="22">
        <v>5.9999999999999995E-4</v>
      </c>
      <c r="H285" s="40"/>
      <c r="I285" s="24"/>
      <c r="J285" s="5"/>
    </row>
    <row r="286" spans="1:10" ht="13.05" customHeight="1">
      <c r="A286" s="18" t="s">
        <v>1135</v>
      </c>
      <c r="B286" s="19" t="s">
        <v>1136</v>
      </c>
      <c r="C286" s="15" t="s">
        <v>1137</v>
      </c>
      <c r="D286" s="15" t="s">
        <v>391</v>
      </c>
      <c r="E286" s="20">
        <v>1581</v>
      </c>
      <c r="F286" s="21">
        <v>16.954599999999999</v>
      </c>
      <c r="G286" s="22">
        <v>5.9999999999999995E-4</v>
      </c>
      <c r="H286" s="40"/>
      <c r="I286" s="24"/>
      <c r="J286" s="5"/>
    </row>
    <row r="287" spans="1:10" ht="13.05" customHeight="1">
      <c r="A287" s="18" t="s">
        <v>1138</v>
      </c>
      <c r="B287" s="19" t="s">
        <v>1139</v>
      </c>
      <c r="C287" s="15" t="s">
        <v>1140</v>
      </c>
      <c r="D287" s="15" t="s">
        <v>348</v>
      </c>
      <c r="E287" s="20">
        <v>1536</v>
      </c>
      <c r="F287" s="21">
        <v>16.889900000000001</v>
      </c>
      <c r="G287" s="22">
        <v>5.9999999999999995E-4</v>
      </c>
      <c r="H287" s="40"/>
      <c r="I287" s="24"/>
      <c r="J287" s="5"/>
    </row>
    <row r="288" spans="1:10" ht="13.05" customHeight="1">
      <c r="A288" s="18" t="s">
        <v>1141</v>
      </c>
      <c r="B288" s="19" t="s">
        <v>1142</v>
      </c>
      <c r="C288" s="15" t="s">
        <v>1143</v>
      </c>
      <c r="D288" s="15" t="s">
        <v>314</v>
      </c>
      <c r="E288" s="20">
        <v>644</v>
      </c>
      <c r="F288" s="21">
        <v>16.863800000000001</v>
      </c>
      <c r="G288" s="22">
        <v>5.9999999999999995E-4</v>
      </c>
      <c r="H288" s="40"/>
      <c r="I288" s="24"/>
      <c r="J288" s="5"/>
    </row>
    <row r="289" spans="1:10" ht="13.05" customHeight="1">
      <c r="A289" s="18" t="s">
        <v>1144</v>
      </c>
      <c r="B289" s="19" t="s">
        <v>1145</v>
      </c>
      <c r="C289" s="15" t="s">
        <v>1146</v>
      </c>
      <c r="D289" s="15" t="s">
        <v>1068</v>
      </c>
      <c r="E289" s="20">
        <v>2400</v>
      </c>
      <c r="F289" s="21">
        <v>16.614000000000001</v>
      </c>
      <c r="G289" s="22">
        <v>5.0000000000000001E-4</v>
      </c>
      <c r="H289" s="40"/>
      <c r="I289" s="24"/>
      <c r="J289" s="5"/>
    </row>
    <row r="290" spans="1:10" ht="13.05" customHeight="1">
      <c r="A290" s="18" t="s">
        <v>1147</v>
      </c>
      <c r="B290" s="19" t="s">
        <v>1148</v>
      </c>
      <c r="C290" s="15" t="s">
        <v>1149</v>
      </c>
      <c r="D290" s="15" t="s">
        <v>501</v>
      </c>
      <c r="E290" s="20">
        <v>3338</v>
      </c>
      <c r="F290" s="21">
        <v>16.603200000000001</v>
      </c>
      <c r="G290" s="22">
        <v>5.0000000000000001E-4</v>
      </c>
      <c r="H290" s="40"/>
      <c r="I290" s="24"/>
      <c r="J290" s="5"/>
    </row>
    <row r="291" spans="1:10" ht="13.05" customHeight="1">
      <c r="A291" s="18" t="s">
        <v>1150</v>
      </c>
      <c r="B291" s="19" t="s">
        <v>1151</v>
      </c>
      <c r="C291" s="15" t="s">
        <v>1152</v>
      </c>
      <c r="D291" s="15" t="s">
        <v>374</v>
      </c>
      <c r="E291" s="20">
        <v>233</v>
      </c>
      <c r="F291" s="21">
        <v>16.5244</v>
      </c>
      <c r="G291" s="22">
        <v>5.0000000000000001E-4</v>
      </c>
      <c r="H291" s="40"/>
      <c r="I291" s="24"/>
      <c r="J291" s="5"/>
    </row>
    <row r="292" spans="1:10" ht="13.05" customHeight="1">
      <c r="A292" s="18" t="s">
        <v>1153</v>
      </c>
      <c r="B292" s="19" t="s">
        <v>1154</v>
      </c>
      <c r="C292" s="15" t="s">
        <v>1155</v>
      </c>
      <c r="D292" s="15" t="s">
        <v>314</v>
      </c>
      <c r="E292" s="20">
        <v>1289</v>
      </c>
      <c r="F292" s="21">
        <v>16.5185</v>
      </c>
      <c r="G292" s="22">
        <v>5.0000000000000001E-4</v>
      </c>
      <c r="H292" s="40"/>
      <c r="I292" s="24"/>
      <c r="J292" s="5"/>
    </row>
    <row r="293" spans="1:10" ht="13.05" customHeight="1">
      <c r="A293" s="18" t="s">
        <v>1156</v>
      </c>
      <c r="B293" s="19" t="s">
        <v>1157</v>
      </c>
      <c r="C293" s="15" t="s">
        <v>1158</v>
      </c>
      <c r="D293" s="15" t="s">
        <v>577</v>
      </c>
      <c r="E293" s="20">
        <v>3057</v>
      </c>
      <c r="F293" s="21">
        <v>16.336600000000001</v>
      </c>
      <c r="G293" s="22">
        <v>5.0000000000000001E-4</v>
      </c>
      <c r="H293" s="40"/>
      <c r="I293" s="24"/>
      <c r="J293" s="5"/>
    </row>
    <row r="294" spans="1:10" ht="13.05" customHeight="1">
      <c r="A294" s="18" t="s">
        <v>1159</v>
      </c>
      <c r="B294" s="19" t="s">
        <v>1160</v>
      </c>
      <c r="C294" s="15" t="s">
        <v>1161</v>
      </c>
      <c r="D294" s="15" t="s">
        <v>374</v>
      </c>
      <c r="E294" s="20">
        <v>11716</v>
      </c>
      <c r="F294" s="21">
        <v>16.292300000000001</v>
      </c>
      <c r="G294" s="22">
        <v>5.0000000000000001E-4</v>
      </c>
      <c r="H294" s="40"/>
      <c r="I294" s="24"/>
      <c r="J294" s="5"/>
    </row>
    <row r="295" spans="1:10" ht="13.05" customHeight="1">
      <c r="A295" s="18" t="s">
        <v>1162</v>
      </c>
      <c r="B295" s="19" t="s">
        <v>1163</v>
      </c>
      <c r="C295" s="15" t="s">
        <v>1164</v>
      </c>
      <c r="D295" s="15" t="s">
        <v>501</v>
      </c>
      <c r="E295" s="20">
        <v>94</v>
      </c>
      <c r="F295" s="21">
        <v>16.245999999999999</v>
      </c>
      <c r="G295" s="22">
        <v>5.0000000000000001E-4</v>
      </c>
      <c r="H295" s="40"/>
      <c r="I295" s="24"/>
      <c r="J295" s="5"/>
    </row>
    <row r="296" spans="1:10" ht="13.05" customHeight="1">
      <c r="A296" s="18" t="s">
        <v>1165</v>
      </c>
      <c r="B296" s="19" t="s">
        <v>1166</v>
      </c>
      <c r="C296" s="15" t="s">
        <v>1167</v>
      </c>
      <c r="D296" s="15" t="s">
        <v>567</v>
      </c>
      <c r="E296" s="20">
        <v>1705</v>
      </c>
      <c r="F296" s="21">
        <v>16.1873</v>
      </c>
      <c r="G296" s="22">
        <v>5.0000000000000001E-4</v>
      </c>
      <c r="H296" s="40"/>
      <c r="I296" s="24"/>
      <c r="J296" s="5"/>
    </row>
    <row r="297" spans="1:10" ht="13.05" customHeight="1">
      <c r="A297" s="18" t="s">
        <v>1168</v>
      </c>
      <c r="B297" s="19" t="s">
        <v>1169</v>
      </c>
      <c r="C297" s="15" t="s">
        <v>1170</v>
      </c>
      <c r="D297" s="15" t="s">
        <v>272</v>
      </c>
      <c r="E297" s="20">
        <v>1419</v>
      </c>
      <c r="F297" s="21">
        <v>16.084399999999999</v>
      </c>
      <c r="G297" s="22">
        <v>5.0000000000000001E-4</v>
      </c>
      <c r="H297" s="40"/>
      <c r="I297" s="24"/>
      <c r="J297" s="5"/>
    </row>
    <row r="298" spans="1:10" ht="13.05" customHeight="1">
      <c r="A298" s="18" t="s">
        <v>1171</v>
      </c>
      <c r="B298" s="19" t="s">
        <v>1172</v>
      </c>
      <c r="C298" s="15" t="s">
        <v>1173</v>
      </c>
      <c r="D298" s="15" t="s">
        <v>405</v>
      </c>
      <c r="E298" s="20">
        <v>3245</v>
      </c>
      <c r="F298" s="21">
        <v>16.043299999999999</v>
      </c>
      <c r="G298" s="22">
        <v>5.0000000000000001E-4</v>
      </c>
      <c r="H298" s="40"/>
      <c r="I298" s="24"/>
      <c r="J298" s="5"/>
    </row>
    <row r="299" spans="1:10" ht="13.05" customHeight="1">
      <c r="A299" s="18" t="s">
        <v>1174</v>
      </c>
      <c r="B299" s="19" t="s">
        <v>1175</v>
      </c>
      <c r="C299" s="15" t="s">
        <v>1176</v>
      </c>
      <c r="D299" s="15" t="s">
        <v>501</v>
      </c>
      <c r="E299" s="20">
        <v>1772</v>
      </c>
      <c r="F299" s="21">
        <v>15.956899999999999</v>
      </c>
      <c r="G299" s="22">
        <v>5.0000000000000001E-4</v>
      </c>
      <c r="H299" s="40"/>
      <c r="I299" s="24"/>
      <c r="J299" s="5"/>
    </row>
    <row r="300" spans="1:10" ht="13.05" customHeight="1">
      <c r="A300" s="18" t="s">
        <v>1177</v>
      </c>
      <c r="B300" s="19" t="s">
        <v>1178</v>
      </c>
      <c r="C300" s="15" t="s">
        <v>1179</v>
      </c>
      <c r="D300" s="15" t="s">
        <v>314</v>
      </c>
      <c r="E300" s="20">
        <v>647</v>
      </c>
      <c r="F300" s="21">
        <v>15.9505</v>
      </c>
      <c r="G300" s="22">
        <v>5.0000000000000001E-4</v>
      </c>
      <c r="H300" s="40"/>
      <c r="I300" s="24"/>
      <c r="J300" s="5"/>
    </row>
    <row r="301" spans="1:10" ht="13.05" customHeight="1">
      <c r="A301" s="18" t="s">
        <v>1180</v>
      </c>
      <c r="B301" s="19" t="s">
        <v>1181</v>
      </c>
      <c r="C301" s="15" t="s">
        <v>1182</v>
      </c>
      <c r="D301" s="15" t="s">
        <v>300</v>
      </c>
      <c r="E301" s="20">
        <v>1979</v>
      </c>
      <c r="F301" s="21">
        <v>15.812200000000001</v>
      </c>
      <c r="G301" s="22">
        <v>5.0000000000000001E-4</v>
      </c>
      <c r="H301" s="40"/>
      <c r="I301" s="24"/>
      <c r="J301" s="5"/>
    </row>
    <row r="302" spans="1:10" ht="13.05" customHeight="1">
      <c r="A302" s="18" t="s">
        <v>1183</v>
      </c>
      <c r="B302" s="19" t="s">
        <v>1184</v>
      </c>
      <c r="C302" s="15" t="s">
        <v>1185</v>
      </c>
      <c r="D302" s="15" t="s">
        <v>300</v>
      </c>
      <c r="E302" s="20">
        <v>14338</v>
      </c>
      <c r="F302" s="21">
        <v>15.8019</v>
      </c>
      <c r="G302" s="22">
        <v>5.0000000000000001E-4</v>
      </c>
      <c r="H302" s="40"/>
      <c r="I302" s="24"/>
      <c r="J302" s="5"/>
    </row>
    <row r="303" spans="1:10" ht="13.05" customHeight="1">
      <c r="A303" s="18" t="s">
        <v>1186</v>
      </c>
      <c r="B303" s="19" t="s">
        <v>1187</v>
      </c>
      <c r="C303" s="15" t="s">
        <v>1188</v>
      </c>
      <c r="D303" s="15" t="s">
        <v>970</v>
      </c>
      <c r="E303" s="20">
        <v>333</v>
      </c>
      <c r="F303" s="21">
        <v>15.742900000000001</v>
      </c>
      <c r="G303" s="22">
        <v>5.0000000000000001E-4</v>
      </c>
      <c r="H303" s="40"/>
      <c r="I303" s="24"/>
      <c r="J303" s="5"/>
    </row>
    <row r="304" spans="1:10" ht="13.05" customHeight="1">
      <c r="A304" s="18" t="s">
        <v>1189</v>
      </c>
      <c r="B304" s="19" t="s">
        <v>1190</v>
      </c>
      <c r="C304" s="15" t="s">
        <v>1191</v>
      </c>
      <c r="D304" s="15" t="s">
        <v>325</v>
      </c>
      <c r="E304" s="20">
        <v>1303</v>
      </c>
      <c r="F304" s="21">
        <v>15.734999999999999</v>
      </c>
      <c r="G304" s="22">
        <v>5.0000000000000001E-4</v>
      </c>
      <c r="H304" s="40"/>
      <c r="I304" s="24"/>
      <c r="J304" s="5"/>
    </row>
    <row r="305" spans="1:10" ht="13.05" customHeight="1">
      <c r="A305" s="18" t="s">
        <v>1192</v>
      </c>
      <c r="B305" s="19" t="s">
        <v>1193</v>
      </c>
      <c r="C305" s="15" t="s">
        <v>1194</v>
      </c>
      <c r="D305" s="15" t="s">
        <v>567</v>
      </c>
      <c r="E305" s="20">
        <v>1695</v>
      </c>
      <c r="F305" s="21">
        <v>15.6432</v>
      </c>
      <c r="G305" s="22">
        <v>5.0000000000000001E-4</v>
      </c>
      <c r="H305" s="40"/>
      <c r="I305" s="24"/>
      <c r="J305" s="5"/>
    </row>
    <row r="306" spans="1:10" ht="13.05" customHeight="1">
      <c r="A306" s="18" t="s">
        <v>1195</v>
      </c>
      <c r="B306" s="19" t="s">
        <v>1196</v>
      </c>
      <c r="C306" s="15" t="s">
        <v>1197</v>
      </c>
      <c r="D306" s="15" t="s">
        <v>581</v>
      </c>
      <c r="E306" s="20">
        <v>1041</v>
      </c>
      <c r="F306" s="21">
        <v>15.5276</v>
      </c>
      <c r="G306" s="22">
        <v>5.0000000000000001E-4</v>
      </c>
      <c r="H306" s="40"/>
      <c r="I306" s="24"/>
      <c r="J306" s="5"/>
    </row>
    <row r="307" spans="1:10" ht="13.05" customHeight="1">
      <c r="A307" s="18" t="s">
        <v>1198</v>
      </c>
      <c r="B307" s="19" t="s">
        <v>1199</v>
      </c>
      <c r="C307" s="15" t="s">
        <v>1200</v>
      </c>
      <c r="D307" s="15" t="s">
        <v>567</v>
      </c>
      <c r="E307" s="20">
        <v>543</v>
      </c>
      <c r="F307" s="21">
        <v>15.413600000000001</v>
      </c>
      <c r="G307" s="22">
        <v>5.0000000000000001E-4</v>
      </c>
      <c r="H307" s="40"/>
      <c r="I307" s="24"/>
      <c r="J307" s="5"/>
    </row>
    <row r="308" spans="1:10" ht="13.05" customHeight="1">
      <c r="A308" s="18" t="s">
        <v>1201</v>
      </c>
      <c r="B308" s="19" t="s">
        <v>1202</v>
      </c>
      <c r="C308" s="15" t="s">
        <v>1203</v>
      </c>
      <c r="D308" s="15" t="s">
        <v>1068</v>
      </c>
      <c r="E308" s="20">
        <v>1317</v>
      </c>
      <c r="F308" s="21">
        <v>15.3101</v>
      </c>
      <c r="G308" s="22">
        <v>5.0000000000000001E-4</v>
      </c>
      <c r="H308" s="40"/>
      <c r="I308" s="24"/>
      <c r="J308" s="5"/>
    </row>
    <row r="309" spans="1:10" ht="13.05" customHeight="1">
      <c r="A309" s="18" t="s">
        <v>1204</v>
      </c>
      <c r="B309" s="19" t="s">
        <v>1205</v>
      </c>
      <c r="C309" s="15" t="s">
        <v>1206</v>
      </c>
      <c r="D309" s="15" t="s">
        <v>276</v>
      </c>
      <c r="E309" s="20">
        <v>1870</v>
      </c>
      <c r="F309" s="21">
        <v>15.2919</v>
      </c>
      <c r="G309" s="22">
        <v>5.0000000000000001E-4</v>
      </c>
      <c r="H309" s="40"/>
      <c r="I309" s="24"/>
      <c r="J309" s="5"/>
    </row>
    <row r="310" spans="1:10" ht="13.05" customHeight="1">
      <c r="A310" s="18" t="s">
        <v>1207</v>
      </c>
      <c r="B310" s="19" t="s">
        <v>1208</v>
      </c>
      <c r="C310" s="15" t="s">
        <v>1209</v>
      </c>
      <c r="D310" s="15" t="s">
        <v>1210</v>
      </c>
      <c r="E310" s="20">
        <v>806</v>
      </c>
      <c r="F310" s="21">
        <v>15.126200000000001</v>
      </c>
      <c r="G310" s="22">
        <v>5.0000000000000001E-4</v>
      </c>
      <c r="H310" s="40"/>
      <c r="I310" s="24"/>
      <c r="J310" s="5"/>
    </row>
    <row r="311" spans="1:10" ht="13.05" customHeight="1">
      <c r="A311" s="18" t="s">
        <v>1211</v>
      </c>
      <c r="B311" s="19" t="s">
        <v>1212</v>
      </c>
      <c r="C311" s="15" t="s">
        <v>1213</v>
      </c>
      <c r="D311" s="15" t="s">
        <v>314</v>
      </c>
      <c r="E311" s="20">
        <v>810</v>
      </c>
      <c r="F311" s="21">
        <v>15.0182</v>
      </c>
      <c r="G311" s="22">
        <v>5.0000000000000001E-4</v>
      </c>
      <c r="H311" s="40"/>
      <c r="I311" s="24"/>
      <c r="J311" s="5"/>
    </row>
    <row r="312" spans="1:10" ht="13.05" customHeight="1">
      <c r="A312" s="18" t="s">
        <v>1214</v>
      </c>
      <c r="B312" s="19" t="s">
        <v>1215</v>
      </c>
      <c r="C312" s="15" t="s">
        <v>1216</v>
      </c>
      <c r="D312" s="15" t="s">
        <v>314</v>
      </c>
      <c r="E312" s="20">
        <v>1981</v>
      </c>
      <c r="F312" s="21">
        <v>14.924899999999999</v>
      </c>
      <c r="G312" s="22">
        <v>5.0000000000000001E-4</v>
      </c>
      <c r="H312" s="40"/>
      <c r="I312" s="24"/>
      <c r="J312" s="5"/>
    </row>
    <row r="313" spans="1:10" ht="13.05" customHeight="1">
      <c r="A313" s="18" t="s">
        <v>1217</v>
      </c>
      <c r="B313" s="19" t="s">
        <v>1218</v>
      </c>
      <c r="C313" s="15" t="s">
        <v>1219</v>
      </c>
      <c r="D313" s="15" t="s">
        <v>321</v>
      </c>
      <c r="E313" s="20">
        <v>14204</v>
      </c>
      <c r="F313" s="21">
        <v>14.65</v>
      </c>
      <c r="G313" s="22">
        <v>5.0000000000000001E-4</v>
      </c>
      <c r="H313" s="40"/>
      <c r="I313" s="24"/>
      <c r="J313" s="5"/>
    </row>
    <row r="314" spans="1:10" ht="13.05" customHeight="1">
      <c r="A314" s="18" t="s">
        <v>1220</v>
      </c>
      <c r="B314" s="19" t="s">
        <v>1221</v>
      </c>
      <c r="C314" s="15" t="s">
        <v>1222</v>
      </c>
      <c r="D314" s="15" t="s">
        <v>545</v>
      </c>
      <c r="E314" s="20">
        <v>1950</v>
      </c>
      <c r="F314" s="21">
        <v>14.6279</v>
      </c>
      <c r="G314" s="22">
        <v>5.0000000000000001E-4</v>
      </c>
      <c r="H314" s="40"/>
      <c r="I314" s="24"/>
      <c r="J314" s="5"/>
    </row>
    <row r="315" spans="1:10" ht="13.05" customHeight="1">
      <c r="A315" s="18" t="s">
        <v>1223</v>
      </c>
      <c r="B315" s="19" t="s">
        <v>1224</v>
      </c>
      <c r="C315" s="15" t="s">
        <v>1225</v>
      </c>
      <c r="D315" s="15" t="s">
        <v>261</v>
      </c>
      <c r="E315" s="20">
        <v>7484</v>
      </c>
      <c r="F315" s="21">
        <v>14.5945</v>
      </c>
      <c r="G315" s="22">
        <v>5.0000000000000001E-4</v>
      </c>
      <c r="H315" s="40"/>
      <c r="I315" s="24"/>
      <c r="J315" s="5"/>
    </row>
    <row r="316" spans="1:10" ht="13.05" customHeight="1">
      <c r="A316" s="18" t="s">
        <v>1226</v>
      </c>
      <c r="B316" s="19" t="s">
        <v>1227</v>
      </c>
      <c r="C316" s="15" t="s">
        <v>1228</v>
      </c>
      <c r="D316" s="15" t="s">
        <v>300</v>
      </c>
      <c r="E316" s="20">
        <v>1221</v>
      </c>
      <c r="F316" s="21">
        <v>14.5922</v>
      </c>
      <c r="G316" s="22">
        <v>5.0000000000000001E-4</v>
      </c>
      <c r="H316" s="40"/>
      <c r="I316" s="24"/>
      <c r="J316" s="5"/>
    </row>
    <row r="317" spans="1:10" ht="13.05" customHeight="1">
      <c r="A317" s="18" t="s">
        <v>1229</v>
      </c>
      <c r="B317" s="19" t="s">
        <v>1230</v>
      </c>
      <c r="C317" s="15" t="s">
        <v>1231</v>
      </c>
      <c r="D317" s="15" t="s">
        <v>1232</v>
      </c>
      <c r="E317" s="20">
        <v>14312</v>
      </c>
      <c r="F317" s="21">
        <v>14.395</v>
      </c>
      <c r="G317" s="22">
        <v>5.0000000000000001E-4</v>
      </c>
      <c r="H317" s="40"/>
      <c r="I317" s="24"/>
      <c r="J317" s="5"/>
    </row>
    <row r="318" spans="1:10" ht="13.05" customHeight="1">
      <c r="A318" s="18" t="s">
        <v>1233</v>
      </c>
      <c r="B318" s="19" t="s">
        <v>1234</v>
      </c>
      <c r="C318" s="15" t="s">
        <v>1235</v>
      </c>
      <c r="D318" s="15" t="s">
        <v>581</v>
      </c>
      <c r="E318" s="20">
        <v>248</v>
      </c>
      <c r="F318" s="21">
        <v>14.291</v>
      </c>
      <c r="G318" s="22">
        <v>5.0000000000000001E-4</v>
      </c>
      <c r="H318" s="40"/>
      <c r="I318" s="24"/>
      <c r="J318" s="5"/>
    </row>
    <row r="319" spans="1:10" ht="13.05" customHeight="1">
      <c r="A319" s="18" t="s">
        <v>1236</v>
      </c>
      <c r="B319" s="19" t="s">
        <v>1237</v>
      </c>
      <c r="C319" s="15" t="s">
        <v>1238</v>
      </c>
      <c r="D319" s="15" t="s">
        <v>364</v>
      </c>
      <c r="E319" s="20">
        <v>4926</v>
      </c>
      <c r="F319" s="21">
        <v>14.278</v>
      </c>
      <c r="G319" s="22">
        <v>5.0000000000000001E-4</v>
      </c>
      <c r="H319" s="40"/>
      <c r="I319" s="24"/>
      <c r="J319" s="5"/>
    </row>
    <row r="320" spans="1:10" ht="13.05" customHeight="1">
      <c r="A320" s="18" t="s">
        <v>1239</v>
      </c>
      <c r="B320" s="19" t="s">
        <v>1240</v>
      </c>
      <c r="C320" s="15" t="s">
        <v>1241</v>
      </c>
      <c r="D320" s="15" t="s">
        <v>272</v>
      </c>
      <c r="E320" s="20">
        <v>1782</v>
      </c>
      <c r="F320" s="21">
        <v>14.212300000000001</v>
      </c>
      <c r="G320" s="22">
        <v>5.0000000000000001E-4</v>
      </c>
      <c r="H320" s="40"/>
      <c r="I320" s="24"/>
      <c r="J320" s="5"/>
    </row>
    <row r="321" spans="1:10" ht="13.05" customHeight="1">
      <c r="A321" s="18" t="s">
        <v>1242</v>
      </c>
      <c r="B321" s="19" t="s">
        <v>1243</v>
      </c>
      <c r="C321" s="15" t="s">
        <v>1244</v>
      </c>
      <c r="D321" s="15" t="s">
        <v>321</v>
      </c>
      <c r="E321" s="20">
        <v>2276</v>
      </c>
      <c r="F321" s="21">
        <v>14.0839</v>
      </c>
      <c r="G321" s="22">
        <v>5.0000000000000001E-4</v>
      </c>
      <c r="H321" s="40"/>
      <c r="I321" s="24"/>
      <c r="J321" s="5"/>
    </row>
    <row r="322" spans="1:10" ht="13.05" customHeight="1">
      <c r="A322" s="18" t="s">
        <v>1245</v>
      </c>
      <c r="B322" s="19" t="s">
        <v>1246</v>
      </c>
      <c r="C322" s="15" t="s">
        <v>1247</v>
      </c>
      <c r="D322" s="15" t="s">
        <v>435</v>
      </c>
      <c r="E322" s="20">
        <v>5101</v>
      </c>
      <c r="F322" s="21">
        <v>14.020099999999999</v>
      </c>
      <c r="G322" s="22">
        <v>5.0000000000000001E-4</v>
      </c>
      <c r="H322" s="40"/>
      <c r="I322" s="24"/>
      <c r="J322" s="5"/>
    </row>
    <row r="323" spans="1:10" ht="13.05" customHeight="1">
      <c r="A323" s="18" t="s">
        <v>1248</v>
      </c>
      <c r="B323" s="19" t="s">
        <v>1249</v>
      </c>
      <c r="C323" s="15" t="s">
        <v>1250</v>
      </c>
      <c r="D323" s="15" t="s">
        <v>314</v>
      </c>
      <c r="E323" s="20">
        <v>1511</v>
      </c>
      <c r="F323" s="21">
        <v>13.874000000000001</v>
      </c>
      <c r="G323" s="22">
        <v>5.0000000000000001E-4</v>
      </c>
      <c r="H323" s="40"/>
      <c r="I323" s="24"/>
      <c r="J323" s="5"/>
    </row>
    <row r="324" spans="1:10" ht="13.05" customHeight="1">
      <c r="A324" s="18" t="s">
        <v>1251</v>
      </c>
      <c r="B324" s="19" t="s">
        <v>1252</v>
      </c>
      <c r="C324" s="15" t="s">
        <v>1253</v>
      </c>
      <c r="D324" s="15" t="s">
        <v>257</v>
      </c>
      <c r="E324" s="20">
        <v>23261</v>
      </c>
      <c r="F324" s="21">
        <v>13.731</v>
      </c>
      <c r="G324" s="22">
        <v>5.0000000000000001E-4</v>
      </c>
      <c r="H324" s="40"/>
      <c r="I324" s="24"/>
      <c r="J324" s="5"/>
    </row>
    <row r="325" spans="1:10" ht="13.05" customHeight="1">
      <c r="A325" s="18" t="s">
        <v>1254</v>
      </c>
      <c r="B325" s="19" t="s">
        <v>1255</v>
      </c>
      <c r="C325" s="15" t="s">
        <v>1256</v>
      </c>
      <c r="D325" s="15" t="s">
        <v>276</v>
      </c>
      <c r="E325" s="20">
        <v>30586</v>
      </c>
      <c r="F325" s="21">
        <v>13.6995</v>
      </c>
      <c r="G325" s="22">
        <v>4.0000000000000002E-4</v>
      </c>
      <c r="H325" s="40"/>
      <c r="I325" s="24"/>
      <c r="J325" s="5"/>
    </row>
    <row r="326" spans="1:10" ht="13.05" customHeight="1">
      <c r="A326" s="18" t="s">
        <v>1257</v>
      </c>
      <c r="B326" s="19" t="s">
        <v>1258</v>
      </c>
      <c r="C326" s="15" t="s">
        <v>1259</v>
      </c>
      <c r="D326" s="15" t="s">
        <v>545</v>
      </c>
      <c r="E326" s="20">
        <v>4417</v>
      </c>
      <c r="F326" s="21">
        <v>13.677199999999999</v>
      </c>
      <c r="G326" s="22">
        <v>4.0000000000000002E-4</v>
      </c>
      <c r="H326" s="40"/>
      <c r="I326" s="24"/>
      <c r="J326" s="5"/>
    </row>
    <row r="327" spans="1:10" ht="13.05" customHeight="1">
      <c r="A327" s="18" t="s">
        <v>1260</v>
      </c>
      <c r="B327" s="19" t="s">
        <v>1261</v>
      </c>
      <c r="C327" s="15" t="s">
        <v>1262</v>
      </c>
      <c r="D327" s="15" t="s">
        <v>567</v>
      </c>
      <c r="E327" s="20">
        <v>110</v>
      </c>
      <c r="F327" s="21">
        <v>13.666399999999999</v>
      </c>
      <c r="G327" s="22">
        <v>4.0000000000000002E-4</v>
      </c>
      <c r="H327" s="40"/>
      <c r="I327" s="24"/>
      <c r="J327" s="5"/>
    </row>
    <row r="328" spans="1:10" ht="13.05" customHeight="1">
      <c r="A328" s="18" t="s">
        <v>1263</v>
      </c>
      <c r="B328" s="19" t="s">
        <v>1264</v>
      </c>
      <c r="C328" s="15" t="s">
        <v>1265</v>
      </c>
      <c r="D328" s="15" t="s">
        <v>541</v>
      </c>
      <c r="E328" s="20">
        <v>2117</v>
      </c>
      <c r="F328" s="21">
        <v>13.6419</v>
      </c>
      <c r="G328" s="22">
        <v>4.0000000000000002E-4</v>
      </c>
      <c r="H328" s="40"/>
      <c r="I328" s="24"/>
      <c r="J328" s="5"/>
    </row>
    <row r="329" spans="1:10" ht="13.05" customHeight="1">
      <c r="A329" s="18" t="s">
        <v>1266</v>
      </c>
      <c r="B329" s="19" t="s">
        <v>1267</v>
      </c>
      <c r="C329" s="15" t="s">
        <v>1268</v>
      </c>
      <c r="D329" s="15" t="s">
        <v>325</v>
      </c>
      <c r="E329" s="20">
        <v>968</v>
      </c>
      <c r="F329" s="21">
        <v>13.5433</v>
      </c>
      <c r="G329" s="22">
        <v>4.0000000000000002E-4</v>
      </c>
      <c r="H329" s="40"/>
      <c r="I329" s="24"/>
      <c r="J329" s="5"/>
    </row>
    <row r="330" spans="1:10" ht="13.05" customHeight="1">
      <c r="A330" s="18" t="s">
        <v>1269</v>
      </c>
      <c r="B330" s="19" t="s">
        <v>1270</v>
      </c>
      <c r="C330" s="15" t="s">
        <v>1271</v>
      </c>
      <c r="D330" s="15" t="s">
        <v>321</v>
      </c>
      <c r="E330" s="20">
        <v>74196</v>
      </c>
      <c r="F330" s="21">
        <v>13.370100000000001</v>
      </c>
      <c r="G330" s="22">
        <v>4.0000000000000002E-4</v>
      </c>
      <c r="H330" s="40"/>
      <c r="I330" s="24"/>
      <c r="J330" s="5"/>
    </row>
    <row r="331" spans="1:10" ht="13.05" customHeight="1">
      <c r="A331" s="18" t="s">
        <v>1272</v>
      </c>
      <c r="B331" s="19" t="s">
        <v>1273</v>
      </c>
      <c r="C331" s="15" t="s">
        <v>1274</v>
      </c>
      <c r="D331" s="15" t="s">
        <v>1232</v>
      </c>
      <c r="E331" s="20">
        <v>1105</v>
      </c>
      <c r="F331" s="21">
        <v>13.3329</v>
      </c>
      <c r="G331" s="22">
        <v>4.0000000000000002E-4</v>
      </c>
      <c r="H331" s="40"/>
      <c r="I331" s="24"/>
      <c r="J331" s="5"/>
    </row>
    <row r="332" spans="1:10" ht="13.05" customHeight="1">
      <c r="A332" s="18" t="s">
        <v>1275</v>
      </c>
      <c r="B332" s="19" t="s">
        <v>1276</v>
      </c>
      <c r="C332" s="15" t="s">
        <v>1277</v>
      </c>
      <c r="D332" s="15" t="s">
        <v>272</v>
      </c>
      <c r="E332" s="20">
        <v>1933</v>
      </c>
      <c r="F332" s="21">
        <v>13.2874</v>
      </c>
      <c r="G332" s="22">
        <v>4.0000000000000002E-4</v>
      </c>
      <c r="H332" s="40"/>
      <c r="I332" s="24"/>
      <c r="J332" s="5"/>
    </row>
    <row r="333" spans="1:10" ht="13.05" customHeight="1">
      <c r="A333" s="18" t="s">
        <v>1278</v>
      </c>
      <c r="B333" s="19" t="s">
        <v>1279</v>
      </c>
      <c r="C333" s="15" t="s">
        <v>1280</v>
      </c>
      <c r="D333" s="15" t="s">
        <v>567</v>
      </c>
      <c r="E333" s="20">
        <v>329</v>
      </c>
      <c r="F333" s="21">
        <v>13.2676</v>
      </c>
      <c r="G333" s="22">
        <v>4.0000000000000002E-4</v>
      </c>
      <c r="H333" s="40"/>
      <c r="I333" s="24"/>
      <c r="J333" s="5"/>
    </row>
    <row r="334" spans="1:10" ht="13.05" customHeight="1">
      <c r="A334" s="18" t="s">
        <v>1281</v>
      </c>
      <c r="B334" s="19" t="s">
        <v>1282</v>
      </c>
      <c r="C334" s="15" t="s">
        <v>1283</v>
      </c>
      <c r="D334" s="15" t="s">
        <v>314</v>
      </c>
      <c r="E334" s="20">
        <v>830</v>
      </c>
      <c r="F334" s="21">
        <v>13.2111</v>
      </c>
      <c r="G334" s="22">
        <v>4.0000000000000002E-4</v>
      </c>
      <c r="H334" s="40"/>
      <c r="I334" s="24"/>
      <c r="J334" s="5"/>
    </row>
    <row r="335" spans="1:10" ht="13.05" customHeight="1">
      <c r="A335" s="18" t="s">
        <v>1284</v>
      </c>
      <c r="B335" s="19" t="s">
        <v>1285</v>
      </c>
      <c r="C335" s="15" t="s">
        <v>1286</v>
      </c>
      <c r="D335" s="15" t="s">
        <v>321</v>
      </c>
      <c r="E335" s="20">
        <v>5019</v>
      </c>
      <c r="F335" s="21">
        <v>13.1648</v>
      </c>
      <c r="G335" s="22">
        <v>4.0000000000000002E-4</v>
      </c>
      <c r="H335" s="40"/>
      <c r="I335" s="24"/>
      <c r="J335" s="5"/>
    </row>
    <row r="336" spans="1:10" ht="13.05" customHeight="1">
      <c r="A336" s="18" t="s">
        <v>1287</v>
      </c>
      <c r="B336" s="19" t="s">
        <v>1288</v>
      </c>
      <c r="C336" s="15" t="s">
        <v>1289</v>
      </c>
      <c r="D336" s="15" t="s">
        <v>300</v>
      </c>
      <c r="E336" s="20">
        <v>4115</v>
      </c>
      <c r="F336" s="21">
        <v>13.0692</v>
      </c>
      <c r="G336" s="22">
        <v>4.0000000000000002E-4</v>
      </c>
      <c r="H336" s="40"/>
      <c r="I336" s="24"/>
      <c r="J336" s="5"/>
    </row>
    <row r="337" spans="1:10" ht="13.05" customHeight="1">
      <c r="A337" s="18" t="s">
        <v>1290</v>
      </c>
      <c r="B337" s="19" t="s">
        <v>1291</v>
      </c>
      <c r="C337" s="15" t="s">
        <v>1292</v>
      </c>
      <c r="D337" s="15" t="s">
        <v>314</v>
      </c>
      <c r="E337" s="20">
        <v>1185</v>
      </c>
      <c r="F337" s="21">
        <v>13.046900000000001</v>
      </c>
      <c r="G337" s="22">
        <v>4.0000000000000002E-4</v>
      </c>
      <c r="H337" s="40"/>
      <c r="I337" s="24"/>
      <c r="J337" s="5"/>
    </row>
    <row r="338" spans="1:10" ht="13.05" customHeight="1">
      <c r="A338" s="18" t="s">
        <v>1293</v>
      </c>
      <c r="B338" s="19" t="s">
        <v>1294</v>
      </c>
      <c r="C338" s="15" t="s">
        <v>1295</v>
      </c>
      <c r="D338" s="15" t="s">
        <v>507</v>
      </c>
      <c r="E338" s="20">
        <v>295</v>
      </c>
      <c r="F338" s="21">
        <v>12.9794</v>
      </c>
      <c r="G338" s="22">
        <v>4.0000000000000002E-4</v>
      </c>
      <c r="H338" s="40"/>
      <c r="I338" s="24"/>
      <c r="J338" s="5"/>
    </row>
    <row r="339" spans="1:10" ht="13.05" customHeight="1">
      <c r="A339" s="18" t="s">
        <v>1296</v>
      </c>
      <c r="B339" s="19" t="s">
        <v>1297</v>
      </c>
      <c r="C339" s="15" t="s">
        <v>1298</v>
      </c>
      <c r="D339" s="15" t="s">
        <v>501</v>
      </c>
      <c r="E339" s="20">
        <v>1282</v>
      </c>
      <c r="F339" s="21">
        <v>12.8187</v>
      </c>
      <c r="G339" s="22">
        <v>4.0000000000000002E-4</v>
      </c>
      <c r="H339" s="40"/>
      <c r="I339" s="24"/>
      <c r="J339" s="5"/>
    </row>
    <row r="340" spans="1:10" ht="13.05" customHeight="1">
      <c r="A340" s="18" t="s">
        <v>1299</v>
      </c>
      <c r="B340" s="19" t="s">
        <v>1300</v>
      </c>
      <c r="C340" s="15" t="s">
        <v>1301</v>
      </c>
      <c r="D340" s="15" t="s">
        <v>325</v>
      </c>
      <c r="E340" s="20">
        <v>2223</v>
      </c>
      <c r="F340" s="21">
        <v>12.6922</v>
      </c>
      <c r="G340" s="22">
        <v>4.0000000000000002E-4</v>
      </c>
      <c r="H340" s="40"/>
      <c r="I340" s="24"/>
      <c r="J340" s="5"/>
    </row>
    <row r="341" spans="1:10" ht="13.05" customHeight="1">
      <c r="A341" s="18" t="s">
        <v>1302</v>
      </c>
      <c r="B341" s="19" t="s">
        <v>1303</v>
      </c>
      <c r="C341" s="15" t="s">
        <v>1304</v>
      </c>
      <c r="D341" s="15" t="s">
        <v>314</v>
      </c>
      <c r="E341" s="20">
        <v>2236</v>
      </c>
      <c r="F341" s="21">
        <v>12.646800000000001</v>
      </c>
      <c r="G341" s="22">
        <v>4.0000000000000002E-4</v>
      </c>
      <c r="H341" s="40"/>
      <c r="I341" s="24"/>
      <c r="J341" s="5"/>
    </row>
    <row r="342" spans="1:10" ht="13.05" customHeight="1">
      <c r="A342" s="18" t="s">
        <v>1305</v>
      </c>
      <c r="B342" s="19" t="s">
        <v>1306</v>
      </c>
      <c r="C342" s="15" t="s">
        <v>1307</v>
      </c>
      <c r="D342" s="15" t="s">
        <v>464</v>
      </c>
      <c r="E342" s="20">
        <v>7636</v>
      </c>
      <c r="F342" s="21">
        <v>12.62</v>
      </c>
      <c r="G342" s="22">
        <v>4.0000000000000002E-4</v>
      </c>
      <c r="H342" s="40"/>
      <c r="I342" s="24"/>
      <c r="J342" s="5"/>
    </row>
    <row r="343" spans="1:10" ht="13.05" customHeight="1">
      <c r="A343" s="18" t="s">
        <v>1308</v>
      </c>
      <c r="B343" s="19" t="s">
        <v>1309</v>
      </c>
      <c r="C343" s="15" t="s">
        <v>1310</v>
      </c>
      <c r="D343" s="15" t="s">
        <v>296</v>
      </c>
      <c r="E343" s="20">
        <v>71</v>
      </c>
      <c r="F343" s="21">
        <v>12.5343</v>
      </c>
      <c r="G343" s="22">
        <v>4.0000000000000002E-4</v>
      </c>
      <c r="H343" s="40"/>
      <c r="I343" s="24"/>
      <c r="J343" s="5"/>
    </row>
    <row r="344" spans="1:10" ht="13.05" customHeight="1">
      <c r="A344" s="18" t="s">
        <v>1311</v>
      </c>
      <c r="B344" s="19" t="s">
        <v>1312</v>
      </c>
      <c r="C344" s="15" t="s">
        <v>1313</v>
      </c>
      <c r="D344" s="15" t="s">
        <v>314</v>
      </c>
      <c r="E344" s="20">
        <v>240</v>
      </c>
      <c r="F344" s="21">
        <v>12.5016</v>
      </c>
      <c r="G344" s="22">
        <v>4.0000000000000002E-4</v>
      </c>
      <c r="H344" s="40"/>
      <c r="I344" s="24"/>
      <c r="J344" s="5"/>
    </row>
    <row r="345" spans="1:10" ht="13.05" customHeight="1">
      <c r="A345" s="18" t="s">
        <v>1314</v>
      </c>
      <c r="B345" s="19" t="s">
        <v>1315</v>
      </c>
      <c r="C345" s="15" t="s">
        <v>1316</v>
      </c>
      <c r="D345" s="15" t="s">
        <v>501</v>
      </c>
      <c r="E345" s="20">
        <v>2689</v>
      </c>
      <c r="F345" s="21">
        <v>12.4998</v>
      </c>
      <c r="G345" s="22">
        <v>4.0000000000000002E-4</v>
      </c>
      <c r="H345" s="40"/>
      <c r="I345" s="24"/>
      <c r="J345" s="5"/>
    </row>
    <row r="346" spans="1:10" ht="13.05" customHeight="1">
      <c r="A346" s="18" t="s">
        <v>1317</v>
      </c>
      <c r="B346" s="19" t="s">
        <v>1318</v>
      </c>
      <c r="C346" s="15" t="s">
        <v>1319</v>
      </c>
      <c r="D346" s="15" t="s">
        <v>405</v>
      </c>
      <c r="E346" s="20">
        <v>3485</v>
      </c>
      <c r="F346" s="21">
        <v>12.499000000000001</v>
      </c>
      <c r="G346" s="22">
        <v>4.0000000000000002E-4</v>
      </c>
      <c r="H346" s="40"/>
      <c r="I346" s="24"/>
      <c r="J346" s="5"/>
    </row>
    <row r="347" spans="1:10" ht="13.05" customHeight="1">
      <c r="A347" s="18" t="s">
        <v>1320</v>
      </c>
      <c r="B347" s="19" t="s">
        <v>1321</v>
      </c>
      <c r="C347" s="15" t="s">
        <v>1322</v>
      </c>
      <c r="D347" s="15" t="s">
        <v>846</v>
      </c>
      <c r="E347" s="20">
        <v>34</v>
      </c>
      <c r="F347" s="21">
        <v>12.408300000000001</v>
      </c>
      <c r="G347" s="22">
        <v>4.0000000000000002E-4</v>
      </c>
      <c r="H347" s="40"/>
      <c r="I347" s="24"/>
      <c r="J347" s="5"/>
    </row>
    <row r="348" spans="1:10" ht="13.05" customHeight="1">
      <c r="A348" s="18" t="s">
        <v>1323</v>
      </c>
      <c r="B348" s="19" t="s">
        <v>1324</v>
      </c>
      <c r="C348" s="15" t="s">
        <v>1325</v>
      </c>
      <c r="D348" s="15" t="s">
        <v>276</v>
      </c>
      <c r="E348" s="20">
        <v>5786</v>
      </c>
      <c r="F348" s="21">
        <v>12.287699999999999</v>
      </c>
      <c r="G348" s="22">
        <v>4.0000000000000002E-4</v>
      </c>
      <c r="H348" s="40"/>
      <c r="I348" s="24"/>
      <c r="J348" s="5"/>
    </row>
    <row r="349" spans="1:10" ht="13.05" customHeight="1">
      <c r="A349" s="18" t="s">
        <v>1326</v>
      </c>
      <c r="B349" s="19" t="s">
        <v>1327</v>
      </c>
      <c r="C349" s="15" t="s">
        <v>1328</v>
      </c>
      <c r="D349" s="15" t="s">
        <v>1068</v>
      </c>
      <c r="E349" s="20">
        <v>23361</v>
      </c>
      <c r="F349" s="21">
        <v>12.273899999999999</v>
      </c>
      <c r="G349" s="22">
        <v>4.0000000000000002E-4</v>
      </c>
      <c r="H349" s="40"/>
      <c r="I349" s="24"/>
      <c r="J349" s="5"/>
    </row>
    <row r="350" spans="1:10" ht="13.05" customHeight="1">
      <c r="A350" s="18" t="s">
        <v>1329</v>
      </c>
      <c r="B350" s="19" t="s">
        <v>1330</v>
      </c>
      <c r="C350" s="15" t="s">
        <v>1331</v>
      </c>
      <c r="D350" s="15" t="s">
        <v>300</v>
      </c>
      <c r="E350" s="20">
        <v>81</v>
      </c>
      <c r="F350" s="21">
        <v>12.237500000000001</v>
      </c>
      <c r="G350" s="22">
        <v>4.0000000000000002E-4</v>
      </c>
      <c r="H350" s="40"/>
      <c r="I350" s="24"/>
      <c r="J350" s="5"/>
    </row>
    <row r="351" spans="1:10" ht="13.05" customHeight="1">
      <c r="A351" s="18" t="s">
        <v>1332</v>
      </c>
      <c r="B351" s="19" t="s">
        <v>1333</v>
      </c>
      <c r="C351" s="15" t="s">
        <v>1334</v>
      </c>
      <c r="D351" s="15" t="s">
        <v>581</v>
      </c>
      <c r="E351" s="20">
        <v>3188</v>
      </c>
      <c r="F351" s="21">
        <v>12.1128</v>
      </c>
      <c r="G351" s="22">
        <v>4.0000000000000002E-4</v>
      </c>
      <c r="H351" s="40"/>
      <c r="I351" s="24"/>
      <c r="J351" s="5"/>
    </row>
    <row r="352" spans="1:10" ht="13.05" customHeight="1">
      <c r="A352" s="18" t="s">
        <v>1335</v>
      </c>
      <c r="B352" s="19" t="s">
        <v>1336</v>
      </c>
      <c r="C352" s="15" t="s">
        <v>1337</v>
      </c>
      <c r="D352" s="15" t="s">
        <v>300</v>
      </c>
      <c r="E352" s="20">
        <v>5920</v>
      </c>
      <c r="F352" s="21">
        <v>12.019399999999999</v>
      </c>
      <c r="G352" s="22">
        <v>4.0000000000000002E-4</v>
      </c>
      <c r="H352" s="40"/>
      <c r="I352" s="24"/>
      <c r="J352" s="5"/>
    </row>
    <row r="353" spans="1:10" ht="13.05" customHeight="1">
      <c r="A353" s="18" t="s">
        <v>1338</v>
      </c>
      <c r="B353" s="19" t="s">
        <v>1339</v>
      </c>
      <c r="C353" s="15" t="s">
        <v>1340</v>
      </c>
      <c r="D353" s="15" t="s">
        <v>1341</v>
      </c>
      <c r="E353" s="20">
        <v>594</v>
      </c>
      <c r="F353" s="21">
        <v>11.8782</v>
      </c>
      <c r="G353" s="22">
        <v>4.0000000000000002E-4</v>
      </c>
      <c r="H353" s="40"/>
      <c r="I353" s="24"/>
      <c r="J353" s="5"/>
    </row>
    <row r="354" spans="1:10" ht="13.05" customHeight="1">
      <c r="A354" s="18" t="s">
        <v>1342</v>
      </c>
      <c r="B354" s="19" t="s">
        <v>1343</v>
      </c>
      <c r="C354" s="15" t="s">
        <v>1344</v>
      </c>
      <c r="D354" s="15" t="s">
        <v>1345</v>
      </c>
      <c r="E354" s="20">
        <v>40</v>
      </c>
      <c r="F354" s="21">
        <v>11.824</v>
      </c>
      <c r="G354" s="22">
        <v>4.0000000000000002E-4</v>
      </c>
      <c r="H354" s="40"/>
      <c r="I354" s="24"/>
      <c r="J354" s="5"/>
    </row>
    <row r="355" spans="1:10" ht="13.05" customHeight="1">
      <c r="A355" s="18" t="s">
        <v>1346</v>
      </c>
      <c r="B355" s="19" t="s">
        <v>1347</v>
      </c>
      <c r="C355" s="15" t="s">
        <v>1348</v>
      </c>
      <c r="D355" s="15" t="s">
        <v>300</v>
      </c>
      <c r="E355" s="20">
        <v>827</v>
      </c>
      <c r="F355" s="21">
        <v>11.773199999999999</v>
      </c>
      <c r="G355" s="22">
        <v>4.0000000000000002E-4</v>
      </c>
      <c r="H355" s="40"/>
      <c r="I355" s="24"/>
      <c r="J355" s="5"/>
    </row>
    <row r="356" spans="1:10" ht="13.05" customHeight="1">
      <c r="A356" s="18" t="s">
        <v>1349</v>
      </c>
      <c r="B356" s="19" t="s">
        <v>1350</v>
      </c>
      <c r="C356" s="15" t="s">
        <v>1351</v>
      </c>
      <c r="D356" s="15" t="s">
        <v>1068</v>
      </c>
      <c r="E356" s="20">
        <v>708</v>
      </c>
      <c r="F356" s="21">
        <v>11.653</v>
      </c>
      <c r="G356" s="22">
        <v>4.0000000000000002E-4</v>
      </c>
      <c r="H356" s="40"/>
      <c r="I356" s="24"/>
      <c r="J356" s="5"/>
    </row>
    <row r="357" spans="1:10" ht="13.05" customHeight="1">
      <c r="A357" s="18" t="s">
        <v>1352</v>
      </c>
      <c r="B357" s="19" t="s">
        <v>1353</v>
      </c>
      <c r="C357" s="15" t="s">
        <v>1354</v>
      </c>
      <c r="D357" s="15" t="s">
        <v>567</v>
      </c>
      <c r="E357" s="20">
        <v>174</v>
      </c>
      <c r="F357" s="21">
        <v>11.623200000000001</v>
      </c>
      <c r="G357" s="22">
        <v>4.0000000000000002E-4</v>
      </c>
      <c r="H357" s="40"/>
      <c r="I357" s="24"/>
      <c r="J357" s="5"/>
    </row>
    <row r="358" spans="1:10" ht="13.05" customHeight="1">
      <c r="A358" s="18" t="s">
        <v>1355</v>
      </c>
      <c r="B358" s="19" t="s">
        <v>1356</v>
      </c>
      <c r="C358" s="15" t="s">
        <v>1357</v>
      </c>
      <c r="D358" s="15" t="s">
        <v>329</v>
      </c>
      <c r="E358" s="20">
        <v>454</v>
      </c>
      <c r="F358" s="21">
        <v>11.604699999999999</v>
      </c>
      <c r="G358" s="22">
        <v>4.0000000000000002E-4</v>
      </c>
      <c r="H358" s="40"/>
      <c r="I358" s="24"/>
      <c r="J358" s="5"/>
    </row>
    <row r="359" spans="1:10" ht="13.05" customHeight="1">
      <c r="A359" s="18" t="s">
        <v>1358</v>
      </c>
      <c r="B359" s="19" t="s">
        <v>1359</v>
      </c>
      <c r="C359" s="15" t="s">
        <v>1360</v>
      </c>
      <c r="D359" s="15" t="s">
        <v>304</v>
      </c>
      <c r="E359" s="20">
        <v>470</v>
      </c>
      <c r="F359" s="21">
        <v>11.552099999999999</v>
      </c>
      <c r="G359" s="22">
        <v>4.0000000000000002E-4</v>
      </c>
      <c r="H359" s="40"/>
      <c r="I359" s="24"/>
      <c r="J359" s="5"/>
    </row>
    <row r="360" spans="1:10" ht="13.05" customHeight="1">
      <c r="A360" s="18" t="s">
        <v>1361</v>
      </c>
      <c r="B360" s="19" t="s">
        <v>1362</v>
      </c>
      <c r="C360" s="15" t="s">
        <v>1363</v>
      </c>
      <c r="D360" s="15" t="s">
        <v>577</v>
      </c>
      <c r="E360" s="20">
        <v>127</v>
      </c>
      <c r="F360" s="21">
        <v>11.451000000000001</v>
      </c>
      <c r="G360" s="22">
        <v>4.0000000000000002E-4</v>
      </c>
      <c r="H360" s="40"/>
      <c r="I360" s="24"/>
      <c r="J360" s="5"/>
    </row>
    <row r="361" spans="1:10" ht="13.05" customHeight="1">
      <c r="A361" s="18" t="s">
        <v>1364</v>
      </c>
      <c r="B361" s="19" t="s">
        <v>1365</v>
      </c>
      <c r="C361" s="15" t="s">
        <v>1366</v>
      </c>
      <c r="D361" s="15" t="s">
        <v>464</v>
      </c>
      <c r="E361" s="20">
        <v>2935</v>
      </c>
      <c r="F361" s="21">
        <v>11.4406</v>
      </c>
      <c r="G361" s="22">
        <v>4.0000000000000002E-4</v>
      </c>
      <c r="H361" s="40"/>
      <c r="I361" s="24"/>
      <c r="J361" s="5"/>
    </row>
    <row r="362" spans="1:10" ht="13.05" customHeight="1">
      <c r="A362" s="18" t="s">
        <v>1367</v>
      </c>
      <c r="B362" s="19" t="s">
        <v>1368</v>
      </c>
      <c r="C362" s="15" t="s">
        <v>1369</v>
      </c>
      <c r="D362" s="15" t="s">
        <v>296</v>
      </c>
      <c r="E362" s="20">
        <v>1653</v>
      </c>
      <c r="F362" s="21">
        <v>11.437900000000001</v>
      </c>
      <c r="G362" s="22">
        <v>4.0000000000000002E-4</v>
      </c>
      <c r="H362" s="40"/>
      <c r="I362" s="24"/>
      <c r="J362" s="5"/>
    </row>
    <row r="363" spans="1:10" ht="13.05" customHeight="1">
      <c r="A363" s="18" t="s">
        <v>1370</v>
      </c>
      <c r="B363" s="19" t="s">
        <v>1371</v>
      </c>
      <c r="C363" s="15" t="s">
        <v>1372</v>
      </c>
      <c r="D363" s="15" t="s">
        <v>846</v>
      </c>
      <c r="E363" s="20">
        <v>1319</v>
      </c>
      <c r="F363" s="21">
        <v>11.3962</v>
      </c>
      <c r="G363" s="22">
        <v>4.0000000000000002E-4</v>
      </c>
      <c r="H363" s="40"/>
      <c r="I363" s="24"/>
      <c r="J363" s="5"/>
    </row>
    <row r="364" spans="1:10" ht="13.05" customHeight="1">
      <c r="A364" s="18" t="s">
        <v>1373</v>
      </c>
      <c r="B364" s="19" t="s">
        <v>1374</v>
      </c>
      <c r="C364" s="15" t="s">
        <v>1375</v>
      </c>
      <c r="D364" s="15" t="s">
        <v>329</v>
      </c>
      <c r="E364" s="20">
        <v>413</v>
      </c>
      <c r="F364" s="21">
        <v>11.332700000000001</v>
      </c>
      <c r="G364" s="22">
        <v>4.0000000000000002E-4</v>
      </c>
      <c r="H364" s="40"/>
      <c r="I364" s="24"/>
      <c r="J364" s="5"/>
    </row>
    <row r="365" spans="1:10" ht="13.05" customHeight="1">
      <c r="A365" s="18" t="s">
        <v>1376</v>
      </c>
      <c r="B365" s="19" t="s">
        <v>1377</v>
      </c>
      <c r="C365" s="15" t="s">
        <v>1378</v>
      </c>
      <c r="D365" s="15" t="s">
        <v>545</v>
      </c>
      <c r="E365" s="20">
        <v>886</v>
      </c>
      <c r="F365" s="21">
        <v>11.3133</v>
      </c>
      <c r="G365" s="22">
        <v>4.0000000000000002E-4</v>
      </c>
      <c r="H365" s="40"/>
      <c r="I365" s="24"/>
      <c r="J365" s="5"/>
    </row>
    <row r="366" spans="1:10" ht="13.05" customHeight="1">
      <c r="A366" s="18" t="s">
        <v>1379</v>
      </c>
      <c r="B366" s="19" t="s">
        <v>1380</v>
      </c>
      <c r="C366" s="15" t="s">
        <v>1381</v>
      </c>
      <c r="D366" s="15" t="s">
        <v>603</v>
      </c>
      <c r="E366" s="20">
        <v>2337</v>
      </c>
      <c r="F366" s="21">
        <v>11.237500000000001</v>
      </c>
      <c r="G366" s="22">
        <v>4.0000000000000002E-4</v>
      </c>
      <c r="H366" s="40"/>
      <c r="I366" s="24"/>
      <c r="J366" s="5"/>
    </row>
    <row r="367" spans="1:10" ht="13.05" customHeight="1">
      <c r="A367" s="18" t="s">
        <v>1382</v>
      </c>
      <c r="B367" s="19" t="s">
        <v>1383</v>
      </c>
      <c r="C367" s="15" t="s">
        <v>1384</v>
      </c>
      <c r="D367" s="15" t="s">
        <v>272</v>
      </c>
      <c r="E367" s="20">
        <v>3024</v>
      </c>
      <c r="F367" s="21">
        <v>11.1843</v>
      </c>
      <c r="G367" s="22">
        <v>4.0000000000000002E-4</v>
      </c>
      <c r="H367" s="40"/>
      <c r="I367" s="24"/>
      <c r="J367" s="5"/>
    </row>
    <row r="368" spans="1:10" ht="13.05" customHeight="1">
      <c r="A368" s="18" t="s">
        <v>1385</v>
      </c>
      <c r="B368" s="19" t="s">
        <v>1386</v>
      </c>
      <c r="C368" s="15" t="s">
        <v>1387</v>
      </c>
      <c r="D368" s="15" t="s">
        <v>304</v>
      </c>
      <c r="E368" s="20">
        <v>3205</v>
      </c>
      <c r="F368" s="21">
        <v>11.1662</v>
      </c>
      <c r="G368" s="22">
        <v>4.0000000000000002E-4</v>
      </c>
      <c r="H368" s="40"/>
      <c r="I368" s="24"/>
      <c r="J368" s="5"/>
    </row>
    <row r="369" spans="1:10" ht="13.05" customHeight="1">
      <c r="A369" s="18" t="s">
        <v>1388</v>
      </c>
      <c r="B369" s="19" t="s">
        <v>1389</v>
      </c>
      <c r="C369" s="15" t="s">
        <v>1390</v>
      </c>
      <c r="D369" s="15" t="s">
        <v>846</v>
      </c>
      <c r="E369" s="20">
        <v>1246</v>
      </c>
      <c r="F369" s="21">
        <v>11.0215</v>
      </c>
      <c r="G369" s="22">
        <v>4.0000000000000002E-4</v>
      </c>
      <c r="H369" s="40"/>
      <c r="I369" s="24"/>
      <c r="J369" s="5"/>
    </row>
    <row r="370" spans="1:10" ht="13.05" customHeight="1">
      <c r="A370" s="18" t="s">
        <v>1391</v>
      </c>
      <c r="B370" s="19" t="s">
        <v>1392</v>
      </c>
      <c r="C370" s="15" t="s">
        <v>1393</v>
      </c>
      <c r="D370" s="15" t="s">
        <v>545</v>
      </c>
      <c r="E370" s="20">
        <v>2672</v>
      </c>
      <c r="F370" s="21">
        <v>10.8857</v>
      </c>
      <c r="G370" s="22">
        <v>4.0000000000000002E-4</v>
      </c>
      <c r="H370" s="40"/>
      <c r="I370" s="24"/>
      <c r="J370" s="5"/>
    </row>
    <row r="371" spans="1:10" ht="13.05" customHeight="1">
      <c r="A371" s="18" t="s">
        <v>1394</v>
      </c>
      <c r="B371" s="19" t="s">
        <v>1395</v>
      </c>
      <c r="C371" s="15" t="s">
        <v>1396</v>
      </c>
      <c r="D371" s="15" t="s">
        <v>501</v>
      </c>
      <c r="E371" s="20">
        <v>3835</v>
      </c>
      <c r="F371" s="21">
        <v>10.881399999999999</v>
      </c>
      <c r="G371" s="22">
        <v>4.0000000000000002E-4</v>
      </c>
      <c r="H371" s="40"/>
      <c r="I371" s="24"/>
      <c r="J371" s="5"/>
    </row>
    <row r="372" spans="1:10" ht="13.05" customHeight="1">
      <c r="A372" s="18" t="s">
        <v>1397</v>
      </c>
      <c r="B372" s="19" t="s">
        <v>1398</v>
      </c>
      <c r="C372" s="15" t="s">
        <v>1399</v>
      </c>
      <c r="D372" s="15" t="s">
        <v>325</v>
      </c>
      <c r="E372" s="20">
        <v>992</v>
      </c>
      <c r="F372" s="21">
        <v>10.6204</v>
      </c>
      <c r="G372" s="22">
        <v>2.9999999999999997E-4</v>
      </c>
      <c r="H372" s="40"/>
      <c r="I372" s="24"/>
      <c r="J372" s="5"/>
    </row>
    <row r="373" spans="1:10" ht="13.05" customHeight="1">
      <c r="A373" s="18" t="s">
        <v>1400</v>
      </c>
      <c r="B373" s="19" t="s">
        <v>1401</v>
      </c>
      <c r="C373" s="15" t="s">
        <v>1402</v>
      </c>
      <c r="D373" s="15" t="s">
        <v>415</v>
      </c>
      <c r="E373" s="20">
        <v>774</v>
      </c>
      <c r="F373" s="21">
        <v>10.5992</v>
      </c>
      <c r="G373" s="22">
        <v>2.9999999999999997E-4</v>
      </c>
      <c r="H373" s="40"/>
      <c r="I373" s="24"/>
      <c r="J373" s="5"/>
    </row>
    <row r="374" spans="1:10" ht="13.05" customHeight="1">
      <c r="A374" s="18" t="s">
        <v>1403</v>
      </c>
      <c r="B374" s="19" t="s">
        <v>1404</v>
      </c>
      <c r="C374" s="15" t="s">
        <v>1405</v>
      </c>
      <c r="D374" s="15" t="s">
        <v>268</v>
      </c>
      <c r="E374" s="20">
        <v>14386</v>
      </c>
      <c r="F374" s="21">
        <v>10.575100000000001</v>
      </c>
      <c r="G374" s="22">
        <v>2.9999999999999997E-4</v>
      </c>
      <c r="H374" s="40"/>
      <c r="I374" s="24"/>
      <c r="J374" s="5"/>
    </row>
    <row r="375" spans="1:10" ht="13.05" customHeight="1">
      <c r="A375" s="18" t="s">
        <v>1406</v>
      </c>
      <c r="B375" s="19" t="s">
        <v>1407</v>
      </c>
      <c r="C375" s="15" t="s">
        <v>1408</v>
      </c>
      <c r="D375" s="15" t="s">
        <v>464</v>
      </c>
      <c r="E375" s="20">
        <v>3671</v>
      </c>
      <c r="F375" s="21">
        <v>10.5009</v>
      </c>
      <c r="G375" s="22">
        <v>2.9999999999999997E-4</v>
      </c>
      <c r="H375" s="40"/>
      <c r="I375" s="24"/>
      <c r="J375" s="5"/>
    </row>
    <row r="376" spans="1:10" ht="13.05" customHeight="1">
      <c r="A376" s="18" t="s">
        <v>1409</v>
      </c>
      <c r="B376" s="19" t="s">
        <v>1410</v>
      </c>
      <c r="C376" s="15" t="s">
        <v>1411</v>
      </c>
      <c r="D376" s="15" t="s">
        <v>464</v>
      </c>
      <c r="E376" s="20">
        <v>1104</v>
      </c>
      <c r="F376" s="21">
        <v>10.485200000000001</v>
      </c>
      <c r="G376" s="22">
        <v>2.9999999999999997E-4</v>
      </c>
      <c r="H376" s="40"/>
      <c r="I376" s="24"/>
      <c r="J376" s="5"/>
    </row>
    <row r="377" spans="1:10" ht="13.05" customHeight="1">
      <c r="A377" s="18" t="s">
        <v>1412</v>
      </c>
      <c r="B377" s="19" t="s">
        <v>1413</v>
      </c>
      <c r="C377" s="15" t="s">
        <v>1414</v>
      </c>
      <c r="D377" s="15" t="s">
        <v>1068</v>
      </c>
      <c r="E377" s="20">
        <v>258</v>
      </c>
      <c r="F377" s="21">
        <v>10.4175</v>
      </c>
      <c r="G377" s="22">
        <v>2.9999999999999997E-4</v>
      </c>
      <c r="H377" s="40"/>
      <c r="I377" s="24"/>
      <c r="J377" s="5"/>
    </row>
    <row r="378" spans="1:10" ht="13.05" customHeight="1">
      <c r="A378" s="18" t="s">
        <v>1415</v>
      </c>
      <c r="B378" s="19" t="s">
        <v>1416</v>
      </c>
      <c r="C378" s="15" t="s">
        <v>1417</v>
      </c>
      <c r="D378" s="15" t="s">
        <v>314</v>
      </c>
      <c r="E378" s="20">
        <v>1250</v>
      </c>
      <c r="F378" s="21">
        <v>10.248799999999999</v>
      </c>
      <c r="G378" s="22">
        <v>2.9999999999999997E-4</v>
      </c>
      <c r="H378" s="40"/>
      <c r="I378" s="24"/>
      <c r="J378" s="5"/>
    </row>
    <row r="379" spans="1:10" ht="13.05" customHeight="1">
      <c r="A379" s="18" t="s">
        <v>1418</v>
      </c>
      <c r="B379" s="19" t="s">
        <v>1419</v>
      </c>
      <c r="C379" s="15" t="s">
        <v>1420</v>
      </c>
      <c r="D379" s="15" t="s">
        <v>464</v>
      </c>
      <c r="E379" s="20">
        <v>6280</v>
      </c>
      <c r="F379" s="21">
        <v>10.161</v>
      </c>
      <c r="G379" s="22">
        <v>2.9999999999999997E-4</v>
      </c>
      <c r="H379" s="40"/>
      <c r="I379" s="24"/>
      <c r="J379" s="5"/>
    </row>
    <row r="380" spans="1:10" ht="13.05" customHeight="1">
      <c r="A380" s="18" t="s">
        <v>1421</v>
      </c>
      <c r="B380" s="19" t="s">
        <v>1422</v>
      </c>
      <c r="C380" s="15" t="s">
        <v>1423</v>
      </c>
      <c r="D380" s="15" t="s">
        <v>276</v>
      </c>
      <c r="E380" s="20">
        <v>768</v>
      </c>
      <c r="F380" s="21">
        <v>10.130699999999999</v>
      </c>
      <c r="G380" s="22">
        <v>2.9999999999999997E-4</v>
      </c>
      <c r="H380" s="40"/>
      <c r="I380" s="24"/>
      <c r="J380" s="5"/>
    </row>
    <row r="381" spans="1:10" ht="13.05" customHeight="1">
      <c r="A381" s="18" t="s">
        <v>1424</v>
      </c>
      <c r="B381" s="19" t="s">
        <v>1425</v>
      </c>
      <c r="C381" s="15" t="s">
        <v>1426</v>
      </c>
      <c r="D381" s="15" t="s">
        <v>300</v>
      </c>
      <c r="E381" s="20">
        <v>1156</v>
      </c>
      <c r="F381" s="21">
        <v>10.0329</v>
      </c>
      <c r="G381" s="22">
        <v>2.9999999999999997E-4</v>
      </c>
      <c r="H381" s="40"/>
      <c r="I381" s="24"/>
      <c r="J381" s="5"/>
    </row>
    <row r="382" spans="1:10" ht="13.05" customHeight="1">
      <c r="A382" s="18" t="s">
        <v>1427</v>
      </c>
      <c r="B382" s="19" t="s">
        <v>1428</v>
      </c>
      <c r="C382" s="15" t="s">
        <v>1429</v>
      </c>
      <c r="D382" s="15" t="s">
        <v>581</v>
      </c>
      <c r="E382" s="20">
        <v>2765</v>
      </c>
      <c r="F382" s="21">
        <v>10.0121</v>
      </c>
      <c r="G382" s="22">
        <v>2.9999999999999997E-4</v>
      </c>
      <c r="H382" s="40"/>
      <c r="I382" s="24"/>
      <c r="J382" s="5"/>
    </row>
    <row r="383" spans="1:10" ht="13.05" customHeight="1">
      <c r="A383" s="18" t="s">
        <v>1430</v>
      </c>
      <c r="B383" s="19" t="s">
        <v>1431</v>
      </c>
      <c r="C383" s="15" t="s">
        <v>1432</v>
      </c>
      <c r="D383" s="15" t="s">
        <v>276</v>
      </c>
      <c r="E383" s="20">
        <v>2234</v>
      </c>
      <c r="F383" s="21">
        <v>10.009399999999999</v>
      </c>
      <c r="G383" s="22">
        <v>2.9999999999999997E-4</v>
      </c>
      <c r="H383" s="40"/>
      <c r="I383" s="24"/>
      <c r="J383" s="5"/>
    </row>
    <row r="384" spans="1:10" ht="13.05" customHeight="1">
      <c r="A384" s="18" t="s">
        <v>1433</v>
      </c>
      <c r="B384" s="19" t="s">
        <v>1434</v>
      </c>
      <c r="C384" s="15" t="s">
        <v>1435</v>
      </c>
      <c r="D384" s="15" t="s">
        <v>300</v>
      </c>
      <c r="E384" s="20">
        <v>606</v>
      </c>
      <c r="F384" s="21">
        <v>9.9990000000000006</v>
      </c>
      <c r="G384" s="22">
        <v>2.9999999999999997E-4</v>
      </c>
      <c r="H384" s="40"/>
      <c r="I384" s="24"/>
      <c r="J384" s="5"/>
    </row>
    <row r="385" spans="1:10" ht="13.05" customHeight="1">
      <c r="A385" s="18" t="s">
        <v>1436</v>
      </c>
      <c r="B385" s="19" t="s">
        <v>1437</v>
      </c>
      <c r="C385" s="15" t="s">
        <v>1438</v>
      </c>
      <c r="D385" s="15" t="s">
        <v>321</v>
      </c>
      <c r="E385" s="20">
        <v>11134</v>
      </c>
      <c r="F385" s="21">
        <v>9.8012999999999995</v>
      </c>
      <c r="G385" s="22">
        <v>2.9999999999999997E-4</v>
      </c>
      <c r="H385" s="40"/>
      <c r="I385" s="24"/>
      <c r="J385" s="5"/>
    </row>
    <row r="386" spans="1:10" ht="13.05" customHeight="1">
      <c r="A386" s="18" t="s">
        <v>1439</v>
      </c>
      <c r="B386" s="19" t="s">
        <v>1440</v>
      </c>
      <c r="C386" s="15" t="s">
        <v>1441</v>
      </c>
      <c r="D386" s="15" t="s">
        <v>541</v>
      </c>
      <c r="E386" s="20">
        <v>605</v>
      </c>
      <c r="F386" s="21">
        <v>9.7925000000000004</v>
      </c>
      <c r="G386" s="22">
        <v>2.9999999999999997E-4</v>
      </c>
      <c r="H386" s="40"/>
      <c r="I386" s="24"/>
      <c r="J386" s="5"/>
    </row>
    <row r="387" spans="1:10" ht="13.05" customHeight="1">
      <c r="A387" s="18" t="s">
        <v>1442</v>
      </c>
      <c r="B387" s="19" t="s">
        <v>5525</v>
      </c>
      <c r="C387" s="15" t="s">
        <v>1443</v>
      </c>
      <c r="D387" s="15" t="s">
        <v>501</v>
      </c>
      <c r="E387" s="20">
        <v>360</v>
      </c>
      <c r="F387" s="21">
        <v>9.7501999999999995</v>
      </c>
      <c r="G387" s="22">
        <v>2.9999999999999997E-4</v>
      </c>
      <c r="H387" s="40"/>
      <c r="I387" s="24"/>
      <c r="J387" s="5"/>
    </row>
    <row r="388" spans="1:10" ht="13.05" customHeight="1">
      <c r="A388" s="18" t="s">
        <v>1444</v>
      </c>
      <c r="B388" s="19" t="s">
        <v>1445</v>
      </c>
      <c r="C388" s="15" t="s">
        <v>1446</v>
      </c>
      <c r="D388" s="15" t="s">
        <v>603</v>
      </c>
      <c r="E388" s="20">
        <v>198</v>
      </c>
      <c r="F388" s="21">
        <v>9.6715</v>
      </c>
      <c r="G388" s="22">
        <v>2.9999999999999997E-4</v>
      </c>
      <c r="H388" s="40"/>
      <c r="I388" s="24"/>
      <c r="J388" s="5"/>
    </row>
    <row r="389" spans="1:10" ht="13.05" customHeight="1">
      <c r="A389" s="18" t="s">
        <v>1447</v>
      </c>
      <c r="B389" s="19" t="s">
        <v>1448</v>
      </c>
      <c r="C389" s="15" t="s">
        <v>1449</v>
      </c>
      <c r="D389" s="15" t="s">
        <v>445</v>
      </c>
      <c r="E389" s="20">
        <v>1797</v>
      </c>
      <c r="F389" s="21">
        <v>9.6193000000000008</v>
      </c>
      <c r="G389" s="22">
        <v>2.9999999999999997E-4</v>
      </c>
      <c r="H389" s="40"/>
      <c r="I389" s="24"/>
      <c r="J389" s="5"/>
    </row>
    <row r="390" spans="1:10" ht="13.05" customHeight="1">
      <c r="A390" s="18" t="s">
        <v>1450</v>
      </c>
      <c r="B390" s="19" t="s">
        <v>1451</v>
      </c>
      <c r="C390" s="15" t="s">
        <v>1452</v>
      </c>
      <c r="D390" s="15" t="s">
        <v>272</v>
      </c>
      <c r="E390" s="20">
        <v>2582</v>
      </c>
      <c r="F390" s="21">
        <v>9.5946999999999996</v>
      </c>
      <c r="G390" s="22">
        <v>2.9999999999999997E-4</v>
      </c>
      <c r="H390" s="40"/>
      <c r="I390" s="24"/>
      <c r="J390" s="5"/>
    </row>
    <row r="391" spans="1:10" ht="13.05" customHeight="1">
      <c r="A391" s="18" t="s">
        <v>1453</v>
      </c>
      <c r="B391" s="19" t="s">
        <v>1454</v>
      </c>
      <c r="C391" s="15" t="s">
        <v>1455</v>
      </c>
      <c r="D391" s="15" t="s">
        <v>846</v>
      </c>
      <c r="E391" s="20">
        <v>1178</v>
      </c>
      <c r="F391" s="21">
        <v>9.5866000000000007</v>
      </c>
      <c r="G391" s="22">
        <v>2.9999999999999997E-4</v>
      </c>
      <c r="H391" s="40"/>
      <c r="I391" s="24"/>
      <c r="J391" s="5"/>
    </row>
    <row r="392" spans="1:10" ht="13.05" customHeight="1">
      <c r="A392" s="18" t="s">
        <v>1456</v>
      </c>
      <c r="B392" s="19" t="s">
        <v>1457</v>
      </c>
      <c r="C392" s="15" t="s">
        <v>1458</v>
      </c>
      <c r="D392" s="15" t="s">
        <v>300</v>
      </c>
      <c r="E392" s="20">
        <v>1144</v>
      </c>
      <c r="F392" s="21">
        <v>9.5707000000000004</v>
      </c>
      <c r="G392" s="22">
        <v>2.9999999999999997E-4</v>
      </c>
      <c r="H392" s="40"/>
      <c r="I392" s="24"/>
      <c r="J392" s="5"/>
    </row>
    <row r="393" spans="1:10" ht="13.05" customHeight="1">
      <c r="A393" s="18" t="s">
        <v>1459</v>
      </c>
      <c r="B393" s="19" t="s">
        <v>1460</v>
      </c>
      <c r="C393" s="15" t="s">
        <v>1461</v>
      </c>
      <c r="D393" s="15" t="s">
        <v>329</v>
      </c>
      <c r="E393" s="20">
        <v>701</v>
      </c>
      <c r="F393" s="21">
        <v>9.5139999999999993</v>
      </c>
      <c r="G393" s="22">
        <v>2.9999999999999997E-4</v>
      </c>
      <c r="H393" s="40"/>
      <c r="I393" s="24"/>
      <c r="J393" s="5"/>
    </row>
    <row r="394" spans="1:10" ht="13.05" customHeight="1">
      <c r="A394" s="18" t="s">
        <v>1462</v>
      </c>
      <c r="B394" s="19" t="s">
        <v>1463</v>
      </c>
      <c r="C394" s="15" t="s">
        <v>1464</v>
      </c>
      <c r="D394" s="15" t="s">
        <v>272</v>
      </c>
      <c r="E394" s="20">
        <v>966</v>
      </c>
      <c r="F394" s="21">
        <v>9.4291</v>
      </c>
      <c r="G394" s="22">
        <v>2.9999999999999997E-4</v>
      </c>
      <c r="H394" s="40"/>
      <c r="I394" s="24"/>
      <c r="J394" s="5"/>
    </row>
    <row r="395" spans="1:10" ht="13.05" customHeight="1">
      <c r="A395" s="18" t="s">
        <v>1465</v>
      </c>
      <c r="B395" s="19" t="s">
        <v>1466</v>
      </c>
      <c r="C395" s="15" t="s">
        <v>1467</v>
      </c>
      <c r="D395" s="15" t="s">
        <v>321</v>
      </c>
      <c r="E395" s="20">
        <v>4296</v>
      </c>
      <c r="F395" s="21">
        <v>9.2775999999999996</v>
      </c>
      <c r="G395" s="22">
        <v>2.9999999999999997E-4</v>
      </c>
      <c r="H395" s="40"/>
      <c r="I395" s="24"/>
      <c r="J395" s="5"/>
    </row>
    <row r="396" spans="1:10" ht="13.05" customHeight="1">
      <c r="A396" s="18" t="s">
        <v>1468</v>
      </c>
      <c r="B396" s="19" t="s">
        <v>1469</v>
      </c>
      <c r="C396" s="15" t="s">
        <v>1470</v>
      </c>
      <c r="D396" s="15" t="s">
        <v>501</v>
      </c>
      <c r="E396" s="20">
        <v>1172</v>
      </c>
      <c r="F396" s="21">
        <v>9.2106999999999992</v>
      </c>
      <c r="G396" s="22">
        <v>2.9999999999999997E-4</v>
      </c>
      <c r="H396" s="40"/>
      <c r="I396" s="24"/>
      <c r="J396" s="5"/>
    </row>
    <row r="397" spans="1:10" ht="13.05" customHeight="1">
      <c r="A397" s="18" t="s">
        <v>1471</v>
      </c>
      <c r="B397" s="19" t="s">
        <v>1472</v>
      </c>
      <c r="C397" s="15" t="s">
        <v>1473</v>
      </c>
      <c r="D397" s="15" t="s">
        <v>325</v>
      </c>
      <c r="E397" s="20">
        <v>2526</v>
      </c>
      <c r="F397" s="21">
        <v>9.1503999999999994</v>
      </c>
      <c r="G397" s="22">
        <v>2.9999999999999997E-4</v>
      </c>
      <c r="H397" s="40"/>
      <c r="I397" s="24"/>
      <c r="J397" s="5"/>
    </row>
    <row r="398" spans="1:10" ht="13.05" customHeight="1">
      <c r="A398" s="18" t="s">
        <v>1474</v>
      </c>
      <c r="B398" s="19" t="s">
        <v>1475</v>
      </c>
      <c r="C398" s="15" t="s">
        <v>1476</v>
      </c>
      <c r="D398" s="15" t="s">
        <v>300</v>
      </c>
      <c r="E398" s="20">
        <v>5525</v>
      </c>
      <c r="F398" s="21">
        <v>9.0620999999999992</v>
      </c>
      <c r="G398" s="22">
        <v>2.9999999999999997E-4</v>
      </c>
      <c r="H398" s="40"/>
      <c r="I398" s="24"/>
      <c r="J398" s="5"/>
    </row>
    <row r="399" spans="1:10" ht="13.05" customHeight="1">
      <c r="A399" s="18" t="s">
        <v>1477</v>
      </c>
      <c r="B399" s="19" t="s">
        <v>1478</v>
      </c>
      <c r="C399" s="15" t="s">
        <v>1479</v>
      </c>
      <c r="D399" s="15" t="s">
        <v>304</v>
      </c>
      <c r="E399" s="20">
        <v>6747</v>
      </c>
      <c r="F399" s="21">
        <v>9.0139999999999993</v>
      </c>
      <c r="G399" s="22">
        <v>2.9999999999999997E-4</v>
      </c>
      <c r="H399" s="40"/>
      <c r="I399" s="24"/>
      <c r="J399" s="5"/>
    </row>
    <row r="400" spans="1:10" ht="13.05" customHeight="1">
      <c r="A400" s="18" t="s">
        <v>1480</v>
      </c>
      <c r="B400" s="19" t="s">
        <v>1481</v>
      </c>
      <c r="C400" s="15" t="s">
        <v>1482</v>
      </c>
      <c r="D400" s="15" t="s">
        <v>581</v>
      </c>
      <c r="E400" s="20">
        <v>1899</v>
      </c>
      <c r="F400" s="21">
        <v>8.9177</v>
      </c>
      <c r="G400" s="22">
        <v>2.9999999999999997E-4</v>
      </c>
      <c r="H400" s="40"/>
      <c r="I400" s="24"/>
      <c r="J400" s="5"/>
    </row>
    <row r="401" spans="1:10" ht="13.05" customHeight="1">
      <c r="A401" s="18" t="s">
        <v>1483</v>
      </c>
      <c r="B401" s="19" t="s">
        <v>1484</v>
      </c>
      <c r="C401" s="15" t="s">
        <v>1485</v>
      </c>
      <c r="D401" s="15" t="s">
        <v>567</v>
      </c>
      <c r="E401" s="20">
        <v>2061</v>
      </c>
      <c r="F401" s="21">
        <v>8.9046000000000003</v>
      </c>
      <c r="G401" s="22">
        <v>2.9999999999999997E-4</v>
      </c>
      <c r="H401" s="40"/>
      <c r="I401" s="24"/>
      <c r="J401" s="5"/>
    </row>
    <row r="402" spans="1:10" ht="13.05" customHeight="1">
      <c r="A402" s="18" t="s">
        <v>1486</v>
      </c>
      <c r="B402" s="19" t="s">
        <v>1487</v>
      </c>
      <c r="C402" s="15" t="s">
        <v>1488</v>
      </c>
      <c r="D402" s="15" t="s">
        <v>581</v>
      </c>
      <c r="E402" s="20">
        <v>1277</v>
      </c>
      <c r="F402" s="21">
        <v>8.8107000000000006</v>
      </c>
      <c r="G402" s="22">
        <v>2.9999999999999997E-4</v>
      </c>
      <c r="H402" s="40"/>
      <c r="I402" s="24"/>
      <c r="J402" s="5"/>
    </row>
    <row r="403" spans="1:10" ht="13.05" customHeight="1">
      <c r="A403" s="18" t="s">
        <v>1489</v>
      </c>
      <c r="B403" s="19" t="s">
        <v>1490</v>
      </c>
      <c r="C403" s="15" t="s">
        <v>1491</v>
      </c>
      <c r="D403" s="15" t="s">
        <v>567</v>
      </c>
      <c r="E403" s="20">
        <v>1596</v>
      </c>
      <c r="F403" s="21">
        <v>8.6662999999999997</v>
      </c>
      <c r="G403" s="22">
        <v>2.9999999999999997E-4</v>
      </c>
      <c r="H403" s="40"/>
      <c r="I403" s="24"/>
      <c r="J403" s="5"/>
    </row>
    <row r="404" spans="1:10" ht="13.05" customHeight="1">
      <c r="A404" s="18" t="s">
        <v>1492</v>
      </c>
      <c r="B404" s="19" t="s">
        <v>1493</v>
      </c>
      <c r="C404" s="15" t="s">
        <v>1494</v>
      </c>
      <c r="D404" s="15" t="s">
        <v>603</v>
      </c>
      <c r="E404" s="20">
        <v>1725</v>
      </c>
      <c r="F404" s="21">
        <v>8.6630000000000003</v>
      </c>
      <c r="G404" s="22">
        <v>2.9999999999999997E-4</v>
      </c>
      <c r="H404" s="40"/>
      <c r="I404" s="24"/>
      <c r="J404" s="5"/>
    </row>
    <row r="405" spans="1:10" ht="13.05" customHeight="1">
      <c r="A405" s="18" t="s">
        <v>1495</v>
      </c>
      <c r="B405" s="19" t="s">
        <v>1496</v>
      </c>
      <c r="C405" s="15" t="s">
        <v>1497</v>
      </c>
      <c r="D405" s="15" t="s">
        <v>296</v>
      </c>
      <c r="E405" s="20">
        <v>557</v>
      </c>
      <c r="F405" s="21">
        <v>8.6250999999999998</v>
      </c>
      <c r="G405" s="22">
        <v>2.9999999999999997E-4</v>
      </c>
      <c r="H405" s="40"/>
      <c r="I405" s="24"/>
      <c r="J405" s="5"/>
    </row>
    <row r="406" spans="1:10" ht="13.05" customHeight="1">
      <c r="A406" s="18" t="s">
        <v>1498</v>
      </c>
      <c r="B406" s="19" t="s">
        <v>1499</v>
      </c>
      <c r="C406" s="15" t="s">
        <v>1500</v>
      </c>
      <c r="D406" s="15" t="s">
        <v>1345</v>
      </c>
      <c r="E406" s="20">
        <v>659</v>
      </c>
      <c r="F406" s="21">
        <v>8.4430999999999994</v>
      </c>
      <c r="G406" s="22">
        <v>2.9999999999999997E-4</v>
      </c>
      <c r="H406" s="40"/>
      <c r="I406" s="24"/>
      <c r="J406" s="5"/>
    </row>
    <row r="407" spans="1:10" ht="13.05" customHeight="1">
      <c r="A407" s="18" t="s">
        <v>1501</v>
      </c>
      <c r="B407" s="19" t="s">
        <v>1502</v>
      </c>
      <c r="C407" s="15" t="s">
        <v>1503</v>
      </c>
      <c r="D407" s="15" t="s">
        <v>501</v>
      </c>
      <c r="E407" s="20">
        <v>950</v>
      </c>
      <c r="F407" s="21">
        <v>8.3396000000000008</v>
      </c>
      <c r="G407" s="22">
        <v>2.9999999999999997E-4</v>
      </c>
      <c r="H407" s="40"/>
      <c r="I407" s="24"/>
      <c r="J407" s="5"/>
    </row>
    <row r="408" spans="1:10" ht="13.05" customHeight="1">
      <c r="A408" s="18" t="s">
        <v>1504</v>
      </c>
      <c r="B408" s="19" t="s">
        <v>1505</v>
      </c>
      <c r="C408" s="15" t="s">
        <v>1506</v>
      </c>
      <c r="D408" s="15" t="s">
        <v>435</v>
      </c>
      <c r="E408" s="20">
        <v>969</v>
      </c>
      <c r="F408" s="21">
        <v>8.3309999999999995</v>
      </c>
      <c r="G408" s="22">
        <v>2.9999999999999997E-4</v>
      </c>
      <c r="H408" s="40"/>
      <c r="I408" s="24"/>
      <c r="J408" s="5"/>
    </row>
    <row r="409" spans="1:10" ht="13.05" customHeight="1">
      <c r="A409" s="18" t="s">
        <v>1507</v>
      </c>
      <c r="B409" s="19" t="s">
        <v>1508</v>
      </c>
      <c r="C409" s="15" t="s">
        <v>1509</v>
      </c>
      <c r="D409" s="15" t="s">
        <v>1345</v>
      </c>
      <c r="E409" s="20">
        <v>745</v>
      </c>
      <c r="F409" s="21">
        <v>8.2315000000000005</v>
      </c>
      <c r="G409" s="22">
        <v>2.9999999999999997E-4</v>
      </c>
      <c r="H409" s="40"/>
      <c r="I409" s="24"/>
      <c r="J409" s="5"/>
    </row>
    <row r="410" spans="1:10" ht="13.05" customHeight="1">
      <c r="A410" s="18" t="s">
        <v>1510</v>
      </c>
      <c r="B410" s="19" t="s">
        <v>1511</v>
      </c>
      <c r="C410" s="15" t="s">
        <v>1512</v>
      </c>
      <c r="D410" s="15" t="s">
        <v>314</v>
      </c>
      <c r="E410" s="20">
        <v>85</v>
      </c>
      <c r="F410" s="21">
        <v>8.1218000000000004</v>
      </c>
      <c r="G410" s="22">
        <v>2.9999999999999997E-4</v>
      </c>
      <c r="H410" s="40"/>
      <c r="I410" s="24"/>
      <c r="J410" s="5"/>
    </row>
    <row r="411" spans="1:10" ht="13.05" customHeight="1">
      <c r="A411" s="18" t="s">
        <v>1513</v>
      </c>
      <c r="B411" s="19" t="s">
        <v>1514</v>
      </c>
      <c r="C411" s="15" t="s">
        <v>1515</v>
      </c>
      <c r="D411" s="15" t="s">
        <v>603</v>
      </c>
      <c r="E411" s="20">
        <v>881</v>
      </c>
      <c r="F411" s="21">
        <v>7.9584999999999999</v>
      </c>
      <c r="G411" s="22">
        <v>2.9999999999999997E-4</v>
      </c>
      <c r="H411" s="40"/>
      <c r="I411" s="24"/>
      <c r="J411" s="5"/>
    </row>
    <row r="412" spans="1:10" ht="13.05" customHeight="1">
      <c r="A412" s="18" t="s">
        <v>1516</v>
      </c>
      <c r="B412" s="19" t="s">
        <v>1517</v>
      </c>
      <c r="C412" s="15" t="s">
        <v>1518</v>
      </c>
      <c r="D412" s="15" t="s">
        <v>296</v>
      </c>
      <c r="E412" s="20">
        <v>15863</v>
      </c>
      <c r="F412" s="21">
        <v>7.9537000000000004</v>
      </c>
      <c r="G412" s="22">
        <v>2.9999999999999997E-4</v>
      </c>
      <c r="H412" s="40"/>
      <c r="I412" s="24"/>
      <c r="J412" s="5"/>
    </row>
    <row r="413" spans="1:10" ht="13.05" customHeight="1">
      <c r="A413" s="18" t="s">
        <v>1519</v>
      </c>
      <c r="B413" s="19" t="s">
        <v>1520</v>
      </c>
      <c r="C413" s="15" t="s">
        <v>1521</v>
      </c>
      <c r="D413" s="15" t="s">
        <v>300</v>
      </c>
      <c r="E413" s="20">
        <v>1560</v>
      </c>
      <c r="F413" s="21">
        <v>7.9537000000000004</v>
      </c>
      <c r="G413" s="22">
        <v>2.9999999999999997E-4</v>
      </c>
      <c r="H413" s="40"/>
      <c r="I413" s="24"/>
      <c r="J413" s="5"/>
    </row>
    <row r="414" spans="1:10" ht="13.05" customHeight="1">
      <c r="A414" s="18" t="s">
        <v>1522</v>
      </c>
      <c r="B414" s="19" t="s">
        <v>1523</v>
      </c>
      <c r="C414" s="15" t="s">
        <v>1524</v>
      </c>
      <c r="D414" s="15" t="s">
        <v>435</v>
      </c>
      <c r="E414" s="20">
        <v>1873</v>
      </c>
      <c r="F414" s="21">
        <v>7.8760000000000003</v>
      </c>
      <c r="G414" s="22">
        <v>2.9999999999999997E-4</v>
      </c>
      <c r="H414" s="40"/>
      <c r="I414" s="24"/>
      <c r="J414" s="5"/>
    </row>
    <row r="415" spans="1:10" ht="13.05" customHeight="1">
      <c r="A415" s="18" t="s">
        <v>1525</v>
      </c>
      <c r="B415" s="19" t="s">
        <v>1526</v>
      </c>
      <c r="C415" s="15" t="s">
        <v>1527</v>
      </c>
      <c r="D415" s="15" t="s">
        <v>581</v>
      </c>
      <c r="E415" s="20">
        <v>178</v>
      </c>
      <c r="F415" s="21">
        <v>7.8533999999999997</v>
      </c>
      <c r="G415" s="22">
        <v>2.9999999999999997E-4</v>
      </c>
      <c r="H415" s="40"/>
      <c r="I415" s="24"/>
      <c r="J415" s="5"/>
    </row>
    <row r="416" spans="1:10" ht="13.05" customHeight="1">
      <c r="A416" s="18" t="s">
        <v>1528</v>
      </c>
      <c r="B416" s="19" t="s">
        <v>1529</v>
      </c>
      <c r="C416" s="15" t="s">
        <v>1530</v>
      </c>
      <c r="D416" s="15" t="s">
        <v>257</v>
      </c>
      <c r="E416" s="20">
        <v>7458</v>
      </c>
      <c r="F416" s="21">
        <v>7.7413999999999996</v>
      </c>
      <c r="G416" s="22">
        <v>2.9999999999999997E-4</v>
      </c>
      <c r="H416" s="40"/>
      <c r="I416" s="24"/>
      <c r="J416" s="5"/>
    </row>
    <row r="417" spans="1:10" ht="13.05" customHeight="1">
      <c r="A417" s="18" t="s">
        <v>1531</v>
      </c>
      <c r="B417" s="19" t="s">
        <v>1532</v>
      </c>
      <c r="C417" s="15" t="s">
        <v>1533</v>
      </c>
      <c r="D417" s="15" t="s">
        <v>276</v>
      </c>
      <c r="E417" s="20">
        <v>4528</v>
      </c>
      <c r="F417" s="21">
        <v>7.6803999999999997</v>
      </c>
      <c r="G417" s="22">
        <v>2.9999999999999997E-4</v>
      </c>
      <c r="H417" s="40"/>
      <c r="I417" s="24"/>
      <c r="J417" s="5"/>
    </row>
    <row r="418" spans="1:10" ht="13.05" customHeight="1">
      <c r="A418" s="18" t="s">
        <v>1534</v>
      </c>
      <c r="B418" s="19" t="s">
        <v>1535</v>
      </c>
      <c r="C418" s="15" t="s">
        <v>1536</v>
      </c>
      <c r="D418" s="15" t="s">
        <v>276</v>
      </c>
      <c r="E418" s="20">
        <v>3798</v>
      </c>
      <c r="F418" s="21">
        <v>7.6787999999999998</v>
      </c>
      <c r="G418" s="22">
        <v>2.9999999999999997E-4</v>
      </c>
      <c r="H418" s="40"/>
      <c r="I418" s="24"/>
      <c r="J418" s="5"/>
    </row>
    <row r="419" spans="1:10" ht="13.05" customHeight="1">
      <c r="A419" s="18" t="s">
        <v>1537</v>
      </c>
      <c r="B419" s="19" t="s">
        <v>1538</v>
      </c>
      <c r="C419" s="15" t="s">
        <v>1539</v>
      </c>
      <c r="D419" s="15" t="s">
        <v>567</v>
      </c>
      <c r="E419" s="20">
        <v>358</v>
      </c>
      <c r="F419" s="21">
        <v>7.6641000000000004</v>
      </c>
      <c r="G419" s="22">
        <v>2.9999999999999997E-4</v>
      </c>
      <c r="H419" s="40"/>
      <c r="I419" s="24"/>
      <c r="J419" s="5"/>
    </row>
    <row r="420" spans="1:10" ht="13.05" customHeight="1">
      <c r="A420" s="18" t="s">
        <v>1540</v>
      </c>
      <c r="B420" s="19" t="s">
        <v>1541</v>
      </c>
      <c r="C420" s="15" t="s">
        <v>1542</v>
      </c>
      <c r="D420" s="15" t="s">
        <v>1232</v>
      </c>
      <c r="E420" s="20">
        <v>1355</v>
      </c>
      <c r="F420" s="21">
        <v>7.6124000000000001</v>
      </c>
      <c r="G420" s="22">
        <v>2.0000000000000001E-4</v>
      </c>
      <c r="H420" s="40"/>
      <c r="I420" s="24"/>
      <c r="J420" s="5"/>
    </row>
    <row r="421" spans="1:10" ht="13.05" customHeight="1">
      <c r="A421" s="18" t="s">
        <v>1543</v>
      </c>
      <c r="B421" s="19" t="s">
        <v>1544</v>
      </c>
      <c r="C421" s="15" t="s">
        <v>1545</v>
      </c>
      <c r="D421" s="15" t="s">
        <v>464</v>
      </c>
      <c r="E421" s="20">
        <v>509</v>
      </c>
      <c r="F421" s="21">
        <v>7.5495000000000001</v>
      </c>
      <c r="G421" s="22">
        <v>2.0000000000000001E-4</v>
      </c>
      <c r="H421" s="40"/>
      <c r="I421" s="24"/>
      <c r="J421" s="5"/>
    </row>
    <row r="422" spans="1:10" ht="13.05" customHeight="1">
      <c r="A422" s="18" t="s">
        <v>1546</v>
      </c>
      <c r="B422" s="19" t="s">
        <v>1547</v>
      </c>
      <c r="C422" s="15" t="s">
        <v>1548</v>
      </c>
      <c r="D422" s="15" t="s">
        <v>501</v>
      </c>
      <c r="E422" s="20">
        <v>3950</v>
      </c>
      <c r="F422" s="21">
        <v>7.4264000000000001</v>
      </c>
      <c r="G422" s="22">
        <v>2.0000000000000001E-4</v>
      </c>
      <c r="H422" s="40"/>
      <c r="I422" s="24"/>
      <c r="J422" s="5"/>
    </row>
    <row r="423" spans="1:10" ht="13.05" customHeight="1">
      <c r="A423" s="18" t="s">
        <v>1549</v>
      </c>
      <c r="B423" s="19" t="s">
        <v>1550</v>
      </c>
      <c r="C423" s="15" t="s">
        <v>1551</v>
      </c>
      <c r="D423" s="15" t="s">
        <v>501</v>
      </c>
      <c r="E423" s="20">
        <v>393</v>
      </c>
      <c r="F423" s="21">
        <v>7.3667999999999996</v>
      </c>
      <c r="G423" s="22">
        <v>2.0000000000000001E-4</v>
      </c>
      <c r="H423" s="40"/>
      <c r="I423" s="24"/>
      <c r="J423" s="5"/>
    </row>
    <row r="424" spans="1:10" ht="13.05" customHeight="1">
      <c r="A424" s="18" t="s">
        <v>1552</v>
      </c>
      <c r="B424" s="19" t="s">
        <v>1553</v>
      </c>
      <c r="C424" s="15" t="s">
        <v>1554</v>
      </c>
      <c r="D424" s="15" t="s">
        <v>374</v>
      </c>
      <c r="E424" s="20">
        <v>966</v>
      </c>
      <c r="F424" s="21">
        <v>7.3609</v>
      </c>
      <c r="G424" s="22">
        <v>2.0000000000000001E-4</v>
      </c>
      <c r="H424" s="40"/>
      <c r="I424" s="24"/>
      <c r="J424" s="5"/>
    </row>
    <row r="425" spans="1:10" ht="13.05" customHeight="1">
      <c r="A425" s="18" t="s">
        <v>1555</v>
      </c>
      <c r="B425" s="19" t="s">
        <v>1556</v>
      </c>
      <c r="C425" s="15" t="s">
        <v>1557</v>
      </c>
      <c r="D425" s="15" t="s">
        <v>445</v>
      </c>
      <c r="E425" s="20">
        <v>1651</v>
      </c>
      <c r="F425" s="21">
        <v>7.3536000000000001</v>
      </c>
      <c r="G425" s="22">
        <v>2.0000000000000001E-4</v>
      </c>
      <c r="H425" s="40"/>
      <c r="I425" s="24"/>
      <c r="J425" s="5"/>
    </row>
    <row r="426" spans="1:10" ht="13.05" customHeight="1">
      <c r="A426" s="18" t="s">
        <v>1558</v>
      </c>
      <c r="B426" s="19" t="s">
        <v>1559</v>
      </c>
      <c r="C426" s="15" t="s">
        <v>1560</v>
      </c>
      <c r="D426" s="15" t="s">
        <v>435</v>
      </c>
      <c r="E426" s="20">
        <v>1599</v>
      </c>
      <c r="F426" s="21">
        <v>7.3385999999999996</v>
      </c>
      <c r="G426" s="22">
        <v>2.0000000000000001E-4</v>
      </c>
      <c r="H426" s="40"/>
      <c r="I426" s="24"/>
      <c r="J426" s="5"/>
    </row>
    <row r="427" spans="1:10" ht="13.05" customHeight="1">
      <c r="A427" s="18" t="s">
        <v>1561</v>
      </c>
      <c r="B427" s="19" t="s">
        <v>1562</v>
      </c>
      <c r="C427" s="15" t="s">
        <v>1563</v>
      </c>
      <c r="D427" s="15" t="s">
        <v>405</v>
      </c>
      <c r="E427" s="20">
        <v>9395</v>
      </c>
      <c r="F427" s="21">
        <v>7.0518999999999998</v>
      </c>
      <c r="G427" s="22">
        <v>2.0000000000000001E-4</v>
      </c>
      <c r="H427" s="40"/>
      <c r="I427" s="24"/>
      <c r="J427" s="5"/>
    </row>
    <row r="428" spans="1:10" ht="13.05" customHeight="1">
      <c r="A428" s="18" t="s">
        <v>1564</v>
      </c>
      <c r="B428" s="19" t="s">
        <v>1565</v>
      </c>
      <c r="C428" s="15" t="s">
        <v>1566</v>
      </c>
      <c r="D428" s="15" t="s">
        <v>374</v>
      </c>
      <c r="E428" s="20">
        <v>558</v>
      </c>
      <c r="F428" s="21">
        <v>6.9615999999999998</v>
      </c>
      <c r="G428" s="22">
        <v>2.0000000000000001E-4</v>
      </c>
      <c r="H428" s="40"/>
      <c r="I428" s="24"/>
      <c r="J428" s="5"/>
    </row>
    <row r="429" spans="1:10" ht="13.05" customHeight="1">
      <c r="A429" s="18" t="s">
        <v>1567</v>
      </c>
      <c r="B429" s="19" t="s">
        <v>1568</v>
      </c>
      <c r="C429" s="15" t="s">
        <v>1569</v>
      </c>
      <c r="D429" s="15" t="s">
        <v>415</v>
      </c>
      <c r="E429" s="20">
        <v>1290</v>
      </c>
      <c r="F429" s="21">
        <v>6.9583000000000004</v>
      </c>
      <c r="G429" s="22">
        <v>2.0000000000000001E-4</v>
      </c>
      <c r="H429" s="40"/>
      <c r="I429" s="24"/>
      <c r="J429" s="5"/>
    </row>
    <row r="430" spans="1:10" ht="13.05" customHeight="1">
      <c r="A430" s="18" t="s">
        <v>1570</v>
      </c>
      <c r="B430" s="19" t="s">
        <v>1571</v>
      </c>
      <c r="C430" s="15" t="s">
        <v>1572</v>
      </c>
      <c r="D430" s="15" t="s">
        <v>415</v>
      </c>
      <c r="E430" s="20">
        <v>353</v>
      </c>
      <c r="F430" s="21">
        <v>6.9554999999999998</v>
      </c>
      <c r="G430" s="22">
        <v>2.0000000000000001E-4</v>
      </c>
      <c r="H430" s="40"/>
      <c r="I430" s="24"/>
      <c r="J430" s="5"/>
    </row>
    <row r="431" spans="1:10" ht="13.05" customHeight="1">
      <c r="A431" s="18" t="s">
        <v>1573</v>
      </c>
      <c r="B431" s="19" t="s">
        <v>1574</v>
      </c>
      <c r="C431" s="15" t="s">
        <v>1575</v>
      </c>
      <c r="D431" s="15" t="s">
        <v>501</v>
      </c>
      <c r="E431" s="20">
        <v>1155</v>
      </c>
      <c r="F431" s="21">
        <v>6.8261000000000003</v>
      </c>
      <c r="G431" s="22">
        <v>2.0000000000000001E-4</v>
      </c>
      <c r="H431" s="40"/>
      <c r="I431" s="24"/>
      <c r="J431" s="5"/>
    </row>
    <row r="432" spans="1:10" ht="13.05" customHeight="1">
      <c r="A432" s="18" t="s">
        <v>1576</v>
      </c>
      <c r="B432" s="19" t="s">
        <v>1577</v>
      </c>
      <c r="C432" s="15" t="s">
        <v>1578</v>
      </c>
      <c r="D432" s="15" t="s">
        <v>445</v>
      </c>
      <c r="E432" s="20">
        <v>1210</v>
      </c>
      <c r="F432" s="21">
        <v>6.7934999999999999</v>
      </c>
      <c r="G432" s="22">
        <v>2.0000000000000001E-4</v>
      </c>
      <c r="H432" s="40"/>
      <c r="I432" s="24"/>
      <c r="J432" s="5"/>
    </row>
    <row r="433" spans="1:10" ht="13.05" customHeight="1">
      <c r="A433" s="18" t="s">
        <v>1579</v>
      </c>
      <c r="B433" s="19" t="s">
        <v>1580</v>
      </c>
      <c r="C433" s="15" t="s">
        <v>1581</v>
      </c>
      <c r="D433" s="15" t="s">
        <v>333</v>
      </c>
      <c r="E433" s="20">
        <v>15756</v>
      </c>
      <c r="F433" s="21">
        <v>6.7830000000000004</v>
      </c>
      <c r="G433" s="22">
        <v>2.0000000000000001E-4</v>
      </c>
      <c r="H433" s="40"/>
      <c r="I433" s="24"/>
      <c r="J433" s="5"/>
    </row>
    <row r="434" spans="1:10" ht="13.05" customHeight="1">
      <c r="A434" s="18" t="s">
        <v>1582</v>
      </c>
      <c r="B434" s="19" t="s">
        <v>1583</v>
      </c>
      <c r="C434" s="15" t="s">
        <v>1584</v>
      </c>
      <c r="D434" s="15" t="s">
        <v>751</v>
      </c>
      <c r="E434" s="20">
        <v>1138</v>
      </c>
      <c r="F434" s="21">
        <v>6.7630999999999997</v>
      </c>
      <c r="G434" s="22">
        <v>2.0000000000000001E-4</v>
      </c>
      <c r="H434" s="40"/>
      <c r="I434" s="24"/>
      <c r="J434" s="5"/>
    </row>
    <row r="435" spans="1:10" ht="13.05" customHeight="1">
      <c r="A435" s="18" t="s">
        <v>1585</v>
      </c>
      <c r="B435" s="19" t="s">
        <v>1586</v>
      </c>
      <c r="C435" s="15" t="s">
        <v>1587</v>
      </c>
      <c r="D435" s="15" t="s">
        <v>314</v>
      </c>
      <c r="E435" s="20">
        <v>753</v>
      </c>
      <c r="F435" s="21">
        <v>6.7573999999999996</v>
      </c>
      <c r="G435" s="22">
        <v>2.0000000000000001E-4</v>
      </c>
      <c r="H435" s="40"/>
      <c r="I435" s="24"/>
      <c r="J435" s="5"/>
    </row>
    <row r="436" spans="1:10" ht="13.05" customHeight="1">
      <c r="A436" s="18" t="s">
        <v>1588</v>
      </c>
      <c r="B436" s="19" t="s">
        <v>1589</v>
      </c>
      <c r="C436" s="15" t="s">
        <v>1590</v>
      </c>
      <c r="D436" s="15" t="s">
        <v>846</v>
      </c>
      <c r="E436" s="20">
        <v>2094</v>
      </c>
      <c r="F436" s="21">
        <v>6.7563000000000004</v>
      </c>
      <c r="G436" s="22">
        <v>2.0000000000000001E-4</v>
      </c>
      <c r="H436" s="40"/>
      <c r="I436" s="24"/>
      <c r="J436" s="5"/>
    </row>
    <row r="437" spans="1:10" ht="13.05" customHeight="1">
      <c r="A437" s="18" t="s">
        <v>1591</v>
      </c>
      <c r="B437" s="19" t="s">
        <v>1592</v>
      </c>
      <c r="C437" s="15" t="s">
        <v>1593</v>
      </c>
      <c r="D437" s="15" t="s">
        <v>333</v>
      </c>
      <c r="E437" s="20">
        <v>1258</v>
      </c>
      <c r="F437" s="21">
        <v>6.6611000000000002</v>
      </c>
      <c r="G437" s="22">
        <v>2.0000000000000001E-4</v>
      </c>
      <c r="H437" s="40"/>
      <c r="I437" s="24"/>
      <c r="J437" s="5"/>
    </row>
    <row r="438" spans="1:10" ht="13.05" customHeight="1">
      <c r="A438" s="18" t="s">
        <v>1594</v>
      </c>
      <c r="B438" s="19" t="s">
        <v>1595</v>
      </c>
      <c r="C438" s="15" t="s">
        <v>1596</v>
      </c>
      <c r="D438" s="15" t="s">
        <v>501</v>
      </c>
      <c r="E438" s="20">
        <v>471</v>
      </c>
      <c r="F438" s="21">
        <v>6.6505000000000001</v>
      </c>
      <c r="G438" s="22">
        <v>2.0000000000000001E-4</v>
      </c>
      <c r="H438" s="40"/>
      <c r="I438" s="24"/>
      <c r="J438" s="5"/>
    </row>
    <row r="439" spans="1:10" ht="13.05" customHeight="1">
      <c r="A439" s="18" t="s">
        <v>1597</v>
      </c>
      <c r="B439" s="19" t="s">
        <v>1598</v>
      </c>
      <c r="C439" s="15" t="s">
        <v>1599</v>
      </c>
      <c r="D439" s="15" t="s">
        <v>272</v>
      </c>
      <c r="E439" s="20">
        <v>1278</v>
      </c>
      <c r="F439" s="21">
        <v>6.5887000000000002</v>
      </c>
      <c r="G439" s="22">
        <v>2.0000000000000001E-4</v>
      </c>
      <c r="H439" s="40"/>
      <c r="I439" s="24"/>
      <c r="J439" s="5"/>
    </row>
    <row r="440" spans="1:10" ht="13.05" customHeight="1">
      <c r="A440" s="18" t="s">
        <v>1600</v>
      </c>
      <c r="B440" s="19" t="s">
        <v>1601</v>
      </c>
      <c r="C440" s="15" t="s">
        <v>1602</v>
      </c>
      <c r="D440" s="15" t="s">
        <v>1603</v>
      </c>
      <c r="E440" s="20">
        <v>1235</v>
      </c>
      <c r="F440" s="21">
        <v>6.5887000000000002</v>
      </c>
      <c r="G440" s="22">
        <v>2.0000000000000001E-4</v>
      </c>
      <c r="H440" s="40"/>
      <c r="I440" s="24"/>
      <c r="J440" s="5"/>
    </row>
    <row r="441" spans="1:10" ht="13.05" customHeight="1">
      <c r="A441" s="18" t="s">
        <v>1604</v>
      </c>
      <c r="B441" s="19" t="s">
        <v>1605</v>
      </c>
      <c r="C441" s="15" t="s">
        <v>1606</v>
      </c>
      <c r="D441" s="15" t="s">
        <v>751</v>
      </c>
      <c r="E441" s="20">
        <v>395</v>
      </c>
      <c r="F441" s="21">
        <v>6.585</v>
      </c>
      <c r="G441" s="22">
        <v>2.0000000000000001E-4</v>
      </c>
      <c r="H441" s="40"/>
      <c r="I441" s="24"/>
      <c r="J441" s="5"/>
    </row>
    <row r="442" spans="1:10" ht="13.05" customHeight="1">
      <c r="A442" s="18" t="s">
        <v>1607</v>
      </c>
      <c r="B442" s="19" t="s">
        <v>1608</v>
      </c>
      <c r="C442" s="15" t="s">
        <v>1609</v>
      </c>
      <c r="D442" s="15" t="s">
        <v>445</v>
      </c>
      <c r="E442" s="20">
        <v>785</v>
      </c>
      <c r="F442" s="21">
        <v>6.5664999999999996</v>
      </c>
      <c r="G442" s="22">
        <v>2.0000000000000001E-4</v>
      </c>
      <c r="H442" s="40"/>
      <c r="I442" s="24"/>
      <c r="J442" s="5"/>
    </row>
    <row r="443" spans="1:10" ht="13.05" customHeight="1">
      <c r="A443" s="18" t="s">
        <v>1610</v>
      </c>
      <c r="B443" s="19" t="s">
        <v>1611</v>
      </c>
      <c r="C443" s="15" t="s">
        <v>1612</v>
      </c>
      <c r="D443" s="15" t="s">
        <v>257</v>
      </c>
      <c r="E443" s="20">
        <v>16176</v>
      </c>
      <c r="F443" s="21">
        <v>6.4882</v>
      </c>
      <c r="G443" s="22">
        <v>2.0000000000000001E-4</v>
      </c>
      <c r="H443" s="40"/>
      <c r="I443" s="24"/>
      <c r="J443" s="5"/>
    </row>
    <row r="444" spans="1:10" ht="13.05" customHeight="1">
      <c r="A444" s="18" t="s">
        <v>1613</v>
      </c>
      <c r="B444" s="19" t="s">
        <v>1614</v>
      </c>
      <c r="C444" s="15" t="s">
        <v>1615</v>
      </c>
      <c r="D444" s="15" t="s">
        <v>1616</v>
      </c>
      <c r="E444" s="20">
        <v>251</v>
      </c>
      <c r="F444" s="21">
        <v>6.4560000000000004</v>
      </c>
      <c r="G444" s="22">
        <v>2.0000000000000001E-4</v>
      </c>
      <c r="H444" s="40"/>
      <c r="I444" s="24"/>
      <c r="J444" s="5"/>
    </row>
    <row r="445" spans="1:10" ht="13.05" customHeight="1">
      <c r="A445" s="18" t="s">
        <v>1617</v>
      </c>
      <c r="B445" s="19" t="s">
        <v>1618</v>
      </c>
      <c r="C445" s="15" t="s">
        <v>1619</v>
      </c>
      <c r="D445" s="15" t="s">
        <v>314</v>
      </c>
      <c r="E445" s="20">
        <v>447</v>
      </c>
      <c r="F445" s="21">
        <v>6.4538000000000002</v>
      </c>
      <c r="G445" s="22">
        <v>2.0000000000000001E-4</v>
      </c>
      <c r="H445" s="40"/>
      <c r="I445" s="24"/>
      <c r="J445" s="5"/>
    </row>
    <row r="446" spans="1:10" ht="13.05" customHeight="1">
      <c r="A446" s="18" t="s">
        <v>1620</v>
      </c>
      <c r="B446" s="19" t="s">
        <v>1621</v>
      </c>
      <c r="C446" s="15" t="s">
        <v>1622</v>
      </c>
      <c r="D446" s="15" t="s">
        <v>257</v>
      </c>
      <c r="E446" s="20">
        <v>6079</v>
      </c>
      <c r="F446" s="21">
        <v>6.4516</v>
      </c>
      <c r="G446" s="22">
        <v>2.0000000000000001E-4</v>
      </c>
      <c r="H446" s="40"/>
      <c r="I446" s="24"/>
      <c r="J446" s="5"/>
    </row>
    <row r="447" spans="1:10" ht="13.05" customHeight="1">
      <c r="A447" s="18" t="s">
        <v>1623</v>
      </c>
      <c r="B447" s="19" t="s">
        <v>1624</v>
      </c>
      <c r="C447" s="15" t="s">
        <v>1625</v>
      </c>
      <c r="D447" s="15" t="s">
        <v>261</v>
      </c>
      <c r="E447" s="20">
        <v>649</v>
      </c>
      <c r="F447" s="21">
        <v>6.3559999999999999</v>
      </c>
      <c r="G447" s="22">
        <v>2.0000000000000001E-4</v>
      </c>
      <c r="H447" s="40"/>
      <c r="I447" s="24"/>
      <c r="J447" s="5"/>
    </row>
    <row r="448" spans="1:10" ht="13.05" customHeight="1">
      <c r="A448" s="18" t="s">
        <v>1626</v>
      </c>
      <c r="B448" s="19" t="s">
        <v>1627</v>
      </c>
      <c r="C448" s="15" t="s">
        <v>1628</v>
      </c>
      <c r="D448" s="15" t="s">
        <v>415</v>
      </c>
      <c r="E448" s="20">
        <v>642</v>
      </c>
      <c r="F448" s="21">
        <v>6.3471000000000002</v>
      </c>
      <c r="G448" s="22">
        <v>2.0000000000000001E-4</v>
      </c>
      <c r="H448" s="40"/>
      <c r="I448" s="24"/>
      <c r="J448" s="5"/>
    </row>
    <row r="449" spans="1:10" ht="13.05" customHeight="1">
      <c r="A449" s="18" t="s">
        <v>1629</v>
      </c>
      <c r="B449" s="19" t="s">
        <v>1630</v>
      </c>
      <c r="C449" s="15" t="s">
        <v>1631</v>
      </c>
      <c r="D449" s="15" t="s">
        <v>405</v>
      </c>
      <c r="E449" s="20">
        <v>3385</v>
      </c>
      <c r="F449" s="21">
        <v>6.3323</v>
      </c>
      <c r="G449" s="22">
        <v>2.0000000000000001E-4</v>
      </c>
      <c r="H449" s="40"/>
      <c r="I449" s="24"/>
      <c r="J449" s="5"/>
    </row>
    <row r="450" spans="1:10" ht="13.05" customHeight="1">
      <c r="A450" s="18" t="s">
        <v>1632</v>
      </c>
      <c r="B450" s="19" t="s">
        <v>1633</v>
      </c>
      <c r="C450" s="15" t="s">
        <v>1634</v>
      </c>
      <c r="D450" s="15" t="s">
        <v>391</v>
      </c>
      <c r="E450" s="20">
        <v>860</v>
      </c>
      <c r="F450" s="21">
        <v>6.2831999999999999</v>
      </c>
      <c r="G450" s="22">
        <v>2.0000000000000001E-4</v>
      </c>
      <c r="H450" s="40"/>
      <c r="I450" s="24"/>
      <c r="J450" s="5"/>
    </row>
    <row r="451" spans="1:10" ht="13.05" customHeight="1">
      <c r="A451" s="18" t="s">
        <v>1635</v>
      </c>
      <c r="B451" s="19" t="s">
        <v>1636</v>
      </c>
      <c r="C451" s="15" t="s">
        <v>1637</v>
      </c>
      <c r="D451" s="15" t="s">
        <v>325</v>
      </c>
      <c r="E451" s="20">
        <v>822</v>
      </c>
      <c r="F451" s="21">
        <v>6.2016</v>
      </c>
      <c r="G451" s="22">
        <v>2.0000000000000001E-4</v>
      </c>
      <c r="H451" s="40"/>
      <c r="I451" s="24"/>
      <c r="J451" s="5"/>
    </row>
    <row r="452" spans="1:10" ht="13.05" customHeight="1">
      <c r="A452" s="18" t="s">
        <v>1638</v>
      </c>
      <c r="B452" s="19" t="s">
        <v>1639</v>
      </c>
      <c r="C452" s="15" t="s">
        <v>1640</v>
      </c>
      <c r="D452" s="15" t="s">
        <v>567</v>
      </c>
      <c r="E452" s="20">
        <v>1095</v>
      </c>
      <c r="F452" s="21">
        <v>6.1725000000000003</v>
      </c>
      <c r="G452" s="22">
        <v>2.0000000000000001E-4</v>
      </c>
      <c r="H452" s="40"/>
      <c r="I452" s="24"/>
      <c r="J452" s="5"/>
    </row>
    <row r="453" spans="1:10" ht="13.05" customHeight="1">
      <c r="A453" s="18" t="s">
        <v>1641</v>
      </c>
      <c r="B453" s="19" t="s">
        <v>1642</v>
      </c>
      <c r="C453" s="15" t="s">
        <v>1643</v>
      </c>
      <c r="D453" s="15" t="s">
        <v>758</v>
      </c>
      <c r="E453" s="20">
        <v>4735</v>
      </c>
      <c r="F453" s="21">
        <v>6.1388999999999996</v>
      </c>
      <c r="G453" s="22">
        <v>2.0000000000000001E-4</v>
      </c>
      <c r="H453" s="40"/>
      <c r="I453" s="24"/>
      <c r="J453" s="5"/>
    </row>
    <row r="454" spans="1:10" ht="13.05" customHeight="1">
      <c r="A454" s="18" t="s">
        <v>1644</v>
      </c>
      <c r="B454" s="19" t="s">
        <v>1645</v>
      </c>
      <c r="C454" s="15" t="s">
        <v>1646</v>
      </c>
      <c r="D454" s="15" t="s">
        <v>758</v>
      </c>
      <c r="E454" s="20">
        <v>1399</v>
      </c>
      <c r="F454" s="21">
        <v>6.1002999999999998</v>
      </c>
      <c r="G454" s="22">
        <v>2.0000000000000001E-4</v>
      </c>
      <c r="H454" s="40"/>
      <c r="I454" s="24"/>
      <c r="J454" s="5"/>
    </row>
    <row r="455" spans="1:10" ht="13.05" customHeight="1">
      <c r="A455" s="18" t="s">
        <v>1647</v>
      </c>
      <c r="B455" s="19" t="s">
        <v>1648</v>
      </c>
      <c r="C455" s="15" t="s">
        <v>1649</v>
      </c>
      <c r="D455" s="15" t="s">
        <v>337</v>
      </c>
      <c r="E455" s="20">
        <v>1461</v>
      </c>
      <c r="F455" s="21">
        <v>6.0579999999999998</v>
      </c>
      <c r="G455" s="22">
        <v>2.0000000000000001E-4</v>
      </c>
      <c r="H455" s="40"/>
      <c r="I455" s="24"/>
      <c r="J455" s="5"/>
    </row>
    <row r="456" spans="1:10" ht="13.05" customHeight="1">
      <c r="A456" s="18" t="s">
        <v>1650</v>
      </c>
      <c r="B456" s="19" t="s">
        <v>1651</v>
      </c>
      <c r="C456" s="15" t="s">
        <v>1652</v>
      </c>
      <c r="D456" s="15" t="s">
        <v>507</v>
      </c>
      <c r="E456" s="20">
        <v>543</v>
      </c>
      <c r="F456" s="21">
        <v>5.9779</v>
      </c>
      <c r="G456" s="22">
        <v>2.0000000000000001E-4</v>
      </c>
      <c r="H456" s="40"/>
      <c r="I456" s="24"/>
      <c r="J456" s="5"/>
    </row>
    <row r="457" spans="1:10" ht="13.05" customHeight="1">
      <c r="A457" s="18" t="s">
        <v>1653</v>
      </c>
      <c r="B457" s="19" t="s">
        <v>1654</v>
      </c>
      <c r="C457" s="15" t="s">
        <v>1655</v>
      </c>
      <c r="D457" s="15" t="s">
        <v>501</v>
      </c>
      <c r="E457" s="20">
        <v>3395</v>
      </c>
      <c r="F457" s="21">
        <v>5.9497</v>
      </c>
      <c r="G457" s="22">
        <v>2.0000000000000001E-4</v>
      </c>
      <c r="H457" s="40"/>
      <c r="I457" s="24"/>
      <c r="J457" s="5"/>
    </row>
    <row r="458" spans="1:10" ht="13.05" customHeight="1">
      <c r="A458" s="18" t="s">
        <v>1656</v>
      </c>
      <c r="B458" s="19" t="s">
        <v>1657</v>
      </c>
      <c r="C458" s="15" t="s">
        <v>1658</v>
      </c>
      <c r="D458" s="15" t="s">
        <v>300</v>
      </c>
      <c r="E458" s="20">
        <v>5211</v>
      </c>
      <c r="F458" s="21">
        <v>5.9447000000000001</v>
      </c>
      <c r="G458" s="22">
        <v>2.0000000000000001E-4</v>
      </c>
      <c r="H458" s="40"/>
      <c r="I458" s="24"/>
      <c r="J458" s="5"/>
    </row>
    <row r="459" spans="1:10" ht="13.05" customHeight="1">
      <c r="A459" s="18" t="s">
        <v>1659</v>
      </c>
      <c r="B459" s="19" t="s">
        <v>1660</v>
      </c>
      <c r="C459" s="15" t="s">
        <v>1661</v>
      </c>
      <c r="D459" s="15" t="s">
        <v>501</v>
      </c>
      <c r="E459" s="20">
        <v>749</v>
      </c>
      <c r="F459" s="21">
        <v>5.9219999999999997</v>
      </c>
      <c r="G459" s="22">
        <v>2.0000000000000001E-4</v>
      </c>
      <c r="H459" s="40"/>
      <c r="I459" s="24"/>
      <c r="J459" s="5"/>
    </row>
    <row r="460" spans="1:10" ht="13.05" customHeight="1">
      <c r="A460" s="18" t="s">
        <v>1662</v>
      </c>
      <c r="B460" s="19" t="s">
        <v>1663</v>
      </c>
      <c r="C460" s="15" t="s">
        <v>1664</v>
      </c>
      <c r="D460" s="15" t="s">
        <v>1616</v>
      </c>
      <c r="E460" s="20">
        <v>1875</v>
      </c>
      <c r="F460" s="21">
        <v>5.8968999999999996</v>
      </c>
      <c r="G460" s="22">
        <v>2.0000000000000001E-4</v>
      </c>
      <c r="H460" s="40"/>
      <c r="I460" s="24"/>
      <c r="J460" s="5"/>
    </row>
    <row r="461" spans="1:10" ht="13.05" customHeight="1">
      <c r="A461" s="18" t="s">
        <v>1665</v>
      </c>
      <c r="B461" s="19" t="s">
        <v>1666</v>
      </c>
      <c r="C461" s="15" t="s">
        <v>1667</v>
      </c>
      <c r="D461" s="15" t="s">
        <v>304</v>
      </c>
      <c r="E461" s="20">
        <v>7220</v>
      </c>
      <c r="F461" s="21">
        <v>5.8944000000000001</v>
      </c>
      <c r="G461" s="22">
        <v>2.0000000000000001E-4</v>
      </c>
      <c r="H461" s="40"/>
      <c r="I461" s="24"/>
      <c r="J461" s="5"/>
    </row>
    <row r="462" spans="1:10" ht="13.05" customHeight="1">
      <c r="A462" s="18" t="s">
        <v>1668</v>
      </c>
      <c r="B462" s="19" t="s">
        <v>1669</v>
      </c>
      <c r="C462" s="15" t="s">
        <v>1670</v>
      </c>
      <c r="D462" s="15" t="s">
        <v>257</v>
      </c>
      <c r="E462" s="20">
        <v>17558</v>
      </c>
      <c r="F462" s="21">
        <v>5.8310000000000004</v>
      </c>
      <c r="G462" s="22">
        <v>2.0000000000000001E-4</v>
      </c>
      <c r="H462" s="40"/>
      <c r="I462" s="24"/>
      <c r="J462" s="5"/>
    </row>
    <row r="463" spans="1:10" ht="13.05" customHeight="1">
      <c r="A463" s="18" t="s">
        <v>1671</v>
      </c>
      <c r="B463" s="19" t="s">
        <v>1672</v>
      </c>
      <c r="C463" s="15" t="s">
        <v>1673</v>
      </c>
      <c r="D463" s="15" t="s">
        <v>348</v>
      </c>
      <c r="E463" s="20">
        <v>2228</v>
      </c>
      <c r="F463" s="21">
        <v>5.7857000000000003</v>
      </c>
      <c r="G463" s="22">
        <v>2.0000000000000001E-4</v>
      </c>
      <c r="H463" s="40"/>
      <c r="I463" s="24"/>
      <c r="J463" s="5"/>
    </row>
    <row r="464" spans="1:10" ht="13.05" customHeight="1">
      <c r="A464" s="18" t="s">
        <v>1674</v>
      </c>
      <c r="B464" s="19" t="s">
        <v>1675</v>
      </c>
      <c r="C464" s="15" t="s">
        <v>1676</v>
      </c>
      <c r="D464" s="15" t="s">
        <v>415</v>
      </c>
      <c r="E464" s="20">
        <v>1141</v>
      </c>
      <c r="F464" s="21">
        <v>5.7763</v>
      </c>
      <c r="G464" s="22">
        <v>2.0000000000000001E-4</v>
      </c>
      <c r="H464" s="40"/>
      <c r="I464" s="24"/>
      <c r="J464" s="5"/>
    </row>
    <row r="465" spans="1:10" ht="13.05" customHeight="1">
      <c r="A465" s="18" t="s">
        <v>1677</v>
      </c>
      <c r="B465" s="19" t="s">
        <v>1678</v>
      </c>
      <c r="C465" s="15" t="s">
        <v>1679</v>
      </c>
      <c r="D465" s="15" t="s">
        <v>846</v>
      </c>
      <c r="E465" s="20">
        <v>1702</v>
      </c>
      <c r="F465" s="21">
        <v>5.7460000000000004</v>
      </c>
      <c r="G465" s="22">
        <v>2.0000000000000001E-4</v>
      </c>
      <c r="H465" s="40"/>
      <c r="I465" s="24"/>
      <c r="J465" s="5"/>
    </row>
    <row r="466" spans="1:10" ht="13.05" customHeight="1">
      <c r="A466" s="18" t="s">
        <v>1680</v>
      </c>
      <c r="B466" s="19" t="s">
        <v>1681</v>
      </c>
      <c r="C466" s="15" t="s">
        <v>1682</v>
      </c>
      <c r="D466" s="15" t="s">
        <v>257</v>
      </c>
      <c r="E466" s="20">
        <v>14433</v>
      </c>
      <c r="F466" s="21">
        <v>5.6981000000000002</v>
      </c>
      <c r="G466" s="22">
        <v>2.0000000000000001E-4</v>
      </c>
      <c r="H466" s="40"/>
      <c r="I466" s="24"/>
      <c r="J466" s="5"/>
    </row>
    <row r="467" spans="1:10" ht="13.05" customHeight="1">
      <c r="A467" s="18" t="s">
        <v>1683</v>
      </c>
      <c r="B467" s="19" t="s">
        <v>1684</v>
      </c>
      <c r="C467" s="15" t="s">
        <v>1685</v>
      </c>
      <c r="D467" s="15" t="s">
        <v>300</v>
      </c>
      <c r="E467" s="20">
        <v>9781</v>
      </c>
      <c r="F467" s="21">
        <v>5.6680999999999999</v>
      </c>
      <c r="G467" s="22">
        <v>2.0000000000000001E-4</v>
      </c>
      <c r="H467" s="40"/>
      <c r="I467" s="24"/>
      <c r="J467" s="5"/>
    </row>
    <row r="468" spans="1:10" ht="13.05" customHeight="1">
      <c r="A468" s="18" t="s">
        <v>1686</v>
      </c>
      <c r="B468" s="19" t="s">
        <v>1687</v>
      </c>
      <c r="C468" s="15" t="s">
        <v>1688</v>
      </c>
      <c r="D468" s="15" t="s">
        <v>501</v>
      </c>
      <c r="E468" s="20">
        <v>905</v>
      </c>
      <c r="F468" s="21">
        <v>5.6395</v>
      </c>
      <c r="G468" s="22">
        <v>2.0000000000000001E-4</v>
      </c>
      <c r="H468" s="40"/>
      <c r="I468" s="24"/>
      <c r="J468" s="5"/>
    </row>
    <row r="469" spans="1:10" ht="13.05" customHeight="1">
      <c r="A469" s="18" t="s">
        <v>1689</v>
      </c>
      <c r="B469" s="19" t="s">
        <v>1690</v>
      </c>
      <c r="C469" s="15" t="s">
        <v>1691</v>
      </c>
      <c r="D469" s="15" t="s">
        <v>314</v>
      </c>
      <c r="E469" s="20">
        <v>271</v>
      </c>
      <c r="F469" s="21">
        <v>5.5088999999999997</v>
      </c>
      <c r="G469" s="22">
        <v>2.0000000000000001E-4</v>
      </c>
      <c r="H469" s="40"/>
      <c r="I469" s="24"/>
      <c r="J469" s="5"/>
    </row>
    <row r="470" spans="1:10" ht="13.05" customHeight="1">
      <c r="A470" s="18" t="s">
        <v>1692</v>
      </c>
      <c r="B470" s="19" t="s">
        <v>1693</v>
      </c>
      <c r="C470" s="15" t="s">
        <v>1694</v>
      </c>
      <c r="D470" s="15" t="s">
        <v>541</v>
      </c>
      <c r="E470" s="20">
        <v>506</v>
      </c>
      <c r="F470" s="21">
        <v>5.4866000000000001</v>
      </c>
      <c r="G470" s="22">
        <v>2.0000000000000001E-4</v>
      </c>
      <c r="H470" s="40"/>
      <c r="I470" s="24"/>
      <c r="J470" s="5"/>
    </row>
    <row r="471" spans="1:10" ht="13.05" customHeight="1">
      <c r="A471" s="18" t="s">
        <v>1695</v>
      </c>
      <c r="B471" s="19" t="s">
        <v>1696</v>
      </c>
      <c r="C471" s="15" t="s">
        <v>1697</v>
      </c>
      <c r="D471" s="15" t="s">
        <v>577</v>
      </c>
      <c r="E471" s="20">
        <v>1908</v>
      </c>
      <c r="F471" s="21">
        <v>5.4244000000000003</v>
      </c>
      <c r="G471" s="22">
        <v>2.0000000000000001E-4</v>
      </c>
      <c r="H471" s="40"/>
      <c r="I471" s="24"/>
      <c r="J471" s="5"/>
    </row>
    <row r="472" spans="1:10" ht="13.05" customHeight="1">
      <c r="A472" s="18" t="s">
        <v>1698</v>
      </c>
      <c r="B472" s="19" t="s">
        <v>1699</v>
      </c>
      <c r="C472" s="15" t="s">
        <v>1700</v>
      </c>
      <c r="D472" s="15" t="s">
        <v>304</v>
      </c>
      <c r="E472" s="20">
        <v>830</v>
      </c>
      <c r="F472" s="21">
        <v>5.3597000000000001</v>
      </c>
      <c r="G472" s="22">
        <v>2.0000000000000001E-4</v>
      </c>
      <c r="H472" s="40"/>
      <c r="I472" s="24"/>
      <c r="J472" s="5"/>
    </row>
    <row r="473" spans="1:10" ht="13.05" customHeight="1">
      <c r="A473" s="18" t="s">
        <v>1701</v>
      </c>
      <c r="B473" s="19" t="s">
        <v>1702</v>
      </c>
      <c r="C473" s="15" t="s">
        <v>1703</v>
      </c>
      <c r="D473" s="15" t="s">
        <v>348</v>
      </c>
      <c r="E473" s="20">
        <v>81</v>
      </c>
      <c r="F473" s="21">
        <v>5.3232999999999997</v>
      </c>
      <c r="G473" s="22">
        <v>2.0000000000000001E-4</v>
      </c>
      <c r="H473" s="40"/>
      <c r="I473" s="24"/>
      <c r="J473" s="5"/>
    </row>
    <row r="474" spans="1:10" ht="13.05" customHeight="1">
      <c r="A474" s="18" t="s">
        <v>1704</v>
      </c>
      <c r="B474" s="19" t="s">
        <v>1705</v>
      </c>
      <c r="C474" s="15" t="s">
        <v>1706</v>
      </c>
      <c r="D474" s="15" t="s">
        <v>970</v>
      </c>
      <c r="E474" s="20">
        <v>1520</v>
      </c>
      <c r="F474" s="21">
        <v>5.133</v>
      </c>
      <c r="G474" s="22">
        <v>2.0000000000000001E-4</v>
      </c>
      <c r="H474" s="40"/>
      <c r="I474" s="24"/>
      <c r="J474" s="5"/>
    </row>
    <row r="475" spans="1:10" ht="13.05" customHeight="1">
      <c r="A475" s="18" t="s">
        <v>1707</v>
      </c>
      <c r="B475" s="19" t="s">
        <v>1708</v>
      </c>
      <c r="C475" s="15" t="s">
        <v>1709</v>
      </c>
      <c r="D475" s="15" t="s">
        <v>464</v>
      </c>
      <c r="E475" s="20">
        <v>3400</v>
      </c>
      <c r="F475" s="21">
        <v>5.0618999999999996</v>
      </c>
      <c r="G475" s="22">
        <v>2.0000000000000001E-4</v>
      </c>
      <c r="H475" s="40"/>
      <c r="I475" s="24"/>
      <c r="J475" s="5"/>
    </row>
    <row r="476" spans="1:10" ht="13.05" customHeight="1">
      <c r="A476" s="18" t="s">
        <v>1710</v>
      </c>
      <c r="B476" s="19" t="s">
        <v>1711</v>
      </c>
      <c r="C476" s="15" t="s">
        <v>1712</v>
      </c>
      <c r="D476" s="15" t="s">
        <v>464</v>
      </c>
      <c r="E476" s="20">
        <v>1606</v>
      </c>
      <c r="F476" s="21">
        <v>5.0525000000000002</v>
      </c>
      <c r="G476" s="22">
        <v>2.0000000000000001E-4</v>
      </c>
      <c r="H476" s="40"/>
      <c r="I476" s="24"/>
      <c r="J476" s="5"/>
    </row>
    <row r="477" spans="1:10" ht="13.05" customHeight="1">
      <c r="A477" s="18" t="s">
        <v>1713</v>
      </c>
      <c r="B477" s="19" t="s">
        <v>1714</v>
      </c>
      <c r="C477" s="15" t="s">
        <v>1715</v>
      </c>
      <c r="D477" s="15" t="s">
        <v>325</v>
      </c>
      <c r="E477" s="20">
        <v>79</v>
      </c>
      <c r="F477" s="21">
        <v>4.9188999999999998</v>
      </c>
      <c r="G477" s="22">
        <v>2.0000000000000001E-4</v>
      </c>
      <c r="H477" s="40"/>
      <c r="I477" s="24"/>
      <c r="J477" s="5"/>
    </row>
    <row r="478" spans="1:10" ht="13.05" customHeight="1">
      <c r="A478" s="18" t="s">
        <v>1716</v>
      </c>
      <c r="B478" s="19" t="s">
        <v>1717</v>
      </c>
      <c r="C478" s="15" t="s">
        <v>1718</v>
      </c>
      <c r="D478" s="15" t="s">
        <v>758</v>
      </c>
      <c r="E478" s="20">
        <v>16857</v>
      </c>
      <c r="F478" s="21">
        <v>4.8262</v>
      </c>
      <c r="G478" s="22">
        <v>2.0000000000000001E-4</v>
      </c>
      <c r="H478" s="40"/>
      <c r="I478" s="24"/>
      <c r="J478" s="5"/>
    </row>
    <row r="479" spans="1:10" ht="13.05" customHeight="1">
      <c r="A479" s="18" t="s">
        <v>1719</v>
      </c>
      <c r="B479" s="19" t="s">
        <v>1720</v>
      </c>
      <c r="C479" s="15" t="s">
        <v>1721</v>
      </c>
      <c r="D479" s="15" t="s">
        <v>1232</v>
      </c>
      <c r="E479" s="20">
        <v>1035</v>
      </c>
      <c r="F479" s="21">
        <v>4.7081999999999997</v>
      </c>
      <c r="G479" s="22">
        <v>2.0000000000000001E-4</v>
      </c>
      <c r="H479" s="40"/>
      <c r="I479" s="24"/>
      <c r="J479" s="5"/>
    </row>
    <row r="480" spans="1:10" ht="13.05" customHeight="1">
      <c r="A480" s="18" t="s">
        <v>1722</v>
      </c>
      <c r="B480" s="19" t="s">
        <v>1723</v>
      </c>
      <c r="C480" s="15" t="s">
        <v>1724</v>
      </c>
      <c r="D480" s="15" t="s">
        <v>391</v>
      </c>
      <c r="E480" s="20">
        <v>237</v>
      </c>
      <c r="F480" s="21">
        <v>4.6944999999999997</v>
      </c>
      <c r="G480" s="22">
        <v>2.0000000000000001E-4</v>
      </c>
      <c r="H480" s="40"/>
      <c r="I480" s="24"/>
      <c r="J480" s="5"/>
    </row>
    <row r="481" spans="1:10" ht="13.05" customHeight="1">
      <c r="A481" s="18" t="s">
        <v>1725</v>
      </c>
      <c r="B481" s="19" t="s">
        <v>1726</v>
      </c>
      <c r="C481" s="15" t="s">
        <v>1727</v>
      </c>
      <c r="D481" s="15" t="s">
        <v>276</v>
      </c>
      <c r="E481" s="20">
        <v>1847</v>
      </c>
      <c r="F481" s="21">
        <v>4.5339999999999998</v>
      </c>
      <c r="G481" s="22">
        <v>1E-4</v>
      </c>
      <c r="H481" s="40"/>
      <c r="I481" s="24"/>
      <c r="J481" s="5"/>
    </row>
    <row r="482" spans="1:10" ht="13.05" customHeight="1">
      <c r="A482" s="18" t="s">
        <v>1728</v>
      </c>
      <c r="B482" s="19" t="s">
        <v>1729</v>
      </c>
      <c r="C482" s="15" t="s">
        <v>1730</v>
      </c>
      <c r="D482" s="15" t="s">
        <v>381</v>
      </c>
      <c r="E482" s="20">
        <v>1592</v>
      </c>
      <c r="F482" s="21">
        <v>4.4409000000000001</v>
      </c>
      <c r="G482" s="22">
        <v>1E-4</v>
      </c>
      <c r="H482" s="40"/>
      <c r="I482" s="24"/>
      <c r="J482" s="5"/>
    </row>
    <row r="483" spans="1:10" ht="13.05" customHeight="1">
      <c r="A483" s="18" t="s">
        <v>1731</v>
      </c>
      <c r="B483" s="19" t="s">
        <v>1732</v>
      </c>
      <c r="C483" s="15" t="s">
        <v>1733</v>
      </c>
      <c r="D483" s="15" t="s">
        <v>268</v>
      </c>
      <c r="E483" s="20">
        <v>1198</v>
      </c>
      <c r="F483" s="21">
        <v>4.4097999999999997</v>
      </c>
      <c r="G483" s="22">
        <v>1E-4</v>
      </c>
      <c r="H483" s="40"/>
      <c r="I483" s="24"/>
      <c r="J483" s="5"/>
    </row>
    <row r="484" spans="1:10" ht="13.05" customHeight="1">
      <c r="A484" s="18" t="s">
        <v>1734</v>
      </c>
      <c r="B484" s="19" t="s">
        <v>1735</v>
      </c>
      <c r="C484" s="15" t="s">
        <v>1736</v>
      </c>
      <c r="D484" s="15" t="s">
        <v>321</v>
      </c>
      <c r="E484" s="20">
        <v>1562</v>
      </c>
      <c r="F484" s="21">
        <v>4.4016999999999999</v>
      </c>
      <c r="G484" s="22">
        <v>1E-4</v>
      </c>
      <c r="H484" s="40"/>
      <c r="I484" s="24"/>
      <c r="J484" s="5"/>
    </row>
    <row r="485" spans="1:10" ht="13.05" customHeight="1">
      <c r="A485" s="18" t="s">
        <v>1737</v>
      </c>
      <c r="B485" s="19" t="s">
        <v>1738</v>
      </c>
      <c r="C485" s="15" t="s">
        <v>1739</v>
      </c>
      <c r="D485" s="15" t="s">
        <v>325</v>
      </c>
      <c r="E485" s="20">
        <v>133</v>
      </c>
      <c r="F485" s="21">
        <v>4.3114999999999997</v>
      </c>
      <c r="G485" s="22">
        <v>1E-4</v>
      </c>
      <c r="H485" s="40"/>
      <c r="I485" s="24"/>
      <c r="J485" s="5"/>
    </row>
    <row r="486" spans="1:10" ht="13.05" customHeight="1">
      <c r="A486" s="18" t="s">
        <v>1740</v>
      </c>
      <c r="B486" s="19" t="s">
        <v>1741</v>
      </c>
      <c r="C486" s="15" t="s">
        <v>1742</v>
      </c>
      <c r="D486" s="15" t="s">
        <v>272</v>
      </c>
      <c r="E486" s="20">
        <v>955</v>
      </c>
      <c r="F486" s="21">
        <v>4.2816999999999998</v>
      </c>
      <c r="G486" s="22">
        <v>1E-4</v>
      </c>
      <c r="H486" s="40"/>
      <c r="I486" s="24"/>
      <c r="J486" s="5"/>
    </row>
    <row r="487" spans="1:10" ht="13.05" customHeight="1">
      <c r="A487" s="18" t="s">
        <v>1743</v>
      </c>
      <c r="B487" s="19" t="s">
        <v>1744</v>
      </c>
      <c r="C487" s="15" t="s">
        <v>1745</v>
      </c>
      <c r="D487" s="15" t="s">
        <v>391</v>
      </c>
      <c r="E487" s="20">
        <v>641</v>
      </c>
      <c r="F487" s="21">
        <v>4.2514000000000003</v>
      </c>
      <c r="G487" s="22">
        <v>1E-4</v>
      </c>
      <c r="H487" s="40"/>
      <c r="I487" s="24"/>
      <c r="J487" s="5"/>
    </row>
    <row r="488" spans="1:10" ht="13.05" customHeight="1">
      <c r="A488" s="18" t="s">
        <v>1746</v>
      </c>
      <c r="B488" s="19" t="s">
        <v>1747</v>
      </c>
      <c r="C488" s="15" t="s">
        <v>1748</v>
      </c>
      <c r="D488" s="15" t="s">
        <v>464</v>
      </c>
      <c r="E488" s="20">
        <v>974</v>
      </c>
      <c r="F488" s="21">
        <v>4.2241999999999997</v>
      </c>
      <c r="G488" s="22">
        <v>1E-4</v>
      </c>
      <c r="H488" s="40"/>
      <c r="I488" s="24"/>
      <c r="J488" s="5"/>
    </row>
    <row r="489" spans="1:10" ht="13.05" customHeight="1">
      <c r="A489" s="18" t="s">
        <v>1749</v>
      </c>
      <c r="B489" s="19" t="s">
        <v>1750</v>
      </c>
      <c r="C489" s="15" t="s">
        <v>1751</v>
      </c>
      <c r="D489" s="15" t="s">
        <v>435</v>
      </c>
      <c r="E489" s="20">
        <v>1180</v>
      </c>
      <c r="F489" s="21">
        <v>4.2131999999999996</v>
      </c>
      <c r="G489" s="22">
        <v>1E-4</v>
      </c>
      <c r="H489" s="40"/>
      <c r="I489" s="24"/>
      <c r="J489" s="5"/>
    </row>
    <row r="490" spans="1:10" ht="13.05" customHeight="1">
      <c r="A490" s="18" t="s">
        <v>1752</v>
      </c>
      <c r="B490" s="19" t="s">
        <v>1753</v>
      </c>
      <c r="C490" s="15" t="s">
        <v>1754</v>
      </c>
      <c r="D490" s="15" t="s">
        <v>501</v>
      </c>
      <c r="E490" s="20">
        <v>350</v>
      </c>
      <c r="F490" s="21">
        <v>4.1544999999999996</v>
      </c>
      <c r="G490" s="22">
        <v>1E-4</v>
      </c>
      <c r="H490" s="40"/>
      <c r="I490" s="24"/>
      <c r="J490" s="5"/>
    </row>
    <row r="491" spans="1:10" ht="13.05" customHeight="1">
      <c r="A491" s="18" t="s">
        <v>1755</v>
      </c>
      <c r="B491" s="19" t="s">
        <v>1756</v>
      </c>
      <c r="C491" s="15" t="s">
        <v>1757</v>
      </c>
      <c r="D491" s="15" t="s">
        <v>1603</v>
      </c>
      <c r="E491" s="20">
        <v>1266</v>
      </c>
      <c r="F491" s="21">
        <v>4.1106999999999996</v>
      </c>
      <c r="G491" s="22">
        <v>1E-4</v>
      </c>
      <c r="H491" s="40"/>
      <c r="I491" s="24"/>
      <c r="J491" s="5"/>
    </row>
    <row r="492" spans="1:10" ht="13.05" customHeight="1">
      <c r="A492" s="18" t="s">
        <v>1758</v>
      </c>
      <c r="B492" s="19" t="s">
        <v>1759</v>
      </c>
      <c r="C492" s="15" t="s">
        <v>1760</v>
      </c>
      <c r="D492" s="15" t="s">
        <v>261</v>
      </c>
      <c r="E492" s="20">
        <v>2435</v>
      </c>
      <c r="F492" s="21">
        <v>4.0518000000000001</v>
      </c>
      <c r="G492" s="22">
        <v>1E-4</v>
      </c>
      <c r="H492" s="40"/>
      <c r="I492" s="24"/>
      <c r="J492" s="5"/>
    </row>
    <row r="493" spans="1:10" ht="13.05" customHeight="1">
      <c r="A493" s="18" t="s">
        <v>1761</v>
      </c>
      <c r="B493" s="19" t="s">
        <v>1762</v>
      </c>
      <c r="C493" s="15" t="s">
        <v>1763</v>
      </c>
      <c r="D493" s="15" t="s">
        <v>501</v>
      </c>
      <c r="E493" s="20">
        <v>820</v>
      </c>
      <c r="F493" s="21">
        <v>3.9098000000000002</v>
      </c>
      <c r="G493" s="22">
        <v>1E-4</v>
      </c>
      <c r="H493" s="40"/>
      <c r="I493" s="24"/>
      <c r="J493" s="5"/>
    </row>
    <row r="494" spans="1:10" ht="13.05" customHeight="1">
      <c r="A494" s="18" t="s">
        <v>1764</v>
      </c>
      <c r="B494" s="19" t="s">
        <v>1765</v>
      </c>
      <c r="C494" s="15" t="s">
        <v>1766</v>
      </c>
      <c r="D494" s="15" t="s">
        <v>314</v>
      </c>
      <c r="E494" s="20">
        <v>295</v>
      </c>
      <c r="F494" s="21">
        <v>3.8908</v>
      </c>
      <c r="G494" s="22">
        <v>1E-4</v>
      </c>
      <c r="H494" s="40"/>
      <c r="I494" s="24"/>
      <c r="J494" s="5"/>
    </row>
    <row r="495" spans="1:10" ht="13.05" customHeight="1">
      <c r="A495" s="18" t="s">
        <v>1767</v>
      </c>
      <c r="B495" s="19" t="s">
        <v>1768</v>
      </c>
      <c r="C495" s="15" t="s">
        <v>1769</v>
      </c>
      <c r="D495" s="15" t="s">
        <v>268</v>
      </c>
      <c r="E495" s="20">
        <v>6987</v>
      </c>
      <c r="F495" s="21">
        <v>3.8134999999999999</v>
      </c>
      <c r="G495" s="22">
        <v>1E-4</v>
      </c>
      <c r="H495" s="40"/>
      <c r="I495" s="24"/>
      <c r="J495" s="5"/>
    </row>
    <row r="496" spans="1:10" ht="13.05" customHeight="1">
      <c r="A496" s="18" t="s">
        <v>1770</v>
      </c>
      <c r="B496" s="19" t="s">
        <v>1771</v>
      </c>
      <c r="C496" s="15" t="s">
        <v>1772</v>
      </c>
      <c r="D496" s="15" t="s">
        <v>567</v>
      </c>
      <c r="E496" s="20">
        <v>542</v>
      </c>
      <c r="F496" s="21">
        <v>3.6042999999999998</v>
      </c>
      <c r="G496" s="22">
        <v>1E-4</v>
      </c>
      <c r="H496" s="40"/>
      <c r="I496" s="24"/>
      <c r="J496" s="5"/>
    </row>
    <row r="497" spans="1:10" ht="13.05" customHeight="1">
      <c r="A497" s="18" t="s">
        <v>1773</v>
      </c>
      <c r="B497" s="19" t="s">
        <v>1774</v>
      </c>
      <c r="C497" s="15" t="s">
        <v>1775</v>
      </c>
      <c r="D497" s="15" t="s">
        <v>314</v>
      </c>
      <c r="E497" s="20">
        <v>548</v>
      </c>
      <c r="F497" s="21">
        <v>3.5971000000000002</v>
      </c>
      <c r="G497" s="22">
        <v>1E-4</v>
      </c>
      <c r="H497" s="40"/>
      <c r="I497" s="24"/>
      <c r="J497" s="5"/>
    </row>
    <row r="498" spans="1:10" ht="13.05" customHeight="1">
      <c r="A498" s="18" t="s">
        <v>1776</v>
      </c>
      <c r="B498" s="19" t="s">
        <v>1777</v>
      </c>
      <c r="C498" s="15" t="s">
        <v>1778</v>
      </c>
      <c r="D498" s="15" t="s">
        <v>581</v>
      </c>
      <c r="E498" s="20">
        <v>189</v>
      </c>
      <c r="F498" s="21">
        <v>3.5154000000000001</v>
      </c>
      <c r="G498" s="22">
        <v>1E-4</v>
      </c>
      <c r="H498" s="40"/>
      <c r="I498" s="24"/>
      <c r="J498" s="5"/>
    </row>
    <row r="499" spans="1:10" ht="13.05" customHeight="1">
      <c r="A499" s="18" t="s">
        <v>1779</v>
      </c>
      <c r="B499" s="19" t="s">
        <v>1780</v>
      </c>
      <c r="C499" s="15" t="s">
        <v>1781</v>
      </c>
      <c r="D499" s="15" t="s">
        <v>272</v>
      </c>
      <c r="E499" s="20">
        <v>180</v>
      </c>
      <c r="F499" s="21">
        <v>3.2747000000000002</v>
      </c>
      <c r="G499" s="22">
        <v>1E-4</v>
      </c>
      <c r="H499" s="40"/>
      <c r="I499" s="24"/>
      <c r="J499" s="5"/>
    </row>
    <row r="500" spans="1:10" ht="13.05" customHeight="1">
      <c r="A500" s="18" t="s">
        <v>1782</v>
      </c>
      <c r="B500" s="19" t="s">
        <v>1783</v>
      </c>
      <c r="C500" s="15" t="s">
        <v>1784</v>
      </c>
      <c r="D500" s="15" t="s">
        <v>501</v>
      </c>
      <c r="E500" s="20">
        <v>567</v>
      </c>
      <c r="F500" s="21">
        <v>3.2206000000000001</v>
      </c>
      <c r="G500" s="22">
        <v>1E-4</v>
      </c>
      <c r="H500" s="40"/>
      <c r="I500" s="24"/>
      <c r="J500" s="5"/>
    </row>
    <row r="501" spans="1:10" ht="13.05" customHeight="1">
      <c r="A501" s="18" t="s">
        <v>1785</v>
      </c>
      <c r="B501" s="19" t="s">
        <v>1786</v>
      </c>
      <c r="C501" s="15" t="s">
        <v>1787</v>
      </c>
      <c r="D501" s="15" t="s">
        <v>464</v>
      </c>
      <c r="E501" s="20">
        <v>417</v>
      </c>
      <c r="F501" s="21">
        <v>3.0811999999999999</v>
      </c>
      <c r="G501" s="22">
        <v>1E-4</v>
      </c>
      <c r="H501" s="40"/>
      <c r="I501" s="24"/>
      <c r="J501" s="5"/>
    </row>
    <row r="502" spans="1:10" ht="13.05" customHeight="1">
      <c r="A502" s="18" t="s">
        <v>1788</v>
      </c>
      <c r="B502" s="19" t="s">
        <v>1789</v>
      </c>
      <c r="C502" s="15" t="s">
        <v>1790</v>
      </c>
      <c r="D502" s="15" t="s">
        <v>325</v>
      </c>
      <c r="E502" s="20">
        <v>1101</v>
      </c>
      <c r="F502" s="21">
        <v>3.0811000000000002</v>
      </c>
      <c r="G502" s="22">
        <v>1E-4</v>
      </c>
      <c r="H502" s="40"/>
      <c r="I502" s="24"/>
      <c r="J502" s="5"/>
    </row>
    <row r="503" spans="1:10" ht="13.05" customHeight="1">
      <c r="A503" s="18" t="s">
        <v>1791</v>
      </c>
      <c r="B503" s="19" t="s">
        <v>1792</v>
      </c>
      <c r="C503" s="15" t="s">
        <v>1793</v>
      </c>
      <c r="D503" s="15" t="s">
        <v>581</v>
      </c>
      <c r="E503" s="20">
        <v>304</v>
      </c>
      <c r="F503" s="21">
        <v>3.0668000000000002</v>
      </c>
      <c r="G503" s="22">
        <v>1E-4</v>
      </c>
      <c r="H503" s="40"/>
      <c r="I503" s="24"/>
      <c r="J503" s="5"/>
    </row>
    <row r="504" spans="1:10" ht="13.05" customHeight="1">
      <c r="A504" s="18" t="s">
        <v>1794</v>
      </c>
      <c r="B504" s="19" t="s">
        <v>1795</v>
      </c>
      <c r="C504" s="15" t="s">
        <v>1796</v>
      </c>
      <c r="D504" s="15" t="s">
        <v>758</v>
      </c>
      <c r="E504" s="20">
        <v>17158</v>
      </c>
      <c r="F504" s="21">
        <v>2.9889000000000001</v>
      </c>
      <c r="G504" s="22">
        <v>1E-4</v>
      </c>
      <c r="H504" s="40"/>
      <c r="I504" s="24"/>
      <c r="J504" s="5"/>
    </row>
    <row r="505" spans="1:10" ht="13.05" customHeight="1">
      <c r="A505" s="18" t="s">
        <v>1797</v>
      </c>
      <c r="B505" s="19" t="s">
        <v>1798</v>
      </c>
      <c r="C505" s="15" t="s">
        <v>1799</v>
      </c>
      <c r="D505" s="15" t="s">
        <v>337</v>
      </c>
      <c r="E505" s="20">
        <v>709</v>
      </c>
      <c r="F505" s="21">
        <v>2.8527</v>
      </c>
      <c r="G505" s="22">
        <v>1E-4</v>
      </c>
      <c r="H505" s="40"/>
      <c r="I505" s="24"/>
      <c r="J505" s="5"/>
    </row>
    <row r="506" spans="1:10" ht="13.05" customHeight="1">
      <c r="A506" s="18" t="s">
        <v>1800</v>
      </c>
      <c r="B506" s="19" t="s">
        <v>1801</v>
      </c>
      <c r="C506" s="15" t="s">
        <v>1802</v>
      </c>
      <c r="D506" s="15" t="s">
        <v>603</v>
      </c>
      <c r="E506" s="20">
        <v>1895</v>
      </c>
      <c r="F506" s="21">
        <v>2.8289</v>
      </c>
      <c r="G506" s="22">
        <v>1E-4</v>
      </c>
      <c r="H506" s="40"/>
      <c r="I506" s="24"/>
      <c r="J506" s="5"/>
    </row>
    <row r="507" spans="1:10" ht="13.05" customHeight="1">
      <c r="A507" s="18" t="s">
        <v>1803</v>
      </c>
      <c r="B507" s="19" t="s">
        <v>1804</v>
      </c>
      <c r="C507" s="15" t="s">
        <v>1805</v>
      </c>
      <c r="D507" s="15" t="s">
        <v>314</v>
      </c>
      <c r="E507" s="20">
        <v>427</v>
      </c>
      <c r="F507" s="21">
        <v>1.9674</v>
      </c>
      <c r="G507" s="22">
        <v>1E-4</v>
      </c>
      <c r="H507" s="40"/>
      <c r="I507" s="24"/>
      <c r="J507" s="5"/>
    </row>
    <row r="508" spans="1:10" ht="13.05" customHeight="1">
      <c r="A508" s="18" t="s">
        <v>1806</v>
      </c>
      <c r="B508" s="19" t="s">
        <v>1807</v>
      </c>
      <c r="C508" s="15" t="s">
        <v>1808</v>
      </c>
      <c r="D508" s="15" t="s">
        <v>970</v>
      </c>
      <c r="E508" s="20">
        <v>2063</v>
      </c>
      <c r="F508" s="21">
        <v>1.4178999999999999</v>
      </c>
      <c r="G508" s="40" t="s">
        <v>1809</v>
      </c>
      <c r="H508" s="40"/>
      <c r="I508" s="24"/>
      <c r="J508" s="5"/>
    </row>
    <row r="509" spans="1:10" ht="13.05" customHeight="1">
      <c r="A509" s="18" t="s">
        <v>1810</v>
      </c>
      <c r="B509" s="19" t="s">
        <v>5524</v>
      </c>
      <c r="C509" s="15" t="s">
        <v>1811</v>
      </c>
      <c r="D509" s="15" t="s">
        <v>464</v>
      </c>
      <c r="E509" s="20">
        <v>323</v>
      </c>
      <c r="F509" s="21">
        <v>1.0127999999999999</v>
      </c>
      <c r="G509" s="40" t="s">
        <v>1809</v>
      </c>
      <c r="H509" s="40"/>
      <c r="I509" s="24"/>
      <c r="J509" s="5"/>
    </row>
    <row r="510" spans="1:10" ht="13.05" customHeight="1">
      <c r="A510" s="5"/>
      <c r="B510" s="14" t="s">
        <v>192</v>
      </c>
      <c r="C510" s="15"/>
      <c r="D510" s="15"/>
      <c r="E510" s="15"/>
      <c r="F510" s="25">
        <v>30455.8835</v>
      </c>
      <c r="G510" s="26">
        <v>0.99990000000000001</v>
      </c>
      <c r="H510" s="27"/>
      <c r="I510" s="28"/>
      <c r="J510" s="5"/>
    </row>
    <row r="511" spans="1:10" ht="13.05" customHeight="1">
      <c r="A511" s="5"/>
      <c r="B511" s="29" t="s">
        <v>1812</v>
      </c>
      <c r="C511" s="2"/>
      <c r="D511" s="2"/>
      <c r="E511" s="2"/>
      <c r="F511" s="27" t="s">
        <v>194</v>
      </c>
      <c r="G511" s="27" t="s">
        <v>194</v>
      </c>
      <c r="H511" s="27"/>
      <c r="I511" s="28"/>
      <c r="J511" s="5"/>
    </row>
    <row r="512" spans="1:10" ht="13.05" customHeight="1">
      <c r="A512" s="5"/>
      <c r="B512" s="29" t="s">
        <v>192</v>
      </c>
      <c r="C512" s="2"/>
      <c r="D512" s="2"/>
      <c r="E512" s="2"/>
      <c r="F512" s="27" t="s">
        <v>194</v>
      </c>
      <c r="G512" s="27" t="s">
        <v>194</v>
      </c>
      <c r="H512" s="27"/>
      <c r="I512" s="28"/>
      <c r="J512" s="5"/>
    </row>
    <row r="513" spans="1:10" ht="13.05" customHeight="1">
      <c r="A513" s="5"/>
      <c r="B513" s="14" t="s">
        <v>1813</v>
      </c>
      <c r="C513" s="15"/>
      <c r="D513" s="15"/>
      <c r="E513" s="15"/>
      <c r="F513" s="5"/>
      <c r="G513" s="16"/>
      <c r="H513" s="16"/>
      <c r="I513" s="17"/>
      <c r="J513" s="5"/>
    </row>
    <row r="514" spans="1:10" ht="13.05" customHeight="1">
      <c r="A514" s="18" t="s">
        <v>1814</v>
      </c>
      <c r="B514" s="19" t="s">
        <v>5526</v>
      </c>
      <c r="C514" s="15" t="s">
        <v>1815</v>
      </c>
      <c r="D514" s="15" t="s">
        <v>296</v>
      </c>
      <c r="E514" s="20">
        <v>14520</v>
      </c>
      <c r="F514" s="21">
        <v>1.4653</v>
      </c>
      <c r="G514" s="40" t="s">
        <v>1809</v>
      </c>
      <c r="H514" s="40"/>
      <c r="I514" s="24"/>
      <c r="J514" s="5"/>
    </row>
    <row r="515" spans="1:10" ht="13.05" customHeight="1">
      <c r="A515" s="5"/>
      <c r="B515" s="14" t="s">
        <v>192</v>
      </c>
      <c r="C515" s="15"/>
      <c r="D515" s="15"/>
      <c r="E515" s="15"/>
      <c r="F515" s="25">
        <v>1.4653</v>
      </c>
      <c r="G515" s="27" t="s">
        <v>1809</v>
      </c>
      <c r="H515" s="27"/>
      <c r="I515" s="28"/>
      <c r="J515" s="5"/>
    </row>
    <row r="516" spans="1:10" ht="13.05" customHeight="1">
      <c r="A516" s="5"/>
      <c r="B516" s="29" t="s">
        <v>195</v>
      </c>
      <c r="C516" s="30"/>
      <c r="D516" s="2"/>
      <c r="E516" s="30"/>
      <c r="F516" s="25">
        <v>30457.3488</v>
      </c>
      <c r="G516" s="26">
        <v>1</v>
      </c>
      <c r="H516" s="27"/>
      <c r="I516" s="28"/>
      <c r="J516" s="5"/>
    </row>
    <row r="517" spans="1:10" ht="13.05" customHeight="1">
      <c r="A517" s="5"/>
      <c r="B517" s="14" t="s">
        <v>196</v>
      </c>
      <c r="C517" s="15"/>
      <c r="D517" s="15"/>
      <c r="E517" s="15"/>
      <c r="F517" s="15"/>
      <c r="G517" s="15"/>
      <c r="H517" s="16"/>
      <c r="I517" s="17"/>
      <c r="J517" s="5"/>
    </row>
    <row r="518" spans="1:10" ht="13.05" customHeight="1">
      <c r="A518" s="18" t="s">
        <v>197</v>
      </c>
      <c r="B518" s="19" t="s">
        <v>198</v>
      </c>
      <c r="C518" s="15"/>
      <c r="D518" s="15"/>
      <c r="E518" s="20"/>
      <c r="F518" s="21">
        <v>70.198599999999999</v>
      </c>
      <c r="G518" s="22">
        <v>2.3E-3</v>
      </c>
      <c r="H518" s="23">
        <v>5.5573638923834913E-2</v>
      </c>
      <c r="I518" s="24"/>
      <c r="J518" s="5"/>
    </row>
    <row r="519" spans="1:10" ht="13.05" customHeight="1">
      <c r="A519" s="5"/>
      <c r="B519" s="14" t="s">
        <v>192</v>
      </c>
      <c r="C519" s="15"/>
      <c r="D519" s="15"/>
      <c r="E519" s="15"/>
      <c r="F519" s="25">
        <v>70.198599999999999</v>
      </c>
      <c r="G519" s="26">
        <v>2.3E-3</v>
      </c>
      <c r="H519" s="27"/>
      <c r="I519" s="28"/>
      <c r="J519" s="5"/>
    </row>
    <row r="520" spans="1:10" ht="13.05" customHeight="1">
      <c r="A520" s="5"/>
      <c r="B520" s="29" t="s">
        <v>195</v>
      </c>
      <c r="C520" s="30"/>
      <c r="D520" s="2"/>
      <c r="E520" s="30"/>
      <c r="F520" s="25">
        <v>70.198599999999999</v>
      </c>
      <c r="G520" s="26">
        <v>2.3E-3</v>
      </c>
      <c r="H520" s="27"/>
      <c r="I520" s="28"/>
      <c r="J520" s="5"/>
    </row>
    <row r="521" spans="1:10" ht="13.05" customHeight="1">
      <c r="A521" s="5"/>
      <c r="B521" s="29" t="s">
        <v>199</v>
      </c>
      <c r="C521" s="15"/>
      <c r="D521" s="2"/>
      <c r="E521" s="15"/>
      <c r="F521" s="31">
        <v>-69.587400000000002</v>
      </c>
      <c r="G521" s="26">
        <v>-2.3E-3</v>
      </c>
      <c r="H521" s="27"/>
      <c r="I521" s="28"/>
      <c r="J521" s="5"/>
    </row>
    <row r="522" spans="1:10" ht="13.05" customHeight="1">
      <c r="A522" s="5"/>
      <c r="B522" s="32" t="s">
        <v>200</v>
      </c>
      <c r="C522" s="33"/>
      <c r="D522" s="33"/>
      <c r="E522" s="33"/>
      <c r="F522" s="34">
        <v>30457.96</v>
      </c>
      <c r="G522" s="35">
        <v>1</v>
      </c>
      <c r="H522" s="36"/>
      <c r="I522" s="37"/>
      <c r="J522" s="5"/>
    </row>
    <row r="523" spans="1:10" ht="13.05" customHeight="1">
      <c r="A523" s="5"/>
      <c r="B523" s="7"/>
      <c r="C523" s="5"/>
      <c r="D523" s="5"/>
      <c r="E523" s="5"/>
      <c r="F523" s="5"/>
      <c r="G523" s="5"/>
      <c r="H523" s="5"/>
      <c r="I523" s="5"/>
      <c r="J523" s="5"/>
    </row>
    <row r="524" spans="1:10" ht="13.05" customHeight="1">
      <c r="A524" s="5"/>
      <c r="B524" s="4" t="s">
        <v>250</v>
      </c>
      <c r="C524" s="5"/>
      <c r="D524" s="5"/>
      <c r="E524" s="5"/>
      <c r="F524" s="5"/>
      <c r="G524" s="5"/>
      <c r="H524" s="5"/>
      <c r="I524" s="5"/>
      <c r="J524" s="5"/>
    </row>
    <row r="525" spans="1:10" ht="13.05" customHeight="1">
      <c r="A525" s="5"/>
      <c r="B525" s="4" t="s">
        <v>1816</v>
      </c>
      <c r="C525" s="5"/>
      <c r="D525" s="5"/>
      <c r="E525" s="5"/>
      <c r="F525" s="5"/>
      <c r="G525" s="5"/>
      <c r="H525" s="5"/>
      <c r="I525" s="5"/>
      <c r="J525" s="5"/>
    </row>
    <row r="526" spans="1:10" ht="13.05" customHeight="1">
      <c r="A526" s="5"/>
      <c r="B526" s="4" t="s">
        <v>201</v>
      </c>
      <c r="C526" s="5"/>
      <c r="D526" s="5"/>
      <c r="E526" s="5"/>
      <c r="F526" s="5"/>
      <c r="G526" s="5"/>
      <c r="H526" s="5"/>
      <c r="I526" s="5"/>
      <c r="J526" s="5"/>
    </row>
    <row r="527" spans="1:10" ht="25.95" customHeight="1">
      <c r="A527" s="5"/>
      <c r="B527" s="103" t="s">
        <v>202</v>
      </c>
      <c r="C527" s="103"/>
      <c r="D527" s="103"/>
      <c r="E527" s="103"/>
      <c r="F527" s="103"/>
      <c r="G527" s="103"/>
      <c r="H527" s="103"/>
      <c r="I527" s="103"/>
      <c r="J527" s="5"/>
    </row>
    <row r="528" spans="1:10" ht="13.05" customHeight="1">
      <c r="A528" s="5"/>
      <c r="B528" s="103" t="s">
        <v>203</v>
      </c>
      <c r="C528" s="103"/>
      <c r="D528" s="103"/>
      <c r="E528" s="103"/>
      <c r="F528" s="103"/>
      <c r="G528" s="103"/>
      <c r="H528" s="103"/>
      <c r="I528" s="103"/>
      <c r="J528" s="5"/>
    </row>
    <row r="529" spans="1:10" ht="13.05" customHeight="1">
      <c r="A529" s="5"/>
      <c r="B529" s="103"/>
      <c r="C529" s="103"/>
      <c r="D529" s="103"/>
      <c r="E529" s="103"/>
      <c r="F529" s="103"/>
      <c r="G529" s="103"/>
      <c r="H529" s="103"/>
      <c r="I529" s="103"/>
      <c r="J529" s="5"/>
    </row>
    <row r="530" spans="1:10" ht="13.05" customHeight="1">
      <c r="A530" s="5"/>
      <c r="B530" s="103"/>
      <c r="C530" s="103"/>
      <c r="D530" s="103"/>
      <c r="E530" s="103"/>
      <c r="F530" s="103"/>
      <c r="G530" s="103"/>
      <c r="H530" s="103"/>
      <c r="I530" s="103"/>
      <c r="J530" s="5"/>
    </row>
    <row r="531" spans="1:10" ht="13.05" customHeight="1">
      <c r="A531" s="5"/>
      <c r="B531" s="103"/>
      <c r="C531" s="103"/>
      <c r="D531" s="103"/>
      <c r="E531" s="103"/>
      <c r="F531" s="103"/>
      <c r="G531" s="103"/>
      <c r="H531" s="103"/>
      <c r="I531" s="103"/>
      <c r="J531" s="5"/>
    </row>
    <row r="532" spans="1:10" ht="13.05" customHeight="1">
      <c r="A532" s="5"/>
      <c r="B532" s="103"/>
      <c r="C532" s="103"/>
      <c r="D532" s="103"/>
      <c r="E532" s="103"/>
      <c r="F532" s="103"/>
      <c r="G532" s="103"/>
      <c r="H532" s="103"/>
      <c r="I532" s="103"/>
      <c r="J532" s="5"/>
    </row>
    <row r="533" spans="1:10" ht="13.05" customHeight="1">
      <c r="A533" s="5"/>
      <c r="B533" s="5"/>
      <c r="C533" s="104" t="s">
        <v>1817</v>
      </c>
      <c r="D533" s="104"/>
      <c r="E533" s="104"/>
      <c r="F533" s="104"/>
      <c r="G533" s="5"/>
      <c r="H533" s="5"/>
      <c r="I533" s="5"/>
      <c r="J533" s="5"/>
    </row>
    <row r="534" spans="1:10" ht="13.05" customHeight="1">
      <c r="A534" s="5"/>
      <c r="B534" s="38" t="s">
        <v>207</v>
      </c>
      <c r="C534" s="104" t="s">
        <v>208</v>
      </c>
      <c r="D534" s="104"/>
      <c r="E534" s="104"/>
      <c r="F534" s="104"/>
      <c r="G534" s="5"/>
      <c r="H534" s="5"/>
      <c r="I534" s="5"/>
      <c r="J534" s="5"/>
    </row>
    <row r="535" spans="1:10" ht="135" customHeight="1">
      <c r="A535" s="5"/>
      <c r="B535" s="39"/>
      <c r="C535" s="105"/>
      <c r="D535" s="105"/>
      <c r="E535" s="5"/>
      <c r="F535" s="5"/>
      <c r="G535" s="5"/>
      <c r="H535" s="5"/>
      <c r="I535" s="5"/>
      <c r="J535" s="5"/>
    </row>
  </sheetData>
  <mergeCells count="9">
    <mergeCell ref="B532:I532"/>
    <mergeCell ref="C533:F533"/>
    <mergeCell ref="C534:F534"/>
    <mergeCell ref="C535:D535"/>
    <mergeCell ref="B527:I527"/>
    <mergeCell ref="B528:I528"/>
    <mergeCell ref="B529:I529"/>
    <mergeCell ref="B530:I530"/>
    <mergeCell ref="B531:I531"/>
  </mergeCells>
  <hyperlinks>
    <hyperlink ref="A1" location="AxisNifty500IndexFund" display="AXIS500" xr:uid="{00000000-0004-0000-0300-000000000000}"/>
    <hyperlink ref="B1" location="AxisNifty500IndexFund" display="Axis Nifty 500 Index Fund" xr:uid="{00000000-0004-0000-0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J31"/>
  <sheetViews>
    <sheetView workbookViewId="0">
      <selection activeCell="B26" sqref="B26:I26"/>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10</v>
      </c>
      <c r="B1" s="4" t="s">
        <v>11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1818</v>
      </c>
      <c r="C5" s="15"/>
      <c r="D5" s="15"/>
      <c r="E5" s="15"/>
      <c r="F5" s="15"/>
      <c r="G5" s="15"/>
      <c r="H5" s="16"/>
      <c r="I5" s="17"/>
      <c r="J5" s="5"/>
    </row>
    <row r="6" spans="1:10" ht="13.05" customHeight="1">
      <c r="A6" s="5"/>
      <c r="B6" s="14" t="s">
        <v>1819</v>
      </c>
      <c r="C6" s="15"/>
      <c r="D6" s="15"/>
      <c r="E6" s="15"/>
      <c r="F6" s="5"/>
      <c r="G6" s="16"/>
      <c r="H6" s="16"/>
      <c r="I6" s="17"/>
      <c r="J6" s="5"/>
    </row>
    <row r="7" spans="1:10" ht="13.05" customHeight="1">
      <c r="A7" s="18" t="s">
        <v>1820</v>
      </c>
      <c r="B7" s="19" t="s">
        <v>1821</v>
      </c>
      <c r="C7" s="15" t="s">
        <v>1822</v>
      </c>
      <c r="D7" s="15"/>
      <c r="E7" s="20">
        <v>350120896.48699999</v>
      </c>
      <c r="F7" s="21">
        <v>64914.865100000003</v>
      </c>
      <c r="G7" s="22">
        <v>0.34260000000000002</v>
      </c>
      <c r="H7" s="40"/>
      <c r="I7" s="24"/>
      <c r="J7" s="5"/>
    </row>
    <row r="8" spans="1:10" ht="13.05" customHeight="1">
      <c r="A8" s="18" t="s">
        <v>1823</v>
      </c>
      <c r="B8" s="19" t="s">
        <v>1824</v>
      </c>
      <c r="C8" s="15" t="s">
        <v>1825</v>
      </c>
      <c r="D8" s="15"/>
      <c r="E8" s="20">
        <v>182799488.08000001</v>
      </c>
      <c r="F8" s="21">
        <v>37848.268400000001</v>
      </c>
      <c r="G8" s="22">
        <v>0.19980000000000001</v>
      </c>
      <c r="H8" s="40"/>
      <c r="I8" s="24"/>
      <c r="J8" s="5"/>
    </row>
    <row r="9" spans="1:10" ht="13.05" customHeight="1">
      <c r="A9" s="18" t="s">
        <v>1826</v>
      </c>
      <c r="B9" s="19" t="s">
        <v>1827</v>
      </c>
      <c r="C9" s="15" t="s">
        <v>1828</v>
      </c>
      <c r="D9" s="15"/>
      <c r="E9" s="20">
        <v>50746465.438000001</v>
      </c>
      <c r="F9" s="21">
        <v>32725.329900000001</v>
      </c>
      <c r="G9" s="22">
        <v>0.17269999999999999</v>
      </c>
      <c r="H9" s="40"/>
      <c r="I9" s="24"/>
      <c r="J9" s="5"/>
    </row>
    <row r="10" spans="1:10" ht="13.05" customHeight="1">
      <c r="A10" s="18" t="s">
        <v>1829</v>
      </c>
      <c r="B10" s="19" t="s">
        <v>1830</v>
      </c>
      <c r="C10" s="15" t="s">
        <v>1831</v>
      </c>
      <c r="D10" s="15"/>
      <c r="E10" s="20">
        <v>50754989.259000003</v>
      </c>
      <c r="F10" s="21">
        <v>20721.841</v>
      </c>
      <c r="G10" s="22">
        <v>0.1094</v>
      </c>
      <c r="H10" s="40"/>
      <c r="I10" s="24"/>
      <c r="J10" s="5"/>
    </row>
    <row r="11" spans="1:10" ht="13.05" customHeight="1">
      <c r="A11" s="18" t="s">
        <v>1832</v>
      </c>
      <c r="B11" s="19" t="s">
        <v>1833</v>
      </c>
      <c r="C11" s="15" t="s">
        <v>1834</v>
      </c>
      <c r="D11" s="15"/>
      <c r="E11" s="20">
        <v>67351034.759000003</v>
      </c>
      <c r="F11" s="21">
        <v>19668.926800000001</v>
      </c>
      <c r="G11" s="22">
        <v>0.1038</v>
      </c>
      <c r="H11" s="40"/>
      <c r="I11" s="24"/>
      <c r="J11" s="5"/>
    </row>
    <row r="12" spans="1:10" ht="13.05" customHeight="1">
      <c r="A12" s="18" t="s">
        <v>1835</v>
      </c>
      <c r="B12" s="19" t="s">
        <v>1836</v>
      </c>
      <c r="C12" s="15" t="s">
        <v>1837</v>
      </c>
      <c r="D12" s="15"/>
      <c r="E12" s="20">
        <v>5452598.9330000002</v>
      </c>
      <c r="F12" s="21">
        <v>6391.9126999999999</v>
      </c>
      <c r="G12" s="22">
        <v>3.3700000000000001E-2</v>
      </c>
      <c r="H12" s="40"/>
      <c r="I12" s="24"/>
      <c r="J12" s="5"/>
    </row>
    <row r="13" spans="1:10" ht="13.05" customHeight="1">
      <c r="A13" s="5"/>
      <c r="B13" s="14" t="s">
        <v>192</v>
      </c>
      <c r="C13" s="15"/>
      <c r="D13" s="15"/>
      <c r="E13" s="15"/>
      <c r="F13" s="25">
        <v>182271.14379999999</v>
      </c>
      <c r="G13" s="26">
        <v>0.96199999999999997</v>
      </c>
      <c r="H13" s="27"/>
      <c r="I13" s="28"/>
      <c r="J13" s="5"/>
    </row>
    <row r="14" spans="1:10" ht="13.05" customHeight="1">
      <c r="A14" s="5"/>
      <c r="B14" s="29" t="s">
        <v>195</v>
      </c>
      <c r="C14" s="30"/>
      <c r="D14" s="2"/>
      <c r="E14" s="30"/>
      <c r="F14" s="25">
        <v>182271.14379999999</v>
      </c>
      <c r="G14" s="26">
        <v>0.96199999999999997</v>
      </c>
      <c r="H14" s="27"/>
      <c r="I14" s="28"/>
      <c r="J14" s="5"/>
    </row>
    <row r="15" spans="1:10" ht="13.05" customHeight="1">
      <c r="A15" s="5"/>
      <c r="B15" s="14" t="s">
        <v>196</v>
      </c>
      <c r="C15" s="15"/>
      <c r="D15" s="15"/>
      <c r="E15" s="15"/>
      <c r="F15" s="15"/>
      <c r="G15" s="15"/>
      <c r="H15" s="16"/>
      <c r="I15" s="17"/>
      <c r="J15" s="5"/>
    </row>
    <row r="16" spans="1:10" ht="13.05" customHeight="1">
      <c r="A16" s="18" t="s">
        <v>197</v>
      </c>
      <c r="B16" s="19" t="s">
        <v>198</v>
      </c>
      <c r="C16" s="15"/>
      <c r="D16" s="15"/>
      <c r="E16" s="20"/>
      <c r="F16" s="21">
        <v>12355.3676</v>
      </c>
      <c r="G16" s="22">
        <v>6.5199999999999994E-2</v>
      </c>
      <c r="H16" s="23">
        <v>5.5573617010495215E-2</v>
      </c>
      <c r="I16" s="24"/>
      <c r="J16" s="5"/>
    </row>
    <row r="17" spans="1:10" ht="13.05" customHeight="1">
      <c r="A17" s="5"/>
      <c r="B17" s="14" t="s">
        <v>192</v>
      </c>
      <c r="C17" s="15"/>
      <c r="D17" s="15"/>
      <c r="E17" s="15"/>
      <c r="F17" s="25">
        <v>12355.3676</v>
      </c>
      <c r="G17" s="26">
        <v>6.5199999999999994E-2</v>
      </c>
      <c r="H17" s="27"/>
      <c r="I17" s="28"/>
      <c r="J17" s="5"/>
    </row>
    <row r="18" spans="1:10" ht="13.05" customHeight="1">
      <c r="A18" s="5"/>
      <c r="B18" s="29" t="s">
        <v>195</v>
      </c>
      <c r="C18" s="30"/>
      <c r="D18" s="2"/>
      <c r="E18" s="30"/>
      <c r="F18" s="25">
        <v>12355.3676</v>
      </c>
      <c r="G18" s="26">
        <v>6.5199999999999994E-2</v>
      </c>
      <c r="H18" s="27"/>
      <c r="I18" s="28"/>
      <c r="J18" s="5"/>
    </row>
    <row r="19" spans="1:10" ht="13.05" customHeight="1">
      <c r="A19" s="5"/>
      <c r="B19" s="29" t="s">
        <v>199</v>
      </c>
      <c r="C19" s="15"/>
      <c r="D19" s="2"/>
      <c r="E19" s="15"/>
      <c r="F19" s="31">
        <v>-5161.5514000000003</v>
      </c>
      <c r="G19" s="26">
        <v>-2.7199999999999998E-2</v>
      </c>
      <c r="H19" s="27"/>
      <c r="I19" s="28"/>
      <c r="J19" s="5"/>
    </row>
    <row r="20" spans="1:10" ht="13.05" customHeight="1">
      <c r="A20" s="5"/>
      <c r="B20" s="32" t="s">
        <v>200</v>
      </c>
      <c r="C20" s="33"/>
      <c r="D20" s="33"/>
      <c r="E20" s="33"/>
      <c r="F20" s="34">
        <v>189464.95999999999</v>
      </c>
      <c r="G20" s="35">
        <v>1</v>
      </c>
      <c r="H20" s="36"/>
      <c r="I20" s="37"/>
      <c r="J20" s="5"/>
    </row>
    <row r="21" spans="1:10" ht="13.05" customHeight="1">
      <c r="A21" s="5"/>
      <c r="B21" s="7"/>
      <c r="C21" s="5"/>
      <c r="D21" s="5"/>
      <c r="E21" s="5"/>
      <c r="F21" s="5"/>
      <c r="G21" s="5"/>
      <c r="H21" s="5"/>
      <c r="I21" s="5"/>
      <c r="J21" s="5"/>
    </row>
    <row r="22" spans="1:10" ht="13.05" customHeight="1">
      <c r="A22" s="5"/>
      <c r="B22" s="4" t="s">
        <v>201</v>
      </c>
      <c r="C22" s="5"/>
      <c r="D22" s="5"/>
      <c r="E22" s="5"/>
      <c r="F22" s="5"/>
      <c r="G22" s="5"/>
      <c r="H22" s="5"/>
      <c r="I22" s="5"/>
      <c r="J22" s="5"/>
    </row>
    <row r="23" spans="1:10" ht="25.95" customHeight="1">
      <c r="A23" s="5"/>
      <c r="B23" s="103" t="s">
        <v>202</v>
      </c>
      <c r="C23" s="103"/>
      <c r="D23" s="103"/>
      <c r="E23" s="103"/>
      <c r="F23" s="103"/>
      <c r="G23" s="103"/>
      <c r="H23" s="103"/>
      <c r="I23" s="103"/>
      <c r="J23" s="5"/>
    </row>
    <row r="24" spans="1:10" ht="13.05" customHeight="1">
      <c r="A24" s="5"/>
      <c r="B24" s="103" t="s">
        <v>203</v>
      </c>
      <c r="C24" s="103"/>
      <c r="D24" s="103"/>
      <c r="E24" s="103"/>
      <c r="F24" s="103"/>
      <c r="G24" s="103"/>
      <c r="H24" s="103"/>
      <c r="I24" s="103"/>
      <c r="J24" s="5"/>
    </row>
    <row r="25" spans="1:10" ht="13.05" customHeight="1">
      <c r="A25" s="44"/>
      <c r="B25" s="106" t="s">
        <v>204</v>
      </c>
      <c r="C25" s="106"/>
      <c r="D25" s="106"/>
      <c r="E25" s="106"/>
      <c r="F25" s="106"/>
      <c r="G25" s="106"/>
      <c r="H25" s="106"/>
      <c r="I25" s="106"/>
      <c r="J25" s="44"/>
    </row>
    <row r="26" spans="1:10" ht="13.05" customHeight="1">
      <c r="A26" s="44"/>
      <c r="B26" s="106" t="s">
        <v>205</v>
      </c>
      <c r="C26" s="106"/>
      <c r="D26" s="106"/>
      <c r="E26" s="106"/>
      <c r="F26" s="106"/>
      <c r="G26" s="106"/>
      <c r="H26" s="106"/>
      <c r="I26" s="106"/>
      <c r="J26" s="44"/>
    </row>
    <row r="27" spans="1:10" ht="13.05" customHeight="1">
      <c r="A27" s="5"/>
      <c r="B27" s="103"/>
      <c r="C27" s="103"/>
      <c r="D27" s="103"/>
      <c r="E27" s="103"/>
      <c r="F27" s="103"/>
      <c r="G27" s="103"/>
      <c r="H27" s="103"/>
      <c r="I27" s="103"/>
      <c r="J27" s="5"/>
    </row>
    <row r="28" spans="1:10" ht="13.05" customHeight="1">
      <c r="A28" s="5"/>
      <c r="B28" s="103"/>
      <c r="C28" s="103"/>
      <c r="D28" s="103"/>
      <c r="E28" s="103"/>
      <c r="F28" s="103"/>
      <c r="G28" s="103"/>
      <c r="H28" s="103"/>
      <c r="I28" s="103"/>
      <c r="J28" s="5"/>
    </row>
    <row r="29" spans="1:10" ht="13.05" customHeight="1">
      <c r="A29" s="5"/>
      <c r="B29" s="5"/>
      <c r="C29" s="104" t="s">
        <v>1838</v>
      </c>
      <c r="D29" s="104"/>
      <c r="E29" s="104"/>
      <c r="F29" s="104"/>
      <c r="G29" s="5"/>
      <c r="H29" s="5"/>
      <c r="I29" s="5"/>
      <c r="J29" s="5"/>
    </row>
    <row r="30" spans="1:10" ht="13.05" customHeight="1">
      <c r="A30" s="5"/>
      <c r="B30" s="38" t="s">
        <v>207</v>
      </c>
      <c r="C30" s="104" t="s">
        <v>208</v>
      </c>
      <c r="D30" s="104"/>
      <c r="E30" s="104"/>
      <c r="F30" s="104"/>
      <c r="G30" s="5"/>
      <c r="H30" s="5"/>
      <c r="I30" s="5"/>
      <c r="J30" s="5"/>
    </row>
    <row r="31" spans="1:10" ht="135" customHeight="1">
      <c r="A31" s="5"/>
      <c r="B31" s="39"/>
      <c r="C31" s="105"/>
      <c r="D31" s="105"/>
      <c r="E31" s="5"/>
      <c r="F31" s="5"/>
      <c r="G31" s="5"/>
      <c r="H31" s="5"/>
      <c r="I31" s="5"/>
      <c r="J31" s="5"/>
    </row>
  </sheetData>
  <mergeCells count="9">
    <mergeCell ref="B28:I28"/>
    <mergeCell ref="C29:F29"/>
    <mergeCell ref="C30:F30"/>
    <mergeCell ref="C31:D31"/>
    <mergeCell ref="B23:I23"/>
    <mergeCell ref="B24:I24"/>
    <mergeCell ref="B25:I25"/>
    <mergeCell ref="B27:I27"/>
    <mergeCell ref="B26:I26"/>
  </mergeCells>
  <hyperlinks>
    <hyperlink ref="A1" location="AxisIncomePlusArbitrageActiveFOF" display="AXISASD" xr:uid="{00000000-0004-0000-0400-000000000000}"/>
    <hyperlink ref="B1" location="AxisIncomePlusArbitrageActiveFOF" display="Axis Income Plus Arbitrage Active FOF" xr:uid="{00000000-0004-0000-04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J121"/>
  <sheetViews>
    <sheetView topLeftCell="A106" workbookViewId="0">
      <selection activeCell="C140" sqref="C140"/>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12</v>
      </c>
      <c r="B1" s="4" t="s">
        <v>13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262</v>
      </c>
      <c r="B7" s="19" t="s">
        <v>263</v>
      </c>
      <c r="C7" s="15" t="s">
        <v>264</v>
      </c>
      <c r="D7" s="15" t="s">
        <v>257</v>
      </c>
      <c r="E7" s="20">
        <v>1052228</v>
      </c>
      <c r="F7" s="21">
        <v>14155.623299999999</v>
      </c>
      <c r="G7" s="22">
        <v>6.1600000000000002E-2</v>
      </c>
      <c r="H7" s="40"/>
      <c r="I7" s="24"/>
      <c r="J7" s="5"/>
    </row>
    <row r="8" spans="1:10" ht="13.05" customHeight="1">
      <c r="A8" s="18" t="s">
        <v>265</v>
      </c>
      <c r="B8" s="19" t="s">
        <v>266</v>
      </c>
      <c r="C8" s="15" t="s">
        <v>267</v>
      </c>
      <c r="D8" s="15" t="s">
        <v>268</v>
      </c>
      <c r="E8" s="20">
        <v>458359</v>
      </c>
      <c r="F8" s="21">
        <v>9416.9856999999993</v>
      </c>
      <c r="G8" s="22">
        <v>4.1000000000000002E-2</v>
      </c>
      <c r="H8" s="40"/>
      <c r="I8" s="24"/>
      <c r="J8" s="5"/>
    </row>
    <row r="9" spans="1:10" ht="13.05" customHeight="1">
      <c r="A9" s="18" t="s">
        <v>254</v>
      </c>
      <c r="B9" s="19" t="s">
        <v>255</v>
      </c>
      <c r="C9" s="15" t="s">
        <v>256</v>
      </c>
      <c r="D9" s="15" t="s">
        <v>257</v>
      </c>
      <c r="E9" s="20">
        <v>934409</v>
      </c>
      <c r="F9" s="21">
        <v>9225.4200999999994</v>
      </c>
      <c r="G9" s="22">
        <v>4.0099999999999997E-2</v>
      </c>
      <c r="H9" s="40"/>
      <c r="I9" s="24"/>
      <c r="J9" s="5"/>
    </row>
    <row r="10" spans="1:10" ht="13.05" customHeight="1">
      <c r="A10" s="18" t="s">
        <v>273</v>
      </c>
      <c r="B10" s="19" t="s">
        <v>274</v>
      </c>
      <c r="C10" s="15" t="s">
        <v>275</v>
      </c>
      <c r="D10" s="15" t="s">
        <v>276</v>
      </c>
      <c r="E10" s="20">
        <v>188809</v>
      </c>
      <c r="F10" s="21">
        <v>7610.7020000000002</v>
      </c>
      <c r="G10" s="22">
        <v>3.3099999999999997E-2</v>
      </c>
      <c r="H10" s="40"/>
      <c r="I10" s="24"/>
      <c r="J10" s="5"/>
    </row>
    <row r="11" spans="1:10" ht="13.05" customHeight="1">
      <c r="A11" s="18" t="s">
        <v>269</v>
      </c>
      <c r="B11" s="19" t="s">
        <v>270</v>
      </c>
      <c r="C11" s="15" t="s">
        <v>271</v>
      </c>
      <c r="D11" s="15" t="s">
        <v>272</v>
      </c>
      <c r="E11" s="20">
        <v>505777</v>
      </c>
      <c r="F11" s="21">
        <v>7497.1324999999997</v>
      </c>
      <c r="G11" s="22">
        <v>3.2599999999999997E-2</v>
      </c>
      <c r="H11" s="40"/>
      <c r="I11" s="24"/>
      <c r="J11" s="5"/>
    </row>
    <row r="12" spans="1:10" ht="13.05" customHeight="1">
      <c r="A12" s="18" t="s">
        <v>334</v>
      </c>
      <c r="B12" s="19" t="s">
        <v>335</v>
      </c>
      <c r="C12" s="15" t="s">
        <v>336</v>
      </c>
      <c r="D12" s="15" t="s">
        <v>337</v>
      </c>
      <c r="E12" s="20">
        <v>61664</v>
      </c>
      <c r="F12" s="21">
        <v>7366.9980999999998</v>
      </c>
      <c r="G12" s="22">
        <v>3.2099999999999997E-2</v>
      </c>
      <c r="H12" s="40"/>
      <c r="I12" s="24"/>
      <c r="J12" s="5"/>
    </row>
    <row r="13" spans="1:10" ht="13.05" customHeight="1">
      <c r="A13" s="18" t="s">
        <v>281</v>
      </c>
      <c r="B13" s="19" t="s">
        <v>282</v>
      </c>
      <c r="C13" s="15" t="s">
        <v>283</v>
      </c>
      <c r="D13" s="15" t="s">
        <v>257</v>
      </c>
      <c r="E13" s="20">
        <v>566957</v>
      </c>
      <c r="F13" s="21">
        <v>5312.3870999999999</v>
      </c>
      <c r="G13" s="22">
        <v>2.3099999999999999E-2</v>
      </c>
      <c r="H13" s="40"/>
      <c r="I13" s="24"/>
      <c r="J13" s="5"/>
    </row>
    <row r="14" spans="1:10" ht="13.05" customHeight="1">
      <c r="A14" s="18" t="s">
        <v>293</v>
      </c>
      <c r="B14" s="19" t="s">
        <v>294</v>
      </c>
      <c r="C14" s="15" t="s">
        <v>295</v>
      </c>
      <c r="D14" s="15" t="s">
        <v>296</v>
      </c>
      <c r="E14" s="20">
        <v>145771</v>
      </c>
      <c r="F14" s="21">
        <v>5083.3262999999997</v>
      </c>
      <c r="G14" s="22">
        <v>2.2100000000000002E-2</v>
      </c>
      <c r="H14" s="40"/>
      <c r="I14" s="24"/>
      <c r="J14" s="5"/>
    </row>
    <row r="15" spans="1:10" ht="13.05" customHeight="1">
      <c r="A15" s="18" t="s">
        <v>616</v>
      </c>
      <c r="B15" s="19" t="s">
        <v>617</v>
      </c>
      <c r="C15" s="15" t="s">
        <v>618</v>
      </c>
      <c r="D15" s="15" t="s">
        <v>445</v>
      </c>
      <c r="E15" s="20">
        <v>163339</v>
      </c>
      <c r="F15" s="21">
        <v>4961.2587999999996</v>
      </c>
      <c r="G15" s="22">
        <v>2.1600000000000001E-2</v>
      </c>
      <c r="H15" s="40"/>
      <c r="I15" s="24"/>
      <c r="J15" s="5"/>
    </row>
    <row r="16" spans="1:10" ht="13.05" customHeight="1">
      <c r="A16" s="18" t="s">
        <v>345</v>
      </c>
      <c r="B16" s="19" t="s">
        <v>346</v>
      </c>
      <c r="C16" s="15" t="s">
        <v>347</v>
      </c>
      <c r="D16" s="15" t="s">
        <v>348</v>
      </c>
      <c r="E16" s="20">
        <v>82077</v>
      </c>
      <c r="F16" s="21">
        <v>4616.8312999999998</v>
      </c>
      <c r="G16" s="22">
        <v>2.01E-2</v>
      </c>
      <c r="H16" s="40"/>
      <c r="I16" s="24"/>
      <c r="J16" s="5"/>
    </row>
    <row r="17" spans="1:10" ht="13.05" customHeight="1">
      <c r="A17" s="18" t="s">
        <v>709</v>
      </c>
      <c r="B17" s="19" t="s">
        <v>710</v>
      </c>
      <c r="C17" s="15" t="s">
        <v>711</v>
      </c>
      <c r="D17" s="15" t="s">
        <v>304</v>
      </c>
      <c r="E17" s="20">
        <v>3061031</v>
      </c>
      <c r="F17" s="21">
        <v>4429.0057999999999</v>
      </c>
      <c r="G17" s="22">
        <v>1.9300000000000001E-2</v>
      </c>
      <c r="H17" s="40"/>
      <c r="I17" s="24"/>
      <c r="J17" s="5"/>
    </row>
    <row r="18" spans="1:10" ht="13.05" customHeight="1">
      <c r="A18" s="18" t="s">
        <v>305</v>
      </c>
      <c r="B18" s="19" t="s">
        <v>306</v>
      </c>
      <c r="C18" s="15" t="s">
        <v>307</v>
      </c>
      <c r="D18" s="15" t="s">
        <v>280</v>
      </c>
      <c r="E18" s="20">
        <v>169188</v>
      </c>
      <c r="F18" s="21">
        <v>4171.3301000000001</v>
      </c>
      <c r="G18" s="22">
        <v>1.8200000000000001E-2</v>
      </c>
      <c r="H18" s="40"/>
      <c r="I18" s="24"/>
      <c r="J18" s="5"/>
    </row>
    <row r="19" spans="1:10" ht="13.05" customHeight="1">
      <c r="A19" s="18" t="s">
        <v>290</v>
      </c>
      <c r="B19" s="19" t="s">
        <v>291</v>
      </c>
      <c r="C19" s="15" t="s">
        <v>292</v>
      </c>
      <c r="D19" s="15" t="s">
        <v>257</v>
      </c>
      <c r="E19" s="20">
        <v>187532</v>
      </c>
      <c r="F19" s="21">
        <v>3942.2977000000001</v>
      </c>
      <c r="G19" s="22">
        <v>1.72E-2</v>
      </c>
      <c r="H19" s="40"/>
      <c r="I19" s="24"/>
      <c r="J19" s="5"/>
    </row>
    <row r="20" spans="1:10" ht="13.05" customHeight="1">
      <c r="A20" s="18" t="s">
        <v>1761</v>
      </c>
      <c r="B20" s="19" t="s">
        <v>1762</v>
      </c>
      <c r="C20" s="15" t="s">
        <v>1763</v>
      </c>
      <c r="D20" s="15" t="s">
        <v>501</v>
      </c>
      <c r="E20" s="20">
        <v>814152</v>
      </c>
      <c r="F20" s="21">
        <v>3881.8766999999998</v>
      </c>
      <c r="G20" s="22">
        <v>1.6899999999999998E-2</v>
      </c>
      <c r="H20" s="40"/>
      <c r="I20" s="24"/>
      <c r="J20" s="5"/>
    </row>
    <row r="21" spans="1:10" ht="13.05" customHeight="1">
      <c r="A21" s="18" t="s">
        <v>426</v>
      </c>
      <c r="B21" s="19" t="s">
        <v>427</v>
      </c>
      <c r="C21" s="15" t="s">
        <v>428</v>
      </c>
      <c r="D21" s="15" t="s">
        <v>405</v>
      </c>
      <c r="E21" s="20">
        <v>470304</v>
      </c>
      <c r="F21" s="21">
        <v>3441.9198000000001</v>
      </c>
      <c r="G21" s="22">
        <v>1.4999999999999999E-2</v>
      </c>
      <c r="H21" s="40"/>
      <c r="I21" s="24"/>
      <c r="J21" s="5"/>
    </row>
    <row r="22" spans="1:10" ht="13.05" customHeight="1">
      <c r="A22" s="18" t="s">
        <v>1162</v>
      </c>
      <c r="B22" s="19" t="s">
        <v>1163</v>
      </c>
      <c r="C22" s="15" t="s">
        <v>1164</v>
      </c>
      <c r="D22" s="15" t="s">
        <v>501</v>
      </c>
      <c r="E22" s="20">
        <v>18809</v>
      </c>
      <c r="F22" s="21">
        <v>3250.7595000000001</v>
      </c>
      <c r="G22" s="22">
        <v>1.41E-2</v>
      </c>
      <c r="H22" s="40"/>
      <c r="I22" s="24"/>
      <c r="J22" s="5"/>
    </row>
    <row r="23" spans="1:10" ht="13.05" customHeight="1">
      <c r="A23" s="18" t="s">
        <v>561</v>
      </c>
      <c r="B23" s="19" t="s">
        <v>562</v>
      </c>
      <c r="C23" s="15" t="s">
        <v>563</v>
      </c>
      <c r="D23" s="15" t="s">
        <v>300</v>
      </c>
      <c r="E23" s="20">
        <v>857773</v>
      </c>
      <c r="F23" s="21">
        <v>3215.3620999999998</v>
      </c>
      <c r="G23" s="22">
        <v>1.4E-2</v>
      </c>
      <c r="H23" s="40"/>
      <c r="I23" s="24"/>
      <c r="J23" s="5"/>
    </row>
    <row r="24" spans="1:10" ht="13.05" customHeight="1">
      <c r="A24" s="18" t="s">
        <v>1370</v>
      </c>
      <c r="B24" s="19" t="s">
        <v>1371</v>
      </c>
      <c r="C24" s="15" t="s">
        <v>1372</v>
      </c>
      <c r="D24" s="15" t="s">
        <v>846</v>
      </c>
      <c r="E24" s="20">
        <v>363600</v>
      </c>
      <c r="F24" s="21">
        <v>3141.5039999999999</v>
      </c>
      <c r="G24" s="22">
        <v>1.37E-2</v>
      </c>
      <c r="H24" s="40"/>
      <c r="I24" s="24"/>
      <c r="J24" s="5"/>
    </row>
    <row r="25" spans="1:10" ht="13.05" customHeight="1">
      <c r="A25" s="18" t="s">
        <v>287</v>
      </c>
      <c r="B25" s="19" t="s">
        <v>288</v>
      </c>
      <c r="C25" s="15" t="s">
        <v>289</v>
      </c>
      <c r="D25" s="15" t="s">
        <v>272</v>
      </c>
      <c r="E25" s="20">
        <v>102572</v>
      </c>
      <c r="F25" s="21">
        <v>3136.6518000000001</v>
      </c>
      <c r="G25" s="22">
        <v>1.3599999999999999E-2</v>
      </c>
      <c r="H25" s="40"/>
      <c r="I25" s="24"/>
      <c r="J25" s="5"/>
    </row>
    <row r="26" spans="1:10" ht="13.05" customHeight="1">
      <c r="A26" s="18" t="s">
        <v>532</v>
      </c>
      <c r="B26" s="19" t="s">
        <v>533</v>
      </c>
      <c r="C26" s="15" t="s">
        <v>534</v>
      </c>
      <c r="D26" s="15" t="s">
        <v>445</v>
      </c>
      <c r="E26" s="20">
        <v>420786</v>
      </c>
      <c r="F26" s="21">
        <v>3099.7201</v>
      </c>
      <c r="G26" s="22">
        <v>1.35E-2</v>
      </c>
      <c r="H26" s="40"/>
      <c r="I26" s="24"/>
      <c r="J26" s="5"/>
    </row>
    <row r="27" spans="1:10" ht="13.05" customHeight="1">
      <c r="A27" s="18" t="s">
        <v>498</v>
      </c>
      <c r="B27" s="19" t="s">
        <v>499</v>
      </c>
      <c r="C27" s="15" t="s">
        <v>500</v>
      </c>
      <c r="D27" s="15" t="s">
        <v>501</v>
      </c>
      <c r="E27" s="20">
        <v>70038</v>
      </c>
      <c r="F27" s="21">
        <v>3042.5207999999998</v>
      </c>
      <c r="G27" s="22">
        <v>1.32E-2</v>
      </c>
      <c r="H27" s="40"/>
      <c r="I27" s="24"/>
      <c r="J27" s="5"/>
    </row>
    <row r="28" spans="1:10" ht="13.05" customHeight="1">
      <c r="A28" s="18" t="s">
        <v>739</v>
      </c>
      <c r="B28" s="19" t="s">
        <v>740</v>
      </c>
      <c r="C28" s="15" t="s">
        <v>741</v>
      </c>
      <c r="D28" s="15" t="s">
        <v>314</v>
      </c>
      <c r="E28" s="20">
        <v>125812</v>
      </c>
      <c r="F28" s="21">
        <v>2999.3580999999999</v>
      </c>
      <c r="G28" s="22">
        <v>1.3100000000000001E-2</v>
      </c>
      <c r="H28" s="40"/>
      <c r="I28" s="24"/>
      <c r="J28" s="5"/>
    </row>
    <row r="29" spans="1:10" ht="13.05" customHeight="1">
      <c r="A29" s="18" t="s">
        <v>789</v>
      </c>
      <c r="B29" s="19" t="s">
        <v>790</v>
      </c>
      <c r="C29" s="15" t="s">
        <v>791</v>
      </c>
      <c r="D29" s="15" t="s">
        <v>348</v>
      </c>
      <c r="E29" s="20">
        <v>634958</v>
      </c>
      <c r="F29" s="21">
        <v>2958.5868</v>
      </c>
      <c r="G29" s="22">
        <v>1.29E-2</v>
      </c>
      <c r="H29" s="40"/>
      <c r="I29" s="24"/>
      <c r="J29" s="5"/>
    </row>
    <row r="30" spans="1:10" ht="13.05" customHeight="1">
      <c r="A30" s="18" t="s">
        <v>640</v>
      </c>
      <c r="B30" s="19" t="s">
        <v>641</v>
      </c>
      <c r="C30" s="15" t="s">
        <v>642</v>
      </c>
      <c r="D30" s="15" t="s">
        <v>296</v>
      </c>
      <c r="E30" s="20">
        <v>119495</v>
      </c>
      <c r="F30" s="21">
        <v>2914.1246000000001</v>
      </c>
      <c r="G30" s="22">
        <v>1.2699999999999999E-2</v>
      </c>
      <c r="H30" s="40"/>
      <c r="I30" s="24"/>
      <c r="J30" s="5"/>
    </row>
    <row r="31" spans="1:10" ht="13.05" customHeight="1">
      <c r="A31" s="18" t="s">
        <v>365</v>
      </c>
      <c r="B31" s="19" t="s">
        <v>366</v>
      </c>
      <c r="C31" s="15" t="s">
        <v>367</v>
      </c>
      <c r="D31" s="15" t="s">
        <v>300</v>
      </c>
      <c r="E31" s="20">
        <v>381812</v>
      </c>
      <c r="F31" s="21">
        <v>2859.3901000000001</v>
      </c>
      <c r="G31" s="22">
        <v>1.24E-2</v>
      </c>
      <c r="H31" s="40"/>
      <c r="I31" s="24"/>
      <c r="J31" s="5"/>
    </row>
    <row r="32" spans="1:10" ht="13.05" customHeight="1">
      <c r="A32" s="18" t="s">
        <v>371</v>
      </c>
      <c r="B32" s="19" t="s">
        <v>372</v>
      </c>
      <c r="C32" s="15" t="s">
        <v>373</v>
      </c>
      <c r="D32" s="15" t="s">
        <v>374</v>
      </c>
      <c r="E32" s="20">
        <v>112715</v>
      </c>
      <c r="F32" s="21">
        <v>2794.2049000000002</v>
      </c>
      <c r="G32" s="22">
        <v>1.2200000000000001E-2</v>
      </c>
      <c r="H32" s="40"/>
      <c r="I32" s="24"/>
      <c r="J32" s="5"/>
    </row>
    <row r="33" spans="1:10" ht="13.05" customHeight="1">
      <c r="A33" s="18" t="s">
        <v>1198</v>
      </c>
      <c r="B33" s="19" t="s">
        <v>1199</v>
      </c>
      <c r="C33" s="15" t="s">
        <v>1200</v>
      </c>
      <c r="D33" s="15" t="s">
        <v>567</v>
      </c>
      <c r="E33" s="20">
        <v>97137</v>
      </c>
      <c r="F33" s="21">
        <v>2757.3308999999999</v>
      </c>
      <c r="G33" s="22">
        <v>1.2E-2</v>
      </c>
      <c r="H33" s="40"/>
      <c r="I33" s="24"/>
      <c r="J33" s="5"/>
    </row>
    <row r="34" spans="1:10" ht="13.05" customHeight="1">
      <c r="A34" s="18" t="s">
        <v>326</v>
      </c>
      <c r="B34" s="19" t="s">
        <v>327</v>
      </c>
      <c r="C34" s="15" t="s">
        <v>328</v>
      </c>
      <c r="D34" s="15" t="s">
        <v>329</v>
      </c>
      <c r="E34" s="20">
        <v>645217</v>
      </c>
      <c r="F34" s="21">
        <v>2749.2696000000001</v>
      </c>
      <c r="G34" s="22">
        <v>1.2E-2</v>
      </c>
      <c r="H34" s="40"/>
      <c r="I34" s="24"/>
      <c r="J34" s="5"/>
    </row>
    <row r="35" spans="1:10" ht="13.05" customHeight="1">
      <c r="A35" s="18" t="s">
        <v>1839</v>
      </c>
      <c r="B35" s="19" t="s">
        <v>1840</v>
      </c>
      <c r="C35" s="15" t="s">
        <v>1841</v>
      </c>
      <c r="D35" s="15" t="s">
        <v>581</v>
      </c>
      <c r="E35" s="20">
        <v>360558</v>
      </c>
      <c r="F35" s="21">
        <v>2717.5255999999999</v>
      </c>
      <c r="G35" s="22">
        <v>1.18E-2</v>
      </c>
      <c r="H35" s="40"/>
      <c r="I35" s="24"/>
      <c r="J35" s="5"/>
    </row>
    <row r="36" spans="1:10" ht="13.05" customHeight="1">
      <c r="A36" s="18" t="s">
        <v>341</v>
      </c>
      <c r="B36" s="19" t="s">
        <v>342</v>
      </c>
      <c r="C36" s="15" t="s">
        <v>343</v>
      </c>
      <c r="D36" s="15" t="s">
        <v>344</v>
      </c>
      <c r="E36" s="20">
        <v>319023</v>
      </c>
      <c r="F36" s="21">
        <v>2704.8364999999999</v>
      </c>
      <c r="G36" s="22">
        <v>1.18E-2</v>
      </c>
      <c r="H36" s="40"/>
      <c r="I36" s="24"/>
      <c r="J36" s="5"/>
    </row>
    <row r="37" spans="1:10" ht="13.05" customHeight="1">
      <c r="A37" s="18" t="s">
        <v>989</v>
      </c>
      <c r="B37" s="19" t="s">
        <v>990</v>
      </c>
      <c r="C37" s="15" t="s">
        <v>991</v>
      </c>
      <c r="D37" s="15" t="s">
        <v>541</v>
      </c>
      <c r="E37" s="20">
        <v>248365</v>
      </c>
      <c r="F37" s="21">
        <v>2577.2836000000002</v>
      </c>
      <c r="G37" s="22">
        <v>1.12E-2</v>
      </c>
      <c r="H37" s="40"/>
      <c r="I37" s="24"/>
      <c r="J37" s="5"/>
    </row>
    <row r="38" spans="1:10" ht="13.05" customHeight="1">
      <c r="A38" s="18" t="s">
        <v>649</v>
      </c>
      <c r="B38" s="19" t="s">
        <v>650</v>
      </c>
      <c r="C38" s="15" t="s">
        <v>651</v>
      </c>
      <c r="D38" s="15" t="s">
        <v>581</v>
      </c>
      <c r="E38" s="20">
        <v>17966</v>
      </c>
      <c r="F38" s="21">
        <v>2493.3215</v>
      </c>
      <c r="G38" s="22">
        <v>1.0800000000000001E-2</v>
      </c>
      <c r="H38" s="40"/>
      <c r="I38" s="24"/>
      <c r="J38" s="5"/>
    </row>
    <row r="39" spans="1:10" ht="13.05" customHeight="1">
      <c r="A39" s="18" t="s">
        <v>368</v>
      </c>
      <c r="B39" s="19" t="s">
        <v>369</v>
      </c>
      <c r="C39" s="15" t="s">
        <v>370</v>
      </c>
      <c r="D39" s="15" t="s">
        <v>304</v>
      </c>
      <c r="E39" s="20">
        <v>52662</v>
      </c>
      <c r="F39" s="21">
        <v>2472.1122999999998</v>
      </c>
      <c r="G39" s="22">
        <v>1.0800000000000001E-2</v>
      </c>
      <c r="H39" s="40"/>
      <c r="I39" s="24"/>
      <c r="J39" s="5"/>
    </row>
    <row r="40" spans="1:10" ht="13.05" customHeight="1">
      <c r="A40" s="18" t="s">
        <v>301</v>
      </c>
      <c r="B40" s="19" t="s">
        <v>302</v>
      </c>
      <c r="C40" s="15" t="s">
        <v>303</v>
      </c>
      <c r="D40" s="15" t="s">
        <v>304</v>
      </c>
      <c r="E40" s="20">
        <v>765891</v>
      </c>
      <c r="F40" s="21">
        <v>2433.6187</v>
      </c>
      <c r="G40" s="22">
        <v>1.06E-2</v>
      </c>
      <c r="H40" s="40"/>
      <c r="I40" s="24"/>
      <c r="J40" s="5"/>
    </row>
    <row r="41" spans="1:10" ht="13.05" customHeight="1">
      <c r="A41" s="18" t="s">
        <v>412</v>
      </c>
      <c r="B41" s="19" t="s">
        <v>413</v>
      </c>
      <c r="C41" s="15" t="s">
        <v>414</v>
      </c>
      <c r="D41" s="15" t="s">
        <v>415</v>
      </c>
      <c r="E41" s="20">
        <v>206336</v>
      </c>
      <c r="F41" s="21">
        <v>2368.3245999999999</v>
      </c>
      <c r="G41" s="22">
        <v>1.03E-2</v>
      </c>
      <c r="H41" s="40"/>
      <c r="I41" s="24"/>
      <c r="J41" s="5"/>
    </row>
    <row r="42" spans="1:10" ht="13.05" customHeight="1">
      <c r="A42" s="18" t="s">
        <v>1263</v>
      </c>
      <c r="B42" s="19" t="s">
        <v>1264</v>
      </c>
      <c r="C42" s="15" t="s">
        <v>1265</v>
      </c>
      <c r="D42" s="15" t="s">
        <v>541</v>
      </c>
      <c r="E42" s="20">
        <v>363264</v>
      </c>
      <c r="F42" s="21">
        <v>2340.8732</v>
      </c>
      <c r="G42" s="22">
        <v>1.0200000000000001E-2</v>
      </c>
      <c r="H42" s="40"/>
      <c r="I42" s="24"/>
      <c r="J42" s="5"/>
    </row>
    <row r="43" spans="1:10" ht="13.05" customHeight="1">
      <c r="A43" s="18" t="s">
        <v>458</v>
      </c>
      <c r="B43" s="19" t="s">
        <v>459</v>
      </c>
      <c r="C43" s="15" t="s">
        <v>460</v>
      </c>
      <c r="D43" s="15" t="s">
        <v>321</v>
      </c>
      <c r="E43" s="20">
        <v>573330</v>
      </c>
      <c r="F43" s="21">
        <v>2321.4132</v>
      </c>
      <c r="G43" s="22">
        <v>1.01E-2</v>
      </c>
      <c r="H43" s="40"/>
      <c r="I43" s="24"/>
      <c r="J43" s="5"/>
    </row>
    <row r="44" spans="1:10" ht="13.05" customHeight="1">
      <c r="A44" s="18" t="s">
        <v>634</v>
      </c>
      <c r="B44" s="19" t="s">
        <v>635</v>
      </c>
      <c r="C44" s="15" t="s">
        <v>636</v>
      </c>
      <c r="D44" s="15" t="s">
        <v>337</v>
      </c>
      <c r="E44" s="20">
        <v>404373</v>
      </c>
      <c r="F44" s="21">
        <v>2286.3249000000001</v>
      </c>
      <c r="G44" s="22">
        <v>9.9000000000000008E-3</v>
      </c>
      <c r="H44" s="40"/>
      <c r="I44" s="24"/>
      <c r="J44" s="5"/>
    </row>
    <row r="45" spans="1:10" ht="13.05" customHeight="1">
      <c r="A45" s="18" t="s">
        <v>520</v>
      </c>
      <c r="B45" s="19" t="s">
        <v>521</v>
      </c>
      <c r="C45" s="15" t="s">
        <v>522</v>
      </c>
      <c r="D45" s="15" t="s">
        <v>272</v>
      </c>
      <c r="E45" s="20">
        <v>40000</v>
      </c>
      <c r="F45" s="21">
        <v>2273.8000000000002</v>
      </c>
      <c r="G45" s="22">
        <v>9.9000000000000008E-3</v>
      </c>
      <c r="H45" s="40"/>
      <c r="I45" s="24"/>
      <c r="J45" s="5"/>
    </row>
    <row r="46" spans="1:10" ht="13.05" customHeight="1">
      <c r="A46" s="18" t="s">
        <v>1638</v>
      </c>
      <c r="B46" s="19" t="s">
        <v>1639</v>
      </c>
      <c r="C46" s="15" t="s">
        <v>1640</v>
      </c>
      <c r="D46" s="15" t="s">
        <v>567</v>
      </c>
      <c r="E46" s="20">
        <v>373920</v>
      </c>
      <c r="F46" s="21">
        <v>2107.7869999999998</v>
      </c>
      <c r="G46" s="22">
        <v>9.1999999999999998E-3</v>
      </c>
      <c r="H46" s="40"/>
      <c r="I46" s="24"/>
      <c r="J46" s="5"/>
    </row>
    <row r="47" spans="1:10" ht="13.05" customHeight="1">
      <c r="A47" s="18" t="s">
        <v>1099</v>
      </c>
      <c r="B47" s="19" t="s">
        <v>1100</v>
      </c>
      <c r="C47" s="15" t="s">
        <v>1101</v>
      </c>
      <c r="D47" s="15" t="s">
        <v>758</v>
      </c>
      <c r="E47" s="20">
        <v>196924</v>
      </c>
      <c r="F47" s="21">
        <v>2105.9052999999999</v>
      </c>
      <c r="G47" s="22">
        <v>9.1999999999999998E-3</v>
      </c>
      <c r="H47" s="40"/>
      <c r="I47" s="24"/>
      <c r="J47" s="5"/>
    </row>
    <row r="48" spans="1:10" ht="13.05" customHeight="1">
      <c r="A48" s="18" t="s">
        <v>423</v>
      </c>
      <c r="B48" s="19" t="s">
        <v>424</v>
      </c>
      <c r="C48" s="15" t="s">
        <v>425</v>
      </c>
      <c r="D48" s="15" t="s">
        <v>296</v>
      </c>
      <c r="E48" s="20">
        <v>59717</v>
      </c>
      <c r="F48" s="21">
        <v>2095.2903999999999</v>
      </c>
      <c r="G48" s="22">
        <v>9.1000000000000004E-3</v>
      </c>
      <c r="H48" s="40"/>
      <c r="I48" s="24"/>
      <c r="J48" s="5"/>
    </row>
    <row r="49" spans="1:10" ht="13.05" customHeight="1">
      <c r="A49" s="18" t="s">
        <v>1346</v>
      </c>
      <c r="B49" s="19" t="s">
        <v>1347</v>
      </c>
      <c r="C49" s="15" t="s">
        <v>1348</v>
      </c>
      <c r="D49" s="15" t="s">
        <v>300</v>
      </c>
      <c r="E49" s="20">
        <v>145648</v>
      </c>
      <c r="F49" s="21">
        <v>2073.4449</v>
      </c>
      <c r="G49" s="22">
        <v>8.9999999999999993E-3</v>
      </c>
      <c r="H49" s="40"/>
      <c r="I49" s="24"/>
      <c r="J49" s="5"/>
    </row>
    <row r="50" spans="1:10" ht="13.05" customHeight="1">
      <c r="A50" s="18" t="s">
        <v>1388</v>
      </c>
      <c r="B50" s="19" t="s">
        <v>1389</v>
      </c>
      <c r="C50" s="15" t="s">
        <v>1390</v>
      </c>
      <c r="D50" s="15" t="s">
        <v>846</v>
      </c>
      <c r="E50" s="20">
        <v>233078</v>
      </c>
      <c r="F50" s="21">
        <v>2061.6914000000002</v>
      </c>
      <c r="G50" s="22">
        <v>8.9999999999999993E-3</v>
      </c>
      <c r="H50" s="40"/>
      <c r="I50" s="24"/>
      <c r="J50" s="5"/>
    </row>
    <row r="51" spans="1:10" ht="13.05" customHeight="1">
      <c r="A51" s="18" t="s">
        <v>1052</v>
      </c>
      <c r="B51" s="19" t="s">
        <v>1053</v>
      </c>
      <c r="C51" s="15" t="s">
        <v>1054</v>
      </c>
      <c r="D51" s="15" t="s">
        <v>445</v>
      </c>
      <c r="E51" s="20">
        <v>178136</v>
      </c>
      <c r="F51" s="21">
        <v>1947.3828000000001</v>
      </c>
      <c r="G51" s="22">
        <v>8.5000000000000006E-3</v>
      </c>
      <c r="H51" s="40"/>
      <c r="I51" s="24"/>
      <c r="J51" s="5"/>
    </row>
    <row r="52" spans="1:10" ht="13.05" customHeight="1">
      <c r="A52" s="18" t="s">
        <v>828</v>
      </c>
      <c r="B52" s="19" t="s">
        <v>829</v>
      </c>
      <c r="C52" s="15" t="s">
        <v>830</v>
      </c>
      <c r="D52" s="15" t="s">
        <v>567</v>
      </c>
      <c r="E52" s="20">
        <v>408618</v>
      </c>
      <c r="F52" s="21">
        <v>1931.7416000000001</v>
      </c>
      <c r="G52" s="22">
        <v>8.3999999999999995E-3</v>
      </c>
      <c r="H52" s="40"/>
      <c r="I52" s="24"/>
      <c r="J52" s="5"/>
    </row>
    <row r="53" spans="1:10" ht="13.05" customHeight="1">
      <c r="A53" s="18" t="s">
        <v>843</v>
      </c>
      <c r="B53" s="19" t="s">
        <v>844</v>
      </c>
      <c r="C53" s="15" t="s">
        <v>845</v>
      </c>
      <c r="D53" s="15" t="s">
        <v>846</v>
      </c>
      <c r="E53" s="20">
        <v>28497</v>
      </c>
      <c r="F53" s="21">
        <v>1910.5814</v>
      </c>
      <c r="G53" s="22">
        <v>8.3000000000000001E-3</v>
      </c>
      <c r="H53" s="40"/>
      <c r="I53" s="24"/>
      <c r="J53" s="5"/>
    </row>
    <row r="54" spans="1:10" ht="13.05" customHeight="1">
      <c r="A54" s="18" t="s">
        <v>514</v>
      </c>
      <c r="B54" s="19" t="s">
        <v>515</v>
      </c>
      <c r="C54" s="15" t="s">
        <v>516</v>
      </c>
      <c r="D54" s="15" t="s">
        <v>415</v>
      </c>
      <c r="E54" s="20">
        <v>186710</v>
      </c>
      <c r="F54" s="21">
        <v>1910.1367</v>
      </c>
      <c r="G54" s="22">
        <v>8.3000000000000001E-3</v>
      </c>
      <c r="H54" s="40"/>
      <c r="I54" s="24"/>
      <c r="J54" s="5"/>
    </row>
    <row r="55" spans="1:10" ht="13.05" customHeight="1">
      <c r="A55" s="18" t="s">
        <v>523</v>
      </c>
      <c r="B55" s="19" t="s">
        <v>524</v>
      </c>
      <c r="C55" s="15" t="s">
        <v>525</v>
      </c>
      <c r="D55" s="15" t="s">
        <v>304</v>
      </c>
      <c r="E55" s="20">
        <v>136192</v>
      </c>
      <c r="F55" s="21">
        <v>1877.1342999999999</v>
      </c>
      <c r="G55" s="22">
        <v>8.2000000000000007E-3</v>
      </c>
      <c r="H55" s="40"/>
      <c r="I55" s="24"/>
      <c r="J55" s="5"/>
    </row>
    <row r="56" spans="1:10" ht="13.05" customHeight="1">
      <c r="A56" s="18" t="s">
        <v>311</v>
      </c>
      <c r="B56" s="19" t="s">
        <v>312</v>
      </c>
      <c r="C56" s="15" t="s">
        <v>313</v>
      </c>
      <c r="D56" s="15" t="s">
        <v>314</v>
      </c>
      <c r="E56" s="20">
        <v>110535</v>
      </c>
      <c r="F56" s="21">
        <v>1868.8152</v>
      </c>
      <c r="G56" s="22">
        <v>8.0999999999999996E-3</v>
      </c>
      <c r="H56" s="40"/>
      <c r="I56" s="24"/>
      <c r="J56" s="5"/>
    </row>
    <row r="57" spans="1:10" ht="13.05" customHeight="1">
      <c r="A57" s="18" t="s">
        <v>625</v>
      </c>
      <c r="B57" s="19" t="s">
        <v>626</v>
      </c>
      <c r="C57" s="15" t="s">
        <v>627</v>
      </c>
      <c r="D57" s="15" t="s">
        <v>314</v>
      </c>
      <c r="E57" s="20">
        <v>52078</v>
      </c>
      <c r="F57" s="21">
        <v>1854.0289</v>
      </c>
      <c r="G57" s="22">
        <v>8.0999999999999996E-3</v>
      </c>
      <c r="H57" s="40"/>
      <c r="I57" s="24"/>
      <c r="J57" s="5"/>
    </row>
    <row r="58" spans="1:10" ht="13.05" customHeight="1">
      <c r="A58" s="18" t="s">
        <v>934</v>
      </c>
      <c r="B58" s="19" t="s">
        <v>935</v>
      </c>
      <c r="C58" s="15" t="s">
        <v>936</v>
      </c>
      <c r="D58" s="15" t="s">
        <v>257</v>
      </c>
      <c r="E58" s="20">
        <v>805483</v>
      </c>
      <c r="F58" s="21">
        <v>1841.8979999999999</v>
      </c>
      <c r="G58" s="22">
        <v>8.0000000000000002E-3</v>
      </c>
      <c r="H58" s="40"/>
      <c r="I58" s="24"/>
      <c r="J58" s="5"/>
    </row>
    <row r="59" spans="1:10" ht="13.05" customHeight="1">
      <c r="A59" s="18" t="s">
        <v>819</v>
      </c>
      <c r="B59" s="19" t="s">
        <v>820</v>
      </c>
      <c r="C59" s="15" t="s">
        <v>821</v>
      </c>
      <c r="D59" s="15" t="s">
        <v>314</v>
      </c>
      <c r="E59" s="20">
        <v>494771</v>
      </c>
      <c r="F59" s="21">
        <v>1841.0428999999999</v>
      </c>
      <c r="G59" s="22">
        <v>8.0000000000000002E-3</v>
      </c>
      <c r="H59" s="40"/>
      <c r="I59" s="24"/>
      <c r="J59" s="5"/>
    </row>
    <row r="60" spans="1:10" ht="13.05" customHeight="1">
      <c r="A60" s="18" t="s">
        <v>1842</v>
      </c>
      <c r="B60" s="19" t="s">
        <v>1843</v>
      </c>
      <c r="C60" s="15" t="s">
        <v>1844</v>
      </c>
      <c r="D60" s="15" t="s">
        <v>581</v>
      </c>
      <c r="E60" s="20">
        <v>154082</v>
      </c>
      <c r="F60" s="21">
        <v>1771.6348</v>
      </c>
      <c r="G60" s="22">
        <v>7.7000000000000002E-3</v>
      </c>
      <c r="H60" s="40"/>
      <c r="I60" s="24"/>
      <c r="J60" s="5"/>
    </row>
    <row r="61" spans="1:10" ht="13.05" customHeight="1">
      <c r="A61" s="18" t="s">
        <v>472</v>
      </c>
      <c r="B61" s="19" t="s">
        <v>473</v>
      </c>
      <c r="C61" s="15" t="s">
        <v>474</v>
      </c>
      <c r="D61" s="15" t="s">
        <v>475</v>
      </c>
      <c r="E61" s="20">
        <v>369971</v>
      </c>
      <c r="F61" s="21">
        <v>1737.5688</v>
      </c>
      <c r="G61" s="22">
        <v>7.6E-3</v>
      </c>
      <c r="H61" s="40"/>
      <c r="I61" s="24"/>
      <c r="J61" s="5"/>
    </row>
    <row r="62" spans="1:10" ht="13.05" customHeight="1">
      <c r="A62" s="18" t="s">
        <v>1486</v>
      </c>
      <c r="B62" s="19" t="s">
        <v>1487</v>
      </c>
      <c r="C62" s="15" t="s">
        <v>1488</v>
      </c>
      <c r="D62" s="15" t="s">
        <v>581</v>
      </c>
      <c r="E62" s="20">
        <v>250000</v>
      </c>
      <c r="F62" s="21">
        <v>1724.875</v>
      </c>
      <c r="G62" s="22">
        <v>7.4999999999999997E-3</v>
      </c>
      <c r="H62" s="40"/>
      <c r="I62" s="24"/>
      <c r="J62" s="5"/>
    </row>
    <row r="63" spans="1:10" ht="13.05" customHeight="1">
      <c r="A63" s="18" t="s">
        <v>564</v>
      </c>
      <c r="B63" s="19" t="s">
        <v>565</v>
      </c>
      <c r="C63" s="15" t="s">
        <v>566</v>
      </c>
      <c r="D63" s="15" t="s">
        <v>567</v>
      </c>
      <c r="E63" s="20">
        <v>1628626</v>
      </c>
      <c r="F63" s="21">
        <v>1716.4088999999999</v>
      </c>
      <c r="G63" s="22">
        <v>7.4999999999999997E-3</v>
      </c>
      <c r="H63" s="40"/>
      <c r="I63" s="24"/>
      <c r="J63" s="5"/>
    </row>
    <row r="64" spans="1:10" ht="13.05" customHeight="1">
      <c r="A64" s="18" t="s">
        <v>349</v>
      </c>
      <c r="B64" s="19" t="s">
        <v>350</v>
      </c>
      <c r="C64" s="15" t="s">
        <v>351</v>
      </c>
      <c r="D64" s="15" t="s">
        <v>300</v>
      </c>
      <c r="E64" s="20">
        <v>81304</v>
      </c>
      <c r="F64" s="21">
        <v>1697.8714</v>
      </c>
      <c r="G64" s="22">
        <v>7.4000000000000003E-3</v>
      </c>
      <c r="H64" s="40"/>
      <c r="I64" s="24"/>
      <c r="J64" s="5"/>
    </row>
    <row r="65" spans="1:10" ht="13.05" customHeight="1">
      <c r="A65" s="18" t="s">
        <v>1211</v>
      </c>
      <c r="B65" s="19" t="s">
        <v>1212</v>
      </c>
      <c r="C65" s="15" t="s">
        <v>1213</v>
      </c>
      <c r="D65" s="15" t="s">
        <v>314</v>
      </c>
      <c r="E65" s="20">
        <v>90846</v>
      </c>
      <c r="F65" s="21">
        <v>1684.3757000000001</v>
      </c>
      <c r="G65" s="22">
        <v>7.3000000000000001E-3</v>
      </c>
      <c r="H65" s="40"/>
      <c r="I65" s="24"/>
      <c r="J65" s="5"/>
    </row>
    <row r="66" spans="1:10" ht="13.05" customHeight="1">
      <c r="A66" s="18" t="s">
        <v>1144</v>
      </c>
      <c r="B66" s="19" t="s">
        <v>1145</v>
      </c>
      <c r="C66" s="15" t="s">
        <v>1146</v>
      </c>
      <c r="D66" s="15" t="s">
        <v>1068</v>
      </c>
      <c r="E66" s="20">
        <v>226923</v>
      </c>
      <c r="F66" s="21">
        <v>1570.8744999999999</v>
      </c>
      <c r="G66" s="22">
        <v>6.7999999999999996E-3</v>
      </c>
      <c r="H66" s="40"/>
      <c r="I66" s="24"/>
      <c r="J66" s="5"/>
    </row>
    <row r="67" spans="1:10" ht="13.05" customHeight="1">
      <c r="A67" s="18" t="s">
        <v>604</v>
      </c>
      <c r="B67" s="19" t="s">
        <v>605</v>
      </c>
      <c r="C67" s="15" t="s">
        <v>606</v>
      </c>
      <c r="D67" s="15" t="s">
        <v>333</v>
      </c>
      <c r="E67" s="20">
        <v>146681</v>
      </c>
      <c r="F67" s="21">
        <v>1564.7928999999999</v>
      </c>
      <c r="G67" s="22">
        <v>6.7999999999999996E-3</v>
      </c>
      <c r="H67" s="40"/>
      <c r="I67" s="24"/>
      <c r="J67" s="5"/>
    </row>
    <row r="68" spans="1:10" ht="13.05" customHeight="1">
      <c r="A68" s="18" t="s">
        <v>1845</v>
      </c>
      <c r="B68" s="19" t="s">
        <v>1846</v>
      </c>
      <c r="C68" s="15" t="s">
        <v>1847</v>
      </c>
      <c r="D68" s="15" t="s">
        <v>374</v>
      </c>
      <c r="E68" s="20">
        <v>119304</v>
      </c>
      <c r="F68" s="21">
        <v>1382.1965</v>
      </c>
      <c r="G68" s="22">
        <v>6.0000000000000001E-3</v>
      </c>
      <c r="H68" s="40"/>
      <c r="I68" s="24"/>
      <c r="J68" s="5"/>
    </row>
    <row r="69" spans="1:10" ht="13.05" customHeight="1">
      <c r="A69" s="18" t="s">
        <v>1626</v>
      </c>
      <c r="B69" s="19" t="s">
        <v>1627</v>
      </c>
      <c r="C69" s="15" t="s">
        <v>1628</v>
      </c>
      <c r="D69" s="15" t="s">
        <v>415</v>
      </c>
      <c r="E69" s="20">
        <v>137100</v>
      </c>
      <c r="F69" s="21">
        <v>1355.4392</v>
      </c>
      <c r="G69" s="22">
        <v>5.8999999999999999E-3</v>
      </c>
      <c r="H69" s="40"/>
      <c r="I69" s="24"/>
      <c r="J69" s="5"/>
    </row>
    <row r="70" spans="1:10" ht="13.05" customHeight="1">
      <c r="A70" s="18" t="s">
        <v>1848</v>
      </c>
      <c r="B70" s="19" t="s">
        <v>1849</v>
      </c>
      <c r="C70" s="15" t="s">
        <v>1850</v>
      </c>
      <c r="D70" s="15" t="s">
        <v>304</v>
      </c>
      <c r="E70" s="20">
        <v>265269</v>
      </c>
      <c r="F70" s="21">
        <v>1333.9051999999999</v>
      </c>
      <c r="G70" s="22">
        <v>5.7999999999999996E-3</v>
      </c>
      <c r="H70" s="40"/>
      <c r="I70" s="24"/>
      <c r="J70" s="5"/>
    </row>
    <row r="71" spans="1:10" ht="13.05" customHeight="1">
      <c r="A71" s="18" t="s">
        <v>406</v>
      </c>
      <c r="B71" s="19" t="s">
        <v>407</v>
      </c>
      <c r="C71" s="15" t="s">
        <v>408</v>
      </c>
      <c r="D71" s="15" t="s">
        <v>314</v>
      </c>
      <c r="E71" s="20">
        <v>19317</v>
      </c>
      <c r="F71" s="21">
        <v>1301.5795000000001</v>
      </c>
      <c r="G71" s="22">
        <v>5.7000000000000002E-3</v>
      </c>
      <c r="H71" s="40"/>
      <c r="I71" s="24"/>
      <c r="J71" s="5"/>
    </row>
    <row r="72" spans="1:10" ht="13.05" customHeight="1">
      <c r="A72" s="18" t="s">
        <v>1851</v>
      </c>
      <c r="B72" s="19" t="s">
        <v>1852</v>
      </c>
      <c r="C72" s="15" t="s">
        <v>1853</v>
      </c>
      <c r="D72" s="15" t="s">
        <v>314</v>
      </c>
      <c r="E72" s="20">
        <v>181017</v>
      </c>
      <c r="F72" s="21">
        <v>1285.4016999999999</v>
      </c>
      <c r="G72" s="22">
        <v>5.5999999999999999E-3</v>
      </c>
      <c r="H72" s="40"/>
      <c r="I72" s="24"/>
      <c r="J72" s="5"/>
    </row>
    <row r="73" spans="1:10" ht="13.05" customHeight="1">
      <c r="A73" s="18" t="s">
        <v>961</v>
      </c>
      <c r="B73" s="19" t="s">
        <v>962</v>
      </c>
      <c r="C73" s="15" t="s">
        <v>963</v>
      </c>
      <c r="D73" s="15" t="s">
        <v>581</v>
      </c>
      <c r="E73" s="20">
        <v>32307</v>
      </c>
      <c r="F73" s="21">
        <v>1209.4449</v>
      </c>
      <c r="G73" s="22">
        <v>5.3E-3</v>
      </c>
      <c r="H73" s="40"/>
      <c r="I73" s="24"/>
      <c r="J73" s="5"/>
    </row>
    <row r="74" spans="1:10" ht="13.05" customHeight="1">
      <c r="A74" s="18" t="s">
        <v>1207</v>
      </c>
      <c r="B74" s="19" t="s">
        <v>1208</v>
      </c>
      <c r="C74" s="15" t="s">
        <v>1209</v>
      </c>
      <c r="D74" s="15" t="s">
        <v>1210</v>
      </c>
      <c r="E74" s="20">
        <v>58447</v>
      </c>
      <c r="F74" s="21">
        <v>1096.8748000000001</v>
      </c>
      <c r="G74" s="22">
        <v>4.7999999999999996E-3</v>
      </c>
      <c r="H74" s="40"/>
      <c r="I74" s="24"/>
      <c r="J74" s="5"/>
    </row>
    <row r="75" spans="1:10" ht="13.05" customHeight="1">
      <c r="A75" s="18" t="s">
        <v>258</v>
      </c>
      <c r="B75" s="19" t="s">
        <v>259</v>
      </c>
      <c r="C75" s="15" t="s">
        <v>260</v>
      </c>
      <c r="D75" s="15" t="s">
        <v>261</v>
      </c>
      <c r="E75" s="20">
        <v>71954</v>
      </c>
      <c r="F75" s="21">
        <v>1069.5243</v>
      </c>
      <c r="G75" s="22">
        <v>4.7000000000000002E-3</v>
      </c>
      <c r="H75" s="40"/>
      <c r="I75" s="24"/>
      <c r="J75" s="5"/>
    </row>
    <row r="76" spans="1:10" ht="13.05" customHeight="1">
      <c r="A76" s="18" t="s">
        <v>1854</v>
      </c>
      <c r="B76" s="19" t="s">
        <v>1855</v>
      </c>
      <c r="C76" s="15" t="s">
        <v>1856</v>
      </c>
      <c r="D76" s="15" t="s">
        <v>300</v>
      </c>
      <c r="E76" s="20">
        <v>301898</v>
      </c>
      <c r="F76" s="21">
        <v>988.11220000000003</v>
      </c>
      <c r="G76" s="22">
        <v>4.3E-3</v>
      </c>
      <c r="H76" s="40"/>
      <c r="I76" s="24"/>
      <c r="J76" s="5"/>
    </row>
    <row r="77" spans="1:10" ht="13.05" customHeight="1">
      <c r="A77" s="18" t="s">
        <v>730</v>
      </c>
      <c r="B77" s="19" t="s">
        <v>731</v>
      </c>
      <c r="C77" s="15" t="s">
        <v>732</v>
      </c>
      <c r="D77" s="15" t="s">
        <v>445</v>
      </c>
      <c r="E77" s="20">
        <v>27670</v>
      </c>
      <c r="F77" s="21">
        <v>881.45550000000003</v>
      </c>
      <c r="G77" s="22">
        <v>3.8E-3</v>
      </c>
      <c r="H77" s="40"/>
      <c r="I77" s="24"/>
      <c r="J77" s="5"/>
    </row>
    <row r="78" spans="1:10" ht="13.05" customHeight="1">
      <c r="A78" s="18" t="s">
        <v>1662</v>
      </c>
      <c r="B78" s="19" t="s">
        <v>1663</v>
      </c>
      <c r="C78" s="15" t="s">
        <v>1664</v>
      </c>
      <c r="D78" s="15" t="s">
        <v>1616</v>
      </c>
      <c r="E78" s="20">
        <v>275000</v>
      </c>
      <c r="F78" s="21">
        <v>864.875</v>
      </c>
      <c r="G78" s="22">
        <v>3.8E-3</v>
      </c>
      <c r="H78" s="40"/>
      <c r="I78" s="24"/>
      <c r="J78" s="5"/>
    </row>
    <row r="79" spans="1:10" ht="13.05" customHeight="1">
      <c r="A79" s="18" t="s">
        <v>898</v>
      </c>
      <c r="B79" s="19" t="s">
        <v>899</v>
      </c>
      <c r="C79" s="15" t="s">
        <v>900</v>
      </c>
      <c r="D79" s="15" t="s">
        <v>325</v>
      </c>
      <c r="E79" s="20">
        <v>305093</v>
      </c>
      <c r="F79" s="21">
        <v>862.49789999999996</v>
      </c>
      <c r="G79" s="22">
        <v>3.8E-3</v>
      </c>
      <c r="H79" s="40"/>
      <c r="I79" s="24"/>
      <c r="J79" s="5"/>
    </row>
    <row r="80" spans="1:10" ht="13.05" customHeight="1">
      <c r="A80" s="18" t="s">
        <v>538</v>
      </c>
      <c r="B80" s="19" t="s">
        <v>539</v>
      </c>
      <c r="C80" s="15" t="s">
        <v>540</v>
      </c>
      <c r="D80" s="15" t="s">
        <v>541</v>
      </c>
      <c r="E80" s="20">
        <v>113155</v>
      </c>
      <c r="F80" s="21">
        <v>855.73469999999998</v>
      </c>
      <c r="G80" s="22">
        <v>3.7000000000000002E-3</v>
      </c>
      <c r="H80" s="40"/>
      <c r="I80" s="24"/>
      <c r="J80" s="5"/>
    </row>
    <row r="81" spans="1:10" ht="13.05" customHeight="1">
      <c r="A81" s="18" t="s">
        <v>816</v>
      </c>
      <c r="B81" s="19" t="s">
        <v>817</v>
      </c>
      <c r="C81" s="15" t="s">
        <v>818</v>
      </c>
      <c r="D81" s="15" t="s">
        <v>268</v>
      </c>
      <c r="E81" s="20">
        <v>42742</v>
      </c>
      <c r="F81" s="21">
        <v>801.58349999999996</v>
      </c>
      <c r="G81" s="22">
        <v>3.5000000000000001E-3</v>
      </c>
      <c r="H81" s="40"/>
      <c r="I81" s="24"/>
      <c r="J81" s="5"/>
    </row>
    <row r="82" spans="1:10" ht="13.05" customHeight="1">
      <c r="A82" s="18" t="s">
        <v>646</v>
      </c>
      <c r="B82" s="19" t="s">
        <v>647</v>
      </c>
      <c r="C82" s="15" t="s">
        <v>648</v>
      </c>
      <c r="D82" s="15" t="s">
        <v>445</v>
      </c>
      <c r="E82" s="20">
        <v>287795</v>
      </c>
      <c r="F82" s="21">
        <v>764.06690000000003</v>
      </c>
      <c r="G82" s="22">
        <v>3.3E-3</v>
      </c>
      <c r="H82" s="40"/>
      <c r="I82" s="24"/>
      <c r="J82" s="5"/>
    </row>
    <row r="83" spans="1:10" ht="13.05" customHeight="1">
      <c r="A83" s="18" t="s">
        <v>822</v>
      </c>
      <c r="B83" s="19" t="s">
        <v>823</v>
      </c>
      <c r="C83" s="15" t="s">
        <v>824</v>
      </c>
      <c r="D83" s="15" t="s">
        <v>300</v>
      </c>
      <c r="E83" s="20">
        <v>239191</v>
      </c>
      <c r="F83" s="21">
        <v>646.98770000000002</v>
      </c>
      <c r="G83" s="22">
        <v>2.8E-3</v>
      </c>
      <c r="H83" s="40"/>
      <c r="I83" s="24"/>
      <c r="J83" s="5"/>
    </row>
    <row r="84" spans="1:10" ht="13.05" customHeight="1">
      <c r="A84" s="18" t="s">
        <v>1857</v>
      </c>
      <c r="B84" s="19" t="s">
        <v>1858</v>
      </c>
      <c r="C84" s="15" t="s">
        <v>1859</v>
      </c>
      <c r="D84" s="15" t="s">
        <v>325</v>
      </c>
      <c r="E84" s="20">
        <v>38024</v>
      </c>
      <c r="F84" s="21">
        <v>632.56730000000005</v>
      </c>
      <c r="G84" s="22">
        <v>2.8E-3</v>
      </c>
      <c r="H84" s="40"/>
      <c r="I84" s="24"/>
      <c r="J84" s="5"/>
    </row>
    <row r="85" spans="1:10" ht="13.05" customHeight="1">
      <c r="A85" s="18" t="s">
        <v>1860</v>
      </c>
      <c r="B85" s="19" t="s">
        <v>1861</v>
      </c>
      <c r="C85" s="15" t="s">
        <v>1862</v>
      </c>
      <c r="D85" s="15" t="s">
        <v>325</v>
      </c>
      <c r="E85" s="20">
        <v>80431</v>
      </c>
      <c r="F85" s="21">
        <v>520.95159999999998</v>
      </c>
      <c r="G85" s="22">
        <v>2.3E-3</v>
      </c>
      <c r="H85" s="40"/>
      <c r="I85" s="24"/>
      <c r="J85" s="5"/>
    </row>
    <row r="86" spans="1:10" ht="13.05" customHeight="1">
      <c r="A86" s="18" t="s">
        <v>1863</v>
      </c>
      <c r="B86" s="19" t="s">
        <v>1864</v>
      </c>
      <c r="C86" s="15" t="s">
        <v>1865</v>
      </c>
      <c r="D86" s="15" t="s">
        <v>276</v>
      </c>
      <c r="E86" s="20">
        <v>159581</v>
      </c>
      <c r="F86" s="21">
        <v>401.34620000000001</v>
      </c>
      <c r="G86" s="22">
        <v>1.6999999999999999E-3</v>
      </c>
      <c r="H86" s="40"/>
      <c r="I86" s="24"/>
      <c r="J86" s="5"/>
    </row>
    <row r="87" spans="1:10" ht="13.05" customHeight="1">
      <c r="A87" s="18" t="s">
        <v>449</v>
      </c>
      <c r="B87" s="19" t="s">
        <v>450</v>
      </c>
      <c r="C87" s="15" t="s">
        <v>451</v>
      </c>
      <c r="D87" s="15" t="s">
        <v>261</v>
      </c>
      <c r="E87" s="20">
        <v>106505</v>
      </c>
      <c r="F87" s="21">
        <v>380.00979999999998</v>
      </c>
      <c r="G87" s="22">
        <v>1.6999999999999999E-3</v>
      </c>
      <c r="H87" s="40"/>
      <c r="I87" s="24"/>
      <c r="J87" s="5"/>
    </row>
    <row r="88" spans="1:10" ht="13.05" customHeight="1">
      <c r="A88" s="18" t="s">
        <v>619</v>
      </c>
      <c r="B88" s="19" t="s">
        <v>620</v>
      </c>
      <c r="C88" s="15" t="s">
        <v>621</v>
      </c>
      <c r="D88" s="15" t="s">
        <v>325</v>
      </c>
      <c r="E88" s="20">
        <v>21848</v>
      </c>
      <c r="F88" s="21">
        <v>326.38729999999998</v>
      </c>
      <c r="G88" s="22">
        <v>1.4E-3</v>
      </c>
      <c r="H88" s="40"/>
      <c r="I88" s="24"/>
      <c r="J88" s="5"/>
    </row>
    <row r="89" spans="1:10" ht="13.05" customHeight="1">
      <c r="A89" s="18" t="s">
        <v>798</v>
      </c>
      <c r="B89" s="19" t="s">
        <v>799</v>
      </c>
      <c r="C89" s="15" t="s">
        <v>800</v>
      </c>
      <c r="D89" s="15" t="s">
        <v>405</v>
      </c>
      <c r="E89" s="20">
        <v>28887</v>
      </c>
      <c r="F89" s="21">
        <v>170.7655</v>
      </c>
      <c r="G89" s="22">
        <v>6.9999999999999999E-4</v>
      </c>
      <c r="H89" s="40"/>
      <c r="I89" s="24"/>
      <c r="J89" s="5"/>
    </row>
    <row r="90" spans="1:10" ht="13.05" customHeight="1">
      <c r="A90" s="18" t="s">
        <v>679</v>
      </c>
      <c r="B90" s="19" t="s">
        <v>680</v>
      </c>
      <c r="C90" s="15" t="s">
        <v>681</v>
      </c>
      <c r="D90" s="15" t="s">
        <v>567</v>
      </c>
      <c r="E90" s="20">
        <v>3913</v>
      </c>
      <c r="F90" s="21">
        <v>118.29</v>
      </c>
      <c r="G90" s="22">
        <v>5.0000000000000001E-4</v>
      </c>
      <c r="H90" s="40"/>
      <c r="I90" s="24"/>
      <c r="J90" s="5"/>
    </row>
    <row r="91" spans="1:10" ht="13.05" customHeight="1">
      <c r="A91" s="18" t="s">
        <v>1764</v>
      </c>
      <c r="B91" s="19" t="s">
        <v>1765</v>
      </c>
      <c r="C91" s="15" t="s">
        <v>1766</v>
      </c>
      <c r="D91" s="15" t="s">
        <v>314</v>
      </c>
      <c r="E91" s="20">
        <v>4725</v>
      </c>
      <c r="F91" s="21">
        <v>62.317999999999998</v>
      </c>
      <c r="G91" s="22">
        <v>2.9999999999999997E-4</v>
      </c>
      <c r="H91" s="40"/>
      <c r="I91" s="24"/>
      <c r="J91" s="5"/>
    </row>
    <row r="92" spans="1:10" ht="13.05" customHeight="1">
      <c r="A92" s="5"/>
      <c r="B92" s="14" t="s">
        <v>192</v>
      </c>
      <c r="C92" s="15"/>
      <c r="D92" s="15"/>
      <c r="E92" s="15"/>
      <c r="F92" s="25">
        <v>221228.91010000001</v>
      </c>
      <c r="G92" s="26">
        <v>0.96260000000000001</v>
      </c>
      <c r="H92" s="27"/>
      <c r="I92" s="28"/>
      <c r="J92" s="5"/>
    </row>
    <row r="93" spans="1:10" ht="13.05" customHeight="1">
      <c r="A93" s="5"/>
      <c r="B93" s="29" t="s">
        <v>1812</v>
      </c>
      <c r="C93" s="2"/>
      <c r="D93" s="2"/>
      <c r="E93" s="2"/>
      <c r="F93" s="27" t="s">
        <v>194</v>
      </c>
      <c r="G93" s="27" t="s">
        <v>194</v>
      </c>
      <c r="H93" s="27"/>
      <c r="I93" s="28"/>
      <c r="J93" s="5"/>
    </row>
    <row r="94" spans="1:10" ht="13.05" customHeight="1">
      <c r="A94" s="5"/>
      <c r="B94" s="29" t="s">
        <v>192</v>
      </c>
      <c r="C94" s="2"/>
      <c r="D94" s="2"/>
      <c r="E94" s="2"/>
      <c r="F94" s="27" t="s">
        <v>194</v>
      </c>
      <c r="G94" s="27" t="s">
        <v>194</v>
      </c>
      <c r="H94" s="27"/>
      <c r="I94" s="28"/>
      <c r="J94" s="5"/>
    </row>
    <row r="95" spans="1:10" ht="13.05" customHeight="1">
      <c r="A95" s="5"/>
      <c r="B95" s="14" t="s">
        <v>1813</v>
      </c>
      <c r="C95" s="15"/>
      <c r="D95" s="15"/>
      <c r="E95" s="15"/>
      <c r="F95" s="5"/>
      <c r="G95" s="16"/>
      <c r="H95" s="16"/>
      <c r="I95" s="17"/>
      <c r="J95" s="5"/>
    </row>
    <row r="96" spans="1:10" ht="13.05" customHeight="1">
      <c r="A96" s="18" t="s">
        <v>1814</v>
      </c>
      <c r="B96" s="19" t="s">
        <v>5526</v>
      </c>
      <c r="C96" s="15" t="s">
        <v>1815</v>
      </c>
      <c r="D96" s="15" t="s">
        <v>296</v>
      </c>
      <c r="E96" s="20">
        <v>293328</v>
      </c>
      <c r="F96" s="21">
        <v>29.601199999999999</v>
      </c>
      <c r="G96" s="22">
        <v>1E-4</v>
      </c>
      <c r="H96" s="40"/>
      <c r="I96" s="24"/>
      <c r="J96" s="5"/>
    </row>
    <row r="97" spans="1:10" ht="13.05" customHeight="1">
      <c r="A97" s="5"/>
      <c r="B97" s="14" t="s">
        <v>192</v>
      </c>
      <c r="C97" s="15"/>
      <c r="D97" s="15"/>
      <c r="E97" s="15"/>
      <c r="F97" s="25">
        <v>29.601199999999999</v>
      </c>
      <c r="G97" s="26">
        <v>1E-4</v>
      </c>
      <c r="H97" s="27"/>
      <c r="I97" s="28"/>
      <c r="J97" s="5"/>
    </row>
    <row r="98" spans="1:10" ht="13.05" customHeight="1">
      <c r="A98" s="5"/>
      <c r="B98" s="29" t="s">
        <v>195</v>
      </c>
      <c r="C98" s="30"/>
      <c r="D98" s="2"/>
      <c r="E98" s="30"/>
      <c r="F98" s="25">
        <v>221258.51130000001</v>
      </c>
      <c r="G98" s="26">
        <v>0.9627</v>
      </c>
      <c r="H98" s="27"/>
      <c r="I98" s="28"/>
      <c r="J98" s="5"/>
    </row>
    <row r="99" spans="1:10" ht="13.05" customHeight="1">
      <c r="A99" s="5"/>
      <c r="B99" s="14" t="s">
        <v>1866</v>
      </c>
      <c r="C99" s="15"/>
      <c r="D99" s="15"/>
      <c r="E99" s="15"/>
      <c r="F99" s="15"/>
      <c r="G99" s="15"/>
      <c r="H99" s="16"/>
      <c r="I99" s="17"/>
      <c r="J99" s="5"/>
    </row>
    <row r="100" spans="1:10" ht="13.05" customHeight="1">
      <c r="A100" s="5"/>
      <c r="B100" s="14" t="s">
        <v>1867</v>
      </c>
      <c r="C100" s="15"/>
      <c r="D100" s="15"/>
      <c r="E100" s="15"/>
      <c r="F100" s="5"/>
      <c r="G100" s="16"/>
      <c r="H100" s="16"/>
      <c r="I100" s="17"/>
      <c r="J100" s="5"/>
    </row>
    <row r="101" spans="1:10" ht="13.05" customHeight="1">
      <c r="A101" s="18" t="s">
        <v>1868</v>
      </c>
      <c r="B101" s="19" t="s">
        <v>1869</v>
      </c>
      <c r="C101" s="15" t="s">
        <v>1870</v>
      </c>
      <c r="D101" s="15" t="s">
        <v>188</v>
      </c>
      <c r="E101" s="20">
        <v>2500000</v>
      </c>
      <c r="F101" s="21">
        <v>2482.6824999999999</v>
      </c>
      <c r="G101" s="22">
        <v>1.0800000000000001E-2</v>
      </c>
      <c r="H101" s="23">
        <v>5.4174E-2</v>
      </c>
      <c r="I101" s="24"/>
      <c r="J101" s="5"/>
    </row>
    <row r="102" spans="1:10" ht="13.05" customHeight="1">
      <c r="A102" s="5"/>
      <c r="B102" s="14" t="s">
        <v>192</v>
      </c>
      <c r="C102" s="15"/>
      <c r="D102" s="15"/>
      <c r="E102" s="15"/>
      <c r="F102" s="25">
        <v>2482.6824999999999</v>
      </c>
      <c r="G102" s="26">
        <v>1.0800000000000001E-2</v>
      </c>
      <c r="H102" s="27"/>
      <c r="I102" s="28"/>
      <c r="J102" s="5"/>
    </row>
    <row r="103" spans="1:10" ht="13.05" customHeight="1">
      <c r="A103" s="5"/>
      <c r="B103" s="29" t="s">
        <v>195</v>
      </c>
      <c r="C103" s="30"/>
      <c r="D103" s="2"/>
      <c r="E103" s="30"/>
      <c r="F103" s="25">
        <v>2482.6824999999999</v>
      </c>
      <c r="G103" s="26">
        <v>1.0800000000000001E-2</v>
      </c>
      <c r="H103" s="27"/>
      <c r="I103" s="28"/>
      <c r="J103" s="5"/>
    </row>
    <row r="104" spans="1:10" ht="13.05" customHeight="1">
      <c r="A104" s="5"/>
      <c r="B104" s="14" t="s">
        <v>196</v>
      </c>
      <c r="C104" s="15"/>
      <c r="D104" s="15"/>
      <c r="E104" s="15"/>
      <c r="F104" s="15"/>
      <c r="G104" s="15"/>
      <c r="H104" s="16"/>
      <c r="I104" s="17"/>
      <c r="J104" s="5"/>
    </row>
    <row r="105" spans="1:10" ht="13.05" customHeight="1">
      <c r="A105" s="18" t="s">
        <v>197</v>
      </c>
      <c r="B105" s="19" t="s">
        <v>198</v>
      </c>
      <c r="C105" s="15"/>
      <c r="D105" s="15"/>
      <c r="E105" s="20"/>
      <c r="F105" s="21">
        <v>3910.3092999999999</v>
      </c>
      <c r="G105" s="22">
        <v>1.7000000000000001E-2</v>
      </c>
      <c r="H105" s="23">
        <v>5.5573617010495215E-2</v>
      </c>
      <c r="I105" s="24"/>
      <c r="J105" s="5"/>
    </row>
    <row r="106" spans="1:10" ht="13.05" customHeight="1">
      <c r="A106" s="5"/>
      <c r="B106" s="14" t="s">
        <v>192</v>
      </c>
      <c r="C106" s="15"/>
      <c r="D106" s="15"/>
      <c r="E106" s="15"/>
      <c r="F106" s="25">
        <v>3910.3092999999999</v>
      </c>
      <c r="G106" s="26">
        <v>1.7000000000000001E-2</v>
      </c>
      <c r="H106" s="27"/>
      <c r="I106" s="28"/>
      <c r="J106" s="5"/>
    </row>
    <row r="107" spans="1:10" ht="13.05" customHeight="1">
      <c r="A107" s="5"/>
      <c r="B107" s="29" t="s">
        <v>195</v>
      </c>
      <c r="C107" s="30"/>
      <c r="D107" s="2"/>
      <c r="E107" s="30"/>
      <c r="F107" s="25">
        <v>3910.3092999999999</v>
      </c>
      <c r="G107" s="26">
        <v>1.7000000000000001E-2</v>
      </c>
      <c r="H107" s="27"/>
      <c r="I107" s="28"/>
      <c r="J107" s="5"/>
    </row>
    <row r="108" spans="1:10" ht="13.05" customHeight="1">
      <c r="A108" s="5"/>
      <c r="B108" s="29" t="s">
        <v>199</v>
      </c>
      <c r="C108" s="15"/>
      <c r="D108" s="2"/>
      <c r="E108" s="15"/>
      <c r="F108" s="31">
        <v>2171.7368999999999</v>
      </c>
      <c r="G108" s="26">
        <v>9.4999999999999998E-3</v>
      </c>
      <c r="H108" s="27"/>
      <c r="I108" s="28"/>
      <c r="J108" s="5"/>
    </row>
    <row r="109" spans="1:10" ht="13.05" customHeight="1">
      <c r="A109" s="5"/>
      <c r="B109" s="32" t="s">
        <v>200</v>
      </c>
      <c r="C109" s="33"/>
      <c r="D109" s="33"/>
      <c r="E109" s="33"/>
      <c r="F109" s="34">
        <v>229823.24</v>
      </c>
      <c r="G109" s="35">
        <v>1</v>
      </c>
      <c r="H109" s="36"/>
      <c r="I109" s="37"/>
      <c r="J109" s="5"/>
    </row>
    <row r="110" spans="1:10" ht="13.05" customHeight="1">
      <c r="A110" s="5"/>
      <c r="B110" s="7"/>
      <c r="C110" s="5"/>
      <c r="D110" s="5"/>
      <c r="E110" s="5"/>
      <c r="F110" s="5"/>
      <c r="G110" s="5"/>
      <c r="H110" s="5"/>
      <c r="I110" s="5"/>
      <c r="J110" s="5"/>
    </row>
    <row r="111" spans="1:10" ht="13.05" customHeight="1">
      <c r="A111" s="5"/>
      <c r="B111" s="4" t="s">
        <v>250</v>
      </c>
      <c r="C111" s="5"/>
      <c r="D111" s="5"/>
      <c r="E111" s="5"/>
      <c r="F111" s="5"/>
      <c r="G111" s="5"/>
      <c r="H111" s="5"/>
      <c r="I111" s="5"/>
      <c r="J111" s="5"/>
    </row>
    <row r="112" spans="1:10" ht="13.05" customHeight="1">
      <c r="A112" s="5"/>
      <c r="B112" s="4" t="s">
        <v>201</v>
      </c>
      <c r="C112" s="5"/>
      <c r="D112" s="5"/>
      <c r="E112" s="5"/>
      <c r="F112" s="5"/>
      <c r="G112" s="5"/>
      <c r="H112" s="5"/>
      <c r="I112" s="5"/>
      <c r="J112" s="5"/>
    </row>
    <row r="113" spans="1:10" ht="25.95" customHeight="1">
      <c r="A113" s="5"/>
      <c r="B113" s="103" t="s">
        <v>202</v>
      </c>
      <c r="C113" s="103"/>
      <c r="D113" s="103"/>
      <c r="E113" s="103"/>
      <c r="F113" s="103"/>
      <c r="G113" s="103"/>
      <c r="H113" s="103"/>
      <c r="I113" s="103"/>
      <c r="J113" s="5"/>
    </row>
    <row r="114" spans="1:10" ht="13.05" customHeight="1">
      <c r="A114" s="5"/>
      <c r="B114" s="103" t="s">
        <v>203</v>
      </c>
      <c r="C114" s="103"/>
      <c r="D114" s="103"/>
      <c r="E114" s="103"/>
      <c r="F114" s="103"/>
      <c r="G114" s="103"/>
      <c r="H114" s="103"/>
      <c r="I114" s="103"/>
      <c r="J114" s="5"/>
    </row>
    <row r="115" spans="1:10" ht="13.05" customHeight="1">
      <c r="A115" s="5"/>
      <c r="B115" s="103"/>
      <c r="C115" s="103"/>
      <c r="D115" s="103"/>
      <c r="E115" s="103"/>
      <c r="F115" s="103"/>
      <c r="G115" s="103"/>
      <c r="H115" s="103"/>
      <c r="I115" s="103"/>
      <c r="J115" s="5"/>
    </row>
    <row r="116" spans="1:10" ht="13.05" customHeight="1">
      <c r="A116" s="5"/>
      <c r="B116" s="103"/>
      <c r="C116" s="103"/>
      <c r="D116" s="103"/>
      <c r="E116" s="103"/>
      <c r="F116" s="103"/>
      <c r="G116" s="103"/>
      <c r="H116" s="103"/>
      <c r="I116" s="103"/>
      <c r="J116" s="5"/>
    </row>
    <row r="117" spans="1:10" ht="13.05" customHeight="1">
      <c r="A117" s="5"/>
      <c r="B117" s="103"/>
      <c r="C117" s="103"/>
      <c r="D117" s="103"/>
      <c r="E117" s="103"/>
      <c r="F117" s="103"/>
      <c r="G117" s="103"/>
      <c r="H117" s="103"/>
      <c r="I117" s="103"/>
      <c r="J117" s="5"/>
    </row>
    <row r="118" spans="1:10" ht="13.05" customHeight="1">
      <c r="A118" s="5"/>
      <c r="B118" s="103"/>
      <c r="C118" s="103"/>
      <c r="D118" s="103"/>
      <c r="E118" s="103"/>
      <c r="F118" s="103"/>
      <c r="G118" s="103"/>
      <c r="H118" s="103"/>
      <c r="I118" s="103"/>
      <c r="J118" s="5"/>
    </row>
    <row r="119" spans="1:10" ht="13.05" customHeight="1">
      <c r="A119" s="5"/>
      <c r="B119" s="5"/>
      <c r="C119" s="104" t="s">
        <v>1817</v>
      </c>
      <c r="D119" s="104"/>
      <c r="E119" s="104"/>
      <c r="F119" s="104"/>
      <c r="G119" s="5"/>
      <c r="H119" s="5"/>
      <c r="I119" s="5"/>
      <c r="J119" s="5"/>
    </row>
    <row r="120" spans="1:10" ht="13.05" customHeight="1">
      <c r="A120" s="5"/>
      <c r="B120" s="38" t="s">
        <v>207</v>
      </c>
      <c r="C120" s="104" t="s">
        <v>208</v>
      </c>
      <c r="D120" s="104"/>
      <c r="E120" s="104"/>
      <c r="F120" s="104"/>
      <c r="G120" s="5"/>
      <c r="H120" s="5"/>
      <c r="I120" s="5"/>
      <c r="J120" s="5"/>
    </row>
    <row r="121" spans="1:10" ht="135" customHeight="1">
      <c r="A121" s="5"/>
      <c r="B121" s="39"/>
      <c r="C121" s="105"/>
      <c r="D121" s="105"/>
      <c r="E121" s="5"/>
      <c r="F121" s="5"/>
      <c r="G121" s="5"/>
      <c r="H121" s="5"/>
      <c r="I121" s="5"/>
      <c r="J121" s="5"/>
    </row>
  </sheetData>
  <mergeCells count="9">
    <mergeCell ref="B118:I118"/>
    <mergeCell ref="C119:F119"/>
    <mergeCell ref="C120:F120"/>
    <mergeCell ref="C121:D121"/>
    <mergeCell ref="B113:I113"/>
    <mergeCell ref="B114:I114"/>
    <mergeCell ref="B115:I115"/>
    <mergeCell ref="B116:I116"/>
    <mergeCell ref="B117:I117"/>
  </mergeCells>
  <hyperlinks>
    <hyperlink ref="A1" location="AxisBusinessCyclesFund" display="AXISBCF" xr:uid="{00000000-0004-0000-0500-000000000000}"/>
    <hyperlink ref="B1" location="AxisBusinessCyclesFund" display="Axis Business Cycles Fund" xr:uid="{00000000-0004-0000-05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heetPr>
  <dimension ref="A1:J211"/>
  <sheetViews>
    <sheetView topLeftCell="A132" workbookViewId="0">
      <selection activeCell="B132" sqref="B13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14</v>
      </c>
      <c r="B1" s="4" t="s">
        <v>15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1871</v>
      </c>
      <c r="C5" s="15"/>
      <c r="D5" s="15"/>
      <c r="E5" s="15"/>
      <c r="F5" s="15"/>
      <c r="G5" s="15"/>
      <c r="H5" s="16"/>
      <c r="I5" s="17"/>
      <c r="J5" s="5"/>
    </row>
    <row r="6" spans="1:10" ht="13.05" customHeight="1">
      <c r="A6" s="5"/>
      <c r="B6" s="14" t="s">
        <v>1872</v>
      </c>
      <c r="C6" s="15"/>
      <c r="D6" s="15"/>
      <c r="E6" s="15"/>
      <c r="F6" s="5"/>
      <c r="G6" s="16"/>
      <c r="H6" s="16"/>
      <c r="I6" s="17"/>
      <c r="J6" s="5"/>
    </row>
    <row r="7" spans="1:10" ht="13.05" customHeight="1">
      <c r="A7" s="18" t="s">
        <v>1873</v>
      </c>
      <c r="B7" s="19" t="s">
        <v>1874</v>
      </c>
      <c r="C7" s="15"/>
      <c r="D7" s="15"/>
      <c r="E7" s="41"/>
      <c r="F7" s="21">
        <v>-34.89</v>
      </c>
      <c r="G7" s="40" t="s">
        <v>1809</v>
      </c>
      <c r="H7" s="40"/>
      <c r="I7" s="24"/>
      <c r="J7" s="5"/>
    </row>
    <row r="8" spans="1:10" ht="13.05" customHeight="1">
      <c r="A8" s="18" t="s">
        <v>1875</v>
      </c>
      <c r="B8" s="19" t="s">
        <v>1876</v>
      </c>
      <c r="C8" s="15"/>
      <c r="D8" s="15"/>
      <c r="E8" s="41"/>
      <c r="F8" s="21">
        <v>-40.6875</v>
      </c>
      <c r="G8" s="40" t="s">
        <v>1809</v>
      </c>
      <c r="H8" s="40"/>
      <c r="I8" s="24"/>
      <c r="J8" s="5"/>
    </row>
    <row r="9" spans="1:10" ht="13.05" customHeight="1">
      <c r="A9" s="18" t="s">
        <v>1877</v>
      </c>
      <c r="B9" s="19" t="s">
        <v>1878</v>
      </c>
      <c r="C9" s="15"/>
      <c r="D9" s="15"/>
      <c r="E9" s="41"/>
      <c r="F9" s="21">
        <v>-41.6875</v>
      </c>
      <c r="G9" s="40" t="s">
        <v>1809</v>
      </c>
      <c r="H9" s="40"/>
      <c r="I9" s="24"/>
      <c r="J9" s="5"/>
    </row>
    <row r="10" spans="1:10" ht="13.05" customHeight="1">
      <c r="A10" s="18" t="s">
        <v>1879</v>
      </c>
      <c r="B10" s="19" t="s">
        <v>1880</v>
      </c>
      <c r="C10" s="15"/>
      <c r="D10" s="15"/>
      <c r="E10" s="41"/>
      <c r="F10" s="21">
        <v>-70.83</v>
      </c>
      <c r="G10" s="22">
        <v>-1E-4</v>
      </c>
      <c r="H10" s="40"/>
      <c r="I10" s="24"/>
      <c r="J10" s="5"/>
    </row>
    <row r="11" spans="1:10" ht="13.05" customHeight="1">
      <c r="A11" s="5"/>
      <c r="B11" s="14" t="s">
        <v>192</v>
      </c>
      <c r="C11" s="15"/>
      <c r="D11" s="15"/>
      <c r="E11" s="15"/>
      <c r="F11" s="25">
        <v>-188.095</v>
      </c>
      <c r="G11" s="26">
        <v>-1E-4</v>
      </c>
      <c r="H11" s="27"/>
      <c r="I11" s="28"/>
      <c r="J11" s="5"/>
    </row>
    <row r="12" spans="1:10" ht="13.05" customHeight="1">
      <c r="A12" s="5"/>
      <c r="B12" s="29" t="s">
        <v>195</v>
      </c>
      <c r="C12" s="30"/>
      <c r="D12" s="2"/>
      <c r="E12" s="30"/>
      <c r="F12" s="25">
        <v>-188.095</v>
      </c>
      <c r="G12" s="26">
        <v>-1E-4</v>
      </c>
      <c r="H12" s="27"/>
      <c r="I12" s="28"/>
      <c r="J12" s="5"/>
    </row>
    <row r="13" spans="1:10" ht="13.05" customHeight="1">
      <c r="A13" s="5"/>
      <c r="B13" s="14" t="s">
        <v>183</v>
      </c>
      <c r="C13" s="15"/>
      <c r="D13" s="15"/>
      <c r="E13" s="15"/>
      <c r="F13" s="15"/>
      <c r="G13" s="15"/>
      <c r="H13" s="16"/>
      <c r="I13" s="17"/>
      <c r="J13" s="5"/>
    </row>
    <row r="14" spans="1:10" ht="13.05" customHeight="1">
      <c r="A14" s="5"/>
      <c r="B14" s="14" t="s">
        <v>184</v>
      </c>
      <c r="C14" s="15"/>
      <c r="D14" s="15"/>
      <c r="E14" s="15"/>
      <c r="F14" s="5"/>
      <c r="G14" s="16"/>
      <c r="H14" s="16"/>
      <c r="I14" s="17"/>
      <c r="J14" s="5"/>
    </row>
    <row r="15" spans="1:10" ht="13.05" customHeight="1">
      <c r="A15" s="18" t="s">
        <v>1881</v>
      </c>
      <c r="B15" s="19" t="s">
        <v>1882</v>
      </c>
      <c r="C15" s="15" t="s">
        <v>1883</v>
      </c>
      <c r="D15" s="15" t="s">
        <v>188</v>
      </c>
      <c r="E15" s="20">
        <v>78000000</v>
      </c>
      <c r="F15" s="21">
        <v>79058.850000000006</v>
      </c>
      <c r="G15" s="22">
        <v>5.8900000000000001E-2</v>
      </c>
      <c r="H15" s="23">
        <v>6.694E-2</v>
      </c>
      <c r="I15" s="24"/>
      <c r="J15" s="5"/>
    </row>
    <row r="16" spans="1:10" ht="13.05" customHeight="1">
      <c r="A16" s="18" t="s">
        <v>1884</v>
      </c>
      <c r="B16" s="19" t="s">
        <v>1885</v>
      </c>
      <c r="C16" s="15" t="s">
        <v>1886</v>
      </c>
      <c r="D16" s="15" t="s">
        <v>213</v>
      </c>
      <c r="E16" s="20">
        <v>6790</v>
      </c>
      <c r="F16" s="21">
        <v>68109.403600000005</v>
      </c>
      <c r="G16" s="22">
        <v>5.0799999999999998E-2</v>
      </c>
      <c r="H16" s="23">
        <v>6.1600000000000002E-2</v>
      </c>
      <c r="I16" s="24"/>
      <c r="J16" s="5"/>
    </row>
    <row r="17" spans="1:10" ht="13.05" customHeight="1">
      <c r="A17" s="18" t="s">
        <v>1887</v>
      </c>
      <c r="B17" s="19" t="s">
        <v>1888</v>
      </c>
      <c r="C17" s="15" t="s">
        <v>1889</v>
      </c>
      <c r="D17" s="15" t="s">
        <v>213</v>
      </c>
      <c r="E17" s="20">
        <v>51500</v>
      </c>
      <c r="F17" s="21">
        <v>52233.6175</v>
      </c>
      <c r="G17" s="22">
        <v>3.8899999999999997E-2</v>
      </c>
      <c r="H17" s="23">
        <v>6.5699999999999995E-2</v>
      </c>
      <c r="I17" s="24"/>
      <c r="J17" s="5"/>
    </row>
    <row r="18" spans="1:10" ht="13.05" customHeight="1">
      <c r="A18" s="18" t="s">
        <v>1890</v>
      </c>
      <c r="B18" s="19" t="s">
        <v>1891</v>
      </c>
      <c r="C18" s="15" t="s">
        <v>1892</v>
      </c>
      <c r="D18" s="15" t="s">
        <v>188</v>
      </c>
      <c r="E18" s="20">
        <v>48500000</v>
      </c>
      <c r="F18" s="21">
        <v>50288.097999999998</v>
      </c>
      <c r="G18" s="22">
        <v>3.7499999999999999E-2</v>
      </c>
      <c r="H18" s="23">
        <v>6.6730999999999999E-2</v>
      </c>
      <c r="I18" s="24"/>
      <c r="J18" s="5"/>
    </row>
    <row r="19" spans="1:10" ht="13.05" customHeight="1">
      <c r="A19" s="18" t="s">
        <v>1893</v>
      </c>
      <c r="B19" s="19" t="s">
        <v>1894</v>
      </c>
      <c r="C19" s="15" t="s">
        <v>1895</v>
      </c>
      <c r="D19" s="15" t="s">
        <v>213</v>
      </c>
      <c r="E19" s="20">
        <v>47500</v>
      </c>
      <c r="F19" s="21">
        <v>48278.857499999998</v>
      </c>
      <c r="G19" s="22">
        <v>3.5999999999999997E-2</v>
      </c>
      <c r="H19" s="23">
        <v>6.6625000000000004E-2</v>
      </c>
      <c r="I19" s="24"/>
      <c r="J19" s="5"/>
    </row>
    <row r="20" spans="1:10" ht="13.05" customHeight="1">
      <c r="A20" s="18" t="s">
        <v>214</v>
      </c>
      <c r="B20" s="19" t="s">
        <v>215</v>
      </c>
      <c r="C20" s="15" t="s">
        <v>216</v>
      </c>
      <c r="D20" s="15" t="s">
        <v>213</v>
      </c>
      <c r="E20" s="20">
        <v>44050</v>
      </c>
      <c r="F20" s="21">
        <v>44237.652999999998</v>
      </c>
      <c r="G20" s="22">
        <v>3.3000000000000002E-2</v>
      </c>
      <c r="H20" s="23">
        <v>6.4251000000000003E-2</v>
      </c>
      <c r="I20" s="24"/>
      <c r="J20" s="5"/>
    </row>
    <row r="21" spans="1:10" ht="13.05" customHeight="1">
      <c r="A21" s="18" t="s">
        <v>1896</v>
      </c>
      <c r="B21" s="19" t="s">
        <v>1897</v>
      </c>
      <c r="C21" s="15" t="s">
        <v>1898</v>
      </c>
      <c r="D21" s="15" t="s">
        <v>213</v>
      </c>
      <c r="E21" s="20">
        <v>37000</v>
      </c>
      <c r="F21" s="21">
        <v>37597.290999999997</v>
      </c>
      <c r="G21" s="22">
        <v>2.8000000000000001E-2</v>
      </c>
      <c r="H21" s="23">
        <v>6.6400000000000001E-2</v>
      </c>
      <c r="I21" s="24"/>
      <c r="J21" s="5"/>
    </row>
    <row r="22" spans="1:10" ht="13.05" customHeight="1">
      <c r="A22" s="18" t="s">
        <v>1899</v>
      </c>
      <c r="B22" s="19" t="s">
        <v>1900</v>
      </c>
      <c r="C22" s="15" t="s">
        <v>1901</v>
      </c>
      <c r="D22" s="15" t="s">
        <v>213</v>
      </c>
      <c r="E22" s="20">
        <v>35000</v>
      </c>
      <c r="F22" s="21">
        <v>35554.47</v>
      </c>
      <c r="G22" s="22">
        <v>2.6499999999999999E-2</v>
      </c>
      <c r="H22" s="23">
        <v>6.8000000000000005E-2</v>
      </c>
      <c r="I22" s="24"/>
      <c r="J22" s="5"/>
    </row>
    <row r="23" spans="1:10" ht="13.05" customHeight="1">
      <c r="A23" s="18" t="s">
        <v>1902</v>
      </c>
      <c r="B23" s="19" t="s">
        <v>1903</v>
      </c>
      <c r="C23" s="15" t="s">
        <v>1904</v>
      </c>
      <c r="D23" s="15" t="s">
        <v>213</v>
      </c>
      <c r="E23" s="20">
        <v>26500</v>
      </c>
      <c r="F23" s="21">
        <v>26987.546999999999</v>
      </c>
      <c r="G23" s="22">
        <v>2.01E-2</v>
      </c>
      <c r="H23" s="23">
        <v>6.7432000000000006E-2</v>
      </c>
      <c r="I23" s="24"/>
      <c r="J23" s="5"/>
    </row>
    <row r="24" spans="1:10" ht="13.05" customHeight="1">
      <c r="A24" s="18" t="s">
        <v>1905</v>
      </c>
      <c r="B24" s="19" t="s">
        <v>1906</v>
      </c>
      <c r="C24" s="15" t="s">
        <v>1907</v>
      </c>
      <c r="D24" s="15" t="s">
        <v>213</v>
      </c>
      <c r="E24" s="20">
        <v>22500</v>
      </c>
      <c r="F24" s="21">
        <v>22307.9175</v>
      </c>
      <c r="G24" s="22">
        <v>1.66E-2</v>
      </c>
      <c r="H24" s="23">
        <v>6.8000000000000005E-2</v>
      </c>
      <c r="I24" s="24"/>
      <c r="J24" s="5"/>
    </row>
    <row r="25" spans="1:10" ht="13.05" customHeight="1">
      <c r="A25" s="18" t="s">
        <v>1908</v>
      </c>
      <c r="B25" s="19" t="s">
        <v>1909</v>
      </c>
      <c r="C25" s="15" t="s">
        <v>1910</v>
      </c>
      <c r="D25" s="15" t="s">
        <v>213</v>
      </c>
      <c r="E25" s="20">
        <v>2150</v>
      </c>
      <c r="F25" s="21">
        <v>21390.5435</v>
      </c>
      <c r="G25" s="22">
        <v>1.5900000000000001E-2</v>
      </c>
      <c r="H25" s="23">
        <v>6.2908000000000006E-2</v>
      </c>
      <c r="I25" s="42">
        <v>8.3623836000000007E-2</v>
      </c>
      <c r="J25" s="5"/>
    </row>
    <row r="26" spans="1:10" ht="13.05" customHeight="1">
      <c r="A26" s="18" t="s">
        <v>1911</v>
      </c>
      <c r="B26" s="19" t="s">
        <v>1912</v>
      </c>
      <c r="C26" s="15" t="s">
        <v>1913</v>
      </c>
      <c r="D26" s="15" t="s">
        <v>213</v>
      </c>
      <c r="E26" s="20">
        <v>19500</v>
      </c>
      <c r="F26" s="21">
        <v>19665.476999999999</v>
      </c>
      <c r="G26" s="22">
        <v>1.47E-2</v>
      </c>
      <c r="H26" s="23">
        <v>6.9900000000000004E-2</v>
      </c>
      <c r="I26" s="42"/>
      <c r="J26" s="5"/>
    </row>
    <row r="27" spans="1:10" ht="13.05" customHeight="1">
      <c r="A27" s="18" t="s">
        <v>1914</v>
      </c>
      <c r="B27" s="19" t="s">
        <v>1915</v>
      </c>
      <c r="C27" s="15" t="s">
        <v>1916</v>
      </c>
      <c r="D27" s="15" t="s">
        <v>213</v>
      </c>
      <c r="E27" s="20">
        <v>18000</v>
      </c>
      <c r="F27" s="21">
        <v>18317.916000000001</v>
      </c>
      <c r="G27" s="22">
        <v>1.37E-2</v>
      </c>
      <c r="H27" s="23">
        <v>6.7949999999999997E-2</v>
      </c>
      <c r="I27" s="42"/>
      <c r="J27" s="5"/>
    </row>
    <row r="28" spans="1:10" ht="13.05" customHeight="1">
      <c r="A28" s="18" t="s">
        <v>1917</v>
      </c>
      <c r="B28" s="19" t="s">
        <v>1918</v>
      </c>
      <c r="C28" s="15" t="s">
        <v>1919</v>
      </c>
      <c r="D28" s="15" t="s">
        <v>213</v>
      </c>
      <c r="E28" s="20">
        <v>17500</v>
      </c>
      <c r="F28" s="21">
        <v>17575.547500000001</v>
      </c>
      <c r="G28" s="22">
        <v>1.3100000000000001E-2</v>
      </c>
      <c r="H28" s="23">
        <v>7.1199999999999999E-2</v>
      </c>
      <c r="I28" s="42"/>
      <c r="J28" s="5"/>
    </row>
    <row r="29" spans="1:10" ht="13.05" customHeight="1">
      <c r="A29" s="18" t="s">
        <v>1920</v>
      </c>
      <c r="B29" s="19" t="s">
        <v>1921</v>
      </c>
      <c r="C29" s="15" t="s">
        <v>1922</v>
      </c>
      <c r="D29" s="15" t="s">
        <v>1923</v>
      </c>
      <c r="E29" s="20">
        <v>1650</v>
      </c>
      <c r="F29" s="21">
        <v>16541.217000000001</v>
      </c>
      <c r="G29" s="22">
        <v>1.23E-2</v>
      </c>
      <c r="H29" s="23">
        <v>6.25E-2</v>
      </c>
      <c r="I29" s="42"/>
      <c r="J29" s="5"/>
    </row>
    <row r="30" spans="1:10" ht="13.05" customHeight="1">
      <c r="A30" s="18" t="s">
        <v>1924</v>
      </c>
      <c r="B30" s="19" t="s">
        <v>1925</v>
      </c>
      <c r="C30" s="15" t="s">
        <v>1926</v>
      </c>
      <c r="D30" s="15" t="s">
        <v>213</v>
      </c>
      <c r="E30" s="20">
        <v>1500</v>
      </c>
      <c r="F30" s="21">
        <v>15347.7</v>
      </c>
      <c r="G30" s="22">
        <v>1.14E-2</v>
      </c>
      <c r="H30" s="23">
        <v>6.5799999999999997E-2</v>
      </c>
      <c r="I30" s="42"/>
      <c r="J30" s="5"/>
    </row>
    <row r="31" spans="1:10" ht="13.05" customHeight="1">
      <c r="A31" s="18" t="s">
        <v>1927</v>
      </c>
      <c r="B31" s="19" t="s">
        <v>1928</v>
      </c>
      <c r="C31" s="15" t="s">
        <v>1929</v>
      </c>
      <c r="D31" s="15" t="s">
        <v>213</v>
      </c>
      <c r="E31" s="20">
        <v>1500</v>
      </c>
      <c r="F31" s="21">
        <v>15081.225</v>
      </c>
      <c r="G31" s="22">
        <v>1.12E-2</v>
      </c>
      <c r="H31" s="23">
        <v>6.8000000000000005E-2</v>
      </c>
      <c r="I31" s="42"/>
      <c r="J31" s="5"/>
    </row>
    <row r="32" spans="1:10" ht="13.05" customHeight="1">
      <c r="A32" s="18" t="s">
        <v>1930</v>
      </c>
      <c r="B32" s="19" t="s">
        <v>1931</v>
      </c>
      <c r="C32" s="15" t="s">
        <v>1932</v>
      </c>
      <c r="D32" s="15" t="s">
        <v>213</v>
      </c>
      <c r="E32" s="20">
        <v>15000</v>
      </c>
      <c r="F32" s="21">
        <v>15073.83</v>
      </c>
      <c r="G32" s="22">
        <v>1.12E-2</v>
      </c>
      <c r="H32" s="23">
        <v>7.1150000000000005E-2</v>
      </c>
      <c r="I32" s="42"/>
      <c r="J32" s="5"/>
    </row>
    <row r="33" spans="1:10" ht="13.05" customHeight="1">
      <c r="A33" s="18" t="s">
        <v>1933</v>
      </c>
      <c r="B33" s="19" t="s">
        <v>1934</v>
      </c>
      <c r="C33" s="15" t="s">
        <v>1935</v>
      </c>
      <c r="D33" s="15" t="s">
        <v>1923</v>
      </c>
      <c r="E33" s="20">
        <v>12500</v>
      </c>
      <c r="F33" s="21">
        <v>12817.674999999999</v>
      </c>
      <c r="G33" s="22">
        <v>9.5999999999999992E-3</v>
      </c>
      <c r="H33" s="23">
        <v>6.7376000000000005E-2</v>
      </c>
      <c r="I33" s="42"/>
      <c r="J33" s="5"/>
    </row>
    <row r="34" spans="1:10" ht="13.05" customHeight="1">
      <c r="A34" s="18" t="s">
        <v>1936</v>
      </c>
      <c r="B34" s="19" t="s">
        <v>1937</v>
      </c>
      <c r="C34" s="15" t="s">
        <v>1938</v>
      </c>
      <c r="D34" s="15" t="s">
        <v>213</v>
      </c>
      <c r="E34" s="20">
        <v>12500</v>
      </c>
      <c r="F34" s="21">
        <v>12746.7125</v>
      </c>
      <c r="G34" s="22">
        <v>9.4999999999999998E-3</v>
      </c>
      <c r="H34" s="23">
        <v>6.6767000000000007E-2</v>
      </c>
      <c r="I34" s="42"/>
      <c r="J34" s="5"/>
    </row>
    <row r="35" spans="1:10" ht="13.05" customHeight="1">
      <c r="A35" s="18" t="s">
        <v>1939</v>
      </c>
      <c r="B35" s="19" t="s">
        <v>1940</v>
      </c>
      <c r="C35" s="15" t="s">
        <v>1941</v>
      </c>
      <c r="D35" s="15" t="s">
        <v>1923</v>
      </c>
      <c r="E35" s="20">
        <v>12500</v>
      </c>
      <c r="F35" s="21">
        <v>12731.575000000001</v>
      </c>
      <c r="G35" s="22">
        <v>9.4999999999999998E-3</v>
      </c>
      <c r="H35" s="23">
        <v>6.6400000000000001E-2</v>
      </c>
      <c r="I35" s="42"/>
      <c r="J35" s="5"/>
    </row>
    <row r="36" spans="1:10" ht="13.05" customHeight="1">
      <c r="A36" s="18" t="s">
        <v>1942</v>
      </c>
      <c r="B36" s="19" t="s">
        <v>1943</v>
      </c>
      <c r="C36" s="15" t="s">
        <v>1944</v>
      </c>
      <c r="D36" s="15" t="s">
        <v>213</v>
      </c>
      <c r="E36" s="20">
        <v>12500</v>
      </c>
      <c r="F36" s="21">
        <v>12705.0625</v>
      </c>
      <c r="G36" s="22">
        <v>9.4999999999999998E-3</v>
      </c>
      <c r="H36" s="23">
        <v>6.6449999999999995E-2</v>
      </c>
      <c r="I36" s="42"/>
      <c r="J36" s="5"/>
    </row>
    <row r="37" spans="1:10" ht="13.05" customHeight="1">
      <c r="A37" s="18" t="s">
        <v>1945</v>
      </c>
      <c r="B37" s="19" t="s">
        <v>1946</v>
      </c>
      <c r="C37" s="15" t="s">
        <v>1947</v>
      </c>
      <c r="D37" s="15" t="s">
        <v>213</v>
      </c>
      <c r="E37" s="20">
        <v>12500</v>
      </c>
      <c r="F37" s="21">
        <v>12692.875</v>
      </c>
      <c r="G37" s="22">
        <v>9.4999999999999998E-3</v>
      </c>
      <c r="H37" s="23">
        <v>6.5775E-2</v>
      </c>
      <c r="I37" s="42"/>
      <c r="J37" s="5"/>
    </row>
    <row r="38" spans="1:10" ht="13.05" customHeight="1">
      <c r="A38" s="18" t="s">
        <v>1948</v>
      </c>
      <c r="B38" s="19" t="s">
        <v>1949</v>
      </c>
      <c r="C38" s="15" t="s">
        <v>1950</v>
      </c>
      <c r="D38" s="15" t="s">
        <v>213</v>
      </c>
      <c r="E38" s="20">
        <v>12500</v>
      </c>
      <c r="F38" s="21">
        <v>12572.6625</v>
      </c>
      <c r="G38" s="22">
        <v>9.4000000000000004E-3</v>
      </c>
      <c r="H38" s="23">
        <v>6.9900000000000004E-2</v>
      </c>
      <c r="I38" s="42"/>
      <c r="J38" s="5"/>
    </row>
    <row r="39" spans="1:10" ht="13.05" customHeight="1">
      <c r="A39" s="18" t="s">
        <v>1951</v>
      </c>
      <c r="B39" s="19" t="s">
        <v>1952</v>
      </c>
      <c r="C39" s="15" t="s">
        <v>1953</v>
      </c>
      <c r="D39" s="15" t="s">
        <v>1923</v>
      </c>
      <c r="E39" s="20">
        <v>12500</v>
      </c>
      <c r="F39" s="21">
        <v>12499.387500000001</v>
      </c>
      <c r="G39" s="22">
        <v>9.2999999999999992E-3</v>
      </c>
      <c r="H39" s="23">
        <v>6.5699999999999995E-2</v>
      </c>
      <c r="I39" s="42"/>
      <c r="J39" s="5"/>
    </row>
    <row r="40" spans="1:10" ht="13.05" customHeight="1">
      <c r="A40" s="18" t="s">
        <v>1954</v>
      </c>
      <c r="B40" s="19" t="s">
        <v>1955</v>
      </c>
      <c r="C40" s="15" t="s">
        <v>1956</v>
      </c>
      <c r="D40" s="15" t="s">
        <v>1957</v>
      </c>
      <c r="E40" s="20">
        <v>12500</v>
      </c>
      <c r="F40" s="21">
        <v>12393.2125</v>
      </c>
      <c r="G40" s="22">
        <v>9.1999999999999998E-3</v>
      </c>
      <c r="H40" s="23">
        <v>6.9599999999999995E-2</v>
      </c>
      <c r="I40" s="42"/>
      <c r="J40" s="5"/>
    </row>
    <row r="41" spans="1:10" ht="13.05" customHeight="1">
      <c r="A41" s="18" t="s">
        <v>1958</v>
      </c>
      <c r="B41" s="19" t="s">
        <v>1959</v>
      </c>
      <c r="C41" s="15" t="s">
        <v>1960</v>
      </c>
      <c r="D41" s="15" t="s">
        <v>188</v>
      </c>
      <c r="E41" s="20">
        <v>10500000</v>
      </c>
      <c r="F41" s="21">
        <v>10904.512500000001</v>
      </c>
      <c r="G41" s="22">
        <v>8.0999999999999996E-3</v>
      </c>
      <c r="H41" s="23">
        <v>6.6900000000000001E-2</v>
      </c>
      <c r="I41" s="42"/>
      <c r="J41" s="5"/>
    </row>
    <row r="42" spans="1:10" ht="13.05" customHeight="1">
      <c r="A42" s="18" t="s">
        <v>1961</v>
      </c>
      <c r="B42" s="19" t="s">
        <v>1962</v>
      </c>
      <c r="C42" s="15" t="s">
        <v>1963</v>
      </c>
      <c r="D42" s="15" t="s">
        <v>188</v>
      </c>
      <c r="E42" s="20">
        <v>10000000</v>
      </c>
      <c r="F42" s="21">
        <v>10574.13</v>
      </c>
      <c r="G42" s="22">
        <v>7.9000000000000008E-3</v>
      </c>
      <c r="H42" s="23">
        <v>6.8839999999999998E-2</v>
      </c>
      <c r="I42" s="42"/>
      <c r="J42" s="5"/>
    </row>
    <row r="43" spans="1:10" ht="13.05" customHeight="1">
      <c r="A43" s="18" t="s">
        <v>1964</v>
      </c>
      <c r="B43" s="19" t="s">
        <v>1965</v>
      </c>
      <c r="C43" s="15" t="s">
        <v>1966</v>
      </c>
      <c r="D43" s="15" t="s">
        <v>1923</v>
      </c>
      <c r="E43" s="20">
        <v>10100</v>
      </c>
      <c r="F43" s="21">
        <v>10284.5371</v>
      </c>
      <c r="G43" s="22">
        <v>7.7000000000000002E-3</v>
      </c>
      <c r="H43" s="23">
        <v>6.6400000000000001E-2</v>
      </c>
      <c r="I43" s="42"/>
      <c r="J43" s="5"/>
    </row>
    <row r="44" spans="1:10" ht="13.05" customHeight="1">
      <c r="A44" s="18" t="s">
        <v>1967</v>
      </c>
      <c r="B44" s="19" t="s">
        <v>1968</v>
      </c>
      <c r="C44" s="15" t="s">
        <v>1969</v>
      </c>
      <c r="D44" s="15" t="s">
        <v>213</v>
      </c>
      <c r="E44" s="20">
        <v>10000</v>
      </c>
      <c r="F44" s="21">
        <v>10269.41</v>
      </c>
      <c r="G44" s="22">
        <v>7.7000000000000002E-3</v>
      </c>
      <c r="H44" s="23">
        <v>7.2749999999999995E-2</v>
      </c>
      <c r="I44" s="42"/>
      <c r="J44" s="5"/>
    </row>
    <row r="45" spans="1:10" ht="13.05" customHeight="1">
      <c r="A45" s="18" t="s">
        <v>1970</v>
      </c>
      <c r="B45" s="19" t="s">
        <v>1971</v>
      </c>
      <c r="C45" s="15" t="s">
        <v>1972</v>
      </c>
      <c r="D45" s="15" t="s">
        <v>213</v>
      </c>
      <c r="E45" s="20">
        <v>10000</v>
      </c>
      <c r="F45" s="21">
        <v>10216.08</v>
      </c>
      <c r="G45" s="22">
        <v>7.6E-3</v>
      </c>
      <c r="H45" s="23">
        <v>7.0791999999999994E-2</v>
      </c>
      <c r="I45" s="42"/>
      <c r="J45" s="5"/>
    </row>
    <row r="46" spans="1:10" ht="13.05" customHeight="1">
      <c r="A46" s="18" t="s">
        <v>1973</v>
      </c>
      <c r="B46" s="19" t="s">
        <v>1974</v>
      </c>
      <c r="C46" s="15" t="s">
        <v>1975</v>
      </c>
      <c r="D46" s="15" t="s">
        <v>213</v>
      </c>
      <c r="E46" s="20">
        <v>10000</v>
      </c>
      <c r="F46" s="21">
        <v>10207.209999999999</v>
      </c>
      <c r="G46" s="22">
        <v>7.6E-3</v>
      </c>
      <c r="H46" s="23">
        <v>6.7738000000000007E-2</v>
      </c>
      <c r="I46" s="42"/>
      <c r="J46" s="5"/>
    </row>
    <row r="47" spans="1:10" ht="13.05" customHeight="1">
      <c r="A47" s="18" t="s">
        <v>1976</v>
      </c>
      <c r="B47" s="19" t="s">
        <v>1977</v>
      </c>
      <c r="C47" s="15" t="s">
        <v>1978</v>
      </c>
      <c r="D47" s="15" t="s">
        <v>1957</v>
      </c>
      <c r="E47" s="20">
        <v>10000</v>
      </c>
      <c r="F47" s="21">
        <v>10187.1</v>
      </c>
      <c r="G47" s="22">
        <v>7.6E-3</v>
      </c>
      <c r="H47" s="23">
        <v>6.9599999999999995E-2</v>
      </c>
      <c r="I47" s="42"/>
      <c r="J47" s="5"/>
    </row>
    <row r="48" spans="1:10" ht="13.05" customHeight="1">
      <c r="A48" s="18" t="s">
        <v>1979</v>
      </c>
      <c r="B48" s="19" t="s">
        <v>1980</v>
      </c>
      <c r="C48" s="15" t="s">
        <v>1981</v>
      </c>
      <c r="D48" s="15" t="s">
        <v>213</v>
      </c>
      <c r="E48" s="20">
        <v>10000</v>
      </c>
      <c r="F48" s="21">
        <v>10164.27</v>
      </c>
      <c r="G48" s="22">
        <v>7.6E-3</v>
      </c>
      <c r="H48" s="23">
        <v>6.6449999999999995E-2</v>
      </c>
      <c r="I48" s="42"/>
      <c r="J48" s="5"/>
    </row>
    <row r="49" spans="1:10" ht="13.05" customHeight="1">
      <c r="A49" s="18" t="s">
        <v>1982</v>
      </c>
      <c r="B49" s="19" t="s">
        <v>1983</v>
      </c>
      <c r="C49" s="15" t="s">
        <v>1984</v>
      </c>
      <c r="D49" s="15" t="s">
        <v>213</v>
      </c>
      <c r="E49" s="20">
        <v>10000</v>
      </c>
      <c r="F49" s="21">
        <v>10059.57</v>
      </c>
      <c r="G49" s="22">
        <v>7.4999999999999997E-3</v>
      </c>
      <c r="H49" s="23">
        <v>7.3298000000000002E-2</v>
      </c>
      <c r="I49" s="42"/>
      <c r="J49" s="5"/>
    </row>
    <row r="50" spans="1:10" ht="13.05" customHeight="1">
      <c r="A50" s="18" t="s">
        <v>1985</v>
      </c>
      <c r="B50" s="19" t="s">
        <v>1986</v>
      </c>
      <c r="C50" s="15" t="s">
        <v>1987</v>
      </c>
      <c r="D50" s="15" t="s">
        <v>213</v>
      </c>
      <c r="E50" s="20">
        <v>10000</v>
      </c>
      <c r="F50" s="21">
        <v>9987.73</v>
      </c>
      <c r="G50" s="22">
        <v>7.4000000000000003E-3</v>
      </c>
      <c r="H50" s="23">
        <v>6.7032999999999995E-2</v>
      </c>
      <c r="I50" s="42"/>
      <c r="J50" s="5"/>
    </row>
    <row r="51" spans="1:10" ht="13.05" customHeight="1">
      <c r="A51" s="18" t="s">
        <v>1988</v>
      </c>
      <c r="B51" s="19" t="s">
        <v>1989</v>
      </c>
      <c r="C51" s="15" t="s">
        <v>1990</v>
      </c>
      <c r="D51" s="15" t="s">
        <v>213</v>
      </c>
      <c r="E51" s="20">
        <v>10000</v>
      </c>
      <c r="F51" s="21">
        <v>9955.77</v>
      </c>
      <c r="G51" s="22">
        <v>7.4000000000000003E-3</v>
      </c>
      <c r="H51" s="23">
        <v>7.0000000000000007E-2</v>
      </c>
      <c r="I51" s="42"/>
      <c r="J51" s="5"/>
    </row>
    <row r="52" spans="1:10" ht="13.05" customHeight="1">
      <c r="A52" s="18" t="s">
        <v>1991</v>
      </c>
      <c r="B52" s="19" t="s">
        <v>1992</v>
      </c>
      <c r="C52" s="15" t="s">
        <v>1993</v>
      </c>
      <c r="D52" s="15" t="s">
        <v>213</v>
      </c>
      <c r="E52" s="20">
        <v>950</v>
      </c>
      <c r="F52" s="21">
        <v>9828.3104999999996</v>
      </c>
      <c r="G52" s="22">
        <v>7.3000000000000001E-3</v>
      </c>
      <c r="H52" s="23">
        <v>6.7875000000000005E-2</v>
      </c>
      <c r="I52" s="42"/>
      <c r="J52" s="5"/>
    </row>
    <row r="53" spans="1:10" ht="13.05" customHeight="1">
      <c r="A53" s="18" t="s">
        <v>1994</v>
      </c>
      <c r="B53" s="19" t="s">
        <v>1995</v>
      </c>
      <c r="C53" s="15" t="s">
        <v>1996</v>
      </c>
      <c r="D53" s="15" t="s">
        <v>213</v>
      </c>
      <c r="E53" s="20">
        <v>900</v>
      </c>
      <c r="F53" s="21">
        <v>9407.5560000000005</v>
      </c>
      <c r="G53" s="22">
        <v>7.0000000000000001E-3</v>
      </c>
      <c r="H53" s="23">
        <v>6.7125000000000004E-2</v>
      </c>
      <c r="I53" s="42"/>
      <c r="J53" s="5"/>
    </row>
    <row r="54" spans="1:10" ht="13.05" customHeight="1">
      <c r="A54" s="18" t="s">
        <v>1997</v>
      </c>
      <c r="B54" s="19" t="s">
        <v>1998</v>
      </c>
      <c r="C54" s="15" t="s">
        <v>1999</v>
      </c>
      <c r="D54" s="15" t="s">
        <v>213</v>
      </c>
      <c r="E54" s="20">
        <v>9000</v>
      </c>
      <c r="F54" s="21">
        <v>9189.0720000000001</v>
      </c>
      <c r="G54" s="22">
        <v>6.7999999999999996E-3</v>
      </c>
      <c r="H54" s="23">
        <v>6.4898999999999998E-2</v>
      </c>
      <c r="I54" s="42"/>
      <c r="J54" s="5"/>
    </row>
    <row r="55" spans="1:10" ht="13.05" customHeight="1">
      <c r="A55" s="18" t="s">
        <v>2000</v>
      </c>
      <c r="B55" s="19" t="s">
        <v>2001</v>
      </c>
      <c r="C55" s="15" t="s">
        <v>2002</v>
      </c>
      <c r="D55" s="15" t="s">
        <v>1923</v>
      </c>
      <c r="E55" s="20">
        <v>8500</v>
      </c>
      <c r="F55" s="21">
        <v>8746.1514999999999</v>
      </c>
      <c r="G55" s="22">
        <v>6.4999999999999997E-3</v>
      </c>
      <c r="H55" s="23">
        <v>6.8000000000000005E-2</v>
      </c>
      <c r="I55" s="42"/>
      <c r="J55" s="5"/>
    </row>
    <row r="56" spans="1:10" ht="13.05" customHeight="1">
      <c r="A56" s="18" t="s">
        <v>2003</v>
      </c>
      <c r="B56" s="19" t="s">
        <v>2004</v>
      </c>
      <c r="C56" s="15" t="s">
        <v>2005</v>
      </c>
      <c r="D56" s="15" t="s">
        <v>213</v>
      </c>
      <c r="E56" s="20">
        <v>7500</v>
      </c>
      <c r="F56" s="21">
        <v>7665.96</v>
      </c>
      <c r="G56" s="22">
        <v>5.7000000000000002E-3</v>
      </c>
      <c r="H56" s="23">
        <v>6.7724999999999994E-2</v>
      </c>
      <c r="I56" s="42"/>
      <c r="J56" s="5"/>
    </row>
    <row r="57" spans="1:10" ht="13.05" customHeight="1">
      <c r="A57" s="18" t="s">
        <v>2006</v>
      </c>
      <c r="B57" s="19" t="s">
        <v>2007</v>
      </c>
      <c r="C57" s="15" t="s">
        <v>2008</v>
      </c>
      <c r="D57" s="15" t="s">
        <v>213</v>
      </c>
      <c r="E57" s="20">
        <v>7500</v>
      </c>
      <c r="F57" s="21">
        <v>7626.72</v>
      </c>
      <c r="G57" s="22">
        <v>5.7000000000000002E-3</v>
      </c>
      <c r="H57" s="23">
        <v>6.5775E-2</v>
      </c>
      <c r="I57" s="42"/>
      <c r="J57" s="5"/>
    </row>
    <row r="58" spans="1:10" ht="13.05" customHeight="1">
      <c r="A58" s="18" t="s">
        <v>210</v>
      </c>
      <c r="B58" s="19" t="s">
        <v>211</v>
      </c>
      <c r="C58" s="15" t="s">
        <v>212</v>
      </c>
      <c r="D58" s="15" t="s">
        <v>213</v>
      </c>
      <c r="E58" s="20">
        <v>7600</v>
      </c>
      <c r="F58" s="21">
        <v>7624.5403999999999</v>
      </c>
      <c r="G58" s="22">
        <v>5.7000000000000002E-3</v>
      </c>
      <c r="H58" s="23">
        <v>6.2798000000000007E-2</v>
      </c>
      <c r="I58" s="42"/>
      <c r="J58" s="5"/>
    </row>
    <row r="59" spans="1:10" ht="13.05" customHeight="1">
      <c r="A59" s="18" t="s">
        <v>2009</v>
      </c>
      <c r="B59" s="19" t="s">
        <v>2010</v>
      </c>
      <c r="C59" s="15" t="s">
        <v>2011</v>
      </c>
      <c r="D59" s="15" t="s">
        <v>188</v>
      </c>
      <c r="E59" s="20">
        <v>7500000</v>
      </c>
      <c r="F59" s="21">
        <v>7601.73</v>
      </c>
      <c r="G59" s="22">
        <v>5.7000000000000002E-3</v>
      </c>
      <c r="H59" s="23">
        <v>6.7866999999999997E-2</v>
      </c>
      <c r="I59" s="42"/>
      <c r="J59" s="5"/>
    </row>
    <row r="60" spans="1:10" ht="13.05" customHeight="1">
      <c r="A60" s="18" t="s">
        <v>2012</v>
      </c>
      <c r="B60" s="19" t="s">
        <v>2013</v>
      </c>
      <c r="C60" s="15" t="s">
        <v>2014</v>
      </c>
      <c r="D60" s="15" t="s">
        <v>213</v>
      </c>
      <c r="E60" s="20">
        <v>7500</v>
      </c>
      <c r="F60" s="21">
        <v>7594.8975</v>
      </c>
      <c r="G60" s="22">
        <v>5.7000000000000002E-3</v>
      </c>
      <c r="H60" s="23">
        <v>7.1225999999999998E-2</v>
      </c>
      <c r="I60" s="42"/>
      <c r="J60" s="5"/>
    </row>
    <row r="61" spans="1:10" ht="13.05" customHeight="1">
      <c r="A61" s="18" t="s">
        <v>2015</v>
      </c>
      <c r="B61" s="19" t="s">
        <v>2016</v>
      </c>
      <c r="C61" s="15" t="s">
        <v>2017</v>
      </c>
      <c r="D61" s="15" t="s">
        <v>213</v>
      </c>
      <c r="E61" s="20">
        <v>7500</v>
      </c>
      <c r="F61" s="21">
        <v>7564.875</v>
      </c>
      <c r="G61" s="22">
        <v>5.5999999999999999E-3</v>
      </c>
      <c r="H61" s="23">
        <v>7.0249000000000006E-2</v>
      </c>
      <c r="I61" s="42"/>
      <c r="J61" s="5"/>
    </row>
    <row r="62" spans="1:10" ht="13.05" customHeight="1">
      <c r="A62" s="18" t="s">
        <v>2018</v>
      </c>
      <c r="B62" s="19" t="s">
        <v>2019</v>
      </c>
      <c r="C62" s="15" t="s">
        <v>2020</v>
      </c>
      <c r="D62" s="15" t="s">
        <v>213</v>
      </c>
      <c r="E62" s="20">
        <v>7500</v>
      </c>
      <c r="F62" s="21">
        <v>7545.3</v>
      </c>
      <c r="G62" s="22">
        <v>5.5999999999999999E-3</v>
      </c>
      <c r="H62" s="23">
        <v>6.5350000000000005E-2</v>
      </c>
      <c r="I62" s="42"/>
      <c r="J62" s="5"/>
    </row>
    <row r="63" spans="1:10" ht="13.05" customHeight="1">
      <c r="A63" s="18" t="s">
        <v>2021</v>
      </c>
      <c r="B63" s="19" t="s">
        <v>2022</v>
      </c>
      <c r="C63" s="15" t="s">
        <v>2023</v>
      </c>
      <c r="D63" s="15" t="s">
        <v>213</v>
      </c>
      <c r="E63" s="20">
        <v>7500</v>
      </c>
      <c r="F63" s="21">
        <v>7520.88</v>
      </c>
      <c r="G63" s="22">
        <v>5.5999999999999999E-3</v>
      </c>
      <c r="H63" s="23">
        <v>6.9150000000000003E-2</v>
      </c>
      <c r="I63" s="42"/>
      <c r="J63" s="5"/>
    </row>
    <row r="64" spans="1:10" ht="13.05" customHeight="1">
      <c r="A64" s="18" t="s">
        <v>2024</v>
      </c>
      <c r="B64" s="19" t="s">
        <v>2025</v>
      </c>
      <c r="C64" s="15" t="s">
        <v>2026</v>
      </c>
      <c r="D64" s="15" t="s">
        <v>1923</v>
      </c>
      <c r="E64" s="20">
        <v>7500</v>
      </c>
      <c r="F64" s="21">
        <v>7500.1274999999996</v>
      </c>
      <c r="G64" s="22">
        <v>5.5999999999999999E-3</v>
      </c>
      <c r="H64" s="23">
        <v>7.0499999999999993E-2</v>
      </c>
      <c r="I64" s="42"/>
      <c r="J64" s="5"/>
    </row>
    <row r="65" spans="1:10" ht="13.05" customHeight="1">
      <c r="A65" s="18" t="s">
        <v>2027</v>
      </c>
      <c r="B65" s="19" t="s">
        <v>2028</v>
      </c>
      <c r="C65" s="15" t="s">
        <v>2029</v>
      </c>
      <c r="D65" s="15" t="s">
        <v>213</v>
      </c>
      <c r="E65" s="20">
        <v>7500</v>
      </c>
      <c r="F65" s="21">
        <v>7488.1274999999996</v>
      </c>
      <c r="G65" s="22">
        <v>5.5999999999999999E-3</v>
      </c>
      <c r="H65" s="23">
        <v>7.0000000000000007E-2</v>
      </c>
      <c r="I65" s="42"/>
      <c r="J65" s="5"/>
    </row>
    <row r="66" spans="1:10" ht="13.05" customHeight="1">
      <c r="A66" s="18" t="s">
        <v>2030</v>
      </c>
      <c r="B66" s="19" t="s">
        <v>2031</v>
      </c>
      <c r="C66" s="15" t="s">
        <v>2032</v>
      </c>
      <c r="D66" s="15" t="s">
        <v>1923</v>
      </c>
      <c r="E66" s="20">
        <v>7000</v>
      </c>
      <c r="F66" s="21">
        <v>7099.0780000000004</v>
      </c>
      <c r="G66" s="22">
        <v>5.3E-3</v>
      </c>
      <c r="H66" s="23">
        <v>6.5699999999999995E-2</v>
      </c>
      <c r="I66" s="42"/>
      <c r="J66" s="5"/>
    </row>
    <row r="67" spans="1:10" ht="13.05" customHeight="1">
      <c r="A67" s="18" t="s">
        <v>2033</v>
      </c>
      <c r="B67" s="19" t="s">
        <v>2034</v>
      </c>
      <c r="C67" s="15" t="s">
        <v>2035</v>
      </c>
      <c r="D67" s="15" t="s">
        <v>213</v>
      </c>
      <c r="E67" s="20">
        <v>680</v>
      </c>
      <c r="F67" s="21">
        <v>6893.3368</v>
      </c>
      <c r="G67" s="22">
        <v>5.1000000000000004E-3</v>
      </c>
      <c r="H67" s="23">
        <v>6.9150000000000003E-2</v>
      </c>
      <c r="I67" s="42"/>
      <c r="J67" s="5"/>
    </row>
    <row r="68" spans="1:10" ht="13.05" customHeight="1">
      <c r="A68" s="18" t="s">
        <v>2036</v>
      </c>
      <c r="B68" s="19" t="s">
        <v>2037</v>
      </c>
      <c r="C68" s="15" t="s">
        <v>2038</v>
      </c>
      <c r="D68" s="15" t="s">
        <v>1957</v>
      </c>
      <c r="E68" s="20">
        <v>6000</v>
      </c>
      <c r="F68" s="21">
        <v>6110.8019999999997</v>
      </c>
      <c r="G68" s="22">
        <v>4.5999999999999999E-3</v>
      </c>
      <c r="H68" s="23">
        <v>6.8849999999999995E-2</v>
      </c>
      <c r="I68" s="42"/>
      <c r="J68" s="5"/>
    </row>
    <row r="69" spans="1:10" ht="13.05" customHeight="1">
      <c r="A69" s="18" t="s">
        <v>2039</v>
      </c>
      <c r="B69" s="19" t="s">
        <v>2040</v>
      </c>
      <c r="C69" s="15" t="s">
        <v>2041</v>
      </c>
      <c r="D69" s="15" t="s">
        <v>213</v>
      </c>
      <c r="E69" s="20">
        <v>6000</v>
      </c>
      <c r="F69" s="21">
        <v>6082.1040000000003</v>
      </c>
      <c r="G69" s="22">
        <v>4.4999999999999997E-3</v>
      </c>
      <c r="H69" s="23">
        <v>7.0599999999999996E-2</v>
      </c>
      <c r="I69" s="42"/>
      <c r="J69" s="5"/>
    </row>
    <row r="70" spans="1:10" ht="13.05" customHeight="1">
      <c r="A70" s="18" t="s">
        <v>2042</v>
      </c>
      <c r="B70" s="19" t="s">
        <v>2043</v>
      </c>
      <c r="C70" s="15" t="s">
        <v>2044</v>
      </c>
      <c r="D70" s="15" t="s">
        <v>1923</v>
      </c>
      <c r="E70" s="20">
        <v>5500</v>
      </c>
      <c r="F70" s="21">
        <v>5589.2539999999999</v>
      </c>
      <c r="G70" s="22">
        <v>4.1999999999999997E-3</v>
      </c>
      <c r="H70" s="23">
        <v>6.5699999999999995E-2</v>
      </c>
      <c r="I70" s="42"/>
      <c r="J70" s="5"/>
    </row>
    <row r="71" spans="1:10" ht="13.05" customHeight="1">
      <c r="A71" s="18" t="s">
        <v>2045</v>
      </c>
      <c r="B71" s="19" t="s">
        <v>2046</v>
      </c>
      <c r="C71" s="15" t="s">
        <v>2047</v>
      </c>
      <c r="D71" s="15" t="s">
        <v>213</v>
      </c>
      <c r="E71" s="20">
        <v>436</v>
      </c>
      <c r="F71" s="21">
        <v>5522.0227999999997</v>
      </c>
      <c r="G71" s="22">
        <v>4.1000000000000003E-3</v>
      </c>
      <c r="H71" s="23">
        <v>6.7849000000000007E-2</v>
      </c>
      <c r="I71" s="42"/>
      <c r="J71" s="5"/>
    </row>
    <row r="72" spans="1:10" ht="13.05" customHeight="1">
      <c r="A72" s="18" t="s">
        <v>2048</v>
      </c>
      <c r="B72" s="19" t="s">
        <v>2049</v>
      </c>
      <c r="C72" s="15" t="s">
        <v>2050</v>
      </c>
      <c r="D72" s="15" t="s">
        <v>213</v>
      </c>
      <c r="E72" s="20">
        <v>5500</v>
      </c>
      <c r="F72" s="21">
        <v>5504.3284999999996</v>
      </c>
      <c r="G72" s="22">
        <v>4.1000000000000003E-3</v>
      </c>
      <c r="H72" s="23">
        <v>6.9599999999999995E-2</v>
      </c>
      <c r="I72" s="42"/>
      <c r="J72" s="5"/>
    </row>
    <row r="73" spans="1:10" ht="13.05" customHeight="1">
      <c r="A73" s="18" t="s">
        <v>2051</v>
      </c>
      <c r="B73" s="19" t="s">
        <v>2052</v>
      </c>
      <c r="C73" s="15" t="s">
        <v>2053</v>
      </c>
      <c r="D73" s="15" t="s">
        <v>213</v>
      </c>
      <c r="E73" s="20">
        <v>5000</v>
      </c>
      <c r="F73" s="21">
        <v>5169.4750000000004</v>
      </c>
      <c r="G73" s="22">
        <v>3.8999999999999998E-3</v>
      </c>
      <c r="H73" s="23">
        <v>7.0499999999999993E-2</v>
      </c>
      <c r="I73" s="42"/>
      <c r="J73" s="5"/>
    </row>
    <row r="74" spans="1:10" ht="13.05" customHeight="1">
      <c r="A74" s="18" t="s">
        <v>2054</v>
      </c>
      <c r="B74" s="19" t="s">
        <v>2055</v>
      </c>
      <c r="C74" s="15" t="s">
        <v>2056</v>
      </c>
      <c r="D74" s="15" t="s">
        <v>213</v>
      </c>
      <c r="E74" s="20">
        <v>5000</v>
      </c>
      <c r="F74" s="21">
        <v>5149.99</v>
      </c>
      <c r="G74" s="22">
        <v>3.8E-3</v>
      </c>
      <c r="H74" s="23">
        <v>7.0899000000000004E-2</v>
      </c>
      <c r="I74" s="42"/>
      <c r="J74" s="5"/>
    </row>
    <row r="75" spans="1:10" ht="13.05" customHeight="1">
      <c r="A75" s="18" t="s">
        <v>2057</v>
      </c>
      <c r="B75" s="19" t="s">
        <v>2058</v>
      </c>
      <c r="C75" s="15" t="s">
        <v>2059</v>
      </c>
      <c r="D75" s="15" t="s">
        <v>213</v>
      </c>
      <c r="E75" s="20">
        <v>5000</v>
      </c>
      <c r="F75" s="21">
        <v>5130.29</v>
      </c>
      <c r="G75" s="22">
        <v>3.8E-3</v>
      </c>
      <c r="H75" s="23">
        <v>7.1800000000000003E-2</v>
      </c>
      <c r="I75" s="42"/>
      <c r="J75" s="5"/>
    </row>
    <row r="76" spans="1:10" ht="13.05" customHeight="1">
      <c r="A76" s="18" t="s">
        <v>2060</v>
      </c>
      <c r="B76" s="19" t="s">
        <v>2061</v>
      </c>
      <c r="C76" s="15" t="s">
        <v>2062</v>
      </c>
      <c r="D76" s="15" t="s">
        <v>213</v>
      </c>
      <c r="E76" s="20">
        <v>5000</v>
      </c>
      <c r="F76" s="21">
        <v>5124.22</v>
      </c>
      <c r="G76" s="22">
        <v>3.8E-3</v>
      </c>
      <c r="H76" s="23">
        <v>6.7825999999999997E-2</v>
      </c>
      <c r="I76" s="42"/>
      <c r="J76" s="5"/>
    </row>
    <row r="77" spans="1:10" ht="13.05" customHeight="1">
      <c r="A77" s="18" t="s">
        <v>2063</v>
      </c>
      <c r="B77" s="19" t="s">
        <v>2064</v>
      </c>
      <c r="C77" s="15" t="s">
        <v>2065</v>
      </c>
      <c r="D77" s="15" t="s">
        <v>213</v>
      </c>
      <c r="E77" s="20">
        <v>500</v>
      </c>
      <c r="F77" s="21">
        <v>5119.97</v>
      </c>
      <c r="G77" s="22">
        <v>3.8E-3</v>
      </c>
      <c r="H77" s="23">
        <v>7.0999999999999994E-2</v>
      </c>
      <c r="I77" s="42"/>
      <c r="J77" s="5"/>
    </row>
    <row r="78" spans="1:10" ht="13.05" customHeight="1">
      <c r="A78" s="18" t="s">
        <v>2066</v>
      </c>
      <c r="B78" s="19" t="s">
        <v>2067</v>
      </c>
      <c r="C78" s="15" t="s">
        <v>2068</v>
      </c>
      <c r="D78" s="15" t="s">
        <v>213</v>
      </c>
      <c r="E78" s="20">
        <v>500</v>
      </c>
      <c r="F78" s="21">
        <v>5109.1750000000002</v>
      </c>
      <c r="G78" s="22">
        <v>3.8E-3</v>
      </c>
      <c r="H78" s="23">
        <v>7.3497000000000007E-2</v>
      </c>
      <c r="I78" s="42"/>
      <c r="J78" s="5"/>
    </row>
    <row r="79" spans="1:10" ht="13.05" customHeight="1">
      <c r="A79" s="18" t="s">
        <v>2069</v>
      </c>
      <c r="B79" s="19" t="s">
        <v>2070</v>
      </c>
      <c r="C79" s="15" t="s">
        <v>2071</v>
      </c>
      <c r="D79" s="15" t="s">
        <v>213</v>
      </c>
      <c r="E79" s="20">
        <v>5000</v>
      </c>
      <c r="F79" s="21">
        <v>5105.3</v>
      </c>
      <c r="G79" s="22">
        <v>3.8E-3</v>
      </c>
      <c r="H79" s="23">
        <v>7.0999999999999994E-2</v>
      </c>
      <c r="I79" s="42"/>
      <c r="J79" s="5"/>
    </row>
    <row r="80" spans="1:10" ht="13.05" customHeight="1">
      <c r="A80" s="18" t="s">
        <v>2072</v>
      </c>
      <c r="B80" s="19" t="s">
        <v>2073</v>
      </c>
      <c r="C80" s="15" t="s">
        <v>2074</v>
      </c>
      <c r="D80" s="15" t="s">
        <v>213</v>
      </c>
      <c r="E80" s="20">
        <v>5000</v>
      </c>
      <c r="F80" s="21">
        <v>5101.5749999999998</v>
      </c>
      <c r="G80" s="22">
        <v>3.8E-3</v>
      </c>
      <c r="H80" s="23">
        <v>6.5155000000000005E-2</v>
      </c>
      <c r="I80" s="42"/>
      <c r="J80" s="5"/>
    </row>
    <row r="81" spans="1:10" ht="13.05" customHeight="1">
      <c r="A81" s="18" t="s">
        <v>2075</v>
      </c>
      <c r="B81" s="19" t="s">
        <v>2076</v>
      </c>
      <c r="C81" s="15" t="s">
        <v>2077</v>
      </c>
      <c r="D81" s="15" t="s">
        <v>213</v>
      </c>
      <c r="E81" s="20">
        <v>5000</v>
      </c>
      <c r="F81" s="21">
        <v>5099.84</v>
      </c>
      <c r="G81" s="22">
        <v>3.8E-3</v>
      </c>
      <c r="H81" s="23">
        <v>6.9650000000000004E-2</v>
      </c>
      <c r="I81" s="42"/>
      <c r="J81" s="5"/>
    </row>
    <row r="82" spans="1:10" ht="13.05" customHeight="1">
      <c r="A82" s="18" t="s">
        <v>2078</v>
      </c>
      <c r="B82" s="19" t="s">
        <v>2079</v>
      </c>
      <c r="C82" s="15" t="s">
        <v>2080</v>
      </c>
      <c r="D82" s="15" t="s">
        <v>213</v>
      </c>
      <c r="E82" s="20">
        <v>500</v>
      </c>
      <c r="F82" s="21">
        <v>5095.16</v>
      </c>
      <c r="G82" s="22">
        <v>3.8E-3</v>
      </c>
      <c r="H82" s="23">
        <v>6.9500000000000006E-2</v>
      </c>
      <c r="I82" s="42"/>
      <c r="J82" s="5"/>
    </row>
    <row r="83" spans="1:10" ht="13.05" customHeight="1">
      <c r="A83" s="18" t="s">
        <v>2081</v>
      </c>
      <c r="B83" s="19" t="s">
        <v>2082</v>
      </c>
      <c r="C83" s="15" t="s">
        <v>2083</v>
      </c>
      <c r="D83" s="15" t="s">
        <v>213</v>
      </c>
      <c r="E83" s="20">
        <v>5000</v>
      </c>
      <c r="F83" s="21">
        <v>5082.1549999999997</v>
      </c>
      <c r="G83" s="22">
        <v>3.8E-3</v>
      </c>
      <c r="H83" s="23">
        <v>7.1150000000000005E-2</v>
      </c>
      <c r="I83" s="42"/>
      <c r="J83" s="5"/>
    </row>
    <row r="84" spans="1:10" ht="13.05" customHeight="1">
      <c r="A84" s="18" t="s">
        <v>2084</v>
      </c>
      <c r="B84" s="19" t="s">
        <v>2085</v>
      </c>
      <c r="C84" s="15" t="s">
        <v>2086</v>
      </c>
      <c r="D84" s="15" t="s">
        <v>213</v>
      </c>
      <c r="E84" s="20">
        <v>5000</v>
      </c>
      <c r="F84" s="21">
        <v>5076.5200000000004</v>
      </c>
      <c r="G84" s="22">
        <v>3.8E-3</v>
      </c>
      <c r="H84" s="23">
        <v>6.7199999999999996E-2</v>
      </c>
      <c r="I84" s="42"/>
      <c r="J84" s="5"/>
    </row>
    <row r="85" spans="1:10" ht="13.05" customHeight="1">
      <c r="A85" s="18" t="s">
        <v>2087</v>
      </c>
      <c r="B85" s="19" t="s">
        <v>2088</v>
      </c>
      <c r="C85" s="15" t="s">
        <v>2089</v>
      </c>
      <c r="D85" s="15" t="s">
        <v>213</v>
      </c>
      <c r="E85" s="20">
        <v>5000</v>
      </c>
      <c r="F85" s="21">
        <v>5067.28</v>
      </c>
      <c r="G85" s="22">
        <v>3.8E-3</v>
      </c>
      <c r="H85" s="23">
        <v>6.5699999999999995E-2</v>
      </c>
      <c r="I85" s="42"/>
      <c r="J85" s="5"/>
    </row>
    <row r="86" spans="1:10" ht="13.05" customHeight="1">
      <c r="A86" s="18" t="s">
        <v>2090</v>
      </c>
      <c r="B86" s="19" t="s">
        <v>2091</v>
      </c>
      <c r="C86" s="15" t="s">
        <v>2092</v>
      </c>
      <c r="D86" s="15" t="s">
        <v>213</v>
      </c>
      <c r="E86" s="20">
        <v>500</v>
      </c>
      <c r="F86" s="21">
        <v>5051.8599999999997</v>
      </c>
      <c r="G86" s="22">
        <v>3.8E-3</v>
      </c>
      <c r="H86" s="23">
        <v>6.5549999999999997E-2</v>
      </c>
      <c r="I86" s="42"/>
      <c r="J86" s="5"/>
    </row>
    <row r="87" spans="1:10" ht="13.05" customHeight="1">
      <c r="A87" s="18" t="s">
        <v>2093</v>
      </c>
      <c r="B87" s="19" t="s">
        <v>2094</v>
      </c>
      <c r="C87" s="15" t="s">
        <v>2095</v>
      </c>
      <c r="D87" s="15" t="s">
        <v>213</v>
      </c>
      <c r="E87" s="20">
        <v>5000</v>
      </c>
      <c r="F87" s="21">
        <v>5023.38</v>
      </c>
      <c r="G87" s="22">
        <v>3.7000000000000002E-3</v>
      </c>
      <c r="H87" s="23">
        <v>7.0299E-2</v>
      </c>
      <c r="I87" s="42"/>
      <c r="J87" s="5"/>
    </row>
    <row r="88" spans="1:10" ht="13.05" customHeight="1">
      <c r="A88" s="18" t="s">
        <v>2096</v>
      </c>
      <c r="B88" s="19" t="s">
        <v>2097</v>
      </c>
      <c r="C88" s="15" t="s">
        <v>2098</v>
      </c>
      <c r="D88" s="15" t="s">
        <v>213</v>
      </c>
      <c r="E88" s="20">
        <v>5000</v>
      </c>
      <c r="F88" s="21">
        <v>5021.67</v>
      </c>
      <c r="G88" s="22">
        <v>3.7000000000000002E-3</v>
      </c>
      <c r="H88" s="23">
        <v>7.1150000000000005E-2</v>
      </c>
      <c r="I88" s="42"/>
      <c r="J88" s="5"/>
    </row>
    <row r="89" spans="1:10" ht="13.05" customHeight="1">
      <c r="A89" s="18" t="s">
        <v>2099</v>
      </c>
      <c r="B89" s="19" t="s">
        <v>2100</v>
      </c>
      <c r="C89" s="15" t="s">
        <v>2101</v>
      </c>
      <c r="D89" s="15" t="s">
        <v>213</v>
      </c>
      <c r="E89" s="20">
        <v>5000</v>
      </c>
      <c r="F89" s="21">
        <v>4998.18</v>
      </c>
      <c r="G89" s="22">
        <v>3.7000000000000002E-3</v>
      </c>
      <c r="H89" s="23">
        <v>6.9650000000000004E-2</v>
      </c>
      <c r="I89" s="42"/>
      <c r="J89" s="5"/>
    </row>
    <row r="90" spans="1:10" ht="13.05" customHeight="1">
      <c r="A90" s="18" t="s">
        <v>2102</v>
      </c>
      <c r="B90" s="19" t="s">
        <v>2103</v>
      </c>
      <c r="C90" s="15" t="s">
        <v>2104</v>
      </c>
      <c r="D90" s="15" t="s">
        <v>213</v>
      </c>
      <c r="E90" s="20">
        <v>5000</v>
      </c>
      <c r="F90" s="21">
        <v>4993.2</v>
      </c>
      <c r="G90" s="22">
        <v>3.7000000000000002E-3</v>
      </c>
      <c r="H90" s="23">
        <v>7.1611999999999995E-2</v>
      </c>
      <c r="I90" s="42"/>
      <c r="J90" s="5"/>
    </row>
    <row r="91" spans="1:10" ht="13.05" customHeight="1">
      <c r="A91" s="18" t="s">
        <v>2105</v>
      </c>
      <c r="B91" s="19" t="s">
        <v>2106</v>
      </c>
      <c r="C91" s="15" t="s">
        <v>2107</v>
      </c>
      <c r="D91" s="15" t="s">
        <v>1923</v>
      </c>
      <c r="E91" s="20">
        <v>5000</v>
      </c>
      <c r="F91" s="21">
        <v>4989.07</v>
      </c>
      <c r="G91" s="22">
        <v>3.7000000000000002E-3</v>
      </c>
      <c r="H91" s="23">
        <v>6.7400000000000002E-2</v>
      </c>
      <c r="I91" s="42"/>
      <c r="J91" s="5"/>
    </row>
    <row r="92" spans="1:10" ht="13.05" customHeight="1">
      <c r="A92" s="18" t="s">
        <v>2108</v>
      </c>
      <c r="B92" s="19" t="s">
        <v>2109</v>
      </c>
      <c r="C92" s="15" t="s">
        <v>2110</v>
      </c>
      <c r="D92" s="15" t="s">
        <v>213</v>
      </c>
      <c r="E92" s="20">
        <v>5000</v>
      </c>
      <c r="F92" s="21">
        <v>4987.1949999999997</v>
      </c>
      <c r="G92" s="22">
        <v>3.7000000000000002E-3</v>
      </c>
      <c r="H92" s="23">
        <v>6.7041000000000003E-2</v>
      </c>
      <c r="I92" s="42"/>
      <c r="J92" s="5"/>
    </row>
    <row r="93" spans="1:10" ht="13.05" customHeight="1">
      <c r="A93" s="18" t="s">
        <v>2111</v>
      </c>
      <c r="B93" s="19" t="s">
        <v>2112</v>
      </c>
      <c r="C93" s="15" t="s">
        <v>2113</v>
      </c>
      <c r="D93" s="15" t="s">
        <v>213</v>
      </c>
      <c r="E93" s="20">
        <v>4500</v>
      </c>
      <c r="F93" s="21">
        <v>4618.9305000000004</v>
      </c>
      <c r="G93" s="22">
        <v>3.3999999999999998E-3</v>
      </c>
      <c r="H93" s="23">
        <v>6.7840999999999999E-2</v>
      </c>
      <c r="I93" s="42"/>
      <c r="J93" s="5"/>
    </row>
    <row r="94" spans="1:10" ht="13.05" customHeight="1">
      <c r="A94" s="18" t="s">
        <v>2114</v>
      </c>
      <c r="B94" s="19" t="s">
        <v>2115</v>
      </c>
      <c r="C94" s="15" t="s">
        <v>2116</v>
      </c>
      <c r="D94" s="15" t="s">
        <v>213</v>
      </c>
      <c r="E94" s="20">
        <v>4500</v>
      </c>
      <c r="F94" s="21">
        <v>4523.7105000000001</v>
      </c>
      <c r="G94" s="22">
        <v>3.3999999999999998E-3</v>
      </c>
      <c r="H94" s="23">
        <v>6.5475000000000005E-2</v>
      </c>
      <c r="I94" s="42"/>
      <c r="J94" s="5"/>
    </row>
    <row r="95" spans="1:10" ht="13.05" customHeight="1">
      <c r="A95" s="18" t="s">
        <v>2117</v>
      </c>
      <c r="B95" s="19" t="s">
        <v>2118</v>
      </c>
      <c r="C95" s="15" t="s">
        <v>2119</v>
      </c>
      <c r="D95" s="15" t="s">
        <v>213</v>
      </c>
      <c r="E95" s="20">
        <v>400</v>
      </c>
      <c r="F95" s="21">
        <v>4189.1279999999997</v>
      </c>
      <c r="G95" s="22">
        <v>3.0999999999999999E-3</v>
      </c>
      <c r="H95" s="23">
        <v>6.7125000000000004E-2</v>
      </c>
      <c r="I95" s="42"/>
      <c r="J95" s="5"/>
    </row>
    <row r="96" spans="1:10" ht="13.05" customHeight="1">
      <c r="A96" s="18" t="s">
        <v>220</v>
      </c>
      <c r="B96" s="19" t="s">
        <v>221</v>
      </c>
      <c r="C96" s="15" t="s">
        <v>222</v>
      </c>
      <c r="D96" s="15" t="s">
        <v>213</v>
      </c>
      <c r="E96" s="20">
        <v>4100</v>
      </c>
      <c r="F96" s="21">
        <v>4115.2970999999998</v>
      </c>
      <c r="G96" s="22">
        <v>3.0999999999999999E-3</v>
      </c>
      <c r="H96" s="23">
        <v>6.2649999999999997E-2</v>
      </c>
      <c r="I96" s="42"/>
      <c r="J96" s="5"/>
    </row>
    <row r="97" spans="1:10" ht="13.05" customHeight="1">
      <c r="A97" s="18" t="s">
        <v>2120</v>
      </c>
      <c r="B97" s="19" t="s">
        <v>2121</v>
      </c>
      <c r="C97" s="15" t="s">
        <v>2122</v>
      </c>
      <c r="D97" s="15" t="s">
        <v>213</v>
      </c>
      <c r="E97" s="20">
        <v>400</v>
      </c>
      <c r="F97" s="21">
        <v>4086.8040000000001</v>
      </c>
      <c r="G97" s="22">
        <v>3.0000000000000001E-3</v>
      </c>
      <c r="H97" s="23">
        <v>6.9650000000000004E-2</v>
      </c>
      <c r="I97" s="42"/>
      <c r="J97" s="5"/>
    </row>
    <row r="98" spans="1:10" ht="13.05" customHeight="1">
      <c r="A98" s="18" t="s">
        <v>2123</v>
      </c>
      <c r="B98" s="19" t="s">
        <v>2124</v>
      </c>
      <c r="C98" s="15" t="s">
        <v>2125</v>
      </c>
      <c r="D98" s="15" t="s">
        <v>213</v>
      </c>
      <c r="E98" s="20">
        <v>350</v>
      </c>
      <c r="F98" s="21">
        <v>3496.6610000000001</v>
      </c>
      <c r="G98" s="22">
        <v>2.5999999999999999E-3</v>
      </c>
      <c r="H98" s="23">
        <v>6.0999999999999999E-2</v>
      </c>
      <c r="I98" s="42"/>
      <c r="J98" s="5"/>
    </row>
    <row r="99" spans="1:10" ht="13.05" customHeight="1">
      <c r="A99" s="18" t="s">
        <v>2126</v>
      </c>
      <c r="B99" s="19" t="s">
        <v>2127</v>
      </c>
      <c r="C99" s="15" t="s">
        <v>2128</v>
      </c>
      <c r="D99" s="15" t="s">
        <v>213</v>
      </c>
      <c r="E99" s="20">
        <v>3000</v>
      </c>
      <c r="F99" s="21">
        <v>3099.174</v>
      </c>
      <c r="G99" s="22">
        <v>2.3E-3</v>
      </c>
      <c r="H99" s="23">
        <v>7.0899000000000004E-2</v>
      </c>
      <c r="I99" s="42"/>
      <c r="J99" s="5"/>
    </row>
    <row r="100" spans="1:10" ht="13.05" customHeight="1">
      <c r="A100" s="18" t="s">
        <v>2129</v>
      </c>
      <c r="B100" s="19" t="s">
        <v>2130</v>
      </c>
      <c r="C100" s="15" t="s">
        <v>2131</v>
      </c>
      <c r="D100" s="15" t="s">
        <v>213</v>
      </c>
      <c r="E100" s="20">
        <v>3000</v>
      </c>
      <c r="F100" s="21">
        <v>3051.1619999999998</v>
      </c>
      <c r="G100" s="22">
        <v>2.3E-3</v>
      </c>
      <c r="H100" s="23">
        <v>7.1849999999999997E-2</v>
      </c>
      <c r="I100" s="42"/>
      <c r="J100" s="5"/>
    </row>
    <row r="101" spans="1:10" ht="13.05" customHeight="1">
      <c r="A101" s="18" t="s">
        <v>2132</v>
      </c>
      <c r="B101" s="19" t="s">
        <v>2133</v>
      </c>
      <c r="C101" s="15" t="s">
        <v>2134</v>
      </c>
      <c r="D101" s="15" t="s">
        <v>188</v>
      </c>
      <c r="E101" s="20">
        <v>3000000</v>
      </c>
      <c r="F101" s="21">
        <v>3021.636</v>
      </c>
      <c r="G101" s="22">
        <v>2.3E-3</v>
      </c>
      <c r="H101" s="23">
        <v>7.0431999999999995E-2</v>
      </c>
      <c r="I101" s="42"/>
      <c r="J101" s="5"/>
    </row>
    <row r="102" spans="1:10" ht="13.05" customHeight="1">
      <c r="A102" s="18" t="s">
        <v>2135</v>
      </c>
      <c r="B102" s="19" t="s">
        <v>2136</v>
      </c>
      <c r="C102" s="15" t="s">
        <v>2137</v>
      </c>
      <c r="D102" s="15" t="s">
        <v>213</v>
      </c>
      <c r="E102" s="20">
        <v>2500</v>
      </c>
      <c r="F102" s="21">
        <v>2576.2424999999998</v>
      </c>
      <c r="G102" s="22">
        <v>1.9E-3</v>
      </c>
      <c r="H102" s="23">
        <v>7.0699999999999999E-2</v>
      </c>
      <c r="I102" s="42"/>
      <c r="J102" s="5"/>
    </row>
    <row r="103" spans="1:10" ht="13.05" customHeight="1">
      <c r="A103" s="18" t="s">
        <v>2138</v>
      </c>
      <c r="B103" s="19" t="s">
        <v>2139</v>
      </c>
      <c r="C103" s="15" t="s">
        <v>2140</v>
      </c>
      <c r="D103" s="15" t="s">
        <v>213</v>
      </c>
      <c r="E103" s="20">
        <v>2500</v>
      </c>
      <c r="F103" s="21">
        <v>2573.4124999999999</v>
      </c>
      <c r="G103" s="22">
        <v>1.9E-3</v>
      </c>
      <c r="H103" s="23">
        <v>7.2150000000000006E-2</v>
      </c>
      <c r="I103" s="42"/>
      <c r="J103" s="5"/>
    </row>
    <row r="104" spans="1:10" ht="13.05" customHeight="1">
      <c r="A104" s="18" t="s">
        <v>2141</v>
      </c>
      <c r="B104" s="19" t="s">
        <v>2142</v>
      </c>
      <c r="C104" s="15" t="s">
        <v>2143</v>
      </c>
      <c r="D104" s="15" t="s">
        <v>213</v>
      </c>
      <c r="E104" s="20">
        <v>2500</v>
      </c>
      <c r="F104" s="21">
        <v>2562.89</v>
      </c>
      <c r="G104" s="22">
        <v>1.9E-3</v>
      </c>
      <c r="H104" s="23">
        <v>6.7476999999999995E-2</v>
      </c>
      <c r="I104" s="42"/>
      <c r="J104" s="5"/>
    </row>
    <row r="105" spans="1:10" ht="13.05" customHeight="1">
      <c r="A105" s="18" t="s">
        <v>2144</v>
      </c>
      <c r="B105" s="19" t="s">
        <v>2145</v>
      </c>
      <c r="C105" s="15" t="s">
        <v>2146</v>
      </c>
      <c r="D105" s="15" t="s">
        <v>213</v>
      </c>
      <c r="E105" s="20">
        <v>2500</v>
      </c>
      <c r="F105" s="21">
        <v>2558.4675000000002</v>
      </c>
      <c r="G105" s="22">
        <v>1.9E-3</v>
      </c>
      <c r="H105" s="23">
        <v>6.6600000000000006E-2</v>
      </c>
      <c r="I105" s="42"/>
      <c r="J105" s="5"/>
    </row>
    <row r="106" spans="1:10" ht="13.05" customHeight="1">
      <c r="A106" s="18" t="s">
        <v>2147</v>
      </c>
      <c r="B106" s="19" t="s">
        <v>2148</v>
      </c>
      <c r="C106" s="15" t="s">
        <v>2149</v>
      </c>
      <c r="D106" s="15" t="s">
        <v>213</v>
      </c>
      <c r="E106" s="20">
        <v>250</v>
      </c>
      <c r="F106" s="21">
        <v>2554.2849999999999</v>
      </c>
      <c r="G106" s="22">
        <v>1.9E-3</v>
      </c>
      <c r="H106" s="23">
        <v>6.5699999999999995E-2</v>
      </c>
      <c r="I106" s="42"/>
      <c r="J106" s="5"/>
    </row>
    <row r="107" spans="1:10" ht="13.05" customHeight="1">
      <c r="A107" s="18" t="s">
        <v>2150</v>
      </c>
      <c r="B107" s="19" t="s">
        <v>2151</v>
      </c>
      <c r="C107" s="15" t="s">
        <v>2152</v>
      </c>
      <c r="D107" s="15" t="s">
        <v>213</v>
      </c>
      <c r="E107" s="20">
        <v>2500</v>
      </c>
      <c r="F107" s="21">
        <v>2551.4524999999999</v>
      </c>
      <c r="G107" s="22">
        <v>1.9E-3</v>
      </c>
      <c r="H107" s="23">
        <v>6.7900000000000002E-2</v>
      </c>
      <c r="I107" s="42"/>
      <c r="J107" s="5"/>
    </row>
    <row r="108" spans="1:10" ht="13.05" customHeight="1">
      <c r="A108" s="18" t="s">
        <v>2153</v>
      </c>
      <c r="B108" s="19" t="s">
        <v>2154</v>
      </c>
      <c r="C108" s="15" t="s">
        <v>2155</v>
      </c>
      <c r="D108" s="15" t="s">
        <v>213</v>
      </c>
      <c r="E108" s="20">
        <v>2500</v>
      </c>
      <c r="F108" s="21">
        <v>2548.835</v>
      </c>
      <c r="G108" s="22">
        <v>1.9E-3</v>
      </c>
      <c r="H108" s="23">
        <v>7.0791999999999994E-2</v>
      </c>
      <c r="I108" s="42"/>
      <c r="J108" s="5"/>
    </row>
    <row r="109" spans="1:10" ht="13.05" customHeight="1">
      <c r="A109" s="18" t="s">
        <v>2156</v>
      </c>
      <c r="B109" s="19" t="s">
        <v>2157</v>
      </c>
      <c r="C109" s="15" t="s">
        <v>2158</v>
      </c>
      <c r="D109" s="15" t="s">
        <v>213</v>
      </c>
      <c r="E109" s="20">
        <v>2500</v>
      </c>
      <c r="F109" s="21">
        <v>2548.4324999999999</v>
      </c>
      <c r="G109" s="22">
        <v>1.9E-3</v>
      </c>
      <c r="H109" s="23">
        <v>6.6400000000000001E-2</v>
      </c>
      <c r="I109" s="42"/>
      <c r="J109" s="5"/>
    </row>
    <row r="110" spans="1:10" ht="13.05" customHeight="1">
      <c r="A110" s="18" t="s">
        <v>2159</v>
      </c>
      <c r="B110" s="19" t="s">
        <v>2160</v>
      </c>
      <c r="C110" s="15" t="s">
        <v>2161</v>
      </c>
      <c r="D110" s="15" t="s">
        <v>213</v>
      </c>
      <c r="E110" s="20">
        <v>250</v>
      </c>
      <c r="F110" s="21">
        <v>2546.6224999999999</v>
      </c>
      <c r="G110" s="22">
        <v>1.9E-3</v>
      </c>
      <c r="H110" s="23">
        <v>6.6600000000000006E-2</v>
      </c>
      <c r="I110" s="42"/>
      <c r="J110" s="5"/>
    </row>
    <row r="111" spans="1:10" ht="13.05" customHeight="1">
      <c r="A111" s="18" t="s">
        <v>2162</v>
      </c>
      <c r="B111" s="19" t="s">
        <v>2163</v>
      </c>
      <c r="C111" s="15" t="s">
        <v>2164</v>
      </c>
      <c r="D111" s="15" t="s">
        <v>213</v>
      </c>
      <c r="E111" s="20">
        <v>2500</v>
      </c>
      <c r="F111" s="21">
        <v>2543.41</v>
      </c>
      <c r="G111" s="22">
        <v>1.9E-3</v>
      </c>
      <c r="H111" s="23">
        <v>7.1300000000000002E-2</v>
      </c>
      <c r="I111" s="42"/>
      <c r="J111" s="5"/>
    </row>
    <row r="112" spans="1:10" ht="13.05" customHeight="1">
      <c r="A112" s="18" t="s">
        <v>2165</v>
      </c>
      <c r="B112" s="19" t="s">
        <v>2166</v>
      </c>
      <c r="C112" s="15" t="s">
        <v>2167</v>
      </c>
      <c r="D112" s="15" t="s">
        <v>213</v>
      </c>
      <c r="E112" s="20">
        <v>250</v>
      </c>
      <c r="F112" s="21">
        <v>2543.2925</v>
      </c>
      <c r="G112" s="22">
        <v>1.9E-3</v>
      </c>
      <c r="H112" s="23">
        <v>6.4600000000000005E-2</v>
      </c>
      <c r="I112" s="42"/>
      <c r="J112" s="5"/>
    </row>
    <row r="113" spans="1:10" ht="13.05" customHeight="1">
      <c r="A113" s="18" t="s">
        <v>2168</v>
      </c>
      <c r="B113" s="19" t="s">
        <v>2169</v>
      </c>
      <c r="C113" s="15" t="s">
        <v>2170</v>
      </c>
      <c r="D113" s="15" t="s">
        <v>213</v>
      </c>
      <c r="E113" s="20">
        <v>2500</v>
      </c>
      <c r="F113" s="21">
        <v>2541.7750000000001</v>
      </c>
      <c r="G113" s="22">
        <v>1.9E-3</v>
      </c>
      <c r="H113" s="23">
        <v>6.6449999999999995E-2</v>
      </c>
      <c r="I113" s="42"/>
      <c r="J113" s="5"/>
    </row>
    <row r="114" spans="1:10" ht="13.05" customHeight="1">
      <c r="A114" s="18" t="s">
        <v>2171</v>
      </c>
      <c r="B114" s="19" t="s">
        <v>2172</v>
      </c>
      <c r="C114" s="15" t="s">
        <v>2173</v>
      </c>
      <c r="D114" s="15" t="s">
        <v>213</v>
      </c>
      <c r="E114" s="20">
        <v>2500</v>
      </c>
      <c r="F114" s="21">
        <v>2538.7175000000002</v>
      </c>
      <c r="G114" s="22">
        <v>1.9E-3</v>
      </c>
      <c r="H114" s="23">
        <v>7.1050000000000002E-2</v>
      </c>
      <c r="I114" s="42"/>
      <c r="J114" s="5"/>
    </row>
    <row r="115" spans="1:10" ht="13.05" customHeight="1">
      <c r="A115" s="18" t="s">
        <v>2174</v>
      </c>
      <c r="B115" s="19" t="s">
        <v>2175</v>
      </c>
      <c r="C115" s="15" t="s">
        <v>2176</v>
      </c>
      <c r="D115" s="15" t="s">
        <v>213</v>
      </c>
      <c r="E115" s="20">
        <v>2500</v>
      </c>
      <c r="F115" s="21">
        <v>2537.3924999999999</v>
      </c>
      <c r="G115" s="22">
        <v>1.9E-3</v>
      </c>
      <c r="H115" s="23">
        <v>7.3229000000000002E-2</v>
      </c>
      <c r="I115" s="42"/>
      <c r="J115" s="5"/>
    </row>
    <row r="116" spans="1:10" ht="13.05" customHeight="1">
      <c r="A116" s="18" t="s">
        <v>2177</v>
      </c>
      <c r="B116" s="19" t="s">
        <v>2178</v>
      </c>
      <c r="C116" s="15" t="s">
        <v>2179</v>
      </c>
      <c r="D116" s="15" t="s">
        <v>188</v>
      </c>
      <c r="E116" s="20">
        <v>2500000</v>
      </c>
      <c r="F116" s="21">
        <v>2527.4</v>
      </c>
      <c r="G116" s="22">
        <v>1.9E-3</v>
      </c>
      <c r="H116" s="23">
        <v>6.7815E-2</v>
      </c>
      <c r="I116" s="42"/>
      <c r="J116" s="5"/>
    </row>
    <row r="117" spans="1:10" ht="13.05" customHeight="1">
      <c r="A117" s="18" t="s">
        <v>2180</v>
      </c>
      <c r="B117" s="19" t="s">
        <v>2181</v>
      </c>
      <c r="C117" s="15" t="s">
        <v>2182</v>
      </c>
      <c r="D117" s="15" t="s">
        <v>213</v>
      </c>
      <c r="E117" s="20">
        <v>2500</v>
      </c>
      <c r="F117" s="21">
        <v>2524.1799999999998</v>
      </c>
      <c r="G117" s="22">
        <v>1.9E-3</v>
      </c>
      <c r="H117" s="23">
        <v>6.5199999999999994E-2</v>
      </c>
      <c r="I117" s="42"/>
      <c r="J117" s="5"/>
    </row>
    <row r="118" spans="1:10" ht="13.05" customHeight="1">
      <c r="A118" s="18" t="s">
        <v>2183</v>
      </c>
      <c r="B118" s="19" t="s">
        <v>2184</v>
      </c>
      <c r="C118" s="15" t="s">
        <v>2185</v>
      </c>
      <c r="D118" s="15" t="s">
        <v>213</v>
      </c>
      <c r="E118" s="20">
        <v>2500</v>
      </c>
      <c r="F118" s="21">
        <v>2524.0974999999999</v>
      </c>
      <c r="G118" s="22">
        <v>1.9E-3</v>
      </c>
      <c r="H118" s="23">
        <v>7.3450000000000001E-2</v>
      </c>
      <c r="I118" s="42"/>
      <c r="J118" s="5"/>
    </row>
    <row r="119" spans="1:10" ht="13.05" customHeight="1">
      <c r="A119" s="18" t="s">
        <v>2186</v>
      </c>
      <c r="B119" s="19" t="s">
        <v>2187</v>
      </c>
      <c r="C119" s="15" t="s">
        <v>2188</v>
      </c>
      <c r="D119" s="15" t="s">
        <v>213</v>
      </c>
      <c r="E119" s="20">
        <v>2500</v>
      </c>
      <c r="F119" s="21">
        <v>2516.5075000000002</v>
      </c>
      <c r="G119" s="22">
        <v>1.9E-3</v>
      </c>
      <c r="H119" s="23">
        <v>7.4399999999999994E-2</v>
      </c>
      <c r="I119" s="42"/>
      <c r="J119" s="5"/>
    </row>
    <row r="120" spans="1:10" ht="13.05" customHeight="1">
      <c r="A120" s="18" t="s">
        <v>2189</v>
      </c>
      <c r="B120" s="19" t="s">
        <v>2190</v>
      </c>
      <c r="C120" s="15" t="s">
        <v>2191</v>
      </c>
      <c r="D120" s="15" t="s">
        <v>213</v>
      </c>
      <c r="E120" s="20">
        <v>2500</v>
      </c>
      <c r="F120" s="21">
        <v>2516.4349999999999</v>
      </c>
      <c r="G120" s="22">
        <v>1.9E-3</v>
      </c>
      <c r="H120" s="23">
        <v>6.4350000000000004E-2</v>
      </c>
      <c r="I120" s="42"/>
      <c r="J120" s="5"/>
    </row>
    <row r="121" spans="1:10" ht="13.05" customHeight="1">
      <c r="A121" s="18" t="s">
        <v>2192</v>
      </c>
      <c r="B121" s="19" t="s">
        <v>2193</v>
      </c>
      <c r="C121" s="15" t="s">
        <v>2194</v>
      </c>
      <c r="D121" s="15" t="s">
        <v>213</v>
      </c>
      <c r="E121" s="20">
        <v>2500</v>
      </c>
      <c r="F121" s="21">
        <v>2499.4775</v>
      </c>
      <c r="G121" s="22">
        <v>1.9E-3</v>
      </c>
      <c r="H121" s="23">
        <v>6.9650000000000004E-2</v>
      </c>
      <c r="I121" s="42"/>
      <c r="J121" s="5"/>
    </row>
    <row r="122" spans="1:10" ht="13.05" customHeight="1">
      <c r="A122" s="18" t="s">
        <v>2195</v>
      </c>
      <c r="B122" s="19" t="s">
        <v>2196</v>
      </c>
      <c r="C122" s="15" t="s">
        <v>2197</v>
      </c>
      <c r="D122" s="15" t="s">
        <v>1923</v>
      </c>
      <c r="E122" s="20">
        <v>2500</v>
      </c>
      <c r="F122" s="21">
        <v>2487.8625000000002</v>
      </c>
      <c r="G122" s="22">
        <v>1.9E-3</v>
      </c>
      <c r="H122" s="23">
        <v>7.1225999999999998E-2</v>
      </c>
      <c r="I122" s="42"/>
      <c r="J122" s="5"/>
    </row>
    <row r="123" spans="1:10" ht="13.05" customHeight="1">
      <c r="A123" s="18" t="s">
        <v>2198</v>
      </c>
      <c r="B123" s="19" t="s">
        <v>2199</v>
      </c>
      <c r="C123" s="15" t="s">
        <v>2200</v>
      </c>
      <c r="D123" s="15" t="s">
        <v>213</v>
      </c>
      <c r="E123" s="20">
        <v>2285</v>
      </c>
      <c r="F123" s="21">
        <v>2334.5708</v>
      </c>
      <c r="G123" s="22">
        <v>1.6999999999999999E-3</v>
      </c>
      <c r="H123" s="23">
        <v>6.8000000000000005E-2</v>
      </c>
      <c r="I123" s="42"/>
      <c r="J123" s="5"/>
    </row>
    <row r="124" spans="1:10" ht="13.05" customHeight="1">
      <c r="A124" s="18" t="s">
        <v>2201</v>
      </c>
      <c r="B124" s="19" t="s">
        <v>2202</v>
      </c>
      <c r="C124" s="15" t="s">
        <v>2203</v>
      </c>
      <c r="D124" s="15" t="s">
        <v>213</v>
      </c>
      <c r="E124" s="20">
        <v>1800</v>
      </c>
      <c r="F124" s="21">
        <v>1832.6106</v>
      </c>
      <c r="G124" s="22">
        <v>1.4E-3</v>
      </c>
      <c r="H124" s="23">
        <v>6.8849999999999995E-2</v>
      </c>
      <c r="I124" s="42"/>
      <c r="J124" s="5"/>
    </row>
    <row r="125" spans="1:10" ht="13.05" customHeight="1">
      <c r="A125" s="18" t="s">
        <v>244</v>
      </c>
      <c r="B125" s="19" t="s">
        <v>245</v>
      </c>
      <c r="C125" s="15" t="s">
        <v>246</v>
      </c>
      <c r="D125" s="15" t="s">
        <v>213</v>
      </c>
      <c r="E125" s="20">
        <v>175</v>
      </c>
      <c r="F125" s="21">
        <v>1762.4425000000001</v>
      </c>
      <c r="G125" s="22">
        <v>1.2999999999999999E-3</v>
      </c>
      <c r="H125" s="23">
        <v>6.3500000000000001E-2</v>
      </c>
      <c r="I125" s="42"/>
      <c r="J125" s="5"/>
    </row>
    <row r="126" spans="1:10" ht="13.05" customHeight="1">
      <c r="A126" s="18" t="s">
        <v>229</v>
      </c>
      <c r="B126" s="19" t="s">
        <v>230</v>
      </c>
      <c r="C126" s="15" t="s">
        <v>231</v>
      </c>
      <c r="D126" s="15" t="s">
        <v>213</v>
      </c>
      <c r="E126" s="20">
        <v>163</v>
      </c>
      <c r="F126" s="21">
        <v>1632.5151000000001</v>
      </c>
      <c r="G126" s="22">
        <v>1.1999999999999999E-3</v>
      </c>
      <c r="H126" s="23">
        <v>6.0847999999999999E-2</v>
      </c>
      <c r="I126" s="42"/>
      <c r="J126" s="5"/>
    </row>
    <row r="127" spans="1:10" ht="13.05" customHeight="1">
      <c r="A127" s="18" t="s">
        <v>2204</v>
      </c>
      <c r="B127" s="19" t="s">
        <v>2205</v>
      </c>
      <c r="C127" s="15" t="s">
        <v>2206</v>
      </c>
      <c r="D127" s="15" t="s">
        <v>213</v>
      </c>
      <c r="E127" s="20">
        <v>1500</v>
      </c>
      <c r="F127" s="21">
        <v>1528.9304999999999</v>
      </c>
      <c r="G127" s="22">
        <v>1.1000000000000001E-3</v>
      </c>
      <c r="H127" s="23">
        <v>6.8699999999999997E-2</v>
      </c>
      <c r="I127" s="42"/>
      <c r="J127" s="5"/>
    </row>
    <row r="128" spans="1:10" ht="13.05" customHeight="1">
      <c r="A128" s="18" t="s">
        <v>2207</v>
      </c>
      <c r="B128" s="19" t="s">
        <v>2208</v>
      </c>
      <c r="C128" s="15" t="s">
        <v>2209</v>
      </c>
      <c r="D128" s="15" t="s">
        <v>1923</v>
      </c>
      <c r="E128" s="20">
        <v>1500</v>
      </c>
      <c r="F128" s="21">
        <v>1522.884</v>
      </c>
      <c r="G128" s="22">
        <v>1.1000000000000001E-3</v>
      </c>
      <c r="H128" s="23">
        <v>7.0000000000000007E-2</v>
      </c>
      <c r="I128" s="42"/>
      <c r="J128" s="5"/>
    </row>
    <row r="129" spans="1:10" ht="13.05" customHeight="1">
      <c r="A129" s="18" t="s">
        <v>2210</v>
      </c>
      <c r="B129" s="19" t="s">
        <v>2211</v>
      </c>
      <c r="C129" s="15" t="s">
        <v>2212</v>
      </c>
      <c r="D129" s="15" t="s">
        <v>213</v>
      </c>
      <c r="E129" s="20">
        <v>150</v>
      </c>
      <c r="F129" s="21">
        <v>1502.3820000000001</v>
      </c>
      <c r="G129" s="22">
        <v>1.1000000000000001E-3</v>
      </c>
      <c r="H129" s="23">
        <v>6.1098E-2</v>
      </c>
      <c r="I129" s="42"/>
      <c r="J129" s="5"/>
    </row>
    <row r="130" spans="1:10" ht="13.05" customHeight="1">
      <c r="A130" s="18" t="s">
        <v>2213</v>
      </c>
      <c r="B130" s="19" t="s">
        <v>2214</v>
      </c>
      <c r="C130" s="15" t="s">
        <v>2215</v>
      </c>
      <c r="D130" s="15" t="s">
        <v>188</v>
      </c>
      <c r="E130" s="20">
        <v>1000000</v>
      </c>
      <c r="F130" s="21">
        <v>1027.3579999999999</v>
      </c>
      <c r="G130" s="22">
        <v>8.0000000000000004E-4</v>
      </c>
      <c r="H130" s="23">
        <v>6.8071000000000007E-2</v>
      </c>
      <c r="I130" s="42"/>
      <c r="J130" s="5"/>
    </row>
    <row r="131" spans="1:10" ht="13.05" customHeight="1">
      <c r="A131" s="18" t="s">
        <v>2216</v>
      </c>
      <c r="B131" s="19" t="s">
        <v>2217</v>
      </c>
      <c r="C131" s="15" t="s">
        <v>2218</v>
      </c>
      <c r="D131" s="15" t="s">
        <v>213</v>
      </c>
      <c r="E131" s="20">
        <v>1000</v>
      </c>
      <c r="F131" s="21">
        <v>1023.639</v>
      </c>
      <c r="G131" s="22">
        <v>8.0000000000000004E-4</v>
      </c>
      <c r="H131" s="23">
        <v>7.1349999999999997E-2</v>
      </c>
      <c r="I131" s="42"/>
      <c r="J131" s="5"/>
    </row>
    <row r="132" spans="1:10" ht="13.05" customHeight="1">
      <c r="A132" s="18" t="s">
        <v>2219</v>
      </c>
      <c r="B132" s="19" t="s">
        <v>2220</v>
      </c>
      <c r="C132" s="15" t="s">
        <v>2221</v>
      </c>
      <c r="D132" s="15" t="s">
        <v>213</v>
      </c>
      <c r="E132" s="20">
        <v>1000</v>
      </c>
      <c r="F132" s="21">
        <v>1021.172</v>
      </c>
      <c r="G132" s="22">
        <v>8.0000000000000004E-4</v>
      </c>
      <c r="H132" s="23">
        <v>6.7900000000000002E-2</v>
      </c>
      <c r="I132" s="42"/>
      <c r="J132" s="5"/>
    </row>
    <row r="133" spans="1:10" ht="13.05" customHeight="1">
      <c r="A133" s="18" t="s">
        <v>2222</v>
      </c>
      <c r="B133" s="19" t="s">
        <v>2223</v>
      </c>
      <c r="C133" s="15" t="s">
        <v>2224</v>
      </c>
      <c r="D133" s="15" t="s">
        <v>213</v>
      </c>
      <c r="E133" s="20">
        <v>1000</v>
      </c>
      <c r="F133" s="21">
        <v>1017.207</v>
      </c>
      <c r="G133" s="22">
        <v>8.0000000000000004E-4</v>
      </c>
      <c r="H133" s="23">
        <v>6.7849999999999994E-2</v>
      </c>
      <c r="I133" s="42"/>
      <c r="J133" s="5"/>
    </row>
    <row r="134" spans="1:10" ht="13.05" customHeight="1">
      <c r="A134" s="18" t="s">
        <v>2225</v>
      </c>
      <c r="B134" s="19" t="s">
        <v>2226</v>
      </c>
      <c r="C134" s="15" t="s">
        <v>2227</v>
      </c>
      <c r="D134" s="15" t="s">
        <v>1923</v>
      </c>
      <c r="E134" s="20">
        <v>1000</v>
      </c>
      <c r="F134" s="21">
        <v>1015.043</v>
      </c>
      <c r="G134" s="22">
        <v>8.0000000000000004E-4</v>
      </c>
      <c r="H134" s="23">
        <v>7.2117000000000001E-2</v>
      </c>
      <c r="I134" s="42"/>
      <c r="J134" s="5"/>
    </row>
    <row r="135" spans="1:10" ht="13.05" customHeight="1">
      <c r="A135" s="18" t="s">
        <v>2228</v>
      </c>
      <c r="B135" s="19" t="s">
        <v>2229</v>
      </c>
      <c r="C135" s="15" t="s">
        <v>2230</v>
      </c>
      <c r="D135" s="15" t="s">
        <v>213</v>
      </c>
      <c r="E135" s="20">
        <v>100</v>
      </c>
      <c r="F135" s="21">
        <v>1012.175</v>
      </c>
      <c r="G135" s="22">
        <v>8.0000000000000004E-4</v>
      </c>
      <c r="H135" s="23">
        <v>6.5799999999999997E-2</v>
      </c>
      <c r="I135" s="42"/>
      <c r="J135" s="5"/>
    </row>
    <row r="136" spans="1:10" ht="13.05" customHeight="1">
      <c r="A136" s="18" t="s">
        <v>2231</v>
      </c>
      <c r="B136" s="19" t="s">
        <v>2232</v>
      </c>
      <c r="C136" s="15" t="s">
        <v>2233</v>
      </c>
      <c r="D136" s="15" t="s">
        <v>213</v>
      </c>
      <c r="E136" s="20">
        <v>100</v>
      </c>
      <c r="F136" s="21">
        <v>1006.9349999999999</v>
      </c>
      <c r="G136" s="22">
        <v>8.0000000000000004E-4</v>
      </c>
      <c r="H136" s="23">
        <v>6.5799999999999997E-2</v>
      </c>
      <c r="I136" s="42"/>
      <c r="J136" s="5"/>
    </row>
    <row r="137" spans="1:10" ht="13.05" customHeight="1">
      <c r="A137" s="18" t="s">
        <v>2234</v>
      </c>
      <c r="B137" s="19" t="s">
        <v>2235</v>
      </c>
      <c r="C137" s="15" t="s">
        <v>2236</v>
      </c>
      <c r="D137" s="15" t="s">
        <v>213</v>
      </c>
      <c r="E137" s="20">
        <v>10</v>
      </c>
      <c r="F137" s="21">
        <v>1006.556</v>
      </c>
      <c r="G137" s="22">
        <v>8.0000000000000004E-4</v>
      </c>
      <c r="H137" s="23">
        <v>6.7006999999999997E-2</v>
      </c>
      <c r="I137" s="42"/>
      <c r="J137" s="5"/>
    </row>
    <row r="138" spans="1:10" ht="13.05" customHeight="1">
      <c r="A138" s="18" t="s">
        <v>2237</v>
      </c>
      <c r="B138" s="19" t="s">
        <v>2238</v>
      </c>
      <c r="C138" s="15" t="s">
        <v>2239</v>
      </c>
      <c r="D138" s="15" t="s">
        <v>213</v>
      </c>
      <c r="E138" s="20">
        <v>1000</v>
      </c>
      <c r="F138" s="21">
        <v>1001.631</v>
      </c>
      <c r="G138" s="22">
        <v>6.9999999999999999E-4</v>
      </c>
      <c r="H138" s="23">
        <v>6.6531999999999994E-2</v>
      </c>
      <c r="I138" s="42"/>
      <c r="J138" s="5"/>
    </row>
    <row r="139" spans="1:10" ht="13.05" customHeight="1">
      <c r="A139" s="18" t="s">
        <v>2240</v>
      </c>
      <c r="B139" s="19" t="s">
        <v>2241</v>
      </c>
      <c r="C139" s="15" t="s">
        <v>2242</v>
      </c>
      <c r="D139" s="15" t="s">
        <v>188</v>
      </c>
      <c r="E139" s="20">
        <v>1000000</v>
      </c>
      <c r="F139" s="21">
        <v>999.048</v>
      </c>
      <c r="G139" s="22">
        <v>6.9999999999999999E-4</v>
      </c>
      <c r="H139" s="23">
        <v>7.0899000000000004E-2</v>
      </c>
      <c r="I139" s="42"/>
      <c r="J139" s="5"/>
    </row>
    <row r="140" spans="1:10" ht="13.05" customHeight="1">
      <c r="A140" s="18" t="s">
        <v>235</v>
      </c>
      <c r="B140" s="19" t="s">
        <v>236</v>
      </c>
      <c r="C140" s="15" t="s">
        <v>237</v>
      </c>
      <c r="D140" s="15" t="s">
        <v>213</v>
      </c>
      <c r="E140" s="20">
        <v>85</v>
      </c>
      <c r="F140" s="21">
        <v>850.3519</v>
      </c>
      <c r="G140" s="22">
        <v>5.9999999999999995E-4</v>
      </c>
      <c r="H140" s="23">
        <v>6.4645999999999995E-2</v>
      </c>
      <c r="I140" s="42"/>
      <c r="J140" s="5"/>
    </row>
    <row r="141" spans="1:10" ht="13.05" customHeight="1">
      <c r="A141" s="18" t="s">
        <v>2243</v>
      </c>
      <c r="B141" s="19" t="s">
        <v>2244</v>
      </c>
      <c r="C141" s="15" t="s">
        <v>2245</v>
      </c>
      <c r="D141" s="15" t="s">
        <v>188</v>
      </c>
      <c r="E141" s="20">
        <v>749700</v>
      </c>
      <c r="F141" s="21">
        <v>764.49159999999995</v>
      </c>
      <c r="G141" s="22">
        <v>5.9999999999999995E-4</v>
      </c>
      <c r="H141" s="23">
        <v>7.3334999999999997E-2</v>
      </c>
      <c r="I141" s="42"/>
      <c r="J141" s="5"/>
    </row>
    <row r="142" spans="1:10" ht="13.05" customHeight="1">
      <c r="A142" s="18" t="s">
        <v>2246</v>
      </c>
      <c r="B142" s="19" t="s">
        <v>2247</v>
      </c>
      <c r="C142" s="15" t="s">
        <v>2248</v>
      </c>
      <c r="D142" s="15" t="s">
        <v>188</v>
      </c>
      <c r="E142" s="20">
        <v>550000</v>
      </c>
      <c r="F142" s="21">
        <v>550.38559999999995</v>
      </c>
      <c r="G142" s="22">
        <v>4.0000000000000002E-4</v>
      </c>
      <c r="H142" s="23">
        <v>5.747E-2</v>
      </c>
      <c r="I142" s="42"/>
      <c r="J142" s="5"/>
    </row>
    <row r="143" spans="1:10" ht="13.05" customHeight="1">
      <c r="A143" s="18" t="s">
        <v>2249</v>
      </c>
      <c r="B143" s="19" t="s">
        <v>2250</v>
      </c>
      <c r="C143" s="15" t="s">
        <v>2251</v>
      </c>
      <c r="D143" s="15" t="s">
        <v>188</v>
      </c>
      <c r="E143" s="20">
        <v>500000</v>
      </c>
      <c r="F143" s="21">
        <v>505.0095</v>
      </c>
      <c r="G143" s="22">
        <v>4.0000000000000002E-4</v>
      </c>
      <c r="H143" s="23">
        <v>5.6649999999999999E-2</v>
      </c>
      <c r="I143" s="42"/>
      <c r="J143" s="5"/>
    </row>
    <row r="144" spans="1:10" ht="13.05" customHeight="1">
      <c r="A144" s="18" t="s">
        <v>2252</v>
      </c>
      <c r="B144" s="19" t="s">
        <v>2253</v>
      </c>
      <c r="C144" s="15" t="s">
        <v>2254</v>
      </c>
      <c r="D144" s="15" t="s">
        <v>188</v>
      </c>
      <c r="E144" s="20">
        <v>500000</v>
      </c>
      <c r="F144" s="21">
        <v>504.49099999999999</v>
      </c>
      <c r="G144" s="22">
        <v>4.0000000000000002E-4</v>
      </c>
      <c r="H144" s="23">
        <v>5.6899999999999999E-2</v>
      </c>
      <c r="I144" s="42"/>
      <c r="J144" s="5"/>
    </row>
    <row r="145" spans="1:10" ht="13.05" customHeight="1">
      <c r="A145" s="18" t="s">
        <v>2255</v>
      </c>
      <c r="B145" s="19" t="s">
        <v>2256</v>
      </c>
      <c r="C145" s="15" t="s">
        <v>2257</v>
      </c>
      <c r="D145" s="15" t="s">
        <v>213</v>
      </c>
      <c r="E145" s="20">
        <v>500</v>
      </c>
      <c r="F145" s="21">
        <v>503.76650000000001</v>
      </c>
      <c r="G145" s="22">
        <v>4.0000000000000002E-4</v>
      </c>
      <c r="H145" s="23">
        <v>6.8199999999999997E-2</v>
      </c>
      <c r="I145" s="42"/>
      <c r="J145" s="5"/>
    </row>
    <row r="146" spans="1:10" ht="13.05" customHeight="1">
      <c r="A146" s="18" t="s">
        <v>2258</v>
      </c>
      <c r="B146" s="19" t="s">
        <v>2259</v>
      </c>
      <c r="C146" s="15" t="s">
        <v>2260</v>
      </c>
      <c r="D146" s="15" t="s">
        <v>188</v>
      </c>
      <c r="E146" s="20">
        <v>500000</v>
      </c>
      <c r="F146" s="21">
        <v>501.33600000000001</v>
      </c>
      <c r="G146" s="22">
        <v>4.0000000000000002E-4</v>
      </c>
      <c r="H146" s="23">
        <v>5.5724999999999997E-2</v>
      </c>
      <c r="I146" s="42"/>
      <c r="J146" s="5"/>
    </row>
    <row r="147" spans="1:10" ht="13.05" customHeight="1">
      <c r="A147" s="18" t="s">
        <v>2261</v>
      </c>
      <c r="B147" s="19" t="s">
        <v>2262</v>
      </c>
      <c r="C147" s="15" t="s">
        <v>2263</v>
      </c>
      <c r="D147" s="15" t="s">
        <v>213</v>
      </c>
      <c r="E147" s="20">
        <v>500</v>
      </c>
      <c r="F147" s="21">
        <v>500.93450000000001</v>
      </c>
      <c r="G147" s="22">
        <v>4.0000000000000002E-4</v>
      </c>
      <c r="H147" s="23">
        <v>6.5875000000000003E-2</v>
      </c>
      <c r="I147" s="42"/>
      <c r="J147" s="5"/>
    </row>
    <row r="148" spans="1:10" ht="13.05" customHeight="1">
      <c r="A148" s="18" t="s">
        <v>2264</v>
      </c>
      <c r="B148" s="19" t="s">
        <v>2265</v>
      </c>
      <c r="C148" s="15" t="s">
        <v>2266</v>
      </c>
      <c r="D148" s="15" t="s">
        <v>188</v>
      </c>
      <c r="E148" s="20">
        <v>500000</v>
      </c>
      <c r="F148" s="21">
        <v>491.80950000000001</v>
      </c>
      <c r="G148" s="22">
        <v>4.0000000000000002E-4</v>
      </c>
      <c r="H148" s="23">
        <v>6.3063999999999995E-2</v>
      </c>
      <c r="I148" s="42"/>
      <c r="J148" s="5"/>
    </row>
    <row r="149" spans="1:10" ht="13.05" customHeight="1">
      <c r="A149" s="18" t="s">
        <v>247</v>
      </c>
      <c r="B149" s="19" t="s">
        <v>248</v>
      </c>
      <c r="C149" s="15" t="s">
        <v>249</v>
      </c>
      <c r="D149" s="15" t="s">
        <v>213</v>
      </c>
      <c r="E149" s="20">
        <v>450</v>
      </c>
      <c r="F149" s="21">
        <v>451.75189999999998</v>
      </c>
      <c r="G149" s="22">
        <v>2.9999999999999997E-4</v>
      </c>
      <c r="H149" s="23">
        <v>6.4299999999999996E-2</v>
      </c>
      <c r="I149" s="42"/>
      <c r="J149" s="5"/>
    </row>
    <row r="150" spans="1:10" ht="13.05" customHeight="1">
      <c r="A150" s="18" t="s">
        <v>2267</v>
      </c>
      <c r="B150" s="19" t="s">
        <v>2268</v>
      </c>
      <c r="C150" s="15" t="s">
        <v>2269</v>
      </c>
      <c r="D150" s="15" t="s">
        <v>188</v>
      </c>
      <c r="E150" s="20">
        <v>350000</v>
      </c>
      <c r="F150" s="21">
        <v>349.98320000000001</v>
      </c>
      <c r="G150" s="22">
        <v>2.9999999999999997E-4</v>
      </c>
      <c r="H150" s="23">
        <v>5.6673000000000001E-2</v>
      </c>
      <c r="I150" s="42"/>
      <c r="J150" s="5"/>
    </row>
    <row r="151" spans="1:10" ht="13.05" customHeight="1">
      <c r="A151" s="18" t="s">
        <v>2270</v>
      </c>
      <c r="B151" s="19" t="s">
        <v>2271</v>
      </c>
      <c r="C151" s="15" t="s">
        <v>2272</v>
      </c>
      <c r="D151" s="15" t="s">
        <v>188</v>
      </c>
      <c r="E151" s="20">
        <v>345400</v>
      </c>
      <c r="F151" s="21">
        <v>346.09699999999998</v>
      </c>
      <c r="G151" s="22">
        <v>2.9999999999999997E-4</v>
      </c>
      <c r="H151" s="23">
        <v>7.0156999999999997E-2</v>
      </c>
      <c r="I151" s="42"/>
      <c r="J151" s="5"/>
    </row>
    <row r="152" spans="1:10" ht="13.05" customHeight="1">
      <c r="A152" s="18" t="s">
        <v>2273</v>
      </c>
      <c r="B152" s="19" t="s">
        <v>2274</v>
      </c>
      <c r="C152" s="15" t="s">
        <v>2275</v>
      </c>
      <c r="D152" s="15" t="s">
        <v>213</v>
      </c>
      <c r="E152" s="20">
        <v>30</v>
      </c>
      <c r="F152" s="21">
        <v>299.7792</v>
      </c>
      <c r="G152" s="22">
        <v>2.0000000000000001E-4</v>
      </c>
      <c r="H152" s="23">
        <v>6.5500000000000003E-2</v>
      </c>
      <c r="I152" s="42"/>
      <c r="J152" s="5"/>
    </row>
    <row r="153" spans="1:10" ht="13.05" customHeight="1">
      <c r="A153" s="18" t="s">
        <v>2276</v>
      </c>
      <c r="B153" s="19" t="s">
        <v>2277</v>
      </c>
      <c r="C153" s="15" t="s">
        <v>2278</v>
      </c>
      <c r="D153" s="15" t="s">
        <v>213</v>
      </c>
      <c r="E153" s="20">
        <v>250</v>
      </c>
      <c r="F153" s="21">
        <v>253.97329999999999</v>
      </c>
      <c r="G153" s="22">
        <v>2.0000000000000001E-4</v>
      </c>
      <c r="H153" s="23">
        <v>7.0949999999999999E-2</v>
      </c>
      <c r="I153" s="42"/>
      <c r="J153" s="5"/>
    </row>
    <row r="154" spans="1:10" ht="13.05" customHeight="1">
      <c r="A154" s="18" t="s">
        <v>232</v>
      </c>
      <c r="B154" s="19" t="s">
        <v>233</v>
      </c>
      <c r="C154" s="15" t="s">
        <v>234</v>
      </c>
      <c r="D154" s="15" t="s">
        <v>213</v>
      </c>
      <c r="E154" s="20">
        <v>25</v>
      </c>
      <c r="F154" s="21">
        <v>251.43950000000001</v>
      </c>
      <c r="G154" s="22">
        <v>2.0000000000000001E-4</v>
      </c>
      <c r="H154" s="23">
        <v>6.3350000000000004E-2</v>
      </c>
      <c r="I154" s="42"/>
      <c r="J154" s="5"/>
    </row>
    <row r="155" spans="1:10" ht="13.05" customHeight="1">
      <c r="A155" s="18" t="s">
        <v>2279</v>
      </c>
      <c r="B155" s="19" t="s">
        <v>2280</v>
      </c>
      <c r="C155" s="15" t="s">
        <v>2281</v>
      </c>
      <c r="D155" s="15" t="s">
        <v>188</v>
      </c>
      <c r="E155" s="20">
        <v>175100</v>
      </c>
      <c r="F155" s="21">
        <v>178.42869999999999</v>
      </c>
      <c r="G155" s="22">
        <v>1E-4</v>
      </c>
      <c r="H155" s="23">
        <v>6.5121999999999999E-2</v>
      </c>
      <c r="I155" s="42"/>
      <c r="J155" s="5"/>
    </row>
    <row r="156" spans="1:10" ht="13.05" customHeight="1">
      <c r="A156" s="18" t="s">
        <v>2282</v>
      </c>
      <c r="B156" s="19" t="s">
        <v>2283</v>
      </c>
      <c r="C156" s="15" t="s">
        <v>2284</v>
      </c>
      <c r="D156" s="15" t="s">
        <v>188</v>
      </c>
      <c r="E156" s="20">
        <v>150000</v>
      </c>
      <c r="F156" s="21">
        <v>153.74160000000001</v>
      </c>
      <c r="G156" s="22">
        <v>1E-4</v>
      </c>
      <c r="H156" s="23">
        <v>5.8532000000000001E-2</v>
      </c>
      <c r="I156" s="42"/>
      <c r="J156" s="5"/>
    </row>
    <row r="157" spans="1:10" ht="13.05" customHeight="1">
      <c r="A157" s="18" t="s">
        <v>2285</v>
      </c>
      <c r="B157" s="19" t="s">
        <v>2286</v>
      </c>
      <c r="C157" s="15" t="s">
        <v>2287</v>
      </c>
      <c r="D157" s="15" t="s">
        <v>188</v>
      </c>
      <c r="E157" s="20">
        <v>140900</v>
      </c>
      <c r="F157" s="21">
        <v>138.8896</v>
      </c>
      <c r="G157" s="22">
        <v>1E-4</v>
      </c>
      <c r="H157" s="23">
        <v>7.3968000000000006E-2</v>
      </c>
      <c r="I157" s="42"/>
      <c r="J157" s="5"/>
    </row>
    <row r="158" spans="1:10" ht="13.05" customHeight="1">
      <c r="A158" s="18" t="s">
        <v>226</v>
      </c>
      <c r="B158" s="19" t="s">
        <v>227</v>
      </c>
      <c r="C158" s="15" t="s">
        <v>228</v>
      </c>
      <c r="D158" s="15" t="s">
        <v>213</v>
      </c>
      <c r="E158" s="20">
        <v>11</v>
      </c>
      <c r="F158" s="21">
        <v>110.3852</v>
      </c>
      <c r="G158" s="22">
        <v>1E-4</v>
      </c>
      <c r="H158" s="23">
        <v>6.5200999999999995E-2</v>
      </c>
      <c r="I158" s="42"/>
      <c r="J158" s="5"/>
    </row>
    <row r="159" spans="1:10" ht="13.05" customHeight="1">
      <c r="A159" s="18" t="s">
        <v>2288</v>
      </c>
      <c r="B159" s="19" t="s">
        <v>2289</v>
      </c>
      <c r="C159" s="15" t="s">
        <v>2290</v>
      </c>
      <c r="D159" s="15" t="s">
        <v>213</v>
      </c>
      <c r="E159" s="20">
        <v>100</v>
      </c>
      <c r="F159" s="21">
        <v>101.6079</v>
      </c>
      <c r="G159" s="22">
        <v>1E-4</v>
      </c>
      <c r="H159" s="23">
        <v>6.9849999999999995E-2</v>
      </c>
      <c r="I159" s="42"/>
      <c r="J159" s="5"/>
    </row>
    <row r="160" spans="1:10" ht="13.05" customHeight="1">
      <c r="A160" s="18" t="s">
        <v>2291</v>
      </c>
      <c r="B160" s="19" t="s">
        <v>2292</v>
      </c>
      <c r="C160" s="15" t="s">
        <v>2293</v>
      </c>
      <c r="D160" s="15" t="s">
        <v>213</v>
      </c>
      <c r="E160" s="20">
        <v>100</v>
      </c>
      <c r="F160" s="21">
        <v>101.3451</v>
      </c>
      <c r="G160" s="22">
        <v>1E-4</v>
      </c>
      <c r="H160" s="23">
        <v>7.1599999999999997E-2</v>
      </c>
      <c r="I160" s="42"/>
      <c r="J160" s="5"/>
    </row>
    <row r="161" spans="1:10" ht="13.05" customHeight="1">
      <c r="A161" s="18" t="s">
        <v>217</v>
      </c>
      <c r="B161" s="19" t="s">
        <v>218</v>
      </c>
      <c r="C161" s="15" t="s">
        <v>219</v>
      </c>
      <c r="D161" s="15" t="s">
        <v>213</v>
      </c>
      <c r="E161" s="20">
        <v>100</v>
      </c>
      <c r="F161" s="21">
        <v>100.3818</v>
      </c>
      <c r="G161" s="22">
        <v>1E-4</v>
      </c>
      <c r="H161" s="23">
        <v>6.2350000000000003E-2</v>
      </c>
      <c r="I161" s="42"/>
      <c r="J161" s="5"/>
    </row>
    <row r="162" spans="1:10" ht="13.05" customHeight="1">
      <c r="A162" s="18" t="s">
        <v>2294</v>
      </c>
      <c r="B162" s="19" t="s">
        <v>2295</v>
      </c>
      <c r="C162" s="15" t="s">
        <v>2296</v>
      </c>
      <c r="D162" s="15" t="s">
        <v>213</v>
      </c>
      <c r="E162" s="20">
        <v>9</v>
      </c>
      <c r="F162" s="21">
        <v>88.551500000000004</v>
      </c>
      <c r="G162" s="22">
        <v>1E-4</v>
      </c>
      <c r="H162" s="23">
        <v>6.7086999999999994E-2</v>
      </c>
      <c r="I162" s="42"/>
      <c r="J162" s="5"/>
    </row>
    <row r="163" spans="1:10" ht="13.05" customHeight="1">
      <c r="A163" s="5"/>
      <c r="B163" s="14" t="s">
        <v>192</v>
      </c>
      <c r="C163" s="15"/>
      <c r="D163" s="15"/>
      <c r="E163" s="15"/>
      <c r="F163" s="25">
        <v>1192687.0437</v>
      </c>
      <c r="G163" s="26">
        <v>0.88890000000000002</v>
      </c>
      <c r="H163" s="27"/>
      <c r="I163" s="28"/>
      <c r="J163" s="5"/>
    </row>
    <row r="164" spans="1:10" ht="13.05" customHeight="1">
      <c r="A164" s="5"/>
      <c r="B164" s="29" t="s">
        <v>193</v>
      </c>
      <c r="C164" s="2"/>
      <c r="D164" s="2"/>
      <c r="E164" s="2"/>
      <c r="F164" s="27" t="s">
        <v>194</v>
      </c>
      <c r="G164" s="27" t="s">
        <v>194</v>
      </c>
      <c r="H164" s="27"/>
      <c r="I164" s="28"/>
      <c r="J164" s="5"/>
    </row>
    <row r="165" spans="1:10" ht="13.05" customHeight="1">
      <c r="A165" s="5"/>
      <c r="B165" s="29" t="s">
        <v>192</v>
      </c>
      <c r="C165" s="2"/>
      <c r="D165" s="2"/>
      <c r="E165" s="2"/>
      <c r="F165" s="27" t="s">
        <v>194</v>
      </c>
      <c r="G165" s="27" t="s">
        <v>194</v>
      </c>
      <c r="H165" s="27"/>
      <c r="I165" s="28"/>
      <c r="J165" s="5"/>
    </row>
    <row r="166" spans="1:10" ht="13.05" customHeight="1">
      <c r="A166" s="5"/>
      <c r="B166" s="14" t="s">
        <v>2297</v>
      </c>
      <c r="C166" s="15"/>
      <c r="D166" s="15"/>
      <c r="E166" s="15"/>
      <c r="F166" s="5"/>
      <c r="G166" s="16"/>
      <c r="H166" s="16"/>
      <c r="I166" s="17"/>
      <c r="J166" s="5"/>
    </row>
    <row r="167" spans="1:10" ht="13.05" customHeight="1">
      <c r="A167" s="18" t="s">
        <v>2298</v>
      </c>
      <c r="B167" s="19" t="s">
        <v>2299</v>
      </c>
      <c r="C167" s="15" t="s">
        <v>2300</v>
      </c>
      <c r="D167" s="15" t="s">
        <v>2301</v>
      </c>
      <c r="E167" s="20">
        <v>122</v>
      </c>
      <c r="F167" s="21">
        <v>12350.173699999999</v>
      </c>
      <c r="G167" s="22">
        <v>9.1999999999999998E-3</v>
      </c>
      <c r="H167" s="23">
        <v>7.3218000000000005E-2</v>
      </c>
      <c r="I167" s="42"/>
      <c r="J167" s="5"/>
    </row>
    <row r="168" spans="1:10" ht="13.05" customHeight="1">
      <c r="A168" s="18" t="s">
        <v>2302</v>
      </c>
      <c r="B168" s="19" t="s">
        <v>2303</v>
      </c>
      <c r="C168" s="15" t="s">
        <v>2304</v>
      </c>
      <c r="D168" s="15" t="s">
        <v>2301</v>
      </c>
      <c r="E168" s="20">
        <v>121</v>
      </c>
      <c r="F168" s="21">
        <v>12264.164000000001</v>
      </c>
      <c r="G168" s="22">
        <v>9.1000000000000004E-3</v>
      </c>
      <c r="H168" s="23">
        <v>7.4237999999999998E-2</v>
      </c>
      <c r="I168" s="42"/>
      <c r="J168" s="5"/>
    </row>
    <row r="169" spans="1:10" ht="13.05" customHeight="1">
      <c r="A169" s="18" t="s">
        <v>2305</v>
      </c>
      <c r="B169" s="19" t="s">
        <v>2306</v>
      </c>
      <c r="C169" s="15" t="s">
        <v>2307</v>
      </c>
      <c r="D169" s="15" t="s">
        <v>2301</v>
      </c>
      <c r="E169" s="20">
        <v>78</v>
      </c>
      <c r="F169" s="21">
        <v>7879.1553999999996</v>
      </c>
      <c r="G169" s="22">
        <v>5.8999999999999999E-3</v>
      </c>
      <c r="H169" s="23">
        <v>7.2300000000000003E-2</v>
      </c>
      <c r="I169" s="42"/>
      <c r="J169" s="5"/>
    </row>
    <row r="170" spans="1:10" ht="13.05" customHeight="1">
      <c r="A170" s="5"/>
      <c r="B170" s="14" t="s">
        <v>192</v>
      </c>
      <c r="C170" s="15"/>
      <c r="D170" s="15"/>
      <c r="E170" s="15"/>
      <c r="F170" s="25">
        <v>32493.4931</v>
      </c>
      <c r="G170" s="26">
        <v>2.4199999999999999E-2</v>
      </c>
      <c r="H170" s="27"/>
      <c r="I170" s="28"/>
      <c r="J170" s="5"/>
    </row>
    <row r="171" spans="1:10" ht="13.05" customHeight="1">
      <c r="A171" s="5"/>
      <c r="B171" s="29" t="s">
        <v>193</v>
      </c>
      <c r="C171" s="2"/>
      <c r="D171" s="2"/>
      <c r="E171" s="2"/>
      <c r="F171" s="27" t="s">
        <v>194</v>
      </c>
      <c r="G171" s="27" t="s">
        <v>194</v>
      </c>
      <c r="H171" s="27"/>
      <c r="I171" s="28"/>
      <c r="J171" s="5"/>
    </row>
    <row r="172" spans="1:10" ht="13.05" customHeight="1">
      <c r="A172" s="5"/>
      <c r="B172" s="29" t="s">
        <v>192</v>
      </c>
      <c r="C172" s="2"/>
      <c r="D172" s="2"/>
      <c r="E172" s="2"/>
      <c r="F172" s="27" t="s">
        <v>194</v>
      </c>
      <c r="G172" s="27" t="s">
        <v>194</v>
      </c>
      <c r="H172" s="27"/>
      <c r="I172" s="28"/>
      <c r="J172" s="5"/>
    </row>
    <row r="173" spans="1:10" ht="13.05" customHeight="1">
      <c r="A173" s="5"/>
      <c r="B173" s="29" t="s">
        <v>195</v>
      </c>
      <c r="C173" s="30"/>
      <c r="D173" s="2"/>
      <c r="E173" s="30"/>
      <c r="F173" s="25">
        <v>1225180.5367999999</v>
      </c>
      <c r="G173" s="26">
        <v>0.91310000000000002</v>
      </c>
      <c r="H173" s="27"/>
      <c r="I173" s="28"/>
      <c r="J173" s="5"/>
    </row>
    <row r="174" spans="1:10" ht="13.05" customHeight="1">
      <c r="A174" s="5"/>
      <c r="B174" s="14" t="s">
        <v>1866</v>
      </c>
      <c r="C174" s="15"/>
      <c r="D174" s="15"/>
      <c r="E174" s="15"/>
      <c r="F174" s="15"/>
      <c r="G174" s="15"/>
      <c r="H174" s="16"/>
      <c r="I174" s="17"/>
      <c r="J174" s="5"/>
    </row>
    <row r="175" spans="1:10" ht="13.05" customHeight="1">
      <c r="A175" s="5"/>
      <c r="B175" s="14" t="s">
        <v>2308</v>
      </c>
      <c r="C175" s="15"/>
      <c r="D175" s="15"/>
      <c r="E175" s="15"/>
      <c r="F175" s="5"/>
      <c r="G175" s="16"/>
      <c r="H175" s="16"/>
      <c r="I175" s="17"/>
      <c r="J175" s="5"/>
    </row>
    <row r="176" spans="1:10" ht="13.05" customHeight="1">
      <c r="A176" s="18" t="s">
        <v>2309</v>
      </c>
      <c r="B176" s="19" t="s">
        <v>2310</v>
      </c>
      <c r="C176" s="15" t="s">
        <v>2311</v>
      </c>
      <c r="D176" s="15" t="s">
        <v>2312</v>
      </c>
      <c r="E176" s="20">
        <v>3000</v>
      </c>
      <c r="F176" s="21">
        <v>14681.22</v>
      </c>
      <c r="G176" s="22">
        <v>1.09E-2</v>
      </c>
      <c r="H176" s="23">
        <v>6.0499999999999998E-2</v>
      </c>
      <c r="I176" s="42"/>
      <c r="J176" s="5"/>
    </row>
    <row r="177" spans="1:10" ht="13.05" customHeight="1">
      <c r="A177" s="18" t="s">
        <v>2313</v>
      </c>
      <c r="B177" s="19" t="s">
        <v>2314</v>
      </c>
      <c r="C177" s="15" t="s">
        <v>2315</v>
      </c>
      <c r="D177" s="15" t="s">
        <v>2312</v>
      </c>
      <c r="E177" s="20">
        <v>2000</v>
      </c>
      <c r="F177" s="21">
        <v>9777.24</v>
      </c>
      <c r="G177" s="22">
        <v>7.3000000000000001E-3</v>
      </c>
      <c r="H177" s="23">
        <v>6.0699999999999997E-2</v>
      </c>
      <c r="I177" s="42"/>
      <c r="J177" s="5"/>
    </row>
    <row r="178" spans="1:10" ht="13.05" customHeight="1">
      <c r="A178" s="18" t="s">
        <v>2316</v>
      </c>
      <c r="B178" s="19" t="s">
        <v>2317</v>
      </c>
      <c r="C178" s="15" t="s">
        <v>2318</v>
      </c>
      <c r="D178" s="15" t="s">
        <v>2312</v>
      </c>
      <c r="E178" s="20">
        <v>2000</v>
      </c>
      <c r="F178" s="21">
        <v>9776.01</v>
      </c>
      <c r="G178" s="22">
        <v>7.3000000000000001E-3</v>
      </c>
      <c r="H178" s="23">
        <v>6.0601000000000002E-2</v>
      </c>
      <c r="I178" s="42"/>
      <c r="J178" s="5"/>
    </row>
    <row r="179" spans="1:10" ht="13.05" customHeight="1">
      <c r="A179" s="18" t="s">
        <v>2319</v>
      </c>
      <c r="B179" s="19" t="s">
        <v>2320</v>
      </c>
      <c r="C179" s="15" t="s">
        <v>2321</v>
      </c>
      <c r="D179" s="15" t="s">
        <v>2312</v>
      </c>
      <c r="E179" s="20">
        <v>2000</v>
      </c>
      <c r="F179" s="21">
        <v>9766.8799999999992</v>
      </c>
      <c r="G179" s="22">
        <v>7.3000000000000001E-3</v>
      </c>
      <c r="H179" s="23">
        <v>6.0499999999999998E-2</v>
      </c>
      <c r="I179" s="42"/>
      <c r="J179" s="5"/>
    </row>
    <row r="180" spans="1:10" ht="13.05" customHeight="1">
      <c r="A180" s="18" t="s">
        <v>2322</v>
      </c>
      <c r="B180" s="19" t="s">
        <v>2323</v>
      </c>
      <c r="C180" s="15" t="s">
        <v>2324</v>
      </c>
      <c r="D180" s="15" t="s">
        <v>2312</v>
      </c>
      <c r="E180" s="20">
        <v>1500</v>
      </c>
      <c r="F180" s="21">
        <v>7330.8225000000002</v>
      </c>
      <c r="G180" s="22">
        <v>5.4999999999999997E-3</v>
      </c>
      <c r="H180" s="23">
        <v>6.0600000000000001E-2</v>
      </c>
      <c r="I180" s="42"/>
      <c r="J180" s="5"/>
    </row>
    <row r="181" spans="1:10" ht="13.05" customHeight="1">
      <c r="A181" s="18" t="s">
        <v>2325</v>
      </c>
      <c r="B181" s="19" t="s">
        <v>2326</v>
      </c>
      <c r="C181" s="15" t="s">
        <v>2327</v>
      </c>
      <c r="D181" s="15" t="s">
        <v>2312</v>
      </c>
      <c r="E181" s="20">
        <v>1000</v>
      </c>
      <c r="F181" s="21">
        <v>4944.68</v>
      </c>
      <c r="G181" s="22">
        <v>3.7000000000000002E-3</v>
      </c>
      <c r="H181" s="23">
        <v>6.0052000000000001E-2</v>
      </c>
      <c r="I181" s="42"/>
      <c r="J181" s="5"/>
    </row>
    <row r="182" spans="1:10" ht="13.05" customHeight="1">
      <c r="A182" s="18" t="s">
        <v>2328</v>
      </c>
      <c r="B182" s="19" t="s">
        <v>2329</v>
      </c>
      <c r="C182" s="15" t="s">
        <v>2330</v>
      </c>
      <c r="D182" s="15" t="s">
        <v>2331</v>
      </c>
      <c r="E182" s="20">
        <v>500</v>
      </c>
      <c r="F182" s="21">
        <v>2481.08</v>
      </c>
      <c r="G182" s="22">
        <v>1.8E-3</v>
      </c>
      <c r="H182" s="23">
        <v>5.9221000000000003E-2</v>
      </c>
      <c r="I182" s="42"/>
      <c r="J182" s="5"/>
    </row>
    <row r="183" spans="1:10" ht="13.05" customHeight="1">
      <c r="A183" s="5"/>
      <c r="B183" s="14" t="s">
        <v>192</v>
      </c>
      <c r="C183" s="15"/>
      <c r="D183" s="15"/>
      <c r="E183" s="15"/>
      <c r="F183" s="25">
        <v>58757.932500000003</v>
      </c>
      <c r="G183" s="26">
        <v>4.3799999999999999E-2</v>
      </c>
      <c r="H183" s="27"/>
      <c r="I183" s="28"/>
      <c r="J183" s="5"/>
    </row>
    <row r="184" spans="1:10" ht="13.05" customHeight="1">
      <c r="A184" s="5"/>
      <c r="B184" s="29" t="s">
        <v>195</v>
      </c>
      <c r="C184" s="30"/>
      <c r="D184" s="2"/>
      <c r="E184" s="30"/>
      <c r="F184" s="25">
        <v>58757.932500000003</v>
      </c>
      <c r="G184" s="26">
        <v>4.3799999999999999E-2</v>
      </c>
      <c r="H184" s="27"/>
      <c r="I184" s="28"/>
      <c r="J184" s="5"/>
    </row>
    <row r="185" spans="1:10" ht="13.05" customHeight="1">
      <c r="A185" s="5"/>
      <c r="B185" s="14" t="s">
        <v>1818</v>
      </c>
      <c r="C185" s="15"/>
      <c r="D185" s="15"/>
      <c r="E185" s="15"/>
      <c r="F185" s="15"/>
      <c r="G185" s="15"/>
      <c r="H185" s="16"/>
      <c r="I185" s="17"/>
      <c r="J185" s="5"/>
    </row>
    <row r="186" spans="1:10" ht="13.05" customHeight="1">
      <c r="A186" s="5"/>
      <c r="B186" s="14" t="s">
        <v>2332</v>
      </c>
      <c r="C186" s="15"/>
      <c r="D186" s="15"/>
      <c r="E186" s="15"/>
      <c r="F186" s="5"/>
      <c r="G186" s="16"/>
      <c r="H186" s="16"/>
      <c r="I186" s="17"/>
      <c r="J186" s="5"/>
    </row>
    <row r="187" spans="1:10" ht="13.05" customHeight="1">
      <c r="A187" s="18" t="s">
        <v>2333</v>
      </c>
      <c r="B187" s="19" t="s">
        <v>2334</v>
      </c>
      <c r="C187" s="15" t="s">
        <v>2335</v>
      </c>
      <c r="D187" s="15"/>
      <c r="E187" s="20">
        <v>35306.678</v>
      </c>
      <c r="F187" s="21">
        <v>4039.3865999999998</v>
      </c>
      <c r="G187" s="22">
        <v>3.0000000000000001E-3</v>
      </c>
      <c r="H187" s="23"/>
      <c r="I187" s="42"/>
      <c r="J187" s="5"/>
    </row>
    <row r="188" spans="1:10" ht="13.05" customHeight="1">
      <c r="A188" s="5"/>
      <c r="B188" s="14" t="s">
        <v>192</v>
      </c>
      <c r="C188" s="15"/>
      <c r="D188" s="15"/>
      <c r="E188" s="15"/>
      <c r="F188" s="25">
        <v>4039.3865999999998</v>
      </c>
      <c r="G188" s="26">
        <v>3.0000000000000001E-3</v>
      </c>
      <c r="H188" s="27"/>
      <c r="I188" s="28"/>
      <c r="J188" s="5"/>
    </row>
    <row r="189" spans="1:10" ht="13.05" customHeight="1">
      <c r="A189" s="5"/>
      <c r="B189" s="29" t="s">
        <v>195</v>
      </c>
      <c r="C189" s="30"/>
      <c r="D189" s="2"/>
      <c r="E189" s="30"/>
      <c r="F189" s="25">
        <v>4039.3865999999998</v>
      </c>
      <c r="G189" s="26">
        <v>3.0000000000000001E-3</v>
      </c>
      <c r="H189" s="27"/>
      <c r="I189" s="28"/>
      <c r="J189" s="5"/>
    </row>
    <row r="190" spans="1:10" ht="13.05" customHeight="1">
      <c r="A190" s="5"/>
      <c r="B190" s="14" t="s">
        <v>196</v>
      </c>
      <c r="C190" s="15"/>
      <c r="D190" s="15"/>
      <c r="E190" s="15"/>
      <c r="F190" s="15"/>
      <c r="G190" s="15"/>
      <c r="H190" s="16"/>
      <c r="I190" s="17"/>
      <c r="J190" s="5"/>
    </row>
    <row r="191" spans="1:10" ht="13.05" customHeight="1">
      <c r="A191" s="18" t="s">
        <v>197</v>
      </c>
      <c r="B191" s="19" t="s">
        <v>198</v>
      </c>
      <c r="C191" s="15"/>
      <c r="D191" s="15"/>
      <c r="E191" s="20"/>
      <c r="F191" s="21">
        <v>46615.774899999997</v>
      </c>
      <c r="G191" s="22">
        <v>3.4700000000000002E-2</v>
      </c>
      <c r="H191" s="23">
        <v>5.5573617010495215E-2</v>
      </c>
      <c r="I191" s="42"/>
      <c r="J191" s="5"/>
    </row>
    <row r="192" spans="1:10" ht="13.05" customHeight="1">
      <c r="A192" s="5"/>
      <c r="B192" s="14" t="s">
        <v>192</v>
      </c>
      <c r="C192" s="15"/>
      <c r="D192" s="15"/>
      <c r="E192" s="15"/>
      <c r="F192" s="25">
        <v>46615.774899999997</v>
      </c>
      <c r="G192" s="26">
        <v>3.4700000000000002E-2</v>
      </c>
      <c r="H192" s="27"/>
      <c r="I192" s="28"/>
      <c r="J192" s="5"/>
    </row>
    <row r="193" spans="1:10" ht="13.05" customHeight="1">
      <c r="A193" s="5"/>
      <c r="B193" s="29" t="s">
        <v>193</v>
      </c>
      <c r="C193" s="2"/>
      <c r="D193" s="2"/>
      <c r="E193" s="2"/>
      <c r="F193" s="27" t="s">
        <v>194</v>
      </c>
      <c r="G193" s="27" t="s">
        <v>194</v>
      </c>
      <c r="H193" s="27"/>
      <c r="I193" s="28"/>
      <c r="J193" s="5"/>
    </row>
    <row r="194" spans="1:10" ht="13.05" customHeight="1">
      <c r="A194" s="5"/>
      <c r="B194" s="29" t="s">
        <v>192</v>
      </c>
      <c r="C194" s="2"/>
      <c r="D194" s="2"/>
      <c r="E194" s="2"/>
      <c r="F194" s="27" t="s">
        <v>194</v>
      </c>
      <c r="G194" s="27" t="s">
        <v>194</v>
      </c>
      <c r="H194" s="27"/>
      <c r="I194" s="28"/>
      <c r="J194" s="5"/>
    </row>
    <row r="195" spans="1:10" ht="13.05" customHeight="1">
      <c r="A195" s="5"/>
      <c r="B195" s="29" t="s">
        <v>195</v>
      </c>
      <c r="C195" s="30"/>
      <c r="D195" s="2"/>
      <c r="E195" s="30"/>
      <c r="F195" s="25">
        <v>46615.774899999997</v>
      </c>
      <c r="G195" s="26">
        <v>3.4700000000000002E-2</v>
      </c>
      <c r="H195" s="27"/>
      <c r="I195" s="28"/>
      <c r="J195" s="5"/>
    </row>
    <row r="196" spans="1:10" ht="13.05" customHeight="1">
      <c r="A196" s="5"/>
      <c r="B196" s="29" t="s">
        <v>199</v>
      </c>
      <c r="C196" s="15"/>
      <c r="D196" s="2"/>
      <c r="E196" s="15"/>
      <c r="F196" s="31">
        <v>7308.2442000000001</v>
      </c>
      <c r="G196" s="26">
        <v>5.4999999999999997E-3</v>
      </c>
      <c r="H196" s="27"/>
      <c r="I196" s="28"/>
      <c r="J196" s="5"/>
    </row>
    <row r="197" spans="1:10" ht="13.05" customHeight="1">
      <c r="A197" s="5"/>
      <c r="B197" s="32" t="s">
        <v>200</v>
      </c>
      <c r="C197" s="33"/>
      <c r="D197" s="33"/>
      <c r="E197" s="33"/>
      <c r="F197" s="34">
        <v>1341713.78</v>
      </c>
      <c r="G197" s="35">
        <v>1</v>
      </c>
      <c r="H197" s="36"/>
      <c r="I197" s="37"/>
      <c r="J197" s="5"/>
    </row>
    <row r="198" spans="1:10" ht="13.05" customHeight="1">
      <c r="A198" s="5"/>
      <c r="B198" s="7"/>
      <c r="C198" s="5"/>
      <c r="D198" s="5"/>
      <c r="E198" s="5"/>
      <c r="F198" s="5"/>
      <c r="G198" s="5"/>
      <c r="H198" s="5"/>
      <c r="I198" s="5"/>
      <c r="J198" s="5"/>
    </row>
    <row r="199" spans="1:10" ht="13.05" customHeight="1">
      <c r="A199" s="5"/>
      <c r="B199" s="4" t="s">
        <v>2336</v>
      </c>
      <c r="C199" s="5"/>
      <c r="D199" s="5"/>
      <c r="E199" s="5"/>
      <c r="F199" s="5"/>
      <c r="G199" s="5"/>
      <c r="H199" s="5"/>
      <c r="I199" s="5"/>
      <c r="J199" s="5"/>
    </row>
    <row r="200" spans="1:10" ht="13.05" customHeight="1">
      <c r="A200" s="5"/>
      <c r="B200" s="4" t="s">
        <v>250</v>
      </c>
      <c r="C200" s="5"/>
      <c r="D200" s="5"/>
      <c r="E200" s="5"/>
      <c r="F200" s="5"/>
      <c r="G200" s="5"/>
      <c r="H200" s="5"/>
      <c r="I200" s="5"/>
      <c r="J200" s="5"/>
    </row>
    <row r="201" spans="1:10" ht="13.05" customHeight="1">
      <c r="A201" s="5"/>
      <c r="B201" s="4" t="s">
        <v>1816</v>
      </c>
      <c r="C201" s="5"/>
      <c r="D201" s="5"/>
      <c r="E201" s="5"/>
      <c r="F201" s="5"/>
      <c r="G201" s="5"/>
      <c r="H201" s="5"/>
      <c r="I201" s="5"/>
      <c r="J201" s="5"/>
    </row>
    <row r="202" spans="1:10" ht="13.05" customHeight="1">
      <c r="A202" s="5"/>
      <c r="B202" s="4" t="s">
        <v>201</v>
      </c>
      <c r="C202" s="5"/>
      <c r="D202" s="5"/>
      <c r="E202" s="5"/>
      <c r="F202" s="5"/>
      <c r="G202" s="5"/>
      <c r="H202" s="5"/>
      <c r="I202" s="5"/>
      <c r="J202" s="5"/>
    </row>
    <row r="203" spans="1:10" ht="25.95" customHeight="1">
      <c r="A203" s="5"/>
      <c r="B203" s="103" t="s">
        <v>202</v>
      </c>
      <c r="C203" s="103"/>
      <c r="D203" s="103"/>
      <c r="E203" s="103"/>
      <c r="F203" s="103"/>
      <c r="G203" s="103"/>
      <c r="H203" s="103"/>
      <c r="I203" s="103"/>
      <c r="J203" s="5"/>
    </row>
    <row r="204" spans="1:10" ht="13.05" customHeight="1">
      <c r="A204" s="5"/>
      <c r="B204" s="103" t="s">
        <v>203</v>
      </c>
      <c r="C204" s="103"/>
      <c r="D204" s="103"/>
      <c r="E204" s="103"/>
      <c r="F204" s="103"/>
      <c r="G204" s="103"/>
      <c r="H204" s="103"/>
      <c r="I204" s="103"/>
      <c r="J204" s="5"/>
    </row>
    <row r="205" spans="1:10" ht="13.05" customHeight="1">
      <c r="A205" s="5"/>
      <c r="B205" s="103"/>
      <c r="C205" s="103"/>
      <c r="D205" s="103"/>
      <c r="E205" s="103"/>
      <c r="F205" s="103"/>
      <c r="G205" s="103"/>
      <c r="H205" s="103"/>
      <c r="I205" s="103"/>
      <c r="J205" s="5"/>
    </row>
    <row r="206" spans="1:10" ht="13.05" customHeight="1">
      <c r="A206" s="5"/>
      <c r="B206" s="103"/>
      <c r="C206" s="103"/>
      <c r="D206" s="103"/>
      <c r="E206" s="103"/>
      <c r="F206" s="103"/>
      <c r="G206" s="103"/>
      <c r="H206" s="103"/>
      <c r="I206" s="103"/>
      <c r="J206" s="5"/>
    </row>
    <row r="207" spans="1:10" ht="13.05" customHeight="1">
      <c r="A207" s="5"/>
      <c r="B207" s="103"/>
      <c r="C207" s="103"/>
      <c r="D207" s="103"/>
      <c r="E207" s="103"/>
      <c r="F207" s="103"/>
      <c r="G207" s="103"/>
      <c r="H207" s="103"/>
      <c r="I207" s="103"/>
      <c r="J207" s="5"/>
    </row>
    <row r="208" spans="1:10" ht="13.05" customHeight="1">
      <c r="A208" s="5"/>
      <c r="B208" s="103"/>
      <c r="C208" s="103"/>
      <c r="D208" s="103"/>
      <c r="E208" s="103"/>
      <c r="F208" s="103"/>
      <c r="G208" s="103"/>
      <c r="H208" s="103"/>
      <c r="I208" s="103"/>
      <c r="J208" s="5"/>
    </row>
    <row r="209" spans="1:10" ht="13.05" customHeight="1">
      <c r="A209" s="5"/>
      <c r="B209" s="5"/>
      <c r="C209" s="104" t="s">
        <v>2337</v>
      </c>
      <c r="D209" s="104"/>
      <c r="E209" s="104"/>
      <c r="F209" s="104"/>
      <c r="G209" s="5"/>
      <c r="H209" s="5"/>
      <c r="I209" s="5"/>
      <c r="J209" s="5"/>
    </row>
    <row r="210" spans="1:10" ht="13.05" customHeight="1">
      <c r="A210" s="5"/>
      <c r="B210" s="38" t="s">
        <v>207</v>
      </c>
      <c r="C210" s="104" t="s">
        <v>208</v>
      </c>
      <c r="D210" s="104"/>
      <c r="E210" s="104"/>
      <c r="F210" s="104"/>
      <c r="G210" s="5"/>
      <c r="H210" s="5"/>
      <c r="I210" s="5"/>
      <c r="J210" s="5"/>
    </row>
    <row r="211" spans="1:10" ht="135" customHeight="1">
      <c r="A211" s="5"/>
      <c r="B211" s="39"/>
      <c r="C211" s="105"/>
      <c r="D211" s="105"/>
      <c r="E211" s="5"/>
      <c r="F211" s="5"/>
      <c r="G211" s="5"/>
      <c r="H211" s="5"/>
      <c r="I211" s="5"/>
      <c r="J211" s="5"/>
    </row>
  </sheetData>
  <mergeCells count="9">
    <mergeCell ref="B208:I208"/>
    <mergeCell ref="C209:F209"/>
    <mergeCell ref="C210:F210"/>
    <mergeCell ref="C211:D211"/>
    <mergeCell ref="B203:I203"/>
    <mergeCell ref="B204:I204"/>
    <mergeCell ref="B205:I205"/>
    <mergeCell ref="B206:I206"/>
    <mergeCell ref="B207:I207"/>
  </mergeCells>
  <hyperlinks>
    <hyperlink ref="A1" location="AxisBankingPSUDebtFund" display="AXISBDF" xr:uid="{00000000-0004-0000-0600-000000000000}"/>
    <hyperlink ref="B1" location="AxisBankingPSUDebtFund" display="Axis Banking &amp; PSU Debt Fund" xr:uid="{00000000-0004-0000-06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J39"/>
  <sheetViews>
    <sheetView workbookViewId="0">
      <selection activeCell="B30" sqref="B30"/>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16</v>
      </c>
      <c r="B1" s="4" t="s">
        <v>17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1098491</v>
      </c>
      <c r="F7" s="21">
        <v>10845.401599999999</v>
      </c>
      <c r="G7" s="22">
        <v>0.27960000000000002</v>
      </c>
      <c r="H7" s="40"/>
      <c r="I7" s="24"/>
      <c r="J7" s="5"/>
    </row>
    <row r="8" spans="1:10" ht="13.05" customHeight="1">
      <c r="A8" s="18" t="s">
        <v>262</v>
      </c>
      <c r="B8" s="19" t="s">
        <v>263</v>
      </c>
      <c r="C8" s="15" t="s">
        <v>264</v>
      </c>
      <c r="D8" s="15" t="s">
        <v>257</v>
      </c>
      <c r="E8" s="20">
        <v>663516</v>
      </c>
      <c r="F8" s="21">
        <v>8926.2806999999993</v>
      </c>
      <c r="G8" s="22">
        <v>0.2301</v>
      </c>
      <c r="H8" s="40"/>
      <c r="I8" s="24"/>
      <c r="J8" s="5"/>
    </row>
    <row r="9" spans="1:10" ht="13.05" customHeight="1">
      <c r="A9" s="18" t="s">
        <v>281</v>
      </c>
      <c r="B9" s="19" t="s">
        <v>282</v>
      </c>
      <c r="C9" s="15" t="s">
        <v>283</v>
      </c>
      <c r="D9" s="15" t="s">
        <v>257</v>
      </c>
      <c r="E9" s="20">
        <v>385883</v>
      </c>
      <c r="F9" s="21">
        <v>3615.7237</v>
      </c>
      <c r="G9" s="22">
        <v>9.3200000000000005E-2</v>
      </c>
      <c r="H9" s="40"/>
      <c r="I9" s="24"/>
      <c r="J9" s="5"/>
    </row>
    <row r="10" spans="1:10" ht="13.05" customHeight="1">
      <c r="A10" s="18" t="s">
        <v>284</v>
      </c>
      <c r="B10" s="19" t="s">
        <v>285</v>
      </c>
      <c r="C10" s="15" t="s">
        <v>286</v>
      </c>
      <c r="D10" s="15" t="s">
        <v>257</v>
      </c>
      <c r="E10" s="20">
        <v>284233</v>
      </c>
      <c r="F10" s="21">
        <v>3504.0243999999998</v>
      </c>
      <c r="G10" s="22">
        <v>9.0300000000000005E-2</v>
      </c>
      <c r="H10" s="40"/>
      <c r="I10" s="24"/>
      <c r="J10" s="5"/>
    </row>
    <row r="11" spans="1:10" ht="13.05" customHeight="1">
      <c r="A11" s="18" t="s">
        <v>290</v>
      </c>
      <c r="B11" s="19" t="s">
        <v>291</v>
      </c>
      <c r="C11" s="15" t="s">
        <v>292</v>
      </c>
      <c r="D11" s="15" t="s">
        <v>257</v>
      </c>
      <c r="E11" s="20">
        <v>164343</v>
      </c>
      <c r="F11" s="21">
        <v>3454.8184999999999</v>
      </c>
      <c r="G11" s="22">
        <v>8.9099999999999999E-2</v>
      </c>
      <c r="H11" s="40"/>
      <c r="I11" s="24"/>
      <c r="J11" s="5"/>
    </row>
    <row r="12" spans="1:10" ht="13.05" customHeight="1">
      <c r="A12" s="18" t="s">
        <v>495</v>
      </c>
      <c r="B12" s="19" t="s">
        <v>496</v>
      </c>
      <c r="C12" s="15" t="s">
        <v>497</v>
      </c>
      <c r="D12" s="15" t="s">
        <v>257</v>
      </c>
      <c r="E12" s="20">
        <v>585187</v>
      </c>
      <c r="F12" s="21">
        <v>1384.6110000000001</v>
      </c>
      <c r="G12" s="22">
        <v>3.5700000000000003E-2</v>
      </c>
      <c r="H12" s="40"/>
      <c r="I12" s="24"/>
      <c r="J12" s="5"/>
    </row>
    <row r="13" spans="1:10" ht="13.05" customHeight="1">
      <c r="A13" s="18" t="s">
        <v>511</v>
      </c>
      <c r="B13" s="19" t="s">
        <v>512</v>
      </c>
      <c r="C13" s="15" t="s">
        <v>513</v>
      </c>
      <c r="D13" s="15" t="s">
        <v>257</v>
      </c>
      <c r="E13" s="20">
        <v>1574058</v>
      </c>
      <c r="F13" s="21">
        <v>1287.1071999999999</v>
      </c>
      <c r="G13" s="22">
        <v>3.32E-2</v>
      </c>
      <c r="H13" s="40"/>
      <c r="I13" s="24"/>
      <c r="J13" s="5"/>
    </row>
    <row r="14" spans="1:10" ht="13.05" customHeight="1">
      <c r="A14" s="18" t="s">
        <v>526</v>
      </c>
      <c r="B14" s="19" t="s">
        <v>527</v>
      </c>
      <c r="C14" s="15" t="s">
        <v>528</v>
      </c>
      <c r="D14" s="15" t="s">
        <v>257</v>
      </c>
      <c r="E14" s="20">
        <v>156775</v>
      </c>
      <c r="F14" s="21">
        <v>1246.0477000000001</v>
      </c>
      <c r="G14" s="22">
        <v>3.2099999999999997E-2</v>
      </c>
      <c r="H14" s="40"/>
      <c r="I14" s="24"/>
      <c r="J14" s="5"/>
    </row>
    <row r="15" spans="1:10" ht="13.05" customHeight="1">
      <c r="A15" s="18" t="s">
        <v>529</v>
      </c>
      <c r="B15" s="19" t="s">
        <v>530</v>
      </c>
      <c r="C15" s="15" t="s">
        <v>531</v>
      </c>
      <c r="D15" s="15" t="s">
        <v>257</v>
      </c>
      <c r="E15" s="20">
        <v>439375</v>
      </c>
      <c r="F15" s="21">
        <v>1223.22</v>
      </c>
      <c r="G15" s="22">
        <v>3.15E-2</v>
      </c>
      <c r="H15" s="40"/>
      <c r="I15" s="24"/>
      <c r="J15" s="5"/>
    </row>
    <row r="16" spans="1:10" ht="13.05" customHeight="1">
      <c r="A16" s="18" t="s">
        <v>535</v>
      </c>
      <c r="B16" s="19" t="s">
        <v>536</v>
      </c>
      <c r="C16" s="15" t="s">
        <v>537</v>
      </c>
      <c r="D16" s="15" t="s">
        <v>257</v>
      </c>
      <c r="E16" s="20">
        <v>133950</v>
      </c>
      <c r="F16" s="21">
        <v>1175.8801000000001</v>
      </c>
      <c r="G16" s="22">
        <v>3.0300000000000001E-2</v>
      </c>
      <c r="H16" s="40"/>
      <c r="I16" s="24"/>
      <c r="J16" s="5"/>
    </row>
    <row r="17" spans="1:10" ht="13.05" customHeight="1">
      <c r="A17" s="18" t="s">
        <v>568</v>
      </c>
      <c r="B17" s="19" t="s">
        <v>569</v>
      </c>
      <c r="C17" s="15" t="s">
        <v>570</v>
      </c>
      <c r="D17" s="15" t="s">
        <v>257</v>
      </c>
      <c r="E17" s="20">
        <v>802642</v>
      </c>
      <c r="F17" s="21">
        <v>1099.5392999999999</v>
      </c>
      <c r="G17" s="22">
        <v>2.8299999999999999E-2</v>
      </c>
      <c r="H17" s="40"/>
      <c r="I17" s="24"/>
      <c r="J17" s="5"/>
    </row>
    <row r="18" spans="1:10" ht="13.05" customHeight="1">
      <c r="A18" s="18" t="s">
        <v>588</v>
      </c>
      <c r="B18" s="19" t="s">
        <v>589</v>
      </c>
      <c r="C18" s="15" t="s">
        <v>590</v>
      </c>
      <c r="D18" s="15" t="s">
        <v>257</v>
      </c>
      <c r="E18" s="20">
        <v>820641</v>
      </c>
      <c r="F18" s="21">
        <v>1008.4857</v>
      </c>
      <c r="G18" s="22">
        <v>2.5999999999999999E-2</v>
      </c>
      <c r="H18" s="40"/>
      <c r="I18" s="24"/>
      <c r="J18" s="5"/>
    </row>
    <row r="19" spans="1:10" ht="13.05" customHeight="1">
      <c r="A19" s="5"/>
      <c r="B19" s="14" t="s">
        <v>192</v>
      </c>
      <c r="C19" s="15"/>
      <c r="D19" s="15"/>
      <c r="E19" s="15"/>
      <c r="F19" s="25">
        <v>38771.14</v>
      </c>
      <c r="G19" s="26">
        <v>0.99950000000000006</v>
      </c>
      <c r="H19" s="27"/>
      <c r="I19" s="28"/>
      <c r="J19" s="5"/>
    </row>
    <row r="20" spans="1:10" ht="13.05" customHeight="1">
      <c r="A20" s="5"/>
      <c r="B20" s="29" t="s">
        <v>1812</v>
      </c>
      <c r="C20" s="2"/>
      <c r="D20" s="2"/>
      <c r="E20" s="2"/>
      <c r="F20" s="27" t="s">
        <v>194</v>
      </c>
      <c r="G20" s="27" t="s">
        <v>194</v>
      </c>
      <c r="H20" s="27"/>
      <c r="I20" s="28"/>
      <c r="J20" s="5"/>
    </row>
    <row r="21" spans="1:10" ht="13.05" customHeight="1">
      <c r="A21" s="5"/>
      <c r="B21" s="29" t="s">
        <v>192</v>
      </c>
      <c r="C21" s="2"/>
      <c r="D21" s="2"/>
      <c r="E21" s="2"/>
      <c r="F21" s="27" t="s">
        <v>194</v>
      </c>
      <c r="G21" s="27" t="s">
        <v>194</v>
      </c>
      <c r="H21" s="27"/>
      <c r="I21" s="28"/>
      <c r="J21" s="5"/>
    </row>
    <row r="22" spans="1:10" ht="13.05" customHeight="1">
      <c r="A22" s="5"/>
      <c r="B22" s="29" t="s">
        <v>195</v>
      </c>
      <c r="C22" s="30"/>
      <c r="D22" s="2"/>
      <c r="E22" s="30"/>
      <c r="F22" s="25">
        <v>38771.14</v>
      </c>
      <c r="G22" s="26">
        <v>0.99950000000000006</v>
      </c>
      <c r="H22" s="27"/>
      <c r="I22" s="28"/>
      <c r="J22" s="5"/>
    </row>
    <row r="23" spans="1:10" ht="13.05" customHeight="1">
      <c r="A23" s="5"/>
      <c r="B23" s="14" t="s">
        <v>196</v>
      </c>
      <c r="C23" s="15"/>
      <c r="D23" s="15"/>
      <c r="E23" s="15"/>
      <c r="F23" s="15"/>
      <c r="G23" s="15"/>
      <c r="H23" s="16"/>
      <c r="I23" s="17"/>
      <c r="J23" s="5"/>
    </row>
    <row r="24" spans="1:10" ht="13.05" customHeight="1">
      <c r="A24" s="18" t="s">
        <v>197</v>
      </c>
      <c r="B24" s="19" t="s">
        <v>198</v>
      </c>
      <c r="C24" s="15"/>
      <c r="D24" s="15"/>
      <c r="E24" s="20"/>
      <c r="F24" s="21">
        <v>26.6419</v>
      </c>
      <c r="G24" s="22">
        <v>6.9999999999999999E-4</v>
      </c>
      <c r="H24" s="23">
        <v>5.5573615184383571E-2</v>
      </c>
      <c r="I24" s="24"/>
      <c r="J24" s="5"/>
    </row>
    <row r="25" spans="1:10" ht="13.05" customHeight="1">
      <c r="A25" s="5"/>
      <c r="B25" s="14" t="s">
        <v>192</v>
      </c>
      <c r="C25" s="15"/>
      <c r="D25" s="15"/>
      <c r="E25" s="15"/>
      <c r="F25" s="25">
        <v>26.6419</v>
      </c>
      <c r="G25" s="26">
        <v>6.9999999999999999E-4</v>
      </c>
      <c r="H25" s="27"/>
      <c r="I25" s="28"/>
      <c r="J25" s="5"/>
    </row>
    <row r="26" spans="1:10" ht="13.05" customHeight="1">
      <c r="A26" s="5"/>
      <c r="B26" s="29" t="s">
        <v>195</v>
      </c>
      <c r="C26" s="30"/>
      <c r="D26" s="2"/>
      <c r="E26" s="30"/>
      <c r="F26" s="25">
        <v>26.6419</v>
      </c>
      <c r="G26" s="26">
        <v>6.9999999999999999E-4</v>
      </c>
      <c r="H26" s="27"/>
      <c r="I26" s="28"/>
      <c r="J26" s="5"/>
    </row>
    <row r="27" spans="1:10" ht="13.05" customHeight="1">
      <c r="A27" s="5"/>
      <c r="B27" s="29" t="s">
        <v>199</v>
      </c>
      <c r="C27" s="15"/>
      <c r="D27" s="2"/>
      <c r="E27" s="15"/>
      <c r="F27" s="31">
        <v>-7.0819000000000001</v>
      </c>
      <c r="G27" s="26">
        <v>-2.0000000000000001E-4</v>
      </c>
      <c r="H27" s="27"/>
      <c r="I27" s="28"/>
      <c r="J27" s="5"/>
    </row>
    <row r="28" spans="1:10" ht="13.05" customHeight="1">
      <c r="A28" s="5"/>
      <c r="B28" s="32" t="s">
        <v>200</v>
      </c>
      <c r="C28" s="33"/>
      <c r="D28" s="33"/>
      <c r="E28" s="33"/>
      <c r="F28" s="34">
        <v>38790.699999999997</v>
      </c>
      <c r="G28" s="35">
        <v>1</v>
      </c>
      <c r="H28" s="36"/>
      <c r="I28" s="37"/>
      <c r="J28" s="5"/>
    </row>
    <row r="29" spans="1:10" ht="13.05" customHeight="1">
      <c r="A29" s="5"/>
      <c r="B29" s="7"/>
      <c r="C29" s="5"/>
      <c r="D29" s="5"/>
      <c r="E29" s="5"/>
      <c r="F29" s="5"/>
      <c r="G29" s="5"/>
      <c r="H29" s="5"/>
      <c r="I29" s="5"/>
      <c r="J29" s="5"/>
    </row>
    <row r="30" spans="1:10" ht="13.05" customHeight="1">
      <c r="A30" s="5"/>
      <c r="B30" s="4" t="s">
        <v>201</v>
      </c>
      <c r="C30" s="5"/>
      <c r="D30" s="5"/>
      <c r="E30" s="5"/>
      <c r="F30" s="5"/>
      <c r="G30" s="5"/>
      <c r="H30" s="5"/>
      <c r="I30" s="5"/>
      <c r="J30" s="5"/>
    </row>
    <row r="31" spans="1:10" ht="25.95" customHeight="1">
      <c r="A31" s="5"/>
      <c r="B31" s="103" t="s">
        <v>202</v>
      </c>
      <c r="C31" s="103"/>
      <c r="D31" s="103"/>
      <c r="E31" s="103"/>
      <c r="F31" s="103"/>
      <c r="G31" s="103"/>
      <c r="H31" s="103"/>
      <c r="I31" s="103"/>
      <c r="J31" s="5"/>
    </row>
    <row r="32" spans="1:10" ht="13.05" customHeight="1">
      <c r="A32" s="5"/>
      <c r="B32" s="103" t="s">
        <v>203</v>
      </c>
      <c r="C32" s="103"/>
      <c r="D32" s="103"/>
      <c r="E32" s="103"/>
      <c r="F32" s="103"/>
      <c r="G32" s="103"/>
      <c r="H32" s="103"/>
      <c r="I32" s="103"/>
      <c r="J32" s="5"/>
    </row>
    <row r="33" spans="1:10" ht="13.05" customHeight="1">
      <c r="A33" s="5"/>
      <c r="B33" s="103"/>
      <c r="C33" s="103"/>
      <c r="D33" s="103"/>
      <c r="E33" s="103"/>
      <c r="F33" s="103"/>
      <c r="G33" s="103"/>
      <c r="H33" s="103"/>
      <c r="I33" s="103"/>
      <c r="J33" s="5"/>
    </row>
    <row r="34" spans="1:10" ht="13.05" customHeight="1">
      <c r="A34" s="5"/>
      <c r="B34" s="103"/>
      <c r="C34" s="103"/>
      <c r="D34" s="103"/>
      <c r="E34" s="103"/>
      <c r="F34" s="103"/>
      <c r="G34" s="103"/>
      <c r="H34" s="103"/>
      <c r="I34" s="103"/>
      <c r="J34" s="5"/>
    </row>
    <row r="35" spans="1:10" ht="13.05" customHeight="1">
      <c r="A35" s="5"/>
      <c r="B35" s="103"/>
      <c r="C35" s="103"/>
      <c r="D35" s="103"/>
      <c r="E35" s="103"/>
      <c r="F35" s="103"/>
      <c r="G35" s="103"/>
      <c r="H35" s="103"/>
      <c r="I35" s="103"/>
      <c r="J35" s="5"/>
    </row>
    <row r="36" spans="1:10" ht="13.05" customHeight="1">
      <c r="A36" s="5"/>
      <c r="B36" s="103"/>
      <c r="C36" s="103"/>
      <c r="D36" s="103"/>
      <c r="E36" s="103"/>
      <c r="F36" s="103"/>
      <c r="G36" s="103"/>
      <c r="H36" s="103"/>
      <c r="I36" s="103"/>
      <c r="J36" s="5"/>
    </row>
    <row r="37" spans="1:10" ht="13.05" customHeight="1">
      <c r="A37" s="5"/>
      <c r="B37" s="5"/>
      <c r="C37" s="104" t="s">
        <v>2338</v>
      </c>
      <c r="D37" s="104"/>
      <c r="E37" s="104"/>
      <c r="F37" s="104"/>
      <c r="G37" s="5"/>
      <c r="H37" s="5"/>
      <c r="I37" s="5"/>
      <c r="J37" s="5"/>
    </row>
    <row r="38" spans="1:10" ht="13.05" customHeight="1">
      <c r="A38" s="5"/>
      <c r="B38" s="38" t="s">
        <v>207</v>
      </c>
      <c r="C38" s="104" t="s">
        <v>208</v>
      </c>
      <c r="D38" s="104"/>
      <c r="E38" s="104"/>
      <c r="F38" s="104"/>
      <c r="G38" s="5"/>
      <c r="H38" s="5"/>
      <c r="I38" s="5"/>
      <c r="J38" s="5"/>
    </row>
    <row r="39" spans="1:10" ht="135" customHeight="1">
      <c r="A39" s="5"/>
      <c r="B39" s="39"/>
      <c r="C39" s="105"/>
      <c r="D39" s="105"/>
      <c r="E39" s="5"/>
      <c r="F39" s="5"/>
      <c r="G39" s="5"/>
      <c r="H39" s="5"/>
      <c r="I39" s="5"/>
      <c r="J39" s="5"/>
    </row>
  </sheetData>
  <mergeCells count="9">
    <mergeCell ref="B36:I36"/>
    <mergeCell ref="C37:F37"/>
    <mergeCell ref="C38:F38"/>
    <mergeCell ref="C39:D39"/>
    <mergeCell ref="B31:I31"/>
    <mergeCell ref="B32:I32"/>
    <mergeCell ref="B33:I33"/>
    <mergeCell ref="B34:I34"/>
    <mergeCell ref="B35:I35"/>
  </mergeCells>
  <hyperlinks>
    <hyperlink ref="A1" location="AxisNIFTYBankETF" display="AXISBETF" xr:uid="{00000000-0004-0000-0700-000000000000}"/>
    <hyperlink ref="B1" location="AxisNIFTYBankETF" display="Axis NIFTY Bank ETF" xr:uid="{00000000-0004-0000-07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J58"/>
  <sheetViews>
    <sheetView topLeftCell="A4" workbookViewId="0">
      <selection activeCell="D4" sqref="D4"/>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19</v>
      </c>
      <c r="B1" s="4" t="s">
        <v>20</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208588</v>
      </c>
      <c r="F7" s="21">
        <v>2060.1194</v>
      </c>
      <c r="G7" s="22">
        <v>0.1507</v>
      </c>
      <c r="H7" s="40"/>
      <c r="I7" s="24"/>
      <c r="J7" s="5"/>
    </row>
    <row r="8" spans="1:10" ht="13.05" customHeight="1">
      <c r="A8" s="18" t="s">
        <v>258</v>
      </c>
      <c r="B8" s="19" t="s">
        <v>259</v>
      </c>
      <c r="C8" s="15" t="s">
        <v>260</v>
      </c>
      <c r="D8" s="15" t="s">
        <v>261</v>
      </c>
      <c r="E8" s="20">
        <v>93080</v>
      </c>
      <c r="F8" s="21">
        <v>1383.6342</v>
      </c>
      <c r="G8" s="22">
        <v>0.1012</v>
      </c>
      <c r="H8" s="40"/>
      <c r="I8" s="24"/>
      <c r="J8" s="5"/>
    </row>
    <row r="9" spans="1:10" ht="13.05" customHeight="1">
      <c r="A9" s="18" t="s">
        <v>262</v>
      </c>
      <c r="B9" s="19" t="s">
        <v>263</v>
      </c>
      <c r="C9" s="15" t="s">
        <v>264</v>
      </c>
      <c r="D9" s="15" t="s">
        <v>257</v>
      </c>
      <c r="E9" s="20">
        <v>98222</v>
      </c>
      <c r="F9" s="21">
        <v>1321.135</v>
      </c>
      <c r="G9" s="22">
        <v>9.6600000000000005E-2</v>
      </c>
      <c r="H9" s="40"/>
      <c r="I9" s="24"/>
      <c r="J9" s="5"/>
    </row>
    <row r="10" spans="1:10" ht="13.05" customHeight="1">
      <c r="A10" s="18" t="s">
        <v>265</v>
      </c>
      <c r="B10" s="19" t="s">
        <v>266</v>
      </c>
      <c r="C10" s="15" t="s">
        <v>267</v>
      </c>
      <c r="D10" s="15" t="s">
        <v>268</v>
      </c>
      <c r="E10" s="20">
        <v>37406</v>
      </c>
      <c r="F10" s="21">
        <v>768.54369999999994</v>
      </c>
      <c r="G10" s="22">
        <v>5.62E-2</v>
      </c>
      <c r="H10" s="40"/>
      <c r="I10" s="24"/>
      <c r="J10" s="5"/>
    </row>
    <row r="11" spans="1:10" ht="13.05" customHeight="1">
      <c r="A11" s="18" t="s">
        <v>269</v>
      </c>
      <c r="B11" s="19" t="s">
        <v>270</v>
      </c>
      <c r="C11" s="15" t="s">
        <v>271</v>
      </c>
      <c r="D11" s="15" t="s">
        <v>272</v>
      </c>
      <c r="E11" s="20">
        <v>49145</v>
      </c>
      <c r="F11" s="21">
        <v>728.57460000000003</v>
      </c>
      <c r="G11" s="22">
        <v>5.33E-2</v>
      </c>
      <c r="H11" s="40"/>
      <c r="I11" s="24"/>
      <c r="J11" s="5"/>
    </row>
    <row r="12" spans="1:10" ht="13.05" customHeight="1">
      <c r="A12" s="18" t="s">
        <v>273</v>
      </c>
      <c r="B12" s="19" t="s">
        <v>274</v>
      </c>
      <c r="C12" s="15" t="s">
        <v>275</v>
      </c>
      <c r="D12" s="15" t="s">
        <v>276</v>
      </c>
      <c r="E12" s="20">
        <v>16085</v>
      </c>
      <c r="F12" s="21">
        <v>648.41849999999999</v>
      </c>
      <c r="G12" s="22">
        <v>4.7399999999999998E-2</v>
      </c>
      <c r="H12" s="40"/>
      <c r="I12" s="24"/>
      <c r="J12" s="5"/>
    </row>
    <row r="13" spans="1:10" ht="13.05" customHeight="1">
      <c r="A13" s="18" t="s">
        <v>277</v>
      </c>
      <c r="B13" s="19" t="s">
        <v>278</v>
      </c>
      <c r="C13" s="15" t="s">
        <v>279</v>
      </c>
      <c r="D13" s="15" t="s">
        <v>280</v>
      </c>
      <c r="E13" s="20">
        <v>131898</v>
      </c>
      <c r="F13" s="21">
        <v>554.30129999999997</v>
      </c>
      <c r="G13" s="22">
        <v>4.0500000000000001E-2</v>
      </c>
      <c r="H13" s="40"/>
      <c r="I13" s="24"/>
      <c r="J13" s="5"/>
    </row>
    <row r="14" spans="1:10" ht="13.05" customHeight="1">
      <c r="A14" s="18" t="s">
        <v>281</v>
      </c>
      <c r="B14" s="19" t="s">
        <v>282</v>
      </c>
      <c r="C14" s="15" t="s">
        <v>283</v>
      </c>
      <c r="D14" s="15" t="s">
        <v>257</v>
      </c>
      <c r="E14" s="20">
        <v>57147</v>
      </c>
      <c r="F14" s="21">
        <v>535.4674</v>
      </c>
      <c r="G14" s="22">
        <v>3.9199999999999999E-2</v>
      </c>
      <c r="H14" s="40"/>
      <c r="I14" s="24"/>
      <c r="J14" s="5"/>
    </row>
    <row r="15" spans="1:10" ht="13.05" customHeight="1">
      <c r="A15" s="18" t="s">
        <v>284</v>
      </c>
      <c r="B15" s="19" t="s">
        <v>285</v>
      </c>
      <c r="C15" s="15" t="s">
        <v>286</v>
      </c>
      <c r="D15" s="15" t="s">
        <v>257</v>
      </c>
      <c r="E15" s="20">
        <v>39268</v>
      </c>
      <c r="F15" s="21">
        <v>484.17439999999999</v>
      </c>
      <c r="G15" s="22">
        <v>3.5400000000000001E-2</v>
      </c>
      <c r="H15" s="40"/>
      <c r="I15" s="24"/>
      <c r="J15" s="5"/>
    </row>
    <row r="16" spans="1:10" ht="13.05" customHeight="1">
      <c r="A16" s="18" t="s">
        <v>287</v>
      </c>
      <c r="B16" s="19" t="s">
        <v>288</v>
      </c>
      <c r="C16" s="15" t="s">
        <v>289</v>
      </c>
      <c r="D16" s="15" t="s">
        <v>272</v>
      </c>
      <c r="E16" s="20">
        <v>13935</v>
      </c>
      <c r="F16" s="21">
        <v>426.1044</v>
      </c>
      <c r="G16" s="22">
        <v>3.1199999999999999E-2</v>
      </c>
      <c r="H16" s="40"/>
      <c r="I16" s="24"/>
      <c r="J16" s="5"/>
    </row>
    <row r="17" spans="1:10" ht="13.05" customHeight="1">
      <c r="A17" s="18" t="s">
        <v>290</v>
      </c>
      <c r="B17" s="19" t="s">
        <v>291</v>
      </c>
      <c r="C17" s="15" t="s">
        <v>292</v>
      </c>
      <c r="D17" s="15" t="s">
        <v>257</v>
      </c>
      <c r="E17" s="20">
        <v>20240</v>
      </c>
      <c r="F17" s="21">
        <v>425.43470000000002</v>
      </c>
      <c r="G17" s="22">
        <v>3.1099999999999999E-2</v>
      </c>
      <c r="H17" s="40"/>
      <c r="I17" s="24"/>
      <c r="J17" s="5"/>
    </row>
    <row r="18" spans="1:10" ht="13.05" customHeight="1">
      <c r="A18" s="18" t="s">
        <v>293</v>
      </c>
      <c r="B18" s="19" t="s">
        <v>294</v>
      </c>
      <c r="C18" s="15" t="s">
        <v>295</v>
      </c>
      <c r="D18" s="15" t="s">
        <v>296</v>
      </c>
      <c r="E18" s="20">
        <v>12145</v>
      </c>
      <c r="F18" s="21">
        <v>423.41719999999998</v>
      </c>
      <c r="G18" s="22">
        <v>3.1E-2</v>
      </c>
      <c r="H18" s="40"/>
      <c r="I18" s="24"/>
      <c r="J18" s="5"/>
    </row>
    <row r="19" spans="1:10" ht="13.05" customHeight="1">
      <c r="A19" s="18" t="s">
        <v>297</v>
      </c>
      <c r="B19" s="19" t="s">
        <v>298</v>
      </c>
      <c r="C19" s="15" t="s">
        <v>299</v>
      </c>
      <c r="D19" s="15" t="s">
        <v>300</v>
      </c>
      <c r="E19" s="20">
        <v>35902</v>
      </c>
      <c r="F19" s="21">
        <v>374.3143</v>
      </c>
      <c r="G19" s="22">
        <v>2.7400000000000001E-2</v>
      </c>
      <c r="H19" s="40"/>
      <c r="I19" s="24"/>
      <c r="J19" s="5"/>
    </row>
    <row r="20" spans="1:10" ht="13.05" customHeight="1">
      <c r="A20" s="18" t="s">
        <v>301</v>
      </c>
      <c r="B20" s="19" t="s">
        <v>302</v>
      </c>
      <c r="C20" s="15" t="s">
        <v>303</v>
      </c>
      <c r="D20" s="15" t="s">
        <v>304</v>
      </c>
      <c r="E20" s="20">
        <v>95599</v>
      </c>
      <c r="F20" s="21">
        <v>303.76580000000001</v>
      </c>
      <c r="G20" s="22">
        <v>2.2200000000000001E-2</v>
      </c>
      <c r="H20" s="40"/>
      <c r="I20" s="24"/>
      <c r="J20" s="5"/>
    </row>
    <row r="21" spans="1:10" ht="13.05" customHeight="1">
      <c r="A21" s="18" t="s">
        <v>305</v>
      </c>
      <c r="B21" s="19" t="s">
        <v>306</v>
      </c>
      <c r="C21" s="15" t="s">
        <v>307</v>
      </c>
      <c r="D21" s="15" t="s">
        <v>280</v>
      </c>
      <c r="E21" s="20">
        <v>12284</v>
      </c>
      <c r="F21" s="21">
        <v>303.00330000000002</v>
      </c>
      <c r="G21" s="22">
        <v>2.2200000000000001E-2</v>
      </c>
      <c r="H21" s="40"/>
      <c r="I21" s="24"/>
      <c r="J21" s="5"/>
    </row>
    <row r="22" spans="1:10" ht="13.05" customHeight="1">
      <c r="A22" s="18" t="s">
        <v>308</v>
      </c>
      <c r="B22" s="19" t="s">
        <v>309</v>
      </c>
      <c r="C22" s="15" t="s">
        <v>310</v>
      </c>
      <c r="D22" s="15" t="s">
        <v>296</v>
      </c>
      <c r="E22" s="20">
        <v>1816</v>
      </c>
      <c r="F22" s="21">
        <v>294.04489999999998</v>
      </c>
      <c r="G22" s="22">
        <v>2.1499999999999998E-2</v>
      </c>
      <c r="H22" s="40"/>
      <c r="I22" s="24"/>
      <c r="J22" s="5"/>
    </row>
    <row r="23" spans="1:10" ht="13.05" customHeight="1">
      <c r="A23" s="18" t="s">
        <v>311</v>
      </c>
      <c r="B23" s="19" t="s">
        <v>312</v>
      </c>
      <c r="C23" s="15" t="s">
        <v>313</v>
      </c>
      <c r="D23" s="15" t="s">
        <v>314</v>
      </c>
      <c r="E23" s="20">
        <v>14520</v>
      </c>
      <c r="F23" s="21">
        <v>245.36619999999999</v>
      </c>
      <c r="G23" s="22">
        <v>1.7899999999999999E-2</v>
      </c>
      <c r="H23" s="40"/>
      <c r="I23" s="24"/>
      <c r="J23" s="5"/>
    </row>
    <row r="24" spans="1:10" ht="13.05" customHeight="1">
      <c r="A24" s="18" t="s">
        <v>315</v>
      </c>
      <c r="B24" s="19" t="s">
        <v>316</v>
      </c>
      <c r="C24" s="15" t="s">
        <v>317</v>
      </c>
      <c r="D24" s="15" t="s">
        <v>272</v>
      </c>
      <c r="E24" s="20">
        <v>14557</v>
      </c>
      <c r="F24" s="21">
        <v>224.38159999999999</v>
      </c>
      <c r="G24" s="22">
        <v>1.6400000000000001E-2</v>
      </c>
      <c r="H24" s="40"/>
      <c r="I24" s="24"/>
      <c r="J24" s="5"/>
    </row>
    <row r="25" spans="1:10" ht="13.05" customHeight="1">
      <c r="A25" s="18" t="s">
        <v>318</v>
      </c>
      <c r="B25" s="19" t="s">
        <v>319</v>
      </c>
      <c r="C25" s="15" t="s">
        <v>320</v>
      </c>
      <c r="D25" s="15" t="s">
        <v>321</v>
      </c>
      <c r="E25" s="20">
        <v>65345</v>
      </c>
      <c r="F25" s="21">
        <v>220.1146</v>
      </c>
      <c r="G25" s="22">
        <v>1.61E-2</v>
      </c>
      <c r="H25" s="40"/>
      <c r="I25" s="24"/>
      <c r="J25" s="5"/>
    </row>
    <row r="26" spans="1:10" ht="13.05" customHeight="1">
      <c r="A26" s="18" t="s">
        <v>322</v>
      </c>
      <c r="B26" s="19" t="s">
        <v>323</v>
      </c>
      <c r="C26" s="15" t="s">
        <v>324</v>
      </c>
      <c r="D26" s="15" t="s">
        <v>325</v>
      </c>
      <c r="E26" s="20">
        <v>5618</v>
      </c>
      <c r="F26" s="21">
        <v>210.40530000000001</v>
      </c>
      <c r="G26" s="22">
        <v>1.54E-2</v>
      </c>
      <c r="H26" s="40"/>
      <c r="I26" s="24"/>
      <c r="J26" s="5"/>
    </row>
    <row r="27" spans="1:10" ht="13.05" customHeight="1">
      <c r="A27" s="18" t="s">
        <v>326</v>
      </c>
      <c r="B27" s="19" t="s">
        <v>327</v>
      </c>
      <c r="C27" s="15" t="s">
        <v>328</v>
      </c>
      <c r="D27" s="15" t="s">
        <v>329</v>
      </c>
      <c r="E27" s="20">
        <v>49304</v>
      </c>
      <c r="F27" s="21">
        <v>210.10900000000001</v>
      </c>
      <c r="G27" s="22">
        <v>1.54E-2</v>
      </c>
      <c r="H27" s="40"/>
      <c r="I27" s="24"/>
      <c r="J27" s="5"/>
    </row>
    <row r="28" spans="1:10" ht="13.05" customHeight="1">
      <c r="A28" s="18" t="s">
        <v>330</v>
      </c>
      <c r="B28" s="19" t="s">
        <v>331</v>
      </c>
      <c r="C28" s="15" t="s">
        <v>332</v>
      </c>
      <c r="D28" s="15" t="s">
        <v>333</v>
      </c>
      <c r="E28" s="20">
        <v>113328</v>
      </c>
      <c r="F28" s="21">
        <v>207.33359999999999</v>
      </c>
      <c r="G28" s="22">
        <v>1.52E-2</v>
      </c>
      <c r="H28" s="40"/>
      <c r="I28" s="24"/>
      <c r="J28" s="5"/>
    </row>
    <row r="29" spans="1:10" ht="13.05" customHeight="1">
      <c r="A29" s="18" t="s">
        <v>334</v>
      </c>
      <c r="B29" s="19" t="s">
        <v>335</v>
      </c>
      <c r="C29" s="15" t="s">
        <v>336</v>
      </c>
      <c r="D29" s="15" t="s">
        <v>337</v>
      </c>
      <c r="E29" s="20">
        <v>1625</v>
      </c>
      <c r="F29" s="21">
        <v>194.13550000000001</v>
      </c>
      <c r="G29" s="22">
        <v>1.4200000000000001E-2</v>
      </c>
      <c r="H29" s="40"/>
      <c r="I29" s="24"/>
      <c r="J29" s="5"/>
    </row>
    <row r="30" spans="1:10" ht="13.05" customHeight="1">
      <c r="A30" s="18" t="s">
        <v>338</v>
      </c>
      <c r="B30" s="19" t="s">
        <v>339</v>
      </c>
      <c r="C30" s="15" t="s">
        <v>340</v>
      </c>
      <c r="D30" s="15" t="s">
        <v>321</v>
      </c>
      <c r="E30" s="20">
        <v>62691</v>
      </c>
      <c r="F30" s="21">
        <v>180.64410000000001</v>
      </c>
      <c r="G30" s="22">
        <v>1.32E-2</v>
      </c>
      <c r="H30" s="40"/>
      <c r="I30" s="24"/>
      <c r="J30" s="5"/>
    </row>
    <row r="31" spans="1:10" ht="13.05" customHeight="1">
      <c r="A31" s="18" t="s">
        <v>349</v>
      </c>
      <c r="B31" s="19" t="s">
        <v>350</v>
      </c>
      <c r="C31" s="15" t="s">
        <v>351</v>
      </c>
      <c r="D31" s="15" t="s">
        <v>300</v>
      </c>
      <c r="E31" s="20">
        <v>7500</v>
      </c>
      <c r="F31" s="21">
        <v>156.61500000000001</v>
      </c>
      <c r="G31" s="22">
        <v>1.15E-2</v>
      </c>
      <c r="H31" s="40"/>
      <c r="I31" s="24"/>
      <c r="J31" s="5"/>
    </row>
    <row r="32" spans="1:10" ht="13.05" customHeight="1">
      <c r="A32" s="18" t="s">
        <v>352</v>
      </c>
      <c r="B32" s="19" t="s">
        <v>353</v>
      </c>
      <c r="C32" s="15" t="s">
        <v>354</v>
      </c>
      <c r="D32" s="15" t="s">
        <v>325</v>
      </c>
      <c r="E32" s="20">
        <v>6199</v>
      </c>
      <c r="F32" s="21">
        <v>155.5949</v>
      </c>
      <c r="G32" s="22">
        <v>1.14E-2</v>
      </c>
      <c r="H32" s="40"/>
      <c r="I32" s="24"/>
      <c r="J32" s="5"/>
    </row>
    <row r="33" spans="1:10" ht="13.05" customHeight="1">
      <c r="A33" s="18" t="s">
        <v>361</v>
      </c>
      <c r="B33" s="19" t="s">
        <v>362</v>
      </c>
      <c r="C33" s="15" t="s">
        <v>363</v>
      </c>
      <c r="D33" s="15" t="s">
        <v>364</v>
      </c>
      <c r="E33" s="20">
        <v>10144</v>
      </c>
      <c r="F33" s="21">
        <v>147.23509999999999</v>
      </c>
      <c r="G33" s="22">
        <v>1.0800000000000001E-2</v>
      </c>
      <c r="H33" s="40"/>
      <c r="I33" s="24"/>
      <c r="J33" s="5"/>
    </row>
    <row r="34" spans="1:10" ht="13.05" customHeight="1">
      <c r="A34" s="18" t="s">
        <v>368</v>
      </c>
      <c r="B34" s="19" t="s">
        <v>369</v>
      </c>
      <c r="C34" s="15" t="s">
        <v>370</v>
      </c>
      <c r="D34" s="15" t="s">
        <v>304</v>
      </c>
      <c r="E34" s="20">
        <v>3015</v>
      </c>
      <c r="F34" s="21">
        <v>141.512</v>
      </c>
      <c r="G34" s="22">
        <v>1.04E-2</v>
      </c>
      <c r="H34" s="40"/>
      <c r="I34" s="24"/>
      <c r="J34" s="5"/>
    </row>
    <row r="35" spans="1:10" ht="13.05" customHeight="1">
      <c r="A35" s="18" t="s">
        <v>392</v>
      </c>
      <c r="B35" s="19" t="s">
        <v>393</v>
      </c>
      <c r="C35" s="15" t="s">
        <v>394</v>
      </c>
      <c r="D35" s="15" t="s">
        <v>272</v>
      </c>
      <c r="E35" s="20">
        <v>8788</v>
      </c>
      <c r="F35" s="21">
        <v>125.2114</v>
      </c>
      <c r="G35" s="22">
        <v>9.1999999999999998E-3</v>
      </c>
      <c r="H35" s="40"/>
      <c r="I35" s="24"/>
      <c r="J35" s="5"/>
    </row>
    <row r="36" spans="1:10" ht="13.05" customHeight="1">
      <c r="A36" s="18" t="s">
        <v>409</v>
      </c>
      <c r="B36" s="19" t="s">
        <v>410</v>
      </c>
      <c r="C36" s="15" t="s">
        <v>411</v>
      </c>
      <c r="D36" s="15" t="s">
        <v>296</v>
      </c>
      <c r="E36" s="20">
        <v>28862</v>
      </c>
      <c r="F36" s="21">
        <v>118.3631</v>
      </c>
      <c r="G36" s="22">
        <v>8.6999999999999994E-3</v>
      </c>
      <c r="H36" s="40"/>
      <c r="I36" s="24"/>
      <c r="J36" s="5"/>
    </row>
    <row r="37" spans="1:10" ht="13.05" customHeight="1">
      <c r="A37" s="18" t="s">
        <v>505</v>
      </c>
      <c r="B37" s="19" t="s">
        <v>2339</v>
      </c>
      <c r="C37" s="15" t="s">
        <v>506</v>
      </c>
      <c r="D37" s="15" t="s">
        <v>507</v>
      </c>
      <c r="E37" s="20">
        <v>28862</v>
      </c>
      <c r="F37" s="21">
        <v>75.589600000000004</v>
      </c>
      <c r="G37" s="22">
        <v>5.4999999999999997E-3</v>
      </c>
      <c r="H37" s="40"/>
      <c r="I37" s="24"/>
      <c r="J37" s="5"/>
    </row>
    <row r="38" spans="1:10" ht="13.05" customHeight="1">
      <c r="A38" s="5"/>
      <c r="B38" s="14" t="s">
        <v>192</v>
      </c>
      <c r="C38" s="15"/>
      <c r="D38" s="15"/>
      <c r="E38" s="15"/>
      <c r="F38" s="25">
        <v>13647.064200000001</v>
      </c>
      <c r="G38" s="26">
        <v>0.99829999999999997</v>
      </c>
      <c r="H38" s="27"/>
      <c r="I38" s="28"/>
      <c r="J38" s="5"/>
    </row>
    <row r="39" spans="1:10" ht="13.05" customHeight="1">
      <c r="A39" s="5"/>
      <c r="B39" s="29" t="s">
        <v>1812</v>
      </c>
      <c r="C39" s="2"/>
      <c r="D39" s="2"/>
      <c r="E39" s="2"/>
      <c r="F39" s="27" t="s">
        <v>194</v>
      </c>
      <c r="G39" s="27" t="s">
        <v>194</v>
      </c>
      <c r="H39" s="27"/>
      <c r="I39" s="28"/>
      <c r="J39" s="5"/>
    </row>
    <row r="40" spans="1:10" ht="13.05" customHeight="1">
      <c r="A40" s="5"/>
      <c r="B40" s="29" t="s">
        <v>192</v>
      </c>
      <c r="C40" s="2"/>
      <c r="D40" s="2"/>
      <c r="E40" s="2"/>
      <c r="F40" s="27" t="s">
        <v>194</v>
      </c>
      <c r="G40" s="27" t="s">
        <v>194</v>
      </c>
      <c r="H40" s="27"/>
      <c r="I40" s="28"/>
      <c r="J40" s="5"/>
    </row>
    <row r="41" spans="1:10" ht="13.05" customHeight="1">
      <c r="A41" s="5"/>
      <c r="B41" s="29" t="s">
        <v>195</v>
      </c>
      <c r="C41" s="30"/>
      <c r="D41" s="2"/>
      <c r="E41" s="30"/>
      <c r="F41" s="25">
        <v>13647.064200000001</v>
      </c>
      <c r="G41" s="26">
        <v>0.99829999999999997</v>
      </c>
      <c r="H41" s="27"/>
      <c r="I41" s="28"/>
      <c r="J41" s="5"/>
    </row>
    <row r="42" spans="1:10" ht="13.05" customHeight="1">
      <c r="A42" s="5"/>
      <c r="B42" s="14" t="s">
        <v>196</v>
      </c>
      <c r="C42" s="15"/>
      <c r="D42" s="15"/>
      <c r="E42" s="15"/>
      <c r="F42" s="15"/>
      <c r="G42" s="15"/>
      <c r="H42" s="16"/>
      <c r="I42" s="17"/>
      <c r="J42" s="5"/>
    </row>
    <row r="43" spans="1:10" ht="13.05" customHeight="1">
      <c r="A43" s="18" t="s">
        <v>197</v>
      </c>
      <c r="B43" s="19" t="s">
        <v>198</v>
      </c>
      <c r="C43" s="15"/>
      <c r="D43" s="15"/>
      <c r="E43" s="20"/>
      <c r="F43" s="21">
        <v>9.1272000000000002</v>
      </c>
      <c r="G43" s="22">
        <v>6.9999999999999999E-4</v>
      </c>
      <c r="H43" s="23">
        <v>5.5572475690726368E-2</v>
      </c>
      <c r="I43" s="24"/>
      <c r="J43" s="5"/>
    </row>
    <row r="44" spans="1:10" ht="13.05" customHeight="1">
      <c r="A44" s="5"/>
      <c r="B44" s="14" t="s">
        <v>192</v>
      </c>
      <c r="C44" s="15"/>
      <c r="D44" s="15"/>
      <c r="E44" s="15"/>
      <c r="F44" s="25">
        <v>9.1272000000000002</v>
      </c>
      <c r="G44" s="26">
        <v>6.9999999999999999E-4</v>
      </c>
      <c r="H44" s="27"/>
      <c r="I44" s="28"/>
      <c r="J44" s="5"/>
    </row>
    <row r="45" spans="1:10" ht="13.05" customHeight="1">
      <c r="A45" s="5"/>
      <c r="B45" s="29" t="s">
        <v>195</v>
      </c>
      <c r="C45" s="30"/>
      <c r="D45" s="2"/>
      <c r="E45" s="30"/>
      <c r="F45" s="25">
        <v>9.1272000000000002</v>
      </c>
      <c r="G45" s="26">
        <v>6.9999999999999999E-4</v>
      </c>
      <c r="H45" s="27"/>
      <c r="I45" s="28"/>
      <c r="J45" s="5"/>
    </row>
    <row r="46" spans="1:10" ht="13.05" customHeight="1">
      <c r="A46" s="5"/>
      <c r="B46" s="29" t="s">
        <v>199</v>
      </c>
      <c r="C46" s="15"/>
      <c r="D46" s="2"/>
      <c r="E46" s="15"/>
      <c r="F46" s="31">
        <v>14.2286</v>
      </c>
      <c r="G46" s="26">
        <v>1E-3</v>
      </c>
      <c r="H46" s="27"/>
      <c r="I46" s="28"/>
      <c r="J46" s="5"/>
    </row>
    <row r="47" spans="1:10" ht="13.05" customHeight="1">
      <c r="A47" s="5"/>
      <c r="B47" s="32" t="s">
        <v>200</v>
      </c>
      <c r="C47" s="33"/>
      <c r="D47" s="33"/>
      <c r="E47" s="33"/>
      <c r="F47" s="34">
        <v>13670.42</v>
      </c>
      <c r="G47" s="35">
        <v>1</v>
      </c>
      <c r="H47" s="36"/>
      <c r="I47" s="37"/>
      <c r="J47" s="5"/>
    </row>
    <row r="48" spans="1:10" ht="13.05" customHeight="1">
      <c r="A48" s="5"/>
      <c r="B48" s="7"/>
      <c r="C48" s="5"/>
      <c r="D48" s="5"/>
      <c r="E48" s="5"/>
      <c r="F48" s="5"/>
      <c r="G48" s="5"/>
      <c r="H48" s="5"/>
      <c r="I48" s="5"/>
      <c r="J48" s="5"/>
    </row>
    <row r="49" spans="1:10" ht="13.05" customHeight="1">
      <c r="A49" s="5"/>
      <c r="B49" s="4" t="s">
        <v>201</v>
      </c>
      <c r="C49" s="5"/>
      <c r="D49" s="5"/>
      <c r="E49" s="5"/>
      <c r="F49" s="5"/>
      <c r="G49" s="5"/>
      <c r="H49" s="5"/>
      <c r="I49" s="5"/>
      <c r="J49" s="5"/>
    </row>
    <row r="50" spans="1:10" ht="25.95" customHeight="1">
      <c r="A50" s="5"/>
      <c r="B50" s="103" t="s">
        <v>202</v>
      </c>
      <c r="C50" s="103"/>
      <c r="D50" s="103"/>
      <c r="E50" s="103"/>
      <c r="F50" s="103"/>
      <c r="G50" s="103"/>
      <c r="H50" s="103"/>
      <c r="I50" s="103"/>
      <c r="J50" s="5"/>
    </row>
    <row r="51" spans="1:10" ht="13.05" customHeight="1">
      <c r="A51" s="5"/>
      <c r="B51" s="103" t="s">
        <v>203</v>
      </c>
      <c r="C51" s="103"/>
      <c r="D51" s="103"/>
      <c r="E51" s="103"/>
      <c r="F51" s="103"/>
      <c r="G51" s="103"/>
      <c r="H51" s="103"/>
      <c r="I51" s="103"/>
      <c r="J51" s="5"/>
    </row>
    <row r="52" spans="1:10" ht="13.05" customHeight="1">
      <c r="A52" s="5"/>
      <c r="B52" s="103"/>
      <c r="C52" s="103"/>
      <c r="D52" s="103"/>
      <c r="E52" s="103"/>
      <c r="F52" s="103"/>
      <c r="G52" s="103"/>
      <c r="H52" s="103"/>
      <c r="I52" s="103"/>
      <c r="J52" s="5"/>
    </row>
    <row r="53" spans="1:10" ht="13.05" customHeight="1">
      <c r="A53" s="5"/>
      <c r="B53" s="103"/>
      <c r="C53" s="103"/>
      <c r="D53" s="103"/>
      <c r="E53" s="103"/>
      <c r="F53" s="103"/>
      <c r="G53" s="103"/>
      <c r="H53" s="103"/>
      <c r="I53" s="103"/>
      <c r="J53" s="5"/>
    </row>
    <row r="54" spans="1:10" ht="13.05" customHeight="1">
      <c r="A54" s="5"/>
      <c r="B54" s="103"/>
      <c r="C54" s="103"/>
      <c r="D54" s="103"/>
      <c r="E54" s="103"/>
      <c r="F54" s="103"/>
      <c r="G54" s="103"/>
      <c r="H54" s="103"/>
      <c r="I54" s="103"/>
      <c r="J54" s="5"/>
    </row>
    <row r="55" spans="1:10" ht="13.05" customHeight="1">
      <c r="A55" s="5"/>
      <c r="B55" s="103"/>
      <c r="C55" s="103"/>
      <c r="D55" s="103"/>
      <c r="E55" s="103"/>
      <c r="F55" s="103"/>
      <c r="G55" s="103"/>
      <c r="H55" s="103"/>
      <c r="I55" s="103"/>
      <c r="J55" s="5"/>
    </row>
    <row r="56" spans="1:10" ht="13.05" customHeight="1">
      <c r="A56" s="5"/>
      <c r="B56" s="5"/>
      <c r="C56" s="104" t="s">
        <v>2340</v>
      </c>
      <c r="D56" s="104"/>
      <c r="E56" s="104"/>
      <c r="F56" s="104"/>
      <c r="G56" s="5"/>
      <c r="H56" s="5"/>
      <c r="I56" s="5"/>
      <c r="J56" s="5"/>
    </row>
    <row r="57" spans="1:10" ht="13.05" customHeight="1">
      <c r="A57" s="5"/>
      <c r="B57" s="38" t="s">
        <v>207</v>
      </c>
      <c r="C57" s="104" t="s">
        <v>208</v>
      </c>
      <c r="D57" s="104"/>
      <c r="E57" s="104"/>
      <c r="F57" s="104"/>
      <c r="G57" s="5"/>
      <c r="H57" s="5"/>
      <c r="I57" s="5"/>
      <c r="J57" s="5"/>
    </row>
    <row r="58" spans="1:10" ht="135" customHeight="1">
      <c r="A58" s="5"/>
      <c r="B58" s="39"/>
      <c r="C58" s="105"/>
      <c r="D58" s="105"/>
      <c r="E58" s="5"/>
      <c r="F58" s="5"/>
      <c r="G58" s="5"/>
      <c r="H58" s="5"/>
      <c r="I58" s="5"/>
      <c r="J58" s="5"/>
    </row>
  </sheetData>
  <mergeCells count="9">
    <mergeCell ref="B55:I55"/>
    <mergeCell ref="C56:F56"/>
    <mergeCell ref="C57:F57"/>
    <mergeCell ref="C58:D58"/>
    <mergeCell ref="B50:I50"/>
    <mergeCell ref="B51:I51"/>
    <mergeCell ref="B52:I52"/>
    <mergeCell ref="B53:I53"/>
    <mergeCell ref="B54:I54"/>
  </mergeCells>
  <hyperlinks>
    <hyperlink ref="A1" location="AxisBSESensexETF" display="AXISBTF" xr:uid="{00000000-0004-0000-0800-000000000000}"/>
    <hyperlink ref="B1" location="AxisBSESensexETF" display="Axis BSE Sensex ETF" xr:uid="{00000000-0004-0000-08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J35"/>
  <sheetViews>
    <sheetView topLeftCell="A19" workbookViewId="0">
      <selection activeCell="C38" sqref="C38"/>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21</v>
      </c>
      <c r="B1" s="4" t="s">
        <v>22</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2341</v>
      </c>
      <c r="B7" s="19" t="s">
        <v>2342</v>
      </c>
      <c r="C7" s="15" t="s">
        <v>2343</v>
      </c>
      <c r="D7" s="15" t="s">
        <v>188</v>
      </c>
      <c r="E7" s="20">
        <v>500000</v>
      </c>
      <c r="F7" s="21">
        <v>511.13799999999998</v>
      </c>
      <c r="G7" s="22">
        <v>0.50439999999999996</v>
      </c>
      <c r="H7" s="23">
        <v>7.2622000000000006E-2</v>
      </c>
      <c r="I7" s="24"/>
      <c r="J7" s="5"/>
    </row>
    <row r="8" spans="1:10" ht="13.05" customHeight="1">
      <c r="A8" s="18" t="s">
        <v>2344</v>
      </c>
      <c r="B8" s="19" t="s">
        <v>2345</v>
      </c>
      <c r="C8" s="15" t="s">
        <v>2346</v>
      </c>
      <c r="D8" s="15" t="s">
        <v>188</v>
      </c>
      <c r="E8" s="20">
        <v>150000</v>
      </c>
      <c r="F8" s="21">
        <v>152.6591</v>
      </c>
      <c r="G8" s="22">
        <v>0.1507</v>
      </c>
      <c r="H8" s="23">
        <v>7.2622000000000006E-2</v>
      </c>
      <c r="I8" s="24"/>
      <c r="J8" s="5"/>
    </row>
    <row r="9" spans="1:10" ht="13.05" customHeight="1">
      <c r="A9" s="18" t="s">
        <v>2347</v>
      </c>
      <c r="B9" s="19" t="s">
        <v>2348</v>
      </c>
      <c r="C9" s="15" t="s">
        <v>2349</v>
      </c>
      <c r="D9" s="15" t="s">
        <v>188</v>
      </c>
      <c r="E9" s="20">
        <v>80000</v>
      </c>
      <c r="F9" s="21">
        <v>82.877700000000004</v>
      </c>
      <c r="G9" s="22">
        <v>8.1799999999999998E-2</v>
      </c>
      <c r="H9" s="23">
        <v>7.2777999999999995E-2</v>
      </c>
      <c r="I9" s="24"/>
      <c r="J9" s="5"/>
    </row>
    <row r="10" spans="1:10" ht="13.05" customHeight="1">
      <c r="A10" s="18" t="s">
        <v>2350</v>
      </c>
      <c r="B10" s="19" t="s">
        <v>2351</v>
      </c>
      <c r="C10" s="15" t="s">
        <v>2352</v>
      </c>
      <c r="D10" s="15" t="s">
        <v>188</v>
      </c>
      <c r="E10" s="20">
        <v>70000</v>
      </c>
      <c r="F10" s="21">
        <v>73.314700000000002</v>
      </c>
      <c r="G10" s="22">
        <v>7.2400000000000006E-2</v>
      </c>
      <c r="H10" s="23">
        <v>7.3229000000000002E-2</v>
      </c>
      <c r="I10" s="24"/>
      <c r="J10" s="5"/>
    </row>
    <row r="11" spans="1:10" ht="13.05" customHeight="1">
      <c r="A11" s="18" t="s">
        <v>2353</v>
      </c>
      <c r="B11" s="19" t="s">
        <v>2354</v>
      </c>
      <c r="C11" s="15" t="s">
        <v>2355</v>
      </c>
      <c r="D11" s="15" t="s">
        <v>188</v>
      </c>
      <c r="E11" s="20">
        <v>62300</v>
      </c>
      <c r="F11" s="21">
        <v>63.499000000000002</v>
      </c>
      <c r="G11" s="22">
        <v>6.2700000000000006E-2</v>
      </c>
      <c r="H11" s="23">
        <v>7.2622000000000006E-2</v>
      </c>
      <c r="I11" s="24"/>
      <c r="J11" s="5"/>
    </row>
    <row r="12" spans="1:10" ht="13.05" customHeight="1">
      <c r="A12" s="18" t="s">
        <v>2356</v>
      </c>
      <c r="B12" s="19" t="s">
        <v>2357</v>
      </c>
      <c r="C12" s="15" t="s">
        <v>2358</v>
      </c>
      <c r="D12" s="15" t="s">
        <v>188</v>
      </c>
      <c r="E12" s="20">
        <v>50000</v>
      </c>
      <c r="F12" s="21">
        <v>52.330599999999997</v>
      </c>
      <c r="G12" s="22">
        <v>5.16E-2</v>
      </c>
      <c r="H12" s="23">
        <v>7.2903999999999997E-2</v>
      </c>
      <c r="I12" s="24"/>
      <c r="J12" s="5"/>
    </row>
    <row r="13" spans="1:10" ht="13.05" customHeight="1">
      <c r="A13" s="18" t="s">
        <v>2359</v>
      </c>
      <c r="B13" s="19" t="s">
        <v>2360</v>
      </c>
      <c r="C13" s="15" t="s">
        <v>2361</v>
      </c>
      <c r="D13" s="15" t="s">
        <v>188</v>
      </c>
      <c r="E13" s="20">
        <v>22800</v>
      </c>
      <c r="F13" s="21">
        <v>23.227499999999999</v>
      </c>
      <c r="G13" s="22">
        <v>2.29E-2</v>
      </c>
      <c r="H13" s="23">
        <v>7.2622000000000006E-2</v>
      </c>
      <c r="I13" s="24"/>
      <c r="J13" s="5"/>
    </row>
    <row r="14" spans="1:10" ht="13.05" customHeight="1">
      <c r="A14" s="5"/>
      <c r="B14" s="14" t="s">
        <v>192</v>
      </c>
      <c r="C14" s="15"/>
      <c r="D14" s="15"/>
      <c r="E14" s="15"/>
      <c r="F14" s="25">
        <v>959.04660000000001</v>
      </c>
      <c r="G14" s="26">
        <v>0.94640000000000002</v>
      </c>
      <c r="H14" s="27"/>
      <c r="I14" s="28"/>
      <c r="J14" s="5"/>
    </row>
    <row r="15" spans="1:10" ht="13.05" customHeight="1">
      <c r="A15" s="5"/>
      <c r="B15" s="29" t="s">
        <v>193</v>
      </c>
      <c r="C15" s="2"/>
      <c r="D15" s="2"/>
      <c r="E15" s="2"/>
      <c r="F15" s="27" t="s">
        <v>194</v>
      </c>
      <c r="G15" s="27" t="s">
        <v>194</v>
      </c>
      <c r="H15" s="27"/>
      <c r="I15" s="28"/>
      <c r="J15" s="5"/>
    </row>
    <row r="16" spans="1:10" ht="13.05" customHeight="1">
      <c r="A16" s="5"/>
      <c r="B16" s="29" t="s">
        <v>192</v>
      </c>
      <c r="C16" s="2"/>
      <c r="D16" s="2"/>
      <c r="E16" s="2"/>
      <c r="F16" s="27" t="s">
        <v>194</v>
      </c>
      <c r="G16" s="27" t="s">
        <v>194</v>
      </c>
      <c r="H16" s="27"/>
      <c r="I16" s="28"/>
      <c r="J16" s="5"/>
    </row>
    <row r="17" spans="1:10" ht="13.05" customHeight="1">
      <c r="A17" s="5"/>
      <c r="B17" s="29" t="s">
        <v>195</v>
      </c>
      <c r="C17" s="30"/>
      <c r="D17" s="2"/>
      <c r="E17" s="30"/>
      <c r="F17" s="25">
        <v>959.04660000000001</v>
      </c>
      <c r="G17" s="26">
        <v>0.94640000000000002</v>
      </c>
      <c r="H17" s="27"/>
      <c r="I17" s="28"/>
      <c r="J17" s="5"/>
    </row>
    <row r="18" spans="1:10" ht="13.05" customHeight="1">
      <c r="A18" s="5"/>
      <c r="B18" s="14" t="s">
        <v>196</v>
      </c>
      <c r="C18" s="15"/>
      <c r="D18" s="15"/>
      <c r="E18" s="15"/>
      <c r="F18" s="15"/>
      <c r="G18" s="15"/>
      <c r="H18" s="16"/>
      <c r="I18" s="17"/>
      <c r="J18" s="5"/>
    </row>
    <row r="19" spans="1:10" ht="13.05" customHeight="1">
      <c r="A19" s="18" t="s">
        <v>197</v>
      </c>
      <c r="B19" s="19" t="s">
        <v>198</v>
      </c>
      <c r="C19" s="15"/>
      <c r="D19" s="15"/>
      <c r="E19" s="20"/>
      <c r="F19" s="21">
        <v>36.249000000000002</v>
      </c>
      <c r="G19" s="22">
        <v>3.5799999999999998E-2</v>
      </c>
      <c r="H19" s="23">
        <v>5.5573722924970481E-2</v>
      </c>
      <c r="I19" s="24"/>
      <c r="J19" s="5"/>
    </row>
    <row r="20" spans="1:10" ht="13.05" customHeight="1">
      <c r="A20" s="5"/>
      <c r="B20" s="14" t="s">
        <v>192</v>
      </c>
      <c r="C20" s="15"/>
      <c r="D20" s="15"/>
      <c r="E20" s="15"/>
      <c r="F20" s="25">
        <v>36.249000000000002</v>
      </c>
      <c r="G20" s="26">
        <v>3.5799999999999998E-2</v>
      </c>
      <c r="H20" s="27"/>
      <c r="I20" s="28"/>
      <c r="J20" s="5"/>
    </row>
    <row r="21" spans="1:10" ht="13.05" customHeight="1">
      <c r="A21" s="5"/>
      <c r="B21" s="29" t="s">
        <v>193</v>
      </c>
      <c r="C21" s="2"/>
      <c r="D21" s="2"/>
      <c r="E21" s="2"/>
      <c r="F21" s="27" t="s">
        <v>194</v>
      </c>
      <c r="G21" s="27" t="s">
        <v>194</v>
      </c>
      <c r="H21" s="27"/>
      <c r="I21" s="28"/>
      <c r="J21" s="5"/>
    </row>
    <row r="22" spans="1:10" ht="13.05" customHeight="1">
      <c r="A22" s="5"/>
      <c r="B22" s="29" t="s">
        <v>192</v>
      </c>
      <c r="C22" s="2"/>
      <c r="D22" s="2"/>
      <c r="E22" s="2"/>
      <c r="F22" s="27" t="s">
        <v>194</v>
      </c>
      <c r="G22" s="27" t="s">
        <v>194</v>
      </c>
      <c r="H22" s="27"/>
      <c r="I22" s="28"/>
      <c r="J22" s="5"/>
    </row>
    <row r="23" spans="1:10" ht="13.05" customHeight="1">
      <c r="A23" s="5"/>
      <c r="B23" s="29" t="s">
        <v>195</v>
      </c>
      <c r="C23" s="30"/>
      <c r="D23" s="2"/>
      <c r="E23" s="30"/>
      <c r="F23" s="25">
        <v>36.249000000000002</v>
      </c>
      <c r="G23" s="26">
        <v>3.5799999999999998E-2</v>
      </c>
      <c r="H23" s="27"/>
      <c r="I23" s="28"/>
      <c r="J23" s="5"/>
    </row>
    <row r="24" spans="1:10" ht="13.05" customHeight="1">
      <c r="A24" s="5"/>
      <c r="B24" s="29" t="s">
        <v>199</v>
      </c>
      <c r="C24" s="15"/>
      <c r="D24" s="2"/>
      <c r="E24" s="15"/>
      <c r="F24" s="31">
        <v>18.0244</v>
      </c>
      <c r="G24" s="26">
        <v>1.78E-2</v>
      </c>
      <c r="H24" s="27"/>
      <c r="I24" s="28"/>
      <c r="J24" s="5"/>
    </row>
    <row r="25" spans="1:10" ht="13.05" customHeight="1">
      <c r="A25" s="5"/>
      <c r="B25" s="32" t="s">
        <v>200</v>
      </c>
      <c r="C25" s="33"/>
      <c r="D25" s="33"/>
      <c r="E25" s="33"/>
      <c r="F25" s="34">
        <v>1013.32</v>
      </c>
      <c r="G25" s="35">
        <v>1</v>
      </c>
      <c r="H25" s="36"/>
      <c r="I25" s="37"/>
      <c r="J25" s="5"/>
    </row>
    <row r="26" spans="1:10" ht="13.05" customHeight="1">
      <c r="A26" s="5"/>
      <c r="B26" s="7"/>
      <c r="C26" s="5"/>
      <c r="D26" s="5"/>
      <c r="E26" s="5"/>
      <c r="F26" s="5"/>
      <c r="G26" s="5"/>
      <c r="H26" s="5"/>
      <c r="I26" s="5"/>
      <c r="J26" s="5"/>
    </row>
    <row r="27" spans="1:10" ht="13.05" customHeight="1">
      <c r="A27" s="5"/>
      <c r="B27" s="4" t="s">
        <v>201</v>
      </c>
      <c r="C27" s="5"/>
      <c r="D27" s="5"/>
      <c r="E27" s="5"/>
      <c r="F27" s="5"/>
      <c r="G27" s="5"/>
      <c r="H27" s="5"/>
      <c r="I27" s="5"/>
      <c r="J27" s="5"/>
    </row>
    <row r="28" spans="1:10" ht="25.95" customHeight="1">
      <c r="A28" s="5"/>
      <c r="B28" s="103" t="s">
        <v>202</v>
      </c>
      <c r="C28" s="103"/>
      <c r="D28" s="103"/>
      <c r="E28" s="103"/>
      <c r="F28" s="103"/>
      <c r="G28" s="103"/>
      <c r="H28" s="103"/>
      <c r="I28" s="103"/>
      <c r="J28" s="5"/>
    </row>
    <row r="29" spans="1:10" ht="13.05" customHeight="1">
      <c r="A29" s="5"/>
      <c r="B29" s="103" t="s">
        <v>203</v>
      </c>
      <c r="C29" s="103"/>
      <c r="D29" s="103"/>
      <c r="E29" s="103"/>
      <c r="F29" s="103"/>
      <c r="G29" s="103"/>
      <c r="H29" s="103"/>
      <c r="I29" s="103"/>
      <c r="J29" s="5"/>
    </row>
    <row r="30" spans="1:10" ht="13.05" customHeight="1">
      <c r="A30" s="5"/>
      <c r="B30" s="103" t="s">
        <v>2362</v>
      </c>
      <c r="C30" s="103"/>
      <c r="D30" s="103"/>
      <c r="E30" s="103"/>
      <c r="F30" s="103"/>
      <c r="G30" s="5"/>
      <c r="H30" s="5"/>
      <c r="I30" s="5"/>
      <c r="J30" s="5"/>
    </row>
    <row r="31" spans="1:10" ht="13.05" customHeight="1">
      <c r="A31" s="5"/>
      <c r="B31" s="103"/>
      <c r="C31" s="103"/>
      <c r="D31" s="103"/>
      <c r="E31" s="103"/>
      <c r="F31" s="103"/>
      <c r="G31" s="103"/>
      <c r="H31" s="103"/>
      <c r="I31" s="103"/>
      <c r="J31" s="5"/>
    </row>
    <row r="32" spans="1:10" ht="13.05" customHeight="1">
      <c r="A32" s="5"/>
      <c r="B32" s="103"/>
      <c r="C32" s="103"/>
      <c r="D32" s="103"/>
      <c r="E32" s="103"/>
      <c r="F32" s="103"/>
      <c r="G32" s="103"/>
      <c r="H32" s="103"/>
      <c r="I32" s="103"/>
      <c r="J32" s="5"/>
    </row>
    <row r="33" spans="1:10" ht="13.05" customHeight="1">
      <c r="A33" s="5"/>
      <c r="B33" s="5"/>
      <c r="C33" s="104" t="s">
        <v>2363</v>
      </c>
      <c r="D33" s="104"/>
      <c r="E33" s="104"/>
      <c r="F33" s="104"/>
      <c r="G33" s="5"/>
      <c r="H33" s="5"/>
      <c r="I33" s="5"/>
      <c r="J33" s="5"/>
    </row>
    <row r="34" spans="1:10" ht="13.05" customHeight="1">
      <c r="A34" s="5"/>
      <c r="B34" s="38" t="s">
        <v>207</v>
      </c>
      <c r="C34" s="104" t="s">
        <v>208</v>
      </c>
      <c r="D34" s="104"/>
      <c r="E34" s="104"/>
      <c r="F34" s="104"/>
      <c r="G34" s="5"/>
      <c r="H34" s="5"/>
      <c r="I34" s="5"/>
      <c r="J34" s="5"/>
    </row>
    <row r="35" spans="1:10" ht="135" customHeight="1">
      <c r="A35" s="5"/>
      <c r="B35" s="39"/>
      <c r="C35" s="105"/>
      <c r="D35" s="105"/>
      <c r="E35" s="5"/>
      <c r="F35" s="5"/>
      <c r="G35" s="5"/>
      <c r="H35" s="5"/>
      <c r="I35" s="5"/>
      <c r="J35" s="5"/>
    </row>
  </sheetData>
  <mergeCells count="8">
    <mergeCell ref="C33:F33"/>
    <mergeCell ref="C34:F34"/>
    <mergeCell ref="C35:D35"/>
    <mergeCell ref="B28:I28"/>
    <mergeCell ref="B29:I29"/>
    <mergeCell ref="B30:F30"/>
    <mergeCell ref="B31:I31"/>
    <mergeCell ref="B32:I32"/>
  </mergeCells>
  <hyperlinks>
    <hyperlink ref="A1" location="AxisCRISILIBXSDLJune2034DebtIndexFund" display="AXISCBS" xr:uid="{00000000-0004-0000-0900-000000000000}"/>
    <hyperlink ref="B1" location="AxisCRISILIBXSDLJune2034DebtIndexFund" display="Axis CRISIL IBX SDL June 2034 Debt Index Fund" xr:uid="{00000000-0004-0000-09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heetPr>
  <dimension ref="A1:N49"/>
  <sheetViews>
    <sheetView workbookViewId="0">
      <selection activeCell="G35" sqref="G35"/>
    </sheetView>
  </sheetViews>
  <sheetFormatPr defaultRowHeight="14.4"/>
  <cols>
    <col min="1" max="1" width="3.33203125" customWidth="1"/>
    <col min="2" max="2" width="57.77734375" customWidth="1"/>
    <col min="3" max="3" width="16.6640625" customWidth="1"/>
    <col min="4" max="4" width="33.33203125" customWidth="1"/>
    <col min="5" max="5" width="16.6640625" customWidth="1"/>
    <col min="6" max="7" width="25" customWidth="1"/>
    <col min="8" max="9" width="16.6640625" customWidth="1"/>
    <col min="10" max="10" width="11.88671875" bestFit="1" customWidth="1"/>
    <col min="11" max="11" width="21.21875" bestFit="1" customWidth="1"/>
    <col min="14" max="14" width="11.44140625" bestFit="1" customWidth="1"/>
  </cols>
  <sheetData>
    <row r="1" spans="1:11" ht="16.05" customHeight="1">
      <c r="A1" s="47" t="s">
        <v>23</v>
      </c>
      <c r="B1" s="45" t="s">
        <v>24</v>
      </c>
      <c r="C1" s="48"/>
      <c r="D1" s="48"/>
      <c r="E1" s="48"/>
      <c r="F1" s="48"/>
      <c r="G1" s="48"/>
      <c r="H1" s="48"/>
      <c r="I1" s="48"/>
      <c r="J1" s="48"/>
    </row>
    <row r="2" spans="1:11" ht="13.05" customHeight="1">
      <c r="A2" s="48"/>
      <c r="B2" s="49"/>
      <c r="C2" s="48"/>
      <c r="D2" s="48"/>
      <c r="E2" s="48"/>
      <c r="F2" s="48"/>
      <c r="G2" s="48"/>
      <c r="H2" s="48"/>
      <c r="I2" s="48"/>
      <c r="J2" s="48"/>
    </row>
    <row r="3" spans="1:11" ht="13.05" customHeight="1">
      <c r="A3" s="50" t="s">
        <v>172</v>
      </c>
      <c r="B3" s="51" t="s">
        <v>173</v>
      </c>
      <c r="C3" s="48"/>
      <c r="D3" s="48"/>
      <c r="E3" s="48"/>
      <c r="F3" s="48"/>
      <c r="G3" s="48"/>
      <c r="H3" s="48"/>
      <c r="I3" s="48"/>
      <c r="J3" s="48"/>
    </row>
    <row r="4" spans="1:11" ht="28.05" customHeight="1">
      <c r="A4" s="48"/>
      <c r="B4" s="52" t="s">
        <v>174</v>
      </c>
      <c r="C4" s="53" t="s">
        <v>175</v>
      </c>
      <c r="D4" s="54" t="s">
        <v>209</v>
      </c>
      <c r="E4" s="54" t="s">
        <v>177</v>
      </c>
      <c r="F4" s="54" t="s">
        <v>178</v>
      </c>
      <c r="G4" s="54" t="s">
        <v>179</v>
      </c>
      <c r="H4" s="54" t="s">
        <v>180</v>
      </c>
      <c r="I4" s="55" t="s">
        <v>181</v>
      </c>
      <c r="J4" s="56"/>
    </row>
    <row r="5" spans="1:11" ht="13.05" customHeight="1">
      <c r="A5" s="48"/>
      <c r="B5" s="57" t="s">
        <v>183</v>
      </c>
      <c r="C5" s="58"/>
      <c r="D5" s="58"/>
      <c r="E5" s="58"/>
      <c r="F5" s="58"/>
      <c r="G5" s="58"/>
      <c r="H5" s="59"/>
      <c r="I5" s="60"/>
      <c r="J5" s="48"/>
    </row>
    <row r="6" spans="1:11" ht="13.05" customHeight="1">
      <c r="A6" s="48"/>
      <c r="B6" s="57" t="s">
        <v>184</v>
      </c>
      <c r="C6" s="58"/>
      <c r="D6" s="58"/>
      <c r="E6" s="58"/>
      <c r="F6" s="48"/>
      <c r="G6" s="59"/>
      <c r="H6" s="59"/>
      <c r="I6" s="60"/>
      <c r="J6" s="48"/>
    </row>
    <row r="7" spans="1:11" ht="13.05" customHeight="1">
      <c r="A7" s="61" t="s">
        <v>2276</v>
      </c>
      <c r="B7" s="62" t="s">
        <v>2277</v>
      </c>
      <c r="C7" s="58" t="s">
        <v>2278</v>
      </c>
      <c r="D7" s="58" t="s">
        <v>213</v>
      </c>
      <c r="E7" s="63">
        <v>12500</v>
      </c>
      <c r="F7" s="64">
        <v>12698.6625</v>
      </c>
      <c r="G7" s="65">
        <v>0.1008</v>
      </c>
      <c r="H7" s="66">
        <v>7.0949999999999999E-2</v>
      </c>
      <c r="I7" s="67"/>
      <c r="J7" s="97"/>
      <c r="K7" s="68"/>
    </row>
    <row r="8" spans="1:11" ht="13.05" customHeight="1">
      <c r="A8" s="61" t="s">
        <v>2364</v>
      </c>
      <c r="B8" s="62" t="s">
        <v>2365</v>
      </c>
      <c r="C8" s="58" t="s">
        <v>2366</v>
      </c>
      <c r="D8" s="58" t="s">
        <v>213</v>
      </c>
      <c r="E8" s="63">
        <v>10400</v>
      </c>
      <c r="F8" s="64">
        <v>10571.953600000001</v>
      </c>
      <c r="G8" s="65">
        <v>8.3900000000000002E-2</v>
      </c>
      <c r="H8" s="66">
        <v>7.1400000000000005E-2</v>
      </c>
      <c r="I8" s="67"/>
      <c r="J8" s="97"/>
      <c r="K8" s="68"/>
    </row>
    <row r="9" spans="1:11" ht="13.05" customHeight="1">
      <c r="A9" s="61" t="s">
        <v>2288</v>
      </c>
      <c r="B9" s="62" t="s">
        <v>2289</v>
      </c>
      <c r="C9" s="58" t="s">
        <v>2290</v>
      </c>
      <c r="D9" s="58" t="s">
        <v>213</v>
      </c>
      <c r="E9" s="63">
        <v>10358</v>
      </c>
      <c r="F9" s="64">
        <v>10524.5463</v>
      </c>
      <c r="G9" s="65">
        <v>8.3500000000000005E-2</v>
      </c>
      <c r="H9" s="66">
        <v>6.9849999999999995E-2</v>
      </c>
      <c r="I9" s="67"/>
      <c r="J9" s="97"/>
      <c r="K9" s="68"/>
    </row>
    <row r="10" spans="1:11" ht="13.05" customHeight="1">
      <c r="A10" s="61" t="s">
        <v>2192</v>
      </c>
      <c r="B10" s="62" t="s">
        <v>2193</v>
      </c>
      <c r="C10" s="58" t="s">
        <v>2194</v>
      </c>
      <c r="D10" s="58" t="s">
        <v>213</v>
      </c>
      <c r="E10" s="63">
        <v>10000</v>
      </c>
      <c r="F10" s="64">
        <v>9997.91</v>
      </c>
      <c r="G10" s="65">
        <v>7.9399999999999998E-2</v>
      </c>
      <c r="H10" s="66">
        <v>6.9650000000000004E-2</v>
      </c>
      <c r="I10" s="67"/>
      <c r="J10" s="97"/>
      <c r="K10" s="68"/>
    </row>
    <row r="11" spans="1:11" ht="13.05" customHeight="1">
      <c r="A11" s="61" t="s">
        <v>2367</v>
      </c>
      <c r="B11" s="62" t="s">
        <v>2368</v>
      </c>
      <c r="C11" s="58" t="s">
        <v>2369</v>
      </c>
      <c r="D11" s="58" t="s">
        <v>213</v>
      </c>
      <c r="E11" s="63">
        <v>9400</v>
      </c>
      <c r="F11" s="64">
        <v>9546.875</v>
      </c>
      <c r="G11" s="65">
        <v>7.5800000000000006E-2</v>
      </c>
      <c r="H11" s="66">
        <v>7.1599999999999997E-2</v>
      </c>
      <c r="I11" s="67"/>
      <c r="J11" s="97"/>
      <c r="K11" s="68"/>
    </row>
    <row r="12" spans="1:11" ht="13.05" customHeight="1">
      <c r="A12" s="61" t="s">
        <v>2370</v>
      </c>
      <c r="B12" s="62" t="s">
        <v>2371</v>
      </c>
      <c r="C12" s="58" t="s">
        <v>2372</v>
      </c>
      <c r="D12" s="58" t="s">
        <v>213</v>
      </c>
      <c r="E12" s="63">
        <v>8600</v>
      </c>
      <c r="F12" s="64">
        <v>8746.5784000000003</v>
      </c>
      <c r="G12" s="65">
        <v>6.9400000000000003E-2</v>
      </c>
      <c r="H12" s="66">
        <v>6.9400000000000003E-2</v>
      </c>
      <c r="I12" s="67"/>
      <c r="J12" s="97"/>
      <c r="K12" s="68"/>
    </row>
    <row r="13" spans="1:11" ht="13.05" customHeight="1">
      <c r="A13" s="61" t="s">
        <v>2373</v>
      </c>
      <c r="B13" s="62" t="s">
        <v>2374</v>
      </c>
      <c r="C13" s="58" t="s">
        <v>2375</v>
      </c>
      <c r="D13" s="58" t="s">
        <v>1923</v>
      </c>
      <c r="E13" s="63">
        <v>7500</v>
      </c>
      <c r="F13" s="64">
        <v>7624.9650000000001</v>
      </c>
      <c r="G13" s="65">
        <v>6.0499999999999998E-2</v>
      </c>
      <c r="H13" s="66">
        <v>6.9650000000000004E-2</v>
      </c>
      <c r="I13" s="67"/>
      <c r="J13" s="97"/>
      <c r="K13" s="68"/>
    </row>
    <row r="14" spans="1:11" ht="13.05" customHeight="1">
      <c r="A14" s="61" t="s">
        <v>2225</v>
      </c>
      <c r="B14" s="62" t="s">
        <v>2226</v>
      </c>
      <c r="C14" s="58" t="s">
        <v>2227</v>
      </c>
      <c r="D14" s="58" t="s">
        <v>1923</v>
      </c>
      <c r="E14" s="63">
        <v>6500</v>
      </c>
      <c r="F14" s="64">
        <v>6597.7794999999996</v>
      </c>
      <c r="G14" s="65">
        <v>5.2400000000000002E-2</v>
      </c>
      <c r="H14" s="66">
        <v>7.2117000000000001E-2</v>
      </c>
      <c r="I14" s="67"/>
      <c r="J14" s="97"/>
      <c r="K14" s="68"/>
    </row>
    <row r="15" spans="1:11" ht="13.05" customHeight="1">
      <c r="A15" s="61" t="s">
        <v>2376</v>
      </c>
      <c r="B15" s="62" t="s">
        <v>2377</v>
      </c>
      <c r="C15" s="58" t="s">
        <v>2378</v>
      </c>
      <c r="D15" s="58" t="s">
        <v>1923</v>
      </c>
      <c r="E15" s="63">
        <v>6000</v>
      </c>
      <c r="F15" s="64">
        <v>5996.55</v>
      </c>
      <c r="G15" s="65">
        <v>4.7600000000000003E-2</v>
      </c>
      <c r="H15" s="66">
        <v>7.2099999999999997E-2</v>
      </c>
      <c r="I15" s="67"/>
      <c r="J15" s="97"/>
      <c r="K15" s="68"/>
    </row>
    <row r="16" spans="1:11" ht="13.05" customHeight="1">
      <c r="A16" s="61" t="s">
        <v>2379</v>
      </c>
      <c r="B16" s="62" t="s">
        <v>2380</v>
      </c>
      <c r="C16" s="58" t="s">
        <v>2381</v>
      </c>
      <c r="D16" s="58" t="s">
        <v>213</v>
      </c>
      <c r="E16" s="63">
        <v>5500</v>
      </c>
      <c r="F16" s="64">
        <v>5591.7785000000003</v>
      </c>
      <c r="G16" s="65">
        <v>4.4400000000000002E-2</v>
      </c>
      <c r="H16" s="66">
        <v>6.9400000000000003E-2</v>
      </c>
      <c r="I16" s="67"/>
      <c r="J16" s="97"/>
      <c r="K16" s="68"/>
    </row>
    <row r="17" spans="1:14" ht="13.05" customHeight="1">
      <c r="A17" s="61" t="s">
        <v>2382</v>
      </c>
      <c r="B17" s="62" t="s">
        <v>2383</v>
      </c>
      <c r="C17" s="58" t="s">
        <v>2384</v>
      </c>
      <c r="D17" s="58" t="s">
        <v>213</v>
      </c>
      <c r="E17" s="63">
        <v>5000</v>
      </c>
      <c r="F17" s="64">
        <v>5085.0349999999999</v>
      </c>
      <c r="G17" s="65">
        <v>4.0399999999999998E-2</v>
      </c>
      <c r="H17" s="66">
        <v>7.0688000000000001E-2</v>
      </c>
      <c r="I17" s="67"/>
      <c r="J17" s="97"/>
      <c r="K17" s="68"/>
    </row>
    <row r="18" spans="1:14" ht="13.05" customHeight="1">
      <c r="A18" s="61" t="s">
        <v>2385</v>
      </c>
      <c r="B18" s="62" t="s">
        <v>2386</v>
      </c>
      <c r="C18" s="58" t="s">
        <v>2387</v>
      </c>
      <c r="D18" s="58" t="s">
        <v>213</v>
      </c>
      <c r="E18" s="63">
        <v>5000</v>
      </c>
      <c r="F18" s="64">
        <v>5064.8950000000004</v>
      </c>
      <c r="G18" s="65">
        <v>4.02E-2</v>
      </c>
      <c r="H18" s="66">
        <v>7.0000000000000007E-2</v>
      </c>
      <c r="I18" s="67"/>
      <c r="J18" s="97"/>
      <c r="K18" s="68"/>
    </row>
    <row r="19" spans="1:14" ht="13.05" customHeight="1">
      <c r="A19" s="61" t="s">
        <v>2388</v>
      </c>
      <c r="B19" s="62" t="s">
        <v>2389</v>
      </c>
      <c r="C19" s="58" t="s">
        <v>2390</v>
      </c>
      <c r="D19" s="58" t="s">
        <v>213</v>
      </c>
      <c r="E19" s="63">
        <v>5000</v>
      </c>
      <c r="F19" s="64">
        <v>5014.99</v>
      </c>
      <c r="G19" s="65">
        <v>3.9800000000000002E-2</v>
      </c>
      <c r="H19" s="66">
        <v>6.9650000000000004E-2</v>
      </c>
      <c r="I19" s="67"/>
      <c r="J19" s="97"/>
      <c r="K19" s="68"/>
    </row>
    <row r="20" spans="1:14" ht="13.05" customHeight="1">
      <c r="A20" s="61" t="s">
        <v>2291</v>
      </c>
      <c r="B20" s="62" t="s">
        <v>2292</v>
      </c>
      <c r="C20" s="58" t="s">
        <v>2293</v>
      </c>
      <c r="D20" s="58" t="s">
        <v>213</v>
      </c>
      <c r="E20" s="63">
        <v>4900</v>
      </c>
      <c r="F20" s="64">
        <v>4965.9098999999997</v>
      </c>
      <c r="G20" s="65">
        <v>3.9399999999999998E-2</v>
      </c>
      <c r="H20" s="66">
        <v>7.1599999999999997E-2</v>
      </c>
      <c r="I20" s="67"/>
      <c r="J20" s="97"/>
      <c r="K20" s="68"/>
      <c r="N20" s="68"/>
    </row>
    <row r="21" spans="1:14" ht="13.05" customHeight="1">
      <c r="A21" s="61" t="s">
        <v>2391</v>
      </c>
      <c r="B21" s="62" t="s">
        <v>2392</v>
      </c>
      <c r="C21" s="58" t="s">
        <v>2393</v>
      </c>
      <c r="D21" s="58" t="s">
        <v>213</v>
      </c>
      <c r="E21" s="63">
        <v>4500</v>
      </c>
      <c r="F21" s="64">
        <v>4562.5275000000001</v>
      </c>
      <c r="G21" s="65">
        <v>3.6200000000000003E-2</v>
      </c>
      <c r="H21" s="66">
        <v>7.0137000000000005E-2</v>
      </c>
      <c r="I21" s="67"/>
      <c r="J21" s="97"/>
      <c r="K21" s="68"/>
      <c r="N21" s="68"/>
    </row>
    <row r="22" spans="1:14" ht="13.05" customHeight="1">
      <c r="A22" s="61" t="s">
        <v>2394</v>
      </c>
      <c r="B22" s="62" t="s">
        <v>2395</v>
      </c>
      <c r="C22" s="58" t="s">
        <v>2396</v>
      </c>
      <c r="D22" s="58" t="s">
        <v>213</v>
      </c>
      <c r="E22" s="63">
        <v>250</v>
      </c>
      <c r="F22" s="64">
        <v>2525.3449999999998</v>
      </c>
      <c r="G22" s="65">
        <v>0.02</v>
      </c>
      <c r="H22" s="66">
        <v>6.9650000000000004E-2</v>
      </c>
      <c r="I22" s="67"/>
      <c r="J22" s="97"/>
      <c r="K22" s="68"/>
    </row>
    <row r="23" spans="1:14" ht="13.05" customHeight="1">
      <c r="A23" s="61" t="s">
        <v>2397</v>
      </c>
      <c r="B23" s="62" t="s">
        <v>2398</v>
      </c>
      <c r="C23" s="58" t="s">
        <v>2399</v>
      </c>
      <c r="D23" s="58" t="s">
        <v>213</v>
      </c>
      <c r="E23" s="63">
        <v>2400</v>
      </c>
      <c r="F23" s="64">
        <v>2436.9839999999999</v>
      </c>
      <c r="G23" s="65">
        <v>1.9300000000000001E-2</v>
      </c>
      <c r="H23" s="66">
        <v>6.9650000000000004E-2</v>
      </c>
      <c r="I23" s="67"/>
      <c r="J23" s="97"/>
      <c r="K23" s="68"/>
    </row>
    <row r="24" spans="1:14" ht="13.05" customHeight="1">
      <c r="A24" s="61" t="s">
        <v>2400</v>
      </c>
      <c r="B24" s="62" t="s">
        <v>2401</v>
      </c>
      <c r="C24" s="58" t="s">
        <v>2402</v>
      </c>
      <c r="D24" s="58" t="s">
        <v>213</v>
      </c>
      <c r="E24" s="63">
        <v>500</v>
      </c>
      <c r="F24" s="64">
        <v>509.45400000000001</v>
      </c>
      <c r="G24" s="65">
        <v>4.0000000000000001E-3</v>
      </c>
      <c r="H24" s="66">
        <v>7.0687E-2</v>
      </c>
      <c r="I24" s="67"/>
      <c r="J24" s="97"/>
      <c r="K24" s="68"/>
    </row>
    <row r="25" spans="1:14" ht="13.05" customHeight="1">
      <c r="A25" s="61" t="s">
        <v>2403</v>
      </c>
      <c r="B25" s="62" t="s">
        <v>2404</v>
      </c>
      <c r="C25" s="58" t="s">
        <v>2405</v>
      </c>
      <c r="D25" s="58" t="s">
        <v>213</v>
      </c>
      <c r="E25" s="63">
        <v>300</v>
      </c>
      <c r="F25" s="64">
        <v>303.72899999999998</v>
      </c>
      <c r="G25" s="65">
        <v>2.3999999999999998E-3</v>
      </c>
      <c r="H25" s="66">
        <v>6.9349999999999995E-2</v>
      </c>
      <c r="I25" s="67"/>
      <c r="J25" s="97"/>
      <c r="K25" s="68"/>
    </row>
    <row r="26" spans="1:14" ht="13.05" customHeight="1">
      <c r="A26" s="48"/>
      <c r="B26" s="57" t="s">
        <v>192</v>
      </c>
      <c r="C26" s="58"/>
      <c r="D26" s="58"/>
      <c r="E26" s="58"/>
      <c r="F26" s="69">
        <v>118366.46820000002</v>
      </c>
      <c r="G26" s="70">
        <v>0.93940000000000001</v>
      </c>
      <c r="H26" s="71"/>
      <c r="I26" s="72"/>
      <c r="J26" s="73"/>
      <c r="K26" s="68"/>
    </row>
    <row r="27" spans="1:14" ht="13.05" customHeight="1">
      <c r="A27" s="48"/>
      <c r="B27" s="74" t="s">
        <v>193</v>
      </c>
      <c r="C27" s="75"/>
      <c r="D27" s="75"/>
      <c r="E27" s="75"/>
      <c r="F27" s="71" t="s">
        <v>194</v>
      </c>
      <c r="G27" s="71" t="s">
        <v>194</v>
      </c>
      <c r="H27" s="71"/>
      <c r="I27" s="72"/>
      <c r="J27" s="48"/>
    </row>
    <row r="28" spans="1:14" ht="13.05" customHeight="1">
      <c r="A28" s="48"/>
      <c r="B28" s="74" t="s">
        <v>192</v>
      </c>
      <c r="C28" s="75"/>
      <c r="D28" s="75"/>
      <c r="E28" s="75"/>
      <c r="F28" s="71" t="s">
        <v>194</v>
      </c>
      <c r="G28" s="71" t="s">
        <v>194</v>
      </c>
      <c r="H28" s="71"/>
      <c r="I28" s="72"/>
      <c r="J28" s="48"/>
    </row>
    <row r="29" spans="1:14" ht="13.05" customHeight="1">
      <c r="A29" s="48"/>
      <c r="B29" s="74" t="s">
        <v>195</v>
      </c>
      <c r="C29" s="76"/>
      <c r="D29" s="75"/>
      <c r="E29" s="76"/>
      <c r="F29" s="69">
        <v>118366.46820000002</v>
      </c>
      <c r="G29" s="70">
        <f>+G26</f>
        <v>0.93940000000000001</v>
      </c>
      <c r="H29" s="71"/>
      <c r="I29" s="72"/>
      <c r="J29" s="48"/>
    </row>
    <row r="30" spans="1:14" ht="13.05" customHeight="1">
      <c r="A30" s="48"/>
      <c r="B30" s="57" t="s">
        <v>196</v>
      </c>
      <c r="C30" s="58"/>
      <c r="D30" s="58"/>
      <c r="E30" s="58"/>
      <c r="F30" s="58"/>
      <c r="G30" s="58"/>
      <c r="H30" s="59"/>
      <c r="I30" s="60"/>
      <c r="J30" s="48"/>
    </row>
    <row r="31" spans="1:14" ht="13.05" customHeight="1">
      <c r="A31" s="61" t="s">
        <v>197</v>
      </c>
      <c r="B31" s="62" t="s">
        <v>198</v>
      </c>
      <c r="C31" s="58"/>
      <c r="D31" s="58"/>
      <c r="E31" s="63"/>
      <c r="F31" s="64">
        <v>2947.4825000000001</v>
      </c>
      <c r="G31" s="65">
        <v>2.3400000000000001E-2</v>
      </c>
      <c r="H31" s="66">
        <v>5.5573615184383571E-2</v>
      </c>
      <c r="I31" s="67"/>
      <c r="J31" s="48"/>
    </row>
    <row r="32" spans="1:14" ht="13.05" customHeight="1">
      <c r="A32" s="48"/>
      <c r="B32" s="57" t="s">
        <v>192</v>
      </c>
      <c r="C32" s="58"/>
      <c r="D32" s="58"/>
      <c r="E32" s="58"/>
      <c r="F32" s="69">
        <v>2947.4825000000001</v>
      </c>
      <c r="G32" s="70">
        <v>2.3400000000000001E-2</v>
      </c>
      <c r="H32" s="71"/>
      <c r="I32" s="72"/>
      <c r="J32" s="48"/>
    </row>
    <row r="33" spans="1:11" ht="13.05" customHeight="1">
      <c r="A33" s="48"/>
      <c r="B33" s="74" t="s">
        <v>193</v>
      </c>
      <c r="C33" s="75"/>
      <c r="D33" s="75"/>
      <c r="E33" s="75"/>
      <c r="F33" s="71" t="s">
        <v>194</v>
      </c>
      <c r="G33" s="71" t="s">
        <v>194</v>
      </c>
      <c r="H33" s="71"/>
      <c r="I33" s="72"/>
      <c r="J33" s="48"/>
    </row>
    <row r="34" spans="1:11" ht="13.05" customHeight="1">
      <c r="A34" s="48"/>
      <c r="B34" s="74" t="s">
        <v>192</v>
      </c>
      <c r="C34" s="75"/>
      <c r="D34" s="75"/>
      <c r="E34" s="75"/>
      <c r="F34" s="71" t="s">
        <v>194</v>
      </c>
      <c r="G34" s="71" t="s">
        <v>194</v>
      </c>
      <c r="H34" s="71"/>
      <c r="I34" s="72"/>
      <c r="J34" s="48"/>
    </row>
    <row r="35" spans="1:11" ht="13.05" customHeight="1">
      <c r="A35" s="48"/>
      <c r="B35" s="74" t="s">
        <v>195</v>
      </c>
      <c r="C35" s="76"/>
      <c r="D35" s="75"/>
      <c r="E35" s="76"/>
      <c r="F35" s="69">
        <v>2947.4825000000001</v>
      </c>
      <c r="G35" s="70">
        <v>2.3400000000000001E-2</v>
      </c>
      <c r="H35" s="71"/>
      <c r="I35" s="72"/>
      <c r="J35" s="48"/>
    </row>
    <row r="36" spans="1:11" ht="13.05" customHeight="1">
      <c r="A36" s="48"/>
      <c r="B36" s="74" t="s">
        <v>199</v>
      </c>
      <c r="C36" s="58"/>
      <c r="D36" s="75"/>
      <c r="E36" s="58"/>
      <c r="F36" s="77">
        <v>4663.5409898000044</v>
      </c>
      <c r="G36" s="70">
        <v>3.7199999999999997E-2</v>
      </c>
      <c r="H36" s="71"/>
      <c r="I36" s="72"/>
      <c r="J36" s="48"/>
    </row>
    <row r="37" spans="1:11" ht="13.05" customHeight="1">
      <c r="A37" s="48"/>
      <c r="B37" s="78" t="s">
        <v>200</v>
      </c>
      <c r="C37" s="79"/>
      <c r="D37" s="79"/>
      <c r="E37" s="79"/>
      <c r="F37" s="80">
        <v>125977.49159999999</v>
      </c>
      <c r="G37" s="81">
        <v>1</v>
      </c>
      <c r="H37" s="82"/>
      <c r="I37" s="83"/>
      <c r="J37" s="84"/>
      <c r="K37" s="85"/>
    </row>
    <row r="38" spans="1:11" ht="13.05" customHeight="1">
      <c r="A38" s="48"/>
      <c r="B38" s="50"/>
      <c r="C38" s="48"/>
      <c r="D38" s="48"/>
      <c r="E38" s="48"/>
      <c r="F38" s="48"/>
      <c r="G38" s="86"/>
      <c r="H38" s="48"/>
      <c r="I38" s="48"/>
      <c r="J38" s="48"/>
    </row>
    <row r="39" spans="1:11" ht="13.05" customHeight="1">
      <c r="A39" s="48"/>
      <c r="B39" s="45" t="s">
        <v>250</v>
      </c>
      <c r="C39" s="48"/>
      <c r="D39" s="48"/>
      <c r="E39" s="48"/>
      <c r="F39" s="48"/>
      <c r="G39" s="48"/>
      <c r="H39" s="48"/>
      <c r="I39" s="48"/>
      <c r="J39" s="48"/>
    </row>
    <row r="40" spans="1:11" ht="13.05" customHeight="1">
      <c r="A40" s="48"/>
      <c r="B40" s="45" t="s">
        <v>201</v>
      </c>
      <c r="C40" s="48"/>
      <c r="D40" s="48"/>
      <c r="E40" s="48"/>
      <c r="F40" s="48"/>
      <c r="G40" s="48"/>
      <c r="H40" s="48"/>
      <c r="I40" s="48"/>
      <c r="J40" s="48"/>
    </row>
    <row r="41" spans="1:11" ht="25.95" customHeight="1">
      <c r="A41" s="48"/>
      <c r="B41" s="106" t="s">
        <v>202</v>
      </c>
      <c r="C41" s="106"/>
      <c r="D41" s="106"/>
      <c r="E41" s="106"/>
      <c r="F41" s="106"/>
      <c r="G41" s="106"/>
      <c r="H41" s="106"/>
      <c r="I41" s="106"/>
      <c r="J41" s="48"/>
    </row>
    <row r="42" spans="1:11" ht="13.05" customHeight="1">
      <c r="A42" s="48"/>
      <c r="B42" s="106" t="s">
        <v>203</v>
      </c>
      <c r="C42" s="106"/>
      <c r="D42" s="106"/>
      <c r="E42" s="106"/>
      <c r="F42" s="106"/>
      <c r="G42" s="106"/>
      <c r="H42" s="106"/>
      <c r="I42" s="106"/>
      <c r="J42" s="48"/>
    </row>
    <row r="43" spans="1:11" ht="13.05" customHeight="1">
      <c r="A43" s="48"/>
      <c r="B43" s="106" t="s">
        <v>2406</v>
      </c>
      <c r="C43" s="106"/>
      <c r="D43" s="106"/>
      <c r="E43" s="106"/>
      <c r="F43" s="106"/>
      <c r="G43" s="48"/>
      <c r="H43" s="48"/>
      <c r="I43" s="48"/>
      <c r="J43" s="48"/>
    </row>
    <row r="44" spans="1:11" ht="13.05" customHeight="1">
      <c r="A44" s="48"/>
      <c r="B44" s="106"/>
      <c r="C44" s="106"/>
      <c r="D44" s="106"/>
      <c r="E44" s="106"/>
      <c r="F44" s="106"/>
      <c r="G44" s="106"/>
      <c r="H44" s="106"/>
      <c r="I44" s="106"/>
      <c r="J44" s="48"/>
    </row>
    <row r="45" spans="1:11" ht="14.55" customHeight="1">
      <c r="A45" s="99"/>
      <c r="B45" s="98"/>
      <c r="C45" s="107" t="s">
        <v>2407</v>
      </c>
      <c r="D45" s="107"/>
      <c r="E45" s="107"/>
      <c r="F45" s="107"/>
      <c r="G45" s="98"/>
      <c r="H45" s="98"/>
      <c r="I45" s="98"/>
      <c r="J45" s="99"/>
    </row>
    <row r="46" spans="1:11" ht="18" customHeight="1">
      <c r="A46" s="48"/>
      <c r="B46" s="101" t="s">
        <v>207</v>
      </c>
      <c r="C46" s="107" t="s">
        <v>208</v>
      </c>
      <c r="D46" s="107"/>
      <c r="E46" s="107"/>
      <c r="F46" s="107"/>
      <c r="G46" s="100"/>
      <c r="H46" s="100"/>
      <c r="I46" s="100"/>
      <c r="J46" s="48"/>
    </row>
    <row r="47" spans="1:11" ht="135" customHeight="1">
      <c r="A47" s="48"/>
      <c r="B47" s="87"/>
      <c r="C47" s="107"/>
      <c r="D47" s="107"/>
      <c r="E47" s="107"/>
      <c r="F47" s="107"/>
      <c r="G47" s="48"/>
      <c r="H47" s="48"/>
      <c r="I47" s="48"/>
      <c r="J47" s="48"/>
    </row>
    <row r="48" spans="1:11">
      <c r="A48" s="48"/>
      <c r="G48" s="48"/>
      <c r="H48" s="48"/>
      <c r="I48" s="48"/>
      <c r="J48" s="48"/>
    </row>
    <row r="49" spans="1:10">
      <c r="A49" s="48"/>
      <c r="B49" s="48"/>
      <c r="C49" s="108"/>
      <c r="D49" s="108"/>
      <c r="E49" s="48"/>
      <c r="F49" s="48"/>
      <c r="G49" s="48"/>
      <c r="H49" s="48"/>
      <c r="I49" s="48"/>
      <c r="J49" s="48"/>
    </row>
  </sheetData>
  <mergeCells count="8">
    <mergeCell ref="C46:F46"/>
    <mergeCell ref="C49:D49"/>
    <mergeCell ref="B41:I41"/>
    <mergeCell ref="B42:I42"/>
    <mergeCell ref="B43:F43"/>
    <mergeCell ref="B44:I44"/>
    <mergeCell ref="C47:F47"/>
    <mergeCell ref="C45:F45"/>
  </mergeCells>
  <hyperlinks>
    <hyperlink ref="A1" location="AxisCRISILIBXAAABondNBFCJun2027IndexFund" display="AXISCDL" xr:uid="{17511A2F-DB44-44A3-B0DE-A772245C2322}"/>
    <hyperlink ref="B1" location="AxisCRISILIBXAAABondNBFCJun2027IndexFund" display="Axis CRISIL IBX AAA Bond NBFC Jun 2027 Index Fund" xr:uid="{02F7767E-1FB5-4413-8783-ED45878DC8C6}"/>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heetPr>
  <dimension ref="A1:J61"/>
  <sheetViews>
    <sheetView workbookViewId="0">
      <selection activeCell="B3" sqref="B3"/>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25</v>
      </c>
      <c r="B1" s="4" t="s">
        <v>26</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265</v>
      </c>
      <c r="B7" s="19" t="s">
        <v>266</v>
      </c>
      <c r="C7" s="15" t="s">
        <v>267</v>
      </c>
      <c r="D7" s="15" t="s">
        <v>268</v>
      </c>
      <c r="E7" s="20">
        <v>7487</v>
      </c>
      <c r="F7" s="21">
        <v>153.82040000000001</v>
      </c>
      <c r="G7" s="22">
        <v>0.1046</v>
      </c>
      <c r="H7" s="40"/>
      <c r="I7" s="24"/>
      <c r="J7" s="5"/>
    </row>
    <row r="8" spans="1:10" ht="13.05" customHeight="1">
      <c r="A8" s="18" t="s">
        <v>277</v>
      </c>
      <c r="B8" s="19" t="s">
        <v>278</v>
      </c>
      <c r="C8" s="15" t="s">
        <v>279</v>
      </c>
      <c r="D8" s="15" t="s">
        <v>280</v>
      </c>
      <c r="E8" s="20">
        <v>36232</v>
      </c>
      <c r="F8" s="21">
        <v>152.30119999999999</v>
      </c>
      <c r="G8" s="22">
        <v>0.10349999999999999</v>
      </c>
      <c r="H8" s="40"/>
      <c r="I8" s="24"/>
      <c r="J8" s="5"/>
    </row>
    <row r="9" spans="1:10" ht="13.05" customHeight="1">
      <c r="A9" s="18" t="s">
        <v>293</v>
      </c>
      <c r="B9" s="19" t="s">
        <v>294</v>
      </c>
      <c r="C9" s="15" t="s">
        <v>295</v>
      </c>
      <c r="D9" s="15" t="s">
        <v>296</v>
      </c>
      <c r="E9" s="20">
        <v>3666</v>
      </c>
      <c r="F9" s="21">
        <v>127.8408</v>
      </c>
      <c r="G9" s="22">
        <v>8.6900000000000005E-2</v>
      </c>
      <c r="H9" s="40"/>
      <c r="I9" s="24"/>
      <c r="J9" s="5"/>
    </row>
    <row r="10" spans="1:10" ht="13.05" customHeight="1">
      <c r="A10" s="18" t="s">
        <v>301</v>
      </c>
      <c r="B10" s="19" t="s">
        <v>302</v>
      </c>
      <c r="C10" s="15" t="s">
        <v>303</v>
      </c>
      <c r="D10" s="15" t="s">
        <v>304</v>
      </c>
      <c r="E10" s="20">
        <v>28801</v>
      </c>
      <c r="F10" s="21">
        <v>91.515199999999993</v>
      </c>
      <c r="G10" s="22">
        <v>6.2199999999999998E-2</v>
      </c>
      <c r="H10" s="40"/>
      <c r="I10" s="24"/>
      <c r="J10" s="5"/>
    </row>
    <row r="11" spans="1:10" ht="13.05" customHeight="1">
      <c r="A11" s="18" t="s">
        <v>305</v>
      </c>
      <c r="B11" s="19" t="s">
        <v>306</v>
      </c>
      <c r="C11" s="15" t="s">
        <v>307</v>
      </c>
      <c r="D11" s="15" t="s">
        <v>280</v>
      </c>
      <c r="E11" s="20">
        <v>3671</v>
      </c>
      <c r="F11" s="21">
        <v>90.508499999999998</v>
      </c>
      <c r="G11" s="22">
        <v>6.1499999999999999E-2</v>
      </c>
      <c r="H11" s="40"/>
      <c r="I11" s="24"/>
      <c r="J11" s="5"/>
    </row>
    <row r="12" spans="1:10" ht="13.05" customHeight="1">
      <c r="A12" s="18" t="s">
        <v>308</v>
      </c>
      <c r="B12" s="19" t="s">
        <v>309</v>
      </c>
      <c r="C12" s="15" t="s">
        <v>310</v>
      </c>
      <c r="D12" s="15" t="s">
        <v>296</v>
      </c>
      <c r="E12" s="20">
        <v>543</v>
      </c>
      <c r="F12" s="21">
        <v>87.89</v>
      </c>
      <c r="G12" s="22">
        <v>5.9799999999999999E-2</v>
      </c>
      <c r="H12" s="40"/>
      <c r="I12" s="24"/>
      <c r="J12" s="5"/>
    </row>
    <row r="13" spans="1:10" ht="13.05" customHeight="1">
      <c r="A13" s="18" t="s">
        <v>322</v>
      </c>
      <c r="B13" s="19" t="s">
        <v>323</v>
      </c>
      <c r="C13" s="15" t="s">
        <v>324</v>
      </c>
      <c r="D13" s="15" t="s">
        <v>325</v>
      </c>
      <c r="E13" s="20">
        <v>1707</v>
      </c>
      <c r="F13" s="21">
        <v>63.956200000000003</v>
      </c>
      <c r="G13" s="22">
        <v>4.3499999999999997E-2</v>
      </c>
      <c r="H13" s="40"/>
      <c r="I13" s="24"/>
      <c r="J13" s="5"/>
    </row>
    <row r="14" spans="1:10" ht="13.05" customHeight="1">
      <c r="A14" s="18" t="s">
        <v>345</v>
      </c>
      <c r="B14" s="19" t="s">
        <v>346</v>
      </c>
      <c r="C14" s="15" t="s">
        <v>347</v>
      </c>
      <c r="D14" s="15" t="s">
        <v>348</v>
      </c>
      <c r="E14" s="20">
        <v>899</v>
      </c>
      <c r="F14" s="21">
        <v>50.568800000000003</v>
      </c>
      <c r="G14" s="22">
        <v>3.44E-2</v>
      </c>
      <c r="H14" s="40"/>
      <c r="I14" s="24"/>
      <c r="J14" s="5"/>
    </row>
    <row r="15" spans="1:10" ht="13.05" customHeight="1">
      <c r="A15" s="18" t="s">
        <v>352</v>
      </c>
      <c r="B15" s="19" t="s">
        <v>353</v>
      </c>
      <c r="C15" s="15" t="s">
        <v>354</v>
      </c>
      <c r="D15" s="15" t="s">
        <v>325</v>
      </c>
      <c r="E15" s="20">
        <v>1871</v>
      </c>
      <c r="F15" s="21">
        <v>46.9771</v>
      </c>
      <c r="G15" s="22">
        <v>3.1899999999999998E-2</v>
      </c>
      <c r="H15" s="40"/>
      <c r="I15" s="24"/>
      <c r="J15" s="5"/>
    </row>
    <row r="16" spans="1:10" ht="13.05" customHeight="1">
      <c r="A16" s="18" t="s">
        <v>368</v>
      </c>
      <c r="B16" s="19" t="s">
        <v>369</v>
      </c>
      <c r="C16" s="15" t="s">
        <v>370</v>
      </c>
      <c r="D16" s="15" t="s">
        <v>304</v>
      </c>
      <c r="E16" s="20">
        <v>918</v>
      </c>
      <c r="F16" s="21">
        <v>43.093699999999998</v>
      </c>
      <c r="G16" s="22">
        <v>2.93E-2</v>
      </c>
      <c r="H16" s="40"/>
      <c r="I16" s="24"/>
      <c r="J16" s="5"/>
    </row>
    <row r="17" spans="1:10" ht="13.05" customHeight="1">
      <c r="A17" s="18" t="s">
        <v>382</v>
      </c>
      <c r="B17" s="19" t="s">
        <v>383</v>
      </c>
      <c r="C17" s="15" t="s">
        <v>384</v>
      </c>
      <c r="D17" s="15" t="s">
        <v>296</v>
      </c>
      <c r="E17" s="20">
        <v>458</v>
      </c>
      <c r="F17" s="21">
        <v>40.727699999999999</v>
      </c>
      <c r="G17" s="22">
        <v>2.7699999999999999E-2</v>
      </c>
      <c r="H17" s="40"/>
      <c r="I17" s="24"/>
      <c r="J17" s="5"/>
    </row>
    <row r="18" spans="1:10" ht="13.05" customHeight="1">
      <c r="A18" s="18" t="s">
        <v>385</v>
      </c>
      <c r="B18" s="19" t="s">
        <v>386</v>
      </c>
      <c r="C18" s="15" t="s">
        <v>387</v>
      </c>
      <c r="D18" s="15" t="s">
        <v>296</v>
      </c>
      <c r="E18" s="20">
        <v>569</v>
      </c>
      <c r="F18" s="21">
        <v>39.869799999999998</v>
      </c>
      <c r="G18" s="22">
        <v>2.7099999999999999E-2</v>
      </c>
      <c r="H18" s="40"/>
      <c r="I18" s="24"/>
      <c r="J18" s="5"/>
    </row>
    <row r="19" spans="1:10" ht="13.05" customHeight="1">
      <c r="A19" s="18" t="s">
        <v>388</v>
      </c>
      <c r="B19" s="19" t="s">
        <v>389</v>
      </c>
      <c r="C19" s="15" t="s">
        <v>390</v>
      </c>
      <c r="D19" s="15" t="s">
        <v>391</v>
      </c>
      <c r="E19" s="20">
        <v>2966</v>
      </c>
      <c r="F19" s="21">
        <v>37.715699999999998</v>
      </c>
      <c r="G19" s="22">
        <v>2.5600000000000001E-2</v>
      </c>
      <c r="H19" s="40"/>
      <c r="I19" s="24"/>
      <c r="J19" s="5"/>
    </row>
    <row r="20" spans="1:10" ht="13.05" customHeight="1">
      <c r="A20" s="18" t="s">
        <v>412</v>
      </c>
      <c r="B20" s="19" t="s">
        <v>413</v>
      </c>
      <c r="C20" s="15" t="s">
        <v>414</v>
      </c>
      <c r="D20" s="15" t="s">
        <v>415</v>
      </c>
      <c r="E20" s="20">
        <v>3074</v>
      </c>
      <c r="F20" s="21">
        <v>35.2834</v>
      </c>
      <c r="G20" s="22">
        <v>2.4E-2</v>
      </c>
      <c r="H20" s="40"/>
      <c r="I20" s="24"/>
      <c r="J20" s="5"/>
    </row>
    <row r="21" spans="1:10" ht="13.05" customHeight="1">
      <c r="A21" s="18" t="s">
        <v>423</v>
      </c>
      <c r="B21" s="19" t="s">
        <v>424</v>
      </c>
      <c r="C21" s="15" t="s">
        <v>425</v>
      </c>
      <c r="D21" s="15" t="s">
        <v>296</v>
      </c>
      <c r="E21" s="20">
        <v>971</v>
      </c>
      <c r="F21" s="21">
        <v>34.069499999999998</v>
      </c>
      <c r="G21" s="22">
        <v>2.3199999999999998E-2</v>
      </c>
      <c r="H21" s="40"/>
      <c r="I21" s="24"/>
      <c r="J21" s="5"/>
    </row>
    <row r="22" spans="1:10" ht="13.05" customHeight="1">
      <c r="A22" s="18" t="s">
        <v>429</v>
      </c>
      <c r="B22" s="19" t="s">
        <v>430</v>
      </c>
      <c r="C22" s="15" t="s">
        <v>431</v>
      </c>
      <c r="D22" s="15" t="s">
        <v>415</v>
      </c>
      <c r="E22" s="20">
        <v>418</v>
      </c>
      <c r="F22" s="21">
        <v>32.1066</v>
      </c>
      <c r="G22" s="22">
        <v>2.18E-2</v>
      </c>
      <c r="H22" s="40"/>
      <c r="I22" s="24"/>
      <c r="J22" s="5"/>
    </row>
    <row r="23" spans="1:10" ht="13.05" customHeight="1">
      <c r="A23" s="18" t="s">
        <v>432</v>
      </c>
      <c r="B23" s="19" t="s">
        <v>433</v>
      </c>
      <c r="C23" s="15" t="s">
        <v>434</v>
      </c>
      <c r="D23" s="15" t="s">
        <v>435</v>
      </c>
      <c r="E23" s="20">
        <v>2693</v>
      </c>
      <c r="F23" s="21">
        <v>31.3735</v>
      </c>
      <c r="G23" s="22">
        <v>2.1299999999999999E-2</v>
      </c>
      <c r="H23" s="40"/>
      <c r="I23" s="24"/>
      <c r="J23" s="5"/>
    </row>
    <row r="24" spans="1:10" ht="13.05" customHeight="1">
      <c r="A24" s="18" t="s">
        <v>439</v>
      </c>
      <c r="B24" s="19" t="s">
        <v>440</v>
      </c>
      <c r="C24" s="15" t="s">
        <v>441</v>
      </c>
      <c r="D24" s="15" t="s">
        <v>296</v>
      </c>
      <c r="E24" s="20">
        <v>537</v>
      </c>
      <c r="F24" s="21">
        <v>29.7713</v>
      </c>
      <c r="G24" s="22">
        <v>2.0199999999999999E-2</v>
      </c>
      <c r="H24" s="40"/>
      <c r="I24" s="24"/>
      <c r="J24" s="5"/>
    </row>
    <row r="25" spans="1:10" ht="13.05" customHeight="1">
      <c r="A25" s="18" t="s">
        <v>452</v>
      </c>
      <c r="B25" s="19" t="s">
        <v>453</v>
      </c>
      <c r="C25" s="15" t="s">
        <v>454</v>
      </c>
      <c r="D25" s="15" t="s">
        <v>391</v>
      </c>
      <c r="E25" s="20">
        <v>488</v>
      </c>
      <c r="F25" s="21">
        <v>28.482099999999999</v>
      </c>
      <c r="G25" s="22">
        <v>1.9400000000000001E-2</v>
      </c>
      <c r="H25" s="40"/>
      <c r="I25" s="24"/>
      <c r="J25" s="5"/>
    </row>
    <row r="26" spans="1:10" ht="13.05" customHeight="1">
      <c r="A26" s="18" t="s">
        <v>458</v>
      </c>
      <c r="B26" s="19" t="s">
        <v>459</v>
      </c>
      <c r="C26" s="15" t="s">
        <v>460</v>
      </c>
      <c r="D26" s="15" t="s">
        <v>321</v>
      </c>
      <c r="E26" s="20">
        <v>6945</v>
      </c>
      <c r="F26" s="21">
        <v>28.1203</v>
      </c>
      <c r="G26" s="22">
        <v>1.9099999999999999E-2</v>
      </c>
      <c r="H26" s="40"/>
      <c r="I26" s="24"/>
      <c r="J26" s="5"/>
    </row>
    <row r="27" spans="1:10" ht="13.05" customHeight="1">
      <c r="A27" s="18" t="s">
        <v>461</v>
      </c>
      <c r="B27" s="19" t="s">
        <v>462</v>
      </c>
      <c r="C27" s="15" t="s">
        <v>463</v>
      </c>
      <c r="D27" s="15" t="s">
        <v>464</v>
      </c>
      <c r="E27" s="20">
        <v>3633</v>
      </c>
      <c r="F27" s="21">
        <v>26.9496</v>
      </c>
      <c r="G27" s="22">
        <v>1.83E-2</v>
      </c>
      <c r="H27" s="40"/>
      <c r="I27" s="24"/>
      <c r="J27" s="5"/>
    </row>
    <row r="28" spans="1:10" ht="13.05" customHeight="1">
      <c r="A28" s="18" t="s">
        <v>472</v>
      </c>
      <c r="B28" s="19" t="s">
        <v>473</v>
      </c>
      <c r="C28" s="15" t="s">
        <v>474</v>
      </c>
      <c r="D28" s="15" t="s">
        <v>475</v>
      </c>
      <c r="E28" s="20">
        <v>5604</v>
      </c>
      <c r="F28" s="21">
        <v>26.319199999999999</v>
      </c>
      <c r="G28" s="22">
        <v>1.7899999999999999E-2</v>
      </c>
      <c r="H28" s="40"/>
      <c r="I28" s="24"/>
      <c r="J28" s="5"/>
    </row>
    <row r="29" spans="1:10" ht="13.05" customHeight="1">
      <c r="A29" s="18" t="s">
        <v>476</v>
      </c>
      <c r="B29" s="19" t="s">
        <v>477</v>
      </c>
      <c r="C29" s="15" t="s">
        <v>478</v>
      </c>
      <c r="D29" s="15" t="s">
        <v>325</v>
      </c>
      <c r="E29" s="20">
        <v>166</v>
      </c>
      <c r="F29" s="21">
        <v>25.72</v>
      </c>
      <c r="G29" s="22">
        <v>1.7500000000000002E-2</v>
      </c>
      <c r="H29" s="40"/>
      <c r="I29" s="24"/>
      <c r="J29" s="5"/>
    </row>
    <row r="30" spans="1:10" ht="13.05" customHeight="1">
      <c r="A30" s="18" t="s">
        <v>479</v>
      </c>
      <c r="B30" s="19" t="s">
        <v>480</v>
      </c>
      <c r="C30" s="15" t="s">
        <v>481</v>
      </c>
      <c r="D30" s="15" t="s">
        <v>321</v>
      </c>
      <c r="E30" s="20">
        <v>16283</v>
      </c>
      <c r="F30" s="21">
        <v>25.7027</v>
      </c>
      <c r="G30" s="22">
        <v>1.7500000000000002E-2</v>
      </c>
      <c r="H30" s="40"/>
      <c r="I30" s="24"/>
      <c r="J30" s="5"/>
    </row>
    <row r="31" spans="1:10" ht="13.05" customHeight="1">
      <c r="A31" s="18" t="s">
        <v>485</v>
      </c>
      <c r="B31" s="19" t="s">
        <v>486</v>
      </c>
      <c r="C31" s="15" t="s">
        <v>487</v>
      </c>
      <c r="D31" s="15" t="s">
        <v>304</v>
      </c>
      <c r="E31" s="20">
        <v>609</v>
      </c>
      <c r="F31" s="21">
        <v>25.294799999999999</v>
      </c>
      <c r="G31" s="22">
        <v>1.72E-2</v>
      </c>
      <c r="H31" s="40"/>
      <c r="I31" s="24"/>
      <c r="J31" s="5"/>
    </row>
    <row r="32" spans="1:10" ht="13.05" customHeight="1">
      <c r="A32" s="18" t="s">
        <v>523</v>
      </c>
      <c r="B32" s="19" t="s">
        <v>524</v>
      </c>
      <c r="C32" s="15" t="s">
        <v>525</v>
      </c>
      <c r="D32" s="15" t="s">
        <v>304</v>
      </c>
      <c r="E32" s="20">
        <v>1607</v>
      </c>
      <c r="F32" s="21">
        <v>22.1493</v>
      </c>
      <c r="G32" s="22">
        <v>1.5100000000000001E-2</v>
      </c>
      <c r="H32" s="40"/>
      <c r="I32" s="24"/>
      <c r="J32" s="5"/>
    </row>
    <row r="33" spans="1:10" ht="13.05" customHeight="1">
      <c r="A33" s="18" t="s">
        <v>538</v>
      </c>
      <c r="B33" s="19" t="s">
        <v>539</v>
      </c>
      <c r="C33" s="15" t="s">
        <v>540</v>
      </c>
      <c r="D33" s="15" t="s">
        <v>541</v>
      </c>
      <c r="E33" s="20">
        <v>2654</v>
      </c>
      <c r="F33" s="21">
        <v>20.070900000000002</v>
      </c>
      <c r="G33" s="22">
        <v>1.3599999999999999E-2</v>
      </c>
      <c r="H33" s="40"/>
      <c r="I33" s="24"/>
      <c r="J33" s="5"/>
    </row>
    <row r="34" spans="1:10" ht="13.05" customHeight="1">
      <c r="A34" s="18" t="s">
        <v>574</v>
      </c>
      <c r="B34" s="19" t="s">
        <v>575</v>
      </c>
      <c r="C34" s="15" t="s">
        <v>576</v>
      </c>
      <c r="D34" s="15" t="s">
        <v>577</v>
      </c>
      <c r="E34" s="20">
        <v>1663</v>
      </c>
      <c r="F34" s="21">
        <v>18.6023</v>
      </c>
      <c r="G34" s="22">
        <v>1.26E-2</v>
      </c>
      <c r="H34" s="40"/>
      <c r="I34" s="24"/>
      <c r="J34" s="5"/>
    </row>
    <row r="35" spans="1:10" ht="13.05" customHeight="1">
      <c r="A35" s="18" t="s">
        <v>591</v>
      </c>
      <c r="B35" s="19" t="s">
        <v>592</v>
      </c>
      <c r="C35" s="15" t="s">
        <v>593</v>
      </c>
      <c r="D35" s="15" t="s">
        <v>475</v>
      </c>
      <c r="E35" s="20">
        <v>1221</v>
      </c>
      <c r="F35" s="21">
        <v>17.477399999999999</v>
      </c>
      <c r="G35" s="22">
        <v>1.1900000000000001E-2</v>
      </c>
      <c r="H35" s="40"/>
      <c r="I35" s="24"/>
      <c r="J35" s="5"/>
    </row>
    <row r="36" spans="1:10" ht="13.05" customHeight="1">
      <c r="A36" s="18" t="s">
        <v>619</v>
      </c>
      <c r="B36" s="19" t="s">
        <v>620</v>
      </c>
      <c r="C36" s="15" t="s">
        <v>621</v>
      </c>
      <c r="D36" s="15" t="s">
        <v>325</v>
      </c>
      <c r="E36" s="20">
        <v>1043</v>
      </c>
      <c r="F36" s="21">
        <v>15.5814</v>
      </c>
      <c r="G36" s="22">
        <v>1.06E-2</v>
      </c>
      <c r="H36" s="40"/>
      <c r="I36" s="24"/>
      <c r="J36" s="5"/>
    </row>
    <row r="37" spans="1:10" ht="13.05" customHeight="1">
      <c r="A37" s="5"/>
      <c r="B37" s="14" t="s">
        <v>192</v>
      </c>
      <c r="C37" s="15"/>
      <c r="D37" s="15"/>
      <c r="E37" s="15"/>
      <c r="F37" s="25">
        <v>1469.8589999999999</v>
      </c>
      <c r="G37" s="26">
        <v>0.99929999999999997</v>
      </c>
      <c r="H37" s="27"/>
      <c r="I37" s="28"/>
      <c r="J37" s="5"/>
    </row>
    <row r="38" spans="1:10" ht="13.05" customHeight="1">
      <c r="A38" s="5"/>
      <c r="B38" s="29" t="s">
        <v>1812</v>
      </c>
      <c r="C38" s="2"/>
      <c r="D38" s="2"/>
      <c r="E38" s="2"/>
      <c r="F38" s="27" t="s">
        <v>194</v>
      </c>
      <c r="G38" s="27" t="s">
        <v>194</v>
      </c>
      <c r="H38" s="27"/>
      <c r="I38" s="28"/>
      <c r="J38" s="5"/>
    </row>
    <row r="39" spans="1:10" ht="13.05" customHeight="1">
      <c r="A39" s="5"/>
      <c r="B39" s="29" t="s">
        <v>192</v>
      </c>
      <c r="C39" s="2"/>
      <c r="D39" s="2"/>
      <c r="E39" s="2"/>
      <c r="F39" s="27" t="s">
        <v>194</v>
      </c>
      <c r="G39" s="27" t="s">
        <v>194</v>
      </c>
      <c r="H39" s="27"/>
      <c r="I39" s="28"/>
      <c r="J39" s="5"/>
    </row>
    <row r="40" spans="1:10" ht="13.05" customHeight="1">
      <c r="A40" s="5"/>
      <c r="B40" s="14" t="s">
        <v>1813</v>
      </c>
      <c r="C40" s="15"/>
      <c r="D40" s="15"/>
      <c r="E40" s="15"/>
      <c r="F40" s="5"/>
      <c r="G40" s="16"/>
      <c r="H40" s="16"/>
      <c r="I40" s="17"/>
      <c r="J40" s="5"/>
    </row>
    <row r="41" spans="1:10" ht="13.05" customHeight="1">
      <c r="A41" s="18" t="s">
        <v>1814</v>
      </c>
      <c r="B41" s="19" t="s">
        <v>5526</v>
      </c>
      <c r="C41" s="15" t="s">
        <v>1815</v>
      </c>
      <c r="D41" s="15" t="s">
        <v>296</v>
      </c>
      <c r="E41" s="20">
        <v>4024</v>
      </c>
      <c r="F41" s="21">
        <v>0.40610000000000002</v>
      </c>
      <c r="G41" s="22">
        <v>2.9999999999999997E-4</v>
      </c>
      <c r="H41" s="40"/>
      <c r="I41" s="24"/>
      <c r="J41" s="5"/>
    </row>
    <row r="42" spans="1:10" ht="13.05" customHeight="1">
      <c r="A42" s="5"/>
      <c r="B42" s="14" t="s">
        <v>192</v>
      </c>
      <c r="C42" s="15"/>
      <c r="D42" s="15"/>
      <c r="E42" s="15"/>
      <c r="F42" s="25">
        <v>0.40610000000000002</v>
      </c>
      <c r="G42" s="26">
        <v>2.9999999999999997E-4</v>
      </c>
      <c r="H42" s="27"/>
      <c r="I42" s="28"/>
      <c r="J42" s="5"/>
    </row>
    <row r="43" spans="1:10" ht="13.05" customHeight="1">
      <c r="A43" s="5"/>
      <c r="B43" s="29" t="s">
        <v>195</v>
      </c>
      <c r="C43" s="30"/>
      <c r="D43" s="2"/>
      <c r="E43" s="30"/>
      <c r="F43" s="25">
        <v>1470.2651000000001</v>
      </c>
      <c r="G43" s="26">
        <v>0.99950000000000006</v>
      </c>
      <c r="H43" s="27"/>
      <c r="I43" s="28"/>
      <c r="J43" s="5"/>
    </row>
    <row r="44" spans="1:10" ht="13.05" customHeight="1">
      <c r="A44" s="5"/>
      <c r="B44" s="14" t="s">
        <v>196</v>
      </c>
      <c r="C44" s="15"/>
      <c r="D44" s="15"/>
      <c r="E44" s="15"/>
      <c r="F44" s="15"/>
      <c r="G44" s="15"/>
      <c r="H44" s="16"/>
      <c r="I44" s="17"/>
      <c r="J44" s="5"/>
    </row>
    <row r="45" spans="1:10" ht="13.05" customHeight="1">
      <c r="A45" s="18" t="s">
        <v>197</v>
      </c>
      <c r="B45" s="19" t="s">
        <v>198</v>
      </c>
      <c r="C45" s="15"/>
      <c r="D45" s="15"/>
      <c r="E45" s="20"/>
      <c r="F45" s="21">
        <v>1.2996000000000001</v>
      </c>
      <c r="G45" s="22">
        <v>8.9999999999999998E-4</v>
      </c>
      <c r="H45" s="23">
        <v>5.5567106922725172E-2</v>
      </c>
      <c r="I45" s="24"/>
      <c r="J45" s="5"/>
    </row>
    <row r="46" spans="1:10" ht="13.05" customHeight="1">
      <c r="A46" s="5"/>
      <c r="B46" s="14" t="s">
        <v>192</v>
      </c>
      <c r="C46" s="15"/>
      <c r="D46" s="15"/>
      <c r="E46" s="15"/>
      <c r="F46" s="25">
        <v>1.2996000000000001</v>
      </c>
      <c r="G46" s="26">
        <v>8.9999999999999998E-4</v>
      </c>
      <c r="H46" s="27"/>
      <c r="I46" s="28"/>
      <c r="J46" s="5"/>
    </row>
    <row r="47" spans="1:10" ht="13.05" customHeight="1">
      <c r="A47" s="5"/>
      <c r="B47" s="29" t="s">
        <v>195</v>
      </c>
      <c r="C47" s="30"/>
      <c r="D47" s="2"/>
      <c r="E47" s="30"/>
      <c r="F47" s="25">
        <v>1.2996000000000001</v>
      </c>
      <c r="G47" s="26">
        <v>8.9999999999999998E-4</v>
      </c>
      <c r="H47" s="27"/>
      <c r="I47" s="28"/>
      <c r="J47" s="5"/>
    </row>
    <row r="48" spans="1:10" ht="13.05" customHeight="1">
      <c r="A48" s="5"/>
      <c r="B48" s="29" t="s">
        <v>199</v>
      </c>
      <c r="C48" s="15"/>
      <c r="D48" s="2"/>
      <c r="E48" s="15"/>
      <c r="F48" s="31">
        <v>-0.62470000000000003</v>
      </c>
      <c r="G48" s="26">
        <v>-4.0000000000000002E-4</v>
      </c>
      <c r="H48" s="27"/>
      <c r="I48" s="28"/>
      <c r="J48" s="5"/>
    </row>
    <row r="49" spans="1:10" ht="13.05" customHeight="1">
      <c r="A49" s="5"/>
      <c r="B49" s="32" t="s">
        <v>200</v>
      </c>
      <c r="C49" s="33"/>
      <c r="D49" s="33"/>
      <c r="E49" s="33"/>
      <c r="F49" s="34">
        <v>1470.94</v>
      </c>
      <c r="G49" s="35">
        <v>1</v>
      </c>
      <c r="H49" s="36"/>
      <c r="I49" s="37"/>
      <c r="J49" s="5"/>
    </row>
    <row r="50" spans="1:10" ht="13.05" customHeight="1">
      <c r="A50" s="5"/>
      <c r="B50" s="7"/>
      <c r="C50" s="5"/>
      <c r="D50" s="5"/>
      <c r="E50" s="5"/>
      <c r="F50" s="5"/>
      <c r="G50" s="5"/>
      <c r="H50" s="5"/>
      <c r="I50" s="5"/>
      <c r="J50" s="5"/>
    </row>
    <row r="51" spans="1:10" ht="13.05" customHeight="1">
      <c r="A51" s="5"/>
      <c r="B51" s="4" t="s">
        <v>250</v>
      </c>
      <c r="C51" s="5"/>
      <c r="D51" s="5"/>
      <c r="E51" s="5"/>
      <c r="F51" s="5"/>
      <c r="G51" s="5"/>
      <c r="H51" s="5"/>
      <c r="I51" s="5"/>
      <c r="J51" s="5"/>
    </row>
    <row r="52" spans="1:10" ht="13.05" customHeight="1">
      <c r="A52" s="5"/>
      <c r="B52" s="4" t="s">
        <v>201</v>
      </c>
      <c r="C52" s="5"/>
      <c r="D52" s="5"/>
      <c r="E52" s="5"/>
      <c r="F52" s="5"/>
      <c r="G52" s="5"/>
      <c r="H52" s="5"/>
      <c r="I52" s="5"/>
      <c r="J52" s="5"/>
    </row>
    <row r="53" spans="1:10" ht="25.95" customHeight="1">
      <c r="A53" s="5"/>
      <c r="B53" s="103" t="s">
        <v>202</v>
      </c>
      <c r="C53" s="103"/>
      <c r="D53" s="103"/>
      <c r="E53" s="103"/>
      <c r="F53" s="103"/>
      <c r="G53" s="103"/>
      <c r="H53" s="103"/>
      <c r="I53" s="103"/>
      <c r="J53" s="5"/>
    </row>
    <row r="54" spans="1:10" ht="13.05" customHeight="1">
      <c r="A54" s="5"/>
      <c r="B54" s="103" t="s">
        <v>203</v>
      </c>
      <c r="C54" s="103"/>
      <c r="D54" s="103"/>
      <c r="E54" s="103"/>
      <c r="F54" s="103"/>
      <c r="G54" s="103"/>
      <c r="H54" s="103"/>
      <c r="I54" s="103"/>
      <c r="J54" s="5"/>
    </row>
    <row r="55" spans="1:10" ht="13.05" customHeight="1">
      <c r="A55" s="5"/>
      <c r="B55" s="103"/>
      <c r="C55" s="103"/>
      <c r="D55" s="103"/>
      <c r="E55" s="103"/>
      <c r="F55" s="103"/>
      <c r="G55" s="103"/>
      <c r="H55" s="103"/>
      <c r="I55" s="103"/>
      <c r="J55" s="5"/>
    </row>
    <row r="56" spans="1:10" ht="13.05" customHeight="1">
      <c r="A56" s="5"/>
      <c r="B56" s="103"/>
      <c r="C56" s="103"/>
      <c r="D56" s="103"/>
      <c r="E56" s="103"/>
      <c r="F56" s="103"/>
      <c r="G56" s="103"/>
      <c r="H56" s="103"/>
      <c r="I56" s="103"/>
      <c r="J56" s="5"/>
    </row>
    <row r="57" spans="1:10" ht="13.05" customHeight="1">
      <c r="A57" s="5"/>
      <c r="B57" s="103"/>
      <c r="C57" s="103"/>
      <c r="D57" s="103"/>
      <c r="E57" s="103"/>
      <c r="F57" s="103"/>
      <c r="G57" s="103"/>
      <c r="H57" s="103"/>
      <c r="I57" s="103"/>
      <c r="J57" s="5"/>
    </row>
    <row r="58" spans="1:10" ht="13.05" customHeight="1">
      <c r="A58" s="5"/>
      <c r="B58" s="103"/>
      <c r="C58" s="103"/>
      <c r="D58" s="103"/>
      <c r="E58" s="103"/>
      <c r="F58" s="103"/>
      <c r="G58" s="103"/>
      <c r="H58" s="103"/>
      <c r="I58" s="103"/>
      <c r="J58" s="5"/>
    </row>
    <row r="59" spans="1:10" ht="13.05" customHeight="1">
      <c r="A59" s="5"/>
      <c r="B59" s="5"/>
      <c r="C59" s="104" t="s">
        <v>2408</v>
      </c>
      <c r="D59" s="104"/>
      <c r="E59" s="104"/>
      <c r="F59" s="104"/>
      <c r="G59" s="5"/>
      <c r="H59" s="5"/>
      <c r="I59" s="5"/>
      <c r="J59" s="5"/>
    </row>
    <row r="60" spans="1:10" ht="13.05" customHeight="1">
      <c r="A60" s="5"/>
      <c r="B60" s="38" t="s">
        <v>207</v>
      </c>
      <c r="C60" s="104" t="s">
        <v>208</v>
      </c>
      <c r="D60" s="104"/>
      <c r="E60" s="104"/>
      <c r="F60" s="104"/>
      <c r="G60" s="5"/>
      <c r="H60" s="5"/>
      <c r="I60" s="5"/>
      <c r="J60" s="5"/>
    </row>
    <row r="61" spans="1:10" ht="135" customHeight="1">
      <c r="A61" s="5"/>
      <c r="B61" s="39"/>
      <c r="C61" s="105"/>
      <c r="D61" s="105"/>
      <c r="E61" s="5"/>
      <c r="F61" s="5"/>
      <c r="G61" s="5"/>
      <c r="H61" s="5"/>
      <c r="I61" s="5"/>
      <c r="J61" s="5"/>
    </row>
  </sheetData>
  <mergeCells count="9">
    <mergeCell ref="B58:I58"/>
    <mergeCell ref="C59:F59"/>
    <mergeCell ref="C60:F60"/>
    <mergeCell ref="C61:D61"/>
    <mergeCell ref="B53:I53"/>
    <mergeCell ref="B54:I54"/>
    <mergeCell ref="B55:I55"/>
    <mergeCell ref="B56:I56"/>
    <mergeCell ref="B57:I57"/>
  </mergeCells>
  <hyperlinks>
    <hyperlink ref="A1" location="AxisNIFTYIndiaConsumptionETF" display="AXISCETF" xr:uid="{00000000-0004-0000-0B00-000000000000}"/>
    <hyperlink ref="B1" location="AxisNIFTYIndiaConsumptionETF" display="Axis NIFTY India Consumption ETF" xr:uid="{00000000-0004-0000-0B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J42"/>
  <sheetViews>
    <sheetView topLeftCell="A23" workbookViewId="0">
      <selection activeCell="B37" sqref="B37:F37"/>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27</v>
      </c>
      <c r="B1" s="4" t="s">
        <v>28</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2409</v>
      </c>
      <c r="B7" s="19" t="s">
        <v>2410</v>
      </c>
      <c r="C7" s="15" t="s">
        <v>2411</v>
      </c>
      <c r="D7" s="15" t="s">
        <v>213</v>
      </c>
      <c r="E7" s="20">
        <v>30</v>
      </c>
      <c r="F7" s="21">
        <v>302.25839999999999</v>
      </c>
      <c r="G7" s="22">
        <v>0.13120000000000001</v>
      </c>
      <c r="H7" s="23">
        <v>7.1849999999999997E-2</v>
      </c>
      <c r="I7" s="24"/>
      <c r="J7" s="5"/>
    </row>
    <row r="8" spans="1:10" ht="13.05" customHeight="1">
      <c r="A8" s="18" t="s">
        <v>1964</v>
      </c>
      <c r="B8" s="19" t="s">
        <v>1965</v>
      </c>
      <c r="C8" s="15" t="s">
        <v>1966</v>
      </c>
      <c r="D8" s="15" t="s">
        <v>1923</v>
      </c>
      <c r="E8" s="20">
        <v>250</v>
      </c>
      <c r="F8" s="21">
        <v>254.56780000000001</v>
      </c>
      <c r="G8" s="22">
        <v>0.1105</v>
      </c>
      <c r="H8" s="23">
        <v>6.6400000000000001E-2</v>
      </c>
      <c r="I8" s="24"/>
      <c r="J8" s="5"/>
    </row>
    <row r="9" spans="1:10" ht="13.05" customHeight="1">
      <c r="A9" s="18" t="s">
        <v>2222</v>
      </c>
      <c r="B9" s="19" t="s">
        <v>2223</v>
      </c>
      <c r="C9" s="15" t="s">
        <v>2224</v>
      </c>
      <c r="D9" s="15" t="s">
        <v>213</v>
      </c>
      <c r="E9" s="20">
        <v>250</v>
      </c>
      <c r="F9" s="21">
        <v>254.30179999999999</v>
      </c>
      <c r="G9" s="22">
        <v>0.1104</v>
      </c>
      <c r="H9" s="23">
        <v>6.7849999999999994E-2</v>
      </c>
      <c r="I9" s="24"/>
      <c r="J9" s="5"/>
    </row>
    <row r="10" spans="1:10" ht="13.05" customHeight="1">
      <c r="A10" s="18" t="s">
        <v>2201</v>
      </c>
      <c r="B10" s="19" t="s">
        <v>2202</v>
      </c>
      <c r="C10" s="15" t="s">
        <v>2203</v>
      </c>
      <c r="D10" s="15" t="s">
        <v>213</v>
      </c>
      <c r="E10" s="20">
        <v>200</v>
      </c>
      <c r="F10" s="21">
        <v>203.6234</v>
      </c>
      <c r="G10" s="22">
        <v>8.8400000000000006E-2</v>
      </c>
      <c r="H10" s="23">
        <v>6.8849999999999995E-2</v>
      </c>
      <c r="I10" s="24"/>
      <c r="J10" s="5"/>
    </row>
    <row r="11" spans="1:10" ht="13.05" customHeight="1">
      <c r="A11" s="18" t="s">
        <v>2412</v>
      </c>
      <c r="B11" s="19" t="s">
        <v>2413</v>
      </c>
      <c r="C11" s="15" t="s">
        <v>2414</v>
      </c>
      <c r="D11" s="15" t="s">
        <v>1957</v>
      </c>
      <c r="E11" s="20">
        <v>20</v>
      </c>
      <c r="F11" s="21">
        <v>202.797</v>
      </c>
      <c r="G11" s="22">
        <v>8.7999999999999995E-2</v>
      </c>
      <c r="H11" s="23">
        <v>7.0349999999999996E-2</v>
      </c>
      <c r="I11" s="24"/>
      <c r="J11" s="5"/>
    </row>
    <row r="12" spans="1:10" ht="13.05" customHeight="1">
      <c r="A12" s="18" t="s">
        <v>2033</v>
      </c>
      <c r="B12" s="19" t="s">
        <v>2034</v>
      </c>
      <c r="C12" s="15" t="s">
        <v>2035</v>
      </c>
      <c r="D12" s="15" t="s">
        <v>213</v>
      </c>
      <c r="E12" s="20">
        <v>20</v>
      </c>
      <c r="F12" s="21">
        <v>202.74520000000001</v>
      </c>
      <c r="G12" s="22">
        <v>8.7999999999999995E-2</v>
      </c>
      <c r="H12" s="23">
        <v>6.9150000000000003E-2</v>
      </c>
      <c r="I12" s="24"/>
      <c r="J12" s="5"/>
    </row>
    <row r="13" spans="1:10" ht="13.05" customHeight="1">
      <c r="A13" s="18" t="s">
        <v>2006</v>
      </c>
      <c r="B13" s="19" t="s">
        <v>2007</v>
      </c>
      <c r="C13" s="15" t="s">
        <v>2008</v>
      </c>
      <c r="D13" s="15" t="s">
        <v>213</v>
      </c>
      <c r="E13" s="20">
        <v>150</v>
      </c>
      <c r="F13" s="21">
        <v>152.53440000000001</v>
      </c>
      <c r="G13" s="22">
        <v>6.6199999999999995E-2</v>
      </c>
      <c r="H13" s="23">
        <v>6.5775E-2</v>
      </c>
      <c r="I13" s="24"/>
      <c r="J13" s="5"/>
    </row>
    <row r="14" spans="1:10" ht="13.05" customHeight="1">
      <c r="A14" s="18" t="s">
        <v>2042</v>
      </c>
      <c r="B14" s="19" t="s">
        <v>2043</v>
      </c>
      <c r="C14" s="15" t="s">
        <v>2044</v>
      </c>
      <c r="D14" s="15" t="s">
        <v>1923</v>
      </c>
      <c r="E14" s="20">
        <v>150</v>
      </c>
      <c r="F14" s="21">
        <v>152.4342</v>
      </c>
      <c r="G14" s="22">
        <v>6.6199999999999995E-2</v>
      </c>
      <c r="H14" s="23">
        <v>6.5699999999999995E-2</v>
      </c>
      <c r="I14" s="24"/>
      <c r="J14" s="5"/>
    </row>
    <row r="15" spans="1:10" ht="13.05" customHeight="1">
      <c r="A15" s="18" t="s">
        <v>2415</v>
      </c>
      <c r="B15" s="19" t="s">
        <v>2416</v>
      </c>
      <c r="C15" s="15" t="s">
        <v>2417</v>
      </c>
      <c r="D15" s="15" t="s">
        <v>213</v>
      </c>
      <c r="E15" s="20">
        <v>100</v>
      </c>
      <c r="F15" s="21">
        <v>101.8563</v>
      </c>
      <c r="G15" s="22">
        <v>4.4200000000000003E-2</v>
      </c>
      <c r="H15" s="23">
        <v>7.0000000000000007E-2</v>
      </c>
      <c r="I15" s="24"/>
      <c r="J15" s="5"/>
    </row>
    <row r="16" spans="1:10" ht="13.05" customHeight="1">
      <c r="A16" s="18" t="s">
        <v>2370</v>
      </c>
      <c r="B16" s="19" t="s">
        <v>2371</v>
      </c>
      <c r="C16" s="15" t="s">
        <v>2372</v>
      </c>
      <c r="D16" s="15" t="s">
        <v>213</v>
      </c>
      <c r="E16" s="20">
        <v>100</v>
      </c>
      <c r="F16" s="21">
        <v>101.70440000000001</v>
      </c>
      <c r="G16" s="22">
        <v>4.4200000000000003E-2</v>
      </c>
      <c r="H16" s="23">
        <v>6.9400000000000003E-2</v>
      </c>
      <c r="I16" s="24"/>
      <c r="J16" s="5"/>
    </row>
    <row r="17" spans="1:10" ht="13.05" customHeight="1">
      <c r="A17" s="18" t="s">
        <v>2168</v>
      </c>
      <c r="B17" s="19" t="s">
        <v>2169</v>
      </c>
      <c r="C17" s="15" t="s">
        <v>2170</v>
      </c>
      <c r="D17" s="15" t="s">
        <v>213</v>
      </c>
      <c r="E17" s="20">
        <v>100</v>
      </c>
      <c r="F17" s="21">
        <v>101.67100000000001</v>
      </c>
      <c r="G17" s="22">
        <v>4.41E-2</v>
      </c>
      <c r="H17" s="23">
        <v>6.6449999999999995E-2</v>
      </c>
      <c r="I17" s="24"/>
      <c r="J17" s="5"/>
    </row>
    <row r="18" spans="1:10" ht="13.05" customHeight="1">
      <c r="A18" s="18" t="s">
        <v>2364</v>
      </c>
      <c r="B18" s="19" t="s">
        <v>2365</v>
      </c>
      <c r="C18" s="15" t="s">
        <v>2366</v>
      </c>
      <c r="D18" s="15" t="s">
        <v>213</v>
      </c>
      <c r="E18" s="20">
        <v>100</v>
      </c>
      <c r="F18" s="21">
        <v>101.6534</v>
      </c>
      <c r="G18" s="22">
        <v>4.41E-2</v>
      </c>
      <c r="H18" s="23">
        <v>7.1400000000000005E-2</v>
      </c>
      <c r="I18" s="24"/>
      <c r="J18" s="5"/>
    </row>
    <row r="19" spans="1:10" ht="13.05" customHeight="1">
      <c r="A19" s="18" t="s">
        <v>2418</v>
      </c>
      <c r="B19" s="19" t="s">
        <v>2419</v>
      </c>
      <c r="C19" s="15" t="s">
        <v>2420</v>
      </c>
      <c r="D19" s="15" t="s">
        <v>213</v>
      </c>
      <c r="E19" s="20">
        <v>10</v>
      </c>
      <c r="F19" s="21">
        <v>100.9359</v>
      </c>
      <c r="G19" s="22">
        <v>4.3799999999999999E-2</v>
      </c>
      <c r="H19" s="23">
        <v>6.5799999999999997E-2</v>
      </c>
      <c r="I19" s="24"/>
      <c r="J19" s="5"/>
    </row>
    <row r="20" spans="1:10" ht="13.05" customHeight="1">
      <c r="A20" s="5"/>
      <c r="B20" s="14" t="s">
        <v>192</v>
      </c>
      <c r="C20" s="15"/>
      <c r="D20" s="15"/>
      <c r="E20" s="15"/>
      <c r="F20" s="25">
        <v>2233.0830999999998</v>
      </c>
      <c r="G20" s="26">
        <v>0.96940000000000004</v>
      </c>
      <c r="H20" s="27"/>
      <c r="I20" s="28"/>
      <c r="J20" s="5"/>
    </row>
    <row r="21" spans="1:10" ht="13.05" customHeight="1">
      <c r="A21" s="5"/>
      <c r="B21" s="29" t="s">
        <v>193</v>
      </c>
      <c r="C21" s="2"/>
      <c r="D21" s="2"/>
      <c r="E21" s="2"/>
      <c r="F21" s="27" t="s">
        <v>194</v>
      </c>
      <c r="G21" s="27" t="s">
        <v>194</v>
      </c>
      <c r="H21" s="27"/>
      <c r="I21" s="28"/>
      <c r="J21" s="5"/>
    </row>
    <row r="22" spans="1:10" ht="13.05" customHeight="1">
      <c r="A22" s="5"/>
      <c r="B22" s="29" t="s">
        <v>192</v>
      </c>
      <c r="C22" s="2"/>
      <c r="D22" s="2"/>
      <c r="E22" s="2"/>
      <c r="F22" s="27" t="s">
        <v>194</v>
      </c>
      <c r="G22" s="27" t="s">
        <v>194</v>
      </c>
      <c r="H22" s="27"/>
      <c r="I22" s="28"/>
      <c r="J22" s="5"/>
    </row>
    <row r="23" spans="1:10" ht="13.05" customHeight="1">
      <c r="A23" s="5"/>
      <c r="B23" s="29" t="s">
        <v>195</v>
      </c>
      <c r="C23" s="30"/>
      <c r="D23" s="2"/>
      <c r="E23" s="30"/>
      <c r="F23" s="25">
        <v>2233.0830999999998</v>
      </c>
      <c r="G23" s="26">
        <v>0.96940000000000004</v>
      </c>
      <c r="H23" s="27"/>
      <c r="I23" s="28"/>
      <c r="J23" s="5"/>
    </row>
    <row r="24" spans="1:10" ht="13.05" customHeight="1">
      <c r="A24" s="5"/>
      <c r="B24" s="14" t="s">
        <v>196</v>
      </c>
      <c r="C24" s="15"/>
      <c r="D24" s="15"/>
      <c r="E24" s="15"/>
      <c r="F24" s="15"/>
      <c r="G24" s="15"/>
      <c r="H24" s="16"/>
      <c r="I24" s="17"/>
      <c r="J24" s="5"/>
    </row>
    <row r="25" spans="1:10" ht="13.05" customHeight="1">
      <c r="A25" s="18" t="s">
        <v>197</v>
      </c>
      <c r="B25" s="19" t="s">
        <v>198</v>
      </c>
      <c r="C25" s="15"/>
      <c r="D25" s="15"/>
      <c r="E25" s="20"/>
      <c r="F25" s="21">
        <v>26.111999999999998</v>
      </c>
      <c r="G25" s="22">
        <v>1.1299999999999999E-2</v>
      </c>
      <c r="H25" s="23">
        <v>5.5573914666693272E-2</v>
      </c>
      <c r="I25" s="24"/>
      <c r="J25" s="5"/>
    </row>
    <row r="26" spans="1:10" ht="13.05" customHeight="1">
      <c r="A26" s="5"/>
      <c r="B26" s="14" t="s">
        <v>192</v>
      </c>
      <c r="C26" s="15"/>
      <c r="D26" s="15"/>
      <c r="E26" s="15"/>
      <c r="F26" s="25">
        <v>26.111999999999998</v>
      </c>
      <c r="G26" s="26">
        <v>1.1299999999999999E-2</v>
      </c>
      <c r="H26" s="27"/>
      <c r="I26" s="28"/>
      <c r="J26" s="5"/>
    </row>
    <row r="27" spans="1:10" ht="13.05" customHeight="1">
      <c r="A27" s="5"/>
      <c r="B27" s="29" t="s">
        <v>193</v>
      </c>
      <c r="C27" s="2"/>
      <c r="D27" s="2"/>
      <c r="E27" s="2"/>
      <c r="F27" s="27" t="s">
        <v>194</v>
      </c>
      <c r="G27" s="27" t="s">
        <v>194</v>
      </c>
      <c r="H27" s="27"/>
      <c r="I27" s="28"/>
      <c r="J27" s="5"/>
    </row>
    <row r="28" spans="1:10" ht="13.05" customHeight="1">
      <c r="A28" s="5"/>
      <c r="B28" s="29" t="s">
        <v>192</v>
      </c>
      <c r="C28" s="2"/>
      <c r="D28" s="2"/>
      <c r="E28" s="2"/>
      <c r="F28" s="27" t="s">
        <v>194</v>
      </c>
      <c r="G28" s="27" t="s">
        <v>194</v>
      </c>
      <c r="H28" s="27"/>
      <c r="I28" s="28"/>
      <c r="J28" s="5"/>
    </row>
    <row r="29" spans="1:10" ht="13.05" customHeight="1">
      <c r="A29" s="5"/>
      <c r="B29" s="29" t="s">
        <v>195</v>
      </c>
      <c r="C29" s="30"/>
      <c r="D29" s="2"/>
      <c r="E29" s="30"/>
      <c r="F29" s="25">
        <v>26.111999999999998</v>
      </c>
      <c r="G29" s="26">
        <v>1.1299999999999999E-2</v>
      </c>
      <c r="H29" s="27"/>
      <c r="I29" s="28"/>
      <c r="J29" s="5"/>
    </row>
    <row r="30" spans="1:10" ht="13.05" customHeight="1">
      <c r="A30" s="5"/>
      <c r="B30" s="29" t="s">
        <v>199</v>
      </c>
      <c r="C30" s="15"/>
      <c r="D30" s="2"/>
      <c r="E30" s="15"/>
      <c r="F30" s="31">
        <v>44.404899999999998</v>
      </c>
      <c r="G30" s="26">
        <v>1.9300000000000001E-2</v>
      </c>
      <c r="H30" s="27"/>
      <c r="I30" s="28"/>
      <c r="J30" s="5"/>
    </row>
    <row r="31" spans="1:10" ht="13.05" customHeight="1">
      <c r="A31" s="5"/>
      <c r="B31" s="32" t="s">
        <v>200</v>
      </c>
      <c r="C31" s="33"/>
      <c r="D31" s="33"/>
      <c r="E31" s="33"/>
      <c r="F31" s="34">
        <v>2303.6</v>
      </c>
      <c r="G31" s="35">
        <v>1</v>
      </c>
      <c r="H31" s="36"/>
      <c r="I31" s="37"/>
      <c r="J31" s="5"/>
    </row>
    <row r="32" spans="1:10" ht="13.05" customHeight="1">
      <c r="A32" s="5"/>
      <c r="B32" s="7"/>
      <c r="C32" s="5"/>
      <c r="D32" s="5"/>
      <c r="E32" s="5"/>
      <c r="F32" s="5"/>
      <c r="G32" s="5"/>
      <c r="H32" s="5"/>
      <c r="I32" s="5"/>
      <c r="J32" s="5"/>
    </row>
    <row r="33" spans="1:10" ht="13.05" customHeight="1">
      <c r="A33" s="5"/>
      <c r="B33" s="4" t="s">
        <v>250</v>
      </c>
      <c r="C33" s="5"/>
      <c r="D33" s="5"/>
      <c r="E33" s="5"/>
      <c r="F33" s="5"/>
      <c r="G33" s="5"/>
      <c r="H33" s="5"/>
      <c r="I33" s="5"/>
      <c r="J33" s="5"/>
    </row>
    <row r="34" spans="1:10" ht="13.05" customHeight="1">
      <c r="A34" s="5"/>
      <c r="B34" s="4" t="s">
        <v>201</v>
      </c>
      <c r="C34" s="5"/>
      <c r="D34" s="5"/>
      <c r="E34" s="5"/>
      <c r="F34" s="5"/>
      <c r="G34" s="5"/>
      <c r="H34" s="5"/>
      <c r="I34" s="5"/>
      <c r="J34" s="5"/>
    </row>
    <row r="35" spans="1:10" ht="25.95" customHeight="1">
      <c r="A35" s="5"/>
      <c r="B35" s="103" t="s">
        <v>202</v>
      </c>
      <c r="C35" s="103"/>
      <c r="D35" s="103"/>
      <c r="E35" s="103"/>
      <c r="F35" s="103"/>
      <c r="G35" s="103"/>
      <c r="H35" s="103"/>
      <c r="I35" s="103"/>
      <c r="J35" s="5"/>
    </row>
    <row r="36" spans="1:10" ht="13.05" customHeight="1">
      <c r="A36" s="5"/>
      <c r="B36" s="103" t="s">
        <v>203</v>
      </c>
      <c r="C36" s="103"/>
      <c r="D36" s="103"/>
      <c r="E36" s="103"/>
      <c r="F36" s="103"/>
      <c r="G36" s="103"/>
      <c r="H36" s="103"/>
      <c r="I36" s="103"/>
      <c r="J36" s="5"/>
    </row>
    <row r="37" spans="1:10" ht="13.05" customHeight="1">
      <c r="A37" s="5"/>
      <c r="B37" s="103" t="s">
        <v>2421</v>
      </c>
      <c r="C37" s="103"/>
      <c r="D37" s="103"/>
      <c r="E37" s="103"/>
      <c r="F37" s="103"/>
      <c r="G37" s="5"/>
      <c r="H37" s="5"/>
      <c r="I37" s="5"/>
      <c r="J37" s="5"/>
    </row>
    <row r="38" spans="1:10" ht="13.05" customHeight="1">
      <c r="A38" s="5"/>
      <c r="B38" s="103"/>
      <c r="C38" s="103"/>
      <c r="D38" s="103"/>
      <c r="E38" s="103"/>
      <c r="F38" s="103"/>
      <c r="G38" s="103"/>
      <c r="H38" s="103"/>
      <c r="I38" s="103"/>
      <c r="J38" s="5"/>
    </row>
    <row r="39" spans="1:10" ht="13.05" customHeight="1">
      <c r="A39" s="5"/>
      <c r="B39" s="103"/>
      <c r="C39" s="103"/>
      <c r="D39" s="103"/>
      <c r="E39" s="103"/>
      <c r="F39" s="103"/>
      <c r="G39" s="103"/>
      <c r="H39" s="103"/>
      <c r="I39" s="103"/>
      <c r="J39" s="5"/>
    </row>
    <row r="40" spans="1:10" ht="13.05" customHeight="1">
      <c r="A40" s="5"/>
      <c r="B40" s="5"/>
      <c r="C40" s="104" t="s">
        <v>2422</v>
      </c>
      <c r="D40" s="104"/>
      <c r="E40" s="104"/>
      <c r="F40" s="104"/>
      <c r="G40" s="5"/>
      <c r="H40" s="5"/>
      <c r="I40" s="5"/>
      <c r="J40" s="5"/>
    </row>
    <row r="41" spans="1:10" ht="13.05" customHeight="1">
      <c r="A41" s="5"/>
      <c r="B41" s="38" t="s">
        <v>207</v>
      </c>
      <c r="C41" s="104" t="s">
        <v>208</v>
      </c>
      <c r="D41" s="104"/>
      <c r="E41" s="104"/>
      <c r="F41" s="104"/>
      <c r="G41" s="5"/>
      <c r="H41" s="5"/>
      <c r="I41" s="5"/>
      <c r="J41" s="5"/>
    </row>
    <row r="42" spans="1:10" ht="135" customHeight="1">
      <c r="A42" s="5"/>
      <c r="B42" s="39"/>
      <c r="C42" s="105"/>
      <c r="D42" s="105"/>
      <c r="E42" s="5"/>
      <c r="F42" s="5"/>
      <c r="G42" s="5"/>
      <c r="H42" s="5"/>
      <c r="I42" s="5"/>
      <c r="J42" s="5"/>
    </row>
  </sheetData>
  <mergeCells count="8">
    <mergeCell ref="C40:F40"/>
    <mergeCell ref="C41:F41"/>
    <mergeCell ref="C42:D42"/>
    <mergeCell ref="B35:I35"/>
    <mergeCell ref="B36:I36"/>
    <mergeCell ref="B37:F37"/>
    <mergeCell ref="B38:I38"/>
    <mergeCell ref="B39:I39"/>
  </mergeCells>
  <hyperlinks>
    <hyperlink ref="A1" location="AxisCRISILIBXAAABondFinancialServicesSep2027IndexFund" display="AXISCFS" xr:uid="{00000000-0004-0000-0C00-000000000000}"/>
    <hyperlink ref="B1" location="AxisCRISILIBXAAABondFinancialServicesSep2027IndexFund" display="Axis CRISIL-IBX AAA Bond Financial Services - Sep 2027 Index Fund" xr:uid="{00000000-0004-0000-0C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J143"/>
  <sheetViews>
    <sheetView topLeftCell="A91" workbookViewId="0">
      <selection activeCell="C91" sqref="C9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29</v>
      </c>
      <c r="B1" s="4" t="s">
        <v>30</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509240</v>
      </c>
      <c r="F7" s="21">
        <v>5027.7264999999998</v>
      </c>
      <c r="G7" s="22">
        <v>5.4199999999999998E-2</v>
      </c>
      <c r="H7" s="40"/>
      <c r="I7" s="24"/>
      <c r="J7" s="5"/>
    </row>
    <row r="8" spans="1:10" ht="13.05" customHeight="1">
      <c r="A8" s="18" t="s">
        <v>258</v>
      </c>
      <c r="B8" s="19" t="s">
        <v>259</v>
      </c>
      <c r="C8" s="15" t="s">
        <v>260</v>
      </c>
      <c r="D8" s="15" t="s">
        <v>261</v>
      </c>
      <c r="E8" s="20">
        <v>320721</v>
      </c>
      <c r="F8" s="21">
        <v>4767.1968999999999</v>
      </c>
      <c r="G8" s="22">
        <v>5.1400000000000001E-2</v>
      </c>
      <c r="H8" s="40"/>
      <c r="I8" s="24"/>
      <c r="J8" s="5"/>
    </row>
    <row r="9" spans="1:10" ht="13.05" customHeight="1">
      <c r="A9" s="18" t="s">
        <v>262</v>
      </c>
      <c r="B9" s="19" t="s">
        <v>263</v>
      </c>
      <c r="C9" s="15" t="s">
        <v>264</v>
      </c>
      <c r="D9" s="15" t="s">
        <v>257</v>
      </c>
      <c r="E9" s="20">
        <v>306334</v>
      </c>
      <c r="F9" s="21">
        <v>4121.1112999999996</v>
      </c>
      <c r="G9" s="22">
        <v>4.4400000000000002E-2</v>
      </c>
      <c r="H9" s="40"/>
      <c r="I9" s="24"/>
      <c r="J9" s="5"/>
    </row>
    <row r="10" spans="1:10" ht="13.05" customHeight="1">
      <c r="A10" s="18" t="s">
        <v>269</v>
      </c>
      <c r="B10" s="19" t="s">
        <v>270</v>
      </c>
      <c r="C10" s="15" t="s">
        <v>271</v>
      </c>
      <c r="D10" s="15" t="s">
        <v>272</v>
      </c>
      <c r="E10" s="20">
        <v>227763</v>
      </c>
      <c r="F10" s="21">
        <v>3376.1309000000001</v>
      </c>
      <c r="G10" s="22">
        <v>3.6400000000000002E-2</v>
      </c>
      <c r="H10" s="40"/>
      <c r="I10" s="24"/>
      <c r="J10" s="5"/>
    </row>
    <row r="11" spans="1:10" ht="13.05" customHeight="1">
      <c r="A11" s="18" t="s">
        <v>281</v>
      </c>
      <c r="B11" s="19" t="s">
        <v>282</v>
      </c>
      <c r="C11" s="15" t="s">
        <v>283</v>
      </c>
      <c r="D11" s="15" t="s">
        <v>257</v>
      </c>
      <c r="E11" s="20">
        <v>265738</v>
      </c>
      <c r="F11" s="21">
        <v>2489.9650999999999</v>
      </c>
      <c r="G11" s="22">
        <v>2.6800000000000001E-2</v>
      </c>
      <c r="H11" s="40"/>
      <c r="I11" s="24"/>
      <c r="J11" s="5"/>
    </row>
    <row r="12" spans="1:10" ht="13.05" customHeight="1">
      <c r="A12" s="18" t="s">
        <v>273</v>
      </c>
      <c r="B12" s="19" t="s">
        <v>274</v>
      </c>
      <c r="C12" s="15" t="s">
        <v>275</v>
      </c>
      <c r="D12" s="15" t="s">
        <v>276</v>
      </c>
      <c r="E12" s="20">
        <v>59429</v>
      </c>
      <c r="F12" s="21">
        <v>2395.5236</v>
      </c>
      <c r="G12" s="22">
        <v>2.58E-2</v>
      </c>
      <c r="H12" s="40"/>
      <c r="I12" s="24"/>
      <c r="J12" s="5"/>
    </row>
    <row r="13" spans="1:10" ht="13.05" customHeight="1">
      <c r="A13" s="18" t="s">
        <v>265</v>
      </c>
      <c r="B13" s="19" t="s">
        <v>266</v>
      </c>
      <c r="C13" s="15" t="s">
        <v>267</v>
      </c>
      <c r="D13" s="15" t="s">
        <v>268</v>
      </c>
      <c r="E13" s="20">
        <v>105483</v>
      </c>
      <c r="F13" s="21">
        <v>2167.1482000000001</v>
      </c>
      <c r="G13" s="22">
        <v>2.3400000000000001E-2</v>
      </c>
      <c r="H13" s="40"/>
      <c r="I13" s="24"/>
      <c r="J13" s="5"/>
    </row>
    <row r="14" spans="1:10" ht="13.05" customHeight="1">
      <c r="A14" s="18" t="s">
        <v>297</v>
      </c>
      <c r="B14" s="19" t="s">
        <v>298</v>
      </c>
      <c r="C14" s="15" t="s">
        <v>299</v>
      </c>
      <c r="D14" s="15" t="s">
        <v>300</v>
      </c>
      <c r="E14" s="20">
        <v>204053</v>
      </c>
      <c r="F14" s="21">
        <v>2127.8647000000001</v>
      </c>
      <c r="G14" s="22">
        <v>2.29E-2</v>
      </c>
      <c r="H14" s="40"/>
      <c r="I14" s="24"/>
      <c r="J14" s="5"/>
    </row>
    <row r="15" spans="1:10" ht="13.05" customHeight="1">
      <c r="A15" s="18" t="s">
        <v>293</v>
      </c>
      <c r="B15" s="19" t="s">
        <v>294</v>
      </c>
      <c r="C15" s="15" t="s">
        <v>295</v>
      </c>
      <c r="D15" s="15" t="s">
        <v>296</v>
      </c>
      <c r="E15" s="20">
        <v>60809</v>
      </c>
      <c r="F15" s="21">
        <v>2120.5313999999998</v>
      </c>
      <c r="G15" s="22">
        <v>2.29E-2</v>
      </c>
      <c r="H15" s="40"/>
      <c r="I15" s="24"/>
      <c r="J15" s="5"/>
    </row>
    <row r="16" spans="1:10" ht="13.05" customHeight="1">
      <c r="A16" s="18" t="s">
        <v>514</v>
      </c>
      <c r="B16" s="19" t="s">
        <v>515</v>
      </c>
      <c r="C16" s="15" t="s">
        <v>516</v>
      </c>
      <c r="D16" s="15" t="s">
        <v>415</v>
      </c>
      <c r="E16" s="20">
        <v>133379</v>
      </c>
      <c r="F16" s="21">
        <v>1364.5338999999999</v>
      </c>
      <c r="G16" s="22">
        <v>1.47E-2</v>
      </c>
      <c r="H16" s="40"/>
      <c r="I16" s="24"/>
      <c r="J16" s="5"/>
    </row>
    <row r="17" spans="1:10" ht="13.05" customHeight="1">
      <c r="A17" s="18" t="s">
        <v>406</v>
      </c>
      <c r="B17" s="19" t="s">
        <v>407</v>
      </c>
      <c r="C17" s="15" t="s">
        <v>408</v>
      </c>
      <c r="D17" s="15" t="s">
        <v>314</v>
      </c>
      <c r="E17" s="20">
        <v>19149</v>
      </c>
      <c r="F17" s="21">
        <v>1290.2596000000001</v>
      </c>
      <c r="G17" s="22">
        <v>1.3899999999999999E-2</v>
      </c>
      <c r="H17" s="40"/>
      <c r="I17" s="24"/>
      <c r="J17" s="5"/>
    </row>
    <row r="18" spans="1:10" ht="13.05" customHeight="1">
      <c r="A18" s="18" t="s">
        <v>318</v>
      </c>
      <c r="B18" s="19" t="s">
        <v>319</v>
      </c>
      <c r="C18" s="15" t="s">
        <v>320</v>
      </c>
      <c r="D18" s="15" t="s">
        <v>321</v>
      </c>
      <c r="E18" s="20">
        <v>349377</v>
      </c>
      <c r="F18" s="21">
        <v>1177.2257999999999</v>
      </c>
      <c r="G18" s="22">
        <v>1.2699999999999999E-2</v>
      </c>
      <c r="H18" s="40"/>
      <c r="I18" s="24"/>
      <c r="J18" s="5"/>
    </row>
    <row r="19" spans="1:10" ht="13.05" customHeight="1">
      <c r="A19" s="18" t="s">
        <v>290</v>
      </c>
      <c r="B19" s="19" t="s">
        <v>291</v>
      </c>
      <c r="C19" s="15" t="s">
        <v>292</v>
      </c>
      <c r="D19" s="15" t="s">
        <v>257</v>
      </c>
      <c r="E19" s="20">
        <v>50395</v>
      </c>
      <c r="F19" s="21">
        <v>1059.4037000000001</v>
      </c>
      <c r="G19" s="22">
        <v>1.14E-2</v>
      </c>
      <c r="H19" s="40"/>
      <c r="I19" s="24"/>
      <c r="J19" s="5"/>
    </row>
    <row r="20" spans="1:10" ht="13.05" customHeight="1">
      <c r="A20" s="18" t="s">
        <v>429</v>
      </c>
      <c r="B20" s="19" t="s">
        <v>430</v>
      </c>
      <c r="C20" s="15" t="s">
        <v>431</v>
      </c>
      <c r="D20" s="15" t="s">
        <v>415</v>
      </c>
      <c r="E20" s="20">
        <v>13615</v>
      </c>
      <c r="F20" s="21">
        <v>1045.7682</v>
      </c>
      <c r="G20" s="22">
        <v>1.1299999999999999E-2</v>
      </c>
      <c r="H20" s="40"/>
      <c r="I20" s="24"/>
      <c r="J20" s="5"/>
    </row>
    <row r="21" spans="1:10" ht="13.05" customHeight="1">
      <c r="A21" s="18" t="s">
        <v>712</v>
      </c>
      <c r="B21" s="19" t="s">
        <v>713</v>
      </c>
      <c r="C21" s="15" t="s">
        <v>714</v>
      </c>
      <c r="D21" s="15" t="s">
        <v>603</v>
      </c>
      <c r="E21" s="20">
        <v>28849</v>
      </c>
      <c r="F21" s="21">
        <v>1032.0441000000001</v>
      </c>
      <c r="G21" s="22">
        <v>1.11E-2</v>
      </c>
      <c r="H21" s="40"/>
      <c r="I21" s="24"/>
      <c r="J21" s="5"/>
    </row>
    <row r="22" spans="1:10" ht="13.05" customHeight="1">
      <c r="A22" s="18" t="s">
        <v>925</v>
      </c>
      <c r="B22" s="19" t="s">
        <v>926</v>
      </c>
      <c r="C22" s="15" t="s">
        <v>927</v>
      </c>
      <c r="D22" s="15" t="s">
        <v>257</v>
      </c>
      <c r="E22" s="20">
        <v>691193</v>
      </c>
      <c r="F22" s="21">
        <v>966.84079999999994</v>
      </c>
      <c r="G22" s="22">
        <v>1.04E-2</v>
      </c>
      <c r="H22" s="40"/>
      <c r="I22" s="24"/>
      <c r="J22" s="5"/>
    </row>
    <row r="23" spans="1:10" ht="13.05" customHeight="1">
      <c r="A23" s="18" t="s">
        <v>287</v>
      </c>
      <c r="B23" s="19" t="s">
        <v>288</v>
      </c>
      <c r="C23" s="15" t="s">
        <v>289</v>
      </c>
      <c r="D23" s="15" t="s">
        <v>272</v>
      </c>
      <c r="E23" s="20">
        <v>29227</v>
      </c>
      <c r="F23" s="21">
        <v>893.76170000000002</v>
      </c>
      <c r="G23" s="22">
        <v>9.5999999999999992E-3</v>
      </c>
      <c r="H23" s="40"/>
      <c r="I23" s="24"/>
      <c r="J23" s="5"/>
    </row>
    <row r="24" spans="1:10" ht="13.05" customHeight="1">
      <c r="A24" s="18" t="s">
        <v>2423</v>
      </c>
      <c r="B24" s="19" t="s">
        <v>2424</v>
      </c>
      <c r="C24" s="15" t="s">
        <v>2425</v>
      </c>
      <c r="D24" s="15" t="s">
        <v>300</v>
      </c>
      <c r="E24" s="20">
        <v>750</v>
      </c>
      <c r="F24" s="21">
        <v>892.17</v>
      </c>
      <c r="G24" s="22">
        <v>9.5999999999999992E-3</v>
      </c>
      <c r="H24" s="23" t="s">
        <v>5522</v>
      </c>
      <c r="I24" s="24"/>
      <c r="J24" s="5"/>
    </row>
    <row r="25" spans="1:10" ht="13.05" customHeight="1">
      <c r="A25" s="18" t="s">
        <v>1613</v>
      </c>
      <c r="B25" s="19" t="s">
        <v>1614</v>
      </c>
      <c r="C25" s="15" t="s">
        <v>1615</v>
      </c>
      <c r="D25" s="15" t="s">
        <v>1616</v>
      </c>
      <c r="E25" s="20">
        <v>34262</v>
      </c>
      <c r="F25" s="21">
        <v>881.25289999999995</v>
      </c>
      <c r="G25" s="22">
        <v>9.4999999999999998E-3</v>
      </c>
      <c r="H25" s="23"/>
      <c r="I25" s="24"/>
      <c r="J25" s="5"/>
    </row>
    <row r="26" spans="1:10" ht="13.05" customHeight="1">
      <c r="A26" s="18" t="s">
        <v>919</v>
      </c>
      <c r="B26" s="19" t="s">
        <v>920</v>
      </c>
      <c r="C26" s="15" t="s">
        <v>921</v>
      </c>
      <c r="D26" s="15" t="s">
        <v>300</v>
      </c>
      <c r="E26" s="20">
        <v>94219</v>
      </c>
      <c r="F26" s="21">
        <v>875.01189999999997</v>
      </c>
      <c r="G26" s="22">
        <v>9.4000000000000004E-3</v>
      </c>
      <c r="H26" s="23"/>
      <c r="I26" s="24"/>
      <c r="J26" s="5"/>
    </row>
    <row r="27" spans="1:10" ht="13.05" customHeight="1">
      <c r="A27" s="18" t="s">
        <v>426</v>
      </c>
      <c r="B27" s="19" t="s">
        <v>427</v>
      </c>
      <c r="C27" s="15" t="s">
        <v>428</v>
      </c>
      <c r="D27" s="15" t="s">
        <v>405</v>
      </c>
      <c r="E27" s="20">
        <v>117791</v>
      </c>
      <c r="F27" s="21">
        <v>862.05340000000001</v>
      </c>
      <c r="G27" s="22">
        <v>9.2999999999999992E-3</v>
      </c>
      <c r="H27" s="23"/>
      <c r="I27" s="24"/>
      <c r="J27" s="5"/>
    </row>
    <row r="28" spans="1:10" ht="13.05" customHeight="1">
      <c r="A28" s="18" t="s">
        <v>652</v>
      </c>
      <c r="B28" s="19" t="s">
        <v>653</v>
      </c>
      <c r="C28" s="15" t="s">
        <v>654</v>
      </c>
      <c r="D28" s="15" t="s">
        <v>304</v>
      </c>
      <c r="E28" s="20">
        <v>339000</v>
      </c>
      <c r="F28" s="21">
        <v>840.51660000000004</v>
      </c>
      <c r="G28" s="22">
        <v>9.1000000000000004E-3</v>
      </c>
      <c r="H28" s="23"/>
      <c r="I28" s="24"/>
      <c r="J28" s="5"/>
    </row>
    <row r="29" spans="1:10" ht="13.05" customHeight="1">
      <c r="A29" s="18" t="s">
        <v>311</v>
      </c>
      <c r="B29" s="19" t="s">
        <v>312</v>
      </c>
      <c r="C29" s="15" t="s">
        <v>313</v>
      </c>
      <c r="D29" s="15" t="s">
        <v>314</v>
      </c>
      <c r="E29" s="20">
        <v>47560</v>
      </c>
      <c r="F29" s="21">
        <v>804.09690000000001</v>
      </c>
      <c r="G29" s="22">
        <v>8.6999999999999994E-3</v>
      </c>
      <c r="H29" s="23"/>
      <c r="I29" s="24"/>
      <c r="J29" s="5"/>
    </row>
    <row r="30" spans="1:10" ht="13.05" customHeight="1">
      <c r="A30" s="18" t="s">
        <v>616</v>
      </c>
      <c r="B30" s="19" t="s">
        <v>617</v>
      </c>
      <c r="C30" s="15" t="s">
        <v>618</v>
      </c>
      <c r="D30" s="15" t="s">
        <v>445</v>
      </c>
      <c r="E30" s="20">
        <v>26161</v>
      </c>
      <c r="F30" s="21">
        <v>794.61419999999998</v>
      </c>
      <c r="G30" s="22">
        <v>8.6E-3</v>
      </c>
      <c r="H30" s="23"/>
      <c r="I30" s="24"/>
      <c r="J30" s="5"/>
    </row>
    <row r="31" spans="1:10" ht="13.05" customHeight="1">
      <c r="A31" s="18" t="s">
        <v>416</v>
      </c>
      <c r="B31" s="19" t="s">
        <v>417</v>
      </c>
      <c r="C31" s="15" t="s">
        <v>418</v>
      </c>
      <c r="D31" s="15" t="s">
        <v>314</v>
      </c>
      <c r="E31" s="20">
        <v>51570</v>
      </c>
      <c r="F31" s="21">
        <v>774.22040000000004</v>
      </c>
      <c r="G31" s="22">
        <v>8.3000000000000001E-3</v>
      </c>
      <c r="H31" s="23"/>
      <c r="I31" s="24"/>
      <c r="J31" s="5"/>
    </row>
    <row r="32" spans="1:10" ht="13.05" customHeight="1">
      <c r="A32" s="18" t="s">
        <v>301</v>
      </c>
      <c r="B32" s="19" t="s">
        <v>302</v>
      </c>
      <c r="C32" s="15" t="s">
        <v>303</v>
      </c>
      <c r="D32" s="15" t="s">
        <v>304</v>
      </c>
      <c r="E32" s="20">
        <v>240963</v>
      </c>
      <c r="F32" s="21">
        <v>765.65989999999999</v>
      </c>
      <c r="G32" s="22">
        <v>8.3000000000000001E-3</v>
      </c>
      <c r="H32" s="23"/>
      <c r="I32" s="24"/>
      <c r="J32" s="5"/>
    </row>
    <row r="33" spans="1:10" ht="13.05" customHeight="1">
      <c r="A33" s="18" t="s">
        <v>843</v>
      </c>
      <c r="B33" s="19" t="s">
        <v>844</v>
      </c>
      <c r="C33" s="15" t="s">
        <v>845</v>
      </c>
      <c r="D33" s="15" t="s">
        <v>846</v>
      </c>
      <c r="E33" s="20">
        <v>11304</v>
      </c>
      <c r="F33" s="21">
        <v>757.87670000000003</v>
      </c>
      <c r="G33" s="22">
        <v>8.2000000000000007E-3</v>
      </c>
      <c r="H33" s="23"/>
      <c r="I33" s="24"/>
      <c r="J33" s="5"/>
    </row>
    <row r="34" spans="1:10" ht="13.05" customHeight="1">
      <c r="A34" s="18" t="s">
        <v>1052</v>
      </c>
      <c r="B34" s="19" t="s">
        <v>1053</v>
      </c>
      <c r="C34" s="15" t="s">
        <v>1054</v>
      </c>
      <c r="D34" s="15" t="s">
        <v>445</v>
      </c>
      <c r="E34" s="20">
        <v>68080</v>
      </c>
      <c r="F34" s="21">
        <v>744.25059999999996</v>
      </c>
      <c r="G34" s="22">
        <v>8.0000000000000002E-3</v>
      </c>
      <c r="H34" s="23"/>
      <c r="I34" s="24"/>
      <c r="J34" s="5"/>
    </row>
    <row r="35" spans="1:10" ht="13.05" customHeight="1">
      <c r="A35" s="18" t="s">
        <v>326</v>
      </c>
      <c r="B35" s="19" t="s">
        <v>327</v>
      </c>
      <c r="C35" s="15" t="s">
        <v>328</v>
      </c>
      <c r="D35" s="15" t="s">
        <v>329</v>
      </c>
      <c r="E35" s="20">
        <v>165637</v>
      </c>
      <c r="F35" s="21">
        <v>705.77930000000003</v>
      </c>
      <c r="G35" s="22">
        <v>7.6E-3</v>
      </c>
      <c r="H35" s="23"/>
      <c r="I35" s="24"/>
      <c r="J35" s="5"/>
    </row>
    <row r="36" spans="1:10" ht="13.05" customHeight="1">
      <c r="A36" s="18" t="s">
        <v>2426</v>
      </c>
      <c r="B36" s="19" t="s">
        <v>2427</v>
      </c>
      <c r="C36" s="15" t="s">
        <v>2428</v>
      </c>
      <c r="D36" s="15" t="s">
        <v>970</v>
      </c>
      <c r="E36" s="20">
        <v>112059</v>
      </c>
      <c r="F36" s="21">
        <v>672.46609999999998</v>
      </c>
      <c r="G36" s="22">
        <v>7.1999999999999998E-3</v>
      </c>
      <c r="H36" s="23"/>
      <c r="I36" s="24"/>
      <c r="J36" s="5"/>
    </row>
    <row r="37" spans="1:10" ht="13.05" customHeight="1">
      <c r="A37" s="18" t="s">
        <v>322</v>
      </c>
      <c r="B37" s="19" t="s">
        <v>323</v>
      </c>
      <c r="C37" s="15" t="s">
        <v>324</v>
      </c>
      <c r="D37" s="15" t="s">
        <v>325</v>
      </c>
      <c r="E37" s="20">
        <v>16908</v>
      </c>
      <c r="F37" s="21">
        <v>633.49199999999996</v>
      </c>
      <c r="G37" s="22">
        <v>6.7999999999999996E-3</v>
      </c>
      <c r="H37" s="23"/>
      <c r="I37" s="24"/>
      <c r="J37" s="5"/>
    </row>
    <row r="38" spans="1:10" ht="13.05" customHeight="1">
      <c r="A38" s="18" t="s">
        <v>402</v>
      </c>
      <c r="B38" s="19" t="s">
        <v>403</v>
      </c>
      <c r="C38" s="15" t="s">
        <v>404</v>
      </c>
      <c r="D38" s="15" t="s">
        <v>405</v>
      </c>
      <c r="E38" s="20">
        <v>31750</v>
      </c>
      <c r="F38" s="21">
        <v>620.9348</v>
      </c>
      <c r="G38" s="22">
        <v>6.7000000000000002E-3</v>
      </c>
      <c r="H38" s="23"/>
      <c r="I38" s="24"/>
      <c r="J38" s="5"/>
    </row>
    <row r="39" spans="1:10" ht="13.05" customHeight="1">
      <c r="A39" s="18" t="s">
        <v>472</v>
      </c>
      <c r="B39" s="19" t="s">
        <v>473</v>
      </c>
      <c r="C39" s="15" t="s">
        <v>474</v>
      </c>
      <c r="D39" s="15" t="s">
        <v>475</v>
      </c>
      <c r="E39" s="20">
        <v>131379</v>
      </c>
      <c r="F39" s="21">
        <v>617.02149999999995</v>
      </c>
      <c r="G39" s="22">
        <v>6.7000000000000002E-3</v>
      </c>
      <c r="H39" s="23"/>
      <c r="I39" s="24"/>
      <c r="J39" s="5"/>
    </row>
    <row r="40" spans="1:10" ht="13.05" customHeight="1">
      <c r="A40" s="18" t="s">
        <v>476</v>
      </c>
      <c r="B40" s="19" t="s">
        <v>477</v>
      </c>
      <c r="C40" s="15" t="s">
        <v>478</v>
      </c>
      <c r="D40" s="15" t="s">
        <v>325</v>
      </c>
      <c r="E40" s="20">
        <v>3900</v>
      </c>
      <c r="F40" s="21">
        <v>604.26599999999996</v>
      </c>
      <c r="G40" s="22">
        <v>6.4999999999999997E-3</v>
      </c>
      <c r="H40" s="23"/>
      <c r="I40" s="24"/>
      <c r="J40" s="5"/>
    </row>
    <row r="41" spans="1:10" ht="13.05" customHeight="1">
      <c r="A41" s="18" t="s">
        <v>694</v>
      </c>
      <c r="B41" s="19" t="s">
        <v>695</v>
      </c>
      <c r="C41" s="15" t="s">
        <v>696</v>
      </c>
      <c r="D41" s="15" t="s">
        <v>541</v>
      </c>
      <c r="E41" s="20">
        <v>35439</v>
      </c>
      <c r="F41" s="21">
        <v>596.29660000000001</v>
      </c>
      <c r="G41" s="22">
        <v>6.4000000000000003E-3</v>
      </c>
      <c r="H41" s="23"/>
      <c r="I41" s="24"/>
      <c r="J41" s="5"/>
    </row>
    <row r="42" spans="1:10" ht="13.05" customHeight="1">
      <c r="A42" s="18" t="s">
        <v>532</v>
      </c>
      <c r="B42" s="19" t="s">
        <v>533</v>
      </c>
      <c r="C42" s="15" t="s">
        <v>534</v>
      </c>
      <c r="D42" s="15" t="s">
        <v>445</v>
      </c>
      <c r="E42" s="20">
        <v>79267</v>
      </c>
      <c r="F42" s="21">
        <v>583.92039999999997</v>
      </c>
      <c r="G42" s="22">
        <v>6.3E-3</v>
      </c>
      <c r="H42" s="23"/>
      <c r="I42" s="24"/>
      <c r="J42" s="5"/>
    </row>
    <row r="43" spans="1:10" ht="13.05" customHeight="1">
      <c r="A43" s="18" t="s">
        <v>1263</v>
      </c>
      <c r="B43" s="19" t="s">
        <v>1264</v>
      </c>
      <c r="C43" s="15" t="s">
        <v>1265</v>
      </c>
      <c r="D43" s="15" t="s">
        <v>541</v>
      </c>
      <c r="E43" s="20">
        <v>89381</v>
      </c>
      <c r="F43" s="21">
        <v>575.97119999999995</v>
      </c>
      <c r="G43" s="22">
        <v>6.1999999999999998E-3</v>
      </c>
      <c r="H43" s="23"/>
      <c r="I43" s="24"/>
      <c r="J43" s="5"/>
    </row>
    <row r="44" spans="1:10" ht="13.05" customHeight="1">
      <c r="A44" s="18" t="s">
        <v>520</v>
      </c>
      <c r="B44" s="19" t="s">
        <v>521</v>
      </c>
      <c r="C44" s="15" t="s">
        <v>522</v>
      </c>
      <c r="D44" s="15" t="s">
        <v>272</v>
      </c>
      <c r="E44" s="20">
        <v>10000</v>
      </c>
      <c r="F44" s="21">
        <v>568.45000000000005</v>
      </c>
      <c r="G44" s="22">
        <v>6.1000000000000004E-3</v>
      </c>
      <c r="H44" s="23"/>
      <c r="I44" s="24"/>
      <c r="J44" s="5"/>
    </row>
    <row r="45" spans="1:10" ht="13.05" customHeight="1">
      <c r="A45" s="18" t="s">
        <v>458</v>
      </c>
      <c r="B45" s="19" t="s">
        <v>459</v>
      </c>
      <c r="C45" s="15" t="s">
        <v>460</v>
      </c>
      <c r="D45" s="15" t="s">
        <v>321</v>
      </c>
      <c r="E45" s="20">
        <v>140254</v>
      </c>
      <c r="F45" s="21">
        <v>567.88840000000005</v>
      </c>
      <c r="G45" s="22">
        <v>6.1000000000000004E-3</v>
      </c>
      <c r="H45" s="23"/>
      <c r="I45" s="24"/>
      <c r="J45" s="5"/>
    </row>
    <row r="46" spans="1:10" ht="13.05" customHeight="1">
      <c r="A46" s="18" t="s">
        <v>446</v>
      </c>
      <c r="B46" s="19" t="s">
        <v>447</v>
      </c>
      <c r="C46" s="15" t="s">
        <v>448</v>
      </c>
      <c r="D46" s="15" t="s">
        <v>300</v>
      </c>
      <c r="E46" s="20">
        <v>32494</v>
      </c>
      <c r="F46" s="21">
        <v>551.35820000000001</v>
      </c>
      <c r="G46" s="22">
        <v>5.8999999999999999E-3</v>
      </c>
      <c r="H46" s="23"/>
      <c r="I46" s="24"/>
      <c r="J46" s="5"/>
    </row>
    <row r="47" spans="1:10" ht="13.05" customHeight="1">
      <c r="A47" s="18" t="s">
        <v>395</v>
      </c>
      <c r="B47" s="19" t="s">
        <v>396</v>
      </c>
      <c r="C47" s="15" t="s">
        <v>397</v>
      </c>
      <c r="D47" s="15" t="s">
        <v>329</v>
      </c>
      <c r="E47" s="20">
        <v>11734</v>
      </c>
      <c r="F47" s="21">
        <v>549.1277</v>
      </c>
      <c r="G47" s="22">
        <v>5.8999999999999999E-3</v>
      </c>
      <c r="H47" s="23"/>
      <c r="I47" s="24"/>
      <c r="J47" s="5"/>
    </row>
    <row r="48" spans="1:10" ht="13.05" customHeight="1">
      <c r="A48" s="18" t="s">
        <v>2429</v>
      </c>
      <c r="B48" s="19" t="s">
        <v>2430</v>
      </c>
      <c r="C48" s="15" t="s">
        <v>2431</v>
      </c>
      <c r="D48" s="15" t="s">
        <v>364</v>
      </c>
      <c r="E48" s="20">
        <v>429033</v>
      </c>
      <c r="F48" s="21">
        <v>513.3809</v>
      </c>
      <c r="G48" s="22">
        <v>5.4999999999999997E-3</v>
      </c>
      <c r="H48" s="23"/>
      <c r="I48" s="24"/>
      <c r="J48" s="5"/>
    </row>
    <row r="49" spans="1:10" ht="13.05" customHeight="1">
      <c r="A49" s="18" t="s">
        <v>1013</v>
      </c>
      <c r="B49" s="19" t="s">
        <v>1014</v>
      </c>
      <c r="C49" s="15" t="s">
        <v>1015</v>
      </c>
      <c r="D49" s="15" t="s">
        <v>314</v>
      </c>
      <c r="E49" s="20">
        <v>30470</v>
      </c>
      <c r="F49" s="21">
        <v>512.59680000000003</v>
      </c>
      <c r="G49" s="22">
        <v>5.4999999999999997E-3</v>
      </c>
      <c r="H49" s="23"/>
      <c r="I49" s="24"/>
      <c r="J49" s="5"/>
    </row>
    <row r="50" spans="1:10" ht="13.05" customHeight="1">
      <c r="A50" s="18" t="s">
        <v>718</v>
      </c>
      <c r="B50" s="19" t="s">
        <v>719</v>
      </c>
      <c r="C50" s="15" t="s">
        <v>720</v>
      </c>
      <c r="D50" s="15" t="s">
        <v>257</v>
      </c>
      <c r="E50" s="20">
        <v>344462</v>
      </c>
      <c r="F50" s="21">
        <v>512.11170000000004</v>
      </c>
      <c r="G50" s="22">
        <v>5.4999999999999997E-3</v>
      </c>
      <c r="H50" s="23"/>
      <c r="I50" s="24"/>
      <c r="J50" s="5"/>
    </row>
    <row r="51" spans="1:10" ht="13.05" customHeight="1">
      <c r="A51" s="18" t="s">
        <v>341</v>
      </c>
      <c r="B51" s="19" t="s">
        <v>342</v>
      </c>
      <c r="C51" s="15" t="s">
        <v>343</v>
      </c>
      <c r="D51" s="15" t="s">
        <v>344</v>
      </c>
      <c r="E51" s="20">
        <v>60138</v>
      </c>
      <c r="F51" s="21">
        <v>509.88</v>
      </c>
      <c r="G51" s="22">
        <v>5.4999999999999997E-3</v>
      </c>
      <c r="H51" s="23"/>
      <c r="I51" s="24"/>
      <c r="J51" s="5"/>
    </row>
    <row r="52" spans="1:10" ht="13.05" customHeight="1">
      <c r="A52" s="18" t="s">
        <v>392</v>
      </c>
      <c r="B52" s="19" t="s">
        <v>393</v>
      </c>
      <c r="C52" s="15" t="s">
        <v>394</v>
      </c>
      <c r="D52" s="15" t="s">
        <v>272</v>
      </c>
      <c r="E52" s="20">
        <v>34858</v>
      </c>
      <c r="F52" s="21">
        <v>496.51740000000001</v>
      </c>
      <c r="G52" s="22">
        <v>5.4000000000000003E-3</v>
      </c>
      <c r="H52" s="23"/>
      <c r="I52" s="24"/>
      <c r="J52" s="5"/>
    </row>
    <row r="53" spans="1:10" ht="13.05" customHeight="1">
      <c r="A53" s="18" t="s">
        <v>989</v>
      </c>
      <c r="B53" s="19" t="s">
        <v>990</v>
      </c>
      <c r="C53" s="15" t="s">
        <v>991</v>
      </c>
      <c r="D53" s="15" t="s">
        <v>541</v>
      </c>
      <c r="E53" s="20">
        <v>47825</v>
      </c>
      <c r="F53" s="21">
        <v>496.28</v>
      </c>
      <c r="G53" s="22">
        <v>5.3E-3</v>
      </c>
      <c r="H53" s="23"/>
      <c r="I53" s="24"/>
      <c r="J53" s="5"/>
    </row>
    <row r="54" spans="1:10" ht="13.05" customHeight="1">
      <c r="A54" s="18" t="s">
        <v>1626</v>
      </c>
      <c r="B54" s="19" t="s">
        <v>1627</v>
      </c>
      <c r="C54" s="15" t="s">
        <v>1628</v>
      </c>
      <c r="D54" s="15" t="s">
        <v>415</v>
      </c>
      <c r="E54" s="20">
        <v>50036</v>
      </c>
      <c r="F54" s="21">
        <v>494.68090000000001</v>
      </c>
      <c r="G54" s="22">
        <v>5.3E-3</v>
      </c>
      <c r="H54" s="23"/>
      <c r="I54" s="24"/>
      <c r="J54" s="5"/>
    </row>
    <row r="55" spans="1:10" ht="13.05" customHeight="1">
      <c r="A55" s="18" t="s">
        <v>442</v>
      </c>
      <c r="B55" s="19" t="s">
        <v>443</v>
      </c>
      <c r="C55" s="15" t="s">
        <v>444</v>
      </c>
      <c r="D55" s="15" t="s">
        <v>445</v>
      </c>
      <c r="E55" s="20">
        <v>832955</v>
      </c>
      <c r="F55" s="21">
        <v>493.94229999999999</v>
      </c>
      <c r="G55" s="22">
        <v>5.3E-3</v>
      </c>
      <c r="H55" s="23"/>
      <c r="I55" s="24"/>
      <c r="J55" s="5"/>
    </row>
    <row r="56" spans="1:10" ht="13.05" customHeight="1">
      <c r="A56" s="18" t="s">
        <v>2432</v>
      </c>
      <c r="B56" s="19" t="s">
        <v>2433</v>
      </c>
      <c r="C56" s="15" t="s">
        <v>2434</v>
      </c>
      <c r="D56" s="15" t="s">
        <v>581</v>
      </c>
      <c r="E56" s="20">
        <v>33938</v>
      </c>
      <c r="F56" s="21">
        <v>489.58960000000002</v>
      </c>
      <c r="G56" s="22">
        <v>5.3E-3</v>
      </c>
      <c r="H56" s="23"/>
      <c r="I56" s="24"/>
      <c r="J56" s="5"/>
    </row>
    <row r="57" spans="1:10" ht="13.05" customHeight="1">
      <c r="A57" s="18" t="s">
        <v>2435</v>
      </c>
      <c r="B57" s="19" t="s">
        <v>2436</v>
      </c>
      <c r="C57" s="15" t="s">
        <v>2437</v>
      </c>
      <c r="D57" s="15" t="s">
        <v>567</v>
      </c>
      <c r="E57" s="20">
        <v>31881</v>
      </c>
      <c r="F57" s="21">
        <v>482.58269999999999</v>
      </c>
      <c r="G57" s="22">
        <v>5.1999999999999998E-3</v>
      </c>
      <c r="H57" s="23"/>
      <c r="I57" s="24"/>
      <c r="J57" s="5"/>
    </row>
    <row r="58" spans="1:10" ht="13.05" customHeight="1">
      <c r="A58" s="18" t="s">
        <v>1848</v>
      </c>
      <c r="B58" s="19" t="s">
        <v>1849</v>
      </c>
      <c r="C58" s="15" t="s">
        <v>1850</v>
      </c>
      <c r="D58" s="15" t="s">
        <v>304</v>
      </c>
      <c r="E58" s="20">
        <v>95768</v>
      </c>
      <c r="F58" s="21">
        <v>481.56939999999997</v>
      </c>
      <c r="G58" s="22">
        <v>5.1999999999999998E-3</v>
      </c>
      <c r="H58" s="23"/>
      <c r="I58" s="24"/>
      <c r="J58" s="5"/>
    </row>
    <row r="59" spans="1:10" ht="13.05" customHeight="1">
      <c r="A59" s="18" t="s">
        <v>564</v>
      </c>
      <c r="B59" s="19" t="s">
        <v>565</v>
      </c>
      <c r="C59" s="15" t="s">
        <v>566</v>
      </c>
      <c r="D59" s="15" t="s">
        <v>567</v>
      </c>
      <c r="E59" s="20">
        <v>455484</v>
      </c>
      <c r="F59" s="21">
        <v>480.03460000000001</v>
      </c>
      <c r="G59" s="22">
        <v>5.1999999999999998E-3</v>
      </c>
      <c r="H59" s="23"/>
      <c r="I59" s="24"/>
      <c r="J59" s="5"/>
    </row>
    <row r="60" spans="1:10" ht="13.05" customHeight="1">
      <c r="A60" s="18" t="s">
        <v>330</v>
      </c>
      <c r="B60" s="19" t="s">
        <v>331</v>
      </c>
      <c r="C60" s="15" t="s">
        <v>332</v>
      </c>
      <c r="D60" s="15" t="s">
        <v>333</v>
      </c>
      <c r="E60" s="20">
        <v>261628</v>
      </c>
      <c r="F60" s="21">
        <v>478.36059999999998</v>
      </c>
      <c r="G60" s="22">
        <v>5.1999999999999998E-3</v>
      </c>
      <c r="H60" s="23"/>
      <c r="I60" s="24"/>
      <c r="J60" s="5"/>
    </row>
    <row r="61" spans="1:10" ht="13.05" customHeight="1">
      <c r="A61" s="18" t="s">
        <v>1370</v>
      </c>
      <c r="B61" s="19" t="s">
        <v>1371</v>
      </c>
      <c r="C61" s="15" t="s">
        <v>1372</v>
      </c>
      <c r="D61" s="15" t="s">
        <v>846</v>
      </c>
      <c r="E61" s="20">
        <v>53735</v>
      </c>
      <c r="F61" s="21">
        <v>464.2704</v>
      </c>
      <c r="G61" s="22">
        <v>5.0000000000000001E-3</v>
      </c>
      <c r="H61" s="23"/>
      <c r="I61" s="24"/>
      <c r="J61" s="5"/>
    </row>
    <row r="62" spans="1:10" ht="13.05" customHeight="1">
      <c r="A62" s="18" t="s">
        <v>907</v>
      </c>
      <c r="B62" s="19" t="s">
        <v>908</v>
      </c>
      <c r="C62" s="15" t="s">
        <v>909</v>
      </c>
      <c r="D62" s="15" t="s">
        <v>415</v>
      </c>
      <c r="E62" s="20">
        <v>63911</v>
      </c>
      <c r="F62" s="21">
        <v>460.83030000000002</v>
      </c>
      <c r="G62" s="22">
        <v>5.0000000000000001E-3</v>
      </c>
      <c r="H62" s="23"/>
      <c r="I62" s="24"/>
      <c r="J62" s="5"/>
    </row>
    <row r="63" spans="1:10" ht="13.05" customHeight="1">
      <c r="A63" s="18" t="s">
        <v>345</v>
      </c>
      <c r="B63" s="19" t="s">
        <v>346</v>
      </c>
      <c r="C63" s="15" t="s">
        <v>347</v>
      </c>
      <c r="D63" s="15" t="s">
        <v>348</v>
      </c>
      <c r="E63" s="20">
        <v>8103</v>
      </c>
      <c r="F63" s="21">
        <v>455.79379999999998</v>
      </c>
      <c r="G63" s="22">
        <v>4.8999999999999998E-3</v>
      </c>
      <c r="H63" s="23"/>
      <c r="I63" s="24"/>
      <c r="J63" s="5"/>
    </row>
    <row r="64" spans="1:10" ht="13.05" customHeight="1">
      <c r="A64" s="18" t="s">
        <v>485</v>
      </c>
      <c r="B64" s="19" t="s">
        <v>486</v>
      </c>
      <c r="C64" s="15" t="s">
        <v>487</v>
      </c>
      <c r="D64" s="15" t="s">
        <v>304</v>
      </c>
      <c r="E64" s="20">
        <v>10784</v>
      </c>
      <c r="F64" s="21">
        <v>447.91340000000002</v>
      </c>
      <c r="G64" s="22">
        <v>4.7999999999999996E-3</v>
      </c>
      <c r="H64" s="23"/>
      <c r="I64" s="24"/>
      <c r="J64" s="5"/>
    </row>
    <row r="65" spans="1:10" ht="13.05" customHeight="1">
      <c r="A65" s="18" t="s">
        <v>452</v>
      </c>
      <c r="B65" s="19" t="s">
        <v>453</v>
      </c>
      <c r="C65" s="15" t="s">
        <v>454</v>
      </c>
      <c r="D65" s="15" t="s">
        <v>391</v>
      </c>
      <c r="E65" s="20">
        <v>7516</v>
      </c>
      <c r="F65" s="21">
        <v>438.67129999999997</v>
      </c>
      <c r="G65" s="22">
        <v>4.7000000000000002E-3</v>
      </c>
      <c r="H65" s="23"/>
      <c r="I65" s="24"/>
      <c r="J65" s="5"/>
    </row>
    <row r="66" spans="1:10" ht="13.05" customHeight="1">
      <c r="A66" s="18" t="s">
        <v>449</v>
      </c>
      <c r="B66" s="19" t="s">
        <v>450</v>
      </c>
      <c r="C66" s="15" t="s">
        <v>451</v>
      </c>
      <c r="D66" s="15" t="s">
        <v>261</v>
      </c>
      <c r="E66" s="20">
        <v>119212</v>
      </c>
      <c r="F66" s="21">
        <v>425.34840000000003</v>
      </c>
      <c r="G66" s="22">
        <v>4.5999999999999999E-3</v>
      </c>
      <c r="H66" s="23"/>
      <c r="I66" s="24"/>
      <c r="J66" s="5"/>
    </row>
    <row r="67" spans="1:10" ht="13.05" customHeight="1">
      <c r="A67" s="18" t="s">
        <v>1519</v>
      </c>
      <c r="B67" s="19" t="s">
        <v>1520</v>
      </c>
      <c r="C67" s="15" t="s">
        <v>1521</v>
      </c>
      <c r="D67" s="15" t="s">
        <v>300</v>
      </c>
      <c r="E67" s="20">
        <v>76140</v>
      </c>
      <c r="F67" s="21">
        <v>388.19979999999998</v>
      </c>
      <c r="G67" s="22">
        <v>4.1999999999999997E-3</v>
      </c>
      <c r="H67" s="23"/>
      <c r="I67" s="24"/>
      <c r="J67" s="5"/>
    </row>
    <row r="68" spans="1:10" ht="13.05" customHeight="1">
      <c r="A68" s="18" t="s">
        <v>1299</v>
      </c>
      <c r="B68" s="19" t="s">
        <v>1300</v>
      </c>
      <c r="C68" s="15" t="s">
        <v>1301</v>
      </c>
      <c r="D68" s="15" t="s">
        <v>325</v>
      </c>
      <c r="E68" s="20">
        <v>65554</v>
      </c>
      <c r="F68" s="21">
        <v>374.28059999999999</v>
      </c>
      <c r="G68" s="22">
        <v>4.0000000000000001E-3</v>
      </c>
      <c r="H68" s="23"/>
      <c r="I68" s="24"/>
      <c r="J68" s="5"/>
    </row>
    <row r="69" spans="1:10" ht="13.05" customHeight="1">
      <c r="A69" s="18" t="s">
        <v>365</v>
      </c>
      <c r="B69" s="19" t="s">
        <v>366</v>
      </c>
      <c r="C69" s="15" t="s">
        <v>367</v>
      </c>
      <c r="D69" s="15" t="s">
        <v>300</v>
      </c>
      <c r="E69" s="20">
        <v>49884</v>
      </c>
      <c r="F69" s="21">
        <v>373.5813</v>
      </c>
      <c r="G69" s="22">
        <v>4.0000000000000001E-3</v>
      </c>
      <c r="H69" s="23"/>
      <c r="I69" s="24"/>
      <c r="J69" s="5"/>
    </row>
    <row r="70" spans="1:10" ht="13.05" customHeight="1">
      <c r="A70" s="18" t="s">
        <v>578</v>
      </c>
      <c r="B70" s="19" t="s">
        <v>579</v>
      </c>
      <c r="C70" s="15" t="s">
        <v>580</v>
      </c>
      <c r="D70" s="15" t="s">
        <v>581</v>
      </c>
      <c r="E70" s="20">
        <v>25372</v>
      </c>
      <c r="F70" s="21">
        <v>366.52390000000003</v>
      </c>
      <c r="G70" s="22">
        <v>4.0000000000000001E-3</v>
      </c>
      <c r="H70" s="23"/>
      <c r="I70" s="24"/>
      <c r="J70" s="5"/>
    </row>
    <row r="71" spans="1:10" ht="13.05" customHeight="1">
      <c r="A71" s="18" t="s">
        <v>561</v>
      </c>
      <c r="B71" s="19" t="s">
        <v>562</v>
      </c>
      <c r="C71" s="15" t="s">
        <v>563</v>
      </c>
      <c r="D71" s="15" t="s">
        <v>300</v>
      </c>
      <c r="E71" s="20">
        <v>89940</v>
      </c>
      <c r="F71" s="21">
        <v>337.14010000000002</v>
      </c>
      <c r="G71" s="22">
        <v>3.5999999999999999E-3</v>
      </c>
      <c r="H71" s="23"/>
      <c r="I71" s="24"/>
      <c r="J71" s="5"/>
    </row>
    <row r="72" spans="1:10" ht="13.05" customHeight="1">
      <c r="A72" s="18" t="s">
        <v>305</v>
      </c>
      <c r="B72" s="19" t="s">
        <v>306</v>
      </c>
      <c r="C72" s="15" t="s">
        <v>307</v>
      </c>
      <c r="D72" s="15" t="s">
        <v>280</v>
      </c>
      <c r="E72" s="20">
        <v>13595</v>
      </c>
      <c r="F72" s="21">
        <v>335.18470000000002</v>
      </c>
      <c r="G72" s="22">
        <v>3.5999999999999999E-3</v>
      </c>
      <c r="H72" s="23"/>
      <c r="I72" s="24"/>
      <c r="J72" s="5"/>
    </row>
    <row r="73" spans="1:10" ht="13.05" customHeight="1">
      <c r="A73" s="18" t="s">
        <v>685</v>
      </c>
      <c r="B73" s="19" t="s">
        <v>686</v>
      </c>
      <c r="C73" s="15" t="s">
        <v>687</v>
      </c>
      <c r="D73" s="15" t="s">
        <v>272</v>
      </c>
      <c r="E73" s="20">
        <v>9584</v>
      </c>
      <c r="F73" s="21">
        <v>264.94009999999997</v>
      </c>
      <c r="G73" s="22">
        <v>2.8999999999999998E-3</v>
      </c>
      <c r="H73" s="23"/>
      <c r="I73" s="24"/>
      <c r="J73" s="5"/>
    </row>
    <row r="74" spans="1:10" ht="13.05" customHeight="1">
      <c r="A74" s="18" t="s">
        <v>777</v>
      </c>
      <c r="B74" s="19" t="s">
        <v>778</v>
      </c>
      <c r="C74" s="15" t="s">
        <v>779</v>
      </c>
      <c r="D74" s="15" t="s">
        <v>314</v>
      </c>
      <c r="E74" s="20">
        <v>25737</v>
      </c>
      <c r="F74" s="21">
        <v>250.79419999999999</v>
      </c>
      <c r="G74" s="22">
        <v>2.7000000000000001E-3</v>
      </c>
      <c r="H74" s="23"/>
      <c r="I74" s="24"/>
      <c r="J74" s="5"/>
    </row>
    <row r="75" spans="1:10" ht="13.05" customHeight="1">
      <c r="A75" s="18" t="s">
        <v>940</v>
      </c>
      <c r="B75" s="19" t="s">
        <v>941</v>
      </c>
      <c r="C75" s="15" t="s">
        <v>942</v>
      </c>
      <c r="D75" s="15" t="s">
        <v>567</v>
      </c>
      <c r="E75" s="20">
        <v>5629</v>
      </c>
      <c r="F75" s="21">
        <v>226.3646</v>
      </c>
      <c r="G75" s="22">
        <v>2.3999999999999998E-3</v>
      </c>
      <c r="H75" s="23"/>
      <c r="I75" s="24"/>
      <c r="J75" s="5"/>
    </row>
    <row r="76" spans="1:10" ht="13.05" customHeight="1">
      <c r="A76" s="18" t="s">
        <v>640</v>
      </c>
      <c r="B76" s="19" t="s">
        <v>641</v>
      </c>
      <c r="C76" s="15" t="s">
        <v>642</v>
      </c>
      <c r="D76" s="15" t="s">
        <v>296</v>
      </c>
      <c r="E76" s="20">
        <v>8954</v>
      </c>
      <c r="F76" s="21">
        <v>218.3612</v>
      </c>
      <c r="G76" s="22">
        <v>2.3999999999999998E-3</v>
      </c>
      <c r="H76" s="23"/>
      <c r="I76" s="24"/>
      <c r="J76" s="5"/>
    </row>
    <row r="77" spans="1:10" ht="13.05" customHeight="1">
      <c r="A77" s="18" t="s">
        <v>529</v>
      </c>
      <c r="B77" s="19" t="s">
        <v>530</v>
      </c>
      <c r="C77" s="15" t="s">
        <v>531</v>
      </c>
      <c r="D77" s="15" t="s">
        <v>257</v>
      </c>
      <c r="E77" s="20">
        <v>76252</v>
      </c>
      <c r="F77" s="21">
        <v>212.28559999999999</v>
      </c>
      <c r="G77" s="22">
        <v>2.3E-3</v>
      </c>
      <c r="H77" s="23"/>
      <c r="I77" s="24"/>
      <c r="J77" s="5"/>
    </row>
    <row r="78" spans="1:10" ht="13.05" customHeight="1">
      <c r="A78" s="18" t="s">
        <v>828</v>
      </c>
      <c r="B78" s="19" t="s">
        <v>829</v>
      </c>
      <c r="C78" s="15" t="s">
        <v>830</v>
      </c>
      <c r="D78" s="15" t="s">
        <v>567</v>
      </c>
      <c r="E78" s="20">
        <v>43354</v>
      </c>
      <c r="F78" s="21">
        <v>204.95599999999999</v>
      </c>
      <c r="G78" s="22">
        <v>2.2000000000000001E-3</v>
      </c>
      <c r="H78" s="23"/>
      <c r="I78" s="24"/>
      <c r="J78" s="5"/>
    </row>
    <row r="79" spans="1:10" ht="13.05" customHeight="1">
      <c r="A79" s="18" t="s">
        <v>2438</v>
      </c>
      <c r="B79" s="19" t="s">
        <v>2439</v>
      </c>
      <c r="C79" s="15" t="s">
        <v>2440</v>
      </c>
      <c r="D79" s="15" t="s">
        <v>445</v>
      </c>
      <c r="E79" s="20">
        <v>2552</v>
      </c>
      <c r="F79" s="21">
        <v>188.93729999999999</v>
      </c>
      <c r="G79" s="22">
        <v>2E-3</v>
      </c>
      <c r="H79" s="23"/>
      <c r="I79" s="24"/>
      <c r="J79" s="5"/>
    </row>
    <row r="80" spans="1:10" ht="13.05" customHeight="1">
      <c r="A80" s="18" t="s">
        <v>277</v>
      </c>
      <c r="B80" s="19" t="s">
        <v>278</v>
      </c>
      <c r="C80" s="15" t="s">
        <v>279</v>
      </c>
      <c r="D80" s="15" t="s">
        <v>280</v>
      </c>
      <c r="E80" s="20">
        <v>40382</v>
      </c>
      <c r="F80" s="21">
        <v>169.7457</v>
      </c>
      <c r="G80" s="22">
        <v>1.8E-3</v>
      </c>
      <c r="H80" s="23"/>
      <c r="I80" s="24"/>
      <c r="J80" s="5"/>
    </row>
    <row r="81" spans="1:10" ht="13.05" customHeight="1">
      <c r="A81" s="18" t="s">
        <v>1492</v>
      </c>
      <c r="B81" s="19" t="s">
        <v>1493</v>
      </c>
      <c r="C81" s="15" t="s">
        <v>1494</v>
      </c>
      <c r="D81" s="15" t="s">
        <v>603</v>
      </c>
      <c r="E81" s="20">
        <v>32651</v>
      </c>
      <c r="F81" s="21">
        <v>163.97329999999999</v>
      </c>
      <c r="G81" s="22">
        <v>1.8E-3</v>
      </c>
      <c r="H81" s="23"/>
      <c r="I81" s="24"/>
      <c r="J81" s="5"/>
    </row>
    <row r="82" spans="1:10" ht="13.05" customHeight="1">
      <c r="A82" s="18" t="s">
        <v>810</v>
      </c>
      <c r="B82" s="19" t="s">
        <v>811</v>
      </c>
      <c r="C82" s="15" t="s">
        <v>812</v>
      </c>
      <c r="D82" s="15" t="s">
        <v>567</v>
      </c>
      <c r="E82" s="20">
        <v>12888</v>
      </c>
      <c r="F82" s="21">
        <v>159.1926</v>
      </c>
      <c r="G82" s="22">
        <v>1.6999999999999999E-3</v>
      </c>
      <c r="H82" s="23"/>
      <c r="I82" s="24"/>
      <c r="J82" s="5"/>
    </row>
    <row r="83" spans="1:10" ht="13.05" customHeight="1">
      <c r="A83" s="18" t="s">
        <v>538</v>
      </c>
      <c r="B83" s="19" t="s">
        <v>539</v>
      </c>
      <c r="C83" s="15" t="s">
        <v>540</v>
      </c>
      <c r="D83" s="15" t="s">
        <v>541</v>
      </c>
      <c r="E83" s="20">
        <v>14089</v>
      </c>
      <c r="F83" s="21">
        <v>106.54810000000001</v>
      </c>
      <c r="G83" s="22">
        <v>1.1000000000000001E-3</v>
      </c>
      <c r="H83" s="23"/>
      <c r="I83" s="24"/>
      <c r="J83" s="5"/>
    </row>
    <row r="84" spans="1:10" ht="13.05" customHeight="1">
      <c r="A84" s="18" t="s">
        <v>1698</v>
      </c>
      <c r="B84" s="19" t="s">
        <v>1699</v>
      </c>
      <c r="C84" s="15" t="s">
        <v>1700</v>
      </c>
      <c r="D84" s="15" t="s">
        <v>304</v>
      </c>
      <c r="E84" s="20">
        <v>15138</v>
      </c>
      <c r="F84" s="21">
        <v>97.753600000000006</v>
      </c>
      <c r="G84" s="22">
        <v>1.1000000000000001E-3</v>
      </c>
      <c r="H84" s="23"/>
      <c r="I84" s="24"/>
      <c r="J84" s="5"/>
    </row>
    <row r="85" spans="1:10" ht="13.05" customHeight="1">
      <c r="A85" s="18" t="s">
        <v>378</v>
      </c>
      <c r="B85" s="19" t="s">
        <v>379</v>
      </c>
      <c r="C85" s="15" t="s">
        <v>380</v>
      </c>
      <c r="D85" s="15" t="s">
        <v>381</v>
      </c>
      <c r="E85" s="20">
        <v>33927</v>
      </c>
      <c r="F85" s="21">
        <v>86.639399999999995</v>
      </c>
      <c r="G85" s="22">
        <v>8.9999999999999998E-4</v>
      </c>
      <c r="H85" s="23"/>
      <c r="I85" s="24"/>
      <c r="J85" s="5"/>
    </row>
    <row r="86" spans="1:10" ht="13.05" customHeight="1">
      <c r="A86" s="18" t="s">
        <v>334</v>
      </c>
      <c r="B86" s="19" t="s">
        <v>335</v>
      </c>
      <c r="C86" s="15" t="s">
        <v>336</v>
      </c>
      <c r="D86" s="15" t="s">
        <v>337</v>
      </c>
      <c r="E86" s="20">
        <v>725</v>
      </c>
      <c r="F86" s="21">
        <v>86.615799999999993</v>
      </c>
      <c r="G86" s="22">
        <v>8.9999999999999998E-4</v>
      </c>
      <c r="H86" s="23"/>
      <c r="I86" s="24"/>
      <c r="J86" s="5"/>
    </row>
    <row r="87" spans="1:10" ht="13.05" customHeight="1">
      <c r="A87" s="18" t="s">
        <v>1791</v>
      </c>
      <c r="B87" s="19" t="s">
        <v>1792</v>
      </c>
      <c r="C87" s="15" t="s">
        <v>1793</v>
      </c>
      <c r="D87" s="15" t="s">
        <v>581</v>
      </c>
      <c r="E87" s="20">
        <v>7871</v>
      </c>
      <c r="F87" s="21">
        <v>79.402600000000007</v>
      </c>
      <c r="G87" s="22">
        <v>8.9999999999999998E-4</v>
      </c>
      <c r="H87" s="23"/>
      <c r="I87" s="24"/>
      <c r="J87" s="5"/>
    </row>
    <row r="88" spans="1:10" ht="13.05" customHeight="1">
      <c r="A88" s="18" t="s">
        <v>409</v>
      </c>
      <c r="B88" s="19" t="s">
        <v>410</v>
      </c>
      <c r="C88" s="15" t="s">
        <v>411</v>
      </c>
      <c r="D88" s="15" t="s">
        <v>296</v>
      </c>
      <c r="E88" s="20">
        <v>19112</v>
      </c>
      <c r="F88" s="21">
        <v>78.359200000000001</v>
      </c>
      <c r="G88" s="22">
        <v>8.0000000000000004E-4</v>
      </c>
      <c r="H88" s="23"/>
      <c r="I88" s="24"/>
      <c r="J88" s="5"/>
    </row>
    <row r="89" spans="1:10" ht="13.05" customHeight="1">
      <c r="A89" s="18" t="s">
        <v>388</v>
      </c>
      <c r="B89" s="19" t="s">
        <v>389</v>
      </c>
      <c r="C89" s="15" t="s">
        <v>390</v>
      </c>
      <c r="D89" s="15" t="s">
        <v>391</v>
      </c>
      <c r="E89" s="20">
        <v>5192</v>
      </c>
      <c r="F89" s="21">
        <v>66.021500000000003</v>
      </c>
      <c r="G89" s="22">
        <v>6.9999999999999999E-4</v>
      </c>
      <c r="H89" s="23"/>
      <c r="I89" s="24"/>
      <c r="J89" s="5"/>
    </row>
    <row r="90" spans="1:10" ht="13.05" customHeight="1">
      <c r="A90" s="18" t="s">
        <v>1388</v>
      </c>
      <c r="B90" s="19" t="s">
        <v>1389</v>
      </c>
      <c r="C90" s="15" t="s">
        <v>1390</v>
      </c>
      <c r="D90" s="15" t="s">
        <v>846</v>
      </c>
      <c r="E90" s="20">
        <v>5958</v>
      </c>
      <c r="F90" s="21">
        <v>52.701500000000003</v>
      </c>
      <c r="G90" s="22">
        <v>5.9999999999999995E-4</v>
      </c>
      <c r="H90" s="23"/>
      <c r="I90" s="24"/>
      <c r="J90" s="5"/>
    </row>
    <row r="91" spans="1:10" ht="13.05" customHeight="1">
      <c r="A91" s="18" t="s">
        <v>505</v>
      </c>
      <c r="B91" s="19" t="s">
        <v>2339</v>
      </c>
      <c r="C91" s="15" t="s">
        <v>506</v>
      </c>
      <c r="D91" s="15" t="s">
        <v>507</v>
      </c>
      <c r="E91" s="20">
        <v>19112</v>
      </c>
      <c r="F91" s="21">
        <v>49.834499999999998</v>
      </c>
      <c r="G91" s="22">
        <v>5.0000000000000001E-4</v>
      </c>
      <c r="H91" s="23"/>
      <c r="I91" s="24"/>
      <c r="J91" s="5"/>
    </row>
    <row r="92" spans="1:10" ht="13.05" customHeight="1">
      <c r="A92" s="18" t="s">
        <v>398</v>
      </c>
      <c r="B92" s="19" t="s">
        <v>399</v>
      </c>
      <c r="C92" s="15" t="s">
        <v>400</v>
      </c>
      <c r="D92" s="15" t="s">
        <v>401</v>
      </c>
      <c r="E92" s="20">
        <v>10437</v>
      </c>
      <c r="F92" s="21">
        <v>40.563400000000001</v>
      </c>
      <c r="G92" s="22">
        <v>4.0000000000000002E-4</v>
      </c>
      <c r="H92" s="23"/>
      <c r="I92" s="24"/>
      <c r="J92" s="5"/>
    </row>
    <row r="93" spans="1:10" ht="13.05" customHeight="1">
      <c r="A93" s="18" t="s">
        <v>338</v>
      </c>
      <c r="B93" s="19" t="s">
        <v>339</v>
      </c>
      <c r="C93" s="15" t="s">
        <v>340</v>
      </c>
      <c r="D93" s="15" t="s">
        <v>321</v>
      </c>
      <c r="E93" s="20">
        <v>7300</v>
      </c>
      <c r="F93" s="21">
        <v>21.035</v>
      </c>
      <c r="G93" s="22">
        <v>2.0000000000000001E-4</v>
      </c>
      <c r="H93" s="23"/>
      <c r="I93" s="24"/>
      <c r="J93" s="5"/>
    </row>
    <row r="94" spans="1:10" ht="13.05" customHeight="1">
      <c r="A94" s="5"/>
      <c r="B94" s="14" t="s">
        <v>192</v>
      </c>
      <c r="C94" s="15"/>
      <c r="D94" s="15"/>
      <c r="E94" s="15"/>
      <c r="F94" s="25">
        <v>68396.021999999997</v>
      </c>
      <c r="G94" s="26">
        <v>0.73719999999999997</v>
      </c>
      <c r="H94" s="27"/>
      <c r="I94" s="28"/>
      <c r="J94" s="5"/>
    </row>
    <row r="95" spans="1:10" ht="13.05" customHeight="1">
      <c r="A95" s="5"/>
      <c r="B95" s="29" t="s">
        <v>1812</v>
      </c>
      <c r="C95" s="2"/>
      <c r="D95" s="2"/>
      <c r="E95" s="2"/>
      <c r="F95" s="27" t="s">
        <v>194</v>
      </c>
      <c r="G95" s="27" t="s">
        <v>194</v>
      </c>
      <c r="H95" s="27"/>
      <c r="I95" s="28"/>
      <c r="J95" s="5"/>
    </row>
    <row r="96" spans="1:10" ht="13.05" customHeight="1">
      <c r="A96" s="5"/>
      <c r="B96" s="29" t="s">
        <v>192</v>
      </c>
      <c r="C96" s="2"/>
      <c r="D96" s="2"/>
      <c r="E96" s="2"/>
      <c r="F96" s="27" t="s">
        <v>194</v>
      </c>
      <c r="G96" s="27" t="s">
        <v>194</v>
      </c>
      <c r="H96" s="27"/>
      <c r="I96" s="28"/>
      <c r="J96" s="5"/>
    </row>
    <row r="97" spans="1:10" ht="13.05" customHeight="1">
      <c r="A97" s="5"/>
      <c r="B97" s="29" t="s">
        <v>195</v>
      </c>
      <c r="C97" s="30"/>
      <c r="D97" s="2"/>
      <c r="E97" s="30"/>
      <c r="F97" s="25">
        <v>68396.021999999997</v>
      </c>
      <c r="G97" s="26">
        <v>0.73719999999999997</v>
      </c>
      <c r="H97" s="27"/>
      <c r="I97" s="28"/>
      <c r="J97" s="5"/>
    </row>
    <row r="98" spans="1:10" ht="13.05" customHeight="1">
      <c r="A98" s="5"/>
      <c r="B98" s="14" t="s">
        <v>183</v>
      </c>
      <c r="C98" s="15"/>
      <c r="D98" s="15"/>
      <c r="E98" s="15"/>
      <c r="F98" s="15"/>
      <c r="G98" s="15"/>
      <c r="H98" s="16"/>
      <c r="I98" s="17"/>
      <c r="J98" s="5"/>
    </row>
    <row r="99" spans="1:10" ht="13.05" customHeight="1">
      <c r="A99" s="5"/>
      <c r="B99" s="14" t="s">
        <v>184</v>
      </c>
      <c r="C99" s="15"/>
      <c r="D99" s="15"/>
      <c r="E99" s="15"/>
      <c r="F99" s="5"/>
      <c r="G99" s="16"/>
      <c r="H99" s="16"/>
      <c r="I99" s="17"/>
      <c r="J99" s="5"/>
    </row>
    <row r="100" spans="1:10" ht="13.05" customHeight="1">
      <c r="A100" s="18" t="s">
        <v>2441</v>
      </c>
      <c r="B100" s="19" t="s">
        <v>2442</v>
      </c>
      <c r="C100" s="15" t="s">
        <v>2443</v>
      </c>
      <c r="D100" s="15" t="s">
        <v>188</v>
      </c>
      <c r="E100" s="20">
        <v>7500000</v>
      </c>
      <c r="F100" s="21">
        <v>7741.5524999999998</v>
      </c>
      <c r="G100" s="22">
        <v>8.3400000000000002E-2</v>
      </c>
      <c r="H100" s="23">
        <v>6.7038E-2</v>
      </c>
      <c r="I100" s="24"/>
      <c r="J100" s="5"/>
    </row>
    <row r="101" spans="1:10" ht="13.05" customHeight="1">
      <c r="A101" s="18" t="s">
        <v>1890</v>
      </c>
      <c r="B101" s="19" t="s">
        <v>1891</v>
      </c>
      <c r="C101" s="15" t="s">
        <v>1892</v>
      </c>
      <c r="D101" s="15" t="s">
        <v>188</v>
      </c>
      <c r="E101" s="20">
        <v>3500000</v>
      </c>
      <c r="F101" s="21">
        <v>3629.038</v>
      </c>
      <c r="G101" s="22">
        <v>3.9100000000000003E-2</v>
      </c>
      <c r="H101" s="23">
        <v>6.6730999999999999E-2</v>
      </c>
      <c r="I101" s="24"/>
      <c r="J101" s="5"/>
    </row>
    <row r="102" spans="1:10" ht="13.05" customHeight="1">
      <c r="A102" s="18" t="s">
        <v>2444</v>
      </c>
      <c r="B102" s="19" t="s">
        <v>2445</v>
      </c>
      <c r="C102" s="15" t="s">
        <v>2446</v>
      </c>
      <c r="D102" s="15" t="s">
        <v>2447</v>
      </c>
      <c r="E102" s="20">
        <v>2000</v>
      </c>
      <c r="F102" s="21">
        <v>2027.972</v>
      </c>
      <c r="G102" s="22">
        <v>2.1899999999999999E-2</v>
      </c>
      <c r="H102" s="23">
        <v>7.8100000000000003E-2</v>
      </c>
      <c r="I102" s="24"/>
      <c r="J102" s="5"/>
    </row>
    <row r="103" spans="1:10" ht="13.05" customHeight="1">
      <c r="A103" s="18" t="s">
        <v>2054</v>
      </c>
      <c r="B103" s="19" t="s">
        <v>2055</v>
      </c>
      <c r="C103" s="15" t="s">
        <v>2056</v>
      </c>
      <c r="D103" s="15" t="s">
        <v>213</v>
      </c>
      <c r="E103" s="20">
        <v>1000</v>
      </c>
      <c r="F103" s="21">
        <v>1029.998</v>
      </c>
      <c r="G103" s="22">
        <v>1.11E-2</v>
      </c>
      <c r="H103" s="23">
        <v>7.0899000000000004E-2</v>
      </c>
      <c r="I103" s="24"/>
      <c r="J103" s="5"/>
    </row>
    <row r="104" spans="1:10" ht="13.05" customHeight="1">
      <c r="A104" s="18" t="s">
        <v>2448</v>
      </c>
      <c r="B104" s="19" t="s">
        <v>2449</v>
      </c>
      <c r="C104" s="15" t="s">
        <v>2450</v>
      </c>
      <c r="D104" s="15" t="s">
        <v>2451</v>
      </c>
      <c r="E104" s="20">
        <v>1000</v>
      </c>
      <c r="F104" s="21">
        <v>1010.24</v>
      </c>
      <c r="G104" s="22">
        <v>1.09E-2</v>
      </c>
      <c r="H104" s="23">
        <v>0.10395</v>
      </c>
      <c r="I104" s="24"/>
      <c r="J104" s="5"/>
    </row>
    <row r="105" spans="1:10" ht="13.05" customHeight="1">
      <c r="A105" s="18" t="s">
        <v>2452</v>
      </c>
      <c r="B105" s="19" t="s">
        <v>2453</v>
      </c>
      <c r="C105" s="15" t="s">
        <v>2454</v>
      </c>
      <c r="D105" s="15" t="s">
        <v>1923</v>
      </c>
      <c r="E105" s="20">
        <v>1000</v>
      </c>
      <c r="F105" s="21">
        <v>1004.603</v>
      </c>
      <c r="G105" s="22">
        <v>1.0800000000000001E-2</v>
      </c>
      <c r="H105" s="23">
        <v>6.7299999999999999E-2</v>
      </c>
      <c r="I105" s="24"/>
      <c r="J105" s="5"/>
    </row>
    <row r="106" spans="1:10" ht="13.05" customHeight="1">
      <c r="A106" s="18" t="s">
        <v>2455</v>
      </c>
      <c r="B106" s="19" t="s">
        <v>2456</v>
      </c>
      <c r="C106" s="15" t="s">
        <v>2457</v>
      </c>
      <c r="D106" s="15" t="s">
        <v>213</v>
      </c>
      <c r="E106" s="20">
        <v>1000</v>
      </c>
      <c r="F106" s="21">
        <v>1001.413</v>
      </c>
      <c r="G106" s="22">
        <v>1.0800000000000001E-2</v>
      </c>
      <c r="H106" s="23">
        <v>7.1099999999999997E-2</v>
      </c>
      <c r="I106" s="24"/>
      <c r="J106" s="5"/>
    </row>
    <row r="107" spans="1:10" ht="13.05" customHeight="1">
      <c r="A107" s="18" t="s">
        <v>2458</v>
      </c>
      <c r="B107" s="19" t="s">
        <v>2459</v>
      </c>
      <c r="C107" s="15" t="s">
        <v>2460</v>
      </c>
      <c r="D107" s="15" t="s">
        <v>213</v>
      </c>
      <c r="E107" s="20">
        <v>100</v>
      </c>
      <c r="F107" s="21">
        <v>993.50699999999995</v>
      </c>
      <c r="G107" s="22">
        <v>1.0699999999999999E-2</v>
      </c>
      <c r="H107" s="23">
        <v>6.8881999999999999E-2</v>
      </c>
      <c r="I107" s="42">
        <v>6.9545884000000002E-2</v>
      </c>
      <c r="J107" s="5"/>
    </row>
    <row r="108" spans="1:10" ht="13.05" customHeight="1">
      <c r="A108" s="18" t="s">
        <v>1958</v>
      </c>
      <c r="B108" s="19" t="s">
        <v>1959</v>
      </c>
      <c r="C108" s="15" t="s">
        <v>1960</v>
      </c>
      <c r="D108" s="15" t="s">
        <v>188</v>
      </c>
      <c r="E108" s="20">
        <v>500000</v>
      </c>
      <c r="F108" s="21">
        <v>519.26250000000005</v>
      </c>
      <c r="G108" s="22">
        <v>5.5999999999999999E-3</v>
      </c>
      <c r="H108" s="23">
        <v>6.6900000000000001E-2</v>
      </c>
      <c r="I108" s="42"/>
      <c r="J108" s="5"/>
    </row>
    <row r="109" spans="1:10" ht="13.05" customHeight="1">
      <c r="A109" s="18" t="s">
        <v>2126</v>
      </c>
      <c r="B109" s="19" t="s">
        <v>2127</v>
      </c>
      <c r="C109" s="15" t="s">
        <v>2128</v>
      </c>
      <c r="D109" s="15" t="s">
        <v>213</v>
      </c>
      <c r="E109" s="20">
        <v>500</v>
      </c>
      <c r="F109" s="21">
        <v>516.529</v>
      </c>
      <c r="G109" s="22">
        <v>5.5999999999999999E-3</v>
      </c>
      <c r="H109" s="23">
        <v>7.0899000000000004E-2</v>
      </c>
      <c r="I109" s="42"/>
      <c r="J109" s="5"/>
    </row>
    <row r="110" spans="1:10" ht="13.05" customHeight="1">
      <c r="A110" s="18" t="s">
        <v>2461</v>
      </c>
      <c r="B110" s="19" t="s">
        <v>2462</v>
      </c>
      <c r="C110" s="15" t="s">
        <v>2463</v>
      </c>
      <c r="D110" s="15" t="s">
        <v>213</v>
      </c>
      <c r="E110" s="20">
        <v>500</v>
      </c>
      <c r="F110" s="21">
        <v>515.96349999999995</v>
      </c>
      <c r="G110" s="22">
        <v>5.5999999999999999E-3</v>
      </c>
      <c r="H110" s="23">
        <v>7.1800000000000003E-2</v>
      </c>
      <c r="I110" s="42"/>
      <c r="J110" s="5"/>
    </row>
    <row r="111" spans="1:10" ht="13.05" customHeight="1">
      <c r="A111" s="18" t="s">
        <v>2464</v>
      </c>
      <c r="B111" s="19" t="s">
        <v>2465</v>
      </c>
      <c r="C111" s="15" t="s">
        <v>2466</v>
      </c>
      <c r="D111" s="15" t="s">
        <v>213</v>
      </c>
      <c r="E111" s="20">
        <v>500</v>
      </c>
      <c r="F111" s="21">
        <v>511.70299999999997</v>
      </c>
      <c r="G111" s="22">
        <v>5.4999999999999997E-3</v>
      </c>
      <c r="H111" s="23">
        <v>6.7724999999999994E-2</v>
      </c>
      <c r="I111" s="42"/>
      <c r="J111" s="5"/>
    </row>
    <row r="112" spans="1:10" ht="13.05" customHeight="1">
      <c r="A112" s="18" t="s">
        <v>2467</v>
      </c>
      <c r="B112" s="19" t="s">
        <v>2468</v>
      </c>
      <c r="C112" s="15" t="s">
        <v>2469</v>
      </c>
      <c r="D112" s="15" t="s">
        <v>2447</v>
      </c>
      <c r="E112" s="20">
        <v>500</v>
      </c>
      <c r="F112" s="21">
        <v>505.77050000000003</v>
      </c>
      <c r="G112" s="22">
        <v>5.4999999999999997E-3</v>
      </c>
      <c r="H112" s="23">
        <v>7.7998999999999999E-2</v>
      </c>
      <c r="I112" s="42"/>
      <c r="J112" s="5"/>
    </row>
    <row r="113" spans="1:10" ht="13.05" customHeight="1">
      <c r="A113" s="18" t="s">
        <v>2470</v>
      </c>
      <c r="B113" s="19" t="s">
        <v>2471</v>
      </c>
      <c r="C113" s="15" t="s">
        <v>2472</v>
      </c>
      <c r="D113" s="15" t="s">
        <v>2473</v>
      </c>
      <c r="E113" s="20">
        <v>500</v>
      </c>
      <c r="F113" s="21">
        <v>503.07249999999999</v>
      </c>
      <c r="G113" s="22">
        <v>5.4000000000000003E-3</v>
      </c>
      <c r="H113" s="23">
        <v>8.3888000000000004E-2</v>
      </c>
      <c r="I113" s="42"/>
      <c r="J113" s="5"/>
    </row>
    <row r="114" spans="1:10" ht="13.05" customHeight="1">
      <c r="A114" s="18" t="s">
        <v>2474</v>
      </c>
      <c r="B114" s="19" t="s">
        <v>2475</v>
      </c>
      <c r="C114" s="15" t="s">
        <v>2476</v>
      </c>
      <c r="D114" s="15" t="s">
        <v>188</v>
      </c>
      <c r="E114" s="20">
        <v>500000</v>
      </c>
      <c r="F114" s="21">
        <v>493.37799999999999</v>
      </c>
      <c r="G114" s="22">
        <v>5.3E-3</v>
      </c>
      <c r="H114" s="23">
        <v>6.4801999999999998E-2</v>
      </c>
      <c r="I114" s="42"/>
      <c r="J114" s="5"/>
    </row>
    <row r="115" spans="1:10" ht="13.05" customHeight="1">
      <c r="A115" s="18" t="s">
        <v>2477</v>
      </c>
      <c r="B115" s="19" t="s">
        <v>2478</v>
      </c>
      <c r="C115" s="15" t="s">
        <v>2479</v>
      </c>
      <c r="D115" s="15" t="s">
        <v>188</v>
      </c>
      <c r="E115" s="20">
        <v>500000</v>
      </c>
      <c r="F115" s="21">
        <v>486.19450000000001</v>
      </c>
      <c r="G115" s="22">
        <v>5.1999999999999998E-3</v>
      </c>
      <c r="H115" s="23">
        <v>6.7138000000000003E-2</v>
      </c>
      <c r="I115" s="42"/>
      <c r="J115" s="5"/>
    </row>
    <row r="116" spans="1:10" ht="13.05" customHeight="1">
      <c r="A116" s="18" t="s">
        <v>2480</v>
      </c>
      <c r="B116" s="19" t="s">
        <v>2481</v>
      </c>
      <c r="C116" s="15" t="s">
        <v>2482</v>
      </c>
      <c r="D116" s="15" t="s">
        <v>188</v>
      </c>
      <c r="E116" s="20">
        <v>300000</v>
      </c>
      <c r="F116" s="21">
        <v>317.3766</v>
      </c>
      <c r="G116" s="22">
        <v>3.3999999999999998E-3</v>
      </c>
      <c r="H116" s="23">
        <v>6.6983000000000001E-2</v>
      </c>
      <c r="I116" s="42"/>
      <c r="J116" s="5"/>
    </row>
    <row r="117" spans="1:10" ht="13.05" customHeight="1">
      <c r="A117" s="18" t="s">
        <v>2483</v>
      </c>
      <c r="B117" s="19" t="s">
        <v>2484</v>
      </c>
      <c r="C117" s="15" t="s">
        <v>2485</v>
      </c>
      <c r="D117" s="15" t="s">
        <v>188</v>
      </c>
      <c r="E117" s="20">
        <v>50000</v>
      </c>
      <c r="F117" s="21">
        <v>50.183599999999998</v>
      </c>
      <c r="G117" s="22">
        <v>5.0000000000000001E-4</v>
      </c>
      <c r="H117" s="23">
        <v>5.5509000000000003E-2</v>
      </c>
      <c r="I117" s="42"/>
      <c r="J117" s="5"/>
    </row>
    <row r="118" spans="1:10" ht="13.05" customHeight="1">
      <c r="A118" s="5"/>
      <c r="B118" s="14" t="s">
        <v>192</v>
      </c>
      <c r="C118" s="15"/>
      <c r="D118" s="15"/>
      <c r="E118" s="15"/>
      <c r="F118" s="25">
        <v>22857.7572</v>
      </c>
      <c r="G118" s="26">
        <v>0.24640000000000001</v>
      </c>
      <c r="H118" s="27"/>
      <c r="I118" s="28"/>
      <c r="J118" s="5"/>
    </row>
    <row r="119" spans="1:10" ht="13.05" customHeight="1">
      <c r="A119" s="5"/>
      <c r="B119" s="29" t="s">
        <v>193</v>
      </c>
      <c r="C119" s="2"/>
      <c r="D119" s="2"/>
      <c r="E119" s="2"/>
      <c r="F119" s="27" t="s">
        <v>194</v>
      </c>
      <c r="G119" s="27" t="s">
        <v>194</v>
      </c>
      <c r="H119" s="27"/>
      <c r="I119" s="28"/>
      <c r="J119" s="5"/>
    </row>
    <row r="120" spans="1:10" ht="13.05" customHeight="1">
      <c r="A120" s="5"/>
      <c r="B120" s="29" t="s">
        <v>192</v>
      </c>
      <c r="C120" s="2"/>
      <c r="D120" s="2"/>
      <c r="E120" s="2"/>
      <c r="F120" s="27" t="s">
        <v>194</v>
      </c>
      <c r="G120" s="27" t="s">
        <v>194</v>
      </c>
      <c r="H120" s="27"/>
      <c r="I120" s="28"/>
      <c r="J120" s="5"/>
    </row>
    <row r="121" spans="1:10" ht="13.05" customHeight="1">
      <c r="A121" s="5"/>
      <c r="B121" s="29" t="s">
        <v>195</v>
      </c>
      <c r="C121" s="30"/>
      <c r="D121" s="2"/>
      <c r="E121" s="30"/>
      <c r="F121" s="25">
        <v>22857.7572</v>
      </c>
      <c r="G121" s="26">
        <v>0.24640000000000001</v>
      </c>
      <c r="H121" s="27"/>
      <c r="I121" s="28"/>
      <c r="J121" s="5"/>
    </row>
    <row r="122" spans="1:10" ht="13.05" customHeight="1">
      <c r="A122" s="5"/>
      <c r="B122" s="14" t="s">
        <v>196</v>
      </c>
      <c r="C122" s="15"/>
      <c r="D122" s="15"/>
      <c r="E122" s="15"/>
      <c r="F122" s="15"/>
      <c r="G122" s="15"/>
      <c r="H122" s="16"/>
      <c r="I122" s="17"/>
      <c r="J122" s="5"/>
    </row>
    <row r="123" spans="1:10" ht="13.05" customHeight="1">
      <c r="A123" s="18" t="s">
        <v>197</v>
      </c>
      <c r="B123" s="19" t="s">
        <v>198</v>
      </c>
      <c r="C123" s="15"/>
      <c r="D123" s="15"/>
      <c r="E123" s="20"/>
      <c r="F123" s="21">
        <v>1083.68</v>
      </c>
      <c r="G123" s="22">
        <v>1.17E-2</v>
      </c>
      <c r="H123" s="23">
        <v>5.5573613358271927E-2</v>
      </c>
      <c r="I123" s="42"/>
      <c r="J123" s="5"/>
    </row>
    <row r="124" spans="1:10" ht="13.05" customHeight="1">
      <c r="A124" s="5"/>
      <c r="B124" s="14" t="s">
        <v>192</v>
      </c>
      <c r="C124" s="15"/>
      <c r="D124" s="15"/>
      <c r="E124" s="15"/>
      <c r="F124" s="25">
        <v>1083.68</v>
      </c>
      <c r="G124" s="26">
        <v>1.17E-2</v>
      </c>
      <c r="H124" s="27"/>
      <c r="I124" s="28"/>
      <c r="J124" s="5"/>
    </row>
    <row r="125" spans="1:10" ht="13.05" customHeight="1">
      <c r="A125" s="5"/>
      <c r="B125" s="29" t="s">
        <v>193</v>
      </c>
      <c r="C125" s="2"/>
      <c r="D125" s="2"/>
      <c r="E125" s="2"/>
      <c r="F125" s="27" t="s">
        <v>194</v>
      </c>
      <c r="G125" s="27" t="s">
        <v>194</v>
      </c>
      <c r="H125" s="27"/>
      <c r="I125" s="28"/>
      <c r="J125" s="5"/>
    </row>
    <row r="126" spans="1:10" ht="13.05" customHeight="1">
      <c r="A126" s="5"/>
      <c r="B126" s="29" t="s">
        <v>192</v>
      </c>
      <c r="C126" s="2"/>
      <c r="D126" s="2"/>
      <c r="E126" s="2"/>
      <c r="F126" s="27" t="s">
        <v>194</v>
      </c>
      <c r="G126" s="27" t="s">
        <v>194</v>
      </c>
      <c r="H126" s="27"/>
      <c r="I126" s="28"/>
      <c r="J126" s="5"/>
    </row>
    <row r="127" spans="1:10" ht="13.05" customHeight="1">
      <c r="A127" s="5"/>
      <c r="B127" s="29" t="s">
        <v>195</v>
      </c>
      <c r="C127" s="30"/>
      <c r="D127" s="2"/>
      <c r="E127" s="30"/>
      <c r="F127" s="25">
        <v>1083.68</v>
      </c>
      <c r="G127" s="26">
        <v>1.17E-2</v>
      </c>
      <c r="H127" s="27"/>
      <c r="I127" s="28"/>
      <c r="J127" s="5"/>
    </row>
    <row r="128" spans="1:10" ht="13.05" customHeight="1">
      <c r="A128" s="5"/>
      <c r="B128" s="29" t="s">
        <v>199</v>
      </c>
      <c r="C128" s="15"/>
      <c r="D128" s="2"/>
      <c r="E128" s="15"/>
      <c r="F128" s="31">
        <v>435.89080000000001</v>
      </c>
      <c r="G128" s="26">
        <v>4.7000000000000002E-3</v>
      </c>
      <c r="H128" s="27"/>
      <c r="I128" s="28"/>
      <c r="J128" s="5"/>
    </row>
    <row r="129" spans="1:10" ht="13.05" customHeight="1">
      <c r="A129" s="5"/>
      <c r="B129" s="32" t="s">
        <v>200</v>
      </c>
      <c r="C129" s="33"/>
      <c r="D129" s="33"/>
      <c r="E129" s="33"/>
      <c r="F129" s="34">
        <v>92773.35</v>
      </c>
      <c r="G129" s="35">
        <v>1</v>
      </c>
      <c r="H129" s="36"/>
      <c r="I129" s="37"/>
      <c r="J129" s="5"/>
    </row>
    <row r="130" spans="1:10" ht="13.05" customHeight="1">
      <c r="A130" s="5"/>
      <c r="B130" s="7"/>
      <c r="C130" s="5"/>
      <c r="D130" s="5"/>
      <c r="E130" s="5"/>
      <c r="F130" s="5"/>
      <c r="G130" s="5"/>
      <c r="H130" s="5"/>
      <c r="I130" s="5"/>
      <c r="J130" s="5"/>
    </row>
    <row r="131" spans="1:10" ht="13.05" customHeight="1">
      <c r="A131" s="5"/>
      <c r="B131" s="4" t="s">
        <v>2486</v>
      </c>
      <c r="C131" s="5"/>
      <c r="D131" s="5"/>
      <c r="E131" s="5"/>
      <c r="F131" s="5"/>
      <c r="G131" s="5"/>
      <c r="H131" s="5"/>
      <c r="I131" s="5"/>
      <c r="J131" s="5"/>
    </row>
    <row r="132" spans="1:10" ht="13.05" customHeight="1">
      <c r="A132" s="5"/>
      <c r="B132" s="4" t="s">
        <v>250</v>
      </c>
      <c r="C132" s="5"/>
      <c r="D132" s="5"/>
      <c r="E132" s="5"/>
      <c r="F132" s="5"/>
      <c r="G132" s="5"/>
      <c r="H132" s="5"/>
      <c r="I132" s="5"/>
      <c r="J132" s="5"/>
    </row>
    <row r="133" spans="1:10" ht="13.05" customHeight="1">
      <c r="A133" s="5"/>
      <c r="B133" s="4" t="s">
        <v>2487</v>
      </c>
      <c r="C133" s="5"/>
      <c r="D133" s="5"/>
      <c r="E133" s="5"/>
      <c r="F133" s="5"/>
      <c r="G133" s="5"/>
      <c r="H133" s="5"/>
      <c r="I133" s="5"/>
      <c r="J133" s="5"/>
    </row>
    <row r="134" spans="1:10" ht="13.05" customHeight="1">
      <c r="A134" s="5"/>
      <c r="B134" s="4" t="s">
        <v>201</v>
      </c>
      <c r="C134" s="5"/>
      <c r="D134" s="5"/>
      <c r="E134" s="5"/>
      <c r="F134" s="5"/>
      <c r="G134" s="5"/>
      <c r="H134" s="5"/>
      <c r="I134" s="5"/>
      <c r="J134" s="5"/>
    </row>
    <row r="135" spans="1:10" ht="25.95" customHeight="1">
      <c r="A135" s="5"/>
      <c r="B135" s="103" t="s">
        <v>202</v>
      </c>
      <c r="C135" s="103"/>
      <c r="D135" s="103"/>
      <c r="E135" s="103"/>
      <c r="F135" s="103"/>
      <c r="G135" s="103"/>
      <c r="H135" s="103"/>
      <c r="I135" s="103"/>
      <c r="J135" s="5"/>
    </row>
    <row r="136" spans="1:10" ht="13.05" customHeight="1">
      <c r="A136" s="5"/>
      <c r="B136" s="103" t="s">
        <v>203</v>
      </c>
      <c r="C136" s="103"/>
      <c r="D136" s="103"/>
      <c r="E136" s="103"/>
      <c r="F136" s="103"/>
      <c r="G136" s="103"/>
      <c r="H136" s="103"/>
      <c r="I136" s="103"/>
      <c r="J136" s="5"/>
    </row>
    <row r="137" spans="1:10" ht="13.05" customHeight="1">
      <c r="A137" s="5"/>
      <c r="B137" s="103"/>
      <c r="C137" s="103"/>
      <c r="D137" s="103"/>
      <c r="E137" s="103"/>
      <c r="F137" s="103"/>
      <c r="G137" s="103"/>
      <c r="H137" s="103"/>
      <c r="I137" s="103"/>
      <c r="J137" s="5"/>
    </row>
    <row r="138" spans="1:10" ht="13.05" customHeight="1">
      <c r="A138" s="5"/>
      <c r="B138" s="103"/>
      <c r="C138" s="103"/>
      <c r="D138" s="103"/>
      <c r="E138" s="103"/>
      <c r="F138" s="103"/>
      <c r="G138" s="103"/>
      <c r="H138" s="103"/>
      <c r="I138" s="103"/>
      <c r="J138" s="5"/>
    </row>
    <row r="139" spans="1:10" ht="13.05" customHeight="1">
      <c r="A139" s="5"/>
      <c r="B139" s="103"/>
      <c r="C139" s="103"/>
      <c r="D139" s="103"/>
      <c r="E139" s="103"/>
      <c r="F139" s="103"/>
      <c r="G139" s="103"/>
      <c r="H139" s="103"/>
      <c r="I139" s="103"/>
      <c r="J139" s="5"/>
    </row>
    <row r="140" spans="1:10" ht="13.05" customHeight="1">
      <c r="A140" s="5"/>
      <c r="B140" s="103"/>
      <c r="C140" s="103"/>
      <c r="D140" s="103"/>
      <c r="E140" s="103"/>
      <c r="F140" s="103"/>
      <c r="G140" s="103"/>
      <c r="H140" s="103"/>
      <c r="I140" s="103"/>
      <c r="J140" s="5"/>
    </row>
    <row r="141" spans="1:10" ht="13.05" customHeight="1">
      <c r="A141" s="5"/>
      <c r="B141" s="5"/>
      <c r="C141" s="104" t="s">
        <v>2488</v>
      </c>
      <c r="D141" s="104"/>
      <c r="E141" s="104"/>
      <c r="F141" s="104"/>
      <c r="G141" s="5"/>
      <c r="H141" s="5"/>
      <c r="I141" s="5"/>
      <c r="J141" s="5"/>
    </row>
    <row r="142" spans="1:10" ht="13.05" customHeight="1">
      <c r="A142" s="5"/>
      <c r="B142" s="38" t="s">
        <v>207</v>
      </c>
      <c r="C142" s="104" t="s">
        <v>208</v>
      </c>
      <c r="D142" s="104"/>
      <c r="E142" s="104"/>
      <c r="F142" s="104"/>
      <c r="G142" s="5"/>
      <c r="H142" s="5"/>
      <c r="I142" s="5"/>
      <c r="J142" s="5"/>
    </row>
    <row r="143" spans="1:10" ht="135" customHeight="1">
      <c r="A143" s="5"/>
      <c r="B143" s="39"/>
      <c r="C143" s="105"/>
      <c r="D143" s="105"/>
      <c r="E143" s="5"/>
      <c r="F143" s="5"/>
      <c r="G143" s="5"/>
      <c r="H143" s="5"/>
      <c r="I143" s="5"/>
      <c r="J143" s="5"/>
    </row>
  </sheetData>
  <mergeCells count="9">
    <mergeCell ref="B140:I140"/>
    <mergeCell ref="C141:F141"/>
    <mergeCell ref="C142:F142"/>
    <mergeCell ref="C143:D143"/>
    <mergeCell ref="B135:I135"/>
    <mergeCell ref="B136:I136"/>
    <mergeCell ref="B137:I137"/>
    <mergeCell ref="B138:I138"/>
    <mergeCell ref="B139:I139"/>
  </mergeCells>
  <hyperlinks>
    <hyperlink ref="A1" location="AxisChildrensFund" display="AXISCGF" xr:uid="{00000000-0004-0000-0D00-000000000000}"/>
    <hyperlink ref="B1" location="AxisChildrensFund" display="Axis Children’s Fund" xr:uid="{00000000-0004-0000-0D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J35"/>
  <sheetViews>
    <sheetView topLeftCell="A16" workbookViewId="0">
      <selection activeCell="B30" sqref="B30:F30"/>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31</v>
      </c>
      <c r="B1" s="4" t="s">
        <v>32</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2489</v>
      </c>
      <c r="B7" s="19" t="s">
        <v>2490</v>
      </c>
      <c r="C7" s="15" t="s">
        <v>2491</v>
      </c>
      <c r="D7" s="15" t="s">
        <v>188</v>
      </c>
      <c r="E7" s="20">
        <v>2250000</v>
      </c>
      <c r="F7" s="21">
        <v>2314.5120000000002</v>
      </c>
      <c r="G7" s="22">
        <v>0.34510000000000002</v>
      </c>
      <c r="H7" s="23">
        <v>5.8652999999999997E-2</v>
      </c>
      <c r="I7" s="24"/>
      <c r="J7" s="5"/>
    </row>
    <row r="8" spans="1:10" ht="13.05" customHeight="1">
      <c r="A8" s="18" t="s">
        <v>2492</v>
      </c>
      <c r="B8" s="19" t="s">
        <v>2493</v>
      </c>
      <c r="C8" s="15" t="s">
        <v>2494</v>
      </c>
      <c r="D8" s="15" t="s">
        <v>188</v>
      </c>
      <c r="E8" s="20">
        <v>1510000</v>
      </c>
      <c r="F8" s="21">
        <v>1569.2962</v>
      </c>
      <c r="G8" s="22">
        <v>0.23400000000000001</v>
      </c>
      <c r="H8" s="23">
        <v>6.4018000000000005E-2</v>
      </c>
      <c r="I8" s="24"/>
      <c r="J8" s="5"/>
    </row>
    <row r="9" spans="1:10" ht="13.05" customHeight="1">
      <c r="A9" s="18" t="s">
        <v>2495</v>
      </c>
      <c r="B9" s="19" t="s">
        <v>2496</v>
      </c>
      <c r="C9" s="15" t="s">
        <v>2497</v>
      </c>
      <c r="D9" s="15" t="s">
        <v>188</v>
      </c>
      <c r="E9" s="20">
        <v>860000</v>
      </c>
      <c r="F9" s="21">
        <v>896.29719999999998</v>
      </c>
      <c r="G9" s="22">
        <v>0.1336</v>
      </c>
      <c r="H9" s="23">
        <v>6.4120999999999997E-2</v>
      </c>
      <c r="I9" s="24"/>
      <c r="J9" s="5"/>
    </row>
    <row r="10" spans="1:10" ht="13.05" customHeight="1">
      <c r="A10" s="18" t="s">
        <v>2498</v>
      </c>
      <c r="B10" s="19" t="s">
        <v>2499</v>
      </c>
      <c r="C10" s="15" t="s">
        <v>2500</v>
      </c>
      <c r="D10" s="15" t="s">
        <v>188</v>
      </c>
      <c r="E10" s="20">
        <v>500000</v>
      </c>
      <c r="F10" s="21">
        <v>522.25199999999995</v>
      </c>
      <c r="G10" s="22">
        <v>7.7899999999999997E-2</v>
      </c>
      <c r="H10" s="23">
        <v>6.4659999999999995E-2</v>
      </c>
      <c r="I10" s="24"/>
      <c r="J10" s="5"/>
    </row>
    <row r="11" spans="1:10" ht="13.05" customHeight="1">
      <c r="A11" s="18" t="s">
        <v>2501</v>
      </c>
      <c r="B11" s="19" t="s">
        <v>2502</v>
      </c>
      <c r="C11" s="15" t="s">
        <v>2503</v>
      </c>
      <c r="D11" s="15" t="s">
        <v>188</v>
      </c>
      <c r="E11" s="20">
        <v>500000</v>
      </c>
      <c r="F11" s="21">
        <v>520.42049999999995</v>
      </c>
      <c r="G11" s="22">
        <v>7.7600000000000002E-2</v>
      </c>
      <c r="H11" s="23">
        <v>6.4819000000000002E-2</v>
      </c>
      <c r="I11" s="24"/>
      <c r="J11" s="5"/>
    </row>
    <row r="12" spans="1:10" ht="13.05" customHeight="1">
      <c r="A12" s="18" t="s">
        <v>2504</v>
      </c>
      <c r="B12" s="19" t="s">
        <v>2505</v>
      </c>
      <c r="C12" s="15" t="s">
        <v>2506</v>
      </c>
      <c r="D12" s="15" t="s">
        <v>188</v>
      </c>
      <c r="E12" s="20">
        <v>500000</v>
      </c>
      <c r="F12" s="21">
        <v>518.35199999999998</v>
      </c>
      <c r="G12" s="22">
        <v>7.7299999999999994E-2</v>
      </c>
      <c r="H12" s="23">
        <v>6.4533999999999994E-2</v>
      </c>
      <c r="I12" s="24"/>
      <c r="J12" s="5"/>
    </row>
    <row r="13" spans="1:10" ht="13.05" customHeight="1">
      <c r="A13" s="18" t="s">
        <v>2507</v>
      </c>
      <c r="B13" s="19" t="s">
        <v>2508</v>
      </c>
      <c r="C13" s="15" t="s">
        <v>2509</v>
      </c>
      <c r="D13" s="15" t="s">
        <v>188</v>
      </c>
      <c r="E13" s="20">
        <v>200000</v>
      </c>
      <c r="F13" s="21">
        <v>201.86660000000001</v>
      </c>
      <c r="G13" s="22">
        <v>3.0099999999999998E-2</v>
      </c>
      <c r="H13" s="23">
        <v>6.4327999999999996E-2</v>
      </c>
      <c r="I13" s="24"/>
      <c r="J13" s="5"/>
    </row>
    <row r="14" spans="1:10" ht="13.05" customHeight="1">
      <c r="A14" s="5"/>
      <c r="B14" s="14" t="s">
        <v>192</v>
      </c>
      <c r="C14" s="15"/>
      <c r="D14" s="15"/>
      <c r="E14" s="15"/>
      <c r="F14" s="25">
        <v>6542.9965000000002</v>
      </c>
      <c r="G14" s="26">
        <v>0.97550000000000003</v>
      </c>
      <c r="H14" s="27"/>
      <c r="I14" s="28"/>
      <c r="J14" s="5"/>
    </row>
    <row r="15" spans="1:10" ht="13.05" customHeight="1">
      <c r="A15" s="5"/>
      <c r="B15" s="29" t="s">
        <v>193</v>
      </c>
      <c r="C15" s="2"/>
      <c r="D15" s="2"/>
      <c r="E15" s="2"/>
      <c r="F15" s="27" t="s">
        <v>194</v>
      </c>
      <c r="G15" s="27" t="s">
        <v>194</v>
      </c>
      <c r="H15" s="27"/>
      <c r="I15" s="28"/>
      <c r="J15" s="5"/>
    </row>
    <row r="16" spans="1:10" ht="13.05" customHeight="1">
      <c r="A16" s="5"/>
      <c r="B16" s="29" t="s">
        <v>192</v>
      </c>
      <c r="C16" s="2"/>
      <c r="D16" s="2"/>
      <c r="E16" s="2"/>
      <c r="F16" s="27" t="s">
        <v>194</v>
      </c>
      <c r="G16" s="27" t="s">
        <v>194</v>
      </c>
      <c r="H16" s="27"/>
      <c r="I16" s="28"/>
      <c r="J16" s="5"/>
    </row>
    <row r="17" spans="1:10" ht="13.05" customHeight="1">
      <c r="A17" s="5"/>
      <c r="B17" s="29" t="s">
        <v>195</v>
      </c>
      <c r="C17" s="30"/>
      <c r="D17" s="2"/>
      <c r="E17" s="30"/>
      <c r="F17" s="25">
        <v>6542.9965000000002</v>
      </c>
      <c r="G17" s="26">
        <v>0.97550000000000003</v>
      </c>
      <c r="H17" s="27"/>
      <c r="I17" s="28"/>
      <c r="J17" s="5"/>
    </row>
    <row r="18" spans="1:10" ht="13.05" customHeight="1">
      <c r="A18" s="5"/>
      <c r="B18" s="14" t="s">
        <v>196</v>
      </c>
      <c r="C18" s="15"/>
      <c r="D18" s="15"/>
      <c r="E18" s="15"/>
      <c r="F18" s="15"/>
      <c r="G18" s="15"/>
      <c r="H18" s="16"/>
      <c r="I18" s="17"/>
      <c r="J18" s="5"/>
    </row>
    <row r="19" spans="1:10" ht="13.05" customHeight="1">
      <c r="A19" s="18" t="s">
        <v>197</v>
      </c>
      <c r="B19" s="19" t="s">
        <v>198</v>
      </c>
      <c r="C19" s="15"/>
      <c r="D19" s="15"/>
      <c r="E19" s="20"/>
      <c r="F19" s="21">
        <v>58.892099999999999</v>
      </c>
      <c r="G19" s="22">
        <v>8.8000000000000005E-3</v>
      </c>
      <c r="H19" s="23">
        <v>5.5573622488830139E-2</v>
      </c>
      <c r="I19" s="24"/>
      <c r="J19" s="5"/>
    </row>
    <row r="20" spans="1:10" ht="13.05" customHeight="1">
      <c r="A20" s="5"/>
      <c r="B20" s="14" t="s">
        <v>192</v>
      </c>
      <c r="C20" s="15"/>
      <c r="D20" s="15"/>
      <c r="E20" s="15"/>
      <c r="F20" s="25">
        <v>58.892099999999999</v>
      </c>
      <c r="G20" s="26">
        <v>8.8000000000000005E-3</v>
      </c>
      <c r="H20" s="27"/>
      <c r="I20" s="28"/>
      <c r="J20" s="5"/>
    </row>
    <row r="21" spans="1:10" ht="13.05" customHeight="1">
      <c r="A21" s="5"/>
      <c r="B21" s="29" t="s">
        <v>193</v>
      </c>
      <c r="C21" s="2"/>
      <c r="D21" s="2"/>
      <c r="E21" s="2"/>
      <c r="F21" s="27" t="s">
        <v>194</v>
      </c>
      <c r="G21" s="27" t="s">
        <v>194</v>
      </c>
      <c r="H21" s="27"/>
      <c r="I21" s="28"/>
      <c r="J21" s="5"/>
    </row>
    <row r="22" spans="1:10" ht="13.05" customHeight="1">
      <c r="A22" s="5"/>
      <c r="B22" s="29" t="s">
        <v>192</v>
      </c>
      <c r="C22" s="2"/>
      <c r="D22" s="2"/>
      <c r="E22" s="2"/>
      <c r="F22" s="27" t="s">
        <v>194</v>
      </c>
      <c r="G22" s="27" t="s">
        <v>194</v>
      </c>
      <c r="H22" s="27"/>
      <c r="I22" s="28"/>
      <c r="J22" s="5"/>
    </row>
    <row r="23" spans="1:10" ht="13.05" customHeight="1">
      <c r="A23" s="5"/>
      <c r="B23" s="29" t="s">
        <v>195</v>
      </c>
      <c r="C23" s="30"/>
      <c r="D23" s="2"/>
      <c r="E23" s="30"/>
      <c r="F23" s="25">
        <v>58.892099999999999</v>
      </c>
      <c r="G23" s="26">
        <v>8.8000000000000005E-3</v>
      </c>
      <c r="H23" s="27"/>
      <c r="I23" s="28"/>
      <c r="J23" s="5"/>
    </row>
    <row r="24" spans="1:10" ht="13.05" customHeight="1">
      <c r="A24" s="5"/>
      <c r="B24" s="29" t="s">
        <v>199</v>
      </c>
      <c r="C24" s="15"/>
      <c r="D24" s="2"/>
      <c r="E24" s="15"/>
      <c r="F24" s="31">
        <v>105.6114</v>
      </c>
      <c r="G24" s="26">
        <v>1.5699999999999999E-2</v>
      </c>
      <c r="H24" s="27"/>
      <c r="I24" s="28"/>
      <c r="J24" s="5"/>
    </row>
    <row r="25" spans="1:10" ht="13.05" customHeight="1">
      <c r="A25" s="5"/>
      <c r="B25" s="32" t="s">
        <v>200</v>
      </c>
      <c r="C25" s="33"/>
      <c r="D25" s="33"/>
      <c r="E25" s="33"/>
      <c r="F25" s="34">
        <v>6707.5</v>
      </c>
      <c r="G25" s="35">
        <v>1</v>
      </c>
      <c r="H25" s="36"/>
      <c r="I25" s="37"/>
      <c r="J25" s="5"/>
    </row>
    <row r="26" spans="1:10" ht="13.05" customHeight="1">
      <c r="A26" s="5"/>
      <c r="B26" s="7"/>
      <c r="C26" s="5"/>
      <c r="D26" s="5"/>
      <c r="E26" s="5"/>
      <c r="F26" s="5"/>
      <c r="G26" s="5"/>
      <c r="H26" s="5"/>
      <c r="I26" s="5"/>
      <c r="J26" s="5"/>
    </row>
    <row r="27" spans="1:10" ht="13.05" customHeight="1">
      <c r="A27" s="5"/>
      <c r="B27" s="4" t="s">
        <v>201</v>
      </c>
      <c r="C27" s="5"/>
      <c r="D27" s="5"/>
      <c r="E27" s="5"/>
      <c r="F27" s="5"/>
      <c r="G27" s="5"/>
      <c r="H27" s="5"/>
      <c r="I27" s="5"/>
      <c r="J27" s="5"/>
    </row>
    <row r="28" spans="1:10" ht="25.95" customHeight="1">
      <c r="A28" s="5"/>
      <c r="B28" s="103" t="s">
        <v>202</v>
      </c>
      <c r="C28" s="103"/>
      <c r="D28" s="103"/>
      <c r="E28" s="103"/>
      <c r="F28" s="103"/>
      <c r="G28" s="103"/>
      <c r="H28" s="103"/>
      <c r="I28" s="103"/>
      <c r="J28" s="5"/>
    </row>
    <row r="29" spans="1:10" ht="13.05" customHeight="1">
      <c r="A29" s="5"/>
      <c r="B29" s="103" t="s">
        <v>203</v>
      </c>
      <c r="C29" s="103"/>
      <c r="D29" s="103"/>
      <c r="E29" s="103"/>
      <c r="F29" s="103"/>
      <c r="G29" s="103"/>
      <c r="H29" s="103"/>
      <c r="I29" s="103"/>
      <c r="J29" s="5"/>
    </row>
    <row r="30" spans="1:10" ht="13.05" customHeight="1">
      <c r="A30" s="5"/>
      <c r="B30" s="103" t="s">
        <v>2510</v>
      </c>
      <c r="C30" s="103"/>
      <c r="D30" s="103"/>
      <c r="E30" s="103"/>
      <c r="F30" s="103"/>
      <c r="G30" s="5"/>
      <c r="H30" s="5"/>
      <c r="I30" s="5"/>
      <c r="J30" s="5"/>
    </row>
    <row r="31" spans="1:10" ht="13.05" customHeight="1">
      <c r="A31" s="5"/>
      <c r="B31" s="103"/>
      <c r="C31" s="103"/>
      <c r="D31" s="103"/>
      <c r="E31" s="103"/>
      <c r="F31" s="103"/>
      <c r="G31" s="103"/>
      <c r="H31" s="103"/>
      <c r="I31" s="103"/>
      <c r="J31" s="5"/>
    </row>
    <row r="32" spans="1:10" ht="13.05" customHeight="1">
      <c r="A32" s="5"/>
      <c r="B32" s="103"/>
      <c r="C32" s="103"/>
      <c r="D32" s="103"/>
      <c r="E32" s="103"/>
      <c r="F32" s="103"/>
      <c r="G32" s="103"/>
      <c r="H32" s="103"/>
      <c r="I32" s="103"/>
      <c r="J32" s="5"/>
    </row>
    <row r="33" spans="1:10" ht="13.05" customHeight="1">
      <c r="A33" s="5"/>
      <c r="B33" s="5"/>
      <c r="C33" s="104" t="s">
        <v>2511</v>
      </c>
      <c r="D33" s="104"/>
      <c r="E33" s="104"/>
      <c r="F33" s="104"/>
      <c r="G33" s="5"/>
      <c r="H33" s="5"/>
      <c r="I33" s="5"/>
      <c r="J33" s="5"/>
    </row>
    <row r="34" spans="1:10" ht="13.05" customHeight="1">
      <c r="A34" s="5"/>
      <c r="B34" s="38" t="s">
        <v>207</v>
      </c>
      <c r="C34" s="104" t="s">
        <v>208</v>
      </c>
      <c r="D34" s="104"/>
      <c r="E34" s="104"/>
      <c r="F34" s="104"/>
      <c r="G34" s="5"/>
      <c r="H34" s="5"/>
      <c r="I34" s="5"/>
      <c r="J34" s="5"/>
    </row>
    <row r="35" spans="1:10" ht="135" customHeight="1">
      <c r="A35" s="5"/>
      <c r="B35" s="39"/>
      <c r="C35" s="105"/>
      <c r="D35" s="105"/>
      <c r="E35" s="5"/>
      <c r="F35" s="5"/>
      <c r="G35" s="5"/>
      <c r="H35" s="5"/>
      <c r="I35" s="5"/>
      <c r="J35" s="5"/>
    </row>
  </sheetData>
  <mergeCells count="8">
    <mergeCell ref="C33:F33"/>
    <mergeCell ref="C34:F34"/>
    <mergeCell ref="C35:D35"/>
    <mergeCell ref="B28:I28"/>
    <mergeCell ref="B29:I29"/>
    <mergeCell ref="B30:F30"/>
    <mergeCell ref="B31:I31"/>
    <mergeCell ref="B32:I32"/>
  </mergeCells>
  <hyperlinks>
    <hyperlink ref="A1" location="AxisCRISILIBX5050GiltPlusSDLJune2028IndexFund" display="AXISCIB" xr:uid="{00000000-0004-0000-0E00-000000000000}"/>
    <hyperlink ref="B1" location="AxisCRISILIBX5050GiltPlusSDLJune2028IndexFund" display="Axis CRISIL IBX50:50 Gilt Plus SDL June 2028 Index Fund" xr:uid="{00000000-0004-0000-0E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outlinePr summaryBelow="0"/>
  </sheetPr>
  <dimension ref="A1:J35"/>
  <sheetViews>
    <sheetView topLeftCell="A16" workbookViewId="0">
      <selection activeCell="B30" sqref="B30:F30"/>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33</v>
      </c>
      <c r="B1" s="4" t="s">
        <v>34</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2512</v>
      </c>
      <c r="B7" s="19" t="s">
        <v>2513</v>
      </c>
      <c r="C7" s="15" t="s">
        <v>2514</v>
      </c>
      <c r="D7" s="15" t="s">
        <v>188</v>
      </c>
      <c r="E7" s="20">
        <v>1700000</v>
      </c>
      <c r="F7" s="21">
        <v>1743.4860000000001</v>
      </c>
      <c r="G7" s="22">
        <v>0.49880000000000002</v>
      </c>
      <c r="H7" s="23">
        <v>5.7950000000000002E-2</v>
      </c>
      <c r="I7" s="24"/>
      <c r="J7" s="5"/>
    </row>
    <row r="8" spans="1:10" ht="13.05" customHeight="1">
      <c r="A8" s="18" t="s">
        <v>2515</v>
      </c>
      <c r="B8" s="19" t="s">
        <v>2516</v>
      </c>
      <c r="C8" s="15" t="s">
        <v>2517</v>
      </c>
      <c r="D8" s="15" t="s">
        <v>188</v>
      </c>
      <c r="E8" s="20">
        <v>1000000</v>
      </c>
      <c r="F8" s="21">
        <v>1021.588</v>
      </c>
      <c r="G8" s="22">
        <v>0.2923</v>
      </c>
      <c r="H8" s="23">
        <v>6.1754999999999997E-2</v>
      </c>
      <c r="I8" s="24"/>
      <c r="J8" s="5"/>
    </row>
    <row r="9" spans="1:10" ht="13.05" customHeight="1">
      <c r="A9" s="18" t="s">
        <v>2518</v>
      </c>
      <c r="B9" s="19" t="s">
        <v>2519</v>
      </c>
      <c r="C9" s="15" t="s">
        <v>2520</v>
      </c>
      <c r="D9" s="15" t="s">
        <v>188</v>
      </c>
      <c r="E9" s="20">
        <v>250000</v>
      </c>
      <c r="F9" s="21">
        <v>254.63550000000001</v>
      </c>
      <c r="G9" s="22">
        <v>7.2900000000000006E-2</v>
      </c>
      <c r="H9" s="23">
        <v>6.0951999999999999E-2</v>
      </c>
      <c r="I9" s="24"/>
      <c r="J9" s="5"/>
    </row>
    <row r="10" spans="1:10" ht="13.05" customHeight="1">
      <c r="A10" s="18" t="s">
        <v>2521</v>
      </c>
      <c r="B10" s="19" t="s">
        <v>2522</v>
      </c>
      <c r="C10" s="15" t="s">
        <v>2523</v>
      </c>
      <c r="D10" s="15" t="s">
        <v>188</v>
      </c>
      <c r="E10" s="20">
        <v>100000</v>
      </c>
      <c r="F10" s="21">
        <v>101.9105</v>
      </c>
      <c r="G10" s="22">
        <v>2.92E-2</v>
      </c>
      <c r="H10" s="23">
        <v>6.0951999999999999E-2</v>
      </c>
      <c r="I10" s="24"/>
      <c r="J10" s="5"/>
    </row>
    <row r="11" spans="1:10" ht="13.05" customHeight="1">
      <c r="A11" s="18" t="s">
        <v>2524</v>
      </c>
      <c r="B11" s="19" t="s">
        <v>2525</v>
      </c>
      <c r="C11" s="15" t="s">
        <v>2526</v>
      </c>
      <c r="D11" s="15" t="s">
        <v>188</v>
      </c>
      <c r="E11" s="20">
        <v>86300</v>
      </c>
      <c r="F11" s="21">
        <v>86.747100000000003</v>
      </c>
      <c r="G11" s="22">
        <v>2.4799999999999999E-2</v>
      </c>
      <c r="H11" s="23">
        <v>6.1600000000000002E-2</v>
      </c>
      <c r="I11" s="24"/>
      <c r="J11" s="5"/>
    </row>
    <row r="12" spans="1:10" ht="13.05" customHeight="1">
      <c r="A12" s="18" t="s">
        <v>2527</v>
      </c>
      <c r="B12" s="19" t="s">
        <v>2528</v>
      </c>
      <c r="C12" s="15" t="s">
        <v>2529</v>
      </c>
      <c r="D12" s="15" t="s">
        <v>188</v>
      </c>
      <c r="E12" s="20">
        <v>50000</v>
      </c>
      <c r="F12" s="21">
        <v>50.918399999999998</v>
      </c>
      <c r="G12" s="22">
        <v>1.46E-2</v>
      </c>
      <c r="H12" s="23">
        <v>6.1754999999999997E-2</v>
      </c>
      <c r="I12" s="24"/>
      <c r="J12" s="5"/>
    </row>
    <row r="13" spans="1:10" ht="13.05" customHeight="1">
      <c r="A13" s="18" t="s">
        <v>2530</v>
      </c>
      <c r="B13" s="19" t="s">
        <v>2531</v>
      </c>
      <c r="C13" s="15" t="s">
        <v>2532</v>
      </c>
      <c r="D13" s="15" t="s">
        <v>188</v>
      </c>
      <c r="E13" s="20">
        <v>50000</v>
      </c>
      <c r="F13" s="21">
        <v>50.884300000000003</v>
      </c>
      <c r="G13" s="22">
        <v>1.46E-2</v>
      </c>
      <c r="H13" s="23">
        <v>6.1754999999999997E-2</v>
      </c>
      <c r="I13" s="24"/>
      <c r="J13" s="5"/>
    </row>
    <row r="14" spans="1:10" ht="13.05" customHeight="1">
      <c r="A14" s="5"/>
      <c r="B14" s="14" t="s">
        <v>192</v>
      </c>
      <c r="C14" s="15"/>
      <c r="D14" s="15"/>
      <c r="E14" s="15"/>
      <c r="F14" s="25">
        <v>3310.1698000000001</v>
      </c>
      <c r="G14" s="26">
        <v>0.94710000000000005</v>
      </c>
      <c r="H14" s="27"/>
      <c r="I14" s="28"/>
      <c r="J14" s="5"/>
    </row>
    <row r="15" spans="1:10" ht="13.05" customHeight="1">
      <c r="A15" s="5"/>
      <c r="B15" s="29" t="s">
        <v>193</v>
      </c>
      <c r="C15" s="2"/>
      <c r="D15" s="2"/>
      <c r="E15" s="2"/>
      <c r="F15" s="27" t="s">
        <v>194</v>
      </c>
      <c r="G15" s="27" t="s">
        <v>194</v>
      </c>
      <c r="H15" s="27"/>
      <c r="I15" s="28"/>
      <c r="J15" s="5"/>
    </row>
    <row r="16" spans="1:10" ht="13.05" customHeight="1">
      <c r="A16" s="5"/>
      <c r="B16" s="29" t="s">
        <v>192</v>
      </c>
      <c r="C16" s="2"/>
      <c r="D16" s="2"/>
      <c r="E16" s="2"/>
      <c r="F16" s="27" t="s">
        <v>194</v>
      </c>
      <c r="G16" s="27" t="s">
        <v>194</v>
      </c>
      <c r="H16" s="27"/>
      <c r="I16" s="28"/>
      <c r="J16" s="5"/>
    </row>
    <row r="17" spans="1:10" ht="13.05" customHeight="1">
      <c r="A17" s="5"/>
      <c r="B17" s="29" t="s">
        <v>195</v>
      </c>
      <c r="C17" s="30"/>
      <c r="D17" s="2"/>
      <c r="E17" s="30"/>
      <c r="F17" s="25">
        <v>3310.1698000000001</v>
      </c>
      <c r="G17" s="26">
        <v>0.94710000000000005</v>
      </c>
      <c r="H17" s="27"/>
      <c r="I17" s="28"/>
      <c r="J17" s="5"/>
    </row>
    <row r="18" spans="1:10" ht="13.05" customHeight="1">
      <c r="A18" s="5"/>
      <c r="B18" s="14" t="s">
        <v>196</v>
      </c>
      <c r="C18" s="15"/>
      <c r="D18" s="15"/>
      <c r="E18" s="15"/>
      <c r="F18" s="15"/>
      <c r="G18" s="15"/>
      <c r="H18" s="16"/>
      <c r="I18" s="17"/>
      <c r="J18" s="5"/>
    </row>
    <row r="19" spans="1:10" ht="13.05" customHeight="1">
      <c r="A19" s="18" t="s">
        <v>197</v>
      </c>
      <c r="B19" s="19" t="s">
        <v>198</v>
      </c>
      <c r="C19" s="15"/>
      <c r="D19" s="15"/>
      <c r="E19" s="20"/>
      <c r="F19" s="21">
        <v>91.891999999999996</v>
      </c>
      <c r="G19" s="22">
        <v>2.63E-2</v>
      </c>
      <c r="H19" s="23">
        <v>5.5573595097155516E-2</v>
      </c>
      <c r="I19" s="24"/>
      <c r="J19" s="5"/>
    </row>
    <row r="20" spans="1:10" ht="13.05" customHeight="1">
      <c r="A20" s="5"/>
      <c r="B20" s="14" t="s">
        <v>192</v>
      </c>
      <c r="C20" s="15"/>
      <c r="D20" s="15"/>
      <c r="E20" s="15"/>
      <c r="F20" s="25">
        <v>91.891999999999996</v>
      </c>
      <c r="G20" s="26">
        <v>2.63E-2</v>
      </c>
      <c r="H20" s="27"/>
      <c r="I20" s="28"/>
      <c r="J20" s="5"/>
    </row>
    <row r="21" spans="1:10" ht="13.05" customHeight="1">
      <c r="A21" s="5"/>
      <c r="B21" s="29" t="s">
        <v>193</v>
      </c>
      <c r="C21" s="2"/>
      <c r="D21" s="2"/>
      <c r="E21" s="2"/>
      <c r="F21" s="27" t="s">
        <v>194</v>
      </c>
      <c r="G21" s="27" t="s">
        <v>194</v>
      </c>
      <c r="H21" s="27"/>
      <c r="I21" s="28"/>
      <c r="J21" s="5"/>
    </row>
    <row r="22" spans="1:10" ht="13.05" customHeight="1">
      <c r="A22" s="5"/>
      <c r="B22" s="29" t="s">
        <v>192</v>
      </c>
      <c r="C22" s="2"/>
      <c r="D22" s="2"/>
      <c r="E22" s="2"/>
      <c r="F22" s="27" t="s">
        <v>194</v>
      </c>
      <c r="G22" s="27" t="s">
        <v>194</v>
      </c>
      <c r="H22" s="27"/>
      <c r="I22" s="28"/>
      <c r="J22" s="5"/>
    </row>
    <row r="23" spans="1:10" ht="13.05" customHeight="1">
      <c r="A23" s="5"/>
      <c r="B23" s="29" t="s">
        <v>195</v>
      </c>
      <c r="C23" s="30"/>
      <c r="D23" s="2"/>
      <c r="E23" s="30"/>
      <c r="F23" s="25">
        <v>91.891999999999996</v>
      </c>
      <c r="G23" s="26">
        <v>2.63E-2</v>
      </c>
      <c r="H23" s="27"/>
      <c r="I23" s="28"/>
      <c r="J23" s="5"/>
    </row>
    <row r="24" spans="1:10" ht="13.05" customHeight="1">
      <c r="A24" s="5"/>
      <c r="B24" s="29" t="s">
        <v>199</v>
      </c>
      <c r="C24" s="15"/>
      <c r="D24" s="2"/>
      <c r="E24" s="15"/>
      <c r="F24" s="31">
        <v>92.998199999999997</v>
      </c>
      <c r="G24" s="26">
        <v>2.6599999999999999E-2</v>
      </c>
      <c r="H24" s="27"/>
      <c r="I24" s="28"/>
      <c r="J24" s="5"/>
    </row>
    <row r="25" spans="1:10" ht="13.05" customHeight="1">
      <c r="A25" s="5"/>
      <c r="B25" s="32" t="s">
        <v>200</v>
      </c>
      <c r="C25" s="33"/>
      <c r="D25" s="33"/>
      <c r="E25" s="33"/>
      <c r="F25" s="34">
        <v>3495.06</v>
      </c>
      <c r="G25" s="35">
        <v>1</v>
      </c>
      <c r="H25" s="36"/>
      <c r="I25" s="37"/>
      <c r="J25" s="5"/>
    </row>
    <row r="26" spans="1:10" ht="13.05" customHeight="1">
      <c r="A26" s="5"/>
      <c r="B26" s="7"/>
      <c r="C26" s="5"/>
      <c r="D26" s="5"/>
      <c r="E26" s="5"/>
      <c r="F26" s="5"/>
      <c r="G26" s="5"/>
      <c r="H26" s="5"/>
      <c r="I26" s="5"/>
      <c r="J26" s="5"/>
    </row>
    <row r="27" spans="1:10" ht="13.05" customHeight="1">
      <c r="A27" s="5"/>
      <c r="B27" s="4" t="s">
        <v>201</v>
      </c>
      <c r="C27" s="5"/>
      <c r="D27" s="5"/>
      <c r="E27" s="5"/>
      <c r="F27" s="5"/>
      <c r="G27" s="5"/>
      <c r="H27" s="5"/>
      <c r="I27" s="5"/>
      <c r="J27" s="5"/>
    </row>
    <row r="28" spans="1:10" ht="25.95" customHeight="1">
      <c r="A28" s="5"/>
      <c r="B28" s="103" t="s">
        <v>202</v>
      </c>
      <c r="C28" s="103"/>
      <c r="D28" s="103"/>
      <c r="E28" s="103"/>
      <c r="F28" s="103"/>
      <c r="G28" s="103"/>
      <c r="H28" s="103"/>
      <c r="I28" s="103"/>
      <c r="J28" s="5"/>
    </row>
    <row r="29" spans="1:10" ht="13.05" customHeight="1">
      <c r="A29" s="5"/>
      <c r="B29" s="103" t="s">
        <v>203</v>
      </c>
      <c r="C29" s="103"/>
      <c r="D29" s="103"/>
      <c r="E29" s="103"/>
      <c r="F29" s="103"/>
      <c r="G29" s="103"/>
      <c r="H29" s="103"/>
      <c r="I29" s="103"/>
      <c r="J29" s="5"/>
    </row>
    <row r="30" spans="1:10" ht="13.05" customHeight="1">
      <c r="A30" s="5"/>
      <c r="B30" s="103" t="s">
        <v>2533</v>
      </c>
      <c r="C30" s="103"/>
      <c r="D30" s="103"/>
      <c r="E30" s="103"/>
      <c r="F30" s="103"/>
      <c r="G30" s="5"/>
      <c r="H30" s="5"/>
      <c r="I30" s="5"/>
      <c r="J30" s="5"/>
    </row>
    <row r="31" spans="1:10" ht="13.05" customHeight="1">
      <c r="A31" s="5"/>
      <c r="B31" s="103"/>
      <c r="C31" s="103"/>
      <c r="D31" s="103"/>
      <c r="E31" s="103"/>
      <c r="F31" s="103"/>
      <c r="G31" s="103"/>
      <c r="H31" s="103"/>
      <c r="I31" s="103"/>
      <c r="J31" s="5"/>
    </row>
    <row r="32" spans="1:10" ht="13.05" customHeight="1">
      <c r="A32" s="5"/>
      <c r="B32" s="103"/>
      <c r="C32" s="103"/>
      <c r="D32" s="103"/>
      <c r="E32" s="103"/>
      <c r="F32" s="103"/>
      <c r="G32" s="103"/>
      <c r="H32" s="103"/>
      <c r="I32" s="103"/>
      <c r="J32" s="5"/>
    </row>
    <row r="33" spans="1:10" ht="13.05" customHeight="1">
      <c r="A33" s="5"/>
      <c r="B33" s="5"/>
      <c r="C33" s="104" t="s">
        <v>2534</v>
      </c>
      <c r="D33" s="104"/>
      <c r="E33" s="104"/>
      <c r="F33" s="104"/>
      <c r="G33" s="5"/>
      <c r="H33" s="5"/>
      <c r="I33" s="5"/>
      <c r="J33" s="5"/>
    </row>
    <row r="34" spans="1:10" ht="13.05" customHeight="1">
      <c r="A34" s="5"/>
      <c r="B34" s="38" t="s">
        <v>207</v>
      </c>
      <c r="C34" s="104" t="s">
        <v>208</v>
      </c>
      <c r="D34" s="104"/>
      <c r="E34" s="104"/>
      <c r="F34" s="104"/>
      <c r="G34" s="5"/>
      <c r="H34" s="5"/>
      <c r="I34" s="5"/>
      <c r="J34" s="5"/>
    </row>
    <row r="35" spans="1:10" ht="135" customHeight="1">
      <c r="A35" s="5"/>
      <c r="B35" s="39"/>
      <c r="C35" s="105"/>
      <c r="D35" s="105"/>
      <c r="E35" s="5"/>
      <c r="F35" s="5"/>
      <c r="G35" s="5"/>
      <c r="H35" s="5"/>
      <c r="I35" s="5"/>
      <c r="J35" s="5"/>
    </row>
  </sheetData>
  <mergeCells count="8">
    <mergeCell ref="C33:F33"/>
    <mergeCell ref="C34:F34"/>
    <mergeCell ref="C35:D35"/>
    <mergeCell ref="B28:I28"/>
    <mergeCell ref="B29:I29"/>
    <mergeCell ref="B30:F30"/>
    <mergeCell ref="B31:I31"/>
    <mergeCell ref="B32:I32"/>
  </mergeCells>
  <hyperlinks>
    <hyperlink ref="A1" location="AxisCRISILIBX5050GiltPlusSDLSep2027IndexFund" display="AXISCIG" xr:uid="{00000000-0004-0000-0F00-000000000000}"/>
    <hyperlink ref="B1" location="AxisCRISILIBX5050GiltPlusSDLSep2027IndexFund" display="Axis CRISIL IBX50:50 Gilt Plus SDL Sep 2027 Index Fund" xr:uid="{00000000-0004-0000-0F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J200"/>
  <sheetViews>
    <sheetView topLeftCell="A116" workbookViewId="0">
      <selection activeCell="D162" sqref="D16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35</v>
      </c>
      <c r="B1" s="4" t="s">
        <v>36</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1890</v>
      </c>
      <c r="B7" s="19" t="s">
        <v>1891</v>
      </c>
      <c r="C7" s="15" t="s">
        <v>1892</v>
      </c>
      <c r="D7" s="15" t="s">
        <v>188</v>
      </c>
      <c r="E7" s="20">
        <v>55000000</v>
      </c>
      <c r="F7" s="21">
        <v>57027.74</v>
      </c>
      <c r="G7" s="22">
        <v>5.7799999999999997E-2</v>
      </c>
      <c r="H7" s="23">
        <v>6.6730999999999999E-2</v>
      </c>
      <c r="I7" s="24"/>
      <c r="J7" s="5"/>
    </row>
    <row r="8" spans="1:10" ht="13.05" customHeight="1">
      <c r="A8" s="18" t="s">
        <v>1881</v>
      </c>
      <c r="B8" s="19" t="s">
        <v>1882</v>
      </c>
      <c r="C8" s="15" t="s">
        <v>1883</v>
      </c>
      <c r="D8" s="15" t="s">
        <v>188</v>
      </c>
      <c r="E8" s="20">
        <v>56000000</v>
      </c>
      <c r="F8" s="21">
        <v>56760.2</v>
      </c>
      <c r="G8" s="22">
        <v>5.7500000000000002E-2</v>
      </c>
      <c r="H8" s="23">
        <v>6.694E-2</v>
      </c>
      <c r="I8" s="24"/>
      <c r="J8" s="5"/>
    </row>
    <row r="9" spans="1:10" ht="13.05" customHeight="1">
      <c r="A9" s="18" t="s">
        <v>1939</v>
      </c>
      <c r="B9" s="19" t="s">
        <v>1940</v>
      </c>
      <c r="C9" s="15" t="s">
        <v>1941</v>
      </c>
      <c r="D9" s="15" t="s">
        <v>1923</v>
      </c>
      <c r="E9" s="20">
        <v>32000</v>
      </c>
      <c r="F9" s="21">
        <v>32592.831999999999</v>
      </c>
      <c r="G9" s="22">
        <v>3.3000000000000002E-2</v>
      </c>
      <c r="H9" s="23">
        <v>6.6400000000000001E-2</v>
      </c>
      <c r="I9" s="24"/>
      <c r="J9" s="5"/>
    </row>
    <row r="10" spans="1:10" ht="13.05" customHeight="1">
      <c r="A10" s="18" t="s">
        <v>1914</v>
      </c>
      <c r="B10" s="19" t="s">
        <v>1915</v>
      </c>
      <c r="C10" s="15" t="s">
        <v>1916</v>
      </c>
      <c r="D10" s="15" t="s">
        <v>213</v>
      </c>
      <c r="E10" s="20">
        <v>20000</v>
      </c>
      <c r="F10" s="21">
        <v>20353.240000000002</v>
      </c>
      <c r="G10" s="22">
        <v>2.06E-2</v>
      </c>
      <c r="H10" s="23">
        <v>6.7949999999999997E-2</v>
      </c>
      <c r="I10" s="24"/>
      <c r="J10" s="5"/>
    </row>
    <row r="11" spans="1:10" ht="13.05" customHeight="1">
      <c r="A11" s="18" t="s">
        <v>1899</v>
      </c>
      <c r="B11" s="19" t="s">
        <v>1900</v>
      </c>
      <c r="C11" s="15" t="s">
        <v>1901</v>
      </c>
      <c r="D11" s="15" t="s">
        <v>213</v>
      </c>
      <c r="E11" s="20">
        <v>20000</v>
      </c>
      <c r="F11" s="21">
        <v>20316.84</v>
      </c>
      <c r="G11" s="22">
        <v>2.06E-2</v>
      </c>
      <c r="H11" s="23">
        <v>6.8000000000000005E-2</v>
      </c>
      <c r="I11" s="24"/>
      <c r="J11" s="5"/>
    </row>
    <row r="12" spans="1:10" ht="13.05" customHeight="1">
      <c r="A12" s="18" t="s">
        <v>2048</v>
      </c>
      <c r="B12" s="19" t="s">
        <v>2049</v>
      </c>
      <c r="C12" s="15" t="s">
        <v>2050</v>
      </c>
      <c r="D12" s="15" t="s">
        <v>213</v>
      </c>
      <c r="E12" s="20">
        <v>20000</v>
      </c>
      <c r="F12" s="21">
        <v>20015.740000000002</v>
      </c>
      <c r="G12" s="22">
        <v>2.0299999999999999E-2</v>
      </c>
      <c r="H12" s="23">
        <v>6.9599999999999995E-2</v>
      </c>
      <c r="I12" s="24"/>
      <c r="J12" s="5"/>
    </row>
    <row r="13" spans="1:10" ht="13.05" customHeight="1">
      <c r="A13" s="18" t="s">
        <v>1930</v>
      </c>
      <c r="B13" s="19" t="s">
        <v>1931</v>
      </c>
      <c r="C13" s="15" t="s">
        <v>1932</v>
      </c>
      <c r="D13" s="15" t="s">
        <v>213</v>
      </c>
      <c r="E13" s="20">
        <v>18000</v>
      </c>
      <c r="F13" s="21">
        <v>18088.596000000001</v>
      </c>
      <c r="G13" s="22">
        <v>1.83E-2</v>
      </c>
      <c r="H13" s="23">
        <v>7.1150000000000005E-2</v>
      </c>
      <c r="I13" s="24"/>
      <c r="J13" s="5"/>
    </row>
    <row r="14" spans="1:10" ht="13.05" customHeight="1">
      <c r="A14" s="18" t="s">
        <v>1994</v>
      </c>
      <c r="B14" s="19" t="s">
        <v>1995</v>
      </c>
      <c r="C14" s="15" t="s">
        <v>1996</v>
      </c>
      <c r="D14" s="15" t="s">
        <v>213</v>
      </c>
      <c r="E14" s="20">
        <v>1550</v>
      </c>
      <c r="F14" s="21">
        <v>16201.902</v>
      </c>
      <c r="G14" s="22">
        <v>1.6400000000000001E-2</v>
      </c>
      <c r="H14" s="23">
        <v>6.7125000000000004E-2</v>
      </c>
      <c r="I14" s="24"/>
      <c r="J14" s="5"/>
    </row>
    <row r="15" spans="1:10" ht="13.05" customHeight="1">
      <c r="A15" s="18" t="s">
        <v>2042</v>
      </c>
      <c r="B15" s="19" t="s">
        <v>2043</v>
      </c>
      <c r="C15" s="15" t="s">
        <v>2044</v>
      </c>
      <c r="D15" s="15" t="s">
        <v>1923</v>
      </c>
      <c r="E15" s="20">
        <v>12500</v>
      </c>
      <c r="F15" s="21">
        <v>12702.85</v>
      </c>
      <c r="G15" s="22">
        <v>1.29E-2</v>
      </c>
      <c r="H15" s="23">
        <v>6.5699999999999995E-2</v>
      </c>
      <c r="I15" s="24"/>
      <c r="J15" s="5"/>
    </row>
    <row r="16" spans="1:10" ht="13.05" customHeight="1">
      <c r="A16" s="18" t="s">
        <v>2535</v>
      </c>
      <c r="B16" s="19" t="s">
        <v>2536</v>
      </c>
      <c r="C16" s="15" t="s">
        <v>2537</v>
      </c>
      <c r="D16" s="15" t="s">
        <v>213</v>
      </c>
      <c r="E16" s="20">
        <v>12500</v>
      </c>
      <c r="F16" s="21">
        <v>12663.45</v>
      </c>
      <c r="G16" s="22">
        <v>1.2800000000000001E-2</v>
      </c>
      <c r="H16" s="23">
        <v>6.9983000000000004E-2</v>
      </c>
      <c r="I16" s="24"/>
      <c r="J16" s="5"/>
    </row>
    <row r="17" spans="1:10" ht="13.05" customHeight="1">
      <c r="A17" s="18" t="s">
        <v>2538</v>
      </c>
      <c r="B17" s="19" t="s">
        <v>2539</v>
      </c>
      <c r="C17" s="15" t="s">
        <v>2540</v>
      </c>
      <c r="D17" s="15" t="s">
        <v>213</v>
      </c>
      <c r="E17" s="20">
        <v>11000</v>
      </c>
      <c r="F17" s="21">
        <v>11114.487999999999</v>
      </c>
      <c r="G17" s="22">
        <v>1.1299999999999999E-2</v>
      </c>
      <c r="H17" s="23">
        <v>7.1099999999999997E-2</v>
      </c>
      <c r="I17" s="24"/>
      <c r="J17" s="5"/>
    </row>
    <row r="18" spans="1:10" ht="13.05" customHeight="1">
      <c r="A18" s="18" t="s">
        <v>2541</v>
      </c>
      <c r="B18" s="19" t="s">
        <v>2542</v>
      </c>
      <c r="C18" s="15" t="s">
        <v>2543</v>
      </c>
      <c r="D18" s="15" t="s">
        <v>5583</v>
      </c>
      <c r="E18" s="20">
        <v>11300</v>
      </c>
      <c r="F18" s="21">
        <v>11045.117200000001</v>
      </c>
      <c r="G18" s="22">
        <v>1.12E-2</v>
      </c>
      <c r="H18" s="23">
        <v>7.3012999999999995E-2</v>
      </c>
      <c r="I18" s="24"/>
      <c r="J18" s="5"/>
    </row>
    <row r="19" spans="1:10" ht="13.05" customHeight="1">
      <c r="A19" s="18" t="s">
        <v>2544</v>
      </c>
      <c r="B19" s="19" t="s">
        <v>2545</v>
      </c>
      <c r="C19" s="15" t="s">
        <v>2546</v>
      </c>
      <c r="D19" s="15" t="s">
        <v>213</v>
      </c>
      <c r="E19" s="20">
        <v>10000</v>
      </c>
      <c r="F19" s="21">
        <v>10236.15</v>
      </c>
      <c r="G19" s="22">
        <v>1.04E-2</v>
      </c>
      <c r="H19" s="23">
        <v>7.2700000000000001E-2</v>
      </c>
      <c r="I19" s="24"/>
      <c r="J19" s="5"/>
    </row>
    <row r="20" spans="1:10" ht="13.05" customHeight="1">
      <c r="A20" s="18" t="s">
        <v>2144</v>
      </c>
      <c r="B20" s="19" t="s">
        <v>2145</v>
      </c>
      <c r="C20" s="15" t="s">
        <v>2146</v>
      </c>
      <c r="D20" s="15" t="s">
        <v>213</v>
      </c>
      <c r="E20" s="20">
        <v>10000</v>
      </c>
      <c r="F20" s="21">
        <v>10233.870000000001</v>
      </c>
      <c r="G20" s="22">
        <v>1.04E-2</v>
      </c>
      <c r="H20" s="23">
        <v>6.6600000000000006E-2</v>
      </c>
      <c r="I20" s="24"/>
      <c r="J20" s="5"/>
    </row>
    <row r="21" spans="1:10" ht="13.05" customHeight="1">
      <c r="A21" s="18" t="s">
        <v>2033</v>
      </c>
      <c r="B21" s="19" t="s">
        <v>2034</v>
      </c>
      <c r="C21" s="15" t="s">
        <v>2035</v>
      </c>
      <c r="D21" s="15" t="s">
        <v>213</v>
      </c>
      <c r="E21" s="20">
        <v>1000</v>
      </c>
      <c r="F21" s="21">
        <v>10137.26</v>
      </c>
      <c r="G21" s="22">
        <v>1.03E-2</v>
      </c>
      <c r="H21" s="23">
        <v>6.9150000000000003E-2</v>
      </c>
      <c r="I21" s="24"/>
      <c r="J21" s="5"/>
    </row>
    <row r="22" spans="1:10" ht="13.05" customHeight="1">
      <c r="A22" s="18" t="s">
        <v>2021</v>
      </c>
      <c r="B22" s="19" t="s">
        <v>2022</v>
      </c>
      <c r="C22" s="15" t="s">
        <v>2023</v>
      </c>
      <c r="D22" s="15" t="s">
        <v>213</v>
      </c>
      <c r="E22" s="20">
        <v>10000</v>
      </c>
      <c r="F22" s="21">
        <v>10027.84</v>
      </c>
      <c r="G22" s="22">
        <v>1.0200000000000001E-2</v>
      </c>
      <c r="H22" s="23">
        <v>6.9150000000000003E-2</v>
      </c>
      <c r="I22" s="24"/>
      <c r="J22" s="5"/>
    </row>
    <row r="23" spans="1:10" ht="13.05" customHeight="1">
      <c r="A23" s="18" t="s">
        <v>2547</v>
      </c>
      <c r="B23" s="19" t="s">
        <v>2548</v>
      </c>
      <c r="C23" s="15" t="s">
        <v>2549</v>
      </c>
      <c r="D23" s="15" t="s">
        <v>213</v>
      </c>
      <c r="E23" s="20">
        <v>10000</v>
      </c>
      <c r="F23" s="21">
        <v>10025.719999999999</v>
      </c>
      <c r="G23" s="22">
        <v>1.0200000000000001E-2</v>
      </c>
      <c r="H23" s="23">
        <v>6.5799999999999997E-2</v>
      </c>
      <c r="I23" s="24"/>
      <c r="J23" s="5"/>
    </row>
    <row r="24" spans="1:10" ht="13.05" customHeight="1">
      <c r="A24" s="18" t="s">
        <v>1951</v>
      </c>
      <c r="B24" s="19" t="s">
        <v>1952</v>
      </c>
      <c r="C24" s="15" t="s">
        <v>1953</v>
      </c>
      <c r="D24" s="15" t="s">
        <v>1923</v>
      </c>
      <c r="E24" s="20">
        <v>10000</v>
      </c>
      <c r="F24" s="21">
        <v>9999.51</v>
      </c>
      <c r="G24" s="22">
        <v>1.01E-2</v>
      </c>
      <c r="H24" s="23">
        <v>6.5699999999999995E-2</v>
      </c>
      <c r="I24" s="24"/>
      <c r="J24" s="5"/>
    </row>
    <row r="25" spans="1:10" ht="13.05" customHeight="1">
      <c r="A25" s="18" t="s">
        <v>2108</v>
      </c>
      <c r="B25" s="19" t="s">
        <v>2109</v>
      </c>
      <c r="C25" s="15" t="s">
        <v>2110</v>
      </c>
      <c r="D25" s="15" t="s">
        <v>213</v>
      </c>
      <c r="E25" s="20">
        <v>10000</v>
      </c>
      <c r="F25" s="21">
        <v>9974.39</v>
      </c>
      <c r="G25" s="22">
        <v>1.01E-2</v>
      </c>
      <c r="H25" s="23">
        <v>6.7041000000000003E-2</v>
      </c>
      <c r="I25" s="24"/>
      <c r="J25" s="5"/>
    </row>
    <row r="26" spans="1:10" ht="13.05" customHeight="1">
      <c r="A26" s="18" t="s">
        <v>2550</v>
      </c>
      <c r="B26" s="19" t="s">
        <v>2551</v>
      </c>
      <c r="C26" s="15" t="s">
        <v>2552</v>
      </c>
      <c r="D26" s="15" t="s">
        <v>1923</v>
      </c>
      <c r="E26" s="20">
        <v>10000</v>
      </c>
      <c r="F26" s="21">
        <v>9970.86</v>
      </c>
      <c r="G26" s="22">
        <v>1.01E-2</v>
      </c>
      <c r="H26" s="23">
        <v>6.6600000000000006E-2</v>
      </c>
      <c r="I26" s="24"/>
      <c r="J26" s="5"/>
    </row>
    <row r="27" spans="1:10" ht="13.05" customHeight="1">
      <c r="A27" s="18" t="s">
        <v>2409</v>
      </c>
      <c r="B27" s="19" t="s">
        <v>2410</v>
      </c>
      <c r="C27" s="15" t="s">
        <v>2411</v>
      </c>
      <c r="D27" s="15" t="s">
        <v>213</v>
      </c>
      <c r="E27" s="20">
        <v>970</v>
      </c>
      <c r="F27" s="21">
        <v>9773.0216</v>
      </c>
      <c r="G27" s="22">
        <v>9.9000000000000008E-3</v>
      </c>
      <c r="H27" s="23">
        <v>7.1849999999999997E-2</v>
      </c>
      <c r="I27" s="24"/>
      <c r="J27" s="5"/>
    </row>
    <row r="28" spans="1:10" ht="13.05" customHeight="1">
      <c r="A28" s="18" t="s">
        <v>2553</v>
      </c>
      <c r="B28" s="19" t="s">
        <v>2554</v>
      </c>
      <c r="C28" s="15" t="s">
        <v>2555</v>
      </c>
      <c r="D28" s="15" t="s">
        <v>213</v>
      </c>
      <c r="E28" s="20">
        <v>9000</v>
      </c>
      <c r="F28" s="21">
        <v>9163.4040000000005</v>
      </c>
      <c r="G28" s="22">
        <v>9.2999999999999992E-3</v>
      </c>
      <c r="H28" s="23">
        <v>6.6699999999999995E-2</v>
      </c>
      <c r="I28" s="24"/>
      <c r="J28" s="5"/>
    </row>
    <row r="29" spans="1:10" ht="13.05" customHeight="1">
      <c r="A29" s="18" t="s">
        <v>2556</v>
      </c>
      <c r="B29" s="19" t="s">
        <v>2557</v>
      </c>
      <c r="C29" s="15" t="s">
        <v>2558</v>
      </c>
      <c r="D29" s="15" t="s">
        <v>213</v>
      </c>
      <c r="E29" s="20">
        <v>8500</v>
      </c>
      <c r="F29" s="21">
        <v>8756.5895</v>
      </c>
      <c r="G29" s="22">
        <v>8.8999999999999999E-3</v>
      </c>
      <c r="H29" s="23">
        <v>6.7016999999999993E-2</v>
      </c>
      <c r="I29" s="24"/>
      <c r="J29" s="5"/>
    </row>
    <row r="30" spans="1:10" ht="13.05" customHeight="1">
      <c r="A30" s="18" t="s">
        <v>2141</v>
      </c>
      <c r="B30" s="19" t="s">
        <v>2142</v>
      </c>
      <c r="C30" s="15" t="s">
        <v>2143</v>
      </c>
      <c r="D30" s="15" t="s">
        <v>213</v>
      </c>
      <c r="E30" s="20">
        <v>8500</v>
      </c>
      <c r="F30" s="21">
        <v>8713.8259999999991</v>
      </c>
      <c r="G30" s="22">
        <v>8.8000000000000005E-3</v>
      </c>
      <c r="H30" s="23">
        <v>6.7476999999999995E-2</v>
      </c>
      <c r="I30" s="24"/>
      <c r="J30" s="5"/>
    </row>
    <row r="31" spans="1:10" ht="13.05" customHeight="1">
      <c r="A31" s="18" t="s">
        <v>2559</v>
      </c>
      <c r="B31" s="19" t="s">
        <v>2560</v>
      </c>
      <c r="C31" s="15" t="s">
        <v>2561</v>
      </c>
      <c r="D31" s="15" t="s">
        <v>213</v>
      </c>
      <c r="E31" s="20">
        <v>8000</v>
      </c>
      <c r="F31" s="21">
        <v>8138.44</v>
      </c>
      <c r="G31" s="22">
        <v>8.2000000000000007E-3</v>
      </c>
      <c r="H31" s="23">
        <v>7.1050000000000002E-2</v>
      </c>
      <c r="I31" s="24"/>
      <c r="J31" s="5"/>
    </row>
    <row r="32" spans="1:10" ht="13.05" customHeight="1">
      <c r="A32" s="18" t="s">
        <v>1933</v>
      </c>
      <c r="B32" s="19" t="s">
        <v>1934</v>
      </c>
      <c r="C32" s="15" t="s">
        <v>1935</v>
      </c>
      <c r="D32" s="15" t="s">
        <v>1923</v>
      </c>
      <c r="E32" s="20">
        <v>7500</v>
      </c>
      <c r="F32" s="21">
        <v>7690.6049999999996</v>
      </c>
      <c r="G32" s="22">
        <v>7.7999999999999996E-3</v>
      </c>
      <c r="H32" s="23">
        <v>6.7376000000000005E-2</v>
      </c>
      <c r="I32" s="24"/>
      <c r="J32" s="5"/>
    </row>
    <row r="33" spans="1:10" ht="13.05" customHeight="1">
      <c r="A33" s="18" t="s">
        <v>2060</v>
      </c>
      <c r="B33" s="19" t="s">
        <v>2061</v>
      </c>
      <c r="C33" s="15" t="s">
        <v>2062</v>
      </c>
      <c r="D33" s="15" t="s">
        <v>213</v>
      </c>
      <c r="E33" s="20">
        <v>7500</v>
      </c>
      <c r="F33" s="21">
        <v>7686.33</v>
      </c>
      <c r="G33" s="22">
        <v>7.7999999999999996E-3</v>
      </c>
      <c r="H33" s="23">
        <v>6.7825999999999997E-2</v>
      </c>
      <c r="I33" s="24"/>
      <c r="J33" s="5"/>
    </row>
    <row r="34" spans="1:10" ht="13.05" customHeight="1">
      <c r="A34" s="18" t="s">
        <v>2216</v>
      </c>
      <c r="B34" s="19" t="s">
        <v>2217</v>
      </c>
      <c r="C34" s="15" t="s">
        <v>2218</v>
      </c>
      <c r="D34" s="15" t="s">
        <v>213</v>
      </c>
      <c r="E34" s="20">
        <v>7500</v>
      </c>
      <c r="F34" s="21">
        <v>7677.2924999999996</v>
      </c>
      <c r="G34" s="22">
        <v>7.7999999999999996E-3</v>
      </c>
      <c r="H34" s="23">
        <v>7.1349999999999997E-2</v>
      </c>
      <c r="I34" s="24"/>
      <c r="J34" s="5"/>
    </row>
    <row r="35" spans="1:10" ht="13.05" customHeight="1">
      <c r="A35" s="18" t="s">
        <v>1936</v>
      </c>
      <c r="B35" s="19" t="s">
        <v>1937</v>
      </c>
      <c r="C35" s="15" t="s">
        <v>1938</v>
      </c>
      <c r="D35" s="15" t="s">
        <v>213</v>
      </c>
      <c r="E35" s="20">
        <v>7500</v>
      </c>
      <c r="F35" s="21">
        <v>7648.0275000000001</v>
      </c>
      <c r="G35" s="22">
        <v>7.7000000000000002E-3</v>
      </c>
      <c r="H35" s="23">
        <v>6.6767000000000007E-2</v>
      </c>
      <c r="I35" s="24"/>
      <c r="J35" s="5"/>
    </row>
    <row r="36" spans="1:10" ht="13.05" customHeight="1">
      <c r="A36" s="18" t="s">
        <v>2156</v>
      </c>
      <c r="B36" s="19" t="s">
        <v>2157</v>
      </c>
      <c r="C36" s="15" t="s">
        <v>2158</v>
      </c>
      <c r="D36" s="15" t="s">
        <v>213</v>
      </c>
      <c r="E36" s="20">
        <v>7500</v>
      </c>
      <c r="F36" s="21">
        <v>7645.2974999999997</v>
      </c>
      <c r="G36" s="22">
        <v>7.7000000000000002E-3</v>
      </c>
      <c r="H36" s="23">
        <v>6.6400000000000001E-2</v>
      </c>
      <c r="I36" s="24"/>
      <c r="J36" s="5"/>
    </row>
    <row r="37" spans="1:10" ht="13.05" customHeight="1">
      <c r="A37" s="18" t="s">
        <v>2201</v>
      </c>
      <c r="B37" s="19" t="s">
        <v>2202</v>
      </c>
      <c r="C37" s="15" t="s">
        <v>2203</v>
      </c>
      <c r="D37" s="15" t="s">
        <v>213</v>
      </c>
      <c r="E37" s="20">
        <v>7500</v>
      </c>
      <c r="F37" s="21">
        <v>7635.8774999999996</v>
      </c>
      <c r="G37" s="22">
        <v>7.7000000000000002E-3</v>
      </c>
      <c r="H37" s="23">
        <v>6.8849999999999995E-2</v>
      </c>
      <c r="I37" s="24"/>
      <c r="J37" s="5"/>
    </row>
    <row r="38" spans="1:10" ht="13.05" customHeight="1">
      <c r="A38" s="18" t="s">
        <v>2562</v>
      </c>
      <c r="B38" s="19" t="s">
        <v>2563</v>
      </c>
      <c r="C38" s="15" t="s">
        <v>2564</v>
      </c>
      <c r="D38" s="15" t="s">
        <v>213</v>
      </c>
      <c r="E38" s="20">
        <v>750</v>
      </c>
      <c r="F38" s="21">
        <v>7585.9274999999998</v>
      </c>
      <c r="G38" s="22">
        <v>7.7000000000000002E-3</v>
      </c>
      <c r="H38" s="23">
        <v>7.2650000000000006E-2</v>
      </c>
      <c r="I38" s="24"/>
      <c r="J38" s="5"/>
    </row>
    <row r="39" spans="1:10" ht="13.05" customHeight="1">
      <c r="A39" s="18" t="s">
        <v>2565</v>
      </c>
      <c r="B39" s="19" t="s">
        <v>2566</v>
      </c>
      <c r="C39" s="15" t="s">
        <v>2567</v>
      </c>
      <c r="D39" s="15" t="s">
        <v>213</v>
      </c>
      <c r="E39" s="20">
        <v>7500</v>
      </c>
      <c r="F39" s="21">
        <v>7518.5550000000003</v>
      </c>
      <c r="G39" s="22">
        <v>7.6E-3</v>
      </c>
      <c r="H39" s="23">
        <v>7.3675000000000004E-2</v>
      </c>
      <c r="I39" s="24"/>
      <c r="J39" s="5"/>
    </row>
    <row r="40" spans="1:10" ht="13.05" customHeight="1">
      <c r="A40" s="18" t="s">
        <v>2568</v>
      </c>
      <c r="B40" s="19" t="s">
        <v>2569</v>
      </c>
      <c r="C40" s="15" t="s">
        <v>2570</v>
      </c>
      <c r="D40" s="15" t="s">
        <v>2571</v>
      </c>
      <c r="E40" s="20">
        <v>7500</v>
      </c>
      <c r="F40" s="21">
        <v>7518.1724999999997</v>
      </c>
      <c r="G40" s="22">
        <v>7.6E-3</v>
      </c>
      <c r="H40" s="23">
        <v>7.5047500000000003E-2</v>
      </c>
      <c r="I40" s="24"/>
      <c r="J40" s="5"/>
    </row>
    <row r="41" spans="1:10" ht="13.05" customHeight="1">
      <c r="A41" s="18" t="s">
        <v>2024</v>
      </c>
      <c r="B41" s="19" t="s">
        <v>2025</v>
      </c>
      <c r="C41" s="15" t="s">
        <v>2026</v>
      </c>
      <c r="D41" s="15" t="s">
        <v>1923</v>
      </c>
      <c r="E41" s="20">
        <v>7500</v>
      </c>
      <c r="F41" s="21">
        <v>7500.1274999999996</v>
      </c>
      <c r="G41" s="22">
        <v>7.6E-3</v>
      </c>
      <c r="H41" s="23">
        <v>7.0499999999999993E-2</v>
      </c>
      <c r="I41" s="24"/>
      <c r="J41" s="5"/>
    </row>
    <row r="42" spans="1:10" ht="13.05" customHeight="1">
      <c r="A42" s="18" t="s">
        <v>1954</v>
      </c>
      <c r="B42" s="19" t="s">
        <v>1955</v>
      </c>
      <c r="C42" s="15" t="s">
        <v>1956</v>
      </c>
      <c r="D42" s="15" t="s">
        <v>1957</v>
      </c>
      <c r="E42" s="20">
        <v>7500</v>
      </c>
      <c r="F42" s="21">
        <v>7435.9274999999998</v>
      </c>
      <c r="G42" s="22">
        <v>7.4999999999999997E-3</v>
      </c>
      <c r="H42" s="23">
        <v>6.9599999999999995E-2</v>
      </c>
      <c r="I42" s="24"/>
      <c r="J42" s="5"/>
    </row>
    <row r="43" spans="1:10" ht="13.05" customHeight="1">
      <c r="A43" s="18" t="s">
        <v>2572</v>
      </c>
      <c r="B43" s="19" t="s">
        <v>2573</v>
      </c>
      <c r="C43" s="15" t="s">
        <v>2574</v>
      </c>
      <c r="D43" s="15" t="s">
        <v>188</v>
      </c>
      <c r="E43" s="20">
        <v>7500000</v>
      </c>
      <c r="F43" s="21">
        <v>7355.9174999999996</v>
      </c>
      <c r="G43" s="22">
        <v>7.4999999999999997E-3</v>
      </c>
      <c r="H43" s="23">
        <v>7.3555999999999996E-2</v>
      </c>
      <c r="I43" s="24"/>
      <c r="J43" s="5"/>
    </row>
    <row r="44" spans="1:10" ht="13.05" customHeight="1">
      <c r="A44" s="18" t="s">
        <v>2575</v>
      </c>
      <c r="B44" s="19" t="s">
        <v>2576</v>
      </c>
      <c r="C44" s="15" t="s">
        <v>2577</v>
      </c>
      <c r="D44" s="15" t="s">
        <v>188</v>
      </c>
      <c r="E44" s="20">
        <v>7500000</v>
      </c>
      <c r="F44" s="21">
        <v>7353.15</v>
      </c>
      <c r="G44" s="22">
        <v>7.4000000000000003E-3</v>
      </c>
      <c r="H44" s="23">
        <v>7.0114999999999997E-2</v>
      </c>
      <c r="I44" s="24"/>
      <c r="J44" s="5"/>
    </row>
    <row r="45" spans="1:10" ht="13.05" customHeight="1">
      <c r="A45" s="18" t="s">
        <v>2135</v>
      </c>
      <c r="B45" s="19" t="s">
        <v>2136</v>
      </c>
      <c r="C45" s="15" t="s">
        <v>2137</v>
      </c>
      <c r="D45" s="15" t="s">
        <v>213</v>
      </c>
      <c r="E45" s="20">
        <v>7000</v>
      </c>
      <c r="F45" s="21">
        <v>7213.4790000000003</v>
      </c>
      <c r="G45" s="22">
        <v>7.3000000000000001E-3</v>
      </c>
      <c r="H45" s="23">
        <v>7.0699999999999999E-2</v>
      </c>
      <c r="I45" s="24"/>
      <c r="J45" s="5"/>
    </row>
    <row r="46" spans="1:10" ht="13.05" customHeight="1">
      <c r="A46" s="18" t="s">
        <v>1902</v>
      </c>
      <c r="B46" s="19" t="s">
        <v>1903</v>
      </c>
      <c r="C46" s="15" t="s">
        <v>1904</v>
      </c>
      <c r="D46" s="15" t="s">
        <v>213</v>
      </c>
      <c r="E46" s="20">
        <v>7000</v>
      </c>
      <c r="F46" s="21">
        <v>7128.7860000000001</v>
      </c>
      <c r="G46" s="22">
        <v>7.1999999999999998E-3</v>
      </c>
      <c r="H46" s="23">
        <v>6.7432000000000006E-2</v>
      </c>
      <c r="I46" s="24"/>
      <c r="J46" s="5"/>
    </row>
    <row r="47" spans="1:10" ht="13.05" customHeight="1">
      <c r="A47" s="18" t="s">
        <v>2578</v>
      </c>
      <c r="B47" s="19" t="s">
        <v>2579</v>
      </c>
      <c r="C47" s="15" t="s">
        <v>2580</v>
      </c>
      <c r="D47" s="15" t="s">
        <v>213</v>
      </c>
      <c r="E47" s="20">
        <v>7000</v>
      </c>
      <c r="F47" s="21">
        <v>7099.7430000000004</v>
      </c>
      <c r="G47" s="22">
        <v>7.1999999999999998E-3</v>
      </c>
      <c r="H47" s="23">
        <v>7.2099999999999997E-2</v>
      </c>
      <c r="I47" s="24"/>
      <c r="J47" s="5"/>
    </row>
    <row r="48" spans="1:10" ht="13.05" customHeight="1">
      <c r="A48" s="18" t="s">
        <v>2581</v>
      </c>
      <c r="B48" s="19" t="s">
        <v>2582</v>
      </c>
      <c r="C48" s="15" t="s">
        <v>2583</v>
      </c>
      <c r="D48" s="15" t="s">
        <v>213</v>
      </c>
      <c r="E48" s="20">
        <v>7000</v>
      </c>
      <c r="F48" s="21">
        <v>7022.89</v>
      </c>
      <c r="G48" s="22">
        <v>7.1000000000000004E-3</v>
      </c>
      <c r="H48" s="23">
        <v>6.9699999999999998E-2</v>
      </c>
      <c r="I48" s="24"/>
      <c r="J48" s="5"/>
    </row>
    <row r="49" spans="1:10" ht="13.05" customHeight="1">
      <c r="A49" s="18" t="s">
        <v>2584</v>
      </c>
      <c r="B49" s="19" t="s">
        <v>2585</v>
      </c>
      <c r="C49" s="15" t="s">
        <v>2586</v>
      </c>
      <c r="D49" s="15" t="s">
        <v>213</v>
      </c>
      <c r="E49" s="20">
        <v>6500</v>
      </c>
      <c r="F49" s="21">
        <v>6604.2015000000001</v>
      </c>
      <c r="G49" s="22">
        <v>6.7000000000000002E-3</v>
      </c>
      <c r="H49" s="23">
        <v>6.6449999999999995E-2</v>
      </c>
      <c r="I49" s="24"/>
      <c r="J49" s="5"/>
    </row>
    <row r="50" spans="1:10" ht="13.05" customHeight="1">
      <c r="A50" s="18" t="s">
        <v>2587</v>
      </c>
      <c r="B50" s="19" t="s">
        <v>2588</v>
      </c>
      <c r="C50" s="15" t="s">
        <v>2589</v>
      </c>
      <c r="D50" s="15" t="s">
        <v>1923</v>
      </c>
      <c r="E50" s="20">
        <v>6000</v>
      </c>
      <c r="F50" s="21">
        <v>6133.4040000000005</v>
      </c>
      <c r="G50" s="22">
        <v>6.1999999999999998E-3</v>
      </c>
      <c r="H50" s="23">
        <v>7.1225999999999998E-2</v>
      </c>
      <c r="I50" s="24"/>
      <c r="J50" s="5"/>
    </row>
    <row r="51" spans="1:10" ht="13.05" customHeight="1">
      <c r="A51" s="18" t="s">
        <v>2590</v>
      </c>
      <c r="B51" s="19" t="s">
        <v>2591</v>
      </c>
      <c r="C51" s="15" t="s">
        <v>2592</v>
      </c>
      <c r="D51" s="15" t="s">
        <v>213</v>
      </c>
      <c r="E51" s="20">
        <v>550</v>
      </c>
      <c r="F51" s="21">
        <v>5703.5934999999999</v>
      </c>
      <c r="G51" s="22">
        <v>5.7999999999999996E-3</v>
      </c>
      <c r="H51" s="23">
        <v>6.7724999999999994E-2</v>
      </c>
      <c r="I51" s="24"/>
      <c r="J51" s="5"/>
    </row>
    <row r="52" spans="1:10" ht="13.05" customHeight="1">
      <c r="A52" s="18" t="s">
        <v>2593</v>
      </c>
      <c r="B52" s="19" t="s">
        <v>2594</v>
      </c>
      <c r="C52" s="15" t="s">
        <v>2595</v>
      </c>
      <c r="D52" s="15" t="s">
        <v>213</v>
      </c>
      <c r="E52" s="20">
        <v>5500</v>
      </c>
      <c r="F52" s="21">
        <v>5634.42</v>
      </c>
      <c r="G52" s="22">
        <v>5.7000000000000002E-3</v>
      </c>
      <c r="H52" s="23">
        <v>6.6000000000000003E-2</v>
      </c>
      <c r="I52" s="24"/>
      <c r="J52" s="5"/>
    </row>
    <row r="53" spans="1:10" ht="13.05" customHeight="1">
      <c r="A53" s="18" t="s">
        <v>2066</v>
      </c>
      <c r="B53" s="19" t="s">
        <v>2067</v>
      </c>
      <c r="C53" s="15" t="s">
        <v>2068</v>
      </c>
      <c r="D53" s="15" t="s">
        <v>213</v>
      </c>
      <c r="E53" s="20">
        <v>550</v>
      </c>
      <c r="F53" s="21">
        <v>5620.0924999999997</v>
      </c>
      <c r="G53" s="22">
        <v>5.7000000000000002E-3</v>
      </c>
      <c r="H53" s="23">
        <v>7.3497000000000007E-2</v>
      </c>
      <c r="I53" s="24"/>
      <c r="J53" s="5"/>
    </row>
    <row r="54" spans="1:10" ht="13.05" customHeight="1">
      <c r="A54" s="18" t="s">
        <v>2129</v>
      </c>
      <c r="B54" s="19" t="s">
        <v>2130</v>
      </c>
      <c r="C54" s="15" t="s">
        <v>2131</v>
      </c>
      <c r="D54" s="15" t="s">
        <v>213</v>
      </c>
      <c r="E54" s="20">
        <v>5500</v>
      </c>
      <c r="F54" s="21">
        <v>5593.7969999999996</v>
      </c>
      <c r="G54" s="22">
        <v>5.7000000000000002E-3</v>
      </c>
      <c r="H54" s="23">
        <v>7.1849999999999997E-2</v>
      </c>
      <c r="I54" s="24"/>
      <c r="J54" s="5"/>
    </row>
    <row r="55" spans="1:10" ht="13.05" customHeight="1">
      <c r="A55" s="18" t="s">
        <v>2596</v>
      </c>
      <c r="B55" s="19" t="s">
        <v>2597</v>
      </c>
      <c r="C55" s="15" t="s">
        <v>2598</v>
      </c>
      <c r="D55" s="15" t="s">
        <v>1923</v>
      </c>
      <c r="E55" s="20">
        <v>5500</v>
      </c>
      <c r="F55" s="21">
        <v>5510.098</v>
      </c>
      <c r="G55" s="22">
        <v>5.5999999999999999E-3</v>
      </c>
      <c r="H55" s="23">
        <v>7.0416000000000006E-2</v>
      </c>
      <c r="I55" s="24"/>
      <c r="J55" s="5"/>
    </row>
    <row r="56" spans="1:10" ht="13.05" customHeight="1">
      <c r="A56" s="18" t="s">
        <v>1961</v>
      </c>
      <c r="B56" s="19" t="s">
        <v>1962</v>
      </c>
      <c r="C56" s="15" t="s">
        <v>1963</v>
      </c>
      <c r="D56" s="15" t="s">
        <v>188</v>
      </c>
      <c r="E56" s="20">
        <v>5000000</v>
      </c>
      <c r="F56" s="21">
        <v>5287.0649999999996</v>
      </c>
      <c r="G56" s="22">
        <v>5.4000000000000003E-3</v>
      </c>
      <c r="H56" s="23">
        <v>6.8839999999999998E-2</v>
      </c>
      <c r="I56" s="24"/>
      <c r="J56" s="5"/>
    </row>
    <row r="57" spans="1:10" ht="13.05" customHeight="1">
      <c r="A57" s="18" t="s">
        <v>2051</v>
      </c>
      <c r="B57" s="19" t="s">
        <v>2052</v>
      </c>
      <c r="C57" s="15" t="s">
        <v>2053</v>
      </c>
      <c r="D57" s="15" t="s">
        <v>213</v>
      </c>
      <c r="E57" s="20">
        <v>5000</v>
      </c>
      <c r="F57" s="21">
        <v>5169.4750000000004</v>
      </c>
      <c r="G57" s="22">
        <v>5.1999999999999998E-3</v>
      </c>
      <c r="H57" s="23">
        <v>7.0499999999999993E-2</v>
      </c>
      <c r="I57" s="24"/>
      <c r="J57" s="5"/>
    </row>
    <row r="58" spans="1:10" ht="13.05" customHeight="1">
      <c r="A58" s="18" t="s">
        <v>2126</v>
      </c>
      <c r="B58" s="19" t="s">
        <v>2127</v>
      </c>
      <c r="C58" s="15" t="s">
        <v>2128</v>
      </c>
      <c r="D58" s="15" t="s">
        <v>213</v>
      </c>
      <c r="E58" s="20">
        <v>5000</v>
      </c>
      <c r="F58" s="21">
        <v>5165.29</v>
      </c>
      <c r="G58" s="22">
        <v>5.1999999999999998E-3</v>
      </c>
      <c r="H58" s="23">
        <v>7.0899000000000004E-2</v>
      </c>
      <c r="I58" s="24"/>
      <c r="J58" s="5"/>
    </row>
    <row r="59" spans="1:10" ht="13.05" customHeight="1">
      <c r="A59" s="18" t="s">
        <v>2054</v>
      </c>
      <c r="B59" s="19" t="s">
        <v>2055</v>
      </c>
      <c r="C59" s="15" t="s">
        <v>2056</v>
      </c>
      <c r="D59" s="15" t="s">
        <v>213</v>
      </c>
      <c r="E59" s="20">
        <v>5000</v>
      </c>
      <c r="F59" s="21">
        <v>5149.99</v>
      </c>
      <c r="G59" s="22">
        <v>5.1999999999999998E-3</v>
      </c>
      <c r="H59" s="23">
        <v>7.0899000000000004E-2</v>
      </c>
      <c r="I59" s="24"/>
      <c r="J59" s="5"/>
    </row>
    <row r="60" spans="1:10" ht="13.05" customHeight="1">
      <c r="A60" s="18" t="s">
        <v>2138</v>
      </c>
      <c r="B60" s="19" t="s">
        <v>2139</v>
      </c>
      <c r="C60" s="15" t="s">
        <v>2140</v>
      </c>
      <c r="D60" s="15" t="s">
        <v>213</v>
      </c>
      <c r="E60" s="20">
        <v>5000</v>
      </c>
      <c r="F60" s="21">
        <v>5146.8249999999998</v>
      </c>
      <c r="G60" s="22">
        <v>5.1999999999999998E-3</v>
      </c>
      <c r="H60" s="23">
        <v>7.2150000000000006E-2</v>
      </c>
      <c r="I60" s="24"/>
      <c r="J60" s="5"/>
    </row>
    <row r="61" spans="1:10" ht="13.05" customHeight="1">
      <c r="A61" s="18" t="s">
        <v>2599</v>
      </c>
      <c r="B61" s="19" t="s">
        <v>2600</v>
      </c>
      <c r="C61" s="15" t="s">
        <v>2601</v>
      </c>
      <c r="D61" s="15" t="s">
        <v>213</v>
      </c>
      <c r="E61" s="20">
        <v>500</v>
      </c>
      <c r="F61" s="21">
        <v>5124.8450000000003</v>
      </c>
      <c r="G61" s="22">
        <v>5.1999999999999998E-3</v>
      </c>
      <c r="H61" s="23">
        <v>6.7375000000000004E-2</v>
      </c>
      <c r="I61" s="24"/>
      <c r="J61" s="5"/>
    </row>
    <row r="62" spans="1:10" ht="13.05" customHeight="1">
      <c r="A62" s="18" t="s">
        <v>2602</v>
      </c>
      <c r="B62" s="19" t="s">
        <v>2603</v>
      </c>
      <c r="C62" s="15" t="s">
        <v>2604</v>
      </c>
      <c r="D62" s="15" t="s">
        <v>213</v>
      </c>
      <c r="E62" s="20">
        <v>500</v>
      </c>
      <c r="F62" s="21">
        <v>5119.875</v>
      </c>
      <c r="G62" s="22">
        <v>5.1999999999999998E-3</v>
      </c>
      <c r="H62" s="23">
        <v>6.7349999999999993E-2</v>
      </c>
      <c r="I62" s="24"/>
      <c r="J62" s="5"/>
    </row>
    <row r="63" spans="1:10" ht="13.05" customHeight="1">
      <c r="A63" s="18" t="s">
        <v>2605</v>
      </c>
      <c r="B63" s="19" t="s">
        <v>2606</v>
      </c>
      <c r="C63" s="15" t="s">
        <v>2607</v>
      </c>
      <c r="D63" s="15" t="s">
        <v>1923</v>
      </c>
      <c r="E63" s="20">
        <v>5000</v>
      </c>
      <c r="F63" s="21">
        <v>5112.0649999999996</v>
      </c>
      <c r="G63" s="22">
        <v>5.1999999999999998E-3</v>
      </c>
      <c r="H63" s="23">
        <v>6.9750999999999994E-2</v>
      </c>
      <c r="I63" s="24"/>
      <c r="J63" s="5"/>
    </row>
    <row r="64" spans="1:10" ht="13.05" customHeight="1">
      <c r="A64" s="18" t="s">
        <v>2120</v>
      </c>
      <c r="B64" s="19" t="s">
        <v>2121</v>
      </c>
      <c r="C64" s="15" t="s">
        <v>2122</v>
      </c>
      <c r="D64" s="15" t="s">
        <v>213</v>
      </c>
      <c r="E64" s="20">
        <v>500</v>
      </c>
      <c r="F64" s="21">
        <v>5108.5050000000001</v>
      </c>
      <c r="G64" s="22">
        <v>5.1999999999999998E-3</v>
      </c>
      <c r="H64" s="23">
        <v>6.9650000000000004E-2</v>
      </c>
      <c r="I64" s="24"/>
      <c r="J64" s="5"/>
    </row>
    <row r="65" spans="1:10" ht="13.05" customHeight="1">
      <c r="A65" s="18" t="s">
        <v>2219</v>
      </c>
      <c r="B65" s="19" t="s">
        <v>2220</v>
      </c>
      <c r="C65" s="15" t="s">
        <v>2221</v>
      </c>
      <c r="D65" s="15" t="s">
        <v>213</v>
      </c>
      <c r="E65" s="20">
        <v>5000</v>
      </c>
      <c r="F65" s="21">
        <v>5105.8599999999997</v>
      </c>
      <c r="G65" s="22">
        <v>5.1999999999999998E-3</v>
      </c>
      <c r="H65" s="23">
        <v>6.7900000000000002E-2</v>
      </c>
      <c r="I65" s="24"/>
      <c r="J65" s="5"/>
    </row>
    <row r="66" spans="1:10" ht="13.05" customHeight="1">
      <c r="A66" s="18" t="s">
        <v>1997</v>
      </c>
      <c r="B66" s="19" t="s">
        <v>1998</v>
      </c>
      <c r="C66" s="15" t="s">
        <v>1999</v>
      </c>
      <c r="D66" s="15" t="s">
        <v>213</v>
      </c>
      <c r="E66" s="20">
        <v>5000</v>
      </c>
      <c r="F66" s="21">
        <v>5105.04</v>
      </c>
      <c r="G66" s="22">
        <v>5.1999999999999998E-3</v>
      </c>
      <c r="H66" s="23">
        <v>6.4898999999999998E-2</v>
      </c>
      <c r="I66" s="24"/>
      <c r="J66" s="5"/>
    </row>
    <row r="67" spans="1:10" ht="13.05" customHeight="1">
      <c r="A67" s="18" t="s">
        <v>2075</v>
      </c>
      <c r="B67" s="19" t="s">
        <v>2076</v>
      </c>
      <c r="C67" s="15" t="s">
        <v>2077</v>
      </c>
      <c r="D67" s="15" t="s">
        <v>213</v>
      </c>
      <c r="E67" s="20">
        <v>5000</v>
      </c>
      <c r="F67" s="21">
        <v>5099.84</v>
      </c>
      <c r="G67" s="22">
        <v>5.1999999999999998E-3</v>
      </c>
      <c r="H67" s="23">
        <v>6.9650000000000004E-2</v>
      </c>
      <c r="I67" s="24"/>
      <c r="J67" s="5"/>
    </row>
    <row r="68" spans="1:10" ht="13.05" customHeight="1">
      <c r="A68" s="18" t="s">
        <v>2153</v>
      </c>
      <c r="B68" s="19" t="s">
        <v>2154</v>
      </c>
      <c r="C68" s="15" t="s">
        <v>2155</v>
      </c>
      <c r="D68" s="15" t="s">
        <v>213</v>
      </c>
      <c r="E68" s="20">
        <v>5000</v>
      </c>
      <c r="F68" s="21">
        <v>5097.67</v>
      </c>
      <c r="G68" s="22">
        <v>5.1999999999999998E-3</v>
      </c>
      <c r="H68" s="23">
        <v>7.0791999999999994E-2</v>
      </c>
      <c r="I68" s="24"/>
      <c r="J68" s="5"/>
    </row>
    <row r="69" spans="1:10" ht="13.05" customHeight="1">
      <c r="A69" s="18" t="s">
        <v>1976</v>
      </c>
      <c r="B69" s="19" t="s">
        <v>1977</v>
      </c>
      <c r="C69" s="15" t="s">
        <v>1978</v>
      </c>
      <c r="D69" s="15" t="s">
        <v>1957</v>
      </c>
      <c r="E69" s="20">
        <v>5000</v>
      </c>
      <c r="F69" s="21">
        <v>5093.55</v>
      </c>
      <c r="G69" s="22">
        <v>5.1999999999999998E-3</v>
      </c>
      <c r="H69" s="23">
        <v>6.9599999999999995E-2</v>
      </c>
      <c r="I69" s="24"/>
      <c r="J69" s="5"/>
    </row>
    <row r="70" spans="1:10" ht="13.05" customHeight="1">
      <c r="A70" s="18" t="s">
        <v>2608</v>
      </c>
      <c r="B70" s="19" t="s">
        <v>2609</v>
      </c>
      <c r="C70" s="15" t="s">
        <v>2610</v>
      </c>
      <c r="D70" s="15" t="s">
        <v>213</v>
      </c>
      <c r="E70" s="20">
        <v>5000</v>
      </c>
      <c r="F70" s="21">
        <v>5088.8450000000003</v>
      </c>
      <c r="G70" s="22">
        <v>5.1999999999999998E-3</v>
      </c>
      <c r="H70" s="23">
        <v>6.7041000000000003E-2</v>
      </c>
      <c r="I70" s="24"/>
      <c r="J70" s="5"/>
    </row>
    <row r="71" spans="1:10" ht="13.05" customHeight="1">
      <c r="A71" s="18" t="s">
        <v>2081</v>
      </c>
      <c r="B71" s="19" t="s">
        <v>2082</v>
      </c>
      <c r="C71" s="15" t="s">
        <v>2083</v>
      </c>
      <c r="D71" s="15" t="s">
        <v>213</v>
      </c>
      <c r="E71" s="20">
        <v>5000</v>
      </c>
      <c r="F71" s="21">
        <v>5082.1549999999997</v>
      </c>
      <c r="G71" s="22">
        <v>5.1000000000000004E-3</v>
      </c>
      <c r="H71" s="23">
        <v>7.1150000000000005E-2</v>
      </c>
      <c r="I71" s="24"/>
      <c r="J71" s="5"/>
    </row>
    <row r="72" spans="1:10" ht="13.05" customHeight="1">
      <c r="A72" s="18" t="s">
        <v>1893</v>
      </c>
      <c r="B72" s="19" t="s">
        <v>1894</v>
      </c>
      <c r="C72" s="15" t="s">
        <v>1895</v>
      </c>
      <c r="D72" s="15" t="s">
        <v>213</v>
      </c>
      <c r="E72" s="20">
        <v>5000</v>
      </c>
      <c r="F72" s="21">
        <v>5081.9849999999997</v>
      </c>
      <c r="G72" s="22">
        <v>5.1000000000000004E-3</v>
      </c>
      <c r="H72" s="23">
        <v>6.6625000000000004E-2</v>
      </c>
      <c r="I72" s="24"/>
      <c r="J72" s="5"/>
    </row>
    <row r="73" spans="1:10" ht="13.05" customHeight="1">
      <c r="A73" s="18" t="s">
        <v>1896</v>
      </c>
      <c r="B73" s="19" t="s">
        <v>1897</v>
      </c>
      <c r="C73" s="15" t="s">
        <v>1898</v>
      </c>
      <c r="D73" s="15" t="s">
        <v>213</v>
      </c>
      <c r="E73" s="20">
        <v>5000</v>
      </c>
      <c r="F73" s="21">
        <v>5080.7150000000001</v>
      </c>
      <c r="G73" s="22">
        <v>5.1000000000000004E-3</v>
      </c>
      <c r="H73" s="23">
        <v>6.6400000000000001E-2</v>
      </c>
      <c r="I73" s="24"/>
      <c r="J73" s="5"/>
    </row>
    <row r="74" spans="1:10" ht="13.05" customHeight="1">
      <c r="A74" s="18" t="s">
        <v>2611</v>
      </c>
      <c r="B74" s="19" t="s">
        <v>2612</v>
      </c>
      <c r="C74" s="15" t="s">
        <v>2613</v>
      </c>
      <c r="D74" s="15" t="s">
        <v>213</v>
      </c>
      <c r="E74" s="20">
        <v>5000</v>
      </c>
      <c r="F74" s="21">
        <v>5071.3900000000003</v>
      </c>
      <c r="G74" s="22">
        <v>5.1000000000000004E-3</v>
      </c>
      <c r="H74" s="23">
        <v>6.9599999999999995E-2</v>
      </c>
      <c r="I74" s="24"/>
      <c r="J74" s="5"/>
    </row>
    <row r="75" spans="1:10" ht="13.05" customHeight="1">
      <c r="A75" s="18" t="s">
        <v>2614</v>
      </c>
      <c r="B75" s="19" t="s">
        <v>2615</v>
      </c>
      <c r="C75" s="15" t="s">
        <v>2616</v>
      </c>
      <c r="D75" s="15" t="s">
        <v>213</v>
      </c>
      <c r="E75" s="20">
        <v>500</v>
      </c>
      <c r="F75" s="21">
        <v>5068.5150000000003</v>
      </c>
      <c r="G75" s="22">
        <v>5.1000000000000004E-3</v>
      </c>
      <c r="H75" s="23">
        <v>6.5799999999999997E-2</v>
      </c>
      <c r="I75" s="24"/>
      <c r="J75" s="5"/>
    </row>
    <row r="76" spans="1:10" ht="13.05" customHeight="1">
      <c r="A76" s="18" t="s">
        <v>2617</v>
      </c>
      <c r="B76" s="19" t="s">
        <v>2618</v>
      </c>
      <c r="C76" s="15" t="s">
        <v>2619</v>
      </c>
      <c r="D76" s="15" t="s">
        <v>213</v>
      </c>
      <c r="E76" s="20">
        <v>500</v>
      </c>
      <c r="F76" s="21">
        <v>5059.26</v>
      </c>
      <c r="G76" s="22">
        <v>5.1000000000000004E-3</v>
      </c>
      <c r="H76" s="23">
        <v>7.1050000000000002E-2</v>
      </c>
      <c r="I76" s="24"/>
      <c r="J76" s="5"/>
    </row>
    <row r="77" spans="1:10" ht="13.05" customHeight="1">
      <c r="A77" s="18" t="s">
        <v>2183</v>
      </c>
      <c r="B77" s="19" t="s">
        <v>2184</v>
      </c>
      <c r="C77" s="15" t="s">
        <v>2185</v>
      </c>
      <c r="D77" s="15" t="s">
        <v>213</v>
      </c>
      <c r="E77" s="20">
        <v>5000</v>
      </c>
      <c r="F77" s="21">
        <v>5048.1949999999997</v>
      </c>
      <c r="G77" s="22">
        <v>5.1000000000000004E-3</v>
      </c>
      <c r="H77" s="23">
        <v>7.3450000000000001E-2</v>
      </c>
      <c r="I77" s="24"/>
      <c r="J77" s="5"/>
    </row>
    <row r="78" spans="1:10" ht="13.05" customHeight="1">
      <c r="A78" s="18" t="s">
        <v>2620</v>
      </c>
      <c r="B78" s="19" t="s">
        <v>2621</v>
      </c>
      <c r="C78" s="15" t="s">
        <v>2622</v>
      </c>
      <c r="D78" s="15" t="s">
        <v>213</v>
      </c>
      <c r="E78" s="20">
        <v>5000</v>
      </c>
      <c r="F78" s="21">
        <v>5027.0749999999998</v>
      </c>
      <c r="G78" s="22">
        <v>5.1000000000000004E-3</v>
      </c>
      <c r="H78" s="23">
        <v>7.0087999999999998E-2</v>
      </c>
      <c r="I78" s="24"/>
      <c r="J78" s="5"/>
    </row>
    <row r="79" spans="1:10" ht="13.05" customHeight="1">
      <c r="A79" s="18" t="s">
        <v>2452</v>
      </c>
      <c r="B79" s="19" t="s">
        <v>2453</v>
      </c>
      <c r="C79" s="15" t="s">
        <v>2454</v>
      </c>
      <c r="D79" s="15" t="s">
        <v>1923</v>
      </c>
      <c r="E79" s="20">
        <v>5000</v>
      </c>
      <c r="F79" s="21">
        <v>5023.0150000000003</v>
      </c>
      <c r="G79" s="22">
        <v>5.1000000000000004E-3</v>
      </c>
      <c r="H79" s="23">
        <v>6.7299999999999999E-2</v>
      </c>
      <c r="I79" s="24"/>
      <c r="J79" s="5"/>
    </row>
    <row r="80" spans="1:10" ht="13.05" customHeight="1">
      <c r="A80" s="18" t="s">
        <v>2096</v>
      </c>
      <c r="B80" s="19" t="s">
        <v>2097</v>
      </c>
      <c r="C80" s="15" t="s">
        <v>2098</v>
      </c>
      <c r="D80" s="15" t="s">
        <v>213</v>
      </c>
      <c r="E80" s="20">
        <v>5000</v>
      </c>
      <c r="F80" s="21">
        <v>5021.67</v>
      </c>
      <c r="G80" s="22">
        <v>5.1000000000000004E-3</v>
      </c>
      <c r="H80" s="23">
        <v>7.1150000000000005E-2</v>
      </c>
      <c r="I80" s="24"/>
      <c r="J80" s="5"/>
    </row>
    <row r="81" spans="1:10" ht="13.05" customHeight="1">
      <c r="A81" s="18" t="s">
        <v>1985</v>
      </c>
      <c r="B81" s="19" t="s">
        <v>1986</v>
      </c>
      <c r="C81" s="15" t="s">
        <v>1987</v>
      </c>
      <c r="D81" s="15" t="s">
        <v>213</v>
      </c>
      <c r="E81" s="20">
        <v>5000</v>
      </c>
      <c r="F81" s="21">
        <v>4993.8649999999998</v>
      </c>
      <c r="G81" s="22">
        <v>5.1000000000000004E-3</v>
      </c>
      <c r="H81" s="23">
        <v>6.7032999999999995E-2</v>
      </c>
      <c r="I81" s="24"/>
      <c r="J81" s="5"/>
    </row>
    <row r="82" spans="1:10" ht="13.05" customHeight="1">
      <c r="A82" s="18" t="s">
        <v>2623</v>
      </c>
      <c r="B82" s="19" t="s">
        <v>2624</v>
      </c>
      <c r="C82" s="15" t="s">
        <v>2625</v>
      </c>
      <c r="D82" s="15" t="s">
        <v>213</v>
      </c>
      <c r="E82" s="20">
        <v>450</v>
      </c>
      <c r="F82" s="21">
        <v>4554.8999999999996</v>
      </c>
      <c r="G82" s="22">
        <v>4.5999999999999999E-3</v>
      </c>
      <c r="H82" s="23">
        <v>6.8449999999999997E-2</v>
      </c>
      <c r="I82" s="24"/>
      <c r="J82" s="5"/>
    </row>
    <row r="83" spans="1:10" ht="13.05" customHeight="1">
      <c r="A83" s="18" t="s">
        <v>2093</v>
      </c>
      <c r="B83" s="19" t="s">
        <v>2094</v>
      </c>
      <c r="C83" s="15" t="s">
        <v>2095</v>
      </c>
      <c r="D83" s="15" t="s">
        <v>213</v>
      </c>
      <c r="E83" s="20">
        <v>4500</v>
      </c>
      <c r="F83" s="21">
        <v>4521.0420000000004</v>
      </c>
      <c r="G83" s="22">
        <v>4.5999999999999999E-3</v>
      </c>
      <c r="H83" s="23">
        <v>7.0299E-2</v>
      </c>
      <c r="I83" s="24"/>
      <c r="J83" s="5"/>
    </row>
    <row r="84" spans="1:10" ht="13.05" customHeight="1">
      <c r="A84" s="18" t="s">
        <v>2243</v>
      </c>
      <c r="B84" s="19" t="s">
        <v>2244</v>
      </c>
      <c r="C84" s="15" t="s">
        <v>2245</v>
      </c>
      <c r="D84" s="15" t="s">
        <v>188</v>
      </c>
      <c r="E84" s="20">
        <v>4416000</v>
      </c>
      <c r="F84" s="21">
        <v>4503.1277</v>
      </c>
      <c r="G84" s="22">
        <v>4.5999999999999999E-3</v>
      </c>
      <c r="H84" s="23">
        <v>7.3334999999999997E-2</v>
      </c>
      <c r="I84" s="24"/>
      <c r="J84" s="5"/>
    </row>
    <row r="85" spans="1:10" ht="13.05" customHeight="1">
      <c r="A85" s="18" t="s">
        <v>2626</v>
      </c>
      <c r="B85" s="19" t="s">
        <v>2627</v>
      </c>
      <c r="C85" s="15" t="s">
        <v>2628</v>
      </c>
      <c r="D85" s="15" t="s">
        <v>213</v>
      </c>
      <c r="E85" s="20">
        <v>4000</v>
      </c>
      <c r="F85" s="21">
        <v>4069.1759999999999</v>
      </c>
      <c r="G85" s="22">
        <v>4.1000000000000003E-3</v>
      </c>
      <c r="H85" s="23">
        <v>7.0949999999999999E-2</v>
      </c>
      <c r="I85" s="24"/>
      <c r="J85" s="5"/>
    </row>
    <row r="86" spans="1:10" ht="13.05" customHeight="1">
      <c r="A86" s="18" t="s">
        <v>2629</v>
      </c>
      <c r="B86" s="19" t="s">
        <v>2630</v>
      </c>
      <c r="C86" s="15" t="s">
        <v>2631</v>
      </c>
      <c r="D86" s="15" t="s">
        <v>213</v>
      </c>
      <c r="E86" s="20">
        <v>5000</v>
      </c>
      <c r="F86" s="21">
        <v>3971.0250000000001</v>
      </c>
      <c r="G86" s="22">
        <v>4.0000000000000001E-3</v>
      </c>
      <c r="H86" s="23">
        <v>6.9150000000000003E-2</v>
      </c>
      <c r="I86" s="24"/>
      <c r="J86" s="5"/>
    </row>
    <row r="87" spans="1:10" ht="13.05" customHeight="1">
      <c r="A87" s="18" t="s">
        <v>2632</v>
      </c>
      <c r="B87" s="19" t="s">
        <v>2633</v>
      </c>
      <c r="C87" s="15" t="s">
        <v>2634</v>
      </c>
      <c r="D87" s="15" t="s">
        <v>213</v>
      </c>
      <c r="E87" s="20">
        <v>4500</v>
      </c>
      <c r="F87" s="21">
        <v>3701.0295000000001</v>
      </c>
      <c r="G87" s="22">
        <v>3.7000000000000002E-3</v>
      </c>
      <c r="H87" s="23">
        <v>6.9150000000000003E-2</v>
      </c>
      <c r="I87" s="24"/>
      <c r="J87" s="5"/>
    </row>
    <row r="88" spans="1:10" ht="13.05" customHeight="1">
      <c r="A88" s="18" t="s">
        <v>2635</v>
      </c>
      <c r="B88" s="19" t="s">
        <v>2636</v>
      </c>
      <c r="C88" s="15" t="s">
        <v>2637</v>
      </c>
      <c r="D88" s="15" t="s">
        <v>1923</v>
      </c>
      <c r="E88" s="20">
        <v>3500</v>
      </c>
      <c r="F88" s="21">
        <v>3589.5859999999998</v>
      </c>
      <c r="G88" s="22">
        <v>3.5999999999999999E-3</v>
      </c>
      <c r="H88" s="23">
        <v>6.4799999999999996E-2</v>
      </c>
      <c r="I88" s="24"/>
      <c r="J88" s="5"/>
    </row>
    <row r="89" spans="1:10" ht="13.05" customHeight="1">
      <c r="A89" s="18" t="s">
        <v>2174</v>
      </c>
      <c r="B89" s="19" t="s">
        <v>2175</v>
      </c>
      <c r="C89" s="15" t="s">
        <v>2176</v>
      </c>
      <c r="D89" s="15" t="s">
        <v>213</v>
      </c>
      <c r="E89" s="20">
        <v>3500</v>
      </c>
      <c r="F89" s="21">
        <v>3552.3494999999998</v>
      </c>
      <c r="G89" s="22">
        <v>3.5999999999999999E-3</v>
      </c>
      <c r="H89" s="23">
        <v>7.3229000000000002E-2</v>
      </c>
      <c r="I89" s="24"/>
      <c r="J89" s="5"/>
    </row>
    <row r="90" spans="1:10" ht="13.05" customHeight="1">
      <c r="A90" s="18" t="s">
        <v>2638</v>
      </c>
      <c r="B90" s="19" t="s">
        <v>2639</v>
      </c>
      <c r="C90" s="15" t="s">
        <v>2640</v>
      </c>
      <c r="D90" s="15" t="s">
        <v>213</v>
      </c>
      <c r="E90" s="20">
        <v>350</v>
      </c>
      <c r="F90" s="21">
        <v>3539.2595000000001</v>
      </c>
      <c r="G90" s="22">
        <v>3.5999999999999999E-3</v>
      </c>
      <c r="H90" s="23">
        <v>6.7650000000000002E-2</v>
      </c>
      <c r="I90" s="24"/>
      <c r="J90" s="5"/>
    </row>
    <row r="91" spans="1:10" ht="13.05" customHeight="1">
      <c r="A91" s="18" t="s">
        <v>2415</v>
      </c>
      <c r="B91" s="19" t="s">
        <v>2416</v>
      </c>
      <c r="C91" s="15" t="s">
        <v>2417</v>
      </c>
      <c r="D91" s="15" t="s">
        <v>213</v>
      </c>
      <c r="E91" s="20">
        <v>3400</v>
      </c>
      <c r="F91" s="21">
        <v>3463.1142</v>
      </c>
      <c r="G91" s="22">
        <v>3.5000000000000001E-3</v>
      </c>
      <c r="H91" s="23">
        <v>7.0000000000000007E-2</v>
      </c>
      <c r="I91" s="24"/>
      <c r="J91" s="5"/>
    </row>
    <row r="92" spans="1:10" ht="13.05" customHeight="1">
      <c r="A92" s="18" t="s">
        <v>2641</v>
      </c>
      <c r="B92" s="19" t="s">
        <v>2642</v>
      </c>
      <c r="C92" s="15" t="s">
        <v>2643</v>
      </c>
      <c r="D92" s="15" t="s">
        <v>213</v>
      </c>
      <c r="E92" s="20">
        <v>3000</v>
      </c>
      <c r="F92" s="21">
        <v>3052.0320000000002</v>
      </c>
      <c r="G92" s="22">
        <v>3.0999999999999999E-3</v>
      </c>
      <c r="H92" s="23">
        <v>6.6449999999999995E-2</v>
      </c>
      <c r="I92" s="24"/>
      <c r="J92" s="5"/>
    </row>
    <row r="93" spans="1:10" ht="13.05" customHeight="1">
      <c r="A93" s="18" t="s">
        <v>2644</v>
      </c>
      <c r="B93" s="19" t="s">
        <v>2645</v>
      </c>
      <c r="C93" s="15" t="s">
        <v>2646</v>
      </c>
      <c r="D93" s="15" t="s">
        <v>213</v>
      </c>
      <c r="E93" s="20">
        <v>3000</v>
      </c>
      <c r="F93" s="21">
        <v>3044.6550000000002</v>
      </c>
      <c r="G93" s="22">
        <v>3.0999999999999999E-3</v>
      </c>
      <c r="H93" s="23">
        <v>6.8199999999999997E-2</v>
      </c>
      <c r="I93" s="24"/>
      <c r="J93" s="5"/>
    </row>
    <row r="94" spans="1:10" ht="13.05" customHeight="1">
      <c r="A94" s="18" t="s">
        <v>2647</v>
      </c>
      <c r="B94" s="19" t="s">
        <v>2648</v>
      </c>
      <c r="C94" s="15" t="s">
        <v>2649</v>
      </c>
      <c r="D94" s="15" t="s">
        <v>213</v>
      </c>
      <c r="E94" s="20">
        <v>3000</v>
      </c>
      <c r="F94" s="21">
        <v>3003.5010000000002</v>
      </c>
      <c r="G94" s="22">
        <v>3.0000000000000001E-3</v>
      </c>
      <c r="H94" s="23">
        <v>7.2774000000000005E-2</v>
      </c>
      <c r="I94" s="24"/>
      <c r="J94" s="5"/>
    </row>
    <row r="95" spans="1:10" ht="13.05" customHeight="1">
      <c r="A95" s="18" t="s">
        <v>2650</v>
      </c>
      <c r="B95" s="19" t="s">
        <v>2651</v>
      </c>
      <c r="C95" s="15" t="s">
        <v>2652</v>
      </c>
      <c r="D95" s="15" t="s">
        <v>213</v>
      </c>
      <c r="E95" s="20">
        <v>3000</v>
      </c>
      <c r="F95" s="21">
        <v>2997.5970000000002</v>
      </c>
      <c r="G95" s="22">
        <v>3.0000000000000001E-3</v>
      </c>
      <c r="H95" s="23">
        <v>7.1749999999999994E-2</v>
      </c>
      <c r="I95" s="24"/>
      <c r="J95" s="5"/>
    </row>
    <row r="96" spans="1:10" ht="13.05" customHeight="1">
      <c r="A96" s="18" t="s">
        <v>1958</v>
      </c>
      <c r="B96" s="19" t="s">
        <v>1959</v>
      </c>
      <c r="C96" s="15" t="s">
        <v>1960</v>
      </c>
      <c r="D96" s="15" t="s">
        <v>188</v>
      </c>
      <c r="E96" s="20">
        <v>2500000</v>
      </c>
      <c r="F96" s="21">
        <v>2596.3125</v>
      </c>
      <c r="G96" s="22">
        <v>2.5999999999999999E-3</v>
      </c>
      <c r="H96" s="23">
        <v>6.6900000000000001E-2</v>
      </c>
      <c r="I96" s="24"/>
      <c r="J96" s="5"/>
    </row>
    <row r="97" spans="1:10" ht="13.05" customHeight="1">
      <c r="A97" s="18" t="s">
        <v>2461</v>
      </c>
      <c r="B97" s="19" t="s">
        <v>2462</v>
      </c>
      <c r="C97" s="15" t="s">
        <v>2463</v>
      </c>
      <c r="D97" s="15" t="s">
        <v>213</v>
      </c>
      <c r="E97" s="20">
        <v>2500</v>
      </c>
      <c r="F97" s="21">
        <v>2579.8175000000001</v>
      </c>
      <c r="G97" s="22">
        <v>2.5999999999999999E-3</v>
      </c>
      <c r="H97" s="23">
        <v>7.1800000000000003E-2</v>
      </c>
      <c r="I97" s="24"/>
      <c r="J97" s="5"/>
    </row>
    <row r="98" spans="1:10" ht="13.05" customHeight="1">
      <c r="A98" s="18" t="s">
        <v>2111</v>
      </c>
      <c r="B98" s="19" t="s">
        <v>2112</v>
      </c>
      <c r="C98" s="15" t="s">
        <v>2113</v>
      </c>
      <c r="D98" s="15" t="s">
        <v>213</v>
      </c>
      <c r="E98" s="20">
        <v>2500</v>
      </c>
      <c r="F98" s="21">
        <v>2566.0725000000002</v>
      </c>
      <c r="G98" s="22">
        <v>2.5999999999999999E-3</v>
      </c>
      <c r="H98" s="23">
        <v>6.7840999999999999E-2</v>
      </c>
      <c r="I98" s="24"/>
      <c r="J98" s="5"/>
    </row>
    <row r="99" spans="1:10" ht="13.05" customHeight="1">
      <c r="A99" s="18" t="s">
        <v>2057</v>
      </c>
      <c r="B99" s="19" t="s">
        <v>2058</v>
      </c>
      <c r="C99" s="15" t="s">
        <v>2059</v>
      </c>
      <c r="D99" s="15" t="s">
        <v>213</v>
      </c>
      <c r="E99" s="20">
        <v>2500</v>
      </c>
      <c r="F99" s="21">
        <v>2565.145</v>
      </c>
      <c r="G99" s="22">
        <v>2.5999999999999999E-3</v>
      </c>
      <c r="H99" s="23">
        <v>7.1800000000000003E-2</v>
      </c>
      <c r="I99" s="24"/>
      <c r="J99" s="5"/>
    </row>
    <row r="100" spans="1:10" ht="13.05" customHeight="1">
      <c r="A100" s="18" t="s">
        <v>2653</v>
      </c>
      <c r="B100" s="19" t="s">
        <v>2654</v>
      </c>
      <c r="C100" s="15" t="s">
        <v>2655</v>
      </c>
      <c r="D100" s="15" t="s">
        <v>213</v>
      </c>
      <c r="E100" s="20">
        <v>2500</v>
      </c>
      <c r="F100" s="21">
        <v>2562.23</v>
      </c>
      <c r="G100" s="22">
        <v>2.5999999999999999E-3</v>
      </c>
      <c r="H100" s="23">
        <v>6.8650000000000003E-2</v>
      </c>
      <c r="I100" s="24"/>
      <c r="J100" s="5"/>
    </row>
    <row r="101" spans="1:10" ht="13.05" customHeight="1">
      <c r="A101" s="18" t="s">
        <v>2656</v>
      </c>
      <c r="B101" s="19" t="s">
        <v>2657</v>
      </c>
      <c r="C101" s="15" t="s">
        <v>2658</v>
      </c>
      <c r="D101" s="15" t="s">
        <v>213</v>
      </c>
      <c r="E101" s="20">
        <v>2500</v>
      </c>
      <c r="F101" s="21">
        <v>2560.5100000000002</v>
      </c>
      <c r="G101" s="22">
        <v>2.5999999999999999E-3</v>
      </c>
      <c r="H101" s="23">
        <v>7.2800000000000004E-2</v>
      </c>
      <c r="I101" s="24"/>
      <c r="J101" s="5"/>
    </row>
    <row r="102" spans="1:10" ht="13.05" customHeight="1">
      <c r="A102" s="18" t="s">
        <v>2063</v>
      </c>
      <c r="B102" s="19" t="s">
        <v>2064</v>
      </c>
      <c r="C102" s="15" t="s">
        <v>2065</v>
      </c>
      <c r="D102" s="15" t="s">
        <v>213</v>
      </c>
      <c r="E102" s="20">
        <v>250</v>
      </c>
      <c r="F102" s="21">
        <v>2559.9850000000001</v>
      </c>
      <c r="G102" s="22">
        <v>2.5999999999999999E-3</v>
      </c>
      <c r="H102" s="23">
        <v>7.0999999999999994E-2</v>
      </c>
      <c r="I102" s="24"/>
      <c r="J102" s="5"/>
    </row>
    <row r="103" spans="1:10" ht="13.05" customHeight="1">
      <c r="A103" s="18" t="s">
        <v>2659</v>
      </c>
      <c r="B103" s="19" t="s">
        <v>2660</v>
      </c>
      <c r="C103" s="15" t="s">
        <v>2661</v>
      </c>
      <c r="D103" s="15" t="s">
        <v>213</v>
      </c>
      <c r="E103" s="20">
        <v>2500</v>
      </c>
      <c r="F103" s="21">
        <v>2557.6475</v>
      </c>
      <c r="G103" s="22">
        <v>2.5999999999999999E-3</v>
      </c>
      <c r="H103" s="23">
        <v>7.4274999999999994E-2</v>
      </c>
      <c r="I103" s="24"/>
      <c r="J103" s="5"/>
    </row>
    <row r="104" spans="1:10" ht="13.05" customHeight="1">
      <c r="A104" s="18" t="s">
        <v>2198</v>
      </c>
      <c r="B104" s="19" t="s">
        <v>2199</v>
      </c>
      <c r="C104" s="15" t="s">
        <v>2200</v>
      </c>
      <c r="D104" s="15" t="s">
        <v>213</v>
      </c>
      <c r="E104" s="20">
        <v>2500</v>
      </c>
      <c r="F104" s="21">
        <v>2554.2350000000001</v>
      </c>
      <c r="G104" s="22">
        <v>2.5999999999999999E-3</v>
      </c>
      <c r="H104" s="23">
        <v>6.8000000000000005E-2</v>
      </c>
      <c r="I104" s="24"/>
      <c r="J104" s="5"/>
    </row>
    <row r="105" spans="1:10" ht="13.05" customHeight="1">
      <c r="A105" s="18" t="s">
        <v>2069</v>
      </c>
      <c r="B105" s="19" t="s">
        <v>2070</v>
      </c>
      <c r="C105" s="15" t="s">
        <v>2071</v>
      </c>
      <c r="D105" s="15" t="s">
        <v>213</v>
      </c>
      <c r="E105" s="20">
        <v>2500</v>
      </c>
      <c r="F105" s="21">
        <v>2552.65</v>
      </c>
      <c r="G105" s="22">
        <v>2.5999999999999999E-3</v>
      </c>
      <c r="H105" s="23">
        <v>7.0999999999999994E-2</v>
      </c>
      <c r="I105" s="24"/>
      <c r="J105" s="5"/>
    </row>
    <row r="106" spans="1:10" ht="13.05" customHeight="1">
      <c r="A106" s="18" t="s">
        <v>2072</v>
      </c>
      <c r="B106" s="19" t="s">
        <v>2073</v>
      </c>
      <c r="C106" s="15" t="s">
        <v>2074</v>
      </c>
      <c r="D106" s="15" t="s">
        <v>213</v>
      </c>
      <c r="E106" s="20">
        <v>2500</v>
      </c>
      <c r="F106" s="21">
        <v>2550.7874999999999</v>
      </c>
      <c r="G106" s="22">
        <v>2.5999999999999999E-3</v>
      </c>
      <c r="H106" s="23">
        <v>6.5155000000000005E-2</v>
      </c>
      <c r="I106" s="24"/>
      <c r="J106" s="5"/>
    </row>
    <row r="107" spans="1:10" ht="13.05" customHeight="1">
      <c r="A107" s="18" t="s">
        <v>2662</v>
      </c>
      <c r="B107" s="19" t="s">
        <v>2663</v>
      </c>
      <c r="C107" s="15" t="s">
        <v>2664</v>
      </c>
      <c r="D107" s="15" t="s">
        <v>213</v>
      </c>
      <c r="E107" s="20">
        <v>2500</v>
      </c>
      <c r="F107" s="21">
        <v>2548.1824999999999</v>
      </c>
      <c r="G107" s="22">
        <v>2.5999999999999999E-3</v>
      </c>
      <c r="H107" s="23">
        <v>7.2800000000000004E-2</v>
      </c>
      <c r="I107" s="24"/>
      <c r="J107" s="5"/>
    </row>
    <row r="108" spans="1:10" ht="13.05" customHeight="1">
      <c r="A108" s="18" t="s">
        <v>2665</v>
      </c>
      <c r="B108" s="19" t="s">
        <v>2666</v>
      </c>
      <c r="C108" s="15" t="s">
        <v>2667</v>
      </c>
      <c r="D108" s="15" t="s">
        <v>213</v>
      </c>
      <c r="E108" s="20">
        <v>2500</v>
      </c>
      <c r="F108" s="21">
        <v>2547.5450000000001</v>
      </c>
      <c r="G108" s="22">
        <v>2.5999999999999999E-3</v>
      </c>
      <c r="H108" s="23">
        <v>7.1050000000000002E-2</v>
      </c>
      <c r="I108" s="24"/>
      <c r="J108" s="5"/>
    </row>
    <row r="109" spans="1:10" ht="13.05" customHeight="1">
      <c r="A109" s="18" t="s">
        <v>2036</v>
      </c>
      <c r="B109" s="19" t="s">
        <v>2037</v>
      </c>
      <c r="C109" s="15" t="s">
        <v>2038</v>
      </c>
      <c r="D109" s="15" t="s">
        <v>1957</v>
      </c>
      <c r="E109" s="20">
        <v>2500</v>
      </c>
      <c r="F109" s="21">
        <v>2546.1675</v>
      </c>
      <c r="G109" s="22">
        <v>2.5999999999999999E-3</v>
      </c>
      <c r="H109" s="23">
        <v>6.8849999999999995E-2</v>
      </c>
      <c r="I109" s="24"/>
      <c r="J109" s="5"/>
    </row>
    <row r="110" spans="1:10" ht="13.05" customHeight="1">
      <c r="A110" s="18" t="s">
        <v>2084</v>
      </c>
      <c r="B110" s="19" t="s">
        <v>2085</v>
      </c>
      <c r="C110" s="15" t="s">
        <v>2086</v>
      </c>
      <c r="D110" s="15" t="s">
        <v>213</v>
      </c>
      <c r="E110" s="20">
        <v>2500</v>
      </c>
      <c r="F110" s="21">
        <v>2538.2600000000002</v>
      </c>
      <c r="G110" s="22">
        <v>2.5999999999999999E-3</v>
      </c>
      <c r="H110" s="23">
        <v>6.7199999999999996E-2</v>
      </c>
      <c r="I110" s="24"/>
      <c r="J110" s="5"/>
    </row>
    <row r="111" spans="1:10" ht="13.05" customHeight="1">
      <c r="A111" s="18" t="s">
        <v>2668</v>
      </c>
      <c r="B111" s="19" t="s">
        <v>2669</v>
      </c>
      <c r="C111" s="15" t="s">
        <v>2670</v>
      </c>
      <c r="D111" s="15" t="s">
        <v>213</v>
      </c>
      <c r="E111" s="20">
        <v>2500</v>
      </c>
      <c r="F111" s="21">
        <v>2534.875</v>
      </c>
      <c r="G111" s="22">
        <v>2.5999999999999999E-3</v>
      </c>
      <c r="H111" s="23">
        <v>6.9099999999999995E-2</v>
      </c>
      <c r="I111" s="24"/>
      <c r="J111" s="5"/>
    </row>
    <row r="112" spans="1:10" ht="13.05" customHeight="1">
      <c r="A112" s="18" t="s">
        <v>2671</v>
      </c>
      <c r="B112" s="19" t="s">
        <v>2672</v>
      </c>
      <c r="C112" s="15" t="s">
        <v>2673</v>
      </c>
      <c r="D112" s="15" t="s">
        <v>213</v>
      </c>
      <c r="E112" s="20">
        <v>2500</v>
      </c>
      <c r="F112" s="21">
        <v>2533.7725</v>
      </c>
      <c r="G112" s="22">
        <v>2.5999999999999999E-3</v>
      </c>
      <c r="H112" s="23">
        <v>6.855E-2</v>
      </c>
      <c r="I112" s="24"/>
      <c r="J112" s="5"/>
    </row>
    <row r="113" spans="1:10" ht="13.05" customHeight="1">
      <c r="A113" s="18" t="s">
        <v>2674</v>
      </c>
      <c r="B113" s="19" t="s">
        <v>2675</v>
      </c>
      <c r="C113" s="15" t="s">
        <v>2676</v>
      </c>
      <c r="D113" s="15" t="s">
        <v>213</v>
      </c>
      <c r="E113" s="20">
        <v>2500</v>
      </c>
      <c r="F113" s="21">
        <v>2532.645</v>
      </c>
      <c r="G113" s="22">
        <v>2.5999999999999999E-3</v>
      </c>
      <c r="H113" s="23">
        <v>7.0300000000000001E-2</v>
      </c>
      <c r="I113" s="24"/>
      <c r="J113" s="5"/>
    </row>
    <row r="114" spans="1:10" ht="13.05" customHeight="1">
      <c r="A114" s="18" t="s">
        <v>1911</v>
      </c>
      <c r="B114" s="19" t="s">
        <v>1912</v>
      </c>
      <c r="C114" s="15" t="s">
        <v>1913</v>
      </c>
      <c r="D114" s="15" t="s">
        <v>213</v>
      </c>
      <c r="E114" s="20">
        <v>2500</v>
      </c>
      <c r="F114" s="21">
        <v>2521.2150000000001</v>
      </c>
      <c r="G114" s="22">
        <v>2.5999999999999999E-3</v>
      </c>
      <c r="H114" s="23">
        <v>6.9900000000000004E-2</v>
      </c>
      <c r="I114" s="24"/>
      <c r="J114" s="5"/>
    </row>
    <row r="115" spans="1:10" ht="13.05" customHeight="1">
      <c r="A115" s="18" t="s">
        <v>1948</v>
      </c>
      <c r="B115" s="19" t="s">
        <v>1949</v>
      </c>
      <c r="C115" s="15" t="s">
        <v>1950</v>
      </c>
      <c r="D115" s="15" t="s">
        <v>213</v>
      </c>
      <c r="E115" s="20">
        <v>2500</v>
      </c>
      <c r="F115" s="21">
        <v>2514.5324999999998</v>
      </c>
      <c r="G115" s="22">
        <v>2.5000000000000001E-3</v>
      </c>
      <c r="H115" s="23">
        <v>6.9900000000000004E-2</v>
      </c>
      <c r="I115" s="24"/>
      <c r="J115" s="5"/>
    </row>
    <row r="116" spans="1:10" ht="13.05" customHeight="1">
      <c r="A116" s="18" t="s">
        <v>1927</v>
      </c>
      <c r="B116" s="19" t="s">
        <v>1928</v>
      </c>
      <c r="C116" s="15" t="s">
        <v>1929</v>
      </c>
      <c r="D116" s="15" t="s">
        <v>213</v>
      </c>
      <c r="E116" s="20">
        <v>250</v>
      </c>
      <c r="F116" s="21">
        <v>2513.5374999999999</v>
      </c>
      <c r="G116" s="22">
        <v>2.5000000000000001E-3</v>
      </c>
      <c r="H116" s="23">
        <v>6.8000000000000005E-2</v>
      </c>
      <c r="I116" s="24"/>
      <c r="J116" s="5"/>
    </row>
    <row r="117" spans="1:10" ht="13.05" customHeight="1">
      <c r="A117" s="18" t="s">
        <v>2677</v>
      </c>
      <c r="B117" s="19" t="s">
        <v>2678</v>
      </c>
      <c r="C117" s="15" t="s">
        <v>2679</v>
      </c>
      <c r="D117" s="15" t="s">
        <v>213</v>
      </c>
      <c r="E117" s="20">
        <v>2500</v>
      </c>
      <c r="F117" s="21">
        <v>2511.5825</v>
      </c>
      <c r="G117" s="22">
        <v>2.5000000000000001E-3</v>
      </c>
      <c r="H117" s="23">
        <v>7.1225999999999998E-2</v>
      </c>
      <c r="I117" s="24"/>
      <c r="J117" s="5"/>
    </row>
    <row r="118" spans="1:10" ht="13.05" customHeight="1">
      <c r="A118" s="18" t="s">
        <v>2680</v>
      </c>
      <c r="B118" s="19" t="s">
        <v>2681</v>
      </c>
      <c r="C118" s="15" t="s">
        <v>2682</v>
      </c>
      <c r="D118" s="15" t="s">
        <v>1923</v>
      </c>
      <c r="E118" s="20">
        <v>2500</v>
      </c>
      <c r="F118" s="21">
        <v>2505.9499999999998</v>
      </c>
      <c r="G118" s="22">
        <v>2.5000000000000001E-3</v>
      </c>
      <c r="H118" s="23">
        <v>6.7750000000000005E-2</v>
      </c>
      <c r="I118" s="24"/>
      <c r="J118" s="5"/>
    </row>
    <row r="119" spans="1:10" ht="13.05" customHeight="1">
      <c r="A119" s="18" t="s">
        <v>2027</v>
      </c>
      <c r="B119" s="19" t="s">
        <v>2028</v>
      </c>
      <c r="C119" s="15" t="s">
        <v>2029</v>
      </c>
      <c r="D119" s="15" t="s">
        <v>213</v>
      </c>
      <c r="E119" s="20">
        <v>2500</v>
      </c>
      <c r="F119" s="21">
        <v>2496.0425</v>
      </c>
      <c r="G119" s="22">
        <v>2.5000000000000001E-3</v>
      </c>
      <c r="H119" s="23">
        <v>7.0000000000000007E-2</v>
      </c>
      <c r="I119" s="24"/>
      <c r="J119" s="5"/>
    </row>
    <row r="120" spans="1:10" ht="13.05" customHeight="1">
      <c r="A120" s="18" t="s">
        <v>2683</v>
      </c>
      <c r="B120" s="19" t="s">
        <v>2684</v>
      </c>
      <c r="C120" s="15" t="s">
        <v>2685</v>
      </c>
      <c r="D120" s="15" t="s">
        <v>213</v>
      </c>
      <c r="E120" s="20">
        <v>250</v>
      </c>
      <c r="F120" s="21">
        <v>2494.4250000000002</v>
      </c>
      <c r="G120" s="22">
        <v>2.5000000000000001E-3</v>
      </c>
      <c r="H120" s="23">
        <v>6.9650000000000004E-2</v>
      </c>
      <c r="I120" s="24"/>
      <c r="J120" s="5"/>
    </row>
    <row r="121" spans="1:10" ht="13.05" customHeight="1">
      <c r="A121" s="18" t="s">
        <v>2686</v>
      </c>
      <c r="B121" s="19" t="s">
        <v>2687</v>
      </c>
      <c r="C121" s="15" t="s">
        <v>2688</v>
      </c>
      <c r="D121" s="15" t="s">
        <v>213</v>
      </c>
      <c r="E121" s="20">
        <v>250</v>
      </c>
      <c r="F121" s="21">
        <v>2491.105</v>
      </c>
      <c r="G121" s="22">
        <v>2.5000000000000001E-3</v>
      </c>
      <c r="H121" s="23">
        <v>6.9800000000000001E-2</v>
      </c>
      <c r="I121" s="24"/>
      <c r="J121" s="5"/>
    </row>
    <row r="122" spans="1:10" ht="13.05" customHeight="1">
      <c r="A122" s="18" t="s">
        <v>1905</v>
      </c>
      <c r="B122" s="19" t="s">
        <v>1906</v>
      </c>
      <c r="C122" s="15" t="s">
        <v>1907</v>
      </c>
      <c r="D122" s="15" t="s">
        <v>213</v>
      </c>
      <c r="E122" s="20">
        <v>2500</v>
      </c>
      <c r="F122" s="21">
        <v>2478.6574999999998</v>
      </c>
      <c r="G122" s="22">
        <v>2.5000000000000001E-3</v>
      </c>
      <c r="H122" s="23">
        <v>6.8000000000000005E-2</v>
      </c>
      <c r="I122" s="24"/>
      <c r="J122" s="5"/>
    </row>
    <row r="123" spans="1:10" ht="13.05" customHeight="1">
      <c r="A123" s="18" t="s">
        <v>2689</v>
      </c>
      <c r="B123" s="19" t="s">
        <v>2690</v>
      </c>
      <c r="C123" s="15" t="s">
        <v>2691</v>
      </c>
      <c r="D123" s="15" t="s">
        <v>213</v>
      </c>
      <c r="E123" s="20">
        <v>250</v>
      </c>
      <c r="F123" s="21">
        <v>2466.7624999999998</v>
      </c>
      <c r="G123" s="22">
        <v>2.5000000000000001E-3</v>
      </c>
      <c r="H123" s="23">
        <v>7.3099999999999998E-2</v>
      </c>
      <c r="I123" s="24"/>
      <c r="J123" s="5"/>
    </row>
    <row r="124" spans="1:10" ht="13.05" customHeight="1">
      <c r="A124" s="18" t="s">
        <v>2692</v>
      </c>
      <c r="B124" s="19" t="s">
        <v>2693</v>
      </c>
      <c r="C124" s="15" t="s">
        <v>2694</v>
      </c>
      <c r="D124" s="15" t="s">
        <v>1923</v>
      </c>
      <c r="E124" s="20">
        <v>2500</v>
      </c>
      <c r="F124" s="21">
        <v>2439.38</v>
      </c>
      <c r="G124" s="22">
        <v>2.5000000000000001E-3</v>
      </c>
      <c r="H124" s="23">
        <v>7.1400000000000005E-2</v>
      </c>
      <c r="I124" s="24"/>
      <c r="J124" s="5"/>
    </row>
    <row r="125" spans="1:10" ht="13.05" customHeight="1">
      <c r="A125" s="18" t="s">
        <v>2006</v>
      </c>
      <c r="B125" s="19" t="s">
        <v>2007</v>
      </c>
      <c r="C125" s="15" t="s">
        <v>2008</v>
      </c>
      <c r="D125" s="15" t="s">
        <v>213</v>
      </c>
      <c r="E125" s="20">
        <v>2250</v>
      </c>
      <c r="F125" s="21">
        <v>2288.0160000000001</v>
      </c>
      <c r="G125" s="22">
        <v>2.3E-3</v>
      </c>
      <c r="H125" s="23">
        <v>6.5775E-2</v>
      </c>
      <c r="I125" s="24"/>
      <c r="J125" s="5"/>
    </row>
    <row r="126" spans="1:10" ht="13.05" customHeight="1">
      <c r="A126" s="18" t="s">
        <v>2695</v>
      </c>
      <c r="B126" s="19" t="s">
        <v>2696</v>
      </c>
      <c r="C126" s="15" t="s">
        <v>2697</v>
      </c>
      <c r="D126" s="15" t="s">
        <v>188</v>
      </c>
      <c r="E126" s="20">
        <v>2502400</v>
      </c>
      <c r="F126" s="21">
        <v>2245.7638999999999</v>
      </c>
      <c r="G126" s="22">
        <v>2.3E-3</v>
      </c>
      <c r="H126" s="23">
        <v>5.9776999999999997E-2</v>
      </c>
      <c r="I126" s="24"/>
      <c r="J126" s="5"/>
    </row>
    <row r="127" spans="1:10" ht="13.05" customHeight="1">
      <c r="A127" s="18" t="s">
        <v>2698</v>
      </c>
      <c r="B127" s="19" t="s">
        <v>2699</v>
      </c>
      <c r="C127" s="15" t="s">
        <v>2700</v>
      </c>
      <c r="D127" s="15" t="s">
        <v>213</v>
      </c>
      <c r="E127" s="20">
        <v>2000</v>
      </c>
      <c r="F127" s="21">
        <v>2007.48</v>
      </c>
      <c r="G127" s="22">
        <v>2E-3</v>
      </c>
      <c r="H127" s="23">
        <v>7.2150000000000006E-2</v>
      </c>
      <c r="I127" s="24"/>
      <c r="J127" s="5"/>
    </row>
    <row r="128" spans="1:10" ht="13.05" customHeight="1">
      <c r="A128" s="18" t="s">
        <v>2701</v>
      </c>
      <c r="B128" s="19" t="s">
        <v>2702</v>
      </c>
      <c r="C128" s="15" t="s">
        <v>2703</v>
      </c>
      <c r="D128" s="15" t="s">
        <v>213</v>
      </c>
      <c r="E128" s="20">
        <v>2500</v>
      </c>
      <c r="F128" s="21">
        <v>1913.22</v>
      </c>
      <c r="G128" s="22">
        <v>1.9E-3</v>
      </c>
      <c r="H128" s="23">
        <v>6.9150000000000003E-2</v>
      </c>
      <c r="I128" s="24"/>
      <c r="J128" s="5"/>
    </row>
    <row r="129" spans="1:10" ht="13.05" customHeight="1">
      <c r="A129" s="18" t="s">
        <v>2704</v>
      </c>
      <c r="B129" s="19" t="s">
        <v>2705</v>
      </c>
      <c r="C129" s="15" t="s">
        <v>2706</v>
      </c>
      <c r="D129" s="15" t="s">
        <v>213</v>
      </c>
      <c r="E129" s="20">
        <v>150</v>
      </c>
      <c r="F129" s="21">
        <v>1572.402</v>
      </c>
      <c r="G129" s="22">
        <v>1.6000000000000001E-3</v>
      </c>
      <c r="H129" s="23">
        <v>6.7125000000000004E-2</v>
      </c>
      <c r="I129" s="24"/>
      <c r="J129" s="5"/>
    </row>
    <row r="130" spans="1:10" ht="13.05" customHeight="1">
      <c r="A130" s="18" t="s">
        <v>2000</v>
      </c>
      <c r="B130" s="19" t="s">
        <v>2001</v>
      </c>
      <c r="C130" s="15" t="s">
        <v>2002</v>
      </c>
      <c r="D130" s="15" t="s">
        <v>1923</v>
      </c>
      <c r="E130" s="20">
        <v>1500</v>
      </c>
      <c r="F130" s="21">
        <v>1543.4385</v>
      </c>
      <c r="G130" s="22">
        <v>1.6000000000000001E-3</v>
      </c>
      <c r="H130" s="23">
        <v>6.8000000000000005E-2</v>
      </c>
      <c r="I130" s="24"/>
      <c r="J130" s="5"/>
    </row>
    <row r="131" spans="1:10" ht="13.05" customHeight="1">
      <c r="A131" s="18" t="s">
        <v>2162</v>
      </c>
      <c r="B131" s="19" t="s">
        <v>2163</v>
      </c>
      <c r="C131" s="15" t="s">
        <v>2164</v>
      </c>
      <c r="D131" s="15" t="s">
        <v>213</v>
      </c>
      <c r="E131" s="20">
        <v>1500</v>
      </c>
      <c r="F131" s="21">
        <v>1526.046</v>
      </c>
      <c r="G131" s="22">
        <v>1.5E-3</v>
      </c>
      <c r="H131" s="23">
        <v>7.1300000000000002E-2</v>
      </c>
      <c r="I131" s="24"/>
      <c r="J131" s="5"/>
    </row>
    <row r="132" spans="1:10" ht="13.05" customHeight="1">
      <c r="A132" s="18" t="s">
        <v>1982</v>
      </c>
      <c r="B132" s="19" t="s">
        <v>1983</v>
      </c>
      <c r="C132" s="15" t="s">
        <v>1984</v>
      </c>
      <c r="D132" s="15" t="s">
        <v>213</v>
      </c>
      <c r="E132" s="20">
        <v>1500</v>
      </c>
      <c r="F132" s="21">
        <v>1508.9355</v>
      </c>
      <c r="G132" s="22">
        <v>1.5E-3</v>
      </c>
      <c r="H132" s="23">
        <v>7.3298000000000002E-2</v>
      </c>
      <c r="I132" s="24"/>
      <c r="J132" s="5"/>
    </row>
    <row r="133" spans="1:10" ht="13.05" customHeight="1">
      <c r="A133" s="18" t="s">
        <v>2707</v>
      </c>
      <c r="B133" s="19" t="s">
        <v>2708</v>
      </c>
      <c r="C133" s="15" t="s">
        <v>2709</v>
      </c>
      <c r="D133" s="15" t="s">
        <v>213</v>
      </c>
      <c r="E133" s="20">
        <v>1000</v>
      </c>
      <c r="F133" s="21">
        <v>1013.889</v>
      </c>
      <c r="G133" s="22">
        <v>1E-3</v>
      </c>
      <c r="H133" s="23">
        <v>6.9099999999999995E-2</v>
      </c>
      <c r="I133" s="24"/>
      <c r="J133" s="5"/>
    </row>
    <row r="134" spans="1:10" ht="13.05" customHeight="1">
      <c r="A134" s="18" t="s">
        <v>2710</v>
      </c>
      <c r="B134" s="19" t="s">
        <v>2711</v>
      </c>
      <c r="C134" s="15" t="s">
        <v>2712</v>
      </c>
      <c r="D134" s="15" t="s">
        <v>188</v>
      </c>
      <c r="E134" s="20">
        <v>1063500</v>
      </c>
      <c r="F134" s="21">
        <v>960.2799</v>
      </c>
      <c r="G134" s="22">
        <v>1E-3</v>
      </c>
      <c r="H134" s="23">
        <v>5.9692000000000002E-2</v>
      </c>
      <c r="I134" s="24"/>
      <c r="J134" s="5"/>
    </row>
    <row r="135" spans="1:10" ht="13.05" customHeight="1">
      <c r="A135" s="18" t="s">
        <v>2713</v>
      </c>
      <c r="B135" s="19" t="s">
        <v>2714</v>
      </c>
      <c r="C135" s="15" t="s">
        <v>2715</v>
      </c>
      <c r="D135" s="15" t="s">
        <v>188</v>
      </c>
      <c r="E135" s="20">
        <v>1000000</v>
      </c>
      <c r="F135" s="21">
        <v>860.596</v>
      </c>
      <c r="G135" s="22">
        <v>8.9999999999999998E-4</v>
      </c>
      <c r="H135" s="23">
        <v>6.1557000000000001E-2</v>
      </c>
      <c r="I135" s="24"/>
      <c r="J135" s="5"/>
    </row>
    <row r="136" spans="1:10" ht="13.05" customHeight="1">
      <c r="A136" s="18" t="s">
        <v>2716</v>
      </c>
      <c r="B136" s="19" t="s">
        <v>2717</v>
      </c>
      <c r="C136" s="15" t="s">
        <v>2718</v>
      </c>
      <c r="D136" s="15" t="s">
        <v>213</v>
      </c>
      <c r="E136" s="20">
        <v>50</v>
      </c>
      <c r="F136" s="21">
        <v>521.99850000000004</v>
      </c>
      <c r="G136" s="22">
        <v>5.0000000000000001E-4</v>
      </c>
      <c r="H136" s="23">
        <v>6.83E-2</v>
      </c>
      <c r="I136" s="24"/>
      <c r="J136" s="5"/>
    </row>
    <row r="137" spans="1:10" ht="13.05" customHeight="1">
      <c r="A137" s="18" t="s">
        <v>2495</v>
      </c>
      <c r="B137" s="19" t="s">
        <v>2496</v>
      </c>
      <c r="C137" s="15" t="s">
        <v>2497</v>
      </c>
      <c r="D137" s="15" t="s">
        <v>188</v>
      </c>
      <c r="E137" s="20">
        <v>500000</v>
      </c>
      <c r="F137" s="21">
        <v>521.10299999999995</v>
      </c>
      <c r="G137" s="22">
        <v>5.0000000000000001E-4</v>
      </c>
      <c r="H137" s="23">
        <v>6.4120999999999997E-2</v>
      </c>
      <c r="I137" s="24"/>
      <c r="J137" s="5"/>
    </row>
    <row r="138" spans="1:10" ht="13.05" customHeight="1">
      <c r="A138" s="18" t="s">
        <v>2719</v>
      </c>
      <c r="B138" s="19" t="s">
        <v>2720</v>
      </c>
      <c r="C138" s="15" t="s">
        <v>2721</v>
      </c>
      <c r="D138" s="15" t="s">
        <v>188</v>
      </c>
      <c r="E138" s="20">
        <v>500000</v>
      </c>
      <c r="F138" s="21">
        <v>513.18650000000002</v>
      </c>
      <c r="G138" s="22">
        <v>5.0000000000000001E-4</v>
      </c>
      <c r="H138" s="23">
        <v>6.9646E-2</v>
      </c>
      <c r="I138" s="24"/>
      <c r="J138" s="5"/>
    </row>
    <row r="139" spans="1:10" ht="13.05" customHeight="1">
      <c r="A139" s="18" t="s">
        <v>2722</v>
      </c>
      <c r="B139" s="19" t="s">
        <v>2723</v>
      </c>
      <c r="C139" s="15" t="s">
        <v>2724</v>
      </c>
      <c r="D139" s="15" t="s">
        <v>213</v>
      </c>
      <c r="E139" s="20">
        <v>500</v>
      </c>
      <c r="F139" s="21">
        <v>513.0385</v>
      </c>
      <c r="G139" s="22">
        <v>5.0000000000000001E-4</v>
      </c>
      <c r="H139" s="23">
        <v>7.4274999999999994E-2</v>
      </c>
      <c r="I139" s="24"/>
      <c r="J139" s="5"/>
    </row>
    <row r="140" spans="1:10" ht="13.05" customHeight="1">
      <c r="A140" s="18" t="s">
        <v>2725</v>
      </c>
      <c r="B140" s="19" t="s">
        <v>2726</v>
      </c>
      <c r="C140" s="15" t="s">
        <v>2727</v>
      </c>
      <c r="D140" s="15" t="s">
        <v>213</v>
      </c>
      <c r="E140" s="20">
        <v>50</v>
      </c>
      <c r="F140" s="21">
        <v>509.58550000000002</v>
      </c>
      <c r="G140" s="22">
        <v>5.0000000000000001E-4</v>
      </c>
      <c r="H140" s="23">
        <v>6.6231999999999999E-2</v>
      </c>
      <c r="I140" s="24"/>
      <c r="J140" s="5"/>
    </row>
    <row r="141" spans="1:10" ht="13.05" customHeight="1">
      <c r="A141" s="18" t="s">
        <v>2225</v>
      </c>
      <c r="B141" s="19" t="s">
        <v>2226</v>
      </c>
      <c r="C141" s="15" t="s">
        <v>2227</v>
      </c>
      <c r="D141" s="15" t="s">
        <v>1923</v>
      </c>
      <c r="E141" s="20">
        <v>500</v>
      </c>
      <c r="F141" s="21">
        <v>507.5215</v>
      </c>
      <c r="G141" s="22">
        <v>5.0000000000000001E-4</v>
      </c>
      <c r="H141" s="23">
        <v>7.2117000000000001E-2</v>
      </c>
      <c r="I141" s="24"/>
      <c r="J141" s="5"/>
    </row>
    <row r="142" spans="1:10" ht="13.05" customHeight="1">
      <c r="A142" s="18" t="s">
        <v>2728</v>
      </c>
      <c r="B142" s="19" t="s">
        <v>2729</v>
      </c>
      <c r="C142" s="15" t="s">
        <v>2730</v>
      </c>
      <c r="D142" s="15" t="s">
        <v>188</v>
      </c>
      <c r="E142" s="20">
        <v>485200</v>
      </c>
      <c r="F142" s="21">
        <v>502.68849999999998</v>
      </c>
      <c r="G142" s="22">
        <v>5.0000000000000001E-4</v>
      </c>
      <c r="H142" s="23">
        <v>6.3281000000000004E-2</v>
      </c>
      <c r="I142" s="24"/>
      <c r="J142" s="5"/>
    </row>
    <row r="143" spans="1:10" ht="13.05" customHeight="1">
      <c r="A143" s="18" t="s">
        <v>2731</v>
      </c>
      <c r="B143" s="19" t="s">
        <v>2732</v>
      </c>
      <c r="C143" s="15" t="s">
        <v>2733</v>
      </c>
      <c r="D143" s="15" t="s">
        <v>188</v>
      </c>
      <c r="E143" s="20">
        <v>500000</v>
      </c>
      <c r="F143" s="21">
        <v>495.17899999999997</v>
      </c>
      <c r="G143" s="22">
        <v>5.0000000000000001E-4</v>
      </c>
      <c r="H143" s="23">
        <v>7.4589000000000003E-2</v>
      </c>
      <c r="I143" s="24"/>
      <c r="J143" s="5"/>
    </row>
    <row r="144" spans="1:10" ht="13.05" customHeight="1">
      <c r="A144" s="18" t="s">
        <v>2734</v>
      </c>
      <c r="B144" s="19" t="s">
        <v>2735</v>
      </c>
      <c r="C144" s="15" t="s">
        <v>2736</v>
      </c>
      <c r="D144" s="15" t="s">
        <v>1923</v>
      </c>
      <c r="E144" s="20">
        <v>41</v>
      </c>
      <c r="F144" s="21">
        <v>410.30549999999999</v>
      </c>
      <c r="G144" s="22">
        <v>4.0000000000000002E-4</v>
      </c>
      <c r="H144" s="23">
        <v>6.2600000000000003E-2</v>
      </c>
      <c r="I144" s="24"/>
      <c r="J144" s="5"/>
    </row>
    <row r="145" spans="1:10" ht="13.05" customHeight="1">
      <c r="A145" s="18" t="s">
        <v>2737</v>
      </c>
      <c r="B145" s="19" t="s">
        <v>2738</v>
      </c>
      <c r="C145" s="15" t="s">
        <v>2739</v>
      </c>
      <c r="D145" s="15" t="s">
        <v>188</v>
      </c>
      <c r="E145" s="20">
        <v>364500</v>
      </c>
      <c r="F145" s="21">
        <v>381.68220000000002</v>
      </c>
      <c r="G145" s="22">
        <v>4.0000000000000002E-4</v>
      </c>
      <c r="H145" s="23">
        <v>6.3106999999999996E-2</v>
      </c>
      <c r="I145" s="24"/>
      <c r="J145" s="5"/>
    </row>
    <row r="146" spans="1:10" ht="13.05" customHeight="1">
      <c r="A146" s="18" t="s">
        <v>2740</v>
      </c>
      <c r="B146" s="19" t="s">
        <v>2741</v>
      </c>
      <c r="C146" s="15" t="s">
        <v>2742</v>
      </c>
      <c r="D146" s="15" t="s">
        <v>188</v>
      </c>
      <c r="E146" s="20">
        <v>332000</v>
      </c>
      <c r="F146" s="21">
        <v>335.0308</v>
      </c>
      <c r="G146" s="22">
        <v>2.9999999999999997E-4</v>
      </c>
      <c r="H146" s="23">
        <v>5.9299999999999999E-2</v>
      </c>
      <c r="I146" s="24"/>
      <c r="J146" s="5"/>
    </row>
    <row r="147" spans="1:10" ht="13.05" customHeight="1">
      <c r="A147" s="18" t="s">
        <v>2743</v>
      </c>
      <c r="B147" s="19" t="s">
        <v>2744</v>
      </c>
      <c r="C147" s="15" t="s">
        <v>2745</v>
      </c>
      <c r="D147" s="15" t="s">
        <v>188</v>
      </c>
      <c r="E147" s="20">
        <v>237300</v>
      </c>
      <c r="F147" s="21">
        <v>235.3997</v>
      </c>
      <c r="G147" s="22">
        <v>2.0000000000000001E-4</v>
      </c>
      <c r="H147" s="23">
        <v>6.5299999999999997E-2</v>
      </c>
      <c r="I147" s="24"/>
      <c r="J147" s="5"/>
    </row>
    <row r="148" spans="1:10" ht="13.05" customHeight="1">
      <c r="A148" s="18" t="s">
        <v>2746</v>
      </c>
      <c r="B148" s="19" t="s">
        <v>2747</v>
      </c>
      <c r="C148" s="15" t="s">
        <v>2748</v>
      </c>
      <c r="D148" s="15" t="s">
        <v>188</v>
      </c>
      <c r="E148" s="20">
        <v>151100</v>
      </c>
      <c r="F148" s="21">
        <v>157.0283</v>
      </c>
      <c r="G148" s="22">
        <v>2.0000000000000001E-4</v>
      </c>
      <c r="H148" s="23">
        <v>6.6410999999999998E-2</v>
      </c>
      <c r="I148" s="24"/>
      <c r="J148" s="5"/>
    </row>
    <row r="149" spans="1:10" ht="13.05" customHeight="1">
      <c r="A149" s="18" t="s">
        <v>2749</v>
      </c>
      <c r="B149" s="19" t="s">
        <v>2750</v>
      </c>
      <c r="C149" s="15" t="s">
        <v>2751</v>
      </c>
      <c r="D149" s="15" t="s">
        <v>188</v>
      </c>
      <c r="E149" s="20">
        <v>141200</v>
      </c>
      <c r="F149" s="21">
        <v>146.80959999999999</v>
      </c>
      <c r="G149" s="22">
        <v>1E-4</v>
      </c>
      <c r="H149" s="23">
        <v>5.9818999999999997E-2</v>
      </c>
      <c r="I149" s="24"/>
      <c r="J149" s="5"/>
    </row>
    <row r="150" spans="1:10" ht="13.05" customHeight="1">
      <c r="A150" s="18" t="s">
        <v>2752</v>
      </c>
      <c r="B150" s="19" t="s">
        <v>2753</v>
      </c>
      <c r="C150" s="15" t="s">
        <v>2754</v>
      </c>
      <c r="D150" s="15" t="s">
        <v>188</v>
      </c>
      <c r="E150" s="20">
        <v>141500</v>
      </c>
      <c r="F150" s="21">
        <v>142.822</v>
      </c>
      <c r="G150" s="22">
        <v>1E-4</v>
      </c>
      <c r="H150" s="23">
        <v>7.2622000000000006E-2</v>
      </c>
      <c r="I150" s="24"/>
      <c r="J150" s="5"/>
    </row>
    <row r="151" spans="1:10" ht="13.05" customHeight="1">
      <c r="A151" s="18" t="s">
        <v>2285</v>
      </c>
      <c r="B151" s="19" t="s">
        <v>2286</v>
      </c>
      <c r="C151" s="15" t="s">
        <v>2287</v>
      </c>
      <c r="D151" s="15" t="s">
        <v>188</v>
      </c>
      <c r="E151" s="20">
        <v>46900</v>
      </c>
      <c r="F151" s="21">
        <v>46.230800000000002</v>
      </c>
      <c r="G151" s="40" t="s">
        <v>1809</v>
      </c>
      <c r="H151" s="23">
        <v>7.3968000000000006E-2</v>
      </c>
      <c r="I151" s="24"/>
      <c r="J151" s="5"/>
    </row>
    <row r="152" spans="1:10" ht="13.05" customHeight="1">
      <c r="A152" s="18" t="s">
        <v>2441</v>
      </c>
      <c r="B152" s="19" t="s">
        <v>2442</v>
      </c>
      <c r="C152" s="15" t="s">
        <v>2443</v>
      </c>
      <c r="D152" s="15" t="s">
        <v>188</v>
      </c>
      <c r="E152" s="20">
        <v>16700</v>
      </c>
      <c r="F152" s="21">
        <v>17.2379</v>
      </c>
      <c r="G152" s="40" t="s">
        <v>1809</v>
      </c>
      <c r="H152" s="23">
        <v>6.7038E-2</v>
      </c>
      <c r="I152" s="24"/>
      <c r="J152" s="5"/>
    </row>
    <row r="153" spans="1:10" ht="13.05" customHeight="1">
      <c r="A153" s="5"/>
      <c r="B153" s="14" t="s">
        <v>192</v>
      </c>
      <c r="C153" s="15"/>
      <c r="D153" s="15"/>
      <c r="E153" s="15"/>
      <c r="F153" s="25">
        <v>862461.50719999999</v>
      </c>
      <c r="G153" s="26">
        <v>0.87370000000000003</v>
      </c>
      <c r="H153" s="27"/>
      <c r="I153" s="28"/>
      <c r="J153" s="5"/>
    </row>
    <row r="154" spans="1:10" ht="13.05" customHeight="1">
      <c r="A154" s="5"/>
      <c r="B154" s="29" t="s">
        <v>193</v>
      </c>
      <c r="C154" s="2"/>
      <c r="D154" s="2"/>
      <c r="E154" s="2"/>
      <c r="F154" s="27" t="s">
        <v>194</v>
      </c>
      <c r="G154" s="27" t="s">
        <v>194</v>
      </c>
      <c r="H154" s="27"/>
      <c r="I154" s="28"/>
      <c r="J154" s="5"/>
    </row>
    <row r="155" spans="1:10" ht="13.05" customHeight="1">
      <c r="A155" s="5"/>
      <c r="B155" s="29" t="s">
        <v>192</v>
      </c>
      <c r="C155" s="2"/>
      <c r="D155" s="2"/>
      <c r="E155" s="2"/>
      <c r="F155" s="27" t="s">
        <v>194</v>
      </c>
      <c r="G155" s="27" t="s">
        <v>194</v>
      </c>
      <c r="H155" s="27"/>
      <c r="I155" s="28"/>
      <c r="J155" s="5"/>
    </row>
    <row r="156" spans="1:10" ht="13.05" customHeight="1">
      <c r="A156" s="5"/>
      <c r="B156" s="14" t="s">
        <v>2297</v>
      </c>
      <c r="C156" s="15"/>
      <c r="D156" s="15"/>
      <c r="E156" s="15"/>
      <c r="F156" s="5"/>
      <c r="G156" s="16"/>
      <c r="H156" s="16"/>
      <c r="I156" s="17"/>
      <c r="J156" s="5"/>
    </row>
    <row r="157" spans="1:10" ht="13.05" customHeight="1">
      <c r="A157" s="18" t="s">
        <v>2302</v>
      </c>
      <c r="B157" s="19" t="s">
        <v>2303</v>
      </c>
      <c r="C157" s="15" t="s">
        <v>2304</v>
      </c>
      <c r="D157" s="15" t="s">
        <v>2301</v>
      </c>
      <c r="E157" s="20">
        <v>194</v>
      </c>
      <c r="F157" s="21">
        <v>19663.205099999999</v>
      </c>
      <c r="G157" s="22">
        <v>1.9900000000000001E-2</v>
      </c>
      <c r="H157" s="23">
        <v>7.4237999999999998E-2</v>
      </c>
      <c r="I157" s="24"/>
      <c r="J157" s="5"/>
    </row>
    <row r="158" spans="1:10" ht="13.05" customHeight="1">
      <c r="A158" s="18" t="s">
        <v>2298</v>
      </c>
      <c r="B158" s="19" t="s">
        <v>2299</v>
      </c>
      <c r="C158" s="15" t="s">
        <v>2300</v>
      </c>
      <c r="D158" s="15" t="s">
        <v>2301</v>
      </c>
      <c r="E158" s="20">
        <v>135</v>
      </c>
      <c r="F158" s="21">
        <v>13666.175800000001</v>
      </c>
      <c r="G158" s="22">
        <v>1.38E-2</v>
      </c>
      <c r="H158" s="23">
        <v>7.3218000000000005E-2</v>
      </c>
      <c r="I158" s="24"/>
      <c r="J158" s="5"/>
    </row>
    <row r="159" spans="1:10" ht="13.05" customHeight="1">
      <c r="A159" s="18" t="s">
        <v>2755</v>
      </c>
      <c r="B159" s="19" t="s">
        <v>2756</v>
      </c>
      <c r="C159" s="15" t="s">
        <v>2757</v>
      </c>
      <c r="D159" s="15" t="s">
        <v>5584</v>
      </c>
      <c r="E159" s="20">
        <v>100</v>
      </c>
      <c r="F159" s="21">
        <v>9365.3978000000006</v>
      </c>
      <c r="G159" s="22">
        <v>9.4999999999999998E-3</v>
      </c>
      <c r="H159" s="23">
        <v>7.8599000000000002E-2</v>
      </c>
      <c r="I159" s="24"/>
      <c r="J159" s="5"/>
    </row>
    <row r="160" spans="1:10" ht="13.05" customHeight="1">
      <c r="A160" s="18" t="s">
        <v>2305</v>
      </c>
      <c r="B160" s="19" t="s">
        <v>2306</v>
      </c>
      <c r="C160" s="15" t="s">
        <v>2307</v>
      </c>
      <c r="D160" s="15" t="s">
        <v>2301</v>
      </c>
      <c r="E160" s="20">
        <v>55</v>
      </c>
      <c r="F160" s="21">
        <v>5555.8146999999999</v>
      </c>
      <c r="G160" s="22">
        <v>5.5999999999999999E-3</v>
      </c>
      <c r="H160" s="23">
        <v>7.2300000000000003E-2</v>
      </c>
      <c r="I160" s="24"/>
      <c r="J160" s="5"/>
    </row>
    <row r="161" spans="1:10" ht="13.05" customHeight="1">
      <c r="A161" s="18" t="s">
        <v>2758</v>
      </c>
      <c r="B161" s="19" t="s">
        <v>2759</v>
      </c>
      <c r="C161" s="15" t="s">
        <v>2760</v>
      </c>
      <c r="D161" s="15" t="s">
        <v>2301</v>
      </c>
      <c r="E161" s="20">
        <v>51</v>
      </c>
      <c r="F161" s="21">
        <v>4940.7902999999997</v>
      </c>
      <c r="G161" s="22">
        <v>5.0000000000000001E-3</v>
      </c>
      <c r="H161" s="23">
        <v>7.8599000000000002E-2</v>
      </c>
      <c r="I161" s="24"/>
      <c r="J161" s="5"/>
    </row>
    <row r="162" spans="1:10" ht="13.05" customHeight="1">
      <c r="A162" s="18" t="s">
        <v>2761</v>
      </c>
      <c r="B162" s="19" t="s">
        <v>2762</v>
      </c>
      <c r="C162" s="15" t="s">
        <v>2763</v>
      </c>
      <c r="D162" s="15" t="s">
        <v>5584</v>
      </c>
      <c r="E162" s="20">
        <v>25</v>
      </c>
      <c r="F162" s="21">
        <v>2124.6934000000001</v>
      </c>
      <c r="G162" s="22">
        <v>2.2000000000000001E-3</v>
      </c>
      <c r="H162" s="23">
        <v>7.46E-2</v>
      </c>
      <c r="I162" s="24"/>
      <c r="J162" s="5"/>
    </row>
    <row r="163" spans="1:10" ht="13.05" customHeight="1">
      <c r="A163" s="18" t="s">
        <v>2764</v>
      </c>
      <c r="B163" s="19" t="s">
        <v>2765</v>
      </c>
      <c r="C163" s="15" t="s">
        <v>2766</v>
      </c>
      <c r="D163" s="15" t="s">
        <v>2301</v>
      </c>
      <c r="E163" s="20">
        <v>20</v>
      </c>
      <c r="F163" s="21">
        <v>1572.7501999999999</v>
      </c>
      <c r="G163" s="22">
        <v>1.6000000000000001E-3</v>
      </c>
      <c r="H163" s="23">
        <v>7.6550000000000007E-2</v>
      </c>
      <c r="I163" s="24"/>
      <c r="J163" s="5"/>
    </row>
    <row r="164" spans="1:10" ht="13.05" customHeight="1">
      <c r="A164" s="5"/>
      <c r="B164" s="14" t="s">
        <v>192</v>
      </c>
      <c r="C164" s="15"/>
      <c r="D164" s="15"/>
      <c r="E164" s="15"/>
      <c r="F164" s="25">
        <v>56888.827400000002</v>
      </c>
      <c r="G164" s="26">
        <v>5.7599999999999998E-2</v>
      </c>
      <c r="H164" s="27"/>
      <c r="I164" s="28"/>
      <c r="J164" s="5"/>
    </row>
    <row r="165" spans="1:10" ht="13.05" customHeight="1">
      <c r="A165" s="5"/>
      <c r="B165" s="29" t="s">
        <v>193</v>
      </c>
      <c r="C165" s="2"/>
      <c r="D165" s="2"/>
      <c r="E165" s="2"/>
      <c r="F165" s="27" t="s">
        <v>194</v>
      </c>
      <c r="G165" s="27" t="s">
        <v>194</v>
      </c>
      <c r="H165" s="27"/>
      <c r="I165" s="28"/>
      <c r="J165" s="5"/>
    </row>
    <row r="166" spans="1:10" ht="13.05" customHeight="1">
      <c r="A166" s="5"/>
      <c r="B166" s="29" t="s">
        <v>192</v>
      </c>
      <c r="C166" s="2"/>
      <c r="D166" s="2"/>
      <c r="E166" s="2"/>
      <c r="F166" s="27" t="s">
        <v>194</v>
      </c>
      <c r="G166" s="27" t="s">
        <v>194</v>
      </c>
      <c r="H166" s="27"/>
      <c r="I166" s="28"/>
      <c r="J166" s="5"/>
    </row>
    <row r="167" spans="1:10" ht="13.05" customHeight="1">
      <c r="A167" s="5"/>
      <c r="B167" s="29" t="s">
        <v>195</v>
      </c>
      <c r="C167" s="30"/>
      <c r="D167" s="2"/>
      <c r="E167" s="30"/>
      <c r="F167" s="25">
        <v>919350.33459999994</v>
      </c>
      <c r="G167" s="26">
        <v>0.93130000000000002</v>
      </c>
      <c r="H167" s="27"/>
      <c r="I167" s="28"/>
      <c r="J167" s="5"/>
    </row>
    <row r="168" spans="1:10" ht="13.05" customHeight="1">
      <c r="A168" s="5"/>
      <c r="B168" s="14" t="s">
        <v>1866</v>
      </c>
      <c r="C168" s="15"/>
      <c r="D168" s="15"/>
      <c r="E168" s="15"/>
      <c r="F168" s="15"/>
      <c r="G168" s="15"/>
      <c r="H168" s="16"/>
      <c r="I168" s="17"/>
      <c r="J168" s="5"/>
    </row>
    <row r="169" spans="1:10" ht="13.05" customHeight="1">
      <c r="A169" s="5"/>
      <c r="B169" s="14" t="s">
        <v>2308</v>
      </c>
      <c r="C169" s="15"/>
      <c r="D169" s="15"/>
      <c r="E169" s="15"/>
      <c r="F169" s="5"/>
      <c r="G169" s="16"/>
      <c r="H169" s="16"/>
      <c r="I169" s="17"/>
      <c r="J169" s="5"/>
    </row>
    <row r="170" spans="1:10" ht="13.05" customHeight="1">
      <c r="A170" s="18" t="s">
        <v>2767</v>
      </c>
      <c r="B170" s="19" t="s">
        <v>2768</v>
      </c>
      <c r="C170" s="15" t="s">
        <v>2769</v>
      </c>
      <c r="D170" s="15" t="s">
        <v>2312</v>
      </c>
      <c r="E170" s="20">
        <v>1000</v>
      </c>
      <c r="F170" s="21">
        <v>4850.7299999999996</v>
      </c>
      <c r="G170" s="22">
        <v>4.8999999999999998E-3</v>
      </c>
      <c r="H170" s="23">
        <v>6.2399999999999997E-2</v>
      </c>
      <c r="I170" s="24"/>
      <c r="J170" s="5"/>
    </row>
    <row r="171" spans="1:10" ht="13.05" customHeight="1">
      <c r="A171" s="5"/>
      <c r="B171" s="14" t="s">
        <v>192</v>
      </c>
      <c r="C171" s="15"/>
      <c r="D171" s="15"/>
      <c r="E171" s="15"/>
      <c r="F171" s="25">
        <v>4850.7299999999996</v>
      </c>
      <c r="G171" s="26">
        <v>4.8999999999999998E-3</v>
      </c>
      <c r="H171" s="27"/>
      <c r="I171" s="28"/>
      <c r="J171" s="5"/>
    </row>
    <row r="172" spans="1:10" ht="13.05" customHeight="1">
      <c r="A172" s="5"/>
      <c r="B172" s="14" t="s">
        <v>2770</v>
      </c>
      <c r="C172" s="15"/>
      <c r="D172" s="15"/>
      <c r="E172" s="15"/>
      <c r="F172" s="5"/>
      <c r="G172" s="16"/>
      <c r="H172" s="16"/>
      <c r="I172" s="17"/>
      <c r="J172" s="5"/>
    </row>
    <row r="173" spans="1:10" ht="13.05" customHeight="1">
      <c r="A173" s="18" t="s">
        <v>2771</v>
      </c>
      <c r="B173" s="19" t="s">
        <v>2772</v>
      </c>
      <c r="C173" s="15" t="s">
        <v>2773</v>
      </c>
      <c r="D173" s="15" t="s">
        <v>2774</v>
      </c>
      <c r="E173" s="20">
        <v>3000</v>
      </c>
      <c r="F173" s="21">
        <v>14992.635</v>
      </c>
      <c r="G173" s="22">
        <v>1.52E-2</v>
      </c>
      <c r="H173" s="23">
        <v>5.9811999999999997E-2</v>
      </c>
      <c r="I173" s="24"/>
      <c r="J173" s="5"/>
    </row>
    <row r="174" spans="1:10" ht="13.05" customHeight="1">
      <c r="A174" s="5"/>
      <c r="B174" s="14" t="s">
        <v>192</v>
      </c>
      <c r="C174" s="15"/>
      <c r="D174" s="15"/>
      <c r="E174" s="15"/>
      <c r="F174" s="25">
        <v>14992.635</v>
      </c>
      <c r="G174" s="26">
        <v>1.52E-2</v>
      </c>
      <c r="H174" s="27"/>
      <c r="I174" s="28"/>
      <c r="J174" s="5"/>
    </row>
    <row r="175" spans="1:10" ht="13.05" customHeight="1">
      <c r="A175" s="5"/>
      <c r="B175" s="29" t="s">
        <v>195</v>
      </c>
      <c r="C175" s="30"/>
      <c r="D175" s="2"/>
      <c r="E175" s="30"/>
      <c r="F175" s="25">
        <v>19843.365000000002</v>
      </c>
      <c r="G175" s="26">
        <v>2.01E-2</v>
      </c>
      <c r="H175" s="27"/>
      <c r="I175" s="28"/>
      <c r="J175" s="5"/>
    </row>
    <row r="176" spans="1:10" ht="13.05" customHeight="1">
      <c r="A176" s="5"/>
      <c r="B176" s="14" t="s">
        <v>1818</v>
      </c>
      <c r="C176" s="15"/>
      <c r="D176" s="15"/>
      <c r="E176" s="15"/>
      <c r="F176" s="15"/>
      <c r="G176" s="15"/>
      <c r="H176" s="16"/>
      <c r="I176" s="17"/>
      <c r="J176" s="5"/>
    </row>
    <row r="177" spans="1:10" ht="13.05" customHeight="1">
      <c r="A177" s="5"/>
      <c r="B177" s="14" t="s">
        <v>2332</v>
      </c>
      <c r="C177" s="15"/>
      <c r="D177" s="15"/>
      <c r="E177" s="15"/>
      <c r="F177" s="5"/>
      <c r="G177" s="16"/>
      <c r="H177" s="16"/>
      <c r="I177" s="17"/>
      <c r="J177" s="5"/>
    </row>
    <row r="178" spans="1:10" ht="13.05" customHeight="1">
      <c r="A178" s="18" t="s">
        <v>2333</v>
      </c>
      <c r="B178" s="19" t="s">
        <v>2334</v>
      </c>
      <c r="C178" s="15" t="s">
        <v>2335</v>
      </c>
      <c r="D178" s="15"/>
      <c r="E178" s="20">
        <v>22092.236000000001</v>
      </c>
      <c r="F178" s="21">
        <v>2527.5412000000001</v>
      </c>
      <c r="G178" s="22">
        <v>2.5999999999999999E-3</v>
      </c>
      <c r="H178" s="23"/>
      <c r="I178" s="24"/>
      <c r="J178" s="5"/>
    </row>
    <row r="179" spans="1:10" ht="13.05" customHeight="1">
      <c r="A179" s="5"/>
      <c r="B179" s="14" t="s">
        <v>192</v>
      </c>
      <c r="C179" s="15"/>
      <c r="D179" s="15"/>
      <c r="E179" s="15"/>
      <c r="F179" s="25">
        <v>2527.5412000000001</v>
      </c>
      <c r="G179" s="26">
        <v>2.5999999999999999E-3</v>
      </c>
      <c r="H179" s="27"/>
      <c r="I179" s="28"/>
      <c r="J179" s="5"/>
    </row>
    <row r="180" spans="1:10" ht="13.05" customHeight="1">
      <c r="A180" s="5"/>
      <c r="B180" s="29" t="s">
        <v>195</v>
      </c>
      <c r="C180" s="30"/>
      <c r="D180" s="2"/>
      <c r="E180" s="30"/>
      <c r="F180" s="25">
        <v>2527.5412000000001</v>
      </c>
      <c r="G180" s="26">
        <v>2.5999999999999999E-3</v>
      </c>
      <c r="H180" s="27"/>
      <c r="I180" s="28"/>
      <c r="J180" s="5"/>
    </row>
    <row r="181" spans="1:10" ht="13.05" customHeight="1">
      <c r="A181" s="5"/>
      <c r="B181" s="14" t="s">
        <v>196</v>
      </c>
      <c r="C181" s="15"/>
      <c r="D181" s="15"/>
      <c r="E181" s="15"/>
      <c r="F181" s="15"/>
      <c r="G181" s="15"/>
      <c r="H181" s="16"/>
      <c r="I181" s="17"/>
      <c r="J181" s="5"/>
    </row>
    <row r="182" spans="1:10" ht="13.05" customHeight="1">
      <c r="A182" s="18" t="s">
        <v>197</v>
      </c>
      <c r="B182" s="19" t="s">
        <v>198</v>
      </c>
      <c r="C182" s="15"/>
      <c r="D182" s="15"/>
      <c r="E182" s="20"/>
      <c r="F182" s="21">
        <v>32277.3711</v>
      </c>
      <c r="G182" s="22">
        <v>3.27E-2</v>
      </c>
      <c r="H182" s="23">
        <v>5.5573617010495215E-2</v>
      </c>
      <c r="I182" s="24"/>
      <c r="J182" s="5"/>
    </row>
    <row r="183" spans="1:10" ht="13.05" customHeight="1">
      <c r="A183" s="5"/>
      <c r="B183" s="14" t="s">
        <v>192</v>
      </c>
      <c r="C183" s="15"/>
      <c r="D183" s="15"/>
      <c r="E183" s="15"/>
      <c r="F183" s="25">
        <v>32277.3711</v>
      </c>
      <c r="G183" s="26">
        <v>3.27E-2</v>
      </c>
      <c r="H183" s="27"/>
      <c r="I183" s="28"/>
      <c r="J183" s="5"/>
    </row>
    <row r="184" spans="1:10" ht="13.05" customHeight="1">
      <c r="A184" s="5"/>
      <c r="B184" s="29" t="s">
        <v>193</v>
      </c>
      <c r="C184" s="2"/>
      <c r="D184" s="2"/>
      <c r="E184" s="2"/>
      <c r="F184" s="27" t="s">
        <v>194</v>
      </c>
      <c r="G184" s="27" t="s">
        <v>194</v>
      </c>
      <c r="H184" s="27"/>
      <c r="I184" s="28"/>
      <c r="J184" s="5"/>
    </row>
    <row r="185" spans="1:10" ht="13.05" customHeight="1">
      <c r="A185" s="5"/>
      <c r="B185" s="29" t="s">
        <v>192</v>
      </c>
      <c r="C185" s="2"/>
      <c r="D185" s="2"/>
      <c r="E185" s="2"/>
      <c r="F185" s="27" t="s">
        <v>194</v>
      </c>
      <c r="G185" s="27" t="s">
        <v>194</v>
      </c>
      <c r="H185" s="27"/>
      <c r="I185" s="28"/>
      <c r="J185" s="5"/>
    </row>
    <row r="186" spans="1:10" ht="13.05" customHeight="1">
      <c r="A186" s="5"/>
      <c r="B186" s="29" t="s">
        <v>195</v>
      </c>
      <c r="C186" s="30"/>
      <c r="D186" s="2"/>
      <c r="E186" s="30"/>
      <c r="F186" s="25">
        <v>32277.3711</v>
      </c>
      <c r="G186" s="26">
        <v>3.27E-2</v>
      </c>
      <c r="H186" s="27"/>
      <c r="I186" s="28"/>
      <c r="J186" s="5"/>
    </row>
    <row r="187" spans="1:10" ht="13.05" customHeight="1">
      <c r="A187" s="5"/>
      <c r="B187" s="29" t="s">
        <v>199</v>
      </c>
      <c r="C187" s="15"/>
      <c r="D187" s="2"/>
      <c r="E187" s="15"/>
      <c r="F187" s="31">
        <v>13158.908100000001</v>
      </c>
      <c r="G187" s="26">
        <v>1.3299999999999999E-2</v>
      </c>
      <c r="H187" s="27"/>
      <c r="I187" s="28"/>
      <c r="J187" s="5"/>
    </row>
    <row r="188" spans="1:10" ht="13.05" customHeight="1">
      <c r="A188" s="5"/>
      <c r="B188" s="32" t="s">
        <v>200</v>
      </c>
      <c r="C188" s="33"/>
      <c r="D188" s="33"/>
      <c r="E188" s="33"/>
      <c r="F188" s="34">
        <v>987157.52</v>
      </c>
      <c r="G188" s="35">
        <v>1</v>
      </c>
      <c r="H188" s="36"/>
      <c r="I188" s="37"/>
      <c r="J188" s="5"/>
    </row>
    <row r="189" spans="1:10" ht="13.05" customHeight="1">
      <c r="A189" s="5"/>
      <c r="B189" s="7"/>
      <c r="C189" s="5"/>
      <c r="D189" s="5"/>
      <c r="E189" s="5"/>
      <c r="F189" s="5"/>
      <c r="G189" s="5"/>
      <c r="H189" s="5"/>
      <c r="I189" s="5"/>
      <c r="J189" s="5"/>
    </row>
    <row r="190" spans="1:10" ht="13.05" customHeight="1">
      <c r="A190" s="5"/>
      <c r="B190" s="4" t="s">
        <v>250</v>
      </c>
      <c r="C190" s="5"/>
      <c r="D190" s="5"/>
      <c r="E190" s="5"/>
      <c r="F190" s="5"/>
      <c r="G190" s="5"/>
      <c r="H190" s="5"/>
      <c r="I190" s="5"/>
      <c r="J190" s="5"/>
    </row>
    <row r="191" spans="1:10" ht="13.05" customHeight="1">
      <c r="A191" s="5"/>
      <c r="B191" s="4" t="s">
        <v>1816</v>
      </c>
      <c r="C191" s="5"/>
      <c r="D191" s="5"/>
      <c r="E191" s="5"/>
      <c r="F191" s="5"/>
      <c r="G191" s="5"/>
      <c r="H191" s="5"/>
      <c r="I191" s="5"/>
      <c r="J191" s="5"/>
    </row>
    <row r="192" spans="1:10" ht="13.05" customHeight="1">
      <c r="A192" s="5"/>
      <c r="B192" s="4" t="s">
        <v>201</v>
      </c>
      <c r="C192" s="5"/>
      <c r="D192" s="5"/>
      <c r="E192" s="5"/>
      <c r="F192" s="5"/>
      <c r="G192" s="5"/>
      <c r="H192" s="5"/>
      <c r="I192" s="5"/>
      <c r="J192" s="5"/>
    </row>
    <row r="193" spans="1:10" ht="25.95" customHeight="1">
      <c r="A193" s="5"/>
      <c r="B193" s="103" t="s">
        <v>202</v>
      </c>
      <c r="C193" s="103"/>
      <c r="D193" s="103"/>
      <c r="E193" s="103"/>
      <c r="F193" s="103"/>
      <c r="G193" s="103"/>
      <c r="H193" s="103"/>
      <c r="I193" s="103"/>
      <c r="J193" s="5"/>
    </row>
    <row r="194" spans="1:10" ht="13.05" customHeight="1">
      <c r="A194" s="5"/>
      <c r="B194" s="103" t="s">
        <v>203</v>
      </c>
      <c r="C194" s="103"/>
      <c r="D194" s="103"/>
      <c r="E194" s="103"/>
      <c r="F194" s="103"/>
      <c r="G194" s="103"/>
      <c r="H194" s="103"/>
      <c r="I194" s="103"/>
      <c r="J194" s="5"/>
    </row>
    <row r="195" spans="1:10" ht="13.05" customHeight="1">
      <c r="A195" s="5"/>
      <c r="B195" s="103"/>
      <c r="C195" s="103"/>
      <c r="D195" s="103"/>
      <c r="E195" s="103"/>
      <c r="F195" s="103"/>
      <c r="G195" s="103"/>
      <c r="H195" s="103"/>
      <c r="I195" s="103"/>
      <c r="J195" s="5"/>
    </row>
    <row r="196" spans="1:10" ht="13.05" customHeight="1">
      <c r="A196" s="5"/>
      <c r="B196" s="109" t="s">
        <v>2775</v>
      </c>
      <c r="C196" s="109"/>
      <c r="D196" s="109"/>
      <c r="E196" s="109"/>
      <c r="F196" s="5"/>
      <c r="G196" s="5"/>
      <c r="H196" s="5"/>
      <c r="I196" s="5"/>
      <c r="J196" s="5"/>
    </row>
    <row r="197" spans="1:10" ht="13.05" customHeight="1">
      <c r="A197" s="5"/>
      <c r="B197" s="103"/>
      <c r="C197" s="103"/>
      <c r="D197" s="103"/>
      <c r="E197" s="103"/>
      <c r="F197" s="103"/>
      <c r="G197" s="103"/>
      <c r="H197" s="103"/>
      <c r="I197" s="103"/>
      <c r="J197" s="5"/>
    </row>
    <row r="198" spans="1:10" ht="13.05" customHeight="1">
      <c r="A198" s="5"/>
      <c r="B198" s="5"/>
      <c r="C198" s="104" t="s">
        <v>2776</v>
      </c>
      <c r="D198" s="104"/>
      <c r="E198" s="104"/>
      <c r="F198" s="104"/>
      <c r="G198" s="5"/>
      <c r="H198" s="5"/>
      <c r="I198" s="5"/>
      <c r="J198" s="5"/>
    </row>
    <row r="199" spans="1:10" ht="13.05" customHeight="1">
      <c r="A199" s="5"/>
      <c r="B199" s="38" t="s">
        <v>207</v>
      </c>
      <c r="C199" s="104" t="s">
        <v>208</v>
      </c>
      <c r="D199" s="104"/>
      <c r="E199" s="104"/>
      <c r="F199" s="104"/>
      <c r="G199" s="5"/>
      <c r="H199" s="5"/>
      <c r="I199" s="5"/>
      <c r="J199" s="5"/>
    </row>
    <row r="200" spans="1:10" ht="135" customHeight="1">
      <c r="A200" s="5"/>
      <c r="B200" s="39"/>
      <c r="C200" s="105"/>
      <c r="D200" s="105"/>
      <c r="E200" s="5"/>
      <c r="F200" s="5"/>
      <c r="G200" s="5"/>
      <c r="H200" s="5"/>
      <c r="I200" s="5"/>
      <c r="J200" s="5"/>
    </row>
  </sheetData>
  <mergeCells count="8">
    <mergeCell ref="C198:F198"/>
    <mergeCell ref="C199:F199"/>
    <mergeCell ref="C200:D200"/>
    <mergeCell ref="B193:I193"/>
    <mergeCell ref="B194:I194"/>
    <mergeCell ref="B195:I195"/>
    <mergeCell ref="B196:E196"/>
    <mergeCell ref="B197:I197"/>
  </mergeCells>
  <hyperlinks>
    <hyperlink ref="A1" location="AxisCorporateBondFund" display="AXISCOF" xr:uid="{00000000-0004-0000-1000-000000000000}"/>
    <hyperlink ref="B1" location="AxisCorporateBondFund" display="Axis Corporate Bond Fund" xr:uid="{00000000-0004-0000-10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J102"/>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37</v>
      </c>
      <c r="B1" s="4" t="s">
        <v>38</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265</v>
      </c>
      <c r="B7" s="19" t="s">
        <v>266</v>
      </c>
      <c r="C7" s="15" t="s">
        <v>267</v>
      </c>
      <c r="D7" s="15" t="s">
        <v>268</v>
      </c>
      <c r="E7" s="20">
        <v>1781446</v>
      </c>
      <c r="F7" s="21">
        <v>36599.808100000002</v>
      </c>
      <c r="G7" s="22">
        <v>9.4299999999999995E-2</v>
      </c>
      <c r="H7" s="40"/>
      <c r="I7" s="24"/>
      <c r="J7" s="5"/>
    </row>
    <row r="8" spans="1:10" ht="13.05" customHeight="1">
      <c r="A8" s="18" t="s">
        <v>293</v>
      </c>
      <c r="B8" s="19" t="s">
        <v>294</v>
      </c>
      <c r="C8" s="15" t="s">
        <v>295</v>
      </c>
      <c r="D8" s="15" t="s">
        <v>296</v>
      </c>
      <c r="E8" s="20">
        <v>817734</v>
      </c>
      <c r="F8" s="21">
        <v>28516.02</v>
      </c>
      <c r="G8" s="22">
        <v>7.3499999999999996E-2</v>
      </c>
      <c r="H8" s="40"/>
      <c r="I8" s="24"/>
      <c r="J8" s="5"/>
    </row>
    <row r="9" spans="1:10" ht="13.05" customHeight="1">
      <c r="A9" s="18" t="s">
        <v>301</v>
      </c>
      <c r="B9" s="19" t="s">
        <v>302</v>
      </c>
      <c r="C9" s="15" t="s">
        <v>303</v>
      </c>
      <c r="D9" s="15" t="s">
        <v>304</v>
      </c>
      <c r="E9" s="20">
        <v>8306591</v>
      </c>
      <c r="F9" s="21">
        <v>26394.192899999998</v>
      </c>
      <c r="G9" s="22">
        <v>6.8000000000000005E-2</v>
      </c>
      <c r="H9" s="40"/>
      <c r="I9" s="24"/>
      <c r="J9" s="5"/>
    </row>
    <row r="10" spans="1:10" ht="13.05" customHeight="1">
      <c r="A10" s="18" t="s">
        <v>305</v>
      </c>
      <c r="B10" s="19" t="s">
        <v>306</v>
      </c>
      <c r="C10" s="15" t="s">
        <v>307</v>
      </c>
      <c r="D10" s="15" t="s">
        <v>280</v>
      </c>
      <c r="E10" s="20">
        <v>945326</v>
      </c>
      <c r="F10" s="21">
        <v>23307.012500000001</v>
      </c>
      <c r="G10" s="22">
        <v>6.0100000000000001E-2</v>
      </c>
      <c r="H10" s="40"/>
      <c r="I10" s="24"/>
      <c r="J10" s="5"/>
    </row>
    <row r="11" spans="1:10" ht="13.05" customHeight="1">
      <c r="A11" s="18" t="s">
        <v>308</v>
      </c>
      <c r="B11" s="19" t="s">
        <v>309</v>
      </c>
      <c r="C11" s="15" t="s">
        <v>310</v>
      </c>
      <c r="D11" s="15" t="s">
        <v>296</v>
      </c>
      <c r="E11" s="20">
        <v>142128</v>
      </c>
      <c r="F11" s="21">
        <v>23004.838100000001</v>
      </c>
      <c r="G11" s="22">
        <v>5.9299999999999999E-2</v>
      </c>
      <c r="H11" s="40"/>
      <c r="I11" s="24"/>
      <c r="J11" s="5"/>
    </row>
    <row r="12" spans="1:10" ht="13.05" customHeight="1">
      <c r="A12" s="18" t="s">
        <v>277</v>
      </c>
      <c r="B12" s="19" t="s">
        <v>278</v>
      </c>
      <c r="C12" s="15" t="s">
        <v>279</v>
      </c>
      <c r="D12" s="15" t="s">
        <v>280</v>
      </c>
      <c r="E12" s="20">
        <v>4009114</v>
      </c>
      <c r="F12" s="21">
        <v>16852.310700000002</v>
      </c>
      <c r="G12" s="22">
        <v>4.3400000000000001E-2</v>
      </c>
      <c r="H12" s="40"/>
      <c r="I12" s="24"/>
      <c r="J12" s="5"/>
    </row>
    <row r="13" spans="1:10" ht="13.05" customHeight="1">
      <c r="A13" s="18" t="s">
        <v>322</v>
      </c>
      <c r="B13" s="19" t="s">
        <v>323</v>
      </c>
      <c r="C13" s="15" t="s">
        <v>324</v>
      </c>
      <c r="D13" s="15" t="s">
        <v>325</v>
      </c>
      <c r="E13" s="20">
        <v>441241</v>
      </c>
      <c r="F13" s="21">
        <v>16531.976500000001</v>
      </c>
      <c r="G13" s="22">
        <v>4.2599999999999999E-2</v>
      </c>
      <c r="H13" s="40"/>
      <c r="I13" s="24"/>
      <c r="J13" s="5"/>
    </row>
    <row r="14" spans="1:10" ht="13.05" customHeight="1">
      <c r="A14" s="18" t="s">
        <v>423</v>
      </c>
      <c r="B14" s="19" t="s">
        <v>424</v>
      </c>
      <c r="C14" s="15" t="s">
        <v>425</v>
      </c>
      <c r="D14" s="15" t="s">
        <v>296</v>
      </c>
      <c r="E14" s="20">
        <v>344562</v>
      </c>
      <c r="F14" s="21">
        <v>12089.6469</v>
      </c>
      <c r="G14" s="22">
        <v>3.1199999999999999E-2</v>
      </c>
      <c r="H14" s="40"/>
      <c r="I14" s="24"/>
      <c r="J14" s="5"/>
    </row>
    <row r="15" spans="1:10" ht="13.05" customHeight="1">
      <c r="A15" s="18" t="s">
        <v>345</v>
      </c>
      <c r="B15" s="19" t="s">
        <v>346</v>
      </c>
      <c r="C15" s="15" t="s">
        <v>347</v>
      </c>
      <c r="D15" s="15" t="s">
        <v>348</v>
      </c>
      <c r="E15" s="20">
        <v>211457</v>
      </c>
      <c r="F15" s="21">
        <v>11894.4563</v>
      </c>
      <c r="G15" s="22">
        <v>3.0700000000000002E-2</v>
      </c>
      <c r="H15" s="40"/>
      <c r="I15" s="24"/>
      <c r="J15" s="5"/>
    </row>
    <row r="16" spans="1:10" ht="13.05" customHeight="1">
      <c r="A16" s="18" t="s">
        <v>368</v>
      </c>
      <c r="B16" s="19" t="s">
        <v>369</v>
      </c>
      <c r="C16" s="15" t="s">
        <v>370</v>
      </c>
      <c r="D16" s="15" t="s">
        <v>304</v>
      </c>
      <c r="E16" s="20">
        <v>212338</v>
      </c>
      <c r="F16" s="21">
        <v>9967.7826999999997</v>
      </c>
      <c r="G16" s="22">
        <v>2.5700000000000001E-2</v>
      </c>
      <c r="H16" s="40"/>
      <c r="I16" s="24"/>
      <c r="J16" s="5"/>
    </row>
    <row r="17" spans="1:10" ht="13.05" customHeight="1">
      <c r="A17" s="18" t="s">
        <v>452</v>
      </c>
      <c r="B17" s="19" t="s">
        <v>453</v>
      </c>
      <c r="C17" s="15" t="s">
        <v>454</v>
      </c>
      <c r="D17" s="15" t="s">
        <v>391</v>
      </c>
      <c r="E17" s="20">
        <v>154242</v>
      </c>
      <c r="F17" s="21">
        <v>9002.3343000000004</v>
      </c>
      <c r="G17" s="22">
        <v>2.3199999999999998E-2</v>
      </c>
      <c r="H17" s="40"/>
      <c r="I17" s="24"/>
      <c r="J17" s="5"/>
    </row>
    <row r="18" spans="1:10" ht="13.05" customHeight="1">
      <c r="A18" s="18" t="s">
        <v>432</v>
      </c>
      <c r="B18" s="19" t="s">
        <v>433</v>
      </c>
      <c r="C18" s="15" t="s">
        <v>434</v>
      </c>
      <c r="D18" s="15" t="s">
        <v>435</v>
      </c>
      <c r="E18" s="20">
        <v>734945</v>
      </c>
      <c r="F18" s="21">
        <v>8562.1093000000001</v>
      </c>
      <c r="G18" s="22">
        <v>2.2100000000000002E-2</v>
      </c>
      <c r="H18" s="40"/>
      <c r="I18" s="24"/>
      <c r="J18" s="5"/>
    </row>
    <row r="19" spans="1:10" ht="13.05" customHeight="1">
      <c r="A19" s="18" t="s">
        <v>385</v>
      </c>
      <c r="B19" s="19" t="s">
        <v>386</v>
      </c>
      <c r="C19" s="15" t="s">
        <v>387</v>
      </c>
      <c r="D19" s="15" t="s">
        <v>296</v>
      </c>
      <c r="E19" s="20">
        <v>120521</v>
      </c>
      <c r="F19" s="21">
        <v>8444.9064999999991</v>
      </c>
      <c r="G19" s="22">
        <v>2.18E-2</v>
      </c>
      <c r="H19" s="40"/>
      <c r="I19" s="24"/>
      <c r="J19" s="5"/>
    </row>
    <row r="20" spans="1:10" ht="13.05" customHeight="1">
      <c r="A20" s="18" t="s">
        <v>429</v>
      </c>
      <c r="B20" s="19" t="s">
        <v>430</v>
      </c>
      <c r="C20" s="15" t="s">
        <v>431</v>
      </c>
      <c r="D20" s="15" t="s">
        <v>415</v>
      </c>
      <c r="E20" s="20">
        <v>108930</v>
      </c>
      <c r="F20" s="21">
        <v>8366.9133000000002</v>
      </c>
      <c r="G20" s="22">
        <v>2.1600000000000001E-2</v>
      </c>
      <c r="H20" s="40"/>
      <c r="I20" s="24"/>
      <c r="J20" s="5"/>
    </row>
    <row r="21" spans="1:10" ht="13.05" customHeight="1">
      <c r="A21" s="18" t="s">
        <v>472</v>
      </c>
      <c r="B21" s="19" t="s">
        <v>473</v>
      </c>
      <c r="C21" s="15" t="s">
        <v>474</v>
      </c>
      <c r="D21" s="15" t="s">
        <v>475</v>
      </c>
      <c r="E21" s="20">
        <v>1599668</v>
      </c>
      <c r="F21" s="21">
        <v>7512.8407999999999</v>
      </c>
      <c r="G21" s="22">
        <v>1.9400000000000001E-2</v>
      </c>
      <c r="H21" s="40"/>
      <c r="I21" s="24"/>
      <c r="J21" s="5"/>
    </row>
    <row r="22" spans="1:10" ht="13.05" customHeight="1">
      <c r="A22" s="18" t="s">
        <v>485</v>
      </c>
      <c r="B22" s="19" t="s">
        <v>486</v>
      </c>
      <c r="C22" s="15" t="s">
        <v>487</v>
      </c>
      <c r="D22" s="15" t="s">
        <v>304</v>
      </c>
      <c r="E22" s="20">
        <v>180453</v>
      </c>
      <c r="F22" s="21">
        <v>7495.1153999999997</v>
      </c>
      <c r="G22" s="22">
        <v>1.9300000000000001E-2</v>
      </c>
      <c r="H22" s="40"/>
      <c r="I22" s="24"/>
      <c r="J22" s="5"/>
    </row>
    <row r="23" spans="1:10" ht="13.05" customHeight="1">
      <c r="A23" s="18" t="s">
        <v>461</v>
      </c>
      <c r="B23" s="19" t="s">
        <v>462</v>
      </c>
      <c r="C23" s="15" t="s">
        <v>463</v>
      </c>
      <c r="D23" s="15" t="s">
        <v>464</v>
      </c>
      <c r="E23" s="20">
        <v>897772</v>
      </c>
      <c r="F23" s="21">
        <v>6659.6727000000001</v>
      </c>
      <c r="G23" s="22">
        <v>1.72E-2</v>
      </c>
      <c r="H23" s="40"/>
      <c r="I23" s="24"/>
      <c r="J23" s="5"/>
    </row>
    <row r="24" spans="1:10" ht="13.05" customHeight="1">
      <c r="A24" s="18" t="s">
        <v>439</v>
      </c>
      <c r="B24" s="19" t="s">
        <v>440</v>
      </c>
      <c r="C24" s="15" t="s">
        <v>441</v>
      </c>
      <c r="D24" s="15" t="s">
        <v>296</v>
      </c>
      <c r="E24" s="20">
        <v>115000</v>
      </c>
      <c r="F24" s="21">
        <v>6375.6</v>
      </c>
      <c r="G24" s="22">
        <v>1.6400000000000001E-2</v>
      </c>
      <c r="H24" s="40"/>
      <c r="I24" s="24"/>
      <c r="J24" s="5"/>
    </row>
    <row r="25" spans="1:10" ht="13.05" customHeight="1">
      <c r="A25" s="18" t="s">
        <v>388</v>
      </c>
      <c r="B25" s="19" t="s">
        <v>389</v>
      </c>
      <c r="C25" s="15" t="s">
        <v>390</v>
      </c>
      <c r="D25" s="15" t="s">
        <v>391</v>
      </c>
      <c r="E25" s="20">
        <v>454280</v>
      </c>
      <c r="F25" s="21">
        <v>5776.6244999999999</v>
      </c>
      <c r="G25" s="22">
        <v>1.49E-2</v>
      </c>
      <c r="H25" s="40"/>
      <c r="I25" s="24"/>
      <c r="J25" s="5"/>
    </row>
    <row r="26" spans="1:10" ht="13.05" customHeight="1">
      <c r="A26" s="18" t="s">
        <v>382</v>
      </c>
      <c r="B26" s="19" t="s">
        <v>383</v>
      </c>
      <c r="C26" s="15" t="s">
        <v>384</v>
      </c>
      <c r="D26" s="15" t="s">
        <v>296</v>
      </c>
      <c r="E26" s="20">
        <v>56109</v>
      </c>
      <c r="F26" s="21">
        <v>4989.4928</v>
      </c>
      <c r="G26" s="22">
        <v>1.29E-2</v>
      </c>
      <c r="H26" s="40"/>
      <c r="I26" s="24"/>
      <c r="J26" s="5"/>
    </row>
    <row r="27" spans="1:10" ht="13.05" customHeight="1">
      <c r="A27" s="18" t="s">
        <v>514</v>
      </c>
      <c r="B27" s="19" t="s">
        <v>515</v>
      </c>
      <c r="C27" s="15" t="s">
        <v>516</v>
      </c>
      <c r="D27" s="15" t="s">
        <v>415</v>
      </c>
      <c r="E27" s="20">
        <v>453477</v>
      </c>
      <c r="F27" s="21">
        <v>4639.2964000000002</v>
      </c>
      <c r="G27" s="22">
        <v>1.2E-2</v>
      </c>
      <c r="H27" s="40"/>
      <c r="I27" s="24"/>
      <c r="J27" s="5"/>
    </row>
    <row r="28" spans="1:10" ht="13.05" customHeight="1">
      <c r="A28" s="18" t="s">
        <v>458</v>
      </c>
      <c r="B28" s="19" t="s">
        <v>459</v>
      </c>
      <c r="C28" s="15" t="s">
        <v>460</v>
      </c>
      <c r="D28" s="15" t="s">
        <v>321</v>
      </c>
      <c r="E28" s="20">
        <v>1141188</v>
      </c>
      <c r="F28" s="21">
        <v>4620.6701999999996</v>
      </c>
      <c r="G28" s="22">
        <v>1.1900000000000001E-2</v>
      </c>
      <c r="H28" s="40"/>
      <c r="I28" s="24"/>
      <c r="J28" s="5"/>
    </row>
    <row r="29" spans="1:10" ht="13.05" customHeight="1">
      <c r="A29" s="18" t="s">
        <v>709</v>
      </c>
      <c r="B29" s="19" t="s">
        <v>710</v>
      </c>
      <c r="C29" s="15" t="s">
        <v>711</v>
      </c>
      <c r="D29" s="15" t="s">
        <v>304</v>
      </c>
      <c r="E29" s="20">
        <v>2879747</v>
      </c>
      <c r="F29" s="21">
        <v>4166.7058999999999</v>
      </c>
      <c r="G29" s="22">
        <v>1.0699999999999999E-2</v>
      </c>
      <c r="H29" s="40"/>
      <c r="I29" s="24"/>
      <c r="J29" s="5"/>
    </row>
    <row r="30" spans="1:10" ht="13.05" customHeight="1">
      <c r="A30" s="18" t="s">
        <v>412</v>
      </c>
      <c r="B30" s="19" t="s">
        <v>413</v>
      </c>
      <c r="C30" s="15" t="s">
        <v>414</v>
      </c>
      <c r="D30" s="15" t="s">
        <v>415</v>
      </c>
      <c r="E30" s="20">
        <v>355578</v>
      </c>
      <c r="F30" s="21">
        <v>4081.3243000000002</v>
      </c>
      <c r="G30" s="22">
        <v>1.0500000000000001E-2</v>
      </c>
      <c r="H30" s="40"/>
      <c r="I30" s="24"/>
      <c r="J30" s="5"/>
    </row>
    <row r="31" spans="1:10" ht="13.05" customHeight="1">
      <c r="A31" s="18" t="s">
        <v>254</v>
      </c>
      <c r="B31" s="19" t="s">
        <v>255</v>
      </c>
      <c r="C31" s="15" t="s">
        <v>256</v>
      </c>
      <c r="D31" s="15" t="s">
        <v>257</v>
      </c>
      <c r="E31" s="20">
        <v>411148</v>
      </c>
      <c r="F31" s="21">
        <v>4059.2642000000001</v>
      </c>
      <c r="G31" s="22">
        <v>1.0500000000000001E-2</v>
      </c>
      <c r="H31" s="40"/>
      <c r="I31" s="24"/>
      <c r="J31" s="5"/>
    </row>
    <row r="32" spans="1:10" ht="13.05" customHeight="1">
      <c r="A32" s="18" t="s">
        <v>1848</v>
      </c>
      <c r="B32" s="19" t="s">
        <v>1849</v>
      </c>
      <c r="C32" s="15" t="s">
        <v>1850</v>
      </c>
      <c r="D32" s="15" t="s">
        <v>304</v>
      </c>
      <c r="E32" s="20">
        <v>806384</v>
      </c>
      <c r="F32" s="21">
        <v>4054.9018999999998</v>
      </c>
      <c r="G32" s="22">
        <v>1.0500000000000001E-2</v>
      </c>
      <c r="H32" s="40"/>
      <c r="I32" s="24"/>
      <c r="J32" s="5"/>
    </row>
    <row r="33" spans="1:10" ht="13.05" customHeight="1">
      <c r="A33" s="18" t="s">
        <v>946</v>
      </c>
      <c r="B33" s="19" t="s">
        <v>947</v>
      </c>
      <c r="C33" s="15" t="s">
        <v>948</v>
      </c>
      <c r="D33" s="15" t="s">
        <v>325</v>
      </c>
      <c r="E33" s="20">
        <v>738335</v>
      </c>
      <c r="F33" s="21">
        <v>4002.5140000000001</v>
      </c>
      <c r="G33" s="22">
        <v>1.03E-2</v>
      </c>
      <c r="H33" s="40"/>
      <c r="I33" s="24"/>
      <c r="J33" s="5"/>
    </row>
    <row r="34" spans="1:10" ht="13.05" customHeight="1">
      <c r="A34" s="18" t="s">
        <v>578</v>
      </c>
      <c r="B34" s="19" t="s">
        <v>579</v>
      </c>
      <c r="C34" s="15" t="s">
        <v>580</v>
      </c>
      <c r="D34" s="15" t="s">
        <v>581</v>
      </c>
      <c r="E34" s="20">
        <v>269408</v>
      </c>
      <c r="F34" s="21">
        <v>3891.8679999999999</v>
      </c>
      <c r="G34" s="22">
        <v>0.01</v>
      </c>
      <c r="H34" s="40"/>
      <c r="I34" s="24"/>
      <c r="J34" s="5"/>
    </row>
    <row r="35" spans="1:10" ht="13.05" customHeight="1">
      <c r="A35" s="18" t="s">
        <v>1613</v>
      </c>
      <c r="B35" s="19" t="s">
        <v>1614</v>
      </c>
      <c r="C35" s="15" t="s">
        <v>1615</v>
      </c>
      <c r="D35" s="15" t="s">
        <v>1616</v>
      </c>
      <c r="E35" s="20">
        <v>146898</v>
      </c>
      <c r="F35" s="21">
        <v>3778.3634999999999</v>
      </c>
      <c r="G35" s="22">
        <v>9.7000000000000003E-3</v>
      </c>
      <c r="H35" s="40"/>
      <c r="I35" s="24"/>
      <c r="J35" s="5"/>
    </row>
    <row r="36" spans="1:10" ht="13.05" customHeight="1">
      <c r="A36" s="18" t="s">
        <v>297</v>
      </c>
      <c r="B36" s="19" t="s">
        <v>298</v>
      </c>
      <c r="C36" s="15" t="s">
        <v>299</v>
      </c>
      <c r="D36" s="15" t="s">
        <v>300</v>
      </c>
      <c r="E36" s="20">
        <v>358502</v>
      </c>
      <c r="F36" s="21">
        <v>3738.4589000000001</v>
      </c>
      <c r="G36" s="22">
        <v>9.5999999999999992E-3</v>
      </c>
      <c r="H36" s="40"/>
      <c r="I36" s="24"/>
      <c r="J36" s="5"/>
    </row>
    <row r="37" spans="1:10" ht="13.05" customHeight="1">
      <c r="A37" s="18" t="s">
        <v>640</v>
      </c>
      <c r="B37" s="19" t="s">
        <v>641</v>
      </c>
      <c r="C37" s="15" t="s">
        <v>642</v>
      </c>
      <c r="D37" s="15" t="s">
        <v>296</v>
      </c>
      <c r="E37" s="20">
        <v>143296</v>
      </c>
      <c r="F37" s="21">
        <v>3494.5596</v>
      </c>
      <c r="G37" s="22">
        <v>8.9999999999999993E-3</v>
      </c>
      <c r="H37" s="40"/>
      <c r="I37" s="24"/>
      <c r="J37" s="5"/>
    </row>
    <row r="38" spans="1:10" ht="13.05" customHeight="1">
      <c r="A38" s="18" t="s">
        <v>2777</v>
      </c>
      <c r="B38" s="19" t="s">
        <v>2778</v>
      </c>
      <c r="C38" s="15" t="s">
        <v>2779</v>
      </c>
      <c r="D38" s="15" t="s">
        <v>464</v>
      </c>
      <c r="E38" s="20">
        <v>240903</v>
      </c>
      <c r="F38" s="21">
        <v>3176.3060999999998</v>
      </c>
      <c r="G38" s="22">
        <v>8.2000000000000007E-3</v>
      </c>
      <c r="H38" s="40"/>
      <c r="I38" s="24"/>
      <c r="J38" s="5"/>
    </row>
    <row r="39" spans="1:10" ht="13.05" customHeight="1">
      <c r="A39" s="18" t="s">
        <v>574</v>
      </c>
      <c r="B39" s="19" t="s">
        <v>575</v>
      </c>
      <c r="C39" s="15" t="s">
        <v>576</v>
      </c>
      <c r="D39" s="15" t="s">
        <v>577</v>
      </c>
      <c r="E39" s="20">
        <v>264281</v>
      </c>
      <c r="F39" s="21">
        <v>2956.2473</v>
      </c>
      <c r="G39" s="22">
        <v>7.6E-3</v>
      </c>
      <c r="H39" s="40"/>
      <c r="I39" s="24"/>
      <c r="J39" s="5"/>
    </row>
    <row r="40" spans="1:10" ht="13.05" customHeight="1">
      <c r="A40" s="18" t="s">
        <v>334</v>
      </c>
      <c r="B40" s="19" t="s">
        <v>335</v>
      </c>
      <c r="C40" s="15" t="s">
        <v>336</v>
      </c>
      <c r="D40" s="15" t="s">
        <v>337</v>
      </c>
      <c r="E40" s="20">
        <v>22739</v>
      </c>
      <c r="F40" s="21">
        <v>2716.6282999999999</v>
      </c>
      <c r="G40" s="22">
        <v>7.0000000000000001E-3</v>
      </c>
      <c r="H40" s="40"/>
      <c r="I40" s="24"/>
      <c r="J40" s="5"/>
    </row>
    <row r="41" spans="1:10" ht="13.05" customHeight="1">
      <c r="A41" s="18" t="s">
        <v>262</v>
      </c>
      <c r="B41" s="19" t="s">
        <v>263</v>
      </c>
      <c r="C41" s="15" t="s">
        <v>264</v>
      </c>
      <c r="D41" s="15" t="s">
        <v>257</v>
      </c>
      <c r="E41" s="20">
        <v>192553</v>
      </c>
      <c r="F41" s="21">
        <v>2590.4155000000001</v>
      </c>
      <c r="G41" s="22">
        <v>6.7000000000000002E-3</v>
      </c>
      <c r="H41" s="40"/>
      <c r="I41" s="24"/>
      <c r="J41" s="5"/>
    </row>
    <row r="42" spans="1:10" ht="13.05" customHeight="1">
      <c r="A42" s="18" t="s">
        <v>1299</v>
      </c>
      <c r="B42" s="19" t="s">
        <v>1300</v>
      </c>
      <c r="C42" s="15" t="s">
        <v>1301</v>
      </c>
      <c r="D42" s="15" t="s">
        <v>325</v>
      </c>
      <c r="E42" s="20">
        <v>445487</v>
      </c>
      <c r="F42" s="21">
        <v>2543.5079999999998</v>
      </c>
      <c r="G42" s="22">
        <v>6.6E-3</v>
      </c>
      <c r="H42" s="40"/>
      <c r="I42" s="24"/>
      <c r="J42" s="5"/>
    </row>
    <row r="43" spans="1:10" ht="13.05" customHeight="1">
      <c r="A43" s="18" t="s">
        <v>1406</v>
      </c>
      <c r="B43" s="19" t="s">
        <v>1407</v>
      </c>
      <c r="C43" s="15" t="s">
        <v>1408</v>
      </c>
      <c r="D43" s="15" t="s">
        <v>464</v>
      </c>
      <c r="E43" s="20">
        <v>856552</v>
      </c>
      <c r="F43" s="21">
        <v>2450.1669999999999</v>
      </c>
      <c r="G43" s="22">
        <v>6.3E-3</v>
      </c>
      <c r="H43" s="40"/>
      <c r="I43" s="24"/>
      <c r="J43" s="5"/>
    </row>
    <row r="44" spans="1:10" ht="13.05" customHeight="1">
      <c r="A44" s="18" t="s">
        <v>804</v>
      </c>
      <c r="B44" s="19" t="s">
        <v>805</v>
      </c>
      <c r="C44" s="15" t="s">
        <v>806</v>
      </c>
      <c r="D44" s="15" t="s">
        <v>464</v>
      </c>
      <c r="E44" s="20">
        <v>402491</v>
      </c>
      <c r="F44" s="21">
        <v>2406.2923999999998</v>
      </c>
      <c r="G44" s="22">
        <v>6.1999999999999998E-3</v>
      </c>
      <c r="H44" s="40"/>
      <c r="I44" s="24"/>
      <c r="J44" s="5"/>
    </row>
    <row r="45" spans="1:10" ht="13.05" customHeight="1">
      <c r="A45" s="18" t="s">
        <v>352</v>
      </c>
      <c r="B45" s="19" t="s">
        <v>353</v>
      </c>
      <c r="C45" s="15" t="s">
        <v>354</v>
      </c>
      <c r="D45" s="15" t="s">
        <v>325</v>
      </c>
      <c r="E45" s="20">
        <v>95000</v>
      </c>
      <c r="F45" s="21">
        <v>2385.2600000000002</v>
      </c>
      <c r="G45" s="22">
        <v>6.1000000000000004E-3</v>
      </c>
      <c r="H45" s="40"/>
      <c r="I45" s="24"/>
      <c r="J45" s="5"/>
    </row>
    <row r="46" spans="1:10" ht="13.05" customHeight="1">
      <c r="A46" s="18" t="s">
        <v>765</v>
      </c>
      <c r="B46" s="19" t="s">
        <v>766</v>
      </c>
      <c r="C46" s="15" t="s">
        <v>767</v>
      </c>
      <c r="D46" s="15" t="s">
        <v>325</v>
      </c>
      <c r="E46" s="20">
        <v>120322</v>
      </c>
      <c r="F46" s="21">
        <v>2331.1183999999998</v>
      </c>
      <c r="G46" s="22">
        <v>6.0000000000000001E-3</v>
      </c>
      <c r="H46" s="40"/>
      <c r="I46" s="24"/>
      <c r="J46" s="5"/>
    </row>
    <row r="47" spans="1:10" ht="13.05" customHeight="1">
      <c r="A47" s="18" t="s">
        <v>1626</v>
      </c>
      <c r="B47" s="19" t="s">
        <v>1627</v>
      </c>
      <c r="C47" s="15" t="s">
        <v>1628</v>
      </c>
      <c r="D47" s="15" t="s">
        <v>415</v>
      </c>
      <c r="E47" s="20">
        <v>214339</v>
      </c>
      <c r="F47" s="21">
        <v>2119.0625</v>
      </c>
      <c r="G47" s="22">
        <v>5.4999999999999997E-3</v>
      </c>
      <c r="H47" s="40"/>
      <c r="I47" s="24"/>
      <c r="J47" s="5"/>
    </row>
    <row r="48" spans="1:10" ht="13.05" customHeight="1">
      <c r="A48" s="18" t="s">
        <v>426</v>
      </c>
      <c r="B48" s="19" t="s">
        <v>427</v>
      </c>
      <c r="C48" s="15" t="s">
        <v>428</v>
      </c>
      <c r="D48" s="15" t="s">
        <v>405</v>
      </c>
      <c r="E48" s="20">
        <v>287884</v>
      </c>
      <c r="F48" s="21">
        <v>2106.8791000000001</v>
      </c>
      <c r="G48" s="22">
        <v>5.4000000000000003E-3</v>
      </c>
      <c r="H48" s="40"/>
      <c r="I48" s="24"/>
      <c r="J48" s="5"/>
    </row>
    <row r="49" spans="1:10" ht="13.05" customHeight="1">
      <c r="A49" s="18" t="s">
        <v>789</v>
      </c>
      <c r="B49" s="19" t="s">
        <v>790</v>
      </c>
      <c r="C49" s="15" t="s">
        <v>791</v>
      </c>
      <c r="D49" s="15" t="s">
        <v>348</v>
      </c>
      <c r="E49" s="20">
        <v>449040</v>
      </c>
      <c r="F49" s="21">
        <v>2092.3018999999999</v>
      </c>
      <c r="G49" s="22">
        <v>5.4000000000000003E-3</v>
      </c>
      <c r="H49" s="40"/>
      <c r="I49" s="24"/>
      <c r="J49" s="5"/>
    </row>
    <row r="50" spans="1:10" ht="13.05" customHeight="1">
      <c r="A50" s="18" t="s">
        <v>610</v>
      </c>
      <c r="B50" s="19" t="s">
        <v>611</v>
      </c>
      <c r="C50" s="15" t="s">
        <v>612</v>
      </c>
      <c r="D50" s="15" t="s">
        <v>435</v>
      </c>
      <c r="E50" s="20">
        <v>290000</v>
      </c>
      <c r="F50" s="21">
        <v>2087.855</v>
      </c>
      <c r="G50" s="22">
        <v>5.4000000000000003E-3</v>
      </c>
      <c r="H50" s="40"/>
      <c r="I50" s="24"/>
      <c r="J50" s="5"/>
    </row>
    <row r="51" spans="1:10" ht="13.05" customHeight="1">
      <c r="A51" s="18" t="s">
        <v>258</v>
      </c>
      <c r="B51" s="19" t="s">
        <v>259</v>
      </c>
      <c r="C51" s="15" t="s">
        <v>260</v>
      </c>
      <c r="D51" s="15" t="s">
        <v>261</v>
      </c>
      <c r="E51" s="20">
        <v>140000</v>
      </c>
      <c r="F51" s="21">
        <v>2080.96</v>
      </c>
      <c r="G51" s="22">
        <v>5.4000000000000003E-3</v>
      </c>
      <c r="H51" s="40"/>
      <c r="I51" s="24"/>
      <c r="J51" s="5"/>
    </row>
    <row r="52" spans="1:10" ht="13.05" customHeight="1">
      <c r="A52" s="18" t="s">
        <v>1004</v>
      </c>
      <c r="B52" s="19" t="s">
        <v>1005</v>
      </c>
      <c r="C52" s="15" t="s">
        <v>1006</v>
      </c>
      <c r="D52" s="15" t="s">
        <v>268</v>
      </c>
      <c r="E52" s="20">
        <v>110686</v>
      </c>
      <c r="F52" s="21">
        <v>2059.6451000000002</v>
      </c>
      <c r="G52" s="22">
        <v>5.3E-3</v>
      </c>
      <c r="H52" s="40"/>
      <c r="I52" s="24"/>
      <c r="J52" s="5"/>
    </row>
    <row r="53" spans="1:10" ht="13.05" customHeight="1">
      <c r="A53" s="18" t="s">
        <v>476</v>
      </c>
      <c r="B53" s="19" t="s">
        <v>477</v>
      </c>
      <c r="C53" s="15" t="s">
        <v>478</v>
      </c>
      <c r="D53" s="15" t="s">
        <v>325</v>
      </c>
      <c r="E53" s="20">
        <v>13253</v>
      </c>
      <c r="F53" s="21">
        <v>2053.4198000000001</v>
      </c>
      <c r="G53" s="22">
        <v>5.3E-3</v>
      </c>
      <c r="H53" s="40"/>
      <c r="I53" s="24"/>
      <c r="J53" s="5"/>
    </row>
    <row r="54" spans="1:10" ht="13.05" customHeight="1">
      <c r="A54" s="18" t="s">
        <v>715</v>
      </c>
      <c r="B54" s="19" t="s">
        <v>716</v>
      </c>
      <c r="C54" s="15" t="s">
        <v>717</v>
      </c>
      <c r="D54" s="15" t="s">
        <v>577</v>
      </c>
      <c r="E54" s="20">
        <v>400000</v>
      </c>
      <c r="F54" s="21">
        <v>1950.2</v>
      </c>
      <c r="G54" s="22">
        <v>5.0000000000000001E-3</v>
      </c>
      <c r="H54" s="40"/>
      <c r="I54" s="24"/>
      <c r="J54" s="5"/>
    </row>
    <row r="55" spans="1:10" ht="13.05" customHeight="1">
      <c r="A55" s="18" t="s">
        <v>2780</v>
      </c>
      <c r="B55" s="19" t="s">
        <v>2781</v>
      </c>
      <c r="C55" s="15" t="s">
        <v>2782</v>
      </c>
      <c r="D55" s="15" t="s">
        <v>970</v>
      </c>
      <c r="E55" s="20">
        <v>296806</v>
      </c>
      <c r="F55" s="21">
        <v>1915.8827000000001</v>
      </c>
      <c r="G55" s="22">
        <v>4.8999999999999998E-3</v>
      </c>
      <c r="H55" s="40"/>
      <c r="I55" s="24"/>
      <c r="J55" s="5"/>
    </row>
    <row r="56" spans="1:10" ht="13.05" customHeight="1">
      <c r="A56" s="18" t="s">
        <v>1409</v>
      </c>
      <c r="B56" s="19" t="s">
        <v>1410</v>
      </c>
      <c r="C56" s="15" t="s">
        <v>1411</v>
      </c>
      <c r="D56" s="15" t="s">
        <v>464</v>
      </c>
      <c r="E56" s="20">
        <v>196172</v>
      </c>
      <c r="F56" s="21">
        <v>1863.1436000000001</v>
      </c>
      <c r="G56" s="22">
        <v>4.7999999999999996E-3</v>
      </c>
      <c r="H56" s="40"/>
      <c r="I56" s="24"/>
      <c r="J56" s="5"/>
    </row>
    <row r="57" spans="1:10" ht="13.05" customHeight="1">
      <c r="A57" s="18" t="s">
        <v>2783</v>
      </c>
      <c r="B57" s="19" t="s">
        <v>2784</v>
      </c>
      <c r="C57" s="15" t="s">
        <v>2785</v>
      </c>
      <c r="D57" s="15" t="s">
        <v>304</v>
      </c>
      <c r="E57" s="20">
        <v>200000</v>
      </c>
      <c r="F57" s="21">
        <v>1658.9</v>
      </c>
      <c r="G57" s="22">
        <v>4.3E-3</v>
      </c>
      <c r="H57" s="40"/>
      <c r="I57" s="24"/>
      <c r="J57" s="5"/>
    </row>
    <row r="58" spans="1:10" ht="13.05" customHeight="1">
      <c r="A58" s="18" t="s">
        <v>538</v>
      </c>
      <c r="B58" s="19" t="s">
        <v>539</v>
      </c>
      <c r="C58" s="15" t="s">
        <v>540</v>
      </c>
      <c r="D58" s="15" t="s">
        <v>541</v>
      </c>
      <c r="E58" s="20">
        <v>210000</v>
      </c>
      <c r="F58" s="21">
        <v>1588.125</v>
      </c>
      <c r="G58" s="22">
        <v>4.1000000000000003E-3</v>
      </c>
      <c r="H58" s="40"/>
      <c r="I58" s="24"/>
      <c r="J58" s="5"/>
    </row>
    <row r="59" spans="1:10" ht="13.05" customHeight="1">
      <c r="A59" s="18" t="s">
        <v>664</v>
      </c>
      <c r="B59" s="19" t="s">
        <v>665</v>
      </c>
      <c r="C59" s="15" t="s">
        <v>666</v>
      </c>
      <c r="D59" s="15" t="s">
        <v>304</v>
      </c>
      <c r="E59" s="20">
        <v>380000</v>
      </c>
      <c r="F59" s="21">
        <v>1557.81</v>
      </c>
      <c r="G59" s="22">
        <v>4.0000000000000001E-3</v>
      </c>
      <c r="H59" s="40"/>
      <c r="I59" s="24"/>
      <c r="J59" s="5"/>
    </row>
    <row r="60" spans="1:10" ht="13.05" customHeight="1">
      <c r="A60" s="18" t="s">
        <v>1400</v>
      </c>
      <c r="B60" s="19" t="s">
        <v>1401</v>
      </c>
      <c r="C60" s="15" t="s">
        <v>1402</v>
      </c>
      <c r="D60" s="15" t="s">
        <v>415</v>
      </c>
      <c r="E60" s="20">
        <v>113349</v>
      </c>
      <c r="F60" s="21">
        <v>1552.2012</v>
      </c>
      <c r="G60" s="22">
        <v>4.0000000000000001E-3</v>
      </c>
      <c r="H60" s="40"/>
      <c r="I60" s="24"/>
      <c r="J60" s="5"/>
    </row>
    <row r="61" spans="1:10" ht="13.05" customHeight="1">
      <c r="A61" s="18" t="s">
        <v>907</v>
      </c>
      <c r="B61" s="19" t="s">
        <v>908</v>
      </c>
      <c r="C61" s="15" t="s">
        <v>909</v>
      </c>
      <c r="D61" s="15" t="s">
        <v>415</v>
      </c>
      <c r="E61" s="20">
        <v>205757</v>
      </c>
      <c r="F61" s="21">
        <v>1483.6107999999999</v>
      </c>
      <c r="G61" s="22">
        <v>3.8E-3</v>
      </c>
      <c r="H61" s="40"/>
      <c r="I61" s="24"/>
      <c r="J61" s="5"/>
    </row>
    <row r="62" spans="1:10" ht="13.05" customHeight="1">
      <c r="A62" s="18" t="s">
        <v>703</v>
      </c>
      <c r="B62" s="19" t="s">
        <v>704</v>
      </c>
      <c r="C62" s="15" t="s">
        <v>705</v>
      </c>
      <c r="D62" s="15" t="s">
        <v>577</v>
      </c>
      <c r="E62" s="20">
        <v>64493</v>
      </c>
      <c r="F62" s="21">
        <v>1446.578</v>
      </c>
      <c r="G62" s="22">
        <v>3.7000000000000002E-3</v>
      </c>
      <c r="H62" s="40"/>
      <c r="I62" s="24"/>
      <c r="J62" s="5"/>
    </row>
    <row r="63" spans="1:10" ht="13.05" customHeight="1">
      <c r="A63" s="18" t="s">
        <v>1418</v>
      </c>
      <c r="B63" s="19" t="s">
        <v>1419</v>
      </c>
      <c r="C63" s="15" t="s">
        <v>1420</v>
      </c>
      <c r="D63" s="15" t="s">
        <v>464</v>
      </c>
      <c r="E63" s="20">
        <v>879898</v>
      </c>
      <c r="F63" s="21">
        <v>1423.675</v>
      </c>
      <c r="G63" s="22">
        <v>3.7000000000000002E-3</v>
      </c>
      <c r="H63" s="40"/>
      <c r="I63" s="24"/>
      <c r="J63" s="5"/>
    </row>
    <row r="64" spans="1:10" ht="13.05" customHeight="1">
      <c r="A64" s="18" t="s">
        <v>755</v>
      </c>
      <c r="B64" s="19" t="s">
        <v>756</v>
      </c>
      <c r="C64" s="15" t="s">
        <v>757</v>
      </c>
      <c r="D64" s="15" t="s">
        <v>758</v>
      </c>
      <c r="E64" s="20">
        <v>3433</v>
      </c>
      <c r="F64" s="21">
        <v>1414.396</v>
      </c>
      <c r="G64" s="22">
        <v>3.5999999999999999E-3</v>
      </c>
      <c r="H64" s="40"/>
      <c r="I64" s="24"/>
      <c r="J64" s="5"/>
    </row>
    <row r="65" spans="1:10" ht="13.05" customHeight="1">
      <c r="A65" s="18" t="s">
        <v>2786</v>
      </c>
      <c r="B65" s="19" t="s">
        <v>2787</v>
      </c>
      <c r="C65" s="15" t="s">
        <v>2788</v>
      </c>
      <c r="D65" s="15" t="s">
        <v>325</v>
      </c>
      <c r="E65" s="20">
        <v>193062</v>
      </c>
      <c r="F65" s="21">
        <v>1366.8789999999999</v>
      </c>
      <c r="G65" s="22">
        <v>3.5000000000000001E-3</v>
      </c>
      <c r="H65" s="40"/>
      <c r="I65" s="24"/>
      <c r="J65" s="5"/>
    </row>
    <row r="66" spans="1:10" ht="13.05" customHeight="1">
      <c r="A66" s="18" t="s">
        <v>880</v>
      </c>
      <c r="B66" s="19" t="s">
        <v>881</v>
      </c>
      <c r="C66" s="15" t="s">
        <v>882</v>
      </c>
      <c r="D66" s="15" t="s">
        <v>464</v>
      </c>
      <c r="E66" s="20">
        <v>560500</v>
      </c>
      <c r="F66" s="21">
        <v>1215.6124</v>
      </c>
      <c r="G66" s="22">
        <v>3.0999999999999999E-3</v>
      </c>
      <c r="H66" s="40"/>
      <c r="I66" s="24"/>
      <c r="J66" s="5"/>
    </row>
    <row r="67" spans="1:10" ht="13.05" customHeight="1">
      <c r="A67" s="18" t="s">
        <v>745</v>
      </c>
      <c r="B67" s="19" t="s">
        <v>746</v>
      </c>
      <c r="C67" s="15" t="s">
        <v>747</v>
      </c>
      <c r="D67" s="15" t="s">
        <v>300</v>
      </c>
      <c r="E67" s="20">
        <v>130708</v>
      </c>
      <c r="F67" s="21">
        <v>1148.4657999999999</v>
      </c>
      <c r="G67" s="22">
        <v>3.0000000000000001E-3</v>
      </c>
      <c r="H67" s="40"/>
      <c r="I67" s="24"/>
      <c r="J67" s="5"/>
    </row>
    <row r="68" spans="1:10" ht="13.05" customHeight="1">
      <c r="A68" s="18" t="s">
        <v>1263</v>
      </c>
      <c r="B68" s="19" t="s">
        <v>1264</v>
      </c>
      <c r="C68" s="15" t="s">
        <v>1265</v>
      </c>
      <c r="D68" s="15" t="s">
        <v>541</v>
      </c>
      <c r="E68" s="20">
        <v>160000</v>
      </c>
      <c r="F68" s="21">
        <v>1031.04</v>
      </c>
      <c r="G68" s="22">
        <v>2.7000000000000001E-3</v>
      </c>
      <c r="H68" s="40"/>
      <c r="I68" s="24"/>
      <c r="J68" s="5"/>
    </row>
    <row r="69" spans="1:10" ht="13.05" customHeight="1">
      <c r="A69" s="18" t="s">
        <v>2789</v>
      </c>
      <c r="B69" s="19" t="s">
        <v>2790</v>
      </c>
      <c r="C69" s="15" t="s">
        <v>2791</v>
      </c>
      <c r="D69" s="15" t="s">
        <v>304</v>
      </c>
      <c r="E69" s="20">
        <v>172568</v>
      </c>
      <c r="F69" s="21">
        <v>693.72339999999997</v>
      </c>
      <c r="G69" s="22">
        <v>1.8E-3</v>
      </c>
      <c r="H69" s="40"/>
      <c r="I69" s="24"/>
      <c r="J69" s="5"/>
    </row>
    <row r="70" spans="1:10" ht="13.05" customHeight="1">
      <c r="A70" s="18" t="s">
        <v>1857</v>
      </c>
      <c r="B70" s="19" t="s">
        <v>1858</v>
      </c>
      <c r="C70" s="15" t="s">
        <v>1859</v>
      </c>
      <c r="D70" s="15" t="s">
        <v>325</v>
      </c>
      <c r="E70" s="20">
        <v>40509</v>
      </c>
      <c r="F70" s="21">
        <v>673.90769999999998</v>
      </c>
      <c r="G70" s="22">
        <v>1.6999999999999999E-3</v>
      </c>
      <c r="H70" s="40"/>
      <c r="I70" s="24"/>
      <c r="J70" s="5"/>
    </row>
    <row r="71" spans="1:10" ht="13.05" customHeight="1">
      <c r="A71" s="18" t="s">
        <v>619</v>
      </c>
      <c r="B71" s="19" t="s">
        <v>620</v>
      </c>
      <c r="C71" s="15" t="s">
        <v>621</v>
      </c>
      <c r="D71" s="15" t="s">
        <v>325</v>
      </c>
      <c r="E71" s="20">
        <v>39063</v>
      </c>
      <c r="F71" s="21">
        <v>583.56219999999996</v>
      </c>
      <c r="G71" s="22">
        <v>1.5E-3</v>
      </c>
      <c r="H71" s="40"/>
      <c r="I71" s="24"/>
      <c r="J71" s="5"/>
    </row>
    <row r="72" spans="1:10" ht="13.05" customHeight="1">
      <c r="A72" s="18" t="s">
        <v>549</v>
      </c>
      <c r="B72" s="19" t="s">
        <v>550</v>
      </c>
      <c r="C72" s="15" t="s">
        <v>551</v>
      </c>
      <c r="D72" s="15" t="s">
        <v>314</v>
      </c>
      <c r="E72" s="20">
        <v>27612</v>
      </c>
      <c r="F72" s="21">
        <v>542.16160000000002</v>
      </c>
      <c r="G72" s="22">
        <v>1.4E-3</v>
      </c>
      <c r="H72" s="40"/>
      <c r="I72" s="24"/>
      <c r="J72" s="5"/>
    </row>
    <row r="73" spans="1:10" ht="13.05" customHeight="1">
      <c r="A73" s="18" t="s">
        <v>919</v>
      </c>
      <c r="B73" s="19" t="s">
        <v>920</v>
      </c>
      <c r="C73" s="15" t="s">
        <v>921</v>
      </c>
      <c r="D73" s="15" t="s">
        <v>300</v>
      </c>
      <c r="E73" s="20">
        <v>49057</v>
      </c>
      <c r="F73" s="21">
        <v>455.5924</v>
      </c>
      <c r="G73" s="22">
        <v>1.1999999999999999E-3</v>
      </c>
      <c r="H73" s="40"/>
      <c r="I73" s="24"/>
      <c r="J73" s="5"/>
    </row>
    <row r="74" spans="1:10" ht="13.05" customHeight="1">
      <c r="A74" s="18" t="s">
        <v>1860</v>
      </c>
      <c r="B74" s="19" t="s">
        <v>1861</v>
      </c>
      <c r="C74" s="15" t="s">
        <v>1862</v>
      </c>
      <c r="D74" s="15" t="s">
        <v>325</v>
      </c>
      <c r="E74" s="20">
        <v>29545</v>
      </c>
      <c r="F74" s="21">
        <v>191.363</v>
      </c>
      <c r="G74" s="22">
        <v>5.0000000000000001E-4</v>
      </c>
      <c r="H74" s="40"/>
      <c r="I74" s="24"/>
      <c r="J74" s="5"/>
    </row>
    <row r="75" spans="1:10" ht="13.05" customHeight="1">
      <c r="A75" s="18" t="s">
        <v>318</v>
      </c>
      <c r="B75" s="19" t="s">
        <v>319</v>
      </c>
      <c r="C75" s="15" t="s">
        <v>320</v>
      </c>
      <c r="D75" s="15" t="s">
        <v>321</v>
      </c>
      <c r="E75" s="20">
        <v>50000</v>
      </c>
      <c r="F75" s="21">
        <v>168.47499999999999</v>
      </c>
      <c r="G75" s="22">
        <v>4.0000000000000002E-4</v>
      </c>
      <c r="H75" s="40"/>
      <c r="I75" s="24"/>
      <c r="J75" s="5"/>
    </row>
    <row r="76" spans="1:10" ht="13.05" customHeight="1">
      <c r="A76" s="18" t="s">
        <v>508</v>
      </c>
      <c r="B76" s="19" t="s">
        <v>509</v>
      </c>
      <c r="C76" s="15" t="s">
        <v>510</v>
      </c>
      <c r="D76" s="15" t="s">
        <v>374</v>
      </c>
      <c r="E76" s="20">
        <v>212</v>
      </c>
      <c r="F76" s="21">
        <v>11.403499999999999</v>
      </c>
      <c r="G76" s="40" t="s">
        <v>1809</v>
      </c>
      <c r="H76" s="40"/>
      <c r="I76" s="24"/>
      <c r="J76" s="5"/>
    </row>
    <row r="77" spans="1:10" ht="13.05" customHeight="1">
      <c r="A77" s="5"/>
      <c r="B77" s="14" t="s">
        <v>192</v>
      </c>
      <c r="C77" s="15"/>
      <c r="D77" s="15"/>
      <c r="E77" s="15"/>
      <c r="F77" s="25">
        <v>386964.35570000001</v>
      </c>
      <c r="G77" s="26">
        <v>0.99739999999999995</v>
      </c>
      <c r="H77" s="27"/>
      <c r="I77" s="28"/>
      <c r="J77" s="5"/>
    </row>
    <row r="78" spans="1:10" ht="13.05" customHeight="1">
      <c r="A78" s="5"/>
      <c r="B78" s="29" t="s">
        <v>1812</v>
      </c>
      <c r="C78" s="2"/>
      <c r="D78" s="2"/>
      <c r="E78" s="2"/>
      <c r="F78" s="27" t="s">
        <v>194</v>
      </c>
      <c r="G78" s="27" t="s">
        <v>194</v>
      </c>
      <c r="H78" s="27"/>
      <c r="I78" s="28"/>
      <c r="J78" s="5"/>
    </row>
    <row r="79" spans="1:10" ht="13.05" customHeight="1">
      <c r="A79" s="5"/>
      <c r="B79" s="29" t="s">
        <v>192</v>
      </c>
      <c r="C79" s="2"/>
      <c r="D79" s="2"/>
      <c r="E79" s="2"/>
      <c r="F79" s="27" t="s">
        <v>194</v>
      </c>
      <c r="G79" s="27" t="s">
        <v>194</v>
      </c>
      <c r="H79" s="27"/>
      <c r="I79" s="28"/>
      <c r="J79" s="5"/>
    </row>
    <row r="80" spans="1:10" ht="13.05" customHeight="1">
      <c r="A80" s="5"/>
      <c r="B80" s="14" t="s">
        <v>1813</v>
      </c>
      <c r="C80" s="15"/>
      <c r="D80" s="15"/>
      <c r="E80" s="15"/>
      <c r="F80" s="5"/>
      <c r="G80" s="16"/>
      <c r="H80" s="16"/>
      <c r="I80" s="17"/>
      <c r="J80" s="5"/>
    </row>
    <row r="81" spans="1:10" ht="13.05" customHeight="1">
      <c r="A81" s="18" t="s">
        <v>1814</v>
      </c>
      <c r="B81" s="19" t="s">
        <v>5526</v>
      </c>
      <c r="C81" s="15" t="s">
        <v>1815</v>
      </c>
      <c r="D81" s="15" t="s">
        <v>296</v>
      </c>
      <c r="E81" s="20">
        <v>1369212</v>
      </c>
      <c r="F81" s="21">
        <v>138.17400000000001</v>
      </c>
      <c r="G81" s="22">
        <v>4.0000000000000002E-4</v>
      </c>
      <c r="H81" s="40"/>
      <c r="I81" s="24"/>
      <c r="J81" s="5"/>
    </row>
    <row r="82" spans="1:10" ht="13.05" customHeight="1">
      <c r="A82" s="5"/>
      <c r="B82" s="14" t="s">
        <v>192</v>
      </c>
      <c r="C82" s="15"/>
      <c r="D82" s="15"/>
      <c r="E82" s="15"/>
      <c r="F82" s="25">
        <v>138.17400000000001</v>
      </c>
      <c r="G82" s="26">
        <v>4.0000000000000002E-4</v>
      </c>
      <c r="H82" s="27"/>
      <c r="I82" s="28"/>
      <c r="J82" s="5"/>
    </row>
    <row r="83" spans="1:10" ht="13.05" customHeight="1">
      <c r="A83" s="5"/>
      <c r="B83" s="29" t="s">
        <v>195</v>
      </c>
      <c r="C83" s="30"/>
      <c r="D83" s="2"/>
      <c r="E83" s="30"/>
      <c r="F83" s="25">
        <v>387102.52970000001</v>
      </c>
      <c r="G83" s="26">
        <v>0.99780000000000002</v>
      </c>
      <c r="H83" s="27"/>
      <c r="I83" s="28"/>
      <c r="J83" s="5"/>
    </row>
    <row r="84" spans="1:10" ht="13.05" customHeight="1">
      <c r="A84" s="5"/>
      <c r="B84" s="14" t="s">
        <v>196</v>
      </c>
      <c r="C84" s="15"/>
      <c r="D84" s="15"/>
      <c r="E84" s="15"/>
      <c r="F84" s="15"/>
      <c r="G84" s="15"/>
      <c r="H84" s="16"/>
      <c r="I84" s="17"/>
      <c r="J84" s="5"/>
    </row>
    <row r="85" spans="1:10" ht="13.05" customHeight="1">
      <c r="A85" s="18" t="s">
        <v>197</v>
      </c>
      <c r="B85" s="19" t="s">
        <v>198</v>
      </c>
      <c r="C85" s="15"/>
      <c r="D85" s="15"/>
      <c r="E85" s="20"/>
      <c r="F85" s="21">
        <v>690.01990000000001</v>
      </c>
      <c r="G85" s="22">
        <v>1.8E-3</v>
      </c>
      <c r="H85" s="23">
        <v>5.5573617010495215E-2</v>
      </c>
      <c r="I85" s="24"/>
      <c r="J85" s="5"/>
    </row>
    <row r="86" spans="1:10" ht="13.05" customHeight="1">
      <c r="A86" s="5"/>
      <c r="B86" s="14" t="s">
        <v>192</v>
      </c>
      <c r="C86" s="15"/>
      <c r="D86" s="15"/>
      <c r="E86" s="15"/>
      <c r="F86" s="25">
        <v>690.01990000000001</v>
      </c>
      <c r="G86" s="26">
        <v>1.8E-3</v>
      </c>
      <c r="H86" s="27"/>
      <c r="I86" s="28"/>
      <c r="J86" s="5"/>
    </row>
    <row r="87" spans="1:10" ht="13.05" customHeight="1">
      <c r="A87" s="5"/>
      <c r="B87" s="29" t="s">
        <v>195</v>
      </c>
      <c r="C87" s="30"/>
      <c r="D87" s="2"/>
      <c r="E87" s="30"/>
      <c r="F87" s="25">
        <v>690.01990000000001</v>
      </c>
      <c r="G87" s="26">
        <v>1.8E-3</v>
      </c>
      <c r="H87" s="27"/>
      <c r="I87" s="28"/>
      <c r="J87" s="5"/>
    </row>
    <row r="88" spans="1:10" ht="13.05" customHeight="1">
      <c r="A88" s="5"/>
      <c r="B88" s="29" t="s">
        <v>199</v>
      </c>
      <c r="C88" s="15"/>
      <c r="D88" s="2"/>
      <c r="E88" s="15"/>
      <c r="F88" s="31">
        <v>165.90039999999999</v>
      </c>
      <c r="G88" s="26">
        <v>4.0000000000000002E-4</v>
      </c>
      <c r="H88" s="27"/>
      <c r="I88" s="28"/>
      <c r="J88" s="5"/>
    </row>
    <row r="89" spans="1:10" ht="13.05" customHeight="1">
      <c r="A89" s="5"/>
      <c r="B89" s="32" t="s">
        <v>200</v>
      </c>
      <c r="C89" s="33"/>
      <c r="D89" s="33"/>
      <c r="E89" s="33"/>
      <c r="F89" s="34">
        <v>387958.45</v>
      </c>
      <c r="G89" s="35">
        <v>1</v>
      </c>
      <c r="H89" s="36"/>
      <c r="I89" s="37"/>
      <c r="J89" s="5"/>
    </row>
    <row r="90" spans="1:10" ht="13.05" customHeight="1">
      <c r="A90" s="5"/>
      <c r="B90" s="7"/>
      <c r="C90" s="5"/>
      <c r="D90" s="5"/>
      <c r="E90" s="5"/>
      <c r="F90" s="5"/>
      <c r="G90" s="5"/>
      <c r="H90" s="5"/>
      <c r="I90" s="5"/>
      <c r="J90" s="5"/>
    </row>
    <row r="91" spans="1:10" ht="13.05" customHeight="1">
      <c r="A91" s="5"/>
      <c r="B91" s="4" t="s">
        <v>250</v>
      </c>
      <c r="C91" s="5"/>
      <c r="D91" s="5"/>
      <c r="E91" s="5"/>
      <c r="F91" s="5"/>
      <c r="G91" s="5"/>
      <c r="H91" s="5"/>
      <c r="I91" s="5"/>
      <c r="J91" s="5"/>
    </row>
    <row r="92" spans="1:10" ht="13.05" customHeight="1">
      <c r="A92" s="5"/>
      <c r="B92" s="4" t="s">
        <v>1816</v>
      </c>
      <c r="C92" s="5"/>
      <c r="D92" s="5"/>
      <c r="E92" s="5"/>
      <c r="F92" s="5"/>
      <c r="G92" s="5"/>
      <c r="H92" s="5"/>
      <c r="I92" s="5"/>
      <c r="J92" s="5"/>
    </row>
    <row r="93" spans="1:10" ht="13.05" customHeight="1">
      <c r="A93" s="5"/>
      <c r="B93" s="4" t="s">
        <v>201</v>
      </c>
      <c r="C93" s="5"/>
      <c r="D93" s="5"/>
      <c r="E93" s="5"/>
      <c r="F93" s="5"/>
      <c r="G93" s="5"/>
      <c r="H93" s="5"/>
      <c r="I93" s="5"/>
      <c r="J93" s="5"/>
    </row>
    <row r="94" spans="1:10" ht="25.95" customHeight="1">
      <c r="A94" s="5"/>
      <c r="B94" s="103" t="s">
        <v>202</v>
      </c>
      <c r="C94" s="103"/>
      <c r="D94" s="103"/>
      <c r="E94" s="103"/>
      <c r="F94" s="103"/>
      <c r="G94" s="103"/>
      <c r="H94" s="103"/>
      <c r="I94" s="103"/>
      <c r="J94" s="5"/>
    </row>
    <row r="95" spans="1:10" ht="13.05" customHeight="1">
      <c r="A95" s="5"/>
      <c r="B95" s="103" t="s">
        <v>203</v>
      </c>
      <c r="C95" s="103"/>
      <c r="D95" s="103"/>
      <c r="E95" s="103"/>
      <c r="F95" s="103"/>
      <c r="G95" s="103"/>
      <c r="H95" s="103"/>
      <c r="I95" s="103"/>
      <c r="J95" s="5"/>
    </row>
    <row r="96" spans="1:10" ht="13.05" customHeight="1">
      <c r="A96" s="5"/>
      <c r="B96" s="103"/>
      <c r="C96" s="103"/>
      <c r="D96" s="103"/>
      <c r="E96" s="103"/>
      <c r="F96" s="103"/>
      <c r="G96" s="103"/>
      <c r="H96" s="103"/>
      <c r="I96" s="103"/>
      <c r="J96" s="5"/>
    </row>
    <row r="97" spans="1:10" ht="13.05" customHeight="1">
      <c r="A97" s="5"/>
      <c r="B97" s="103"/>
      <c r="C97" s="103"/>
      <c r="D97" s="103"/>
      <c r="E97" s="103"/>
      <c r="F97" s="103"/>
      <c r="G97" s="103"/>
      <c r="H97" s="103"/>
      <c r="I97" s="103"/>
      <c r="J97" s="5"/>
    </row>
    <row r="98" spans="1:10" ht="13.05" customHeight="1">
      <c r="A98" s="5"/>
      <c r="B98" s="103"/>
      <c r="C98" s="103"/>
      <c r="D98" s="103"/>
      <c r="E98" s="103"/>
      <c r="F98" s="103"/>
      <c r="G98" s="103"/>
      <c r="H98" s="103"/>
      <c r="I98" s="103"/>
      <c r="J98" s="5"/>
    </row>
    <row r="99" spans="1:10" ht="13.05" customHeight="1">
      <c r="A99" s="5"/>
      <c r="B99" s="103"/>
      <c r="C99" s="103"/>
      <c r="D99" s="103"/>
      <c r="E99" s="103"/>
      <c r="F99" s="103"/>
      <c r="G99" s="103"/>
      <c r="H99" s="103"/>
      <c r="I99" s="103"/>
      <c r="J99" s="5"/>
    </row>
    <row r="100" spans="1:10" ht="13.05" customHeight="1">
      <c r="A100" s="5"/>
      <c r="B100" s="5"/>
      <c r="C100" s="104" t="s">
        <v>2792</v>
      </c>
      <c r="D100" s="104"/>
      <c r="E100" s="104"/>
      <c r="F100" s="104"/>
      <c r="G100" s="5"/>
      <c r="H100" s="5"/>
      <c r="I100" s="5"/>
      <c r="J100" s="5"/>
    </row>
    <row r="101" spans="1:10" ht="13.05" customHeight="1">
      <c r="A101" s="5"/>
      <c r="B101" s="38" t="s">
        <v>207</v>
      </c>
      <c r="C101" s="104" t="s">
        <v>208</v>
      </c>
      <c r="D101" s="104"/>
      <c r="E101" s="104"/>
      <c r="F101" s="104"/>
      <c r="G101" s="5"/>
      <c r="H101" s="5"/>
      <c r="I101" s="5"/>
      <c r="J101" s="5"/>
    </row>
    <row r="102" spans="1:10" ht="135" customHeight="1">
      <c r="A102" s="5"/>
      <c r="B102" s="39"/>
      <c r="C102" s="105"/>
      <c r="D102" s="105"/>
      <c r="E102" s="5"/>
      <c r="F102" s="5"/>
      <c r="G102" s="5"/>
      <c r="H102" s="5"/>
      <c r="I102" s="5"/>
      <c r="J102" s="5"/>
    </row>
  </sheetData>
  <mergeCells count="9">
    <mergeCell ref="B99:I99"/>
    <mergeCell ref="C100:F100"/>
    <mergeCell ref="C101:F101"/>
    <mergeCell ref="C102:D102"/>
    <mergeCell ref="B94:I94"/>
    <mergeCell ref="B95:I95"/>
    <mergeCell ref="B96:I96"/>
    <mergeCell ref="B97:I97"/>
    <mergeCell ref="B98:I98"/>
  </mergeCells>
  <hyperlinks>
    <hyperlink ref="A1" location="AxisConsumptionFund" display="AXISCON" xr:uid="{00000000-0004-0000-1100-000000000000}"/>
    <hyperlink ref="B1" location="AxisConsumptionFund" display="Axis Consumption Fund" xr:uid="{00000000-0004-0000-1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J53"/>
  <sheetViews>
    <sheetView topLeftCell="A34" workbookViewId="0">
      <selection activeCell="B48" sqref="B48:F48"/>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39</v>
      </c>
      <c r="B1" s="4" t="s">
        <v>40</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2793</v>
      </c>
      <c r="B7" s="19" t="s">
        <v>2794</v>
      </c>
      <c r="C7" s="15" t="s">
        <v>2795</v>
      </c>
      <c r="D7" s="15" t="s">
        <v>188</v>
      </c>
      <c r="E7" s="20">
        <v>48000000</v>
      </c>
      <c r="F7" s="21">
        <v>49056.624000000003</v>
      </c>
      <c r="G7" s="22">
        <v>0.23319999999999999</v>
      </c>
      <c r="H7" s="23">
        <v>6.1003000000000002E-2</v>
      </c>
      <c r="I7" s="24"/>
      <c r="J7" s="5"/>
    </row>
    <row r="8" spans="1:10" ht="13.05" customHeight="1">
      <c r="A8" s="18" t="s">
        <v>2796</v>
      </c>
      <c r="B8" s="19" t="s">
        <v>2797</v>
      </c>
      <c r="C8" s="15" t="s">
        <v>2798</v>
      </c>
      <c r="D8" s="15" t="s">
        <v>188</v>
      </c>
      <c r="E8" s="20">
        <v>34500000</v>
      </c>
      <c r="F8" s="21">
        <v>35264.519999999997</v>
      </c>
      <c r="G8" s="22">
        <v>0.1676</v>
      </c>
      <c r="H8" s="23">
        <v>6.1003000000000002E-2</v>
      </c>
      <c r="I8" s="24"/>
      <c r="J8" s="5"/>
    </row>
    <row r="9" spans="1:10" ht="13.05" customHeight="1">
      <c r="A9" s="18" t="s">
        <v>2799</v>
      </c>
      <c r="B9" s="19" t="s">
        <v>2800</v>
      </c>
      <c r="C9" s="15" t="s">
        <v>2801</v>
      </c>
      <c r="D9" s="15" t="s">
        <v>188</v>
      </c>
      <c r="E9" s="20">
        <v>15800000</v>
      </c>
      <c r="F9" s="21">
        <v>16150.128000000001</v>
      </c>
      <c r="G9" s="22">
        <v>7.6799999999999993E-2</v>
      </c>
      <c r="H9" s="23">
        <v>6.1003000000000002E-2</v>
      </c>
      <c r="I9" s="24"/>
      <c r="J9" s="5"/>
    </row>
    <row r="10" spans="1:10" ht="13.05" customHeight="1">
      <c r="A10" s="18" t="s">
        <v>2802</v>
      </c>
      <c r="B10" s="19" t="s">
        <v>2803</v>
      </c>
      <c r="C10" s="15" t="s">
        <v>2804</v>
      </c>
      <c r="D10" s="15" t="s">
        <v>188</v>
      </c>
      <c r="E10" s="20">
        <v>14300000</v>
      </c>
      <c r="F10" s="21">
        <v>14614.714400000001</v>
      </c>
      <c r="G10" s="22">
        <v>6.9500000000000006E-2</v>
      </c>
      <c r="H10" s="23">
        <v>6.1209E-2</v>
      </c>
      <c r="I10" s="24"/>
      <c r="J10" s="5"/>
    </row>
    <row r="11" spans="1:10" ht="13.05" customHeight="1">
      <c r="A11" s="18" t="s">
        <v>2805</v>
      </c>
      <c r="B11" s="19" t="s">
        <v>2806</v>
      </c>
      <c r="C11" s="15" t="s">
        <v>2807</v>
      </c>
      <c r="D11" s="15" t="s">
        <v>188</v>
      </c>
      <c r="E11" s="20">
        <v>10600000</v>
      </c>
      <c r="F11" s="21">
        <v>10854.1774</v>
      </c>
      <c r="G11" s="22">
        <v>5.16E-2</v>
      </c>
      <c r="H11" s="23">
        <v>6.0951999999999999E-2</v>
      </c>
      <c r="I11" s="24"/>
      <c r="J11" s="5"/>
    </row>
    <row r="12" spans="1:10" ht="13.05" customHeight="1">
      <c r="A12" s="18" t="s">
        <v>2808</v>
      </c>
      <c r="B12" s="19" t="s">
        <v>2809</v>
      </c>
      <c r="C12" s="15" t="s">
        <v>2810</v>
      </c>
      <c r="D12" s="15" t="s">
        <v>188</v>
      </c>
      <c r="E12" s="20">
        <v>10300000</v>
      </c>
      <c r="F12" s="21">
        <v>10546.2112</v>
      </c>
      <c r="G12" s="22">
        <v>5.0099999999999999E-2</v>
      </c>
      <c r="H12" s="23">
        <v>6.1615999999999997E-2</v>
      </c>
      <c r="I12" s="24"/>
      <c r="J12" s="5"/>
    </row>
    <row r="13" spans="1:10" ht="13.05" customHeight="1">
      <c r="A13" s="18" t="s">
        <v>2811</v>
      </c>
      <c r="B13" s="19" t="s">
        <v>2812</v>
      </c>
      <c r="C13" s="15" t="s">
        <v>2813</v>
      </c>
      <c r="D13" s="15" t="s">
        <v>188</v>
      </c>
      <c r="E13" s="20">
        <v>7500000</v>
      </c>
      <c r="F13" s="21">
        <v>7656.3975</v>
      </c>
      <c r="G13" s="22">
        <v>3.6400000000000002E-2</v>
      </c>
      <c r="H13" s="23">
        <v>6.1615999999999997E-2</v>
      </c>
      <c r="I13" s="24"/>
      <c r="J13" s="5"/>
    </row>
    <row r="14" spans="1:10" ht="13.05" customHeight="1">
      <c r="A14" s="18" t="s">
        <v>2814</v>
      </c>
      <c r="B14" s="19" t="s">
        <v>2815</v>
      </c>
      <c r="C14" s="15" t="s">
        <v>2816</v>
      </c>
      <c r="D14" s="15" t="s">
        <v>188</v>
      </c>
      <c r="E14" s="20">
        <v>6300000</v>
      </c>
      <c r="F14" s="21">
        <v>6435.7146000000002</v>
      </c>
      <c r="G14" s="22">
        <v>3.0599999999999999E-2</v>
      </c>
      <c r="H14" s="23">
        <v>6.1428999999999997E-2</v>
      </c>
      <c r="I14" s="24"/>
      <c r="J14" s="5"/>
    </row>
    <row r="15" spans="1:10" ht="13.05" customHeight="1">
      <c r="A15" s="18" t="s">
        <v>2817</v>
      </c>
      <c r="B15" s="19" t="s">
        <v>2818</v>
      </c>
      <c r="C15" s="15" t="s">
        <v>2819</v>
      </c>
      <c r="D15" s="15" t="s">
        <v>188</v>
      </c>
      <c r="E15" s="20">
        <v>6200000</v>
      </c>
      <c r="F15" s="21">
        <v>6330.5781999999999</v>
      </c>
      <c r="G15" s="22">
        <v>3.0099999999999998E-2</v>
      </c>
      <c r="H15" s="23">
        <v>6.0951999999999999E-2</v>
      </c>
      <c r="I15" s="24"/>
      <c r="J15" s="5"/>
    </row>
    <row r="16" spans="1:10" ht="13.05" customHeight="1">
      <c r="A16" s="18" t="s">
        <v>2820</v>
      </c>
      <c r="B16" s="19" t="s">
        <v>2821</v>
      </c>
      <c r="C16" s="15" t="s">
        <v>2822</v>
      </c>
      <c r="D16" s="15" t="s">
        <v>188</v>
      </c>
      <c r="E16" s="20">
        <v>6000000</v>
      </c>
      <c r="F16" s="21">
        <v>6179.1180000000004</v>
      </c>
      <c r="G16" s="22">
        <v>2.9399999999999999E-2</v>
      </c>
      <c r="H16" s="23">
        <v>6.1953000000000001E-2</v>
      </c>
      <c r="I16" s="24"/>
      <c r="J16" s="5"/>
    </row>
    <row r="17" spans="1:10" ht="13.05" customHeight="1">
      <c r="A17" s="18" t="s">
        <v>2823</v>
      </c>
      <c r="B17" s="19" t="s">
        <v>2824</v>
      </c>
      <c r="C17" s="15" t="s">
        <v>2825</v>
      </c>
      <c r="D17" s="15" t="s">
        <v>188</v>
      </c>
      <c r="E17" s="20">
        <v>6000000</v>
      </c>
      <c r="F17" s="21">
        <v>6142.4520000000002</v>
      </c>
      <c r="G17" s="22">
        <v>2.92E-2</v>
      </c>
      <c r="H17" s="23">
        <v>6.1337999999999997E-2</v>
      </c>
      <c r="I17" s="24"/>
      <c r="J17" s="5"/>
    </row>
    <row r="18" spans="1:10" ht="13.05" customHeight="1">
      <c r="A18" s="18" t="s">
        <v>2826</v>
      </c>
      <c r="B18" s="19" t="s">
        <v>2827</v>
      </c>
      <c r="C18" s="15" t="s">
        <v>2828</v>
      </c>
      <c r="D18" s="15" t="s">
        <v>188</v>
      </c>
      <c r="E18" s="20">
        <v>5500000</v>
      </c>
      <c r="F18" s="21">
        <v>5543.3620000000001</v>
      </c>
      <c r="G18" s="22">
        <v>2.63E-2</v>
      </c>
      <c r="H18" s="23">
        <v>6.0746000000000001E-2</v>
      </c>
      <c r="I18" s="24"/>
      <c r="J18" s="5"/>
    </row>
    <row r="19" spans="1:10" ht="13.05" customHeight="1">
      <c r="A19" s="18" t="s">
        <v>2829</v>
      </c>
      <c r="B19" s="19" t="s">
        <v>2830</v>
      </c>
      <c r="C19" s="15" t="s">
        <v>2831</v>
      </c>
      <c r="D19" s="15" t="s">
        <v>188</v>
      </c>
      <c r="E19" s="20">
        <v>5000000</v>
      </c>
      <c r="F19" s="21">
        <v>5110.42</v>
      </c>
      <c r="G19" s="22">
        <v>2.4299999999999999E-2</v>
      </c>
      <c r="H19" s="23">
        <v>6.1003000000000002E-2</v>
      </c>
      <c r="I19" s="24"/>
      <c r="J19" s="5"/>
    </row>
    <row r="20" spans="1:10" ht="13.05" customHeight="1">
      <c r="A20" s="18" t="s">
        <v>2832</v>
      </c>
      <c r="B20" s="19" t="s">
        <v>2833</v>
      </c>
      <c r="C20" s="15" t="s">
        <v>2834</v>
      </c>
      <c r="D20" s="15" t="s">
        <v>188</v>
      </c>
      <c r="E20" s="20">
        <v>5000000</v>
      </c>
      <c r="F20" s="21">
        <v>5103.9250000000002</v>
      </c>
      <c r="G20" s="22">
        <v>2.4299999999999999E-2</v>
      </c>
      <c r="H20" s="23">
        <v>6.1850000000000002E-2</v>
      </c>
      <c r="I20" s="24"/>
      <c r="J20" s="5"/>
    </row>
    <row r="21" spans="1:10" ht="13.05" customHeight="1">
      <c r="A21" s="18" t="s">
        <v>2835</v>
      </c>
      <c r="B21" s="19" t="s">
        <v>2836</v>
      </c>
      <c r="C21" s="15" t="s">
        <v>2837</v>
      </c>
      <c r="D21" s="15" t="s">
        <v>188</v>
      </c>
      <c r="E21" s="20">
        <v>5000000</v>
      </c>
      <c r="F21" s="21">
        <v>5044.84</v>
      </c>
      <c r="G21" s="22">
        <v>2.4E-2</v>
      </c>
      <c r="H21" s="23">
        <v>6.1261000000000003E-2</v>
      </c>
      <c r="I21" s="24"/>
      <c r="J21" s="5"/>
    </row>
    <row r="22" spans="1:10" ht="13.05" customHeight="1">
      <c r="A22" s="18" t="s">
        <v>2838</v>
      </c>
      <c r="B22" s="19" t="s">
        <v>2839</v>
      </c>
      <c r="C22" s="15" t="s">
        <v>2840</v>
      </c>
      <c r="D22" s="15" t="s">
        <v>188</v>
      </c>
      <c r="E22" s="20">
        <v>4500000</v>
      </c>
      <c r="F22" s="21">
        <v>4594.8149999999996</v>
      </c>
      <c r="G22" s="22">
        <v>2.18E-2</v>
      </c>
      <c r="H22" s="23">
        <v>6.1934000000000003E-2</v>
      </c>
      <c r="I22" s="24"/>
      <c r="J22" s="5"/>
    </row>
    <row r="23" spans="1:10" ht="13.05" customHeight="1">
      <c r="A23" s="18" t="s">
        <v>2841</v>
      </c>
      <c r="B23" s="19" t="s">
        <v>2842</v>
      </c>
      <c r="C23" s="15" t="s">
        <v>2843</v>
      </c>
      <c r="D23" s="15" t="s">
        <v>188</v>
      </c>
      <c r="E23" s="20">
        <v>2800000</v>
      </c>
      <c r="F23" s="21">
        <v>2860.1048000000001</v>
      </c>
      <c r="G23" s="22">
        <v>1.3599999999999999E-2</v>
      </c>
      <c r="H23" s="23">
        <v>6.1615999999999997E-2</v>
      </c>
      <c r="I23" s="24"/>
      <c r="J23" s="5"/>
    </row>
    <row r="24" spans="1:10" ht="13.05" customHeight="1">
      <c r="A24" s="18" t="s">
        <v>2844</v>
      </c>
      <c r="B24" s="19" t="s">
        <v>2845</v>
      </c>
      <c r="C24" s="15" t="s">
        <v>2846</v>
      </c>
      <c r="D24" s="15" t="s">
        <v>188</v>
      </c>
      <c r="E24" s="20">
        <v>2000000</v>
      </c>
      <c r="F24" s="21">
        <v>2045.5260000000001</v>
      </c>
      <c r="G24" s="22">
        <v>9.7000000000000003E-3</v>
      </c>
      <c r="H24" s="23">
        <v>6.1799E-2</v>
      </c>
      <c r="I24" s="24"/>
      <c r="J24" s="5"/>
    </row>
    <row r="25" spans="1:10" ht="13.05" customHeight="1">
      <c r="A25" s="18" t="s">
        <v>2847</v>
      </c>
      <c r="B25" s="19" t="s">
        <v>2848</v>
      </c>
      <c r="C25" s="15" t="s">
        <v>2849</v>
      </c>
      <c r="D25" s="15" t="s">
        <v>188</v>
      </c>
      <c r="E25" s="20">
        <v>1500000</v>
      </c>
      <c r="F25" s="21">
        <v>1507.6724999999999</v>
      </c>
      <c r="G25" s="22">
        <v>7.1999999999999998E-3</v>
      </c>
      <c r="H25" s="23">
        <v>6.1593000000000002E-2</v>
      </c>
      <c r="I25" s="24"/>
      <c r="J25" s="5"/>
    </row>
    <row r="26" spans="1:10" ht="13.05" customHeight="1">
      <c r="A26" s="18" t="s">
        <v>2850</v>
      </c>
      <c r="B26" s="19" t="s">
        <v>2851</v>
      </c>
      <c r="C26" s="15" t="s">
        <v>2852</v>
      </c>
      <c r="D26" s="15" t="s">
        <v>188</v>
      </c>
      <c r="E26" s="20">
        <v>1000000</v>
      </c>
      <c r="F26" s="21">
        <v>1022.393</v>
      </c>
      <c r="G26" s="22">
        <v>4.8999999999999998E-3</v>
      </c>
      <c r="H26" s="23">
        <v>6.1428999999999997E-2</v>
      </c>
      <c r="I26" s="24"/>
      <c r="J26" s="5"/>
    </row>
    <row r="27" spans="1:10" ht="13.05" customHeight="1">
      <c r="A27" s="18" t="s">
        <v>2853</v>
      </c>
      <c r="B27" s="19" t="s">
        <v>2854</v>
      </c>
      <c r="C27" s="15" t="s">
        <v>2855</v>
      </c>
      <c r="D27" s="15" t="s">
        <v>188</v>
      </c>
      <c r="E27" s="20">
        <v>1000000</v>
      </c>
      <c r="F27" s="21">
        <v>1021.823</v>
      </c>
      <c r="G27" s="22">
        <v>4.8999999999999998E-3</v>
      </c>
      <c r="H27" s="23">
        <v>6.1428999999999997E-2</v>
      </c>
      <c r="I27" s="24"/>
      <c r="J27" s="5"/>
    </row>
    <row r="28" spans="1:10" ht="13.05" customHeight="1">
      <c r="A28" s="18" t="s">
        <v>2856</v>
      </c>
      <c r="B28" s="19" t="s">
        <v>2857</v>
      </c>
      <c r="C28" s="15" t="s">
        <v>2858</v>
      </c>
      <c r="D28" s="15" t="s">
        <v>188</v>
      </c>
      <c r="E28" s="20">
        <v>1000000</v>
      </c>
      <c r="F28" s="21">
        <v>1016.6420000000001</v>
      </c>
      <c r="G28" s="22">
        <v>4.7999999999999996E-3</v>
      </c>
      <c r="H28" s="23">
        <v>6.1157999999999997E-2</v>
      </c>
      <c r="I28" s="24"/>
      <c r="J28" s="5"/>
    </row>
    <row r="29" spans="1:10" ht="13.05" customHeight="1">
      <c r="A29" s="18" t="s">
        <v>2859</v>
      </c>
      <c r="B29" s="19" t="s">
        <v>2860</v>
      </c>
      <c r="C29" s="15" t="s">
        <v>2861</v>
      </c>
      <c r="D29" s="15" t="s">
        <v>188</v>
      </c>
      <c r="E29" s="20">
        <v>500000</v>
      </c>
      <c r="F29" s="21">
        <v>511.84449999999998</v>
      </c>
      <c r="G29" s="22">
        <v>2.3999999999999998E-3</v>
      </c>
      <c r="H29" s="23">
        <v>6.1279E-2</v>
      </c>
      <c r="I29" s="24"/>
      <c r="J29" s="5"/>
    </row>
    <row r="30" spans="1:10" ht="13.05" customHeight="1">
      <c r="A30" s="18" t="s">
        <v>2862</v>
      </c>
      <c r="B30" s="19" t="s">
        <v>2863</v>
      </c>
      <c r="C30" s="15" t="s">
        <v>2864</v>
      </c>
      <c r="D30" s="15" t="s">
        <v>188</v>
      </c>
      <c r="E30" s="20">
        <v>200000</v>
      </c>
      <c r="F30" s="21">
        <v>204.2808</v>
      </c>
      <c r="G30" s="22">
        <v>1E-3</v>
      </c>
      <c r="H30" s="23">
        <v>6.1518000000000003E-2</v>
      </c>
      <c r="I30" s="24"/>
      <c r="J30" s="5"/>
    </row>
    <row r="31" spans="1:10" ht="13.05" customHeight="1">
      <c r="A31" s="18" t="s">
        <v>2865</v>
      </c>
      <c r="B31" s="19" t="s">
        <v>2866</v>
      </c>
      <c r="C31" s="15" t="s">
        <v>2867</v>
      </c>
      <c r="D31" s="15" t="s">
        <v>188</v>
      </c>
      <c r="E31" s="20">
        <v>50000</v>
      </c>
      <c r="F31" s="21">
        <v>51.1145</v>
      </c>
      <c r="G31" s="22">
        <v>2.0000000000000001E-4</v>
      </c>
      <c r="H31" s="23">
        <v>6.1157999999999997E-2</v>
      </c>
      <c r="I31" s="24"/>
      <c r="J31" s="5"/>
    </row>
    <row r="32" spans="1:10" ht="13.05" customHeight="1">
      <c r="A32" s="5"/>
      <c r="B32" s="14" t="s">
        <v>192</v>
      </c>
      <c r="C32" s="15"/>
      <c r="D32" s="15"/>
      <c r="E32" s="15"/>
      <c r="F32" s="25">
        <v>204869.39840000001</v>
      </c>
      <c r="G32" s="26">
        <v>0.9738</v>
      </c>
      <c r="H32" s="27"/>
      <c r="I32" s="28"/>
      <c r="J32" s="5"/>
    </row>
    <row r="33" spans="1:10" ht="13.05" customHeight="1">
      <c r="A33" s="5"/>
      <c r="B33" s="29" t="s">
        <v>193</v>
      </c>
      <c r="C33" s="2"/>
      <c r="D33" s="2"/>
      <c r="E33" s="2"/>
      <c r="F33" s="27" t="s">
        <v>194</v>
      </c>
      <c r="G33" s="27" t="s">
        <v>194</v>
      </c>
      <c r="H33" s="27"/>
      <c r="I33" s="28"/>
      <c r="J33" s="5"/>
    </row>
    <row r="34" spans="1:10" ht="13.05" customHeight="1">
      <c r="A34" s="5"/>
      <c r="B34" s="29" t="s">
        <v>192</v>
      </c>
      <c r="C34" s="2"/>
      <c r="D34" s="2"/>
      <c r="E34" s="2"/>
      <c r="F34" s="27" t="s">
        <v>194</v>
      </c>
      <c r="G34" s="27" t="s">
        <v>194</v>
      </c>
      <c r="H34" s="27"/>
      <c r="I34" s="28"/>
      <c r="J34" s="5"/>
    </row>
    <row r="35" spans="1:10" ht="13.05" customHeight="1">
      <c r="A35" s="5"/>
      <c r="B35" s="29" t="s">
        <v>195</v>
      </c>
      <c r="C35" s="30"/>
      <c r="D35" s="2"/>
      <c r="E35" s="30"/>
      <c r="F35" s="25">
        <v>204869.39840000001</v>
      </c>
      <c r="G35" s="26">
        <v>0.9738</v>
      </c>
      <c r="H35" s="27"/>
      <c r="I35" s="28"/>
      <c r="J35" s="5"/>
    </row>
    <row r="36" spans="1:10" ht="13.05" customHeight="1">
      <c r="A36" s="5"/>
      <c r="B36" s="14" t="s">
        <v>196</v>
      </c>
      <c r="C36" s="15"/>
      <c r="D36" s="15"/>
      <c r="E36" s="15"/>
      <c r="F36" s="15"/>
      <c r="G36" s="15"/>
      <c r="H36" s="16"/>
      <c r="I36" s="17"/>
      <c r="J36" s="5"/>
    </row>
    <row r="37" spans="1:10" ht="13.05" customHeight="1">
      <c r="A37" s="18" t="s">
        <v>197</v>
      </c>
      <c r="B37" s="19" t="s">
        <v>198</v>
      </c>
      <c r="C37" s="15"/>
      <c r="D37" s="15"/>
      <c r="E37" s="20"/>
      <c r="F37" s="21">
        <v>545.84379999999999</v>
      </c>
      <c r="G37" s="22">
        <v>2.5999999999999999E-3</v>
      </c>
      <c r="H37" s="23">
        <v>5.5573613358271927E-2</v>
      </c>
      <c r="I37" s="24"/>
      <c r="J37" s="5"/>
    </row>
    <row r="38" spans="1:10" ht="13.05" customHeight="1">
      <c r="A38" s="5"/>
      <c r="B38" s="14" t="s">
        <v>192</v>
      </c>
      <c r="C38" s="15"/>
      <c r="D38" s="15"/>
      <c r="E38" s="15"/>
      <c r="F38" s="25">
        <v>545.84379999999999</v>
      </c>
      <c r="G38" s="26">
        <v>2.5999999999999999E-3</v>
      </c>
      <c r="H38" s="27"/>
      <c r="I38" s="28"/>
      <c r="J38" s="5"/>
    </row>
    <row r="39" spans="1:10" ht="13.05" customHeight="1">
      <c r="A39" s="5"/>
      <c r="B39" s="29" t="s">
        <v>193</v>
      </c>
      <c r="C39" s="2"/>
      <c r="D39" s="2"/>
      <c r="E39" s="2"/>
      <c r="F39" s="27" t="s">
        <v>194</v>
      </c>
      <c r="G39" s="27" t="s">
        <v>194</v>
      </c>
      <c r="H39" s="27"/>
      <c r="I39" s="28"/>
      <c r="J39" s="5"/>
    </row>
    <row r="40" spans="1:10" ht="13.05" customHeight="1">
      <c r="A40" s="5"/>
      <c r="B40" s="29" t="s">
        <v>192</v>
      </c>
      <c r="C40" s="2"/>
      <c r="D40" s="2"/>
      <c r="E40" s="2"/>
      <c r="F40" s="27" t="s">
        <v>194</v>
      </c>
      <c r="G40" s="27" t="s">
        <v>194</v>
      </c>
      <c r="H40" s="27"/>
      <c r="I40" s="28"/>
      <c r="J40" s="5"/>
    </row>
    <row r="41" spans="1:10" ht="13.05" customHeight="1">
      <c r="A41" s="5"/>
      <c r="B41" s="29" t="s">
        <v>195</v>
      </c>
      <c r="C41" s="30"/>
      <c r="D41" s="2"/>
      <c r="E41" s="30"/>
      <c r="F41" s="25">
        <v>545.84379999999999</v>
      </c>
      <c r="G41" s="26">
        <v>2.5999999999999999E-3</v>
      </c>
      <c r="H41" s="27"/>
      <c r="I41" s="28"/>
      <c r="J41" s="5"/>
    </row>
    <row r="42" spans="1:10" ht="13.05" customHeight="1">
      <c r="A42" s="5"/>
      <c r="B42" s="29" t="s">
        <v>199</v>
      </c>
      <c r="C42" s="15"/>
      <c r="D42" s="2"/>
      <c r="E42" s="15"/>
      <c r="F42" s="31">
        <v>4963.6678000000002</v>
      </c>
      <c r="G42" s="26">
        <v>2.3599999999999999E-2</v>
      </c>
      <c r="H42" s="27"/>
      <c r="I42" s="28"/>
      <c r="J42" s="5"/>
    </row>
    <row r="43" spans="1:10" ht="13.05" customHeight="1">
      <c r="A43" s="5"/>
      <c r="B43" s="32" t="s">
        <v>200</v>
      </c>
      <c r="C43" s="33"/>
      <c r="D43" s="33"/>
      <c r="E43" s="33"/>
      <c r="F43" s="34">
        <v>210378.91</v>
      </c>
      <c r="G43" s="35">
        <v>1</v>
      </c>
      <c r="H43" s="36"/>
      <c r="I43" s="37"/>
      <c r="J43" s="5"/>
    </row>
    <row r="44" spans="1:10" ht="13.05" customHeight="1">
      <c r="A44" s="5"/>
      <c r="B44" s="7"/>
      <c r="C44" s="5"/>
      <c r="D44" s="5"/>
      <c r="E44" s="5"/>
      <c r="F44" s="5"/>
      <c r="G44" s="5"/>
      <c r="H44" s="5"/>
      <c r="I44" s="5"/>
      <c r="J44" s="5"/>
    </row>
    <row r="45" spans="1:10" ht="13.05" customHeight="1">
      <c r="A45" s="5"/>
      <c r="B45" s="4" t="s">
        <v>201</v>
      </c>
      <c r="C45" s="5"/>
      <c r="D45" s="5"/>
      <c r="E45" s="5"/>
      <c r="F45" s="5"/>
      <c r="G45" s="5"/>
      <c r="H45" s="5"/>
      <c r="I45" s="5"/>
      <c r="J45" s="5"/>
    </row>
    <row r="46" spans="1:10" ht="25.95" customHeight="1">
      <c r="A46" s="5"/>
      <c r="B46" s="103" t="s">
        <v>202</v>
      </c>
      <c r="C46" s="103"/>
      <c r="D46" s="103"/>
      <c r="E46" s="103"/>
      <c r="F46" s="103"/>
      <c r="G46" s="103"/>
      <c r="H46" s="103"/>
      <c r="I46" s="103"/>
      <c r="J46" s="5"/>
    </row>
    <row r="47" spans="1:10" ht="13.05" customHeight="1">
      <c r="A47" s="5"/>
      <c r="B47" s="103" t="s">
        <v>203</v>
      </c>
      <c r="C47" s="103"/>
      <c r="D47" s="103"/>
      <c r="E47" s="103"/>
      <c r="F47" s="103"/>
      <c r="G47" s="103"/>
      <c r="H47" s="103"/>
      <c r="I47" s="103"/>
      <c r="J47" s="5"/>
    </row>
    <row r="48" spans="1:10" ht="13.05" customHeight="1">
      <c r="A48" s="5"/>
      <c r="B48" s="103" t="s">
        <v>2868</v>
      </c>
      <c r="C48" s="103"/>
      <c r="D48" s="103"/>
      <c r="E48" s="103"/>
      <c r="F48" s="103"/>
      <c r="G48" s="5"/>
      <c r="H48" s="5"/>
      <c r="I48" s="5"/>
      <c r="J48" s="5"/>
    </row>
    <row r="49" spans="1:10" ht="13.05" customHeight="1">
      <c r="A49" s="5"/>
      <c r="B49" s="103"/>
      <c r="C49" s="103"/>
      <c r="D49" s="103"/>
      <c r="E49" s="103"/>
      <c r="F49" s="103"/>
      <c r="G49" s="103"/>
      <c r="H49" s="103"/>
      <c r="I49" s="103"/>
      <c r="J49" s="5"/>
    </row>
    <row r="50" spans="1:10" ht="13.05" customHeight="1">
      <c r="A50" s="5"/>
      <c r="B50" s="103"/>
      <c r="C50" s="103"/>
      <c r="D50" s="103"/>
      <c r="E50" s="103"/>
      <c r="F50" s="103"/>
      <c r="G50" s="103"/>
      <c r="H50" s="103"/>
      <c r="I50" s="103"/>
      <c r="J50" s="5"/>
    </row>
    <row r="51" spans="1:10" ht="13.05" customHeight="1">
      <c r="A51" s="5"/>
      <c r="B51" s="5"/>
      <c r="C51" s="104" t="s">
        <v>2869</v>
      </c>
      <c r="D51" s="104"/>
      <c r="E51" s="104"/>
      <c r="F51" s="104"/>
      <c r="G51" s="5"/>
      <c r="H51" s="5"/>
      <c r="I51" s="5"/>
      <c r="J51" s="5"/>
    </row>
    <row r="52" spans="1:10" ht="13.05" customHeight="1">
      <c r="A52" s="5"/>
      <c r="B52" s="38" t="s">
        <v>207</v>
      </c>
      <c r="C52" s="104" t="s">
        <v>208</v>
      </c>
      <c r="D52" s="104"/>
      <c r="E52" s="104"/>
      <c r="F52" s="104"/>
      <c r="G52" s="5"/>
      <c r="H52" s="5"/>
      <c r="I52" s="5"/>
      <c r="J52" s="5"/>
    </row>
    <row r="53" spans="1:10" ht="135" customHeight="1">
      <c r="A53" s="5"/>
      <c r="B53" s="39"/>
      <c r="C53" s="105"/>
      <c r="D53" s="105"/>
      <c r="E53" s="5"/>
      <c r="F53" s="5"/>
      <c r="G53" s="5"/>
      <c r="H53" s="5"/>
      <c r="I53" s="5"/>
      <c r="J53" s="5"/>
    </row>
  </sheetData>
  <mergeCells count="8">
    <mergeCell ref="C51:F51"/>
    <mergeCell ref="C52:F52"/>
    <mergeCell ref="C53:D53"/>
    <mergeCell ref="B46:I46"/>
    <mergeCell ref="B47:I47"/>
    <mergeCell ref="B48:F48"/>
    <mergeCell ref="B49:I49"/>
    <mergeCell ref="B50:I50"/>
  </mergeCells>
  <hyperlinks>
    <hyperlink ref="A1" location="AxisCRISILIBXSDLMay2027IndexFund" display="AXISCSDL" xr:uid="{00000000-0004-0000-1200-000000000000}"/>
    <hyperlink ref="B1" location="AxisCRISILIBXSDLMay2027IndexFund" display="Axis CRISIL IBX SDL May 2027 Index Fund" xr:uid="{00000000-0004-0000-1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J95"/>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41</v>
      </c>
      <c r="B1" s="4" t="s">
        <v>42</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1881</v>
      </c>
      <c r="B7" s="19" t="s">
        <v>1882</v>
      </c>
      <c r="C7" s="15" t="s">
        <v>1883</v>
      </c>
      <c r="D7" s="15" t="s">
        <v>188</v>
      </c>
      <c r="E7" s="20">
        <v>26000000</v>
      </c>
      <c r="F7" s="21">
        <v>26352.95</v>
      </c>
      <c r="G7" s="22">
        <v>0.22009999999999999</v>
      </c>
      <c r="H7" s="23">
        <v>6.694E-2</v>
      </c>
      <c r="I7" s="24"/>
      <c r="J7" s="5"/>
    </row>
    <row r="8" spans="1:10" ht="13.05" customHeight="1">
      <c r="A8" s="18" t="s">
        <v>1890</v>
      </c>
      <c r="B8" s="19" t="s">
        <v>1891</v>
      </c>
      <c r="C8" s="15" t="s">
        <v>1892</v>
      </c>
      <c r="D8" s="15" t="s">
        <v>188</v>
      </c>
      <c r="E8" s="20">
        <v>8000000</v>
      </c>
      <c r="F8" s="21">
        <v>8294.9439999999995</v>
      </c>
      <c r="G8" s="22">
        <v>6.93E-2</v>
      </c>
      <c r="H8" s="23">
        <v>6.6730999999999999E-2</v>
      </c>
      <c r="I8" s="24"/>
      <c r="J8" s="5"/>
    </row>
    <row r="9" spans="1:10" ht="13.05" customHeight="1">
      <c r="A9" s="18" t="s">
        <v>2870</v>
      </c>
      <c r="B9" s="19" t="s">
        <v>2871</v>
      </c>
      <c r="C9" s="15" t="s">
        <v>2872</v>
      </c>
      <c r="D9" s="15" t="s">
        <v>188</v>
      </c>
      <c r="E9" s="20">
        <v>4500000</v>
      </c>
      <c r="F9" s="21">
        <v>4544.9639999999999</v>
      </c>
      <c r="G9" s="22">
        <v>3.7999999999999999E-2</v>
      </c>
      <c r="H9" s="23">
        <v>7.3451000000000002E-2</v>
      </c>
      <c r="I9" s="24"/>
      <c r="J9" s="5"/>
    </row>
    <row r="10" spans="1:10" ht="13.05" customHeight="1">
      <c r="A10" s="18" t="s">
        <v>2629</v>
      </c>
      <c r="B10" s="19" t="s">
        <v>2630</v>
      </c>
      <c r="C10" s="15" t="s">
        <v>2631</v>
      </c>
      <c r="D10" s="15" t="s">
        <v>213</v>
      </c>
      <c r="E10" s="20">
        <v>5000</v>
      </c>
      <c r="F10" s="21">
        <v>3971.0250000000001</v>
      </c>
      <c r="G10" s="22">
        <v>3.32E-2</v>
      </c>
      <c r="H10" s="23">
        <v>6.9150000000000003E-2</v>
      </c>
      <c r="I10" s="24"/>
      <c r="J10" s="5"/>
    </row>
    <row r="11" spans="1:10" ht="13.05" customHeight="1">
      <c r="A11" s="18" t="s">
        <v>2692</v>
      </c>
      <c r="B11" s="19" t="s">
        <v>2693</v>
      </c>
      <c r="C11" s="15" t="s">
        <v>2694</v>
      </c>
      <c r="D11" s="15" t="s">
        <v>1923</v>
      </c>
      <c r="E11" s="20">
        <v>3500</v>
      </c>
      <c r="F11" s="21">
        <v>3415.1320000000001</v>
      </c>
      <c r="G11" s="22">
        <v>2.8500000000000001E-2</v>
      </c>
      <c r="H11" s="23">
        <v>7.1400000000000005E-2</v>
      </c>
      <c r="I11" s="24"/>
      <c r="J11" s="5"/>
    </row>
    <row r="12" spans="1:10" ht="13.05" customHeight="1">
      <c r="A12" s="18" t="s">
        <v>2069</v>
      </c>
      <c r="B12" s="19" t="s">
        <v>2070</v>
      </c>
      <c r="C12" s="15" t="s">
        <v>2071</v>
      </c>
      <c r="D12" s="15" t="s">
        <v>213</v>
      </c>
      <c r="E12" s="20">
        <v>2500</v>
      </c>
      <c r="F12" s="21">
        <v>2552.65</v>
      </c>
      <c r="G12" s="22">
        <v>2.1299999999999999E-2</v>
      </c>
      <c r="H12" s="23">
        <v>7.0999999999999994E-2</v>
      </c>
      <c r="I12" s="24"/>
      <c r="J12" s="5"/>
    </row>
    <row r="13" spans="1:10" ht="13.05" customHeight="1">
      <c r="A13" s="18" t="s">
        <v>2873</v>
      </c>
      <c r="B13" s="19" t="s">
        <v>2874</v>
      </c>
      <c r="C13" s="15" t="s">
        <v>2875</v>
      </c>
      <c r="D13" s="15" t="s">
        <v>213</v>
      </c>
      <c r="E13" s="20">
        <v>2500</v>
      </c>
      <c r="F13" s="21">
        <v>2509.5050000000001</v>
      </c>
      <c r="G13" s="22">
        <v>2.1000000000000001E-2</v>
      </c>
      <c r="H13" s="23">
        <v>7.0800000000000002E-2</v>
      </c>
      <c r="I13" s="24"/>
      <c r="J13" s="5"/>
    </row>
    <row r="14" spans="1:10" ht="13.05" customHeight="1">
      <c r="A14" s="18" t="s">
        <v>2876</v>
      </c>
      <c r="B14" s="19" t="s">
        <v>2877</v>
      </c>
      <c r="C14" s="15" t="s">
        <v>2878</v>
      </c>
      <c r="D14" s="15" t="s">
        <v>188</v>
      </c>
      <c r="E14" s="20">
        <v>2500000</v>
      </c>
      <c r="F14" s="21">
        <v>2507.3274999999999</v>
      </c>
      <c r="G14" s="22">
        <v>2.0899999999999998E-2</v>
      </c>
      <c r="H14" s="23">
        <v>7.4507000000000004E-2</v>
      </c>
      <c r="I14" s="24"/>
      <c r="J14" s="5"/>
    </row>
    <row r="15" spans="1:10" ht="13.05" customHeight="1">
      <c r="A15" s="18" t="s">
        <v>2575</v>
      </c>
      <c r="B15" s="19" t="s">
        <v>2576</v>
      </c>
      <c r="C15" s="15" t="s">
        <v>2577</v>
      </c>
      <c r="D15" s="15" t="s">
        <v>188</v>
      </c>
      <c r="E15" s="20">
        <v>2500000</v>
      </c>
      <c r="F15" s="21">
        <v>2451.0500000000002</v>
      </c>
      <c r="G15" s="22">
        <v>2.0500000000000001E-2</v>
      </c>
      <c r="H15" s="23">
        <v>7.0114999999999997E-2</v>
      </c>
      <c r="I15" s="24"/>
      <c r="J15" s="5"/>
    </row>
    <row r="16" spans="1:10" ht="13.05" customHeight="1">
      <c r="A16" s="18" t="s">
        <v>2879</v>
      </c>
      <c r="B16" s="19" t="s">
        <v>2880</v>
      </c>
      <c r="C16" s="15" t="s">
        <v>2881</v>
      </c>
      <c r="D16" s="15" t="s">
        <v>188</v>
      </c>
      <c r="E16" s="20">
        <v>2500000</v>
      </c>
      <c r="F16" s="21">
        <v>2418.2275</v>
      </c>
      <c r="G16" s="22">
        <v>2.0199999999999999E-2</v>
      </c>
      <c r="H16" s="23">
        <v>7.4712000000000001E-2</v>
      </c>
      <c r="I16" s="24"/>
      <c r="J16" s="5"/>
    </row>
    <row r="17" spans="1:10" ht="13.05" customHeight="1">
      <c r="A17" s="18" t="s">
        <v>2704</v>
      </c>
      <c r="B17" s="19" t="s">
        <v>2705</v>
      </c>
      <c r="C17" s="15" t="s">
        <v>2706</v>
      </c>
      <c r="D17" s="15" t="s">
        <v>213</v>
      </c>
      <c r="E17" s="20">
        <v>150</v>
      </c>
      <c r="F17" s="21">
        <v>1572.402</v>
      </c>
      <c r="G17" s="22">
        <v>1.3100000000000001E-2</v>
      </c>
      <c r="H17" s="23">
        <v>6.7125000000000004E-2</v>
      </c>
      <c r="I17" s="24"/>
      <c r="J17" s="5"/>
    </row>
    <row r="18" spans="1:10" ht="13.05" customHeight="1">
      <c r="A18" s="18" t="s">
        <v>2882</v>
      </c>
      <c r="B18" s="19" t="s">
        <v>2883</v>
      </c>
      <c r="C18" s="15" t="s">
        <v>2884</v>
      </c>
      <c r="D18" s="15" t="s">
        <v>1957</v>
      </c>
      <c r="E18" s="20">
        <v>150</v>
      </c>
      <c r="F18" s="21">
        <v>1572.0045</v>
      </c>
      <c r="G18" s="22">
        <v>1.3100000000000001E-2</v>
      </c>
      <c r="H18" s="23">
        <v>6.6199999999999995E-2</v>
      </c>
      <c r="I18" s="24"/>
      <c r="J18" s="5"/>
    </row>
    <row r="19" spans="1:10" ht="13.05" customHeight="1">
      <c r="A19" s="18" t="s">
        <v>1994</v>
      </c>
      <c r="B19" s="19" t="s">
        <v>1995</v>
      </c>
      <c r="C19" s="15" t="s">
        <v>1996</v>
      </c>
      <c r="D19" s="15" t="s">
        <v>213</v>
      </c>
      <c r="E19" s="20">
        <v>150</v>
      </c>
      <c r="F19" s="21">
        <v>1567.9259999999999</v>
      </c>
      <c r="G19" s="22">
        <v>1.3100000000000001E-2</v>
      </c>
      <c r="H19" s="23">
        <v>6.7125000000000004E-2</v>
      </c>
      <c r="I19" s="24"/>
      <c r="J19" s="5"/>
    </row>
    <row r="20" spans="1:10" ht="13.05" customHeight="1">
      <c r="A20" s="18" t="s">
        <v>2885</v>
      </c>
      <c r="B20" s="19" t="s">
        <v>2886</v>
      </c>
      <c r="C20" s="15" t="s">
        <v>2887</v>
      </c>
      <c r="D20" s="15" t="s">
        <v>213</v>
      </c>
      <c r="E20" s="20">
        <v>150</v>
      </c>
      <c r="F20" s="21">
        <v>1559.367</v>
      </c>
      <c r="G20" s="22">
        <v>1.2999999999999999E-2</v>
      </c>
      <c r="H20" s="23">
        <v>7.0000000000000007E-2</v>
      </c>
      <c r="I20" s="24"/>
      <c r="J20" s="5"/>
    </row>
    <row r="21" spans="1:10" ht="13.05" customHeight="1">
      <c r="A21" s="18" t="s">
        <v>2746</v>
      </c>
      <c r="B21" s="19" t="s">
        <v>2747</v>
      </c>
      <c r="C21" s="15" t="s">
        <v>2748</v>
      </c>
      <c r="D21" s="15" t="s">
        <v>188</v>
      </c>
      <c r="E21" s="20">
        <v>1500000</v>
      </c>
      <c r="F21" s="21">
        <v>1558.8510000000001</v>
      </c>
      <c r="G21" s="22">
        <v>1.2999999999999999E-2</v>
      </c>
      <c r="H21" s="23">
        <v>6.6410999999999998E-2</v>
      </c>
      <c r="I21" s="24"/>
      <c r="J21" s="5"/>
    </row>
    <row r="22" spans="1:10" ht="13.05" customHeight="1">
      <c r="A22" s="18" t="s">
        <v>2888</v>
      </c>
      <c r="B22" s="19" t="s">
        <v>2889</v>
      </c>
      <c r="C22" s="15" t="s">
        <v>2890</v>
      </c>
      <c r="D22" s="15" t="s">
        <v>213</v>
      </c>
      <c r="E22" s="20">
        <v>1500</v>
      </c>
      <c r="F22" s="21">
        <v>1528.8375000000001</v>
      </c>
      <c r="G22" s="22">
        <v>1.2800000000000001E-2</v>
      </c>
      <c r="H22" s="23">
        <v>6.8517999999999996E-2</v>
      </c>
      <c r="I22" s="24"/>
      <c r="J22" s="5"/>
    </row>
    <row r="23" spans="1:10" ht="13.05" customHeight="1">
      <c r="A23" s="18" t="s">
        <v>2891</v>
      </c>
      <c r="B23" s="19" t="s">
        <v>2892</v>
      </c>
      <c r="C23" s="15" t="s">
        <v>2893</v>
      </c>
      <c r="D23" s="15" t="s">
        <v>188</v>
      </c>
      <c r="E23" s="20">
        <v>1500000</v>
      </c>
      <c r="F23" s="21">
        <v>1525.7384999999999</v>
      </c>
      <c r="G23" s="22">
        <v>1.2699999999999999E-2</v>
      </c>
      <c r="H23" s="23">
        <v>7.3091000000000003E-2</v>
      </c>
      <c r="I23" s="24"/>
      <c r="J23" s="5"/>
    </row>
    <row r="24" spans="1:10" ht="13.05" customHeight="1">
      <c r="A24" s="18" t="s">
        <v>2894</v>
      </c>
      <c r="B24" s="19" t="s">
        <v>2895</v>
      </c>
      <c r="C24" s="15" t="s">
        <v>2896</v>
      </c>
      <c r="D24" s="15" t="s">
        <v>188</v>
      </c>
      <c r="E24" s="20">
        <v>1500000</v>
      </c>
      <c r="F24" s="21">
        <v>1520.3789999999999</v>
      </c>
      <c r="G24" s="22">
        <v>1.2699999999999999E-2</v>
      </c>
      <c r="H24" s="23">
        <v>7.3804999999999996E-2</v>
      </c>
      <c r="I24" s="24"/>
      <c r="J24" s="5"/>
    </row>
    <row r="25" spans="1:10" ht="13.05" customHeight="1">
      <c r="A25" s="18" t="s">
        <v>1961</v>
      </c>
      <c r="B25" s="19" t="s">
        <v>1962</v>
      </c>
      <c r="C25" s="15" t="s">
        <v>1963</v>
      </c>
      <c r="D25" s="15" t="s">
        <v>188</v>
      </c>
      <c r="E25" s="20">
        <v>1000000</v>
      </c>
      <c r="F25" s="21">
        <v>1057.413</v>
      </c>
      <c r="G25" s="22">
        <v>8.8000000000000005E-3</v>
      </c>
      <c r="H25" s="23">
        <v>6.8839999999999998E-2</v>
      </c>
      <c r="I25" s="24"/>
      <c r="J25" s="5"/>
    </row>
    <row r="26" spans="1:10" ht="13.05" customHeight="1">
      <c r="A26" s="18" t="s">
        <v>2897</v>
      </c>
      <c r="B26" s="19" t="s">
        <v>2898</v>
      </c>
      <c r="C26" s="15" t="s">
        <v>2899</v>
      </c>
      <c r="D26" s="15" t="s">
        <v>213</v>
      </c>
      <c r="E26" s="20">
        <v>100</v>
      </c>
      <c r="F26" s="21">
        <v>1057.3399999999999</v>
      </c>
      <c r="G26" s="22">
        <v>8.8000000000000005E-3</v>
      </c>
      <c r="H26" s="23">
        <v>6.8616999999999997E-2</v>
      </c>
      <c r="I26" s="24"/>
      <c r="J26" s="5"/>
    </row>
    <row r="27" spans="1:10" ht="13.05" customHeight="1">
      <c r="A27" s="18" t="s">
        <v>2900</v>
      </c>
      <c r="B27" s="19" t="s">
        <v>2901</v>
      </c>
      <c r="C27" s="15" t="s">
        <v>2902</v>
      </c>
      <c r="D27" s="15" t="s">
        <v>213</v>
      </c>
      <c r="E27" s="20">
        <v>100</v>
      </c>
      <c r="F27" s="21">
        <v>1048.883</v>
      </c>
      <c r="G27" s="22">
        <v>8.8000000000000005E-3</v>
      </c>
      <c r="H27" s="23">
        <v>6.9849999999999995E-2</v>
      </c>
      <c r="I27" s="24"/>
      <c r="J27" s="5"/>
    </row>
    <row r="28" spans="1:10" ht="13.05" customHeight="1">
      <c r="A28" s="18" t="s">
        <v>2356</v>
      </c>
      <c r="B28" s="19" t="s">
        <v>2357</v>
      </c>
      <c r="C28" s="15" t="s">
        <v>2358</v>
      </c>
      <c r="D28" s="15" t="s">
        <v>188</v>
      </c>
      <c r="E28" s="20">
        <v>1000000</v>
      </c>
      <c r="F28" s="21">
        <v>1046.6120000000001</v>
      </c>
      <c r="G28" s="22">
        <v>8.6999999999999994E-3</v>
      </c>
      <c r="H28" s="23">
        <v>7.2903999999999997E-2</v>
      </c>
      <c r="I28" s="24"/>
      <c r="J28" s="5"/>
    </row>
    <row r="29" spans="1:10" ht="13.05" customHeight="1">
      <c r="A29" s="18" t="s">
        <v>2903</v>
      </c>
      <c r="B29" s="19" t="s">
        <v>2904</v>
      </c>
      <c r="C29" s="15" t="s">
        <v>2905</v>
      </c>
      <c r="D29" s="15" t="s">
        <v>188</v>
      </c>
      <c r="E29" s="20">
        <v>1000000</v>
      </c>
      <c r="F29" s="21">
        <v>1036.4280000000001</v>
      </c>
      <c r="G29" s="22">
        <v>8.6999999999999994E-3</v>
      </c>
      <c r="H29" s="23">
        <v>7.3246000000000006E-2</v>
      </c>
      <c r="I29" s="24"/>
      <c r="J29" s="5"/>
    </row>
    <row r="30" spans="1:10" ht="13.05" customHeight="1">
      <c r="A30" s="18" t="s">
        <v>2906</v>
      </c>
      <c r="B30" s="19" t="s">
        <v>2907</v>
      </c>
      <c r="C30" s="15" t="s">
        <v>2908</v>
      </c>
      <c r="D30" s="15" t="s">
        <v>188</v>
      </c>
      <c r="E30" s="20">
        <v>1000000</v>
      </c>
      <c r="F30" s="21">
        <v>1031.579</v>
      </c>
      <c r="G30" s="22">
        <v>8.6E-3</v>
      </c>
      <c r="H30" s="23">
        <v>7.3246000000000006E-2</v>
      </c>
      <c r="I30" s="24"/>
      <c r="J30" s="5"/>
    </row>
    <row r="31" spans="1:10" ht="13.05" customHeight="1">
      <c r="A31" s="18" t="s">
        <v>2909</v>
      </c>
      <c r="B31" s="19" t="s">
        <v>2910</v>
      </c>
      <c r="C31" s="15" t="s">
        <v>2911</v>
      </c>
      <c r="D31" s="15" t="s">
        <v>188</v>
      </c>
      <c r="E31" s="20">
        <v>1000000</v>
      </c>
      <c r="F31" s="21">
        <v>1014.462</v>
      </c>
      <c r="G31" s="22">
        <v>8.5000000000000006E-3</v>
      </c>
      <c r="H31" s="23">
        <v>7.3091000000000003E-2</v>
      </c>
      <c r="I31" s="24"/>
      <c r="J31" s="5"/>
    </row>
    <row r="32" spans="1:10" ht="13.05" customHeight="1">
      <c r="A32" s="18" t="s">
        <v>2912</v>
      </c>
      <c r="B32" s="19" t="s">
        <v>2913</v>
      </c>
      <c r="C32" s="15" t="s">
        <v>2914</v>
      </c>
      <c r="D32" s="15" t="s">
        <v>213</v>
      </c>
      <c r="E32" s="20">
        <v>100</v>
      </c>
      <c r="F32" s="21">
        <v>1011.478</v>
      </c>
      <c r="G32" s="22">
        <v>8.3999999999999995E-3</v>
      </c>
      <c r="H32" s="23">
        <v>6.7799999999999999E-2</v>
      </c>
      <c r="I32" s="24"/>
      <c r="J32" s="5"/>
    </row>
    <row r="33" spans="1:10" ht="13.05" customHeight="1">
      <c r="A33" s="18" t="s">
        <v>2915</v>
      </c>
      <c r="B33" s="19" t="s">
        <v>2916</v>
      </c>
      <c r="C33" s="15" t="s">
        <v>2917</v>
      </c>
      <c r="D33" s="15" t="s">
        <v>213</v>
      </c>
      <c r="E33" s="20">
        <v>100</v>
      </c>
      <c r="F33" s="21">
        <v>991.11900000000003</v>
      </c>
      <c r="G33" s="22">
        <v>8.3000000000000001E-3</v>
      </c>
      <c r="H33" s="23">
        <v>7.1461999999999998E-2</v>
      </c>
      <c r="I33" s="24"/>
      <c r="J33" s="5"/>
    </row>
    <row r="34" spans="1:10" ht="13.05" customHeight="1">
      <c r="A34" s="18" t="s">
        <v>2918</v>
      </c>
      <c r="B34" s="19" t="s">
        <v>2919</v>
      </c>
      <c r="C34" s="15" t="s">
        <v>2920</v>
      </c>
      <c r="D34" s="15" t="s">
        <v>213</v>
      </c>
      <c r="E34" s="20">
        <v>88</v>
      </c>
      <c r="F34" s="21">
        <v>926.04600000000005</v>
      </c>
      <c r="G34" s="22">
        <v>7.7000000000000002E-3</v>
      </c>
      <c r="H34" s="23">
        <v>6.6354999999999997E-2</v>
      </c>
      <c r="I34" s="24"/>
      <c r="J34" s="5"/>
    </row>
    <row r="35" spans="1:10" ht="13.05" customHeight="1">
      <c r="A35" s="18" t="s">
        <v>2921</v>
      </c>
      <c r="B35" s="19" t="s">
        <v>2922</v>
      </c>
      <c r="C35" s="15" t="s">
        <v>2923</v>
      </c>
      <c r="D35" s="15" t="s">
        <v>213</v>
      </c>
      <c r="E35" s="20">
        <v>90</v>
      </c>
      <c r="F35" s="21">
        <v>916.20540000000005</v>
      </c>
      <c r="G35" s="22">
        <v>7.7000000000000002E-3</v>
      </c>
      <c r="H35" s="23">
        <v>7.1400000000000005E-2</v>
      </c>
      <c r="I35" s="24"/>
      <c r="J35" s="5"/>
    </row>
    <row r="36" spans="1:10" ht="13.05" customHeight="1">
      <c r="A36" s="18" t="s">
        <v>2924</v>
      </c>
      <c r="B36" s="19" t="s">
        <v>2925</v>
      </c>
      <c r="C36" s="15" t="s">
        <v>2926</v>
      </c>
      <c r="D36" s="15" t="s">
        <v>213</v>
      </c>
      <c r="E36" s="20">
        <v>50</v>
      </c>
      <c r="F36" s="21">
        <v>531.12149999999997</v>
      </c>
      <c r="G36" s="22">
        <v>4.4000000000000003E-3</v>
      </c>
      <c r="H36" s="23">
        <v>6.7377000000000006E-2</v>
      </c>
      <c r="I36" s="24"/>
      <c r="J36" s="5"/>
    </row>
    <row r="37" spans="1:10" ht="13.05" customHeight="1">
      <c r="A37" s="18" t="s">
        <v>2927</v>
      </c>
      <c r="B37" s="19" t="s">
        <v>2928</v>
      </c>
      <c r="C37" s="15" t="s">
        <v>2929</v>
      </c>
      <c r="D37" s="15" t="s">
        <v>213</v>
      </c>
      <c r="E37" s="20">
        <v>50</v>
      </c>
      <c r="F37" s="21">
        <v>528.34299999999996</v>
      </c>
      <c r="G37" s="22">
        <v>4.4000000000000003E-3</v>
      </c>
      <c r="H37" s="23">
        <v>6.8616999999999997E-2</v>
      </c>
      <c r="I37" s="24"/>
      <c r="J37" s="5"/>
    </row>
    <row r="38" spans="1:10" ht="13.05" customHeight="1">
      <c r="A38" s="18" t="s">
        <v>2930</v>
      </c>
      <c r="B38" s="19" t="s">
        <v>2931</v>
      </c>
      <c r="C38" s="15" t="s">
        <v>2932</v>
      </c>
      <c r="D38" s="15" t="s">
        <v>213</v>
      </c>
      <c r="E38" s="20">
        <v>50</v>
      </c>
      <c r="F38" s="21">
        <v>526.88099999999997</v>
      </c>
      <c r="G38" s="22">
        <v>4.4000000000000003E-3</v>
      </c>
      <c r="H38" s="23">
        <v>6.7750000000000005E-2</v>
      </c>
      <c r="I38" s="24"/>
      <c r="J38" s="5"/>
    </row>
    <row r="39" spans="1:10" ht="13.05" customHeight="1">
      <c r="A39" s="18" t="s">
        <v>2933</v>
      </c>
      <c r="B39" s="19" t="s">
        <v>2934</v>
      </c>
      <c r="C39" s="15" t="s">
        <v>2935</v>
      </c>
      <c r="D39" s="15" t="s">
        <v>213</v>
      </c>
      <c r="E39" s="20">
        <v>50</v>
      </c>
      <c r="F39" s="21">
        <v>523.89850000000001</v>
      </c>
      <c r="G39" s="22">
        <v>4.4000000000000003E-3</v>
      </c>
      <c r="H39" s="23">
        <v>6.9016999999999995E-2</v>
      </c>
      <c r="I39" s="24"/>
      <c r="J39" s="5"/>
    </row>
    <row r="40" spans="1:10" ht="13.05" customHeight="1">
      <c r="A40" s="18" t="s">
        <v>2936</v>
      </c>
      <c r="B40" s="19" t="s">
        <v>2937</v>
      </c>
      <c r="C40" s="15" t="s">
        <v>2938</v>
      </c>
      <c r="D40" s="15" t="s">
        <v>213</v>
      </c>
      <c r="E40" s="20">
        <v>50</v>
      </c>
      <c r="F40" s="21">
        <v>523.8655</v>
      </c>
      <c r="G40" s="22">
        <v>4.4000000000000003E-3</v>
      </c>
      <c r="H40" s="23">
        <v>6.6354999999999997E-2</v>
      </c>
      <c r="I40" s="24"/>
      <c r="J40" s="5"/>
    </row>
    <row r="41" spans="1:10" ht="13.05" customHeight="1">
      <c r="A41" s="18" t="s">
        <v>2939</v>
      </c>
      <c r="B41" s="19" t="s">
        <v>2940</v>
      </c>
      <c r="C41" s="15" t="s">
        <v>2941</v>
      </c>
      <c r="D41" s="15" t="s">
        <v>213</v>
      </c>
      <c r="E41" s="20">
        <v>50</v>
      </c>
      <c r="F41" s="21">
        <v>522.24400000000003</v>
      </c>
      <c r="G41" s="22">
        <v>4.4000000000000003E-3</v>
      </c>
      <c r="H41" s="23">
        <v>6.7750000000000005E-2</v>
      </c>
      <c r="I41" s="24"/>
      <c r="J41" s="5"/>
    </row>
    <row r="42" spans="1:10" ht="13.05" customHeight="1">
      <c r="A42" s="18" t="s">
        <v>2942</v>
      </c>
      <c r="B42" s="19" t="s">
        <v>2943</v>
      </c>
      <c r="C42" s="15" t="s">
        <v>2944</v>
      </c>
      <c r="D42" s="15" t="s">
        <v>213</v>
      </c>
      <c r="E42" s="20">
        <v>50</v>
      </c>
      <c r="F42" s="21">
        <v>519.49950000000001</v>
      </c>
      <c r="G42" s="22">
        <v>4.3E-3</v>
      </c>
      <c r="H42" s="23">
        <v>6.7875000000000005E-2</v>
      </c>
      <c r="I42" s="24"/>
      <c r="J42" s="5"/>
    </row>
    <row r="43" spans="1:10" ht="13.05" customHeight="1">
      <c r="A43" s="18" t="s">
        <v>2945</v>
      </c>
      <c r="B43" s="19" t="s">
        <v>2946</v>
      </c>
      <c r="C43" s="15" t="s">
        <v>2947</v>
      </c>
      <c r="D43" s="15" t="s">
        <v>213</v>
      </c>
      <c r="E43" s="20">
        <v>50</v>
      </c>
      <c r="F43" s="21">
        <v>519.07899999999995</v>
      </c>
      <c r="G43" s="22">
        <v>4.3E-3</v>
      </c>
      <c r="H43" s="23">
        <v>6.9167000000000006E-2</v>
      </c>
      <c r="I43" s="24"/>
      <c r="J43" s="5"/>
    </row>
    <row r="44" spans="1:10" ht="13.05" customHeight="1">
      <c r="A44" s="18" t="s">
        <v>2948</v>
      </c>
      <c r="B44" s="19" t="s">
        <v>2949</v>
      </c>
      <c r="C44" s="15" t="s">
        <v>2950</v>
      </c>
      <c r="D44" s="15" t="s">
        <v>1923</v>
      </c>
      <c r="E44" s="20">
        <v>250</v>
      </c>
      <c r="F44" s="21">
        <v>513.86699999999996</v>
      </c>
      <c r="G44" s="22">
        <v>4.3E-3</v>
      </c>
      <c r="H44" s="23">
        <v>6.6699999999999995E-2</v>
      </c>
      <c r="I44" s="24"/>
      <c r="J44" s="5"/>
    </row>
    <row r="45" spans="1:10" ht="13.05" customHeight="1">
      <c r="A45" s="18" t="s">
        <v>2951</v>
      </c>
      <c r="B45" s="19" t="s">
        <v>2952</v>
      </c>
      <c r="C45" s="15" t="s">
        <v>2953</v>
      </c>
      <c r="D45" s="15" t="s">
        <v>213</v>
      </c>
      <c r="E45" s="20">
        <v>50</v>
      </c>
      <c r="F45" s="21">
        <v>513.14250000000004</v>
      </c>
      <c r="G45" s="22">
        <v>4.3E-3</v>
      </c>
      <c r="H45" s="23">
        <v>6.6604999999999998E-2</v>
      </c>
      <c r="I45" s="24"/>
      <c r="J45" s="5"/>
    </row>
    <row r="46" spans="1:10" ht="13.05" customHeight="1">
      <c r="A46" s="18" t="s">
        <v>2954</v>
      </c>
      <c r="B46" s="19" t="s">
        <v>2955</v>
      </c>
      <c r="C46" s="15" t="s">
        <v>2956</v>
      </c>
      <c r="D46" s="15" t="s">
        <v>213</v>
      </c>
      <c r="E46" s="20">
        <v>50</v>
      </c>
      <c r="F46" s="21">
        <v>511.56299999999999</v>
      </c>
      <c r="G46" s="22">
        <v>4.3E-3</v>
      </c>
      <c r="H46" s="23">
        <v>6.7724999999999994E-2</v>
      </c>
      <c r="I46" s="24"/>
      <c r="J46" s="5"/>
    </row>
    <row r="47" spans="1:10" ht="13.05" customHeight="1">
      <c r="A47" s="18" t="s">
        <v>2957</v>
      </c>
      <c r="B47" s="19" t="s">
        <v>2958</v>
      </c>
      <c r="C47" s="15" t="s">
        <v>2959</v>
      </c>
      <c r="D47" s="15" t="s">
        <v>1923</v>
      </c>
      <c r="E47" s="20">
        <v>250</v>
      </c>
      <c r="F47" s="21">
        <v>509.25400000000002</v>
      </c>
      <c r="G47" s="22">
        <v>4.3E-3</v>
      </c>
      <c r="H47" s="23">
        <v>6.4421000000000006E-2</v>
      </c>
      <c r="I47" s="24"/>
      <c r="J47" s="5"/>
    </row>
    <row r="48" spans="1:10" ht="13.05" customHeight="1">
      <c r="A48" s="18" t="s">
        <v>2960</v>
      </c>
      <c r="B48" s="19" t="s">
        <v>2961</v>
      </c>
      <c r="C48" s="15" t="s">
        <v>2962</v>
      </c>
      <c r="D48" s="15" t="s">
        <v>1923</v>
      </c>
      <c r="E48" s="20">
        <v>50</v>
      </c>
      <c r="F48" s="21">
        <v>503.51850000000002</v>
      </c>
      <c r="G48" s="22">
        <v>4.1999999999999997E-3</v>
      </c>
      <c r="H48" s="23">
        <v>6.9250000000000006E-2</v>
      </c>
      <c r="I48" s="24"/>
      <c r="J48" s="5"/>
    </row>
    <row r="49" spans="1:10" ht="13.05" customHeight="1">
      <c r="A49" s="18" t="s">
        <v>2458</v>
      </c>
      <c r="B49" s="19" t="s">
        <v>2459</v>
      </c>
      <c r="C49" s="15" t="s">
        <v>2460</v>
      </c>
      <c r="D49" s="15" t="s">
        <v>213</v>
      </c>
      <c r="E49" s="20">
        <v>50</v>
      </c>
      <c r="F49" s="21">
        <v>496.75349999999997</v>
      </c>
      <c r="G49" s="22">
        <v>4.1000000000000003E-3</v>
      </c>
      <c r="H49" s="23">
        <v>6.8881999999999999E-2</v>
      </c>
      <c r="I49" s="42">
        <v>6.9545884000000002E-2</v>
      </c>
      <c r="J49" s="5"/>
    </row>
    <row r="50" spans="1:10" ht="13.05" customHeight="1">
      <c r="A50" s="18" t="s">
        <v>2963</v>
      </c>
      <c r="B50" s="19" t="s">
        <v>2964</v>
      </c>
      <c r="C50" s="15" t="s">
        <v>2965</v>
      </c>
      <c r="D50" s="15" t="s">
        <v>213</v>
      </c>
      <c r="E50" s="20">
        <v>40</v>
      </c>
      <c r="F50" s="21">
        <v>419.4896</v>
      </c>
      <c r="G50" s="22">
        <v>3.5000000000000001E-3</v>
      </c>
      <c r="H50" s="23">
        <v>6.8211999999999995E-2</v>
      </c>
      <c r="I50" s="42"/>
      <c r="J50" s="5"/>
    </row>
    <row r="51" spans="1:10" ht="13.05" customHeight="1">
      <c r="A51" s="18" t="s">
        <v>2966</v>
      </c>
      <c r="B51" s="19" t="s">
        <v>2967</v>
      </c>
      <c r="C51" s="15" t="s">
        <v>2968</v>
      </c>
      <c r="D51" s="15" t="s">
        <v>188</v>
      </c>
      <c r="E51" s="20">
        <v>400000</v>
      </c>
      <c r="F51" s="21">
        <v>413.40320000000003</v>
      </c>
      <c r="G51" s="22">
        <v>3.5000000000000001E-3</v>
      </c>
      <c r="H51" s="23">
        <v>6.1032000000000003E-2</v>
      </c>
      <c r="I51" s="42"/>
      <c r="J51" s="5"/>
    </row>
    <row r="52" spans="1:10" ht="13.05" customHeight="1">
      <c r="A52" s="18" t="s">
        <v>2969</v>
      </c>
      <c r="B52" s="19" t="s">
        <v>2970</v>
      </c>
      <c r="C52" s="15" t="s">
        <v>2971</v>
      </c>
      <c r="D52" s="15" t="s">
        <v>188</v>
      </c>
      <c r="E52" s="20">
        <v>394100</v>
      </c>
      <c r="F52" s="21">
        <v>392.8546</v>
      </c>
      <c r="G52" s="22">
        <v>3.3E-3</v>
      </c>
      <c r="H52" s="23">
        <v>6.8173999999999998E-2</v>
      </c>
      <c r="I52" s="42"/>
      <c r="J52" s="5"/>
    </row>
    <row r="53" spans="1:10" ht="13.05" customHeight="1">
      <c r="A53" s="18" t="s">
        <v>2972</v>
      </c>
      <c r="B53" s="19" t="s">
        <v>2973</v>
      </c>
      <c r="C53" s="15" t="s">
        <v>2974</v>
      </c>
      <c r="D53" s="15" t="s">
        <v>188</v>
      </c>
      <c r="E53" s="20">
        <v>364800</v>
      </c>
      <c r="F53" s="21">
        <v>361.69589999999999</v>
      </c>
      <c r="G53" s="22">
        <v>3.0000000000000001E-3</v>
      </c>
      <c r="H53" s="23">
        <v>6.8173999999999998E-2</v>
      </c>
      <c r="I53" s="42"/>
      <c r="J53" s="5"/>
    </row>
    <row r="54" spans="1:10" ht="13.05" customHeight="1">
      <c r="A54" s="18" t="s">
        <v>2975</v>
      </c>
      <c r="B54" s="19" t="s">
        <v>2976</v>
      </c>
      <c r="C54" s="15" t="s">
        <v>2977</v>
      </c>
      <c r="D54" s="15" t="s">
        <v>213</v>
      </c>
      <c r="E54" s="20">
        <v>25</v>
      </c>
      <c r="F54" s="21">
        <v>290.9015</v>
      </c>
      <c r="G54" s="22">
        <v>2.3999999999999998E-3</v>
      </c>
      <c r="H54" s="23">
        <v>7.2806999999999997E-2</v>
      </c>
      <c r="I54" s="42"/>
      <c r="J54" s="5"/>
    </row>
    <row r="55" spans="1:10" ht="13.05" customHeight="1">
      <c r="A55" s="18" t="s">
        <v>2978</v>
      </c>
      <c r="B55" s="19" t="s">
        <v>2979</v>
      </c>
      <c r="C55" s="15" t="s">
        <v>2980</v>
      </c>
      <c r="D55" s="15" t="s">
        <v>188</v>
      </c>
      <c r="E55" s="20">
        <v>172500</v>
      </c>
      <c r="F55" s="21">
        <v>163.77430000000001</v>
      </c>
      <c r="G55" s="22">
        <v>1.4E-3</v>
      </c>
      <c r="H55" s="23">
        <v>7.4246000000000006E-2</v>
      </c>
      <c r="I55" s="42"/>
      <c r="J55" s="5"/>
    </row>
    <row r="56" spans="1:10" ht="13.05" customHeight="1">
      <c r="A56" s="18" t="s">
        <v>2981</v>
      </c>
      <c r="B56" s="19" t="s">
        <v>2982</v>
      </c>
      <c r="C56" s="15" t="s">
        <v>2983</v>
      </c>
      <c r="D56" s="15" t="s">
        <v>188</v>
      </c>
      <c r="E56" s="20">
        <v>120300</v>
      </c>
      <c r="F56" s="21">
        <v>121.93049999999999</v>
      </c>
      <c r="G56" s="22">
        <v>1E-3</v>
      </c>
      <c r="H56" s="23">
        <v>6.7866999999999997E-2</v>
      </c>
      <c r="I56" s="42"/>
      <c r="J56" s="5"/>
    </row>
    <row r="57" spans="1:10" ht="13.05" customHeight="1">
      <c r="A57" s="18" t="s">
        <v>2477</v>
      </c>
      <c r="B57" s="19" t="s">
        <v>2478</v>
      </c>
      <c r="C57" s="15" t="s">
        <v>2479</v>
      </c>
      <c r="D57" s="15" t="s">
        <v>188</v>
      </c>
      <c r="E57" s="20">
        <v>100000</v>
      </c>
      <c r="F57" s="21">
        <v>97.238900000000001</v>
      </c>
      <c r="G57" s="22">
        <v>8.0000000000000004E-4</v>
      </c>
      <c r="H57" s="23">
        <v>6.7138000000000003E-2</v>
      </c>
      <c r="I57" s="42"/>
      <c r="J57" s="5"/>
    </row>
    <row r="58" spans="1:10" ht="13.05" customHeight="1">
      <c r="A58" s="18" t="s">
        <v>2984</v>
      </c>
      <c r="B58" s="19" t="s">
        <v>2985</v>
      </c>
      <c r="C58" s="15" t="s">
        <v>2986</v>
      </c>
      <c r="D58" s="15" t="s">
        <v>188</v>
      </c>
      <c r="E58" s="20">
        <v>36700</v>
      </c>
      <c r="F58" s="21">
        <v>36.7761</v>
      </c>
      <c r="G58" s="22">
        <v>2.9999999999999997E-4</v>
      </c>
      <c r="H58" s="23">
        <v>7.3521000000000003E-2</v>
      </c>
      <c r="I58" s="42"/>
      <c r="J58" s="5"/>
    </row>
    <row r="59" spans="1:10" ht="13.05" customHeight="1">
      <c r="A59" s="18" t="s">
        <v>2987</v>
      </c>
      <c r="B59" s="19" t="s">
        <v>2988</v>
      </c>
      <c r="C59" s="15" t="s">
        <v>2989</v>
      </c>
      <c r="D59" s="15" t="s">
        <v>188</v>
      </c>
      <c r="E59" s="20">
        <v>30000</v>
      </c>
      <c r="F59" s="21">
        <v>31.9681</v>
      </c>
      <c r="G59" s="22">
        <v>2.9999999999999997E-4</v>
      </c>
      <c r="H59" s="23">
        <v>5.9117999999999997E-2</v>
      </c>
      <c r="I59" s="42"/>
      <c r="J59" s="5"/>
    </row>
    <row r="60" spans="1:10" ht="13.05" customHeight="1">
      <c r="A60" s="5"/>
      <c r="B60" s="14" t="s">
        <v>192</v>
      </c>
      <c r="C60" s="15"/>
      <c r="D60" s="15"/>
      <c r="E60" s="15"/>
      <c r="F60" s="25">
        <v>92133.909100000004</v>
      </c>
      <c r="G60" s="26">
        <v>0.76949999999999996</v>
      </c>
      <c r="H60" s="27"/>
      <c r="I60" s="28"/>
      <c r="J60" s="5"/>
    </row>
    <row r="61" spans="1:10" ht="13.05" customHeight="1">
      <c r="A61" s="5"/>
      <c r="B61" s="29" t="s">
        <v>193</v>
      </c>
      <c r="C61" s="2"/>
      <c r="D61" s="2"/>
      <c r="E61" s="2"/>
      <c r="F61" s="27" t="s">
        <v>194</v>
      </c>
      <c r="G61" s="27" t="s">
        <v>194</v>
      </c>
      <c r="H61" s="27"/>
      <c r="I61" s="28"/>
      <c r="J61" s="5"/>
    </row>
    <row r="62" spans="1:10" ht="13.05" customHeight="1">
      <c r="A62" s="5"/>
      <c r="B62" s="29" t="s">
        <v>192</v>
      </c>
      <c r="C62" s="2"/>
      <c r="D62" s="2"/>
      <c r="E62" s="2"/>
      <c r="F62" s="27" t="s">
        <v>194</v>
      </c>
      <c r="G62" s="27" t="s">
        <v>194</v>
      </c>
      <c r="H62" s="27"/>
      <c r="I62" s="28"/>
      <c r="J62" s="5"/>
    </row>
    <row r="63" spans="1:10" ht="13.05" customHeight="1">
      <c r="A63" s="5"/>
      <c r="B63" s="14" t="s">
        <v>2297</v>
      </c>
      <c r="C63" s="15"/>
      <c r="D63" s="15"/>
      <c r="E63" s="15"/>
      <c r="F63" s="5"/>
      <c r="G63" s="16"/>
      <c r="H63" s="16"/>
      <c r="I63" s="17"/>
      <c r="J63" s="5"/>
    </row>
    <row r="64" spans="1:10" ht="13.05" customHeight="1">
      <c r="A64" s="18" t="s">
        <v>2302</v>
      </c>
      <c r="B64" s="19" t="s">
        <v>2303</v>
      </c>
      <c r="C64" s="15" t="s">
        <v>2304</v>
      </c>
      <c r="D64" s="15" t="s">
        <v>2301</v>
      </c>
      <c r="E64" s="20">
        <v>11</v>
      </c>
      <c r="F64" s="21">
        <v>1114.924</v>
      </c>
      <c r="G64" s="22">
        <v>9.2999999999999992E-3</v>
      </c>
      <c r="H64" s="23">
        <v>7.4237999999999998E-2</v>
      </c>
      <c r="I64" s="42"/>
      <c r="J64" s="5"/>
    </row>
    <row r="65" spans="1:10" ht="13.05" customHeight="1">
      <c r="A65" s="18" t="s">
        <v>2298</v>
      </c>
      <c r="B65" s="19" t="s">
        <v>2299</v>
      </c>
      <c r="C65" s="15" t="s">
        <v>2300</v>
      </c>
      <c r="D65" s="15" t="s">
        <v>2301</v>
      </c>
      <c r="E65" s="20">
        <v>11</v>
      </c>
      <c r="F65" s="21">
        <v>1113.5402999999999</v>
      </c>
      <c r="G65" s="22">
        <v>9.2999999999999992E-3</v>
      </c>
      <c r="H65" s="23">
        <v>7.3218000000000005E-2</v>
      </c>
      <c r="I65" s="42"/>
      <c r="J65" s="5"/>
    </row>
    <row r="66" spans="1:10" ht="13.05" customHeight="1">
      <c r="A66" s="18" t="s">
        <v>2305</v>
      </c>
      <c r="B66" s="19" t="s">
        <v>2306</v>
      </c>
      <c r="C66" s="15" t="s">
        <v>2307</v>
      </c>
      <c r="D66" s="15" t="s">
        <v>2301</v>
      </c>
      <c r="E66" s="20">
        <v>8</v>
      </c>
      <c r="F66" s="21">
        <v>808.11850000000004</v>
      </c>
      <c r="G66" s="22">
        <v>6.7000000000000002E-3</v>
      </c>
      <c r="H66" s="23">
        <v>7.2300000000000003E-2</v>
      </c>
      <c r="I66" s="42"/>
      <c r="J66" s="5"/>
    </row>
    <row r="67" spans="1:10" ht="13.05" customHeight="1">
      <c r="A67" s="5"/>
      <c r="B67" s="14" t="s">
        <v>192</v>
      </c>
      <c r="C67" s="15"/>
      <c r="D67" s="15"/>
      <c r="E67" s="15"/>
      <c r="F67" s="25">
        <v>3036.5828000000001</v>
      </c>
      <c r="G67" s="26">
        <v>2.5399999999999999E-2</v>
      </c>
      <c r="H67" s="27"/>
      <c r="I67" s="28"/>
      <c r="J67" s="5"/>
    </row>
    <row r="68" spans="1:10" ht="13.05" customHeight="1">
      <c r="A68" s="5"/>
      <c r="B68" s="29" t="s">
        <v>193</v>
      </c>
      <c r="C68" s="2"/>
      <c r="D68" s="2"/>
      <c r="E68" s="2"/>
      <c r="F68" s="27" t="s">
        <v>194</v>
      </c>
      <c r="G68" s="27" t="s">
        <v>194</v>
      </c>
      <c r="H68" s="27"/>
      <c r="I68" s="28"/>
      <c r="J68" s="5"/>
    </row>
    <row r="69" spans="1:10" ht="13.05" customHeight="1">
      <c r="A69" s="5"/>
      <c r="B69" s="29" t="s">
        <v>192</v>
      </c>
      <c r="C69" s="2"/>
      <c r="D69" s="2"/>
      <c r="E69" s="2"/>
      <c r="F69" s="27" t="s">
        <v>194</v>
      </c>
      <c r="G69" s="27" t="s">
        <v>194</v>
      </c>
      <c r="H69" s="27"/>
      <c r="I69" s="28"/>
      <c r="J69" s="5"/>
    </row>
    <row r="70" spans="1:10" ht="13.05" customHeight="1">
      <c r="A70" s="5"/>
      <c r="B70" s="29" t="s">
        <v>195</v>
      </c>
      <c r="C70" s="30"/>
      <c r="D70" s="2"/>
      <c r="E70" s="30"/>
      <c r="F70" s="25">
        <v>95170.491899999994</v>
      </c>
      <c r="G70" s="26">
        <v>0.79490000000000005</v>
      </c>
      <c r="H70" s="27"/>
      <c r="I70" s="28"/>
      <c r="J70" s="5"/>
    </row>
    <row r="71" spans="1:10" ht="13.05" customHeight="1">
      <c r="A71" s="5"/>
      <c r="B71" s="14" t="s">
        <v>1818</v>
      </c>
      <c r="C71" s="15"/>
      <c r="D71" s="15"/>
      <c r="E71" s="15"/>
      <c r="F71" s="15"/>
      <c r="G71" s="15"/>
      <c r="H71" s="16"/>
      <c r="I71" s="17"/>
      <c r="J71" s="5"/>
    </row>
    <row r="72" spans="1:10" ht="13.05" customHeight="1">
      <c r="A72" s="5"/>
      <c r="B72" s="14" t="s">
        <v>2332</v>
      </c>
      <c r="C72" s="15"/>
      <c r="D72" s="15"/>
      <c r="E72" s="15"/>
      <c r="F72" s="5"/>
      <c r="G72" s="16"/>
      <c r="H72" s="16"/>
      <c r="I72" s="17"/>
      <c r="J72" s="5"/>
    </row>
    <row r="73" spans="1:10" ht="13.05" customHeight="1">
      <c r="A73" s="18" t="s">
        <v>2333</v>
      </c>
      <c r="B73" s="19" t="s">
        <v>2334</v>
      </c>
      <c r="C73" s="15" t="s">
        <v>2335</v>
      </c>
      <c r="D73" s="15"/>
      <c r="E73" s="20">
        <v>4323.366</v>
      </c>
      <c r="F73" s="21">
        <v>494.63010000000003</v>
      </c>
      <c r="G73" s="22">
        <v>4.1000000000000003E-3</v>
      </c>
      <c r="H73" s="23"/>
      <c r="I73" s="42"/>
      <c r="J73" s="5"/>
    </row>
    <row r="74" spans="1:10" ht="13.05" customHeight="1">
      <c r="A74" s="5"/>
      <c r="B74" s="14" t="s">
        <v>192</v>
      </c>
      <c r="C74" s="15"/>
      <c r="D74" s="15"/>
      <c r="E74" s="15"/>
      <c r="F74" s="25">
        <v>494.63010000000003</v>
      </c>
      <c r="G74" s="26">
        <v>4.1000000000000003E-3</v>
      </c>
      <c r="H74" s="27"/>
      <c r="I74" s="28"/>
      <c r="J74" s="5"/>
    </row>
    <row r="75" spans="1:10" ht="13.05" customHeight="1">
      <c r="A75" s="5"/>
      <c r="B75" s="29" t="s">
        <v>195</v>
      </c>
      <c r="C75" s="30"/>
      <c r="D75" s="2"/>
      <c r="E75" s="30"/>
      <c r="F75" s="25">
        <v>494.63010000000003</v>
      </c>
      <c r="G75" s="26">
        <v>4.1000000000000003E-3</v>
      </c>
      <c r="H75" s="27"/>
      <c r="I75" s="28"/>
      <c r="J75" s="5"/>
    </row>
    <row r="76" spans="1:10" ht="13.05" customHeight="1">
      <c r="A76" s="5"/>
      <c r="B76" s="14" t="s">
        <v>196</v>
      </c>
      <c r="C76" s="15"/>
      <c r="D76" s="15"/>
      <c r="E76" s="15"/>
      <c r="F76" s="15"/>
      <c r="G76" s="15"/>
      <c r="H76" s="16"/>
      <c r="I76" s="17"/>
      <c r="J76" s="5"/>
    </row>
    <row r="77" spans="1:10" ht="13.05" customHeight="1">
      <c r="A77" s="18" t="s">
        <v>197</v>
      </c>
      <c r="B77" s="19" t="s">
        <v>198</v>
      </c>
      <c r="C77" s="15"/>
      <c r="D77" s="15"/>
      <c r="E77" s="20"/>
      <c r="F77" s="21">
        <v>22225.072199999999</v>
      </c>
      <c r="G77" s="22">
        <v>0.18559999999999999</v>
      </c>
      <c r="H77" s="23">
        <v>5.5573617010495215E-2</v>
      </c>
      <c r="I77" s="42"/>
      <c r="J77" s="5"/>
    </row>
    <row r="78" spans="1:10" ht="13.05" customHeight="1">
      <c r="A78" s="5"/>
      <c r="B78" s="14" t="s">
        <v>192</v>
      </c>
      <c r="C78" s="15"/>
      <c r="D78" s="15"/>
      <c r="E78" s="15"/>
      <c r="F78" s="25">
        <v>22225.072199999999</v>
      </c>
      <c r="G78" s="26">
        <v>0.18559999999999999</v>
      </c>
      <c r="H78" s="27"/>
      <c r="I78" s="28"/>
      <c r="J78" s="5"/>
    </row>
    <row r="79" spans="1:10" ht="13.05" customHeight="1">
      <c r="A79" s="5"/>
      <c r="B79" s="29" t="s">
        <v>193</v>
      </c>
      <c r="C79" s="2"/>
      <c r="D79" s="2"/>
      <c r="E79" s="2"/>
      <c r="F79" s="27" t="s">
        <v>194</v>
      </c>
      <c r="G79" s="27" t="s">
        <v>194</v>
      </c>
      <c r="H79" s="27"/>
      <c r="I79" s="28"/>
      <c r="J79" s="5"/>
    </row>
    <row r="80" spans="1:10" ht="13.05" customHeight="1">
      <c r="A80" s="5"/>
      <c r="B80" s="29" t="s">
        <v>192</v>
      </c>
      <c r="C80" s="2"/>
      <c r="D80" s="2"/>
      <c r="E80" s="2"/>
      <c r="F80" s="27" t="s">
        <v>194</v>
      </c>
      <c r="G80" s="27" t="s">
        <v>194</v>
      </c>
      <c r="H80" s="27"/>
      <c r="I80" s="28"/>
      <c r="J80" s="5"/>
    </row>
    <row r="81" spans="1:10" ht="13.05" customHeight="1">
      <c r="A81" s="5"/>
      <c r="B81" s="29" t="s">
        <v>195</v>
      </c>
      <c r="C81" s="30"/>
      <c r="D81" s="2"/>
      <c r="E81" s="30"/>
      <c r="F81" s="25">
        <v>22225.072199999999</v>
      </c>
      <c r="G81" s="26">
        <v>0.18559999999999999</v>
      </c>
      <c r="H81" s="27"/>
      <c r="I81" s="28"/>
      <c r="J81" s="5"/>
    </row>
    <row r="82" spans="1:10" ht="13.05" customHeight="1">
      <c r="A82" s="5"/>
      <c r="B82" s="29" t="s">
        <v>199</v>
      </c>
      <c r="C82" s="15"/>
      <c r="D82" s="2"/>
      <c r="E82" s="15"/>
      <c r="F82" s="31">
        <v>1838.7257999999999</v>
      </c>
      <c r="G82" s="26">
        <v>1.54E-2</v>
      </c>
      <c r="H82" s="27"/>
      <c r="I82" s="28"/>
      <c r="J82" s="5"/>
    </row>
    <row r="83" spans="1:10" ht="13.05" customHeight="1">
      <c r="A83" s="5"/>
      <c r="B83" s="32" t="s">
        <v>200</v>
      </c>
      <c r="C83" s="33"/>
      <c r="D83" s="33"/>
      <c r="E83" s="33"/>
      <c r="F83" s="34">
        <v>119728.92</v>
      </c>
      <c r="G83" s="35">
        <v>1</v>
      </c>
      <c r="H83" s="36"/>
      <c r="I83" s="37"/>
      <c r="J83" s="5"/>
    </row>
    <row r="84" spans="1:10" ht="13.05" customHeight="1">
      <c r="A84" s="5"/>
      <c r="B84" s="7"/>
      <c r="C84" s="5"/>
      <c r="D84" s="5"/>
      <c r="E84" s="5"/>
      <c r="F84" s="5"/>
      <c r="G84" s="5"/>
      <c r="H84" s="5"/>
      <c r="I84" s="5"/>
      <c r="J84" s="5"/>
    </row>
    <row r="85" spans="1:10" ht="13.05" customHeight="1">
      <c r="A85" s="5"/>
      <c r="B85" s="4" t="s">
        <v>250</v>
      </c>
      <c r="C85" s="5"/>
      <c r="D85" s="5"/>
      <c r="E85" s="5"/>
      <c r="F85" s="5"/>
      <c r="G85" s="5"/>
      <c r="H85" s="5"/>
      <c r="I85" s="5"/>
      <c r="J85" s="5"/>
    </row>
    <row r="86" spans="1:10" ht="13.05" customHeight="1">
      <c r="A86" s="5"/>
      <c r="B86" s="4" t="s">
        <v>201</v>
      </c>
      <c r="C86" s="5"/>
      <c r="D86" s="5"/>
      <c r="E86" s="5"/>
      <c r="F86" s="5"/>
      <c r="G86" s="5"/>
      <c r="H86" s="5"/>
      <c r="I86" s="5"/>
      <c r="J86" s="5"/>
    </row>
    <row r="87" spans="1:10" ht="25.95" customHeight="1">
      <c r="A87" s="5"/>
      <c r="B87" s="103" t="s">
        <v>202</v>
      </c>
      <c r="C87" s="103"/>
      <c r="D87" s="103"/>
      <c r="E87" s="103"/>
      <c r="F87" s="103"/>
      <c r="G87" s="103"/>
      <c r="H87" s="103"/>
      <c r="I87" s="103"/>
      <c r="J87" s="5"/>
    </row>
    <row r="88" spans="1:10" ht="13.05" customHeight="1">
      <c r="A88" s="5"/>
      <c r="B88" s="103" t="s">
        <v>203</v>
      </c>
      <c r="C88" s="103"/>
      <c r="D88" s="103"/>
      <c r="E88" s="103"/>
      <c r="F88" s="103"/>
      <c r="G88" s="103"/>
      <c r="H88" s="103"/>
      <c r="I88" s="103"/>
      <c r="J88" s="5"/>
    </row>
    <row r="89" spans="1:10" ht="13.05" customHeight="1">
      <c r="A89" s="5"/>
      <c r="B89" s="103"/>
      <c r="C89" s="103"/>
      <c r="D89" s="103"/>
      <c r="E89" s="103"/>
      <c r="F89" s="103"/>
      <c r="G89" s="103"/>
      <c r="H89" s="103"/>
      <c r="I89" s="103"/>
      <c r="J89" s="5"/>
    </row>
    <row r="90" spans="1:10" ht="13.05" customHeight="1">
      <c r="A90" s="5"/>
      <c r="B90" s="103"/>
      <c r="C90" s="103"/>
      <c r="D90" s="103"/>
      <c r="E90" s="103"/>
      <c r="F90" s="103"/>
      <c r="G90" s="103"/>
      <c r="H90" s="103"/>
      <c r="I90" s="103"/>
      <c r="J90" s="5"/>
    </row>
    <row r="91" spans="1:10" ht="13.05" customHeight="1">
      <c r="A91" s="5"/>
      <c r="B91" s="103"/>
      <c r="C91" s="103"/>
      <c r="D91" s="103"/>
      <c r="E91" s="103"/>
      <c r="F91" s="103"/>
      <c r="G91" s="103"/>
      <c r="H91" s="103"/>
      <c r="I91" s="103"/>
      <c r="J91" s="5"/>
    </row>
    <row r="92" spans="1:10" ht="13.05" customHeight="1">
      <c r="A92" s="5"/>
      <c r="B92" s="103"/>
      <c r="C92" s="103"/>
      <c r="D92" s="103"/>
      <c r="E92" s="103"/>
      <c r="F92" s="103"/>
      <c r="G92" s="103"/>
      <c r="H92" s="103"/>
      <c r="I92" s="103"/>
      <c r="J92" s="5"/>
    </row>
    <row r="93" spans="1:10" ht="13.05" customHeight="1">
      <c r="A93" s="5"/>
      <c r="B93" s="5"/>
      <c r="C93" s="104" t="s">
        <v>2990</v>
      </c>
      <c r="D93" s="104"/>
      <c r="E93" s="104"/>
      <c r="F93" s="104"/>
      <c r="G93" s="5"/>
      <c r="H93" s="5"/>
      <c r="I93" s="5"/>
      <c r="J93" s="5"/>
    </row>
    <row r="94" spans="1:10" ht="13.05" customHeight="1">
      <c r="A94" s="5"/>
      <c r="B94" s="38" t="s">
        <v>207</v>
      </c>
      <c r="C94" s="104" t="s">
        <v>208</v>
      </c>
      <c r="D94" s="104"/>
      <c r="E94" s="104"/>
      <c r="F94" s="104"/>
      <c r="G94" s="5"/>
      <c r="H94" s="5"/>
      <c r="I94" s="5"/>
      <c r="J94" s="5"/>
    </row>
    <row r="95" spans="1:10" ht="135" customHeight="1">
      <c r="A95" s="5"/>
      <c r="B95" s="39"/>
      <c r="C95" s="105"/>
      <c r="D95" s="105"/>
      <c r="E95" s="5"/>
      <c r="F95" s="5"/>
      <c r="G95" s="5"/>
      <c r="H95" s="5"/>
      <c r="I95" s="5"/>
      <c r="J95" s="5"/>
    </row>
  </sheetData>
  <mergeCells count="9">
    <mergeCell ref="B92:I92"/>
    <mergeCell ref="C93:F93"/>
    <mergeCell ref="C94:F94"/>
    <mergeCell ref="C95:D95"/>
    <mergeCell ref="B87:I87"/>
    <mergeCell ref="B88:I88"/>
    <mergeCell ref="B89:I89"/>
    <mergeCell ref="B90:I90"/>
    <mergeCell ref="B91:I91"/>
  </mergeCells>
  <hyperlinks>
    <hyperlink ref="A1" location="AxisDynamicBondFund" display="AXISDBF" xr:uid="{00000000-0004-0000-1300-000000000000}"/>
    <hyperlink ref="B1" location="AxisDynamicBondFund" display="Axis Dynamic Bond Fund" xr:uid="{00000000-0004-0000-1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J267"/>
  <sheetViews>
    <sheetView topLeftCell="A196" workbookViewId="0">
      <selection activeCell="D219" sqref="D219"/>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43</v>
      </c>
      <c r="B1" s="4" t="s">
        <v>44</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258</v>
      </c>
      <c r="B7" s="19" t="s">
        <v>259</v>
      </c>
      <c r="C7" s="15" t="s">
        <v>260</v>
      </c>
      <c r="D7" s="15" t="s">
        <v>261</v>
      </c>
      <c r="E7" s="20">
        <v>1386051</v>
      </c>
      <c r="F7" s="21">
        <v>20602.2621</v>
      </c>
      <c r="G7" s="22">
        <v>5.5399999999999998E-2</v>
      </c>
      <c r="H7" s="40"/>
      <c r="I7" s="24"/>
      <c r="J7" s="5"/>
    </row>
    <row r="8" spans="1:10" ht="13.05" customHeight="1">
      <c r="A8" s="18" t="s">
        <v>254</v>
      </c>
      <c r="B8" s="19" t="s">
        <v>255</v>
      </c>
      <c r="C8" s="15" t="s">
        <v>256</v>
      </c>
      <c r="D8" s="15" t="s">
        <v>257</v>
      </c>
      <c r="E8" s="20">
        <v>1949910</v>
      </c>
      <c r="F8" s="21">
        <v>19251.4614</v>
      </c>
      <c r="G8" s="22">
        <v>5.1700000000000003E-2</v>
      </c>
      <c r="H8" s="40"/>
      <c r="I8" s="24"/>
      <c r="J8" s="5"/>
    </row>
    <row r="9" spans="1:10" ht="13.05" customHeight="1">
      <c r="A9" s="18" t="s">
        <v>281</v>
      </c>
      <c r="B9" s="19" t="s">
        <v>282</v>
      </c>
      <c r="C9" s="15" t="s">
        <v>283</v>
      </c>
      <c r="D9" s="15" t="s">
        <v>257</v>
      </c>
      <c r="E9" s="20">
        <v>1781305</v>
      </c>
      <c r="F9" s="21">
        <v>16690.8279</v>
      </c>
      <c r="G9" s="22">
        <v>4.4900000000000002E-2</v>
      </c>
      <c r="H9" s="40"/>
      <c r="I9" s="24"/>
      <c r="J9" s="5"/>
    </row>
    <row r="10" spans="1:10" ht="13.05" customHeight="1">
      <c r="A10" s="18" t="s">
        <v>269</v>
      </c>
      <c r="B10" s="19" t="s">
        <v>270</v>
      </c>
      <c r="C10" s="15" t="s">
        <v>271</v>
      </c>
      <c r="D10" s="15" t="s">
        <v>272</v>
      </c>
      <c r="E10" s="20">
        <v>878156</v>
      </c>
      <c r="F10" s="21">
        <v>13016.9064</v>
      </c>
      <c r="G10" s="22">
        <v>3.5000000000000003E-2</v>
      </c>
      <c r="H10" s="40"/>
      <c r="I10" s="24"/>
      <c r="J10" s="5"/>
    </row>
    <row r="11" spans="1:10" ht="13.05" customHeight="1">
      <c r="A11" s="18" t="s">
        <v>262</v>
      </c>
      <c r="B11" s="19" t="s">
        <v>263</v>
      </c>
      <c r="C11" s="15" t="s">
        <v>264</v>
      </c>
      <c r="D11" s="15" t="s">
        <v>257</v>
      </c>
      <c r="E11" s="20">
        <v>908419</v>
      </c>
      <c r="F11" s="21">
        <v>12220.960800000001</v>
      </c>
      <c r="G11" s="22">
        <v>3.2800000000000003E-2</v>
      </c>
      <c r="H11" s="40"/>
      <c r="I11" s="24"/>
      <c r="J11" s="5"/>
    </row>
    <row r="12" spans="1:10" ht="13.05" customHeight="1">
      <c r="A12" s="18" t="s">
        <v>293</v>
      </c>
      <c r="B12" s="19" t="s">
        <v>294</v>
      </c>
      <c r="C12" s="15" t="s">
        <v>295</v>
      </c>
      <c r="D12" s="15" t="s">
        <v>296</v>
      </c>
      <c r="E12" s="20">
        <v>308627</v>
      </c>
      <c r="F12" s="21">
        <v>10762.440699999999</v>
      </c>
      <c r="G12" s="22">
        <v>2.8899999999999999E-2</v>
      </c>
      <c r="H12" s="40"/>
      <c r="I12" s="24"/>
      <c r="J12" s="5"/>
    </row>
    <row r="13" spans="1:10" ht="13.05" customHeight="1">
      <c r="A13" s="18" t="s">
        <v>273</v>
      </c>
      <c r="B13" s="19" t="s">
        <v>274</v>
      </c>
      <c r="C13" s="15" t="s">
        <v>275</v>
      </c>
      <c r="D13" s="15" t="s">
        <v>276</v>
      </c>
      <c r="E13" s="20">
        <v>246190</v>
      </c>
      <c r="F13" s="21">
        <v>9923.6726999999992</v>
      </c>
      <c r="G13" s="22">
        <v>2.6700000000000002E-2</v>
      </c>
      <c r="H13" s="40"/>
      <c r="I13" s="24"/>
      <c r="J13" s="5"/>
    </row>
    <row r="14" spans="1:10" ht="13.05" customHeight="1">
      <c r="A14" s="18" t="s">
        <v>297</v>
      </c>
      <c r="B14" s="19" t="s">
        <v>298</v>
      </c>
      <c r="C14" s="15" t="s">
        <v>299</v>
      </c>
      <c r="D14" s="15" t="s">
        <v>300</v>
      </c>
      <c r="E14" s="20">
        <v>710440</v>
      </c>
      <c r="F14" s="21">
        <v>7408.4683000000005</v>
      </c>
      <c r="G14" s="22">
        <v>1.9900000000000001E-2</v>
      </c>
      <c r="H14" s="40"/>
      <c r="I14" s="24"/>
      <c r="J14" s="5"/>
    </row>
    <row r="15" spans="1:10" ht="13.05" customHeight="1">
      <c r="A15" s="18" t="s">
        <v>265</v>
      </c>
      <c r="B15" s="19" t="s">
        <v>266</v>
      </c>
      <c r="C15" s="15" t="s">
        <v>267</v>
      </c>
      <c r="D15" s="15" t="s">
        <v>268</v>
      </c>
      <c r="E15" s="20">
        <v>357259</v>
      </c>
      <c r="F15" s="21">
        <v>7339.8861999999999</v>
      </c>
      <c r="G15" s="22">
        <v>1.9699999999999999E-2</v>
      </c>
      <c r="H15" s="40"/>
      <c r="I15" s="24"/>
      <c r="J15" s="5"/>
    </row>
    <row r="16" spans="1:10" ht="13.05" customHeight="1">
      <c r="A16" s="18" t="s">
        <v>287</v>
      </c>
      <c r="B16" s="19" t="s">
        <v>288</v>
      </c>
      <c r="C16" s="15" t="s">
        <v>289</v>
      </c>
      <c r="D16" s="15" t="s">
        <v>272</v>
      </c>
      <c r="E16" s="20">
        <v>197516</v>
      </c>
      <c r="F16" s="21">
        <v>6040.0393000000004</v>
      </c>
      <c r="G16" s="22">
        <v>1.6199999999999999E-2</v>
      </c>
      <c r="H16" s="40"/>
      <c r="I16" s="24"/>
      <c r="J16" s="5"/>
    </row>
    <row r="17" spans="1:10" ht="13.05" customHeight="1">
      <c r="A17" s="18" t="s">
        <v>318</v>
      </c>
      <c r="B17" s="19" t="s">
        <v>319</v>
      </c>
      <c r="C17" s="15" t="s">
        <v>320</v>
      </c>
      <c r="D17" s="15" t="s">
        <v>321</v>
      </c>
      <c r="E17" s="20">
        <v>1594541</v>
      </c>
      <c r="F17" s="21">
        <v>5372.8059000000003</v>
      </c>
      <c r="G17" s="22">
        <v>1.44E-2</v>
      </c>
      <c r="H17" s="40"/>
      <c r="I17" s="24"/>
      <c r="J17" s="5"/>
    </row>
    <row r="18" spans="1:10" ht="13.05" customHeight="1">
      <c r="A18" s="18" t="s">
        <v>277</v>
      </c>
      <c r="B18" s="19" t="s">
        <v>278</v>
      </c>
      <c r="C18" s="15" t="s">
        <v>279</v>
      </c>
      <c r="D18" s="15" t="s">
        <v>280</v>
      </c>
      <c r="E18" s="20">
        <v>1145707</v>
      </c>
      <c r="F18" s="21">
        <v>4815.9794000000002</v>
      </c>
      <c r="G18" s="22">
        <v>1.29E-2</v>
      </c>
      <c r="H18" s="40"/>
      <c r="I18" s="24"/>
      <c r="J18" s="5"/>
    </row>
    <row r="19" spans="1:10" ht="13.05" customHeight="1">
      <c r="A19" s="18" t="s">
        <v>290</v>
      </c>
      <c r="B19" s="19" t="s">
        <v>291</v>
      </c>
      <c r="C19" s="15" t="s">
        <v>292</v>
      </c>
      <c r="D19" s="15" t="s">
        <v>257</v>
      </c>
      <c r="E19" s="20">
        <v>221096</v>
      </c>
      <c r="F19" s="21">
        <v>4647.8801000000003</v>
      </c>
      <c r="G19" s="22">
        <v>1.2500000000000001E-2</v>
      </c>
      <c r="H19" s="40"/>
      <c r="I19" s="24"/>
      <c r="J19" s="5"/>
    </row>
    <row r="20" spans="1:10" ht="13.05" customHeight="1">
      <c r="A20" s="18" t="s">
        <v>311</v>
      </c>
      <c r="B20" s="19" t="s">
        <v>312</v>
      </c>
      <c r="C20" s="15" t="s">
        <v>313</v>
      </c>
      <c r="D20" s="15" t="s">
        <v>314</v>
      </c>
      <c r="E20" s="20">
        <v>259243</v>
      </c>
      <c r="F20" s="21">
        <v>4383.0213999999996</v>
      </c>
      <c r="G20" s="22">
        <v>1.18E-2</v>
      </c>
      <c r="H20" s="40"/>
      <c r="I20" s="24"/>
      <c r="J20" s="5"/>
    </row>
    <row r="21" spans="1:10" ht="13.05" customHeight="1">
      <c r="A21" s="18" t="s">
        <v>402</v>
      </c>
      <c r="B21" s="19" t="s">
        <v>403</v>
      </c>
      <c r="C21" s="15" t="s">
        <v>404</v>
      </c>
      <c r="D21" s="15" t="s">
        <v>405</v>
      </c>
      <c r="E21" s="20">
        <v>200627</v>
      </c>
      <c r="F21" s="21">
        <v>3923.6622000000002</v>
      </c>
      <c r="G21" s="22">
        <v>1.0500000000000001E-2</v>
      </c>
      <c r="H21" s="40"/>
      <c r="I21" s="24"/>
      <c r="J21" s="5"/>
    </row>
    <row r="22" spans="1:10" ht="13.05" customHeight="1">
      <c r="A22" s="18" t="s">
        <v>365</v>
      </c>
      <c r="B22" s="19" t="s">
        <v>366</v>
      </c>
      <c r="C22" s="15" t="s">
        <v>367</v>
      </c>
      <c r="D22" s="15" t="s">
        <v>300</v>
      </c>
      <c r="E22" s="20">
        <v>429162</v>
      </c>
      <c r="F22" s="21">
        <v>3213.9942000000001</v>
      </c>
      <c r="G22" s="22">
        <v>8.6E-3</v>
      </c>
      <c r="H22" s="40"/>
      <c r="I22" s="24"/>
      <c r="J22" s="5"/>
    </row>
    <row r="23" spans="1:10" ht="13.05" customHeight="1">
      <c r="A23" s="18" t="s">
        <v>416</v>
      </c>
      <c r="B23" s="19" t="s">
        <v>417</v>
      </c>
      <c r="C23" s="15" t="s">
        <v>418</v>
      </c>
      <c r="D23" s="15" t="s">
        <v>314</v>
      </c>
      <c r="E23" s="20">
        <v>210230</v>
      </c>
      <c r="F23" s="21">
        <v>3156.183</v>
      </c>
      <c r="G23" s="22">
        <v>8.5000000000000006E-3</v>
      </c>
      <c r="H23" s="40"/>
      <c r="I23" s="24"/>
      <c r="J23" s="5"/>
    </row>
    <row r="24" spans="1:10" ht="13.05" customHeight="1">
      <c r="A24" s="18" t="s">
        <v>305</v>
      </c>
      <c r="B24" s="19" t="s">
        <v>306</v>
      </c>
      <c r="C24" s="15" t="s">
        <v>307</v>
      </c>
      <c r="D24" s="15" t="s">
        <v>280</v>
      </c>
      <c r="E24" s="20">
        <v>127200</v>
      </c>
      <c r="F24" s="21">
        <v>3136.116</v>
      </c>
      <c r="G24" s="22">
        <v>8.3999999999999995E-3</v>
      </c>
      <c r="H24" s="40"/>
      <c r="I24" s="24"/>
      <c r="J24" s="5"/>
    </row>
    <row r="25" spans="1:10" ht="13.05" customHeight="1">
      <c r="A25" s="18" t="s">
        <v>322</v>
      </c>
      <c r="B25" s="19" t="s">
        <v>323</v>
      </c>
      <c r="C25" s="15" t="s">
        <v>324</v>
      </c>
      <c r="D25" s="15" t="s">
        <v>325</v>
      </c>
      <c r="E25" s="20">
        <v>83072</v>
      </c>
      <c r="F25" s="21">
        <v>3112.4585999999999</v>
      </c>
      <c r="G25" s="22">
        <v>8.3999999999999995E-3</v>
      </c>
      <c r="H25" s="40"/>
      <c r="I25" s="24"/>
      <c r="J25" s="5"/>
    </row>
    <row r="26" spans="1:10" ht="13.05" customHeight="1">
      <c r="A26" s="18" t="s">
        <v>578</v>
      </c>
      <c r="B26" s="19" t="s">
        <v>579</v>
      </c>
      <c r="C26" s="15" t="s">
        <v>580</v>
      </c>
      <c r="D26" s="15" t="s">
        <v>581</v>
      </c>
      <c r="E26" s="20">
        <v>213926</v>
      </c>
      <c r="F26" s="21">
        <v>3090.375</v>
      </c>
      <c r="G26" s="22">
        <v>8.3000000000000001E-3</v>
      </c>
      <c r="H26" s="40"/>
      <c r="I26" s="24"/>
      <c r="J26" s="5"/>
    </row>
    <row r="27" spans="1:10" ht="13.05" customHeight="1">
      <c r="A27" s="18" t="s">
        <v>2429</v>
      </c>
      <c r="B27" s="19" t="s">
        <v>2430</v>
      </c>
      <c r="C27" s="15" t="s">
        <v>2431</v>
      </c>
      <c r="D27" s="15" t="s">
        <v>364</v>
      </c>
      <c r="E27" s="20">
        <v>2495138</v>
      </c>
      <c r="F27" s="21">
        <v>2985.6821</v>
      </c>
      <c r="G27" s="22">
        <v>8.0000000000000002E-3</v>
      </c>
      <c r="H27" s="40"/>
      <c r="I27" s="24"/>
      <c r="J27" s="5"/>
    </row>
    <row r="28" spans="1:10" ht="13.05" customHeight="1">
      <c r="A28" s="18" t="s">
        <v>423</v>
      </c>
      <c r="B28" s="19" t="s">
        <v>424</v>
      </c>
      <c r="C28" s="15" t="s">
        <v>425</v>
      </c>
      <c r="D28" s="15" t="s">
        <v>296</v>
      </c>
      <c r="E28" s="20">
        <v>83614</v>
      </c>
      <c r="F28" s="21">
        <v>2933.7644</v>
      </c>
      <c r="G28" s="22">
        <v>7.9000000000000008E-3</v>
      </c>
      <c r="H28" s="40"/>
      <c r="I28" s="24"/>
      <c r="J28" s="5"/>
    </row>
    <row r="29" spans="1:10" ht="13.05" customHeight="1">
      <c r="A29" s="18" t="s">
        <v>449</v>
      </c>
      <c r="B29" s="19" t="s">
        <v>450</v>
      </c>
      <c r="C29" s="15" t="s">
        <v>451</v>
      </c>
      <c r="D29" s="15" t="s">
        <v>261</v>
      </c>
      <c r="E29" s="20">
        <v>769610</v>
      </c>
      <c r="F29" s="21">
        <v>2745.9684999999999</v>
      </c>
      <c r="G29" s="22">
        <v>7.4000000000000003E-3</v>
      </c>
      <c r="H29" s="40"/>
      <c r="I29" s="24"/>
      <c r="J29" s="5"/>
    </row>
    <row r="30" spans="1:10" ht="13.05" customHeight="1">
      <c r="A30" s="18" t="s">
        <v>564</v>
      </c>
      <c r="B30" s="19" t="s">
        <v>565</v>
      </c>
      <c r="C30" s="15" t="s">
        <v>566</v>
      </c>
      <c r="D30" s="15" t="s">
        <v>567</v>
      </c>
      <c r="E30" s="20">
        <v>2578575</v>
      </c>
      <c r="F30" s="21">
        <v>2717.5601999999999</v>
      </c>
      <c r="G30" s="22">
        <v>7.3000000000000001E-3</v>
      </c>
      <c r="H30" s="40"/>
      <c r="I30" s="24"/>
      <c r="J30" s="5"/>
    </row>
    <row r="31" spans="1:10" ht="13.05" customHeight="1">
      <c r="A31" s="18" t="s">
        <v>1613</v>
      </c>
      <c r="B31" s="19" t="s">
        <v>1614</v>
      </c>
      <c r="C31" s="15" t="s">
        <v>1615</v>
      </c>
      <c r="D31" s="15" t="s">
        <v>1616</v>
      </c>
      <c r="E31" s="20">
        <v>104533</v>
      </c>
      <c r="F31" s="21">
        <v>2688.6932999999999</v>
      </c>
      <c r="G31" s="22">
        <v>7.1999999999999998E-3</v>
      </c>
      <c r="H31" s="40"/>
      <c r="I31" s="24"/>
      <c r="J31" s="5"/>
    </row>
    <row r="32" spans="1:10" ht="13.05" customHeight="1">
      <c r="A32" s="18" t="s">
        <v>330</v>
      </c>
      <c r="B32" s="19" t="s">
        <v>331</v>
      </c>
      <c r="C32" s="15" t="s">
        <v>332</v>
      </c>
      <c r="D32" s="15" t="s">
        <v>333</v>
      </c>
      <c r="E32" s="20">
        <v>1470248</v>
      </c>
      <c r="F32" s="21">
        <v>2688.2013999999999</v>
      </c>
      <c r="G32" s="22">
        <v>7.1999999999999998E-3</v>
      </c>
      <c r="H32" s="40"/>
      <c r="I32" s="24"/>
      <c r="J32" s="5"/>
    </row>
    <row r="33" spans="1:10" ht="13.05" customHeight="1">
      <c r="A33" s="18" t="s">
        <v>426</v>
      </c>
      <c r="B33" s="19" t="s">
        <v>427</v>
      </c>
      <c r="C33" s="15" t="s">
        <v>428</v>
      </c>
      <c r="D33" s="15" t="s">
        <v>405</v>
      </c>
      <c r="E33" s="20">
        <v>355914</v>
      </c>
      <c r="F33" s="21">
        <v>2604.7566000000002</v>
      </c>
      <c r="G33" s="22">
        <v>7.0000000000000001E-3</v>
      </c>
      <c r="H33" s="40"/>
      <c r="I33" s="24"/>
      <c r="J33" s="5"/>
    </row>
    <row r="34" spans="1:10" ht="13.05" customHeight="1">
      <c r="A34" s="18" t="s">
        <v>498</v>
      </c>
      <c r="B34" s="19" t="s">
        <v>499</v>
      </c>
      <c r="C34" s="15" t="s">
        <v>500</v>
      </c>
      <c r="D34" s="15" t="s">
        <v>501</v>
      </c>
      <c r="E34" s="20">
        <v>59412</v>
      </c>
      <c r="F34" s="21">
        <v>2580.9167000000002</v>
      </c>
      <c r="G34" s="22">
        <v>6.8999999999999999E-3</v>
      </c>
      <c r="H34" s="40"/>
      <c r="I34" s="24"/>
      <c r="J34" s="5"/>
    </row>
    <row r="35" spans="1:10" ht="13.05" customHeight="1">
      <c r="A35" s="18" t="s">
        <v>345</v>
      </c>
      <c r="B35" s="19" t="s">
        <v>346</v>
      </c>
      <c r="C35" s="15" t="s">
        <v>347</v>
      </c>
      <c r="D35" s="15" t="s">
        <v>348</v>
      </c>
      <c r="E35" s="20">
        <v>45077</v>
      </c>
      <c r="F35" s="21">
        <v>2535.5812999999998</v>
      </c>
      <c r="G35" s="22">
        <v>6.7999999999999996E-3</v>
      </c>
      <c r="H35" s="40"/>
      <c r="I35" s="24"/>
      <c r="J35" s="5"/>
    </row>
    <row r="36" spans="1:10" ht="13.05" customHeight="1">
      <c r="A36" s="18" t="s">
        <v>341</v>
      </c>
      <c r="B36" s="19" t="s">
        <v>342</v>
      </c>
      <c r="C36" s="15" t="s">
        <v>343</v>
      </c>
      <c r="D36" s="15" t="s">
        <v>344</v>
      </c>
      <c r="E36" s="20">
        <v>296870</v>
      </c>
      <c r="F36" s="21">
        <v>2517.0122999999999</v>
      </c>
      <c r="G36" s="22">
        <v>6.7999999999999996E-3</v>
      </c>
      <c r="H36" s="40"/>
      <c r="I36" s="24"/>
      <c r="J36" s="5"/>
    </row>
    <row r="37" spans="1:10" ht="13.05" customHeight="1">
      <c r="A37" s="18" t="s">
        <v>326</v>
      </c>
      <c r="B37" s="19" t="s">
        <v>327</v>
      </c>
      <c r="C37" s="15" t="s">
        <v>328</v>
      </c>
      <c r="D37" s="15" t="s">
        <v>329</v>
      </c>
      <c r="E37" s="20">
        <v>585532</v>
      </c>
      <c r="F37" s="21">
        <v>2494.9519</v>
      </c>
      <c r="G37" s="22">
        <v>6.7000000000000002E-3</v>
      </c>
      <c r="H37" s="40"/>
      <c r="I37" s="24"/>
      <c r="J37" s="5"/>
    </row>
    <row r="38" spans="1:10" ht="13.05" customHeight="1">
      <c r="A38" s="18" t="s">
        <v>843</v>
      </c>
      <c r="B38" s="19" t="s">
        <v>844</v>
      </c>
      <c r="C38" s="15" t="s">
        <v>845</v>
      </c>
      <c r="D38" s="15" t="s">
        <v>846</v>
      </c>
      <c r="E38" s="20">
        <v>37174</v>
      </c>
      <c r="F38" s="21">
        <v>2492.3308000000002</v>
      </c>
      <c r="G38" s="22">
        <v>6.7000000000000002E-3</v>
      </c>
      <c r="H38" s="40"/>
      <c r="I38" s="24"/>
      <c r="J38" s="5"/>
    </row>
    <row r="39" spans="1:10" ht="13.05" customHeight="1">
      <c r="A39" s="18" t="s">
        <v>458</v>
      </c>
      <c r="B39" s="19" t="s">
        <v>459</v>
      </c>
      <c r="C39" s="15" t="s">
        <v>460</v>
      </c>
      <c r="D39" s="15" t="s">
        <v>321</v>
      </c>
      <c r="E39" s="20">
        <v>609638</v>
      </c>
      <c r="F39" s="21">
        <v>2468.4243000000001</v>
      </c>
      <c r="G39" s="22">
        <v>6.6E-3</v>
      </c>
      <c r="H39" s="40"/>
      <c r="I39" s="24"/>
      <c r="J39" s="5"/>
    </row>
    <row r="40" spans="1:10" ht="13.05" customHeight="1">
      <c r="A40" s="18" t="s">
        <v>395</v>
      </c>
      <c r="B40" s="19" t="s">
        <v>396</v>
      </c>
      <c r="C40" s="15" t="s">
        <v>397</v>
      </c>
      <c r="D40" s="15" t="s">
        <v>329</v>
      </c>
      <c r="E40" s="20">
        <v>51286</v>
      </c>
      <c r="F40" s="21">
        <v>2400.0821999999998</v>
      </c>
      <c r="G40" s="22">
        <v>6.4000000000000003E-3</v>
      </c>
      <c r="H40" s="40"/>
      <c r="I40" s="24"/>
      <c r="J40" s="5"/>
    </row>
    <row r="41" spans="1:10" ht="13.05" customHeight="1">
      <c r="A41" s="18" t="s">
        <v>1052</v>
      </c>
      <c r="B41" s="19" t="s">
        <v>1053</v>
      </c>
      <c r="C41" s="15" t="s">
        <v>1054</v>
      </c>
      <c r="D41" s="15" t="s">
        <v>445</v>
      </c>
      <c r="E41" s="20">
        <v>214563</v>
      </c>
      <c r="F41" s="21">
        <v>2345.6026999999999</v>
      </c>
      <c r="G41" s="22">
        <v>6.3E-3</v>
      </c>
      <c r="H41" s="40"/>
      <c r="I41" s="24"/>
      <c r="J41" s="5"/>
    </row>
    <row r="42" spans="1:10" ht="13.05" customHeight="1">
      <c r="A42" s="18" t="s">
        <v>488</v>
      </c>
      <c r="B42" s="19" t="s">
        <v>489</v>
      </c>
      <c r="C42" s="15" t="s">
        <v>490</v>
      </c>
      <c r="D42" s="15" t="s">
        <v>272</v>
      </c>
      <c r="E42" s="20">
        <v>130500</v>
      </c>
      <c r="F42" s="21">
        <v>2320.4205000000002</v>
      </c>
      <c r="G42" s="22">
        <v>6.1999999999999998E-3</v>
      </c>
      <c r="H42" s="40"/>
      <c r="I42" s="24"/>
      <c r="J42" s="5"/>
    </row>
    <row r="43" spans="1:10" ht="13.05" customHeight="1">
      <c r="A43" s="18" t="s">
        <v>694</v>
      </c>
      <c r="B43" s="19" t="s">
        <v>695</v>
      </c>
      <c r="C43" s="15" t="s">
        <v>696</v>
      </c>
      <c r="D43" s="15" t="s">
        <v>541</v>
      </c>
      <c r="E43" s="20">
        <v>136352</v>
      </c>
      <c r="F43" s="21">
        <v>2294.2588000000001</v>
      </c>
      <c r="G43" s="22">
        <v>6.1999999999999998E-3</v>
      </c>
      <c r="H43" s="40"/>
      <c r="I43" s="24"/>
      <c r="J43" s="5"/>
    </row>
    <row r="44" spans="1:10" ht="13.05" customHeight="1">
      <c r="A44" s="18" t="s">
        <v>406</v>
      </c>
      <c r="B44" s="19" t="s">
        <v>407</v>
      </c>
      <c r="C44" s="15" t="s">
        <v>408</v>
      </c>
      <c r="D44" s="15" t="s">
        <v>314</v>
      </c>
      <c r="E44" s="20">
        <v>34004</v>
      </c>
      <c r="F44" s="21">
        <v>2291.1895</v>
      </c>
      <c r="G44" s="22">
        <v>6.1999999999999998E-3</v>
      </c>
      <c r="H44" s="40"/>
      <c r="I44" s="24"/>
      <c r="J44" s="5"/>
    </row>
    <row r="45" spans="1:10" ht="13.05" customHeight="1">
      <c r="A45" s="18" t="s">
        <v>1857</v>
      </c>
      <c r="B45" s="19" t="s">
        <v>1858</v>
      </c>
      <c r="C45" s="15" t="s">
        <v>1859</v>
      </c>
      <c r="D45" s="15" t="s">
        <v>325</v>
      </c>
      <c r="E45" s="20">
        <v>134160</v>
      </c>
      <c r="F45" s="21">
        <v>2231.8858</v>
      </c>
      <c r="G45" s="22">
        <v>6.0000000000000001E-3</v>
      </c>
      <c r="H45" s="40"/>
      <c r="I45" s="24"/>
      <c r="J45" s="5"/>
    </row>
    <row r="46" spans="1:10" ht="13.05" customHeight="1">
      <c r="A46" s="18" t="s">
        <v>2423</v>
      </c>
      <c r="B46" s="19" t="s">
        <v>2424</v>
      </c>
      <c r="C46" s="15" t="s">
        <v>2425</v>
      </c>
      <c r="D46" s="15" t="s">
        <v>300</v>
      </c>
      <c r="E46" s="20">
        <v>1800</v>
      </c>
      <c r="F46" s="21">
        <v>2141.2078999999999</v>
      </c>
      <c r="G46" s="22">
        <v>5.7999999999999996E-3</v>
      </c>
      <c r="H46" s="23" t="s">
        <v>5522</v>
      </c>
      <c r="I46" s="24"/>
      <c r="J46" s="5"/>
    </row>
    <row r="47" spans="1:10" ht="13.05" customHeight="1">
      <c r="A47" s="18" t="s">
        <v>429</v>
      </c>
      <c r="B47" s="19" t="s">
        <v>430</v>
      </c>
      <c r="C47" s="15" t="s">
        <v>431</v>
      </c>
      <c r="D47" s="15" t="s">
        <v>415</v>
      </c>
      <c r="E47" s="20">
        <v>27587</v>
      </c>
      <c r="F47" s="21">
        <v>2118.9575</v>
      </c>
      <c r="G47" s="22">
        <v>5.7000000000000002E-3</v>
      </c>
      <c r="H47" s="23"/>
      <c r="I47" s="24"/>
      <c r="J47" s="5"/>
    </row>
    <row r="48" spans="1:10" ht="13.05" customHeight="1">
      <c r="A48" s="18" t="s">
        <v>485</v>
      </c>
      <c r="B48" s="19" t="s">
        <v>486</v>
      </c>
      <c r="C48" s="15" t="s">
        <v>487</v>
      </c>
      <c r="D48" s="15" t="s">
        <v>304</v>
      </c>
      <c r="E48" s="20">
        <v>50643</v>
      </c>
      <c r="F48" s="21">
        <v>2103.4569999999999</v>
      </c>
      <c r="G48" s="22">
        <v>5.7000000000000002E-3</v>
      </c>
      <c r="H48" s="23"/>
      <c r="I48" s="24"/>
      <c r="J48" s="5"/>
    </row>
    <row r="49" spans="1:10" ht="13.05" customHeight="1">
      <c r="A49" s="18" t="s">
        <v>591</v>
      </c>
      <c r="B49" s="19" t="s">
        <v>592</v>
      </c>
      <c r="C49" s="15" t="s">
        <v>593</v>
      </c>
      <c r="D49" s="15" t="s">
        <v>475</v>
      </c>
      <c r="E49" s="20">
        <v>143962</v>
      </c>
      <c r="F49" s="21">
        <v>2060.6720999999998</v>
      </c>
      <c r="G49" s="22">
        <v>5.4999999999999997E-3</v>
      </c>
      <c r="H49" s="23"/>
      <c r="I49" s="24"/>
      <c r="J49" s="5"/>
    </row>
    <row r="50" spans="1:10" ht="13.05" customHeight="1">
      <c r="A50" s="18" t="s">
        <v>739</v>
      </c>
      <c r="B50" s="19" t="s">
        <v>740</v>
      </c>
      <c r="C50" s="15" t="s">
        <v>741</v>
      </c>
      <c r="D50" s="15" t="s">
        <v>314</v>
      </c>
      <c r="E50" s="20">
        <v>86275</v>
      </c>
      <c r="F50" s="21">
        <v>2056.7959999999998</v>
      </c>
      <c r="G50" s="22">
        <v>5.4999999999999997E-3</v>
      </c>
      <c r="H50" s="23"/>
      <c r="I50" s="24"/>
      <c r="J50" s="5"/>
    </row>
    <row r="51" spans="1:10" ht="13.05" customHeight="1">
      <c r="A51" s="18" t="s">
        <v>532</v>
      </c>
      <c r="B51" s="19" t="s">
        <v>533</v>
      </c>
      <c r="C51" s="15" t="s">
        <v>534</v>
      </c>
      <c r="D51" s="15" t="s">
        <v>445</v>
      </c>
      <c r="E51" s="20">
        <v>260405</v>
      </c>
      <c r="F51" s="21">
        <v>1918.2734</v>
      </c>
      <c r="G51" s="22">
        <v>5.1999999999999998E-3</v>
      </c>
      <c r="H51" s="23"/>
      <c r="I51" s="24"/>
      <c r="J51" s="5"/>
    </row>
    <row r="52" spans="1:10" ht="13.05" customHeight="1">
      <c r="A52" s="18" t="s">
        <v>1626</v>
      </c>
      <c r="B52" s="19" t="s">
        <v>1627</v>
      </c>
      <c r="C52" s="15" t="s">
        <v>1628</v>
      </c>
      <c r="D52" s="15" t="s">
        <v>415</v>
      </c>
      <c r="E52" s="20">
        <v>189557</v>
      </c>
      <c r="F52" s="21">
        <v>1874.0553</v>
      </c>
      <c r="G52" s="22">
        <v>5.0000000000000001E-3</v>
      </c>
      <c r="H52" s="23"/>
      <c r="I52" s="24"/>
      <c r="J52" s="5"/>
    </row>
    <row r="53" spans="1:10" ht="13.05" customHeight="1">
      <c r="A53" s="18" t="s">
        <v>472</v>
      </c>
      <c r="B53" s="19" t="s">
        <v>473</v>
      </c>
      <c r="C53" s="15" t="s">
        <v>474</v>
      </c>
      <c r="D53" s="15" t="s">
        <v>475</v>
      </c>
      <c r="E53" s="20">
        <v>397606</v>
      </c>
      <c r="F53" s="21">
        <v>1867.3566000000001</v>
      </c>
      <c r="G53" s="22">
        <v>5.0000000000000001E-3</v>
      </c>
      <c r="H53" s="23"/>
      <c r="I53" s="24"/>
      <c r="J53" s="5"/>
    </row>
    <row r="54" spans="1:10" ht="13.05" customHeight="1">
      <c r="A54" s="18" t="s">
        <v>392</v>
      </c>
      <c r="B54" s="19" t="s">
        <v>393</v>
      </c>
      <c r="C54" s="15" t="s">
        <v>394</v>
      </c>
      <c r="D54" s="15" t="s">
        <v>272</v>
      </c>
      <c r="E54" s="20">
        <v>130761</v>
      </c>
      <c r="F54" s="21">
        <v>1862.5597</v>
      </c>
      <c r="G54" s="22">
        <v>5.0000000000000001E-3</v>
      </c>
      <c r="H54" s="23"/>
      <c r="I54" s="24"/>
      <c r="J54" s="5"/>
    </row>
    <row r="55" spans="1:10" ht="13.05" customHeight="1">
      <c r="A55" s="18" t="s">
        <v>712</v>
      </c>
      <c r="B55" s="19" t="s">
        <v>713</v>
      </c>
      <c r="C55" s="15" t="s">
        <v>714</v>
      </c>
      <c r="D55" s="15" t="s">
        <v>603</v>
      </c>
      <c r="E55" s="20">
        <v>50753</v>
      </c>
      <c r="F55" s="21">
        <v>1815.6378</v>
      </c>
      <c r="G55" s="22">
        <v>4.8999999999999998E-3</v>
      </c>
      <c r="H55" s="23"/>
      <c r="I55" s="24"/>
      <c r="J55" s="5"/>
    </row>
    <row r="56" spans="1:10" ht="13.05" customHeight="1">
      <c r="A56" s="18" t="s">
        <v>315</v>
      </c>
      <c r="B56" s="19" t="s">
        <v>316</v>
      </c>
      <c r="C56" s="15" t="s">
        <v>317</v>
      </c>
      <c r="D56" s="15" t="s">
        <v>272</v>
      </c>
      <c r="E56" s="20">
        <v>114708</v>
      </c>
      <c r="F56" s="21">
        <v>1768.2238</v>
      </c>
      <c r="G56" s="22">
        <v>4.7999999999999996E-3</v>
      </c>
      <c r="H56" s="23"/>
      <c r="I56" s="24"/>
      <c r="J56" s="5"/>
    </row>
    <row r="57" spans="1:10" ht="13.05" customHeight="1">
      <c r="A57" s="18" t="s">
        <v>700</v>
      </c>
      <c r="B57" s="19" t="s">
        <v>701</v>
      </c>
      <c r="C57" s="15" t="s">
        <v>702</v>
      </c>
      <c r="D57" s="15" t="s">
        <v>257</v>
      </c>
      <c r="E57" s="20">
        <v>205364</v>
      </c>
      <c r="F57" s="21">
        <v>1763.4607000000001</v>
      </c>
      <c r="G57" s="22">
        <v>4.7000000000000002E-3</v>
      </c>
      <c r="H57" s="23"/>
      <c r="I57" s="24"/>
      <c r="J57" s="5"/>
    </row>
    <row r="58" spans="1:10" ht="13.05" customHeight="1">
      <c r="A58" s="18" t="s">
        <v>561</v>
      </c>
      <c r="B58" s="19" t="s">
        <v>562</v>
      </c>
      <c r="C58" s="15" t="s">
        <v>563</v>
      </c>
      <c r="D58" s="15" t="s">
        <v>300</v>
      </c>
      <c r="E58" s="20">
        <v>469035</v>
      </c>
      <c r="F58" s="21">
        <v>1758.1777</v>
      </c>
      <c r="G58" s="22">
        <v>4.7000000000000002E-3</v>
      </c>
      <c r="H58" s="23"/>
      <c r="I58" s="24"/>
      <c r="J58" s="5"/>
    </row>
    <row r="59" spans="1:10" ht="13.05" customHeight="1">
      <c r="A59" s="18" t="s">
        <v>452</v>
      </c>
      <c r="B59" s="19" t="s">
        <v>453</v>
      </c>
      <c r="C59" s="15" t="s">
        <v>454</v>
      </c>
      <c r="D59" s="15" t="s">
        <v>391</v>
      </c>
      <c r="E59" s="20">
        <v>28826</v>
      </c>
      <c r="F59" s="21">
        <v>1682.4295</v>
      </c>
      <c r="G59" s="22">
        <v>4.4999999999999997E-3</v>
      </c>
      <c r="H59" s="23"/>
      <c r="I59" s="24"/>
      <c r="J59" s="5"/>
    </row>
    <row r="60" spans="1:10" ht="13.05" customHeight="1">
      <c r="A60" s="18" t="s">
        <v>358</v>
      </c>
      <c r="B60" s="19" t="s">
        <v>359</v>
      </c>
      <c r="C60" s="15" t="s">
        <v>360</v>
      </c>
      <c r="D60" s="15" t="s">
        <v>337</v>
      </c>
      <c r="E60" s="20">
        <v>55570</v>
      </c>
      <c r="F60" s="21">
        <v>1606.9177</v>
      </c>
      <c r="G60" s="22">
        <v>4.3E-3</v>
      </c>
      <c r="H60" s="23"/>
      <c r="I60" s="24"/>
      <c r="J60" s="5"/>
    </row>
    <row r="61" spans="1:10" ht="13.05" customHeight="1">
      <c r="A61" s="18" t="s">
        <v>919</v>
      </c>
      <c r="B61" s="19" t="s">
        <v>920</v>
      </c>
      <c r="C61" s="15" t="s">
        <v>921</v>
      </c>
      <c r="D61" s="15" t="s">
        <v>300</v>
      </c>
      <c r="E61" s="20">
        <v>168818</v>
      </c>
      <c r="F61" s="21">
        <v>1567.8127999999999</v>
      </c>
      <c r="G61" s="22">
        <v>4.1999999999999997E-3</v>
      </c>
      <c r="H61" s="23"/>
      <c r="I61" s="24"/>
      <c r="J61" s="5"/>
    </row>
    <row r="62" spans="1:10" ht="13.05" customHeight="1">
      <c r="A62" s="18" t="s">
        <v>625</v>
      </c>
      <c r="B62" s="19" t="s">
        <v>626</v>
      </c>
      <c r="C62" s="15" t="s">
        <v>627</v>
      </c>
      <c r="D62" s="15" t="s">
        <v>314</v>
      </c>
      <c r="E62" s="20">
        <v>39919</v>
      </c>
      <c r="F62" s="21">
        <v>1421.1563000000001</v>
      </c>
      <c r="G62" s="22">
        <v>3.8E-3</v>
      </c>
      <c r="H62" s="23"/>
      <c r="I62" s="24"/>
      <c r="J62" s="5"/>
    </row>
    <row r="63" spans="1:10" ht="13.05" customHeight="1">
      <c r="A63" s="18" t="s">
        <v>382</v>
      </c>
      <c r="B63" s="19" t="s">
        <v>383</v>
      </c>
      <c r="C63" s="15" t="s">
        <v>384</v>
      </c>
      <c r="D63" s="15" t="s">
        <v>296</v>
      </c>
      <c r="E63" s="20">
        <v>15460</v>
      </c>
      <c r="F63" s="21">
        <v>1374.7805000000001</v>
      </c>
      <c r="G63" s="22">
        <v>3.7000000000000002E-3</v>
      </c>
      <c r="H63" s="23"/>
      <c r="I63" s="24"/>
      <c r="J63" s="5"/>
    </row>
    <row r="64" spans="1:10" ht="13.05" customHeight="1">
      <c r="A64" s="18" t="s">
        <v>2991</v>
      </c>
      <c r="B64" s="19" t="s">
        <v>2992</v>
      </c>
      <c r="C64" s="15" t="s">
        <v>2993</v>
      </c>
      <c r="D64" s="15" t="s">
        <v>541</v>
      </c>
      <c r="E64" s="20">
        <v>1066650</v>
      </c>
      <c r="F64" s="21">
        <v>1232.1940999999999</v>
      </c>
      <c r="G64" s="22">
        <v>3.3E-3</v>
      </c>
      <c r="H64" s="23"/>
      <c r="I64" s="24"/>
      <c r="J64" s="5"/>
    </row>
    <row r="65" spans="1:10" ht="13.05" customHeight="1">
      <c r="A65" s="18" t="s">
        <v>378</v>
      </c>
      <c r="B65" s="19" t="s">
        <v>379</v>
      </c>
      <c r="C65" s="15" t="s">
        <v>380</v>
      </c>
      <c r="D65" s="15" t="s">
        <v>381</v>
      </c>
      <c r="E65" s="20">
        <v>463768</v>
      </c>
      <c r="F65" s="21">
        <v>1184.3243</v>
      </c>
      <c r="G65" s="22">
        <v>3.2000000000000002E-3</v>
      </c>
      <c r="H65" s="23"/>
      <c r="I65" s="24"/>
      <c r="J65" s="5"/>
    </row>
    <row r="66" spans="1:10" ht="13.05" customHeight="1">
      <c r="A66" s="18" t="s">
        <v>1370</v>
      </c>
      <c r="B66" s="19" t="s">
        <v>1371</v>
      </c>
      <c r="C66" s="15" t="s">
        <v>1372</v>
      </c>
      <c r="D66" s="15" t="s">
        <v>846</v>
      </c>
      <c r="E66" s="20">
        <v>132256</v>
      </c>
      <c r="F66" s="21">
        <v>1142.6918000000001</v>
      </c>
      <c r="G66" s="22">
        <v>3.0999999999999999E-3</v>
      </c>
      <c r="H66" s="23"/>
      <c r="I66" s="24"/>
      <c r="J66" s="5"/>
    </row>
    <row r="67" spans="1:10" ht="13.05" customHeight="1">
      <c r="A67" s="18" t="s">
        <v>432</v>
      </c>
      <c r="B67" s="19" t="s">
        <v>433</v>
      </c>
      <c r="C67" s="15" t="s">
        <v>434</v>
      </c>
      <c r="D67" s="15" t="s">
        <v>435</v>
      </c>
      <c r="E67" s="20">
        <v>91384</v>
      </c>
      <c r="F67" s="21">
        <v>1064.6235999999999</v>
      </c>
      <c r="G67" s="22">
        <v>2.8999999999999998E-3</v>
      </c>
      <c r="H67" s="23"/>
      <c r="I67" s="24"/>
      <c r="J67" s="5"/>
    </row>
    <row r="68" spans="1:10" ht="13.05" customHeight="1">
      <c r="A68" s="18" t="s">
        <v>2994</v>
      </c>
      <c r="B68" s="19" t="s">
        <v>2995</v>
      </c>
      <c r="C68" s="15" t="s">
        <v>2996</v>
      </c>
      <c r="D68" s="15" t="s">
        <v>846</v>
      </c>
      <c r="E68" s="20">
        <v>78178</v>
      </c>
      <c r="F68" s="21">
        <v>1027.2589</v>
      </c>
      <c r="G68" s="22">
        <v>2.8E-3</v>
      </c>
      <c r="H68" s="23"/>
      <c r="I68" s="24"/>
      <c r="J68" s="5"/>
    </row>
    <row r="69" spans="1:10" ht="13.05" customHeight="1">
      <c r="A69" s="18" t="s">
        <v>334</v>
      </c>
      <c r="B69" s="19" t="s">
        <v>335</v>
      </c>
      <c r="C69" s="15" t="s">
        <v>336</v>
      </c>
      <c r="D69" s="15" t="s">
        <v>337</v>
      </c>
      <c r="E69" s="20">
        <v>8339</v>
      </c>
      <c r="F69" s="21">
        <v>996.26030000000003</v>
      </c>
      <c r="G69" s="22">
        <v>2.7000000000000001E-3</v>
      </c>
      <c r="H69" s="23"/>
      <c r="I69" s="24"/>
      <c r="J69" s="5"/>
    </row>
    <row r="70" spans="1:10" ht="13.05" customHeight="1">
      <c r="A70" s="18" t="s">
        <v>989</v>
      </c>
      <c r="B70" s="19" t="s">
        <v>990</v>
      </c>
      <c r="C70" s="15" t="s">
        <v>991</v>
      </c>
      <c r="D70" s="15" t="s">
        <v>541</v>
      </c>
      <c r="E70" s="20">
        <v>88348</v>
      </c>
      <c r="F70" s="21">
        <v>916.78719999999998</v>
      </c>
      <c r="G70" s="22">
        <v>2.5000000000000001E-3</v>
      </c>
      <c r="H70" s="23"/>
      <c r="I70" s="24"/>
      <c r="J70" s="5"/>
    </row>
    <row r="71" spans="1:10" ht="13.05" customHeight="1">
      <c r="A71" s="18" t="s">
        <v>412</v>
      </c>
      <c r="B71" s="19" t="s">
        <v>413</v>
      </c>
      <c r="C71" s="15" t="s">
        <v>414</v>
      </c>
      <c r="D71" s="15" t="s">
        <v>415</v>
      </c>
      <c r="E71" s="20">
        <v>75316</v>
      </c>
      <c r="F71" s="21">
        <v>864.47699999999998</v>
      </c>
      <c r="G71" s="22">
        <v>2.3E-3</v>
      </c>
      <c r="H71" s="23"/>
      <c r="I71" s="24"/>
      <c r="J71" s="5"/>
    </row>
    <row r="72" spans="1:10" ht="13.05" customHeight="1">
      <c r="A72" s="18" t="s">
        <v>2426</v>
      </c>
      <c r="B72" s="19" t="s">
        <v>2427</v>
      </c>
      <c r="C72" s="15" t="s">
        <v>2428</v>
      </c>
      <c r="D72" s="15" t="s">
        <v>970</v>
      </c>
      <c r="E72" s="20">
        <v>142850</v>
      </c>
      <c r="F72" s="21">
        <v>857.24289999999996</v>
      </c>
      <c r="G72" s="22">
        <v>2.3E-3</v>
      </c>
      <c r="H72" s="23"/>
      <c r="I72" s="24"/>
      <c r="J72" s="5"/>
    </row>
    <row r="73" spans="1:10" ht="13.05" customHeight="1">
      <c r="A73" s="18" t="s">
        <v>828</v>
      </c>
      <c r="B73" s="19" t="s">
        <v>829</v>
      </c>
      <c r="C73" s="15" t="s">
        <v>830</v>
      </c>
      <c r="D73" s="15" t="s">
        <v>567</v>
      </c>
      <c r="E73" s="20">
        <v>177639</v>
      </c>
      <c r="F73" s="21">
        <v>839.78840000000002</v>
      </c>
      <c r="G73" s="22">
        <v>2.3E-3</v>
      </c>
      <c r="H73" s="23"/>
      <c r="I73" s="24"/>
      <c r="J73" s="5"/>
    </row>
    <row r="74" spans="1:10" ht="13.05" customHeight="1">
      <c r="A74" s="18" t="s">
        <v>538</v>
      </c>
      <c r="B74" s="19" t="s">
        <v>539</v>
      </c>
      <c r="C74" s="15" t="s">
        <v>540</v>
      </c>
      <c r="D74" s="15" t="s">
        <v>541</v>
      </c>
      <c r="E74" s="20">
        <v>110762</v>
      </c>
      <c r="F74" s="21">
        <v>837.63760000000002</v>
      </c>
      <c r="G74" s="22">
        <v>2.3E-3</v>
      </c>
      <c r="H74" s="23"/>
      <c r="I74" s="24"/>
      <c r="J74" s="5"/>
    </row>
    <row r="75" spans="1:10" ht="13.05" customHeight="1">
      <c r="A75" s="18" t="s">
        <v>495</v>
      </c>
      <c r="B75" s="19" t="s">
        <v>496</v>
      </c>
      <c r="C75" s="15" t="s">
        <v>497</v>
      </c>
      <c r="D75" s="15" t="s">
        <v>257</v>
      </c>
      <c r="E75" s="20">
        <v>340865</v>
      </c>
      <c r="F75" s="21">
        <v>806.52070000000003</v>
      </c>
      <c r="G75" s="22">
        <v>2.2000000000000001E-3</v>
      </c>
      <c r="H75" s="23"/>
      <c r="I75" s="24"/>
      <c r="J75" s="5"/>
    </row>
    <row r="76" spans="1:10" ht="13.05" customHeight="1">
      <c r="A76" s="18" t="s">
        <v>385</v>
      </c>
      <c r="B76" s="19" t="s">
        <v>386</v>
      </c>
      <c r="C76" s="15" t="s">
        <v>387</v>
      </c>
      <c r="D76" s="15" t="s">
        <v>296</v>
      </c>
      <c r="E76" s="20">
        <v>11375</v>
      </c>
      <c r="F76" s="21">
        <v>797.04629999999997</v>
      </c>
      <c r="G76" s="22">
        <v>2.0999999999999999E-3</v>
      </c>
      <c r="H76" s="23"/>
      <c r="I76" s="24"/>
      <c r="J76" s="5"/>
    </row>
    <row r="77" spans="1:10" ht="13.05" customHeight="1">
      <c r="A77" s="18" t="s">
        <v>338</v>
      </c>
      <c r="B77" s="19" t="s">
        <v>339</v>
      </c>
      <c r="C77" s="15" t="s">
        <v>340</v>
      </c>
      <c r="D77" s="15" t="s">
        <v>321</v>
      </c>
      <c r="E77" s="20">
        <v>269079</v>
      </c>
      <c r="F77" s="21">
        <v>775.35109999999997</v>
      </c>
      <c r="G77" s="22">
        <v>2.0999999999999999E-3</v>
      </c>
      <c r="H77" s="23"/>
      <c r="I77" s="24"/>
      <c r="J77" s="5"/>
    </row>
    <row r="78" spans="1:10" ht="13.05" customHeight="1">
      <c r="A78" s="18" t="s">
        <v>352</v>
      </c>
      <c r="B78" s="19" t="s">
        <v>353</v>
      </c>
      <c r="C78" s="15" t="s">
        <v>354</v>
      </c>
      <c r="D78" s="15" t="s">
        <v>325</v>
      </c>
      <c r="E78" s="20">
        <v>29427</v>
      </c>
      <c r="F78" s="21">
        <v>738.85310000000004</v>
      </c>
      <c r="G78" s="22">
        <v>2E-3</v>
      </c>
      <c r="H78" s="23"/>
      <c r="I78" s="24"/>
      <c r="J78" s="5"/>
    </row>
    <row r="79" spans="1:10" ht="13.05" customHeight="1">
      <c r="A79" s="18" t="s">
        <v>1299</v>
      </c>
      <c r="B79" s="19" t="s">
        <v>1300</v>
      </c>
      <c r="C79" s="15" t="s">
        <v>1301</v>
      </c>
      <c r="D79" s="15" t="s">
        <v>325</v>
      </c>
      <c r="E79" s="20">
        <v>118790</v>
      </c>
      <c r="F79" s="21">
        <v>678.23149999999998</v>
      </c>
      <c r="G79" s="22">
        <v>1.8E-3</v>
      </c>
      <c r="H79" s="23"/>
      <c r="I79" s="24"/>
      <c r="J79" s="5"/>
    </row>
    <row r="80" spans="1:10" ht="13.05" customHeight="1">
      <c r="A80" s="18" t="s">
        <v>523</v>
      </c>
      <c r="B80" s="19" t="s">
        <v>524</v>
      </c>
      <c r="C80" s="15" t="s">
        <v>525</v>
      </c>
      <c r="D80" s="15" t="s">
        <v>304</v>
      </c>
      <c r="E80" s="20">
        <v>45530</v>
      </c>
      <c r="F80" s="21">
        <v>627.54</v>
      </c>
      <c r="G80" s="22">
        <v>1.6999999999999999E-3</v>
      </c>
      <c r="H80" s="23"/>
      <c r="I80" s="24"/>
      <c r="J80" s="5"/>
    </row>
    <row r="81" spans="1:10" ht="13.05" customHeight="1">
      <c r="A81" s="18" t="s">
        <v>865</v>
      </c>
      <c r="B81" s="19" t="s">
        <v>866</v>
      </c>
      <c r="C81" s="15" t="s">
        <v>867</v>
      </c>
      <c r="D81" s="15" t="s">
        <v>333</v>
      </c>
      <c r="E81" s="20">
        <v>423000</v>
      </c>
      <c r="F81" s="21">
        <v>578.87549999999999</v>
      </c>
      <c r="G81" s="22">
        <v>1.6000000000000001E-3</v>
      </c>
      <c r="H81" s="23"/>
      <c r="I81" s="24"/>
      <c r="J81" s="5"/>
    </row>
    <row r="82" spans="1:10" ht="13.05" customHeight="1">
      <c r="A82" s="18" t="s">
        <v>685</v>
      </c>
      <c r="B82" s="19" t="s">
        <v>686</v>
      </c>
      <c r="C82" s="15" t="s">
        <v>687</v>
      </c>
      <c r="D82" s="15" t="s">
        <v>272</v>
      </c>
      <c r="E82" s="20">
        <v>18683</v>
      </c>
      <c r="F82" s="21">
        <v>516.47289999999998</v>
      </c>
      <c r="G82" s="22">
        <v>1.4E-3</v>
      </c>
      <c r="H82" s="23"/>
      <c r="I82" s="24"/>
      <c r="J82" s="5"/>
    </row>
    <row r="83" spans="1:10" ht="13.05" customHeight="1">
      <c r="A83" s="18" t="s">
        <v>810</v>
      </c>
      <c r="B83" s="19" t="s">
        <v>811</v>
      </c>
      <c r="C83" s="15" t="s">
        <v>812</v>
      </c>
      <c r="D83" s="15" t="s">
        <v>567</v>
      </c>
      <c r="E83" s="20">
        <v>41250</v>
      </c>
      <c r="F83" s="21">
        <v>509.52</v>
      </c>
      <c r="G83" s="22">
        <v>1.4E-3</v>
      </c>
      <c r="H83" s="23"/>
      <c r="I83" s="24"/>
      <c r="J83" s="5"/>
    </row>
    <row r="84" spans="1:10" ht="13.05" customHeight="1">
      <c r="A84" s="18" t="s">
        <v>2780</v>
      </c>
      <c r="B84" s="19" t="s">
        <v>2781</v>
      </c>
      <c r="C84" s="15" t="s">
        <v>2782</v>
      </c>
      <c r="D84" s="15" t="s">
        <v>970</v>
      </c>
      <c r="E84" s="20">
        <v>77970</v>
      </c>
      <c r="F84" s="21">
        <v>503.29640000000001</v>
      </c>
      <c r="G84" s="22">
        <v>1.4E-3</v>
      </c>
      <c r="H84" s="23"/>
      <c r="I84" s="24"/>
      <c r="J84" s="5"/>
    </row>
    <row r="85" spans="1:10" ht="13.05" customHeight="1">
      <c r="A85" s="18" t="s">
        <v>646</v>
      </c>
      <c r="B85" s="19" t="s">
        <v>647</v>
      </c>
      <c r="C85" s="15" t="s">
        <v>648</v>
      </c>
      <c r="D85" s="15" t="s">
        <v>445</v>
      </c>
      <c r="E85" s="20">
        <v>168000</v>
      </c>
      <c r="F85" s="21">
        <v>446.02319999999997</v>
      </c>
      <c r="G85" s="22">
        <v>1.1999999999999999E-3</v>
      </c>
      <c r="H85" s="23"/>
      <c r="I85" s="24"/>
      <c r="J85" s="5"/>
    </row>
    <row r="86" spans="1:10" ht="13.05" customHeight="1">
      <c r="A86" s="18" t="s">
        <v>409</v>
      </c>
      <c r="B86" s="19" t="s">
        <v>410</v>
      </c>
      <c r="C86" s="15" t="s">
        <v>411</v>
      </c>
      <c r="D86" s="15" t="s">
        <v>296</v>
      </c>
      <c r="E86" s="20">
        <v>77384</v>
      </c>
      <c r="F86" s="21">
        <v>317.27440000000001</v>
      </c>
      <c r="G86" s="22">
        <v>8.9999999999999998E-4</v>
      </c>
      <c r="H86" s="23"/>
      <c r="I86" s="24"/>
      <c r="J86" s="5"/>
    </row>
    <row r="87" spans="1:10" ht="13.05" customHeight="1">
      <c r="A87" s="18" t="s">
        <v>1388</v>
      </c>
      <c r="B87" s="19" t="s">
        <v>1389</v>
      </c>
      <c r="C87" s="15" t="s">
        <v>1390</v>
      </c>
      <c r="D87" s="15" t="s">
        <v>846</v>
      </c>
      <c r="E87" s="20">
        <v>30813</v>
      </c>
      <c r="F87" s="21">
        <v>272.5564</v>
      </c>
      <c r="G87" s="22">
        <v>6.9999999999999999E-4</v>
      </c>
      <c r="H87" s="23"/>
      <c r="I87" s="24"/>
      <c r="J87" s="5"/>
    </row>
    <row r="88" spans="1:10" ht="13.05" customHeight="1">
      <c r="A88" s="18" t="s">
        <v>526</v>
      </c>
      <c r="B88" s="19" t="s">
        <v>527</v>
      </c>
      <c r="C88" s="15" t="s">
        <v>528</v>
      </c>
      <c r="D88" s="15" t="s">
        <v>257</v>
      </c>
      <c r="E88" s="20">
        <v>29400</v>
      </c>
      <c r="F88" s="21">
        <v>233.6712</v>
      </c>
      <c r="G88" s="22">
        <v>5.9999999999999995E-4</v>
      </c>
      <c r="H88" s="23"/>
      <c r="I88" s="24"/>
      <c r="J88" s="5"/>
    </row>
    <row r="89" spans="1:10" ht="13.05" customHeight="1">
      <c r="A89" s="18" t="s">
        <v>822</v>
      </c>
      <c r="B89" s="19" t="s">
        <v>823</v>
      </c>
      <c r="C89" s="15" t="s">
        <v>824</v>
      </c>
      <c r="D89" s="15" t="s">
        <v>300</v>
      </c>
      <c r="E89" s="20">
        <v>84778</v>
      </c>
      <c r="F89" s="21">
        <v>229.316</v>
      </c>
      <c r="G89" s="22">
        <v>5.9999999999999995E-4</v>
      </c>
      <c r="H89" s="23"/>
      <c r="I89" s="24"/>
      <c r="J89" s="5"/>
    </row>
    <row r="90" spans="1:10" ht="13.05" customHeight="1">
      <c r="A90" s="18" t="s">
        <v>505</v>
      </c>
      <c r="B90" s="19" t="s">
        <v>2339</v>
      </c>
      <c r="C90" s="15" t="s">
        <v>506</v>
      </c>
      <c r="D90" s="15" t="s">
        <v>507</v>
      </c>
      <c r="E90" s="20">
        <v>77384</v>
      </c>
      <c r="F90" s="21">
        <v>201.77879999999999</v>
      </c>
      <c r="G90" s="22">
        <v>5.0000000000000001E-4</v>
      </c>
      <c r="H90" s="23"/>
      <c r="I90" s="24"/>
      <c r="J90" s="5"/>
    </row>
    <row r="91" spans="1:10" ht="13.05" customHeight="1">
      <c r="A91" s="18" t="s">
        <v>549</v>
      </c>
      <c r="B91" s="19" t="s">
        <v>550</v>
      </c>
      <c r="C91" s="15" t="s">
        <v>551</v>
      </c>
      <c r="D91" s="15" t="s">
        <v>314</v>
      </c>
      <c r="E91" s="20">
        <v>10200</v>
      </c>
      <c r="F91" s="21">
        <v>200.27699999999999</v>
      </c>
      <c r="G91" s="22">
        <v>5.0000000000000001E-4</v>
      </c>
      <c r="H91" s="23"/>
      <c r="I91" s="24"/>
      <c r="J91" s="5"/>
    </row>
    <row r="92" spans="1:10" ht="13.05" customHeight="1">
      <c r="A92" s="18" t="s">
        <v>349</v>
      </c>
      <c r="B92" s="19" t="s">
        <v>350</v>
      </c>
      <c r="C92" s="15" t="s">
        <v>351</v>
      </c>
      <c r="D92" s="15" t="s">
        <v>300</v>
      </c>
      <c r="E92" s="20">
        <v>9500</v>
      </c>
      <c r="F92" s="21">
        <v>198.38849999999999</v>
      </c>
      <c r="G92" s="22">
        <v>5.0000000000000001E-4</v>
      </c>
      <c r="H92" s="23"/>
      <c r="I92" s="24"/>
      <c r="J92" s="5"/>
    </row>
    <row r="93" spans="1:10" ht="13.05" customHeight="1">
      <c r="A93" s="18" t="s">
        <v>1543</v>
      </c>
      <c r="B93" s="19" t="s">
        <v>1544</v>
      </c>
      <c r="C93" s="15" t="s">
        <v>1545</v>
      </c>
      <c r="D93" s="15" t="s">
        <v>464</v>
      </c>
      <c r="E93" s="20">
        <v>11497</v>
      </c>
      <c r="F93" s="21">
        <v>170.52350000000001</v>
      </c>
      <c r="G93" s="22">
        <v>5.0000000000000001E-4</v>
      </c>
      <c r="H93" s="23"/>
      <c r="I93" s="24"/>
      <c r="J93" s="5"/>
    </row>
    <row r="94" spans="1:10" ht="13.05" customHeight="1">
      <c r="A94" s="18" t="s">
        <v>568</v>
      </c>
      <c r="B94" s="19" t="s">
        <v>569</v>
      </c>
      <c r="C94" s="15" t="s">
        <v>570</v>
      </c>
      <c r="D94" s="15" t="s">
        <v>257</v>
      </c>
      <c r="E94" s="20">
        <v>101250</v>
      </c>
      <c r="F94" s="21">
        <v>138.70240000000001</v>
      </c>
      <c r="G94" s="22">
        <v>4.0000000000000002E-4</v>
      </c>
      <c r="H94" s="23"/>
      <c r="I94" s="24"/>
      <c r="J94" s="5"/>
    </row>
    <row r="95" spans="1:10" ht="13.05" customHeight="1">
      <c r="A95" s="18" t="s">
        <v>783</v>
      </c>
      <c r="B95" s="19" t="s">
        <v>784</v>
      </c>
      <c r="C95" s="15" t="s">
        <v>785</v>
      </c>
      <c r="D95" s="15" t="s">
        <v>300</v>
      </c>
      <c r="E95" s="20">
        <v>40300</v>
      </c>
      <c r="F95" s="21">
        <v>130.65260000000001</v>
      </c>
      <c r="G95" s="22">
        <v>4.0000000000000002E-4</v>
      </c>
      <c r="H95" s="23"/>
      <c r="I95" s="24"/>
      <c r="J95" s="5"/>
    </row>
    <row r="96" spans="1:10" ht="13.05" customHeight="1">
      <c r="A96" s="18" t="s">
        <v>529</v>
      </c>
      <c r="B96" s="19" t="s">
        <v>530</v>
      </c>
      <c r="C96" s="15" t="s">
        <v>531</v>
      </c>
      <c r="D96" s="15" t="s">
        <v>257</v>
      </c>
      <c r="E96" s="20">
        <v>46800</v>
      </c>
      <c r="F96" s="21">
        <v>130.2912</v>
      </c>
      <c r="G96" s="22">
        <v>4.0000000000000002E-4</v>
      </c>
      <c r="H96" s="23"/>
      <c r="I96" s="24"/>
      <c r="J96" s="5"/>
    </row>
    <row r="97" spans="1:10" ht="13.05" customHeight="1">
      <c r="A97" s="18" t="s">
        <v>622</v>
      </c>
      <c r="B97" s="19" t="s">
        <v>623</v>
      </c>
      <c r="C97" s="15" t="s">
        <v>624</v>
      </c>
      <c r="D97" s="15" t="s">
        <v>314</v>
      </c>
      <c r="E97" s="20">
        <v>11900</v>
      </c>
      <c r="F97" s="21">
        <v>113.48439999999999</v>
      </c>
      <c r="G97" s="22">
        <v>2.9999999999999997E-4</v>
      </c>
      <c r="H97" s="23"/>
      <c r="I97" s="24"/>
      <c r="J97" s="5"/>
    </row>
    <row r="98" spans="1:10" ht="13.05" customHeight="1">
      <c r="A98" s="18" t="s">
        <v>388</v>
      </c>
      <c r="B98" s="19" t="s">
        <v>389</v>
      </c>
      <c r="C98" s="15" t="s">
        <v>390</v>
      </c>
      <c r="D98" s="15" t="s">
        <v>391</v>
      </c>
      <c r="E98" s="20">
        <v>7900</v>
      </c>
      <c r="F98" s="21">
        <v>100.4564</v>
      </c>
      <c r="G98" s="22">
        <v>2.9999999999999997E-4</v>
      </c>
      <c r="H98" s="23"/>
      <c r="I98" s="24"/>
      <c r="J98" s="5"/>
    </row>
    <row r="99" spans="1:10" ht="13.05" customHeight="1">
      <c r="A99" s="18" t="s">
        <v>798</v>
      </c>
      <c r="B99" s="19" t="s">
        <v>799</v>
      </c>
      <c r="C99" s="15" t="s">
        <v>800</v>
      </c>
      <c r="D99" s="15" t="s">
        <v>405</v>
      </c>
      <c r="E99" s="20">
        <v>16650</v>
      </c>
      <c r="F99" s="21">
        <v>98.426500000000004</v>
      </c>
      <c r="G99" s="22">
        <v>2.9999999999999997E-4</v>
      </c>
      <c r="H99" s="23"/>
      <c r="I99" s="24"/>
      <c r="J99" s="5"/>
    </row>
    <row r="100" spans="1:10" ht="13.05" customHeight="1">
      <c r="A100" s="18" t="s">
        <v>792</v>
      </c>
      <c r="B100" s="19" t="s">
        <v>793</v>
      </c>
      <c r="C100" s="15" t="s">
        <v>794</v>
      </c>
      <c r="D100" s="15" t="s">
        <v>374</v>
      </c>
      <c r="E100" s="20">
        <v>7500</v>
      </c>
      <c r="F100" s="21">
        <v>81.052499999999995</v>
      </c>
      <c r="G100" s="22">
        <v>2.0000000000000001E-4</v>
      </c>
      <c r="H100" s="23"/>
      <c r="I100" s="24"/>
      <c r="J100" s="5"/>
    </row>
    <row r="101" spans="1:10" ht="13.05" customHeight="1">
      <c r="A101" s="18" t="s">
        <v>552</v>
      </c>
      <c r="B101" s="19" t="s">
        <v>553</v>
      </c>
      <c r="C101" s="15" t="s">
        <v>554</v>
      </c>
      <c r="D101" s="15" t="s">
        <v>268</v>
      </c>
      <c r="E101" s="20">
        <v>17000</v>
      </c>
      <c r="F101" s="21">
        <v>61.811999999999998</v>
      </c>
      <c r="G101" s="22">
        <v>2.0000000000000001E-4</v>
      </c>
      <c r="H101" s="23"/>
      <c r="I101" s="24"/>
      <c r="J101" s="5"/>
    </row>
    <row r="102" spans="1:10" ht="13.05" customHeight="1">
      <c r="A102" s="18" t="s">
        <v>913</v>
      </c>
      <c r="B102" s="19" t="s">
        <v>914</v>
      </c>
      <c r="C102" s="15" t="s">
        <v>915</v>
      </c>
      <c r="D102" s="15" t="s">
        <v>567</v>
      </c>
      <c r="E102" s="20">
        <v>14400</v>
      </c>
      <c r="F102" s="21">
        <v>54.993600000000001</v>
      </c>
      <c r="G102" s="22">
        <v>1E-4</v>
      </c>
      <c r="H102" s="23"/>
      <c r="I102" s="24"/>
      <c r="J102" s="5"/>
    </row>
    <row r="103" spans="1:10" ht="13.05" customHeight="1">
      <c r="A103" s="18" t="s">
        <v>819</v>
      </c>
      <c r="B103" s="19" t="s">
        <v>820</v>
      </c>
      <c r="C103" s="15" t="s">
        <v>821</v>
      </c>
      <c r="D103" s="15" t="s">
        <v>314</v>
      </c>
      <c r="E103" s="20">
        <v>12500</v>
      </c>
      <c r="F103" s="21">
        <v>46.512500000000003</v>
      </c>
      <c r="G103" s="22">
        <v>1E-4</v>
      </c>
      <c r="H103" s="23"/>
      <c r="I103" s="24"/>
      <c r="J103" s="5"/>
    </row>
    <row r="104" spans="1:10" ht="13.05" customHeight="1">
      <c r="A104" s="18" t="s">
        <v>634</v>
      </c>
      <c r="B104" s="19" t="s">
        <v>635</v>
      </c>
      <c r="C104" s="15" t="s">
        <v>636</v>
      </c>
      <c r="D104" s="15" t="s">
        <v>337</v>
      </c>
      <c r="E104" s="20">
        <v>6641</v>
      </c>
      <c r="F104" s="21">
        <v>37.548200000000001</v>
      </c>
      <c r="G104" s="22">
        <v>1E-4</v>
      </c>
      <c r="H104" s="23"/>
      <c r="I104" s="24"/>
      <c r="J104" s="5"/>
    </row>
    <row r="105" spans="1:10" ht="13.05" customHeight="1">
      <c r="A105" s="18" t="s">
        <v>898</v>
      </c>
      <c r="B105" s="19" t="s">
        <v>899</v>
      </c>
      <c r="C105" s="15" t="s">
        <v>900</v>
      </c>
      <c r="D105" s="15" t="s">
        <v>325</v>
      </c>
      <c r="E105" s="20">
        <v>9000</v>
      </c>
      <c r="F105" s="21">
        <v>25.443000000000001</v>
      </c>
      <c r="G105" s="22">
        <v>1E-4</v>
      </c>
      <c r="H105" s="23"/>
      <c r="I105" s="24"/>
      <c r="J105" s="5"/>
    </row>
    <row r="106" spans="1:10" ht="13.05" customHeight="1">
      <c r="A106" s="18" t="s">
        <v>398</v>
      </c>
      <c r="B106" s="19" t="s">
        <v>399</v>
      </c>
      <c r="C106" s="15" t="s">
        <v>400</v>
      </c>
      <c r="D106" s="15" t="s">
        <v>401</v>
      </c>
      <c r="E106" s="20">
        <v>3702</v>
      </c>
      <c r="F106" s="21">
        <v>14.3878</v>
      </c>
      <c r="G106" s="40" t="s">
        <v>1809</v>
      </c>
      <c r="H106" s="23"/>
      <c r="I106" s="24"/>
      <c r="J106" s="5"/>
    </row>
    <row r="107" spans="1:10" ht="13.05" customHeight="1">
      <c r="A107" s="18" t="s">
        <v>721</v>
      </c>
      <c r="B107" s="19" t="s">
        <v>722</v>
      </c>
      <c r="C107" s="15" t="s">
        <v>723</v>
      </c>
      <c r="D107" s="15" t="s">
        <v>314</v>
      </c>
      <c r="E107" s="20">
        <v>750</v>
      </c>
      <c r="F107" s="21">
        <v>14.183999999999999</v>
      </c>
      <c r="G107" s="40" t="s">
        <v>1809</v>
      </c>
      <c r="H107" s="23"/>
      <c r="I107" s="24"/>
      <c r="J107" s="5"/>
    </row>
    <row r="108" spans="1:10" ht="13.05" customHeight="1">
      <c r="A108" s="18" t="s">
        <v>676</v>
      </c>
      <c r="B108" s="19" t="s">
        <v>677</v>
      </c>
      <c r="C108" s="15" t="s">
        <v>678</v>
      </c>
      <c r="D108" s="15" t="s">
        <v>314</v>
      </c>
      <c r="E108" s="20">
        <v>1100</v>
      </c>
      <c r="F108" s="21">
        <v>12.527900000000001</v>
      </c>
      <c r="G108" s="40" t="s">
        <v>1809</v>
      </c>
      <c r="H108" s="23"/>
      <c r="I108" s="24"/>
      <c r="J108" s="5"/>
    </row>
    <row r="109" spans="1:10" ht="13.05" customHeight="1">
      <c r="A109" s="18" t="s">
        <v>655</v>
      </c>
      <c r="B109" s="19" t="s">
        <v>656</v>
      </c>
      <c r="C109" s="15" t="s">
        <v>657</v>
      </c>
      <c r="D109" s="15" t="s">
        <v>364</v>
      </c>
      <c r="E109" s="20">
        <v>6975</v>
      </c>
      <c r="F109" s="21">
        <v>6.5544000000000002</v>
      </c>
      <c r="G109" s="40" t="s">
        <v>1809</v>
      </c>
      <c r="H109" s="23"/>
      <c r="I109" s="24"/>
      <c r="J109" s="5"/>
    </row>
    <row r="110" spans="1:10" ht="13.05" customHeight="1">
      <c r="A110" s="18" t="s">
        <v>446</v>
      </c>
      <c r="B110" s="19" t="s">
        <v>447</v>
      </c>
      <c r="C110" s="15" t="s">
        <v>448</v>
      </c>
      <c r="D110" s="15" t="s">
        <v>300</v>
      </c>
      <c r="E110" s="20">
        <v>197</v>
      </c>
      <c r="F110" s="21">
        <v>3.3426999999999998</v>
      </c>
      <c r="G110" s="40" t="s">
        <v>1809</v>
      </c>
      <c r="H110" s="23"/>
      <c r="I110" s="24"/>
      <c r="J110" s="5"/>
    </row>
    <row r="111" spans="1:10" ht="13.05" customHeight="1">
      <c r="A111" s="18" t="s">
        <v>1698</v>
      </c>
      <c r="B111" s="19" t="s">
        <v>1699</v>
      </c>
      <c r="C111" s="15" t="s">
        <v>1700</v>
      </c>
      <c r="D111" s="15" t="s">
        <v>304</v>
      </c>
      <c r="E111" s="20">
        <v>2</v>
      </c>
      <c r="F111" s="21">
        <v>1.29E-2</v>
      </c>
      <c r="G111" s="40" t="s">
        <v>1809</v>
      </c>
      <c r="H111" s="23"/>
      <c r="I111" s="24"/>
      <c r="J111" s="5"/>
    </row>
    <row r="112" spans="1:10" ht="13.05" customHeight="1">
      <c r="A112" s="5"/>
      <c r="B112" s="14" t="s">
        <v>192</v>
      </c>
      <c r="C112" s="15"/>
      <c r="D112" s="15"/>
      <c r="E112" s="15"/>
      <c r="F112" s="25">
        <v>264043.80459999997</v>
      </c>
      <c r="G112" s="26">
        <v>0.70950000000000002</v>
      </c>
      <c r="H112" s="27"/>
      <c r="I112" s="28"/>
      <c r="J112" s="5"/>
    </row>
    <row r="113" spans="1:10" ht="13.05" customHeight="1">
      <c r="A113" s="5"/>
      <c r="B113" s="29" t="s">
        <v>1812</v>
      </c>
      <c r="C113" s="2"/>
      <c r="D113" s="2"/>
      <c r="E113" s="2"/>
      <c r="F113" s="27" t="s">
        <v>194</v>
      </c>
      <c r="G113" s="27" t="s">
        <v>194</v>
      </c>
      <c r="H113" s="27"/>
      <c r="I113" s="28"/>
      <c r="J113" s="5"/>
    </row>
    <row r="114" spans="1:10" ht="13.05" customHeight="1">
      <c r="A114" s="5"/>
      <c r="B114" s="29" t="s">
        <v>192</v>
      </c>
      <c r="C114" s="2"/>
      <c r="D114" s="2"/>
      <c r="E114" s="2"/>
      <c r="F114" s="27" t="s">
        <v>194</v>
      </c>
      <c r="G114" s="27" t="s">
        <v>194</v>
      </c>
      <c r="H114" s="27"/>
      <c r="I114" s="28"/>
      <c r="J114" s="5"/>
    </row>
    <row r="115" spans="1:10" ht="13.05" customHeight="1">
      <c r="A115" s="5"/>
      <c r="B115" s="14" t="s">
        <v>1813</v>
      </c>
      <c r="C115" s="15"/>
      <c r="D115" s="15"/>
      <c r="E115" s="15"/>
      <c r="F115" s="5"/>
      <c r="G115" s="16"/>
      <c r="H115" s="16"/>
      <c r="I115" s="17"/>
      <c r="J115" s="5"/>
    </row>
    <row r="116" spans="1:10" ht="13.05" customHeight="1">
      <c r="A116" s="18" t="s">
        <v>1814</v>
      </c>
      <c r="B116" s="19" t="s">
        <v>5526</v>
      </c>
      <c r="C116" s="15" t="s">
        <v>1815</v>
      </c>
      <c r="D116" s="15" t="s">
        <v>296</v>
      </c>
      <c r="E116" s="20">
        <v>83064</v>
      </c>
      <c r="F116" s="21">
        <v>8.3824000000000005</v>
      </c>
      <c r="G116" s="40" t="s">
        <v>1809</v>
      </c>
      <c r="H116" s="23"/>
      <c r="I116" s="24"/>
      <c r="J116" s="5"/>
    </row>
    <row r="117" spans="1:10" ht="13.05" customHeight="1">
      <c r="A117" s="5"/>
      <c r="B117" s="14" t="s">
        <v>192</v>
      </c>
      <c r="C117" s="15"/>
      <c r="D117" s="15"/>
      <c r="E117" s="15"/>
      <c r="F117" s="25">
        <v>8.3824000000000005</v>
      </c>
      <c r="G117" s="27" t="s">
        <v>1809</v>
      </c>
      <c r="H117" s="27"/>
      <c r="I117" s="28"/>
      <c r="J117" s="5"/>
    </row>
    <row r="118" spans="1:10" ht="13.05" customHeight="1">
      <c r="A118" s="5"/>
      <c r="B118" s="29" t="s">
        <v>195</v>
      </c>
      <c r="C118" s="30"/>
      <c r="D118" s="2"/>
      <c r="E118" s="30"/>
      <c r="F118" s="25">
        <v>264052.18699999998</v>
      </c>
      <c r="G118" s="26">
        <v>0.70960000000000001</v>
      </c>
      <c r="H118" s="27"/>
      <c r="I118" s="28"/>
      <c r="J118" s="5"/>
    </row>
    <row r="119" spans="1:10" ht="13.05" customHeight="1">
      <c r="A119" s="5"/>
      <c r="B119" s="14" t="s">
        <v>1871</v>
      </c>
      <c r="C119" s="15"/>
      <c r="D119" s="15"/>
      <c r="E119" s="15"/>
      <c r="F119" s="15"/>
      <c r="G119" s="15"/>
      <c r="H119" s="16"/>
      <c r="I119" s="17"/>
      <c r="J119" s="5"/>
    </row>
    <row r="120" spans="1:10" ht="13.05" customHeight="1">
      <c r="A120" s="5"/>
      <c r="B120" s="14" t="s">
        <v>2997</v>
      </c>
      <c r="C120" s="15"/>
      <c r="D120" s="15"/>
      <c r="E120" s="15"/>
      <c r="F120" s="5"/>
      <c r="G120" s="16"/>
      <c r="H120" s="16"/>
      <c r="I120" s="17"/>
      <c r="J120" s="5"/>
    </row>
    <row r="121" spans="1:10" ht="13.05" customHeight="1">
      <c r="A121" s="18" t="s">
        <v>2998</v>
      </c>
      <c r="B121" s="19" t="s">
        <v>2999</v>
      </c>
      <c r="C121" s="15"/>
      <c r="D121" s="15"/>
      <c r="E121" s="20">
        <v>7700</v>
      </c>
      <c r="F121" s="21">
        <v>4480.2142000000003</v>
      </c>
      <c r="G121" s="22">
        <v>1.2E-2</v>
      </c>
      <c r="H121" s="23"/>
      <c r="I121" s="24"/>
      <c r="J121" s="5"/>
    </row>
    <row r="122" spans="1:10" ht="13.05" customHeight="1">
      <c r="A122" s="18" t="s">
        <v>3000</v>
      </c>
      <c r="B122" s="19" t="s">
        <v>3001</v>
      </c>
      <c r="C122" s="15"/>
      <c r="D122" s="15"/>
      <c r="E122" s="20">
        <v>17000</v>
      </c>
      <c r="F122" s="21">
        <v>998.15499999999997</v>
      </c>
      <c r="G122" s="22">
        <v>2.7000000000000001E-3</v>
      </c>
      <c r="H122" s="23"/>
      <c r="I122" s="24"/>
      <c r="J122" s="5"/>
    </row>
    <row r="123" spans="1:10" ht="13.05" customHeight="1">
      <c r="A123" s="18" t="s">
        <v>3002</v>
      </c>
      <c r="B123" s="19" t="s">
        <v>3003</v>
      </c>
      <c r="C123" s="15"/>
      <c r="D123" s="15"/>
      <c r="E123" s="20">
        <v>-6975</v>
      </c>
      <c r="F123" s="21">
        <v>-6.5885999999999996</v>
      </c>
      <c r="G123" s="40" t="s">
        <v>1809</v>
      </c>
      <c r="H123" s="23"/>
      <c r="I123" s="24"/>
      <c r="J123" s="5"/>
    </row>
    <row r="124" spans="1:10" ht="13.05" customHeight="1">
      <c r="A124" s="18" t="s">
        <v>3004</v>
      </c>
      <c r="B124" s="19" t="s">
        <v>3005</v>
      </c>
      <c r="C124" s="15"/>
      <c r="D124" s="15"/>
      <c r="E124" s="20">
        <v>-125</v>
      </c>
      <c r="F124" s="21">
        <v>-9.6513000000000009</v>
      </c>
      <c r="G124" s="40" t="s">
        <v>1809</v>
      </c>
      <c r="H124" s="23"/>
      <c r="I124" s="24"/>
      <c r="J124" s="5"/>
    </row>
    <row r="125" spans="1:10" ht="13.05" customHeight="1">
      <c r="A125" s="18" t="s">
        <v>3006</v>
      </c>
      <c r="B125" s="19" t="s">
        <v>3007</v>
      </c>
      <c r="C125" s="15"/>
      <c r="D125" s="15"/>
      <c r="E125" s="20">
        <v>-1100</v>
      </c>
      <c r="F125" s="21">
        <v>-12.6236</v>
      </c>
      <c r="G125" s="40" t="s">
        <v>1809</v>
      </c>
      <c r="H125" s="23"/>
      <c r="I125" s="24"/>
      <c r="J125" s="5"/>
    </row>
    <row r="126" spans="1:10" ht="13.05" customHeight="1">
      <c r="A126" s="18" t="s">
        <v>3008</v>
      </c>
      <c r="B126" s="19" t="s">
        <v>3009</v>
      </c>
      <c r="C126" s="15"/>
      <c r="D126" s="15"/>
      <c r="E126" s="20">
        <v>-750</v>
      </c>
      <c r="F126" s="21">
        <v>-14.273300000000001</v>
      </c>
      <c r="G126" s="40" t="s">
        <v>1809</v>
      </c>
      <c r="H126" s="23"/>
      <c r="I126" s="24"/>
      <c r="J126" s="5"/>
    </row>
    <row r="127" spans="1:10" ht="13.05" customHeight="1">
      <c r="A127" s="18" t="s">
        <v>3010</v>
      </c>
      <c r="B127" s="19" t="s">
        <v>3011</v>
      </c>
      <c r="C127" s="15"/>
      <c r="D127" s="15"/>
      <c r="E127" s="20">
        <v>-9000</v>
      </c>
      <c r="F127" s="21">
        <v>-25.596</v>
      </c>
      <c r="G127" s="22">
        <v>-1E-4</v>
      </c>
      <c r="H127" s="23"/>
      <c r="I127" s="24"/>
      <c r="J127" s="5"/>
    </row>
    <row r="128" spans="1:10" ht="13.05" customHeight="1">
      <c r="A128" s="18" t="s">
        <v>3012</v>
      </c>
      <c r="B128" s="19" t="s">
        <v>3013</v>
      </c>
      <c r="C128" s="15"/>
      <c r="D128" s="15"/>
      <c r="E128" s="20">
        <v>-1250</v>
      </c>
      <c r="F128" s="21">
        <v>-44.712499999999999</v>
      </c>
      <c r="G128" s="22">
        <v>-1E-4</v>
      </c>
      <c r="H128" s="23"/>
      <c r="I128" s="24"/>
      <c r="J128" s="5"/>
    </row>
    <row r="129" spans="1:10" ht="13.05" customHeight="1">
      <c r="A129" s="18" t="s">
        <v>3014</v>
      </c>
      <c r="B129" s="19" t="s">
        <v>3015</v>
      </c>
      <c r="C129" s="15"/>
      <c r="D129" s="15"/>
      <c r="E129" s="20">
        <v>-12500</v>
      </c>
      <c r="F129" s="21">
        <v>-46.8125</v>
      </c>
      <c r="G129" s="22">
        <v>-1E-4</v>
      </c>
      <c r="H129" s="23"/>
      <c r="I129" s="24"/>
      <c r="J129" s="5"/>
    </row>
    <row r="130" spans="1:10" ht="13.05" customHeight="1">
      <c r="A130" s="18" t="s">
        <v>3016</v>
      </c>
      <c r="B130" s="19" t="s">
        <v>3017</v>
      </c>
      <c r="C130" s="15"/>
      <c r="D130" s="15"/>
      <c r="E130" s="20">
        <v>-14400</v>
      </c>
      <c r="F130" s="21">
        <v>-55.209600000000002</v>
      </c>
      <c r="G130" s="22">
        <v>-1E-4</v>
      </c>
      <c r="H130" s="23"/>
      <c r="I130" s="24"/>
      <c r="J130" s="5"/>
    </row>
    <row r="131" spans="1:10" ht="13.05" customHeight="1">
      <c r="A131" s="18" t="s">
        <v>3018</v>
      </c>
      <c r="B131" s="19" t="s">
        <v>3019</v>
      </c>
      <c r="C131" s="15"/>
      <c r="D131" s="15"/>
      <c r="E131" s="20">
        <v>-17000</v>
      </c>
      <c r="F131" s="21">
        <v>-62.2455</v>
      </c>
      <c r="G131" s="22">
        <v>-2.0000000000000001E-4</v>
      </c>
      <c r="H131" s="23"/>
      <c r="I131" s="24"/>
      <c r="J131" s="5"/>
    </row>
    <row r="132" spans="1:10" ht="13.05" customHeight="1">
      <c r="A132" s="18" t="s">
        <v>3020</v>
      </c>
      <c r="B132" s="19" t="s">
        <v>3021</v>
      </c>
      <c r="C132" s="15"/>
      <c r="D132" s="15"/>
      <c r="E132" s="20">
        <v>-11900</v>
      </c>
      <c r="F132" s="21">
        <v>-68.216800000000006</v>
      </c>
      <c r="G132" s="22">
        <v>-2.0000000000000001E-4</v>
      </c>
      <c r="H132" s="23"/>
      <c r="I132" s="24"/>
      <c r="J132" s="5"/>
    </row>
    <row r="133" spans="1:10" ht="13.05" customHeight="1">
      <c r="A133" s="18" t="s">
        <v>3022</v>
      </c>
      <c r="B133" s="19" t="s">
        <v>3023</v>
      </c>
      <c r="C133" s="15"/>
      <c r="D133" s="15"/>
      <c r="E133" s="20">
        <v>-7500</v>
      </c>
      <c r="F133" s="21">
        <v>-81.569999999999993</v>
      </c>
      <c r="G133" s="22">
        <v>-2.0000000000000001E-4</v>
      </c>
      <c r="H133" s="23"/>
      <c r="I133" s="24"/>
      <c r="J133" s="5"/>
    </row>
    <row r="134" spans="1:10" ht="13.05" customHeight="1">
      <c r="A134" s="18" t="s">
        <v>3024</v>
      </c>
      <c r="B134" s="19" t="s">
        <v>3025</v>
      </c>
      <c r="C134" s="15"/>
      <c r="D134" s="15"/>
      <c r="E134" s="20">
        <v>-16650</v>
      </c>
      <c r="F134" s="21">
        <v>-98.826099999999997</v>
      </c>
      <c r="G134" s="22">
        <v>-2.9999999999999997E-4</v>
      </c>
      <c r="H134" s="23"/>
      <c r="I134" s="24"/>
      <c r="J134" s="5"/>
    </row>
    <row r="135" spans="1:10" ht="13.05" customHeight="1">
      <c r="A135" s="18" t="s">
        <v>3026</v>
      </c>
      <c r="B135" s="19" t="s">
        <v>3027</v>
      </c>
      <c r="C135" s="15"/>
      <c r="D135" s="15"/>
      <c r="E135" s="20">
        <v>-11900</v>
      </c>
      <c r="F135" s="21">
        <v>-114.0556</v>
      </c>
      <c r="G135" s="22">
        <v>-2.9999999999999997E-4</v>
      </c>
      <c r="H135" s="23"/>
      <c r="I135" s="24"/>
      <c r="J135" s="5"/>
    </row>
    <row r="136" spans="1:10" ht="13.05" customHeight="1">
      <c r="A136" s="18" t="s">
        <v>3028</v>
      </c>
      <c r="B136" s="19" t="s">
        <v>3029</v>
      </c>
      <c r="C136" s="15"/>
      <c r="D136" s="15"/>
      <c r="E136" s="20">
        <v>-46800</v>
      </c>
      <c r="F136" s="21">
        <v>-130.89959999999999</v>
      </c>
      <c r="G136" s="22">
        <v>-4.0000000000000002E-4</v>
      </c>
      <c r="H136" s="23"/>
      <c r="I136" s="24"/>
      <c r="J136" s="5"/>
    </row>
    <row r="137" spans="1:10" ht="13.05" customHeight="1">
      <c r="A137" s="18" t="s">
        <v>3030</v>
      </c>
      <c r="B137" s="19" t="s">
        <v>3031</v>
      </c>
      <c r="C137" s="15"/>
      <c r="D137" s="15"/>
      <c r="E137" s="20">
        <v>-40300</v>
      </c>
      <c r="F137" s="21">
        <v>-131.51910000000001</v>
      </c>
      <c r="G137" s="22">
        <v>-4.0000000000000002E-4</v>
      </c>
      <c r="H137" s="23"/>
      <c r="I137" s="24"/>
      <c r="J137" s="5"/>
    </row>
    <row r="138" spans="1:10" ht="13.05" customHeight="1">
      <c r="A138" s="18" t="s">
        <v>3032</v>
      </c>
      <c r="B138" s="19" t="s">
        <v>3033</v>
      </c>
      <c r="C138" s="15"/>
      <c r="D138" s="15"/>
      <c r="E138" s="20">
        <v>-4950</v>
      </c>
      <c r="F138" s="21">
        <v>-137.67930000000001</v>
      </c>
      <c r="G138" s="22">
        <v>-4.0000000000000002E-4</v>
      </c>
      <c r="H138" s="23"/>
      <c r="I138" s="24"/>
      <c r="J138" s="5"/>
    </row>
    <row r="139" spans="1:10" ht="13.05" customHeight="1">
      <c r="A139" s="18" t="s">
        <v>3034</v>
      </c>
      <c r="B139" s="19" t="s">
        <v>3035</v>
      </c>
      <c r="C139" s="15"/>
      <c r="D139" s="15"/>
      <c r="E139" s="20">
        <v>-101250</v>
      </c>
      <c r="F139" s="21">
        <v>-139.4111</v>
      </c>
      <c r="G139" s="22">
        <v>-4.0000000000000002E-4</v>
      </c>
      <c r="H139" s="23"/>
      <c r="I139" s="24"/>
      <c r="J139" s="5"/>
    </row>
    <row r="140" spans="1:10" ht="13.05" customHeight="1">
      <c r="A140" s="18" t="s">
        <v>3036</v>
      </c>
      <c r="B140" s="19" t="s">
        <v>3037</v>
      </c>
      <c r="C140" s="15"/>
      <c r="D140" s="15"/>
      <c r="E140" s="20">
        <v>-4550</v>
      </c>
      <c r="F140" s="21">
        <v>-171.48500000000001</v>
      </c>
      <c r="G140" s="22">
        <v>-5.0000000000000001E-4</v>
      </c>
      <c r="H140" s="23"/>
      <c r="I140" s="24"/>
      <c r="J140" s="5"/>
    </row>
    <row r="141" spans="1:10" ht="13.05" customHeight="1">
      <c r="A141" s="18" t="s">
        <v>3038</v>
      </c>
      <c r="B141" s="19" t="s">
        <v>3039</v>
      </c>
      <c r="C141" s="15"/>
      <c r="D141" s="15"/>
      <c r="E141" s="20">
        <v>-8400</v>
      </c>
      <c r="F141" s="21">
        <v>-177.76079999999999</v>
      </c>
      <c r="G141" s="22">
        <v>-5.0000000000000001E-4</v>
      </c>
      <c r="H141" s="23"/>
      <c r="I141" s="24"/>
      <c r="J141" s="5"/>
    </row>
    <row r="142" spans="1:10" ht="13.05" customHeight="1">
      <c r="A142" s="18" t="s">
        <v>3040</v>
      </c>
      <c r="B142" s="19" t="s">
        <v>3041</v>
      </c>
      <c r="C142" s="15"/>
      <c r="D142" s="15"/>
      <c r="E142" s="20">
        <v>-9500</v>
      </c>
      <c r="F142" s="21">
        <v>-199.69</v>
      </c>
      <c r="G142" s="22">
        <v>-5.0000000000000001E-4</v>
      </c>
      <c r="H142" s="23"/>
      <c r="I142" s="24"/>
      <c r="J142" s="5"/>
    </row>
    <row r="143" spans="1:10" ht="13.05" customHeight="1">
      <c r="A143" s="18" t="s">
        <v>3042</v>
      </c>
      <c r="B143" s="19" t="s">
        <v>3043</v>
      </c>
      <c r="C143" s="15"/>
      <c r="D143" s="15"/>
      <c r="E143" s="20">
        <v>-84778</v>
      </c>
      <c r="F143" s="21">
        <v>-230.85900000000001</v>
      </c>
      <c r="G143" s="22">
        <v>-5.9999999999999995E-4</v>
      </c>
      <c r="H143" s="23"/>
      <c r="I143" s="24"/>
      <c r="J143" s="5"/>
    </row>
    <row r="144" spans="1:10" ht="13.05" customHeight="1">
      <c r="A144" s="18" t="s">
        <v>3044</v>
      </c>
      <c r="B144" s="19" t="s">
        <v>3045</v>
      </c>
      <c r="C144" s="15"/>
      <c r="D144" s="15"/>
      <c r="E144" s="20">
        <v>-29400</v>
      </c>
      <c r="F144" s="21">
        <v>-234.7002</v>
      </c>
      <c r="G144" s="22">
        <v>-5.9999999999999995E-4</v>
      </c>
      <c r="H144" s="23"/>
      <c r="I144" s="24"/>
      <c r="J144" s="5"/>
    </row>
    <row r="145" spans="1:10" ht="13.05" customHeight="1">
      <c r="A145" s="18" t="s">
        <v>3046</v>
      </c>
      <c r="B145" s="19" t="s">
        <v>3047</v>
      </c>
      <c r="C145" s="15"/>
      <c r="D145" s="15"/>
      <c r="E145" s="20">
        <v>-67650</v>
      </c>
      <c r="F145" s="21">
        <v>-319.34179999999998</v>
      </c>
      <c r="G145" s="22">
        <v>-8.9999999999999998E-4</v>
      </c>
      <c r="H145" s="23"/>
      <c r="I145" s="24"/>
      <c r="J145" s="5"/>
    </row>
    <row r="146" spans="1:10" ht="13.05" customHeight="1">
      <c r="A146" s="18" t="s">
        <v>3048</v>
      </c>
      <c r="B146" s="19" t="s">
        <v>3049</v>
      </c>
      <c r="C146" s="15"/>
      <c r="D146" s="15"/>
      <c r="E146" s="20">
        <v>-84800</v>
      </c>
      <c r="F146" s="21">
        <v>-358.70400000000001</v>
      </c>
      <c r="G146" s="22">
        <v>-1E-3</v>
      </c>
      <c r="H146" s="23"/>
      <c r="I146" s="24"/>
      <c r="J146" s="5"/>
    </row>
    <row r="147" spans="1:10" ht="13.05" customHeight="1">
      <c r="A147" s="18" t="s">
        <v>3050</v>
      </c>
      <c r="B147" s="19" t="s">
        <v>3051</v>
      </c>
      <c r="C147" s="15"/>
      <c r="D147" s="15"/>
      <c r="E147" s="20">
        <v>-27375</v>
      </c>
      <c r="F147" s="21">
        <v>-377.25490000000002</v>
      </c>
      <c r="G147" s="22">
        <v>-1E-3</v>
      </c>
      <c r="H147" s="23"/>
      <c r="I147" s="24"/>
      <c r="J147" s="5"/>
    </row>
    <row r="148" spans="1:10" ht="13.05" customHeight="1">
      <c r="A148" s="18" t="s">
        <v>3052</v>
      </c>
      <c r="B148" s="19" t="s">
        <v>3053</v>
      </c>
      <c r="C148" s="15"/>
      <c r="D148" s="15"/>
      <c r="E148" s="20">
        <v>-168000</v>
      </c>
      <c r="F148" s="21">
        <v>-448.17360000000002</v>
      </c>
      <c r="G148" s="22">
        <v>-1.1999999999999999E-3</v>
      </c>
      <c r="H148" s="23"/>
      <c r="I148" s="24"/>
      <c r="J148" s="5"/>
    </row>
    <row r="149" spans="1:10" ht="13.05" customHeight="1">
      <c r="A149" s="18" t="s">
        <v>3054</v>
      </c>
      <c r="B149" s="19" t="s">
        <v>3055</v>
      </c>
      <c r="C149" s="15"/>
      <c r="D149" s="15"/>
      <c r="E149" s="20">
        <v>-41250</v>
      </c>
      <c r="F149" s="21">
        <v>-510.79880000000003</v>
      </c>
      <c r="G149" s="22">
        <v>-1.4E-3</v>
      </c>
      <c r="H149" s="23"/>
      <c r="I149" s="24"/>
      <c r="J149" s="5"/>
    </row>
    <row r="150" spans="1:10" ht="13.05" customHeight="1">
      <c r="A150" s="18" t="s">
        <v>3056</v>
      </c>
      <c r="B150" s="19" t="s">
        <v>3057</v>
      </c>
      <c r="C150" s="15"/>
      <c r="D150" s="15"/>
      <c r="E150" s="20">
        <v>-68475</v>
      </c>
      <c r="F150" s="21">
        <v>-521.19749999999999</v>
      </c>
      <c r="G150" s="22">
        <v>-1.4E-3</v>
      </c>
      <c r="H150" s="23"/>
      <c r="I150" s="24"/>
      <c r="J150" s="5"/>
    </row>
    <row r="151" spans="1:10" ht="13.05" customHeight="1">
      <c r="A151" s="18" t="s">
        <v>3058</v>
      </c>
      <c r="B151" s="19" t="s">
        <v>3059</v>
      </c>
      <c r="C151" s="15"/>
      <c r="D151" s="15"/>
      <c r="E151" s="20">
        <v>-423000</v>
      </c>
      <c r="F151" s="21">
        <v>-582.2595</v>
      </c>
      <c r="G151" s="22">
        <v>-1.6000000000000001E-3</v>
      </c>
      <c r="H151" s="23"/>
      <c r="I151" s="24"/>
      <c r="J151" s="5"/>
    </row>
    <row r="152" spans="1:10" ht="13.05" customHeight="1">
      <c r="A152" s="18" t="s">
        <v>3060</v>
      </c>
      <c r="B152" s="19" t="s">
        <v>3061</v>
      </c>
      <c r="C152" s="15"/>
      <c r="D152" s="15"/>
      <c r="E152" s="20">
        <v>-10500</v>
      </c>
      <c r="F152" s="21">
        <v>-594.03750000000002</v>
      </c>
      <c r="G152" s="22">
        <v>-1.6000000000000001E-3</v>
      </c>
      <c r="H152" s="23"/>
      <c r="I152" s="24"/>
      <c r="J152" s="5"/>
    </row>
    <row r="153" spans="1:10" ht="13.05" customHeight="1">
      <c r="A153" s="18" t="s">
        <v>3062</v>
      </c>
      <c r="B153" s="19" t="s">
        <v>3063</v>
      </c>
      <c r="C153" s="15"/>
      <c r="D153" s="15"/>
      <c r="E153" s="20">
        <v>-212800</v>
      </c>
      <c r="F153" s="21">
        <v>-608.39520000000005</v>
      </c>
      <c r="G153" s="22">
        <v>-1.6000000000000001E-3</v>
      </c>
      <c r="H153" s="23"/>
      <c r="I153" s="24"/>
      <c r="J153" s="5"/>
    </row>
    <row r="154" spans="1:10" ht="13.05" customHeight="1">
      <c r="A154" s="18" t="s">
        <v>3064</v>
      </c>
      <c r="B154" s="19" t="s">
        <v>3065</v>
      </c>
      <c r="C154" s="15"/>
      <c r="D154" s="15"/>
      <c r="E154" s="20">
        <v>-5250</v>
      </c>
      <c r="F154" s="21">
        <v>-630.52499999999998</v>
      </c>
      <c r="G154" s="22">
        <v>-1.6999999999999999E-3</v>
      </c>
      <c r="H154" s="23"/>
      <c r="I154" s="24"/>
      <c r="J154" s="5"/>
    </row>
    <row r="155" spans="1:10" ht="13.05" customHeight="1">
      <c r="A155" s="18" t="s">
        <v>3066</v>
      </c>
      <c r="B155" s="19" t="s">
        <v>3067</v>
      </c>
      <c r="C155" s="15"/>
      <c r="D155" s="15"/>
      <c r="E155" s="20">
        <v>-254250</v>
      </c>
      <c r="F155" s="21">
        <v>-652.45640000000003</v>
      </c>
      <c r="G155" s="22">
        <v>-1.8E-3</v>
      </c>
      <c r="H155" s="23"/>
      <c r="I155" s="24"/>
      <c r="J155" s="5"/>
    </row>
    <row r="156" spans="1:10" ht="13.05" customHeight="1">
      <c r="A156" s="18" t="s">
        <v>3068</v>
      </c>
      <c r="B156" s="19" t="s">
        <v>3069</v>
      </c>
      <c r="C156" s="15"/>
      <c r="D156" s="15"/>
      <c r="E156" s="20">
        <v>-179775</v>
      </c>
      <c r="F156" s="21">
        <v>-676.85289999999998</v>
      </c>
      <c r="G156" s="22">
        <v>-1.8E-3</v>
      </c>
      <c r="H156" s="23"/>
      <c r="I156" s="24"/>
      <c r="J156" s="5"/>
    </row>
    <row r="157" spans="1:10" ht="13.05" customHeight="1">
      <c r="A157" s="18" t="s">
        <v>3070</v>
      </c>
      <c r="B157" s="19" t="s">
        <v>3071</v>
      </c>
      <c r="C157" s="15"/>
      <c r="D157" s="15"/>
      <c r="E157" s="20">
        <v>-59850</v>
      </c>
      <c r="F157" s="21">
        <v>-691.62660000000005</v>
      </c>
      <c r="G157" s="22">
        <v>-1.9E-3</v>
      </c>
      <c r="H157" s="23"/>
      <c r="I157" s="24"/>
      <c r="J157" s="5"/>
    </row>
    <row r="158" spans="1:10" ht="13.05" customHeight="1">
      <c r="A158" s="18" t="s">
        <v>3072</v>
      </c>
      <c r="B158" s="19" t="s">
        <v>3073</v>
      </c>
      <c r="C158" s="15"/>
      <c r="D158" s="15"/>
      <c r="E158" s="20">
        <v>-77250</v>
      </c>
      <c r="F158" s="21">
        <v>-728.35159999999996</v>
      </c>
      <c r="G158" s="22">
        <v>-2E-3</v>
      </c>
      <c r="H158" s="23"/>
      <c r="I158" s="24"/>
      <c r="J158" s="5"/>
    </row>
    <row r="159" spans="1:10" ht="13.05" customHeight="1">
      <c r="A159" s="18" t="s">
        <v>3074</v>
      </c>
      <c r="B159" s="19" t="s">
        <v>3075</v>
      </c>
      <c r="C159" s="15"/>
      <c r="D159" s="15"/>
      <c r="E159" s="20">
        <v>-21000</v>
      </c>
      <c r="F159" s="21">
        <v>-740.73299999999995</v>
      </c>
      <c r="G159" s="22">
        <v>-2E-3</v>
      </c>
      <c r="H159" s="23"/>
      <c r="I159" s="24"/>
      <c r="J159" s="5"/>
    </row>
    <row r="160" spans="1:10" ht="13.05" customHeight="1">
      <c r="A160" s="18" t="s">
        <v>3076</v>
      </c>
      <c r="B160" s="19" t="s">
        <v>3077</v>
      </c>
      <c r="C160" s="15"/>
      <c r="D160" s="15"/>
      <c r="E160" s="20">
        <v>-407000</v>
      </c>
      <c r="F160" s="21">
        <v>-748.43230000000005</v>
      </c>
      <c r="G160" s="22">
        <v>-2E-3</v>
      </c>
      <c r="H160" s="23"/>
      <c r="I160" s="24"/>
      <c r="J160" s="5"/>
    </row>
    <row r="161" spans="1:10" ht="13.05" customHeight="1">
      <c r="A161" s="18" t="s">
        <v>3078</v>
      </c>
      <c r="B161" s="19" t="s">
        <v>3079</v>
      </c>
      <c r="C161" s="15"/>
      <c r="D161" s="15"/>
      <c r="E161" s="20">
        <v>-58100</v>
      </c>
      <c r="F161" s="21">
        <v>-786.90639999999996</v>
      </c>
      <c r="G161" s="22">
        <v>-2.0999999999999999E-3</v>
      </c>
      <c r="H161" s="23"/>
      <c r="I161" s="24"/>
      <c r="J161" s="5"/>
    </row>
    <row r="162" spans="1:10" ht="13.05" customHeight="1">
      <c r="A162" s="18" t="s">
        <v>3080</v>
      </c>
      <c r="B162" s="19" t="s">
        <v>3081</v>
      </c>
      <c r="C162" s="15"/>
      <c r="D162" s="15"/>
      <c r="E162" s="20">
        <v>-11375</v>
      </c>
      <c r="F162" s="21">
        <v>-802.16499999999996</v>
      </c>
      <c r="G162" s="22">
        <v>-2.2000000000000001E-3</v>
      </c>
      <c r="H162" s="23"/>
      <c r="I162" s="24"/>
      <c r="J162" s="5"/>
    </row>
    <row r="163" spans="1:10" ht="13.05" customHeight="1">
      <c r="A163" s="18" t="s">
        <v>3082</v>
      </c>
      <c r="B163" s="19" t="s">
        <v>3083</v>
      </c>
      <c r="C163" s="15"/>
      <c r="D163" s="15"/>
      <c r="E163" s="20">
        <v>-112200</v>
      </c>
      <c r="F163" s="21">
        <v>-826.24080000000004</v>
      </c>
      <c r="G163" s="22">
        <v>-2.2000000000000001E-3</v>
      </c>
      <c r="H163" s="23"/>
      <c r="I163" s="24"/>
      <c r="J163" s="5"/>
    </row>
    <row r="164" spans="1:10" ht="13.05" customHeight="1">
      <c r="A164" s="18" t="s">
        <v>3084</v>
      </c>
      <c r="B164" s="19" t="s">
        <v>3085</v>
      </c>
      <c r="C164" s="15"/>
      <c r="D164" s="15"/>
      <c r="E164" s="20">
        <v>-90200</v>
      </c>
      <c r="F164" s="21">
        <v>-896.45270000000005</v>
      </c>
      <c r="G164" s="22">
        <v>-2.3999999999999998E-3</v>
      </c>
      <c r="H164" s="23"/>
      <c r="I164" s="24"/>
      <c r="J164" s="5"/>
    </row>
    <row r="165" spans="1:10" ht="13.05" customHeight="1">
      <c r="A165" s="18" t="s">
        <v>3086</v>
      </c>
      <c r="B165" s="19" t="s">
        <v>3087</v>
      </c>
      <c r="C165" s="15"/>
      <c r="D165" s="15"/>
      <c r="E165" s="20">
        <v>-21800</v>
      </c>
      <c r="F165" s="21">
        <v>-952.20219999999995</v>
      </c>
      <c r="G165" s="22">
        <v>-2.5999999999999999E-3</v>
      </c>
      <c r="H165" s="23"/>
      <c r="I165" s="24"/>
      <c r="J165" s="5"/>
    </row>
    <row r="166" spans="1:10" ht="13.05" customHeight="1">
      <c r="A166" s="18" t="s">
        <v>3088</v>
      </c>
      <c r="B166" s="19" t="s">
        <v>3089</v>
      </c>
      <c r="C166" s="15"/>
      <c r="D166" s="15"/>
      <c r="E166" s="20">
        <v>-280450</v>
      </c>
      <c r="F166" s="21">
        <v>-1000.0847</v>
      </c>
      <c r="G166" s="22">
        <v>-2.7000000000000001E-3</v>
      </c>
      <c r="H166" s="23"/>
      <c r="I166" s="24"/>
      <c r="J166" s="5"/>
    </row>
    <row r="167" spans="1:10" ht="13.05" customHeight="1">
      <c r="A167" s="18" t="s">
        <v>3090</v>
      </c>
      <c r="B167" s="19" t="s">
        <v>3091</v>
      </c>
      <c r="C167" s="15"/>
      <c r="D167" s="15"/>
      <c r="E167" s="20">
        <v>-1143900</v>
      </c>
      <c r="F167" s="21">
        <v>-1212.4195999999999</v>
      </c>
      <c r="G167" s="22">
        <v>-3.3E-3</v>
      </c>
      <c r="H167" s="23"/>
      <c r="I167" s="24"/>
      <c r="J167" s="5"/>
    </row>
    <row r="168" spans="1:10" ht="13.05" customHeight="1">
      <c r="A168" s="18" t="s">
        <v>3092</v>
      </c>
      <c r="B168" s="19" t="s">
        <v>3093</v>
      </c>
      <c r="C168" s="15"/>
      <c r="D168" s="15"/>
      <c r="E168" s="20">
        <v>-156800</v>
      </c>
      <c r="F168" s="21">
        <v>-1338.1312</v>
      </c>
      <c r="G168" s="22">
        <v>-3.5999999999999999E-3</v>
      </c>
      <c r="H168" s="23"/>
      <c r="I168" s="24"/>
      <c r="J168" s="5"/>
    </row>
    <row r="169" spans="1:10" ht="13.05" customHeight="1">
      <c r="A169" s="18" t="s">
        <v>3094</v>
      </c>
      <c r="B169" s="19" t="s">
        <v>3095</v>
      </c>
      <c r="C169" s="15"/>
      <c r="D169" s="15"/>
      <c r="E169" s="20">
        <v>-53500</v>
      </c>
      <c r="F169" s="21">
        <v>-1553.6935000000001</v>
      </c>
      <c r="G169" s="22">
        <v>-4.1999999999999997E-3</v>
      </c>
      <c r="H169" s="23"/>
      <c r="I169" s="24"/>
      <c r="J169" s="5"/>
    </row>
    <row r="170" spans="1:10" ht="13.05" customHeight="1">
      <c r="A170" s="18" t="s">
        <v>3096</v>
      </c>
      <c r="B170" s="19" t="s">
        <v>3097</v>
      </c>
      <c r="C170" s="15"/>
      <c r="D170" s="15"/>
      <c r="E170" s="20">
        <v>-125650</v>
      </c>
      <c r="F170" s="21">
        <v>-2136.3013000000001</v>
      </c>
      <c r="G170" s="22">
        <v>-5.7000000000000002E-3</v>
      </c>
      <c r="H170" s="23"/>
      <c r="I170" s="24"/>
      <c r="J170" s="5"/>
    </row>
    <row r="171" spans="1:10" ht="13.05" customHeight="1">
      <c r="A171" s="18" t="s">
        <v>3098</v>
      </c>
      <c r="B171" s="19" t="s">
        <v>3099</v>
      </c>
      <c r="C171" s="15"/>
      <c r="D171" s="15"/>
      <c r="E171" s="20">
        <v>-130500</v>
      </c>
      <c r="F171" s="21">
        <v>-2336.2109999999998</v>
      </c>
      <c r="G171" s="22">
        <v>-6.3E-3</v>
      </c>
      <c r="H171" s="23"/>
      <c r="I171" s="24"/>
      <c r="J171" s="5"/>
    </row>
    <row r="172" spans="1:10" ht="13.05" customHeight="1">
      <c r="A172" s="18" t="s">
        <v>3100</v>
      </c>
      <c r="B172" s="19" t="s">
        <v>3101</v>
      </c>
      <c r="C172" s="15"/>
      <c r="D172" s="15"/>
      <c r="E172" s="20">
        <v>-121125</v>
      </c>
      <c r="F172" s="21">
        <v>-2373.3233</v>
      </c>
      <c r="G172" s="22">
        <v>-6.4000000000000003E-3</v>
      </c>
      <c r="H172" s="23"/>
      <c r="I172" s="24"/>
      <c r="J172" s="5"/>
    </row>
    <row r="173" spans="1:10" ht="13.05" customHeight="1">
      <c r="A173" s="18" t="s">
        <v>3102</v>
      </c>
      <c r="B173" s="19" t="s">
        <v>3103</v>
      </c>
      <c r="C173" s="15"/>
      <c r="D173" s="15"/>
      <c r="E173" s="20">
        <v>-219000</v>
      </c>
      <c r="F173" s="21">
        <v>-3276.24</v>
      </c>
      <c r="G173" s="22">
        <v>-8.8000000000000005E-3</v>
      </c>
      <c r="H173" s="23"/>
      <c r="I173" s="24"/>
      <c r="J173" s="5"/>
    </row>
    <row r="174" spans="1:10" ht="13.05" customHeight="1">
      <c r="A174" s="18" t="s">
        <v>3104</v>
      </c>
      <c r="B174" s="19" t="s">
        <v>3105</v>
      </c>
      <c r="C174" s="15"/>
      <c r="D174" s="15"/>
      <c r="E174" s="20">
        <v>-104400</v>
      </c>
      <c r="F174" s="21">
        <v>-3664.6487999999999</v>
      </c>
      <c r="G174" s="22">
        <v>-9.7999999999999997E-3</v>
      </c>
      <c r="H174" s="23"/>
      <c r="I174" s="24"/>
      <c r="J174" s="5"/>
    </row>
    <row r="175" spans="1:10" ht="13.05" customHeight="1">
      <c r="A175" s="18" t="s">
        <v>3106</v>
      </c>
      <c r="B175" s="19" t="s">
        <v>3107</v>
      </c>
      <c r="C175" s="15"/>
      <c r="D175" s="15"/>
      <c r="E175" s="20">
        <v>-122675</v>
      </c>
      <c r="F175" s="21">
        <v>-3772.9922999999999</v>
      </c>
      <c r="G175" s="22">
        <v>-1.01E-2</v>
      </c>
      <c r="H175" s="23"/>
      <c r="I175" s="24"/>
      <c r="J175" s="5"/>
    </row>
    <row r="176" spans="1:10" ht="13.05" customHeight="1">
      <c r="A176" s="18" t="s">
        <v>3108</v>
      </c>
      <c r="B176" s="19" t="s">
        <v>3109</v>
      </c>
      <c r="C176" s="15"/>
      <c r="D176" s="15"/>
      <c r="E176" s="20">
        <v>-487500</v>
      </c>
      <c r="F176" s="21">
        <v>-5116.8</v>
      </c>
      <c r="G176" s="22">
        <v>-1.38E-2</v>
      </c>
      <c r="H176" s="23"/>
      <c r="I176" s="24"/>
      <c r="J176" s="5"/>
    </row>
    <row r="177" spans="1:10" ht="13.05" customHeight="1">
      <c r="A177" s="5"/>
      <c r="B177" s="14" t="s">
        <v>192</v>
      </c>
      <c r="C177" s="15"/>
      <c r="D177" s="15"/>
      <c r="E177" s="15"/>
      <c r="F177" s="25">
        <v>-37949.9692</v>
      </c>
      <c r="G177" s="26">
        <v>-0.10199999999999999</v>
      </c>
      <c r="H177" s="27"/>
      <c r="I177" s="28"/>
      <c r="J177" s="5"/>
    </row>
    <row r="178" spans="1:10" ht="13.05" customHeight="1">
      <c r="A178" s="5"/>
      <c r="B178" s="14" t="s">
        <v>3110</v>
      </c>
      <c r="C178" s="15"/>
      <c r="D178" s="15"/>
      <c r="E178" s="15"/>
      <c r="F178" s="5"/>
      <c r="G178" s="16"/>
      <c r="H178" s="16"/>
      <c r="I178" s="17"/>
      <c r="J178" s="5"/>
    </row>
    <row r="179" spans="1:10" ht="13.05" customHeight="1">
      <c r="A179" s="18" t="s">
        <v>3111</v>
      </c>
      <c r="B179" s="19" t="s">
        <v>3112</v>
      </c>
      <c r="C179" s="15"/>
      <c r="D179" s="15"/>
      <c r="E179" s="20">
        <v>3955</v>
      </c>
      <c r="F179" s="21">
        <v>38.656199999999998</v>
      </c>
      <c r="G179" s="22">
        <v>1E-4</v>
      </c>
      <c r="H179" s="23"/>
      <c r="I179" s="24"/>
      <c r="J179" s="5"/>
    </row>
    <row r="180" spans="1:10" ht="13.05" customHeight="1">
      <c r="A180" s="18" t="s">
        <v>3113</v>
      </c>
      <c r="B180" s="19" t="s">
        <v>3114</v>
      </c>
      <c r="C180" s="15"/>
      <c r="D180" s="15"/>
      <c r="E180" s="20">
        <v>147675</v>
      </c>
      <c r="F180" s="21">
        <v>18.090199999999999</v>
      </c>
      <c r="G180" s="40" t="s">
        <v>1809</v>
      </c>
      <c r="H180" s="23"/>
      <c r="I180" s="24"/>
      <c r="J180" s="5"/>
    </row>
    <row r="181" spans="1:10" ht="13.05" customHeight="1">
      <c r="A181" s="5"/>
      <c r="B181" s="14" t="s">
        <v>192</v>
      </c>
      <c r="C181" s="15"/>
      <c r="D181" s="15"/>
      <c r="E181" s="15"/>
      <c r="F181" s="25">
        <v>56.746400000000001</v>
      </c>
      <c r="G181" s="26">
        <v>2.0000000000000001E-4</v>
      </c>
      <c r="H181" s="27"/>
      <c r="I181" s="28"/>
      <c r="J181" s="5"/>
    </row>
    <row r="182" spans="1:10" ht="13.05" customHeight="1">
      <c r="A182" s="5"/>
      <c r="B182" s="29" t="s">
        <v>195</v>
      </c>
      <c r="C182" s="30"/>
      <c r="D182" s="2"/>
      <c r="E182" s="30"/>
      <c r="F182" s="25">
        <v>-37893.222800000003</v>
      </c>
      <c r="G182" s="26">
        <v>-0.1018</v>
      </c>
      <c r="H182" s="27"/>
      <c r="I182" s="28"/>
      <c r="J182" s="5"/>
    </row>
    <row r="183" spans="1:10" ht="13.05" customHeight="1">
      <c r="A183" s="5"/>
      <c r="B183" s="14" t="s">
        <v>183</v>
      </c>
      <c r="C183" s="15"/>
      <c r="D183" s="15"/>
      <c r="E183" s="15"/>
      <c r="F183" s="15"/>
      <c r="G183" s="15"/>
      <c r="H183" s="16"/>
      <c r="I183" s="17"/>
      <c r="J183" s="5"/>
    </row>
    <row r="184" spans="1:10" ht="13.05" customHeight="1">
      <c r="A184" s="5"/>
      <c r="B184" s="14" t="s">
        <v>184</v>
      </c>
      <c r="C184" s="15"/>
      <c r="D184" s="15"/>
      <c r="E184" s="15"/>
      <c r="F184" s="5"/>
      <c r="G184" s="16"/>
      <c r="H184" s="16"/>
      <c r="I184" s="17"/>
      <c r="J184" s="5"/>
    </row>
    <row r="185" spans="1:10" ht="13.05" customHeight="1">
      <c r="A185" s="18" t="s">
        <v>1890</v>
      </c>
      <c r="B185" s="19" t="s">
        <v>1891</v>
      </c>
      <c r="C185" s="15" t="s">
        <v>1892</v>
      </c>
      <c r="D185" s="15" t="s">
        <v>188</v>
      </c>
      <c r="E185" s="20">
        <v>7500000</v>
      </c>
      <c r="F185" s="21">
        <v>7776.51</v>
      </c>
      <c r="G185" s="22">
        <v>2.0899999999999998E-2</v>
      </c>
      <c r="H185" s="23">
        <v>6.6730999999999999E-2</v>
      </c>
      <c r="I185" s="24"/>
      <c r="J185" s="5"/>
    </row>
    <row r="186" spans="1:10" ht="13.05" customHeight="1">
      <c r="A186" s="18" t="s">
        <v>2444</v>
      </c>
      <c r="B186" s="19" t="s">
        <v>2445</v>
      </c>
      <c r="C186" s="15" t="s">
        <v>2446</v>
      </c>
      <c r="D186" s="15" t="s">
        <v>2447</v>
      </c>
      <c r="E186" s="20">
        <v>5000</v>
      </c>
      <c r="F186" s="21">
        <v>5069.93</v>
      </c>
      <c r="G186" s="22">
        <v>1.3599999999999999E-2</v>
      </c>
      <c r="H186" s="23">
        <v>7.8100000000000003E-2</v>
      </c>
      <c r="I186" s="24"/>
      <c r="J186" s="5"/>
    </row>
    <row r="187" spans="1:10" ht="13.05" customHeight="1">
      <c r="A187" s="18" t="s">
        <v>1881</v>
      </c>
      <c r="B187" s="19" t="s">
        <v>1882</v>
      </c>
      <c r="C187" s="15" t="s">
        <v>1883</v>
      </c>
      <c r="D187" s="15" t="s">
        <v>188</v>
      </c>
      <c r="E187" s="20">
        <v>5000000</v>
      </c>
      <c r="F187" s="21">
        <v>5067.875</v>
      </c>
      <c r="G187" s="22">
        <v>1.3599999999999999E-2</v>
      </c>
      <c r="H187" s="23">
        <v>6.694E-2</v>
      </c>
      <c r="I187" s="24"/>
      <c r="J187" s="5"/>
    </row>
    <row r="188" spans="1:10" ht="13.05" customHeight="1">
      <c r="A188" s="18" t="s">
        <v>3115</v>
      </c>
      <c r="B188" s="19" t="s">
        <v>3116</v>
      </c>
      <c r="C188" s="15" t="s">
        <v>3117</v>
      </c>
      <c r="D188" s="15" t="s">
        <v>2447</v>
      </c>
      <c r="E188" s="20">
        <v>4200</v>
      </c>
      <c r="F188" s="21">
        <v>4255.9103999999998</v>
      </c>
      <c r="G188" s="22">
        <v>1.14E-2</v>
      </c>
      <c r="H188" s="23">
        <v>7.8600000000000003E-2</v>
      </c>
      <c r="I188" s="24"/>
      <c r="J188" s="5"/>
    </row>
    <row r="189" spans="1:10" ht="13.05" customHeight="1">
      <c r="A189" s="18" t="s">
        <v>2692</v>
      </c>
      <c r="B189" s="19" t="s">
        <v>2693</v>
      </c>
      <c r="C189" s="15" t="s">
        <v>2694</v>
      </c>
      <c r="D189" s="15" t="s">
        <v>1923</v>
      </c>
      <c r="E189" s="20">
        <v>4000</v>
      </c>
      <c r="F189" s="21">
        <v>3903.0079999999998</v>
      </c>
      <c r="G189" s="22">
        <v>1.0500000000000001E-2</v>
      </c>
      <c r="H189" s="23">
        <v>7.1400000000000005E-2</v>
      </c>
      <c r="I189" s="24"/>
      <c r="J189" s="5"/>
    </row>
    <row r="190" spans="1:10" ht="13.05" customHeight="1">
      <c r="A190" s="18" t="s">
        <v>3118</v>
      </c>
      <c r="B190" s="19" t="s">
        <v>3119</v>
      </c>
      <c r="C190" s="15" t="s">
        <v>3120</v>
      </c>
      <c r="D190" s="15" t="s">
        <v>213</v>
      </c>
      <c r="E190" s="20">
        <v>3000</v>
      </c>
      <c r="F190" s="21">
        <v>3033.5520000000001</v>
      </c>
      <c r="G190" s="22">
        <v>8.2000000000000007E-3</v>
      </c>
      <c r="H190" s="23">
        <v>7.3700000000000002E-2</v>
      </c>
      <c r="I190" s="24"/>
      <c r="J190" s="5"/>
    </row>
    <row r="191" spans="1:10" ht="13.05" customHeight="1">
      <c r="A191" s="18" t="s">
        <v>3121</v>
      </c>
      <c r="B191" s="19" t="s">
        <v>3122</v>
      </c>
      <c r="C191" s="15" t="s">
        <v>3123</v>
      </c>
      <c r="D191" s="15" t="s">
        <v>213</v>
      </c>
      <c r="E191" s="20">
        <v>2500</v>
      </c>
      <c r="F191" s="21">
        <v>2608.7150000000001</v>
      </c>
      <c r="G191" s="22">
        <v>7.0000000000000001E-3</v>
      </c>
      <c r="H191" s="23">
        <v>7.4550000000000005E-2</v>
      </c>
      <c r="I191" s="24"/>
      <c r="J191" s="5"/>
    </row>
    <row r="192" spans="1:10" ht="13.05" customHeight="1">
      <c r="A192" s="18" t="s">
        <v>2126</v>
      </c>
      <c r="B192" s="19" t="s">
        <v>2127</v>
      </c>
      <c r="C192" s="15" t="s">
        <v>2128</v>
      </c>
      <c r="D192" s="15" t="s">
        <v>213</v>
      </c>
      <c r="E192" s="20">
        <v>2500</v>
      </c>
      <c r="F192" s="21">
        <v>2582.645</v>
      </c>
      <c r="G192" s="22">
        <v>6.8999999999999999E-3</v>
      </c>
      <c r="H192" s="23">
        <v>7.0899000000000004E-2</v>
      </c>
      <c r="I192" s="24"/>
      <c r="J192" s="5"/>
    </row>
    <row r="193" spans="1:10" ht="13.05" customHeight="1">
      <c r="A193" s="18" t="s">
        <v>3124</v>
      </c>
      <c r="B193" s="19" t="s">
        <v>3125</v>
      </c>
      <c r="C193" s="15" t="s">
        <v>3126</v>
      </c>
      <c r="D193" s="15" t="s">
        <v>213</v>
      </c>
      <c r="E193" s="20">
        <v>2500</v>
      </c>
      <c r="F193" s="21">
        <v>2562.0374999999999</v>
      </c>
      <c r="G193" s="22">
        <v>6.8999999999999999E-3</v>
      </c>
      <c r="H193" s="23">
        <v>7.2774000000000005E-2</v>
      </c>
      <c r="I193" s="24"/>
      <c r="J193" s="5"/>
    </row>
    <row r="194" spans="1:10" ht="13.05" customHeight="1">
      <c r="A194" s="18" t="s">
        <v>2464</v>
      </c>
      <c r="B194" s="19" t="s">
        <v>2465</v>
      </c>
      <c r="C194" s="15" t="s">
        <v>2466</v>
      </c>
      <c r="D194" s="15" t="s">
        <v>213</v>
      </c>
      <c r="E194" s="20">
        <v>2500</v>
      </c>
      <c r="F194" s="21">
        <v>2558.5149999999999</v>
      </c>
      <c r="G194" s="22">
        <v>6.8999999999999999E-3</v>
      </c>
      <c r="H194" s="23">
        <v>6.7724999999999994E-2</v>
      </c>
      <c r="I194" s="24"/>
      <c r="J194" s="5"/>
    </row>
    <row r="195" spans="1:10" ht="13.05" customHeight="1">
      <c r="A195" s="18" t="s">
        <v>2198</v>
      </c>
      <c r="B195" s="19" t="s">
        <v>2199</v>
      </c>
      <c r="C195" s="15" t="s">
        <v>2200</v>
      </c>
      <c r="D195" s="15" t="s">
        <v>213</v>
      </c>
      <c r="E195" s="20">
        <v>2500</v>
      </c>
      <c r="F195" s="21">
        <v>2554.2350000000001</v>
      </c>
      <c r="G195" s="22">
        <v>6.8999999999999999E-3</v>
      </c>
      <c r="H195" s="23">
        <v>6.8000000000000005E-2</v>
      </c>
      <c r="I195" s="24"/>
      <c r="J195" s="5"/>
    </row>
    <row r="196" spans="1:10" ht="13.05" customHeight="1">
      <c r="A196" s="18" t="s">
        <v>3127</v>
      </c>
      <c r="B196" s="19" t="s">
        <v>3128</v>
      </c>
      <c r="C196" s="15" t="s">
        <v>3129</v>
      </c>
      <c r="D196" s="15" t="s">
        <v>3130</v>
      </c>
      <c r="E196" s="20">
        <v>2500</v>
      </c>
      <c r="F196" s="21">
        <v>2531.7674999999999</v>
      </c>
      <c r="G196" s="22">
        <v>6.7999999999999996E-3</v>
      </c>
      <c r="H196" s="23">
        <v>8.5999999999999993E-2</v>
      </c>
      <c r="I196" s="24"/>
      <c r="J196" s="5"/>
    </row>
    <row r="197" spans="1:10" ht="13.05" customHeight="1">
      <c r="A197" s="18" t="s">
        <v>2228</v>
      </c>
      <c r="B197" s="19" t="s">
        <v>2229</v>
      </c>
      <c r="C197" s="15" t="s">
        <v>2230</v>
      </c>
      <c r="D197" s="15" t="s">
        <v>213</v>
      </c>
      <c r="E197" s="20">
        <v>250</v>
      </c>
      <c r="F197" s="21">
        <v>2530.4375</v>
      </c>
      <c r="G197" s="22">
        <v>6.7999999999999996E-3</v>
      </c>
      <c r="H197" s="23">
        <v>6.5799999999999997E-2</v>
      </c>
      <c r="I197" s="24"/>
      <c r="J197" s="5"/>
    </row>
    <row r="198" spans="1:10" ht="13.05" customHeight="1">
      <c r="A198" s="18" t="s">
        <v>2562</v>
      </c>
      <c r="B198" s="19" t="s">
        <v>2563</v>
      </c>
      <c r="C198" s="15" t="s">
        <v>2564</v>
      </c>
      <c r="D198" s="15" t="s">
        <v>213</v>
      </c>
      <c r="E198" s="20">
        <v>250</v>
      </c>
      <c r="F198" s="21">
        <v>2528.6424999999999</v>
      </c>
      <c r="G198" s="22">
        <v>6.7999999999999996E-3</v>
      </c>
      <c r="H198" s="23">
        <v>7.2650000000000006E-2</v>
      </c>
      <c r="I198" s="24"/>
      <c r="J198" s="5"/>
    </row>
    <row r="199" spans="1:10" ht="13.05" customHeight="1">
      <c r="A199" s="18" t="s">
        <v>3131</v>
      </c>
      <c r="B199" s="19" t="s">
        <v>3132</v>
      </c>
      <c r="C199" s="15" t="s">
        <v>3133</v>
      </c>
      <c r="D199" s="15" t="s">
        <v>2447</v>
      </c>
      <c r="E199" s="20">
        <v>2500</v>
      </c>
      <c r="F199" s="21">
        <v>2525.9299999999998</v>
      </c>
      <c r="G199" s="22">
        <v>6.7999999999999996E-3</v>
      </c>
      <c r="H199" s="23">
        <v>7.4999999999999997E-2</v>
      </c>
      <c r="I199" s="24"/>
      <c r="J199" s="5"/>
    </row>
    <row r="200" spans="1:10" ht="13.05" customHeight="1">
      <c r="A200" s="18" t="s">
        <v>2452</v>
      </c>
      <c r="B200" s="19" t="s">
        <v>2453</v>
      </c>
      <c r="C200" s="15" t="s">
        <v>2454</v>
      </c>
      <c r="D200" s="15" t="s">
        <v>1923</v>
      </c>
      <c r="E200" s="20">
        <v>2500</v>
      </c>
      <c r="F200" s="21">
        <v>2511.5075000000002</v>
      </c>
      <c r="G200" s="22">
        <v>6.7000000000000002E-3</v>
      </c>
      <c r="H200" s="23">
        <v>6.7299999999999999E-2</v>
      </c>
      <c r="I200" s="24"/>
      <c r="J200" s="5"/>
    </row>
    <row r="201" spans="1:10" ht="13.05" customHeight="1">
      <c r="A201" s="18" t="s">
        <v>2021</v>
      </c>
      <c r="B201" s="19" t="s">
        <v>2022</v>
      </c>
      <c r="C201" s="15" t="s">
        <v>2023</v>
      </c>
      <c r="D201" s="15" t="s">
        <v>213</v>
      </c>
      <c r="E201" s="20">
        <v>2500</v>
      </c>
      <c r="F201" s="21">
        <v>2506.96</v>
      </c>
      <c r="G201" s="22">
        <v>6.7000000000000002E-3</v>
      </c>
      <c r="H201" s="23">
        <v>6.9150000000000003E-2</v>
      </c>
      <c r="I201" s="24"/>
      <c r="J201" s="5"/>
    </row>
    <row r="202" spans="1:10" ht="13.05" customHeight="1">
      <c r="A202" s="18" t="s">
        <v>3134</v>
      </c>
      <c r="B202" s="19" t="s">
        <v>3135</v>
      </c>
      <c r="C202" s="15" t="s">
        <v>3136</v>
      </c>
      <c r="D202" s="15" t="s">
        <v>213</v>
      </c>
      <c r="E202" s="20">
        <v>2500</v>
      </c>
      <c r="F202" s="21">
        <v>2495.125</v>
      </c>
      <c r="G202" s="22">
        <v>6.7000000000000002E-3</v>
      </c>
      <c r="H202" s="23">
        <v>7.6883000000000007E-2</v>
      </c>
      <c r="I202" s="24"/>
      <c r="J202" s="5"/>
    </row>
    <row r="203" spans="1:10" ht="13.05" customHeight="1">
      <c r="A203" s="18" t="s">
        <v>2394</v>
      </c>
      <c r="B203" s="19" t="s">
        <v>2395</v>
      </c>
      <c r="C203" s="15" t="s">
        <v>2396</v>
      </c>
      <c r="D203" s="15" t="s">
        <v>213</v>
      </c>
      <c r="E203" s="20">
        <v>215</v>
      </c>
      <c r="F203" s="21">
        <v>2171.7966999999999</v>
      </c>
      <c r="G203" s="22">
        <v>5.7999999999999996E-3</v>
      </c>
      <c r="H203" s="23">
        <v>6.9650000000000004E-2</v>
      </c>
      <c r="I203" s="24"/>
      <c r="J203" s="5"/>
    </row>
    <row r="204" spans="1:10" ht="13.05" customHeight="1">
      <c r="A204" s="18" t="s">
        <v>2441</v>
      </c>
      <c r="B204" s="19" t="s">
        <v>2442</v>
      </c>
      <c r="C204" s="15" t="s">
        <v>2443</v>
      </c>
      <c r="D204" s="15" t="s">
        <v>188</v>
      </c>
      <c r="E204" s="20">
        <v>2000000</v>
      </c>
      <c r="F204" s="21">
        <v>2064.4140000000002</v>
      </c>
      <c r="G204" s="22">
        <v>5.4999999999999997E-3</v>
      </c>
      <c r="H204" s="23">
        <v>6.7038E-2</v>
      </c>
      <c r="I204" s="24"/>
      <c r="J204" s="5"/>
    </row>
    <row r="205" spans="1:10" ht="13.05" customHeight="1">
      <c r="A205" s="18" t="s">
        <v>3137</v>
      </c>
      <c r="B205" s="19" t="s">
        <v>3138</v>
      </c>
      <c r="C205" s="15" t="s">
        <v>3139</v>
      </c>
      <c r="D205" s="15" t="s">
        <v>2447</v>
      </c>
      <c r="E205" s="20">
        <v>1500</v>
      </c>
      <c r="F205" s="21">
        <v>1523.2619999999999</v>
      </c>
      <c r="G205" s="22">
        <v>4.1000000000000003E-3</v>
      </c>
      <c r="H205" s="23">
        <v>7.3800000000000004E-2</v>
      </c>
      <c r="I205" s="24"/>
      <c r="J205" s="5"/>
    </row>
    <row r="206" spans="1:10" ht="13.05" customHeight="1">
      <c r="A206" s="18" t="s">
        <v>3140</v>
      </c>
      <c r="B206" s="19" t="s">
        <v>3141</v>
      </c>
      <c r="C206" s="15" t="s">
        <v>3142</v>
      </c>
      <c r="D206" s="15" t="s">
        <v>188</v>
      </c>
      <c r="E206" s="20">
        <v>1500000</v>
      </c>
      <c r="F206" s="21">
        <v>1520.6849999999999</v>
      </c>
      <c r="G206" s="22">
        <v>4.1000000000000003E-3</v>
      </c>
      <c r="H206" s="23">
        <v>5.8429000000000002E-2</v>
      </c>
      <c r="I206" s="24"/>
      <c r="J206" s="5"/>
    </row>
    <row r="207" spans="1:10" ht="13.05" customHeight="1">
      <c r="A207" s="18" t="s">
        <v>2455</v>
      </c>
      <c r="B207" s="19" t="s">
        <v>2456</v>
      </c>
      <c r="C207" s="15" t="s">
        <v>2457</v>
      </c>
      <c r="D207" s="15" t="s">
        <v>213</v>
      </c>
      <c r="E207" s="20">
        <v>1500</v>
      </c>
      <c r="F207" s="21">
        <v>1502.1195</v>
      </c>
      <c r="G207" s="22">
        <v>4.0000000000000001E-3</v>
      </c>
      <c r="H207" s="23">
        <v>7.1099999999999997E-2</v>
      </c>
      <c r="I207" s="24"/>
      <c r="J207" s="5"/>
    </row>
    <row r="208" spans="1:10" ht="13.05" customHeight="1">
      <c r="A208" s="18" t="s">
        <v>2102</v>
      </c>
      <c r="B208" s="19" t="s">
        <v>2103</v>
      </c>
      <c r="C208" s="15" t="s">
        <v>2104</v>
      </c>
      <c r="D208" s="15" t="s">
        <v>213</v>
      </c>
      <c r="E208" s="20">
        <v>1500</v>
      </c>
      <c r="F208" s="21">
        <v>1497.96</v>
      </c>
      <c r="G208" s="22">
        <v>4.0000000000000001E-3</v>
      </c>
      <c r="H208" s="23">
        <v>7.1611999999999995E-2</v>
      </c>
      <c r="I208" s="24"/>
      <c r="J208" s="5"/>
    </row>
    <row r="209" spans="1:10" ht="13.05" customHeight="1">
      <c r="A209" s="18" t="s">
        <v>3143</v>
      </c>
      <c r="B209" s="19" t="s">
        <v>3144</v>
      </c>
      <c r="C209" s="15" t="s">
        <v>3145</v>
      </c>
      <c r="D209" s="15" t="s">
        <v>3146</v>
      </c>
      <c r="E209" s="20">
        <v>1000</v>
      </c>
      <c r="F209" s="21">
        <v>1015.276</v>
      </c>
      <c r="G209" s="22">
        <v>2.7000000000000001E-3</v>
      </c>
      <c r="H209" s="23">
        <v>7.7698000000000003E-2</v>
      </c>
      <c r="I209" s="24"/>
      <c r="J209" s="5"/>
    </row>
    <row r="210" spans="1:10" ht="13.05" customHeight="1">
      <c r="A210" s="18" t="s">
        <v>2467</v>
      </c>
      <c r="B210" s="19" t="s">
        <v>2468</v>
      </c>
      <c r="C210" s="15" t="s">
        <v>2469</v>
      </c>
      <c r="D210" s="15" t="s">
        <v>2447</v>
      </c>
      <c r="E210" s="20">
        <v>1000</v>
      </c>
      <c r="F210" s="21">
        <v>1011.5410000000001</v>
      </c>
      <c r="G210" s="22">
        <v>2.7000000000000001E-3</v>
      </c>
      <c r="H210" s="23">
        <v>7.7998999999999999E-2</v>
      </c>
      <c r="I210" s="24"/>
      <c r="J210" s="5"/>
    </row>
    <row r="211" spans="1:10" ht="13.05" customHeight="1">
      <c r="A211" s="18" t="s">
        <v>3147</v>
      </c>
      <c r="B211" s="19" t="s">
        <v>3148</v>
      </c>
      <c r="C211" s="15" t="s">
        <v>3149</v>
      </c>
      <c r="D211" s="15" t="s">
        <v>213</v>
      </c>
      <c r="E211" s="20">
        <v>100</v>
      </c>
      <c r="F211" s="21">
        <v>987.42200000000003</v>
      </c>
      <c r="G211" s="22">
        <v>2.7000000000000001E-3</v>
      </c>
      <c r="H211" s="23">
        <v>7.1199999999999999E-2</v>
      </c>
      <c r="I211" s="24"/>
      <c r="J211" s="5"/>
    </row>
    <row r="212" spans="1:10" ht="13.05" customHeight="1">
      <c r="A212" s="18" t="s">
        <v>3150</v>
      </c>
      <c r="B212" s="19" t="s">
        <v>3151</v>
      </c>
      <c r="C212" s="15" t="s">
        <v>3152</v>
      </c>
      <c r="D212" s="15" t="s">
        <v>213</v>
      </c>
      <c r="E212" s="20">
        <v>800</v>
      </c>
      <c r="F212" s="21">
        <v>807.44719999999995</v>
      </c>
      <c r="G212" s="22">
        <v>2.2000000000000001E-3</v>
      </c>
      <c r="H212" s="23">
        <v>6.7500000000000004E-2</v>
      </c>
      <c r="I212" s="24"/>
      <c r="J212" s="5"/>
    </row>
    <row r="213" spans="1:10" ht="13.05" customHeight="1">
      <c r="A213" s="18" t="s">
        <v>2876</v>
      </c>
      <c r="B213" s="19" t="s">
        <v>2877</v>
      </c>
      <c r="C213" s="15" t="s">
        <v>2878</v>
      </c>
      <c r="D213" s="15" t="s">
        <v>188</v>
      </c>
      <c r="E213" s="20">
        <v>559500</v>
      </c>
      <c r="F213" s="21">
        <v>561.13990000000001</v>
      </c>
      <c r="G213" s="22">
        <v>1.5E-3</v>
      </c>
      <c r="H213" s="23">
        <v>7.4507000000000004E-2</v>
      </c>
      <c r="I213" s="24"/>
      <c r="J213" s="5"/>
    </row>
    <row r="214" spans="1:10" ht="13.05" customHeight="1">
      <c r="A214" s="18" t="s">
        <v>3153</v>
      </c>
      <c r="B214" s="19" t="s">
        <v>3154</v>
      </c>
      <c r="C214" s="15" t="s">
        <v>3155</v>
      </c>
      <c r="D214" s="15" t="s">
        <v>3156</v>
      </c>
      <c r="E214" s="20">
        <v>500</v>
      </c>
      <c r="F214" s="21">
        <v>509.625</v>
      </c>
      <c r="G214" s="22">
        <v>1.4E-3</v>
      </c>
      <c r="H214" s="23">
        <v>7.0721000000000006E-2</v>
      </c>
      <c r="I214" s="24"/>
      <c r="J214" s="5"/>
    </row>
    <row r="215" spans="1:10" ht="13.05" customHeight="1">
      <c r="A215" s="18" t="s">
        <v>3157</v>
      </c>
      <c r="B215" s="19" t="s">
        <v>3158</v>
      </c>
      <c r="C215" s="15" t="s">
        <v>3159</v>
      </c>
      <c r="D215" s="15" t="s">
        <v>213</v>
      </c>
      <c r="E215" s="20">
        <v>5</v>
      </c>
      <c r="F215" s="21">
        <v>504.13049999999998</v>
      </c>
      <c r="G215" s="22">
        <v>1.4E-3</v>
      </c>
      <c r="H215" s="23">
        <v>6.7267999999999994E-2</v>
      </c>
      <c r="I215" s="24"/>
      <c r="J215" s="5"/>
    </row>
    <row r="216" spans="1:10" ht="13.05" customHeight="1">
      <c r="A216" s="18" t="s">
        <v>2189</v>
      </c>
      <c r="B216" s="19" t="s">
        <v>2190</v>
      </c>
      <c r="C216" s="15" t="s">
        <v>2191</v>
      </c>
      <c r="D216" s="15" t="s">
        <v>213</v>
      </c>
      <c r="E216" s="20">
        <v>500</v>
      </c>
      <c r="F216" s="21">
        <v>503.28699999999998</v>
      </c>
      <c r="G216" s="22">
        <v>1.4E-3</v>
      </c>
      <c r="H216" s="23">
        <v>6.4350000000000004E-2</v>
      </c>
      <c r="I216" s="24"/>
      <c r="J216" s="5"/>
    </row>
    <row r="217" spans="1:10" ht="13.05" customHeight="1">
      <c r="A217" s="18" t="s">
        <v>3160</v>
      </c>
      <c r="B217" s="19" t="s">
        <v>3161</v>
      </c>
      <c r="C217" s="15" t="s">
        <v>3162</v>
      </c>
      <c r="D217" s="15" t="s">
        <v>3163</v>
      </c>
      <c r="E217" s="20">
        <v>500</v>
      </c>
      <c r="F217" s="21">
        <v>503.12700000000001</v>
      </c>
      <c r="G217" s="22">
        <v>1.4E-3</v>
      </c>
      <c r="H217" s="23">
        <v>7.8416E-2</v>
      </c>
      <c r="I217" s="24"/>
      <c r="J217" s="5"/>
    </row>
    <row r="218" spans="1:10" ht="13.05" customHeight="1">
      <c r="A218" s="18" t="s">
        <v>3164</v>
      </c>
      <c r="B218" s="19" t="s">
        <v>3165</v>
      </c>
      <c r="C218" s="15" t="s">
        <v>3166</v>
      </c>
      <c r="D218" s="15" t="s">
        <v>3130</v>
      </c>
      <c r="E218" s="20">
        <v>500</v>
      </c>
      <c r="F218" s="21">
        <v>502.7285</v>
      </c>
      <c r="G218" s="22">
        <v>1.4E-3</v>
      </c>
      <c r="H218" s="23">
        <v>7.1029999999999996E-2</v>
      </c>
      <c r="I218" s="24"/>
      <c r="J218" s="5"/>
    </row>
    <row r="219" spans="1:10" ht="13.05" customHeight="1">
      <c r="A219" s="18" t="s">
        <v>3167</v>
      </c>
      <c r="B219" s="19" t="s">
        <v>3168</v>
      </c>
      <c r="C219" s="15" t="s">
        <v>3169</v>
      </c>
      <c r="D219" s="15" t="s">
        <v>5585</v>
      </c>
      <c r="E219" s="20">
        <v>500</v>
      </c>
      <c r="F219" s="21">
        <v>502.53449999999998</v>
      </c>
      <c r="G219" s="22">
        <v>1.4E-3</v>
      </c>
      <c r="H219" s="23">
        <v>7.2899000000000005E-2</v>
      </c>
      <c r="I219" s="24"/>
      <c r="J219" s="5"/>
    </row>
    <row r="220" spans="1:10" ht="13.05" customHeight="1">
      <c r="A220" s="18" t="s">
        <v>3170</v>
      </c>
      <c r="B220" s="19" t="s">
        <v>3171</v>
      </c>
      <c r="C220" s="15" t="s">
        <v>3172</v>
      </c>
      <c r="D220" s="15" t="s">
        <v>188</v>
      </c>
      <c r="E220" s="20">
        <v>500000</v>
      </c>
      <c r="F220" s="21">
        <v>501.82249999999999</v>
      </c>
      <c r="G220" s="22">
        <v>1.2999999999999999E-3</v>
      </c>
      <c r="H220" s="23">
        <v>5.7841999999999998E-2</v>
      </c>
      <c r="I220" s="24"/>
      <c r="J220" s="5"/>
    </row>
    <row r="221" spans="1:10" ht="13.05" customHeight="1">
      <c r="A221" s="18" t="s">
        <v>2954</v>
      </c>
      <c r="B221" s="19" t="s">
        <v>2955</v>
      </c>
      <c r="C221" s="15" t="s">
        <v>2956</v>
      </c>
      <c r="D221" s="15" t="s">
        <v>213</v>
      </c>
      <c r="E221" s="20">
        <v>20</v>
      </c>
      <c r="F221" s="21">
        <v>204.62520000000001</v>
      </c>
      <c r="G221" s="22">
        <v>5.0000000000000001E-4</v>
      </c>
      <c r="H221" s="23">
        <v>6.7724999999999994E-2</v>
      </c>
      <c r="I221" s="24"/>
      <c r="J221" s="5"/>
    </row>
    <row r="222" spans="1:10" ht="13.05" customHeight="1">
      <c r="A222" s="18" t="s">
        <v>3173</v>
      </c>
      <c r="B222" s="19" t="s">
        <v>3174</v>
      </c>
      <c r="C222" s="15" t="s">
        <v>3175</v>
      </c>
      <c r="D222" s="15" t="s">
        <v>188</v>
      </c>
      <c r="E222" s="20">
        <v>200000</v>
      </c>
      <c r="F222" s="21">
        <v>200.77359999999999</v>
      </c>
      <c r="G222" s="22">
        <v>5.0000000000000001E-4</v>
      </c>
      <c r="H222" s="23">
        <v>5.7915000000000001E-2</v>
      </c>
      <c r="I222" s="24"/>
      <c r="J222" s="5"/>
    </row>
    <row r="223" spans="1:10" ht="13.05" customHeight="1">
      <c r="A223" s="18" t="s">
        <v>3176</v>
      </c>
      <c r="B223" s="19" t="s">
        <v>3177</v>
      </c>
      <c r="C223" s="15" t="s">
        <v>3178</v>
      </c>
      <c r="D223" s="15" t="s">
        <v>213</v>
      </c>
      <c r="E223" s="20">
        <v>100</v>
      </c>
      <c r="F223" s="21">
        <v>101.7989</v>
      </c>
      <c r="G223" s="22">
        <v>2.9999999999999997E-4</v>
      </c>
      <c r="H223" s="23">
        <v>7.0999999999999994E-2</v>
      </c>
      <c r="I223" s="24"/>
      <c r="J223" s="5"/>
    </row>
    <row r="224" spans="1:10" ht="13.05" customHeight="1">
      <c r="A224" s="18" t="s">
        <v>2344</v>
      </c>
      <c r="B224" s="19" t="s">
        <v>2345</v>
      </c>
      <c r="C224" s="15" t="s">
        <v>2346</v>
      </c>
      <c r="D224" s="15" t="s">
        <v>188</v>
      </c>
      <c r="E224" s="20">
        <v>100000</v>
      </c>
      <c r="F224" s="21">
        <v>101.7727</v>
      </c>
      <c r="G224" s="22">
        <v>2.9999999999999997E-4</v>
      </c>
      <c r="H224" s="23">
        <v>7.2622000000000006E-2</v>
      </c>
      <c r="I224" s="24"/>
      <c r="J224" s="5"/>
    </row>
    <row r="225" spans="1:10" ht="13.05" customHeight="1">
      <c r="A225" s="18" t="s">
        <v>2507</v>
      </c>
      <c r="B225" s="19" t="s">
        <v>2508</v>
      </c>
      <c r="C225" s="15" t="s">
        <v>2509</v>
      </c>
      <c r="D225" s="15" t="s">
        <v>188</v>
      </c>
      <c r="E225" s="20">
        <v>100000</v>
      </c>
      <c r="F225" s="21">
        <v>100.9333</v>
      </c>
      <c r="G225" s="22">
        <v>2.9999999999999997E-4</v>
      </c>
      <c r="H225" s="23">
        <v>6.4327999999999996E-2</v>
      </c>
      <c r="I225" s="24"/>
      <c r="J225" s="5"/>
    </row>
    <row r="226" spans="1:10" ht="13.05" customHeight="1">
      <c r="A226" s="18" t="s">
        <v>2347</v>
      </c>
      <c r="B226" s="19" t="s">
        <v>2348</v>
      </c>
      <c r="C226" s="15" t="s">
        <v>2349</v>
      </c>
      <c r="D226" s="15" t="s">
        <v>188</v>
      </c>
      <c r="E226" s="20">
        <v>50000</v>
      </c>
      <c r="F226" s="21">
        <v>51.7986</v>
      </c>
      <c r="G226" s="22">
        <v>1E-4</v>
      </c>
      <c r="H226" s="23">
        <v>7.2777999999999995E-2</v>
      </c>
      <c r="I226" s="24"/>
      <c r="J226" s="5"/>
    </row>
    <row r="227" spans="1:10" ht="13.05" customHeight="1">
      <c r="A227" s="5"/>
      <c r="B227" s="14" t="s">
        <v>192</v>
      </c>
      <c r="C227" s="15"/>
      <c r="D227" s="15"/>
      <c r="E227" s="15"/>
      <c r="F227" s="25">
        <v>78555.323399999994</v>
      </c>
      <c r="G227" s="26">
        <v>0.21110000000000001</v>
      </c>
      <c r="H227" s="27"/>
      <c r="I227" s="28"/>
      <c r="J227" s="5"/>
    </row>
    <row r="228" spans="1:10" ht="13.05" customHeight="1">
      <c r="A228" s="5"/>
      <c r="B228" s="29" t="s">
        <v>193</v>
      </c>
      <c r="C228" s="2"/>
      <c r="D228" s="2"/>
      <c r="E228" s="2"/>
      <c r="F228" s="27" t="s">
        <v>194</v>
      </c>
      <c r="G228" s="27" t="s">
        <v>194</v>
      </c>
      <c r="H228" s="27"/>
      <c r="I228" s="28"/>
      <c r="J228" s="5"/>
    </row>
    <row r="229" spans="1:10" ht="13.05" customHeight="1">
      <c r="A229" s="5"/>
      <c r="B229" s="29" t="s">
        <v>192</v>
      </c>
      <c r="C229" s="2"/>
      <c r="D229" s="2"/>
      <c r="E229" s="2"/>
      <c r="F229" s="27" t="s">
        <v>194</v>
      </c>
      <c r="G229" s="27" t="s">
        <v>194</v>
      </c>
      <c r="H229" s="27"/>
      <c r="I229" s="28"/>
      <c r="J229" s="5"/>
    </row>
    <row r="230" spans="1:10" ht="13.05" customHeight="1">
      <c r="A230" s="5"/>
      <c r="B230" s="14" t="s">
        <v>2297</v>
      </c>
      <c r="C230" s="15"/>
      <c r="D230" s="15"/>
      <c r="E230" s="15"/>
      <c r="F230" s="5"/>
      <c r="G230" s="16"/>
      <c r="H230" s="16"/>
      <c r="I230" s="17"/>
      <c r="J230" s="5"/>
    </row>
    <row r="231" spans="1:10" ht="13.05" customHeight="1">
      <c r="A231" s="18" t="s">
        <v>3179</v>
      </c>
      <c r="B231" s="19" t="s">
        <v>3180</v>
      </c>
      <c r="C231" s="15" t="s">
        <v>3181</v>
      </c>
      <c r="D231" s="15" t="s">
        <v>3182</v>
      </c>
      <c r="E231" s="20">
        <v>10</v>
      </c>
      <c r="F231" s="21">
        <v>51.927500000000002</v>
      </c>
      <c r="G231" s="22">
        <v>1E-4</v>
      </c>
      <c r="H231" s="23">
        <v>9.0700000000000003E-2</v>
      </c>
      <c r="I231" s="24"/>
      <c r="J231" s="5"/>
    </row>
    <row r="232" spans="1:10" ht="13.05" customHeight="1">
      <c r="A232" s="5"/>
      <c r="B232" s="14" t="s">
        <v>192</v>
      </c>
      <c r="C232" s="15"/>
      <c r="D232" s="15"/>
      <c r="E232" s="15"/>
      <c r="F232" s="25">
        <v>51.927500000000002</v>
      </c>
      <c r="G232" s="26">
        <v>1E-4</v>
      </c>
      <c r="H232" s="27"/>
      <c r="I232" s="28"/>
      <c r="J232" s="5"/>
    </row>
    <row r="233" spans="1:10" ht="13.05" customHeight="1">
      <c r="A233" s="5"/>
      <c r="B233" s="29" t="s">
        <v>193</v>
      </c>
      <c r="C233" s="2"/>
      <c r="D233" s="2"/>
      <c r="E233" s="2"/>
      <c r="F233" s="27" t="s">
        <v>194</v>
      </c>
      <c r="G233" s="27" t="s">
        <v>194</v>
      </c>
      <c r="H233" s="27"/>
      <c r="I233" s="28"/>
      <c r="J233" s="5"/>
    </row>
    <row r="234" spans="1:10" ht="13.05" customHeight="1">
      <c r="A234" s="5"/>
      <c r="B234" s="29" t="s">
        <v>192</v>
      </c>
      <c r="C234" s="2"/>
      <c r="D234" s="2"/>
      <c r="E234" s="2"/>
      <c r="F234" s="27" t="s">
        <v>194</v>
      </c>
      <c r="G234" s="27" t="s">
        <v>194</v>
      </c>
      <c r="H234" s="27"/>
      <c r="I234" s="28"/>
      <c r="J234" s="5"/>
    </row>
    <row r="235" spans="1:10" ht="13.05" customHeight="1">
      <c r="A235" s="5"/>
      <c r="B235" s="29" t="s">
        <v>195</v>
      </c>
      <c r="C235" s="30"/>
      <c r="D235" s="2"/>
      <c r="E235" s="30"/>
      <c r="F235" s="25">
        <v>78607.250899999999</v>
      </c>
      <c r="G235" s="26">
        <v>0.2112</v>
      </c>
      <c r="H235" s="27"/>
      <c r="I235" s="28"/>
      <c r="J235" s="5"/>
    </row>
    <row r="236" spans="1:10" ht="13.05" customHeight="1">
      <c r="A236" s="5"/>
      <c r="B236" s="14" t="s">
        <v>1866</v>
      </c>
      <c r="C236" s="15"/>
      <c r="D236" s="15"/>
      <c r="E236" s="15"/>
      <c r="F236" s="15"/>
      <c r="G236" s="15"/>
      <c r="H236" s="16"/>
      <c r="I236" s="17"/>
      <c r="J236" s="5"/>
    </row>
    <row r="237" spans="1:10" ht="13.05" customHeight="1">
      <c r="A237" s="5"/>
      <c r="B237" s="14" t="s">
        <v>1867</v>
      </c>
      <c r="C237" s="15"/>
      <c r="D237" s="15"/>
      <c r="E237" s="15"/>
      <c r="F237" s="5"/>
      <c r="G237" s="16"/>
      <c r="H237" s="16"/>
      <c r="I237" s="17"/>
      <c r="J237" s="5"/>
    </row>
    <row r="238" spans="1:10" ht="13.05" customHeight="1">
      <c r="A238" s="18" t="s">
        <v>1868</v>
      </c>
      <c r="B238" s="19" t="s">
        <v>1869</v>
      </c>
      <c r="C238" s="15" t="s">
        <v>1870</v>
      </c>
      <c r="D238" s="15" t="s">
        <v>188</v>
      </c>
      <c r="E238" s="20">
        <v>4000000</v>
      </c>
      <c r="F238" s="21">
        <v>3972.2919999999999</v>
      </c>
      <c r="G238" s="22">
        <v>1.0699999999999999E-2</v>
      </c>
      <c r="H238" s="23">
        <v>5.4174E-2</v>
      </c>
      <c r="I238" s="24"/>
      <c r="J238" s="5"/>
    </row>
    <row r="239" spans="1:10" ht="13.05" customHeight="1">
      <c r="A239" s="18" t="s">
        <v>3183</v>
      </c>
      <c r="B239" s="19" t="s">
        <v>3184</v>
      </c>
      <c r="C239" s="15" t="s">
        <v>3185</v>
      </c>
      <c r="D239" s="15" t="s">
        <v>188</v>
      </c>
      <c r="E239" s="20">
        <v>2000000</v>
      </c>
      <c r="F239" s="21">
        <v>1998.4880000000001</v>
      </c>
      <c r="G239" s="22">
        <v>5.4000000000000003E-3</v>
      </c>
      <c r="H239" s="23">
        <v>5.5199999999999999E-2</v>
      </c>
      <c r="I239" s="24"/>
      <c r="J239" s="5"/>
    </row>
    <row r="240" spans="1:10" ht="13.05" customHeight="1">
      <c r="A240" s="18" t="s">
        <v>3186</v>
      </c>
      <c r="B240" s="19" t="s">
        <v>3187</v>
      </c>
      <c r="C240" s="15" t="s">
        <v>3188</v>
      </c>
      <c r="D240" s="15" t="s">
        <v>188</v>
      </c>
      <c r="E240" s="20">
        <v>2000000</v>
      </c>
      <c r="F240" s="21">
        <v>1996.432</v>
      </c>
      <c r="G240" s="22">
        <v>5.4000000000000003E-3</v>
      </c>
      <c r="H240" s="23">
        <v>5.4375E-2</v>
      </c>
      <c r="I240" s="24"/>
      <c r="J240" s="5"/>
    </row>
    <row r="241" spans="1:10" ht="13.05" customHeight="1">
      <c r="A241" s="18" t="s">
        <v>3189</v>
      </c>
      <c r="B241" s="19" t="s">
        <v>3190</v>
      </c>
      <c r="C241" s="15" t="s">
        <v>3191</v>
      </c>
      <c r="D241" s="15" t="s">
        <v>188</v>
      </c>
      <c r="E241" s="20">
        <v>2000000</v>
      </c>
      <c r="F241" s="21">
        <v>1973.818</v>
      </c>
      <c r="G241" s="22">
        <v>5.3E-3</v>
      </c>
      <c r="H241" s="23">
        <v>5.4399999999999997E-2</v>
      </c>
      <c r="I241" s="24"/>
      <c r="J241" s="5"/>
    </row>
    <row r="242" spans="1:10" ht="13.05" customHeight="1">
      <c r="A242" s="18" t="s">
        <v>3192</v>
      </c>
      <c r="B242" s="19" t="s">
        <v>3193</v>
      </c>
      <c r="C242" s="15" t="s">
        <v>3194</v>
      </c>
      <c r="D242" s="15" t="s">
        <v>188</v>
      </c>
      <c r="E242" s="20">
        <v>1000000</v>
      </c>
      <c r="F242" s="21">
        <v>996.029</v>
      </c>
      <c r="G242" s="22">
        <v>2.7000000000000001E-3</v>
      </c>
      <c r="H242" s="23">
        <v>5.3900000000000003E-2</v>
      </c>
      <c r="I242" s="24"/>
      <c r="J242" s="5"/>
    </row>
    <row r="243" spans="1:10" ht="13.05" customHeight="1">
      <c r="A243" s="5"/>
      <c r="B243" s="14" t="s">
        <v>192</v>
      </c>
      <c r="C243" s="15"/>
      <c r="D243" s="15"/>
      <c r="E243" s="15"/>
      <c r="F243" s="25">
        <v>10937.058999999999</v>
      </c>
      <c r="G243" s="26">
        <v>2.9399999999999999E-2</v>
      </c>
      <c r="H243" s="27"/>
      <c r="I243" s="28"/>
      <c r="J243" s="5"/>
    </row>
    <row r="244" spans="1:10" ht="13.05" customHeight="1">
      <c r="A244" s="5"/>
      <c r="B244" s="29" t="s">
        <v>195</v>
      </c>
      <c r="C244" s="30"/>
      <c r="D244" s="2"/>
      <c r="E244" s="30"/>
      <c r="F244" s="25">
        <v>10937.058999999999</v>
      </c>
      <c r="G244" s="26">
        <v>2.9399999999999999E-2</v>
      </c>
      <c r="H244" s="27"/>
      <c r="I244" s="28"/>
      <c r="J244" s="5"/>
    </row>
    <row r="245" spans="1:10" ht="13.05" customHeight="1">
      <c r="A245" s="5"/>
      <c r="B245" s="14" t="s">
        <v>196</v>
      </c>
      <c r="C245" s="15"/>
      <c r="D245" s="15"/>
      <c r="E245" s="15"/>
      <c r="F245" s="15"/>
      <c r="G245" s="15"/>
      <c r="H245" s="16"/>
      <c r="I245" s="17"/>
      <c r="J245" s="5"/>
    </row>
    <row r="246" spans="1:10" ht="13.05" customHeight="1">
      <c r="A246" s="18" t="s">
        <v>197</v>
      </c>
      <c r="B246" s="19" t="s">
        <v>198</v>
      </c>
      <c r="C246" s="15"/>
      <c r="D246" s="15"/>
      <c r="E246" s="20"/>
      <c r="F246" s="21">
        <v>16380.7718</v>
      </c>
      <c r="G246" s="22">
        <v>4.3999999999999997E-2</v>
      </c>
      <c r="H246" s="23">
        <v>5.5573615184383571E-2</v>
      </c>
      <c r="I246" s="24"/>
      <c r="J246" s="5"/>
    </row>
    <row r="247" spans="1:10" ht="13.05" customHeight="1">
      <c r="A247" s="5"/>
      <c r="B247" s="14" t="s">
        <v>192</v>
      </c>
      <c r="C247" s="15"/>
      <c r="D247" s="15"/>
      <c r="E247" s="15"/>
      <c r="F247" s="25">
        <v>16380.7718</v>
      </c>
      <c r="G247" s="26">
        <v>4.3999999999999997E-2</v>
      </c>
      <c r="H247" s="27"/>
      <c r="I247" s="28"/>
      <c r="J247" s="5"/>
    </row>
    <row r="248" spans="1:10" ht="13.05" customHeight="1">
      <c r="A248" s="5"/>
      <c r="B248" s="29" t="s">
        <v>193</v>
      </c>
      <c r="C248" s="2"/>
      <c r="D248" s="2"/>
      <c r="E248" s="2"/>
      <c r="F248" s="27" t="s">
        <v>194</v>
      </c>
      <c r="G248" s="27" t="s">
        <v>194</v>
      </c>
      <c r="H248" s="27"/>
      <c r="I248" s="28"/>
      <c r="J248" s="5"/>
    </row>
    <row r="249" spans="1:10" ht="13.05" customHeight="1">
      <c r="A249" s="5"/>
      <c r="B249" s="29" t="s">
        <v>192</v>
      </c>
      <c r="C249" s="2"/>
      <c r="D249" s="2"/>
      <c r="E249" s="2"/>
      <c r="F249" s="27" t="s">
        <v>194</v>
      </c>
      <c r="G249" s="27" t="s">
        <v>194</v>
      </c>
      <c r="H249" s="27"/>
      <c r="I249" s="28"/>
      <c r="J249" s="5"/>
    </row>
    <row r="250" spans="1:10" ht="13.05" customHeight="1">
      <c r="A250" s="5"/>
      <c r="B250" s="29" t="s">
        <v>195</v>
      </c>
      <c r="C250" s="30"/>
      <c r="D250" s="2"/>
      <c r="E250" s="30"/>
      <c r="F250" s="25">
        <v>16380.7718</v>
      </c>
      <c r="G250" s="26">
        <v>4.3999999999999997E-2</v>
      </c>
      <c r="H250" s="27"/>
      <c r="I250" s="28"/>
      <c r="J250" s="5"/>
    </row>
    <row r="251" spans="1:10" ht="13.05" customHeight="1">
      <c r="A251" s="5"/>
      <c r="B251" s="29" t="s">
        <v>199</v>
      </c>
      <c r="C251" s="15"/>
      <c r="D251" s="2"/>
      <c r="E251" s="15"/>
      <c r="F251" s="31">
        <v>40044.874100000001</v>
      </c>
      <c r="G251" s="26">
        <v>0.1076</v>
      </c>
      <c r="H251" s="27"/>
      <c r="I251" s="28"/>
      <c r="J251" s="5"/>
    </row>
    <row r="252" spans="1:10" ht="13.05" customHeight="1">
      <c r="A252" s="5"/>
      <c r="B252" s="32" t="s">
        <v>200</v>
      </c>
      <c r="C252" s="33"/>
      <c r="D252" s="33"/>
      <c r="E252" s="33"/>
      <c r="F252" s="34">
        <v>372128.92</v>
      </c>
      <c r="G252" s="35">
        <v>1</v>
      </c>
      <c r="H252" s="36"/>
      <c r="I252" s="37"/>
      <c r="J252" s="5"/>
    </row>
    <row r="253" spans="1:10" ht="13.05" customHeight="1">
      <c r="A253" s="5"/>
      <c r="B253" s="7"/>
      <c r="C253" s="5"/>
      <c r="D253" s="5"/>
      <c r="E253" s="5"/>
      <c r="F253" s="5"/>
      <c r="G253" s="5"/>
      <c r="H253" s="5"/>
      <c r="I253" s="5"/>
      <c r="J253" s="5"/>
    </row>
    <row r="254" spans="1:10" ht="13.05" customHeight="1">
      <c r="A254" s="5"/>
      <c r="B254" s="4" t="s">
        <v>2486</v>
      </c>
      <c r="C254" s="5"/>
      <c r="D254" s="5"/>
      <c r="E254" s="5"/>
      <c r="F254" s="5"/>
      <c r="G254" s="5"/>
      <c r="H254" s="5"/>
      <c r="I254" s="5"/>
      <c r="J254" s="5"/>
    </row>
    <row r="255" spans="1:10" ht="13.05" customHeight="1">
      <c r="A255" s="5"/>
      <c r="B255" s="4" t="s">
        <v>250</v>
      </c>
      <c r="C255" s="5"/>
      <c r="D255" s="5"/>
      <c r="E255" s="5"/>
      <c r="F255" s="5"/>
      <c r="G255" s="5"/>
      <c r="H255" s="5"/>
      <c r="I255" s="5"/>
      <c r="J255" s="5"/>
    </row>
    <row r="256" spans="1:10" ht="13.05" customHeight="1">
      <c r="A256" s="5"/>
      <c r="B256" s="4" t="s">
        <v>2487</v>
      </c>
      <c r="C256" s="5"/>
      <c r="D256" s="5"/>
      <c r="E256" s="5"/>
      <c r="F256" s="5"/>
      <c r="G256" s="5"/>
      <c r="H256" s="5"/>
      <c r="I256" s="5"/>
      <c r="J256" s="5"/>
    </row>
    <row r="257" spans="1:10" ht="13.05" customHeight="1">
      <c r="A257" s="5"/>
      <c r="B257" s="4" t="s">
        <v>1816</v>
      </c>
      <c r="C257" s="5"/>
      <c r="D257" s="5"/>
      <c r="E257" s="5"/>
      <c r="F257" s="5"/>
      <c r="G257" s="5"/>
      <c r="H257" s="5"/>
      <c r="I257" s="5"/>
      <c r="J257" s="5"/>
    </row>
    <row r="258" spans="1:10" ht="13.05" customHeight="1">
      <c r="A258" s="5"/>
      <c r="B258" s="4" t="s">
        <v>201</v>
      </c>
      <c r="C258" s="5"/>
      <c r="D258" s="5"/>
      <c r="E258" s="5"/>
      <c r="F258" s="5"/>
      <c r="G258" s="5"/>
      <c r="H258" s="5"/>
      <c r="I258" s="5"/>
      <c r="J258" s="5"/>
    </row>
    <row r="259" spans="1:10" ht="25.95" customHeight="1">
      <c r="A259" s="5"/>
      <c r="B259" s="103" t="s">
        <v>202</v>
      </c>
      <c r="C259" s="103"/>
      <c r="D259" s="103"/>
      <c r="E259" s="103"/>
      <c r="F259" s="103"/>
      <c r="G259" s="103"/>
      <c r="H259" s="103"/>
      <c r="I259" s="103"/>
      <c r="J259" s="5"/>
    </row>
    <row r="260" spans="1:10" ht="13.05" customHeight="1">
      <c r="A260" s="5"/>
      <c r="B260" s="103" t="s">
        <v>203</v>
      </c>
      <c r="C260" s="103"/>
      <c r="D260" s="103"/>
      <c r="E260" s="103"/>
      <c r="F260" s="103"/>
      <c r="G260" s="103"/>
      <c r="H260" s="103"/>
      <c r="I260" s="103"/>
      <c r="J260" s="5"/>
    </row>
    <row r="261" spans="1:10" ht="13.05" customHeight="1">
      <c r="A261" s="5"/>
      <c r="B261" s="103"/>
      <c r="C261" s="103"/>
      <c r="D261" s="103"/>
      <c r="E261" s="103"/>
      <c r="F261" s="103"/>
      <c r="G261" s="103"/>
      <c r="H261" s="103"/>
      <c r="I261" s="103"/>
      <c r="J261" s="5"/>
    </row>
    <row r="262" spans="1:10" ht="13.05" customHeight="1">
      <c r="A262" s="5"/>
      <c r="B262" s="103"/>
      <c r="C262" s="103"/>
      <c r="D262" s="103"/>
      <c r="E262" s="103"/>
      <c r="F262" s="103"/>
      <c r="G262" s="103"/>
      <c r="H262" s="103"/>
      <c r="I262" s="103"/>
      <c r="J262" s="5"/>
    </row>
    <row r="263" spans="1:10" ht="13.05" customHeight="1">
      <c r="A263" s="5"/>
      <c r="B263" s="103"/>
      <c r="C263" s="103"/>
      <c r="D263" s="103"/>
      <c r="E263" s="103"/>
      <c r="F263" s="103"/>
      <c r="G263" s="103"/>
      <c r="H263" s="103"/>
      <c r="I263" s="103"/>
      <c r="J263" s="5"/>
    </row>
    <row r="264" spans="1:10" ht="13.05" customHeight="1">
      <c r="A264" s="5"/>
      <c r="B264" s="103"/>
      <c r="C264" s="103"/>
      <c r="D264" s="103"/>
      <c r="E264" s="103"/>
      <c r="F264" s="103"/>
      <c r="G264" s="103"/>
      <c r="H264" s="103"/>
      <c r="I264" s="103"/>
      <c r="J264" s="5"/>
    </row>
    <row r="265" spans="1:10" ht="13.05" customHeight="1">
      <c r="A265" s="5"/>
      <c r="B265" s="5"/>
      <c r="C265" s="104" t="s">
        <v>3195</v>
      </c>
      <c r="D265" s="104"/>
      <c r="E265" s="104"/>
      <c r="F265" s="104"/>
      <c r="G265" s="5"/>
      <c r="H265" s="5"/>
      <c r="I265" s="5"/>
      <c r="J265" s="5"/>
    </row>
    <row r="266" spans="1:10" ht="13.05" customHeight="1">
      <c r="A266" s="5"/>
      <c r="B266" s="38" t="s">
        <v>207</v>
      </c>
      <c r="C266" s="104" t="s">
        <v>208</v>
      </c>
      <c r="D266" s="104"/>
      <c r="E266" s="104"/>
      <c r="F266" s="104"/>
      <c r="G266" s="5"/>
      <c r="H266" s="5"/>
      <c r="I266" s="5"/>
      <c r="J266" s="5"/>
    </row>
    <row r="267" spans="1:10" ht="135" customHeight="1">
      <c r="A267" s="5"/>
      <c r="B267" s="39"/>
      <c r="C267" s="105"/>
      <c r="D267" s="105"/>
      <c r="E267" s="5"/>
      <c r="F267" s="5"/>
      <c r="G267" s="5"/>
      <c r="H267" s="5"/>
      <c r="I267" s="5"/>
      <c r="J267" s="5"/>
    </row>
  </sheetData>
  <mergeCells count="9">
    <mergeCell ref="B264:I264"/>
    <mergeCell ref="C265:F265"/>
    <mergeCell ref="C266:F266"/>
    <mergeCell ref="C267:D267"/>
    <mergeCell ref="B259:I259"/>
    <mergeCell ref="B260:I260"/>
    <mergeCell ref="B261:I261"/>
    <mergeCell ref="B262:I262"/>
    <mergeCell ref="B263:I263"/>
  </mergeCells>
  <hyperlinks>
    <hyperlink ref="A1" location="AxisBalancedAdvantageFund" display="AXISDEF" xr:uid="{00000000-0004-0000-1400-000000000000}"/>
    <hyperlink ref="B1" location="AxisBalancedAdvantageFund" display="Axis Balanced Advantage Fund" xr:uid="{00000000-0004-0000-14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J427"/>
  <sheetViews>
    <sheetView topLeftCell="A364" workbookViewId="0">
      <selection activeCell="D387" sqref="D387"/>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45</v>
      </c>
      <c r="B1" s="4" t="s">
        <v>46</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786</v>
      </c>
      <c r="B7" s="19" t="s">
        <v>787</v>
      </c>
      <c r="C7" s="15" t="s">
        <v>788</v>
      </c>
      <c r="D7" s="15" t="s">
        <v>268</v>
      </c>
      <c r="E7" s="20">
        <v>305627100</v>
      </c>
      <c r="F7" s="21">
        <v>26681.245800000001</v>
      </c>
      <c r="G7" s="22">
        <v>3.39E-2</v>
      </c>
      <c r="H7" s="40"/>
      <c r="I7" s="24"/>
      <c r="J7" s="5"/>
    </row>
    <row r="8" spans="1:10" ht="13.05" customHeight="1">
      <c r="A8" s="18" t="s">
        <v>281</v>
      </c>
      <c r="B8" s="19" t="s">
        <v>282</v>
      </c>
      <c r="C8" s="15" t="s">
        <v>283</v>
      </c>
      <c r="D8" s="15" t="s">
        <v>257</v>
      </c>
      <c r="E8" s="20">
        <v>2366250</v>
      </c>
      <c r="F8" s="21">
        <v>22171.762500000001</v>
      </c>
      <c r="G8" s="22">
        <v>2.8199999999999999E-2</v>
      </c>
      <c r="H8" s="40"/>
      <c r="I8" s="24"/>
      <c r="J8" s="5"/>
    </row>
    <row r="9" spans="1:10" ht="13.05" customHeight="1">
      <c r="A9" s="18" t="s">
        <v>258</v>
      </c>
      <c r="B9" s="19" t="s">
        <v>259</v>
      </c>
      <c r="C9" s="15" t="s">
        <v>260</v>
      </c>
      <c r="D9" s="15" t="s">
        <v>261</v>
      </c>
      <c r="E9" s="20">
        <v>1426000</v>
      </c>
      <c r="F9" s="21">
        <v>21196.063999999998</v>
      </c>
      <c r="G9" s="22">
        <v>2.69E-2</v>
      </c>
      <c r="H9" s="40"/>
      <c r="I9" s="24"/>
      <c r="J9" s="5"/>
    </row>
    <row r="10" spans="1:10" ht="13.05" customHeight="1">
      <c r="A10" s="18" t="s">
        <v>511</v>
      </c>
      <c r="B10" s="19" t="s">
        <v>512</v>
      </c>
      <c r="C10" s="15" t="s">
        <v>513</v>
      </c>
      <c r="D10" s="15" t="s">
        <v>257</v>
      </c>
      <c r="E10" s="20">
        <v>25051775</v>
      </c>
      <c r="F10" s="21">
        <v>20484.8364</v>
      </c>
      <c r="G10" s="22">
        <v>2.5999999999999999E-2</v>
      </c>
      <c r="H10" s="40"/>
      <c r="I10" s="24"/>
      <c r="J10" s="5"/>
    </row>
    <row r="11" spans="1:10" ht="13.05" customHeight="1">
      <c r="A11" s="18" t="s">
        <v>301</v>
      </c>
      <c r="B11" s="19" t="s">
        <v>302</v>
      </c>
      <c r="C11" s="15" t="s">
        <v>303</v>
      </c>
      <c r="D11" s="15" t="s">
        <v>304</v>
      </c>
      <c r="E11" s="20">
        <v>6426250</v>
      </c>
      <c r="F11" s="21">
        <v>20419.4094</v>
      </c>
      <c r="G11" s="22">
        <v>2.5899999999999999E-2</v>
      </c>
      <c r="H11" s="40"/>
      <c r="I11" s="24"/>
      <c r="J11" s="5"/>
    </row>
    <row r="12" spans="1:10" ht="13.05" customHeight="1">
      <c r="A12" s="18" t="s">
        <v>254</v>
      </c>
      <c r="B12" s="19" t="s">
        <v>255</v>
      </c>
      <c r="C12" s="15" t="s">
        <v>256</v>
      </c>
      <c r="D12" s="15" t="s">
        <v>257</v>
      </c>
      <c r="E12" s="20">
        <v>2064700</v>
      </c>
      <c r="F12" s="21">
        <v>20384.783100000001</v>
      </c>
      <c r="G12" s="22">
        <v>2.5899999999999999E-2</v>
      </c>
      <c r="H12" s="40"/>
      <c r="I12" s="24"/>
      <c r="J12" s="5"/>
    </row>
    <row r="13" spans="1:10" ht="13.05" customHeight="1">
      <c r="A13" s="18" t="s">
        <v>287</v>
      </c>
      <c r="B13" s="19" t="s">
        <v>288</v>
      </c>
      <c r="C13" s="15" t="s">
        <v>289</v>
      </c>
      <c r="D13" s="15" t="s">
        <v>272</v>
      </c>
      <c r="E13" s="20">
        <v>582400</v>
      </c>
      <c r="F13" s="21">
        <v>17809.792000000001</v>
      </c>
      <c r="G13" s="22">
        <v>2.2599999999999999E-2</v>
      </c>
      <c r="H13" s="40"/>
      <c r="I13" s="24"/>
      <c r="J13" s="5"/>
    </row>
    <row r="14" spans="1:10" ht="13.05" customHeight="1">
      <c r="A14" s="18" t="s">
        <v>262</v>
      </c>
      <c r="B14" s="19" t="s">
        <v>263</v>
      </c>
      <c r="C14" s="15" t="s">
        <v>264</v>
      </c>
      <c r="D14" s="15" t="s">
        <v>257</v>
      </c>
      <c r="E14" s="20">
        <v>1202600</v>
      </c>
      <c r="F14" s="21">
        <v>16178.577799999999</v>
      </c>
      <c r="G14" s="22">
        <v>2.0500000000000001E-2</v>
      </c>
      <c r="H14" s="40"/>
      <c r="I14" s="24"/>
      <c r="J14" s="5"/>
    </row>
    <row r="15" spans="1:10" ht="13.05" customHeight="1">
      <c r="A15" s="18" t="s">
        <v>334</v>
      </c>
      <c r="B15" s="19" t="s">
        <v>335</v>
      </c>
      <c r="C15" s="15" t="s">
        <v>336</v>
      </c>
      <c r="D15" s="15" t="s">
        <v>337</v>
      </c>
      <c r="E15" s="20">
        <v>123800</v>
      </c>
      <c r="F15" s="21">
        <v>14790.386</v>
      </c>
      <c r="G15" s="22">
        <v>1.8800000000000001E-2</v>
      </c>
      <c r="H15" s="40"/>
      <c r="I15" s="24"/>
      <c r="J15" s="5"/>
    </row>
    <row r="16" spans="1:10" ht="13.05" customHeight="1">
      <c r="A16" s="18" t="s">
        <v>529</v>
      </c>
      <c r="B16" s="19" t="s">
        <v>530</v>
      </c>
      <c r="C16" s="15" t="s">
        <v>531</v>
      </c>
      <c r="D16" s="15" t="s">
        <v>257</v>
      </c>
      <c r="E16" s="20">
        <v>4914000</v>
      </c>
      <c r="F16" s="21">
        <v>13680.575999999999</v>
      </c>
      <c r="G16" s="22">
        <v>1.7399999999999999E-2</v>
      </c>
      <c r="H16" s="40"/>
      <c r="I16" s="24"/>
      <c r="J16" s="5"/>
    </row>
    <row r="17" spans="1:10" ht="13.05" customHeight="1">
      <c r="A17" s="18" t="s">
        <v>588</v>
      </c>
      <c r="B17" s="19" t="s">
        <v>589</v>
      </c>
      <c r="C17" s="15" t="s">
        <v>590</v>
      </c>
      <c r="D17" s="15" t="s">
        <v>257</v>
      </c>
      <c r="E17" s="20">
        <v>9448000</v>
      </c>
      <c r="F17" s="21">
        <v>11610.647199999999</v>
      </c>
      <c r="G17" s="22">
        <v>1.47E-2</v>
      </c>
      <c r="H17" s="40"/>
      <c r="I17" s="24"/>
      <c r="J17" s="5"/>
    </row>
    <row r="18" spans="1:10" ht="13.05" customHeight="1">
      <c r="A18" s="18" t="s">
        <v>655</v>
      </c>
      <c r="B18" s="19" t="s">
        <v>656</v>
      </c>
      <c r="C18" s="15" t="s">
        <v>657</v>
      </c>
      <c r="D18" s="15" t="s">
        <v>364</v>
      </c>
      <c r="E18" s="20">
        <v>11934225</v>
      </c>
      <c r="F18" s="21">
        <v>11214.591200000001</v>
      </c>
      <c r="G18" s="22">
        <v>1.4200000000000001E-2</v>
      </c>
      <c r="H18" s="40"/>
      <c r="I18" s="24"/>
      <c r="J18" s="5"/>
    </row>
    <row r="19" spans="1:10" ht="13.05" customHeight="1">
      <c r="A19" s="18" t="s">
        <v>783</v>
      </c>
      <c r="B19" s="19" t="s">
        <v>784</v>
      </c>
      <c r="C19" s="15" t="s">
        <v>785</v>
      </c>
      <c r="D19" s="15" t="s">
        <v>300</v>
      </c>
      <c r="E19" s="20">
        <v>3379000</v>
      </c>
      <c r="F19" s="21">
        <v>10954.718000000001</v>
      </c>
      <c r="G19" s="22">
        <v>1.3899999999999999E-2</v>
      </c>
      <c r="H19" s="40"/>
      <c r="I19" s="24"/>
      <c r="J19" s="5"/>
    </row>
    <row r="20" spans="1:10" ht="13.05" customHeight="1">
      <c r="A20" s="18" t="s">
        <v>637</v>
      </c>
      <c r="B20" s="19" t="s">
        <v>638</v>
      </c>
      <c r="C20" s="15" t="s">
        <v>639</v>
      </c>
      <c r="D20" s="15" t="s">
        <v>541</v>
      </c>
      <c r="E20" s="20">
        <v>446050</v>
      </c>
      <c r="F20" s="21">
        <v>10205.624</v>
      </c>
      <c r="G20" s="22">
        <v>1.2999999999999999E-2</v>
      </c>
      <c r="H20" s="40"/>
      <c r="I20" s="24"/>
      <c r="J20" s="5"/>
    </row>
    <row r="21" spans="1:10" ht="13.05" customHeight="1">
      <c r="A21" s="18" t="s">
        <v>322</v>
      </c>
      <c r="B21" s="19" t="s">
        <v>323</v>
      </c>
      <c r="C21" s="15" t="s">
        <v>324</v>
      </c>
      <c r="D21" s="15" t="s">
        <v>325</v>
      </c>
      <c r="E21" s="20">
        <v>266350</v>
      </c>
      <c r="F21" s="21">
        <v>9979.3354999999992</v>
      </c>
      <c r="G21" s="22">
        <v>1.2699999999999999E-2</v>
      </c>
      <c r="H21" s="40"/>
      <c r="I21" s="24"/>
      <c r="J21" s="5"/>
    </row>
    <row r="22" spans="1:10" ht="13.05" customHeight="1">
      <c r="A22" s="18" t="s">
        <v>265</v>
      </c>
      <c r="B22" s="19" t="s">
        <v>266</v>
      </c>
      <c r="C22" s="15" t="s">
        <v>267</v>
      </c>
      <c r="D22" s="15" t="s">
        <v>268</v>
      </c>
      <c r="E22" s="20">
        <v>467875</v>
      </c>
      <c r="F22" s="21">
        <v>9612.4919000000009</v>
      </c>
      <c r="G22" s="22">
        <v>1.2200000000000001E-2</v>
      </c>
      <c r="H22" s="40"/>
      <c r="I22" s="24"/>
      <c r="J22" s="5"/>
    </row>
    <row r="23" spans="1:10" ht="13.05" customHeight="1">
      <c r="A23" s="18" t="s">
        <v>290</v>
      </c>
      <c r="B23" s="19" t="s">
        <v>291</v>
      </c>
      <c r="C23" s="15" t="s">
        <v>292</v>
      </c>
      <c r="D23" s="15" t="s">
        <v>257</v>
      </c>
      <c r="E23" s="20">
        <v>445200</v>
      </c>
      <c r="F23" s="21">
        <v>9358.9943999999996</v>
      </c>
      <c r="G23" s="22">
        <v>1.1900000000000001E-2</v>
      </c>
      <c r="H23" s="40"/>
      <c r="I23" s="24"/>
      <c r="J23" s="5"/>
    </row>
    <row r="24" spans="1:10" ht="13.05" customHeight="1">
      <c r="A24" s="18" t="s">
        <v>828</v>
      </c>
      <c r="B24" s="19" t="s">
        <v>829</v>
      </c>
      <c r="C24" s="15" t="s">
        <v>830</v>
      </c>
      <c r="D24" s="15" t="s">
        <v>567</v>
      </c>
      <c r="E24" s="20">
        <v>1740900</v>
      </c>
      <c r="F24" s="21">
        <v>8230.1047999999992</v>
      </c>
      <c r="G24" s="22">
        <v>1.0500000000000001E-2</v>
      </c>
      <c r="H24" s="40"/>
      <c r="I24" s="24"/>
      <c r="J24" s="5"/>
    </row>
    <row r="25" spans="1:10" ht="13.05" customHeight="1">
      <c r="A25" s="18" t="s">
        <v>358</v>
      </c>
      <c r="B25" s="19" t="s">
        <v>359</v>
      </c>
      <c r="C25" s="15" t="s">
        <v>360</v>
      </c>
      <c r="D25" s="15" t="s">
        <v>337</v>
      </c>
      <c r="E25" s="20">
        <v>277000</v>
      </c>
      <c r="F25" s="21">
        <v>8010.009</v>
      </c>
      <c r="G25" s="22">
        <v>1.0200000000000001E-2</v>
      </c>
      <c r="H25" s="40"/>
      <c r="I25" s="24"/>
      <c r="J25" s="5"/>
    </row>
    <row r="26" spans="1:10" ht="13.05" customHeight="1">
      <c r="A26" s="18" t="s">
        <v>458</v>
      </c>
      <c r="B26" s="19" t="s">
        <v>459</v>
      </c>
      <c r="C26" s="15" t="s">
        <v>460</v>
      </c>
      <c r="D26" s="15" t="s">
        <v>321</v>
      </c>
      <c r="E26" s="20">
        <v>1976350</v>
      </c>
      <c r="F26" s="21">
        <v>8002.2412000000004</v>
      </c>
      <c r="G26" s="22">
        <v>1.0200000000000001E-2</v>
      </c>
      <c r="H26" s="40"/>
      <c r="I26" s="24"/>
      <c r="J26" s="5"/>
    </row>
    <row r="27" spans="1:10" ht="13.05" customHeight="1">
      <c r="A27" s="18" t="s">
        <v>552</v>
      </c>
      <c r="B27" s="19" t="s">
        <v>553</v>
      </c>
      <c r="C27" s="15" t="s">
        <v>554</v>
      </c>
      <c r="D27" s="15" t="s">
        <v>268</v>
      </c>
      <c r="E27" s="20">
        <v>2187900</v>
      </c>
      <c r="F27" s="21">
        <v>7955.2043999999996</v>
      </c>
      <c r="G27" s="22">
        <v>1.01E-2</v>
      </c>
      <c r="H27" s="40"/>
      <c r="I27" s="24"/>
      <c r="J27" s="5"/>
    </row>
    <row r="28" spans="1:10" ht="13.05" customHeight="1">
      <c r="A28" s="18" t="s">
        <v>871</v>
      </c>
      <c r="B28" s="19" t="s">
        <v>872</v>
      </c>
      <c r="C28" s="15" t="s">
        <v>873</v>
      </c>
      <c r="D28" s="15" t="s">
        <v>257</v>
      </c>
      <c r="E28" s="20">
        <v>2349500</v>
      </c>
      <c r="F28" s="21">
        <v>7667.5933000000005</v>
      </c>
      <c r="G28" s="22">
        <v>9.7000000000000003E-3</v>
      </c>
      <c r="H28" s="40"/>
      <c r="I28" s="24"/>
      <c r="J28" s="5"/>
    </row>
    <row r="29" spans="1:10" ht="13.05" customHeight="1">
      <c r="A29" s="18" t="s">
        <v>297</v>
      </c>
      <c r="B29" s="19" t="s">
        <v>298</v>
      </c>
      <c r="C29" s="15" t="s">
        <v>299</v>
      </c>
      <c r="D29" s="15" t="s">
        <v>300</v>
      </c>
      <c r="E29" s="20">
        <v>699000</v>
      </c>
      <c r="F29" s="21">
        <v>7289.1719999999996</v>
      </c>
      <c r="G29" s="22">
        <v>9.2999999999999992E-3</v>
      </c>
      <c r="H29" s="40"/>
      <c r="I29" s="24"/>
      <c r="J29" s="5"/>
    </row>
    <row r="30" spans="1:10" ht="13.05" customHeight="1">
      <c r="A30" s="18" t="s">
        <v>526</v>
      </c>
      <c r="B30" s="19" t="s">
        <v>527</v>
      </c>
      <c r="C30" s="15" t="s">
        <v>528</v>
      </c>
      <c r="D30" s="15" t="s">
        <v>257</v>
      </c>
      <c r="E30" s="20">
        <v>912100</v>
      </c>
      <c r="F30" s="21">
        <v>7249.3707999999997</v>
      </c>
      <c r="G30" s="22">
        <v>9.1999999999999998E-3</v>
      </c>
      <c r="H30" s="40"/>
      <c r="I30" s="24"/>
      <c r="J30" s="5"/>
    </row>
    <row r="31" spans="1:10" ht="13.05" customHeight="1">
      <c r="A31" s="18" t="s">
        <v>919</v>
      </c>
      <c r="B31" s="19" t="s">
        <v>920</v>
      </c>
      <c r="C31" s="15" t="s">
        <v>921</v>
      </c>
      <c r="D31" s="15" t="s">
        <v>300</v>
      </c>
      <c r="E31" s="20">
        <v>757250</v>
      </c>
      <c r="F31" s="21">
        <v>7032.5807999999997</v>
      </c>
      <c r="G31" s="22">
        <v>8.8999999999999999E-3</v>
      </c>
      <c r="H31" s="40"/>
      <c r="I31" s="24"/>
      <c r="J31" s="5"/>
    </row>
    <row r="32" spans="1:10" ht="13.05" customHeight="1">
      <c r="A32" s="18" t="s">
        <v>555</v>
      </c>
      <c r="B32" s="19" t="s">
        <v>556</v>
      </c>
      <c r="C32" s="15" t="s">
        <v>557</v>
      </c>
      <c r="D32" s="15" t="s">
        <v>494</v>
      </c>
      <c r="E32" s="20">
        <v>496625</v>
      </c>
      <c r="F32" s="21">
        <v>6472.0169999999998</v>
      </c>
      <c r="G32" s="22">
        <v>8.2000000000000007E-3</v>
      </c>
      <c r="H32" s="40"/>
      <c r="I32" s="24"/>
      <c r="J32" s="5"/>
    </row>
    <row r="33" spans="1:10" ht="13.05" customHeight="1">
      <c r="A33" s="18" t="s">
        <v>610</v>
      </c>
      <c r="B33" s="19" t="s">
        <v>611</v>
      </c>
      <c r="C33" s="15" t="s">
        <v>612</v>
      </c>
      <c r="D33" s="15" t="s">
        <v>435</v>
      </c>
      <c r="E33" s="20">
        <v>886800</v>
      </c>
      <c r="F33" s="21">
        <v>6384.5165999999999</v>
      </c>
      <c r="G33" s="22">
        <v>8.0999999999999996E-3</v>
      </c>
      <c r="H33" s="40"/>
      <c r="I33" s="24"/>
      <c r="J33" s="5"/>
    </row>
    <row r="34" spans="1:10" ht="13.05" customHeight="1">
      <c r="A34" s="18" t="s">
        <v>676</v>
      </c>
      <c r="B34" s="19" t="s">
        <v>677</v>
      </c>
      <c r="C34" s="15" t="s">
        <v>678</v>
      </c>
      <c r="D34" s="15" t="s">
        <v>314</v>
      </c>
      <c r="E34" s="20">
        <v>522500</v>
      </c>
      <c r="F34" s="21">
        <v>5950.7524999999996</v>
      </c>
      <c r="G34" s="22">
        <v>7.6E-3</v>
      </c>
      <c r="H34" s="40"/>
      <c r="I34" s="24"/>
      <c r="J34" s="5"/>
    </row>
    <row r="35" spans="1:10" ht="13.05" customHeight="1">
      <c r="A35" s="18" t="s">
        <v>578</v>
      </c>
      <c r="B35" s="19" t="s">
        <v>579</v>
      </c>
      <c r="C35" s="15" t="s">
        <v>580</v>
      </c>
      <c r="D35" s="15" t="s">
        <v>581</v>
      </c>
      <c r="E35" s="20">
        <v>408500</v>
      </c>
      <c r="F35" s="21">
        <v>5901.1909999999998</v>
      </c>
      <c r="G35" s="22">
        <v>7.4999999999999997E-3</v>
      </c>
      <c r="H35" s="40"/>
      <c r="I35" s="24"/>
      <c r="J35" s="5"/>
    </row>
    <row r="36" spans="1:10" ht="13.05" customHeight="1">
      <c r="A36" s="18" t="s">
        <v>558</v>
      </c>
      <c r="B36" s="19" t="s">
        <v>559</v>
      </c>
      <c r="C36" s="15" t="s">
        <v>560</v>
      </c>
      <c r="D36" s="15" t="s">
        <v>374</v>
      </c>
      <c r="E36" s="20">
        <v>61500</v>
      </c>
      <c r="F36" s="21">
        <v>5684.7524999999996</v>
      </c>
      <c r="G36" s="22">
        <v>7.1999999999999998E-3</v>
      </c>
      <c r="H36" s="40"/>
      <c r="I36" s="24"/>
      <c r="J36" s="5"/>
    </row>
    <row r="37" spans="1:10" ht="13.05" customHeight="1">
      <c r="A37" s="18" t="s">
        <v>535</v>
      </c>
      <c r="B37" s="19" t="s">
        <v>536</v>
      </c>
      <c r="C37" s="15" t="s">
        <v>537</v>
      </c>
      <c r="D37" s="15" t="s">
        <v>257</v>
      </c>
      <c r="E37" s="20">
        <v>647000</v>
      </c>
      <c r="F37" s="21">
        <v>5679.6895000000004</v>
      </c>
      <c r="G37" s="22">
        <v>7.1999999999999998E-3</v>
      </c>
      <c r="H37" s="40"/>
      <c r="I37" s="24"/>
      <c r="J37" s="5"/>
    </row>
    <row r="38" spans="1:10" ht="13.05" customHeight="1">
      <c r="A38" s="18" t="s">
        <v>365</v>
      </c>
      <c r="B38" s="19" t="s">
        <v>366</v>
      </c>
      <c r="C38" s="15" t="s">
        <v>367</v>
      </c>
      <c r="D38" s="15" t="s">
        <v>300</v>
      </c>
      <c r="E38" s="20">
        <v>740850</v>
      </c>
      <c r="F38" s="21">
        <v>5548.2257</v>
      </c>
      <c r="G38" s="22">
        <v>7.0000000000000001E-3</v>
      </c>
      <c r="H38" s="40"/>
      <c r="I38" s="24"/>
      <c r="J38" s="5"/>
    </row>
    <row r="39" spans="1:10" ht="13.05" customHeight="1">
      <c r="A39" s="18" t="s">
        <v>355</v>
      </c>
      <c r="B39" s="19" t="s">
        <v>356</v>
      </c>
      <c r="C39" s="15" t="s">
        <v>357</v>
      </c>
      <c r="D39" s="15" t="s">
        <v>333</v>
      </c>
      <c r="E39" s="20">
        <v>448875</v>
      </c>
      <c r="F39" s="21">
        <v>5413.4324999999999</v>
      </c>
      <c r="G39" s="22">
        <v>6.8999999999999999E-3</v>
      </c>
      <c r="H39" s="40"/>
      <c r="I39" s="24"/>
      <c r="J39" s="5"/>
    </row>
    <row r="40" spans="1:10" ht="13.05" customHeight="1">
      <c r="A40" s="18" t="s">
        <v>727</v>
      </c>
      <c r="B40" s="19" t="s">
        <v>728</v>
      </c>
      <c r="C40" s="15" t="s">
        <v>729</v>
      </c>
      <c r="D40" s="15" t="s">
        <v>321</v>
      </c>
      <c r="E40" s="20">
        <v>1020000</v>
      </c>
      <c r="F40" s="21">
        <v>5379.99</v>
      </c>
      <c r="G40" s="22">
        <v>6.7999999999999996E-3</v>
      </c>
      <c r="H40" s="40"/>
      <c r="I40" s="24"/>
      <c r="J40" s="5"/>
    </row>
    <row r="41" spans="1:10" ht="13.05" customHeight="1">
      <c r="A41" s="18" t="s">
        <v>273</v>
      </c>
      <c r="B41" s="19" t="s">
        <v>274</v>
      </c>
      <c r="C41" s="15" t="s">
        <v>275</v>
      </c>
      <c r="D41" s="15" t="s">
        <v>276</v>
      </c>
      <c r="E41" s="20">
        <v>129850</v>
      </c>
      <c r="F41" s="21">
        <v>5234.1237000000001</v>
      </c>
      <c r="G41" s="22">
        <v>6.6E-3</v>
      </c>
      <c r="H41" s="40"/>
      <c r="I41" s="24"/>
      <c r="J41" s="5"/>
    </row>
    <row r="42" spans="1:10" ht="13.05" customHeight="1">
      <c r="A42" s="18" t="s">
        <v>330</v>
      </c>
      <c r="B42" s="19" t="s">
        <v>331</v>
      </c>
      <c r="C42" s="15" t="s">
        <v>332</v>
      </c>
      <c r="D42" s="15" t="s">
        <v>333</v>
      </c>
      <c r="E42" s="20">
        <v>2849000</v>
      </c>
      <c r="F42" s="21">
        <v>5209.1116000000002</v>
      </c>
      <c r="G42" s="22">
        <v>6.6E-3</v>
      </c>
      <c r="H42" s="40"/>
      <c r="I42" s="24"/>
      <c r="J42" s="5"/>
    </row>
    <row r="43" spans="1:10" ht="13.05" customHeight="1">
      <c r="A43" s="18" t="s">
        <v>419</v>
      </c>
      <c r="B43" s="19" t="s">
        <v>420</v>
      </c>
      <c r="C43" s="15" t="s">
        <v>421</v>
      </c>
      <c r="D43" s="15" t="s">
        <v>422</v>
      </c>
      <c r="E43" s="20">
        <v>1040750</v>
      </c>
      <c r="F43" s="21">
        <v>5136.6216000000004</v>
      </c>
      <c r="G43" s="22">
        <v>6.4999999999999997E-3</v>
      </c>
      <c r="H43" s="40"/>
      <c r="I43" s="24"/>
      <c r="J43" s="5"/>
    </row>
    <row r="44" spans="1:10" ht="13.05" customHeight="1">
      <c r="A44" s="18" t="s">
        <v>476</v>
      </c>
      <c r="B44" s="19" t="s">
        <v>477</v>
      </c>
      <c r="C44" s="15" t="s">
        <v>478</v>
      </c>
      <c r="D44" s="15" t="s">
        <v>325</v>
      </c>
      <c r="E44" s="20">
        <v>33000</v>
      </c>
      <c r="F44" s="21">
        <v>5113.0200000000004</v>
      </c>
      <c r="G44" s="22">
        <v>6.4999999999999997E-3</v>
      </c>
      <c r="H44" s="40"/>
      <c r="I44" s="24"/>
      <c r="J44" s="5"/>
    </row>
    <row r="45" spans="1:10" ht="13.05" customHeight="1">
      <c r="A45" s="18" t="s">
        <v>561</v>
      </c>
      <c r="B45" s="19" t="s">
        <v>562</v>
      </c>
      <c r="C45" s="15" t="s">
        <v>563</v>
      </c>
      <c r="D45" s="15" t="s">
        <v>300</v>
      </c>
      <c r="E45" s="20">
        <v>1350225</v>
      </c>
      <c r="F45" s="21">
        <v>5061.3184000000001</v>
      </c>
      <c r="G45" s="22">
        <v>6.4000000000000003E-3</v>
      </c>
      <c r="H45" s="40"/>
      <c r="I45" s="24"/>
      <c r="J45" s="5"/>
    </row>
    <row r="46" spans="1:10" ht="13.05" customHeight="1">
      <c r="A46" s="18" t="s">
        <v>326</v>
      </c>
      <c r="B46" s="19" t="s">
        <v>327</v>
      </c>
      <c r="C46" s="15" t="s">
        <v>328</v>
      </c>
      <c r="D46" s="15" t="s">
        <v>329</v>
      </c>
      <c r="E46" s="20">
        <v>1077300</v>
      </c>
      <c r="F46" s="21">
        <v>4590.3752999999997</v>
      </c>
      <c r="G46" s="22">
        <v>5.7999999999999996E-3</v>
      </c>
      <c r="H46" s="40"/>
      <c r="I46" s="24"/>
      <c r="J46" s="5"/>
    </row>
    <row r="47" spans="1:10" ht="13.05" customHeight="1">
      <c r="A47" s="18" t="s">
        <v>748</v>
      </c>
      <c r="B47" s="19" t="s">
        <v>749</v>
      </c>
      <c r="C47" s="15" t="s">
        <v>750</v>
      </c>
      <c r="D47" s="15" t="s">
        <v>751</v>
      </c>
      <c r="E47" s="20">
        <v>5832000</v>
      </c>
      <c r="F47" s="21">
        <v>4420.0727999999999</v>
      </c>
      <c r="G47" s="22">
        <v>5.5999999999999999E-3</v>
      </c>
      <c r="H47" s="40"/>
      <c r="I47" s="24"/>
      <c r="J47" s="5"/>
    </row>
    <row r="48" spans="1:10" ht="13.05" customHeight="1">
      <c r="A48" s="18" t="s">
        <v>277</v>
      </c>
      <c r="B48" s="19" t="s">
        <v>278</v>
      </c>
      <c r="C48" s="15" t="s">
        <v>279</v>
      </c>
      <c r="D48" s="15" t="s">
        <v>280</v>
      </c>
      <c r="E48" s="20">
        <v>1044800</v>
      </c>
      <c r="F48" s="21">
        <v>4391.8167999999996</v>
      </c>
      <c r="G48" s="22">
        <v>5.5999999999999999E-3</v>
      </c>
      <c r="H48" s="40"/>
      <c r="I48" s="24"/>
      <c r="J48" s="5"/>
    </row>
    <row r="49" spans="1:10" ht="13.05" customHeight="1">
      <c r="A49" s="18" t="s">
        <v>293</v>
      </c>
      <c r="B49" s="19" t="s">
        <v>294</v>
      </c>
      <c r="C49" s="15" t="s">
        <v>295</v>
      </c>
      <c r="D49" s="15" t="s">
        <v>296</v>
      </c>
      <c r="E49" s="20">
        <v>125200</v>
      </c>
      <c r="F49" s="21">
        <v>4365.9744000000001</v>
      </c>
      <c r="G49" s="22">
        <v>5.4999999999999997E-3</v>
      </c>
      <c r="H49" s="40"/>
      <c r="I49" s="24"/>
      <c r="J49" s="5"/>
    </row>
    <row r="50" spans="1:10" ht="13.05" customHeight="1">
      <c r="A50" s="18" t="s">
        <v>868</v>
      </c>
      <c r="B50" s="19" t="s">
        <v>869</v>
      </c>
      <c r="C50" s="15" t="s">
        <v>870</v>
      </c>
      <c r="D50" s="15" t="s">
        <v>325</v>
      </c>
      <c r="E50" s="20">
        <v>808400</v>
      </c>
      <c r="F50" s="21">
        <v>4120.4147999999996</v>
      </c>
      <c r="G50" s="22">
        <v>5.1999999999999998E-3</v>
      </c>
      <c r="H50" s="40"/>
      <c r="I50" s="24"/>
      <c r="J50" s="5"/>
    </row>
    <row r="51" spans="1:10" ht="13.05" customHeight="1">
      <c r="A51" s="18" t="s">
        <v>667</v>
      </c>
      <c r="B51" s="19" t="s">
        <v>668</v>
      </c>
      <c r="C51" s="15" t="s">
        <v>669</v>
      </c>
      <c r="D51" s="15" t="s">
        <v>501</v>
      </c>
      <c r="E51" s="20">
        <v>224700</v>
      </c>
      <c r="F51" s="21">
        <v>4025.5005000000001</v>
      </c>
      <c r="G51" s="22">
        <v>5.1000000000000004E-3</v>
      </c>
      <c r="H51" s="40"/>
      <c r="I51" s="24"/>
      <c r="J51" s="5"/>
    </row>
    <row r="52" spans="1:10" ht="13.05" customHeight="1">
      <c r="A52" s="18" t="s">
        <v>423</v>
      </c>
      <c r="B52" s="19" t="s">
        <v>424</v>
      </c>
      <c r="C52" s="15" t="s">
        <v>425</v>
      </c>
      <c r="D52" s="15" t="s">
        <v>296</v>
      </c>
      <c r="E52" s="20">
        <v>111825</v>
      </c>
      <c r="F52" s="21">
        <v>3923.6037999999999</v>
      </c>
      <c r="G52" s="22">
        <v>5.0000000000000001E-3</v>
      </c>
      <c r="H52" s="40"/>
      <c r="I52" s="24"/>
      <c r="J52" s="5"/>
    </row>
    <row r="53" spans="1:10" ht="13.05" customHeight="1">
      <c r="A53" s="18" t="s">
        <v>538</v>
      </c>
      <c r="B53" s="19" t="s">
        <v>539</v>
      </c>
      <c r="C53" s="15" t="s">
        <v>540</v>
      </c>
      <c r="D53" s="15" t="s">
        <v>541</v>
      </c>
      <c r="E53" s="20">
        <v>516450</v>
      </c>
      <c r="F53" s="21">
        <v>3905.6531</v>
      </c>
      <c r="G53" s="22">
        <v>5.0000000000000001E-3</v>
      </c>
      <c r="H53" s="40"/>
      <c r="I53" s="24"/>
      <c r="J53" s="5"/>
    </row>
    <row r="54" spans="1:10" ht="13.05" customHeight="1">
      <c r="A54" s="18" t="s">
        <v>368</v>
      </c>
      <c r="B54" s="19" t="s">
        <v>369</v>
      </c>
      <c r="C54" s="15" t="s">
        <v>370</v>
      </c>
      <c r="D54" s="15" t="s">
        <v>304</v>
      </c>
      <c r="E54" s="20">
        <v>80600</v>
      </c>
      <c r="F54" s="21">
        <v>3783.6057999999998</v>
      </c>
      <c r="G54" s="22">
        <v>4.7999999999999996E-3</v>
      </c>
      <c r="H54" s="40"/>
      <c r="I54" s="24"/>
      <c r="J54" s="5"/>
    </row>
    <row r="55" spans="1:10" ht="13.05" customHeight="1">
      <c r="A55" s="18" t="s">
        <v>673</v>
      </c>
      <c r="B55" s="19" t="s">
        <v>674</v>
      </c>
      <c r="C55" s="15" t="s">
        <v>675</v>
      </c>
      <c r="D55" s="15" t="s">
        <v>567</v>
      </c>
      <c r="E55" s="20">
        <v>10100</v>
      </c>
      <c r="F55" s="21">
        <v>3761.7449999999999</v>
      </c>
      <c r="G55" s="22">
        <v>4.7999999999999996E-3</v>
      </c>
      <c r="H55" s="40"/>
      <c r="I55" s="24"/>
      <c r="J55" s="5"/>
    </row>
    <row r="56" spans="1:10" ht="13.05" customHeight="1">
      <c r="A56" s="18" t="s">
        <v>406</v>
      </c>
      <c r="B56" s="19" t="s">
        <v>407</v>
      </c>
      <c r="C56" s="15" t="s">
        <v>408</v>
      </c>
      <c r="D56" s="15" t="s">
        <v>314</v>
      </c>
      <c r="E56" s="20">
        <v>55200</v>
      </c>
      <c r="F56" s="21">
        <v>3719.3760000000002</v>
      </c>
      <c r="G56" s="22">
        <v>4.7000000000000002E-3</v>
      </c>
      <c r="H56" s="40"/>
      <c r="I56" s="24"/>
      <c r="J56" s="5"/>
    </row>
    <row r="57" spans="1:10" ht="13.05" customHeight="1">
      <c r="A57" s="18" t="s">
        <v>395</v>
      </c>
      <c r="B57" s="19" t="s">
        <v>396</v>
      </c>
      <c r="C57" s="15" t="s">
        <v>397</v>
      </c>
      <c r="D57" s="15" t="s">
        <v>329</v>
      </c>
      <c r="E57" s="20">
        <v>79050</v>
      </c>
      <c r="F57" s="21">
        <v>3699.3818999999999</v>
      </c>
      <c r="G57" s="22">
        <v>4.7000000000000002E-3</v>
      </c>
      <c r="H57" s="40"/>
      <c r="I57" s="24"/>
      <c r="J57" s="5"/>
    </row>
    <row r="58" spans="1:10" ht="13.05" customHeight="1">
      <c r="A58" s="18" t="s">
        <v>568</v>
      </c>
      <c r="B58" s="19" t="s">
        <v>569</v>
      </c>
      <c r="C58" s="15" t="s">
        <v>570</v>
      </c>
      <c r="D58" s="15" t="s">
        <v>257</v>
      </c>
      <c r="E58" s="20">
        <v>2605500</v>
      </c>
      <c r="F58" s="21">
        <v>3569.2745</v>
      </c>
      <c r="G58" s="22">
        <v>4.4999999999999997E-3</v>
      </c>
      <c r="H58" s="40"/>
      <c r="I58" s="24"/>
      <c r="J58" s="5"/>
    </row>
    <row r="59" spans="1:10" ht="13.05" customHeight="1">
      <c r="A59" s="18" t="s">
        <v>375</v>
      </c>
      <c r="B59" s="19" t="s">
        <v>376</v>
      </c>
      <c r="C59" s="15" t="s">
        <v>377</v>
      </c>
      <c r="D59" s="15" t="s">
        <v>300</v>
      </c>
      <c r="E59" s="20">
        <v>1146800</v>
      </c>
      <c r="F59" s="21">
        <v>3518.3824</v>
      </c>
      <c r="G59" s="22">
        <v>4.4999999999999997E-3</v>
      </c>
      <c r="H59" s="40"/>
      <c r="I59" s="24"/>
      <c r="J59" s="5"/>
    </row>
    <row r="60" spans="1:10" ht="13.05" customHeight="1">
      <c r="A60" s="18" t="s">
        <v>429</v>
      </c>
      <c r="B60" s="19" t="s">
        <v>430</v>
      </c>
      <c r="C60" s="15" t="s">
        <v>431</v>
      </c>
      <c r="D60" s="15" t="s">
        <v>415</v>
      </c>
      <c r="E60" s="20">
        <v>45625</v>
      </c>
      <c r="F60" s="21">
        <v>3504.4562999999998</v>
      </c>
      <c r="G60" s="22">
        <v>4.4999999999999997E-3</v>
      </c>
      <c r="H60" s="40"/>
      <c r="I60" s="24"/>
      <c r="J60" s="5"/>
    </row>
    <row r="61" spans="1:10" ht="13.05" customHeight="1">
      <c r="A61" s="18" t="s">
        <v>591</v>
      </c>
      <c r="B61" s="19" t="s">
        <v>592</v>
      </c>
      <c r="C61" s="15" t="s">
        <v>593</v>
      </c>
      <c r="D61" s="15" t="s">
        <v>475</v>
      </c>
      <c r="E61" s="20">
        <v>228400</v>
      </c>
      <c r="F61" s="21">
        <v>3269.3175999999999</v>
      </c>
      <c r="G61" s="22">
        <v>4.1999999999999997E-3</v>
      </c>
      <c r="H61" s="40"/>
      <c r="I61" s="24"/>
      <c r="J61" s="5"/>
    </row>
    <row r="62" spans="1:10" ht="13.05" customHeight="1">
      <c r="A62" s="18" t="s">
        <v>472</v>
      </c>
      <c r="B62" s="19" t="s">
        <v>473</v>
      </c>
      <c r="C62" s="15" t="s">
        <v>474</v>
      </c>
      <c r="D62" s="15" t="s">
        <v>475</v>
      </c>
      <c r="E62" s="20">
        <v>683675</v>
      </c>
      <c r="F62" s="21">
        <v>3210.8796000000002</v>
      </c>
      <c r="G62" s="22">
        <v>4.1000000000000003E-3</v>
      </c>
      <c r="H62" s="40"/>
      <c r="I62" s="24"/>
      <c r="J62" s="5"/>
    </row>
    <row r="63" spans="1:10" ht="13.05" customHeight="1">
      <c r="A63" s="18" t="s">
        <v>631</v>
      </c>
      <c r="B63" s="19" t="s">
        <v>632</v>
      </c>
      <c r="C63" s="15" t="s">
        <v>633</v>
      </c>
      <c r="D63" s="15" t="s">
        <v>321</v>
      </c>
      <c r="E63" s="20">
        <v>274200</v>
      </c>
      <c r="F63" s="21">
        <v>3125.88</v>
      </c>
      <c r="G63" s="22">
        <v>4.0000000000000001E-3</v>
      </c>
      <c r="H63" s="40"/>
      <c r="I63" s="24"/>
      <c r="J63" s="5"/>
    </row>
    <row r="64" spans="1:10" ht="13.05" customHeight="1">
      <c r="A64" s="18" t="s">
        <v>658</v>
      </c>
      <c r="B64" s="19" t="s">
        <v>659</v>
      </c>
      <c r="C64" s="15" t="s">
        <v>660</v>
      </c>
      <c r="D64" s="15" t="s">
        <v>321</v>
      </c>
      <c r="E64" s="20">
        <v>306450</v>
      </c>
      <c r="F64" s="21">
        <v>3022.2098999999998</v>
      </c>
      <c r="G64" s="22">
        <v>3.8E-3</v>
      </c>
      <c r="H64" s="40"/>
      <c r="I64" s="24"/>
      <c r="J64" s="5"/>
    </row>
    <row r="65" spans="1:10" ht="13.05" customHeight="1">
      <c r="A65" s="18" t="s">
        <v>898</v>
      </c>
      <c r="B65" s="19" t="s">
        <v>899</v>
      </c>
      <c r="C65" s="15" t="s">
        <v>900</v>
      </c>
      <c r="D65" s="15" t="s">
        <v>325</v>
      </c>
      <c r="E65" s="20">
        <v>1067400</v>
      </c>
      <c r="F65" s="21">
        <v>3017.5398</v>
      </c>
      <c r="G65" s="22">
        <v>3.8E-3</v>
      </c>
      <c r="H65" s="40"/>
      <c r="I65" s="24"/>
      <c r="J65" s="5"/>
    </row>
    <row r="66" spans="1:10" ht="13.05" customHeight="1">
      <c r="A66" s="18" t="s">
        <v>452</v>
      </c>
      <c r="B66" s="19" t="s">
        <v>453</v>
      </c>
      <c r="C66" s="15" t="s">
        <v>454</v>
      </c>
      <c r="D66" s="15" t="s">
        <v>391</v>
      </c>
      <c r="E66" s="20">
        <v>51125</v>
      </c>
      <c r="F66" s="21">
        <v>2983.9106000000002</v>
      </c>
      <c r="G66" s="22">
        <v>3.8E-3</v>
      </c>
      <c r="H66" s="40"/>
      <c r="I66" s="24"/>
      <c r="J66" s="5"/>
    </row>
    <row r="67" spans="1:10" ht="13.05" customHeight="1">
      <c r="A67" s="18" t="s">
        <v>432</v>
      </c>
      <c r="B67" s="19" t="s">
        <v>433</v>
      </c>
      <c r="C67" s="15" t="s">
        <v>434</v>
      </c>
      <c r="D67" s="15" t="s">
        <v>435</v>
      </c>
      <c r="E67" s="20">
        <v>254100</v>
      </c>
      <c r="F67" s="21">
        <v>2960.2649999999999</v>
      </c>
      <c r="G67" s="22">
        <v>3.8E-3</v>
      </c>
      <c r="H67" s="40"/>
      <c r="I67" s="24"/>
      <c r="J67" s="5"/>
    </row>
    <row r="68" spans="1:10" ht="13.05" customHeight="1">
      <c r="A68" s="18" t="s">
        <v>850</v>
      </c>
      <c r="B68" s="19" t="s">
        <v>851</v>
      </c>
      <c r="C68" s="15" t="s">
        <v>852</v>
      </c>
      <c r="D68" s="15" t="s">
        <v>344</v>
      </c>
      <c r="E68" s="20">
        <v>602700</v>
      </c>
      <c r="F68" s="21">
        <v>2871.8654999999999</v>
      </c>
      <c r="G68" s="22">
        <v>3.5999999999999999E-3</v>
      </c>
      <c r="H68" s="40"/>
      <c r="I68" s="24"/>
      <c r="J68" s="5"/>
    </row>
    <row r="69" spans="1:10" ht="13.05" customHeight="1">
      <c r="A69" s="18" t="s">
        <v>1072</v>
      </c>
      <c r="B69" s="19" t="s">
        <v>1073</v>
      </c>
      <c r="C69" s="15" t="s">
        <v>1074</v>
      </c>
      <c r="D69" s="15" t="s">
        <v>276</v>
      </c>
      <c r="E69" s="20">
        <v>2444000</v>
      </c>
      <c r="F69" s="21">
        <v>2869.5003999999999</v>
      </c>
      <c r="G69" s="22">
        <v>3.5999999999999999E-3</v>
      </c>
      <c r="H69" s="40"/>
      <c r="I69" s="24"/>
      <c r="J69" s="5"/>
    </row>
    <row r="70" spans="1:10" ht="13.05" customHeight="1">
      <c r="A70" s="18" t="s">
        <v>916</v>
      </c>
      <c r="B70" s="19" t="s">
        <v>917</v>
      </c>
      <c r="C70" s="15" t="s">
        <v>918</v>
      </c>
      <c r="D70" s="15" t="s">
        <v>300</v>
      </c>
      <c r="E70" s="20">
        <v>482000</v>
      </c>
      <c r="F70" s="21">
        <v>2751.9789999999998</v>
      </c>
      <c r="G70" s="22">
        <v>3.5000000000000001E-3</v>
      </c>
      <c r="H70" s="40"/>
      <c r="I70" s="24"/>
      <c r="J70" s="5"/>
    </row>
    <row r="71" spans="1:10" ht="13.05" customHeight="1">
      <c r="A71" s="18" t="s">
        <v>661</v>
      </c>
      <c r="B71" s="19" t="s">
        <v>662</v>
      </c>
      <c r="C71" s="15" t="s">
        <v>663</v>
      </c>
      <c r="D71" s="15" t="s">
        <v>541</v>
      </c>
      <c r="E71" s="20">
        <v>222750</v>
      </c>
      <c r="F71" s="21">
        <v>2668.3222999999998</v>
      </c>
      <c r="G71" s="22">
        <v>3.3999999999999998E-3</v>
      </c>
      <c r="H71" s="40"/>
      <c r="I71" s="24"/>
      <c r="J71" s="5"/>
    </row>
    <row r="72" spans="1:10" ht="13.05" customHeight="1">
      <c r="A72" s="18" t="s">
        <v>634</v>
      </c>
      <c r="B72" s="19" t="s">
        <v>635</v>
      </c>
      <c r="C72" s="15" t="s">
        <v>636</v>
      </c>
      <c r="D72" s="15" t="s">
        <v>337</v>
      </c>
      <c r="E72" s="20">
        <v>464100</v>
      </c>
      <c r="F72" s="21">
        <v>2624.0214000000001</v>
      </c>
      <c r="G72" s="22">
        <v>3.3E-3</v>
      </c>
      <c r="H72" s="40"/>
      <c r="I72" s="24"/>
      <c r="J72" s="5"/>
    </row>
    <row r="73" spans="1:10" ht="13.05" customHeight="1">
      <c r="A73" s="18" t="s">
        <v>1046</v>
      </c>
      <c r="B73" s="19" t="s">
        <v>1047</v>
      </c>
      <c r="C73" s="15" t="s">
        <v>1048</v>
      </c>
      <c r="D73" s="15" t="s">
        <v>300</v>
      </c>
      <c r="E73" s="20">
        <v>475200</v>
      </c>
      <c r="F73" s="21">
        <v>2540.4191999999998</v>
      </c>
      <c r="G73" s="22">
        <v>3.2000000000000002E-3</v>
      </c>
      <c r="H73" s="40"/>
      <c r="I73" s="24"/>
      <c r="J73" s="5"/>
    </row>
    <row r="74" spans="1:10" ht="13.05" customHeight="1">
      <c r="A74" s="18" t="s">
        <v>721</v>
      </c>
      <c r="B74" s="19" t="s">
        <v>722</v>
      </c>
      <c r="C74" s="15" t="s">
        <v>723</v>
      </c>
      <c r="D74" s="15" t="s">
        <v>314</v>
      </c>
      <c r="E74" s="20">
        <v>122625</v>
      </c>
      <c r="F74" s="21">
        <v>2319.0839999999998</v>
      </c>
      <c r="G74" s="22">
        <v>2.8999999999999998E-3</v>
      </c>
      <c r="H74" s="40"/>
      <c r="I74" s="24"/>
      <c r="J74" s="5"/>
    </row>
    <row r="75" spans="1:10" ht="13.05" customHeight="1">
      <c r="A75" s="18" t="s">
        <v>856</v>
      </c>
      <c r="B75" s="19" t="s">
        <v>857</v>
      </c>
      <c r="C75" s="15" t="s">
        <v>858</v>
      </c>
      <c r="D75" s="15" t="s">
        <v>435</v>
      </c>
      <c r="E75" s="20">
        <v>383400</v>
      </c>
      <c r="F75" s="21">
        <v>2309.6016</v>
      </c>
      <c r="G75" s="22">
        <v>2.8999999999999998E-3</v>
      </c>
      <c r="H75" s="40"/>
      <c r="I75" s="24"/>
      <c r="J75" s="5"/>
    </row>
    <row r="76" spans="1:10" ht="13.05" customHeight="1">
      <c r="A76" s="18" t="s">
        <v>697</v>
      </c>
      <c r="B76" s="19" t="s">
        <v>698</v>
      </c>
      <c r="C76" s="15" t="s">
        <v>699</v>
      </c>
      <c r="D76" s="15" t="s">
        <v>314</v>
      </c>
      <c r="E76" s="20">
        <v>41625</v>
      </c>
      <c r="F76" s="21">
        <v>2292.0805999999998</v>
      </c>
      <c r="G76" s="22">
        <v>2.8999999999999998E-3</v>
      </c>
      <c r="H76" s="40"/>
      <c r="I76" s="24"/>
      <c r="J76" s="5"/>
    </row>
    <row r="77" spans="1:10" ht="13.05" customHeight="1">
      <c r="A77" s="18" t="s">
        <v>582</v>
      </c>
      <c r="B77" s="19" t="s">
        <v>583</v>
      </c>
      <c r="C77" s="15" t="s">
        <v>584</v>
      </c>
      <c r="D77" s="15" t="s">
        <v>257</v>
      </c>
      <c r="E77" s="20">
        <v>9889800</v>
      </c>
      <c r="F77" s="21">
        <v>2248.9405000000002</v>
      </c>
      <c r="G77" s="22">
        <v>2.8999999999999998E-3</v>
      </c>
      <c r="H77" s="40"/>
      <c r="I77" s="24"/>
      <c r="J77" s="5"/>
    </row>
    <row r="78" spans="1:10" ht="13.05" customHeight="1">
      <c r="A78" s="18" t="s">
        <v>439</v>
      </c>
      <c r="B78" s="19" t="s">
        <v>440</v>
      </c>
      <c r="C78" s="15" t="s">
        <v>441</v>
      </c>
      <c r="D78" s="15" t="s">
        <v>296</v>
      </c>
      <c r="E78" s="20">
        <v>40200</v>
      </c>
      <c r="F78" s="21">
        <v>2228.6880000000001</v>
      </c>
      <c r="G78" s="22">
        <v>2.8E-3</v>
      </c>
      <c r="H78" s="40"/>
      <c r="I78" s="24"/>
      <c r="J78" s="5"/>
    </row>
    <row r="79" spans="1:10" ht="13.05" customHeight="1">
      <c r="A79" s="18" t="s">
        <v>388</v>
      </c>
      <c r="B79" s="19" t="s">
        <v>389</v>
      </c>
      <c r="C79" s="15" t="s">
        <v>390</v>
      </c>
      <c r="D79" s="15" t="s">
        <v>391</v>
      </c>
      <c r="E79" s="20">
        <v>172000</v>
      </c>
      <c r="F79" s="21">
        <v>2187.152</v>
      </c>
      <c r="G79" s="22">
        <v>2.8E-3</v>
      </c>
      <c r="H79" s="40"/>
      <c r="I79" s="24"/>
      <c r="J79" s="5"/>
    </row>
    <row r="80" spans="1:10" ht="13.05" customHeight="1">
      <c r="A80" s="18" t="s">
        <v>819</v>
      </c>
      <c r="B80" s="19" t="s">
        <v>820</v>
      </c>
      <c r="C80" s="15" t="s">
        <v>821</v>
      </c>
      <c r="D80" s="15" t="s">
        <v>314</v>
      </c>
      <c r="E80" s="20">
        <v>585000</v>
      </c>
      <c r="F80" s="21">
        <v>2176.7849999999999</v>
      </c>
      <c r="G80" s="22">
        <v>2.8E-3</v>
      </c>
      <c r="H80" s="40"/>
      <c r="I80" s="24"/>
      <c r="J80" s="5"/>
    </row>
    <row r="81" spans="1:10" ht="13.05" customHeight="1">
      <c r="A81" s="18" t="s">
        <v>361</v>
      </c>
      <c r="B81" s="19" t="s">
        <v>362</v>
      </c>
      <c r="C81" s="15" t="s">
        <v>363</v>
      </c>
      <c r="D81" s="15" t="s">
        <v>364</v>
      </c>
      <c r="E81" s="20">
        <v>149625</v>
      </c>
      <c r="F81" s="21">
        <v>2171.8069</v>
      </c>
      <c r="G81" s="22">
        <v>2.8E-3</v>
      </c>
      <c r="H81" s="40"/>
      <c r="I81" s="24"/>
      <c r="J81" s="5"/>
    </row>
    <row r="82" spans="1:10" ht="13.05" customHeight="1">
      <c r="A82" s="18" t="s">
        <v>649</v>
      </c>
      <c r="B82" s="19" t="s">
        <v>650</v>
      </c>
      <c r="C82" s="15" t="s">
        <v>651</v>
      </c>
      <c r="D82" s="15" t="s">
        <v>581</v>
      </c>
      <c r="E82" s="20">
        <v>14625</v>
      </c>
      <c r="F82" s="21">
        <v>2029.6575</v>
      </c>
      <c r="G82" s="22">
        <v>2.5999999999999999E-3</v>
      </c>
      <c r="H82" s="40"/>
      <c r="I82" s="24"/>
      <c r="J82" s="5"/>
    </row>
    <row r="83" spans="1:10" ht="13.05" customHeight="1">
      <c r="A83" s="18" t="s">
        <v>865</v>
      </c>
      <c r="B83" s="19" t="s">
        <v>866</v>
      </c>
      <c r="C83" s="15" t="s">
        <v>867</v>
      </c>
      <c r="D83" s="15" t="s">
        <v>333</v>
      </c>
      <c r="E83" s="20">
        <v>1480500</v>
      </c>
      <c r="F83" s="21">
        <v>2026.0643</v>
      </c>
      <c r="G83" s="22">
        <v>2.5999999999999999E-3</v>
      </c>
      <c r="H83" s="40"/>
      <c r="I83" s="24"/>
      <c r="J83" s="5"/>
    </row>
    <row r="84" spans="1:10" ht="13.05" customHeight="1">
      <c r="A84" s="18" t="s">
        <v>315</v>
      </c>
      <c r="B84" s="19" t="s">
        <v>316</v>
      </c>
      <c r="C84" s="15" t="s">
        <v>317</v>
      </c>
      <c r="D84" s="15" t="s">
        <v>272</v>
      </c>
      <c r="E84" s="20">
        <v>128450</v>
      </c>
      <c r="F84" s="21">
        <v>1980.0568000000001</v>
      </c>
      <c r="G84" s="22">
        <v>2.5000000000000001E-3</v>
      </c>
      <c r="H84" s="40"/>
      <c r="I84" s="24"/>
      <c r="J84" s="5"/>
    </row>
    <row r="85" spans="1:10" ht="13.05" customHeight="1">
      <c r="A85" s="18" t="s">
        <v>371</v>
      </c>
      <c r="B85" s="19" t="s">
        <v>372</v>
      </c>
      <c r="C85" s="15" t="s">
        <v>373</v>
      </c>
      <c r="D85" s="15" t="s">
        <v>374</v>
      </c>
      <c r="E85" s="20">
        <v>78750</v>
      </c>
      <c r="F85" s="21">
        <v>1952.2125000000001</v>
      </c>
      <c r="G85" s="22">
        <v>2.5000000000000001E-3</v>
      </c>
      <c r="H85" s="40"/>
      <c r="I85" s="24"/>
      <c r="J85" s="5"/>
    </row>
    <row r="86" spans="1:10" ht="13.05" customHeight="1">
      <c r="A86" s="18" t="s">
        <v>983</v>
      </c>
      <c r="B86" s="19" t="s">
        <v>984</v>
      </c>
      <c r="C86" s="15" t="s">
        <v>985</v>
      </c>
      <c r="D86" s="15" t="s">
        <v>300</v>
      </c>
      <c r="E86" s="20">
        <v>1014800</v>
      </c>
      <c r="F86" s="21">
        <v>1913.8113000000001</v>
      </c>
      <c r="G86" s="22">
        <v>2.3999999999999998E-3</v>
      </c>
      <c r="H86" s="40"/>
      <c r="I86" s="24"/>
      <c r="J86" s="5"/>
    </row>
    <row r="87" spans="1:10" ht="13.05" customHeight="1">
      <c r="A87" s="18" t="s">
        <v>308</v>
      </c>
      <c r="B87" s="19" t="s">
        <v>309</v>
      </c>
      <c r="C87" s="15" t="s">
        <v>310</v>
      </c>
      <c r="D87" s="15" t="s">
        <v>296</v>
      </c>
      <c r="E87" s="20">
        <v>11500</v>
      </c>
      <c r="F87" s="21">
        <v>1861.39</v>
      </c>
      <c r="G87" s="22">
        <v>2.3999999999999998E-3</v>
      </c>
      <c r="H87" s="40"/>
      <c r="I87" s="24"/>
      <c r="J87" s="5"/>
    </row>
    <row r="88" spans="1:10" ht="13.05" customHeight="1">
      <c r="A88" s="18" t="s">
        <v>585</v>
      </c>
      <c r="B88" s="19" t="s">
        <v>586</v>
      </c>
      <c r="C88" s="15" t="s">
        <v>587</v>
      </c>
      <c r="D88" s="15" t="s">
        <v>581</v>
      </c>
      <c r="E88" s="20">
        <v>63000</v>
      </c>
      <c r="F88" s="21">
        <v>1846.2149999999999</v>
      </c>
      <c r="G88" s="22">
        <v>2.3E-3</v>
      </c>
      <c r="H88" s="40"/>
      <c r="I88" s="24"/>
      <c r="J88" s="5"/>
    </row>
    <row r="89" spans="1:10" ht="13.05" customHeight="1">
      <c r="A89" s="18" t="s">
        <v>886</v>
      </c>
      <c r="B89" s="19" t="s">
        <v>887</v>
      </c>
      <c r="C89" s="15" t="s">
        <v>888</v>
      </c>
      <c r="D89" s="15" t="s">
        <v>374</v>
      </c>
      <c r="E89" s="20">
        <v>44850</v>
      </c>
      <c r="F89" s="21">
        <v>1767.6731</v>
      </c>
      <c r="G89" s="22">
        <v>2.2000000000000001E-3</v>
      </c>
      <c r="H89" s="40"/>
      <c r="I89" s="24"/>
      <c r="J89" s="5"/>
    </row>
    <row r="90" spans="1:10" ht="13.05" customHeight="1">
      <c r="A90" s="18" t="s">
        <v>913</v>
      </c>
      <c r="B90" s="19" t="s">
        <v>914</v>
      </c>
      <c r="C90" s="15" t="s">
        <v>915</v>
      </c>
      <c r="D90" s="15" t="s">
        <v>567</v>
      </c>
      <c r="E90" s="20">
        <v>450000</v>
      </c>
      <c r="F90" s="21">
        <v>1718.55</v>
      </c>
      <c r="G90" s="22">
        <v>2.2000000000000001E-3</v>
      </c>
      <c r="H90" s="40"/>
      <c r="I90" s="24"/>
      <c r="J90" s="5"/>
    </row>
    <row r="91" spans="1:10" ht="13.05" customHeight="1">
      <c r="A91" s="18" t="s">
        <v>607</v>
      </c>
      <c r="B91" s="19" t="s">
        <v>608</v>
      </c>
      <c r="C91" s="15" t="s">
        <v>609</v>
      </c>
      <c r="D91" s="15" t="s">
        <v>501</v>
      </c>
      <c r="E91" s="20">
        <v>22125</v>
      </c>
      <c r="F91" s="21">
        <v>1704.51</v>
      </c>
      <c r="G91" s="22">
        <v>2.2000000000000001E-3</v>
      </c>
      <c r="H91" s="40"/>
      <c r="I91" s="24"/>
      <c r="J91" s="5"/>
    </row>
    <row r="92" spans="1:10" ht="13.05" customHeight="1">
      <c r="A92" s="18" t="s">
        <v>831</v>
      </c>
      <c r="B92" s="19" t="s">
        <v>832</v>
      </c>
      <c r="C92" s="15" t="s">
        <v>833</v>
      </c>
      <c r="D92" s="15" t="s">
        <v>545</v>
      </c>
      <c r="E92" s="20">
        <v>559800</v>
      </c>
      <c r="F92" s="21">
        <v>1574.4375</v>
      </c>
      <c r="G92" s="22">
        <v>2E-3</v>
      </c>
      <c r="H92" s="40"/>
      <c r="I92" s="24"/>
      <c r="J92" s="5"/>
    </row>
    <row r="93" spans="1:10" ht="13.05" customHeight="1">
      <c r="A93" s="18" t="s">
        <v>349</v>
      </c>
      <c r="B93" s="19" t="s">
        <v>350</v>
      </c>
      <c r="C93" s="15" t="s">
        <v>351</v>
      </c>
      <c r="D93" s="15" t="s">
        <v>300</v>
      </c>
      <c r="E93" s="20">
        <v>74000</v>
      </c>
      <c r="F93" s="21">
        <v>1545.3420000000001</v>
      </c>
      <c r="G93" s="22">
        <v>2E-3</v>
      </c>
      <c r="H93" s="40"/>
      <c r="I93" s="24"/>
      <c r="J93" s="5"/>
    </row>
    <row r="94" spans="1:10" ht="13.05" customHeight="1">
      <c r="A94" s="18" t="s">
        <v>1001</v>
      </c>
      <c r="B94" s="19" t="s">
        <v>1002</v>
      </c>
      <c r="C94" s="15" t="s">
        <v>1003</v>
      </c>
      <c r="D94" s="15" t="s">
        <v>329</v>
      </c>
      <c r="E94" s="20">
        <v>97175</v>
      </c>
      <c r="F94" s="21">
        <v>1486.6803</v>
      </c>
      <c r="G94" s="22">
        <v>1.9E-3</v>
      </c>
      <c r="H94" s="40"/>
      <c r="I94" s="24"/>
      <c r="J94" s="5"/>
    </row>
    <row r="95" spans="1:10" ht="13.05" customHeight="1">
      <c r="A95" s="18" t="s">
        <v>495</v>
      </c>
      <c r="B95" s="19" t="s">
        <v>496</v>
      </c>
      <c r="C95" s="15" t="s">
        <v>497</v>
      </c>
      <c r="D95" s="15" t="s">
        <v>257</v>
      </c>
      <c r="E95" s="20">
        <v>625000</v>
      </c>
      <c r="F95" s="21">
        <v>1478.8125</v>
      </c>
      <c r="G95" s="22">
        <v>1.9E-3</v>
      </c>
      <c r="H95" s="40"/>
      <c r="I95" s="24"/>
      <c r="J95" s="5"/>
    </row>
    <row r="96" spans="1:10" ht="13.05" customHeight="1">
      <c r="A96" s="18" t="s">
        <v>762</v>
      </c>
      <c r="B96" s="19" t="s">
        <v>763</v>
      </c>
      <c r="C96" s="15" t="s">
        <v>764</v>
      </c>
      <c r="D96" s="15" t="s">
        <v>321</v>
      </c>
      <c r="E96" s="20">
        <v>108000</v>
      </c>
      <c r="F96" s="21">
        <v>1421.82</v>
      </c>
      <c r="G96" s="22">
        <v>1.8E-3</v>
      </c>
      <c r="H96" s="40"/>
      <c r="I96" s="24"/>
      <c r="J96" s="5"/>
    </row>
    <row r="97" spans="1:10" ht="13.05" customHeight="1">
      <c r="A97" s="18" t="s">
        <v>798</v>
      </c>
      <c r="B97" s="19" t="s">
        <v>799</v>
      </c>
      <c r="C97" s="15" t="s">
        <v>800</v>
      </c>
      <c r="D97" s="15" t="s">
        <v>405</v>
      </c>
      <c r="E97" s="20">
        <v>234025</v>
      </c>
      <c r="F97" s="21">
        <v>1383.4387999999999</v>
      </c>
      <c r="G97" s="22">
        <v>1.8E-3</v>
      </c>
      <c r="H97" s="40"/>
      <c r="I97" s="24"/>
      <c r="J97" s="5"/>
    </row>
    <row r="98" spans="1:10" ht="13.05" customHeight="1">
      <c r="A98" s="18" t="s">
        <v>338</v>
      </c>
      <c r="B98" s="19" t="s">
        <v>339</v>
      </c>
      <c r="C98" s="15" t="s">
        <v>340</v>
      </c>
      <c r="D98" s="15" t="s">
        <v>321</v>
      </c>
      <c r="E98" s="20">
        <v>467400</v>
      </c>
      <c r="F98" s="21">
        <v>1346.8131000000001</v>
      </c>
      <c r="G98" s="22">
        <v>1.6999999999999999E-3</v>
      </c>
      <c r="H98" s="40"/>
      <c r="I98" s="24"/>
      <c r="J98" s="5"/>
    </row>
    <row r="99" spans="1:10" ht="13.05" customHeight="1">
      <c r="A99" s="18" t="s">
        <v>706</v>
      </c>
      <c r="B99" s="19" t="s">
        <v>707</v>
      </c>
      <c r="C99" s="15" t="s">
        <v>708</v>
      </c>
      <c r="D99" s="15" t="s">
        <v>541</v>
      </c>
      <c r="E99" s="20">
        <v>75600</v>
      </c>
      <c r="F99" s="21">
        <v>1318.9931999999999</v>
      </c>
      <c r="G99" s="22">
        <v>1.6999999999999999E-3</v>
      </c>
      <c r="H99" s="40"/>
      <c r="I99" s="24"/>
      <c r="J99" s="5"/>
    </row>
    <row r="100" spans="1:10" ht="13.05" customHeight="1">
      <c r="A100" s="18" t="s">
        <v>491</v>
      </c>
      <c r="B100" s="19" t="s">
        <v>492</v>
      </c>
      <c r="C100" s="15" t="s">
        <v>493</v>
      </c>
      <c r="D100" s="15" t="s">
        <v>494</v>
      </c>
      <c r="E100" s="20">
        <v>71400</v>
      </c>
      <c r="F100" s="21">
        <v>1274.7755999999999</v>
      </c>
      <c r="G100" s="22">
        <v>1.6000000000000001E-3</v>
      </c>
      <c r="H100" s="40"/>
      <c r="I100" s="24"/>
      <c r="J100" s="5"/>
    </row>
    <row r="101" spans="1:10" ht="13.05" customHeight="1">
      <c r="A101" s="18" t="s">
        <v>523</v>
      </c>
      <c r="B101" s="19" t="s">
        <v>524</v>
      </c>
      <c r="C101" s="15" t="s">
        <v>525</v>
      </c>
      <c r="D101" s="15" t="s">
        <v>304</v>
      </c>
      <c r="E101" s="20">
        <v>85500</v>
      </c>
      <c r="F101" s="21">
        <v>1178.4465</v>
      </c>
      <c r="G101" s="22">
        <v>1.5E-3</v>
      </c>
      <c r="H101" s="40"/>
      <c r="I101" s="24"/>
      <c r="J101" s="5"/>
    </row>
    <row r="102" spans="1:10" ht="13.05" customHeight="1">
      <c r="A102" s="18" t="s">
        <v>465</v>
      </c>
      <c r="B102" s="19" t="s">
        <v>466</v>
      </c>
      <c r="C102" s="15" t="s">
        <v>467</v>
      </c>
      <c r="D102" s="15" t="s">
        <v>468</v>
      </c>
      <c r="E102" s="20">
        <v>46800</v>
      </c>
      <c r="F102" s="21">
        <v>1161.1079999999999</v>
      </c>
      <c r="G102" s="22">
        <v>1.5E-3</v>
      </c>
      <c r="H102" s="40"/>
      <c r="I102" s="24"/>
      <c r="J102" s="5"/>
    </row>
    <row r="103" spans="1:10" ht="13.05" customHeight="1">
      <c r="A103" s="18" t="s">
        <v>1019</v>
      </c>
      <c r="B103" s="19" t="s">
        <v>1020</v>
      </c>
      <c r="C103" s="15" t="s">
        <v>1021</v>
      </c>
      <c r="D103" s="15" t="s">
        <v>257</v>
      </c>
      <c r="E103" s="20">
        <v>723600</v>
      </c>
      <c r="F103" s="21">
        <v>1132.8681999999999</v>
      </c>
      <c r="G103" s="22">
        <v>1.4E-3</v>
      </c>
      <c r="H103" s="40"/>
      <c r="I103" s="24"/>
      <c r="J103" s="5"/>
    </row>
    <row r="104" spans="1:10" ht="13.05" customHeight="1">
      <c r="A104" s="18" t="s">
        <v>461</v>
      </c>
      <c r="B104" s="19" t="s">
        <v>462</v>
      </c>
      <c r="C104" s="15" t="s">
        <v>463</v>
      </c>
      <c r="D104" s="15" t="s">
        <v>464</v>
      </c>
      <c r="E104" s="20">
        <v>150000</v>
      </c>
      <c r="F104" s="21">
        <v>1112.7</v>
      </c>
      <c r="G104" s="22">
        <v>1.4E-3</v>
      </c>
      <c r="H104" s="40"/>
      <c r="I104" s="24"/>
      <c r="J104" s="5"/>
    </row>
    <row r="105" spans="1:10" ht="13.05" customHeight="1">
      <c r="A105" s="18" t="s">
        <v>718</v>
      </c>
      <c r="B105" s="19" t="s">
        <v>719</v>
      </c>
      <c r="C105" s="15" t="s">
        <v>720</v>
      </c>
      <c r="D105" s="15" t="s">
        <v>257</v>
      </c>
      <c r="E105" s="20">
        <v>721275</v>
      </c>
      <c r="F105" s="21">
        <v>1072.3195000000001</v>
      </c>
      <c r="G105" s="22">
        <v>1.4E-3</v>
      </c>
      <c r="H105" s="40"/>
      <c r="I105" s="24"/>
      <c r="J105" s="5"/>
    </row>
    <row r="106" spans="1:10" ht="13.05" customHeight="1">
      <c r="A106" s="18" t="s">
        <v>469</v>
      </c>
      <c r="B106" s="19" t="s">
        <v>470</v>
      </c>
      <c r="C106" s="15" t="s">
        <v>471</v>
      </c>
      <c r="D106" s="15" t="s">
        <v>272</v>
      </c>
      <c r="E106" s="20">
        <v>18100</v>
      </c>
      <c r="F106" s="21">
        <v>1070.9046000000001</v>
      </c>
      <c r="G106" s="22">
        <v>1.4E-3</v>
      </c>
      <c r="H106" s="40"/>
      <c r="I106" s="24"/>
      <c r="J106" s="5"/>
    </row>
    <row r="107" spans="1:10" ht="13.05" customHeight="1">
      <c r="A107" s="18" t="s">
        <v>847</v>
      </c>
      <c r="B107" s="19" t="s">
        <v>848</v>
      </c>
      <c r="C107" s="15" t="s">
        <v>849</v>
      </c>
      <c r="D107" s="15" t="s">
        <v>846</v>
      </c>
      <c r="E107" s="20">
        <v>39025</v>
      </c>
      <c r="F107" s="21">
        <v>1064.9922999999999</v>
      </c>
      <c r="G107" s="22">
        <v>1.4E-3</v>
      </c>
      <c r="H107" s="40"/>
      <c r="I107" s="24"/>
      <c r="J107" s="5"/>
    </row>
    <row r="108" spans="1:10" ht="13.05" customHeight="1">
      <c r="A108" s="18" t="s">
        <v>810</v>
      </c>
      <c r="B108" s="19" t="s">
        <v>811</v>
      </c>
      <c r="C108" s="15" t="s">
        <v>812</v>
      </c>
      <c r="D108" s="15" t="s">
        <v>567</v>
      </c>
      <c r="E108" s="20">
        <v>85250</v>
      </c>
      <c r="F108" s="21">
        <v>1053.008</v>
      </c>
      <c r="G108" s="22">
        <v>1.2999999999999999E-3</v>
      </c>
      <c r="H108" s="40"/>
      <c r="I108" s="24"/>
      <c r="J108" s="5"/>
    </row>
    <row r="109" spans="1:10" ht="13.05" customHeight="1">
      <c r="A109" s="18" t="s">
        <v>1055</v>
      </c>
      <c r="B109" s="19" t="s">
        <v>1056</v>
      </c>
      <c r="C109" s="15" t="s">
        <v>1057</v>
      </c>
      <c r="D109" s="15" t="s">
        <v>415</v>
      </c>
      <c r="E109" s="20">
        <v>154000</v>
      </c>
      <c r="F109" s="21">
        <v>1001.154</v>
      </c>
      <c r="G109" s="22">
        <v>1.2999999999999999E-3</v>
      </c>
      <c r="H109" s="40"/>
      <c r="I109" s="24"/>
      <c r="J109" s="5"/>
    </row>
    <row r="110" spans="1:10" ht="13.05" customHeight="1">
      <c r="A110" s="18" t="s">
        <v>974</v>
      </c>
      <c r="B110" s="19" t="s">
        <v>975</v>
      </c>
      <c r="C110" s="15" t="s">
        <v>976</v>
      </c>
      <c r="D110" s="15" t="s">
        <v>445</v>
      </c>
      <c r="E110" s="20">
        <v>634768</v>
      </c>
      <c r="F110" s="21">
        <v>984.71559999999999</v>
      </c>
      <c r="G110" s="22">
        <v>1.2999999999999999E-3</v>
      </c>
      <c r="H110" s="40"/>
      <c r="I110" s="24"/>
      <c r="J110" s="5"/>
    </row>
    <row r="111" spans="1:10" ht="13.05" customHeight="1">
      <c r="A111" s="18" t="s">
        <v>1403</v>
      </c>
      <c r="B111" s="19" t="s">
        <v>1404</v>
      </c>
      <c r="C111" s="15" t="s">
        <v>1405</v>
      </c>
      <c r="D111" s="15" t="s">
        <v>268</v>
      </c>
      <c r="E111" s="20">
        <v>1328700</v>
      </c>
      <c r="F111" s="21">
        <v>976.72739999999999</v>
      </c>
      <c r="G111" s="22">
        <v>1.1999999999999999E-3</v>
      </c>
      <c r="H111" s="40"/>
      <c r="I111" s="24"/>
      <c r="J111" s="5"/>
    </row>
    <row r="112" spans="1:10" ht="13.05" customHeight="1">
      <c r="A112" s="18" t="s">
        <v>341</v>
      </c>
      <c r="B112" s="19" t="s">
        <v>342</v>
      </c>
      <c r="C112" s="15" t="s">
        <v>343</v>
      </c>
      <c r="D112" s="15" t="s">
        <v>344</v>
      </c>
      <c r="E112" s="20">
        <v>111300</v>
      </c>
      <c r="F112" s="21">
        <v>943.65710000000001</v>
      </c>
      <c r="G112" s="22">
        <v>1.1999999999999999E-3</v>
      </c>
      <c r="H112" s="40"/>
      <c r="I112" s="24"/>
      <c r="J112" s="5"/>
    </row>
    <row r="113" spans="1:10" ht="13.05" customHeight="1">
      <c r="A113" s="18" t="s">
        <v>564</v>
      </c>
      <c r="B113" s="19" t="s">
        <v>565</v>
      </c>
      <c r="C113" s="15" t="s">
        <v>566</v>
      </c>
      <c r="D113" s="15" t="s">
        <v>567</v>
      </c>
      <c r="E113" s="20">
        <v>861000</v>
      </c>
      <c r="F113" s="21">
        <v>907.40790000000004</v>
      </c>
      <c r="G113" s="22">
        <v>1.1999999999999999E-3</v>
      </c>
      <c r="H113" s="40"/>
      <c r="I113" s="24"/>
      <c r="J113" s="5"/>
    </row>
    <row r="114" spans="1:10" ht="13.05" customHeight="1">
      <c r="A114" s="18" t="s">
        <v>571</v>
      </c>
      <c r="B114" s="19" t="s">
        <v>572</v>
      </c>
      <c r="C114" s="15" t="s">
        <v>573</v>
      </c>
      <c r="D114" s="15" t="s">
        <v>261</v>
      </c>
      <c r="E114" s="20">
        <v>188325</v>
      </c>
      <c r="F114" s="21">
        <v>896.42700000000002</v>
      </c>
      <c r="G114" s="22">
        <v>1.1000000000000001E-3</v>
      </c>
      <c r="H114" s="40"/>
      <c r="I114" s="24"/>
      <c r="J114" s="5"/>
    </row>
    <row r="115" spans="1:10" ht="13.05" customHeight="1">
      <c r="A115" s="18" t="s">
        <v>789</v>
      </c>
      <c r="B115" s="19" t="s">
        <v>790</v>
      </c>
      <c r="C115" s="15" t="s">
        <v>791</v>
      </c>
      <c r="D115" s="15" t="s">
        <v>348</v>
      </c>
      <c r="E115" s="20">
        <v>178450</v>
      </c>
      <c r="F115" s="21">
        <v>831.48779999999999</v>
      </c>
      <c r="G115" s="22">
        <v>1.1000000000000001E-3</v>
      </c>
      <c r="H115" s="40"/>
      <c r="I115" s="24"/>
      <c r="J115" s="5"/>
    </row>
    <row r="116" spans="1:10" ht="13.05" customHeight="1">
      <c r="A116" s="18" t="s">
        <v>622</v>
      </c>
      <c r="B116" s="19" t="s">
        <v>623</v>
      </c>
      <c r="C116" s="15" t="s">
        <v>624</v>
      </c>
      <c r="D116" s="15" t="s">
        <v>314</v>
      </c>
      <c r="E116" s="20">
        <v>86700</v>
      </c>
      <c r="F116" s="21">
        <v>826.81460000000004</v>
      </c>
      <c r="G116" s="22">
        <v>1.1000000000000001E-3</v>
      </c>
      <c r="H116" s="40"/>
      <c r="I116" s="24"/>
      <c r="J116" s="5"/>
    </row>
    <row r="117" spans="1:10" ht="13.05" customHeight="1">
      <c r="A117" s="18" t="s">
        <v>412</v>
      </c>
      <c r="B117" s="19" t="s">
        <v>413</v>
      </c>
      <c r="C117" s="15" t="s">
        <v>414</v>
      </c>
      <c r="D117" s="15" t="s">
        <v>415</v>
      </c>
      <c r="E117" s="20">
        <v>68775</v>
      </c>
      <c r="F117" s="21">
        <v>789.39949999999999</v>
      </c>
      <c r="G117" s="22">
        <v>1E-3</v>
      </c>
      <c r="H117" s="40"/>
      <c r="I117" s="24"/>
      <c r="J117" s="5"/>
    </row>
    <row r="118" spans="1:10" ht="13.05" customHeight="1">
      <c r="A118" s="18" t="s">
        <v>318</v>
      </c>
      <c r="B118" s="19" t="s">
        <v>319</v>
      </c>
      <c r="C118" s="15" t="s">
        <v>320</v>
      </c>
      <c r="D118" s="15" t="s">
        <v>321</v>
      </c>
      <c r="E118" s="20">
        <v>225000</v>
      </c>
      <c r="F118" s="21">
        <v>758.13750000000005</v>
      </c>
      <c r="G118" s="22">
        <v>1E-3</v>
      </c>
      <c r="H118" s="40"/>
      <c r="I118" s="24"/>
      <c r="J118" s="5"/>
    </row>
    <row r="119" spans="1:10" ht="13.05" customHeight="1">
      <c r="A119" s="18" t="s">
        <v>813</v>
      </c>
      <c r="B119" s="19" t="s">
        <v>814</v>
      </c>
      <c r="C119" s="15" t="s">
        <v>815</v>
      </c>
      <c r="D119" s="15" t="s">
        <v>300</v>
      </c>
      <c r="E119" s="20">
        <v>565250</v>
      </c>
      <c r="F119" s="21">
        <v>697.00980000000004</v>
      </c>
      <c r="G119" s="22">
        <v>8.9999999999999998E-4</v>
      </c>
      <c r="H119" s="40"/>
      <c r="I119" s="24"/>
      <c r="J119" s="5"/>
    </row>
    <row r="120" spans="1:10" ht="13.05" customHeight="1">
      <c r="A120" s="18" t="s">
        <v>925</v>
      </c>
      <c r="B120" s="19" t="s">
        <v>926</v>
      </c>
      <c r="C120" s="15" t="s">
        <v>927</v>
      </c>
      <c r="D120" s="15" t="s">
        <v>257</v>
      </c>
      <c r="E120" s="20">
        <v>488800</v>
      </c>
      <c r="F120" s="21">
        <v>683.73339999999996</v>
      </c>
      <c r="G120" s="22">
        <v>8.9999999999999998E-4</v>
      </c>
      <c r="H120" s="40"/>
      <c r="I120" s="24"/>
      <c r="J120" s="5"/>
    </row>
    <row r="121" spans="1:10" ht="13.05" customHeight="1">
      <c r="A121" s="18" t="s">
        <v>694</v>
      </c>
      <c r="B121" s="19" t="s">
        <v>695</v>
      </c>
      <c r="C121" s="15" t="s">
        <v>696</v>
      </c>
      <c r="D121" s="15" t="s">
        <v>541</v>
      </c>
      <c r="E121" s="20">
        <v>39550</v>
      </c>
      <c r="F121" s="21">
        <v>665.4683</v>
      </c>
      <c r="G121" s="22">
        <v>8.0000000000000004E-4</v>
      </c>
      <c r="H121" s="40"/>
      <c r="I121" s="24"/>
      <c r="J121" s="5"/>
    </row>
    <row r="122" spans="1:10" ht="13.05" customHeight="1">
      <c r="A122" s="18" t="s">
        <v>488</v>
      </c>
      <c r="B122" s="19" t="s">
        <v>489</v>
      </c>
      <c r="C122" s="15" t="s">
        <v>490</v>
      </c>
      <c r="D122" s="15" t="s">
        <v>272</v>
      </c>
      <c r="E122" s="20">
        <v>36375</v>
      </c>
      <c r="F122" s="21">
        <v>646.78390000000002</v>
      </c>
      <c r="G122" s="22">
        <v>8.0000000000000004E-4</v>
      </c>
      <c r="H122" s="40"/>
      <c r="I122" s="24"/>
      <c r="J122" s="5"/>
    </row>
    <row r="123" spans="1:10" ht="13.05" customHeight="1">
      <c r="A123" s="18" t="s">
        <v>1159</v>
      </c>
      <c r="B123" s="19" t="s">
        <v>1160</v>
      </c>
      <c r="C123" s="15" t="s">
        <v>1161</v>
      </c>
      <c r="D123" s="15" t="s">
        <v>374</v>
      </c>
      <c r="E123" s="20">
        <v>461250</v>
      </c>
      <c r="F123" s="21">
        <v>641.41430000000003</v>
      </c>
      <c r="G123" s="22">
        <v>8.0000000000000004E-4</v>
      </c>
      <c r="H123" s="40"/>
      <c r="I123" s="24"/>
      <c r="J123" s="5"/>
    </row>
    <row r="124" spans="1:10" ht="13.05" customHeight="1">
      <c r="A124" s="18" t="s">
        <v>853</v>
      </c>
      <c r="B124" s="19" t="s">
        <v>854</v>
      </c>
      <c r="C124" s="15" t="s">
        <v>855</v>
      </c>
      <c r="D124" s="15" t="s">
        <v>272</v>
      </c>
      <c r="E124" s="20">
        <v>7200</v>
      </c>
      <c r="F124" s="21">
        <v>613.08000000000004</v>
      </c>
      <c r="G124" s="22">
        <v>8.0000000000000004E-4</v>
      </c>
      <c r="H124" s="40"/>
      <c r="I124" s="24"/>
      <c r="J124" s="5"/>
    </row>
    <row r="125" spans="1:10" ht="13.05" customHeight="1">
      <c r="A125" s="18" t="s">
        <v>837</v>
      </c>
      <c r="B125" s="19" t="s">
        <v>838</v>
      </c>
      <c r="C125" s="15" t="s">
        <v>839</v>
      </c>
      <c r="D125" s="15" t="s">
        <v>344</v>
      </c>
      <c r="E125" s="20">
        <v>255000</v>
      </c>
      <c r="F125" s="21">
        <v>597.05700000000002</v>
      </c>
      <c r="G125" s="22">
        <v>8.0000000000000004E-4</v>
      </c>
      <c r="H125" s="40"/>
      <c r="I125" s="24"/>
      <c r="J125" s="5"/>
    </row>
    <row r="126" spans="1:10" ht="13.05" customHeight="1">
      <c r="A126" s="18" t="s">
        <v>792</v>
      </c>
      <c r="B126" s="19" t="s">
        <v>793</v>
      </c>
      <c r="C126" s="15" t="s">
        <v>794</v>
      </c>
      <c r="D126" s="15" t="s">
        <v>374</v>
      </c>
      <c r="E126" s="20">
        <v>54000</v>
      </c>
      <c r="F126" s="21">
        <v>583.57799999999997</v>
      </c>
      <c r="G126" s="22">
        <v>6.9999999999999999E-4</v>
      </c>
      <c r="H126" s="40"/>
      <c r="I126" s="24"/>
      <c r="J126" s="5"/>
    </row>
    <row r="127" spans="1:10" ht="13.05" customHeight="1">
      <c r="A127" s="18" t="s">
        <v>311</v>
      </c>
      <c r="B127" s="19" t="s">
        <v>312</v>
      </c>
      <c r="C127" s="15" t="s">
        <v>313</v>
      </c>
      <c r="D127" s="15" t="s">
        <v>314</v>
      </c>
      <c r="E127" s="20">
        <v>34300</v>
      </c>
      <c r="F127" s="21">
        <v>579.91010000000006</v>
      </c>
      <c r="G127" s="22">
        <v>6.9999999999999999E-4</v>
      </c>
      <c r="H127" s="40"/>
      <c r="I127" s="24"/>
      <c r="J127" s="5"/>
    </row>
    <row r="128" spans="1:10" ht="13.05" customHeight="1">
      <c r="A128" s="18" t="s">
        <v>549</v>
      </c>
      <c r="B128" s="19" t="s">
        <v>550</v>
      </c>
      <c r="C128" s="15" t="s">
        <v>551</v>
      </c>
      <c r="D128" s="15" t="s">
        <v>314</v>
      </c>
      <c r="E128" s="20">
        <v>28475</v>
      </c>
      <c r="F128" s="21">
        <v>559.10659999999996</v>
      </c>
      <c r="G128" s="22">
        <v>6.9999999999999999E-4</v>
      </c>
      <c r="H128" s="40"/>
      <c r="I128" s="24"/>
      <c r="J128" s="5"/>
    </row>
    <row r="129" spans="1:10" ht="13.05" customHeight="1">
      <c r="A129" s="18" t="s">
        <v>859</v>
      </c>
      <c r="B129" s="19" t="s">
        <v>860</v>
      </c>
      <c r="C129" s="15" t="s">
        <v>861</v>
      </c>
      <c r="D129" s="15" t="s">
        <v>405</v>
      </c>
      <c r="E129" s="20">
        <v>62300</v>
      </c>
      <c r="F129" s="21">
        <v>557.3981</v>
      </c>
      <c r="G129" s="22">
        <v>6.9999999999999999E-4</v>
      </c>
      <c r="H129" s="40"/>
      <c r="I129" s="24"/>
      <c r="J129" s="5"/>
    </row>
    <row r="130" spans="1:10" ht="13.05" customHeight="1">
      <c r="A130" s="18" t="s">
        <v>901</v>
      </c>
      <c r="B130" s="19" t="s">
        <v>902</v>
      </c>
      <c r="C130" s="15" t="s">
        <v>903</v>
      </c>
      <c r="D130" s="15" t="s">
        <v>501</v>
      </c>
      <c r="E130" s="20">
        <v>38250</v>
      </c>
      <c r="F130" s="21">
        <v>554.66330000000005</v>
      </c>
      <c r="G130" s="22">
        <v>6.9999999999999999E-4</v>
      </c>
      <c r="H130" s="40"/>
      <c r="I130" s="24"/>
      <c r="J130" s="5"/>
    </row>
    <row r="131" spans="1:10" ht="13.05" customHeight="1">
      <c r="A131" s="18" t="s">
        <v>345</v>
      </c>
      <c r="B131" s="19" t="s">
        <v>346</v>
      </c>
      <c r="C131" s="15" t="s">
        <v>347</v>
      </c>
      <c r="D131" s="15" t="s">
        <v>348</v>
      </c>
      <c r="E131" s="20">
        <v>9600</v>
      </c>
      <c r="F131" s="21">
        <v>540</v>
      </c>
      <c r="G131" s="22">
        <v>6.9999999999999999E-4</v>
      </c>
      <c r="H131" s="40"/>
      <c r="I131" s="24"/>
      <c r="J131" s="5"/>
    </row>
    <row r="132" spans="1:10" ht="13.05" customHeight="1">
      <c r="A132" s="18" t="s">
        <v>594</v>
      </c>
      <c r="B132" s="19" t="s">
        <v>595</v>
      </c>
      <c r="C132" s="15" t="s">
        <v>596</v>
      </c>
      <c r="D132" s="15" t="s">
        <v>405</v>
      </c>
      <c r="E132" s="20">
        <v>33600</v>
      </c>
      <c r="F132" s="21">
        <v>519.62400000000002</v>
      </c>
      <c r="G132" s="22">
        <v>6.9999999999999999E-4</v>
      </c>
      <c r="H132" s="40"/>
      <c r="I132" s="24"/>
      <c r="J132" s="5"/>
    </row>
    <row r="133" spans="1:10" ht="13.05" customHeight="1">
      <c r="A133" s="18" t="s">
        <v>449</v>
      </c>
      <c r="B133" s="19" t="s">
        <v>450</v>
      </c>
      <c r="C133" s="15" t="s">
        <v>451</v>
      </c>
      <c r="D133" s="15" t="s">
        <v>261</v>
      </c>
      <c r="E133" s="20">
        <v>142200</v>
      </c>
      <c r="F133" s="21">
        <v>507.36959999999999</v>
      </c>
      <c r="G133" s="22">
        <v>5.9999999999999995E-4</v>
      </c>
      <c r="H133" s="40"/>
      <c r="I133" s="24"/>
      <c r="J133" s="5"/>
    </row>
    <row r="134" spans="1:10" ht="13.05" customHeight="1">
      <c r="A134" s="18" t="s">
        <v>502</v>
      </c>
      <c r="B134" s="19" t="s">
        <v>503</v>
      </c>
      <c r="C134" s="15" t="s">
        <v>504</v>
      </c>
      <c r="D134" s="15" t="s">
        <v>300</v>
      </c>
      <c r="E134" s="20">
        <v>124800</v>
      </c>
      <c r="F134" s="21">
        <v>503.25599999999997</v>
      </c>
      <c r="G134" s="22">
        <v>5.9999999999999995E-4</v>
      </c>
      <c r="H134" s="40"/>
      <c r="I134" s="24"/>
      <c r="J134" s="5"/>
    </row>
    <row r="135" spans="1:10" ht="13.05" customHeight="1">
      <c r="A135" s="18" t="s">
        <v>508</v>
      </c>
      <c r="B135" s="19" t="s">
        <v>509</v>
      </c>
      <c r="C135" s="15" t="s">
        <v>510</v>
      </c>
      <c r="D135" s="15" t="s">
        <v>374</v>
      </c>
      <c r="E135" s="20">
        <v>9150</v>
      </c>
      <c r="F135" s="21">
        <v>492.17849999999999</v>
      </c>
      <c r="G135" s="22">
        <v>5.9999999999999995E-4</v>
      </c>
      <c r="H135" s="40"/>
      <c r="I135" s="24"/>
      <c r="J135" s="5"/>
    </row>
    <row r="136" spans="1:10" ht="13.05" customHeight="1">
      <c r="A136" s="18" t="s">
        <v>804</v>
      </c>
      <c r="B136" s="19" t="s">
        <v>805</v>
      </c>
      <c r="C136" s="15" t="s">
        <v>806</v>
      </c>
      <c r="D136" s="15" t="s">
        <v>464</v>
      </c>
      <c r="E136" s="20">
        <v>80000</v>
      </c>
      <c r="F136" s="21">
        <v>478.28</v>
      </c>
      <c r="G136" s="22">
        <v>5.9999999999999995E-4</v>
      </c>
      <c r="H136" s="40"/>
      <c r="I136" s="24"/>
      <c r="J136" s="5"/>
    </row>
    <row r="137" spans="1:10" ht="13.05" customHeight="1">
      <c r="A137" s="18" t="s">
        <v>1388</v>
      </c>
      <c r="B137" s="19" t="s">
        <v>1389</v>
      </c>
      <c r="C137" s="15" t="s">
        <v>1390</v>
      </c>
      <c r="D137" s="15" t="s">
        <v>846</v>
      </c>
      <c r="E137" s="20">
        <v>53650</v>
      </c>
      <c r="F137" s="21">
        <v>474.56110000000001</v>
      </c>
      <c r="G137" s="22">
        <v>5.9999999999999995E-4</v>
      </c>
      <c r="H137" s="40"/>
      <c r="I137" s="24"/>
      <c r="J137" s="5"/>
    </row>
    <row r="138" spans="1:10" ht="13.05" customHeight="1">
      <c r="A138" s="18" t="s">
        <v>1087</v>
      </c>
      <c r="B138" s="19" t="s">
        <v>1088</v>
      </c>
      <c r="C138" s="15" t="s">
        <v>1089</v>
      </c>
      <c r="D138" s="15" t="s">
        <v>300</v>
      </c>
      <c r="E138" s="20">
        <v>194250</v>
      </c>
      <c r="F138" s="21">
        <v>460.3725</v>
      </c>
      <c r="G138" s="22">
        <v>5.9999999999999995E-4</v>
      </c>
      <c r="H138" s="40"/>
      <c r="I138" s="24"/>
      <c r="J138" s="5"/>
    </row>
    <row r="139" spans="1:10" ht="13.05" customHeight="1">
      <c r="A139" s="18" t="s">
        <v>652</v>
      </c>
      <c r="B139" s="19" t="s">
        <v>653</v>
      </c>
      <c r="C139" s="15" t="s">
        <v>654</v>
      </c>
      <c r="D139" s="15" t="s">
        <v>304</v>
      </c>
      <c r="E139" s="20">
        <v>175000</v>
      </c>
      <c r="F139" s="21">
        <v>433.89499999999998</v>
      </c>
      <c r="G139" s="22">
        <v>5.9999999999999995E-4</v>
      </c>
      <c r="H139" s="40"/>
      <c r="I139" s="24"/>
      <c r="J139" s="5"/>
    </row>
    <row r="140" spans="1:10" ht="13.05" customHeight="1">
      <c r="A140" s="18" t="s">
        <v>600</v>
      </c>
      <c r="B140" s="19" t="s">
        <v>601</v>
      </c>
      <c r="C140" s="15" t="s">
        <v>602</v>
      </c>
      <c r="D140" s="15" t="s">
        <v>603</v>
      </c>
      <c r="E140" s="20">
        <v>58265</v>
      </c>
      <c r="F140" s="21">
        <v>419.56630000000001</v>
      </c>
      <c r="G140" s="22">
        <v>5.0000000000000001E-4</v>
      </c>
      <c r="H140" s="40"/>
      <c r="I140" s="24"/>
      <c r="J140" s="5"/>
    </row>
    <row r="141" spans="1:10" ht="13.05" customHeight="1">
      <c r="A141" s="18" t="s">
        <v>822</v>
      </c>
      <c r="B141" s="19" t="s">
        <v>823</v>
      </c>
      <c r="C141" s="15" t="s">
        <v>824</v>
      </c>
      <c r="D141" s="15" t="s">
        <v>300</v>
      </c>
      <c r="E141" s="20">
        <v>151708</v>
      </c>
      <c r="F141" s="21">
        <v>410.35500000000002</v>
      </c>
      <c r="G141" s="22">
        <v>5.0000000000000001E-4</v>
      </c>
      <c r="H141" s="40"/>
      <c r="I141" s="24"/>
      <c r="J141" s="5"/>
    </row>
    <row r="142" spans="1:10" ht="13.05" customHeight="1">
      <c r="A142" s="18" t="s">
        <v>442</v>
      </c>
      <c r="B142" s="19" t="s">
        <v>443</v>
      </c>
      <c r="C142" s="15" t="s">
        <v>444</v>
      </c>
      <c r="D142" s="15" t="s">
        <v>445</v>
      </c>
      <c r="E142" s="20">
        <v>688000</v>
      </c>
      <c r="F142" s="21">
        <v>407.98399999999998</v>
      </c>
      <c r="G142" s="22">
        <v>5.0000000000000001E-4</v>
      </c>
      <c r="H142" s="40"/>
      <c r="I142" s="24"/>
      <c r="J142" s="5"/>
    </row>
    <row r="143" spans="1:10" ht="13.05" customHeight="1">
      <c r="A143" s="18" t="s">
        <v>928</v>
      </c>
      <c r="B143" s="19" t="s">
        <v>929</v>
      </c>
      <c r="C143" s="15" t="s">
        <v>930</v>
      </c>
      <c r="D143" s="15" t="s">
        <v>337</v>
      </c>
      <c r="E143" s="20">
        <v>19175</v>
      </c>
      <c r="F143" s="21">
        <v>402.06139999999999</v>
      </c>
      <c r="G143" s="22">
        <v>5.0000000000000001E-4</v>
      </c>
      <c r="H143" s="40"/>
      <c r="I143" s="24"/>
      <c r="J143" s="5"/>
    </row>
    <row r="144" spans="1:10" ht="13.05" customHeight="1">
      <c r="A144" s="18" t="s">
        <v>715</v>
      </c>
      <c r="B144" s="19" t="s">
        <v>716</v>
      </c>
      <c r="C144" s="15" t="s">
        <v>717</v>
      </c>
      <c r="D144" s="15" t="s">
        <v>577</v>
      </c>
      <c r="E144" s="20">
        <v>81250</v>
      </c>
      <c r="F144" s="21">
        <v>396.13440000000003</v>
      </c>
      <c r="G144" s="22">
        <v>5.0000000000000001E-4</v>
      </c>
      <c r="H144" s="40"/>
      <c r="I144" s="24"/>
      <c r="J144" s="5"/>
    </row>
    <row r="145" spans="1:10" ht="13.05" customHeight="1">
      <c r="A145" s="18" t="s">
        <v>402</v>
      </c>
      <c r="B145" s="19" t="s">
        <v>403</v>
      </c>
      <c r="C145" s="15" t="s">
        <v>404</v>
      </c>
      <c r="D145" s="15" t="s">
        <v>405</v>
      </c>
      <c r="E145" s="20">
        <v>19875</v>
      </c>
      <c r="F145" s="21">
        <v>388.69540000000001</v>
      </c>
      <c r="G145" s="22">
        <v>5.0000000000000001E-4</v>
      </c>
      <c r="H145" s="40"/>
      <c r="I145" s="24"/>
      <c r="J145" s="5"/>
    </row>
    <row r="146" spans="1:10" ht="13.05" customHeight="1">
      <c r="A146" s="18" t="s">
        <v>385</v>
      </c>
      <c r="B146" s="19" t="s">
        <v>386</v>
      </c>
      <c r="C146" s="15" t="s">
        <v>387</v>
      </c>
      <c r="D146" s="15" t="s">
        <v>296</v>
      </c>
      <c r="E146" s="20">
        <v>5075</v>
      </c>
      <c r="F146" s="21">
        <v>355.6053</v>
      </c>
      <c r="G146" s="22">
        <v>5.0000000000000001E-4</v>
      </c>
      <c r="H146" s="40"/>
      <c r="I146" s="24"/>
      <c r="J146" s="5"/>
    </row>
    <row r="147" spans="1:10" ht="13.05" customHeight="1">
      <c r="A147" s="18" t="s">
        <v>724</v>
      </c>
      <c r="B147" s="19" t="s">
        <v>725</v>
      </c>
      <c r="C147" s="15" t="s">
        <v>726</v>
      </c>
      <c r="D147" s="15" t="s">
        <v>374</v>
      </c>
      <c r="E147" s="20">
        <v>22325</v>
      </c>
      <c r="F147" s="21">
        <v>354.3424</v>
      </c>
      <c r="G147" s="22">
        <v>5.0000000000000001E-4</v>
      </c>
      <c r="H147" s="40"/>
      <c r="I147" s="24"/>
      <c r="J147" s="5"/>
    </row>
    <row r="148" spans="1:10" ht="13.05" customHeight="1">
      <c r="A148" s="18" t="s">
        <v>426</v>
      </c>
      <c r="B148" s="19" t="s">
        <v>427</v>
      </c>
      <c r="C148" s="15" t="s">
        <v>428</v>
      </c>
      <c r="D148" s="15" t="s">
        <v>405</v>
      </c>
      <c r="E148" s="20">
        <v>48400</v>
      </c>
      <c r="F148" s="21">
        <v>354.21539999999999</v>
      </c>
      <c r="G148" s="22">
        <v>4.0000000000000002E-4</v>
      </c>
      <c r="H148" s="40"/>
      <c r="I148" s="24"/>
      <c r="J148" s="5"/>
    </row>
    <row r="149" spans="1:10" ht="13.05" customHeight="1">
      <c r="A149" s="18" t="s">
        <v>416</v>
      </c>
      <c r="B149" s="19" t="s">
        <v>417</v>
      </c>
      <c r="C149" s="15" t="s">
        <v>418</v>
      </c>
      <c r="D149" s="15" t="s">
        <v>314</v>
      </c>
      <c r="E149" s="20">
        <v>21750</v>
      </c>
      <c r="F149" s="21">
        <v>326.53280000000001</v>
      </c>
      <c r="G149" s="22">
        <v>4.0000000000000002E-4</v>
      </c>
      <c r="H149" s="40"/>
      <c r="I149" s="24"/>
      <c r="J149" s="5"/>
    </row>
    <row r="150" spans="1:10" ht="13.05" customHeight="1">
      <c r="A150" s="18" t="s">
        <v>392</v>
      </c>
      <c r="B150" s="19" t="s">
        <v>393</v>
      </c>
      <c r="C150" s="15" t="s">
        <v>394</v>
      </c>
      <c r="D150" s="15" t="s">
        <v>272</v>
      </c>
      <c r="E150" s="20">
        <v>18000</v>
      </c>
      <c r="F150" s="21">
        <v>256.392</v>
      </c>
      <c r="G150" s="22">
        <v>2.9999999999999997E-4</v>
      </c>
      <c r="H150" s="40"/>
      <c r="I150" s="24"/>
      <c r="J150" s="5"/>
    </row>
    <row r="151" spans="1:10" ht="13.05" customHeight="1">
      <c r="A151" s="18" t="s">
        <v>843</v>
      </c>
      <c r="B151" s="19" t="s">
        <v>844</v>
      </c>
      <c r="C151" s="15" t="s">
        <v>845</v>
      </c>
      <c r="D151" s="15" t="s">
        <v>846</v>
      </c>
      <c r="E151" s="20">
        <v>3400</v>
      </c>
      <c r="F151" s="21">
        <v>227.953</v>
      </c>
      <c r="G151" s="22">
        <v>2.9999999999999997E-4</v>
      </c>
      <c r="H151" s="40"/>
      <c r="I151" s="24"/>
      <c r="J151" s="5"/>
    </row>
    <row r="152" spans="1:10" ht="13.05" customHeight="1">
      <c r="A152" s="18" t="s">
        <v>625</v>
      </c>
      <c r="B152" s="19" t="s">
        <v>626</v>
      </c>
      <c r="C152" s="15" t="s">
        <v>627</v>
      </c>
      <c r="D152" s="15" t="s">
        <v>314</v>
      </c>
      <c r="E152" s="20">
        <v>6000</v>
      </c>
      <c r="F152" s="21">
        <v>213.60599999999999</v>
      </c>
      <c r="G152" s="22">
        <v>2.9999999999999997E-4</v>
      </c>
      <c r="H152" s="40"/>
      <c r="I152" s="24"/>
      <c r="J152" s="5"/>
    </row>
    <row r="153" spans="1:10" ht="13.05" customHeight="1">
      <c r="A153" s="18" t="s">
        <v>305</v>
      </c>
      <c r="B153" s="19" t="s">
        <v>306</v>
      </c>
      <c r="C153" s="15" t="s">
        <v>307</v>
      </c>
      <c r="D153" s="15" t="s">
        <v>280</v>
      </c>
      <c r="E153" s="20">
        <v>7200</v>
      </c>
      <c r="F153" s="21">
        <v>177.51599999999999</v>
      </c>
      <c r="G153" s="22">
        <v>2.0000000000000001E-4</v>
      </c>
      <c r="H153" s="40"/>
      <c r="I153" s="24"/>
      <c r="J153" s="5"/>
    </row>
    <row r="154" spans="1:10" ht="13.05" customHeight="1">
      <c r="A154" s="18" t="s">
        <v>604</v>
      </c>
      <c r="B154" s="19" t="s">
        <v>605</v>
      </c>
      <c r="C154" s="15" t="s">
        <v>606</v>
      </c>
      <c r="D154" s="15" t="s">
        <v>333</v>
      </c>
      <c r="E154" s="20">
        <v>13750</v>
      </c>
      <c r="F154" s="21">
        <v>146.685</v>
      </c>
      <c r="G154" s="22">
        <v>2.0000000000000001E-4</v>
      </c>
      <c r="H154" s="40"/>
      <c r="I154" s="24"/>
      <c r="J154" s="5"/>
    </row>
    <row r="155" spans="1:10" ht="13.05" customHeight="1">
      <c r="A155" s="18" t="s">
        <v>834</v>
      </c>
      <c r="B155" s="19" t="s">
        <v>835</v>
      </c>
      <c r="C155" s="15" t="s">
        <v>836</v>
      </c>
      <c r="D155" s="15" t="s">
        <v>541</v>
      </c>
      <c r="E155" s="20">
        <v>8050</v>
      </c>
      <c r="F155" s="21">
        <v>143.1532</v>
      </c>
      <c r="G155" s="22">
        <v>2.0000000000000001E-4</v>
      </c>
      <c r="H155" s="40"/>
      <c r="I155" s="24"/>
      <c r="J155" s="5"/>
    </row>
    <row r="156" spans="1:10" ht="13.05" customHeight="1">
      <c r="A156" s="18" t="s">
        <v>646</v>
      </c>
      <c r="B156" s="19" t="s">
        <v>647</v>
      </c>
      <c r="C156" s="15" t="s">
        <v>648</v>
      </c>
      <c r="D156" s="15" t="s">
        <v>445</v>
      </c>
      <c r="E156" s="20">
        <v>52500</v>
      </c>
      <c r="F156" s="21">
        <v>139.38229999999999</v>
      </c>
      <c r="G156" s="22">
        <v>2.0000000000000001E-4</v>
      </c>
      <c r="H156" s="40"/>
      <c r="I156" s="24"/>
      <c r="J156" s="5"/>
    </row>
    <row r="157" spans="1:10" ht="13.05" customHeight="1">
      <c r="A157" s="18" t="s">
        <v>889</v>
      </c>
      <c r="B157" s="19" t="s">
        <v>890</v>
      </c>
      <c r="C157" s="15" t="s">
        <v>891</v>
      </c>
      <c r="D157" s="15" t="s">
        <v>348</v>
      </c>
      <c r="E157" s="20">
        <v>23750</v>
      </c>
      <c r="F157" s="21">
        <v>129.49690000000001</v>
      </c>
      <c r="G157" s="22">
        <v>2.0000000000000001E-4</v>
      </c>
      <c r="H157" s="40"/>
      <c r="I157" s="24"/>
      <c r="J157" s="5"/>
    </row>
    <row r="158" spans="1:10" ht="13.05" customHeight="1">
      <c r="A158" s="18" t="s">
        <v>685</v>
      </c>
      <c r="B158" s="19" t="s">
        <v>686</v>
      </c>
      <c r="C158" s="15" t="s">
        <v>687</v>
      </c>
      <c r="D158" s="15" t="s">
        <v>272</v>
      </c>
      <c r="E158" s="20">
        <v>4675</v>
      </c>
      <c r="F158" s="21">
        <v>129.23570000000001</v>
      </c>
      <c r="G158" s="22">
        <v>2.0000000000000001E-4</v>
      </c>
      <c r="H158" s="40"/>
      <c r="I158" s="24"/>
      <c r="J158" s="5"/>
    </row>
    <row r="159" spans="1:10" ht="13.05" customHeight="1">
      <c r="A159" s="18" t="s">
        <v>352</v>
      </c>
      <c r="B159" s="19" t="s">
        <v>353</v>
      </c>
      <c r="C159" s="15" t="s">
        <v>354</v>
      </c>
      <c r="D159" s="15" t="s">
        <v>325</v>
      </c>
      <c r="E159" s="20">
        <v>5000</v>
      </c>
      <c r="F159" s="21">
        <v>125.54</v>
      </c>
      <c r="G159" s="22">
        <v>2.0000000000000001E-4</v>
      </c>
      <c r="H159" s="40"/>
      <c r="I159" s="24"/>
      <c r="J159" s="5"/>
    </row>
    <row r="160" spans="1:10" ht="13.05" customHeight="1">
      <c r="A160" s="18" t="s">
        <v>532</v>
      </c>
      <c r="B160" s="19" t="s">
        <v>533</v>
      </c>
      <c r="C160" s="15" t="s">
        <v>534</v>
      </c>
      <c r="D160" s="15" t="s">
        <v>445</v>
      </c>
      <c r="E160" s="20">
        <v>15300</v>
      </c>
      <c r="F160" s="21">
        <v>112.7075</v>
      </c>
      <c r="G160" s="22">
        <v>1E-4</v>
      </c>
      <c r="H160" s="40"/>
      <c r="I160" s="24"/>
      <c r="J160" s="5"/>
    </row>
    <row r="161" spans="1:10" ht="13.05" customHeight="1">
      <c r="A161" s="18" t="s">
        <v>1323</v>
      </c>
      <c r="B161" s="19" t="s">
        <v>1324</v>
      </c>
      <c r="C161" s="15" t="s">
        <v>1325</v>
      </c>
      <c r="D161" s="15" t="s">
        <v>276</v>
      </c>
      <c r="E161" s="20">
        <v>45900</v>
      </c>
      <c r="F161" s="21">
        <v>97.477800000000002</v>
      </c>
      <c r="G161" s="22">
        <v>1E-4</v>
      </c>
      <c r="H161" s="40"/>
      <c r="I161" s="24"/>
      <c r="J161" s="5"/>
    </row>
    <row r="162" spans="1:10" ht="13.05" customHeight="1">
      <c r="A162" s="18" t="s">
        <v>742</v>
      </c>
      <c r="B162" s="19" t="s">
        <v>743</v>
      </c>
      <c r="C162" s="15" t="s">
        <v>744</v>
      </c>
      <c r="D162" s="15" t="s">
        <v>321</v>
      </c>
      <c r="E162" s="20">
        <v>102400</v>
      </c>
      <c r="F162" s="21">
        <v>86.876199999999997</v>
      </c>
      <c r="G162" s="22">
        <v>1E-4</v>
      </c>
      <c r="H162" s="40"/>
      <c r="I162" s="24"/>
      <c r="J162" s="5"/>
    </row>
    <row r="163" spans="1:10" ht="13.05" customHeight="1">
      <c r="A163" s="18" t="s">
        <v>977</v>
      </c>
      <c r="B163" s="19" t="s">
        <v>978</v>
      </c>
      <c r="C163" s="15" t="s">
        <v>979</v>
      </c>
      <c r="D163" s="15" t="s">
        <v>300</v>
      </c>
      <c r="E163" s="20">
        <v>30000</v>
      </c>
      <c r="F163" s="21">
        <v>80.849999999999994</v>
      </c>
      <c r="G163" s="22">
        <v>1E-4</v>
      </c>
      <c r="H163" s="40"/>
      <c r="I163" s="24"/>
      <c r="J163" s="5"/>
    </row>
    <row r="164" spans="1:10" ht="13.05" customHeight="1">
      <c r="A164" s="18" t="s">
        <v>771</v>
      </c>
      <c r="B164" s="19" t="s">
        <v>772</v>
      </c>
      <c r="C164" s="15" t="s">
        <v>773</v>
      </c>
      <c r="D164" s="15" t="s">
        <v>501</v>
      </c>
      <c r="E164" s="20">
        <v>2100</v>
      </c>
      <c r="F164" s="21">
        <v>80.0625</v>
      </c>
      <c r="G164" s="22">
        <v>1E-4</v>
      </c>
      <c r="H164" s="40"/>
      <c r="I164" s="24"/>
      <c r="J164" s="5"/>
    </row>
    <row r="165" spans="1:10" ht="13.05" customHeight="1">
      <c r="A165" s="18" t="s">
        <v>1058</v>
      </c>
      <c r="B165" s="19" t="s">
        <v>1059</v>
      </c>
      <c r="C165" s="15" t="s">
        <v>1060</v>
      </c>
      <c r="D165" s="15" t="s">
        <v>314</v>
      </c>
      <c r="E165" s="20">
        <v>40000</v>
      </c>
      <c r="F165" s="21">
        <v>79.852000000000004</v>
      </c>
      <c r="G165" s="22">
        <v>1E-4</v>
      </c>
      <c r="H165" s="40"/>
      <c r="I165" s="24"/>
      <c r="J165" s="5"/>
    </row>
    <row r="166" spans="1:10" ht="13.05" customHeight="1">
      <c r="A166" s="18" t="s">
        <v>971</v>
      </c>
      <c r="B166" s="19" t="s">
        <v>972</v>
      </c>
      <c r="C166" s="15" t="s">
        <v>973</v>
      </c>
      <c r="D166" s="15" t="s">
        <v>545</v>
      </c>
      <c r="E166" s="20">
        <v>35750</v>
      </c>
      <c r="F166" s="21">
        <v>75.768600000000006</v>
      </c>
      <c r="G166" s="22">
        <v>1E-4</v>
      </c>
      <c r="H166" s="40"/>
      <c r="I166" s="24"/>
      <c r="J166" s="5"/>
    </row>
    <row r="167" spans="1:10" ht="13.05" customHeight="1">
      <c r="A167" s="18" t="s">
        <v>1299</v>
      </c>
      <c r="B167" s="19" t="s">
        <v>1300</v>
      </c>
      <c r="C167" s="15" t="s">
        <v>1301</v>
      </c>
      <c r="D167" s="15" t="s">
        <v>325</v>
      </c>
      <c r="E167" s="20">
        <v>11900</v>
      </c>
      <c r="F167" s="21">
        <v>67.943100000000001</v>
      </c>
      <c r="G167" s="22">
        <v>1E-4</v>
      </c>
      <c r="H167" s="40"/>
      <c r="I167" s="24"/>
      <c r="J167" s="5"/>
    </row>
    <row r="168" spans="1:10" ht="13.05" customHeight="1">
      <c r="A168" s="18" t="s">
        <v>498</v>
      </c>
      <c r="B168" s="19" t="s">
        <v>499</v>
      </c>
      <c r="C168" s="15" t="s">
        <v>500</v>
      </c>
      <c r="D168" s="15" t="s">
        <v>501</v>
      </c>
      <c r="E168" s="20">
        <v>1400</v>
      </c>
      <c r="F168" s="21">
        <v>60.817399999999999</v>
      </c>
      <c r="G168" s="22">
        <v>1E-4</v>
      </c>
      <c r="H168" s="40"/>
      <c r="I168" s="24"/>
      <c r="J168" s="5"/>
    </row>
    <row r="169" spans="1:10" ht="13.05" customHeight="1">
      <c r="A169" s="18" t="s">
        <v>619</v>
      </c>
      <c r="B169" s="19" t="s">
        <v>620</v>
      </c>
      <c r="C169" s="15" t="s">
        <v>621</v>
      </c>
      <c r="D169" s="15" t="s">
        <v>325</v>
      </c>
      <c r="E169" s="20">
        <v>4000</v>
      </c>
      <c r="F169" s="21">
        <v>59.756</v>
      </c>
      <c r="G169" s="22">
        <v>1E-4</v>
      </c>
      <c r="H169" s="40"/>
      <c r="I169" s="24"/>
      <c r="J169" s="5"/>
    </row>
    <row r="170" spans="1:10" ht="13.05" customHeight="1">
      <c r="A170" s="18" t="s">
        <v>807</v>
      </c>
      <c r="B170" s="19" t="s">
        <v>808</v>
      </c>
      <c r="C170" s="15" t="s">
        <v>809</v>
      </c>
      <c r="D170" s="15" t="s">
        <v>445</v>
      </c>
      <c r="E170" s="20">
        <v>300</v>
      </c>
      <c r="F170" s="21">
        <v>53.334000000000003</v>
      </c>
      <c r="G170" s="22">
        <v>1E-4</v>
      </c>
      <c r="H170" s="40"/>
      <c r="I170" s="24"/>
      <c r="J170" s="5"/>
    </row>
    <row r="171" spans="1:10" ht="13.05" customHeight="1">
      <c r="A171" s="18" t="s">
        <v>546</v>
      </c>
      <c r="B171" s="19" t="s">
        <v>547</v>
      </c>
      <c r="C171" s="15" t="s">
        <v>548</v>
      </c>
      <c r="D171" s="15" t="s">
        <v>405</v>
      </c>
      <c r="E171" s="20">
        <v>2600</v>
      </c>
      <c r="F171" s="21">
        <v>51.836199999999998</v>
      </c>
      <c r="G171" s="22">
        <v>1E-4</v>
      </c>
      <c r="H171" s="40"/>
      <c r="I171" s="24"/>
      <c r="J171" s="5"/>
    </row>
    <row r="172" spans="1:10" ht="13.05" customHeight="1">
      <c r="A172" s="18" t="s">
        <v>679</v>
      </c>
      <c r="B172" s="19" t="s">
        <v>680</v>
      </c>
      <c r="C172" s="15" t="s">
        <v>681</v>
      </c>
      <c r="D172" s="15" t="s">
        <v>567</v>
      </c>
      <c r="E172" s="20">
        <v>1600</v>
      </c>
      <c r="F172" s="21">
        <v>48.368000000000002</v>
      </c>
      <c r="G172" s="22">
        <v>1E-4</v>
      </c>
      <c r="H172" s="40"/>
      <c r="I172" s="24"/>
      <c r="J172" s="5"/>
    </row>
    <row r="173" spans="1:10" ht="13.05" customHeight="1">
      <c r="A173" s="18" t="s">
        <v>382</v>
      </c>
      <c r="B173" s="19" t="s">
        <v>383</v>
      </c>
      <c r="C173" s="15" t="s">
        <v>384</v>
      </c>
      <c r="D173" s="15" t="s">
        <v>296</v>
      </c>
      <c r="E173" s="20">
        <v>525</v>
      </c>
      <c r="F173" s="21">
        <v>46.685600000000001</v>
      </c>
      <c r="G173" s="22">
        <v>1E-4</v>
      </c>
      <c r="H173" s="40"/>
      <c r="I173" s="24"/>
      <c r="J173" s="5"/>
    </row>
    <row r="174" spans="1:10" ht="13.05" customHeight="1">
      <c r="A174" s="18" t="s">
        <v>1201</v>
      </c>
      <c r="B174" s="19" t="s">
        <v>1202</v>
      </c>
      <c r="C174" s="15" t="s">
        <v>1203</v>
      </c>
      <c r="D174" s="15" t="s">
        <v>1068</v>
      </c>
      <c r="E174" s="20">
        <v>2550</v>
      </c>
      <c r="F174" s="21">
        <v>29.643799999999999</v>
      </c>
      <c r="G174" s="40" t="s">
        <v>1809</v>
      </c>
      <c r="H174" s="40"/>
      <c r="I174" s="24"/>
      <c r="J174" s="5"/>
    </row>
    <row r="175" spans="1:10" ht="13.05" customHeight="1">
      <c r="A175" s="18" t="s">
        <v>739</v>
      </c>
      <c r="B175" s="19" t="s">
        <v>740</v>
      </c>
      <c r="C175" s="15" t="s">
        <v>741</v>
      </c>
      <c r="D175" s="15" t="s">
        <v>314</v>
      </c>
      <c r="E175" s="20">
        <v>1125</v>
      </c>
      <c r="F175" s="21">
        <v>26.82</v>
      </c>
      <c r="G175" s="40" t="s">
        <v>1809</v>
      </c>
      <c r="H175" s="40"/>
      <c r="I175" s="24"/>
      <c r="J175" s="5"/>
    </row>
    <row r="176" spans="1:10" ht="13.05" customHeight="1">
      <c r="A176" s="18" t="s">
        <v>733</v>
      </c>
      <c r="B176" s="19" t="s">
        <v>734</v>
      </c>
      <c r="C176" s="15" t="s">
        <v>735</v>
      </c>
      <c r="D176" s="15" t="s">
        <v>445</v>
      </c>
      <c r="E176" s="20">
        <v>750</v>
      </c>
      <c r="F176" s="21">
        <v>23.222300000000001</v>
      </c>
      <c r="G176" s="40" t="s">
        <v>1809</v>
      </c>
      <c r="H176" s="40"/>
      <c r="I176" s="24"/>
      <c r="J176" s="5"/>
    </row>
    <row r="177" spans="1:10" ht="13.05" customHeight="1">
      <c r="A177" s="18" t="s">
        <v>736</v>
      </c>
      <c r="B177" s="19" t="s">
        <v>737</v>
      </c>
      <c r="C177" s="15" t="s">
        <v>738</v>
      </c>
      <c r="D177" s="15" t="s">
        <v>445</v>
      </c>
      <c r="E177" s="20">
        <v>125</v>
      </c>
      <c r="F177" s="21">
        <v>6.5250000000000004</v>
      </c>
      <c r="G177" s="40" t="s">
        <v>1809</v>
      </c>
      <c r="H177" s="40"/>
      <c r="I177" s="24"/>
      <c r="J177" s="5"/>
    </row>
    <row r="178" spans="1:10" ht="13.05" customHeight="1">
      <c r="A178" s="18" t="s">
        <v>1144</v>
      </c>
      <c r="B178" s="19" t="s">
        <v>1145</v>
      </c>
      <c r="C178" s="15" t="s">
        <v>1146</v>
      </c>
      <c r="D178" s="15" t="s">
        <v>1068</v>
      </c>
      <c r="E178" s="20">
        <v>800</v>
      </c>
      <c r="F178" s="21">
        <v>5.5380000000000003</v>
      </c>
      <c r="G178" s="40" t="s">
        <v>1809</v>
      </c>
      <c r="H178" s="40"/>
      <c r="I178" s="24"/>
      <c r="J178" s="5"/>
    </row>
    <row r="179" spans="1:10" ht="13.05" customHeight="1">
      <c r="A179" s="18" t="s">
        <v>703</v>
      </c>
      <c r="B179" s="19" t="s">
        <v>704</v>
      </c>
      <c r="C179" s="15" t="s">
        <v>705</v>
      </c>
      <c r="D179" s="15" t="s">
        <v>577</v>
      </c>
      <c r="E179" s="20">
        <v>225</v>
      </c>
      <c r="F179" s="21">
        <v>5.0468000000000002</v>
      </c>
      <c r="G179" s="40" t="s">
        <v>1809</v>
      </c>
      <c r="H179" s="40"/>
      <c r="I179" s="24"/>
      <c r="J179" s="5"/>
    </row>
    <row r="180" spans="1:10" ht="13.05" customHeight="1">
      <c r="A180" s="18" t="s">
        <v>409</v>
      </c>
      <c r="B180" s="19" t="s">
        <v>410</v>
      </c>
      <c r="C180" s="15" t="s">
        <v>411</v>
      </c>
      <c r="D180" s="15" t="s">
        <v>296</v>
      </c>
      <c r="E180" s="20">
        <v>800</v>
      </c>
      <c r="F180" s="21">
        <v>3.28</v>
      </c>
      <c r="G180" s="40" t="s">
        <v>1809</v>
      </c>
      <c r="H180" s="40"/>
      <c r="I180" s="24"/>
      <c r="J180" s="5"/>
    </row>
    <row r="181" spans="1:10" ht="13.05" customHeight="1">
      <c r="A181" s="5"/>
      <c r="B181" s="14" t="s">
        <v>192</v>
      </c>
      <c r="C181" s="15"/>
      <c r="D181" s="15"/>
      <c r="E181" s="15"/>
      <c r="F181" s="25">
        <v>589277.88670000003</v>
      </c>
      <c r="G181" s="26">
        <v>0.74850000000000005</v>
      </c>
      <c r="H181" s="27"/>
      <c r="I181" s="28"/>
      <c r="J181" s="5"/>
    </row>
    <row r="182" spans="1:10" ht="13.05" customHeight="1">
      <c r="A182" s="5"/>
      <c r="B182" s="29" t="s">
        <v>1812</v>
      </c>
      <c r="C182" s="2"/>
      <c r="D182" s="2"/>
      <c r="E182" s="2"/>
      <c r="F182" s="27" t="s">
        <v>194</v>
      </c>
      <c r="G182" s="27" t="s">
        <v>194</v>
      </c>
      <c r="H182" s="27"/>
      <c r="I182" s="28"/>
      <c r="J182" s="5"/>
    </row>
    <row r="183" spans="1:10" ht="13.05" customHeight="1">
      <c r="A183" s="5"/>
      <c r="B183" s="29" t="s">
        <v>192</v>
      </c>
      <c r="C183" s="2"/>
      <c r="D183" s="2"/>
      <c r="E183" s="2"/>
      <c r="F183" s="27" t="s">
        <v>194</v>
      </c>
      <c r="G183" s="27" t="s">
        <v>194</v>
      </c>
      <c r="H183" s="27"/>
      <c r="I183" s="28"/>
      <c r="J183" s="5"/>
    </row>
    <row r="184" spans="1:10" ht="13.05" customHeight="1">
      <c r="A184" s="5"/>
      <c r="B184" s="29" t="s">
        <v>195</v>
      </c>
      <c r="C184" s="30"/>
      <c r="D184" s="2"/>
      <c r="E184" s="30"/>
      <c r="F184" s="25">
        <v>589277.88670000003</v>
      </c>
      <c r="G184" s="26">
        <v>0.74850000000000005</v>
      </c>
      <c r="H184" s="27"/>
      <c r="I184" s="28"/>
      <c r="J184" s="5"/>
    </row>
    <row r="185" spans="1:10" ht="13.05" customHeight="1">
      <c r="A185" s="5"/>
      <c r="B185" s="14" t="s">
        <v>1871</v>
      </c>
      <c r="C185" s="15"/>
      <c r="D185" s="15"/>
      <c r="E185" s="15"/>
      <c r="F185" s="15"/>
      <c r="G185" s="15"/>
      <c r="H185" s="16"/>
      <c r="I185" s="17"/>
      <c r="J185" s="5"/>
    </row>
    <row r="186" spans="1:10" ht="13.05" customHeight="1">
      <c r="A186" s="5"/>
      <c r="B186" s="14" t="s">
        <v>2997</v>
      </c>
      <c r="C186" s="15"/>
      <c r="D186" s="15"/>
      <c r="E186" s="15"/>
      <c r="F186" s="5"/>
      <c r="G186" s="16"/>
      <c r="H186" s="16"/>
      <c r="I186" s="17"/>
      <c r="J186" s="5"/>
    </row>
    <row r="187" spans="1:10" ht="13.05" customHeight="1">
      <c r="A187" s="18" t="s">
        <v>3196</v>
      </c>
      <c r="B187" s="19" t="s">
        <v>3197</v>
      </c>
      <c r="C187" s="15"/>
      <c r="D187" s="15"/>
      <c r="E187" s="20">
        <v>-800</v>
      </c>
      <c r="F187" s="21">
        <v>-3.2972000000000001</v>
      </c>
      <c r="G187" s="40" t="s">
        <v>1809</v>
      </c>
      <c r="H187" s="40"/>
      <c r="I187" s="24"/>
      <c r="J187" s="5"/>
    </row>
    <row r="188" spans="1:10" ht="13.05" customHeight="1">
      <c r="A188" s="18" t="s">
        <v>3198</v>
      </c>
      <c r="B188" s="19" t="s">
        <v>3199</v>
      </c>
      <c r="C188" s="15"/>
      <c r="D188" s="15"/>
      <c r="E188" s="20">
        <v>-225</v>
      </c>
      <c r="F188" s="21">
        <v>-5.0132000000000003</v>
      </c>
      <c r="G188" s="40" t="s">
        <v>1809</v>
      </c>
      <c r="H188" s="40"/>
      <c r="I188" s="24"/>
      <c r="J188" s="5"/>
    </row>
    <row r="189" spans="1:10" ht="13.05" customHeight="1">
      <c r="A189" s="18" t="s">
        <v>3200</v>
      </c>
      <c r="B189" s="19" t="s">
        <v>3201</v>
      </c>
      <c r="C189" s="15"/>
      <c r="D189" s="15"/>
      <c r="E189" s="20">
        <v>-800</v>
      </c>
      <c r="F189" s="21">
        <v>-5.548</v>
      </c>
      <c r="G189" s="40" t="s">
        <v>1809</v>
      </c>
      <c r="H189" s="40"/>
      <c r="I189" s="24"/>
      <c r="J189" s="5"/>
    </row>
    <row r="190" spans="1:10" ht="13.05" customHeight="1">
      <c r="A190" s="18" t="s">
        <v>3202</v>
      </c>
      <c r="B190" s="19" t="s">
        <v>3203</v>
      </c>
      <c r="C190" s="15"/>
      <c r="D190" s="15"/>
      <c r="E190" s="20">
        <v>-125</v>
      </c>
      <c r="F190" s="21">
        <v>-6.5587999999999997</v>
      </c>
      <c r="G190" s="40" t="s">
        <v>1809</v>
      </c>
      <c r="H190" s="40"/>
      <c r="I190" s="24"/>
      <c r="J190" s="5"/>
    </row>
    <row r="191" spans="1:10" ht="13.05" customHeight="1">
      <c r="A191" s="18" t="s">
        <v>3204</v>
      </c>
      <c r="B191" s="19" t="s">
        <v>3205</v>
      </c>
      <c r="C191" s="15"/>
      <c r="D191" s="15"/>
      <c r="E191" s="20">
        <v>-750</v>
      </c>
      <c r="F191" s="21">
        <v>-23.355</v>
      </c>
      <c r="G191" s="40" t="s">
        <v>1809</v>
      </c>
      <c r="H191" s="40"/>
      <c r="I191" s="24"/>
      <c r="J191" s="5"/>
    </row>
    <row r="192" spans="1:10" ht="13.05" customHeight="1">
      <c r="A192" s="18" t="s">
        <v>3206</v>
      </c>
      <c r="B192" s="19" t="s">
        <v>3207</v>
      </c>
      <c r="C192" s="15"/>
      <c r="D192" s="15"/>
      <c r="E192" s="20">
        <v>-1125</v>
      </c>
      <c r="F192" s="21">
        <v>-26.823399999999999</v>
      </c>
      <c r="G192" s="40" t="s">
        <v>1809</v>
      </c>
      <c r="H192" s="40"/>
      <c r="I192" s="24"/>
      <c r="J192" s="5"/>
    </row>
    <row r="193" spans="1:10" ht="13.05" customHeight="1">
      <c r="A193" s="18" t="s">
        <v>3208</v>
      </c>
      <c r="B193" s="19" t="s">
        <v>3209</v>
      </c>
      <c r="C193" s="15"/>
      <c r="D193" s="15"/>
      <c r="E193" s="20">
        <v>-2550</v>
      </c>
      <c r="F193" s="21">
        <v>-29.8095</v>
      </c>
      <c r="G193" s="40" t="s">
        <v>1809</v>
      </c>
      <c r="H193" s="40"/>
      <c r="I193" s="24"/>
      <c r="J193" s="5"/>
    </row>
    <row r="194" spans="1:10" ht="13.05" customHeight="1">
      <c r="A194" s="18" t="s">
        <v>3210</v>
      </c>
      <c r="B194" s="19" t="s">
        <v>3211</v>
      </c>
      <c r="C194" s="15"/>
      <c r="D194" s="15"/>
      <c r="E194" s="20">
        <v>-525</v>
      </c>
      <c r="F194" s="21">
        <v>-46.785400000000003</v>
      </c>
      <c r="G194" s="22">
        <v>-1E-4</v>
      </c>
      <c r="H194" s="40"/>
      <c r="I194" s="24"/>
      <c r="J194" s="5"/>
    </row>
    <row r="195" spans="1:10" ht="13.05" customHeight="1">
      <c r="A195" s="18" t="s">
        <v>3212</v>
      </c>
      <c r="B195" s="19" t="s">
        <v>3213</v>
      </c>
      <c r="C195" s="15"/>
      <c r="D195" s="15"/>
      <c r="E195" s="20">
        <v>-1600</v>
      </c>
      <c r="F195" s="21">
        <v>-48.652799999999999</v>
      </c>
      <c r="G195" s="22">
        <v>-1E-4</v>
      </c>
      <c r="H195" s="40"/>
      <c r="I195" s="24"/>
      <c r="J195" s="5"/>
    </row>
    <row r="196" spans="1:10" ht="13.05" customHeight="1">
      <c r="A196" s="18" t="s">
        <v>3214</v>
      </c>
      <c r="B196" s="19" t="s">
        <v>3215</v>
      </c>
      <c r="C196" s="15"/>
      <c r="D196" s="15"/>
      <c r="E196" s="20">
        <v>-2600</v>
      </c>
      <c r="F196" s="21">
        <v>-52.161200000000001</v>
      </c>
      <c r="G196" s="22">
        <v>-1E-4</v>
      </c>
      <c r="H196" s="40"/>
      <c r="I196" s="24"/>
      <c r="J196" s="5"/>
    </row>
    <row r="197" spans="1:10" ht="13.05" customHeight="1">
      <c r="A197" s="18" t="s">
        <v>3216</v>
      </c>
      <c r="B197" s="19" t="s">
        <v>3217</v>
      </c>
      <c r="C197" s="15"/>
      <c r="D197" s="15"/>
      <c r="E197" s="20">
        <v>-300</v>
      </c>
      <c r="F197" s="21">
        <v>-53.487000000000002</v>
      </c>
      <c r="G197" s="22">
        <v>-1E-4</v>
      </c>
      <c r="H197" s="40"/>
      <c r="I197" s="24"/>
      <c r="J197" s="5"/>
    </row>
    <row r="198" spans="1:10" ht="13.05" customHeight="1">
      <c r="A198" s="18" t="s">
        <v>3218</v>
      </c>
      <c r="B198" s="19" t="s">
        <v>3219</v>
      </c>
      <c r="C198" s="15"/>
      <c r="D198" s="15"/>
      <c r="E198" s="20">
        <v>-4000</v>
      </c>
      <c r="F198" s="21">
        <v>-59.963999999999999</v>
      </c>
      <c r="G198" s="22">
        <v>-1E-4</v>
      </c>
      <c r="H198" s="40"/>
      <c r="I198" s="24"/>
      <c r="J198" s="5"/>
    </row>
    <row r="199" spans="1:10" ht="13.05" customHeight="1">
      <c r="A199" s="18" t="s">
        <v>3086</v>
      </c>
      <c r="B199" s="19" t="s">
        <v>3087</v>
      </c>
      <c r="C199" s="15"/>
      <c r="D199" s="15"/>
      <c r="E199" s="20">
        <v>-1400</v>
      </c>
      <c r="F199" s="21">
        <v>-61.150599999999997</v>
      </c>
      <c r="G199" s="22">
        <v>-1E-4</v>
      </c>
      <c r="H199" s="40"/>
      <c r="I199" s="24"/>
      <c r="J199" s="5"/>
    </row>
    <row r="200" spans="1:10" ht="13.05" customHeight="1">
      <c r="A200" s="18" t="s">
        <v>3020</v>
      </c>
      <c r="B200" s="19" t="s">
        <v>3021</v>
      </c>
      <c r="C200" s="15"/>
      <c r="D200" s="15"/>
      <c r="E200" s="20">
        <v>-11900</v>
      </c>
      <c r="F200" s="21">
        <v>-68.216800000000006</v>
      </c>
      <c r="G200" s="22">
        <v>-1E-4</v>
      </c>
      <c r="H200" s="40"/>
      <c r="I200" s="24"/>
      <c r="J200" s="5"/>
    </row>
    <row r="201" spans="1:10" ht="13.05" customHeight="1">
      <c r="A201" s="18" t="s">
        <v>3220</v>
      </c>
      <c r="B201" s="19" t="s">
        <v>3221</v>
      </c>
      <c r="C201" s="15"/>
      <c r="D201" s="15"/>
      <c r="E201" s="20">
        <v>-35750</v>
      </c>
      <c r="F201" s="21">
        <v>-75.504000000000005</v>
      </c>
      <c r="G201" s="22">
        <v>-1E-4</v>
      </c>
      <c r="H201" s="40"/>
      <c r="I201" s="24"/>
      <c r="J201" s="5"/>
    </row>
    <row r="202" spans="1:10" ht="13.05" customHeight="1">
      <c r="A202" s="18" t="s">
        <v>3222</v>
      </c>
      <c r="B202" s="19" t="s">
        <v>3223</v>
      </c>
      <c r="C202" s="15"/>
      <c r="D202" s="15"/>
      <c r="E202" s="20">
        <v>-40000</v>
      </c>
      <c r="F202" s="21">
        <v>-79.963999999999999</v>
      </c>
      <c r="G202" s="22">
        <v>-1E-4</v>
      </c>
      <c r="H202" s="40"/>
      <c r="I202" s="24"/>
      <c r="J202" s="5"/>
    </row>
    <row r="203" spans="1:10" ht="13.05" customHeight="1">
      <c r="A203" s="18" t="s">
        <v>3224</v>
      </c>
      <c r="B203" s="19" t="s">
        <v>3225</v>
      </c>
      <c r="C203" s="15"/>
      <c r="D203" s="15"/>
      <c r="E203" s="20">
        <v>-2100</v>
      </c>
      <c r="F203" s="21">
        <v>-80.257800000000003</v>
      </c>
      <c r="G203" s="22">
        <v>-1E-4</v>
      </c>
      <c r="H203" s="40"/>
      <c r="I203" s="24"/>
      <c r="J203" s="5"/>
    </row>
    <row r="204" spans="1:10" ht="13.05" customHeight="1">
      <c r="A204" s="18" t="s">
        <v>3226</v>
      </c>
      <c r="B204" s="19" t="s">
        <v>3227</v>
      </c>
      <c r="C204" s="15"/>
      <c r="D204" s="15"/>
      <c r="E204" s="20">
        <v>-30000</v>
      </c>
      <c r="F204" s="21">
        <v>-81.42</v>
      </c>
      <c r="G204" s="22">
        <v>-1E-4</v>
      </c>
      <c r="H204" s="40"/>
      <c r="I204" s="24"/>
      <c r="J204" s="5"/>
    </row>
    <row r="205" spans="1:10" ht="13.05" customHeight="1">
      <c r="A205" s="18" t="s">
        <v>3228</v>
      </c>
      <c r="B205" s="19" t="s">
        <v>3229</v>
      </c>
      <c r="C205" s="15"/>
      <c r="D205" s="15"/>
      <c r="E205" s="20">
        <v>-102400</v>
      </c>
      <c r="F205" s="21">
        <v>-87.183400000000006</v>
      </c>
      <c r="G205" s="22">
        <v>-1E-4</v>
      </c>
      <c r="H205" s="40"/>
      <c r="I205" s="24"/>
      <c r="J205" s="5"/>
    </row>
    <row r="206" spans="1:10" ht="13.05" customHeight="1">
      <c r="A206" s="18" t="s">
        <v>3230</v>
      </c>
      <c r="B206" s="19" t="s">
        <v>3231</v>
      </c>
      <c r="C206" s="15"/>
      <c r="D206" s="15"/>
      <c r="E206" s="20">
        <v>-45900</v>
      </c>
      <c r="F206" s="21">
        <v>-97.854200000000006</v>
      </c>
      <c r="G206" s="22">
        <v>-1E-4</v>
      </c>
      <c r="H206" s="40"/>
      <c r="I206" s="24"/>
      <c r="J206" s="5"/>
    </row>
    <row r="207" spans="1:10" ht="13.05" customHeight="1">
      <c r="A207" s="18" t="s">
        <v>3232</v>
      </c>
      <c r="B207" s="19" t="s">
        <v>3233</v>
      </c>
      <c r="C207" s="15"/>
      <c r="D207" s="15"/>
      <c r="E207" s="20">
        <v>-15300</v>
      </c>
      <c r="F207" s="21">
        <v>-113.12820000000001</v>
      </c>
      <c r="G207" s="22">
        <v>-1E-4</v>
      </c>
      <c r="H207" s="40"/>
      <c r="I207" s="24"/>
      <c r="J207" s="5"/>
    </row>
    <row r="208" spans="1:10" ht="13.05" customHeight="1">
      <c r="A208" s="18" t="s">
        <v>3234</v>
      </c>
      <c r="B208" s="19" t="s">
        <v>3235</v>
      </c>
      <c r="C208" s="15"/>
      <c r="D208" s="15"/>
      <c r="E208" s="20">
        <v>-5000</v>
      </c>
      <c r="F208" s="21">
        <v>-126.15</v>
      </c>
      <c r="G208" s="22">
        <v>-2.0000000000000001E-4</v>
      </c>
      <c r="H208" s="40"/>
      <c r="I208" s="24"/>
      <c r="J208" s="5"/>
    </row>
    <row r="209" spans="1:10" ht="13.05" customHeight="1">
      <c r="A209" s="18" t="s">
        <v>3032</v>
      </c>
      <c r="B209" s="19" t="s">
        <v>3033</v>
      </c>
      <c r="C209" s="15"/>
      <c r="D209" s="15"/>
      <c r="E209" s="20">
        <v>-4675</v>
      </c>
      <c r="F209" s="21">
        <v>-130.03049999999999</v>
      </c>
      <c r="G209" s="22">
        <v>-2.0000000000000001E-4</v>
      </c>
      <c r="H209" s="40"/>
      <c r="I209" s="24"/>
      <c r="J209" s="5"/>
    </row>
    <row r="210" spans="1:10" ht="13.05" customHeight="1">
      <c r="A210" s="18" t="s">
        <v>3236</v>
      </c>
      <c r="B210" s="19" t="s">
        <v>3237</v>
      </c>
      <c r="C210" s="15"/>
      <c r="D210" s="15"/>
      <c r="E210" s="20">
        <v>-23750</v>
      </c>
      <c r="F210" s="21">
        <v>-130.50630000000001</v>
      </c>
      <c r="G210" s="22">
        <v>-2.0000000000000001E-4</v>
      </c>
      <c r="H210" s="40"/>
      <c r="I210" s="24"/>
      <c r="J210" s="5"/>
    </row>
    <row r="211" spans="1:10" ht="13.05" customHeight="1">
      <c r="A211" s="18" t="s">
        <v>3052</v>
      </c>
      <c r="B211" s="19" t="s">
        <v>3053</v>
      </c>
      <c r="C211" s="15"/>
      <c r="D211" s="15"/>
      <c r="E211" s="20">
        <v>-52500</v>
      </c>
      <c r="F211" s="21">
        <v>-140.05430000000001</v>
      </c>
      <c r="G211" s="22">
        <v>-2.0000000000000001E-4</v>
      </c>
      <c r="H211" s="40"/>
      <c r="I211" s="24"/>
      <c r="J211" s="5"/>
    </row>
    <row r="212" spans="1:10" ht="13.05" customHeight="1">
      <c r="A212" s="18" t="s">
        <v>3238</v>
      </c>
      <c r="B212" s="19" t="s">
        <v>3239</v>
      </c>
      <c r="C212" s="15"/>
      <c r="D212" s="15"/>
      <c r="E212" s="20">
        <v>-8050</v>
      </c>
      <c r="F212" s="21">
        <v>-143.0163</v>
      </c>
      <c r="G212" s="22">
        <v>-2.0000000000000001E-4</v>
      </c>
      <c r="H212" s="40"/>
      <c r="I212" s="24"/>
      <c r="J212" s="5"/>
    </row>
    <row r="213" spans="1:10" ht="13.05" customHeight="1">
      <c r="A213" s="18" t="s">
        <v>3240</v>
      </c>
      <c r="B213" s="19" t="s">
        <v>3241</v>
      </c>
      <c r="C213" s="15"/>
      <c r="D213" s="15"/>
      <c r="E213" s="20">
        <v>-13750</v>
      </c>
      <c r="F213" s="21">
        <v>-147.6063</v>
      </c>
      <c r="G213" s="22">
        <v>-2.0000000000000001E-4</v>
      </c>
      <c r="H213" s="40"/>
      <c r="I213" s="24"/>
      <c r="J213" s="5"/>
    </row>
    <row r="214" spans="1:10" ht="13.05" customHeight="1">
      <c r="A214" s="18" t="s">
        <v>3242</v>
      </c>
      <c r="B214" s="19" t="s">
        <v>3243</v>
      </c>
      <c r="C214" s="15"/>
      <c r="D214" s="15"/>
      <c r="E214" s="20">
        <v>-57000</v>
      </c>
      <c r="F214" s="21">
        <v>-164.13149999999999</v>
      </c>
      <c r="G214" s="22">
        <v>-2.0000000000000001E-4</v>
      </c>
      <c r="H214" s="40"/>
      <c r="I214" s="24"/>
      <c r="J214" s="5"/>
    </row>
    <row r="215" spans="1:10" ht="13.05" customHeight="1">
      <c r="A215" s="18" t="s">
        <v>3244</v>
      </c>
      <c r="B215" s="19" t="s">
        <v>3245</v>
      </c>
      <c r="C215" s="15"/>
      <c r="D215" s="15"/>
      <c r="E215" s="20">
        <v>-7200</v>
      </c>
      <c r="F215" s="21">
        <v>-177.2928</v>
      </c>
      <c r="G215" s="22">
        <v>-2.0000000000000001E-4</v>
      </c>
      <c r="H215" s="40"/>
      <c r="I215" s="24"/>
      <c r="J215" s="5"/>
    </row>
    <row r="216" spans="1:10" ht="13.05" customHeight="1">
      <c r="A216" s="18" t="s">
        <v>3012</v>
      </c>
      <c r="B216" s="19" t="s">
        <v>3013</v>
      </c>
      <c r="C216" s="15"/>
      <c r="D216" s="15"/>
      <c r="E216" s="20">
        <v>-6000</v>
      </c>
      <c r="F216" s="21">
        <v>-214.62</v>
      </c>
      <c r="G216" s="22">
        <v>-2.9999999999999997E-4</v>
      </c>
      <c r="H216" s="40"/>
      <c r="I216" s="24"/>
      <c r="J216" s="5"/>
    </row>
    <row r="217" spans="1:10" ht="13.05" customHeight="1">
      <c r="A217" s="18" t="s">
        <v>3246</v>
      </c>
      <c r="B217" s="19" t="s">
        <v>3247</v>
      </c>
      <c r="C217" s="15"/>
      <c r="D217" s="15"/>
      <c r="E217" s="20">
        <v>-2573100</v>
      </c>
      <c r="F217" s="21">
        <v>-227.71940000000001</v>
      </c>
      <c r="G217" s="22">
        <v>-2.9999999999999997E-4</v>
      </c>
      <c r="H217" s="40"/>
      <c r="I217" s="24"/>
      <c r="J217" s="5"/>
    </row>
    <row r="218" spans="1:10" ht="13.05" customHeight="1">
      <c r="A218" s="18" t="s">
        <v>3248</v>
      </c>
      <c r="B218" s="19" t="s">
        <v>3249</v>
      </c>
      <c r="C218" s="15"/>
      <c r="D218" s="15"/>
      <c r="E218" s="20">
        <v>-3400</v>
      </c>
      <c r="F218" s="21">
        <v>-228.15700000000001</v>
      </c>
      <c r="G218" s="22">
        <v>-2.9999999999999997E-4</v>
      </c>
      <c r="H218" s="40"/>
      <c r="I218" s="24"/>
      <c r="J218" s="5"/>
    </row>
    <row r="219" spans="1:10" ht="13.05" customHeight="1">
      <c r="A219" s="18" t="s">
        <v>3250</v>
      </c>
      <c r="B219" s="19" t="s">
        <v>3251</v>
      </c>
      <c r="C219" s="15"/>
      <c r="D219" s="15"/>
      <c r="E219" s="20">
        <v>-18000</v>
      </c>
      <c r="F219" s="21">
        <v>-258.084</v>
      </c>
      <c r="G219" s="22">
        <v>-2.9999999999999997E-4</v>
      </c>
      <c r="H219" s="40"/>
      <c r="I219" s="24"/>
      <c r="J219" s="5"/>
    </row>
    <row r="220" spans="1:10" ht="13.05" customHeight="1">
      <c r="A220" s="18" t="s">
        <v>3252</v>
      </c>
      <c r="B220" s="19" t="s">
        <v>3253</v>
      </c>
      <c r="C220" s="15"/>
      <c r="D220" s="15"/>
      <c r="E220" s="20">
        <v>-21750</v>
      </c>
      <c r="F220" s="21">
        <v>-327.83780000000002</v>
      </c>
      <c r="G220" s="22">
        <v>-4.0000000000000002E-4</v>
      </c>
      <c r="H220" s="40"/>
      <c r="I220" s="24"/>
      <c r="J220" s="5"/>
    </row>
    <row r="221" spans="1:10" ht="13.05" customHeight="1">
      <c r="A221" s="18" t="s">
        <v>3082</v>
      </c>
      <c r="B221" s="19" t="s">
        <v>3083</v>
      </c>
      <c r="C221" s="15"/>
      <c r="D221" s="15"/>
      <c r="E221" s="20">
        <v>-48400</v>
      </c>
      <c r="F221" s="21">
        <v>-356.41759999999999</v>
      </c>
      <c r="G221" s="22">
        <v>-5.0000000000000001E-4</v>
      </c>
      <c r="H221" s="40"/>
      <c r="I221" s="24"/>
      <c r="J221" s="5"/>
    </row>
    <row r="222" spans="1:10" ht="13.05" customHeight="1">
      <c r="A222" s="18" t="s">
        <v>3254</v>
      </c>
      <c r="B222" s="19" t="s">
        <v>3255</v>
      </c>
      <c r="C222" s="15"/>
      <c r="D222" s="15"/>
      <c r="E222" s="20">
        <v>-22325</v>
      </c>
      <c r="F222" s="21">
        <v>-356.57490000000001</v>
      </c>
      <c r="G222" s="22">
        <v>-5.0000000000000001E-4</v>
      </c>
      <c r="H222" s="40"/>
      <c r="I222" s="24"/>
      <c r="J222" s="5"/>
    </row>
    <row r="223" spans="1:10" ht="13.05" customHeight="1">
      <c r="A223" s="18" t="s">
        <v>3080</v>
      </c>
      <c r="B223" s="19" t="s">
        <v>3081</v>
      </c>
      <c r="C223" s="15"/>
      <c r="D223" s="15"/>
      <c r="E223" s="20">
        <v>-5075</v>
      </c>
      <c r="F223" s="21">
        <v>-357.88900000000001</v>
      </c>
      <c r="G223" s="22">
        <v>-5.0000000000000001E-4</v>
      </c>
      <c r="H223" s="40"/>
      <c r="I223" s="24"/>
      <c r="J223" s="5"/>
    </row>
    <row r="224" spans="1:10" ht="13.05" customHeight="1">
      <c r="A224" s="18" t="s">
        <v>3256</v>
      </c>
      <c r="B224" s="19" t="s">
        <v>3257</v>
      </c>
      <c r="C224" s="15"/>
      <c r="D224" s="15"/>
      <c r="E224" s="20">
        <v>-109500</v>
      </c>
      <c r="F224" s="21">
        <v>-367.31779999999998</v>
      </c>
      <c r="G224" s="22">
        <v>-5.0000000000000001E-4</v>
      </c>
      <c r="H224" s="40"/>
      <c r="I224" s="24"/>
      <c r="J224" s="5"/>
    </row>
    <row r="225" spans="1:10" ht="13.05" customHeight="1">
      <c r="A225" s="18" t="s">
        <v>3100</v>
      </c>
      <c r="B225" s="19" t="s">
        <v>3101</v>
      </c>
      <c r="C225" s="15"/>
      <c r="D225" s="15"/>
      <c r="E225" s="20">
        <v>-19875</v>
      </c>
      <c r="F225" s="21">
        <v>-389.43079999999998</v>
      </c>
      <c r="G225" s="22">
        <v>-5.0000000000000001E-4</v>
      </c>
      <c r="H225" s="40"/>
      <c r="I225" s="24"/>
      <c r="J225" s="5"/>
    </row>
    <row r="226" spans="1:10" ht="13.05" customHeight="1">
      <c r="A226" s="18" t="s">
        <v>3258</v>
      </c>
      <c r="B226" s="19" t="s">
        <v>3259</v>
      </c>
      <c r="C226" s="15"/>
      <c r="D226" s="15"/>
      <c r="E226" s="20">
        <v>-115500</v>
      </c>
      <c r="F226" s="21">
        <v>-390.10129999999998</v>
      </c>
      <c r="G226" s="22">
        <v>-5.0000000000000001E-4</v>
      </c>
      <c r="H226" s="40"/>
      <c r="I226" s="24"/>
      <c r="J226" s="5"/>
    </row>
    <row r="227" spans="1:10" ht="13.05" customHeight="1">
      <c r="A227" s="18" t="s">
        <v>3260</v>
      </c>
      <c r="B227" s="19" t="s">
        <v>3261</v>
      </c>
      <c r="C227" s="15"/>
      <c r="D227" s="15"/>
      <c r="E227" s="20">
        <v>-81250</v>
      </c>
      <c r="F227" s="21">
        <v>-396.45940000000002</v>
      </c>
      <c r="G227" s="22">
        <v>-5.0000000000000001E-4</v>
      </c>
      <c r="H227" s="40"/>
      <c r="I227" s="24"/>
      <c r="J227" s="5"/>
    </row>
    <row r="228" spans="1:10" ht="13.05" customHeight="1">
      <c r="A228" s="18" t="s">
        <v>3262</v>
      </c>
      <c r="B228" s="19" t="s">
        <v>3263</v>
      </c>
      <c r="C228" s="15"/>
      <c r="D228" s="15"/>
      <c r="E228" s="20">
        <v>-19175</v>
      </c>
      <c r="F228" s="21">
        <v>-403.4228</v>
      </c>
      <c r="G228" s="22">
        <v>-5.0000000000000001E-4</v>
      </c>
      <c r="H228" s="40"/>
      <c r="I228" s="24"/>
      <c r="J228" s="5"/>
    </row>
    <row r="229" spans="1:10" ht="13.05" customHeight="1">
      <c r="A229" s="18" t="s">
        <v>3264</v>
      </c>
      <c r="B229" s="19" t="s">
        <v>3265</v>
      </c>
      <c r="C229" s="15"/>
      <c r="D229" s="15"/>
      <c r="E229" s="20">
        <v>-688000</v>
      </c>
      <c r="F229" s="21">
        <v>-410.66719999999998</v>
      </c>
      <c r="G229" s="22">
        <v>-5.0000000000000001E-4</v>
      </c>
      <c r="H229" s="40"/>
      <c r="I229" s="24"/>
      <c r="J229" s="5"/>
    </row>
    <row r="230" spans="1:10" ht="13.05" customHeight="1">
      <c r="A230" s="18" t="s">
        <v>3042</v>
      </c>
      <c r="B230" s="19" t="s">
        <v>3043</v>
      </c>
      <c r="C230" s="15"/>
      <c r="D230" s="15"/>
      <c r="E230" s="20">
        <v>-151708</v>
      </c>
      <c r="F230" s="21">
        <v>-413.11610000000002</v>
      </c>
      <c r="G230" s="22">
        <v>-5.0000000000000001E-4</v>
      </c>
      <c r="H230" s="40"/>
      <c r="I230" s="24"/>
      <c r="J230" s="5"/>
    </row>
    <row r="231" spans="1:10" ht="13.05" customHeight="1">
      <c r="A231" s="18" t="s">
        <v>3266</v>
      </c>
      <c r="B231" s="19" t="s">
        <v>3267</v>
      </c>
      <c r="C231" s="15"/>
      <c r="D231" s="15"/>
      <c r="E231" s="20">
        <v>-58265</v>
      </c>
      <c r="F231" s="21">
        <v>-422.5378</v>
      </c>
      <c r="G231" s="22">
        <v>-5.0000000000000001E-4</v>
      </c>
      <c r="H231" s="40"/>
      <c r="I231" s="24"/>
      <c r="J231" s="5"/>
    </row>
    <row r="232" spans="1:10" ht="13.05" customHeight="1">
      <c r="A232" s="18" t="s">
        <v>3268</v>
      </c>
      <c r="B232" s="19" t="s">
        <v>3269</v>
      </c>
      <c r="C232" s="15"/>
      <c r="D232" s="15"/>
      <c r="E232" s="20">
        <v>-175000</v>
      </c>
      <c r="F232" s="21">
        <v>-435.57499999999999</v>
      </c>
      <c r="G232" s="22">
        <v>-5.9999999999999995E-4</v>
      </c>
      <c r="H232" s="40"/>
      <c r="I232" s="24"/>
      <c r="J232" s="5"/>
    </row>
    <row r="233" spans="1:10" ht="13.05" customHeight="1">
      <c r="A233" s="18" t="s">
        <v>3270</v>
      </c>
      <c r="B233" s="19" t="s">
        <v>3271</v>
      </c>
      <c r="C233" s="15"/>
      <c r="D233" s="15"/>
      <c r="E233" s="20">
        <v>-194250</v>
      </c>
      <c r="F233" s="21">
        <v>-461.49919999999997</v>
      </c>
      <c r="G233" s="22">
        <v>-5.9999999999999995E-4</v>
      </c>
      <c r="H233" s="40"/>
      <c r="I233" s="24"/>
      <c r="J233" s="5"/>
    </row>
    <row r="234" spans="1:10" ht="13.05" customHeight="1">
      <c r="A234" s="18" t="s">
        <v>3272</v>
      </c>
      <c r="B234" s="19" t="s">
        <v>3273</v>
      </c>
      <c r="C234" s="15"/>
      <c r="D234" s="15"/>
      <c r="E234" s="20">
        <v>-53650</v>
      </c>
      <c r="F234" s="21">
        <v>-476.2242</v>
      </c>
      <c r="G234" s="22">
        <v>-5.9999999999999995E-4</v>
      </c>
      <c r="H234" s="40"/>
      <c r="I234" s="24"/>
      <c r="J234" s="5"/>
    </row>
    <row r="235" spans="1:10" ht="13.05" customHeight="1">
      <c r="A235" s="18" t="s">
        <v>3274</v>
      </c>
      <c r="B235" s="19" t="s">
        <v>3275</v>
      </c>
      <c r="C235" s="15"/>
      <c r="D235" s="15"/>
      <c r="E235" s="20">
        <v>-80000</v>
      </c>
      <c r="F235" s="21">
        <v>-480.72</v>
      </c>
      <c r="G235" s="22">
        <v>-5.9999999999999995E-4</v>
      </c>
      <c r="H235" s="40"/>
      <c r="I235" s="24"/>
      <c r="J235" s="5"/>
    </row>
    <row r="236" spans="1:10" ht="13.05" customHeight="1">
      <c r="A236" s="18" t="s">
        <v>3276</v>
      </c>
      <c r="B236" s="19" t="s">
        <v>3277</v>
      </c>
      <c r="C236" s="15"/>
      <c r="D236" s="15"/>
      <c r="E236" s="20">
        <v>-9150</v>
      </c>
      <c r="F236" s="21">
        <v>-493.185</v>
      </c>
      <c r="G236" s="22">
        <v>-5.9999999999999995E-4</v>
      </c>
      <c r="H236" s="40"/>
      <c r="I236" s="24"/>
      <c r="J236" s="5"/>
    </row>
    <row r="237" spans="1:10" ht="13.05" customHeight="1">
      <c r="A237" s="18" t="s">
        <v>3278</v>
      </c>
      <c r="B237" s="19" t="s">
        <v>3279</v>
      </c>
      <c r="C237" s="15"/>
      <c r="D237" s="15"/>
      <c r="E237" s="20">
        <v>-124800</v>
      </c>
      <c r="F237" s="21">
        <v>-503.13119999999998</v>
      </c>
      <c r="G237" s="22">
        <v>-5.9999999999999995E-4</v>
      </c>
      <c r="H237" s="40"/>
      <c r="I237" s="24"/>
      <c r="J237" s="5"/>
    </row>
    <row r="238" spans="1:10" ht="13.05" customHeight="1">
      <c r="A238" s="18" t="s">
        <v>3088</v>
      </c>
      <c r="B238" s="19" t="s">
        <v>3089</v>
      </c>
      <c r="C238" s="15"/>
      <c r="D238" s="15"/>
      <c r="E238" s="20">
        <v>-142200</v>
      </c>
      <c r="F238" s="21">
        <v>-507.08519999999999</v>
      </c>
      <c r="G238" s="22">
        <v>-5.9999999999999995E-4</v>
      </c>
      <c r="H238" s="40"/>
      <c r="I238" s="24"/>
      <c r="J238" s="5"/>
    </row>
    <row r="239" spans="1:10" ht="13.05" customHeight="1">
      <c r="A239" s="18" t="s">
        <v>3280</v>
      </c>
      <c r="B239" s="19" t="s">
        <v>3281</v>
      </c>
      <c r="C239" s="15"/>
      <c r="D239" s="15"/>
      <c r="E239" s="20">
        <v>-33600</v>
      </c>
      <c r="F239" s="21">
        <v>-521.64</v>
      </c>
      <c r="G239" s="22">
        <v>-6.9999999999999999E-4</v>
      </c>
      <c r="H239" s="40"/>
      <c r="I239" s="24"/>
      <c r="J239" s="5"/>
    </row>
    <row r="240" spans="1:10" ht="13.05" customHeight="1">
      <c r="A240" s="18" t="s">
        <v>3060</v>
      </c>
      <c r="B240" s="19" t="s">
        <v>3061</v>
      </c>
      <c r="C240" s="15"/>
      <c r="D240" s="15"/>
      <c r="E240" s="20">
        <v>-9600</v>
      </c>
      <c r="F240" s="21">
        <v>-543.12</v>
      </c>
      <c r="G240" s="22">
        <v>-6.9999999999999999E-4</v>
      </c>
      <c r="H240" s="40"/>
      <c r="I240" s="24"/>
      <c r="J240" s="5"/>
    </row>
    <row r="241" spans="1:10" ht="13.05" customHeight="1">
      <c r="A241" s="18" t="s">
        <v>3282</v>
      </c>
      <c r="B241" s="19" t="s">
        <v>3283</v>
      </c>
      <c r="C241" s="15"/>
      <c r="D241" s="15"/>
      <c r="E241" s="20">
        <v>-38250</v>
      </c>
      <c r="F241" s="21">
        <v>-555.00750000000005</v>
      </c>
      <c r="G241" s="22">
        <v>-6.9999999999999999E-4</v>
      </c>
      <c r="H241" s="40"/>
      <c r="I241" s="24"/>
      <c r="J241" s="5"/>
    </row>
    <row r="242" spans="1:10" ht="13.05" customHeight="1">
      <c r="A242" s="18" t="s">
        <v>3284</v>
      </c>
      <c r="B242" s="19" t="s">
        <v>3285</v>
      </c>
      <c r="C242" s="15"/>
      <c r="D242" s="15"/>
      <c r="E242" s="20">
        <v>-62300</v>
      </c>
      <c r="F242" s="21">
        <v>-559.36059999999998</v>
      </c>
      <c r="G242" s="22">
        <v>-6.9999999999999999E-4</v>
      </c>
      <c r="H242" s="40"/>
      <c r="I242" s="24"/>
      <c r="J242" s="5"/>
    </row>
    <row r="243" spans="1:10" ht="13.05" customHeight="1">
      <c r="A243" s="18" t="s">
        <v>3286</v>
      </c>
      <c r="B243" s="19" t="s">
        <v>3287</v>
      </c>
      <c r="C243" s="15"/>
      <c r="D243" s="15"/>
      <c r="E243" s="20">
        <v>-28475</v>
      </c>
      <c r="F243" s="21">
        <v>-563.06470000000002</v>
      </c>
      <c r="G243" s="22">
        <v>-6.9999999999999999E-4</v>
      </c>
      <c r="H243" s="40"/>
      <c r="I243" s="24"/>
      <c r="J243" s="5"/>
    </row>
    <row r="244" spans="1:10" ht="13.05" customHeight="1">
      <c r="A244" s="18" t="s">
        <v>3096</v>
      </c>
      <c r="B244" s="19" t="s">
        <v>3097</v>
      </c>
      <c r="C244" s="15"/>
      <c r="D244" s="15"/>
      <c r="E244" s="20">
        <v>-34300</v>
      </c>
      <c r="F244" s="21">
        <v>-583.16859999999997</v>
      </c>
      <c r="G244" s="22">
        <v>-6.9999999999999999E-4</v>
      </c>
      <c r="H244" s="40"/>
      <c r="I244" s="24"/>
      <c r="J244" s="5"/>
    </row>
    <row r="245" spans="1:10" ht="13.05" customHeight="1">
      <c r="A245" s="18" t="s">
        <v>3022</v>
      </c>
      <c r="B245" s="19" t="s">
        <v>3023</v>
      </c>
      <c r="C245" s="15"/>
      <c r="D245" s="15"/>
      <c r="E245" s="20">
        <v>-54000</v>
      </c>
      <c r="F245" s="21">
        <v>-587.30399999999997</v>
      </c>
      <c r="G245" s="22">
        <v>-6.9999999999999999E-4</v>
      </c>
      <c r="H245" s="40"/>
      <c r="I245" s="24"/>
      <c r="J245" s="5"/>
    </row>
    <row r="246" spans="1:10" ht="13.05" customHeight="1">
      <c r="A246" s="18" t="s">
        <v>3288</v>
      </c>
      <c r="B246" s="19" t="s">
        <v>3289</v>
      </c>
      <c r="C246" s="15"/>
      <c r="D246" s="15"/>
      <c r="E246" s="20">
        <v>-255000</v>
      </c>
      <c r="F246" s="21">
        <v>-595.96050000000002</v>
      </c>
      <c r="G246" s="22">
        <v>-8.0000000000000004E-4</v>
      </c>
      <c r="H246" s="40"/>
      <c r="I246" s="24"/>
      <c r="J246" s="5"/>
    </row>
    <row r="247" spans="1:10" ht="13.05" customHeight="1">
      <c r="A247" s="18" t="s">
        <v>3290</v>
      </c>
      <c r="B247" s="19" t="s">
        <v>3291</v>
      </c>
      <c r="C247" s="15"/>
      <c r="D247" s="15"/>
      <c r="E247" s="20">
        <v>-7200</v>
      </c>
      <c r="F247" s="21">
        <v>-606.67200000000003</v>
      </c>
      <c r="G247" s="22">
        <v>-8.0000000000000004E-4</v>
      </c>
      <c r="H247" s="40"/>
      <c r="I247" s="24"/>
      <c r="J247" s="5"/>
    </row>
    <row r="248" spans="1:10" ht="13.05" customHeight="1">
      <c r="A248" s="18" t="s">
        <v>3292</v>
      </c>
      <c r="B248" s="19" t="s">
        <v>3293</v>
      </c>
      <c r="C248" s="15"/>
      <c r="D248" s="15"/>
      <c r="E248" s="20">
        <v>-461250</v>
      </c>
      <c r="F248" s="21">
        <v>-643.9511</v>
      </c>
      <c r="G248" s="22">
        <v>-8.0000000000000004E-4</v>
      </c>
      <c r="H248" s="40"/>
      <c r="I248" s="24"/>
      <c r="J248" s="5"/>
    </row>
    <row r="249" spans="1:10" ht="13.05" customHeight="1">
      <c r="A249" s="18" t="s">
        <v>3098</v>
      </c>
      <c r="B249" s="19" t="s">
        <v>3099</v>
      </c>
      <c r="C249" s="15"/>
      <c r="D249" s="15"/>
      <c r="E249" s="20">
        <v>-36375</v>
      </c>
      <c r="F249" s="21">
        <v>-651.18529999999998</v>
      </c>
      <c r="G249" s="22">
        <v>-8.0000000000000004E-4</v>
      </c>
      <c r="H249" s="40"/>
      <c r="I249" s="24"/>
      <c r="J249" s="5"/>
    </row>
    <row r="250" spans="1:10" ht="13.05" customHeight="1">
      <c r="A250" s="18" t="s">
        <v>3294</v>
      </c>
      <c r="B250" s="19" t="s">
        <v>3295</v>
      </c>
      <c r="C250" s="15"/>
      <c r="D250" s="15"/>
      <c r="E250" s="20">
        <v>-39550</v>
      </c>
      <c r="F250" s="21">
        <v>-669.85839999999996</v>
      </c>
      <c r="G250" s="22">
        <v>-8.9999999999999998E-4</v>
      </c>
      <c r="H250" s="40"/>
      <c r="I250" s="24"/>
      <c r="J250" s="5"/>
    </row>
    <row r="251" spans="1:10" ht="13.05" customHeight="1">
      <c r="A251" s="18" t="s">
        <v>3296</v>
      </c>
      <c r="B251" s="19" t="s">
        <v>3297</v>
      </c>
      <c r="C251" s="15"/>
      <c r="D251" s="15"/>
      <c r="E251" s="20">
        <v>-488800</v>
      </c>
      <c r="F251" s="21">
        <v>-686.12860000000001</v>
      </c>
      <c r="G251" s="22">
        <v>-8.9999999999999998E-4</v>
      </c>
      <c r="H251" s="40"/>
      <c r="I251" s="24"/>
      <c r="J251" s="5"/>
    </row>
    <row r="252" spans="1:10" ht="13.05" customHeight="1">
      <c r="A252" s="18" t="s">
        <v>3298</v>
      </c>
      <c r="B252" s="19" t="s">
        <v>3299</v>
      </c>
      <c r="C252" s="15"/>
      <c r="D252" s="15"/>
      <c r="E252" s="20">
        <v>-565250</v>
      </c>
      <c r="F252" s="21">
        <v>-698.76210000000003</v>
      </c>
      <c r="G252" s="22">
        <v>-8.9999999999999998E-4</v>
      </c>
      <c r="H252" s="40"/>
      <c r="I252" s="24"/>
      <c r="J252" s="5"/>
    </row>
    <row r="253" spans="1:10" ht="13.05" customHeight="1">
      <c r="A253" s="18" t="s">
        <v>3070</v>
      </c>
      <c r="B253" s="19" t="s">
        <v>3071</v>
      </c>
      <c r="C253" s="15"/>
      <c r="D253" s="15"/>
      <c r="E253" s="20">
        <v>-68775</v>
      </c>
      <c r="F253" s="21">
        <v>-794.76390000000004</v>
      </c>
      <c r="G253" s="22">
        <v>-1E-3</v>
      </c>
      <c r="H253" s="40"/>
      <c r="I253" s="24"/>
      <c r="J253" s="5"/>
    </row>
    <row r="254" spans="1:10" ht="13.05" customHeight="1">
      <c r="A254" s="18" t="s">
        <v>3026</v>
      </c>
      <c r="B254" s="19" t="s">
        <v>3027</v>
      </c>
      <c r="C254" s="15"/>
      <c r="D254" s="15"/>
      <c r="E254" s="20">
        <v>-86700</v>
      </c>
      <c r="F254" s="21">
        <v>-830.97619999999995</v>
      </c>
      <c r="G254" s="22">
        <v>-1.1000000000000001E-3</v>
      </c>
      <c r="H254" s="40"/>
      <c r="I254" s="24"/>
      <c r="J254" s="5"/>
    </row>
    <row r="255" spans="1:10" ht="13.05" customHeight="1">
      <c r="A255" s="18" t="s">
        <v>3300</v>
      </c>
      <c r="B255" s="19" t="s">
        <v>3301</v>
      </c>
      <c r="C255" s="15"/>
      <c r="D255" s="15"/>
      <c r="E255" s="20">
        <v>-178450</v>
      </c>
      <c r="F255" s="21">
        <v>-837.46590000000003</v>
      </c>
      <c r="G255" s="22">
        <v>-1.1000000000000001E-3</v>
      </c>
      <c r="H255" s="40"/>
      <c r="I255" s="24"/>
      <c r="J255" s="5"/>
    </row>
    <row r="256" spans="1:10" ht="13.05" customHeight="1">
      <c r="A256" s="18" t="s">
        <v>3302</v>
      </c>
      <c r="B256" s="19" t="s">
        <v>3303</v>
      </c>
      <c r="C256" s="15"/>
      <c r="D256" s="15"/>
      <c r="E256" s="20">
        <v>-188325</v>
      </c>
      <c r="F256" s="21">
        <v>-892.47220000000004</v>
      </c>
      <c r="G256" s="22">
        <v>-1.1000000000000001E-3</v>
      </c>
      <c r="H256" s="40"/>
      <c r="I256" s="24"/>
      <c r="J256" s="5"/>
    </row>
    <row r="257" spans="1:10" ht="13.05" customHeight="1">
      <c r="A257" s="18" t="s">
        <v>3090</v>
      </c>
      <c r="B257" s="19" t="s">
        <v>3091</v>
      </c>
      <c r="C257" s="15"/>
      <c r="D257" s="15"/>
      <c r="E257" s="20">
        <v>-861000</v>
      </c>
      <c r="F257" s="21">
        <v>-912.57389999999998</v>
      </c>
      <c r="G257" s="22">
        <v>-1.1999999999999999E-3</v>
      </c>
      <c r="H257" s="40"/>
      <c r="I257" s="24"/>
      <c r="J257" s="5"/>
    </row>
    <row r="258" spans="1:10" ht="13.05" customHeight="1">
      <c r="A258" s="18" t="s">
        <v>3092</v>
      </c>
      <c r="B258" s="19" t="s">
        <v>3093</v>
      </c>
      <c r="C258" s="15"/>
      <c r="D258" s="15"/>
      <c r="E258" s="20">
        <v>-111300</v>
      </c>
      <c r="F258" s="21">
        <v>-949.83420000000001</v>
      </c>
      <c r="G258" s="22">
        <v>-1.1999999999999999E-3</v>
      </c>
      <c r="H258" s="40"/>
      <c r="I258" s="24"/>
      <c r="J258" s="5"/>
    </row>
    <row r="259" spans="1:10" ht="13.05" customHeight="1">
      <c r="A259" s="18" t="s">
        <v>3304</v>
      </c>
      <c r="B259" s="19" t="s">
        <v>3305</v>
      </c>
      <c r="C259" s="15"/>
      <c r="D259" s="15"/>
      <c r="E259" s="20">
        <v>-1328700</v>
      </c>
      <c r="F259" s="21">
        <v>-980.84630000000004</v>
      </c>
      <c r="G259" s="22">
        <v>-1.1999999999999999E-3</v>
      </c>
      <c r="H259" s="40"/>
      <c r="I259" s="24"/>
      <c r="J259" s="5"/>
    </row>
    <row r="260" spans="1:10" ht="13.05" customHeight="1">
      <c r="A260" s="18" t="s">
        <v>3306</v>
      </c>
      <c r="B260" s="19" t="s">
        <v>3307</v>
      </c>
      <c r="C260" s="15"/>
      <c r="D260" s="15"/>
      <c r="E260" s="20">
        <v>-634768</v>
      </c>
      <c r="F260" s="21">
        <v>-989.73030000000006</v>
      </c>
      <c r="G260" s="22">
        <v>-1.2999999999999999E-3</v>
      </c>
      <c r="H260" s="40"/>
      <c r="I260" s="24"/>
      <c r="J260" s="5"/>
    </row>
    <row r="261" spans="1:10" ht="13.05" customHeight="1">
      <c r="A261" s="18" t="s">
        <v>3308</v>
      </c>
      <c r="B261" s="19" t="s">
        <v>3309</v>
      </c>
      <c r="C261" s="15"/>
      <c r="D261" s="15"/>
      <c r="E261" s="20">
        <v>-154000</v>
      </c>
      <c r="F261" s="21">
        <v>-1006.39</v>
      </c>
      <c r="G261" s="22">
        <v>-1.2999999999999999E-3</v>
      </c>
      <c r="H261" s="40"/>
      <c r="I261" s="24"/>
      <c r="J261" s="5"/>
    </row>
    <row r="262" spans="1:10" ht="13.05" customHeight="1">
      <c r="A262" s="18" t="s">
        <v>3054</v>
      </c>
      <c r="B262" s="19" t="s">
        <v>3055</v>
      </c>
      <c r="C262" s="15"/>
      <c r="D262" s="15"/>
      <c r="E262" s="20">
        <v>-85250</v>
      </c>
      <c r="F262" s="21">
        <v>-1055.6507999999999</v>
      </c>
      <c r="G262" s="22">
        <v>-1.2999999999999999E-3</v>
      </c>
      <c r="H262" s="40"/>
      <c r="I262" s="24"/>
      <c r="J262" s="5"/>
    </row>
    <row r="263" spans="1:10" ht="13.05" customHeight="1">
      <c r="A263" s="18" t="s">
        <v>3310</v>
      </c>
      <c r="B263" s="19" t="s">
        <v>3311</v>
      </c>
      <c r="C263" s="15"/>
      <c r="D263" s="15"/>
      <c r="E263" s="20">
        <v>-39025</v>
      </c>
      <c r="F263" s="21">
        <v>-1069.1678999999999</v>
      </c>
      <c r="G263" s="22">
        <v>-1.4E-3</v>
      </c>
      <c r="H263" s="40"/>
      <c r="I263" s="24"/>
      <c r="J263" s="5"/>
    </row>
    <row r="264" spans="1:10" ht="13.05" customHeight="1">
      <c r="A264" s="18" t="s">
        <v>3312</v>
      </c>
      <c r="B264" s="19" t="s">
        <v>3313</v>
      </c>
      <c r="C264" s="15"/>
      <c r="D264" s="15"/>
      <c r="E264" s="20">
        <v>-18100</v>
      </c>
      <c r="F264" s="21">
        <v>-1074.9590000000001</v>
      </c>
      <c r="G264" s="22">
        <v>-1.4E-3</v>
      </c>
      <c r="H264" s="40"/>
      <c r="I264" s="24"/>
      <c r="J264" s="5"/>
    </row>
    <row r="265" spans="1:10" ht="13.05" customHeight="1">
      <c r="A265" s="18" t="s">
        <v>3314</v>
      </c>
      <c r="B265" s="19" t="s">
        <v>3315</v>
      </c>
      <c r="C265" s="15"/>
      <c r="D265" s="15"/>
      <c r="E265" s="20">
        <v>-721275</v>
      </c>
      <c r="F265" s="21">
        <v>-1079.1717000000001</v>
      </c>
      <c r="G265" s="22">
        <v>-1.4E-3</v>
      </c>
      <c r="H265" s="40"/>
      <c r="I265" s="24"/>
      <c r="J265" s="5"/>
    </row>
    <row r="266" spans="1:10" ht="13.05" customHeight="1">
      <c r="A266" s="18" t="s">
        <v>3316</v>
      </c>
      <c r="B266" s="19" t="s">
        <v>3317</v>
      </c>
      <c r="C266" s="15"/>
      <c r="D266" s="15"/>
      <c r="E266" s="20">
        <v>-150000</v>
      </c>
      <c r="F266" s="21">
        <v>-1120.3499999999999</v>
      </c>
      <c r="G266" s="22">
        <v>-1.4E-3</v>
      </c>
      <c r="H266" s="40"/>
      <c r="I266" s="24"/>
      <c r="J266" s="5"/>
    </row>
    <row r="267" spans="1:10" ht="13.05" customHeight="1">
      <c r="A267" s="18" t="s">
        <v>3318</v>
      </c>
      <c r="B267" s="19" t="s">
        <v>3319</v>
      </c>
      <c r="C267" s="15"/>
      <c r="D267" s="15"/>
      <c r="E267" s="20">
        <v>-723600</v>
      </c>
      <c r="F267" s="21">
        <v>-1136.848</v>
      </c>
      <c r="G267" s="22">
        <v>-1.4E-3</v>
      </c>
      <c r="H267" s="40"/>
      <c r="I267" s="24"/>
      <c r="J267" s="5"/>
    </row>
    <row r="268" spans="1:10" ht="13.05" customHeight="1">
      <c r="A268" s="18" t="s">
        <v>3320</v>
      </c>
      <c r="B268" s="19" t="s">
        <v>3321</v>
      </c>
      <c r="C268" s="15"/>
      <c r="D268" s="15"/>
      <c r="E268" s="20">
        <v>-46800</v>
      </c>
      <c r="F268" s="21">
        <v>-1166.2560000000001</v>
      </c>
      <c r="G268" s="22">
        <v>-1.5E-3</v>
      </c>
      <c r="H268" s="40"/>
      <c r="I268" s="24"/>
      <c r="J268" s="5"/>
    </row>
    <row r="269" spans="1:10" ht="13.05" customHeight="1">
      <c r="A269" s="18" t="s">
        <v>3062</v>
      </c>
      <c r="B269" s="19" t="s">
        <v>3063</v>
      </c>
      <c r="C269" s="15"/>
      <c r="D269" s="15"/>
      <c r="E269" s="20">
        <v>-410400</v>
      </c>
      <c r="F269" s="21">
        <v>-1173.3335999999999</v>
      </c>
      <c r="G269" s="22">
        <v>-1.5E-3</v>
      </c>
      <c r="H269" s="40"/>
      <c r="I269" s="24"/>
      <c r="J269" s="5"/>
    </row>
    <row r="270" spans="1:10" ht="13.05" customHeight="1">
      <c r="A270" s="18" t="s">
        <v>3050</v>
      </c>
      <c r="B270" s="19" t="s">
        <v>3051</v>
      </c>
      <c r="C270" s="15"/>
      <c r="D270" s="15"/>
      <c r="E270" s="20">
        <v>-85500</v>
      </c>
      <c r="F270" s="21">
        <v>-1178.2755</v>
      </c>
      <c r="G270" s="22">
        <v>-1.5E-3</v>
      </c>
      <c r="H270" s="40"/>
      <c r="I270" s="24"/>
      <c r="J270" s="5"/>
    </row>
    <row r="271" spans="1:10" ht="13.05" customHeight="1">
      <c r="A271" s="18" t="s">
        <v>3322</v>
      </c>
      <c r="B271" s="19" t="s">
        <v>3323</v>
      </c>
      <c r="C271" s="15"/>
      <c r="D271" s="15"/>
      <c r="E271" s="20">
        <v>-71400</v>
      </c>
      <c r="F271" s="21">
        <v>-1282.7724000000001</v>
      </c>
      <c r="G271" s="22">
        <v>-1.6000000000000001E-3</v>
      </c>
      <c r="H271" s="40"/>
      <c r="I271" s="24"/>
      <c r="J271" s="5"/>
    </row>
    <row r="272" spans="1:10" ht="13.05" customHeight="1">
      <c r="A272" s="18" t="s">
        <v>3324</v>
      </c>
      <c r="B272" s="19" t="s">
        <v>3325</v>
      </c>
      <c r="C272" s="15"/>
      <c r="D272" s="15"/>
      <c r="E272" s="20">
        <v>-75600</v>
      </c>
      <c r="F272" s="21">
        <v>-1327.7628</v>
      </c>
      <c r="G272" s="22">
        <v>-1.6999999999999999E-3</v>
      </c>
      <c r="H272" s="40"/>
      <c r="I272" s="24"/>
      <c r="J272" s="5"/>
    </row>
    <row r="273" spans="1:10" ht="13.05" customHeight="1">
      <c r="A273" s="18" t="s">
        <v>3024</v>
      </c>
      <c r="B273" s="19" t="s">
        <v>3025</v>
      </c>
      <c r="C273" s="15"/>
      <c r="D273" s="15"/>
      <c r="E273" s="20">
        <v>-234025</v>
      </c>
      <c r="F273" s="21">
        <v>-1389.0554</v>
      </c>
      <c r="G273" s="22">
        <v>-1.8E-3</v>
      </c>
      <c r="H273" s="40"/>
      <c r="I273" s="24"/>
      <c r="J273" s="5"/>
    </row>
    <row r="274" spans="1:10" ht="13.05" customHeight="1">
      <c r="A274" s="18" t="s">
        <v>3326</v>
      </c>
      <c r="B274" s="19" t="s">
        <v>3327</v>
      </c>
      <c r="C274" s="15"/>
      <c r="D274" s="15"/>
      <c r="E274" s="20">
        <v>-108000</v>
      </c>
      <c r="F274" s="21">
        <v>-1427.328</v>
      </c>
      <c r="G274" s="22">
        <v>-1.8E-3</v>
      </c>
      <c r="H274" s="40"/>
      <c r="I274" s="24"/>
      <c r="J274" s="5"/>
    </row>
    <row r="275" spans="1:10" ht="13.05" customHeight="1">
      <c r="A275" s="18" t="s">
        <v>3328</v>
      </c>
      <c r="B275" s="19" t="s">
        <v>3329</v>
      </c>
      <c r="C275" s="15"/>
      <c r="D275" s="15"/>
      <c r="E275" s="20">
        <v>-625000</v>
      </c>
      <c r="F275" s="21">
        <v>-1484.125</v>
      </c>
      <c r="G275" s="22">
        <v>-1.9E-3</v>
      </c>
      <c r="H275" s="40"/>
      <c r="I275" s="24"/>
      <c r="J275" s="5"/>
    </row>
    <row r="276" spans="1:10" ht="13.05" customHeight="1">
      <c r="A276" s="18" t="s">
        <v>3330</v>
      </c>
      <c r="B276" s="19" t="s">
        <v>3331</v>
      </c>
      <c r="C276" s="15"/>
      <c r="D276" s="15"/>
      <c r="E276" s="20">
        <v>-97175</v>
      </c>
      <c r="F276" s="21">
        <v>-1497.5639000000001</v>
      </c>
      <c r="G276" s="22">
        <v>-1.9E-3</v>
      </c>
      <c r="H276" s="40"/>
      <c r="I276" s="24"/>
      <c r="J276" s="5"/>
    </row>
    <row r="277" spans="1:10" ht="13.05" customHeight="1">
      <c r="A277" s="18" t="s">
        <v>3040</v>
      </c>
      <c r="B277" s="19" t="s">
        <v>3041</v>
      </c>
      <c r="C277" s="15"/>
      <c r="D277" s="15"/>
      <c r="E277" s="20">
        <v>-74000</v>
      </c>
      <c r="F277" s="21">
        <v>-1555.48</v>
      </c>
      <c r="G277" s="22">
        <v>-2E-3</v>
      </c>
      <c r="H277" s="40"/>
      <c r="I277" s="24"/>
      <c r="J277" s="5"/>
    </row>
    <row r="278" spans="1:10" ht="13.05" customHeight="1">
      <c r="A278" s="18" t="s">
        <v>3332</v>
      </c>
      <c r="B278" s="19" t="s">
        <v>3333</v>
      </c>
      <c r="C278" s="15"/>
      <c r="D278" s="15"/>
      <c r="E278" s="20">
        <v>-559800</v>
      </c>
      <c r="F278" s="21">
        <v>-1583.6741999999999</v>
      </c>
      <c r="G278" s="22">
        <v>-2E-3</v>
      </c>
      <c r="H278" s="40"/>
      <c r="I278" s="24"/>
      <c r="J278" s="5"/>
    </row>
    <row r="279" spans="1:10" ht="13.05" customHeight="1">
      <c r="A279" s="18" t="s">
        <v>3334</v>
      </c>
      <c r="B279" s="19" t="s">
        <v>3335</v>
      </c>
      <c r="C279" s="15"/>
      <c r="D279" s="15"/>
      <c r="E279" s="20">
        <v>-22125</v>
      </c>
      <c r="F279" s="21">
        <v>-1713.9131</v>
      </c>
      <c r="G279" s="22">
        <v>-2.2000000000000001E-3</v>
      </c>
      <c r="H279" s="40"/>
      <c r="I279" s="24"/>
      <c r="J279" s="5"/>
    </row>
    <row r="280" spans="1:10" ht="13.05" customHeight="1">
      <c r="A280" s="18" t="s">
        <v>3016</v>
      </c>
      <c r="B280" s="19" t="s">
        <v>3017</v>
      </c>
      <c r="C280" s="15"/>
      <c r="D280" s="15"/>
      <c r="E280" s="20">
        <v>-450000</v>
      </c>
      <c r="F280" s="21">
        <v>-1725.3</v>
      </c>
      <c r="G280" s="22">
        <v>-2.2000000000000001E-3</v>
      </c>
      <c r="H280" s="40"/>
      <c r="I280" s="24"/>
      <c r="J280" s="5"/>
    </row>
    <row r="281" spans="1:10" ht="13.05" customHeight="1">
      <c r="A281" s="18" t="s">
        <v>3336</v>
      </c>
      <c r="B281" s="19" t="s">
        <v>3337</v>
      </c>
      <c r="C281" s="15"/>
      <c r="D281" s="15"/>
      <c r="E281" s="20">
        <v>-44850</v>
      </c>
      <c r="F281" s="21">
        <v>-1767.2246</v>
      </c>
      <c r="G281" s="22">
        <v>-2.2000000000000001E-3</v>
      </c>
      <c r="H281" s="40"/>
      <c r="I281" s="24"/>
      <c r="J281" s="5"/>
    </row>
    <row r="282" spans="1:10" ht="13.05" customHeight="1">
      <c r="A282" s="18" t="s">
        <v>3338</v>
      </c>
      <c r="B282" s="19" t="s">
        <v>3339</v>
      </c>
      <c r="C282" s="15"/>
      <c r="D282" s="15"/>
      <c r="E282" s="20">
        <v>-63000</v>
      </c>
      <c r="F282" s="21">
        <v>-1855.6020000000001</v>
      </c>
      <c r="G282" s="22">
        <v>-2.3999999999999998E-3</v>
      </c>
      <c r="H282" s="40"/>
      <c r="I282" s="24"/>
      <c r="J282" s="5"/>
    </row>
    <row r="283" spans="1:10" ht="13.05" customHeight="1">
      <c r="A283" s="18" t="s">
        <v>3340</v>
      </c>
      <c r="B283" s="19" t="s">
        <v>3341</v>
      </c>
      <c r="C283" s="15"/>
      <c r="D283" s="15"/>
      <c r="E283" s="20">
        <v>-11500</v>
      </c>
      <c r="F283" s="21">
        <v>-1873.0050000000001</v>
      </c>
      <c r="G283" s="22">
        <v>-2.3999999999999998E-3</v>
      </c>
      <c r="H283" s="40"/>
      <c r="I283" s="24"/>
      <c r="J283" s="5"/>
    </row>
    <row r="284" spans="1:10" ht="13.05" customHeight="1">
      <c r="A284" s="18" t="s">
        <v>3342</v>
      </c>
      <c r="B284" s="19" t="s">
        <v>3343</v>
      </c>
      <c r="C284" s="15"/>
      <c r="D284" s="15"/>
      <c r="E284" s="20">
        <v>-1014800</v>
      </c>
      <c r="F284" s="21">
        <v>-1927.5110999999999</v>
      </c>
      <c r="G284" s="22">
        <v>-2.3999999999999998E-3</v>
      </c>
      <c r="H284" s="40"/>
      <c r="I284" s="24"/>
      <c r="J284" s="5"/>
    </row>
    <row r="285" spans="1:10" ht="13.05" customHeight="1">
      <c r="A285" s="18" t="s">
        <v>3344</v>
      </c>
      <c r="B285" s="19" t="s">
        <v>3345</v>
      </c>
      <c r="C285" s="15"/>
      <c r="D285" s="15"/>
      <c r="E285" s="20">
        <v>-78750</v>
      </c>
      <c r="F285" s="21">
        <v>-1965.0488</v>
      </c>
      <c r="G285" s="22">
        <v>-2.5000000000000001E-3</v>
      </c>
      <c r="H285" s="40"/>
      <c r="I285" s="24"/>
      <c r="J285" s="5"/>
    </row>
    <row r="286" spans="1:10" ht="13.05" customHeight="1">
      <c r="A286" s="18" t="s">
        <v>3346</v>
      </c>
      <c r="B286" s="19" t="s">
        <v>3347</v>
      </c>
      <c r="C286" s="15"/>
      <c r="D286" s="15"/>
      <c r="E286" s="20">
        <v>-128450</v>
      </c>
      <c r="F286" s="21">
        <v>-1990.8466000000001</v>
      </c>
      <c r="G286" s="22">
        <v>-2.5000000000000001E-3</v>
      </c>
      <c r="H286" s="40"/>
      <c r="I286" s="24"/>
      <c r="J286" s="5"/>
    </row>
    <row r="287" spans="1:10" ht="13.05" customHeight="1">
      <c r="A287" s="18" t="s">
        <v>3058</v>
      </c>
      <c r="B287" s="19" t="s">
        <v>3059</v>
      </c>
      <c r="C287" s="15"/>
      <c r="D287" s="15"/>
      <c r="E287" s="20">
        <v>-1480500</v>
      </c>
      <c r="F287" s="21">
        <v>-2037.9083000000001</v>
      </c>
      <c r="G287" s="22">
        <v>-2.5999999999999999E-3</v>
      </c>
      <c r="H287" s="40"/>
      <c r="I287" s="24"/>
      <c r="J287" s="5"/>
    </row>
    <row r="288" spans="1:10" ht="13.05" customHeight="1">
      <c r="A288" s="18" t="s">
        <v>3348</v>
      </c>
      <c r="B288" s="19" t="s">
        <v>3349</v>
      </c>
      <c r="C288" s="15"/>
      <c r="D288" s="15"/>
      <c r="E288" s="20">
        <v>-14625</v>
      </c>
      <c r="F288" s="21">
        <v>-2044.7212999999999</v>
      </c>
      <c r="G288" s="22">
        <v>-2.5999999999999999E-3</v>
      </c>
      <c r="H288" s="40"/>
      <c r="I288" s="24"/>
      <c r="J288" s="5"/>
    </row>
    <row r="289" spans="1:10" ht="13.05" customHeight="1">
      <c r="A289" s="18" t="s">
        <v>3350</v>
      </c>
      <c r="B289" s="19" t="s">
        <v>3351</v>
      </c>
      <c r="C289" s="15"/>
      <c r="D289" s="15"/>
      <c r="E289" s="20">
        <v>-149625</v>
      </c>
      <c r="F289" s="21">
        <v>-2184.5250000000001</v>
      </c>
      <c r="G289" s="22">
        <v>-2.8E-3</v>
      </c>
      <c r="H289" s="40"/>
      <c r="I289" s="24"/>
      <c r="J289" s="5"/>
    </row>
    <row r="290" spans="1:10" ht="13.05" customHeight="1">
      <c r="A290" s="18" t="s">
        <v>3014</v>
      </c>
      <c r="B290" s="19" t="s">
        <v>3015</v>
      </c>
      <c r="C290" s="15"/>
      <c r="D290" s="15"/>
      <c r="E290" s="20">
        <v>-585000</v>
      </c>
      <c r="F290" s="21">
        <v>-2190.8249999999998</v>
      </c>
      <c r="G290" s="22">
        <v>-2.8E-3</v>
      </c>
      <c r="H290" s="40"/>
      <c r="I290" s="24"/>
      <c r="J290" s="5"/>
    </row>
    <row r="291" spans="1:10" ht="13.05" customHeight="1">
      <c r="A291" s="18" t="s">
        <v>3352</v>
      </c>
      <c r="B291" s="19" t="s">
        <v>3353</v>
      </c>
      <c r="C291" s="15"/>
      <c r="D291" s="15"/>
      <c r="E291" s="20">
        <v>-172000</v>
      </c>
      <c r="F291" s="21">
        <v>-2201.6</v>
      </c>
      <c r="G291" s="22">
        <v>-2.8E-3</v>
      </c>
      <c r="H291" s="40"/>
      <c r="I291" s="24"/>
      <c r="J291" s="5"/>
    </row>
    <row r="292" spans="1:10" ht="13.05" customHeight="1">
      <c r="A292" s="18" t="s">
        <v>3354</v>
      </c>
      <c r="B292" s="19" t="s">
        <v>3355</v>
      </c>
      <c r="C292" s="15"/>
      <c r="D292" s="15"/>
      <c r="E292" s="20">
        <v>-40200</v>
      </c>
      <c r="F292" s="21">
        <v>-2242.7579999999998</v>
      </c>
      <c r="G292" s="22">
        <v>-2.8E-3</v>
      </c>
      <c r="H292" s="40"/>
      <c r="I292" s="24"/>
      <c r="J292" s="5"/>
    </row>
    <row r="293" spans="1:10" ht="13.05" customHeight="1">
      <c r="A293" s="18" t="s">
        <v>3356</v>
      </c>
      <c r="B293" s="19" t="s">
        <v>3357</v>
      </c>
      <c r="C293" s="15"/>
      <c r="D293" s="15"/>
      <c r="E293" s="20">
        <v>-9889800</v>
      </c>
      <c r="F293" s="21">
        <v>-2259.8193000000001</v>
      </c>
      <c r="G293" s="22">
        <v>-2.8999999999999998E-3</v>
      </c>
      <c r="H293" s="40"/>
      <c r="I293" s="24"/>
      <c r="J293" s="5"/>
    </row>
    <row r="294" spans="1:10" ht="13.05" customHeight="1">
      <c r="A294" s="18" t="s">
        <v>3358</v>
      </c>
      <c r="B294" s="19" t="s">
        <v>3359</v>
      </c>
      <c r="C294" s="15"/>
      <c r="D294" s="15"/>
      <c r="E294" s="20">
        <v>-41625</v>
      </c>
      <c r="F294" s="21">
        <v>-2300.4056</v>
      </c>
      <c r="G294" s="22">
        <v>-2.8999999999999998E-3</v>
      </c>
      <c r="H294" s="40"/>
      <c r="I294" s="24"/>
      <c r="J294" s="5"/>
    </row>
    <row r="295" spans="1:10" ht="13.05" customHeight="1">
      <c r="A295" s="18" t="s">
        <v>3360</v>
      </c>
      <c r="B295" s="19" t="s">
        <v>3361</v>
      </c>
      <c r="C295" s="15"/>
      <c r="D295" s="15"/>
      <c r="E295" s="20">
        <v>-383400</v>
      </c>
      <c r="F295" s="21">
        <v>-2324.9376000000002</v>
      </c>
      <c r="G295" s="22">
        <v>-3.0000000000000001E-3</v>
      </c>
      <c r="H295" s="40"/>
      <c r="I295" s="24"/>
      <c r="J295" s="5"/>
    </row>
    <row r="296" spans="1:10" ht="13.05" customHeight="1">
      <c r="A296" s="18" t="s">
        <v>3008</v>
      </c>
      <c r="B296" s="19" t="s">
        <v>3009</v>
      </c>
      <c r="C296" s="15"/>
      <c r="D296" s="15"/>
      <c r="E296" s="20">
        <v>-122625</v>
      </c>
      <c r="F296" s="21">
        <v>-2333.6763999999998</v>
      </c>
      <c r="G296" s="22">
        <v>-3.0000000000000001E-3</v>
      </c>
      <c r="H296" s="40"/>
      <c r="I296" s="24"/>
      <c r="J296" s="5"/>
    </row>
    <row r="297" spans="1:10" ht="13.05" customHeight="1">
      <c r="A297" s="18" t="s">
        <v>3362</v>
      </c>
      <c r="B297" s="19" t="s">
        <v>3363</v>
      </c>
      <c r="C297" s="15"/>
      <c r="D297" s="15"/>
      <c r="E297" s="20">
        <v>-475200</v>
      </c>
      <c r="F297" s="21">
        <v>-2549.9232000000002</v>
      </c>
      <c r="G297" s="22">
        <v>-3.2000000000000002E-3</v>
      </c>
      <c r="H297" s="40"/>
      <c r="I297" s="24"/>
      <c r="J297" s="5"/>
    </row>
    <row r="298" spans="1:10" ht="13.05" customHeight="1">
      <c r="A298" s="18" t="s">
        <v>3364</v>
      </c>
      <c r="B298" s="19" t="s">
        <v>3365</v>
      </c>
      <c r="C298" s="15"/>
      <c r="D298" s="15"/>
      <c r="E298" s="20">
        <v>-464100</v>
      </c>
      <c r="F298" s="21">
        <v>-2639.5688</v>
      </c>
      <c r="G298" s="22">
        <v>-3.3999999999999998E-3</v>
      </c>
      <c r="H298" s="40"/>
      <c r="I298" s="24"/>
      <c r="J298" s="5"/>
    </row>
    <row r="299" spans="1:10" ht="13.05" customHeight="1">
      <c r="A299" s="18" t="s">
        <v>3366</v>
      </c>
      <c r="B299" s="19" t="s">
        <v>3367</v>
      </c>
      <c r="C299" s="15"/>
      <c r="D299" s="15"/>
      <c r="E299" s="20">
        <v>-222750</v>
      </c>
      <c r="F299" s="21">
        <v>-2684.5830000000001</v>
      </c>
      <c r="G299" s="22">
        <v>-3.3999999999999998E-3</v>
      </c>
      <c r="H299" s="40"/>
      <c r="I299" s="24"/>
      <c r="J299" s="5"/>
    </row>
    <row r="300" spans="1:10" ht="13.05" customHeight="1">
      <c r="A300" s="18" t="s">
        <v>3368</v>
      </c>
      <c r="B300" s="19" t="s">
        <v>3369</v>
      </c>
      <c r="C300" s="15"/>
      <c r="D300" s="15"/>
      <c r="E300" s="20">
        <v>-482000</v>
      </c>
      <c r="F300" s="21">
        <v>-2762.1010000000001</v>
      </c>
      <c r="G300" s="22">
        <v>-3.5000000000000001E-3</v>
      </c>
      <c r="H300" s="40"/>
      <c r="I300" s="24"/>
      <c r="J300" s="5"/>
    </row>
    <row r="301" spans="1:10" ht="13.05" customHeight="1">
      <c r="A301" s="18" t="s">
        <v>3370</v>
      </c>
      <c r="B301" s="19" t="s">
        <v>3371</v>
      </c>
      <c r="C301" s="15"/>
      <c r="D301" s="15"/>
      <c r="E301" s="20">
        <v>-2444000</v>
      </c>
      <c r="F301" s="21">
        <v>-2882.6979999999999</v>
      </c>
      <c r="G301" s="22">
        <v>-3.7000000000000002E-3</v>
      </c>
      <c r="H301" s="40"/>
      <c r="I301" s="24"/>
      <c r="J301" s="5"/>
    </row>
    <row r="302" spans="1:10" ht="13.05" customHeight="1">
      <c r="A302" s="18" t="s">
        <v>3372</v>
      </c>
      <c r="B302" s="19" t="s">
        <v>3373</v>
      </c>
      <c r="C302" s="15"/>
      <c r="D302" s="15"/>
      <c r="E302" s="20">
        <v>-602700</v>
      </c>
      <c r="F302" s="21">
        <v>-2884.2208999999998</v>
      </c>
      <c r="G302" s="22">
        <v>-3.7000000000000002E-3</v>
      </c>
      <c r="H302" s="40"/>
      <c r="I302" s="24"/>
      <c r="J302" s="5"/>
    </row>
    <row r="303" spans="1:10" ht="13.05" customHeight="1">
      <c r="A303" s="18" t="s">
        <v>3374</v>
      </c>
      <c r="B303" s="19" t="s">
        <v>3375</v>
      </c>
      <c r="C303" s="15"/>
      <c r="D303" s="15"/>
      <c r="E303" s="20">
        <v>-254100</v>
      </c>
      <c r="F303" s="21">
        <v>-2977.7979</v>
      </c>
      <c r="G303" s="22">
        <v>-3.8E-3</v>
      </c>
      <c r="H303" s="40"/>
      <c r="I303" s="24"/>
      <c r="J303" s="5"/>
    </row>
    <row r="304" spans="1:10" ht="13.05" customHeight="1">
      <c r="A304" s="18" t="s">
        <v>3000</v>
      </c>
      <c r="B304" s="19" t="s">
        <v>3001</v>
      </c>
      <c r="C304" s="15"/>
      <c r="D304" s="15"/>
      <c r="E304" s="20">
        <v>-51125</v>
      </c>
      <c r="F304" s="21">
        <v>-3001.8044</v>
      </c>
      <c r="G304" s="22">
        <v>-3.8E-3</v>
      </c>
      <c r="H304" s="40"/>
      <c r="I304" s="24"/>
      <c r="J304" s="5"/>
    </row>
    <row r="305" spans="1:10" ht="13.05" customHeight="1">
      <c r="A305" s="18" t="s">
        <v>3010</v>
      </c>
      <c r="B305" s="19" t="s">
        <v>3011</v>
      </c>
      <c r="C305" s="15"/>
      <c r="D305" s="15"/>
      <c r="E305" s="20">
        <v>-1067400</v>
      </c>
      <c r="F305" s="21">
        <v>-3035.6855999999998</v>
      </c>
      <c r="G305" s="22">
        <v>-3.8999999999999998E-3</v>
      </c>
      <c r="H305" s="40"/>
      <c r="I305" s="24"/>
      <c r="J305" s="5"/>
    </row>
    <row r="306" spans="1:10" ht="13.05" customHeight="1">
      <c r="A306" s="18" t="s">
        <v>3376</v>
      </c>
      <c r="B306" s="19" t="s">
        <v>3377</v>
      </c>
      <c r="C306" s="15"/>
      <c r="D306" s="15"/>
      <c r="E306" s="20">
        <v>-306450</v>
      </c>
      <c r="F306" s="21">
        <v>-3038.4517999999998</v>
      </c>
      <c r="G306" s="22">
        <v>-3.8999999999999998E-3</v>
      </c>
      <c r="H306" s="40"/>
      <c r="I306" s="24"/>
      <c r="J306" s="5"/>
    </row>
    <row r="307" spans="1:10" ht="13.05" customHeight="1">
      <c r="A307" s="18" t="s">
        <v>3378</v>
      </c>
      <c r="B307" s="19" t="s">
        <v>3379</v>
      </c>
      <c r="C307" s="15"/>
      <c r="D307" s="15"/>
      <c r="E307" s="20">
        <v>-274200</v>
      </c>
      <c r="F307" s="21">
        <v>-3141.5093999999999</v>
      </c>
      <c r="G307" s="22">
        <v>-4.0000000000000001E-3</v>
      </c>
      <c r="H307" s="40"/>
      <c r="I307" s="24"/>
      <c r="J307" s="5"/>
    </row>
    <row r="308" spans="1:10" ht="13.05" customHeight="1">
      <c r="A308" s="18" t="s">
        <v>3046</v>
      </c>
      <c r="B308" s="19" t="s">
        <v>3047</v>
      </c>
      <c r="C308" s="15"/>
      <c r="D308" s="15"/>
      <c r="E308" s="20">
        <v>-683675</v>
      </c>
      <c r="F308" s="21">
        <v>-3227.2878000000001</v>
      </c>
      <c r="G308" s="22">
        <v>-4.1000000000000003E-3</v>
      </c>
      <c r="H308" s="40"/>
      <c r="I308" s="24"/>
      <c r="J308" s="5"/>
    </row>
    <row r="309" spans="1:10" ht="13.05" customHeight="1">
      <c r="A309" s="18" t="s">
        <v>3380</v>
      </c>
      <c r="B309" s="19" t="s">
        <v>3381</v>
      </c>
      <c r="C309" s="15"/>
      <c r="D309" s="15"/>
      <c r="E309" s="20">
        <v>-228400</v>
      </c>
      <c r="F309" s="21">
        <v>-3291.0156000000002</v>
      </c>
      <c r="G309" s="22">
        <v>-4.1999999999999997E-3</v>
      </c>
      <c r="H309" s="40"/>
      <c r="I309" s="24"/>
      <c r="J309" s="5"/>
    </row>
    <row r="310" spans="1:10" ht="13.05" customHeight="1">
      <c r="A310" s="18" t="s">
        <v>3004</v>
      </c>
      <c r="B310" s="19" t="s">
        <v>3005</v>
      </c>
      <c r="C310" s="15"/>
      <c r="D310" s="15"/>
      <c r="E310" s="20">
        <v>-45625</v>
      </c>
      <c r="F310" s="21">
        <v>-3522.7062999999998</v>
      </c>
      <c r="G310" s="22">
        <v>-4.4999999999999997E-3</v>
      </c>
      <c r="H310" s="40"/>
      <c r="I310" s="24"/>
      <c r="J310" s="5"/>
    </row>
    <row r="311" spans="1:10" ht="13.05" customHeight="1">
      <c r="A311" s="18" t="s">
        <v>3382</v>
      </c>
      <c r="B311" s="19" t="s">
        <v>3383</v>
      </c>
      <c r="C311" s="15"/>
      <c r="D311" s="15"/>
      <c r="E311" s="20">
        <v>-1146800</v>
      </c>
      <c r="F311" s="21">
        <v>-3537.8780000000002</v>
      </c>
      <c r="G311" s="22">
        <v>-4.4999999999999997E-3</v>
      </c>
      <c r="H311" s="40"/>
      <c r="I311" s="24"/>
      <c r="J311" s="5"/>
    </row>
    <row r="312" spans="1:10" ht="13.05" customHeight="1">
      <c r="A312" s="18" t="s">
        <v>3034</v>
      </c>
      <c r="B312" s="19" t="s">
        <v>3035</v>
      </c>
      <c r="C312" s="15"/>
      <c r="D312" s="15"/>
      <c r="E312" s="20">
        <v>-2605500</v>
      </c>
      <c r="F312" s="21">
        <v>-3587.5129999999999</v>
      </c>
      <c r="G312" s="22">
        <v>-4.5999999999999999E-3</v>
      </c>
      <c r="H312" s="40"/>
      <c r="I312" s="24"/>
      <c r="J312" s="5"/>
    </row>
    <row r="313" spans="1:10" ht="13.05" customHeight="1">
      <c r="A313" s="18" t="s">
        <v>3384</v>
      </c>
      <c r="B313" s="19" t="s">
        <v>3385</v>
      </c>
      <c r="C313" s="15"/>
      <c r="D313" s="15"/>
      <c r="E313" s="20">
        <v>-79050</v>
      </c>
      <c r="F313" s="21">
        <v>-3724.8359999999998</v>
      </c>
      <c r="G313" s="22">
        <v>-4.7000000000000002E-3</v>
      </c>
      <c r="H313" s="40"/>
      <c r="I313" s="24"/>
      <c r="J313" s="5"/>
    </row>
    <row r="314" spans="1:10" ht="13.05" customHeight="1">
      <c r="A314" s="18" t="s">
        <v>3386</v>
      </c>
      <c r="B314" s="19" t="s">
        <v>3387</v>
      </c>
      <c r="C314" s="15"/>
      <c r="D314" s="15"/>
      <c r="E314" s="20">
        <v>-55200</v>
      </c>
      <c r="F314" s="21">
        <v>-3747.8040000000001</v>
      </c>
      <c r="G314" s="22">
        <v>-4.7999999999999996E-3</v>
      </c>
      <c r="H314" s="40"/>
      <c r="I314" s="24"/>
      <c r="J314" s="5"/>
    </row>
    <row r="315" spans="1:10" ht="13.05" customHeight="1">
      <c r="A315" s="18" t="s">
        <v>3388</v>
      </c>
      <c r="B315" s="19" t="s">
        <v>3389</v>
      </c>
      <c r="C315" s="15"/>
      <c r="D315" s="15"/>
      <c r="E315" s="20">
        <v>-10100</v>
      </c>
      <c r="F315" s="21">
        <v>-3777.9050000000002</v>
      </c>
      <c r="G315" s="22">
        <v>-4.7999999999999996E-3</v>
      </c>
      <c r="H315" s="40"/>
      <c r="I315" s="24"/>
      <c r="J315" s="5"/>
    </row>
    <row r="316" spans="1:10" ht="13.05" customHeight="1">
      <c r="A316" s="18" t="s">
        <v>3390</v>
      </c>
      <c r="B316" s="19" t="s">
        <v>3391</v>
      </c>
      <c r="C316" s="15"/>
      <c r="D316" s="15"/>
      <c r="E316" s="20">
        <v>-80600</v>
      </c>
      <c r="F316" s="21">
        <v>-3798.0331999999999</v>
      </c>
      <c r="G316" s="22">
        <v>-4.7999999999999996E-3</v>
      </c>
      <c r="H316" s="40"/>
      <c r="I316" s="24"/>
      <c r="J316" s="5"/>
    </row>
    <row r="317" spans="1:10" ht="13.05" customHeight="1">
      <c r="A317" s="18" t="s">
        <v>3056</v>
      </c>
      <c r="B317" s="19" t="s">
        <v>3057</v>
      </c>
      <c r="C317" s="15"/>
      <c r="D317" s="15"/>
      <c r="E317" s="20">
        <v>-516450</v>
      </c>
      <c r="F317" s="21">
        <v>-3930.9591999999998</v>
      </c>
      <c r="G317" s="22">
        <v>-5.0000000000000001E-3</v>
      </c>
      <c r="H317" s="40"/>
      <c r="I317" s="24"/>
      <c r="J317" s="5"/>
    </row>
    <row r="318" spans="1:10" ht="13.05" customHeight="1">
      <c r="A318" s="18" t="s">
        <v>3074</v>
      </c>
      <c r="B318" s="19" t="s">
        <v>3075</v>
      </c>
      <c r="C318" s="15"/>
      <c r="D318" s="15"/>
      <c r="E318" s="20">
        <v>-111825</v>
      </c>
      <c r="F318" s="21">
        <v>-3944.4032000000002</v>
      </c>
      <c r="G318" s="22">
        <v>-5.0000000000000001E-3</v>
      </c>
      <c r="H318" s="40"/>
      <c r="I318" s="24"/>
      <c r="J318" s="5"/>
    </row>
    <row r="319" spans="1:10" ht="13.05" customHeight="1">
      <c r="A319" s="18" t="s">
        <v>3392</v>
      </c>
      <c r="B319" s="19" t="s">
        <v>3393</v>
      </c>
      <c r="C319" s="15"/>
      <c r="D319" s="15"/>
      <c r="E319" s="20">
        <v>-224700</v>
      </c>
      <c r="F319" s="21">
        <v>-4040.3307</v>
      </c>
      <c r="G319" s="22">
        <v>-5.1000000000000004E-3</v>
      </c>
      <c r="H319" s="40"/>
      <c r="I319" s="24"/>
      <c r="J319" s="5"/>
    </row>
    <row r="320" spans="1:10" ht="13.05" customHeight="1">
      <c r="A320" s="18" t="s">
        <v>3394</v>
      </c>
      <c r="B320" s="19" t="s">
        <v>3395</v>
      </c>
      <c r="C320" s="15"/>
      <c r="D320" s="15"/>
      <c r="E320" s="20">
        <v>-808400</v>
      </c>
      <c r="F320" s="21">
        <v>-4148.7088000000003</v>
      </c>
      <c r="G320" s="22">
        <v>-5.3E-3</v>
      </c>
      <c r="H320" s="40"/>
      <c r="I320" s="24"/>
      <c r="J320" s="5"/>
    </row>
    <row r="321" spans="1:10" ht="13.05" customHeight="1">
      <c r="A321" s="18" t="s">
        <v>3104</v>
      </c>
      <c r="B321" s="19" t="s">
        <v>3105</v>
      </c>
      <c r="C321" s="15"/>
      <c r="D321" s="15"/>
      <c r="E321" s="20">
        <v>-125200</v>
      </c>
      <c r="F321" s="21">
        <v>-4394.7704000000003</v>
      </c>
      <c r="G321" s="22">
        <v>-5.5999999999999999E-3</v>
      </c>
      <c r="H321" s="40"/>
      <c r="I321" s="24"/>
      <c r="J321" s="5"/>
    </row>
    <row r="322" spans="1:10" ht="13.05" customHeight="1">
      <c r="A322" s="18" t="s">
        <v>3048</v>
      </c>
      <c r="B322" s="19" t="s">
        <v>3049</v>
      </c>
      <c r="C322" s="15"/>
      <c r="D322" s="15"/>
      <c r="E322" s="20">
        <v>-1044800</v>
      </c>
      <c r="F322" s="21">
        <v>-4419.5039999999999</v>
      </c>
      <c r="G322" s="22">
        <v>-5.5999999999999999E-3</v>
      </c>
      <c r="H322" s="40"/>
      <c r="I322" s="24"/>
      <c r="J322" s="5"/>
    </row>
    <row r="323" spans="1:10" ht="13.05" customHeight="1">
      <c r="A323" s="18" t="s">
        <v>3396</v>
      </c>
      <c r="B323" s="19" t="s">
        <v>3397</v>
      </c>
      <c r="C323" s="15"/>
      <c r="D323" s="15"/>
      <c r="E323" s="20">
        <v>-5832000</v>
      </c>
      <c r="F323" s="21">
        <v>-4436.4023999999999</v>
      </c>
      <c r="G323" s="22">
        <v>-5.5999999999999999E-3</v>
      </c>
      <c r="H323" s="40"/>
      <c r="I323" s="24"/>
      <c r="J323" s="5"/>
    </row>
    <row r="324" spans="1:10" ht="13.05" customHeight="1">
      <c r="A324" s="18" t="s">
        <v>3398</v>
      </c>
      <c r="B324" s="19" t="s">
        <v>3399</v>
      </c>
      <c r="C324" s="15"/>
      <c r="D324" s="15"/>
      <c r="E324" s="20">
        <v>-1077300</v>
      </c>
      <c r="F324" s="21">
        <v>-4621.0784000000003</v>
      </c>
      <c r="G324" s="22">
        <v>-5.8999999999999999E-3</v>
      </c>
      <c r="H324" s="40"/>
      <c r="I324" s="24"/>
      <c r="J324" s="5"/>
    </row>
    <row r="325" spans="1:10" ht="13.05" customHeight="1">
      <c r="A325" s="18" t="s">
        <v>3068</v>
      </c>
      <c r="B325" s="19" t="s">
        <v>3069</v>
      </c>
      <c r="C325" s="15"/>
      <c r="D325" s="15"/>
      <c r="E325" s="20">
        <v>-1350225</v>
      </c>
      <c r="F325" s="21">
        <v>-5083.5971</v>
      </c>
      <c r="G325" s="22">
        <v>-6.4999999999999997E-3</v>
      </c>
      <c r="H325" s="40"/>
      <c r="I325" s="24"/>
      <c r="J325" s="5"/>
    </row>
    <row r="326" spans="1:10" ht="13.05" customHeight="1">
      <c r="A326" s="18" t="s">
        <v>3400</v>
      </c>
      <c r="B326" s="19" t="s">
        <v>3401</v>
      </c>
      <c r="C326" s="15"/>
      <c r="D326" s="15"/>
      <c r="E326" s="20">
        <v>-33000</v>
      </c>
      <c r="F326" s="21">
        <v>-5138.76</v>
      </c>
      <c r="G326" s="22">
        <v>-6.4999999999999997E-3</v>
      </c>
      <c r="H326" s="40"/>
      <c r="I326" s="24"/>
      <c r="J326" s="5"/>
    </row>
    <row r="327" spans="1:10" ht="13.05" customHeight="1">
      <c r="A327" s="18" t="s">
        <v>3402</v>
      </c>
      <c r="B327" s="19" t="s">
        <v>3403</v>
      </c>
      <c r="C327" s="15"/>
      <c r="D327" s="15"/>
      <c r="E327" s="20">
        <v>-1040750</v>
      </c>
      <c r="F327" s="21">
        <v>-5168.3644999999997</v>
      </c>
      <c r="G327" s="22">
        <v>-6.6E-3</v>
      </c>
      <c r="H327" s="40"/>
      <c r="I327" s="24"/>
      <c r="J327" s="5"/>
    </row>
    <row r="328" spans="1:10" ht="13.05" customHeight="1">
      <c r="A328" s="18" t="s">
        <v>3076</v>
      </c>
      <c r="B328" s="19" t="s">
        <v>3077</v>
      </c>
      <c r="C328" s="15"/>
      <c r="D328" s="15"/>
      <c r="E328" s="20">
        <v>-2849000</v>
      </c>
      <c r="F328" s="21">
        <v>-5239.0261</v>
      </c>
      <c r="G328" s="22">
        <v>-6.7000000000000002E-3</v>
      </c>
      <c r="H328" s="40"/>
      <c r="I328" s="24"/>
      <c r="J328" s="5"/>
    </row>
    <row r="329" spans="1:10" ht="13.05" customHeight="1">
      <c r="A329" s="18" t="s">
        <v>3404</v>
      </c>
      <c r="B329" s="19" t="s">
        <v>3405</v>
      </c>
      <c r="C329" s="15"/>
      <c r="D329" s="15"/>
      <c r="E329" s="20">
        <v>-129850</v>
      </c>
      <c r="F329" s="21">
        <v>-5264.2488999999996</v>
      </c>
      <c r="G329" s="22">
        <v>-6.7000000000000002E-3</v>
      </c>
      <c r="H329" s="40"/>
      <c r="I329" s="24"/>
      <c r="J329" s="5"/>
    </row>
    <row r="330" spans="1:10" ht="13.05" customHeight="1">
      <c r="A330" s="18" t="s">
        <v>3406</v>
      </c>
      <c r="B330" s="19" t="s">
        <v>3407</v>
      </c>
      <c r="C330" s="15"/>
      <c r="D330" s="15"/>
      <c r="E330" s="20">
        <v>-1020000</v>
      </c>
      <c r="F330" s="21">
        <v>-5413.14</v>
      </c>
      <c r="G330" s="22">
        <v>-6.8999999999999999E-3</v>
      </c>
      <c r="H330" s="40"/>
      <c r="I330" s="24"/>
      <c r="J330" s="5"/>
    </row>
    <row r="331" spans="1:10" ht="13.05" customHeight="1">
      <c r="A331" s="18" t="s">
        <v>3408</v>
      </c>
      <c r="B331" s="19" t="s">
        <v>3409</v>
      </c>
      <c r="C331" s="15"/>
      <c r="D331" s="15"/>
      <c r="E331" s="20">
        <v>-448875</v>
      </c>
      <c r="F331" s="21">
        <v>-5441.2628000000004</v>
      </c>
      <c r="G331" s="22">
        <v>-6.8999999999999999E-3</v>
      </c>
      <c r="H331" s="40"/>
      <c r="I331" s="24"/>
      <c r="J331" s="5"/>
    </row>
    <row r="332" spans="1:10" ht="13.05" customHeight="1">
      <c r="A332" s="18" t="s">
        <v>3410</v>
      </c>
      <c r="B332" s="19" t="s">
        <v>3411</v>
      </c>
      <c r="C332" s="15"/>
      <c r="D332" s="15"/>
      <c r="E332" s="20">
        <v>-740850</v>
      </c>
      <c r="F332" s="21">
        <v>-5552.6707999999999</v>
      </c>
      <c r="G332" s="22">
        <v>-7.1000000000000004E-3</v>
      </c>
      <c r="H332" s="40"/>
      <c r="I332" s="24"/>
      <c r="J332" s="5"/>
    </row>
    <row r="333" spans="1:10" ht="13.05" customHeight="1">
      <c r="A333" s="18" t="s">
        <v>3412</v>
      </c>
      <c r="B333" s="19" t="s">
        <v>3413</v>
      </c>
      <c r="C333" s="15"/>
      <c r="D333" s="15"/>
      <c r="E333" s="20">
        <v>-647000</v>
      </c>
      <c r="F333" s="21">
        <v>-5704.9224999999997</v>
      </c>
      <c r="G333" s="22">
        <v>-7.1999999999999998E-3</v>
      </c>
      <c r="H333" s="40"/>
      <c r="I333" s="24"/>
      <c r="J333" s="5"/>
    </row>
    <row r="334" spans="1:10" ht="13.05" customHeight="1">
      <c r="A334" s="18" t="s">
        <v>3414</v>
      </c>
      <c r="B334" s="19" t="s">
        <v>3415</v>
      </c>
      <c r="C334" s="15"/>
      <c r="D334" s="15"/>
      <c r="E334" s="20">
        <v>-61500</v>
      </c>
      <c r="F334" s="21">
        <v>-5718.8850000000002</v>
      </c>
      <c r="G334" s="22">
        <v>-7.3000000000000001E-3</v>
      </c>
      <c r="H334" s="40"/>
      <c r="I334" s="24"/>
      <c r="J334" s="5"/>
    </row>
    <row r="335" spans="1:10" ht="13.05" customHeight="1">
      <c r="A335" s="18" t="s">
        <v>3416</v>
      </c>
      <c r="B335" s="19" t="s">
        <v>3417</v>
      </c>
      <c r="C335" s="15"/>
      <c r="D335" s="15"/>
      <c r="E335" s="20">
        <v>-408500</v>
      </c>
      <c r="F335" s="21">
        <v>-5939.9984999999997</v>
      </c>
      <c r="G335" s="22">
        <v>-7.4999999999999997E-3</v>
      </c>
      <c r="H335" s="40"/>
      <c r="I335" s="24"/>
      <c r="J335" s="5"/>
    </row>
    <row r="336" spans="1:10" ht="13.05" customHeight="1">
      <c r="A336" s="18" t="s">
        <v>3006</v>
      </c>
      <c r="B336" s="19" t="s">
        <v>3007</v>
      </c>
      <c r="C336" s="15"/>
      <c r="D336" s="15"/>
      <c r="E336" s="20">
        <v>-522500</v>
      </c>
      <c r="F336" s="21">
        <v>-5996.21</v>
      </c>
      <c r="G336" s="22">
        <v>-7.6E-3</v>
      </c>
      <c r="H336" s="40"/>
      <c r="I336" s="24"/>
      <c r="J336" s="5"/>
    </row>
    <row r="337" spans="1:10" ht="13.05" customHeight="1">
      <c r="A337" s="18" t="s">
        <v>3418</v>
      </c>
      <c r="B337" s="19" t="s">
        <v>3419</v>
      </c>
      <c r="C337" s="15"/>
      <c r="D337" s="15"/>
      <c r="E337" s="20">
        <v>-886800</v>
      </c>
      <c r="F337" s="21">
        <v>-6426.6396000000004</v>
      </c>
      <c r="G337" s="22">
        <v>-8.2000000000000007E-3</v>
      </c>
      <c r="H337" s="40"/>
      <c r="I337" s="24"/>
      <c r="J337" s="5"/>
    </row>
    <row r="338" spans="1:10" ht="13.05" customHeight="1">
      <c r="A338" s="18" t="s">
        <v>3420</v>
      </c>
      <c r="B338" s="19" t="s">
        <v>3421</v>
      </c>
      <c r="C338" s="15"/>
      <c r="D338" s="15"/>
      <c r="E338" s="20">
        <v>-496625</v>
      </c>
      <c r="F338" s="21">
        <v>-6493.3719000000001</v>
      </c>
      <c r="G338" s="22">
        <v>-8.2000000000000007E-3</v>
      </c>
      <c r="H338" s="40"/>
      <c r="I338" s="24"/>
      <c r="J338" s="5"/>
    </row>
    <row r="339" spans="1:10" ht="13.05" customHeight="1">
      <c r="A339" s="18" t="s">
        <v>3422</v>
      </c>
      <c r="B339" s="19" t="s">
        <v>3423</v>
      </c>
      <c r="C339" s="15"/>
      <c r="D339" s="15"/>
      <c r="E339" s="20">
        <v>-757250</v>
      </c>
      <c r="F339" s="21">
        <v>-7058.3272999999999</v>
      </c>
      <c r="G339" s="22">
        <v>-8.9999999999999993E-3</v>
      </c>
      <c r="H339" s="40"/>
      <c r="I339" s="24"/>
      <c r="J339" s="5"/>
    </row>
    <row r="340" spans="1:10" ht="13.05" customHeight="1">
      <c r="A340" s="18" t="s">
        <v>3044</v>
      </c>
      <c r="B340" s="19" t="s">
        <v>3045</v>
      </c>
      <c r="C340" s="15"/>
      <c r="D340" s="15"/>
      <c r="E340" s="20">
        <v>-912100</v>
      </c>
      <c r="F340" s="21">
        <v>-7281.2942999999996</v>
      </c>
      <c r="G340" s="22">
        <v>-9.1999999999999998E-3</v>
      </c>
      <c r="H340" s="40"/>
      <c r="I340" s="24"/>
      <c r="J340" s="5"/>
    </row>
    <row r="341" spans="1:10" ht="13.05" customHeight="1">
      <c r="A341" s="18" t="s">
        <v>3108</v>
      </c>
      <c r="B341" s="19" t="s">
        <v>3109</v>
      </c>
      <c r="C341" s="15"/>
      <c r="D341" s="15"/>
      <c r="E341" s="20">
        <v>-699000</v>
      </c>
      <c r="F341" s="21">
        <v>-7336.7039999999997</v>
      </c>
      <c r="G341" s="22">
        <v>-9.2999999999999992E-3</v>
      </c>
      <c r="H341" s="40"/>
      <c r="I341" s="24"/>
      <c r="J341" s="5"/>
    </row>
    <row r="342" spans="1:10" ht="13.05" customHeight="1">
      <c r="A342" s="18" t="s">
        <v>3424</v>
      </c>
      <c r="B342" s="19" t="s">
        <v>3425</v>
      </c>
      <c r="C342" s="15"/>
      <c r="D342" s="15"/>
      <c r="E342" s="20">
        <v>-2349500</v>
      </c>
      <c r="F342" s="21">
        <v>-7704.0105000000003</v>
      </c>
      <c r="G342" s="22">
        <v>-9.7999999999999997E-3</v>
      </c>
      <c r="H342" s="40"/>
      <c r="I342" s="24"/>
      <c r="J342" s="5"/>
    </row>
    <row r="343" spans="1:10" ht="13.05" customHeight="1">
      <c r="A343" s="18" t="s">
        <v>3018</v>
      </c>
      <c r="B343" s="19" t="s">
        <v>3019</v>
      </c>
      <c r="C343" s="15"/>
      <c r="D343" s="15"/>
      <c r="E343" s="20">
        <v>-2187900</v>
      </c>
      <c r="F343" s="21">
        <v>-8010.9958999999999</v>
      </c>
      <c r="G343" s="22">
        <v>-1.0200000000000001E-2</v>
      </c>
      <c r="H343" s="40"/>
      <c r="I343" s="24"/>
      <c r="J343" s="5"/>
    </row>
    <row r="344" spans="1:10" ht="13.05" customHeight="1">
      <c r="A344" s="18" t="s">
        <v>3426</v>
      </c>
      <c r="B344" s="19" t="s">
        <v>3427</v>
      </c>
      <c r="C344" s="15"/>
      <c r="D344" s="15"/>
      <c r="E344" s="20">
        <v>-1976350</v>
      </c>
      <c r="F344" s="21">
        <v>-8033.8627999999999</v>
      </c>
      <c r="G344" s="22">
        <v>-1.0200000000000001E-2</v>
      </c>
      <c r="H344" s="40"/>
      <c r="I344" s="24"/>
      <c r="J344" s="5"/>
    </row>
    <row r="345" spans="1:10" ht="13.05" customHeight="1">
      <c r="A345" s="18" t="s">
        <v>3094</v>
      </c>
      <c r="B345" s="19" t="s">
        <v>3095</v>
      </c>
      <c r="C345" s="15"/>
      <c r="D345" s="15"/>
      <c r="E345" s="20">
        <v>-277000</v>
      </c>
      <c r="F345" s="21">
        <v>-8044.357</v>
      </c>
      <c r="G345" s="22">
        <v>-1.0200000000000001E-2</v>
      </c>
      <c r="H345" s="40"/>
      <c r="I345" s="24"/>
      <c r="J345" s="5"/>
    </row>
    <row r="346" spans="1:10" ht="13.05" customHeight="1">
      <c r="A346" s="18" t="s">
        <v>3428</v>
      </c>
      <c r="B346" s="19" t="s">
        <v>3429</v>
      </c>
      <c r="C346" s="15"/>
      <c r="D346" s="15"/>
      <c r="E346" s="20">
        <v>-1740900</v>
      </c>
      <c r="F346" s="21">
        <v>-8262.3114000000005</v>
      </c>
      <c r="G346" s="22">
        <v>-1.0500000000000001E-2</v>
      </c>
      <c r="H346" s="40"/>
      <c r="I346" s="24"/>
      <c r="J346" s="5"/>
    </row>
    <row r="347" spans="1:10" ht="13.05" customHeight="1">
      <c r="A347" s="18" t="s">
        <v>3038</v>
      </c>
      <c r="B347" s="19" t="s">
        <v>3039</v>
      </c>
      <c r="C347" s="15"/>
      <c r="D347" s="15"/>
      <c r="E347" s="20">
        <v>-445200</v>
      </c>
      <c r="F347" s="21">
        <v>-9421.3223999999991</v>
      </c>
      <c r="G347" s="22">
        <v>-1.2E-2</v>
      </c>
      <c r="H347" s="40"/>
      <c r="I347" s="24"/>
      <c r="J347" s="5"/>
    </row>
    <row r="348" spans="1:10" ht="13.05" customHeight="1">
      <c r="A348" s="18" t="s">
        <v>3430</v>
      </c>
      <c r="B348" s="19" t="s">
        <v>3431</v>
      </c>
      <c r="C348" s="15"/>
      <c r="D348" s="15"/>
      <c r="E348" s="20">
        <v>-467875</v>
      </c>
      <c r="F348" s="21">
        <v>-9673.7834999999995</v>
      </c>
      <c r="G348" s="22">
        <v>-1.23E-2</v>
      </c>
      <c r="H348" s="40"/>
      <c r="I348" s="24"/>
      <c r="J348" s="5"/>
    </row>
    <row r="349" spans="1:10" ht="13.05" customHeight="1">
      <c r="A349" s="18" t="s">
        <v>3036</v>
      </c>
      <c r="B349" s="19" t="s">
        <v>3037</v>
      </c>
      <c r="C349" s="15"/>
      <c r="D349" s="15"/>
      <c r="E349" s="20">
        <v>-266350</v>
      </c>
      <c r="F349" s="21">
        <v>-10038.465200000001</v>
      </c>
      <c r="G349" s="22">
        <v>-1.2800000000000001E-2</v>
      </c>
      <c r="H349" s="40"/>
      <c r="I349" s="24"/>
      <c r="J349" s="5"/>
    </row>
    <row r="350" spans="1:10" ht="13.05" customHeight="1">
      <c r="A350" s="18" t="s">
        <v>3432</v>
      </c>
      <c r="B350" s="19" t="s">
        <v>3433</v>
      </c>
      <c r="C350" s="15"/>
      <c r="D350" s="15"/>
      <c r="E350" s="20">
        <v>-446050</v>
      </c>
      <c r="F350" s="21">
        <v>-10264.948700000001</v>
      </c>
      <c r="G350" s="22">
        <v>-1.2999999999999999E-2</v>
      </c>
      <c r="H350" s="40"/>
      <c r="I350" s="24"/>
      <c r="J350" s="5"/>
    </row>
    <row r="351" spans="1:10" ht="13.05" customHeight="1">
      <c r="A351" s="18" t="s">
        <v>3030</v>
      </c>
      <c r="B351" s="19" t="s">
        <v>3031</v>
      </c>
      <c r="C351" s="15"/>
      <c r="D351" s="15"/>
      <c r="E351" s="20">
        <v>-3379000</v>
      </c>
      <c r="F351" s="21">
        <v>-11027.3665</v>
      </c>
      <c r="G351" s="22">
        <v>-1.4E-2</v>
      </c>
      <c r="H351" s="40"/>
      <c r="I351" s="24"/>
      <c r="J351" s="5"/>
    </row>
    <row r="352" spans="1:10" ht="13.05" customHeight="1">
      <c r="A352" s="18" t="s">
        <v>3002</v>
      </c>
      <c r="B352" s="19" t="s">
        <v>3003</v>
      </c>
      <c r="C352" s="15"/>
      <c r="D352" s="15"/>
      <c r="E352" s="20">
        <v>-11934225</v>
      </c>
      <c r="F352" s="21">
        <v>-11273.0689</v>
      </c>
      <c r="G352" s="22">
        <v>-1.43E-2</v>
      </c>
      <c r="H352" s="40"/>
      <c r="I352" s="24"/>
      <c r="J352" s="5"/>
    </row>
    <row r="353" spans="1:10" ht="13.05" customHeight="1">
      <c r="A353" s="18" t="s">
        <v>3434</v>
      </c>
      <c r="B353" s="19" t="s">
        <v>3435</v>
      </c>
      <c r="C353" s="15"/>
      <c r="D353" s="15"/>
      <c r="E353" s="20">
        <v>-9448000</v>
      </c>
      <c r="F353" s="21">
        <v>-11654.108</v>
      </c>
      <c r="G353" s="22">
        <v>-1.4800000000000001E-2</v>
      </c>
      <c r="H353" s="40"/>
      <c r="I353" s="24"/>
      <c r="J353" s="5"/>
    </row>
    <row r="354" spans="1:10" ht="13.05" customHeight="1">
      <c r="A354" s="18" t="s">
        <v>3028</v>
      </c>
      <c r="B354" s="19" t="s">
        <v>3029</v>
      </c>
      <c r="C354" s="15"/>
      <c r="D354" s="15"/>
      <c r="E354" s="20">
        <v>-4914000</v>
      </c>
      <c r="F354" s="21">
        <v>-13744.458000000001</v>
      </c>
      <c r="G354" s="22">
        <v>-1.7500000000000002E-2</v>
      </c>
      <c r="H354" s="40"/>
      <c r="I354" s="24"/>
      <c r="J354" s="5"/>
    </row>
    <row r="355" spans="1:10" ht="13.05" customHeight="1">
      <c r="A355" s="18" t="s">
        <v>3064</v>
      </c>
      <c r="B355" s="19" t="s">
        <v>3065</v>
      </c>
      <c r="C355" s="15"/>
      <c r="D355" s="15"/>
      <c r="E355" s="20">
        <v>-123800</v>
      </c>
      <c r="F355" s="21">
        <v>-14868.38</v>
      </c>
      <c r="G355" s="22">
        <v>-1.89E-2</v>
      </c>
      <c r="H355" s="40"/>
      <c r="I355" s="24"/>
      <c r="J355" s="5"/>
    </row>
    <row r="356" spans="1:10" ht="13.05" customHeight="1">
      <c r="A356" s="18" t="s">
        <v>3078</v>
      </c>
      <c r="B356" s="19" t="s">
        <v>3079</v>
      </c>
      <c r="C356" s="15"/>
      <c r="D356" s="15"/>
      <c r="E356" s="20">
        <v>-1202600</v>
      </c>
      <c r="F356" s="21">
        <v>-16288.0144</v>
      </c>
      <c r="G356" s="22">
        <v>-2.07E-2</v>
      </c>
      <c r="H356" s="40"/>
      <c r="I356" s="24"/>
      <c r="J356" s="5"/>
    </row>
    <row r="357" spans="1:10" ht="13.05" customHeight="1">
      <c r="A357" s="18" t="s">
        <v>3106</v>
      </c>
      <c r="B357" s="19" t="s">
        <v>3107</v>
      </c>
      <c r="C357" s="15"/>
      <c r="D357" s="15"/>
      <c r="E357" s="20">
        <v>-582400</v>
      </c>
      <c r="F357" s="21">
        <v>-17912.294399999999</v>
      </c>
      <c r="G357" s="22">
        <v>-2.2800000000000001E-2</v>
      </c>
      <c r="H357" s="40"/>
      <c r="I357" s="24"/>
      <c r="J357" s="5"/>
    </row>
    <row r="358" spans="1:10" ht="13.05" customHeight="1">
      <c r="A358" s="18" t="s">
        <v>3084</v>
      </c>
      <c r="B358" s="19" t="s">
        <v>3085</v>
      </c>
      <c r="C358" s="15"/>
      <c r="D358" s="15"/>
      <c r="E358" s="20">
        <v>-2064700</v>
      </c>
      <c r="F358" s="21">
        <v>-20520.021000000001</v>
      </c>
      <c r="G358" s="22">
        <v>-2.6100000000000002E-2</v>
      </c>
      <c r="H358" s="40"/>
      <c r="I358" s="24"/>
      <c r="J358" s="5"/>
    </row>
    <row r="359" spans="1:10" ht="13.05" customHeight="1">
      <c r="A359" s="18" t="s">
        <v>3436</v>
      </c>
      <c r="B359" s="19" t="s">
        <v>3437</v>
      </c>
      <c r="C359" s="15"/>
      <c r="D359" s="15"/>
      <c r="E359" s="20">
        <v>-6426250</v>
      </c>
      <c r="F359" s="21">
        <v>-20557.573799999998</v>
      </c>
      <c r="G359" s="22">
        <v>-2.6100000000000002E-2</v>
      </c>
      <c r="H359" s="40"/>
      <c r="I359" s="24"/>
      <c r="J359" s="5"/>
    </row>
    <row r="360" spans="1:10" ht="13.05" customHeight="1">
      <c r="A360" s="18" t="s">
        <v>3438</v>
      </c>
      <c r="B360" s="19" t="s">
        <v>3439</v>
      </c>
      <c r="C360" s="15"/>
      <c r="D360" s="15"/>
      <c r="E360" s="20">
        <v>-25051775</v>
      </c>
      <c r="F360" s="21">
        <v>-20600.0746</v>
      </c>
      <c r="G360" s="22">
        <v>-2.6200000000000001E-2</v>
      </c>
      <c r="H360" s="40"/>
      <c r="I360" s="24"/>
      <c r="J360" s="5"/>
    </row>
    <row r="361" spans="1:10" ht="13.05" customHeight="1">
      <c r="A361" s="18" t="s">
        <v>3102</v>
      </c>
      <c r="B361" s="19" t="s">
        <v>3103</v>
      </c>
      <c r="C361" s="15"/>
      <c r="D361" s="15"/>
      <c r="E361" s="20">
        <v>-1426000</v>
      </c>
      <c r="F361" s="21">
        <v>-21332.959999999999</v>
      </c>
      <c r="G361" s="22">
        <v>-2.7099999999999999E-2</v>
      </c>
      <c r="H361" s="40"/>
      <c r="I361" s="24"/>
      <c r="J361" s="5"/>
    </row>
    <row r="362" spans="1:10" ht="13.05" customHeight="1">
      <c r="A362" s="18" t="s">
        <v>3072</v>
      </c>
      <c r="B362" s="19" t="s">
        <v>3073</v>
      </c>
      <c r="C362" s="15"/>
      <c r="D362" s="15"/>
      <c r="E362" s="20">
        <v>-2366250</v>
      </c>
      <c r="F362" s="21">
        <v>-22310.188099999999</v>
      </c>
      <c r="G362" s="22">
        <v>-2.8299999999999999E-2</v>
      </c>
      <c r="H362" s="40"/>
      <c r="I362" s="24"/>
      <c r="J362" s="5"/>
    </row>
    <row r="363" spans="1:10" ht="13.05" customHeight="1">
      <c r="A363" s="18" t="s">
        <v>3440</v>
      </c>
      <c r="B363" s="19" t="s">
        <v>3441</v>
      </c>
      <c r="C363" s="15"/>
      <c r="D363" s="15"/>
      <c r="E363" s="20">
        <v>-303054000</v>
      </c>
      <c r="F363" s="21">
        <v>-26608.141199999998</v>
      </c>
      <c r="G363" s="22">
        <v>-3.3799999999999997E-2</v>
      </c>
      <c r="H363" s="40"/>
      <c r="I363" s="24"/>
      <c r="J363" s="5"/>
    </row>
    <row r="364" spans="1:10" ht="13.05" customHeight="1">
      <c r="A364" s="5"/>
      <c r="B364" s="14" t="s">
        <v>192</v>
      </c>
      <c r="C364" s="15"/>
      <c r="D364" s="15"/>
      <c r="E364" s="15"/>
      <c r="F364" s="25">
        <v>-592501.94090000005</v>
      </c>
      <c r="G364" s="26">
        <v>-0.75260000000000005</v>
      </c>
      <c r="H364" s="27"/>
      <c r="I364" s="28"/>
      <c r="J364" s="5"/>
    </row>
    <row r="365" spans="1:10" ht="13.05" customHeight="1">
      <c r="A365" s="5"/>
      <c r="B365" s="29" t="s">
        <v>195</v>
      </c>
      <c r="C365" s="30"/>
      <c r="D365" s="2"/>
      <c r="E365" s="30"/>
      <c r="F365" s="25">
        <v>-592501.94090000005</v>
      </c>
      <c r="G365" s="26">
        <v>-0.75260000000000005</v>
      </c>
      <c r="H365" s="27"/>
      <c r="I365" s="28"/>
      <c r="J365" s="5"/>
    </row>
    <row r="366" spans="1:10" ht="13.05" customHeight="1">
      <c r="A366" s="5"/>
      <c r="B366" s="14" t="s">
        <v>183</v>
      </c>
      <c r="C366" s="15"/>
      <c r="D366" s="15"/>
      <c r="E366" s="15"/>
      <c r="F366" s="15"/>
      <c r="G366" s="15"/>
      <c r="H366" s="16"/>
      <c r="I366" s="17"/>
      <c r="J366" s="5"/>
    </row>
    <row r="367" spans="1:10" ht="13.05" customHeight="1">
      <c r="A367" s="5"/>
      <c r="B367" s="14" t="s">
        <v>184</v>
      </c>
      <c r="C367" s="15"/>
      <c r="D367" s="15"/>
      <c r="E367" s="15"/>
      <c r="F367" s="5"/>
      <c r="G367" s="16"/>
      <c r="H367" s="16"/>
      <c r="I367" s="17"/>
      <c r="J367" s="5"/>
    </row>
    <row r="368" spans="1:10" ht="13.05" customHeight="1">
      <c r="A368" s="18" t="s">
        <v>3442</v>
      </c>
      <c r="B368" s="19" t="s">
        <v>3443</v>
      </c>
      <c r="C368" s="15" t="s">
        <v>3444</v>
      </c>
      <c r="D368" s="15" t="s">
        <v>213</v>
      </c>
      <c r="E368" s="20">
        <v>12500</v>
      </c>
      <c r="F368" s="21">
        <v>12566.8125</v>
      </c>
      <c r="G368" s="22">
        <v>1.6E-2</v>
      </c>
      <c r="H368" s="23">
        <v>6.8199999999999997E-2</v>
      </c>
      <c r="I368" s="24"/>
      <c r="J368" s="5"/>
    </row>
    <row r="369" spans="1:10" ht="13.05" customHeight="1">
      <c r="A369" s="18" t="s">
        <v>3445</v>
      </c>
      <c r="B369" s="19" t="s">
        <v>3446</v>
      </c>
      <c r="C369" s="15" t="s">
        <v>3447</v>
      </c>
      <c r="D369" s="15" t="s">
        <v>213</v>
      </c>
      <c r="E369" s="20">
        <v>10000</v>
      </c>
      <c r="F369" s="21">
        <v>10040.27</v>
      </c>
      <c r="G369" s="22">
        <v>1.2800000000000001E-2</v>
      </c>
      <c r="H369" s="23">
        <v>6.4350000000000004E-2</v>
      </c>
      <c r="I369" s="24"/>
      <c r="J369" s="5"/>
    </row>
    <row r="370" spans="1:10" ht="13.05" customHeight="1">
      <c r="A370" s="18" t="s">
        <v>3448</v>
      </c>
      <c r="B370" s="19" t="s">
        <v>3449</v>
      </c>
      <c r="C370" s="15" t="s">
        <v>3450</v>
      </c>
      <c r="D370" s="15" t="s">
        <v>213</v>
      </c>
      <c r="E370" s="20">
        <v>800</v>
      </c>
      <c r="F370" s="21">
        <v>8016.4960000000001</v>
      </c>
      <c r="G370" s="22">
        <v>1.0200000000000001E-2</v>
      </c>
      <c r="H370" s="23">
        <v>6.2050000000000001E-2</v>
      </c>
      <c r="I370" s="24"/>
      <c r="J370" s="5"/>
    </row>
    <row r="371" spans="1:10" ht="13.05" customHeight="1">
      <c r="A371" s="18" t="s">
        <v>3451</v>
      </c>
      <c r="B371" s="19" t="s">
        <v>3452</v>
      </c>
      <c r="C371" s="15" t="s">
        <v>3453</v>
      </c>
      <c r="D371" s="15" t="s">
        <v>1923</v>
      </c>
      <c r="E371" s="20">
        <v>7500</v>
      </c>
      <c r="F371" s="21">
        <v>7531.05</v>
      </c>
      <c r="G371" s="22">
        <v>9.5999999999999992E-3</v>
      </c>
      <c r="H371" s="23">
        <v>6.7699999999999996E-2</v>
      </c>
      <c r="I371" s="24"/>
      <c r="J371" s="5"/>
    </row>
    <row r="372" spans="1:10" ht="13.05" customHeight="1">
      <c r="A372" s="18" t="s">
        <v>3454</v>
      </c>
      <c r="B372" s="19" t="s">
        <v>3455</v>
      </c>
      <c r="C372" s="15" t="s">
        <v>3456</v>
      </c>
      <c r="D372" s="15" t="s">
        <v>213</v>
      </c>
      <c r="E372" s="20">
        <v>5000</v>
      </c>
      <c r="F372" s="21">
        <v>5013.58</v>
      </c>
      <c r="G372" s="22">
        <v>6.4000000000000003E-3</v>
      </c>
      <c r="H372" s="23">
        <v>6.8901000000000004E-2</v>
      </c>
      <c r="I372" s="24"/>
      <c r="J372" s="5"/>
    </row>
    <row r="373" spans="1:10" ht="13.05" customHeight="1">
      <c r="A373" s="18" t="s">
        <v>2189</v>
      </c>
      <c r="B373" s="19" t="s">
        <v>2190</v>
      </c>
      <c r="C373" s="15" t="s">
        <v>2191</v>
      </c>
      <c r="D373" s="15" t="s">
        <v>213</v>
      </c>
      <c r="E373" s="20">
        <v>2500</v>
      </c>
      <c r="F373" s="21">
        <v>2516.4349999999999</v>
      </c>
      <c r="G373" s="22">
        <v>3.2000000000000002E-3</v>
      </c>
      <c r="H373" s="23">
        <v>6.4350000000000004E-2</v>
      </c>
      <c r="I373" s="24"/>
      <c r="J373" s="5"/>
    </row>
    <row r="374" spans="1:10" ht="13.05" customHeight="1">
      <c r="A374" s="18" t="s">
        <v>3457</v>
      </c>
      <c r="B374" s="19" t="s">
        <v>3458</v>
      </c>
      <c r="C374" s="15" t="s">
        <v>3459</v>
      </c>
      <c r="D374" s="15" t="s">
        <v>213</v>
      </c>
      <c r="E374" s="20">
        <v>2500</v>
      </c>
      <c r="F374" s="21">
        <v>2515.2525000000001</v>
      </c>
      <c r="G374" s="22">
        <v>3.2000000000000002E-3</v>
      </c>
      <c r="H374" s="23">
        <v>6.6400000000000001E-2</v>
      </c>
      <c r="I374" s="24"/>
      <c r="J374" s="5"/>
    </row>
    <row r="375" spans="1:10" ht="13.05" customHeight="1">
      <c r="A375" s="18" t="s">
        <v>3460</v>
      </c>
      <c r="B375" s="19" t="s">
        <v>3461</v>
      </c>
      <c r="C375" s="15" t="s">
        <v>3462</v>
      </c>
      <c r="D375" s="15" t="s">
        <v>213</v>
      </c>
      <c r="E375" s="20">
        <v>2500</v>
      </c>
      <c r="F375" s="21">
        <v>2514.29</v>
      </c>
      <c r="G375" s="22">
        <v>3.2000000000000002E-3</v>
      </c>
      <c r="H375" s="23">
        <v>6.6199999999999995E-2</v>
      </c>
      <c r="I375" s="24"/>
      <c r="J375" s="5"/>
    </row>
    <row r="376" spans="1:10" ht="13.05" customHeight="1">
      <c r="A376" s="18" t="s">
        <v>3463</v>
      </c>
      <c r="B376" s="19" t="s">
        <v>3464</v>
      </c>
      <c r="C376" s="15" t="s">
        <v>3465</v>
      </c>
      <c r="D376" s="15" t="s">
        <v>188</v>
      </c>
      <c r="E376" s="20">
        <v>2500000</v>
      </c>
      <c r="F376" s="21">
        <v>2502.5700000000002</v>
      </c>
      <c r="G376" s="22">
        <v>3.2000000000000002E-3</v>
      </c>
      <c r="H376" s="23">
        <v>5.6550999999999997E-2</v>
      </c>
      <c r="I376" s="24"/>
      <c r="J376" s="5"/>
    </row>
    <row r="377" spans="1:10" ht="13.05" customHeight="1">
      <c r="A377" s="18" t="s">
        <v>3466</v>
      </c>
      <c r="B377" s="19" t="s">
        <v>3467</v>
      </c>
      <c r="C377" s="15" t="s">
        <v>3468</v>
      </c>
      <c r="D377" s="15" t="s">
        <v>213</v>
      </c>
      <c r="E377" s="20">
        <v>1000</v>
      </c>
      <c r="F377" s="21">
        <v>1007.414</v>
      </c>
      <c r="G377" s="22">
        <v>1.2999999999999999E-3</v>
      </c>
      <c r="H377" s="23">
        <v>6.6400000000000001E-2</v>
      </c>
      <c r="I377" s="24"/>
      <c r="J377" s="5"/>
    </row>
    <row r="378" spans="1:10" ht="13.05" customHeight="1">
      <c r="A378" s="18" t="s">
        <v>3469</v>
      </c>
      <c r="B378" s="19" t="s">
        <v>3470</v>
      </c>
      <c r="C378" s="15" t="s">
        <v>3471</v>
      </c>
      <c r="D378" s="15" t="s">
        <v>213</v>
      </c>
      <c r="E378" s="20">
        <v>40</v>
      </c>
      <c r="F378" s="21">
        <v>40.236400000000003</v>
      </c>
      <c r="G378" s="22">
        <v>1E-4</v>
      </c>
      <c r="H378" s="23">
        <v>6.6199999999999995E-2</v>
      </c>
      <c r="I378" s="24"/>
      <c r="J378" s="5"/>
    </row>
    <row r="379" spans="1:10" ht="13.05" customHeight="1">
      <c r="A379" s="18" t="s">
        <v>3472</v>
      </c>
      <c r="B379" s="19" t="s">
        <v>3473</v>
      </c>
      <c r="C379" s="15" t="s">
        <v>3474</v>
      </c>
      <c r="D379" s="15" t="s">
        <v>213</v>
      </c>
      <c r="E379" s="20">
        <v>30</v>
      </c>
      <c r="F379" s="21">
        <v>30.339500000000001</v>
      </c>
      <c r="G379" s="40" t="s">
        <v>1809</v>
      </c>
      <c r="H379" s="23">
        <v>6.5549999999999997E-2</v>
      </c>
      <c r="I379" s="24"/>
      <c r="J379" s="5"/>
    </row>
    <row r="380" spans="1:10" ht="13.05" customHeight="1">
      <c r="A380" s="5"/>
      <c r="B380" s="14" t="s">
        <v>192</v>
      </c>
      <c r="C380" s="15"/>
      <c r="D380" s="15"/>
      <c r="E380" s="15"/>
      <c r="F380" s="25">
        <v>54294.745900000002</v>
      </c>
      <c r="G380" s="26">
        <v>6.9000000000000006E-2</v>
      </c>
      <c r="H380" s="27"/>
      <c r="I380" s="28"/>
      <c r="J380" s="5"/>
    </row>
    <row r="381" spans="1:10" ht="13.05" customHeight="1">
      <c r="A381" s="5"/>
      <c r="B381" s="29" t="s">
        <v>193</v>
      </c>
      <c r="C381" s="2"/>
      <c r="D381" s="2"/>
      <c r="E381" s="2"/>
      <c r="F381" s="27" t="s">
        <v>194</v>
      </c>
      <c r="G381" s="27" t="s">
        <v>194</v>
      </c>
      <c r="H381" s="27"/>
      <c r="I381" s="28"/>
      <c r="J381" s="5"/>
    </row>
    <row r="382" spans="1:10" ht="13.05" customHeight="1">
      <c r="A382" s="5"/>
      <c r="B382" s="29" t="s">
        <v>192</v>
      </c>
      <c r="C382" s="2"/>
      <c r="D382" s="2"/>
      <c r="E382" s="2"/>
      <c r="F382" s="27" t="s">
        <v>194</v>
      </c>
      <c r="G382" s="27" t="s">
        <v>194</v>
      </c>
      <c r="H382" s="27"/>
      <c r="I382" s="28"/>
      <c r="J382" s="5"/>
    </row>
    <row r="383" spans="1:10" ht="13.05" customHeight="1">
      <c r="A383" s="5"/>
      <c r="B383" s="29" t="s">
        <v>195</v>
      </c>
      <c r="C383" s="30"/>
      <c r="D383" s="2"/>
      <c r="E383" s="30"/>
      <c r="F383" s="25">
        <v>54294.745900000002</v>
      </c>
      <c r="G383" s="26">
        <v>6.9000000000000006E-2</v>
      </c>
      <c r="H383" s="27"/>
      <c r="I383" s="28"/>
      <c r="J383" s="5"/>
    </row>
    <row r="384" spans="1:10" ht="13.05" customHeight="1">
      <c r="A384" s="5"/>
      <c r="B384" s="14" t="s">
        <v>1866</v>
      </c>
      <c r="C384" s="15"/>
      <c r="D384" s="15"/>
      <c r="E384" s="15"/>
      <c r="F384" s="15"/>
      <c r="G384" s="15"/>
      <c r="H384" s="16"/>
      <c r="I384" s="17"/>
      <c r="J384" s="5"/>
    </row>
    <row r="385" spans="1:10" ht="13.05" customHeight="1">
      <c r="A385" s="5"/>
      <c r="B385" s="14" t="s">
        <v>2308</v>
      </c>
      <c r="C385" s="15"/>
      <c r="D385" s="15"/>
      <c r="E385" s="15"/>
      <c r="F385" s="5"/>
      <c r="G385" s="16"/>
      <c r="H385" s="16"/>
      <c r="I385" s="17"/>
      <c r="J385" s="5"/>
    </row>
    <row r="386" spans="1:10" ht="13.05" customHeight="1">
      <c r="A386" s="18" t="s">
        <v>3475</v>
      </c>
      <c r="B386" s="19" t="s">
        <v>3476</v>
      </c>
      <c r="C386" s="15" t="s">
        <v>3477</v>
      </c>
      <c r="D386" s="15" t="s">
        <v>3478</v>
      </c>
      <c r="E386" s="20">
        <v>1000</v>
      </c>
      <c r="F386" s="21">
        <v>4893.68</v>
      </c>
      <c r="G386" s="22">
        <v>6.1999999999999998E-3</v>
      </c>
      <c r="H386" s="23">
        <v>6.0999999999999999E-2</v>
      </c>
      <c r="I386" s="24"/>
      <c r="J386" s="5"/>
    </row>
    <row r="387" spans="1:10" ht="13.05" customHeight="1">
      <c r="A387" s="18" t="s">
        <v>3479</v>
      </c>
      <c r="B387" s="19" t="s">
        <v>3480</v>
      </c>
      <c r="C387" s="15" t="s">
        <v>3481</v>
      </c>
      <c r="D387" s="15" t="s">
        <v>2331</v>
      </c>
      <c r="E387" s="20">
        <v>500</v>
      </c>
      <c r="F387" s="21">
        <v>2480.9924999999998</v>
      </c>
      <c r="G387" s="22">
        <v>3.2000000000000002E-3</v>
      </c>
      <c r="H387" s="23">
        <v>5.9499000000000003E-2</v>
      </c>
      <c r="I387" s="24"/>
      <c r="J387" s="5"/>
    </row>
    <row r="388" spans="1:10" ht="13.05" customHeight="1">
      <c r="A388" s="18" t="s">
        <v>3482</v>
      </c>
      <c r="B388" s="19" t="s">
        <v>3483</v>
      </c>
      <c r="C388" s="15" t="s">
        <v>3484</v>
      </c>
      <c r="D388" s="15" t="s">
        <v>2312</v>
      </c>
      <c r="E388" s="20">
        <v>500</v>
      </c>
      <c r="F388" s="21">
        <v>2480.59</v>
      </c>
      <c r="G388" s="22">
        <v>3.2000000000000002E-3</v>
      </c>
      <c r="H388" s="23">
        <v>5.9499000000000003E-2</v>
      </c>
      <c r="I388" s="24"/>
      <c r="J388" s="5"/>
    </row>
    <row r="389" spans="1:10" ht="13.05" customHeight="1">
      <c r="A389" s="18" t="s">
        <v>3485</v>
      </c>
      <c r="B389" s="19" t="s">
        <v>3486</v>
      </c>
      <c r="C389" s="15" t="s">
        <v>3487</v>
      </c>
      <c r="D389" s="15" t="s">
        <v>3478</v>
      </c>
      <c r="E389" s="20">
        <v>300</v>
      </c>
      <c r="F389" s="21">
        <v>1481.4765</v>
      </c>
      <c r="G389" s="22">
        <v>1.9E-3</v>
      </c>
      <c r="H389" s="23">
        <v>6.0048999999999998E-2</v>
      </c>
      <c r="I389" s="24"/>
      <c r="J389" s="5"/>
    </row>
    <row r="390" spans="1:10" ht="13.05" customHeight="1">
      <c r="A390" s="5"/>
      <c r="B390" s="14" t="s">
        <v>192</v>
      </c>
      <c r="C390" s="15"/>
      <c r="D390" s="15"/>
      <c r="E390" s="15"/>
      <c r="F390" s="25">
        <v>11336.739</v>
      </c>
      <c r="G390" s="26">
        <v>1.44E-2</v>
      </c>
      <c r="H390" s="27"/>
      <c r="I390" s="28"/>
      <c r="J390" s="5"/>
    </row>
    <row r="391" spans="1:10" ht="13.05" customHeight="1">
      <c r="A391" s="5"/>
      <c r="B391" s="14" t="s">
        <v>2770</v>
      </c>
      <c r="C391" s="15"/>
      <c r="D391" s="15"/>
      <c r="E391" s="15"/>
      <c r="F391" s="5"/>
      <c r="G391" s="16"/>
      <c r="H391" s="16"/>
      <c r="I391" s="17"/>
      <c r="J391" s="5"/>
    </row>
    <row r="392" spans="1:10" ht="13.05" customHeight="1">
      <c r="A392" s="18" t="s">
        <v>3488</v>
      </c>
      <c r="B392" s="19" t="s">
        <v>3489</v>
      </c>
      <c r="C392" s="15" t="s">
        <v>3490</v>
      </c>
      <c r="D392" s="15" t="s">
        <v>2312</v>
      </c>
      <c r="E392" s="20">
        <v>4000</v>
      </c>
      <c r="F392" s="21">
        <v>19541.080000000002</v>
      </c>
      <c r="G392" s="22">
        <v>2.4799999999999999E-2</v>
      </c>
      <c r="H392" s="23">
        <v>6.6448999999999994E-2</v>
      </c>
      <c r="I392" s="24"/>
      <c r="J392" s="5"/>
    </row>
    <row r="393" spans="1:10" ht="13.05" customHeight="1">
      <c r="A393" s="18" t="s">
        <v>3491</v>
      </c>
      <c r="B393" s="19" t="s">
        <v>3492</v>
      </c>
      <c r="C393" s="15" t="s">
        <v>3493</v>
      </c>
      <c r="D393" s="15" t="s">
        <v>2312</v>
      </c>
      <c r="E393" s="20">
        <v>2000</v>
      </c>
      <c r="F393" s="21">
        <v>9834.74</v>
      </c>
      <c r="G393" s="22">
        <v>1.2500000000000001E-2</v>
      </c>
      <c r="H393" s="23">
        <v>6.8148E-2</v>
      </c>
      <c r="I393" s="24"/>
      <c r="J393" s="5"/>
    </row>
    <row r="394" spans="1:10" ht="13.05" customHeight="1">
      <c r="A394" s="18" t="s">
        <v>3494</v>
      </c>
      <c r="B394" s="19" t="s">
        <v>3495</v>
      </c>
      <c r="C394" s="15" t="s">
        <v>3496</v>
      </c>
      <c r="D394" s="15" t="s">
        <v>2312</v>
      </c>
      <c r="E394" s="20">
        <v>2000</v>
      </c>
      <c r="F394" s="21">
        <v>9621.02</v>
      </c>
      <c r="G394" s="22">
        <v>1.2200000000000001E-2</v>
      </c>
      <c r="H394" s="23">
        <v>6.7500000000000004E-2</v>
      </c>
      <c r="I394" s="24"/>
      <c r="J394" s="5"/>
    </row>
    <row r="395" spans="1:10" ht="13.05" customHeight="1">
      <c r="A395" s="18" t="s">
        <v>3497</v>
      </c>
      <c r="B395" s="19" t="s">
        <v>3498</v>
      </c>
      <c r="C395" s="15" t="s">
        <v>3499</v>
      </c>
      <c r="D395" s="15" t="s">
        <v>2774</v>
      </c>
      <c r="E395" s="20">
        <v>1300</v>
      </c>
      <c r="F395" s="21">
        <v>6344.0455000000002</v>
      </c>
      <c r="G395" s="22">
        <v>8.0999999999999996E-3</v>
      </c>
      <c r="H395" s="23">
        <v>6.7974999999999994E-2</v>
      </c>
      <c r="I395" s="24"/>
      <c r="J395" s="5"/>
    </row>
    <row r="396" spans="1:10" ht="13.05" customHeight="1">
      <c r="A396" s="18" t="s">
        <v>3500</v>
      </c>
      <c r="B396" s="19" t="s">
        <v>3501</v>
      </c>
      <c r="C396" s="15" t="s">
        <v>3502</v>
      </c>
      <c r="D396" s="15" t="s">
        <v>2312</v>
      </c>
      <c r="E396" s="20">
        <v>300</v>
      </c>
      <c r="F396" s="21">
        <v>1466.5425</v>
      </c>
      <c r="G396" s="22">
        <v>1.9E-3</v>
      </c>
      <c r="H396" s="23">
        <v>6.7699999999999996E-2</v>
      </c>
      <c r="I396" s="24"/>
      <c r="J396" s="5"/>
    </row>
    <row r="397" spans="1:10" ht="13.05" customHeight="1">
      <c r="A397" s="5"/>
      <c r="B397" s="14" t="s">
        <v>192</v>
      </c>
      <c r="C397" s="15"/>
      <c r="D397" s="15"/>
      <c r="E397" s="15"/>
      <c r="F397" s="25">
        <v>46807.428</v>
      </c>
      <c r="G397" s="26">
        <v>5.9499999999999997E-2</v>
      </c>
      <c r="H397" s="27"/>
      <c r="I397" s="28"/>
      <c r="J397" s="5"/>
    </row>
    <row r="398" spans="1:10" ht="13.05" customHeight="1">
      <c r="A398" s="5"/>
      <c r="B398" s="14" t="s">
        <v>1867</v>
      </c>
      <c r="C398" s="15"/>
      <c r="D398" s="15"/>
      <c r="E398" s="15"/>
      <c r="F398" s="5"/>
      <c r="G398" s="16"/>
      <c r="H398" s="16"/>
      <c r="I398" s="17"/>
      <c r="J398" s="5"/>
    </row>
    <row r="399" spans="1:10" ht="13.05" customHeight="1">
      <c r="A399" s="18" t="s">
        <v>3503</v>
      </c>
      <c r="B399" s="19" t="s">
        <v>3504</v>
      </c>
      <c r="C399" s="15" t="s">
        <v>3505</v>
      </c>
      <c r="D399" s="15" t="s">
        <v>188</v>
      </c>
      <c r="E399" s="20">
        <v>2500000</v>
      </c>
      <c r="F399" s="21">
        <v>2485.2325000000001</v>
      </c>
      <c r="G399" s="22">
        <v>3.2000000000000002E-3</v>
      </c>
      <c r="H399" s="23">
        <v>5.4221999999999999E-2</v>
      </c>
      <c r="I399" s="24"/>
      <c r="J399" s="5"/>
    </row>
    <row r="400" spans="1:10" ht="13.05" customHeight="1">
      <c r="A400" s="18" t="s">
        <v>3506</v>
      </c>
      <c r="B400" s="19" t="s">
        <v>3507</v>
      </c>
      <c r="C400" s="15" t="s">
        <v>3508</v>
      </c>
      <c r="D400" s="15" t="s">
        <v>188</v>
      </c>
      <c r="E400" s="20">
        <v>2500000</v>
      </c>
      <c r="F400" s="21">
        <v>2449.125</v>
      </c>
      <c r="G400" s="22">
        <v>3.0999999999999999E-3</v>
      </c>
      <c r="H400" s="23">
        <v>5.4944E-2</v>
      </c>
      <c r="I400" s="24"/>
      <c r="J400" s="5"/>
    </row>
    <row r="401" spans="1:10" ht="13.05" customHeight="1">
      <c r="A401" s="5"/>
      <c r="B401" s="14" t="s">
        <v>192</v>
      </c>
      <c r="C401" s="15"/>
      <c r="D401" s="15"/>
      <c r="E401" s="15"/>
      <c r="F401" s="25">
        <v>4934.3575000000001</v>
      </c>
      <c r="G401" s="26">
        <v>6.3E-3</v>
      </c>
      <c r="H401" s="27"/>
      <c r="I401" s="28"/>
      <c r="J401" s="5"/>
    </row>
    <row r="402" spans="1:10" ht="13.05" customHeight="1">
      <c r="A402" s="5"/>
      <c r="B402" s="29" t="s">
        <v>195</v>
      </c>
      <c r="C402" s="30"/>
      <c r="D402" s="2"/>
      <c r="E402" s="30"/>
      <c r="F402" s="25">
        <v>63078.5245</v>
      </c>
      <c r="G402" s="26">
        <v>8.0100000000000005E-2</v>
      </c>
      <c r="H402" s="27"/>
      <c r="I402" s="28"/>
      <c r="J402" s="5"/>
    </row>
    <row r="403" spans="1:10" ht="13.05" customHeight="1">
      <c r="A403" s="5"/>
      <c r="B403" s="14" t="s">
        <v>1818</v>
      </c>
      <c r="C403" s="15"/>
      <c r="D403" s="15"/>
      <c r="E403" s="15"/>
      <c r="F403" s="15"/>
      <c r="G403" s="15"/>
      <c r="H403" s="16"/>
      <c r="I403" s="17"/>
      <c r="J403" s="5"/>
    </row>
    <row r="404" spans="1:10" ht="13.05" customHeight="1">
      <c r="A404" s="5"/>
      <c r="B404" s="14" t="s">
        <v>1819</v>
      </c>
      <c r="C404" s="15"/>
      <c r="D404" s="15"/>
      <c r="E404" s="15"/>
      <c r="F404" s="5"/>
      <c r="G404" s="16"/>
      <c r="H404" s="16"/>
      <c r="I404" s="17"/>
      <c r="J404" s="5"/>
    </row>
    <row r="405" spans="1:10" ht="13.05" customHeight="1">
      <c r="A405" s="18" t="s">
        <v>3509</v>
      </c>
      <c r="B405" s="19" t="s">
        <v>3510</v>
      </c>
      <c r="C405" s="15" t="s">
        <v>3511</v>
      </c>
      <c r="D405" s="15"/>
      <c r="E405" s="20">
        <v>5368265.57</v>
      </c>
      <c r="F405" s="21">
        <v>79333.243199999997</v>
      </c>
      <c r="G405" s="22">
        <v>0.1008</v>
      </c>
      <c r="H405" s="23"/>
      <c r="I405" s="24"/>
      <c r="J405" s="5"/>
    </row>
    <row r="406" spans="1:10" ht="13.05" customHeight="1">
      <c r="A406" s="5"/>
      <c r="B406" s="14" t="s">
        <v>192</v>
      </c>
      <c r="C406" s="15"/>
      <c r="D406" s="15"/>
      <c r="E406" s="15"/>
      <c r="F406" s="25">
        <v>79333.243199999997</v>
      </c>
      <c r="G406" s="26">
        <v>0.1008</v>
      </c>
      <c r="H406" s="27"/>
      <c r="I406" s="28"/>
      <c r="J406" s="5"/>
    </row>
    <row r="407" spans="1:10" ht="13.05" customHeight="1">
      <c r="A407" s="5"/>
      <c r="B407" s="29" t="s">
        <v>195</v>
      </c>
      <c r="C407" s="30"/>
      <c r="D407" s="2"/>
      <c r="E407" s="30"/>
      <c r="F407" s="25">
        <v>79333.243199999997</v>
      </c>
      <c r="G407" s="26">
        <v>0.1008</v>
      </c>
      <c r="H407" s="27"/>
      <c r="I407" s="28"/>
      <c r="J407" s="5"/>
    </row>
    <row r="408" spans="1:10" ht="13.05" customHeight="1">
      <c r="A408" s="5"/>
      <c r="B408" s="14" t="s">
        <v>196</v>
      </c>
      <c r="C408" s="15"/>
      <c r="D408" s="15"/>
      <c r="E408" s="15"/>
      <c r="F408" s="15"/>
      <c r="G408" s="15"/>
      <c r="H408" s="16"/>
      <c r="I408" s="17"/>
      <c r="J408" s="5"/>
    </row>
    <row r="409" spans="1:10" ht="13.05" customHeight="1">
      <c r="A409" s="18" t="s">
        <v>197</v>
      </c>
      <c r="B409" s="19" t="s">
        <v>198</v>
      </c>
      <c r="C409" s="15"/>
      <c r="D409" s="15"/>
      <c r="E409" s="20"/>
      <c r="F409" s="21">
        <v>4451.3744999999999</v>
      </c>
      <c r="G409" s="22">
        <v>5.7000000000000002E-3</v>
      </c>
      <c r="H409" s="23">
        <v>5.5573618836606851E-2</v>
      </c>
      <c r="I409" s="24"/>
      <c r="J409" s="5"/>
    </row>
    <row r="410" spans="1:10" ht="13.05" customHeight="1">
      <c r="A410" s="5"/>
      <c r="B410" s="14" t="s">
        <v>192</v>
      </c>
      <c r="C410" s="15"/>
      <c r="D410" s="15"/>
      <c r="E410" s="15"/>
      <c r="F410" s="25">
        <v>4451.3744999999999</v>
      </c>
      <c r="G410" s="26">
        <v>5.7000000000000002E-3</v>
      </c>
      <c r="H410" s="27"/>
      <c r="I410" s="28"/>
      <c r="J410" s="5"/>
    </row>
    <row r="411" spans="1:10" ht="13.05" customHeight="1">
      <c r="A411" s="5"/>
      <c r="B411" s="29" t="s">
        <v>193</v>
      </c>
      <c r="C411" s="2"/>
      <c r="D411" s="2"/>
      <c r="E411" s="2"/>
      <c r="F411" s="27" t="s">
        <v>194</v>
      </c>
      <c r="G411" s="27" t="s">
        <v>194</v>
      </c>
      <c r="H411" s="27"/>
      <c r="I411" s="28"/>
      <c r="J411" s="5"/>
    </row>
    <row r="412" spans="1:10" ht="13.05" customHeight="1">
      <c r="A412" s="5"/>
      <c r="B412" s="29" t="s">
        <v>192</v>
      </c>
      <c r="C412" s="2"/>
      <c r="D412" s="2"/>
      <c r="E412" s="2"/>
      <c r="F412" s="27" t="s">
        <v>194</v>
      </c>
      <c r="G412" s="27" t="s">
        <v>194</v>
      </c>
      <c r="H412" s="27"/>
      <c r="I412" s="28"/>
      <c r="J412" s="5"/>
    </row>
    <row r="413" spans="1:10" ht="13.05" customHeight="1">
      <c r="A413" s="5"/>
      <c r="B413" s="29" t="s">
        <v>195</v>
      </c>
      <c r="C413" s="30"/>
      <c r="D413" s="2"/>
      <c r="E413" s="30"/>
      <c r="F413" s="25">
        <v>4451.3744999999999</v>
      </c>
      <c r="G413" s="26">
        <v>5.7000000000000002E-3</v>
      </c>
      <c r="H413" s="27"/>
      <c r="I413" s="28"/>
      <c r="J413" s="5"/>
    </row>
    <row r="414" spans="1:10" ht="13.05" customHeight="1">
      <c r="A414" s="5"/>
      <c r="B414" s="29" t="s">
        <v>199</v>
      </c>
      <c r="C414" s="15"/>
      <c r="D414" s="2"/>
      <c r="E414" s="15"/>
      <c r="F414" s="31">
        <v>589375.01610000001</v>
      </c>
      <c r="G414" s="26">
        <v>0.74850000000000005</v>
      </c>
      <c r="H414" s="27"/>
      <c r="I414" s="28"/>
      <c r="J414" s="5"/>
    </row>
    <row r="415" spans="1:10" ht="13.05" customHeight="1">
      <c r="A415" s="5"/>
      <c r="B415" s="32" t="s">
        <v>200</v>
      </c>
      <c r="C415" s="33"/>
      <c r="D415" s="33"/>
      <c r="E415" s="33"/>
      <c r="F415" s="34">
        <v>787308.85</v>
      </c>
      <c r="G415" s="35">
        <v>1</v>
      </c>
      <c r="H415" s="36"/>
      <c r="I415" s="37"/>
      <c r="J415" s="5"/>
    </row>
    <row r="416" spans="1:10" ht="13.05" customHeight="1">
      <c r="A416" s="5"/>
      <c r="B416" s="7"/>
      <c r="C416" s="5"/>
      <c r="D416" s="5"/>
      <c r="E416" s="5"/>
      <c r="F416" s="5"/>
      <c r="G416" s="5"/>
      <c r="H416" s="5"/>
      <c r="I416" s="5"/>
      <c r="J416" s="5"/>
    </row>
    <row r="417" spans="1:10" ht="13.05" customHeight="1">
      <c r="A417" s="5"/>
      <c r="B417" s="4" t="s">
        <v>250</v>
      </c>
      <c r="C417" s="5"/>
      <c r="D417" s="5"/>
      <c r="E417" s="5"/>
      <c r="F417" s="5"/>
      <c r="G417" s="5"/>
      <c r="H417" s="5"/>
      <c r="I417" s="5"/>
      <c r="J417" s="5"/>
    </row>
    <row r="418" spans="1:10" ht="13.05" customHeight="1">
      <c r="A418" s="5"/>
      <c r="B418" s="4" t="s">
        <v>1816</v>
      </c>
      <c r="C418" s="5"/>
      <c r="D418" s="5"/>
      <c r="E418" s="5"/>
      <c r="F418" s="5"/>
      <c r="G418" s="5"/>
      <c r="H418" s="5"/>
      <c r="I418" s="5"/>
      <c r="J418" s="5"/>
    </row>
    <row r="419" spans="1:10" ht="13.05" customHeight="1">
      <c r="A419" s="5"/>
      <c r="B419" s="4" t="s">
        <v>201</v>
      </c>
      <c r="C419" s="5"/>
      <c r="D419" s="5"/>
      <c r="E419" s="5"/>
      <c r="F419" s="5"/>
      <c r="G419" s="5"/>
      <c r="H419" s="5"/>
      <c r="I419" s="5"/>
      <c r="J419" s="5"/>
    </row>
    <row r="420" spans="1:10" ht="25.95" customHeight="1">
      <c r="A420" s="5"/>
      <c r="B420" s="103" t="s">
        <v>202</v>
      </c>
      <c r="C420" s="103"/>
      <c r="D420" s="103"/>
      <c r="E420" s="103"/>
      <c r="F420" s="103"/>
      <c r="G420" s="103"/>
      <c r="H420" s="103"/>
      <c r="I420" s="103"/>
      <c r="J420" s="5"/>
    </row>
    <row r="421" spans="1:10" ht="13.05" customHeight="1">
      <c r="A421" s="5"/>
      <c r="B421" s="103" t="s">
        <v>203</v>
      </c>
      <c r="C421" s="103"/>
      <c r="D421" s="103"/>
      <c r="E421" s="103"/>
      <c r="F421" s="103"/>
      <c r="G421" s="103"/>
      <c r="H421" s="103"/>
      <c r="I421" s="103"/>
      <c r="J421" s="5"/>
    </row>
    <row r="422" spans="1:10" ht="13.05" customHeight="1">
      <c r="A422" s="5"/>
      <c r="B422" s="103"/>
      <c r="C422" s="103"/>
      <c r="D422" s="103"/>
      <c r="E422" s="103"/>
      <c r="F422" s="103"/>
      <c r="G422" s="103"/>
      <c r="H422" s="103"/>
      <c r="I422" s="103"/>
      <c r="J422" s="5"/>
    </row>
    <row r="423" spans="1:10" ht="13.05" customHeight="1">
      <c r="A423" s="5"/>
      <c r="B423" s="109" t="s">
        <v>3512</v>
      </c>
      <c r="C423" s="109"/>
      <c r="D423" s="109"/>
      <c r="E423" s="109"/>
      <c r="F423" s="5"/>
      <c r="G423" s="5"/>
      <c r="H423" s="5"/>
      <c r="I423" s="5"/>
      <c r="J423" s="5"/>
    </row>
    <row r="424" spans="1:10" ht="13.05" customHeight="1">
      <c r="A424" s="5"/>
      <c r="B424" s="103"/>
      <c r="C424" s="103"/>
      <c r="D424" s="103"/>
      <c r="E424" s="103"/>
      <c r="F424" s="103"/>
      <c r="G424" s="103"/>
      <c r="H424" s="103"/>
      <c r="I424" s="103"/>
      <c r="J424" s="5"/>
    </row>
    <row r="425" spans="1:10" ht="13.05" customHeight="1">
      <c r="A425" s="5"/>
      <c r="B425" s="5"/>
      <c r="C425" s="104" t="s">
        <v>3513</v>
      </c>
      <c r="D425" s="104"/>
      <c r="E425" s="104"/>
      <c r="F425" s="104"/>
      <c r="G425" s="5"/>
      <c r="H425" s="5"/>
      <c r="I425" s="5"/>
      <c r="J425" s="5"/>
    </row>
    <row r="426" spans="1:10" ht="13.05" customHeight="1">
      <c r="A426" s="5"/>
      <c r="B426" s="38" t="s">
        <v>207</v>
      </c>
      <c r="C426" s="104" t="s">
        <v>208</v>
      </c>
      <c r="D426" s="104"/>
      <c r="E426" s="104"/>
      <c r="F426" s="104"/>
      <c r="G426" s="5"/>
      <c r="H426" s="5"/>
      <c r="I426" s="5"/>
      <c r="J426" s="5"/>
    </row>
    <row r="427" spans="1:10" ht="135" customHeight="1">
      <c r="A427" s="5"/>
      <c r="B427" s="39"/>
      <c r="C427" s="105"/>
      <c r="D427" s="105"/>
      <c r="E427" s="5"/>
      <c r="F427" s="5"/>
      <c r="G427" s="5"/>
      <c r="H427" s="5"/>
      <c r="I427" s="5"/>
      <c r="J427" s="5"/>
    </row>
  </sheetData>
  <mergeCells count="8">
    <mergeCell ref="C425:F425"/>
    <mergeCell ref="C426:F426"/>
    <mergeCell ref="C427:D427"/>
    <mergeCell ref="B420:I420"/>
    <mergeCell ref="B421:I421"/>
    <mergeCell ref="B422:I422"/>
    <mergeCell ref="B423:E423"/>
    <mergeCell ref="B424:I424"/>
  </mergeCells>
  <hyperlinks>
    <hyperlink ref="A1" location="AxisArbitrageFund" display="AXISEAF" xr:uid="{00000000-0004-0000-1500-000000000000}"/>
    <hyperlink ref="B1" location="AxisArbitrageFund" display="Axis Arbitrage Fund" xr:uid="{00000000-0004-0000-15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J29"/>
  <sheetViews>
    <sheetView workbookViewId="0">
      <selection activeCell="A2" sqref="A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47</v>
      </c>
      <c r="B1" s="4" t="s">
        <v>48</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1818</v>
      </c>
      <c r="C5" s="15"/>
      <c r="D5" s="15"/>
      <c r="E5" s="15"/>
      <c r="F5" s="15"/>
      <c r="G5" s="15"/>
      <c r="H5" s="16"/>
      <c r="I5" s="17"/>
      <c r="J5" s="5"/>
    </row>
    <row r="6" spans="1:10" ht="13.05" customHeight="1">
      <c r="A6" s="5"/>
      <c r="B6" s="14" t="s">
        <v>3514</v>
      </c>
      <c r="C6" s="15"/>
      <c r="D6" s="15"/>
      <c r="E6" s="15"/>
      <c r="F6" s="5"/>
      <c r="G6" s="16"/>
      <c r="H6" s="16"/>
      <c r="I6" s="17"/>
      <c r="J6" s="5"/>
    </row>
    <row r="7" spans="1:10" ht="13.05" customHeight="1">
      <c r="A7" s="18" t="s">
        <v>3515</v>
      </c>
      <c r="B7" s="19" t="s">
        <v>3516</v>
      </c>
      <c r="C7" s="15" t="s">
        <v>3517</v>
      </c>
      <c r="D7" s="15"/>
      <c r="E7" s="20">
        <v>377648</v>
      </c>
      <c r="F7" s="21">
        <v>863.30330000000004</v>
      </c>
      <c r="G7" s="22">
        <v>0.24890000000000001</v>
      </c>
      <c r="H7" s="40"/>
      <c r="I7" s="24"/>
      <c r="J7" s="5"/>
    </row>
    <row r="8" spans="1:10" ht="13.05" customHeight="1">
      <c r="A8" s="18" t="s">
        <v>3518</v>
      </c>
      <c r="B8" s="19" t="s">
        <v>125</v>
      </c>
      <c r="C8" s="15" t="s">
        <v>3519</v>
      </c>
      <c r="D8" s="15"/>
      <c r="E8" s="20">
        <v>2790637</v>
      </c>
      <c r="F8" s="21">
        <v>860.63250000000005</v>
      </c>
      <c r="G8" s="22">
        <v>0.2482</v>
      </c>
      <c r="H8" s="40"/>
      <c r="I8" s="24"/>
      <c r="J8" s="5"/>
    </row>
    <row r="9" spans="1:10" ht="13.05" customHeight="1">
      <c r="A9" s="18" t="s">
        <v>3520</v>
      </c>
      <c r="B9" s="19" t="s">
        <v>3521</v>
      </c>
      <c r="C9" s="15" t="s">
        <v>3522</v>
      </c>
      <c r="D9" s="15"/>
      <c r="E9" s="20">
        <v>3767955</v>
      </c>
      <c r="F9" s="21">
        <v>854.57219999999995</v>
      </c>
      <c r="G9" s="22">
        <v>0.24640000000000001</v>
      </c>
      <c r="H9" s="40"/>
      <c r="I9" s="24"/>
      <c r="J9" s="5"/>
    </row>
    <row r="10" spans="1:10" ht="13.05" customHeight="1">
      <c r="A10" s="18" t="s">
        <v>3523</v>
      </c>
      <c r="B10" s="19" t="s">
        <v>3524</v>
      </c>
      <c r="C10" s="15" t="s">
        <v>3525</v>
      </c>
      <c r="D10" s="15"/>
      <c r="E10" s="20">
        <v>2667940</v>
      </c>
      <c r="F10" s="21">
        <v>852.40679999999998</v>
      </c>
      <c r="G10" s="22">
        <v>0.24579999999999999</v>
      </c>
      <c r="H10" s="40"/>
      <c r="I10" s="24"/>
      <c r="J10" s="5"/>
    </row>
    <row r="11" spans="1:10" ht="13.05" customHeight="1">
      <c r="A11" s="5"/>
      <c r="B11" s="14" t="s">
        <v>192</v>
      </c>
      <c r="C11" s="15"/>
      <c r="D11" s="15"/>
      <c r="E11" s="15"/>
      <c r="F11" s="25">
        <v>3430.9148</v>
      </c>
      <c r="G11" s="26">
        <v>0.98929999999999996</v>
      </c>
      <c r="H11" s="27"/>
      <c r="I11" s="28"/>
      <c r="J11" s="5"/>
    </row>
    <row r="12" spans="1:10" ht="13.05" customHeight="1">
      <c r="A12" s="5"/>
      <c r="B12" s="29" t="s">
        <v>195</v>
      </c>
      <c r="C12" s="30"/>
      <c r="D12" s="2"/>
      <c r="E12" s="30"/>
      <c r="F12" s="25">
        <v>3430.9148</v>
      </c>
      <c r="G12" s="26">
        <v>0.98929999999999996</v>
      </c>
      <c r="H12" s="27"/>
      <c r="I12" s="28"/>
      <c r="J12" s="5"/>
    </row>
    <row r="13" spans="1:10" ht="13.05" customHeight="1">
      <c r="A13" s="5"/>
      <c r="B13" s="14" t="s">
        <v>196</v>
      </c>
      <c r="C13" s="15"/>
      <c r="D13" s="15"/>
      <c r="E13" s="15"/>
      <c r="F13" s="15"/>
      <c r="G13" s="15"/>
      <c r="H13" s="16"/>
      <c r="I13" s="17"/>
      <c r="J13" s="5"/>
    </row>
    <row r="14" spans="1:10" ht="13.05" customHeight="1">
      <c r="A14" s="18" t="s">
        <v>197</v>
      </c>
      <c r="B14" s="19" t="s">
        <v>198</v>
      </c>
      <c r="C14" s="15"/>
      <c r="D14" s="15"/>
      <c r="E14" s="20"/>
      <c r="F14" s="21">
        <v>39.657899999999998</v>
      </c>
      <c r="G14" s="22">
        <v>1.14E-2</v>
      </c>
      <c r="H14" s="23">
        <v>5.5573377789870482E-2</v>
      </c>
      <c r="I14" s="24"/>
      <c r="J14" s="5"/>
    </row>
    <row r="15" spans="1:10" ht="13.05" customHeight="1">
      <c r="A15" s="5"/>
      <c r="B15" s="14" t="s">
        <v>192</v>
      </c>
      <c r="C15" s="15"/>
      <c r="D15" s="15"/>
      <c r="E15" s="15"/>
      <c r="F15" s="25">
        <v>39.657899999999998</v>
      </c>
      <c r="G15" s="26">
        <v>1.14E-2</v>
      </c>
      <c r="H15" s="27"/>
      <c r="I15" s="28"/>
      <c r="J15" s="5"/>
    </row>
    <row r="16" spans="1:10" ht="13.05" customHeight="1">
      <c r="A16" s="5"/>
      <c r="B16" s="29" t="s">
        <v>195</v>
      </c>
      <c r="C16" s="30"/>
      <c r="D16" s="2"/>
      <c r="E16" s="30"/>
      <c r="F16" s="25">
        <v>39.657899999999998</v>
      </c>
      <c r="G16" s="26">
        <v>1.14E-2</v>
      </c>
      <c r="H16" s="27"/>
      <c r="I16" s="28"/>
      <c r="J16" s="5"/>
    </row>
    <row r="17" spans="1:10" ht="13.05" customHeight="1">
      <c r="A17" s="5"/>
      <c r="B17" s="29" t="s">
        <v>199</v>
      </c>
      <c r="C17" s="15"/>
      <c r="D17" s="2"/>
      <c r="E17" s="15"/>
      <c r="F17" s="31">
        <v>-2.6427</v>
      </c>
      <c r="G17" s="26">
        <v>-6.9999999999999999E-4</v>
      </c>
      <c r="H17" s="27"/>
      <c r="I17" s="28"/>
      <c r="J17" s="5"/>
    </row>
    <row r="18" spans="1:10" ht="13.05" customHeight="1">
      <c r="A18" s="5"/>
      <c r="B18" s="32" t="s">
        <v>200</v>
      </c>
      <c r="C18" s="33"/>
      <c r="D18" s="33"/>
      <c r="E18" s="33"/>
      <c r="F18" s="34">
        <v>3467.93</v>
      </c>
      <c r="G18" s="35">
        <v>1</v>
      </c>
      <c r="H18" s="36"/>
      <c r="I18" s="37"/>
      <c r="J18" s="5"/>
    </row>
    <row r="19" spans="1:10" ht="13.05" customHeight="1">
      <c r="A19" s="5"/>
      <c r="B19" s="7"/>
      <c r="C19" s="5"/>
      <c r="D19" s="5"/>
      <c r="E19" s="5"/>
      <c r="F19" s="5"/>
      <c r="G19" s="5"/>
      <c r="H19" s="5"/>
      <c r="I19" s="5"/>
      <c r="J19" s="5"/>
    </row>
    <row r="20" spans="1:10" ht="13.05" customHeight="1">
      <c r="A20" s="5"/>
      <c r="B20" s="4" t="s">
        <v>201</v>
      </c>
      <c r="C20" s="5"/>
      <c r="D20" s="5"/>
      <c r="E20" s="5"/>
      <c r="F20" s="5"/>
      <c r="G20" s="5"/>
      <c r="H20" s="5"/>
      <c r="I20" s="5"/>
      <c r="J20" s="5"/>
    </row>
    <row r="21" spans="1:10" ht="25.95" customHeight="1">
      <c r="A21" s="5"/>
      <c r="B21" s="103" t="s">
        <v>202</v>
      </c>
      <c r="C21" s="103"/>
      <c r="D21" s="103"/>
      <c r="E21" s="103"/>
      <c r="F21" s="103"/>
      <c r="G21" s="103"/>
      <c r="H21" s="103"/>
      <c r="I21" s="103"/>
      <c r="J21" s="5"/>
    </row>
    <row r="22" spans="1:10" ht="13.05" customHeight="1">
      <c r="A22" s="5"/>
      <c r="B22" s="103" t="s">
        <v>203</v>
      </c>
      <c r="C22" s="103"/>
      <c r="D22" s="103"/>
      <c r="E22" s="103"/>
      <c r="F22" s="103"/>
      <c r="G22" s="103"/>
      <c r="H22" s="103"/>
      <c r="I22" s="103"/>
      <c r="J22" s="5"/>
    </row>
    <row r="23" spans="1:10" ht="13.05" customHeight="1">
      <c r="A23" s="44"/>
      <c r="B23" s="106" t="s">
        <v>204</v>
      </c>
      <c r="C23" s="106"/>
      <c r="D23" s="106"/>
      <c r="E23" s="106"/>
      <c r="F23" s="106"/>
      <c r="G23" s="106"/>
      <c r="H23" s="106"/>
      <c r="I23" s="106"/>
      <c r="J23" s="44"/>
    </row>
    <row r="24" spans="1:10" ht="13.05" customHeight="1">
      <c r="A24" s="44"/>
      <c r="B24" s="106" t="s">
        <v>205</v>
      </c>
      <c r="C24" s="106"/>
      <c r="D24" s="106"/>
      <c r="E24" s="106"/>
      <c r="F24" s="106"/>
      <c r="G24" s="106"/>
      <c r="H24" s="106"/>
      <c r="I24" s="106"/>
      <c r="J24" s="44"/>
    </row>
    <row r="25" spans="1:10" ht="13.05" customHeight="1">
      <c r="A25" s="5"/>
      <c r="B25" s="103"/>
      <c r="C25" s="103"/>
      <c r="D25" s="103"/>
      <c r="E25" s="103"/>
      <c r="F25" s="103"/>
      <c r="G25" s="103"/>
      <c r="H25" s="103"/>
      <c r="I25" s="103"/>
      <c r="J25" s="5"/>
    </row>
    <row r="26" spans="1:10" ht="13.05" customHeight="1">
      <c r="A26" s="5"/>
      <c r="B26" s="103"/>
      <c r="C26" s="103"/>
      <c r="D26" s="103"/>
      <c r="E26" s="103"/>
      <c r="F26" s="103"/>
      <c r="G26" s="103"/>
      <c r="H26" s="103"/>
      <c r="I26" s="103"/>
      <c r="J26" s="5"/>
    </row>
    <row r="27" spans="1:10" ht="13.05" customHeight="1">
      <c r="A27" s="5"/>
      <c r="B27" s="5"/>
      <c r="C27" s="104" t="s">
        <v>1817</v>
      </c>
      <c r="D27" s="104"/>
      <c r="E27" s="104"/>
      <c r="F27" s="104"/>
      <c r="G27" s="5"/>
      <c r="H27" s="5"/>
      <c r="I27" s="5"/>
      <c r="J27" s="5"/>
    </row>
    <row r="28" spans="1:10" ht="13.05" customHeight="1">
      <c r="A28" s="5"/>
      <c r="B28" s="38" t="s">
        <v>207</v>
      </c>
      <c r="C28" s="104" t="s">
        <v>208</v>
      </c>
      <c r="D28" s="104"/>
      <c r="E28" s="104"/>
      <c r="F28" s="104"/>
      <c r="G28" s="5"/>
      <c r="H28" s="5"/>
      <c r="I28" s="5"/>
      <c r="J28" s="5"/>
    </row>
    <row r="29" spans="1:10" ht="135" customHeight="1">
      <c r="A29" s="5"/>
      <c r="B29" s="39"/>
      <c r="C29" s="105"/>
      <c r="D29" s="105"/>
      <c r="E29" s="5"/>
      <c r="F29" s="5"/>
      <c r="G29" s="5"/>
      <c r="H29" s="5"/>
      <c r="I29" s="5"/>
      <c r="J29" s="5"/>
    </row>
  </sheetData>
  <mergeCells count="9">
    <mergeCell ref="B26:I26"/>
    <mergeCell ref="C27:F27"/>
    <mergeCell ref="C28:F28"/>
    <mergeCell ref="C29:D29"/>
    <mergeCell ref="B21:I21"/>
    <mergeCell ref="B22:I22"/>
    <mergeCell ref="B23:I23"/>
    <mergeCell ref="B25:I25"/>
    <mergeCell ref="B24:I24"/>
  </mergeCells>
  <hyperlinks>
    <hyperlink ref="A1" location="AxisMultiFactorPassiveFoF" display="AXISEFOF" xr:uid="{00000000-0004-0000-1600-000000000000}"/>
    <hyperlink ref="B1" location="AxisMultiFactorPassiveFoF" display="Axis Multi Factor Passive FoF" xr:uid="{00000000-0004-0000-16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outlinePr summaryBelow="0"/>
  </sheetPr>
  <dimension ref="A1:J157"/>
  <sheetViews>
    <sheetView topLeftCell="A92" workbookViewId="0">
      <selection activeCell="D117" sqref="D117"/>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49</v>
      </c>
      <c r="B1" s="4" t="s">
        <v>50</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940394</v>
      </c>
      <c r="F7" s="21">
        <v>9284.51</v>
      </c>
      <c r="G7" s="22">
        <v>5.8700000000000002E-2</v>
      </c>
      <c r="H7" s="40"/>
      <c r="I7" s="24"/>
      <c r="J7" s="5"/>
    </row>
    <row r="8" spans="1:10" ht="13.05" customHeight="1">
      <c r="A8" s="18" t="s">
        <v>258</v>
      </c>
      <c r="B8" s="19" t="s">
        <v>259</v>
      </c>
      <c r="C8" s="15" t="s">
        <v>260</v>
      </c>
      <c r="D8" s="15" t="s">
        <v>261</v>
      </c>
      <c r="E8" s="20">
        <v>555081</v>
      </c>
      <c r="F8" s="21">
        <v>8250.7240000000002</v>
      </c>
      <c r="G8" s="22">
        <v>5.2200000000000003E-2</v>
      </c>
      <c r="H8" s="40"/>
      <c r="I8" s="24"/>
      <c r="J8" s="5"/>
    </row>
    <row r="9" spans="1:10" ht="13.05" customHeight="1">
      <c r="A9" s="18" t="s">
        <v>262</v>
      </c>
      <c r="B9" s="19" t="s">
        <v>263</v>
      </c>
      <c r="C9" s="15" t="s">
        <v>264</v>
      </c>
      <c r="D9" s="15" t="s">
        <v>257</v>
      </c>
      <c r="E9" s="20">
        <v>529342</v>
      </c>
      <c r="F9" s="21">
        <v>7121.2379000000001</v>
      </c>
      <c r="G9" s="22">
        <v>4.4999999999999998E-2</v>
      </c>
      <c r="H9" s="40"/>
      <c r="I9" s="24"/>
      <c r="J9" s="5"/>
    </row>
    <row r="10" spans="1:10" ht="13.05" customHeight="1">
      <c r="A10" s="18" t="s">
        <v>269</v>
      </c>
      <c r="B10" s="19" t="s">
        <v>270</v>
      </c>
      <c r="C10" s="15" t="s">
        <v>271</v>
      </c>
      <c r="D10" s="15" t="s">
        <v>272</v>
      </c>
      <c r="E10" s="20">
        <v>392695</v>
      </c>
      <c r="F10" s="21">
        <v>5820.9179999999997</v>
      </c>
      <c r="G10" s="22">
        <v>3.6799999999999999E-2</v>
      </c>
      <c r="H10" s="40"/>
      <c r="I10" s="24"/>
      <c r="J10" s="5"/>
    </row>
    <row r="11" spans="1:10" ht="13.05" customHeight="1">
      <c r="A11" s="18" t="s">
        <v>265</v>
      </c>
      <c r="B11" s="19" t="s">
        <v>266</v>
      </c>
      <c r="C11" s="15" t="s">
        <v>267</v>
      </c>
      <c r="D11" s="15" t="s">
        <v>268</v>
      </c>
      <c r="E11" s="20">
        <v>266213</v>
      </c>
      <c r="F11" s="21">
        <v>5469.3460999999998</v>
      </c>
      <c r="G11" s="22">
        <v>3.4599999999999999E-2</v>
      </c>
      <c r="H11" s="40"/>
      <c r="I11" s="24"/>
      <c r="J11" s="5"/>
    </row>
    <row r="12" spans="1:10" ht="13.05" customHeight="1">
      <c r="A12" s="18" t="s">
        <v>281</v>
      </c>
      <c r="B12" s="19" t="s">
        <v>282</v>
      </c>
      <c r="C12" s="15" t="s">
        <v>283</v>
      </c>
      <c r="D12" s="15" t="s">
        <v>257</v>
      </c>
      <c r="E12" s="20">
        <v>528686</v>
      </c>
      <c r="F12" s="21">
        <v>4953.7878000000001</v>
      </c>
      <c r="G12" s="22">
        <v>3.1300000000000001E-2</v>
      </c>
      <c r="H12" s="40"/>
      <c r="I12" s="24"/>
      <c r="J12" s="5"/>
    </row>
    <row r="13" spans="1:10" ht="13.05" customHeight="1">
      <c r="A13" s="18" t="s">
        <v>273</v>
      </c>
      <c r="B13" s="19" t="s">
        <v>274</v>
      </c>
      <c r="C13" s="15" t="s">
        <v>275</v>
      </c>
      <c r="D13" s="15" t="s">
        <v>276</v>
      </c>
      <c r="E13" s="20">
        <v>111029</v>
      </c>
      <c r="F13" s="21">
        <v>4475.4679999999998</v>
      </c>
      <c r="G13" s="22">
        <v>2.8299999999999999E-2</v>
      </c>
      <c r="H13" s="40"/>
      <c r="I13" s="24"/>
      <c r="J13" s="5"/>
    </row>
    <row r="14" spans="1:10" ht="13.05" customHeight="1">
      <c r="A14" s="18" t="s">
        <v>293</v>
      </c>
      <c r="B14" s="19" t="s">
        <v>294</v>
      </c>
      <c r="C14" s="15" t="s">
        <v>295</v>
      </c>
      <c r="D14" s="15" t="s">
        <v>296</v>
      </c>
      <c r="E14" s="20">
        <v>104400</v>
      </c>
      <c r="F14" s="21">
        <v>3640.6368000000002</v>
      </c>
      <c r="G14" s="22">
        <v>2.3E-2</v>
      </c>
      <c r="H14" s="40"/>
      <c r="I14" s="24"/>
      <c r="J14" s="5"/>
    </row>
    <row r="15" spans="1:10" ht="13.05" customHeight="1">
      <c r="A15" s="18" t="s">
        <v>297</v>
      </c>
      <c r="B15" s="19" t="s">
        <v>298</v>
      </c>
      <c r="C15" s="15" t="s">
        <v>299</v>
      </c>
      <c r="D15" s="15" t="s">
        <v>300</v>
      </c>
      <c r="E15" s="20">
        <v>302170</v>
      </c>
      <c r="F15" s="21">
        <v>3151.0288</v>
      </c>
      <c r="G15" s="22">
        <v>1.9900000000000001E-2</v>
      </c>
      <c r="H15" s="40"/>
      <c r="I15" s="24"/>
      <c r="J15" s="5"/>
    </row>
    <row r="16" spans="1:10" ht="13.05" customHeight="1">
      <c r="A16" s="18" t="s">
        <v>2429</v>
      </c>
      <c r="B16" s="19" t="s">
        <v>2430</v>
      </c>
      <c r="C16" s="15" t="s">
        <v>2431</v>
      </c>
      <c r="D16" s="15" t="s">
        <v>364</v>
      </c>
      <c r="E16" s="20">
        <v>1985006</v>
      </c>
      <c r="F16" s="21">
        <v>2375.2582000000002</v>
      </c>
      <c r="G16" s="22">
        <v>1.4999999999999999E-2</v>
      </c>
      <c r="H16" s="40"/>
      <c r="I16" s="24"/>
      <c r="J16" s="5"/>
    </row>
    <row r="17" spans="1:10" ht="13.05" customHeight="1">
      <c r="A17" s="18" t="s">
        <v>318</v>
      </c>
      <c r="B17" s="19" t="s">
        <v>319</v>
      </c>
      <c r="C17" s="15" t="s">
        <v>320</v>
      </c>
      <c r="D17" s="15" t="s">
        <v>321</v>
      </c>
      <c r="E17" s="20">
        <v>654104</v>
      </c>
      <c r="F17" s="21">
        <v>2204.0034000000001</v>
      </c>
      <c r="G17" s="22">
        <v>1.3899999999999999E-2</v>
      </c>
      <c r="H17" s="40"/>
      <c r="I17" s="24"/>
      <c r="J17" s="5"/>
    </row>
    <row r="18" spans="1:10" ht="13.05" customHeight="1">
      <c r="A18" s="18" t="s">
        <v>2423</v>
      </c>
      <c r="B18" s="19" t="s">
        <v>2424</v>
      </c>
      <c r="C18" s="15" t="s">
        <v>2425</v>
      </c>
      <c r="D18" s="15" t="s">
        <v>300</v>
      </c>
      <c r="E18" s="20">
        <v>1800</v>
      </c>
      <c r="F18" s="21">
        <v>2141.2078999999999</v>
      </c>
      <c r="G18" s="22">
        <v>1.35E-2</v>
      </c>
      <c r="H18" s="23" t="s">
        <v>5522</v>
      </c>
      <c r="I18" s="24"/>
      <c r="J18" s="5"/>
    </row>
    <row r="19" spans="1:10" ht="13.05" customHeight="1">
      <c r="A19" s="18" t="s">
        <v>406</v>
      </c>
      <c r="B19" s="19" t="s">
        <v>407</v>
      </c>
      <c r="C19" s="15" t="s">
        <v>408</v>
      </c>
      <c r="D19" s="15" t="s">
        <v>314</v>
      </c>
      <c r="E19" s="20">
        <v>31721</v>
      </c>
      <c r="F19" s="21">
        <v>2137.3609999999999</v>
      </c>
      <c r="G19" s="22">
        <v>1.35E-2</v>
      </c>
      <c r="H19" s="23"/>
      <c r="I19" s="24"/>
      <c r="J19" s="5"/>
    </row>
    <row r="20" spans="1:10" ht="13.05" customHeight="1">
      <c r="A20" s="18" t="s">
        <v>290</v>
      </c>
      <c r="B20" s="19" t="s">
        <v>291</v>
      </c>
      <c r="C20" s="15" t="s">
        <v>292</v>
      </c>
      <c r="D20" s="15" t="s">
        <v>257</v>
      </c>
      <c r="E20" s="20">
        <v>99223</v>
      </c>
      <c r="F20" s="21">
        <v>2085.8658999999998</v>
      </c>
      <c r="G20" s="22">
        <v>1.32E-2</v>
      </c>
      <c r="H20" s="23"/>
      <c r="I20" s="24"/>
      <c r="J20" s="5"/>
    </row>
    <row r="21" spans="1:10" ht="13.05" customHeight="1">
      <c r="A21" s="18" t="s">
        <v>652</v>
      </c>
      <c r="B21" s="19" t="s">
        <v>653</v>
      </c>
      <c r="C21" s="15" t="s">
        <v>654</v>
      </c>
      <c r="D21" s="15" t="s">
        <v>304</v>
      </c>
      <c r="E21" s="20">
        <v>740937</v>
      </c>
      <c r="F21" s="21">
        <v>1837.0791999999999</v>
      </c>
      <c r="G21" s="22">
        <v>1.1599999999999999E-2</v>
      </c>
      <c r="H21" s="23"/>
      <c r="I21" s="24"/>
      <c r="J21" s="5"/>
    </row>
    <row r="22" spans="1:10" ht="13.05" customHeight="1">
      <c r="A22" s="18" t="s">
        <v>1613</v>
      </c>
      <c r="B22" s="19" t="s">
        <v>1614</v>
      </c>
      <c r="C22" s="15" t="s">
        <v>1615</v>
      </c>
      <c r="D22" s="15" t="s">
        <v>1616</v>
      </c>
      <c r="E22" s="20">
        <v>67694</v>
      </c>
      <c r="F22" s="21">
        <v>1741.1574000000001</v>
      </c>
      <c r="G22" s="22">
        <v>1.0999999999999999E-2</v>
      </c>
      <c r="H22" s="23"/>
      <c r="I22" s="24"/>
      <c r="J22" s="5"/>
    </row>
    <row r="23" spans="1:10" ht="13.05" customHeight="1">
      <c r="A23" s="18" t="s">
        <v>712</v>
      </c>
      <c r="B23" s="19" t="s">
        <v>713</v>
      </c>
      <c r="C23" s="15" t="s">
        <v>714</v>
      </c>
      <c r="D23" s="15" t="s">
        <v>603</v>
      </c>
      <c r="E23" s="20">
        <v>46573</v>
      </c>
      <c r="F23" s="21">
        <v>1666.1025</v>
      </c>
      <c r="G23" s="22">
        <v>1.0500000000000001E-2</v>
      </c>
      <c r="H23" s="23"/>
      <c r="I23" s="24"/>
      <c r="J23" s="5"/>
    </row>
    <row r="24" spans="1:10" ht="13.05" customHeight="1">
      <c r="A24" s="18" t="s">
        <v>287</v>
      </c>
      <c r="B24" s="19" t="s">
        <v>288</v>
      </c>
      <c r="C24" s="15" t="s">
        <v>289</v>
      </c>
      <c r="D24" s="15" t="s">
        <v>272</v>
      </c>
      <c r="E24" s="20">
        <v>52532</v>
      </c>
      <c r="F24" s="21">
        <v>1606.4286</v>
      </c>
      <c r="G24" s="22">
        <v>1.0200000000000001E-2</v>
      </c>
      <c r="H24" s="23"/>
      <c r="I24" s="24"/>
      <c r="J24" s="5"/>
    </row>
    <row r="25" spans="1:10" ht="13.05" customHeight="1">
      <c r="A25" s="18" t="s">
        <v>429</v>
      </c>
      <c r="B25" s="19" t="s">
        <v>430</v>
      </c>
      <c r="C25" s="15" t="s">
        <v>431</v>
      </c>
      <c r="D25" s="15" t="s">
        <v>415</v>
      </c>
      <c r="E25" s="20">
        <v>20885</v>
      </c>
      <c r="F25" s="21">
        <v>1604.1768999999999</v>
      </c>
      <c r="G25" s="22">
        <v>1.01E-2</v>
      </c>
      <c r="H25" s="23"/>
      <c r="I25" s="24"/>
      <c r="J25" s="5"/>
    </row>
    <row r="26" spans="1:10" ht="13.05" customHeight="1">
      <c r="A26" s="18" t="s">
        <v>919</v>
      </c>
      <c r="B26" s="19" t="s">
        <v>920</v>
      </c>
      <c r="C26" s="15" t="s">
        <v>921</v>
      </c>
      <c r="D26" s="15" t="s">
        <v>300</v>
      </c>
      <c r="E26" s="20">
        <v>167027</v>
      </c>
      <c r="F26" s="21">
        <v>1551.1796999999999</v>
      </c>
      <c r="G26" s="22">
        <v>9.7999999999999997E-3</v>
      </c>
      <c r="H26" s="23"/>
      <c r="I26" s="24"/>
      <c r="J26" s="5"/>
    </row>
    <row r="27" spans="1:10" ht="13.05" customHeight="1">
      <c r="A27" s="18" t="s">
        <v>1052</v>
      </c>
      <c r="B27" s="19" t="s">
        <v>1053</v>
      </c>
      <c r="C27" s="15" t="s">
        <v>1054</v>
      </c>
      <c r="D27" s="15" t="s">
        <v>445</v>
      </c>
      <c r="E27" s="20">
        <v>140202</v>
      </c>
      <c r="F27" s="21">
        <v>1532.6883</v>
      </c>
      <c r="G27" s="22">
        <v>9.7000000000000003E-3</v>
      </c>
      <c r="H27" s="23"/>
      <c r="I27" s="24"/>
      <c r="J27" s="5"/>
    </row>
    <row r="28" spans="1:10" ht="13.05" customHeight="1">
      <c r="A28" s="18" t="s">
        <v>907</v>
      </c>
      <c r="B28" s="19" t="s">
        <v>908</v>
      </c>
      <c r="C28" s="15" t="s">
        <v>909</v>
      </c>
      <c r="D28" s="15" t="s">
        <v>415</v>
      </c>
      <c r="E28" s="20">
        <v>209341</v>
      </c>
      <c r="F28" s="21">
        <v>1509.4532999999999</v>
      </c>
      <c r="G28" s="22">
        <v>9.4999999999999998E-3</v>
      </c>
      <c r="H28" s="23"/>
      <c r="I28" s="24"/>
      <c r="J28" s="5"/>
    </row>
    <row r="29" spans="1:10" ht="13.05" customHeight="1">
      <c r="A29" s="18" t="s">
        <v>426</v>
      </c>
      <c r="B29" s="19" t="s">
        <v>427</v>
      </c>
      <c r="C29" s="15" t="s">
        <v>428</v>
      </c>
      <c r="D29" s="15" t="s">
        <v>405</v>
      </c>
      <c r="E29" s="20">
        <v>197898</v>
      </c>
      <c r="F29" s="21">
        <v>1448.3164999999999</v>
      </c>
      <c r="G29" s="22">
        <v>9.1999999999999998E-3</v>
      </c>
      <c r="H29" s="23"/>
      <c r="I29" s="24"/>
      <c r="J29" s="5"/>
    </row>
    <row r="30" spans="1:10" ht="13.05" customHeight="1">
      <c r="A30" s="18" t="s">
        <v>311</v>
      </c>
      <c r="B30" s="19" t="s">
        <v>312</v>
      </c>
      <c r="C30" s="15" t="s">
        <v>313</v>
      </c>
      <c r="D30" s="15" t="s">
        <v>314</v>
      </c>
      <c r="E30" s="20">
        <v>83572</v>
      </c>
      <c r="F30" s="21">
        <v>1412.9518</v>
      </c>
      <c r="G30" s="22">
        <v>8.8999999999999999E-3</v>
      </c>
      <c r="H30" s="23"/>
      <c r="I30" s="24"/>
      <c r="J30" s="5"/>
    </row>
    <row r="31" spans="1:10" ht="13.05" customHeight="1">
      <c r="A31" s="18" t="s">
        <v>843</v>
      </c>
      <c r="B31" s="19" t="s">
        <v>844</v>
      </c>
      <c r="C31" s="15" t="s">
        <v>845</v>
      </c>
      <c r="D31" s="15" t="s">
        <v>846</v>
      </c>
      <c r="E31" s="20">
        <v>20808</v>
      </c>
      <c r="F31" s="21">
        <v>1395.0724</v>
      </c>
      <c r="G31" s="22">
        <v>8.8000000000000005E-3</v>
      </c>
      <c r="H31" s="23"/>
      <c r="I31" s="24"/>
      <c r="J31" s="5"/>
    </row>
    <row r="32" spans="1:10" ht="13.05" customHeight="1">
      <c r="A32" s="18" t="s">
        <v>416</v>
      </c>
      <c r="B32" s="19" t="s">
        <v>417</v>
      </c>
      <c r="C32" s="15" t="s">
        <v>418</v>
      </c>
      <c r="D32" s="15" t="s">
        <v>314</v>
      </c>
      <c r="E32" s="20">
        <v>91758</v>
      </c>
      <c r="F32" s="21">
        <v>1377.5628999999999</v>
      </c>
      <c r="G32" s="22">
        <v>8.6999999999999994E-3</v>
      </c>
      <c r="H32" s="23"/>
      <c r="I32" s="24"/>
      <c r="J32" s="5"/>
    </row>
    <row r="33" spans="1:10" ht="13.05" customHeight="1">
      <c r="A33" s="18" t="s">
        <v>402</v>
      </c>
      <c r="B33" s="19" t="s">
        <v>403</v>
      </c>
      <c r="C33" s="15" t="s">
        <v>404</v>
      </c>
      <c r="D33" s="15" t="s">
        <v>405</v>
      </c>
      <c r="E33" s="20">
        <v>66226</v>
      </c>
      <c r="F33" s="21">
        <v>1295.1819</v>
      </c>
      <c r="G33" s="22">
        <v>8.2000000000000007E-3</v>
      </c>
      <c r="H33" s="23"/>
      <c r="I33" s="24"/>
      <c r="J33" s="5"/>
    </row>
    <row r="34" spans="1:10" ht="13.05" customHeight="1">
      <c r="A34" s="18" t="s">
        <v>739</v>
      </c>
      <c r="B34" s="19" t="s">
        <v>740</v>
      </c>
      <c r="C34" s="15" t="s">
        <v>741</v>
      </c>
      <c r="D34" s="15" t="s">
        <v>314</v>
      </c>
      <c r="E34" s="20">
        <v>53087</v>
      </c>
      <c r="F34" s="21">
        <v>1265.5941</v>
      </c>
      <c r="G34" s="22">
        <v>8.0000000000000002E-3</v>
      </c>
      <c r="H34" s="23"/>
      <c r="I34" s="24"/>
      <c r="J34" s="5"/>
    </row>
    <row r="35" spans="1:10" ht="13.05" customHeight="1">
      <c r="A35" s="18" t="s">
        <v>301</v>
      </c>
      <c r="B35" s="19" t="s">
        <v>302</v>
      </c>
      <c r="C35" s="15" t="s">
        <v>303</v>
      </c>
      <c r="D35" s="15" t="s">
        <v>304</v>
      </c>
      <c r="E35" s="20">
        <v>397167</v>
      </c>
      <c r="F35" s="21">
        <v>1261.9981</v>
      </c>
      <c r="G35" s="22">
        <v>8.0000000000000002E-3</v>
      </c>
      <c r="H35" s="23"/>
      <c r="I35" s="24"/>
      <c r="J35" s="5"/>
    </row>
    <row r="36" spans="1:10" ht="13.05" customHeight="1">
      <c r="A36" s="18" t="s">
        <v>482</v>
      </c>
      <c r="B36" s="19" t="s">
        <v>483</v>
      </c>
      <c r="C36" s="15" t="s">
        <v>484</v>
      </c>
      <c r="D36" s="15" t="s">
        <v>261</v>
      </c>
      <c r="E36" s="20">
        <v>712965</v>
      </c>
      <c r="F36" s="21">
        <v>1182.8089</v>
      </c>
      <c r="G36" s="22">
        <v>7.4999999999999997E-3</v>
      </c>
      <c r="H36" s="23"/>
      <c r="I36" s="24"/>
      <c r="J36" s="5"/>
    </row>
    <row r="37" spans="1:10" ht="13.05" customHeight="1">
      <c r="A37" s="18" t="s">
        <v>616</v>
      </c>
      <c r="B37" s="19" t="s">
        <v>617</v>
      </c>
      <c r="C37" s="15" t="s">
        <v>618</v>
      </c>
      <c r="D37" s="15" t="s">
        <v>445</v>
      </c>
      <c r="E37" s="20">
        <v>38511</v>
      </c>
      <c r="F37" s="21">
        <v>1169.7330999999999</v>
      </c>
      <c r="G37" s="22">
        <v>7.4000000000000003E-3</v>
      </c>
      <c r="H37" s="23"/>
      <c r="I37" s="24"/>
      <c r="J37" s="5"/>
    </row>
    <row r="38" spans="1:10" ht="13.05" customHeight="1">
      <c r="A38" s="18" t="s">
        <v>2426</v>
      </c>
      <c r="B38" s="19" t="s">
        <v>2427</v>
      </c>
      <c r="C38" s="15" t="s">
        <v>2428</v>
      </c>
      <c r="D38" s="15" t="s">
        <v>970</v>
      </c>
      <c r="E38" s="20">
        <v>193158</v>
      </c>
      <c r="F38" s="21">
        <v>1159.1412</v>
      </c>
      <c r="G38" s="22">
        <v>7.3000000000000001E-3</v>
      </c>
      <c r="H38" s="23"/>
      <c r="I38" s="24"/>
      <c r="J38" s="5"/>
    </row>
    <row r="39" spans="1:10" ht="13.05" customHeight="1">
      <c r="A39" s="18" t="s">
        <v>326</v>
      </c>
      <c r="B39" s="19" t="s">
        <v>327</v>
      </c>
      <c r="C39" s="15" t="s">
        <v>328</v>
      </c>
      <c r="D39" s="15" t="s">
        <v>329</v>
      </c>
      <c r="E39" s="20">
        <v>271300</v>
      </c>
      <c r="F39" s="21">
        <v>1156.0092999999999</v>
      </c>
      <c r="G39" s="22">
        <v>7.3000000000000001E-3</v>
      </c>
      <c r="H39" s="23"/>
      <c r="I39" s="24"/>
      <c r="J39" s="5"/>
    </row>
    <row r="40" spans="1:10" ht="13.05" customHeight="1">
      <c r="A40" s="18" t="s">
        <v>322</v>
      </c>
      <c r="B40" s="19" t="s">
        <v>323</v>
      </c>
      <c r="C40" s="15" t="s">
        <v>324</v>
      </c>
      <c r="D40" s="15" t="s">
        <v>325</v>
      </c>
      <c r="E40" s="20">
        <v>30327</v>
      </c>
      <c r="F40" s="21">
        <v>1136.2617</v>
      </c>
      <c r="G40" s="22">
        <v>7.1999999999999998E-3</v>
      </c>
      <c r="H40" s="23"/>
      <c r="I40" s="24"/>
      <c r="J40" s="5"/>
    </row>
    <row r="41" spans="1:10" ht="13.05" customHeight="1">
      <c r="A41" s="18" t="s">
        <v>472</v>
      </c>
      <c r="B41" s="19" t="s">
        <v>473</v>
      </c>
      <c r="C41" s="15" t="s">
        <v>474</v>
      </c>
      <c r="D41" s="15" t="s">
        <v>475</v>
      </c>
      <c r="E41" s="20">
        <v>228100</v>
      </c>
      <c r="F41" s="21">
        <v>1071.2717</v>
      </c>
      <c r="G41" s="22">
        <v>6.7999999999999996E-3</v>
      </c>
      <c r="H41" s="23"/>
      <c r="I41" s="24"/>
      <c r="J41" s="5"/>
    </row>
    <row r="42" spans="1:10" ht="13.05" customHeight="1">
      <c r="A42" s="18" t="s">
        <v>476</v>
      </c>
      <c r="B42" s="19" t="s">
        <v>477</v>
      </c>
      <c r="C42" s="15" t="s">
        <v>478</v>
      </c>
      <c r="D42" s="15" t="s">
        <v>325</v>
      </c>
      <c r="E42" s="20">
        <v>6805</v>
      </c>
      <c r="F42" s="21">
        <v>1054.3667</v>
      </c>
      <c r="G42" s="22">
        <v>6.7000000000000002E-3</v>
      </c>
      <c r="H42" s="23"/>
      <c r="I42" s="24"/>
      <c r="J42" s="5"/>
    </row>
    <row r="43" spans="1:10" ht="13.05" customHeight="1">
      <c r="A43" s="18" t="s">
        <v>694</v>
      </c>
      <c r="B43" s="19" t="s">
        <v>695</v>
      </c>
      <c r="C43" s="15" t="s">
        <v>696</v>
      </c>
      <c r="D43" s="15" t="s">
        <v>541</v>
      </c>
      <c r="E43" s="20">
        <v>62035</v>
      </c>
      <c r="F43" s="21">
        <v>1043.8009</v>
      </c>
      <c r="G43" s="22">
        <v>6.6E-3</v>
      </c>
      <c r="H43" s="23"/>
      <c r="I43" s="24"/>
      <c r="J43" s="5"/>
    </row>
    <row r="44" spans="1:10" ht="13.05" customHeight="1">
      <c r="A44" s="18" t="s">
        <v>532</v>
      </c>
      <c r="B44" s="19" t="s">
        <v>533</v>
      </c>
      <c r="C44" s="15" t="s">
        <v>534</v>
      </c>
      <c r="D44" s="15" t="s">
        <v>445</v>
      </c>
      <c r="E44" s="20">
        <v>135662</v>
      </c>
      <c r="F44" s="21">
        <v>999.35410000000002</v>
      </c>
      <c r="G44" s="22">
        <v>6.3E-3</v>
      </c>
      <c r="H44" s="23"/>
      <c r="I44" s="24"/>
      <c r="J44" s="5"/>
    </row>
    <row r="45" spans="1:10" ht="13.05" customHeight="1">
      <c r="A45" s="18" t="s">
        <v>458</v>
      </c>
      <c r="B45" s="19" t="s">
        <v>459</v>
      </c>
      <c r="C45" s="15" t="s">
        <v>460</v>
      </c>
      <c r="D45" s="15" t="s">
        <v>321</v>
      </c>
      <c r="E45" s="20">
        <v>242088</v>
      </c>
      <c r="F45" s="21">
        <v>980.21429999999998</v>
      </c>
      <c r="G45" s="22">
        <v>6.1999999999999998E-3</v>
      </c>
      <c r="H45" s="23"/>
      <c r="I45" s="24"/>
      <c r="J45" s="5"/>
    </row>
    <row r="46" spans="1:10" ht="13.05" customHeight="1">
      <c r="A46" s="18" t="s">
        <v>442</v>
      </c>
      <c r="B46" s="19" t="s">
        <v>443</v>
      </c>
      <c r="C46" s="15" t="s">
        <v>444</v>
      </c>
      <c r="D46" s="15" t="s">
        <v>445</v>
      </c>
      <c r="E46" s="20">
        <v>1624281</v>
      </c>
      <c r="F46" s="21">
        <v>963.19860000000006</v>
      </c>
      <c r="G46" s="22">
        <v>6.1000000000000004E-3</v>
      </c>
      <c r="H46" s="23"/>
      <c r="I46" s="24"/>
      <c r="J46" s="5"/>
    </row>
    <row r="47" spans="1:10" ht="13.05" customHeight="1">
      <c r="A47" s="18" t="s">
        <v>395</v>
      </c>
      <c r="B47" s="19" t="s">
        <v>396</v>
      </c>
      <c r="C47" s="15" t="s">
        <v>397</v>
      </c>
      <c r="D47" s="15" t="s">
        <v>329</v>
      </c>
      <c r="E47" s="20">
        <v>20255</v>
      </c>
      <c r="F47" s="21">
        <v>947.89350000000002</v>
      </c>
      <c r="G47" s="22">
        <v>6.0000000000000001E-3</v>
      </c>
      <c r="H47" s="23"/>
      <c r="I47" s="24"/>
      <c r="J47" s="5"/>
    </row>
    <row r="48" spans="1:10" ht="13.05" customHeight="1">
      <c r="A48" s="18" t="s">
        <v>2435</v>
      </c>
      <c r="B48" s="19" t="s">
        <v>2436</v>
      </c>
      <c r="C48" s="15" t="s">
        <v>2437</v>
      </c>
      <c r="D48" s="15" t="s">
        <v>567</v>
      </c>
      <c r="E48" s="20">
        <v>62450</v>
      </c>
      <c r="F48" s="21">
        <v>945.3057</v>
      </c>
      <c r="G48" s="22">
        <v>6.0000000000000001E-3</v>
      </c>
      <c r="H48" s="23"/>
      <c r="I48" s="24"/>
      <c r="J48" s="5"/>
    </row>
    <row r="49" spans="1:10" ht="13.05" customHeight="1">
      <c r="A49" s="18" t="s">
        <v>446</v>
      </c>
      <c r="B49" s="19" t="s">
        <v>447</v>
      </c>
      <c r="C49" s="15" t="s">
        <v>448</v>
      </c>
      <c r="D49" s="15" t="s">
        <v>300</v>
      </c>
      <c r="E49" s="20">
        <v>54819</v>
      </c>
      <c r="F49" s="21">
        <v>930.16880000000003</v>
      </c>
      <c r="G49" s="22">
        <v>5.8999999999999999E-3</v>
      </c>
      <c r="H49" s="23"/>
      <c r="I49" s="24"/>
      <c r="J49" s="5"/>
    </row>
    <row r="50" spans="1:10" ht="13.05" customHeight="1">
      <c r="A50" s="18" t="s">
        <v>1013</v>
      </c>
      <c r="B50" s="19" t="s">
        <v>1014</v>
      </c>
      <c r="C50" s="15" t="s">
        <v>1015</v>
      </c>
      <c r="D50" s="15" t="s">
        <v>314</v>
      </c>
      <c r="E50" s="20">
        <v>53218</v>
      </c>
      <c r="F50" s="21">
        <v>895.28639999999996</v>
      </c>
      <c r="G50" s="22">
        <v>5.7000000000000002E-3</v>
      </c>
      <c r="H50" s="23"/>
      <c r="I50" s="24"/>
      <c r="J50" s="5"/>
    </row>
    <row r="51" spans="1:10" ht="13.05" customHeight="1">
      <c r="A51" s="18" t="s">
        <v>700</v>
      </c>
      <c r="B51" s="19" t="s">
        <v>701</v>
      </c>
      <c r="C51" s="15" t="s">
        <v>702</v>
      </c>
      <c r="D51" s="15" t="s">
        <v>257</v>
      </c>
      <c r="E51" s="20">
        <v>103508</v>
      </c>
      <c r="F51" s="21">
        <v>888.82320000000004</v>
      </c>
      <c r="G51" s="22">
        <v>5.5999999999999999E-3</v>
      </c>
      <c r="H51" s="23"/>
      <c r="I51" s="24"/>
      <c r="J51" s="5"/>
    </row>
    <row r="52" spans="1:10" ht="13.05" customHeight="1">
      <c r="A52" s="18" t="s">
        <v>862</v>
      </c>
      <c r="B52" s="19" t="s">
        <v>863</v>
      </c>
      <c r="C52" s="15" t="s">
        <v>864</v>
      </c>
      <c r="D52" s="15" t="s">
        <v>581</v>
      </c>
      <c r="E52" s="20">
        <v>15356</v>
      </c>
      <c r="F52" s="21">
        <v>873.35709999999995</v>
      </c>
      <c r="G52" s="22">
        <v>5.4999999999999997E-3</v>
      </c>
      <c r="H52" s="23"/>
      <c r="I52" s="24"/>
      <c r="J52" s="5"/>
    </row>
    <row r="53" spans="1:10" ht="13.05" customHeight="1">
      <c r="A53" s="18" t="s">
        <v>341</v>
      </c>
      <c r="B53" s="19" t="s">
        <v>342</v>
      </c>
      <c r="C53" s="15" t="s">
        <v>343</v>
      </c>
      <c r="D53" s="15" t="s">
        <v>344</v>
      </c>
      <c r="E53" s="20">
        <v>102714</v>
      </c>
      <c r="F53" s="21">
        <v>870.86059999999998</v>
      </c>
      <c r="G53" s="22">
        <v>5.4999999999999997E-3</v>
      </c>
      <c r="H53" s="23"/>
      <c r="I53" s="24"/>
      <c r="J53" s="5"/>
    </row>
    <row r="54" spans="1:10" ht="13.05" customHeight="1">
      <c r="A54" s="18" t="s">
        <v>330</v>
      </c>
      <c r="B54" s="19" t="s">
        <v>331</v>
      </c>
      <c r="C54" s="15" t="s">
        <v>332</v>
      </c>
      <c r="D54" s="15" t="s">
        <v>333</v>
      </c>
      <c r="E54" s="20">
        <v>476026</v>
      </c>
      <c r="F54" s="21">
        <v>870.36590000000001</v>
      </c>
      <c r="G54" s="22">
        <v>5.4999999999999997E-3</v>
      </c>
      <c r="H54" s="23"/>
      <c r="I54" s="24"/>
      <c r="J54" s="5"/>
    </row>
    <row r="55" spans="1:10" ht="13.05" customHeight="1">
      <c r="A55" s="18" t="s">
        <v>485</v>
      </c>
      <c r="B55" s="19" t="s">
        <v>486</v>
      </c>
      <c r="C55" s="15" t="s">
        <v>487</v>
      </c>
      <c r="D55" s="15" t="s">
        <v>304</v>
      </c>
      <c r="E55" s="20">
        <v>20347</v>
      </c>
      <c r="F55" s="21">
        <v>845.11260000000004</v>
      </c>
      <c r="G55" s="22">
        <v>5.3E-3</v>
      </c>
      <c r="H55" s="23"/>
      <c r="I55" s="24"/>
      <c r="J55" s="5"/>
    </row>
    <row r="56" spans="1:10" ht="13.05" customHeight="1">
      <c r="A56" s="18" t="s">
        <v>989</v>
      </c>
      <c r="B56" s="19" t="s">
        <v>990</v>
      </c>
      <c r="C56" s="15" t="s">
        <v>991</v>
      </c>
      <c r="D56" s="15" t="s">
        <v>541</v>
      </c>
      <c r="E56" s="20">
        <v>80139</v>
      </c>
      <c r="F56" s="21">
        <v>831.60239999999999</v>
      </c>
      <c r="G56" s="22">
        <v>5.3E-3</v>
      </c>
      <c r="H56" s="23"/>
      <c r="I56" s="24"/>
      <c r="J56" s="5"/>
    </row>
    <row r="57" spans="1:10" ht="13.05" customHeight="1">
      <c r="A57" s="18" t="s">
        <v>1848</v>
      </c>
      <c r="B57" s="19" t="s">
        <v>1849</v>
      </c>
      <c r="C57" s="15" t="s">
        <v>1850</v>
      </c>
      <c r="D57" s="15" t="s">
        <v>304</v>
      </c>
      <c r="E57" s="20">
        <v>164157</v>
      </c>
      <c r="F57" s="21">
        <v>825.46349999999995</v>
      </c>
      <c r="G57" s="22">
        <v>5.1999999999999998E-3</v>
      </c>
      <c r="H57" s="23"/>
      <c r="I57" s="24"/>
      <c r="J57" s="5"/>
    </row>
    <row r="58" spans="1:10" ht="13.05" customHeight="1">
      <c r="A58" s="18" t="s">
        <v>1370</v>
      </c>
      <c r="B58" s="19" t="s">
        <v>1371</v>
      </c>
      <c r="C58" s="15" t="s">
        <v>1372</v>
      </c>
      <c r="D58" s="15" t="s">
        <v>846</v>
      </c>
      <c r="E58" s="20">
        <v>93718</v>
      </c>
      <c r="F58" s="21">
        <v>809.72349999999994</v>
      </c>
      <c r="G58" s="22">
        <v>5.1000000000000004E-3</v>
      </c>
      <c r="H58" s="23"/>
      <c r="I58" s="24"/>
      <c r="J58" s="5"/>
    </row>
    <row r="59" spans="1:10" ht="13.05" customHeight="1">
      <c r="A59" s="18" t="s">
        <v>392</v>
      </c>
      <c r="B59" s="19" t="s">
        <v>393</v>
      </c>
      <c r="C59" s="15" t="s">
        <v>394</v>
      </c>
      <c r="D59" s="15" t="s">
        <v>272</v>
      </c>
      <c r="E59" s="20">
        <v>54730</v>
      </c>
      <c r="F59" s="21">
        <v>779.57410000000004</v>
      </c>
      <c r="G59" s="22">
        <v>4.8999999999999998E-3</v>
      </c>
      <c r="H59" s="23"/>
      <c r="I59" s="24"/>
      <c r="J59" s="5"/>
    </row>
    <row r="60" spans="1:10" ht="13.05" customHeight="1">
      <c r="A60" s="18" t="s">
        <v>345</v>
      </c>
      <c r="B60" s="19" t="s">
        <v>346</v>
      </c>
      <c r="C60" s="15" t="s">
        <v>347</v>
      </c>
      <c r="D60" s="15" t="s">
        <v>348</v>
      </c>
      <c r="E60" s="20">
        <v>13606</v>
      </c>
      <c r="F60" s="21">
        <v>765.33749999999998</v>
      </c>
      <c r="G60" s="22">
        <v>4.7999999999999996E-3</v>
      </c>
      <c r="H60" s="23"/>
      <c r="I60" s="24"/>
      <c r="J60" s="5"/>
    </row>
    <row r="61" spans="1:10" ht="13.05" customHeight="1">
      <c r="A61" s="18" t="s">
        <v>349</v>
      </c>
      <c r="B61" s="19" t="s">
        <v>350</v>
      </c>
      <c r="C61" s="15" t="s">
        <v>351</v>
      </c>
      <c r="D61" s="15" t="s">
        <v>300</v>
      </c>
      <c r="E61" s="20">
        <v>36371</v>
      </c>
      <c r="F61" s="21">
        <v>759.53560000000004</v>
      </c>
      <c r="G61" s="22">
        <v>4.7999999999999996E-3</v>
      </c>
      <c r="H61" s="23"/>
      <c r="I61" s="24"/>
      <c r="J61" s="5"/>
    </row>
    <row r="62" spans="1:10" ht="13.05" customHeight="1">
      <c r="A62" s="18" t="s">
        <v>452</v>
      </c>
      <c r="B62" s="19" t="s">
        <v>453</v>
      </c>
      <c r="C62" s="15" t="s">
        <v>454</v>
      </c>
      <c r="D62" s="15" t="s">
        <v>391</v>
      </c>
      <c r="E62" s="20">
        <v>12923</v>
      </c>
      <c r="F62" s="21">
        <v>754.2509</v>
      </c>
      <c r="G62" s="22">
        <v>4.7999999999999996E-3</v>
      </c>
      <c r="H62" s="23"/>
      <c r="I62" s="24"/>
      <c r="J62" s="5"/>
    </row>
    <row r="63" spans="1:10" ht="13.05" customHeight="1">
      <c r="A63" s="18" t="s">
        <v>1263</v>
      </c>
      <c r="B63" s="19" t="s">
        <v>1264</v>
      </c>
      <c r="C63" s="15" t="s">
        <v>1265</v>
      </c>
      <c r="D63" s="15" t="s">
        <v>541</v>
      </c>
      <c r="E63" s="20">
        <v>116644</v>
      </c>
      <c r="F63" s="21">
        <v>751.65390000000002</v>
      </c>
      <c r="G63" s="22">
        <v>4.7999999999999996E-3</v>
      </c>
      <c r="H63" s="23"/>
      <c r="I63" s="24"/>
      <c r="J63" s="5"/>
    </row>
    <row r="64" spans="1:10" ht="13.05" customHeight="1">
      <c r="A64" s="18" t="s">
        <v>1299</v>
      </c>
      <c r="B64" s="19" t="s">
        <v>1300</v>
      </c>
      <c r="C64" s="15" t="s">
        <v>1301</v>
      </c>
      <c r="D64" s="15" t="s">
        <v>325</v>
      </c>
      <c r="E64" s="20">
        <v>130261</v>
      </c>
      <c r="F64" s="21">
        <v>743.72519999999997</v>
      </c>
      <c r="G64" s="22">
        <v>4.7000000000000002E-3</v>
      </c>
      <c r="H64" s="23"/>
      <c r="I64" s="24"/>
      <c r="J64" s="5"/>
    </row>
    <row r="65" spans="1:10" ht="13.05" customHeight="1">
      <c r="A65" s="18" t="s">
        <v>561</v>
      </c>
      <c r="B65" s="19" t="s">
        <v>562</v>
      </c>
      <c r="C65" s="15" t="s">
        <v>563</v>
      </c>
      <c r="D65" s="15" t="s">
        <v>300</v>
      </c>
      <c r="E65" s="20">
        <v>177460</v>
      </c>
      <c r="F65" s="21">
        <v>665.2088</v>
      </c>
      <c r="G65" s="22">
        <v>4.1999999999999997E-3</v>
      </c>
      <c r="H65" s="23"/>
      <c r="I65" s="24"/>
      <c r="J65" s="5"/>
    </row>
    <row r="66" spans="1:10" ht="13.05" customHeight="1">
      <c r="A66" s="18" t="s">
        <v>578</v>
      </c>
      <c r="B66" s="19" t="s">
        <v>579</v>
      </c>
      <c r="C66" s="15" t="s">
        <v>580</v>
      </c>
      <c r="D66" s="15" t="s">
        <v>581</v>
      </c>
      <c r="E66" s="20">
        <v>44570</v>
      </c>
      <c r="F66" s="21">
        <v>643.85820000000001</v>
      </c>
      <c r="G66" s="22">
        <v>4.1000000000000003E-3</v>
      </c>
      <c r="H66" s="23"/>
      <c r="I66" s="24"/>
      <c r="J66" s="5"/>
    </row>
    <row r="67" spans="1:10" ht="13.05" customHeight="1">
      <c r="A67" s="18" t="s">
        <v>529</v>
      </c>
      <c r="B67" s="19" t="s">
        <v>530</v>
      </c>
      <c r="C67" s="15" t="s">
        <v>531</v>
      </c>
      <c r="D67" s="15" t="s">
        <v>257</v>
      </c>
      <c r="E67" s="20">
        <v>223385</v>
      </c>
      <c r="F67" s="21">
        <v>621.90380000000005</v>
      </c>
      <c r="G67" s="22">
        <v>3.8999999999999998E-3</v>
      </c>
      <c r="H67" s="23"/>
      <c r="I67" s="24"/>
      <c r="J67" s="5"/>
    </row>
    <row r="68" spans="1:10" ht="13.05" customHeight="1">
      <c r="A68" s="18" t="s">
        <v>305</v>
      </c>
      <c r="B68" s="19" t="s">
        <v>306</v>
      </c>
      <c r="C68" s="15" t="s">
        <v>307</v>
      </c>
      <c r="D68" s="15" t="s">
        <v>280</v>
      </c>
      <c r="E68" s="20">
        <v>25077</v>
      </c>
      <c r="F68" s="21">
        <v>618.27340000000004</v>
      </c>
      <c r="G68" s="22">
        <v>3.8999999999999998E-3</v>
      </c>
      <c r="H68" s="23"/>
      <c r="I68" s="24"/>
      <c r="J68" s="5"/>
    </row>
    <row r="69" spans="1:10" ht="13.05" customHeight="1">
      <c r="A69" s="18" t="s">
        <v>315</v>
      </c>
      <c r="B69" s="19" t="s">
        <v>316</v>
      </c>
      <c r="C69" s="15" t="s">
        <v>317</v>
      </c>
      <c r="D69" s="15" t="s">
        <v>272</v>
      </c>
      <c r="E69" s="20">
        <v>40000</v>
      </c>
      <c r="F69" s="21">
        <v>616.6</v>
      </c>
      <c r="G69" s="22">
        <v>3.8999999999999998E-3</v>
      </c>
      <c r="H69" s="23"/>
      <c r="I69" s="24"/>
      <c r="J69" s="5"/>
    </row>
    <row r="70" spans="1:10" ht="13.05" customHeight="1">
      <c r="A70" s="18" t="s">
        <v>365</v>
      </c>
      <c r="B70" s="19" t="s">
        <v>366</v>
      </c>
      <c r="C70" s="15" t="s">
        <v>367</v>
      </c>
      <c r="D70" s="15" t="s">
        <v>300</v>
      </c>
      <c r="E70" s="20">
        <v>74079</v>
      </c>
      <c r="F70" s="21">
        <v>554.77760000000001</v>
      </c>
      <c r="G70" s="22">
        <v>3.5000000000000001E-3</v>
      </c>
      <c r="H70" s="23"/>
      <c r="I70" s="24"/>
      <c r="J70" s="5"/>
    </row>
    <row r="71" spans="1:10" ht="13.05" customHeight="1">
      <c r="A71" s="18" t="s">
        <v>564</v>
      </c>
      <c r="B71" s="19" t="s">
        <v>565</v>
      </c>
      <c r="C71" s="15" t="s">
        <v>566</v>
      </c>
      <c r="D71" s="15" t="s">
        <v>567</v>
      </c>
      <c r="E71" s="20">
        <v>495838</v>
      </c>
      <c r="F71" s="21">
        <v>522.56370000000004</v>
      </c>
      <c r="G71" s="22">
        <v>3.3E-3</v>
      </c>
      <c r="H71" s="23"/>
      <c r="I71" s="24"/>
      <c r="J71" s="5"/>
    </row>
    <row r="72" spans="1:10" ht="13.05" customHeight="1">
      <c r="A72" s="18" t="s">
        <v>777</v>
      </c>
      <c r="B72" s="19" t="s">
        <v>778</v>
      </c>
      <c r="C72" s="15" t="s">
        <v>779</v>
      </c>
      <c r="D72" s="15" t="s">
        <v>314</v>
      </c>
      <c r="E72" s="20">
        <v>49425</v>
      </c>
      <c r="F72" s="21">
        <v>481.62189999999998</v>
      </c>
      <c r="G72" s="22">
        <v>3.0000000000000001E-3</v>
      </c>
      <c r="H72" s="23"/>
      <c r="I72" s="24"/>
      <c r="J72" s="5"/>
    </row>
    <row r="73" spans="1:10" ht="13.05" customHeight="1">
      <c r="A73" s="18" t="s">
        <v>640</v>
      </c>
      <c r="B73" s="19" t="s">
        <v>641</v>
      </c>
      <c r="C73" s="15" t="s">
        <v>642</v>
      </c>
      <c r="D73" s="15" t="s">
        <v>296</v>
      </c>
      <c r="E73" s="20">
        <v>19090</v>
      </c>
      <c r="F73" s="21">
        <v>465.5478</v>
      </c>
      <c r="G73" s="22">
        <v>2.8999999999999998E-3</v>
      </c>
      <c r="H73" s="23"/>
      <c r="I73" s="24"/>
      <c r="J73" s="5"/>
    </row>
    <row r="74" spans="1:10" ht="13.05" customHeight="1">
      <c r="A74" s="18" t="s">
        <v>685</v>
      </c>
      <c r="B74" s="19" t="s">
        <v>686</v>
      </c>
      <c r="C74" s="15" t="s">
        <v>687</v>
      </c>
      <c r="D74" s="15" t="s">
        <v>272</v>
      </c>
      <c r="E74" s="20">
        <v>15172</v>
      </c>
      <c r="F74" s="21">
        <v>419.41480000000001</v>
      </c>
      <c r="G74" s="22">
        <v>2.7000000000000001E-3</v>
      </c>
      <c r="H74" s="23"/>
      <c r="I74" s="24"/>
      <c r="J74" s="5"/>
    </row>
    <row r="75" spans="1:10" ht="13.05" customHeight="1">
      <c r="A75" s="18" t="s">
        <v>828</v>
      </c>
      <c r="B75" s="19" t="s">
        <v>829</v>
      </c>
      <c r="C75" s="15" t="s">
        <v>830</v>
      </c>
      <c r="D75" s="15" t="s">
        <v>567</v>
      </c>
      <c r="E75" s="20">
        <v>87410</v>
      </c>
      <c r="F75" s="21">
        <v>413.23079999999999</v>
      </c>
      <c r="G75" s="22">
        <v>2.5999999999999999E-3</v>
      </c>
      <c r="H75" s="23"/>
      <c r="I75" s="24"/>
      <c r="J75" s="5"/>
    </row>
    <row r="76" spans="1:10" ht="13.05" customHeight="1">
      <c r="A76" s="18" t="s">
        <v>3526</v>
      </c>
      <c r="B76" s="19" t="s">
        <v>3527</v>
      </c>
      <c r="C76" s="15" t="s">
        <v>3528</v>
      </c>
      <c r="D76" s="15" t="s">
        <v>541</v>
      </c>
      <c r="E76" s="20">
        <v>93919</v>
      </c>
      <c r="F76" s="21">
        <v>402.86559999999997</v>
      </c>
      <c r="G76" s="22">
        <v>2.5000000000000001E-3</v>
      </c>
      <c r="H76" s="23"/>
      <c r="I76" s="24"/>
      <c r="J76" s="5"/>
    </row>
    <row r="77" spans="1:10" ht="13.05" customHeight="1">
      <c r="A77" s="18" t="s">
        <v>1519</v>
      </c>
      <c r="B77" s="19" t="s">
        <v>1520</v>
      </c>
      <c r="C77" s="15" t="s">
        <v>1521</v>
      </c>
      <c r="D77" s="15" t="s">
        <v>300</v>
      </c>
      <c r="E77" s="20">
        <v>76140</v>
      </c>
      <c r="F77" s="21">
        <v>388.19979999999998</v>
      </c>
      <c r="G77" s="22">
        <v>2.5000000000000001E-3</v>
      </c>
      <c r="H77" s="23"/>
      <c r="I77" s="24"/>
      <c r="J77" s="5"/>
    </row>
    <row r="78" spans="1:10" ht="13.05" customHeight="1">
      <c r="A78" s="18" t="s">
        <v>277</v>
      </c>
      <c r="B78" s="19" t="s">
        <v>278</v>
      </c>
      <c r="C78" s="15" t="s">
        <v>279</v>
      </c>
      <c r="D78" s="15" t="s">
        <v>280</v>
      </c>
      <c r="E78" s="20">
        <v>80151</v>
      </c>
      <c r="F78" s="21">
        <v>336.91469999999998</v>
      </c>
      <c r="G78" s="22">
        <v>2.0999999999999999E-3</v>
      </c>
      <c r="H78" s="23"/>
      <c r="I78" s="24"/>
      <c r="J78" s="5"/>
    </row>
    <row r="79" spans="1:10" ht="13.05" customHeight="1">
      <c r="A79" s="18" t="s">
        <v>2438</v>
      </c>
      <c r="B79" s="19" t="s">
        <v>2439</v>
      </c>
      <c r="C79" s="15" t="s">
        <v>2440</v>
      </c>
      <c r="D79" s="15" t="s">
        <v>445</v>
      </c>
      <c r="E79" s="20">
        <v>4380</v>
      </c>
      <c r="F79" s="21">
        <v>324.27330000000001</v>
      </c>
      <c r="G79" s="22">
        <v>2.0999999999999999E-3</v>
      </c>
      <c r="H79" s="23"/>
      <c r="I79" s="24"/>
      <c r="J79" s="5"/>
    </row>
    <row r="80" spans="1:10" ht="13.05" customHeight="1">
      <c r="A80" s="18" t="s">
        <v>1626</v>
      </c>
      <c r="B80" s="19" t="s">
        <v>1627</v>
      </c>
      <c r="C80" s="15" t="s">
        <v>1628</v>
      </c>
      <c r="D80" s="15" t="s">
        <v>415</v>
      </c>
      <c r="E80" s="20">
        <v>29777</v>
      </c>
      <c r="F80" s="21">
        <v>294.39030000000002</v>
      </c>
      <c r="G80" s="22">
        <v>1.9E-3</v>
      </c>
      <c r="H80" s="23"/>
      <c r="I80" s="24"/>
      <c r="J80" s="5"/>
    </row>
    <row r="81" spans="1:10" ht="13.05" customHeight="1">
      <c r="A81" s="18" t="s">
        <v>1492</v>
      </c>
      <c r="B81" s="19" t="s">
        <v>1493</v>
      </c>
      <c r="C81" s="15" t="s">
        <v>1494</v>
      </c>
      <c r="D81" s="15" t="s">
        <v>603</v>
      </c>
      <c r="E81" s="20">
        <v>58189</v>
      </c>
      <c r="F81" s="21">
        <v>292.22519999999997</v>
      </c>
      <c r="G81" s="22">
        <v>1.8E-3</v>
      </c>
      <c r="H81" s="23"/>
      <c r="I81" s="24"/>
      <c r="J81" s="5"/>
    </row>
    <row r="82" spans="1:10" ht="13.05" customHeight="1">
      <c r="A82" s="18" t="s">
        <v>1424</v>
      </c>
      <c r="B82" s="19" t="s">
        <v>1425</v>
      </c>
      <c r="C82" s="15" t="s">
        <v>1426</v>
      </c>
      <c r="D82" s="15" t="s">
        <v>300</v>
      </c>
      <c r="E82" s="20">
        <v>29207</v>
      </c>
      <c r="F82" s="21">
        <v>253.48759999999999</v>
      </c>
      <c r="G82" s="22">
        <v>1.6000000000000001E-3</v>
      </c>
      <c r="H82" s="23"/>
      <c r="I82" s="24"/>
      <c r="J82" s="5"/>
    </row>
    <row r="83" spans="1:10" ht="13.05" customHeight="1">
      <c r="A83" s="18" t="s">
        <v>810</v>
      </c>
      <c r="B83" s="19" t="s">
        <v>811</v>
      </c>
      <c r="C83" s="15" t="s">
        <v>812</v>
      </c>
      <c r="D83" s="15" t="s">
        <v>567</v>
      </c>
      <c r="E83" s="20">
        <v>18909</v>
      </c>
      <c r="F83" s="21">
        <v>233.56399999999999</v>
      </c>
      <c r="G83" s="22">
        <v>1.5E-3</v>
      </c>
      <c r="H83" s="23"/>
      <c r="I83" s="24"/>
      <c r="J83" s="5"/>
    </row>
    <row r="84" spans="1:10" ht="13.05" customHeight="1">
      <c r="A84" s="18" t="s">
        <v>940</v>
      </c>
      <c r="B84" s="19" t="s">
        <v>941</v>
      </c>
      <c r="C84" s="15" t="s">
        <v>942</v>
      </c>
      <c r="D84" s="15" t="s">
        <v>567</v>
      </c>
      <c r="E84" s="20">
        <v>5748</v>
      </c>
      <c r="F84" s="21">
        <v>231.15010000000001</v>
      </c>
      <c r="G84" s="22">
        <v>1.5E-3</v>
      </c>
      <c r="H84" s="23"/>
      <c r="I84" s="24"/>
      <c r="J84" s="5"/>
    </row>
    <row r="85" spans="1:10" ht="13.05" customHeight="1">
      <c r="A85" s="18" t="s">
        <v>1791</v>
      </c>
      <c r="B85" s="19" t="s">
        <v>1792</v>
      </c>
      <c r="C85" s="15" t="s">
        <v>1793</v>
      </c>
      <c r="D85" s="15" t="s">
        <v>581</v>
      </c>
      <c r="E85" s="20">
        <v>18357</v>
      </c>
      <c r="F85" s="21">
        <v>185.18539999999999</v>
      </c>
      <c r="G85" s="22">
        <v>1.1999999999999999E-3</v>
      </c>
      <c r="H85" s="23"/>
      <c r="I85" s="24"/>
      <c r="J85" s="5"/>
    </row>
    <row r="86" spans="1:10" ht="13.05" customHeight="1">
      <c r="A86" s="18" t="s">
        <v>1388</v>
      </c>
      <c r="B86" s="19" t="s">
        <v>1389</v>
      </c>
      <c r="C86" s="15" t="s">
        <v>1390</v>
      </c>
      <c r="D86" s="15" t="s">
        <v>846</v>
      </c>
      <c r="E86" s="20">
        <v>16281</v>
      </c>
      <c r="F86" s="21">
        <v>144.0136</v>
      </c>
      <c r="G86" s="22">
        <v>8.9999999999999998E-4</v>
      </c>
      <c r="H86" s="23"/>
      <c r="I86" s="24"/>
      <c r="J86" s="5"/>
    </row>
    <row r="87" spans="1:10" ht="13.05" customHeight="1">
      <c r="A87" s="18" t="s">
        <v>538</v>
      </c>
      <c r="B87" s="19" t="s">
        <v>539</v>
      </c>
      <c r="C87" s="15" t="s">
        <v>540</v>
      </c>
      <c r="D87" s="15" t="s">
        <v>541</v>
      </c>
      <c r="E87" s="20">
        <v>18860</v>
      </c>
      <c r="F87" s="21">
        <v>142.62880000000001</v>
      </c>
      <c r="G87" s="22">
        <v>8.9999999999999998E-4</v>
      </c>
      <c r="H87" s="23"/>
      <c r="I87" s="24"/>
      <c r="J87" s="5"/>
    </row>
    <row r="88" spans="1:10" ht="13.05" customHeight="1">
      <c r="A88" s="18" t="s">
        <v>409</v>
      </c>
      <c r="B88" s="19" t="s">
        <v>410</v>
      </c>
      <c r="C88" s="15" t="s">
        <v>411</v>
      </c>
      <c r="D88" s="15" t="s">
        <v>296</v>
      </c>
      <c r="E88" s="20">
        <v>34178</v>
      </c>
      <c r="F88" s="21">
        <v>140.12979999999999</v>
      </c>
      <c r="G88" s="22">
        <v>8.9999999999999998E-4</v>
      </c>
      <c r="H88" s="23"/>
      <c r="I88" s="24"/>
      <c r="J88" s="5"/>
    </row>
    <row r="89" spans="1:10" ht="13.05" customHeight="1">
      <c r="A89" s="18" t="s">
        <v>1698</v>
      </c>
      <c r="B89" s="19" t="s">
        <v>1699</v>
      </c>
      <c r="C89" s="15" t="s">
        <v>1700</v>
      </c>
      <c r="D89" s="15" t="s">
        <v>304</v>
      </c>
      <c r="E89" s="20">
        <v>18280</v>
      </c>
      <c r="F89" s="21">
        <v>118.0431</v>
      </c>
      <c r="G89" s="22">
        <v>6.9999999999999999E-4</v>
      </c>
      <c r="H89" s="23"/>
      <c r="I89" s="24"/>
      <c r="J89" s="5"/>
    </row>
    <row r="90" spans="1:10" ht="13.05" customHeight="1">
      <c r="A90" s="18" t="s">
        <v>388</v>
      </c>
      <c r="B90" s="19" t="s">
        <v>389</v>
      </c>
      <c r="C90" s="15" t="s">
        <v>390</v>
      </c>
      <c r="D90" s="15" t="s">
        <v>391</v>
      </c>
      <c r="E90" s="20">
        <v>8668</v>
      </c>
      <c r="F90" s="21">
        <v>110.2223</v>
      </c>
      <c r="G90" s="22">
        <v>6.9999999999999999E-4</v>
      </c>
      <c r="H90" s="23"/>
      <c r="I90" s="24"/>
      <c r="J90" s="5"/>
    </row>
    <row r="91" spans="1:10" ht="13.05" customHeight="1">
      <c r="A91" s="18" t="s">
        <v>378</v>
      </c>
      <c r="B91" s="19" t="s">
        <v>379</v>
      </c>
      <c r="C91" s="15" t="s">
        <v>380</v>
      </c>
      <c r="D91" s="15" t="s">
        <v>381</v>
      </c>
      <c r="E91" s="20">
        <v>39083</v>
      </c>
      <c r="F91" s="21">
        <v>99.806299999999993</v>
      </c>
      <c r="G91" s="22">
        <v>5.9999999999999995E-4</v>
      </c>
      <c r="H91" s="23"/>
      <c r="I91" s="24"/>
      <c r="J91" s="5"/>
    </row>
    <row r="92" spans="1:10" ht="13.05" customHeight="1">
      <c r="A92" s="18" t="s">
        <v>505</v>
      </c>
      <c r="B92" s="19" t="s">
        <v>2339</v>
      </c>
      <c r="C92" s="15" t="s">
        <v>506</v>
      </c>
      <c r="D92" s="15" t="s">
        <v>507</v>
      </c>
      <c r="E92" s="20">
        <v>34178</v>
      </c>
      <c r="F92" s="21">
        <v>89.119100000000003</v>
      </c>
      <c r="G92" s="22">
        <v>5.9999999999999995E-4</v>
      </c>
      <c r="H92" s="23"/>
      <c r="I92" s="24"/>
      <c r="J92" s="5"/>
    </row>
    <row r="93" spans="1:10" ht="13.05" customHeight="1">
      <c r="A93" s="18" t="s">
        <v>398</v>
      </c>
      <c r="B93" s="19" t="s">
        <v>399</v>
      </c>
      <c r="C93" s="15" t="s">
        <v>400</v>
      </c>
      <c r="D93" s="15" t="s">
        <v>401</v>
      </c>
      <c r="E93" s="20">
        <v>18828</v>
      </c>
      <c r="F93" s="21">
        <v>73.174999999999997</v>
      </c>
      <c r="G93" s="22">
        <v>5.0000000000000001E-4</v>
      </c>
      <c r="H93" s="23"/>
      <c r="I93" s="24"/>
      <c r="J93" s="5"/>
    </row>
    <row r="94" spans="1:10" ht="13.05" customHeight="1">
      <c r="A94" s="18" t="s">
        <v>3529</v>
      </c>
      <c r="B94" s="19" t="s">
        <v>3530</v>
      </c>
      <c r="C94" s="15" t="s">
        <v>3531</v>
      </c>
      <c r="D94" s="15" t="s">
        <v>257</v>
      </c>
      <c r="E94" s="20">
        <v>45327</v>
      </c>
      <c r="F94" s="21">
        <v>69.114599999999996</v>
      </c>
      <c r="G94" s="22">
        <v>4.0000000000000002E-4</v>
      </c>
      <c r="H94" s="23"/>
      <c r="I94" s="24"/>
      <c r="J94" s="5"/>
    </row>
    <row r="95" spans="1:10" ht="13.05" customHeight="1">
      <c r="A95" s="5"/>
      <c r="B95" s="14" t="s">
        <v>192</v>
      </c>
      <c r="C95" s="15"/>
      <c r="D95" s="15"/>
      <c r="E95" s="15"/>
      <c r="F95" s="25">
        <v>122572.00750000001</v>
      </c>
      <c r="G95" s="26">
        <v>0.77539999999999998</v>
      </c>
      <c r="H95" s="27"/>
      <c r="I95" s="28"/>
      <c r="J95" s="5"/>
    </row>
    <row r="96" spans="1:10" ht="13.05" customHeight="1">
      <c r="A96" s="5"/>
      <c r="B96" s="29" t="s">
        <v>1812</v>
      </c>
      <c r="C96" s="2"/>
      <c r="D96" s="2"/>
      <c r="E96" s="2"/>
      <c r="F96" s="27" t="s">
        <v>194</v>
      </c>
      <c r="G96" s="27" t="s">
        <v>194</v>
      </c>
      <c r="H96" s="27"/>
      <c r="I96" s="28"/>
      <c r="J96" s="5"/>
    </row>
    <row r="97" spans="1:10" ht="13.05" customHeight="1">
      <c r="A97" s="5"/>
      <c r="B97" s="29" t="s">
        <v>192</v>
      </c>
      <c r="C97" s="2"/>
      <c r="D97" s="2"/>
      <c r="E97" s="2"/>
      <c r="F97" s="27" t="s">
        <v>194</v>
      </c>
      <c r="G97" s="27" t="s">
        <v>194</v>
      </c>
      <c r="H97" s="27"/>
      <c r="I97" s="28"/>
      <c r="J97" s="5"/>
    </row>
    <row r="98" spans="1:10" ht="13.05" customHeight="1">
      <c r="A98" s="5"/>
      <c r="B98" s="29" t="s">
        <v>195</v>
      </c>
      <c r="C98" s="30"/>
      <c r="D98" s="2"/>
      <c r="E98" s="30"/>
      <c r="F98" s="25">
        <v>122572.00750000001</v>
      </c>
      <c r="G98" s="26">
        <v>0.77539999999999998</v>
      </c>
      <c r="H98" s="27"/>
      <c r="I98" s="28"/>
      <c r="J98" s="5"/>
    </row>
    <row r="99" spans="1:10" ht="13.05" customHeight="1">
      <c r="A99" s="5"/>
      <c r="B99" s="14" t="s">
        <v>183</v>
      </c>
      <c r="C99" s="15"/>
      <c r="D99" s="15"/>
      <c r="E99" s="15"/>
      <c r="F99" s="15"/>
      <c r="G99" s="15"/>
      <c r="H99" s="16"/>
      <c r="I99" s="17"/>
      <c r="J99" s="5"/>
    </row>
    <row r="100" spans="1:10" ht="13.05" customHeight="1">
      <c r="A100" s="5"/>
      <c r="B100" s="14" t="s">
        <v>184</v>
      </c>
      <c r="C100" s="15"/>
      <c r="D100" s="15"/>
      <c r="E100" s="15"/>
      <c r="F100" s="5"/>
      <c r="G100" s="16"/>
      <c r="H100" s="16"/>
      <c r="I100" s="17"/>
      <c r="J100" s="5"/>
    </row>
    <row r="101" spans="1:10" ht="13.05" customHeight="1">
      <c r="A101" s="18" t="s">
        <v>2731</v>
      </c>
      <c r="B101" s="19" t="s">
        <v>2732</v>
      </c>
      <c r="C101" s="15" t="s">
        <v>2733</v>
      </c>
      <c r="D101" s="15" t="s">
        <v>188</v>
      </c>
      <c r="E101" s="20">
        <v>5500000</v>
      </c>
      <c r="F101" s="21">
        <v>5446.9690000000001</v>
      </c>
      <c r="G101" s="22">
        <v>3.4500000000000003E-2</v>
      </c>
      <c r="H101" s="23">
        <v>7.4589000000000003E-2</v>
      </c>
      <c r="I101" s="24"/>
      <c r="J101" s="5"/>
    </row>
    <row r="102" spans="1:10" ht="13.05" customHeight="1">
      <c r="A102" s="18" t="s">
        <v>3121</v>
      </c>
      <c r="B102" s="19" t="s">
        <v>3122</v>
      </c>
      <c r="C102" s="15" t="s">
        <v>3123</v>
      </c>
      <c r="D102" s="15" t="s">
        <v>213</v>
      </c>
      <c r="E102" s="20">
        <v>2500</v>
      </c>
      <c r="F102" s="21">
        <v>2608.7150000000001</v>
      </c>
      <c r="G102" s="22">
        <v>1.6500000000000001E-2</v>
      </c>
      <c r="H102" s="23">
        <v>7.4550000000000005E-2</v>
      </c>
      <c r="I102" s="24"/>
      <c r="J102" s="5"/>
    </row>
    <row r="103" spans="1:10" ht="13.05" customHeight="1">
      <c r="A103" s="18" t="s">
        <v>2722</v>
      </c>
      <c r="B103" s="19" t="s">
        <v>2723</v>
      </c>
      <c r="C103" s="15" t="s">
        <v>2724</v>
      </c>
      <c r="D103" s="15" t="s">
        <v>213</v>
      </c>
      <c r="E103" s="20">
        <v>2500</v>
      </c>
      <c r="F103" s="21">
        <v>2565.1925000000001</v>
      </c>
      <c r="G103" s="22">
        <v>1.6199999999999999E-2</v>
      </c>
      <c r="H103" s="23">
        <v>7.4274999999999994E-2</v>
      </c>
      <c r="I103" s="24"/>
      <c r="J103" s="5"/>
    </row>
    <row r="104" spans="1:10" ht="13.05" customHeight="1">
      <c r="A104" s="18" t="s">
        <v>3134</v>
      </c>
      <c r="B104" s="19" t="s">
        <v>3135</v>
      </c>
      <c r="C104" s="15" t="s">
        <v>3136</v>
      </c>
      <c r="D104" s="15" t="s">
        <v>213</v>
      </c>
      <c r="E104" s="20">
        <v>2500</v>
      </c>
      <c r="F104" s="21">
        <v>2495.125</v>
      </c>
      <c r="G104" s="22">
        <v>1.5800000000000002E-2</v>
      </c>
      <c r="H104" s="23">
        <v>7.6883000000000007E-2</v>
      </c>
      <c r="I104" s="24"/>
      <c r="J104" s="5"/>
    </row>
    <row r="105" spans="1:10" ht="13.05" customHeight="1">
      <c r="A105" s="18" t="s">
        <v>3532</v>
      </c>
      <c r="B105" s="19" t="s">
        <v>3533</v>
      </c>
      <c r="C105" s="15" t="s">
        <v>3534</v>
      </c>
      <c r="D105" s="15" t="s">
        <v>3146</v>
      </c>
      <c r="E105" s="20">
        <v>1800</v>
      </c>
      <c r="F105" s="21">
        <v>1808.6597999999999</v>
      </c>
      <c r="G105" s="22">
        <v>1.14E-2</v>
      </c>
      <c r="H105" s="23">
        <v>8.9399000000000006E-2</v>
      </c>
      <c r="I105" s="24"/>
      <c r="J105" s="5"/>
    </row>
    <row r="106" spans="1:10" ht="13.05" customHeight="1">
      <c r="A106" s="18" t="s">
        <v>3535</v>
      </c>
      <c r="B106" s="19" t="s">
        <v>3536</v>
      </c>
      <c r="C106" s="15" t="s">
        <v>3537</v>
      </c>
      <c r="D106" s="15" t="s">
        <v>3538</v>
      </c>
      <c r="E106" s="20">
        <v>1500</v>
      </c>
      <c r="F106" s="21">
        <v>1524.009</v>
      </c>
      <c r="G106" s="22">
        <v>9.5999999999999992E-3</v>
      </c>
      <c r="H106" s="23">
        <v>9.7694000000000003E-2</v>
      </c>
      <c r="I106" s="24"/>
      <c r="J106" s="5"/>
    </row>
    <row r="107" spans="1:10" ht="13.05" customHeight="1">
      <c r="A107" s="18" t="s">
        <v>3147</v>
      </c>
      <c r="B107" s="19" t="s">
        <v>3148</v>
      </c>
      <c r="C107" s="15" t="s">
        <v>3149</v>
      </c>
      <c r="D107" s="15" t="s">
        <v>213</v>
      </c>
      <c r="E107" s="20">
        <v>150</v>
      </c>
      <c r="F107" s="21">
        <v>1481.133</v>
      </c>
      <c r="G107" s="22">
        <v>9.4000000000000004E-3</v>
      </c>
      <c r="H107" s="23">
        <v>7.1199999999999999E-2</v>
      </c>
      <c r="I107" s="24"/>
      <c r="J107" s="5"/>
    </row>
    <row r="108" spans="1:10" ht="13.05" customHeight="1">
      <c r="A108" s="18" t="s">
        <v>3137</v>
      </c>
      <c r="B108" s="19" t="s">
        <v>3138</v>
      </c>
      <c r="C108" s="15" t="s">
        <v>3139</v>
      </c>
      <c r="D108" s="15" t="s">
        <v>2447</v>
      </c>
      <c r="E108" s="20">
        <v>1000</v>
      </c>
      <c r="F108" s="21">
        <v>1015.508</v>
      </c>
      <c r="G108" s="22">
        <v>6.4000000000000003E-3</v>
      </c>
      <c r="H108" s="23">
        <v>7.3800000000000004E-2</v>
      </c>
      <c r="I108" s="24"/>
      <c r="J108" s="5"/>
    </row>
    <row r="109" spans="1:10" ht="13.05" customHeight="1">
      <c r="A109" s="18" t="s">
        <v>2467</v>
      </c>
      <c r="B109" s="19" t="s">
        <v>2468</v>
      </c>
      <c r="C109" s="15" t="s">
        <v>2469</v>
      </c>
      <c r="D109" s="15" t="s">
        <v>2447</v>
      </c>
      <c r="E109" s="20">
        <v>1000</v>
      </c>
      <c r="F109" s="21">
        <v>1011.5410000000001</v>
      </c>
      <c r="G109" s="22">
        <v>6.4000000000000003E-3</v>
      </c>
      <c r="H109" s="23">
        <v>7.7998999999999999E-2</v>
      </c>
      <c r="I109" s="24"/>
      <c r="J109" s="5"/>
    </row>
    <row r="110" spans="1:10" ht="13.05" customHeight="1">
      <c r="A110" s="18" t="s">
        <v>2448</v>
      </c>
      <c r="B110" s="19" t="s">
        <v>2449</v>
      </c>
      <c r="C110" s="15" t="s">
        <v>2450</v>
      </c>
      <c r="D110" s="15" t="s">
        <v>2451</v>
      </c>
      <c r="E110" s="20">
        <v>1000</v>
      </c>
      <c r="F110" s="21">
        <v>1010.24</v>
      </c>
      <c r="G110" s="22">
        <v>6.4000000000000003E-3</v>
      </c>
      <c r="H110" s="23">
        <v>0.10395</v>
      </c>
      <c r="I110" s="24"/>
      <c r="J110" s="5"/>
    </row>
    <row r="111" spans="1:10" ht="13.05" customHeight="1">
      <c r="A111" s="18" t="s">
        <v>3539</v>
      </c>
      <c r="B111" s="19" t="s">
        <v>3540</v>
      </c>
      <c r="C111" s="15" t="s">
        <v>3541</v>
      </c>
      <c r="D111" s="15" t="s">
        <v>213</v>
      </c>
      <c r="E111" s="20">
        <v>1000</v>
      </c>
      <c r="F111" s="21">
        <v>1009.17</v>
      </c>
      <c r="G111" s="22">
        <v>6.4000000000000003E-3</v>
      </c>
      <c r="H111" s="23">
        <v>6.7150000000000001E-2</v>
      </c>
      <c r="I111" s="24"/>
      <c r="J111" s="5"/>
    </row>
    <row r="112" spans="1:10" ht="13.05" customHeight="1">
      <c r="A112" s="18" t="s">
        <v>3542</v>
      </c>
      <c r="B112" s="19" t="s">
        <v>3543</v>
      </c>
      <c r="C112" s="15" t="s">
        <v>3544</v>
      </c>
      <c r="D112" s="15" t="s">
        <v>3163</v>
      </c>
      <c r="E112" s="20">
        <v>1000</v>
      </c>
      <c r="F112" s="21">
        <v>993.86300000000006</v>
      </c>
      <c r="G112" s="22">
        <v>6.3E-3</v>
      </c>
      <c r="H112" s="23">
        <v>7.8418000000000002E-2</v>
      </c>
      <c r="I112" s="24"/>
      <c r="J112" s="5"/>
    </row>
    <row r="113" spans="1:10" ht="13.05" customHeight="1">
      <c r="A113" s="18" t="s">
        <v>3545</v>
      </c>
      <c r="B113" s="19" t="s">
        <v>3546</v>
      </c>
      <c r="C113" s="15" t="s">
        <v>3547</v>
      </c>
      <c r="D113" s="15" t="s">
        <v>3548</v>
      </c>
      <c r="E113" s="20">
        <v>1000</v>
      </c>
      <c r="F113" s="21">
        <v>874.92600000000004</v>
      </c>
      <c r="G113" s="22">
        <v>5.4999999999999997E-3</v>
      </c>
      <c r="H113" s="23">
        <v>9.3352000000000004E-2</v>
      </c>
      <c r="I113" s="24"/>
      <c r="J113" s="5"/>
    </row>
    <row r="114" spans="1:10" ht="13.05" customHeight="1">
      <c r="A114" s="18" t="s">
        <v>1890</v>
      </c>
      <c r="B114" s="19" t="s">
        <v>1891</v>
      </c>
      <c r="C114" s="15" t="s">
        <v>1892</v>
      </c>
      <c r="D114" s="15" t="s">
        <v>188</v>
      </c>
      <c r="E114" s="20">
        <v>500000</v>
      </c>
      <c r="F114" s="21">
        <v>518.43399999999997</v>
      </c>
      <c r="G114" s="22">
        <v>3.3E-3</v>
      </c>
      <c r="H114" s="23">
        <v>6.6730999999999999E-2</v>
      </c>
      <c r="I114" s="24"/>
      <c r="J114" s="5"/>
    </row>
    <row r="115" spans="1:10" ht="13.05" customHeight="1">
      <c r="A115" s="18" t="s">
        <v>3549</v>
      </c>
      <c r="B115" s="19" t="s">
        <v>3550</v>
      </c>
      <c r="C115" s="15" t="s">
        <v>3551</v>
      </c>
      <c r="D115" s="15" t="s">
        <v>188</v>
      </c>
      <c r="E115" s="20">
        <v>500000</v>
      </c>
      <c r="F115" s="21">
        <v>515.92100000000005</v>
      </c>
      <c r="G115" s="22">
        <v>3.3E-3</v>
      </c>
      <c r="H115" s="23">
        <v>6.1286E-2</v>
      </c>
      <c r="I115" s="24"/>
      <c r="J115" s="5"/>
    </row>
    <row r="116" spans="1:10" ht="13.05" customHeight="1">
      <c r="A116" s="18" t="s">
        <v>2470</v>
      </c>
      <c r="B116" s="19" t="s">
        <v>2471</v>
      </c>
      <c r="C116" s="15" t="s">
        <v>2472</v>
      </c>
      <c r="D116" s="15" t="s">
        <v>2473</v>
      </c>
      <c r="E116" s="20">
        <v>500</v>
      </c>
      <c r="F116" s="21">
        <v>503.07249999999999</v>
      </c>
      <c r="G116" s="22">
        <v>3.2000000000000002E-3</v>
      </c>
      <c r="H116" s="23">
        <v>8.3888000000000004E-2</v>
      </c>
      <c r="I116" s="24"/>
      <c r="J116" s="5"/>
    </row>
    <row r="117" spans="1:10" ht="13.05" customHeight="1">
      <c r="A117" s="18" t="s">
        <v>3167</v>
      </c>
      <c r="B117" s="19" t="s">
        <v>3168</v>
      </c>
      <c r="C117" s="15" t="s">
        <v>3169</v>
      </c>
      <c r="D117" s="15" t="s">
        <v>5585</v>
      </c>
      <c r="E117" s="20">
        <v>500</v>
      </c>
      <c r="F117" s="21">
        <v>502.53449999999998</v>
      </c>
      <c r="G117" s="22">
        <v>3.2000000000000002E-3</v>
      </c>
      <c r="H117" s="23">
        <v>7.2899000000000005E-2</v>
      </c>
      <c r="I117" s="24"/>
      <c r="J117" s="5"/>
    </row>
    <row r="118" spans="1:10" ht="13.05" customHeight="1">
      <c r="A118" s="18" t="s">
        <v>3552</v>
      </c>
      <c r="B118" s="19" t="s">
        <v>3553</v>
      </c>
      <c r="C118" s="15" t="s">
        <v>3554</v>
      </c>
      <c r="D118" s="15" t="s">
        <v>3548</v>
      </c>
      <c r="E118" s="20">
        <v>500</v>
      </c>
      <c r="F118" s="21">
        <v>498.76650000000001</v>
      </c>
      <c r="G118" s="22">
        <v>3.2000000000000002E-3</v>
      </c>
      <c r="H118" s="23">
        <v>9.3549999999999994E-2</v>
      </c>
      <c r="I118" s="24"/>
      <c r="J118" s="5"/>
    </row>
    <row r="119" spans="1:10" ht="13.05" customHeight="1">
      <c r="A119" s="18" t="s">
        <v>3555</v>
      </c>
      <c r="B119" s="19" t="s">
        <v>3556</v>
      </c>
      <c r="C119" s="15" t="s">
        <v>3557</v>
      </c>
      <c r="D119" s="15" t="s">
        <v>3558</v>
      </c>
      <c r="E119" s="20">
        <v>500</v>
      </c>
      <c r="F119" s="21">
        <v>497.93450000000001</v>
      </c>
      <c r="G119" s="22">
        <v>3.0999999999999999E-3</v>
      </c>
      <c r="H119" s="23">
        <v>0.10150000000000001</v>
      </c>
      <c r="I119" s="24"/>
      <c r="J119" s="5"/>
    </row>
    <row r="120" spans="1:10" ht="13.05" customHeight="1">
      <c r="A120" s="18" t="s">
        <v>2954</v>
      </c>
      <c r="B120" s="19" t="s">
        <v>2955</v>
      </c>
      <c r="C120" s="15" t="s">
        <v>2956</v>
      </c>
      <c r="D120" s="15" t="s">
        <v>213</v>
      </c>
      <c r="E120" s="20">
        <v>30</v>
      </c>
      <c r="F120" s="21">
        <v>306.93779999999998</v>
      </c>
      <c r="G120" s="22">
        <v>1.9E-3</v>
      </c>
      <c r="H120" s="23">
        <v>6.7724999999999994E-2</v>
      </c>
      <c r="I120" s="24"/>
      <c r="J120" s="5"/>
    </row>
    <row r="121" spans="1:10" ht="13.05" customHeight="1">
      <c r="A121" s="18" t="s">
        <v>2808</v>
      </c>
      <c r="B121" s="19" t="s">
        <v>2809</v>
      </c>
      <c r="C121" s="15" t="s">
        <v>2810</v>
      </c>
      <c r="D121" s="15" t="s">
        <v>188</v>
      </c>
      <c r="E121" s="20">
        <v>200000</v>
      </c>
      <c r="F121" s="21">
        <v>204.7808</v>
      </c>
      <c r="G121" s="22">
        <v>1.2999999999999999E-3</v>
      </c>
      <c r="H121" s="23">
        <v>6.1615999999999997E-2</v>
      </c>
      <c r="I121" s="24"/>
      <c r="J121" s="5"/>
    </row>
    <row r="122" spans="1:10" ht="13.05" customHeight="1">
      <c r="A122" s="18" t="s">
        <v>3559</v>
      </c>
      <c r="B122" s="19" t="s">
        <v>3560</v>
      </c>
      <c r="C122" s="15" t="s">
        <v>3561</v>
      </c>
      <c r="D122" s="15" t="s">
        <v>188</v>
      </c>
      <c r="E122" s="20">
        <v>200000</v>
      </c>
      <c r="F122" s="21">
        <v>203.99979999999999</v>
      </c>
      <c r="G122" s="22">
        <v>1.2999999999999999E-3</v>
      </c>
      <c r="H122" s="23">
        <v>6.7087999999999995E-2</v>
      </c>
      <c r="I122" s="24"/>
      <c r="J122" s="5"/>
    </row>
    <row r="123" spans="1:10" ht="13.05" customHeight="1">
      <c r="A123" s="18" t="s">
        <v>3562</v>
      </c>
      <c r="B123" s="19" t="s">
        <v>3563</v>
      </c>
      <c r="C123" s="15" t="s">
        <v>3564</v>
      </c>
      <c r="D123" s="15" t="s">
        <v>188</v>
      </c>
      <c r="E123" s="20">
        <v>100000</v>
      </c>
      <c r="F123" s="21">
        <v>101.9999</v>
      </c>
      <c r="G123" s="22">
        <v>5.9999999999999995E-4</v>
      </c>
      <c r="H123" s="23">
        <v>6.7087999999999995E-2</v>
      </c>
      <c r="I123" s="24"/>
      <c r="J123" s="5"/>
    </row>
    <row r="124" spans="1:10" ht="13.05" customHeight="1">
      <c r="A124" s="18" t="s">
        <v>3565</v>
      </c>
      <c r="B124" s="19" t="s">
        <v>3566</v>
      </c>
      <c r="C124" s="15" t="s">
        <v>3567</v>
      </c>
      <c r="D124" s="15" t="s">
        <v>188</v>
      </c>
      <c r="E124" s="20">
        <v>60000</v>
      </c>
      <c r="F124" s="21">
        <v>60.615099999999998</v>
      </c>
      <c r="G124" s="22">
        <v>4.0000000000000002E-4</v>
      </c>
      <c r="H124" s="23">
        <v>6.6882999999999998E-2</v>
      </c>
      <c r="I124" s="24"/>
      <c r="J124" s="5"/>
    </row>
    <row r="125" spans="1:10" ht="13.05" customHeight="1">
      <c r="A125" s="18" t="s">
        <v>3568</v>
      </c>
      <c r="B125" s="19" t="s">
        <v>3569</v>
      </c>
      <c r="C125" s="15" t="s">
        <v>3570</v>
      </c>
      <c r="D125" s="15" t="s">
        <v>188</v>
      </c>
      <c r="E125" s="20">
        <v>2600</v>
      </c>
      <c r="F125" s="21">
        <v>2.6248</v>
      </c>
      <c r="G125" s="40" t="s">
        <v>1809</v>
      </c>
      <c r="H125" s="23"/>
      <c r="I125" s="24"/>
      <c r="J125" s="5"/>
    </row>
    <row r="126" spans="1:10" ht="13.05" customHeight="1">
      <c r="A126" s="5"/>
      <c r="B126" s="14" t="s">
        <v>192</v>
      </c>
      <c r="C126" s="15"/>
      <c r="D126" s="15"/>
      <c r="E126" s="15"/>
      <c r="F126" s="25">
        <v>27762.672399999999</v>
      </c>
      <c r="G126" s="26">
        <v>0.17560000000000001</v>
      </c>
      <c r="H126" s="27"/>
      <c r="I126" s="28"/>
      <c r="J126" s="5"/>
    </row>
    <row r="127" spans="1:10" ht="13.05" customHeight="1">
      <c r="A127" s="5"/>
      <c r="B127" s="29" t="s">
        <v>193</v>
      </c>
      <c r="C127" s="2"/>
      <c r="D127" s="2"/>
      <c r="E127" s="2"/>
      <c r="F127" s="27" t="s">
        <v>194</v>
      </c>
      <c r="G127" s="27" t="s">
        <v>194</v>
      </c>
      <c r="H127" s="27"/>
      <c r="I127" s="28"/>
      <c r="J127" s="5"/>
    </row>
    <row r="128" spans="1:10" ht="13.05" customHeight="1">
      <c r="A128" s="5"/>
      <c r="B128" s="29" t="s">
        <v>192</v>
      </c>
      <c r="C128" s="2"/>
      <c r="D128" s="2"/>
      <c r="E128" s="2"/>
      <c r="F128" s="27" t="s">
        <v>194</v>
      </c>
      <c r="G128" s="27" t="s">
        <v>194</v>
      </c>
      <c r="H128" s="27"/>
      <c r="I128" s="28"/>
      <c r="J128" s="5"/>
    </row>
    <row r="129" spans="1:10" ht="13.05" customHeight="1">
      <c r="A129" s="5"/>
      <c r="B129" s="29" t="s">
        <v>195</v>
      </c>
      <c r="C129" s="30"/>
      <c r="D129" s="2"/>
      <c r="E129" s="30"/>
      <c r="F129" s="25">
        <v>27762.672399999999</v>
      </c>
      <c r="G129" s="26">
        <v>0.17560000000000001</v>
      </c>
      <c r="H129" s="27"/>
      <c r="I129" s="28"/>
      <c r="J129" s="5"/>
    </row>
    <row r="130" spans="1:10" ht="13.05" customHeight="1">
      <c r="A130" s="5"/>
      <c r="B130" s="14" t="s">
        <v>1866</v>
      </c>
      <c r="C130" s="15"/>
      <c r="D130" s="15"/>
      <c r="E130" s="15"/>
      <c r="F130" s="15"/>
      <c r="G130" s="15"/>
      <c r="H130" s="16"/>
      <c r="I130" s="17"/>
      <c r="J130" s="5"/>
    </row>
    <row r="131" spans="1:10" ht="13.05" customHeight="1">
      <c r="A131" s="5"/>
      <c r="B131" s="14" t="s">
        <v>1867</v>
      </c>
      <c r="C131" s="15"/>
      <c r="D131" s="15"/>
      <c r="E131" s="15"/>
      <c r="F131" s="5"/>
      <c r="G131" s="16"/>
      <c r="H131" s="16"/>
      <c r="I131" s="17"/>
      <c r="J131" s="5"/>
    </row>
    <row r="132" spans="1:10" ht="13.05" customHeight="1">
      <c r="A132" s="18" t="s">
        <v>3571</v>
      </c>
      <c r="B132" s="19" t="s">
        <v>3572</v>
      </c>
      <c r="C132" s="15" t="s">
        <v>3573</v>
      </c>
      <c r="D132" s="15" t="s">
        <v>188</v>
      </c>
      <c r="E132" s="20">
        <v>1000000</v>
      </c>
      <c r="F132" s="21">
        <v>981.68200000000002</v>
      </c>
      <c r="G132" s="22">
        <v>6.1999999999999998E-3</v>
      </c>
      <c r="H132" s="23">
        <v>5.4926000000000003E-2</v>
      </c>
      <c r="I132" s="24"/>
      <c r="J132" s="5"/>
    </row>
    <row r="133" spans="1:10" ht="13.05" customHeight="1">
      <c r="A133" s="5"/>
      <c r="B133" s="14" t="s">
        <v>192</v>
      </c>
      <c r="C133" s="15"/>
      <c r="D133" s="15"/>
      <c r="E133" s="15"/>
      <c r="F133" s="25">
        <v>981.68200000000002</v>
      </c>
      <c r="G133" s="26">
        <v>6.1999999999999998E-3</v>
      </c>
      <c r="H133" s="27"/>
      <c r="I133" s="28"/>
      <c r="J133" s="5"/>
    </row>
    <row r="134" spans="1:10" ht="13.05" customHeight="1">
      <c r="A134" s="5"/>
      <c r="B134" s="29" t="s">
        <v>195</v>
      </c>
      <c r="C134" s="30"/>
      <c r="D134" s="2"/>
      <c r="E134" s="30"/>
      <c r="F134" s="25">
        <v>981.68200000000002</v>
      </c>
      <c r="G134" s="26">
        <v>6.1999999999999998E-3</v>
      </c>
      <c r="H134" s="27"/>
      <c r="I134" s="28"/>
      <c r="J134" s="5"/>
    </row>
    <row r="135" spans="1:10" ht="13.05" customHeight="1">
      <c r="A135" s="5"/>
      <c r="B135" s="14" t="s">
        <v>196</v>
      </c>
      <c r="C135" s="15"/>
      <c r="D135" s="15"/>
      <c r="E135" s="15"/>
      <c r="F135" s="15"/>
      <c r="G135" s="15"/>
      <c r="H135" s="16"/>
      <c r="I135" s="17"/>
      <c r="J135" s="5"/>
    </row>
    <row r="136" spans="1:10" ht="13.05" customHeight="1">
      <c r="A136" s="18" t="s">
        <v>197</v>
      </c>
      <c r="B136" s="19" t="s">
        <v>198</v>
      </c>
      <c r="C136" s="15"/>
      <c r="D136" s="15"/>
      <c r="E136" s="20"/>
      <c r="F136" s="21">
        <v>5208.0141000000003</v>
      </c>
      <c r="G136" s="22">
        <v>3.2899999999999999E-2</v>
      </c>
      <c r="H136" s="23">
        <v>5.5573615184383571E-2</v>
      </c>
      <c r="I136" s="24"/>
      <c r="J136" s="5"/>
    </row>
    <row r="137" spans="1:10" ht="13.05" customHeight="1">
      <c r="A137" s="5"/>
      <c r="B137" s="14" t="s">
        <v>192</v>
      </c>
      <c r="C137" s="15"/>
      <c r="D137" s="15"/>
      <c r="E137" s="15"/>
      <c r="F137" s="25">
        <v>5208.0141000000003</v>
      </c>
      <c r="G137" s="26">
        <v>3.2899999999999999E-2</v>
      </c>
      <c r="H137" s="27"/>
      <c r="I137" s="28"/>
      <c r="J137" s="5"/>
    </row>
    <row r="138" spans="1:10" ht="13.05" customHeight="1">
      <c r="A138" s="5"/>
      <c r="B138" s="29" t="s">
        <v>193</v>
      </c>
      <c r="C138" s="2"/>
      <c r="D138" s="2"/>
      <c r="E138" s="2"/>
      <c r="F138" s="27" t="s">
        <v>194</v>
      </c>
      <c r="G138" s="27" t="s">
        <v>194</v>
      </c>
      <c r="H138" s="27"/>
      <c r="I138" s="28"/>
      <c r="J138" s="5"/>
    </row>
    <row r="139" spans="1:10" ht="13.05" customHeight="1">
      <c r="A139" s="5"/>
      <c r="B139" s="29" t="s">
        <v>192</v>
      </c>
      <c r="C139" s="2"/>
      <c r="D139" s="2"/>
      <c r="E139" s="2"/>
      <c r="F139" s="27" t="s">
        <v>194</v>
      </c>
      <c r="G139" s="27" t="s">
        <v>194</v>
      </c>
      <c r="H139" s="27"/>
      <c r="I139" s="28"/>
      <c r="J139" s="5"/>
    </row>
    <row r="140" spans="1:10" ht="13.05" customHeight="1">
      <c r="A140" s="5"/>
      <c r="B140" s="29" t="s">
        <v>195</v>
      </c>
      <c r="C140" s="30"/>
      <c r="D140" s="2"/>
      <c r="E140" s="30"/>
      <c r="F140" s="25">
        <v>5208.0141000000003</v>
      </c>
      <c r="G140" s="26">
        <v>3.2899999999999999E-2</v>
      </c>
      <c r="H140" s="27"/>
      <c r="I140" s="28"/>
      <c r="J140" s="5"/>
    </row>
    <row r="141" spans="1:10" ht="13.05" customHeight="1">
      <c r="A141" s="5"/>
      <c r="B141" s="29" t="s">
        <v>199</v>
      </c>
      <c r="C141" s="15"/>
      <c r="D141" s="2"/>
      <c r="E141" s="15"/>
      <c r="F141" s="31">
        <v>1561.2739999999999</v>
      </c>
      <c r="G141" s="26">
        <v>9.9000000000000008E-3</v>
      </c>
      <c r="H141" s="27"/>
      <c r="I141" s="28"/>
      <c r="J141" s="5"/>
    </row>
    <row r="142" spans="1:10" ht="13.05" customHeight="1">
      <c r="A142" s="5"/>
      <c r="B142" s="32" t="s">
        <v>200</v>
      </c>
      <c r="C142" s="33"/>
      <c r="D142" s="33"/>
      <c r="E142" s="33"/>
      <c r="F142" s="34">
        <v>158085.65</v>
      </c>
      <c r="G142" s="35">
        <v>1</v>
      </c>
      <c r="H142" s="36"/>
      <c r="I142" s="37"/>
      <c r="J142" s="5"/>
    </row>
    <row r="143" spans="1:10" ht="13.05" customHeight="1">
      <c r="A143" s="5"/>
      <c r="B143" s="7"/>
      <c r="C143" s="5"/>
      <c r="D143" s="5"/>
      <c r="E143" s="5"/>
      <c r="F143" s="5"/>
      <c r="G143" s="5"/>
      <c r="H143" s="5"/>
      <c r="I143" s="5"/>
      <c r="J143" s="5"/>
    </row>
    <row r="144" spans="1:10" ht="13.05" customHeight="1">
      <c r="A144" s="5"/>
      <c r="B144" s="4" t="s">
        <v>2486</v>
      </c>
      <c r="C144" s="5"/>
      <c r="D144" s="5"/>
      <c r="E144" s="5"/>
      <c r="F144" s="5"/>
      <c r="G144" s="5"/>
      <c r="H144" s="5"/>
      <c r="I144" s="5"/>
      <c r="J144" s="5"/>
    </row>
    <row r="145" spans="1:10" ht="13.05" customHeight="1">
      <c r="A145" s="5"/>
      <c r="B145" s="4" t="s">
        <v>250</v>
      </c>
      <c r="C145" s="5"/>
      <c r="D145" s="5"/>
      <c r="E145" s="5"/>
      <c r="F145" s="5"/>
      <c r="G145" s="5"/>
      <c r="H145" s="5"/>
      <c r="I145" s="5"/>
      <c r="J145" s="5"/>
    </row>
    <row r="146" spans="1:10" ht="13.05" customHeight="1">
      <c r="A146" s="5"/>
      <c r="B146" s="4" t="s">
        <v>2487</v>
      </c>
      <c r="C146" s="5"/>
      <c r="D146" s="5"/>
      <c r="E146" s="5"/>
      <c r="F146" s="5"/>
      <c r="G146" s="5"/>
      <c r="H146" s="5"/>
      <c r="I146" s="5"/>
      <c r="J146" s="5"/>
    </row>
    <row r="147" spans="1:10" ht="13.05" customHeight="1">
      <c r="A147" s="5"/>
      <c r="B147" s="4" t="s">
        <v>1816</v>
      </c>
      <c r="C147" s="5"/>
      <c r="D147" s="5"/>
      <c r="E147" s="5"/>
      <c r="F147" s="5"/>
      <c r="G147" s="5"/>
      <c r="H147" s="5"/>
      <c r="I147" s="5"/>
      <c r="J147" s="5"/>
    </row>
    <row r="148" spans="1:10" ht="13.05" customHeight="1">
      <c r="A148" s="5"/>
      <c r="B148" s="4" t="s">
        <v>201</v>
      </c>
      <c r="C148" s="5"/>
      <c r="D148" s="5"/>
      <c r="E148" s="5"/>
      <c r="F148" s="5"/>
      <c r="G148" s="5"/>
      <c r="H148" s="5"/>
      <c r="I148" s="5"/>
      <c r="J148" s="5"/>
    </row>
    <row r="149" spans="1:10" ht="25.95" customHeight="1">
      <c r="A149" s="5"/>
      <c r="B149" s="103" t="s">
        <v>202</v>
      </c>
      <c r="C149" s="103"/>
      <c r="D149" s="103"/>
      <c r="E149" s="103"/>
      <c r="F149" s="103"/>
      <c r="G149" s="103"/>
      <c r="H149" s="103"/>
      <c r="I149" s="103"/>
      <c r="J149" s="5"/>
    </row>
    <row r="150" spans="1:10" ht="13.05" customHeight="1">
      <c r="A150" s="5"/>
      <c r="B150" s="103" t="s">
        <v>203</v>
      </c>
      <c r="C150" s="103"/>
      <c r="D150" s="103"/>
      <c r="E150" s="103"/>
      <c r="F150" s="103"/>
      <c r="G150" s="103"/>
      <c r="H150" s="103"/>
      <c r="I150" s="103"/>
      <c r="J150" s="5"/>
    </row>
    <row r="151" spans="1:10" ht="13.05" customHeight="1">
      <c r="A151" s="5"/>
      <c r="B151" s="103"/>
      <c r="C151" s="103"/>
      <c r="D151" s="103"/>
      <c r="E151" s="103"/>
      <c r="F151" s="103"/>
      <c r="G151" s="103"/>
      <c r="H151" s="103"/>
      <c r="I151" s="103"/>
      <c r="J151" s="5"/>
    </row>
    <row r="152" spans="1:10" ht="13.05" customHeight="1">
      <c r="A152" s="5"/>
      <c r="B152" s="103"/>
      <c r="C152" s="103"/>
      <c r="D152" s="103"/>
      <c r="E152" s="103"/>
      <c r="F152" s="103"/>
      <c r="G152" s="103"/>
      <c r="H152" s="103"/>
      <c r="I152" s="103"/>
      <c r="J152" s="5"/>
    </row>
    <row r="153" spans="1:10" ht="13.05" customHeight="1">
      <c r="A153" s="5"/>
      <c r="B153" s="103"/>
      <c r="C153" s="103"/>
      <c r="D153" s="103"/>
      <c r="E153" s="103"/>
      <c r="F153" s="103"/>
      <c r="G153" s="103"/>
      <c r="H153" s="103"/>
      <c r="I153" s="103"/>
      <c r="J153" s="5"/>
    </row>
    <row r="154" spans="1:10" ht="13.05" customHeight="1">
      <c r="A154" s="5"/>
      <c r="B154" s="103"/>
      <c r="C154" s="103"/>
      <c r="D154" s="103"/>
      <c r="E154" s="103"/>
      <c r="F154" s="103"/>
      <c r="G154" s="103"/>
      <c r="H154" s="103"/>
      <c r="I154" s="103"/>
      <c r="J154" s="5"/>
    </row>
    <row r="155" spans="1:10" ht="13.05" customHeight="1">
      <c r="A155" s="5"/>
      <c r="B155" s="5"/>
      <c r="C155" s="104" t="s">
        <v>3574</v>
      </c>
      <c r="D155" s="104"/>
      <c r="E155" s="104"/>
      <c r="F155" s="104"/>
      <c r="G155" s="5"/>
      <c r="H155" s="5"/>
      <c r="I155" s="5"/>
      <c r="J155" s="5"/>
    </row>
    <row r="156" spans="1:10" ht="13.05" customHeight="1">
      <c r="A156" s="5"/>
      <c r="B156" s="38" t="s">
        <v>207</v>
      </c>
      <c r="C156" s="104" t="s">
        <v>208</v>
      </c>
      <c r="D156" s="104"/>
      <c r="E156" s="104"/>
      <c r="F156" s="104"/>
      <c r="G156" s="5"/>
      <c r="H156" s="5"/>
      <c r="I156" s="5"/>
      <c r="J156" s="5"/>
    </row>
    <row r="157" spans="1:10" ht="135" customHeight="1">
      <c r="A157" s="5"/>
      <c r="B157" s="39"/>
      <c r="C157" s="105"/>
      <c r="D157" s="105"/>
      <c r="E157" s="5"/>
      <c r="F157" s="5"/>
      <c r="G157" s="5"/>
      <c r="H157" s="5"/>
      <c r="I157" s="5"/>
      <c r="J157" s="5"/>
    </row>
  </sheetData>
  <mergeCells count="9">
    <mergeCell ref="B154:I154"/>
    <mergeCell ref="C155:F155"/>
    <mergeCell ref="C156:F156"/>
    <mergeCell ref="C157:D157"/>
    <mergeCell ref="B149:I149"/>
    <mergeCell ref="B150:I150"/>
    <mergeCell ref="B151:I151"/>
    <mergeCell ref="B152:I152"/>
    <mergeCell ref="B153:I153"/>
  </mergeCells>
  <hyperlinks>
    <hyperlink ref="A1" location="AxisAggressiveHybridFund" display="AXISEHF" xr:uid="{00000000-0004-0000-1700-000000000000}"/>
    <hyperlink ref="B1" location="AxisAggressiveHybridFund" display="Axis Aggressive Hybrid Fund" xr:uid="{00000000-0004-0000-17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outlinePr summaryBelow="0"/>
  </sheetPr>
  <dimension ref="A1:J86"/>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51</v>
      </c>
      <c r="B1" s="4" t="s">
        <v>52</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32437076</v>
      </c>
      <c r="F7" s="21">
        <v>320251.2513</v>
      </c>
      <c r="G7" s="22">
        <v>9.4700000000000006E-2</v>
      </c>
      <c r="H7" s="40"/>
      <c r="I7" s="24"/>
      <c r="J7" s="5"/>
    </row>
    <row r="8" spans="1:10" ht="13.05" customHeight="1">
      <c r="A8" s="18" t="s">
        <v>262</v>
      </c>
      <c r="B8" s="19" t="s">
        <v>263</v>
      </c>
      <c r="C8" s="15" t="s">
        <v>264</v>
      </c>
      <c r="D8" s="15" t="s">
        <v>257</v>
      </c>
      <c r="E8" s="20">
        <v>19082005</v>
      </c>
      <c r="F8" s="21">
        <v>256710.2133</v>
      </c>
      <c r="G8" s="22">
        <v>7.5899999999999995E-2</v>
      </c>
      <c r="H8" s="40"/>
      <c r="I8" s="24"/>
      <c r="J8" s="5"/>
    </row>
    <row r="9" spans="1:10" ht="13.05" customHeight="1">
      <c r="A9" s="18" t="s">
        <v>258</v>
      </c>
      <c r="B9" s="19" t="s">
        <v>259</v>
      </c>
      <c r="C9" s="15" t="s">
        <v>260</v>
      </c>
      <c r="D9" s="15" t="s">
        <v>261</v>
      </c>
      <c r="E9" s="20">
        <v>15388502</v>
      </c>
      <c r="F9" s="21">
        <v>228734.6937</v>
      </c>
      <c r="G9" s="22">
        <v>6.7599999999999993E-2</v>
      </c>
      <c r="H9" s="40"/>
      <c r="I9" s="24"/>
      <c r="J9" s="5"/>
    </row>
    <row r="10" spans="1:10" ht="13.05" customHeight="1">
      <c r="A10" s="18" t="s">
        <v>265</v>
      </c>
      <c r="B10" s="19" t="s">
        <v>266</v>
      </c>
      <c r="C10" s="15" t="s">
        <v>267</v>
      </c>
      <c r="D10" s="15" t="s">
        <v>268</v>
      </c>
      <c r="E10" s="20">
        <v>9622855</v>
      </c>
      <c r="F10" s="21">
        <v>197701.55600000001</v>
      </c>
      <c r="G10" s="22">
        <v>5.8400000000000001E-2</v>
      </c>
      <c r="H10" s="40"/>
      <c r="I10" s="24"/>
      <c r="J10" s="5"/>
    </row>
    <row r="11" spans="1:10" ht="13.05" customHeight="1">
      <c r="A11" s="18" t="s">
        <v>297</v>
      </c>
      <c r="B11" s="19" t="s">
        <v>298</v>
      </c>
      <c r="C11" s="15" t="s">
        <v>299</v>
      </c>
      <c r="D11" s="15" t="s">
        <v>300</v>
      </c>
      <c r="E11" s="20">
        <v>16512940</v>
      </c>
      <c r="F11" s="21">
        <v>172196.93830000001</v>
      </c>
      <c r="G11" s="22">
        <v>5.0900000000000001E-2</v>
      </c>
      <c r="H11" s="40"/>
      <c r="I11" s="24"/>
      <c r="J11" s="5"/>
    </row>
    <row r="12" spans="1:10" ht="13.05" customHeight="1">
      <c r="A12" s="18" t="s">
        <v>269</v>
      </c>
      <c r="B12" s="19" t="s">
        <v>270</v>
      </c>
      <c r="C12" s="15" t="s">
        <v>271</v>
      </c>
      <c r="D12" s="15" t="s">
        <v>272</v>
      </c>
      <c r="E12" s="20">
        <v>10860095</v>
      </c>
      <c r="F12" s="21">
        <v>160979.1882</v>
      </c>
      <c r="G12" s="22">
        <v>4.7600000000000003E-2</v>
      </c>
      <c r="H12" s="40"/>
      <c r="I12" s="24"/>
      <c r="J12" s="5"/>
    </row>
    <row r="13" spans="1:10" ht="13.05" customHeight="1">
      <c r="A13" s="18" t="s">
        <v>273</v>
      </c>
      <c r="B13" s="19" t="s">
        <v>274</v>
      </c>
      <c r="C13" s="15" t="s">
        <v>275</v>
      </c>
      <c r="D13" s="15" t="s">
        <v>276</v>
      </c>
      <c r="E13" s="20">
        <v>3835284</v>
      </c>
      <c r="F13" s="21">
        <v>154596.46280000001</v>
      </c>
      <c r="G13" s="22">
        <v>4.5699999999999998E-2</v>
      </c>
      <c r="H13" s="40"/>
      <c r="I13" s="24"/>
      <c r="J13" s="5"/>
    </row>
    <row r="14" spans="1:10" ht="13.05" customHeight="1">
      <c r="A14" s="18" t="s">
        <v>281</v>
      </c>
      <c r="B14" s="19" t="s">
        <v>282</v>
      </c>
      <c r="C14" s="15" t="s">
        <v>283</v>
      </c>
      <c r="D14" s="15" t="s">
        <v>257</v>
      </c>
      <c r="E14" s="20">
        <v>14404241</v>
      </c>
      <c r="F14" s="21">
        <v>134967.73819999999</v>
      </c>
      <c r="G14" s="22">
        <v>3.9899999999999998E-2</v>
      </c>
      <c r="H14" s="40"/>
      <c r="I14" s="24"/>
      <c r="J14" s="5"/>
    </row>
    <row r="15" spans="1:10" ht="13.05" customHeight="1">
      <c r="A15" s="18" t="s">
        <v>293</v>
      </c>
      <c r="B15" s="19" t="s">
        <v>294</v>
      </c>
      <c r="C15" s="15" t="s">
        <v>295</v>
      </c>
      <c r="D15" s="15" t="s">
        <v>296</v>
      </c>
      <c r="E15" s="20">
        <v>3254055</v>
      </c>
      <c r="F15" s="21">
        <v>113475.406</v>
      </c>
      <c r="G15" s="22">
        <v>3.3500000000000002E-2</v>
      </c>
      <c r="H15" s="40"/>
      <c r="I15" s="24"/>
      <c r="J15" s="5"/>
    </row>
    <row r="16" spans="1:10" ht="13.05" customHeight="1">
      <c r="A16" s="18" t="s">
        <v>301</v>
      </c>
      <c r="B16" s="19" t="s">
        <v>302</v>
      </c>
      <c r="C16" s="15" t="s">
        <v>303</v>
      </c>
      <c r="D16" s="15" t="s">
        <v>304</v>
      </c>
      <c r="E16" s="20">
        <v>33425358</v>
      </c>
      <c r="F16" s="21">
        <v>106209.075</v>
      </c>
      <c r="G16" s="22">
        <v>3.1399999999999997E-2</v>
      </c>
      <c r="H16" s="40"/>
      <c r="I16" s="24"/>
      <c r="J16" s="5"/>
    </row>
    <row r="17" spans="1:10" ht="13.05" customHeight="1">
      <c r="A17" s="18" t="s">
        <v>334</v>
      </c>
      <c r="B17" s="19" t="s">
        <v>335</v>
      </c>
      <c r="C17" s="15" t="s">
        <v>336</v>
      </c>
      <c r="D17" s="15" t="s">
        <v>337</v>
      </c>
      <c r="E17" s="20">
        <v>843367</v>
      </c>
      <c r="F17" s="21">
        <v>100757.0555</v>
      </c>
      <c r="G17" s="22">
        <v>2.98E-2</v>
      </c>
      <c r="H17" s="40"/>
      <c r="I17" s="24"/>
      <c r="J17" s="5"/>
    </row>
    <row r="18" spans="1:10" ht="13.05" customHeight="1">
      <c r="A18" s="18" t="s">
        <v>345</v>
      </c>
      <c r="B18" s="19" t="s">
        <v>346</v>
      </c>
      <c r="C18" s="15" t="s">
        <v>347</v>
      </c>
      <c r="D18" s="15" t="s">
        <v>348</v>
      </c>
      <c r="E18" s="20">
        <v>1778949</v>
      </c>
      <c r="F18" s="21">
        <v>100065.88129999999</v>
      </c>
      <c r="G18" s="22">
        <v>2.9600000000000001E-2</v>
      </c>
      <c r="H18" s="40"/>
      <c r="I18" s="24"/>
      <c r="J18" s="5"/>
    </row>
    <row r="19" spans="1:10" ht="13.05" customHeight="1">
      <c r="A19" s="18" t="s">
        <v>290</v>
      </c>
      <c r="B19" s="19" t="s">
        <v>291</v>
      </c>
      <c r="C19" s="15" t="s">
        <v>292</v>
      </c>
      <c r="D19" s="15" t="s">
        <v>257</v>
      </c>
      <c r="E19" s="20">
        <v>4495854</v>
      </c>
      <c r="F19" s="21">
        <v>94511.842799999999</v>
      </c>
      <c r="G19" s="22">
        <v>2.7900000000000001E-2</v>
      </c>
      <c r="H19" s="40"/>
      <c r="I19" s="24"/>
      <c r="J19" s="5"/>
    </row>
    <row r="20" spans="1:10" ht="13.05" customHeight="1">
      <c r="A20" s="18" t="s">
        <v>429</v>
      </c>
      <c r="B20" s="19" t="s">
        <v>430</v>
      </c>
      <c r="C20" s="15" t="s">
        <v>431</v>
      </c>
      <c r="D20" s="15" t="s">
        <v>415</v>
      </c>
      <c r="E20" s="20">
        <v>988647</v>
      </c>
      <c r="F20" s="21">
        <v>75937.9761</v>
      </c>
      <c r="G20" s="22">
        <v>2.24E-2</v>
      </c>
      <c r="H20" s="40"/>
      <c r="I20" s="24"/>
      <c r="J20" s="5"/>
    </row>
    <row r="21" spans="1:10" ht="13.05" customHeight="1">
      <c r="A21" s="18" t="s">
        <v>326</v>
      </c>
      <c r="B21" s="19" t="s">
        <v>327</v>
      </c>
      <c r="C21" s="15" t="s">
        <v>328</v>
      </c>
      <c r="D21" s="15" t="s">
        <v>329</v>
      </c>
      <c r="E21" s="20">
        <v>16902712</v>
      </c>
      <c r="F21" s="21">
        <v>72022.455799999996</v>
      </c>
      <c r="G21" s="22">
        <v>2.1299999999999999E-2</v>
      </c>
      <c r="H21" s="40"/>
      <c r="I21" s="24"/>
      <c r="J21" s="5"/>
    </row>
    <row r="22" spans="1:10" ht="13.05" customHeight="1">
      <c r="A22" s="18" t="s">
        <v>322</v>
      </c>
      <c r="B22" s="19" t="s">
        <v>323</v>
      </c>
      <c r="C22" s="15" t="s">
        <v>324</v>
      </c>
      <c r="D22" s="15" t="s">
        <v>325</v>
      </c>
      <c r="E22" s="20">
        <v>1849663</v>
      </c>
      <c r="F22" s="21">
        <v>69301.323600000003</v>
      </c>
      <c r="G22" s="22">
        <v>2.0500000000000001E-2</v>
      </c>
      <c r="H22" s="40"/>
      <c r="I22" s="24"/>
      <c r="J22" s="5"/>
    </row>
    <row r="23" spans="1:10" ht="13.05" customHeight="1">
      <c r="A23" s="18" t="s">
        <v>461</v>
      </c>
      <c r="B23" s="19" t="s">
        <v>462</v>
      </c>
      <c r="C23" s="15" t="s">
        <v>463</v>
      </c>
      <c r="D23" s="15" t="s">
        <v>464</v>
      </c>
      <c r="E23" s="20">
        <v>8685568</v>
      </c>
      <c r="F23" s="21">
        <v>64429.543400000002</v>
      </c>
      <c r="G23" s="22">
        <v>1.9E-2</v>
      </c>
      <c r="H23" s="40"/>
      <c r="I23" s="24"/>
      <c r="J23" s="5"/>
    </row>
    <row r="24" spans="1:10" ht="13.05" customHeight="1">
      <c r="A24" s="18" t="s">
        <v>406</v>
      </c>
      <c r="B24" s="19" t="s">
        <v>407</v>
      </c>
      <c r="C24" s="15" t="s">
        <v>408</v>
      </c>
      <c r="D24" s="15" t="s">
        <v>314</v>
      </c>
      <c r="E24" s="20">
        <v>950260</v>
      </c>
      <c r="F24" s="21">
        <v>64028.518799999998</v>
      </c>
      <c r="G24" s="22">
        <v>1.89E-2</v>
      </c>
      <c r="H24" s="40"/>
      <c r="I24" s="24"/>
      <c r="J24" s="5"/>
    </row>
    <row r="25" spans="1:10" ht="13.05" customHeight="1">
      <c r="A25" s="18" t="s">
        <v>578</v>
      </c>
      <c r="B25" s="19" t="s">
        <v>579</v>
      </c>
      <c r="C25" s="15" t="s">
        <v>580</v>
      </c>
      <c r="D25" s="15" t="s">
        <v>581</v>
      </c>
      <c r="E25" s="20">
        <v>3718515</v>
      </c>
      <c r="F25" s="21">
        <v>53717.667699999998</v>
      </c>
      <c r="G25" s="22">
        <v>1.5900000000000001E-2</v>
      </c>
      <c r="H25" s="40"/>
      <c r="I25" s="24"/>
      <c r="J25" s="5"/>
    </row>
    <row r="26" spans="1:10" ht="13.05" customHeight="1">
      <c r="A26" s="18" t="s">
        <v>423</v>
      </c>
      <c r="B26" s="19" t="s">
        <v>424</v>
      </c>
      <c r="C26" s="15" t="s">
        <v>425</v>
      </c>
      <c r="D26" s="15" t="s">
        <v>296</v>
      </c>
      <c r="E26" s="20">
        <v>1451511</v>
      </c>
      <c r="F26" s="21">
        <v>50929.166499999999</v>
      </c>
      <c r="G26" s="22">
        <v>1.5100000000000001E-2</v>
      </c>
      <c r="H26" s="40"/>
      <c r="I26" s="24"/>
      <c r="J26" s="5"/>
    </row>
    <row r="27" spans="1:10" ht="13.05" customHeight="1">
      <c r="A27" s="18" t="s">
        <v>485</v>
      </c>
      <c r="B27" s="19" t="s">
        <v>486</v>
      </c>
      <c r="C27" s="15" t="s">
        <v>487</v>
      </c>
      <c r="D27" s="15" t="s">
        <v>304</v>
      </c>
      <c r="E27" s="20">
        <v>1116825</v>
      </c>
      <c r="F27" s="21">
        <v>46387.326399999998</v>
      </c>
      <c r="G27" s="22">
        <v>1.37E-2</v>
      </c>
      <c r="H27" s="40"/>
      <c r="I27" s="24"/>
      <c r="J27" s="5"/>
    </row>
    <row r="28" spans="1:10" ht="13.05" customHeight="1">
      <c r="A28" s="18" t="s">
        <v>308</v>
      </c>
      <c r="B28" s="19" t="s">
        <v>309</v>
      </c>
      <c r="C28" s="15" t="s">
        <v>310</v>
      </c>
      <c r="D28" s="15" t="s">
        <v>296</v>
      </c>
      <c r="E28" s="20">
        <v>263665</v>
      </c>
      <c r="F28" s="21">
        <v>42676.816899999998</v>
      </c>
      <c r="G28" s="22">
        <v>1.26E-2</v>
      </c>
      <c r="H28" s="40"/>
      <c r="I28" s="24"/>
      <c r="J28" s="5"/>
    </row>
    <row r="29" spans="1:10" ht="13.05" customHeight="1">
      <c r="A29" s="18" t="s">
        <v>640</v>
      </c>
      <c r="B29" s="19" t="s">
        <v>641</v>
      </c>
      <c r="C29" s="15" t="s">
        <v>642</v>
      </c>
      <c r="D29" s="15" t="s">
        <v>296</v>
      </c>
      <c r="E29" s="20">
        <v>1708329</v>
      </c>
      <c r="F29" s="21">
        <v>41661.0193</v>
      </c>
      <c r="G29" s="22">
        <v>1.23E-2</v>
      </c>
      <c r="H29" s="40"/>
      <c r="I29" s="24"/>
      <c r="J29" s="5"/>
    </row>
    <row r="30" spans="1:10" ht="13.05" customHeight="1">
      <c r="A30" s="18" t="s">
        <v>446</v>
      </c>
      <c r="B30" s="19" t="s">
        <v>447</v>
      </c>
      <c r="C30" s="15" t="s">
        <v>448</v>
      </c>
      <c r="D30" s="15" t="s">
        <v>300</v>
      </c>
      <c r="E30" s="20">
        <v>2428353</v>
      </c>
      <c r="F30" s="21">
        <v>41204.293700000002</v>
      </c>
      <c r="G30" s="22">
        <v>1.2200000000000001E-2</v>
      </c>
      <c r="H30" s="40"/>
      <c r="I30" s="24"/>
      <c r="J30" s="5"/>
    </row>
    <row r="31" spans="1:10" ht="13.05" customHeight="1">
      <c r="A31" s="18" t="s">
        <v>311</v>
      </c>
      <c r="B31" s="19" t="s">
        <v>312</v>
      </c>
      <c r="C31" s="15" t="s">
        <v>313</v>
      </c>
      <c r="D31" s="15" t="s">
        <v>314</v>
      </c>
      <c r="E31" s="20">
        <v>2107483</v>
      </c>
      <c r="F31" s="21">
        <v>35631.215100000001</v>
      </c>
      <c r="G31" s="22">
        <v>1.0500000000000001E-2</v>
      </c>
      <c r="H31" s="40"/>
      <c r="I31" s="24"/>
      <c r="J31" s="5"/>
    </row>
    <row r="32" spans="1:10" ht="13.05" customHeight="1">
      <c r="A32" s="18" t="s">
        <v>498</v>
      </c>
      <c r="B32" s="19" t="s">
        <v>499</v>
      </c>
      <c r="C32" s="15" t="s">
        <v>500</v>
      </c>
      <c r="D32" s="15" t="s">
        <v>501</v>
      </c>
      <c r="E32" s="20">
        <v>813364</v>
      </c>
      <c r="F32" s="21">
        <v>35333.345500000003</v>
      </c>
      <c r="G32" s="22">
        <v>1.04E-2</v>
      </c>
      <c r="H32" s="40"/>
      <c r="I32" s="24"/>
      <c r="J32" s="5"/>
    </row>
    <row r="33" spans="1:10" ht="13.05" customHeight="1">
      <c r="A33" s="18" t="s">
        <v>625</v>
      </c>
      <c r="B33" s="19" t="s">
        <v>626</v>
      </c>
      <c r="C33" s="15" t="s">
        <v>627</v>
      </c>
      <c r="D33" s="15" t="s">
        <v>314</v>
      </c>
      <c r="E33" s="20">
        <v>946972</v>
      </c>
      <c r="F33" s="21">
        <v>33713.150199999996</v>
      </c>
      <c r="G33" s="22">
        <v>0.01</v>
      </c>
      <c r="H33" s="40"/>
      <c r="I33" s="24"/>
      <c r="J33" s="5"/>
    </row>
    <row r="34" spans="1:10" ht="13.05" customHeight="1">
      <c r="A34" s="18" t="s">
        <v>392</v>
      </c>
      <c r="B34" s="19" t="s">
        <v>393</v>
      </c>
      <c r="C34" s="15" t="s">
        <v>394</v>
      </c>
      <c r="D34" s="15" t="s">
        <v>272</v>
      </c>
      <c r="E34" s="20">
        <v>2317363</v>
      </c>
      <c r="F34" s="21">
        <v>33008.518600000003</v>
      </c>
      <c r="G34" s="22">
        <v>9.7999999999999997E-3</v>
      </c>
      <c r="H34" s="40"/>
      <c r="I34" s="24"/>
      <c r="J34" s="5"/>
    </row>
    <row r="35" spans="1:10" ht="13.05" customHeight="1">
      <c r="A35" s="18" t="s">
        <v>432</v>
      </c>
      <c r="B35" s="19" t="s">
        <v>433</v>
      </c>
      <c r="C35" s="15" t="s">
        <v>434</v>
      </c>
      <c r="D35" s="15" t="s">
        <v>435</v>
      </c>
      <c r="E35" s="20">
        <v>2775109</v>
      </c>
      <c r="F35" s="21">
        <v>32330.019899999999</v>
      </c>
      <c r="G35" s="22">
        <v>9.5999999999999992E-3</v>
      </c>
      <c r="H35" s="40"/>
      <c r="I35" s="24"/>
      <c r="J35" s="5"/>
    </row>
    <row r="36" spans="1:10" ht="13.05" customHeight="1">
      <c r="A36" s="18" t="s">
        <v>532</v>
      </c>
      <c r="B36" s="19" t="s">
        <v>533</v>
      </c>
      <c r="C36" s="15" t="s">
        <v>534</v>
      </c>
      <c r="D36" s="15" t="s">
        <v>445</v>
      </c>
      <c r="E36" s="20">
        <v>4347294</v>
      </c>
      <c r="F36" s="21">
        <v>32024.3413</v>
      </c>
      <c r="G36" s="22">
        <v>9.4999999999999998E-3</v>
      </c>
      <c r="H36" s="40"/>
      <c r="I36" s="24"/>
      <c r="J36" s="5"/>
    </row>
    <row r="37" spans="1:10" ht="13.05" customHeight="1">
      <c r="A37" s="18" t="s">
        <v>368</v>
      </c>
      <c r="B37" s="19" t="s">
        <v>369</v>
      </c>
      <c r="C37" s="15" t="s">
        <v>370</v>
      </c>
      <c r="D37" s="15" t="s">
        <v>304</v>
      </c>
      <c r="E37" s="20">
        <v>567684</v>
      </c>
      <c r="F37" s="21">
        <v>26648.79</v>
      </c>
      <c r="G37" s="22">
        <v>7.9000000000000008E-3</v>
      </c>
      <c r="H37" s="40"/>
      <c r="I37" s="24"/>
      <c r="J37" s="5"/>
    </row>
    <row r="38" spans="1:10" ht="13.05" customHeight="1">
      <c r="A38" s="18" t="s">
        <v>318</v>
      </c>
      <c r="B38" s="19" t="s">
        <v>319</v>
      </c>
      <c r="C38" s="15" t="s">
        <v>320</v>
      </c>
      <c r="D38" s="15" t="s">
        <v>321</v>
      </c>
      <c r="E38" s="20">
        <v>7795138</v>
      </c>
      <c r="F38" s="21">
        <v>26265.717499999999</v>
      </c>
      <c r="G38" s="22">
        <v>7.7999999999999996E-3</v>
      </c>
      <c r="H38" s="40"/>
      <c r="I38" s="24"/>
      <c r="J38" s="5"/>
    </row>
    <row r="39" spans="1:10" ht="13.05" customHeight="1">
      <c r="A39" s="18" t="s">
        <v>426</v>
      </c>
      <c r="B39" s="19" t="s">
        <v>427</v>
      </c>
      <c r="C39" s="15" t="s">
        <v>428</v>
      </c>
      <c r="D39" s="15" t="s">
        <v>405</v>
      </c>
      <c r="E39" s="20">
        <v>3522018</v>
      </c>
      <c r="F39" s="21">
        <v>25775.8887</v>
      </c>
      <c r="G39" s="22">
        <v>7.6E-3</v>
      </c>
      <c r="H39" s="40"/>
      <c r="I39" s="24"/>
      <c r="J39" s="5"/>
    </row>
    <row r="40" spans="1:10" ht="13.05" customHeight="1">
      <c r="A40" s="18" t="s">
        <v>523</v>
      </c>
      <c r="B40" s="19" t="s">
        <v>524</v>
      </c>
      <c r="C40" s="15" t="s">
        <v>525</v>
      </c>
      <c r="D40" s="15" t="s">
        <v>304</v>
      </c>
      <c r="E40" s="20">
        <v>1825740</v>
      </c>
      <c r="F40" s="21">
        <v>25164.1744</v>
      </c>
      <c r="G40" s="22">
        <v>7.4000000000000003E-3</v>
      </c>
      <c r="H40" s="40"/>
      <c r="I40" s="24"/>
      <c r="J40" s="5"/>
    </row>
    <row r="41" spans="1:10" ht="13.05" customHeight="1">
      <c r="A41" s="18" t="s">
        <v>730</v>
      </c>
      <c r="B41" s="19" t="s">
        <v>731</v>
      </c>
      <c r="C41" s="15" t="s">
        <v>732</v>
      </c>
      <c r="D41" s="15" t="s">
        <v>445</v>
      </c>
      <c r="E41" s="20">
        <v>681987</v>
      </c>
      <c r="F41" s="21">
        <v>21725.377899999999</v>
      </c>
      <c r="G41" s="22">
        <v>6.4000000000000003E-3</v>
      </c>
      <c r="H41" s="40"/>
      <c r="I41" s="24"/>
      <c r="J41" s="5"/>
    </row>
    <row r="42" spans="1:10" ht="13.05" customHeight="1">
      <c r="A42" s="18" t="s">
        <v>385</v>
      </c>
      <c r="B42" s="19" t="s">
        <v>386</v>
      </c>
      <c r="C42" s="15" t="s">
        <v>387</v>
      </c>
      <c r="D42" s="15" t="s">
        <v>296</v>
      </c>
      <c r="E42" s="20">
        <v>262494</v>
      </c>
      <c r="F42" s="21">
        <v>18392.954600000001</v>
      </c>
      <c r="G42" s="22">
        <v>5.4000000000000003E-3</v>
      </c>
      <c r="H42" s="40"/>
      <c r="I42" s="24"/>
      <c r="J42" s="5"/>
    </row>
    <row r="43" spans="1:10" ht="13.05" customHeight="1">
      <c r="A43" s="18" t="s">
        <v>564</v>
      </c>
      <c r="B43" s="19" t="s">
        <v>565</v>
      </c>
      <c r="C43" s="15" t="s">
        <v>566</v>
      </c>
      <c r="D43" s="15" t="s">
        <v>567</v>
      </c>
      <c r="E43" s="20">
        <v>17343742</v>
      </c>
      <c r="F43" s="21">
        <v>18278.5697</v>
      </c>
      <c r="G43" s="22">
        <v>5.4000000000000003E-3</v>
      </c>
      <c r="H43" s="40"/>
      <c r="I43" s="24"/>
      <c r="J43" s="5"/>
    </row>
    <row r="44" spans="1:10" ht="13.05" customHeight="1">
      <c r="A44" s="18" t="s">
        <v>1857</v>
      </c>
      <c r="B44" s="19" t="s">
        <v>1858</v>
      </c>
      <c r="C44" s="15" t="s">
        <v>1859</v>
      </c>
      <c r="D44" s="15" t="s">
        <v>325</v>
      </c>
      <c r="E44" s="20">
        <v>1030166</v>
      </c>
      <c r="F44" s="21">
        <v>17137.8416</v>
      </c>
      <c r="G44" s="22">
        <v>5.1000000000000004E-3</v>
      </c>
      <c r="H44" s="40"/>
      <c r="I44" s="24"/>
      <c r="J44" s="5"/>
    </row>
    <row r="45" spans="1:10" ht="13.05" customHeight="1">
      <c r="A45" s="18" t="s">
        <v>287</v>
      </c>
      <c r="B45" s="19" t="s">
        <v>288</v>
      </c>
      <c r="C45" s="15" t="s">
        <v>289</v>
      </c>
      <c r="D45" s="15" t="s">
        <v>272</v>
      </c>
      <c r="E45" s="20">
        <v>541132</v>
      </c>
      <c r="F45" s="21">
        <v>16547.816599999998</v>
      </c>
      <c r="G45" s="22">
        <v>4.8999999999999998E-3</v>
      </c>
      <c r="H45" s="40"/>
      <c r="I45" s="24"/>
      <c r="J45" s="5"/>
    </row>
    <row r="46" spans="1:10" ht="13.05" customHeight="1">
      <c r="A46" s="18" t="s">
        <v>476</v>
      </c>
      <c r="B46" s="19" t="s">
        <v>477</v>
      </c>
      <c r="C46" s="15" t="s">
        <v>478</v>
      </c>
      <c r="D46" s="15" t="s">
        <v>325</v>
      </c>
      <c r="E46" s="20">
        <v>105226</v>
      </c>
      <c r="F46" s="21">
        <v>16303.716399999999</v>
      </c>
      <c r="G46" s="22">
        <v>4.7999999999999996E-3</v>
      </c>
      <c r="H46" s="40"/>
      <c r="I46" s="24"/>
      <c r="J46" s="5"/>
    </row>
    <row r="47" spans="1:10" ht="13.05" customHeight="1">
      <c r="A47" s="18" t="s">
        <v>305</v>
      </c>
      <c r="B47" s="19" t="s">
        <v>306</v>
      </c>
      <c r="C47" s="15" t="s">
        <v>307</v>
      </c>
      <c r="D47" s="15" t="s">
        <v>280</v>
      </c>
      <c r="E47" s="20">
        <v>612328</v>
      </c>
      <c r="F47" s="21">
        <v>15096.9468</v>
      </c>
      <c r="G47" s="22">
        <v>4.4999999999999997E-3</v>
      </c>
      <c r="H47" s="40"/>
      <c r="I47" s="24"/>
      <c r="J47" s="5"/>
    </row>
    <row r="48" spans="1:10" ht="13.05" customHeight="1">
      <c r="A48" s="18" t="s">
        <v>649</v>
      </c>
      <c r="B48" s="19" t="s">
        <v>650</v>
      </c>
      <c r="C48" s="15" t="s">
        <v>651</v>
      </c>
      <c r="D48" s="15" t="s">
        <v>581</v>
      </c>
      <c r="E48" s="20">
        <v>99248</v>
      </c>
      <c r="F48" s="21">
        <v>13773.6374</v>
      </c>
      <c r="G48" s="22">
        <v>4.1000000000000003E-3</v>
      </c>
      <c r="H48" s="40"/>
      <c r="I48" s="24"/>
      <c r="J48" s="5"/>
    </row>
    <row r="49" spans="1:10" ht="13.05" customHeight="1">
      <c r="A49" s="18" t="s">
        <v>416</v>
      </c>
      <c r="B49" s="19" t="s">
        <v>417</v>
      </c>
      <c r="C49" s="15" t="s">
        <v>418</v>
      </c>
      <c r="D49" s="15" t="s">
        <v>314</v>
      </c>
      <c r="E49" s="20">
        <v>770000</v>
      </c>
      <c r="F49" s="21">
        <v>11560.01</v>
      </c>
      <c r="G49" s="22">
        <v>3.3999999999999998E-3</v>
      </c>
      <c r="H49" s="40"/>
      <c r="I49" s="24"/>
      <c r="J49" s="5"/>
    </row>
    <row r="50" spans="1:10" ht="13.05" customHeight="1">
      <c r="A50" s="18" t="s">
        <v>458</v>
      </c>
      <c r="B50" s="19" t="s">
        <v>459</v>
      </c>
      <c r="C50" s="15" t="s">
        <v>460</v>
      </c>
      <c r="D50" s="15" t="s">
        <v>321</v>
      </c>
      <c r="E50" s="20">
        <v>2360601</v>
      </c>
      <c r="F50" s="21">
        <v>9558.0733999999993</v>
      </c>
      <c r="G50" s="22">
        <v>2.8E-3</v>
      </c>
      <c r="H50" s="40"/>
      <c r="I50" s="24"/>
      <c r="J50" s="5"/>
    </row>
    <row r="51" spans="1:10" ht="13.05" customHeight="1">
      <c r="A51" s="18" t="s">
        <v>315</v>
      </c>
      <c r="B51" s="19" t="s">
        <v>316</v>
      </c>
      <c r="C51" s="15" t="s">
        <v>317</v>
      </c>
      <c r="D51" s="15" t="s">
        <v>272</v>
      </c>
      <c r="E51" s="20">
        <v>618450</v>
      </c>
      <c r="F51" s="21">
        <v>9533.4068000000007</v>
      </c>
      <c r="G51" s="22">
        <v>2.8E-3</v>
      </c>
      <c r="H51" s="40"/>
      <c r="I51" s="24"/>
      <c r="J51" s="5"/>
    </row>
    <row r="52" spans="1:10" ht="13.05" customHeight="1">
      <c r="A52" s="18" t="s">
        <v>508</v>
      </c>
      <c r="B52" s="19" t="s">
        <v>509</v>
      </c>
      <c r="C52" s="15" t="s">
        <v>510</v>
      </c>
      <c r="D52" s="15" t="s">
        <v>374</v>
      </c>
      <c r="E52" s="20">
        <v>169795</v>
      </c>
      <c r="F52" s="21">
        <v>9133.2731000000003</v>
      </c>
      <c r="G52" s="22">
        <v>2.7000000000000001E-3</v>
      </c>
      <c r="H52" s="40"/>
      <c r="I52" s="24"/>
      <c r="J52" s="5"/>
    </row>
    <row r="53" spans="1:10" ht="13.05" customHeight="1">
      <c r="A53" s="18" t="s">
        <v>472</v>
      </c>
      <c r="B53" s="19" t="s">
        <v>473</v>
      </c>
      <c r="C53" s="15" t="s">
        <v>474</v>
      </c>
      <c r="D53" s="15" t="s">
        <v>475</v>
      </c>
      <c r="E53" s="20">
        <v>1794284</v>
      </c>
      <c r="F53" s="21">
        <v>8426.8547999999992</v>
      </c>
      <c r="G53" s="22">
        <v>2.5000000000000001E-3</v>
      </c>
      <c r="H53" s="40"/>
      <c r="I53" s="24"/>
      <c r="J53" s="5"/>
    </row>
    <row r="54" spans="1:10" ht="13.05" customHeight="1">
      <c r="A54" s="18" t="s">
        <v>739</v>
      </c>
      <c r="B54" s="19" t="s">
        <v>740</v>
      </c>
      <c r="C54" s="15" t="s">
        <v>741</v>
      </c>
      <c r="D54" s="15" t="s">
        <v>314</v>
      </c>
      <c r="E54" s="20">
        <v>352431</v>
      </c>
      <c r="F54" s="21">
        <v>8401.9549999999999</v>
      </c>
      <c r="G54" s="22">
        <v>2.5000000000000001E-3</v>
      </c>
      <c r="H54" s="40"/>
      <c r="I54" s="24"/>
      <c r="J54" s="5"/>
    </row>
    <row r="55" spans="1:10" ht="13.05" customHeight="1">
      <c r="A55" s="18" t="s">
        <v>277</v>
      </c>
      <c r="B55" s="19" t="s">
        <v>278</v>
      </c>
      <c r="C55" s="15" t="s">
        <v>279</v>
      </c>
      <c r="D55" s="15" t="s">
        <v>280</v>
      </c>
      <c r="E55" s="20">
        <v>1869035</v>
      </c>
      <c r="F55" s="21">
        <v>7856.4885999999997</v>
      </c>
      <c r="G55" s="22">
        <v>2.3E-3</v>
      </c>
      <c r="H55" s="40"/>
      <c r="I55" s="24"/>
      <c r="J55" s="5"/>
    </row>
    <row r="56" spans="1:10" ht="13.05" customHeight="1">
      <c r="A56" s="18" t="s">
        <v>1854</v>
      </c>
      <c r="B56" s="19" t="s">
        <v>1855</v>
      </c>
      <c r="C56" s="15" t="s">
        <v>1856</v>
      </c>
      <c r="D56" s="15" t="s">
        <v>300</v>
      </c>
      <c r="E56" s="20">
        <v>755219</v>
      </c>
      <c r="F56" s="21">
        <v>2471.8317999999999</v>
      </c>
      <c r="G56" s="22">
        <v>6.9999999999999999E-4</v>
      </c>
      <c r="H56" s="40"/>
      <c r="I56" s="24"/>
      <c r="J56" s="5"/>
    </row>
    <row r="57" spans="1:10" ht="13.05" customHeight="1">
      <c r="A57" s="5"/>
      <c r="B57" s="14" t="s">
        <v>192</v>
      </c>
      <c r="C57" s="15"/>
      <c r="D57" s="15"/>
      <c r="E57" s="15"/>
      <c r="F57" s="25">
        <v>3273547.3261000002</v>
      </c>
      <c r="G57" s="26">
        <v>0.9677</v>
      </c>
      <c r="H57" s="27"/>
      <c r="I57" s="28"/>
      <c r="J57" s="5"/>
    </row>
    <row r="58" spans="1:10" ht="13.05" customHeight="1">
      <c r="A58" s="5"/>
      <c r="B58" s="29" t="s">
        <v>1812</v>
      </c>
      <c r="C58" s="2"/>
      <c r="D58" s="2"/>
      <c r="E58" s="2"/>
      <c r="F58" s="27" t="s">
        <v>194</v>
      </c>
      <c r="G58" s="27" t="s">
        <v>194</v>
      </c>
      <c r="H58" s="27"/>
      <c r="I58" s="28"/>
      <c r="J58" s="5"/>
    </row>
    <row r="59" spans="1:10" ht="13.05" customHeight="1">
      <c r="A59" s="5"/>
      <c r="B59" s="29" t="s">
        <v>192</v>
      </c>
      <c r="C59" s="2"/>
      <c r="D59" s="2"/>
      <c r="E59" s="2"/>
      <c r="F59" s="27" t="s">
        <v>194</v>
      </c>
      <c r="G59" s="27" t="s">
        <v>194</v>
      </c>
      <c r="H59" s="27"/>
      <c r="I59" s="28"/>
      <c r="J59" s="5"/>
    </row>
    <row r="60" spans="1:10" ht="13.05" customHeight="1">
      <c r="A60" s="5"/>
      <c r="B60" s="14" t="s">
        <v>1813</v>
      </c>
      <c r="C60" s="15"/>
      <c r="D60" s="15"/>
      <c r="E60" s="15"/>
      <c r="F60" s="5"/>
      <c r="G60" s="16"/>
      <c r="H60" s="16"/>
      <c r="I60" s="17"/>
      <c r="J60" s="5"/>
    </row>
    <row r="61" spans="1:10" ht="13.05" customHeight="1">
      <c r="A61" s="18" t="s">
        <v>1814</v>
      </c>
      <c r="B61" s="19" t="s">
        <v>5526</v>
      </c>
      <c r="C61" s="15" t="s">
        <v>1815</v>
      </c>
      <c r="D61" s="15" t="s">
        <v>296</v>
      </c>
      <c r="E61" s="20">
        <v>4827620</v>
      </c>
      <c r="F61" s="21">
        <v>487.17930000000001</v>
      </c>
      <c r="G61" s="22">
        <v>1E-4</v>
      </c>
      <c r="H61" s="40"/>
      <c r="I61" s="24"/>
      <c r="J61" s="5"/>
    </row>
    <row r="62" spans="1:10" ht="13.05" customHeight="1">
      <c r="A62" s="5"/>
      <c r="B62" s="14" t="s">
        <v>192</v>
      </c>
      <c r="C62" s="15"/>
      <c r="D62" s="15"/>
      <c r="E62" s="15"/>
      <c r="F62" s="25">
        <v>487.17930000000001</v>
      </c>
      <c r="G62" s="26">
        <v>1E-4</v>
      </c>
      <c r="H62" s="27"/>
      <c r="I62" s="28"/>
      <c r="J62" s="5"/>
    </row>
    <row r="63" spans="1:10" ht="13.05" customHeight="1">
      <c r="A63" s="5"/>
      <c r="B63" s="29" t="s">
        <v>195</v>
      </c>
      <c r="C63" s="30"/>
      <c r="D63" s="2"/>
      <c r="E63" s="30"/>
      <c r="F63" s="25">
        <v>3274034.5054000001</v>
      </c>
      <c r="G63" s="26">
        <v>0.96789999999999998</v>
      </c>
      <c r="H63" s="27"/>
      <c r="I63" s="28"/>
      <c r="J63" s="5"/>
    </row>
    <row r="64" spans="1:10" ht="13.05" customHeight="1">
      <c r="A64" s="5"/>
      <c r="B64" s="14" t="s">
        <v>1818</v>
      </c>
      <c r="C64" s="15"/>
      <c r="D64" s="15"/>
      <c r="E64" s="15"/>
      <c r="F64" s="15"/>
      <c r="G64" s="15"/>
      <c r="H64" s="16"/>
      <c r="I64" s="17"/>
      <c r="J64" s="5"/>
    </row>
    <row r="65" spans="1:10" ht="13.05" customHeight="1">
      <c r="A65" s="5"/>
      <c r="B65" s="14" t="s">
        <v>3514</v>
      </c>
      <c r="C65" s="15"/>
      <c r="D65" s="15"/>
      <c r="E65" s="15"/>
      <c r="F65" s="5"/>
      <c r="G65" s="16"/>
      <c r="H65" s="16"/>
      <c r="I65" s="17"/>
      <c r="J65" s="5"/>
    </row>
    <row r="66" spans="1:10" ht="13.05" customHeight="1">
      <c r="A66" s="18" t="s">
        <v>3575</v>
      </c>
      <c r="B66" s="19" t="s">
        <v>109</v>
      </c>
      <c r="C66" s="15" t="s">
        <v>3576</v>
      </c>
      <c r="D66" s="15"/>
      <c r="E66" s="20">
        <v>9750000</v>
      </c>
      <c r="F66" s="21">
        <v>27563.25</v>
      </c>
      <c r="G66" s="22">
        <v>8.0999999999999996E-3</v>
      </c>
      <c r="H66" s="40"/>
      <c r="I66" s="24"/>
      <c r="J66" s="5"/>
    </row>
    <row r="67" spans="1:10" ht="13.05" customHeight="1">
      <c r="A67" s="5"/>
      <c r="B67" s="14" t="s">
        <v>192</v>
      </c>
      <c r="C67" s="15"/>
      <c r="D67" s="15"/>
      <c r="E67" s="15"/>
      <c r="F67" s="25">
        <v>27563.25</v>
      </c>
      <c r="G67" s="26">
        <v>8.0999999999999996E-3</v>
      </c>
      <c r="H67" s="27"/>
      <c r="I67" s="28"/>
      <c r="J67" s="5"/>
    </row>
    <row r="68" spans="1:10" ht="13.05" customHeight="1">
      <c r="A68" s="5"/>
      <c r="B68" s="29" t="s">
        <v>195</v>
      </c>
      <c r="C68" s="30"/>
      <c r="D68" s="2"/>
      <c r="E68" s="30"/>
      <c r="F68" s="25">
        <v>27563.25</v>
      </c>
      <c r="G68" s="26">
        <v>8.0999999999999996E-3</v>
      </c>
      <c r="H68" s="27"/>
      <c r="I68" s="28"/>
      <c r="J68" s="5"/>
    </row>
    <row r="69" spans="1:10" ht="13.05" customHeight="1">
      <c r="A69" s="5"/>
      <c r="B69" s="14" t="s">
        <v>196</v>
      </c>
      <c r="C69" s="15"/>
      <c r="D69" s="15"/>
      <c r="E69" s="15"/>
      <c r="F69" s="15"/>
      <c r="G69" s="15"/>
      <c r="H69" s="16"/>
      <c r="I69" s="17"/>
      <c r="J69" s="5"/>
    </row>
    <row r="70" spans="1:10" ht="13.05" customHeight="1">
      <c r="A70" s="18" t="s">
        <v>197</v>
      </c>
      <c r="B70" s="19" t="s">
        <v>198</v>
      </c>
      <c r="C70" s="15"/>
      <c r="D70" s="15"/>
      <c r="E70" s="20"/>
      <c r="F70" s="21">
        <v>65645.610100000005</v>
      </c>
      <c r="G70" s="22">
        <v>1.9400000000000001E-2</v>
      </c>
      <c r="H70" s="23">
        <v>5.5573617010495215E-2</v>
      </c>
      <c r="I70" s="24"/>
      <c r="J70" s="5"/>
    </row>
    <row r="71" spans="1:10" ht="13.05" customHeight="1">
      <c r="A71" s="5"/>
      <c r="B71" s="14" t="s">
        <v>192</v>
      </c>
      <c r="C71" s="15"/>
      <c r="D71" s="15"/>
      <c r="E71" s="15"/>
      <c r="F71" s="25">
        <v>65645.610100000005</v>
      </c>
      <c r="G71" s="26">
        <v>1.9400000000000001E-2</v>
      </c>
      <c r="H71" s="27"/>
      <c r="I71" s="28"/>
      <c r="J71" s="5"/>
    </row>
    <row r="72" spans="1:10" ht="13.05" customHeight="1">
      <c r="A72" s="5"/>
      <c r="B72" s="29" t="s">
        <v>195</v>
      </c>
      <c r="C72" s="30"/>
      <c r="D72" s="2"/>
      <c r="E72" s="30"/>
      <c r="F72" s="25">
        <v>65645.610100000005</v>
      </c>
      <c r="G72" s="26">
        <v>1.9400000000000001E-2</v>
      </c>
      <c r="H72" s="27"/>
      <c r="I72" s="28"/>
      <c r="J72" s="5"/>
    </row>
    <row r="73" spans="1:10" ht="13.05" customHeight="1">
      <c r="A73" s="5"/>
      <c r="B73" s="29" t="s">
        <v>199</v>
      </c>
      <c r="C73" s="15"/>
      <c r="D73" s="2"/>
      <c r="E73" s="15"/>
      <c r="F73" s="31">
        <v>15471.7845</v>
      </c>
      <c r="G73" s="26">
        <v>4.5999999999999999E-3</v>
      </c>
      <c r="H73" s="27"/>
      <c r="I73" s="28"/>
      <c r="J73" s="5"/>
    </row>
    <row r="74" spans="1:10" ht="13.05" customHeight="1">
      <c r="A74" s="5"/>
      <c r="B74" s="32" t="s">
        <v>200</v>
      </c>
      <c r="C74" s="33"/>
      <c r="D74" s="33"/>
      <c r="E74" s="33"/>
      <c r="F74" s="34">
        <v>3382715.15</v>
      </c>
      <c r="G74" s="35">
        <v>1</v>
      </c>
      <c r="H74" s="36"/>
      <c r="I74" s="37"/>
      <c r="J74" s="5"/>
    </row>
    <row r="75" spans="1:10" ht="13.05" customHeight="1">
      <c r="A75" s="5"/>
      <c r="B75" s="7"/>
      <c r="C75" s="5"/>
      <c r="D75" s="5"/>
      <c r="E75" s="5"/>
      <c r="F75" s="5"/>
      <c r="G75" s="5"/>
      <c r="H75" s="5"/>
      <c r="I75" s="5"/>
      <c r="J75" s="5"/>
    </row>
    <row r="76" spans="1:10" ht="13.05" customHeight="1">
      <c r="A76" s="5"/>
      <c r="B76" s="4" t="s">
        <v>250</v>
      </c>
      <c r="C76" s="5"/>
      <c r="D76" s="5"/>
      <c r="E76" s="5"/>
      <c r="F76" s="5"/>
      <c r="G76" s="5"/>
      <c r="H76" s="5"/>
      <c r="I76" s="5"/>
      <c r="J76" s="5"/>
    </row>
    <row r="77" spans="1:10" ht="13.05" customHeight="1">
      <c r="A77" s="5"/>
      <c r="B77" s="4" t="s">
        <v>201</v>
      </c>
      <c r="C77" s="5"/>
      <c r="D77" s="5"/>
      <c r="E77" s="5"/>
      <c r="F77" s="5"/>
      <c r="G77" s="5"/>
      <c r="H77" s="5"/>
      <c r="I77" s="5"/>
      <c r="J77" s="5"/>
    </row>
    <row r="78" spans="1:10" ht="25.95" customHeight="1">
      <c r="A78" s="5"/>
      <c r="B78" s="103" t="s">
        <v>202</v>
      </c>
      <c r="C78" s="103"/>
      <c r="D78" s="103"/>
      <c r="E78" s="103"/>
      <c r="F78" s="103"/>
      <c r="G78" s="103"/>
      <c r="H78" s="103"/>
      <c r="I78" s="103"/>
      <c r="J78" s="5"/>
    </row>
    <row r="79" spans="1:10" ht="13.05" customHeight="1">
      <c r="A79" s="5"/>
      <c r="B79" s="103" t="s">
        <v>203</v>
      </c>
      <c r="C79" s="103"/>
      <c r="D79" s="103"/>
      <c r="E79" s="103"/>
      <c r="F79" s="103"/>
      <c r="G79" s="103"/>
      <c r="H79" s="103"/>
      <c r="I79" s="103"/>
      <c r="J79" s="5"/>
    </row>
    <row r="80" spans="1:10" ht="13.05" customHeight="1">
      <c r="A80" s="5"/>
      <c r="B80" s="103"/>
      <c r="C80" s="103"/>
      <c r="D80" s="103"/>
      <c r="E80" s="103"/>
      <c r="F80" s="103"/>
      <c r="G80" s="103"/>
      <c r="H80" s="103"/>
      <c r="I80" s="103"/>
      <c r="J80" s="5"/>
    </row>
    <row r="81" spans="1:10" ht="13.05" customHeight="1">
      <c r="A81" s="5"/>
      <c r="B81" s="103"/>
      <c r="C81" s="103"/>
      <c r="D81" s="103"/>
      <c r="E81" s="103"/>
      <c r="F81" s="103"/>
      <c r="G81" s="103"/>
      <c r="H81" s="103"/>
      <c r="I81" s="103"/>
      <c r="J81" s="5"/>
    </row>
    <row r="82" spans="1:10" ht="13.05" customHeight="1">
      <c r="A82" s="5"/>
      <c r="B82" s="103"/>
      <c r="C82" s="103"/>
      <c r="D82" s="103"/>
      <c r="E82" s="103"/>
      <c r="F82" s="103"/>
      <c r="G82" s="103"/>
      <c r="H82" s="103"/>
      <c r="I82" s="103"/>
      <c r="J82" s="5"/>
    </row>
    <row r="83" spans="1:10" ht="13.05" customHeight="1">
      <c r="A83" s="5"/>
      <c r="B83" s="103"/>
      <c r="C83" s="103"/>
      <c r="D83" s="103"/>
      <c r="E83" s="103"/>
      <c r="F83" s="103"/>
      <c r="G83" s="103"/>
      <c r="H83" s="103"/>
      <c r="I83" s="103"/>
      <c r="J83" s="5"/>
    </row>
    <row r="84" spans="1:10" ht="13.05" customHeight="1">
      <c r="A84" s="5"/>
      <c r="B84" s="5"/>
      <c r="C84" s="104" t="s">
        <v>3577</v>
      </c>
      <c r="D84" s="104"/>
      <c r="E84" s="104"/>
      <c r="F84" s="104"/>
      <c r="G84" s="5"/>
      <c r="H84" s="5"/>
      <c r="I84" s="5"/>
      <c r="J84" s="5"/>
    </row>
    <row r="85" spans="1:10" ht="13.05" customHeight="1">
      <c r="A85" s="5"/>
      <c r="B85" s="38" t="s">
        <v>207</v>
      </c>
      <c r="C85" s="104" t="s">
        <v>208</v>
      </c>
      <c r="D85" s="104"/>
      <c r="E85" s="104"/>
      <c r="F85" s="104"/>
      <c r="G85" s="5"/>
      <c r="H85" s="5"/>
      <c r="I85" s="5"/>
      <c r="J85" s="5"/>
    </row>
    <row r="86" spans="1:10" ht="135" customHeight="1">
      <c r="A86" s="5"/>
      <c r="B86" s="39"/>
      <c r="C86" s="105"/>
      <c r="D86" s="105"/>
      <c r="E86" s="5"/>
      <c r="F86" s="5"/>
      <c r="G86" s="5"/>
      <c r="H86" s="5"/>
      <c r="I86" s="5"/>
      <c r="J86" s="5"/>
    </row>
  </sheetData>
  <mergeCells count="9">
    <mergeCell ref="B83:I83"/>
    <mergeCell ref="C84:F84"/>
    <mergeCell ref="C85:F85"/>
    <mergeCell ref="C86:D86"/>
    <mergeCell ref="B78:I78"/>
    <mergeCell ref="B79:I79"/>
    <mergeCell ref="B80:I80"/>
    <mergeCell ref="B81:I81"/>
    <mergeCell ref="B82:I82"/>
  </mergeCells>
  <hyperlinks>
    <hyperlink ref="A1" location="AxisLargeCapFund" display="AXISEQF" xr:uid="{00000000-0004-0000-1800-000000000000}"/>
    <hyperlink ref="B1" location="AxisLargeCapFund" display="Axis Large Cap Fund" xr:uid="{00000000-0004-0000-18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outlinePr summaryBelow="0"/>
  </sheetPr>
  <dimension ref="A1:J224"/>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53</v>
      </c>
      <c r="B1" s="4" t="s">
        <v>54</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258</v>
      </c>
      <c r="B7" s="19" t="s">
        <v>259</v>
      </c>
      <c r="C7" s="15" t="s">
        <v>260</v>
      </c>
      <c r="D7" s="15" t="s">
        <v>261</v>
      </c>
      <c r="E7" s="20">
        <v>589004</v>
      </c>
      <c r="F7" s="21">
        <v>8754.9555</v>
      </c>
      <c r="G7" s="22">
        <v>9.4799999999999995E-2</v>
      </c>
      <c r="H7" s="40"/>
      <c r="I7" s="24"/>
      <c r="J7" s="5"/>
    </row>
    <row r="8" spans="1:10" ht="13.05" customHeight="1">
      <c r="A8" s="18" t="s">
        <v>254</v>
      </c>
      <c r="B8" s="19" t="s">
        <v>255</v>
      </c>
      <c r="C8" s="15" t="s">
        <v>256</v>
      </c>
      <c r="D8" s="15" t="s">
        <v>257</v>
      </c>
      <c r="E8" s="20">
        <v>861322</v>
      </c>
      <c r="F8" s="21">
        <v>8503.8320999999996</v>
      </c>
      <c r="G8" s="22">
        <v>9.2100000000000001E-2</v>
      </c>
      <c r="H8" s="40"/>
      <c r="I8" s="24"/>
      <c r="J8" s="5"/>
    </row>
    <row r="9" spans="1:10" ht="13.05" customHeight="1">
      <c r="A9" s="18" t="s">
        <v>262</v>
      </c>
      <c r="B9" s="19" t="s">
        <v>263</v>
      </c>
      <c r="C9" s="15" t="s">
        <v>264</v>
      </c>
      <c r="D9" s="15" t="s">
        <v>257</v>
      </c>
      <c r="E9" s="20">
        <v>264304</v>
      </c>
      <c r="F9" s="21">
        <v>3555.6817000000001</v>
      </c>
      <c r="G9" s="22">
        <v>3.85E-2</v>
      </c>
      <c r="H9" s="40"/>
      <c r="I9" s="24"/>
      <c r="J9" s="5"/>
    </row>
    <row r="10" spans="1:10" ht="13.05" customHeight="1">
      <c r="A10" s="18" t="s">
        <v>273</v>
      </c>
      <c r="B10" s="19" t="s">
        <v>274</v>
      </c>
      <c r="C10" s="15" t="s">
        <v>275</v>
      </c>
      <c r="D10" s="15" t="s">
        <v>276</v>
      </c>
      <c r="E10" s="20">
        <v>71439</v>
      </c>
      <c r="F10" s="21">
        <v>2879.6347000000001</v>
      </c>
      <c r="G10" s="22">
        <v>3.1199999999999999E-2</v>
      </c>
      <c r="H10" s="40"/>
      <c r="I10" s="24"/>
      <c r="J10" s="5"/>
    </row>
    <row r="11" spans="1:10" ht="13.05" customHeight="1">
      <c r="A11" s="18" t="s">
        <v>265</v>
      </c>
      <c r="B11" s="19" t="s">
        <v>266</v>
      </c>
      <c r="C11" s="15" t="s">
        <v>267</v>
      </c>
      <c r="D11" s="15" t="s">
        <v>268</v>
      </c>
      <c r="E11" s="20">
        <v>117209</v>
      </c>
      <c r="F11" s="21">
        <v>2408.0589</v>
      </c>
      <c r="G11" s="22">
        <v>2.6100000000000002E-2</v>
      </c>
      <c r="H11" s="40"/>
      <c r="I11" s="24"/>
      <c r="J11" s="5"/>
    </row>
    <row r="12" spans="1:10" ht="13.05" customHeight="1">
      <c r="A12" s="18" t="s">
        <v>330</v>
      </c>
      <c r="B12" s="19" t="s">
        <v>331</v>
      </c>
      <c r="C12" s="15" t="s">
        <v>332</v>
      </c>
      <c r="D12" s="15" t="s">
        <v>333</v>
      </c>
      <c r="E12" s="20">
        <v>1237500</v>
      </c>
      <c r="F12" s="21">
        <v>2262.645</v>
      </c>
      <c r="G12" s="22">
        <v>2.4500000000000001E-2</v>
      </c>
      <c r="H12" s="40"/>
      <c r="I12" s="24"/>
      <c r="J12" s="5"/>
    </row>
    <row r="13" spans="1:10" ht="13.05" customHeight="1">
      <c r="A13" s="18" t="s">
        <v>293</v>
      </c>
      <c r="B13" s="19" t="s">
        <v>294</v>
      </c>
      <c r="C13" s="15" t="s">
        <v>295</v>
      </c>
      <c r="D13" s="15" t="s">
        <v>296</v>
      </c>
      <c r="E13" s="20">
        <v>52663</v>
      </c>
      <c r="F13" s="21">
        <v>1836.4640999999999</v>
      </c>
      <c r="G13" s="22">
        <v>1.9900000000000001E-2</v>
      </c>
      <c r="H13" s="40"/>
      <c r="I13" s="24"/>
      <c r="J13" s="5"/>
    </row>
    <row r="14" spans="1:10" ht="13.05" customHeight="1">
      <c r="A14" s="18" t="s">
        <v>290</v>
      </c>
      <c r="B14" s="19" t="s">
        <v>291</v>
      </c>
      <c r="C14" s="15" t="s">
        <v>292</v>
      </c>
      <c r="D14" s="15" t="s">
        <v>257</v>
      </c>
      <c r="E14" s="20">
        <v>83600</v>
      </c>
      <c r="F14" s="21">
        <v>1757.4392</v>
      </c>
      <c r="G14" s="22">
        <v>1.9E-2</v>
      </c>
      <c r="H14" s="40"/>
      <c r="I14" s="24"/>
      <c r="J14" s="5"/>
    </row>
    <row r="15" spans="1:10" ht="13.05" customHeight="1">
      <c r="A15" s="18" t="s">
        <v>269</v>
      </c>
      <c r="B15" s="19" t="s">
        <v>270</v>
      </c>
      <c r="C15" s="15" t="s">
        <v>271</v>
      </c>
      <c r="D15" s="15" t="s">
        <v>272</v>
      </c>
      <c r="E15" s="20">
        <v>115841</v>
      </c>
      <c r="F15" s="21">
        <v>1717.1111000000001</v>
      </c>
      <c r="G15" s="22">
        <v>1.8599999999999998E-2</v>
      </c>
      <c r="H15" s="40"/>
      <c r="I15" s="24"/>
      <c r="J15" s="5"/>
    </row>
    <row r="16" spans="1:10" ht="13.05" customHeight="1">
      <c r="A16" s="18" t="s">
        <v>301</v>
      </c>
      <c r="B16" s="19" t="s">
        <v>302</v>
      </c>
      <c r="C16" s="15" t="s">
        <v>303</v>
      </c>
      <c r="D16" s="15" t="s">
        <v>304</v>
      </c>
      <c r="E16" s="20">
        <v>535450</v>
      </c>
      <c r="F16" s="21">
        <v>1701.3924</v>
      </c>
      <c r="G16" s="22">
        <v>1.84E-2</v>
      </c>
      <c r="H16" s="40"/>
      <c r="I16" s="24"/>
      <c r="J16" s="5"/>
    </row>
    <row r="17" spans="1:10" ht="13.05" customHeight="1">
      <c r="A17" s="18" t="s">
        <v>3578</v>
      </c>
      <c r="B17" s="19" t="s">
        <v>3579</v>
      </c>
      <c r="C17" s="15" t="s">
        <v>3580</v>
      </c>
      <c r="D17" s="15" t="s">
        <v>567</v>
      </c>
      <c r="E17" s="20">
        <v>80834</v>
      </c>
      <c r="F17" s="21">
        <v>1305.0649000000001</v>
      </c>
      <c r="G17" s="22">
        <v>1.41E-2</v>
      </c>
      <c r="H17" s="40"/>
      <c r="I17" s="24"/>
      <c r="J17" s="5"/>
    </row>
    <row r="18" spans="1:10" ht="13.05" customHeight="1">
      <c r="A18" s="18" t="s">
        <v>395</v>
      </c>
      <c r="B18" s="19" t="s">
        <v>396</v>
      </c>
      <c r="C18" s="15" t="s">
        <v>397</v>
      </c>
      <c r="D18" s="15" t="s">
        <v>329</v>
      </c>
      <c r="E18" s="20">
        <v>25400</v>
      </c>
      <c r="F18" s="21">
        <v>1188.6692</v>
      </c>
      <c r="G18" s="22">
        <v>1.29E-2</v>
      </c>
      <c r="H18" s="40"/>
      <c r="I18" s="24"/>
      <c r="J18" s="5"/>
    </row>
    <row r="19" spans="1:10" ht="13.05" customHeight="1">
      <c r="A19" s="18" t="s">
        <v>305</v>
      </c>
      <c r="B19" s="19" t="s">
        <v>306</v>
      </c>
      <c r="C19" s="15" t="s">
        <v>307</v>
      </c>
      <c r="D19" s="15" t="s">
        <v>280</v>
      </c>
      <c r="E19" s="20">
        <v>47600</v>
      </c>
      <c r="F19" s="21">
        <v>1173.578</v>
      </c>
      <c r="G19" s="22">
        <v>1.2699999999999999E-2</v>
      </c>
      <c r="H19" s="40"/>
      <c r="I19" s="24"/>
      <c r="J19" s="5"/>
    </row>
    <row r="20" spans="1:10" ht="13.05" customHeight="1">
      <c r="A20" s="18" t="s">
        <v>1013</v>
      </c>
      <c r="B20" s="19" t="s">
        <v>1014</v>
      </c>
      <c r="C20" s="15" t="s">
        <v>1015</v>
      </c>
      <c r="D20" s="15" t="s">
        <v>314</v>
      </c>
      <c r="E20" s="20">
        <v>67003</v>
      </c>
      <c r="F20" s="21">
        <v>1127.1914999999999</v>
      </c>
      <c r="G20" s="22">
        <v>1.2200000000000001E-2</v>
      </c>
      <c r="H20" s="40"/>
      <c r="I20" s="24"/>
      <c r="J20" s="5"/>
    </row>
    <row r="21" spans="1:10" ht="13.05" customHeight="1">
      <c r="A21" s="18" t="s">
        <v>402</v>
      </c>
      <c r="B21" s="19" t="s">
        <v>403</v>
      </c>
      <c r="C21" s="15" t="s">
        <v>404</v>
      </c>
      <c r="D21" s="15" t="s">
        <v>405</v>
      </c>
      <c r="E21" s="20">
        <v>53375</v>
      </c>
      <c r="F21" s="21">
        <v>1043.8549</v>
      </c>
      <c r="G21" s="22">
        <v>1.1299999999999999E-2</v>
      </c>
      <c r="H21" s="40"/>
      <c r="I21" s="24"/>
      <c r="J21" s="5"/>
    </row>
    <row r="22" spans="1:10" ht="13.05" customHeight="1">
      <c r="A22" s="18" t="s">
        <v>538</v>
      </c>
      <c r="B22" s="19" t="s">
        <v>539</v>
      </c>
      <c r="C22" s="15" t="s">
        <v>540</v>
      </c>
      <c r="D22" s="15" t="s">
        <v>541</v>
      </c>
      <c r="E22" s="20">
        <v>137775</v>
      </c>
      <c r="F22" s="21">
        <v>1041.9233999999999</v>
      </c>
      <c r="G22" s="22">
        <v>1.1299999999999999E-2</v>
      </c>
      <c r="H22" s="40"/>
      <c r="I22" s="24"/>
      <c r="J22" s="5"/>
    </row>
    <row r="23" spans="1:10" ht="13.05" customHeight="1">
      <c r="A23" s="18" t="s">
        <v>2994</v>
      </c>
      <c r="B23" s="19" t="s">
        <v>2995</v>
      </c>
      <c r="C23" s="15" t="s">
        <v>2996</v>
      </c>
      <c r="D23" s="15" t="s">
        <v>846</v>
      </c>
      <c r="E23" s="20">
        <v>75922</v>
      </c>
      <c r="F23" s="21">
        <v>997.61509999999998</v>
      </c>
      <c r="G23" s="22">
        <v>1.0800000000000001E-2</v>
      </c>
      <c r="H23" s="40"/>
      <c r="I23" s="24"/>
      <c r="J23" s="5"/>
    </row>
    <row r="24" spans="1:10" ht="13.05" customHeight="1">
      <c r="A24" s="18" t="s">
        <v>429</v>
      </c>
      <c r="B24" s="19" t="s">
        <v>430</v>
      </c>
      <c r="C24" s="15" t="s">
        <v>431</v>
      </c>
      <c r="D24" s="15" t="s">
        <v>415</v>
      </c>
      <c r="E24" s="20">
        <v>12825</v>
      </c>
      <c r="F24" s="21">
        <v>985.0883</v>
      </c>
      <c r="G24" s="22">
        <v>1.0699999999999999E-2</v>
      </c>
      <c r="H24" s="40"/>
      <c r="I24" s="24"/>
      <c r="J24" s="5"/>
    </row>
    <row r="25" spans="1:10" ht="13.05" customHeight="1">
      <c r="A25" s="18" t="s">
        <v>634</v>
      </c>
      <c r="B25" s="19" t="s">
        <v>635</v>
      </c>
      <c r="C25" s="15" t="s">
        <v>636</v>
      </c>
      <c r="D25" s="15" t="s">
        <v>337</v>
      </c>
      <c r="E25" s="20">
        <v>157500</v>
      </c>
      <c r="F25" s="21">
        <v>890.505</v>
      </c>
      <c r="G25" s="22">
        <v>9.5999999999999992E-3</v>
      </c>
      <c r="H25" s="40"/>
      <c r="I25" s="24"/>
      <c r="J25" s="5"/>
    </row>
    <row r="26" spans="1:10" ht="13.05" customHeight="1">
      <c r="A26" s="18" t="s">
        <v>2426</v>
      </c>
      <c r="B26" s="19" t="s">
        <v>2427</v>
      </c>
      <c r="C26" s="15" t="s">
        <v>2428</v>
      </c>
      <c r="D26" s="15" t="s">
        <v>970</v>
      </c>
      <c r="E26" s="20">
        <v>137000</v>
      </c>
      <c r="F26" s="21">
        <v>822.13699999999994</v>
      </c>
      <c r="G26" s="22">
        <v>8.8999999999999999E-3</v>
      </c>
      <c r="H26" s="40"/>
      <c r="I26" s="24"/>
      <c r="J26" s="5"/>
    </row>
    <row r="27" spans="1:10" ht="13.05" customHeight="1">
      <c r="A27" s="18" t="s">
        <v>526</v>
      </c>
      <c r="B27" s="19" t="s">
        <v>527</v>
      </c>
      <c r="C27" s="15" t="s">
        <v>528</v>
      </c>
      <c r="D27" s="15" t="s">
        <v>257</v>
      </c>
      <c r="E27" s="20">
        <v>101500</v>
      </c>
      <c r="F27" s="21">
        <v>806.72199999999998</v>
      </c>
      <c r="G27" s="22">
        <v>8.6999999999999994E-3</v>
      </c>
      <c r="H27" s="40"/>
      <c r="I27" s="24"/>
      <c r="J27" s="5"/>
    </row>
    <row r="28" spans="1:10" ht="13.05" customHeight="1">
      <c r="A28" s="18" t="s">
        <v>529</v>
      </c>
      <c r="B28" s="19" t="s">
        <v>530</v>
      </c>
      <c r="C28" s="15" t="s">
        <v>531</v>
      </c>
      <c r="D28" s="15" t="s">
        <v>257</v>
      </c>
      <c r="E28" s="20">
        <v>283725</v>
      </c>
      <c r="F28" s="21">
        <v>789.8904</v>
      </c>
      <c r="G28" s="22">
        <v>8.6E-3</v>
      </c>
      <c r="H28" s="40"/>
      <c r="I28" s="24"/>
      <c r="J28" s="5"/>
    </row>
    <row r="29" spans="1:10" ht="13.05" customHeight="1">
      <c r="A29" s="18" t="s">
        <v>281</v>
      </c>
      <c r="B29" s="19" t="s">
        <v>282</v>
      </c>
      <c r="C29" s="15" t="s">
        <v>283</v>
      </c>
      <c r="D29" s="15" t="s">
        <v>257</v>
      </c>
      <c r="E29" s="20">
        <v>78000</v>
      </c>
      <c r="F29" s="21">
        <v>730.86</v>
      </c>
      <c r="G29" s="22">
        <v>7.9000000000000008E-3</v>
      </c>
      <c r="H29" s="40"/>
      <c r="I29" s="24"/>
      <c r="J29" s="5"/>
    </row>
    <row r="30" spans="1:10" ht="13.05" customHeight="1">
      <c r="A30" s="18" t="s">
        <v>514</v>
      </c>
      <c r="B30" s="19" t="s">
        <v>515</v>
      </c>
      <c r="C30" s="15" t="s">
        <v>516</v>
      </c>
      <c r="D30" s="15" t="s">
        <v>415</v>
      </c>
      <c r="E30" s="20">
        <v>70000</v>
      </c>
      <c r="F30" s="21">
        <v>716.13499999999999</v>
      </c>
      <c r="G30" s="22">
        <v>7.7999999999999996E-3</v>
      </c>
      <c r="H30" s="40"/>
      <c r="I30" s="24"/>
      <c r="J30" s="5"/>
    </row>
    <row r="31" spans="1:10" ht="13.05" customHeight="1">
      <c r="A31" s="18" t="s">
        <v>297</v>
      </c>
      <c r="B31" s="19" t="s">
        <v>298</v>
      </c>
      <c r="C31" s="15" t="s">
        <v>299</v>
      </c>
      <c r="D31" s="15" t="s">
        <v>300</v>
      </c>
      <c r="E31" s="20">
        <v>61790</v>
      </c>
      <c r="F31" s="21">
        <v>644.34609999999998</v>
      </c>
      <c r="G31" s="22">
        <v>7.0000000000000001E-3</v>
      </c>
      <c r="H31" s="40"/>
      <c r="I31" s="24"/>
      <c r="J31" s="5"/>
    </row>
    <row r="32" spans="1:10" ht="13.05" customHeight="1">
      <c r="A32" s="18" t="s">
        <v>322</v>
      </c>
      <c r="B32" s="19" t="s">
        <v>323</v>
      </c>
      <c r="C32" s="15" t="s">
        <v>324</v>
      </c>
      <c r="D32" s="15" t="s">
        <v>325</v>
      </c>
      <c r="E32" s="20">
        <v>16800</v>
      </c>
      <c r="F32" s="21">
        <v>629.44560000000001</v>
      </c>
      <c r="G32" s="22">
        <v>6.7999999999999996E-3</v>
      </c>
      <c r="H32" s="40"/>
      <c r="I32" s="24"/>
      <c r="J32" s="5"/>
    </row>
    <row r="33" spans="1:10" ht="13.05" customHeight="1">
      <c r="A33" s="18" t="s">
        <v>865</v>
      </c>
      <c r="B33" s="19" t="s">
        <v>866</v>
      </c>
      <c r="C33" s="15" t="s">
        <v>867</v>
      </c>
      <c r="D33" s="15" t="s">
        <v>333</v>
      </c>
      <c r="E33" s="20">
        <v>451200</v>
      </c>
      <c r="F33" s="21">
        <v>617.46720000000005</v>
      </c>
      <c r="G33" s="22">
        <v>6.7000000000000002E-3</v>
      </c>
      <c r="H33" s="40"/>
      <c r="I33" s="24"/>
      <c r="J33" s="5"/>
    </row>
    <row r="34" spans="1:10" ht="13.05" customHeight="1">
      <c r="A34" s="18" t="s">
        <v>871</v>
      </c>
      <c r="B34" s="19" t="s">
        <v>872</v>
      </c>
      <c r="C34" s="15" t="s">
        <v>873</v>
      </c>
      <c r="D34" s="15" t="s">
        <v>257</v>
      </c>
      <c r="E34" s="20">
        <v>180975</v>
      </c>
      <c r="F34" s="21">
        <v>590.61189999999999</v>
      </c>
      <c r="G34" s="22">
        <v>6.4000000000000003E-3</v>
      </c>
      <c r="H34" s="40"/>
      <c r="I34" s="24"/>
      <c r="J34" s="5"/>
    </row>
    <row r="35" spans="1:10" ht="13.05" customHeight="1">
      <c r="A35" s="18" t="s">
        <v>1214</v>
      </c>
      <c r="B35" s="19" t="s">
        <v>1215</v>
      </c>
      <c r="C35" s="15" t="s">
        <v>1216</v>
      </c>
      <c r="D35" s="15" t="s">
        <v>314</v>
      </c>
      <c r="E35" s="20">
        <v>76200</v>
      </c>
      <c r="F35" s="21">
        <v>574.09079999999994</v>
      </c>
      <c r="G35" s="22">
        <v>6.1999999999999998E-3</v>
      </c>
      <c r="H35" s="40"/>
      <c r="I35" s="24"/>
      <c r="J35" s="5"/>
    </row>
    <row r="36" spans="1:10" ht="13.05" customHeight="1">
      <c r="A36" s="18" t="s">
        <v>568</v>
      </c>
      <c r="B36" s="19" t="s">
        <v>569</v>
      </c>
      <c r="C36" s="15" t="s">
        <v>570</v>
      </c>
      <c r="D36" s="15" t="s">
        <v>257</v>
      </c>
      <c r="E36" s="20">
        <v>418500</v>
      </c>
      <c r="F36" s="21">
        <v>573.30319999999995</v>
      </c>
      <c r="G36" s="22">
        <v>6.1999999999999998E-3</v>
      </c>
      <c r="H36" s="40"/>
      <c r="I36" s="24"/>
      <c r="J36" s="5"/>
    </row>
    <row r="37" spans="1:10" ht="13.05" customHeight="1">
      <c r="A37" s="18" t="s">
        <v>318</v>
      </c>
      <c r="B37" s="19" t="s">
        <v>319</v>
      </c>
      <c r="C37" s="15" t="s">
        <v>320</v>
      </c>
      <c r="D37" s="15" t="s">
        <v>321</v>
      </c>
      <c r="E37" s="20">
        <v>167000</v>
      </c>
      <c r="F37" s="21">
        <v>562.70650000000001</v>
      </c>
      <c r="G37" s="22">
        <v>6.1000000000000004E-3</v>
      </c>
      <c r="H37" s="40"/>
      <c r="I37" s="24"/>
      <c r="J37" s="5"/>
    </row>
    <row r="38" spans="1:10" ht="13.05" customHeight="1">
      <c r="A38" s="18" t="s">
        <v>495</v>
      </c>
      <c r="B38" s="19" t="s">
        <v>496</v>
      </c>
      <c r="C38" s="15" t="s">
        <v>497</v>
      </c>
      <c r="D38" s="15" t="s">
        <v>257</v>
      </c>
      <c r="E38" s="20">
        <v>220000</v>
      </c>
      <c r="F38" s="21">
        <v>520.54200000000003</v>
      </c>
      <c r="G38" s="22">
        <v>5.5999999999999999E-3</v>
      </c>
      <c r="H38" s="40"/>
      <c r="I38" s="24"/>
      <c r="J38" s="5"/>
    </row>
    <row r="39" spans="1:10" ht="13.05" customHeight="1">
      <c r="A39" s="18" t="s">
        <v>334</v>
      </c>
      <c r="B39" s="19" t="s">
        <v>335</v>
      </c>
      <c r="C39" s="15" t="s">
        <v>336</v>
      </c>
      <c r="D39" s="15" t="s">
        <v>337</v>
      </c>
      <c r="E39" s="20">
        <v>4308</v>
      </c>
      <c r="F39" s="21">
        <v>514.67679999999996</v>
      </c>
      <c r="G39" s="22">
        <v>5.5999999999999999E-3</v>
      </c>
      <c r="H39" s="40"/>
      <c r="I39" s="24"/>
      <c r="J39" s="5"/>
    </row>
    <row r="40" spans="1:10" ht="13.05" customHeight="1">
      <c r="A40" s="18" t="s">
        <v>476</v>
      </c>
      <c r="B40" s="19" t="s">
        <v>477</v>
      </c>
      <c r="C40" s="15" t="s">
        <v>478</v>
      </c>
      <c r="D40" s="15" t="s">
        <v>325</v>
      </c>
      <c r="E40" s="20">
        <v>3300</v>
      </c>
      <c r="F40" s="21">
        <v>511.30200000000002</v>
      </c>
      <c r="G40" s="22">
        <v>5.4999999999999997E-3</v>
      </c>
      <c r="H40" s="40"/>
      <c r="I40" s="24"/>
      <c r="J40" s="5"/>
    </row>
    <row r="41" spans="1:10" ht="13.05" customHeight="1">
      <c r="A41" s="18" t="s">
        <v>588</v>
      </c>
      <c r="B41" s="19" t="s">
        <v>589</v>
      </c>
      <c r="C41" s="15" t="s">
        <v>590</v>
      </c>
      <c r="D41" s="15" t="s">
        <v>257</v>
      </c>
      <c r="E41" s="20">
        <v>416000</v>
      </c>
      <c r="F41" s="21">
        <v>511.22239999999999</v>
      </c>
      <c r="G41" s="22">
        <v>5.4999999999999997E-3</v>
      </c>
      <c r="H41" s="40"/>
      <c r="I41" s="24"/>
      <c r="J41" s="5"/>
    </row>
    <row r="42" spans="1:10" ht="13.05" customHeight="1">
      <c r="A42" s="18" t="s">
        <v>1034</v>
      </c>
      <c r="B42" s="19" t="s">
        <v>1035</v>
      </c>
      <c r="C42" s="15" t="s">
        <v>1036</v>
      </c>
      <c r="D42" s="15" t="s">
        <v>501</v>
      </c>
      <c r="E42" s="20">
        <v>49994</v>
      </c>
      <c r="F42" s="21">
        <v>482.81709999999998</v>
      </c>
      <c r="G42" s="22">
        <v>5.1999999999999998E-3</v>
      </c>
      <c r="H42" s="40"/>
      <c r="I42" s="24"/>
      <c r="J42" s="5"/>
    </row>
    <row r="43" spans="1:10" ht="13.05" customHeight="1">
      <c r="A43" s="18" t="s">
        <v>277</v>
      </c>
      <c r="B43" s="19" t="s">
        <v>278</v>
      </c>
      <c r="C43" s="15" t="s">
        <v>279</v>
      </c>
      <c r="D43" s="15" t="s">
        <v>280</v>
      </c>
      <c r="E43" s="20">
        <v>110000</v>
      </c>
      <c r="F43" s="21">
        <v>462.38499999999999</v>
      </c>
      <c r="G43" s="22">
        <v>5.0000000000000001E-3</v>
      </c>
      <c r="H43" s="40"/>
      <c r="I43" s="24"/>
      <c r="J43" s="5"/>
    </row>
    <row r="44" spans="1:10" ht="13.05" customHeight="1">
      <c r="A44" s="18" t="s">
        <v>439</v>
      </c>
      <c r="B44" s="19" t="s">
        <v>440</v>
      </c>
      <c r="C44" s="15" t="s">
        <v>441</v>
      </c>
      <c r="D44" s="15" t="s">
        <v>296</v>
      </c>
      <c r="E44" s="20">
        <v>7900</v>
      </c>
      <c r="F44" s="21">
        <v>437.976</v>
      </c>
      <c r="G44" s="22">
        <v>4.7000000000000002E-3</v>
      </c>
      <c r="H44" s="40"/>
      <c r="I44" s="24"/>
      <c r="J44" s="5"/>
    </row>
    <row r="45" spans="1:10" ht="13.05" customHeight="1">
      <c r="A45" s="18" t="s">
        <v>3581</v>
      </c>
      <c r="B45" s="19" t="s">
        <v>3582</v>
      </c>
      <c r="C45" s="15" t="s">
        <v>3583</v>
      </c>
      <c r="D45" s="15" t="s">
        <v>415</v>
      </c>
      <c r="E45" s="20">
        <v>56456</v>
      </c>
      <c r="F45" s="21">
        <v>421.81099999999998</v>
      </c>
      <c r="G45" s="22">
        <v>4.5999999999999999E-3</v>
      </c>
      <c r="H45" s="40"/>
      <c r="I45" s="24"/>
      <c r="J45" s="5"/>
    </row>
    <row r="46" spans="1:10" ht="13.05" customHeight="1">
      <c r="A46" s="18" t="s">
        <v>392</v>
      </c>
      <c r="B46" s="19" t="s">
        <v>393</v>
      </c>
      <c r="C46" s="15" t="s">
        <v>394</v>
      </c>
      <c r="D46" s="15" t="s">
        <v>272</v>
      </c>
      <c r="E46" s="20">
        <v>27500</v>
      </c>
      <c r="F46" s="21">
        <v>391.71</v>
      </c>
      <c r="G46" s="22">
        <v>4.1999999999999997E-3</v>
      </c>
      <c r="H46" s="40"/>
      <c r="I46" s="24"/>
      <c r="J46" s="5"/>
    </row>
    <row r="47" spans="1:10" ht="13.05" customHeight="1">
      <c r="A47" s="18" t="s">
        <v>406</v>
      </c>
      <c r="B47" s="19" t="s">
        <v>407</v>
      </c>
      <c r="C47" s="15" t="s">
        <v>408</v>
      </c>
      <c r="D47" s="15" t="s">
        <v>314</v>
      </c>
      <c r="E47" s="20">
        <v>5700</v>
      </c>
      <c r="F47" s="21">
        <v>384.06599999999997</v>
      </c>
      <c r="G47" s="22">
        <v>4.1999999999999997E-3</v>
      </c>
      <c r="H47" s="40"/>
      <c r="I47" s="24"/>
      <c r="J47" s="5"/>
    </row>
    <row r="48" spans="1:10" ht="13.05" customHeight="1">
      <c r="A48" s="18" t="s">
        <v>311</v>
      </c>
      <c r="B48" s="19" t="s">
        <v>312</v>
      </c>
      <c r="C48" s="15" t="s">
        <v>313</v>
      </c>
      <c r="D48" s="15" t="s">
        <v>314</v>
      </c>
      <c r="E48" s="20">
        <v>22450</v>
      </c>
      <c r="F48" s="21">
        <v>379.56220000000002</v>
      </c>
      <c r="G48" s="22">
        <v>4.1000000000000003E-3</v>
      </c>
      <c r="H48" s="40"/>
      <c r="I48" s="24"/>
      <c r="J48" s="5"/>
    </row>
    <row r="49" spans="1:10" ht="13.05" customHeight="1">
      <c r="A49" s="18" t="s">
        <v>591</v>
      </c>
      <c r="B49" s="19" t="s">
        <v>592</v>
      </c>
      <c r="C49" s="15" t="s">
        <v>593</v>
      </c>
      <c r="D49" s="15" t="s">
        <v>475</v>
      </c>
      <c r="E49" s="20">
        <v>26200</v>
      </c>
      <c r="F49" s="21">
        <v>375.02679999999998</v>
      </c>
      <c r="G49" s="22">
        <v>4.1000000000000003E-3</v>
      </c>
      <c r="H49" s="40"/>
      <c r="I49" s="24"/>
      <c r="J49" s="5"/>
    </row>
    <row r="50" spans="1:10" ht="13.05" customHeight="1">
      <c r="A50" s="18" t="s">
        <v>582</v>
      </c>
      <c r="B50" s="19" t="s">
        <v>583</v>
      </c>
      <c r="C50" s="15" t="s">
        <v>584</v>
      </c>
      <c r="D50" s="15" t="s">
        <v>257</v>
      </c>
      <c r="E50" s="20">
        <v>1555000</v>
      </c>
      <c r="F50" s="21">
        <v>353.60700000000003</v>
      </c>
      <c r="G50" s="22">
        <v>3.8E-3</v>
      </c>
      <c r="H50" s="40"/>
      <c r="I50" s="24"/>
      <c r="J50" s="5"/>
    </row>
    <row r="51" spans="1:10" ht="13.05" customHeight="1">
      <c r="A51" s="18" t="s">
        <v>574</v>
      </c>
      <c r="B51" s="19" t="s">
        <v>575</v>
      </c>
      <c r="C51" s="15" t="s">
        <v>576</v>
      </c>
      <c r="D51" s="15" t="s">
        <v>577</v>
      </c>
      <c r="E51" s="20">
        <v>31180</v>
      </c>
      <c r="F51" s="21">
        <v>348.77949999999998</v>
      </c>
      <c r="G51" s="22">
        <v>3.8E-3</v>
      </c>
      <c r="H51" s="40"/>
      <c r="I51" s="24"/>
      <c r="J51" s="5"/>
    </row>
    <row r="52" spans="1:10" ht="13.05" customHeight="1">
      <c r="A52" s="18" t="s">
        <v>2435</v>
      </c>
      <c r="B52" s="19" t="s">
        <v>2436</v>
      </c>
      <c r="C52" s="15" t="s">
        <v>2437</v>
      </c>
      <c r="D52" s="15" t="s">
        <v>567</v>
      </c>
      <c r="E52" s="20">
        <v>22500</v>
      </c>
      <c r="F52" s="21">
        <v>340.58249999999998</v>
      </c>
      <c r="G52" s="22">
        <v>3.7000000000000002E-3</v>
      </c>
      <c r="H52" s="40"/>
      <c r="I52" s="24"/>
      <c r="J52" s="5"/>
    </row>
    <row r="53" spans="1:10" ht="13.05" customHeight="1">
      <c r="A53" s="18" t="s">
        <v>2429</v>
      </c>
      <c r="B53" s="19" t="s">
        <v>2430</v>
      </c>
      <c r="C53" s="15" t="s">
        <v>2431</v>
      </c>
      <c r="D53" s="15" t="s">
        <v>364</v>
      </c>
      <c r="E53" s="20">
        <v>275010</v>
      </c>
      <c r="F53" s="21">
        <v>329.077</v>
      </c>
      <c r="G53" s="22">
        <v>3.5999999999999999E-3</v>
      </c>
      <c r="H53" s="40"/>
      <c r="I53" s="24"/>
      <c r="J53" s="5"/>
    </row>
    <row r="54" spans="1:10" ht="13.05" customHeight="1">
      <c r="A54" s="18" t="s">
        <v>1211</v>
      </c>
      <c r="B54" s="19" t="s">
        <v>1212</v>
      </c>
      <c r="C54" s="15" t="s">
        <v>1213</v>
      </c>
      <c r="D54" s="15" t="s">
        <v>314</v>
      </c>
      <c r="E54" s="20">
        <v>17113</v>
      </c>
      <c r="F54" s="21">
        <v>317.2921</v>
      </c>
      <c r="G54" s="22">
        <v>3.3999999999999998E-3</v>
      </c>
      <c r="H54" s="40"/>
      <c r="I54" s="24"/>
      <c r="J54" s="5"/>
    </row>
    <row r="55" spans="1:10" ht="13.05" customHeight="1">
      <c r="A55" s="18" t="s">
        <v>898</v>
      </c>
      <c r="B55" s="19" t="s">
        <v>899</v>
      </c>
      <c r="C55" s="15" t="s">
        <v>900</v>
      </c>
      <c r="D55" s="15" t="s">
        <v>325</v>
      </c>
      <c r="E55" s="20">
        <v>108000</v>
      </c>
      <c r="F55" s="21">
        <v>305.31599999999997</v>
      </c>
      <c r="G55" s="22">
        <v>3.3E-3</v>
      </c>
      <c r="H55" s="40"/>
      <c r="I55" s="24"/>
      <c r="J55" s="5"/>
    </row>
    <row r="56" spans="1:10" ht="13.05" customHeight="1">
      <c r="A56" s="18" t="s">
        <v>700</v>
      </c>
      <c r="B56" s="19" t="s">
        <v>701</v>
      </c>
      <c r="C56" s="15" t="s">
        <v>702</v>
      </c>
      <c r="D56" s="15" t="s">
        <v>257</v>
      </c>
      <c r="E56" s="20">
        <v>34821</v>
      </c>
      <c r="F56" s="21">
        <v>299.00790000000001</v>
      </c>
      <c r="G56" s="22">
        <v>3.2000000000000002E-3</v>
      </c>
      <c r="H56" s="40"/>
      <c r="I56" s="24"/>
      <c r="J56" s="5"/>
    </row>
    <row r="57" spans="1:10" ht="13.05" customHeight="1">
      <c r="A57" s="18" t="s">
        <v>786</v>
      </c>
      <c r="B57" s="19" t="s">
        <v>787</v>
      </c>
      <c r="C57" s="15" t="s">
        <v>788</v>
      </c>
      <c r="D57" s="15" t="s">
        <v>268</v>
      </c>
      <c r="E57" s="20">
        <v>3225305</v>
      </c>
      <c r="F57" s="21">
        <v>281.56909999999999</v>
      </c>
      <c r="G57" s="22">
        <v>3.0000000000000001E-3</v>
      </c>
      <c r="H57" s="40"/>
      <c r="I57" s="24"/>
      <c r="J57" s="5"/>
    </row>
    <row r="58" spans="1:10" ht="13.05" customHeight="1">
      <c r="A58" s="18" t="s">
        <v>995</v>
      </c>
      <c r="B58" s="19" t="s">
        <v>996</v>
      </c>
      <c r="C58" s="15" t="s">
        <v>997</v>
      </c>
      <c r="D58" s="15" t="s">
        <v>314</v>
      </c>
      <c r="E58" s="20">
        <v>1705</v>
      </c>
      <c r="F58" s="21">
        <v>280.86470000000003</v>
      </c>
      <c r="G58" s="22">
        <v>3.0000000000000001E-3</v>
      </c>
      <c r="H58" s="40"/>
      <c r="I58" s="24"/>
      <c r="J58" s="5"/>
    </row>
    <row r="59" spans="1:10" ht="13.05" customHeight="1">
      <c r="A59" s="18" t="s">
        <v>338</v>
      </c>
      <c r="B59" s="19" t="s">
        <v>339</v>
      </c>
      <c r="C59" s="15" t="s">
        <v>340</v>
      </c>
      <c r="D59" s="15" t="s">
        <v>321</v>
      </c>
      <c r="E59" s="20">
        <v>96100</v>
      </c>
      <c r="F59" s="21">
        <v>276.91219999999998</v>
      </c>
      <c r="G59" s="22">
        <v>3.0000000000000001E-3</v>
      </c>
      <c r="H59" s="40"/>
      <c r="I59" s="24"/>
      <c r="J59" s="5"/>
    </row>
    <row r="60" spans="1:10" ht="13.05" customHeight="1">
      <c r="A60" s="18" t="s">
        <v>287</v>
      </c>
      <c r="B60" s="19" t="s">
        <v>288</v>
      </c>
      <c r="C60" s="15" t="s">
        <v>289</v>
      </c>
      <c r="D60" s="15" t="s">
        <v>272</v>
      </c>
      <c r="E60" s="20">
        <v>8618</v>
      </c>
      <c r="F60" s="21">
        <v>263.53840000000002</v>
      </c>
      <c r="G60" s="22">
        <v>2.8999999999999998E-3</v>
      </c>
      <c r="H60" s="40"/>
      <c r="I60" s="24"/>
      <c r="J60" s="5"/>
    </row>
    <row r="61" spans="1:10" ht="13.05" customHeight="1">
      <c r="A61" s="18" t="s">
        <v>585</v>
      </c>
      <c r="B61" s="19" t="s">
        <v>586</v>
      </c>
      <c r="C61" s="15" t="s">
        <v>587</v>
      </c>
      <c r="D61" s="15" t="s">
        <v>581</v>
      </c>
      <c r="E61" s="20">
        <v>8400</v>
      </c>
      <c r="F61" s="21">
        <v>246.16200000000001</v>
      </c>
      <c r="G61" s="22">
        <v>2.7000000000000001E-3</v>
      </c>
      <c r="H61" s="40"/>
      <c r="I61" s="24"/>
      <c r="J61" s="5"/>
    </row>
    <row r="62" spans="1:10" ht="13.05" customHeight="1">
      <c r="A62" s="18" t="s">
        <v>1370</v>
      </c>
      <c r="B62" s="19" t="s">
        <v>1371</v>
      </c>
      <c r="C62" s="15" t="s">
        <v>1372</v>
      </c>
      <c r="D62" s="15" t="s">
        <v>846</v>
      </c>
      <c r="E62" s="20">
        <v>27414</v>
      </c>
      <c r="F62" s="21">
        <v>236.857</v>
      </c>
      <c r="G62" s="22">
        <v>2.5999999999999999E-3</v>
      </c>
      <c r="H62" s="40"/>
      <c r="I62" s="24"/>
      <c r="J62" s="5"/>
    </row>
    <row r="63" spans="1:10" ht="13.05" customHeight="1">
      <c r="A63" s="18" t="s">
        <v>416</v>
      </c>
      <c r="B63" s="19" t="s">
        <v>417</v>
      </c>
      <c r="C63" s="15" t="s">
        <v>418</v>
      </c>
      <c r="D63" s="15" t="s">
        <v>314</v>
      </c>
      <c r="E63" s="20">
        <v>15125</v>
      </c>
      <c r="F63" s="21">
        <v>227.07159999999999</v>
      </c>
      <c r="G63" s="22">
        <v>2.5000000000000001E-3</v>
      </c>
      <c r="H63" s="40"/>
      <c r="I63" s="24"/>
      <c r="J63" s="5"/>
    </row>
    <row r="64" spans="1:10" ht="13.05" customHeight="1">
      <c r="A64" s="18" t="s">
        <v>378</v>
      </c>
      <c r="B64" s="19" t="s">
        <v>379</v>
      </c>
      <c r="C64" s="15" t="s">
        <v>380</v>
      </c>
      <c r="D64" s="15" t="s">
        <v>381</v>
      </c>
      <c r="E64" s="20">
        <v>81000</v>
      </c>
      <c r="F64" s="21">
        <v>206.84970000000001</v>
      </c>
      <c r="G64" s="22">
        <v>2.2000000000000001E-3</v>
      </c>
      <c r="H64" s="40"/>
      <c r="I64" s="24"/>
      <c r="J64" s="5"/>
    </row>
    <row r="65" spans="1:10" ht="13.05" customHeight="1">
      <c r="A65" s="18" t="s">
        <v>604</v>
      </c>
      <c r="B65" s="19" t="s">
        <v>605</v>
      </c>
      <c r="C65" s="15" t="s">
        <v>606</v>
      </c>
      <c r="D65" s="15" t="s">
        <v>333</v>
      </c>
      <c r="E65" s="20">
        <v>19375</v>
      </c>
      <c r="F65" s="21">
        <v>206.6925</v>
      </c>
      <c r="G65" s="22">
        <v>2.2000000000000001E-3</v>
      </c>
      <c r="H65" s="40"/>
      <c r="I65" s="24"/>
      <c r="J65" s="5"/>
    </row>
    <row r="66" spans="1:10" ht="13.05" customHeight="1">
      <c r="A66" s="18" t="s">
        <v>426</v>
      </c>
      <c r="B66" s="19" t="s">
        <v>427</v>
      </c>
      <c r="C66" s="15" t="s">
        <v>428</v>
      </c>
      <c r="D66" s="15" t="s">
        <v>405</v>
      </c>
      <c r="E66" s="20">
        <v>28000</v>
      </c>
      <c r="F66" s="21">
        <v>204.91800000000001</v>
      </c>
      <c r="G66" s="22">
        <v>2.2000000000000001E-3</v>
      </c>
      <c r="H66" s="40"/>
      <c r="I66" s="24"/>
      <c r="J66" s="5"/>
    </row>
    <row r="67" spans="1:10" ht="13.05" customHeight="1">
      <c r="A67" s="18" t="s">
        <v>676</v>
      </c>
      <c r="B67" s="19" t="s">
        <v>677</v>
      </c>
      <c r="C67" s="15" t="s">
        <v>678</v>
      </c>
      <c r="D67" s="15" t="s">
        <v>314</v>
      </c>
      <c r="E67" s="20">
        <v>17600</v>
      </c>
      <c r="F67" s="21">
        <v>200.44640000000001</v>
      </c>
      <c r="G67" s="22">
        <v>2.2000000000000001E-3</v>
      </c>
      <c r="H67" s="40"/>
      <c r="I67" s="24"/>
      <c r="J67" s="5"/>
    </row>
    <row r="68" spans="1:10" ht="13.05" customHeight="1">
      <c r="A68" s="18" t="s">
        <v>488</v>
      </c>
      <c r="B68" s="19" t="s">
        <v>489</v>
      </c>
      <c r="C68" s="15" t="s">
        <v>490</v>
      </c>
      <c r="D68" s="15" t="s">
        <v>272</v>
      </c>
      <c r="E68" s="20">
        <v>10935</v>
      </c>
      <c r="F68" s="21">
        <v>194.43520000000001</v>
      </c>
      <c r="G68" s="22">
        <v>2.0999999999999999E-3</v>
      </c>
      <c r="H68" s="40"/>
      <c r="I68" s="24"/>
      <c r="J68" s="5"/>
    </row>
    <row r="69" spans="1:10" ht="13.05" customHeight="1">
      <c r="A69" s="18" t="s">
        <v>828</v>
      </c>
      <c r="B69" s="19" t="s">
        <v>829</v>
      </c>
      <c r="C69" s="15" t="s">
        <v>830</v>
      </c>
      <c r="D69" s="15" t="s">
        <v>567</v>
      </c>
      <c r="E69" s="20">
        <v>39984</v>
      </c>
      <c r="F69" s="21">
        <v>189.02440000000001</v>
      </c>
      <c r="G69" s="22">
        <v>2E-3</v>
      </c>
      <c r="H69" s="40"/>
      <c r="I69" s="24"/>
      <c r="J69" s="5"/>
    </row>
    <row r="70" spans="1:10" ht="13.05" customHeight="1">
      <c r="A70" s="18" t="s">
        <v>1052</v>
      </c>
      <c r="B70" s="19" t="s">
        <v>1053</v>
      </c>
      <c r="C70" s="15" t="s">
        <v>1054</v>
      </c>
      <c r="D70" s="15" t="s">
        <v>445</v>
      </c>
      <c r="E70" s="20">
        <v>17090</v>
      </c>
      <c r="F70" s="21">
        <v>186.8279</v>
      </c>
      <c r="G70" s="22">
        <v>2E-3</v>
      </c>
      <c r="H70" s="40"/>
      <c r="I70" s="24"/>
      <c r="J70" s="5"/>
    </row>
    <row r="71" spans="1:10" ht="13.05" customHeight="1">
      <c r="A71" s="18" t="s">
        <v>358</v>
      </c>
      <c r="B71" s="19" t="s">
        <v>359</v>
      </c>
      <c r="C71" s="15" t="s">
        <v>360</v>
      </c>
      <c r="D71" s="15" t="s">
        <v>337</v>
      </c>
      <c r="E71" s="20">
        <v>6250</v>
      </c>
      <c r="F71" s="21">
        <v>180.7313</v>
      </c>
      <c r="G71" s="22">
        <v>2E-3</v>
      </c>
      <c r="H71" s="40"/>
      <c r="I71" s="24"/>
      <c r="J71" s="5"/>
    </row>
    <row r="72" spans="1:10" ht="13.05" customHeight="1">
      <c r="A72" s="18" t="s">
        <v>1352</v>
      </c>
      <c r="B72" s="19" t="s">
        <v>1353</v>
      </c>
      <c r="C72" s="15" t="s">
        <v>1354</v>
      </c>
      <c r="D72" s="15" t="s">
        <v>567</v>
      </c>
      <c r="E72" s="20">
        <v>2559</v>
      </c>
      <c r="F72" s="21">
        <v>170.94120000000001</v>
      </c>
      <c r="G72" s="22">
        <v>1.9E-3</v>
      </c>
      <c r="H72" s="40"/>
      <c r="I72" s="24"/>
      <c r="J72" s="5"/>
    </row>
    <row r="73" spans="1:10" ht="13.05" customHeight="1">
      <c r="A73" s="18" t="s">
        <v>721</v>
      </c>
      <c r="B73" s="19" t="s">
        <v>722</v>
      </c>
      <c r="C73" s="15" t="s">
        <v>723</v>
      </c>
      <c r="D73" s="15" t="s">
        <v>314</v>
      </c>
      <c r="E73" s="20">
        <v>9000</v>
      </c>
      <c r="F73" s="21">
        <v>170.208</v>
      </c>
      <c r="G73" s="22">
        <v>1.8E-3</v>
      </c>
      <c r="H73" s="40"/>
      <c r="I73" s="24"/>
      <c r="J73" s="5"/>
    </row>
    <row r="74" spans="1:10" ht="13.05" customHeight="1">
      <c r="A74" s="18" t="s">
        <v>446</v>
      </c>
      <c r="B74" s="19" t="s">
        <v>447</v>
      </c>
      <c r="C74" s="15" t="s">
        <v>448</v>
      </c>
      <c r="D74" s="15" t="s">
        <v>300</v>
      </c>
      <c r="E74" s="20">
        <v>9900</v>
      </c>
      <c r="F74" s="21">
        <v>167.98320000000001</v>
      </c>
      <c r="G74" s="22">
        <v>1.8E-3</v>
      </c>
      <c r="H74" s="40"/>
      <c r="I74" s="24"/>
      <c r="J74" s="5"/>
    </row>
    <row r="75" spans="1:10" ht="13.05" customHeight="1">
      <c r="A75" s="18" t="s">
        <v>2438</v>
      </c>
      <c r="B75" s="19" t="s">
        <v>2439</v>
      </c>
      <c r="C75" s="15" t="s">
        <v>2440</v>
      </c>
      <c r="D75" s="15" t="s">
        <v>445</v>
      </c>
      <c r="E75" s="20">
        <v>2220</v>
      </c>
      <c r="F75" s="21">
        <v>164.35769999999999</v>
      </c>
      <c r="G75" s="22">
        <v>1.8E-3</v>
      </c>
      <c r="H75" s="40"/>
      <c r="I75" s="24"/>
      <c r="J75" s="5"/>
    </row>
    <row r="76" spans="1:10" ht="13.05" customHeight="1">
      <c r="A76" s="18" t="s">
        <v>578</v>
      </c>
      <c r="B76" s="19" t="s">
        <v>579</v>
      </c>
      <c r="C76" s="15" t="s">
        <v>580</v>
      </c>
      <c r="D76" s="15" t="s">
        <v>581</v>
      </c>
      <c r="E76" s="20">
        <v>11000</v>
      </c>
      <c r="F76" s="21">
        <v>158.90600000000001</v>
      </c>
      <c r="G76" s="22">
        <v>1.6999999999999999E-3</v>
      </c>
      <c r="H76" s="40"/>
      <c r="I76" s="24"/>
      <c r="J76" s="5"/>
    </row>
    <row r="77" spans="1:10" ht="13.05" customHeight="1">
      <c r="A77" s="18" t="s">
        <v>989</v>
      </c>
      <c r="B77" s="19" t="s">
        <v>990</v>
      </c>
      <c r="C77" s="15" t="s">
        <v>991</v>
      </c>
      <c r="D77" s="15" t="s">
        <v>541</v>
      </c>
      <c r="E77" s="20">
        <v>15000</v>
      </c>
      <c r="F77" s="21">
        <v>155.655</v>
      </c>
      <c r="G77" s="22">
        <v>1.6999999999999999E-3</v>
      </c>
      <c r="H77" s="40"/>
      <c r="I77" s="24"/>
      <c r="J77" s="5"/>
    </row>
    <row r="78" spans="1:10" ht="13.05" customHeight="1">
      <c r="A78" s="18" t="s">
        <v>365</v>
      </c>
      <c r="B78" s="19" t="s">
        <v>366</v>
      </c>
      <c r="C78" s="15" t="s">
        <v>367</v>
      </c>
      <c r="D78" s="15" t="s">
        <v>300</v>
      </c>
      <c r="E78" s="20">
        <v>19800</v>
      </c>
      <c r="F78" s="21">
        <v>148.28219999999999</v>
      </c>
      <c r="G78" s="22">
        <v>1.6000000000000001E-3</v>
      </c>
      <c r="H78" s="40"/>
      <c r="I78" s="24"/>
      <c r="J78" s="5"/>
    </row>
    <row r="79" spans="1:10" ht="13.05" customHeight="1">
      <c r="A79" s="18" t="s">
        <v>3584</v>
      </c>
      <c r="B79" s="19" t="s">
        <v>3585</v>
      </c>
      <c r="C79" s="15" t="s">
        <v>3586</v>
      </c>
      <c r="D79" s="15" t="s">
        <v>970</v>
      </c>
      <c r="E79" s="20">
        <v>8360</v>
      </c>
      <c r="F79" s="21">
        <v>140.3811</v>
      </c>
      <c r="G79" s="22">
        <v>1.5E-3</v>
      </c>
      <c r="H79" s="40"/>
      <c r="I79" s="24"/>
      <c r="J79" s="5"/>
    </row>
    <row r="80" spans="1:10" ht="13.05" customHeight="1">
      <c r="A80" s="18" t="s">
        <v>458</v>
      </c>
      <c r="B80" s="19" t="s">
        <v>459</v>
      </c>
      <c r="C80" s="15" t="s">
        <v>460</v>
      </c>
      <c r="D80" s="15" t="s">
        <v>321</v>
      </c>
      <c r="E80" s="20">
        <v>34176</v>
      </c>
      <c r="F80" s="21">
        <v>138.37860000000001</v>
      </c>
      <c r="G80" s="22">
        <v>1.5E-3</v>
      </c>
      <c r="H80" s="40"/>
      <c r="I80" s="24"/>
      <c r="J80" s="5"/>
    </row>
    <row r="81" spans="1:10" ht="13.05" customHeight="1">
      <c r="A81" s="18" t="s">
        <v>349</v>
      </c>
      <c r="B81" s="19" t="s">
        <v>350</v>
      </c>
      <c r="C81" s="15" t="s">
        <v>351</v>
      </c>
      <c r="D81" s="15" t="s">
        <v>300</v>
      </c>
      <c r="E81" s="20">
        <v>5000</v>
      </c>
      <c r="F81" s="21">
        <v>104.41500000000001</v>
      </c>
      <c r="G81" s="22">
        <v>1.1000000000000001E-3</v>
      </c>
      <c r="H81" s="40"/>
      <c r="I81" s="24"/>
      <c r="J81" s="5"/>
    </row>
    <row r="82" spans="1:10" ht="13.05" customHeight="1">
      <c r="A82" s="18" t="s">
        <v>667</v>
      </c>
      <c r="B82" s="19" t="s">
        <v>668</v>
      </c>
      <c r="C82" s="15" t="s">
        <v>669</v>
      </c>
      <c r="D82" s="15" t="s">
        <v>501</v>
      </c>
      <c r="E82" s="20">
        <v>5600</v>
      </c>
      <c r="F82" s="21">
        <v>100.324</v>
      </c>
      <c r="G82" s="22">
        <v>1.1000000000000001E-3</v>
      </c>
      <c r="H82" s="40"/>
      <c r="I82" s="24"/>
      <c r="J82" s="5"/>
    </row>
    <row r="83" spans="1:10" ht="13.05" customHeight="1">
      <c r="A83" s="18" t="s">
        <v>1764</v>
      </c>
      <c r="B83" s="19" t="s">
        <v>1765</v>
      </c>
      <c r="C83" s="15" t="s">
        <v>1766</v>
      </c>
      <c r="D83" s="15" t="s">
        <v>314</v>
      </c>
      <c r="E83" s="20">
        <v>6000</v>
      </c>
      <c r="F83" s="21">
        <v>79.134</v>
      </c>
      <c r="G83" s="22">
        <v>8.9999999999999998E-4</v>
      </c>
      <c r="H83" s="40"/>
      <c r="I83" s="24"/>
      <c r="J83" s="5"/>
    </row>
    <row r="84" spans="1:10" ht="13.05" customHeight="1">
      <c r="A84" s="18" t="s">
        <v>907</v>
      </c>
      <c r="B84" s="19" t="s">
        <v>908</v>
      </c>
      <c r="C84" s="15" t="s">
        <v>909</v>
      </c>
      <c r="D84" s="15" t="s">
        <v>415</v>
      </c>
      <c r="E84" s="20">
        <v>10836</v>
      </c>
      <c r="F84" s="21">
        <v>78.132999999999996</v>
      </c>
      <c r="G84" s="22">
        <v>8.0000000000000004E-4</v>
      </c>
      <c r="H84" s="40"/>
      <c r="I84" s="24"/>
      <c r="J84" s="5"/>
    </row>
    <row r="85" spans="1:10" ht="13.05" customHeight="1">
      <c r="A85" s="18" t="s">
        <v>561</v>
      </c>
      <c r="B85" s="19" t="s">
        <v>562</v>
      </c>
      <c r="C85" s="15" t="s">
        <v>563</v>
      </c>
      <c r="D85" s="15" t="s">
        <v>300</v>
      </c>
      <c r="E85" s="20">
        <v>20400</v>
      </c>
      <c r="F85" s="21">
        <v>76.469399999999993</v>
      </c>
      <c r="G85" s="22">
        <v>8.0000000000000004E-4</v>
      </c>
      <c r="H85" s="40"/>
      <c r="I85" s="24"/>
      <c r="J85" s="5"/>
    </row>
    <row r="86" spans="1:10" ht="13.05" customHeight="1">
      <c r="A86" s="18" t="s">
        <v>822</v>
      </c>
      <c r="B86" s="19" t="s">
        <v>823</v>
      </c>
      <c r="C86" s="15" t="s">
        <v>824</v>
      </c>
      <c r="D86" s="15" t="s">
        <v>300</v>
      </c>
      <c r="E86" s="20">
        <v>26772</v>
      </c>
      <c r="F86" s="21">
        <v>72.415599999999998</v>
      </c>
      <c r="G86" s="22">
        <v>8.0000000000000004E-4</v>
      </c>
      <c r="H86" s="40"/>
      <c r="I86" s="24"/>
      <c r="J86" s="5"/>
    </row>
    <row r="87" spans="1:10" ht="13.05" customHeight="1">
      <c r="A87" s="18" t="s">
        <v>449</v>
      </c>
      <c r="B87" s="19" t="s">
        <v>450</v>
      </c>
      <c r="C87" s="15" t="s">
        <v>451</v>
      </c>
      <c r="D87" s="15" t="s">
        <v>261</v>
      </c>
      <c r="E87" s="20">
        <v>20000</v>
      </c>
      <c r="F87" s="21">
        <v>71.36</v>
      </c>
      <c r="G87" s="22">
        <v>8.0000000000000004E-4</v>
      </c>
      <c r="H87" s="40"/>
      <c r="I87" s="24"/>
      <c r="J87" s="5"/>
    </row>
    <row r="88" spans="1:10" ht="13.05" customHeight="1">
      <c r="A88" s="18" t="s">
        <v>1046</v>
      </c>
      <c r="B88" s="19" t="s">
        <v>1047</v>
      </c>
      <c r="C88" s="15" t="s">
        <v>1048</v>
      </c>
      <c r="D88" s="15" t="s">
        <v>300</v>
      </c>
      <c r="E88" s="20">
        <v>13200</v>
      </c>
      <c r="F88" s="21">
        <v>70.5672</v>
      </c>
      <c r="G88" s="22">
        <v>8.0000000000000004E-4</v>
      </c>
      <c r="H88" s="40"/>
      <c r="I88" s="24"/>
      <c r="J88" s="5"/>
    </row>
    <row r="89" spans="1:10" ht="13.05" customHeight="1">
      <c r="A89" s="18" t="s">
        <v>664</v>
      </c>
      <c r="B89" s="19" t="s">
        <v>665</v>
      </c>
      <c r="C89" s="15" t="s">
        <v>666</v>
      </c>
      <c r="D89" s="15" t="s">
        <v>304</v>
      </c>
      <c r="E89" s="20">
        <v>15000</v>
      </c>
      <c r="F89" s="21">
        <v>61.4925</v>
      </c>
      <c r="G89" s="22">
        <v>6.9999999999999999E-4</v>
      </c>
      <c r="H89" s="40"/>
      <c r="I89" s="24"/>
      <c r="J89" s="5"/>
    </row>
    <row r="90" spans="1:10" ht="13.05" customHeight="1">
      <c r="A90" s="18" t="s">
        <v>736</v>
      </c>
      <c r="B90" s="19" t="s">
        <v>737</v>
      </c>
      <c r="C90" s="15" t="s">
        <v>738</v>
      </c>
      <c r="D90" s="15" t="s">
        <v>445</v>
      </c>
      <c r="E90" s="20">
        <v>1128</v>
      </c>
      <c r="F90" s="21">
        <v>58.881599999999999</v>
      </c>
      <c r="G90" s="22">
        <v>5.9999999999999995E-4</v>
      </c>
      <c r="H90" s="40"/>
      <c r="I90" s="24"/>
      <c r="J90" s="5"/>
    </row>
    <row r="91" spans="1:10" ht="13.05" customHeight="1">
      <c r="A91" s="18" t="s">
        <v>498</v>
      </c>
      <c r="B91" s="19" t="s">
        <v>499</v>
      </c>
      <c r="C91" s="15" t="s">
        <v>500</v>
      </c>
      <c r="D91" s="15" t="s">
        <v>501</v>
      </c>
      <c r="E91" s="20">
        <v>1299</v>
      </c>
      <c r="F91" s="21">
        <v>56.429900000000004</v>
      </c>
      <c r="G91" s="22">
        <v>5.9999999999999995E-4</v>
      </c>
      <c r="H91" s="40"/>
      <c r="I91" s="24"/>
      <c r="J91" s="5"/>
    </row>
    <row r="92" spans="1:10" ht="13.05" customHeight="1">
      <c r="A92" s="18" t="s">
        <v>1019</v>
      </c>
      <c r="B92" s="19" t="s">
        <v>1020</v>
      </c>
      <c r="C92" s="15" t="s">
        <v>1021</v>
      </c>
      <c r="D92" s="15" t="s">
        <v>257</v>
      </c>
      <c r="E92" s="20">
        <v>28800</v>
      </c>
      <c r="F92" s="21">
        <v>45.089300000000001</v>
      </c>
      <c r="G92" s="22">
        <v>5.0000000000000001E-4</v>
      </c>
      <c r="H92" s="40"/>
      <c r="I92" s="24"/>
      <c r="J92" s="5"/>
    </row>
    <row r="93" spans="1:10" ht="13.05" customHeight="1">
      <c r="A93" s="18" t="s">
        <v>655</v>
      </c>
      <c r="B93" s="19" t="s">
        <v>656</v>
      </c>
      <c r="C93" s="15" t="s">
        <v>657</v>
      </c>
      <c r="D93" s="15" t="s">
        <v>364</v>
      </c>
      <c r="E93" s="20">
        <v>41850</v>
      </c>
      <c r="F93" s="21">
        <v>39.3264</v>
      </c>
      <c r="G93" s="22">
        <v>4.0000000000000002E-4</v>
      </c>
      <c r="H93" s="40"/>
      <c r="I93" s="24"/>
      <c r="J93" s="5"/>
    </row>
    <row r="94" spans="1:10" ht="13.05" customHeight="1">
      <c r="A94" s="18" t="s">
        <v>685</v>
      </c>
      <c r="B94" s="19" t="s">
        <v>686</v>
      </c>
      <c r="C94" s="15" t="s">
        <v>687</v>
      </c>
      <c r="D94" s="15" t="s">
        <v>272</v>
      </c>
      <c r="E94" s="20">
        <v>1375</v>
      </c>
      <c r="F94" s="21">
        <v>38.0105</v>
      </c>
      <c r="G94" s="22">
        <v>4.0000000000000002E-4</v>
      </c>
      <c r="H94" s="40"/>
      <c r="I94" s="24"/>
      <c r="J94" s="5"/>
    </row>
    <row r="95" spans="1:10" ht="13.05" customHeight="1">
      <c r="A95" s="18" t="s">
        <v>619</v>
      </c>
      <c r="B95" s="19" t="s">
        <v>620</v>
      </c>
      <c r="C95" s="15" t="s">
        <v>621</v>
      </c>
      <c r="D95" s="15" t="s">
        <v>325</v>
      </c>
      <c r="E95" s="20">
        <v>2500</v>
      </c>
      <c r="F95" s="21">
        <v>37.347499999999997</v>
      </c>
      <c r="G95" s="22">
        <v>4.0000000000000002E-4</v>
      </c>
      <c r="H95" s="40"/>
      <c r="I95" s="24"/>
      <c r="J95" s="5"/>
    </row>
    <row r="96" spans="1:10" ht="13.05" customHeight="1">
      <c r="A96" s="18" t="s">
        <v>819</v>
      </c>
      <c r="B96" s="19" t="s">
        <v>820</v>
      </c>
      <c r="C96" s="15" t="s">
        <v>821</v>
      </c>
      <c r="D96" s="15" t="s">
        <v>314</v>
      </c>
      <c r="E96" s="20">
        <v>10000</v>
      </c>
      <c r="F96" s="21">
        <v>37.21</v>
      </c>
      <c r="G96" s="22">
        <v>4.0000000000000002E-4</v>
      </c>
      <c r="H96" s="40"/>
      <c r="I96" s="24"/>
      <c r="J96" s="5"/>
    </row>
    <row r="97" spans="1:10" ht="13.05" customHeight="1">
      <c r="A97" s="18" t="s">
        <v>558</v>
      </c>
      <c r="B97" s="19" t="s">
        <v>559</v>
      </c>
      <c r="C97" s="15" t="s">
        <v>560</v>
      </c>
      <c r="D97" s="15" t="s">
        <v>374</v>
      </c>
      <c r="E97" s="20">
        <v>375</v>
      </c>
      <c r="F97" s="21">
        <v>34.6631</v>
      </c>
      <c r="G97" s="22">
        <v>4.0000000000000002E-4</v>
      </c>
      <c r="H97" s="40"/>
      <c r="I97" s="24"/>
      <c r="J97" s="5"/>
    </row>
    <row r="98" spans="1:10" ht="13.05" customHeight="1">
      <c r="A98" s="18" t="s">
        <v>649</v>
      </c>
      <c r="B98" s="19" t="s">
        <v>650</v>
      </c>
      <c r="C98" s="15" t="s">
        <v>651</v>
      </c>
      <c r="D98" s="15" t="s">
        <v>581</v>
      </c>
      <c r="E98" s="20">
        <v>225</v>
      </c>
      <c r="F98" s="21">
        <v>31.2255</v>
      </c>
      <c r="G98" s="22">
        <v>2.9999999999999997E-4</v>
      </c>
      <c r="H98" s="40"/>
      <c r="I98" s="24"/>
      <c r="J98" s="5"/>
    </row>
    <row r="99" spans="1:10" ht="13.05" customHeight="1">
      <c r="A99" s="18" t="s">
        <v>412</v>
      </c>
      <c r="B99" s="19" t="s">
        <v>413</v>
      </c>
      <c r="C99" s="15" t="s">
        <v>414</v>
      </c>
      <c r="D99" s="15" t="s">
        <v>415</v>
      </c>
      <c r="E99" s="20">
        <v>2625</v>
      </c>
      <c r="F99" s="21">
        <v>30.129799999999999</v>
      </c>
      <c r="G99" s="22">
        <v>2.9999999999999997E-4</v>
      </c>
      <c r="H99" s="40"/>
      <c r="I99" s="24"/>
      <c r="J99" s="5"/>
    </row>
    <row r="100" spans="1:10" ht="13.05" customHeight="1">
      <c r="A100" s="18" t="s">
        <v>571</v>
      </c>
      <c r="B100" s="19" t="s">
        <v>572</v>
      </c>
      <c r="C100" s="15" t="s">
        <v>573</v>
      </c>
      <c r="D100" s="15" t="s">
        <v>261</v>
      </c>
      <c r="E100" s="20">
        <v>6075</v>
      </c>
      <c r="F100" s="21">
        <v>28.917000000000002</v>
      </c>
      <c r="G100" s="22">
        <v>2.9999999999999997E-4</v>
      </c>
      <c r="H100" s="40"/>
      <c r="I100" s="24"/>
      <c r="J100" s="5"/>
    </row>
    <row r="101" spans="1:10" ht="13.05" customHeight="1">
      <c r="A101" s="18" t="s">
        <v>564</v>
      </c>
      <c r="B101" s="19" t="s">
        <v>565</v>
      </c>
      <c r="C101" s="15" t="s">
        <v>566</v>
      </c>
      <c r="D101" s="15" t="s">
        <v>567</v>
      </c>
      <c r="E101" s="20">
        <v>18450</v>
      </c>
      <c r="F101" s="21">
        <v>19.444500000000001</v>
      </c>
      <c r="G101" s="22">
        <v>2.0000000000000001E-4</v>
      </c>
      <c r="H101" s="40"/>
      <c r="I101" s="24"/>
      <c r="J101" s="5"/>
    </row>
    <row r="102" spans="1:10" ht="13.05" customHeight="1">
      <c r="A102" s="18" t="s">
        <v>643</v>
      </c>
      <c r="B102" s="19" t="s">
        <v>644</v>
      </c>
      <c r="C102" s="15" t="s">
        <v>645</v>
      </c>
      <c r="D102" s="15" t="s">
        <v>300</v>
      </c>
      <c r="E102" s="20">
        <v>550</v>
      </c>
      <c r="F102" s="21">
        <v>17.482900000000001</v>
      </c>
      <c r="G102" s="22">
        <v>2.0000000000000001E-4</v>
      </c>
      <c r="H102" s="40"/>
      <c r="I102" s="24"/>
      <c r="J102" s="5"/>
    </row>
    <row r="103" spans="1:10" ht="13.05" customHeight="1">
      <c r="A103" s="18" t="s">
        <v>1001</v>
      </c>
      <c r="B103" s="19" t="s">
        <v>1002</v>
      </c>
      <c r="C103" s="15" t="s">
        <v>1003</v>
      </c>
      <c r="D103" s="15" t="s">
        <v>329</v>
      </c>
      <c r="E103" s="20">
        <v>990</v>
      </c>
      <c r="F103" s="21">
        <v>15.146000000000001</v>
      </c>
      <c r="G103" s="22">
        <v>2.0000000000000001E-4</v>
      </c>
      <c r="H103" s="40"/>
      <c r="I103" s="24"/>
      <c r="J103" s="5"/>
    </row>
    <row r="104" spans="1:10" ht="13.05" customHeight="1">
      <c r="A104" s="18" t="s">
        <v>1159</v>
      </c>
      <c r="B104" s="19" t="s">
        <v>1160</v>
      </c>
      <c r="C104" s="15" t="s">
        <v>1161</v>
      </c>
      <c r="D104" s="15" t="s">
        <v>374</v>
      </c>
      <c r="E104" s="20">
        <v>7500</v>
      </c>
      <c r="F104" s="21">
        <v>10.429500000000001</v>
      </c>
      <c r="G104" s="22">
        <v>1E-4</v>
      </c>
      <c r="H104" s="40"/>
      <c r="I104" s="24"/>
      <c r="J104" s="5"/>
    </row>
    <row r="105" spans="1:10" ht="13.05" customHeight="1">
      <c r="A105" s="18" t="s">
        <v>549</v>
      </c>
      <c r="B105" s="19" t="s">
        <v>550</v>
      </c>
      <c r="C105" s="15" t="s">
        <v>551</v>
      </c>
      <c r="D105" s="15" t="s">
        <v>314</v>
      </c>
      <c r="E105" s="20">
        <v>425</v>
      </c>
      <c r="F105" s="21">
        <v>8.3449000000000009</v>
      </c>
      <c r="G105" s="22">
        <v>1E-4</v>
      </c>
      <c r="H105" s="40"/>
      <c r="I105" s="24"/>
      <c r="J105" s="5"/>
    </row>
    <row r="106" spans="1:10" ht="13.05" customHeight="1">
      <c r="A106" s="5"/>
      <c r="B106" s="14" t="s">
        <v>192</v>
      </c>
      <c r="C106" s="15"/>
      <c r="D106" s="15"/>
      <c r="E106" s="15"/>
      <c r="F106" s="25">
        <v>66895.562000000005</v>
      </c>
      <c r="G106" s="26">
        <v>0.72409999999999997</v>
      </c>
      <c r="H106" s="27"/>
      <c r="I106" s="28"/>
      <c r="J106" s="5"/>
    </row>
    <row r="107" spans="1:10" ht="13.05" customHeight="1">
      <c r="A107" s="5"/>
      <c r="B107" s="29" t="s">
        <v>1812</v>
      </c>
      <c r="C107" s="2"/>
      <c r="D107" s="2"/>
      <c r="E107" s="2"/>
      <c r="F107" s="27" t="s">
        <v>194</v>
      </c>
      <c r="G107" s="27" t="s">
        <v>194</v>
      </c>
      <c r="H107" s="27"/>
      <c r="I107" s="28"/>
      <c r="J107" s="5"/>
    </row>
    <row r="108" spans="1:10" ht="13.05" customHeight="1">
      <c r="A108" s="5"/>
      <c r="B108" s="29" t="s">
        <v>192</v>
      </c>
      <c r="C108" s="2"/>
      <c r="D108" s="2"/>
      <c r="E108" s="2"/>
      <c r="F108" s="27" t="s">
        <v>194</v>
      </c>
      <c r="G108" s="27" t="s">
        <v>194</v>
      </c>
      <c r="H108" s="27"/>
      <c r="I108" s="28"/>
      <c r="J108" s="5"/>
    </row>
    <row r="109" spans="1:10" ht="13.05" customHeight="1">
      <c r="A109" s="5"/>
      <c r="B109" s="29" t="s">
        <v>195</v>
      </c>
      <c r="C109" s="30"/>
      <c r="D109" s="2"/>
      <c r="E109" s="30"/>
      <c r="F109" s="25">
        <v>66895.562000000005</v>
      </c>
      <c r="G109" s="26">
        <v>0.72409999999999997</v>
      </c>
      <c r="H109" s="27"/>
      <c r="I109" s="28"/>
      <c r="J109" s="5"/>
    </row>
    <row r="110" spans="1:10" ht="13.05" customHeight="1">
      <c r="A110" s="5"/>
      <c r="B110" s="14" t="s">
        <v>1871</v>
      </c>
      <c r="C110" s="15"/>
      <c r="D110" s="15"/>
      <c r="E110" s="15"/>
      <c r="F110" s="15"/>
      <c r="G110" s="15"/>
      <c r="H110" s="16"/>
      <c r="I110" s="17"/>
      <c r="J110" s="5"/>
    </row>
    <row r="111" spans="1:10" ht="13.05" customHeight="1">
      <c r="A111" s="5"/>
      <c r="B111" s="14" t="s">
        <v>2997</v>
      </c>
      <c r="C111" s="15"/>
      <c r="D111" s="15"/>
      <c r="E111" s="15"/>
      <c r="F111" s="5"/>
      <c r="G111" s="16"/>
      <c r="H111" s="16"/>
      <c r="I111" s="17"/>
      <c r="J111" s="5"/>
    </row>
    <row r="112" spans="1:10" ht="13.05" customHeight="1">
      <c r="A112" s="18" t="s">
        <v>2998</v>
      </c>
      <c r="B112" s="19" t="s">
        <v>2999</v>
      </c>
      <c r="C112" s="15"/>
      <c r="D112" s="15"/>
      <c r="E112" s="20">
        <v>5250</v>
      </c>
      <c r="F112" s="21">
        <v>3054.6914999999999</v>
      </c>
      <c r="G112" s="22">
        <v>3.3099999999999997E-2</v>
      </c>
      <c r="H112" s="40"/>
      <c r="I112" s="24"/>
      <c r="J112" s="5"/>
    </row>
    <row r="113" spans="1:10" ht="13.05" customHeight="1">
      <c r="A113" s="18" t="s">
        <v>3286</v>
      </c>
      <c r="B113" s="19" t="s">
        <v>3287</v>
      </c>
      <c r="C113" s="15"/>
      <c r="D113" s="15"/>
      <c r="E113" s="20">
        <v>-425</v>
      </c>
      <c r="F113" s="21">
        <v>-8.4039999999999999</v>
      </c>
      <c r="G113" s="22">
        <v>-1E-4</v>
      </c>
      <c r="H113" s="40"/>
      <c r="I113" s="24"/>
      <c r="J113" s="5"/>
    </row>
    <row r="114" spans="1:10" ht="13.05" customHeight="1">
      <c r="A114" s="18" t="s">
        <v>3292</v>
      </c>
      <c r="B114" s="19" t="s">
        <v>3293</v>
      </c>
      <c r="C114" s="15"/>
      <c r="D114" s="15"/>
      <c r="E114" s="20">
        <v>-7500</v>
      </c>
      <c r="F114" s="21">
        <v>-10.470800000000001</v>
      </c>
      <c r="G114" s="22">
        <v>-1E-4</v>
      </c>
      <c r="H114" s="40"/>
      <c r="I114" s="24"/>
      <c r="J114" s="5"/>
    </row>
    <row r="115" spans="1:10" ht="13.05" customHeight="1">
      <c r="A115" s="18" t="s">
        <v>3587</v>
      </c>
      <c r="B115" s="19" t="s">
        <v>3588</v>
      </c>
      <c r="C115" s="15"/>
      <c r="D115" s="15"/>
      <c r="E115" s="20">
        <v>-550</v>
      </c>
      <c r="F115" s="21">
        <v>-17.5962</v>
      </c>
      <c r="G115" s="22">
        <v>-2.0000000000000001E-4</v>
      </c>
      <c r="H115" s="40"/>
      <c r="I115" s="24"/>
      <c r="J115" s="5"/>
    </row>
    <row r="116" spans="1:10" ht="13.05" customHeight="1">
      <c r="A116" s="18" t="s">
        <v>3090</v>
      </c>
      <c r="B116" s="19" t="s">
        <v>3091</v>
      </c>
      <c r="C116" s="15"/>
      <c r="D116" s="15"/>
      <c r="E116" s="20">
        <v>-18450</v>
      </c>
      <c r="F116" s="21">
        <v>-19.555199999999999</v>
      </c>
      <c r="G116" s="22">
        <v>-2.0000000000000001E-4</v>
      </c>
      <c r="H116" s="40"/>
      <c r="I116" s="24"/>
      <c r="J116" s="5"/>
    </row>
    <row r="117" spans="1:10" ht="13.05" customHeight="1">
      <c r="A117" s="18" t="s">
        <v>3302</v>
      </c>
      <c r="B117" s="19" t="s">
        <v>3303</v>
      </c>
      <c r="C117" s="15"/>
      <c r="D117" s="15"/>
      <c r="E117" s="20">
        <v>-6075</v>
      </c>
      <c r="F117" s="21">
        <v>-28.789400000000001</v>
      </c>
      <c r="G117" s="22">
        <v>-2.9999999999999997E-4</v>
      </c>
      <c r="H117" s="40"/>
      <c r="I117" s="24"/>
      <c r="J117" s="5"/>
    </row>
    <row r="118" spans="1:10" ht="13.05" customHeight="1">
      <c r="A118" s="18" t="s">
        <v>3070</v>
      </c>
      <c r="B118" s="19" t="s">
        <v>3071</v>
      </c>
      <c r="C118" s="15"/>
      <c r="D118" s="15"/>
      <c r="E118" s="20">
        <v>-2625</v>
      </c>
      <c r="F118" s="21">
        <v>-30.334499999999998</v>
      </c>
      <c r="G118" s="22">
        <v>-2.9999999999999997E-4</v>
      </c>
      <c r="H118" s="40"/>
      <c r="I118" s="24"/>
      <c r="J118" s="5"/>
    </row>
    <row r="119" spans="1:10" ht="13.05" customHeight="1">
      <c r="A119" s="18" t="s">
        <v>3348</v>
      </c>
      <c r="B119" s="19" t="s">
        <v>3349</v>
      </c>
      <c r="C119" s="15"/>
      <c r="D119" s="15"/>
      <c r="E119" s="20">
        <v>-225</v>
      </c>
      <c r="F119" s="21">
        <v>-31.4573</v>
      </c>
      <c r="G119" s="22">
        <v>-2.9999999999999997E-4</v>
      </c>
      <c r="H119" s="40"/>
      <c r="I119" s="24"/>
      <c r="J119" s="5"/>
    </row>
    <row r="120" spans="1:10" ht="13.05" customHeight="1">
      <c r="A120" s="18" t="s">
        <v>3414</v>
      </c>
      <c r="B120" s="19" t="s">
        <v>3415</v>
      </c>
      <c r="C120" s="15"/>
      <c r="D120" s="15"/>
      <c r="E120" s="20">
        <v>-375</v>
      </c>
      <c r="F120" s="21">
        <v>-34.871299999999998</v>
      </c>
      <c r="G120" s="22">
        <v>-4.0000000000000002E-4</v>
      </c>
      <c r="H120" s="40"/>
      <c r="I120" s="24"/>
      <c r="J120" s="5"/>
    </row>
    <row r="121" spans="1:10" ht="13.05" customHeight="1">
      <c r="A121" s="18" t="s">
        <v>3014</v>
      </c>
      <c r="B121" s="19" t="s">
        <v>3015</v>
      </c>
      <c r="C121" s="15"/>
      <c r="D121" s="15"/>
      <c r="E121" s="20">
        <v>-10000</v>
      </c>
      <c r="F121" s="21">
        <v>-37.450000000000003</v>
      </c>
      <c r="G121" s="22">
        <v>-4.0000000000000002E-4</v>
      </c>
      <c r="H121" s="40"/>
      <c r="I121" s="24"/>
      <c r="J121" s="5"/>
    </row>
    <row r="122" spans="1:10" ht="13.05" customHeight="1">
      <c r="A122" s="18" t="s">
        <v>3218</v>
      </c>
      <c r="B122" s="19" t="s">
        <v>3219</v>
      </c>
      <c r="C122" s="15"/>
      <c r="D122" s="15"/>
      <c r="E122" s="20">
        <v>-2500</v>
      </c>
      <c r="F122" s="21">
        <v>-37.477499999999999</v>
      </c>
      <c r="G122" s="22">
        <v>-4.0000000000000002E-4</v>
      </c>
      <c r="H122" s="40"/>
      <c r="I122" s="24"/>
      <c r="J122" s="5"/>
    </row>
    <row r="123" spans="1:10" ht="13.05" customHeight="1">
      <c r="A123" s="18" t="s">
        <v>3032</v>
      </c>
      <c r="B123" s="19" t="s">
        <v>3033</v>
      </c>
      <c r="C123" s="15"/>
      <c r="D123" s="15"/>
      <c r="E123" s="20">
        <v>-1375</v>
      </c>
      <c r="F123" s="21">
        <v>-38.244300000000003</v>
      </c>
      <c r="G123" s="22">
        <v>-4.0000000000000002E-4</v>
      </c>
      <c r="H123" s="40"/>
      <c r="I123" s="24"/>
      <c r="J123" s="5"/>
    </row>
    <row r="124" spans="1:10" ht="13.05" customHeight="1">
      <c r="A124" s="18" t="s">
        <v>3002</v>
      </c>
      <c r="B124" s="19" t="s">
        <v>3003</v>
      </c>
      <c r="C124" s="15"/>
      <c r="D124" s="15"/>
      <c r="E124" s="20">
        <v>-41850</v>
      </c>
      <c r="F124" s="21">
        <v>-39.531500000000001</v>
      </c>
      <c r="G124" s="22">
        <v>-4.0000000000000002E-4</v>
      </c>
      <c r="H124" s="40"/>
      <c r="I124" s="24"/>
      <c r="J124" s="5"/>
    </row>
    <row r="125" spans="1:10" ht="13.05" customHeight="1">
      <c r="A125" s="18" t="s">
        <v>3256</v>
      </c>
      <c r="B125" s="19" t="s">
        <v>3257</v>
      </c>
      <c r="C125" s="15"/>
      <c r="D125" s="15"/>
      <c r="E125" s="20">
        <v>-12000</v>
      </c>
      <c r="F125" s="21">
        <v>-40.253999999999998</v>
      </c>
      <c r="G125" s="22">
        <v>-4.0000000000000002E-4</v>
      </c>
      <c r="H125" s="40"/>
      <c r="I125" s="24"/>
      <c r="J125" s="5"/>
    </row>
    <row r="126" spans="1:10" ht="13.05" customHeight="1">
      <c r="A126" s="18" t="s">
        <v>3318</v>
      </c>
      <c r="B126" s="19" t="s">
        <v>3319</v>
      </c>
      <c r="C126" s="15"/>
      <c r="D126" s="15"/>
      <c r="E126" s="20">
        <v>-28800</v>
      </c>
      <c r="F126" s="21">
        <v>-45.247700000000002</v>
      </c>
      <c r="G126" s="22">
        <v>-5.0000000000000001E-4</v>
      </c>
      <c r="H126" s="40"/>
      <c r="I126" s="24"/>
      <c r="J126" s="5"/>
    </row>
    <row r="127" spans="1:10" ht="13.05" customHeight="1">
      <c r="A127" s="18" t="s">
        <v>3252</v>
      </c>
      <c r="B127" s="19" t="s">
        <v>3253</v>
      </c>
      <c r="C127" s="15"/>
      <c r="D127" s="15"/>
      <c r="E127" s="20">
        <v>-4125</v>
      </c>
      <c r="F127" s="21">
        <v>-62.176099999999998</v>
      </c>
      <c r="G127" s="22">
        <v>-6.9999999999999999E-4</v>
      </c>
      <c r="H127" s="40"/>
      <c r="I127" s="24"/>
      <c r="J127" s="5"/>
    </row>
    <row r="128" spans="1:10" ht="13.05" customHeight="1">
      <c r="A128" s="18" t="s">
        <v>3362</v>
      </c>
      <c r="B128" s="19" t="s">
        <v>3363</v>
      </c>
      <c r="C128" s="15"/>
      <c r="D128" s="15"/>
      <c r="E128" s="20">
        <v>-13200</v>
      </c>
      <c r="F128" s="21">
        <v>-70.831199999999995</v>
      </c>
      <c r="G128" s="22">
        <v>-8.0000000000000004E-4</v>
      </c>
      <c r="H128" s="40"/>
      <c r="I128" s="24"/>
      <c r="J128" s="5"/>
    </row>
    <row r="129" spans="1:10" ht="13.05" customHeight="1">
      <c r="A129" s="18" t="s">
        <v>3042</v>
      </c>
      <c r="B129" s="19" t="s">
        <v>3043</v>
      </c>
      <c r="C129" s="15"/>
      <c r="D129" s="15"/>
      <c r="E129" s="20">
        <v>-26772</v>
      </c>
      <c r="F129" s="21">
        <v>-72.902799999999999</v>
      </c>
      <c r="G129" s="22">
        <v>-8.0000000000000004E-4</v>
      </c>
      <c r="H129" s="40"/>
      <c r="I129" s="24"/>
      <c r="J129" s="5"/>
    </row>
    <row r="130" spans="1:10" ht="13.05" customHeight="1">
      <c r="A130" s="18" t="s">
        <v>3068</v>
      </c>
      <c r="B130" s="19" t="s">
        <v>3069</v>
      </c>
      <c r="C130" s="15"/>
      <c r="D130" s="15"/>
      <c r="E130" s="20">
        <v>-20400</v>
      </c>
      <c r="F130" s="21">
        <v>-76.805999999999997</v>
      </c>
      <c r="G130" s="22">
        <v>-8.0000000000000004E-4</v>
      </c>
      <c r="H130" s="40"/>
      <c r="I130" s="24"/>
      <c r="J130" s="5"/>
    </row>
    <row r="131" spans="1:10" ht="13.05" customHeight="1">
      <c r="A131" s="18" t="s">
        <v>3392</v>
      </c>
      <c r="B131" s="19" t="s">
        <v>3393</v>
      </c>
      <c r="C131" s="15"/>
      <c r="D131" s="15"/>
      <c r="E131" s="20">
        <v>-5600</v>
      </c>
      <c r="F131" s="21">
        <v>-100.6936</v>
      </c>
      <c r="G131" s="22">
        <v>-1.1000000000000001E-3</v>
      </c>
      <c r="H131" s="40"/>
      <c r="I131" s="24"/>
      <c r="J131" s="5"/>
    </row>
    <row r="132" spans="1:10" ht="13.05" customHeight="1">
      <c r="A132" s="18" t="s">
        <v>3062</v>
      </c>
      <c r="B132" s="19" t="s">
        <v>3063</v>
      </c>
      <c r="C132" s="15"/>
      <c r="D132" s="15"/>
      <c r="E132" s="20">
        <v>-36100</v>
      </c>
      <c r="F132" s="21">
        <v>-103.2099</v>
      </c>
      <c r="G132" s="22">
        <v>-1.1000000000000001E-3</v>
      </c>
      <c r="H132" s="40"/>
      <c r="I132" s="24"/>
      <c r="J132" s="5"/>
    </row>
    <row r="133" spans="1:10" ht="13.05" customHeight="1">
      <c r="A133" s="18" t="s">
        <v>3040</v>
      </c>
      <c r="B133" s="19" t="s">
        <v>3041</v>
      </c>
      <c r="C133" s="15"/>
      <c r="D133" s="15"/>
      <c r="E133" s="20">
        <v>-5000</v>
      </c>
      <c r="F133" s="21">
        <v>-105.1</v>
      </c>
      <c r="G133" s="22">
        <v>-1.1000000000000001E-3</v>
      </c>
      <c r="H133" s="40"/>
      <c r="I133" s="24"/>
      <c r="J133" s="5"/>
    </row>
    <row r="134" spans="1:10" ht="13.05" customHeight="1">
      <c r="A134" s="18" t="s">
        <v>3410</v>
      </c>
      <c r="B134" s="19" t="s">
        <v>3411</v>
      </c>
      <c r="C134" s="15"/>
      <c r="D134" s="15"/>
      <c r="E134" s="20">
        <v>-19800</v>
      </c>
      <c r="F134" s="21">
        <v>-148.40100000000001</v>
      </c>
      <c r="G134" s="22">
        <v>-1.6000000000000001E-3</v>
      </c>
      <c r="H134" s="40"/>
      <c r="I134" s="24"/>
      <c r="J134" s="5"/>
    </row>
    <row r="135" spans="1:10" ht="13.05" customHeight="1">
      <c r="A135" s="18" t="s">
        <v>3416</v>
      </c>
      <c r="B135" s="19" t="s">
        <v>3417</v>
      </c>
      <c r="C135" s="15"/>
      <c r="D135" s="15"/>
      <c r="E135" s="20">
        <v>-11000</v>
      </c>
      <c r="F135" s="21">
        <v>-159.95099999999999</v>
      </c>
      <c r="G135" s="22">
        <v>-1.6999999999999999E-3</v>
      </c>
      <c r="H135" s="40"/>
      <c r="I135" s="24"/>
      <c r="J135" s="5"/>
    </row>
    <row r="136" spans="1:10" ht="13.05" customHeight="1">
      <c r="A136" s="18" t="s">
        <v>3008</v>
      </c>
      <c r="B136" s="19" t="s">
        <v>3009</v>
      </c>
      <c r="C136" s="15"/>
      <c r="D136" s="15"/>
      <c r="E136" s="20">
        <v>-9000</v>
      </c>
      <c r="F136" s="21">
        <v>-171.279</v>
      </c>
      <c r="G136" s="22">
        <v>-1.9E-3</v>
      </c>
      <c r="H136" s="40"/>
      <c r="I136" s="24"/>
      <c r="J136" s="5"/>
    </row>
    <row r="137" spans="1:10" ht="13.05" customHeight="1">
      <c r="A137" s="18" t="s">
        <v>3094</v>
      </c>
      <c r="B137" s="19" t="s">
        <v>3095</v>
      </c>
      <c r="C137" s="15"/>
      <c r="D137" s="15"/>
      <c r="E137" s="20">
        <v>-6250</v>
      </c>
      <c r="F137" s="21">
        <v>-181.50630000000001</v>
      </c>
      <c r="G137" s="22">
        <v>-2E-3</v>
      </c>
      <c r="H137" s="40"/>
      <c r="I137" s="24"/>
      <c r="J137" s="5"/>
    </row>
    <row r="138" spans="1:10" ht="13.05" customHeight="1">
      <c r="A138" s="18" t="s">
        <v>3440</v>
      </c>
      <c r="B138" s="19" t="s">
        <v>3441</v>
      </c>
      <c r="C138" s="15"/>
      <c r="D138" s="15"/>
      <c r="E138" s="20">
        <v>-2144250</v>
      </c>
      <c r="F138" s="21">
        <v>-188.26519999999999</v>
      </c>
      <c r="G138" s="22">
        <v>-2E-3</v>
      </c>
      <c r="H138" s="40"/>
      <c r="I138" s="24"/>
      <c r="J138" s="5"/>
    </row>
    <row r="139" spans="1:10" ht="13.05" customHeight="1">
      <c r="A139" s="18" t="s">
        <v>3006</v>
      </c>
      <c r="B139" s="19" t="s">
        <v>3007</v>
      </c>
      <c r="C139" s="15"/>
      <c r="D139" s="15"/>
      <c r="E139" s="20">
        <v>-17600</v>
      </c>
      <c r="F139" s="21">
        <v>-201.9776</v>
      </c>
      <c r="G139" s="22">
        <v>-2.2000000000000001E-3</v>
      </c>
      <c r="H139" s="40"/>
      <c r="I139" s="24"/>
      <c r="J139" s="5"/>
    </row>
    <row r="140" spans="1:10" ht="13.05" customHeight="1">
      <c r="A140" s="18" t="s">
        <v>3104</v>
      </c>
      <c r="B140" s="19" t="s">
        <v>3105</v>
      </c>
      <c r="C140" s="15"/>
      <c r="D140" s="15"/>
      <c r="E140" s="20">
        <v>-5800</v>
      </c>
      <c r="F140" s="21">
        <v>-203.5916</v>
      </c>
      <c r="G140" s="22">
        <v>-2.2000000000000001E-3</v>
      </c>
      <c r="H140" s="40"/>
      <c r="I140" s="24"/>
      <c r="J140" s="5"/>
    </row>
    <row r="141" spans="1:10" ht="13.05" customHeight="1">
      <c r="A141" s="18" t="s">
        <v>3066</v>
      </c>
      <c r="B141" s="19" t="s">
        <v>3067</v>
      </c>
      <c r="C141" s="15"/>
      <c r="D141" s="15"/>
      <c r="E141" s="20">
        <v>-81000</v>
      </c>
      <c r="F141" s="21">
        <v>-207.8622</v>
      </c>
      <c r="G141" s="22">
        <v>-2.3E-3</v>
      </c>
      <c r="H141" s="40"/>
      <c r="I141" s="24"/>
      <c r="J141" s="5"/>
    </row>
    <row r="142" spans="1:10" ht="13.05" customHeight="1">
      <c r="A142" s="18" t="s">
        <v>3240</v>
      </c>
      <c r="B142" s="19" t="s">
        <v>3241</v>
      </c>
      <c r="C142" s="15"/>
      <c r="D142" s="15"/>
      <c r="E142" s="20">
        <v>-19375</v>
      </c>
      <c r="F142" s="21">
        <v>-207.9906</v>
      </c>
      <c r="G142" s="22">
        <v>-2.3E-3</v>
      </c>
      <c r="H142" s="40"/>
      <c r="I142" s="24"/>
      <c r="J142" s="5"/>
    </row>
    <row r="143" spans="1:10" ht="13.05" customHeight="1">
      <c r="A143" s="18" t="s">
        <v>3338</v>
      </c>
      <c r="B143" s="19" t="s">
        <v>3339</v>
      </c>
      <c r="C143" s="15"/>
      <c r="D143" s="15"/>
      <c r="E143" s="20">
        <v>-8400</v>
      </c>
      <c r="F143" s="21">
        <v>-247.4136</v>
      </c>
      <c r="G143" s="22">
        <v>-2.7000000000000001E-3</v>
      </c>
      <c r="H143" s="40"/>
      <c r="I143" s="24"/>
      <c r="J143" s="5"/>
    </row>
    <row r="144" spans="1:10" ht="13.05" customHeight="1">
      <c r="A144" s="18" t="s">
        <v>3096</v>
      </c>
      <c r="B144" s="19" t="s">
        <v>3097</v>
      </c>
      <c r="C144" s="15"/>
      <c r="D144" s="15"/>
      <c r="E144" s="20">
        <v>-16450</v>
      </c>
      <c r="F144" s="21">
        <v>-279.68290000000002</v>
      </c>
      <c r="G144" s="22">
        <v>-3.0000000000000001E-3</v>
      </c>
      <c r="H144" s="40"/>
      <c r="I144" s="24"/>
      <c r="J144" s="5"/>
    </row>
    <row r="145" spans="1:10" ht="13.05" customHeight="1">
      <c r="A145" s="18" t="s">
        <v>3380</v>
      </c>
      <c r="B145" s="19" t="s">
        <v>3381</v>
      </c>
      <c r="C145" s="15"/>
      <c r="D145" s="15"/>
      <c r="E145" s="20">
        <v>-21200</v>
      </c>
      <c r="F145" s="21">
        <v>-305.4708</v>
      </c>
      <c r="G145" s="22">
        <v>-3.3E-3</v>
      </c>
      <c r="H145" s="40"/>
      <c r="I145" s="24"/>
      <c r="J145" s="5"/>
    </row>
    <row r="146" spans="1:10" ht="13.05" customHeight="1">
      <c r="A146" s="18" t="s">
        <v>3010</v>
      </c>
      <c r="B146" s="19" t="s">
        <v>3011</v>
      </c>
      <c r="C146" s="15"/>
      <c r="D146" s="15"/>
      <c r="E146" s="20">
        <v>-108000</v>
      </c>
      <c r="F146" s="21">
        <v>-307.15199999999999</v>
      </c>
      <c r="G146" s="22">
        <v>-3.3E-3</v>
      </c>
      <c r="H146" s="40"/>
      <c r="I146" s="24"/>
      <c r="J146" s="5"/>
    </row>
    <row r="147" spans="1:10" ht="13.05" customHeight="1">
      <c r="A147" s="18" t="s">
        <v>3430</v>
      </c>
      <c r="B147" s="19" t="s">
        <v>3431</v>
      </c>
      <c r="C147" s="15"/>
      <c r="D147" s="15"/>
      <c r="E147" s="20">
        <v>-16625</v>
      </c>
      <c r="F147" s="21">
        <v>-343.73849999999999</v>
      </c>
      <c r="G147" s="22">
        <v>-3.7000000000000002E-3</v>
      </c>
      <c r="H147" s="40"/>
      <c r="I147" s="24"/>
      <c r="J147" s="5"/>
    </row>
    <row r="148" spans="1:10" ht="13.05" customHeight="1">
      <c r="A148" s="18" t="s">
        <v>3356</v>
      </c>
      <c r="B148" s="19" t="s">
        <v>3357</v>
      </c>
      <c r="C148" s="15"/>
      <c r="D148" s="15"/>
      <c r="E148" s="20">
        <v>-1555000</v>
      </c>
      <c r="F148" s="21">
        <v>-355.3175</v>
      </c>
      <c r="G148" s="22">
        <v>-3.8E-3</v>
      </c>
      <c r="H148" s="40"/>
      <c r="I148" s="24"/>
      <c r="J148" s="5"/>
    </row>
    <row r="149" spans="1:10" ht="13.05" customHeight="1">
      <c r="A149" s="18" t="s">
        <v>3386</v>
      </c>
      <c r="B149" s="19" t="s">
        <v>3387</v>
      </c>
      <c r="C149" s="15"/>
      <c r="D149" s="15"/>
      <c r="E149" s="20">
        <v>-5700</v>
      </c>
      <c r="F149" s="21">
        <v>-387.00150000000002</v>
      </c>
      <c r="G149" s="22">
        <v>-4.1999999999999997E-3</v>
      </c>
      <c r="H149" s="40"/>
      <c r="I149" s="24"/>
      <c r="J149" s="5"/>
    </row>
    <row r="150" spans="1:10" ht="13.05" customHeight="1">
      <c r="A150" s="18" t="s">
        <v>3004</v>
      </c>
      <c r="B150" s="19" t="s">
        <v>3005</v>
      </c>
      <c r="C150" s="15"/>
      <c r="D150" s="15"/>
      <c r="E150" s="20">
        <v>-5625</v>
      </c>
      <c r="F150" s="21">
        <v>-434.30630000000002</v>
      </c>
      <c r="G150" s="22">
        <v>-4.7000000000000002E-3</v>
      </c>
      <c r="H150" s="40"/>
      <c r="I150" s="24"/>
      <c r="J150" s="5"/>
    </row>
    <row r="151" spans="1:10" ht="13.05" customHeight="1">
      <c r="A151" s="18" t="s">
        <v>3434</v>
      </c>
      <c r="B151" s="19" t="s">
        <v>3435</v>
      </c>
      <c r="C151" s="15"/>
      <c r="D151" s="15"/>
      <c r="E151" s="20">
        <v>-416000</v>
      </c>
      <c r="F151" s="21">
        <v>-513.13599999999997</v>
      </c>
      <c r="G151" s="22">
        <v>-5.5999999999999999E-3</v>
      </c>
      <c r="H151" s="40"/>
      <c r="I151" s="24"/>
      <c r="J151" s="5"/>
    </row>
    <row r="152" spans="1:10" ht="13.05" customHeight="1">
      <c r="A152" s="18" t="s">
        <v>3384</v>
      </c>
      <c r="B152" s="19" t="s">
        <v>3385</v>
      </c>
      <c r="C152" s="15"/>
      <c r="D152" s="15"/>
      <c r="E152" s="20">
        <v>-10950</v>
      </c>
      <c r="F152" s="21">
        <v>-515.96400000000006</v>
      </c>
      <c r="G152" s="22">
        <v>-5.5999999999999999E-3</v>
      </c>
      <c r="H152" s="40"/>
      <c r="I152" s="24"/>
      <c r="J152" s="5"/>
    </row>
    <row r="153" spans="1:10" ht="13.05" customHeight="1">
      <c r="A153" s="18" t="s">
        <v>3034</v>
      </c>
      <c r="B153" s="19" t="s">
        <v>3035</v>
      </c>
      <c r="C153" s="15"/>
      <c r="D153" s="15"/>
      <c r="E153" s="20">
        <v>-418500</v>
      </c>
      <c r="F153" s="21">
        <v>-576.23270000000002</v>
      </c>
      <c r="G153" s="22">
        <v>-6.1999999999999998E-3</v>
      </c>
      <c r="H153" s="40"/>
      <c r="I153" s="24"/>
      <c r="J153" s="5"/>
    </row>
    <row r="154" spans="1:10" ht="13.05" customHeight="1">
      <c r="A154" s="18" t="s">
        <v>3424</v>
      </c>
      <c r="B154" s="19" t="s">
        <v>3425</v>
      </c>
      <c r="C154" s="15"/>
      <c r="D154" s="15"/>
      <c r="E154" s="20">
        <v>-180975</v>
      </c>
      <c r="F154" s="21">
        <v>-593.41700000000003</v>
      </c>
      <c r="G154" s="22">
        <v>-6.4000000000000003E-3</v>
      </c>
      <c r="H154" s="40"/>
      <c r="I154" s="24"/>
      <c r="J154" s="5"/>
    </row>
    <row r="155" spans="1:10" ht="13.05" customHeight="1">
      <c r="A155" s="18" t="s">
        <v>3058</v>
      </c>
      <c r="B155" s="19" t="s">
        <v>3059</v>
      </c>
      <c r="C155" s="15"/>
      <c r="D155" s="15"/>
      <c r="E155" s="20">
        <v>-451200</v>
      </c>
      <c r="F155" s="21">
        <v>-621.07680000000005</v>
      </c>
      <c r="G155" s="22">
        <v>-6.7000000000000002E-3</v>
      </c>
      <c r="H155" s="40"/>
      <c r="I155" s="24"/>
      <c r="J155" s="5"/>
    </row>
    <row r="156" spans="1:10" ht="13.05" customHeight="1">
      <c r="A156" s="18" t="s">
        <v>3036</v>
      </c>
      <c r="B156" s="19" t="s">
        <v>3037</v>
      </c>
      <c r="C156" s="15"/>
      <c r="D156" s="15"/>
      <c r="E156" s="20">
        <v>-16800</v>
      </c>
      <c r="F156" s="21">
        <v>-633.17520000000002</v>
      </c>
      <c r="G156" s="22">
        <v>-6.8999999999999999E-3</v>
      </c>
      <c r="H156" s="40"/>
      <c r="I156" s="24"/>
      <c r="J156" s="5"/>
    </row>
    <row r="157" spans="1:10" ht="13.05" customHeight="1">
      <c r="A157" s="18" t="s">
        <v>3100</v>
      </c>
      <c r="B157" s="19" t="s">
        <v>3101</v>
      </c>
      <c r="C157" s="15"/>
      <c r="D157" s="15"/>
      <c r="E157" s="20">
        <v>-33375</v>
      </c>
      <c r="F157" s="21">
        <v>-653.94979999999998</v>
      </c>
      <c r="G157" s="22">
        <v>-7.1000000000000004E-3</v>
      </c>
      <c r="H157" s="40"/>
      <c r="I157" s="24"/>
      <c r="J157" s="5"/>
    </row>
    <row r="158" spans="1:10" ht="13.05" customHeight="1">
      <c r="A158" s="18" t="s">
        <v>3028</v>
      </c>
      <c r="B158" s="19" t="s">
        <v>3029</v>
      </c>
      <c r="C158" s="15"/>
      <c r="D158" s="15"/>
      <c r="E158" s="20">
        <v>-283725</v>
      </c>
      <c r="F158" s="21">
        <v>-793.5788</v>
      </c>
      <c r="G158" s="22">
        <v>-8.6E-3</v>
      </c>
      <c r="H158" s="40"/>
      <c r="I158" s="24"/>
      <c r="J158" s="5"/>
    </row>
    <row r="159" spans="1:10" ht="13.05" customHeight="1">
      <c r="A159" s="18" t="s">
        <v>3044</v>
      </c>
      <c r="B159" s="19" t="s">
        <v>3045</v>
      </c>
      <c r="C159" s="15"/>
      <c r="D159" s="15"/>
      <c r="E159" s="20">
        <v>-101500</v>
      </c>
      <c r="F159" s="21">
        <v>-810.27449999999999</v>
      </c>
      <c r="G159" s="22">
        <v>-8.8000000000000005E-3</v>
      </c>
      <c r="H159" s="40"/>
      <c r="I159" s="24"/>
      <c r="J159" s="5"/>
    </row>
    <row r="160" spans="1:10" ht="13.05" customHeight="1">
      <c r="A160" s="18" t="s">
        <v>3364</v>
      </c>
      <c r="B160" s="19" t="s">
        <v>3365</v>
      </c>
      <c r="C160" s="15"/>
      <c r="D160" s="15"/>
      <c r="E160" s="20">
        <v>-157500</v>
      </c>
      <c r="F160" s="21">
        <v>-895.78129999999999</v>
      </c>
      <c r="G160" s="22">
        <v>-9.7000000000000003E-3</v>
      </c>
      <c r="H160" s="40"/>
      <c r="I160" s="24"/>
      <c r="J160" s="5"/>
    </row>
    <row r="161" spans="1:10" ht="13.05" customHeight="1">
      <c r="A161" s="18" t="s">
        <v>3244</v>
      </c>
      <c r="B161" s="19" t="s">
        <v>3245</v>
      </c>
      <c r="C161" s="15"/>
      <c r="D161" s="15"/>
      <c r="E161" s="20">
        <v>-39900</v>
      </c>
      <c r="F161" s="21">
        <v>-982.49760000000003</v>
      </c>
      <c r="G161" s="22">
        <v>-1.06E-2</v>
      </c>
      <c r="H161" s="40"/>
      <c r="I161" s="24"/>
      <c r="J161" s="5"/>
    </row>
    <row r="162" spans="1:10" ht="13.05" customHeight="1">
      <c r="A162" s="18" t="s">
        <v>3056</v>
      </c>
      <c r="B162" s="19" t="s">
        <v>3057</v>
      </c>
      <c r="C162" s="15"/>
      <c r="D162" s="15"/>
      <c r="E162" s="20">
        <v>-137775</v>
      </c>
      <c r="F162" s="21">
        <v>-1048.6744000000001</v>
      </c>
      <c r="G162" s="22">
        <v>-1.14E-2</v>
      </c>
      <c r="H162" s="40"/>
      <c r="I162" s="24"/>
      <c r="J162" s="5"/>
    </row>
    <row r="163" spans="1:10" ht="13.05" customHeight="1">
      <c r="A163" s="18" t="s">
        <v>3436</v>
      </c>
      <c r="B163" s="19" t="s">
        <v>3437</v>
      </c>
      <c r="C163" s="15"/>
      <c r="D163" s="15"/>
      <c r="E163" s="20">
        <v>-373450</v>
      </c>
      <c r="F163" s="21">
        <v>-1194.6666</v>
      </c>
      <c r="G163" s="22">
        <v>-1.29E-2</v>
      </c>
      <c r="H163" s="40"/>
      <c r="I163" s="24"/>
      <c r="J163" s="5"/>
    </row>
    <row r="164" spans="1:10" ht="13.05" customHeight="1">
      <c r="A164" s="18" t="s">
        <v>3078</v>
      </c>
      <c r="B164" s="19" t="s">
        <v>3079</v>
      </c>
      <c r="C164" s="15"/>
      <c r="D164" s="15"/>
      <c r="E164" s="20">
        <v>-91700</v>
      </c>
      <c r="F164" s="21">
        <v>-1241.9848</v>
      </c>
      <c r="G164" s="22">
        <v>-1.34E-2</v>
      </c>
      <c r="H164" s="40"/>
      <c r="I164" s="24"/>
      <c r="J164" s="5"/>
    </row>
    <row r="165" spans="1:10" ht="13.05" customHeight="1">
      <c r="A165" s="18" t="s">
        <v>3404</v>
      </c>
      <c r="B165" s="19" t="s">
        <v>3405</v>
      </c>
      <c r="C165" s="15"/>
      <c r="D165" s="15"/>
      <c r="E165" s="20">
        <v>-31150</v>
      </c>
      <c r="F165" s="21">
        <v>-1262.8522</v>
      </c>
      <c r="G165" s="22">
        <v>-1.37E-2</v>
      </c>
      <c r="H165" s="40"/>
      <c r="I165" s="24"/>
      <c r="J165" s="5"/>
    </row>
    <row r="166" spans="1:10" ht="13.05" customHeight="1">
      <c r="A166" s="18" t="s">
        <v>3038</v>
      </c>
      <c r="B166" s="19" t="s">
        <v>3039</v>
      </c>
      <c r="C166" s="15"/>
      <c r="D166" s="15"/>
      <c r="E166" s="20">
        <v>-77600</v>
      </c>
      <c r="F166" s="21">
        <v>-1642.1712</v>
      </c>
      <c r="G166" s="22">
        <v>-1.78E-2</v>
      </c>
      <c r="H166" s="40"/>
      <c r="I166" s="24"/>
      <c r="J166" s="5"/>
    </row>
    <row r="167" spans="1:10" ht="13.05" customHeight="1">
      <c r="A167" s="18" t="s">
        <v>3076</v>
      </c>
      <c r="B167" s="19" t="s">
        <v>3077</v>
      </c>
      <c r="C167" s="15"/>
      <c r="D167" s="15"/>
      <c r="E167" s="20">
        <v>-1237500</v>
      </c>
      <c r="F167" s="21">
        <v>-2275.6388000000002</v>
      </c>
      <c r="G167" s="22">
        <v>-2.46E-2</v>
      </c>
      <c r="H167" s="40"/>
      <c r="I167" s="24"/>
      <c r="J167" s="5"/>
    </row>
    <row r="168" spans="1:10" ht="13.05" customHeight="1">
      <c r="A168" s="18" t="s">
        <v>3084</v>
      </c>
      <c r="B168" s="19" t="s">
        <v>3085</v>
      </c>
      <c r="C168" s="15"/>
      <c r="D168" s="15"/>
      <c r="E168" s="20">
        <v>-522500</v>
      </c>
      <c r="F168" s="21">
        <v>-5192.8662999999997</v>
      </c>
      <c r="G168" s="22">
        <v>-5.62E-2</v>
      </c>
      <c r="H168" s="40"/>
      <c r="I168" s="24"/>
      <c r="J168" s="5"/>
    </row>
    <row r="169" spans="1:10" ht="13.05" customHeight="1">
      <c r="A169" s="18" t="s">
        <v>3102</v>
      </c>
      <c r="B169" s="19" t="s">
        <v>3103</v>
      </c>
      <c r="C169" s="15"/>
      <c r="D169" s="15"/>
      <c r="E169" s="20">
        <v>-390500</v>
      </c>
      <c r="F169" s="21">
        <v>-5841.88</v>
      </c>
      <c r="G169" s="22">
        <v>-6.3200000000000006E-2</v>
      </c>
      <c r="H169" s="40"/>
      <c r="I169" s="24"/>
      <c r="J169" s="5"/>
    </row>
    <row r="170" spans="1:10" ht="13.05" customHeight="1">
      <c r="A170" s="5"/>
      <c r="B170" s="14" t="s">
        <v>192</v>
      </c>
      <c r="C170" s="15"/>
      <c r="D170" s="15"/>
      <c r="E170" s="15"/>
      <c r="F170" s="25">
        <v>-29577.436699999998</v>
      </c>
      <c r="G170" s="26">
        <v>-0.32019999999999998</v>
      </c>
      <c r="H170" s="27"/>
      <c r="I170" s="28"/>
      <c r="J170" s="5"/>
    </row>
    <row r="171" spans="1:10" ht="13.05" customHeight="1">
      <c r="A171" s="5"/>
      <c r="B171" s="29" t="s">
        <v>195</v>
      </c>
      <c r="C171" s="30"/>
      <c r="D171" s="2"/>
      <c r="E171" s="30"/>
      <c r="F171" s="25">
        <v>-29577.436699999998</v>
      </c>
      <c r="G171" s="26">
        <v>-0.32019999999999998</v>
      </c>
      <c r="H171" s="27"/>
      <c r="I171" s="28"/>
      <c r="J171" s="5"/>
    </row>
    <row r="172" spans="1:10" ht="13.05" customHeight="1">
      <c r="A172" s="5"/>
      <c r="B172" s="14" t="s">
        <v>183</v>
      </c>
      <c r="C172" s="15"/>
      <c r="D172" s="15"/>
      <c r="E172" s="15"/>
      <c r="F172" s="15"/>
      <c r="G172" s="15"/>
      <c r="H172" s="16"/>
      <c r="I172" s="17"/>
      <c r="J172" s="5"/>
    </row>
    <row r="173" spans="1:10" ht="13.05" customHeight="1">
      <c r="A173" s="5"/>
      <c r="B173" s="14" t="s">
        <v>184</v>
      </c>
      <c r="C173" s="15"/>
      <c r="D173" s="15"/>
      <c r="E173" s="15"/>
      <c r="F173" s="5"/>
      <c r="G173" s="16"/>
      <c r="H173" s="16"/>
      <c r="I173" s="17"/>
      <c r="J173" s="5"/>
    </row>
    <row r="174" spans="1:10" ht="13.05" customHeight="1">
      <c r="A174" s="18" t="s">
        <v>1890</v>
      </c>
      <c r="B174" s="19" t="s">
        <v>1891</v>
      </c>
      <c r="C174" s="15" t="s">
        <v>1892</v>
      </c>
      <c r="D174" s="15" t="s">
        <v>188</v>
      </c>
      <c r="E174" s="20">
        <v>4000000</v>
      </c>
      <c r="F174" s="21">
        <v>4147.4719999999998</v>
      </c>
      <c r="G174" s="22">
        <v>4.4900000000000002E-2</v>
      </c>
      <c r="H174" s="23">
        <v>6.6730999999999999E-2</v>
      </c>
      <c r="I174" s="24"/>
      <c r="J174" s="5"/>
    </row>
    <row r="175" spans="1:10" ht="13.05" customHeight="1">
      <c r="A175" s="18" t="s">
        <v>2441</v>
      </c>
      <c r="B175" s="19" t="s">
        <v>2442</v>
      </c>
      <c r="C175" s="15" t="s">
        <v>2443</v>
      </c>
      <c r="D175" s="15" t="s">
        <v>188</v>
      </c>
      <c r="E175" s="20">
        <v>3500000</v>
      </c>
      <c r="F175" s="21">
        <v>3612.7244999999998</v>
      </c>
      <c r="G175" s="22">
        <v>3.9100000000000003E-2</v>
      </c>
      <c r="H175" s="23">
        <v>6.7038E-2</v>
      </c>
      <c r="I175" s="24"/>
      <c r="J175" s="5"/>
    </row>
    <row r="176" spans="1:10" ht="13.05" customHeight="1">
      <c r="A176" s="18" t="s">
        <v>3131</v>
      </c>
      <c r="B176" s="19" t="s">
        <v>3132</v>
      </c>
      <c r="C176" s="15" t="s">
        <v>3133</v>
      </c>
      <c r="D176" s="15" t="s">
        <v>2447</v>
      </c>
      <c r="E176" s="20">
        <v>2500</v>
      </c>
      <c r="F176" s="21">
        <v>2525.9299999999998</v>
      </c>
      <c r="G176" s="22">
        <v>2.7300000000000001E-2</v>
      </c>
      <c r="H176" s="23">
        <v>7.4999999999999997E-2</v>
      </c>
      <c r="I176" s="24"/>
      <c r="J176" s="5"/>
    </row>
    <row r="177" spans="1:10" ht="13.05" customHeight="1">
      <c r="A177" s="18" t="s">
        <v>3115</v>
      </c>
      <c r="B177" s="19" t="s">
        <v>3116</v>
      </c>
      <c r="C177" s="15" t="s">
        <v>3117</v>
      </c>
      <c r="D177" s="15" t="s">
        <v>2447</v>
      </c>
      <c r="E177" s="20">
        <v>1500</v>
      </c>
      <c r="F177" s="21">
        <v>1519.9680000000001</v>
      </c>
      <c r="G177" s="22">
        <v>1.6500000000000001E-2</v>
      </c>
      <c r="H177" s="23">
        <v>7.8600000000000003E-2</v>
      </c>
      <c r="I177" s="24"/>
      <c r="J177" s="5"/>
    </row>
    <row r="178" spans="1:10" ht="13.05" customHeight="1">
      <c r="A178" s="18" t="s">
        <v>2464</v>
      </c>
      <c r="B178" s="19" t="s">
        <v>2465</v>
      </c>
      <c r="C178" s="15" t="s">
        <v>2466</v>
      </c>
      <c r="D178" s="15" t="s">
        <v>213</v>
      </c>
      <c r="E178" s="20">
        <v>1000</v>
      </c>
      <c r="F178" s="21">
        <v>1023.4059999999999</v>
      </c>
      <c r="G178" s="22">
        <v>1.11E-2</v>
      </c>
      <c r="H178" s="23">
        <v>6.7724999999999994E-2</v>
      </c>
      <c r="I178" s="24"/>
      <c r="J178" s="5"/>
    </row>
    <row r="179" spans="1:10" ht="13.05" customHeight="1">
      <c r="A179" s="18" t="s">
        <v>3589</v>
      </c>
      <c r="B179" s="19" t="s">
        <v>3590</v>
      </c>
      <c r="C179" s="15" t="s">
        <v>3591</v>
      </c>
      <c r="D179" s="15" t="s">
        <v>2447</v>
      </c>
      <c r="E179" s="20">
        <v>1000</v>
      </c>
      <c r="F179" s="21">
        <v>1018.833</v>
      </c>
      <c r="G179" s="22">
        <v>1.0999999999999999E-2</v>
      </c>
      <c r="H179" s="23">
        <v>7.8E-2</v>
      </c>
      <c r="I179" s="24"/>
      <c r="J179" s="5"/>
    </row>
    <row r="180" spans="1:10" ht="13.05" customHeight="1">
      <c r="A180" s="18" t="s">
        <v>2467</v>
      </c>
      <c r="B180" s="19" t="s">
        <v>2468</v>
      </c>
      <c r="C180" s="15" t="s">
        <v>2469</v>
      </c>
      <c r="D180" s="15" t="s">
        <v>2447</v>
      </c>
      <c r="E180" s="20">
        <v>1000</v>
      </c>
      <c r="F180" s="21">
        <v>1011.5410000000001</v>
      </c>
      <c r="G180" s="22">
        <v>1.09E-2</v>
      </c>
      <c r="H180" s="23">
        <v>7.7998999999999999E-2</v>
      </c>
      <c r="I180" s="24"/>
      <c r="J180" s="5"/>
    </row>
    <row r="181" spans="1:10" ht="13.05" customHeight="1">
      <c r="A181" s="18" t="s">
        <v>2448</v>
      </c>
      <c r="B181" s="19" t="s">
        <v>2449</v>
      </c>
      <c r="C181" s="15" t="s">
        <v>2450</v>
      </c>
      <c r="D181" s="15" t="s">
        <v>2451</v>
      </c>
      <c r="E181" s="20">
        <v>1000</v>
      </c>
      <c r="F181" s="21">
        <v>1010.24</v>
      </c>
      <c r="G181" s="22">
        <v>1.09E-2</v>
      </c>
      <c r="H181" s="23">
        <v>0.10395</v>
      </c>
      <c r="I181" s="24"/>
      <c r="J181" s="5"/>
    </row>
    <row r="182" spans="1:10" ht="13.05" customHeight="1">
      <c r="A182" s="18" t="s">
        <v>3592</v>
      </c>
      <c r="B182" s="19" t="s">
        <v>3593</v>
      </c>
      <c r="C182" s="15" t="s">
        <v>3594</v>
      </c>
      <c r="D182" s="15" t="s">
        <v>188</v>
      </c>
      <c r="E182" s="20">
        <v>948500</v>
      </c>
      <c r="F182" s="21">
        <v>968.86519999999996</v>
      </c>
      <c r="G182" s="22">
        <v>1.0500000000000001E-2</v>
      </c>
      <c r="H182" s="23">
        <v>7.3191999999999993E-2</v>
      </c>
      <c r="I182" s="24"/>
      <c r="J182" s="5"/>
    </row>
    <row r="183" spans="1:10" ht="13.05" customHeight="1">
      <c r="A183" s="18" t="s">
        <v>2126</v>
      </c>
      <c r="B183" s="19" t="s">
        <v>2127</v>
      </c>
      <c r="C183" s="15" t="s">
        <v>2128</v>
      </c>
      <c r="D183" s="15" t="s">
        <v>213</v>
      </c>
      <c r="E183" s="20">
        <v>500</v>
      </c>
      <c r="F183" s="21">
        <v>516.529</v>
      </c>
      <c r="G183" s="22">
        <v>5.5999999999999999E-3</v>
      </c>
      <c r="H183" s="23">
        <v>7.0899000000000004E-2</v>
      </c>
      <c r="I183" s="24"/>
      <c r="J183" s="5"/>
    </row>
    <row r="184" spans="1:10" ht="13.05" customHeight="1">
      <c r="A184" s="18" t="s">
        <v>3595</v>
      </c>
      <c r="B184" s="19" t="s">
        <v>3596</v>
      </c>
      <c r="C184" s="15" t="s">
        <v>3597</v>
      </c>
      <c r="D184" s="15" t="s">
        <v>2447</v>
      </c>
      <c r="E184" s="20">
        <v>500</v>
      </c>
      <c r="F184" s="21">
        <v>509.483</v>
      </c>
      <c r="G184" s="22">
        <v>5.4999999999999997E-3</v>
      </c>
      <c r="H184" s="23">
        <v>7.7399999999999997E-2</v>
      </c>
      <c r="I184" s="24"/>
      <c r="J184" s="5"/>
    </row>
    <row r="185" spans="1:10" ht="13.05" customHeight="1">
      <c r="A185" s="18" t="s">
        <v>2470</v>
      </c>
      <c r="B185" s="19" t="s">
        <v>2471</v>
      </c>
      <c r="C185" s="15" t="s">
        <v>2472</v>
      </c>
      <c r="D185" s="15" t="s">
        <v>2473</v>
      </c>
      <c r="E185" s="20">
        <v>500</v>
      </c>
      <c r="F185" s="21">
        <v>503.07249999999999</v>
      </c>
      <c r="G185" s="22">
        <v>5.4000000000000003E-3</v>
      </c>
      <c r="H185" s="23">
        <v>8.3888000000000004E-2</v>
      </c>
      <c r="I185" s="24"/>
      <c r="J185" s="5"/>
    </row>
    <row r="186" spans="1:10" ht="13.05" customHeight="1">
      <c r="A186" s="18" t="s">
        <v>2452</v>
      </c>
      <c r="B186" s="19" t="s">
        <v>2453</v>
      </c>
      <c r="C186" s="15" t="s">
        <v>2454</v>
      </c>
      <c r="D186" s="15" t="s">
        <v>1923</v>
      </c>
      <c r="E186" s="20">
        <v>500</v>
      </c>
      <c r="F186" s="21">
        <v>502.30149999999998</v>
      </c>
      <c r="G186" s="22">
        <v>5.4000000000000003E-3</v>
      </c>
      <c r="H186" s="23">
        <v>6.7299999999999999E-2</v>
      </c>
      <c r="I186" s="24"/>
      <c r="J186" s="5"/>
    </row>
    <row r="187" spans="1:10" ht="13.05" customHeight="1">
      <c r="A187" s="18" t="s">
        <v>2102</v>
      </c>
      <c r="B187" s="19" t="s">
        <v>2103</v>
      </c>
      <c r="C187" s="15" t="s">
        <v>2104</v>
      </c>
      <c r="D187" s="15" t="s">
        <v>213</v>
      </c>
      <c r="E187" s="20">
        <v>500</v>
      </c>
      <c r="F187" s="21">
        <v>499.32</v>
      </c>
      <c r="G187" s="22">
        <v>5.4000000000000003E-3</v>
      </c>
      <c r="H187" s="23">
        <v>7.1611999999999995E-2</v>
      </c>
      <c r="I187" s="24"/>
      <c r="J187" s="5"/>
    </row>
    <row r="188" spans="1:10" ht="13.05" customHeight="1">
      <c r="A188" s="18" t="s">
        <v>2746</v>
      </c>
      <c r="B188" s="19" t="s">
        <v>2747</v>
      </c>
      <c r="C188" s="15" t="s">
        <v>2748</v>
      </c>
      <c r="D188" s="15" t="s">
        <v>188</v>
      </c>
      <c r="E188" s="20">
        <v>300000</v>
      </c>
      <c r="F188" s="21">
        <v>311.77019999999999</v>
      </c>
      <c r="G188" s="22">
        <v>3.3999999999999998E-3</v>
      </c>
      <c r="H188" s="23">
        <v>6.6410999999999998E-2</v>
      </c>
      <c r="I188" s="24"/>
      <c r="J188" s="5"/>
    </row>
    <row r="189" spans="1:10" ht="13.05" customHeight="1">
      <c r="A189" s="18" t="s">
        <v>3598</v>
      </c>
      <c r="B189" s="19" t="s">
        <v>3599</v>
      </c>
      <c r="C189" s="15" t="s">
        <v>3600</v>
      </c>
      <c r="D189" s="15" t="s">
        <v>213</v>
      </c>
      <c r="E189" s="20">
        <v>20</v>
      </c>
      <c r="F189" s="21">
        <v>206.81180000000001</v>
      </c>
      <c r="G189" s="22">
        <v>2.2000000000000001E-3</v>
      </c>
      <c r="H189" s="23">
        <v>7.0000000000000007E-2</v>
      </c>
      <c r="I189" s="24"/>
      <c r="J189" s="5"/>
    </row>
    <row r="190" spans="1:10" ht="13.05" customHeight="1">
      <c r="A190" s="18" t="s">
        <v>2719</v>
      </c>
      <c r="B190" s="19" t="s">
        <v>2720</v>
      </c>
      <c r="C190" s="15" t="s">
        <v>2721</v>
      </c>
      <c r="D190" s="15" t="s">
        <v>188</v>
      </c>
      <c r="E190" s="20">
        <v>200000</v>
      </c>
      <c r="F190" s="21">
        <v>205.27459999999999</v>
      </c>
      <c r="G190" s="22">
        <v>2.2000000000000001E-3</v>
      </c>
      <c r="H190" s="23">
        <v>6.9646E-2</v>
      </c>
      <c r="I190" s="24"/>
      <c r="J190" s="5"/>
    </row>
    <row r="191" spans="1:10" ht="13.05" customHeight="1">
      <c r="A191" s="18" t="s">
        <v>2477</v>
      </c>
      <c r="B191" s="19" t="s">
        <v>2478</v>
      </c>
      <c r="C191" s="15" t="s">
        <v>2479</v>
      </c>
      <c r="D191" s="15" t="s">
        <v>188</v>
      </c>
      <c r="E191" s="20">
        <v>200000</v>
      </c>
      <c r="F191" s="21">
        <v>194.4778</v>
      </c>
      <c r="G191" s="22">
        <v>2.0999999999999999E-3</v>
      </c>
      <c r="H191" s="23">
        <v>6.7138000000000003E-2</v>
      </c>
      <c r="I191" s="24"/>
      <c r="J191" s="5"/>
    </row>
    <row r="192" spans="1:10" ht="13.05" customHeight="1">
      <c r="A192" s="18" t="s">
        <v>2963</v>
      </c>
      <c r="B192" s="19" t="s">
        <v>2964</v>
      </c>
      <c r="C192" s="15" t="s">
        <v>2965</v>
      </c>
      <c r="D192" s="15" t="s">
        <v>213</v>
      </c>
      <c r="E192" s="20">
        <v>10</v>
      </c>
      <c r="F192" s="21">
        <v>104.8724</v>
      </c>
      <c r="G192" s="22">
        <v>1.1000000000000001E-3</v>
      </c>
      <c r="H192" s="23">
        <v>6.8211999999999995E-2</v>
      </c>
      <c r="I192" s="24"/>
      <c r="J192" s="5"/>
    </row>
    <row r="193" spans="1:10" ht="13.05" customHeight="1">
      <c r="A193" s="18" t="s">
        <v>3601</v>
      </c>
      <c r="B193" s="19" t="s">
        <v>3602</v>
      </c>
      <c r="C193" s="15" t="s">
        <v>3603</v>
      </c>
      <c r="D193" s="15" t="s">
        <v>188</v>
      </c>
      <c r="E193" s="20">
        <v>40800</v>
      </c>
      <c r="F193" s="21">
        <v>43.287100000000002</v>
      </c>
      <c r="G193" s="22">
        <v>5.0000000000000001E-4</v>
      </c>
      <c r="H193" s="23">
        <v>7.3505000000000001E-2</v>
      </c>
      <c r="I193" s="24"/>
      <c r="J193" s="5"/>
    </row>
    <row r="194" spans="1:10" ht="13.05" customHeight="1">
      <c r="A194" s="5"/>
      <c r="B194" s="14" t="s">
        <v>192</v>
      </c>
      <c r="C194" s="15"/>
      <c r="D194" s="15"/>
      <c r="E194" s="15"/>
      <c r="F194" s="25">
        <v>20436.179700000001</v>
      </c>
      <c r="G194" s="26">
        <v>0.22120000000000001</v>
      </c>
      <c r="H194" s="27"/>
      <c r="I194" s="28"/>
      <c r="J194" s="5"/>
    </row>
    <row r="195" spans="1:10" ht="13.05" customHeight="1">
      <c r="A195" s="5"/>
      <c r="B195" s="29" t="s">
        <v>193</v>
      </c>
      <c r="C195" s="2"/>
      <c r="D195" s="2"/>
      <c r="E195" s="2"/>
      <c r="F195" s="27" t="s">
        <v>194</v>
      </c>
      <c r="G195" s="27" t="s">
        <v>194</v>
      </c>
      <c r="H195" s="27"/>
      <c r="I195" s="28"/>
      <c r="J195" s="5"/>
    </row>
    <row r="196" spans="1:10" ht="13.05" customHeight="1">
      <c r="A196" s="5"/>
      <c r="B196" s="29" t="s">
        <v>192</v>
      </c>
      <c r="C196" s="2"/>
      <c r="D196" s="2"/>
      <c r="E196" s="2"/>
      <c r="F196" s="27" t="s">
        <v>194</v>
      </c>
      <c r="G196" s="27" t="s">
        <v>194</v>
      </c>
      <c r="H196" s="27"/>
      <c r="I196" s="28"/>
      <c r="J196" s="5"/>
    </row>
    <row r="197" spans="1:10" ht="13.05" customHeight="1">
      <c r="A197" s="5"/>
      <c r="B197" s="29" t="s">
        <v>195</v>
      </c>
      <c r="C197" s="30"/>
      <c r="D197" s="2"/>
      <c r="E197" s="30"/>
      <c r="F197" s="25">
        <v>20436.179700000001</v>
      </c>
      <c r="G197" s="26">
        <v>0.22120000000000001</v>
      </c>
      <c r="H197" s="27"/>
      <c r="I197" s="28"/>
      <c r="J197" s="5"/>
    </row>
    <row r="198" spans="1:10" ht="13.05" customHeight="1">
      <c r="A198" s="5"/>
      <c r="B198" s="14" t="s">
        <v>1866</v>
      </c>
      <c r="C198" s="15"/>
      <c r="D198" s="15"/>
      <c r="E198" s="15"/>
      <c r="F198" s="15"/>
      <c r="G198" s="15"/>
      <c r="H198" s="16"/>
      <c r="I198" s="17"/>
      <c r="J198" s="5"/>
    </row>
    <row r="199" spans="1:10" ht="13.05" customHeight="1">
      <c r="A199" s="5"/>
      <c r="B199" s="14" t="s">
        <v>1867</v>
      </c>
      <c r="C199" s="15"/>
      <c r="D199" s="15"/>
      <c r="E199" s="15"/>
      <c r="F199" s="5"/>
      <c r="G199" s="16"/>
      <c r="H199" s="16"/>
      <c r="I199" s="17"/>
      <c r="J199" s="5"/>
    </row>
    <row r="200" spans="1:10" ht="13.05" customHeight="1">
      <c r="A200" s="18" t="s">
        <v>3604</v>
      </c>
      <c r="B200" s="19" t="s">
        <v>3605</v>
      </c>
      <c r="C200" s="15" t="s">
        <v>3606</v>
      </c>
      <c r="D200" s="15" t="s">
        <v>188</v>
      </c>
      <c r="E200" s="20">
        <v>1000000</v>
      </c>
      <c r="F200" s="21">
        <v>995.12599999999998</v>
      </c>
      <c r="G200" s="22">
        <v>1.0800000000000001E-2</v>
      </c>
      <c r="H200" s="23">
        <v>5.4172999999999999E-2</v>
      </c>
      <c r="I200" s="24"/>
      <c r="J200" s="5"/>
    </row>
    <row r="201" spans="1:10" ht="13.05" customHeight="1">
      <c r="A201" s="18" t="s">
        <v>3607</v>
      </c>
      <c r="B201" s="19" t="s">
        <v>3608</v>
      </c>
      <c r="C201" s="15" t="s">
        <v>3609</v>
      </c>
      <c r="D201" s="15" t="s">
        <v>188</v>
      </c>
      <c r="E201" s="20">
        <v>1000000</v>
      </c>
      <c r="F201" s="21">
        <v>990.89400000000001</v>
      </c>
      <c r="G201" s="22">
        <v>1.0699999999999999E-2</v>
      </c>
      <c r="H201" s="23">
        <v>5.4101000000000003E-2</v>
      </c>
      <c r="I201" s="24"/>
      <c r="J201" s="5"/>
    </row>
    <row r="202" spans="1:10" ht="13.05" customHeight="1">
      <c r="A202" s="18" t="s">
        <v>3610</v>
      </c>
      <c r="B202" s="19" t="s">
        <v>3611</v>
      </c>
      <c r="C202" s="15" t="s">
        <v>3612</v>
      </c>
      <c r="D202" s="15" t="s">
        <v>188</v>
      </c>
      <c r="E202" s="20">
        <v>500000</v>
      </c>
      <c r="F202" s="21">
        <v>498.53050000000002</v>
      </c>
      <c r="G202" s="22">
        <v>5.4000000000000003E-3</v>
      </c>
      <c r="H202" s="23">
        <v>5.3803999999999998E-2</v>
      </c>
      <c r="I202" s="24"/>
      <c r="J202" s="5"/>
    </row>
    <row r="203" spans="1:10" ht="13.05" customHeight="1">
      <c r="A203" s="5"/>
      <c r="B203" s="14" t="s">
        <v>192</v>
      </c>
      <c r="C203" s="15"/>
      <c r="D203" s="15"/>
      <c r="E203" s="15"/>
      <c r="F203" s="25">
        <v>2484.5504999999998</v>
      </c>
      <c r="G203" s="26">
        <v>2.69E-2</v>
      </c>
      <c r="H203" s="27"/>
      <c r="I203" s="28"/>
      <c r="J203" s="5"/>
    </row>
    <row r="204" spans="1:10" ht="13.05" customHeight="1">
      <c r="A204" s="5"/>
      <c r="B204" s="29" t="s">
        <v>195</v>
      </c>
      <c r="C204" s="30"/>
      <c r="D204" s="2"/>
      <c r="E204" s="30"/>
      <c r="F204" s="25">
        <v>2484.5504999999998</v>
      </c>
      <c r="G204" s="26">
        <v>2.69E-2</v>
      </c>
      <c r="H204" s="27"/>
      <c r="I204" s="28"/>
      <c r="J204" s="5"/>
    </row>
    <row r="205" spans="1:10" ht="13.05" customHeight="1">
      <c r="A205" s="5"/>
      <c r="B205" s="14" t="s">
        <v>196</v>
      </c>
      <c r="C205" s="15"/>
      <c r="D205" s="15"/>
      <c r="E205" s="15"/>
      <c r="F205" s="15"/>
      <c r="G205" s="15"/>
      <c r="H205" s="16"/>
      <c r="I205" s="17"/>
      <c r="J205" s="5"/>
    </row>
    <row r="206" spans="1:10" ht="13.05" customHeight="1">
      <c r="A206" s="18" t="s">
        <v>197</v>
      </c>
      <c r="B206" s="19" t="s">
        <v>198</v>
      </c>
      <c r="C206" s="15"/>
      <c r="D206" s="15"/>
      <c r="E206" s="20"/>
      <c r="F206" s="21">
        <v>1301.0838000000001</v>
      </c>
      <c r="G206" s="22">
        <v>1.41E-2</v>
      </c>
      <c r="H206" s="23">
        <v>5.5573618836606851E-2</v>
      </c>
      <c r="I206" s="24"/>
      <c r="J206" s="5"/>
    </row>
    <row r="207" spans="1:10" ht="13.05" customHeight="1">
      <c r="A207" s="5"/>
      <c r="B207" s="14" t="s">
        <v>192</v>
      </c>
      <c r="C207" s="15"/>
      <c r="D207" s="15"/>
      <c r="E207" s="15"/>
      <c r="F207" s="25">
        <v>1301.0838000000001</v>
      </c>
      <c r="G207" s="26">
        <v>1.41E-2</v>
      </c>
      <c r="H207" s="27"/>
      <c r="I207" s="28"/>
      <c r="J207" s="5"/>
    </row>
    <row r="208" spans="1:10" ht="13.05" customHeight="1">
      <c r="A208" s="5"/>
      <c r="B208" s="29" t="s">
        <v>193</v>
      </c>
      <c r="C208" s="2"/>
      <c r="D208" s="2"/>
      <c r="E208" s="2"/>
      <c r="F208" s="27" t="s">
        <v>194</v>
      </c>
      <c r="G208" s="27" t="s">
        <v>194</v>
      </c>
      <c r="H208" s="27"/>
      <c r="I208" s="28"/>
      <c r="J208" s="5"/>
    </row>
    <row r="209" spans="1:10" ht="13.05" customHeight="1">
      <c r="A209" s="5"/>
      <c r="B209" s="29" t="s">
        <v>192</v>
      </c>
      <c r="C209" s="2"/>
      <c r="D209" s="2"/>
      <c r="E209" s="2"/>
      <c r="F209" s="27" t="s">
        <v>194</v>
      </c>
      <c r="G209" s="27" t="s">
        <v>194</v>
      </c>
      <c r="H209" s="27"/>
      <c r="I209" s="28"/>
      <c r="J209" s="5"/>
    </row>
    <row r="210" spans="1:10" ht="13.05" customHeight="1">
      <c r="A210" s="5"/>
      <c r="B210" s="29" t="s">
        <v>195</v>
      </c>
      <c r="C210" s="30"/>
      <c r="D210" s="2"/>
      <c r="E210" s="30"/>
      <c r="F210" s="25">
        <v>1301.0838000000001</v>
      </c>
      <c r="G210" s="26">
        <v>1.41E-2</v>
      </c>
      <c r="H210" s="27"/>
      <c r="I210" s="28"/>
      <c r="J210" s="5"/>
    </row>
    <row r="211" spans="1:10" ht="13.05" customHeight="1">
      <c r="A211" s="5"/>
      <c r="B211" s="29" t="s">
        <v>199</v>
      </c>
      <c r="C211" s="15"/>
      <c r="D211" s="2"/>
      <c r="E211" s="15"/>
      <c r="F211" s="31">
        <v>30839.020700000001</v>
      </c>
      <c r="G211" s="26">
        <v>0.33389999999999997</v>
      </c>
      <c r="H211" s="27"/>
      <c r="I211" s="28"/>
      <c r="J211" s="5"/>
    </row>
    <row r="212" spans="1:10" ht="13.05" customHeight="1">
      <c r="A212" s="5"/>
      <c r="B212" s="32" t="s">
        <v>200</v>
      </c>
      <c r="C212" s="33"/>
      <c r="D212" s="33"/>
      <c r="E212" s="33"/>
      <c r="F212" s="34">
        <v>92378.96</v>
      </c>
      <c r="G212" s="35">
        <v>1</v>
      </c>
      <c r="H212" s="36"/>
      <c r="I212" s="37"/>
      <c r="J212" s="5"/>
    </row>
    <row r="213" spans="1:10" ht="13.05" customHeight="1">
      <c r="A213" s="5"/>
      <c r="B213" s="7"/>
      <c r="C213" s="5"/>
      <c r="D213" s="5"/>
      <c r="E213" s="5"/>
      <c r="F213" s="5"/>
      <c r="G213" s="5"/>
      <c r="H213" s="5"/>
      <c r="I213" s="5"/>
      <c r="J213" s="5"/>
    </row>
    <row r="214" spans="1:10" ht="13.05" customHeight="1">
      <c r="A214" s="5"/>
      <c r="B214" s="4" t="s">
        <v>250</v>
      </c>
      <c r="C214" s="5"/>
      <c r="D214" s="5"/>
      <c r="E214" s="5"/>
      <c r="F214" s="5"/>
      <c r="G214" s="5"/>
      <c r="H214" s="5"/>
      <c r="I214" s="5"/>
      <c r="J214" s="5"/>
    </row>
    <row r="215" spans="1:10" ht="13.05" customHeight="1">
      <c r="A215" s="5"/>
      <c r="B215" s="4" t="s">
        <v>201</v>
      </c>
      <c r="C215" s="5"/>
      <c r="D215" s="5"/>
      <c r="E215" s="5"/>
      <c r="F215" s="5"/>
      <c r="G215" s="5"/>
      <c r="H215" s="5"/>
      <c r="I215" s="5"/>
      <c r="J215" s="5"/>
    </row>
    <row r="216" spans="1:10" ht="25.95" customHeight="1">
      <c r="A216" s="5"/>
      <c r="B216" s="103" t="s">
        <v>202</v>
      </c>
      <c r="C216" s="103"/>
      <c r="D216" s="103"/>
      <c r="E216" s="103"/>
      <c r="F216" s="103"/>
      <c r="G216" s="103"/>
      <c r="H216" s="103"/>
      <c r="I216" s="103"/>
      <c r="J216" s="5"/>
    </row>
    <row r="217" spans="1:10" ht="13.05" customHeight="1">
      <c r="A217" s="5"/>
      <c r="B217" s="103" t="s">
        <v>203</v>
      </c>
      <c r="C217" s="103"/>
      <c r="D217" s="103"/>
      <c r="E217" s="103"/>
      <c r="F217" s="103"/>
      <c r="G217" s="103"/>
      <c r="H217" s="103"/>
      <c r="I217" s="103"/>
      <c r="J217" s="5"/>
    </row>
    <row r="218" spans="1:10" ht="13.05" customHeight="1">
      <c r="A218" s="5"/>
      <c r="B218" s="103"/>
      <c r="C218" s="103"/>
      <c r="D218" s="103"/>
      <c r="E218" s="103"/>
      <c r="F218" s="103"/>
      <c r="G218" s="103"/>
      <c r="H218" s="103"/>
      <c r="I218" s="103"/>
      <c r="J218" s="5"/>
    </row>
    <row r="219" spans="1:10" ht="13.05" customHeight="1">
      <c r="A219" s="5"/>
      <c r="B219" s="103"/>
      <c r="C219" s="103"/>
      <c r="D219" s="103"/>
      <c r="E219" s="103"/>
      <c r="F219" s="103"/>
      <c r="G219" s="103"/>
      <c r="H219" s="103"/>
      <c r="I219" s="103"/>
      <c r="J219" s="5"/>
    </row>
    <row r="220" spans="1:10" ht="13.05" customHeight="1">
      <c r="A220" s="5"/>
      <c r="B220" s="103"/>
      <c r="C220" s="103"/>
      <c r="D220" s="103"/>
      <c r="E220" s="103"/>
      <c r="F220" s="103"/>
      <c r="G220" s="103"/>
      <c r="H220" s="103"/>
      <c r="I220" s="103"/>
      <c r="J220" s="5"/>
    </row>
    <row r="221" spans="1:10" ht="13.05" customHeight="1">
      <c r="A221" s="5"/>
      <c r="B221" s="103"/>
      <c r="C221" s="103"/>
      <c r="D221" s="103"/>
      <c r="E221" s="103"/>
      <c r="F221" s="103"/>
      <c r="G221" s="103"/>
      <c r="H221" s="103"/>
      <c r="I221" s="103"/>
      <c r="J221" s="5"/>
    </row>
    <row r="222" spans="1:10" ht="13.05" customHeight="1">
      <c r="A222" s="5"/>
      <c r="B222" s="5"/>
      <c r="C222" s="104" t="s">
        <v>3613</v>
      </c>
      <c r="D222" s="104"/>
      <c r="E222" s="104"/>
      <c r="F222" s="104"/>
      <c r="G222" s="5"/>
      <c r="H222" s="5"/>
      <c r="I222" s="5"/>
      <c r="J222" s="5"/>
    </row>
    <row r="223" spans="1:10" ht="13.05" customHeight="1">
      <c r="A223" s="5"/>
      <c r="B223" s="38" t="s">
        <v>207</v>
      </c>
      <c r="C223" s="104" t="s">
        <v>208</v>
      </c>
      <c r="D223" s="104"/>
      <c r="E223" s="104"/>
      <c r="F223" s="104"/>
      <c r="G223" s="5"/>
      <c r="H223" s="5"/>
      <c r="I223" s="5"/>
      <c r="J223" s="5"/>
    </row>
    <row r="224" spans="1:10" ht="135" customHeight="1">
      <c r="A224" s="5"/>
      <c r="B224" s="39"/>
      <c r="C224" s="105"/>
      <c r="D224" s="105"/>
      <c r="E224" s="5"/>
      <c r="F224" s="5"/>
      <c r="G224" s="5"/>
      <c r="H224" s="5"/>
      <c r="I224" s="5"/>
      <c r="J224" s="5"/>
    </row>
  </sheetData>
  <mergeCells count="9">
    <mergeCell ref="B221:I221"/>
    <mergeCell ref="C222:F222"/>
    <mergeCell ref="C223:F223"/>
    <mergeCell ref="C224:D224"/>
    <mergeCell ref="B216:I216"/>
    <mergeCell ref="B217:I217"/>
    <mergeCell ref="B218:I218"/>
    <mergeCell ref="B219:I219"/>
    <mergeCell ref="B220:I220"/>
  </mergeCells>
  <hyperlinks>
    <hyperlink ref="A1" location="AxisEquitySavingsFund" display="AXISESF" xr:uid="{00000000-0004-0000-1900-000000000000}"/>
    <hyperlink ref="B1" location="AxisEquitySavingsFund" display="Axis Equity Savings Fund" xr:uid="{00000000-0004-0000-19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outlinePr summaryBelow="0"/>
  </sheetPr>
  <dimension ref="A1:N89"/>
  <sheetViews>
    <sheetView tabSelected="1" topLeftCell="A47" workbookViewId="0">
      <selection activeCell="B76" sqref="B76:B77"/>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10" width="16.6640625" customWidth="1"/>
    <col min="11" max="11" width="14.6640625" customWidth="1"/>
    <col min="12" max="12" width="92.109375" style="88" customWidth="1"/>
    <col min="13" max="13" width="10.77734375" customWidth="1"/>
    <col min="14" max="14" width="11.6640625" bestFit="1" customWidth="1"/>
  </cols>
  <sheetData>
    <row r="1" spans="1:13" ht="16.05" customHeight="1">
      <c r="A1" s="110" t="s">
        <v>55</v>
      </c>
      <c r="B1" s="111" t="s">
        <v>56</v>
      </c>
      <c r="C1" s="112"/>
      <c r="D1" s="112"/>
      <c r="E1" s="112"/>
      <c r="F1" s="112"/>
      <c r="G1" s="112"/>
      <c r="H1" s="112"/>
      <c r="I1" s="112"/>
      <c r="J1" s="112"/>
      <c r="K1" s="112"/>
      <c r="L1" s="113"/>
      <c r="M1" s="112"/>
    </row>
    <row r="2" spans="1:13" ht="13.05" customHeight="1">
      <c r="A2" s="112"/>
      <c r="B2" s="114"/>
      <c r="C2" s="112"/>
      <c r="D2" s="112"/>
      <c r="E2" s="112"/>
      <c r="F2" s="112"/>
      <c r="G2" s="112"/>
      <c r="H2" s="112"/>
      <c r="I2" s="112"/>
      <c r="J2" s="112"/>
      <c r="K2" s="112"/>
      <c r="L2" s="113"/>
      <c r="M2" s="112"/>
    </row>
    <row r="3" spans="1:13" ht="13.05" customHeight="1">
      <c r="A3" s="115" t="s">
        <v>172</v>
      </c>
      <c r="B3" s="116" t="s">
        <v>173</v>
      </c>
      <c r="C3" s="112"/>
      <c r="D3" s="112"/>
      <c r="E3" s="112"/>
      <c r="F3" s="112"/>
      <c r="G3" s="112"/>
      <c r="H3" s="112"/>
      <c r="I3" s="112"/>
      <c r="J3" s="112"/>
      <c r="K3" s="112"/>
      <c r="L3" s="113"/>
      <c r="M3" s="112"/>
    </row>
    <row r="4" spans="1:13" ht="28.05" customHeight="1">
      <c r="A4" s="112"/>
      <c r="B4" s="117" t="s">
        <v>174</v>
      </c>
      <c r="C4" s="118" t="s">
        <v>175</v>
      </c>
      <c r="D4" s="119" t="s">
        <v>251</v>
      </c>
      <c r="E4" s="119" t="s">
        <v>177</v>
      </c>
      <c r="F4" s="119" t="s">
        <v>178</v>
      </c>
      <c r="G4" s="119" t="s">
        <v>179</v>
      </c>
      <c r="H4" s="120" t="s">
        <v>180</v>
      </c>
      <c r="I4" s="119" t="s">
        <v>181</v>
      </c>
      <c r="J4" s="119" t="s">
        <v>5527</v>
      </c>
      <c r="K4" s="119" t="s">
        <v>5528</v>
      </c>
      <c r="L4" s="121" t="s">
        <v>5529</v>
      </c>
      <c r="M4" s="122" t="s">
        <v>182</v>
      </c>
    </row>
    <row r="5" spans="1:13" ht="13.05" customHeight="1">
      <c r="A5" s="112"/>
      <c r="B5" s="123" t="s">
        <v>252</v>
      </c>
      <c r="C5" s="124"/>
      <c r="D5" s="124"/>
      <c r="E5" s="124"/>
      <c r="F5" s="124"/>
      <c r="G5" s="124"/>
      <c r="H5" s="125"/>
      <c r="I5" s="126"/>
      <c r="J5" s="126"/>
      <c r="K5" s="126"/>
      <c r="L5" s="127"/>
      <c r="M5" s="112"/>
    </row>
    <row r="6" spans="1:13" ht="13.05" customHeight="1">
      <c r="A6" s="112"/>
      <c r="B6" s="123" t="s">
        <v>253</v>
      </c>
      <c r="C6" s="124"/>
      <c r="D6" s="124"/>
      <c r="E6" s="124"/>
      <c r="F6" s="112"/>
      <c r="G6" s="126"/>
      <c r="H6" s="125"/>
      <c r="I6" s="126"/>
      <c r="J6" s="126"/>
      <c r="K6" s="126"/>
      <c r="L6" s="127"/>
      <c r="M6" s="112"/>
    </row>
    <row r="7" spans="1:13" ht="13.05" customHeight="1">
      <c r="A7" s="128" t="s">
        <v>262</v>
      </c>
      <c r="B7" s="129" t="s">
        <v>263</v>
      </c>
      <c r="C7" s="124" t="s">
        <v>264</v>
      </c>
      <c r="D7" s="124" t="s">
        <v>257</v>
      </c>
      <c r="E7" s="130">
        <v>630000</v>
      </c>
      <c r="F7" s="131">
        <v>8475.39</v>
      </c>
      <c r="G7" s="132">
        <v>6.9400000000000003E-2</v>
      </c>
      <c r="H7" s="133"/>
      <c r="I7" s="134"/>
      <c r="J7" s="134">
        <v>76.7</v>
      </c>
      <c r="K7" s="134">
        <v>100</v>
      </c>
      <c r="L7" s="135" t="s">
        <v>5530</v>
      </c>
      <c r="M7" s="112"/>
    </row>
    <row r="8" spans="1:13" ht="13.05" customHeight="1">
      <c r="A8" s="128" t="s">
        <v>254</v>
      </c>
      <c r="B8" s="129" t="s">
        <v>255</v>
      </c>
      <c r="C8" s="124" t="s">
        <v>256</v>
      </c>
      <c r="D8" s="124" t="s">
        <v>257</v>
      </c>
      <c r="E8" s="130">
        <v>815448</v>
      </c>
      <c r="F8" s="131">
        <v>8050.9180999999999</v>
      </c>
      <c r="G8" s="132">
        <v>6.6000000000000003E-2</v>
      </c>
      <c r="H8" s="133"/>
      <c r="I8" s="134"/>
      <c r="J8" s="134">
        <v>80.099999999999994</v>
      </c>
      <c r="K8" s="134">
        <v>100</v>
      </c>
      <c r="L8" s="135" t="s">
        <v>5532</v>
      </c>
      <c r="M8" s="112"/>
    </row>
    <row r="9" spans="1:13" ht="13.05" customHeight="1">
      <c r="A9" s="128" t="s">
        <v>265</v>
      </c>
      <c r="B9" s="129" t="s">
        <v>266</v>
      </c>
      <c r="C9" s="124" t="s">
        <v>267</v>
      </c>
      <c r="D9" s="124" t="s">
        <v>268</v>
      </c>
      <c r="E9" s="130">
        <v>377000</v>
      </c>
      <c r="F9" s="131">
        <v>7745.4650000000001</v>
      </c>
      <c r="G9" s="132">
        <v>6.3500000000000001E-2</v>
      </c>
      <c r="H9" s="133"/>
      <c r="I9" s="134"/>
      <c r="J9" s="134">
        <v>74.8</v>
      </c>
      <c r="K9" s="134">
        <v>100</v>
      </c>
      <c r="L9" s="135" t="s">
        <v>5533</v>
      </c>
      <c r="M9" s="112"/>
    </row>
    <row r="10" spans="1:13" ht="13.05" customHeight="1">
      <c r="A10" s="128" t="s">
        <v>297</v>
      </c>
      <c r="B10" s="129" t="s">
        <v>298</v>
      </c>
      <c r="C10" s="124" t="s">
        <v>299</v>
      </c>
      <c r="D10" s="124" t="s">
        <v>300</v>
      </c>
      <c r="E10" s="130">
        <v>665900</v>
      </c>
      <c r="F10" s="131">
        <v>6944.0051999999996</v>
      </c>
      <c r="G10" s="132">
        <v>5.6899999999999999E-2</v>
      </c>
      <c r="H10" s="133"/>
      <c r="I10" s="134"/>
      <c r="J10" s="134">
        <v>78.7</v>
      </c>
      <c r="K10" s="134">
        <v>100</v>
      </c>
      <c r="L10" s="135" t="s">
        <v>5534</v>
      </c>
      <c r="M10" s="112"/>
    </row>
    <row r="11" spans="1:13" ht="13.05" customHeight="1">
      <c r="A11" s="128" t="s">
        <v>258</v>
      </c>
      <c r="B11" s="129" t="s">
        <v>259</v>
      </c>
      <c r="C11" s="124" t="s">
        <v>260</v>
      </c>
      <c r="D11" s="124" t="s">
        <v>261</v>
      </c>
      <c r="E11" s="130">
        <v>390740</v>
      </c>
      <c r="F11" s="131">
        <v>5807.9593999999997</v>
      </c>
      <c r="G11" s="132">
        <v>4.7600000000000003E-2</v>
      </c>
      <c r="H11" s="133"/>
      <c r="I11" s="134"/>
      <c r="J11" s="134">
        <v>68</v>
      </c>
      <c r="K11" s="134">
        <v>100</v>
      </c>
      <c r="L11" s="135" t="s">
        <v>5535</v>
      </c>
      <c r="M11" s="112"/>
    </row>
    <row r="12" spans="1:13" ht="13.05" customHeight="1">
      <c r="A12" s="128" t="s">
        <v>949</v>
      </c>
      <c r="B12" s="129" t="s">
        <v>950</v>
      </c>
      <c r="C12" s="124" t="s">
        <v>951</v>
      </c>
      <c r="D12" s="124" t="s">
        <v>314</v>
      </c>
      <c r="E12" s="130">
        <v>289485</v>
      </c>
      <c r="F12" s="131">
        <v>5583.8761999999997</v>
      </c>
      <c r="G12" s="132">
        <v>4.5699999999999998E-2</v>
      </c>
      <c r="H12" s="133"/>
      <c r="I12" s="134"/>
      <c r="J12" s="134">
        <v>65</v>
      </c>
      <c r="K12" s="134" t="s">
        <v>5536</v>
      </c>
      <c r="L12" s="135" t="s">
        <v>5537</v>
      </c>
      <c r="M12" s="112"/>
    </row>
    <row r="13" spans="1:13" ht="13.05" customHeight="1">
      <c r="A13" s="128" t="s">
        <v>345</v>
      </c>
      <c r="B13" s="129" t="s">
        <v>346</v>
      </c>
      <c r="C13" s="124" t="s">
        <v>347</v>
      </c>
      <c r="D13" s="124" t="s">
        <v>348</v>
      </c>
      <c r="E13" s="130">
        <v>80827</v>
      </c>
      <c r="F13" s="131">
        <v>4546.5187999999998</v>
      </c>
      <c r="G13" s="132">
        <v>3.7199999999999997E-2</v>
      </c>
      <c r="H13" s="133"/>
      <c r="I13" s="134"/>
      <c r="J13" s="134">
        <v>73</v>
      </c>
      <c r="K13" s="134">
        <v>99</v>
      </c>
      <c r="L13" s="135" t="s">
        <v>5538</v>
      </c>
      <c r="M13" s="112"/>
    </row>
    <row r="14" spans="1:13" ht="13.05" customHeight="1">
      <c r="A14" s="128" t="s">
        <v>301</v>
      </c>
      <c r="B14" s="129" t="s">
        <v>302</v>
      </c>
      <c r="C14" s="124" t="s">
        <v>303</v>
      </c>
      <c r="D14" s="124" t="s">
        <v>304</v>
      </c>
      <c r="E14" s="130">
        <v>1394435</v>
      </c>
      <c r="F14" s="131">
        <v>4430.8172000000004</v>
      </c>
      <c r="G14" s="132">
        <v>3.6299999999999999E-2</v>
      </c>
      <c r="H14" s="133"/>
      <c r="I14" s="134"/>
      <c r="J14" s="134">
        <v>70.3</v>
      </c>
      <c r="K14" s="134">
        <v>77</v>
      </c>
      <c r="L14" s="135" t="s">
        <v>5539</v>
      </c>
      <c r="M14" s="112"/>
    </row>
    <row r="15" spans="1:13" ht="13.05" customHeight="1">
      <c r="A15" s="128" t="s">
        <v>269</v>
      </c>
      <c r="B15" s="129" t="s">
        <v>270</v>
      </c>
      <c r="C15" s="124" t="s">
        <v>271</v>
      </c>
      <c r="D15" s="124" t="s">
        <v>272</v>
      </c>
      <c r="E15" s="130">
        <v>275000</v>
      </c>
      <c r="F15" s="131">
        <v>4076.3249999999998</v>
      </c>
      <c r="G15" s="132">
        <v>3.3399999999999999E-2</v>
      </c>
      <c r="H15" s="133"/>
      <c r="I15" s="134"/>
      <c r="J15" s="134">
        <v>80.900000000000006</v>
      </c>
      <c r="K15" s="134">
        <v>100</v>
      </c>
      <c r="L15" s="135" t="s">
        <v>5540</v>
      </c>
      <c r="M15" s="112"/>
    </row>
    <row r="16" spans="1:13" ht="13.05" customHeight="1">
      <c r="A16" s="128" t="s">
        <v>535</v>
      </c>
      <c r="B16" s="129" t="s">
        <v>536</v>
      </c>
      <c r="C16" s="124" t="s">
        <v>537</v>
      </c>
      <c r="D16" s="124" t="s">
        <v>257</v>
      </c>
      <c r="E16" s="130">
        <v>460460</v>
      </c>
      <c r="F16" s="131">
        <v>4042.1480999999999</v>
      </c>
      <c r="G16" s="132">
        <v>3.3099999999999997E-2</v>
      </c>
      <c r="H16" s="133"/>
      <c r="I16" s="134"/>
      <c r="J16" s="134">
        <v>79.5</v>
      </c>
      <c r="K16" s="134" t="s">
        <v>5536</v>
      </c>
      <c r="L16" s="135" t="s">
        <v>5541</v>
      </c>
      <c r="M16" s="112"/>
    </row>
    <row r="17" spans="1:13" ht="13.05" customHeight="1">
      <c r="A17" s="128" t="s">
        <v>308</v>
      </c>
      <c r="B17" s="129" t="s">
        <v>309</v>
      </c>
      <c r="C17" s="124" t="s">
        <v>310</v>
      </c>
      <c r="D17" s="124" t="s">
        <v>296</v>
      </c>
      <c r="E17" s="130">
        <v>22968</v>
      </c>
      <c r="F17" s="131">
        <v>3717.6005</v>
      </c>
      <c r="G17" s="132">
        <v>3.0499999999999999E-2</v>
      </c>
      <c r="H17" s="133"/>
      <c r="I17" s="134"/>
      <c r="J17" s="134">
        <v>76.599999999999994</v>
      </c>
      <c r="K17" s="134">
        <v>100</v>
      </c>
      <c r="L17" s="135" t="s">
        <v>5542</v>
      </c>
      <c r="M17" s="112"/>
    </row>
    <row r="18" spans="1:13" ht="13.05" customHeight="1">
      <c r="A18" s="128" t="s">
        <v>446</v>
      </c>
      <c r="B18" s="129" t="s">
        <v>447</v>
      </c>
      <c r="C18" s="124" t="s">
        <v>448</v>
      </c>
      <c r="D18" s="124" t="s">
        <v>300</v>
      </c>
      <c r="E18" s="130">
        <v>202103</v>
      </c>
      <c r="F18" s="131">
        <v>3429.2837</v>
      </c>
      <c r="G18" s="132">
        <v>2.81E-2</v>
      </c>
      <c r="H18" s="133"/>
      <c r="I18" s="134"/>
      <c r="J18" s="134">
        <v>79.8</v>
      </c>
      <c r="K18" s="134">
        <v>97</v>
      </c>
      <c r="L18" s="135" t="s">
        <v>5543</v>
      </c>
      <c r="M18" s="112"/>
    </row>
    <row r="19" spans="1:13" ht="13.05" customHeight="1">
      <c r="A19" s="128" t="s">
        <v>423</v>
      </c>
      <c r="B19" s="129" t="s">
        <v>424</v>
      </c>
      <c r="C19" s="124" t="s">
        <v>425</v>
      </c>
      <c r="D19" s="124" t="s">
        <v>296</v>
      </c>
      <c r="E19" s="130">
        <v>93375</v>
      </c>
      <c r="F19" s="131">
        <v>3276.2485999999999</v>
      </c>
      <c r="G19" s="132">
        <v>2.6800000000000001E-2</v>
      </c>
      <c r="H19" s="133"/>
      <c r="I19" s="134"/>
      <c r="J19" s="134">
        <v>73.3</v>
      </c>
      <c r="K19" s="134">
        <v>63</v>
      </c>
      <c r="L19" s="135" t="s">
        <v>5531</v>
      </c>
      <c r="M19" s="112"/>
    </row>
    <row r="20" spans="1:13" ht="13.05" customHeight="1">
      <c r="A20" s="128" t="s">
        <v>315</v>
      </c>
      <c r="B20" s="129" t="s">
        <v>316</v>
      </c>
      <c r="C20" s="124" t="s">
        <v>317</v>
      </c>
      <c r="D20" s="124" t="s">
        <v>272</v>
      </c>
      <c r="E20" s="130">
        <v>212049</v>
      </c>
      <c r="F20" s="131">
        <v>3268.7352999999998</v>
      </c>
      <c r="G20" s="132">
        <v>2.6800000000000001E-2</v>
      </c>
      <c r="H20" s="133"/>
      <c r="I20" s="134"/>
      <c r="J20" s="134">
        <v>79.400000000000006</v>
      </c>
      <c r="K20" s="134">
        <v>100</v>
      </c>
      <c r="L20" s="135" t="s">
        <v>5544</v>
      </c>
      <c r="M20" s="112"/>
    </row>
    <row r="21" spans="1:13" ht="13.05" customHeight="1">
      <c r="A21" s="128" t="s">
        <v>273</v>
      </c>
      <c r="B21" s="129" t="s">
        <v>274</v>
      </c>
      <c r="C21" s="124" t="s">
        <v>275</v>
      </c>
      <c r="D21" s="124" t="s">
        <v>276</v>
      </c>
      <c r="E21" s="130">
        <v>75000</v>
      </c>
      <c r="F21" s="131">
        <v>3023.1750000000002</v>
      </c>
      <c r="G21" s="132">
        <v>2.4799999999999999E-2</v>
      </c>
      <c r="H21" s="133"/>
      <c r="I21" s="134"/>
      <c r="J21" s="134">
        <v>71.3</v>
      </c>
      <c r="K21" s="134">
        <v>79.599999999999994</v>
      </c>
      <c r="L21" s="135" t="s">
        <v>5545</v>
      </c>
      <c r="M21" s="112"/>
    </row>
    <row r="22" spans="1:13" ht="13.05" customHeight="1">
      <c r="A22" s="128" t="s">
        <v>432</v>
      </c>
      <c r="B22" s="129" t="s">
        <v>433</v>
      </c>
      <c r="C22" s="124" t="s">
        <v>434</v>
      </c>
      <c r="D22" s="124" t="s">
        <v>435</v>
      </c>
      <c r="E22" s="130">
        <v>216972</v>
      </c>
      <c r="F22" s="131">
        <v>2527.7238000000002</v>
      </c>
      <c r="G22" s="132">
        <v>2.07E-2</v>
      </c>
      <c r="H22" s="133"/>
      <c r="I22" s="134"/>
      <c r="J22" s="134">
        <v>66.8</v>
      </c>
      <c r="K22" s="134">
        <v>100</v>
      </c>
      <c r="L22" s="135" t="s">
        <v>5546</v>
      </c>
      <c r="M22" s="112"/>
    </row>
    <row r="23" spans="1:13" ht="13.05" customHeight="1">
      <c r="A23" s="128" t="s">
        <v>392</v>
      </c>
      <c r="B23" s="129" t="s">
        <v>393</v>
      </c>
      <c r="C23" s="124" t="s">
        <v>394</v>
      </c>
      <c r="D23" s="124" t="s">
        <v>272</v>
      </c>
      <c r="E23" s="130">
        <v>175683</v>
      </c>
      <c r="F23" s="131">
        <v>2502.4286999999999</v>
      </c>
      <c r="G23" s="132">
        <v>2.0500000000000001E-2</v>
      </c>
      <c r="H23" s="133"/>
      <c r="I23" s="134"/>
      <c r="J23" s="134">
        <v>77.900000000000006</v>
      </c>
      <c r="K23" s="134">
        <v>100</v>
      </c>
      <c r="L23" s="135" t="s">
        <v>5547</v>
      </c>
      <c r="M23" s="112"/>
    </row>
    <row r="24" spans="1:13" ht="13.05" customHeight="1">
      <c r="A24" s="128" t="s">
        <v>416</v>
      </c>
      <c r="B24" s="129" t="s">
        <v>417</v>
      </c>
      <c r="C24" s="124" t="s">
        <v>418</v>
      </c>
      <c r="D24" s="124" t="s">
        <v>314</v>
      </c>
      <c r="E24" s="130">
        <v>165000</v>
      </c>
      <c r="F24" s="131">
        <v>2477.145</v>
      </c>
      <c r="G24" s="132">
        <v>2.0299999999999999E-2</v>
      </c>
      <c r="H24" s="133"/>
      <c r="I24" s="134"/>
      <c r="J24" s="134">
        <v>69.3</v>
      </c>
      <c r="K24" s="134">
        <v>100</v>
      </c>
      <c r="L24" s="135" t="s">
        <v>5548</v>
      </c>
      <c r="M24" s="112"/>
    </row>
    <row r="25" spans="1:13" ht="13.05" customHeight="1">
      <c r="A25" s="128" t="s">
        <v>472</v>
      </c>
      <c r="B25" s="129" t="s">
        <v>473</v>
      </c>
      <c r="C25" s="124" t="s">
        <v>474</v>
      </c>
      <c r="D25" s="124" t="s">
        <v>475</v>
      </c>
      <c r="E25" s="130">
        <v>525185</v>
      </c>
      <c r="F25" s="131">
        <v>2466.5313999999998</v>
      </c>
      <c r="G25" s="132">
        <v>2.0199999999999999E-2</v>
      </c>
      <c r="H25" s="133"/>
      <c r="I25" s="134"/>
      <c r="J25" s="134">
        <v>66.400000000000006</v>
      </c>
      <c r="K25" s="134">
        <v>92</v>
      </c>
      <c r="L25" s="135" t="s">
        <v>5549</v>
      </c>
      <c r="M25" s="112"/>
    </row>
    <row r="26" spans="1:13" ht="13.05" customHeight="1">
      <c r="A26" s="128" t="s">
        <v>368</v>
      </c>
      <c r="B26" s="129" t="s">
        <v>369</v>
      </c>
      <c r="C26" s="124" t="s">
        <v>370</v>
      </c>
      <c r="D26" s="124" t="s">
        <v>304</v>
      </c>
      <c r="E26" s="130">
        <v>50969</v>
      </c>
      <c r="F26" s="131">
        <v>2392.6378</v>
      </c>
      <c r="G26" s="132">
        <v>1.9599999999999999E-2</v>
      </c>
      <c r="H26" s="133"/>
      <c r="I26" s="134"/>
      <c r="J26" s="134">
        <v>68.900000000000006</v>
      </c>
      <c r="K26" s="134">
        <v>100</v>
      </c>
      <c r="L26" s="135" t="s">
        <v>5550</v>
      </c>
      <c r="M26" s="112"/>
    </row>
    <row r="27" spans="1:13" ht="13.05" customHeight="1">
      <c r="A27" s="128" t="s">
        <v>290</v>
      </c>
      <c r="B27" s="129" t="s">
        <v>291</v>
      </c>
      <c r="C27" s="124" t="s">
        <v>292</v>
      </c>
      <c r="D27" s="124" t="s">
        <v>257</v>
      </c>
      <c r="E27" s="130">
        <v>109000</v>
      </c>
      <c r="F27" s="131">
        <v>2291.3980000000001</v>
      </c>
      <c r="G27" s="132">
        <v>1.8800000000000001E-2</v>
      </c>
      <c r="H27" s="133"/>
      <c r="I27" s="134"/>
      <c r="J27" s="134">
        <v>79.099999999999994</v>
      </c>
      <c r="K27" s="134">
        <v>100</v>
      </c>
      <c r="L27" s="135" t="s">
        <v>5551</v>
      </c>
      <c r="M27" s="112"/>
    </row>
    <row r="28" spans="1:13" ht="13.05" customHeight="1">
      <c r="A28" s="128" t="s">
        <v>455</v>
      </c>
      <c r="B28" s="129" t="s">
        <v>456</v>
      </c>
      <c r="C28" s="124" t="s">
        <v>457</v>
      </c>
      <c r="D28" s="124" t="s">
        <v>272</v>
      </c>
      <c r="E28" s="130">
        <v>950000</v>
      </c>
      <c r="F28" s="131">
        <v>2286.3649999999998</v>
      </c>
      <c r="G28" s="132">
        <v>1.8700000000000001E-2</v>
      </c>
      <c r="H28" s="133"/>
      <c r="I28" s="134"/>
      <c r="J28" s="134">
        <v>78.3</v>
      </c>
      <c r="K28" s="134">
        <v>100</v>
      </c>
      <c r="L28" s="135" t="s">
        <v>5552</v>
      </c>
      <c r="M28" s="112"/>
    </row>
    <row r="29" spans="1:13" ht="13.05" customHeight="1">
      <c r="A29" s="128" t="s">
        <v>458</v>
      </c>
      <c r="B29" s="129" t="s">
        <v>459</v>
      </c>
      <c r="C29" s="124" t="s">
        <v>460</v>
      </c>
      <c r="D29" s="124" t="s">
        <v>321</v>
      </c>
      <c r="E29" s="130">
        <v>533762</v>
      </c>
      <c r="F29" s="131">
        <v>2161.2022999999999</v>
      </c>
      <c r="G29" s="132">
        <v>1.77E-2</v>
      </c>
      <c r="H29" s="133"/>
      <c r="I29" s="134"/>
      <c r="J29" s="134">
        <v>68.099999999999994</v>
      </c>
      <c r="K29" s="134">
        <v>100</v>
      </c>
      <c r="L29" s="135" t="s">
        <v>5553</v>
      </c>
      <c r="M29" s="112"/>
    </row>
    <row r="30" spans="1:13" ht="13.05" customHeight="1">
      <c r="A30" s="128" t="s">
        <v>281</v>
      </c>
      <c r="B30" s="129" t="s">
        <v>282</v>
      </c>
      <c r="C30" s="124" t="s">
        <v>283</v>
      </c>
      <c r="D30" s="124" t="s">
        <v>257</v>
      </c>
      <c r="E30" s="130">
        <v>230000</v>
      </c>
      <c r="F30" s="131">
        <v>2155.1</v>
      </c>
      <c r="G30" s="132">
        <v>1.77E-2</v>
      </c>
      <c r="H30" s="133"/>
      <c r="I30" s="134"/>
      <c r="J30" s="134">
        <v>71.2</v>
      </c>
      <c r="K30" s="134">
        <v>100</v>
      </c>
      <c r="L30" s="135" t="s">
        <v>5554</v>
      </c>
      <c r="M30" s="112"/>
    </row>
    <row r="31" spans="1:13" ht="13.05" customHeight="1">
      <c r="A31" s="128" t="s">
        <v>311</v>
      </c>
      <c r="B31" s="129" t="s">
        <v>312</v>
      </c>
      <c r="C31" s="124" t="s">
        <v>313</v>
      </c>
      <c r="D31" s="124" t="s">
        <v>314</v>
      </c>
      <c r="E31" s="130">
        <v>105000</v>
      </c>
      <c r="F31" s="131">
        <v>1775.2349999999999</v>
      </c>
      <c r="G31" s="132">
        <v>1.4500000000000001E-2</v>
      </c>
      <c r="H31" s="133"/>
      <c r="I31" s="134"/>
      <c r="J31" s="134">
        <v>66.900000000000006</v>
      </c>
      <c r="K31" s="134">
        <v>100</v>
      </c>
      <c r="L31" s="135" t="s">
        <v>5555</v>
      </c>
      <c r="M31" s="112"/>
    </row>
    <row r="32" spans="1:13" ht="13.05" customHeight="1">
      <c r="A32" s="128" t="s">
        <v>931</v>
      </c>
      <c r="B32" s="129" t="s">
        <v>932</v>
      </c>
      <c r="C32" s="124" t="s">
        <v>933</v>
      </c>
      <c r="D32" s="124" t="s">
        <v>325</v>
      </c>
      <c r="E32" s="130">
        <v>20000</v>
      </c>
      <c r="F32" s="131">
        <v>1607.3</v>
      </c>
      <c r="G32" s="132">
        <v>1.32E-2</v>
      </c>
      <c r="H32" s="133"/>
      <c r="I32" s="134"/>
      <c r="J32" s="134">
        <v>73.400000000000006</v>
      </c>
      <c r="K32" s="134" t="s">
        <v>5536</v>
      </c>
      <c r="L32" s="135" t="s">
        <v>5556</v>
      </c>
      <c r="M32" s="112"/>
    </row>
    <row r="33" spans="1:13" ht="13.05" customHeight="1">
      <c r="A33" s="128" t="s">
        <v>495</v>
      </c>
      <c r="B33" s="129" t="s">
        <v>496</v>
      </c>
      <c r="C33" s="124" t="s">
        <v>497</v>
      </c>
      <c r="D33" s="124" t="s">
        <v>257</v>
      </c>
      <c r="E33" s="130">
        <v>626029</v>
      </c>
      <c r="F33" s="131">
        <v>1481.2472</v>
      </c>
      <c r="G33" s="132">
        <v>1.21E-2</v>
      </c>
      <c r="H33" s="133"/>
      <c r="I33" s="134"/>
      <c r="J33" s="134">
        <v>79.3</v>
      </c>
      <c r="K33" s="134">
        <v>100</v>
      </c>
      <c r="L33" s="135" t="s">
        <v>5557</v>
      </c>
      <c r="M33" s="112"/>
    </row>
    <row r="34" spans="1:13" ht="13.05" customHeight="1">
      <c r="A34" s="128" t="s">
        <v>625</v>
      </c>
      <c r="B34" s="129" t="s">
        <v>626</v>
      </c>
      <c r="C34" s="124" t="s">
        <v>627</v>
      </c>
      <c r="D34" s="124" t="s">
        <v>314</v>
      </c>
      <c r="E34" s="130">
        <v>40547</v>
      </c>
      <c r="F34" s="131">
        <v>1443.5137</v>
      </c>
      <c r="G34" s="132">
        <v>1.18E-2</v>
      </c>
      <c r="H34" s="133"/>
      <c r="I34" s="134"/>
      <c r="J34" s="134">
        <v>69.599999999999994</v>
      </c>
      <c r="K34" s="134">
        <v>100</v>
      </c>
      <c r="L34" s="135" t="s">
        <v>5558</v>
      </c>
      <c r="M34" s="112"/>
    </row>
    <row r="35" spans="1:13" ht="13.05" customHeight="1">
      <c r="A35" s="128" t="s">
        <v>305</v>
      </c>
      <c r="B35" s="129" t="s">
        <v>306</v>
      </c>
      <c r="C35" s="124" t="s">
        <v>307</v>
      </c>
      <c r="D35" s="124" t="s">
        <v>280</v>
      </c>
      <c r="E35" s="130">
        <v>55000</v>
      </c>
      <c r="F35" s="131">
        <v>1356.0250000000001</v>
      </c>
      <c r="G35" s="132">
        <v>1.11E-2</v>
      </c>
      <c r="H35" s="133"/>
      <c r="I35" s="134"/>
      <c r="J35" s="134">
        <v>77.2</v>
      </c>
      <c r="K35" s="134">
        <v>100</v>
      </c>
      <c r="L35" s="135" t="s">
        <v>5559</v>
      </c>
      <c r="M35" s="112"/>
    </row>
    <row r="36" spans="1:13" ht="13.05" customHeight="1">
      <c r="A36" s="128" t="s">
        <v>429</v>
      </c>
      <c r="B36" s="129" t="s">
        <v>430</v>
      </c>
      <c r="C36" s="124" t="s">
        <v>431</v>
      </c>
      <c r="D36" s="124" t="s">
        <v>415</v>
      </c>
      <c r="E36" s="130">
        <v>17000</v>
      </c>
      <c r="F36" s="131">
        <v>1305.77</v>
      </c>
      <c r="G36" s="132">
        <v>1.0699999999999999E-2</v>
      </c>
      <c r="H36" s="133"/>
      <c r="I36" s="134"/>
      <c r="J36" s="134">
        <v>67.099999999999994</v>
      </c>
      <c r="K36" s="134">
        <v>74.7</v>
      </c>
      <c r="L36" s="135" t="s">
        <v>5560</v>
      </c>
      <c r="M36" s="112"/>
    </row>
    <row r="37" spans="1:13" ht="13.05" customHeight="1">
      <c r="A37" s="128" t="s">
        <v>334</v>
      </c>
      <c r="B37" s="129" t="s">
        <v>335</v>
      </c>
      <c r="C37" s="124" t="s">
        <v>336</v>
      </c>
      <c r="D37" s="124" t="s">
        <v>337</v>
      </c>
      <c r="E37" s="130">
        <v>10841</v>
      </c>
      <c r="F37" s="131">
        <v>1295.1742999999999</v>
      </c>
      <c r="G37" s="132">
        <v>1.06E-2</v>
      </c>
      <c r="H37" s="133"/>
      <c r="I37" s="134"/>
      <c r="J37" s="134">
        <v>71.099999999999994</v>
      </c>
      <c r="K37" s="134">
        <v>100</v>
      </c>
      <c r="L37" s="135" t="s">
        <v>5561</v>
      </c>
      <c r="M37" s="112"/>
    </row>
    <row r="38" spans="1:13" ht="13.05" customHeight="1">
      <c r="A38" s="128" t="s">
        <v>1352</v>
      </c>
      <c r="B38" s="129" t="s">
        <v>1353</v>
      </c>
      <c r="C38" s="124" t="s">
        <v>1354</v>
      </c>
      <c r="D38" s="124" t="s">
        <v>567</v>
      </c>
      <c r="E38" s="130">
        <v>19054</v>
      </c>
      <c r="F38" s="131">
        <v>1272.8072</v>
      </c>
      <c r="G38" s="132">
        <v>1.04E-2</v>
      </c>
      <c r="H38" s="133"/>
      <c r="I38" s="134"/>
      <c r="J38" s="134">
        <v>69.2</v>
      </c>
      <c r="K38" s="134" t="s">
        <v>5536</v>
      </c>
      <c r="L38" s="135" t="s">
        <v>5562</v>
      </c>
      <c r="M38" s="112"/>
    </row>
    <row r="39" spans="1:13" ht="13.05" customHeight="1">
      <c r="A39" s="128" t="s">
        <v>409</v>
      </c>
      <c r="B39" s="129" t="s">
        <v>410</v>
      </c>
      <c r="C39" s="124" t="s">
        <v>411</v>
      </c>
      <c r="D39" s="124" t="s">
        <v>296</v>
      </c>
      <c r="E39" s="130">
        <v>301180</v>
      </c>
      <c r="F39" s="131">
        <v>1234.838</v>
      </c>
      <c r="G39" s="132">
        <v>1.01E-2</v>
      </c>
      <c r="H39" s="133"/>
      <c r="I39" s="134"/>
      <c r="J39" s="134">
        <v>77.900000000000006</v>
      </c>
      <c r="K39" s="134">
        <v>100</v>
      </c>
      <c r="L39" s="135" t="s">
        <v>5563</v>
      </c>
      <c r="M39" s="112"/>
    </row>
    <row r="40" spans="1:13" ht="13.05" customHeight="1">
      <c r="A40" s="128" t="s">
        <v>523</v>
      </c>
      <c r="B40" s="129" t="s">
        <v>524</v>
      </c>
      <c r="C40" s="124" t="s">
        <v>525</v>
      </c>
      <c r="D40" s="124" t="s">
        <v>304</v>
      </c>
      <c r="E40" s="130">
        <v>86310</v>
      </c>
      <c r="F40" s="131">
        <v>1189.6107</v>
      </c>
      <c r="G40" s="132">
        <v>9.7000000000000003E-3</v>
      </c>
      <c r="H40" s="133"/>
      <c r="I40" s="134"/>
      <c r="J40" s="134">
        <v>71.2</v>
      </c>
      <c r="K40" s="134">
        <v>98.2</v>
      </c>
      <c r="L40" s="135" t="s">
        <v>5564</v>
      </c>
      <c r="M40" s="112"/>
    </row>
    <row r="41" spans="1:13" ht="13.05" customHeight="1">
      <c r="A41" s="128" t="s">
        <v>402</v>
      </c>
      <c r="B41" s="129" t="s">
        <v>403</v>
      </c>
      <c r="C41" s="124" t="s">
        <v>404</v>
      </c>
      <c r="D41" s="124" t="s">
        <v>405</v>
      </c>
      <c r="E41" s="130">
        <v>60571</v>
      </c>
      <c r="F41" s="131">
        <v>1184.587</v>
      </c>
      <c r="G41" s="132">
        <v>9.7000000000000003E-3</v>
      </c>
      <c r="H41" s="133"/>
      <c r="I41" s="134"/>
      <c r="J41" s="134">
        <v>74.2</v>
      </c>
      <c r="K41" s="134">
        <v>100</v>
      </c>
      <c r="L41" s="135" t="s">
        <v>5565</v>
      </c>
      <c r="M41" s="112"/>
    </row>
    <row r="42" spans="1:13" ht="13.05" customHeight="1">
      <c r="A42" s="128" t="s">
        <v>520</v>
      </c>
      <c r="B42" s="129" t="s">
        <v>521</v>
      </c>
      <c r="C42" s="124" t="s">
        <v>522</v>
      </c>
      <c r="D42" s="124" t="s">
        <v>272</v>
      </c>
      <c r="E42" s="130">
        <v>20500</v>
      </c>
      <c r="F42" s="131">
        <v>1165.3225</v>
      </c>
      <c r="G42" s="132">
        <v>9.4999999999999998E-3</v>
      </c>
      <c r="H42" s="133"/>
      <c r="I42" s="134"/>
      <c r="J42" s="134">
        <v>78.900000000000006</v>
      </c>
      <c r="K42" s="134">
        <v>100</v>
      </c>
      <c r="L42" s="135" t="s">
        <v>5566</v>
      </c>
      <c r="M42" s="112"/>
    </row>
    <row r="43" spans="1:13" ht="13.05" customHeight="1">
      <c r="A43" s="128" t="s">
        <v>322</v>
      </c>
      <c r="B43" s="129" t="s">
        <v>323</v>
      </c>
      <c r="C43" s="124" t="s">
        <v>324</v>
      </c>
      <c r="D43" s="124" t="s">
        <v>325</v>
      </c>
      <c r="E43" s="130">
        <v>30005</v>
      </c>
      <c r="F43" s="131">
        <v>1124.1973</v>
      </c>
      <c r="G43" s="132">
        <v>9.1999999999999998E-3</v>
      </c>
      <c r="H43" s="133"/>
      <c r="I43" s="134"/>
      <c r="J43" s="134">
        <v>71.099999999999994</v>
      </c>
      <c r="K43" s="134">
        <v>81</v>
      </c>
      <c r="L43" s="135" t="s">
        <v>5567</v>
      </c>
      <c r="M43" s="112"/>
    </row>
    <row r="44" spans="1:13" ht="13.05" customHeight="1">
      <c r="A44" s="128" t="s">
        <v>564</v>
      </c>
      <c r="B44" s="129" t="s">
        <v>565</v>
      </c>
      <c r="C44" s="124" t="s">
        <v>566</v>
      </c>
      <c r="D44" s="124" t="s">
        <v>567</v>
      </c>
      <c r="E44" s="130">
        <v>824344</v>
      </c>
      <c r="F44" s="131">
        <v>868.77610000000004</v>
      </c>
      <c r="G44" s="132">
        <v>7.1000000000000004E-3</v>
      </c>
      <c r="H44" s="133"/>
      <c r="I44" s="134"/>
      <c r="J44" s="134">
        <v>64.3</v>
      </c>
      <c r="K44" s="134">
        <v>72</v>
      </c>
      <c r="L44" s="135" t="s">
        <v>5568</v>
      </c>
      <c r="M44" s="112"/>
    </row>
    <row r="45" spans="1:13" ht="13.05" customHeight="1">
      <c r="A45" s="128" t="s">
        <v>798</v>
      </c>
      <c r="B45" s="129" t="s">
        <v>799</v>
      </c>
      <c r="C45" s="124" t="s">
        <v>800</v>
      </c>
      <c r="D45" s="124" t="s">
        <v>405</v>
      </c>
      <c r="E45" s="130">
        <v>146920</v>
      </c>
      <c r="F45" s="131">
        <v>868.51760000000002</v>
      </c>
      <c r="G45" s="132">
        <v>7.1000000000000004E-3</v>
      </c>
      <c r="H45" s="133"/>
      <c r="I45" s="134"/>
      <c r="J45" s="134">
        <v>78.900000000000006</v>
      </c>
      <c r="K45" s="134">
        <v>92</v>
      </c>
      <c r="L45" s="135" t="s">
        <v>5569</v>
      </c>
      <c r="M45" s="112"/>
    </row>
    <row r="46" spans="1:13" ht="13.05" customHeight="1">
      <c r="A46" s="128" t="s">
        <v>1370</v>
      </c>
      <c r="B46" s="129" t="s">
        <v>1371</v>
      </c>
      <c r="C46" s="124" t="s">
        <v>1372</v>
      </c>
      <c r="D46" s="124" t="s">
        <v>846</v>
      </c>
      <c r="E46" s="130">
        <v>91996</v>
      </c>
      <c r="F46" s="131">
        <v>794.84540000000004</v>
      </c>
      <c r="G46" s="132">
        <v>6.4999999999999997E-3</v>
      </c>
      <c r="H46" s="133"/>
      <c r="I46" s="134"/>
      <c r="J46" s="134">
        <v>56.4</v>
      </c>
      <c r="K46" s="134" t="s">
        <v>5536</v>
      </c>
      <c r="L46" s="135" t="s">
        <v>5570</v>
      </c>
      <c r="M46" s="112"/>
    </row>
    <row r="47" spans="1:13" ht="13.05" customHeight="1">
      <c r="A47" s="128" t="s">
        <v>505</v>
      </c>
      <c r="B47" s="129" t="s">
        <v>2339</v>
      </c>
      <c r="C47" s="124" t="s">
        <v>506</v>
      </c>
      <c r="D47" s="124" t="s">
        <v>507</v>
      </c>
      <c r="E47" s="130">
        <v>301180</v>
      </c>
      <c r="F47" s="131">
        <v>785.32690000000002</v>
      </c>
      <c r="G47" s="132">
        <v>6.4000000000000003E-3</v>
      </c>
      <c r="H47" s="133"/>
      <c r="I47" s="134"/>
      <c r="J47" s="134">
        <v>77.900000000000006</v>
      </c>
      <c r="K47" s="134">
        <v>100</v>
      </c>
      <c r="L47" s="135" t="s">
        <v>5563</v>
      </c>
      <c r="M47" s="112"/>
    </row>
    <row r="48" spans="1:13" ht="13.05" customHeight="1">
      <c r="A48" s="128" t="s">
        <v>3614</v>
      </c>
      <c r="B48" s="129" t="s">
        <v>3615</v>
      </c>
      <c r="C48" s="124" t="s">
        <v>3616</v>
      </c>
      <c r="D48" s="124" t="s">
        <v>325</v>
      </c>
      <c r="E48" s="130">
        <v>83001</v>
      </c>
      <c r="F48" s="131">
        <v>775.89329999999995</v>
      </c>
      <c r="G48" s="132">
        <v>6.4000000000000003E-3</v>
      </c>
      <c r="H48" s="133"/>
      <c r="I48" s="134"/>
      <c r="J48" s="134">
        <v>75.900000000000006</v>
      </c>
      <c r="K48" s="134" t="s">
        <v>5536</v>
      </c>
      <c r="L48" s="135" t="s">
        <v>5571</v>
      </c>
      <c r="M48" s="112"/>
    </row>
    <row r="49" spans="1:14" ht="13.05" customHeight="1">
      <c r="A49" s="128" t="s">
        <v>3617</v>
      </c>
      <c r="B49" s="129" t="s">
        <v>3618</v>
      </c>
      <c r="C49" s="124" t="s">
        <v>3619</v>
      </c>
      <c r="D49" s="124" t="s">
        <v>304</v>
      </c>
      <c r="E49" s="130">
        <v>98619</v>
      </c>
      <c r="F49" s="131">
        <v>635.35289999999998</v>
      </c>
      <c r="G49" s="132">
        <v>5.1999999999999998E-3</v>
      </c>
      <c r="H49" s="133"/>
      <c r="I49" s="134"/>
      <c r="J49" s="134">
        <v>64.400000000000006</v>
      </c>
      <c r="K49" s="134" t="s">
        <v>5536</v>
      </c>
      <c r="L49" s="135" t="s">
        <v>5572</v>
      </c>
      <c r="M49" s="112"/>
    </row>
    <row r="50" spans="1:14" ht="13.05" customHeight="1">
      <c r="A50" s="128" t="s">
        <v>574</v>
      </c>
      <c r="B50" s="129" t="s">
        <v>575</v>
      </c>
      <c r="C50" s="124" t="s">
        <v>576</v>
      </c>
      <c r="D50" s="124" t="s">
        <v>577</v>
      </c>
      <c r="E50" s="130">
        <v>50000</v>
      </c>
      <c r="F50" s="131">
        <v>559.29999999999995</v>
      </c>
      <c r="G50" s="132">
        <v>4.5999999999999999E-3</v>
      </c>
      <c r="H50" s="133"/>
      <c r="I50" s="134"/>
      <c r="J50" s="134">
        <v>76.400000000000006</v>
      </c>
      <c r="K50" s="134">
        <v>100</v>
      </c>
      <c r="L50" s="135" t="s">
        <v>5573</v>
      </c>
      <c r="M50" s="112"/>
    </row>
    <row r="51" spans="1:14" ht="13.05" customHeight="1">
      <c r="A51" s="128" t="s">
        <v>3620</v>
      </c>
      <c r="B51" s="129" t="s">
        <v>3621</v>
      </c>
      <c r="C51" s="124" t="s">
        <v>3622</v>
      </c>
      <c r="D51" s="124" t="s">
        <v>304</v>
      </c>
      <c r="E51" s="130">
        <v>12147</v>
      </c>
      <c r="F51" s="131">
        <v>69.729900000000001</v>
      </c>
      <c r="G51" s="132">
        <v>5.9999999999999995E-4</v>
      </c>
      <c r="H51" s="133"/>
      <c r="I51" s="134"/>
      <c r="J51" s="134">
        <v>59.7</v>
      </c>
      <c r="K51" s="134" t="s">
        <v>5536</v>
      </c>
      <c r="L51" s="102" t="s">
        <v>5586</v>
      </c>
      <c r="M51" s="112"/>
    </row>
    <row r="52" spans="1:14" ht="13.05" customHeight="1">
      <c r="A52" s="128" t="s">
        <v>287</v>
      </c>
      <c r="B52" s="129" t="s">
        <v>288</v>
      </c>
      <c r="C52" s="124" t="s">
        <v>289</v>
      </c>
      <c r="D52" s="124" t="s">
        <v>272</v>
      </c>
      <c r="E52" s="130">
        <v>1066</v>
      </c>
      <c r="F52" s="131">
        <v>32.598300000000002</v>
      </c>
      <c r="G52" s="132">
        <v>2.9999999999999997E-4</v>
      </c>
      <c r="H52" s="133"/>
      <c r="I52" s="134"/>
      <c r="J52" s="134">
        <v>71.099999999999994</v>
      </c>
      <c r="K52" s="134">
        <v>100</v>
      </c>
      <c r="L52" s="135" t="s">
        <v>5574</v>
      </c>
      <c r="M52" s="112"/>
    </row>
    <row r="53" spans="1:14" ht="13.05" customHeight="1">
      <c r="A53" s="112"/>
      <c r="B53" s="123" t="s">
        <v>192</v>
      </c>
      <c r="C53" s="124"/>
      <c r="D53" s="124"/>
      <c r="E53" s="124"/>
      <c r="F53" s="136">
        <v>120504.9664</v>
      </c>
      <c r="G53" s="137">
        <v>0.98719999999999997</v>
      </c>
      <c r="H53" s="138"/>
      <c r="I53" s="139"/>
      <c r="J53" s="139"/>
      <c r="K53" s="139"/>
      <c r="L53" s="140"/>
      <c r="M53" s="112"/>
    </row>
    <row r="54" spans="1:14" ht="13.05" customHeight="1">
      <c r="A54" s="112"/>
      <c r="B54" s="141" t="s">
        <v>1812</v>
      </c>
      <c r="C54" s="142"/>
      <c r="D54" s="142"/>
      <c r="E54" s="142"/>
      <c r="F54" s="139" t="s">
        <v>194</v>
      </c>
      <c r="G54" s="139" t="s">
        <v>194</v>
      </c>
      <c r="H54" s="138"/>
      <c r="I54" s="139"/>
      <c r="J54" s="139"/>
      <c r="K54" s="139"/>
      <c r="L54" s="140"/>
      <c r="M54" s="112"/>
    </row>
    <row r="55" spans="1:14" ht="13.05" customHeight="1">
      <c r="A55" s="112"/>
      <c r="B55" s="141" t="s">
        <v>192</v>
      </c>
      <c r="C55" s="142"/>
      <c r="D55" s="142"/>
      <c r="E55" s="142"/>
      <c r="F55" s="139" t="s">
        <v>194</v>
      </c>
      <c r="G55" s="139" t="s">
        <v>194</v>
      </c>
      <c r="H55" s="138"/>
      <c r="I55" s="139"/>
      <c r="J55" s="139"/>
      <c r="K55" s="139"/>
      <c r="L55" s="140"/>
      <c r="M55" s="112"/>
    </row>
    <row r="56" spans="1:14" ht="13.05" customHeight="1">
      <c r="A56" s="112"/>
      <c r="B56" s="123" t="s">
        <v>1813</v>
      </c>
      <c r="C56" s="124"/>
      <c r="D56" s="124"/>
      <c r="E56" s="124"/>
      <c r="F56" s="112"/>
      <c r="G56" s="126"/>
      <c r="H56" s="125"/>
      <c r="I56" s="126"/>
      <c r="J56" s="126"/>
      <c r="K56" s="126"/>
      <c r="L56" s="127"/>
      <c r="M56" s="112"/>
    </row>
    <row r="57" spans="1:14" ht="13.05" customHeight="1">
      <c r="A57" s="128" t="s">
        <v>1814</v>
      </c>
      <c r="B57" s="129" t="s">
        <v>5526</v>
      </c>
      <c r="C57" s="124" t="s">
        <v>1815</v>
      </c>
      <c r="D57" s="124" t="s">
        <v>296</v>
      </c>
      <c r="E57" s="130">
        <v>373500</v>
      </c>
      <c r="F57" s="131">
        <v>37.691800000000001</v>
      </c>
      <c r="G57" s="132">
        <v>2.9999999999999997E-4</v>
      </c>
      <c r="H57" s="133"/>
      <c r="I57" s="134"/>
      <c r="J57" s="134">
        <v>73.3</v>
      </c>
      <c r="K57" s="134">
        <v>63</v>
      </c>
      <c r="L57" s="143" t="s">
        <v>5531</v>
      </c>
      <c r="M57" s="112"/>
    </row>
    <row r="58" spans="1:14" ht="13.05" customHeight="1">
      <c r="A58" s="112"/>
      <c r="B58" s="123" t="s">
        <v>192</v>
      </c>
      <c r="C58" s="124"/>
      <c r="D58" s="124"/>
      <c r="E58" s="124"/>
      <c r="F58" s="136">
        <v>37.691800000000001</v>
      </c>
      <c r="G58" s="137">
        <v>2.9999999999999997E-4</v>
      </c>
      <c r="H58" s="138"/>
      <c r="I58" s="139"/>
      <c r="J58" s="139"/>
      <c r="K58" s="139"/>
      <c r="L58" s="140"/>
      <c r="M58" s="112"/>
    </row>
    <row r="59" spans="1:14" ht="13.05" customHeight="1">
      <c r="A59" s="144">
        <f>ROUND(SUMPRODUCT($F$5:$F58,$J$5:$J58)/$F59,2)</f>
        <v>74.010000000000005</v>
      </c>
      <c r="B59" s="141" t="s">
        <v>195</v>
      </c>
      <c r="C59" s="145"/>
      <c r="D59" s="142"/>
      <c r="E59" s="145"/>
      <c r="F59" s="136">
        <v>120542.65820000001</v>
      </c>
      <c r="G59" s="137">
        <v>0.98760000000000003</v>
      </c>
      <c r="H59" s="138"/>
      <c r="I59" s="139"/>
      <c r="J59" s="139"/>
      <c r="K59" s="139"/>
      <c r="L59" s="140"/>
      <c r="M59" s="112"/>
    </row>
    <row r="60" spans="1:14" ht="13.05" customHeight="1">
      <c r="A60" s="112"/>
      <c r="B60" s="123" t="s">
        <v>196</v>
      </c>
      <c r="C60" s="124"/>
      <c r="D60" s="124"/>
      <c r="E60" s="124"/>
      <c r="F60" s="124"/>
      <c r="G60" s="124"/>
      <c r="H60" s="125"/>
      <c r="I60" s="126"/>
      <c r="J60" s="126"/>
      <c r="K60" s="126"/>
      <c r="L60" s="127"/>
      <c r="M60" s="112"/>
      <c r="N60" s="68"/>
    </row>
    <row r="61" spans="1:14" ht="13.05" customHeight="1">
      <c r="A61" s="128" t="s">
        <v>197</v>
      </c>
      <c r="B61" s="129" t="s">
        <v>198</v>
      </c>
      <c r="C61" s="124"/>
      <c r="D61" s="124"/>
      <c r="E61" s="130"/>
      <c r="F61" s="131">
        <v>1584.0175999999999</v>
      </c>
      <c r="G61" s="132">
        <v>1.2999999999999999E-2</v>
      </c>
      <c r="H61" s="146">
        <v>5.5573615184383571E-2</v>
      </c>
      <c r="I61" s="134"/>
      <c r="J61" s="134"/>
      <c r="K61" s="134"/>
      <c r="L61" s="147"/>
      <c r="M61" s="112"/>
    </row>
    <row r="62" spans="1:14" ht="13.05" customHeight="1">
      <c r="A62" s="112"/>
      <c r="B62" s="123" t="s">
        <v>192</v>
      </c>
      <c r="C62" s="124"/>
      <c r="D62" s="124"/>
      <c r="E62" s="124"/>
      <c r="F62" s="136">
        <v>1584.0175999999999</v>
      </c>
      <c r="G62" s="137">
        <v>1.2999999999999999E-2</v>
      </c>
      <c r="H62" s="138"/>
      <c r="I62" s="139"/>
      <c r="J62" s="139"/>
      <c r="K62" s="139"/>
      <c r="L62" s="140"/>
      <c r="M62" s="112"/>
    </row>
    <row r="63" spans="1:14" ht="13.05" customHeight="1">
      <c r="A63" s="112"/>
      <c r="B63" s="141" t="s">
        <v>195</v>
      </c>
      <c r="C63" s="145"/>
      <c r="D63" s="142"/>
      <c r="E63" s="145"/>
      <c r="F63" s="136">
        <v>1584.0175999999999</v>
      </c>
      <c r="G63" s="137">
        <v>1.2999999999999999E-2</v>
      </c>
      <c r="H63" s="138"/>
      <c r="I63" s="139"/>
      <c r="J63" s="139"/>
      <c r="K63" s="139"/>
      <c r="L63" s="140"/>
      <c r="M63" s="112"/>
    </row>
    <row r="64" spans="1:14" ht="13.05" customHeight="1">
      <c r="A64" s="112"/>
      <c r="B64" s="141" t="s">
        <v>199</v>
      </c>
      <c r="C64" s="124"/>
      <c r="D64" s="142"/>
      <c r="E64" s="124"/>
      <c r="F64" s="148">
        <v>-64.585800000000006</v>
      </c>
      <c r="G64" s="137">
        <v>-5.9999999999999995E-4</v>
      </c>
      <c r="H64" s="138"/>
      <c r="I64" s="139"/>
      <c r="J64" s="139"/>
      <c r="K64" s="139"/>
      <c r="L64" s="140"/>
      <c r="M64" s="112"/>
    </row>
    <row r="65" spans="1:13" ht="13.05" customHeight="1">
      <c r="A65" s="112"/>
      <c r="B65" s="149" t="s">
        <v>200</v>
      </c>
      <c r="C65" s="150"/>
      <c r="D65" s="150"/>
      <c r="E65" s="150"/>
      <c r="F65" s="151">
        <v>122062.09</v>
      </c>
      <c r="G65" s="152">
        <v>1</v>
      </c>
      <c r="H65" s="153"/>
      <c r="I65" s="154"/>
      <c r="J65" s="154"/>
      <c r="K65" s="154"/>
      <c r="L65" s="155"/>
      <c r="M65" s="112"/>
    </row>
    <row r="66" spans="1:13" ht="13.05" customHeight="1">
      <c r="A66" s="112"/>
      <c r="B66" s="115"/>
      <c r="C66" s="112"/>
      <c r="D66" s="112"/>
      <c r="E66" s="112"/>
      <c r="F66" s="112"/>
      <c r="G66" s="112"/>
      <c r="H66" s="112"/>
      <c r="I66" s="112"/>
      <c r="J66" s="112"/>
      <c r="K66" s="112"/>
      <c r="L66" s="113"/>
      <c r="M66" s="112"/>
    </row>
    <row r="67" spans="1:13" ht="13.05" customHeight="1">
      <c r="A67" s="112"/>
      <c r="B67" s="156" t="s">
        <v>5588</v>
      </c>
      <c r="C67" s="156"/>
      <c r="D67" s="156"/>
      <c r="E67" s="156"/>
      <c r="F67" s="156"/>
      <c r="G67" s="112"/>
      <c r="H67" s="112"/>
      <c r="I67" s="112"/>
      <c r="J67" s="112"/>
      <c r="K67" s="112"/>
      <c r="L67" s="113"/>
      <c r="M67" s="112"/>
    </row>
    <row r="68" spans="1:13" ht="13.05" customHeight="1">
      <c r="A68" s="112"/>
      <c r="B68" s="156" t="s">
        <v>5589</v>
      </c>
      <c r="C68" s="156"/>
      <c r="D68" s="156"/>
      <c r="E68" s="156"/>
      <c r="F68" s="156"/>
      <c r="G68" s="112"/>
      <c r="H68" s="112"/>
      <c r="I68" s="112"/>
      <c r="J68" s="112"/>
      <c r="K68" s="112"/>
      <c r="L68" s="113"/>
      <c r="M68" s="112"/>
    </row>
    <row r="69" spans="1:13" ht="13.05" customHeight="1">
      <c r="A69" s="112"/>
      <c r="B69" s="156" t="s">
        <v>3623</v>
      </c>
      <c r="C69" s="156"/>
      <c r="D69" s="156"/>
      <c r="E69" s="156"/>
      <c r="F69" s="156"/>
      <c r="G69" s="112"/>
      <c r="H69" s="112"/>
      <c r="I69" s="112"/>
      <c r="J69" s="112"/>
      <c r="K69" s="112"/>
      <c r="L69" s="113"/>
      <c r="M69" s="112"/>
    </row>
    <row r="70" spans="1:13" ht="13.05" customHeight="1">
      <c r="A70" s="112"/>
      <c r="B70" s="156" t="s">
        <v>3624</v>
      </c>
      <c r="C70" s="156"/>
      <c r="D70" s="156"/>
      <c r="E70" s="156"/>
      <c r="F70" s="156"/>
      <c r="G70" s="112"/>
      <c r="H70" s="112"/>
      <c r="I70" s="112"/>
      <c r="J70" s="112"/>
      <c r="K70" s="112"/>
      <c r="L70" s="113"/>
      <c r="M70" s="112"/>
    </row>
    <row r="71" spans="1:13" ht="13.05" customHeight="1">
      <c r="A71" s="112"/>
      <c r="B71" s="156" t="s">
        <v>5575</v>
      </c>
      <c r="C71" s="156"/>
      <c r="D71" s="156"/>
      <c r="E71" s="156"/>
      <c r="F71" s="156"/>
      <c r="G71" s="112"/>
      <c r="H71" s="112"/>
      <c r="I71" s="112"/>
      <c r="J71" s="112"/>
      <c r="K71" s="112"/>
      <c r="L71" s="113"/>
      <c r="M71" s="112"/>
    </row>
    <row r="72" spans="1:13" ht="70.05" customHeight="1">
      <c r="A72" s="112"/>
      <c r="B72" s="156" t="s">
        <v>3625</v>
      </c>
      <c r="C72" s="156"/>
      <c r="D72" s="156"/>
      <c r="E72" s="156"/>
      <c r="F72" s="156"/>
      <c r="G72" s="112"/>
      <c r="H72" s="112"/>
      <c r="I72" s="112"/>
      <c r="J72" s="112"/>
      <c r="K72" s="112"/>
      <c r="L72" s="113"/>
      <c r="M72" s="112"/>
    </row>
    <row r="73" spans="1:13" ht="13.05" customHeight="1">
      <c r="A73" s="112"/>
      <c r="B73" s="156" t="s">
        <v>5576</v>
      </c>
      <c r="C73" s="156"/>
      <c r="D73" s="156"/>
      <c r="E73" s="156"/>
      <c r="F73" s="156"/>
      <c r="G73" s="112"/>
      <c r="H73" s="112"/>
      <c r="I73" s="112"/>
      <c r="J73" s="112"/>
      <c r="K73" s="112"/>
      <c r="L73" s="113"/>
      <c r="M73" s="112"/>
    </row>
    <row r="74" spans="1:13" ht="13.05" customHeight="1">
      <c r="A74" s="112"/>
      <c r="B74" s="156" t="s">
        <v>5577</v>
      </c>
      <c r="C74" s="156"/>
      <c r="D74" s="156"/>
      <c r="E74" s="156"/>
      <c r="F74" s="156"/>
      <c r="G74" s="112"/>
      <c r="H74" s="112"/>
      <c r="I74" s="112"/>
      <c r="J74" s="112"/>
      <c r="K74" s="112"/>
      <c r="L74" s="113"/>
      <c r="M74" s="112"/>
    </row>
    <row r="75" spans="1:13" ht="13.05" customHeight="1">
      <c r="A75" s="112"/>
      <c r="B75" s="156" t="s">
        <v>5578</v>
      </c>
      <c r="C75" s="156"/>
      <c r="D75" s="156"/>
      <c r="E75" s="156"/>
      <c r="F75" s="156"/>
      <c r="G75" s="156"/>
      <c r="H75" s="112"/>
      <c r="I75" s="112"/>
      <c r="J75" s="112"/>
      <c r="K75" s="112"/>
      <c r="L75" s="113"/>
      <c r="M75" s="112"/>
    </row>
    <row r="76" spans="1:13" ht="13.05" customHeight="1">
      <c r="A76" s="112"/>
      <c r="B76" s="111" t="s">
        <v>250</v>
      </c>
      <c r="C76" s="112"/>
      <c r="D76" s="112"/>
      <c r="E76" s="112"/>
      <c r="F76" s="112"/>
      <c r="G76" s="112"/>
      <c r="H76" s="112"/>
      <c r="I76" s="112"/>
      <c r="J76" s="112"/>
      <c r="K76" s="112"/>
      <c r="L76" s="113"/>
      <c r="M76" s="112"/>
    </row>
    <row r="77" spans="1:13" ht="13.05" customHeight="1">
      <c r="A77" s="112"/>
      <c r="B77" s="111" t="s">
        <v>201</v>
      </c>
      <c r="C77" s="112"/>
      <c r="D77" s="112"/>
      <c r="E77" s="112"/>
      <c r="F77" s="112"/>
      <c r="G77" s="112"/>
      <c r="H77" s="112"/>
      <c r="I77" s="112"/>
      <c r="J77" s="112"/>
      <c r="K77" s="112"/>
      <c r="L77" s="113"/>
      <c r="M77" s="112"/>
    </row>
    <row r="78" spans="1:13" ht="15" customHeight="1">
      <c r="A78" s="112"/>
      <c r="B78" s="157" t="s">
        <v>202</v>
      </c>
      <c r="C78" s="157"/>
      <c r="D78" s="157"/>
      <c r="E78" s="157"/>
      <c r="F78" s="157"/>
      <c r="G78" s="157"/>
      <c r="H78" s="157"/>
      <c r="I78" s="157"/>
      <c r="J78" s="157"/>
      <c r="K78" s="157"/>
      <c r="L78" s="157"/>
      <c r="M78" s="112"/>
    </row>
    <row r="79" spans="1:13" ht="13.05" customHeight="1">
      <c r="A79" s="112"/>
      <c r="B79" s="157" t="s">
        <v>203</v>
      </c>
      <c r="C79" s="157"/>
      <c r="D79" s="157"/>
      <c r="E79" s="157"/>
      <c r="F79" s="157"/>
      <c r="G79" s="157"/>
      <c r="H79" s="157"/>
      <c r="I79" s="157"/>
      <c r="J79" s="157"/>
      <c r="K79" s="157"/>
      <c r="L79" s="157"/>
      <c r="M79" s="112"/>
    </row>
    <row r="80" spans="1:13" ht="13.05" customHeight="1">
      <c r="A80" s="112"/>
      <c r="B80" s="157"/>
      <c r="C80" s="157"/>
      <c r="D80" s="157"/>
      <c r="E80" s="157"/>
      <c r="F80" s="157"/>
      <c r="G80" s="157"/>
      <c r="H80" s="157"/>
      <c r="I80" s="157"/>
      <c r="J80" s="157"/>
      <c r="K80" s="157"/>
      <c r="L80" s="157"/>
      <c r="M80" s="112"/>
    </row>
    <row r="81" spans="1:13" ht="13.05" customHeight="1">
      <c r="A81" s="112"/>
      <c r="M81" s="112"/>
    </row>
    <row r="82" spans="1:13" ht="13.05" customHeight="1">
      <c r="A82" s="112"/>
      <c r="B82" s="157" t="s">
        <v>3626</v>
      </c>
      <c r="C82" s="157"/>
      <c r="D82" s="157"/>
      <c r="E82" s="157"/>
      <c r="F82" s="157"/>
      <c r="G82" s="112"/>
      <c r="H82" s="112"/>
      <c r="I82" s="112"/>
      <c r="J82" s="112"/>
      <c r="K82" s="112"/>
      <c r="L82" s="113"/>
      <c r="M82" s="112"/>
    </row>
    <row r="83" spans="1:13" ht="13.05" customHeight="1">
      <c r="A83" s="112"/>
      <c r="B83" s="157" t="s">
        <v>3627</v>
      </c>
      <c r="C83" s="157"/>
      <c r="D83" s="157"/>
      <c r="E83" s="157"/>
      <c r="F83" s="157"/>
      <c r="G83" s="112"/>
      <c r="H83" s="112"/>
      <c r="I83" s="112"/>
      <c r="J83" s="112"/>
      <c r="K83" s="112"/>
      <c r="L83" s="113"/>
      <c r="M83" s="112"/>
    </row>
    <row r="84" spans="1:13" ht="13.05" customHeight="1">
      <c r="A84" s="112"/>
      <c r="B84" s="157" t="s">
        <v>3628</v>
      </c>
      <c r="C84" s="157"/>
      <c r="D84" s="157"/>
      <c r="E84" s="157"/>
      <c r="F84" s="157"/>
      <c r="G84" s="112"/>
      <c r="H84" s="112"/>
      <c r="I84" s="112"/>
      <c r="J84" s="112"/>
      <c r="K84" s="112"/>
      <c r="L84" s="113"/>
      <c r="M84" s="112"/>
    </row>
    <row r="85" spans="1:13" ht="13.05" customHeight="1">
      <c r="A85" s="112"/>
      <c r="B85" s="157"/>
      <c r="C85" s="157"/>
      <c r="D85" s="157"/>
      <c r="E85" s="157"/>
      <c r="F85" s="157"/>
      <c r="G85" s="157"/>
      <c r="H85" s="157"/>
      <c r="I85" s="157"/>
      <c r="J85" s="157"/>
      <c r="K85" s="157"/>
      <c r="L85" s="157"/>
      <c r="M85" s="112"/>
    </row>
    <row r="86" spans="1:13" ht="13.05" customHeight="1">
      <c r="A86" s="112"/>
      <c r="B86" s="157"/>
      <c r="C86" s="157"/>
      <c r="D86" s="157"/>
      <c r="E86" s="157"/>
      <c r="F86" s="157"/>
      <c r="G86" s="157"/>
      <c r="H86" s="157"/>
      <c r="I86" s="157"/>
      <c r="J86" s="157"/>
      <c r="K86" s="157"/>
      <c r="L86" s="157"/>
      <c r="M86" s="112"/>
    </row>
    <row r="87" spans="1:13" ht="13.05" customHeight="1">
      <c r="A87" s="112"/>
      <c r="B87" s="112"/>
      <c r="C87" s="158" t="s">
        <v>3629</v>
      </c>
      <c r="D87" s="158"/>
      <c r="E87" s="158"/>
      <c r="F87" s="158"/>
      <c r="G87" s="112"/>
      <c r="H87" s="112"/>
      <c r="I87" s="112"/>
      <c r="J87" s="112"/>
      <c r="K87" s="112"/>
      <c r="L87" s="113"/>
      <c r="M87" s="112"/>
    </row>
    <row r="88" spans="1:13" ht="13.05" customHeight="1">
      <c r="A88" s="112"/>
      <c r="B88" s="159" t="s">
        <v>207</v>
      </c>
      <c r="C88" s="158" t="s">
        <v>208</v>
      </c>
      <c r="D88" s="158"/>
      <c r="E88" s="158"/>
      <c r="F88" s="158"/>
      <c r="G88" s="112"/>
      <c r="H88" s="112"/>
      <c r="I88" s="112"/>
      <c r="J88" s="112"/>
      <c r="K88" s="112"/>
      <c r="L88" s="113"/>
      <c r="M88" s="112"/>
    </row>
    <row r="89" spans="1:13" ht="135" customHeight="1">
      <c r="A89" s="112"/>
      <c r="B89" s="112"/>
      <c r="C89" s="160"/>
      <c r="D89" s="160"/>
      <c r="E89" s="112"/>
      <c r="F89" s="112"/>
      <c r="G89" s="112"/>
      <c r="H89" s="112"/>
      <c r="I89" s="112"/>
      <c r="J89" s="112"/>
      <c r="K89" s="112"/>
      <c r="L89" s="113"/>
      <c r="M89" s="112"/>
    </row>
  </sheetData>
  <mergeCells count="20">
    <mergeCell ref="B84:F84"/>
    <mergeCell ref="B82:F82"/>
    <mergeCell ref="B83:F83"/>
    <mergeCell ref="B85:L85"/>
    <mergeCell ref="B86:L86"/>
    <mergeCell ref="C87:F87"/>
    <mergeCell ref="C88:F88"/>
    <mergeCell ref="C89:D89"/>
    <mergeCell ref="B72:F72"/>
    <mergeCell ref="B73:F73"/>
    <mergeCell ref="B80:L80"/>
    <mergeCell ref="B74:F74"/>
    <mergeCell ref="B75:G75"/>
    <mergeCell ref="B78:L78"/>
    <mergeCell ref="B79:L79"/>
    <mergeCell ref="B67:F67"/>
    <mergeCell ref="B68:F68"/>
    <mergeCell ref="B69:F69"/>
    <mergeCell ref="B70:F70"/>
    <mergeCell ref="B71:F71"/>
  </mergeCells>
  <hyperlinks>
    <hyperlink ref="A1" location="AxisESGIntegrationStrategyFund" display="AXISESG" xr:uid="{ABFC5B82-7ADF-4F48-B44E-31198BC91027}"/>
    <hyperlink ref="B1" location="AxisESGIntegrationStrategyFund" display="Axis ESG Integration Strategy Fund" xr:uid="{D534343B-C66E-4FCC-AB19-C2FBFE30A063}"/>
    <hyperlink ref="L7" r:id="rId1" xr:uid="{AA70BE88-AE0D-4BEC-BA8C-31F89AF23452}"/>
    <hyperlink ref="L8" r:id="rId2" xr:uid="{62FFC550-50FE-4C64-936C-23A04F7C6EA8}"/>
    <hyperlink ref="L9" r:id="rId3" xr:uid="{E33E186B-CB31-4FBD-88E7-F59466704167}"/>
    <hyperlink ref="L10" r:id="rId4" xr:uid="{E09FF71D-80C4-4A58-AB7E-471662CC35D0}"/>
    <hyperlink ref="L11" r:id="rId5" xr:uid="{93842874-1285-4698-A66B-1D5DD08FF69E}"/>
    <hyperlink ref="L12" r:id="rId6" xr:uid="{567AECA5-342A-452F-A7E4-01B3B37C00B4}"/>
    <hyperlink ref="L13" r:id="rId7" xr:uid="{52497934-2050-473E-ACC2-6166D63AB0F7}"/>
    <hyperlink ref="L14" r:id="rId8" xr:uid="{3DA818EA-4FCD-4388-9189-D0334AFF8A1A}"/>
    <hyperlink ref="L15" r:id="rId9" xr:uid="{6926E001-9024-4FD8-9057-2C355569A6BA}"/>
    <hyperlink ref="L16" r:id="rId10" xr:uid="{8521ACD5-5094-4027-B28F-4B035A410E0F}"/>
    <hyperlink ref="L17" r:id="rId11" xr:uid="{2F77A1DC-F24C-4A84-A46F-D77605E21A82}"/>
    <hyperlink ref="L18" r:id="rId12" xr:uid="{A2FE4A65-8ADE-4CA6-8006-9DEC0F05C7B4}"/>
    <hyperlink ref="L19" r:id="rId13" xr:uid="{AE8F3C0D-807F-4874-BCA8-6DC802D8B700}"/>
    <hyperlink ref="L20" r:id="rId14" xr:uid="{048ADF80-8B6F-4C4C-9A99-9E47BB459DC8}"/>
    <hyperlink ref="L21" r:id="rId15" xr:uid="{87A5D45E-3FDD-44C0-ADB2-5AD4BB0012ED}"/>
    <hyperlink ref="L22" r:id="rId16" xr:uid="{AF524B6B-3256-42A6-80F7-78EE04A6F35E}"/>
    <hyperlink ref="L23" r:id="rId17" xr:uid="{3F213B28-5B9E-469F-AB46-6FC891A3BBC2}"/>
    <hyperlink ref="L24" r:id="rId18" xr:uid="{C8407ED3-5C98-44AC-811F-AA4585844B09}"/>
    <hyperlink ref="L25" r:id="rId19" xr:uid="{F9746458-7067-4EC8-A2E6-800891D91194}"/>
    <hyperlink ref="L26" r:id="rId20" xr:uid="{968281AB-11A6-4CD9-A8D0-5CA56FA06FDE}"/>
    <hyperlink ref="L27" r:id="rId21" xr:uid="{F8A58D0B-DC69-42C3-AAB3-E351069BECF8}"/>
    <hyperlink ref="L28" r:id="rId22" xr:uid="{C011AB02-A7B0-4FF4-BACF-C4AC859B781E}"/>
    <hyperlink ref="L29" r:id="rId23" xr:uid="{B71FDED6-A079-48E5-9FDD-DE937A9200D3}"/>
    <hyperlink ref="L30" r:id="rId24" xr:uid="{5BA3DFE7-2F6E-4C05-A1F5-68A0E2271B17}"/>
    <hyperlink ref="L31" r:id="rId25" xr:uid="{98F207E0-594B-46C0-AC91-FEB9466A6DEA}"/>
    <hyperlink ref="L32" r:id="rId26" xr:uid="{337348C6-A4B4-4A83-9385-32D0D922CD5D}"/>
    <hyperlink ref="L33" r:id="rId27" xr:uid="{80E3CA8B-620C-45FA-8EC3-886FE1591497}"/>
    <hyperlink ref="L34" r:id="rId28" xr:uid="{5770E2F2-3B83-42CB-BEE1-F77306A46E8D}"/>
    <hyperlink ref="L35" r:id="rId29" xr:uid="{3D8AA8C2-D83D-4D76-B6FF-DE2A383278AF}"/>
    <hyperlink ref="L36" r:id="rId30" xr:uid="{067D3936-ECD5-4191-BB83-5D90AD514073}"/>
    <hyperlink ref="L37" r:id="rId31" xr:uid="{FE938A44-6CC9-4758-B53F-5FEB998B6718}"/>
    <hyperlink ref="L38" r:id="rId32" xr:uid="{05D65815-5952-4B8F-97D5-8C91261CE504}"/>
    <hyperlink ref="L39" r:id="rId33" xr:uid="{5F08AD7F-A870-4EA1-9E50-F6994F0A80E8}"/>
    <hyperlink ref="L40" r:id="rId34" xr:uid="{0BDEFB82-32C6-4790-A840-33D0D3860745}"/>
    <hyperlink ref="L41" r:id="rId35" xr:uid="{850429D4-A6FE-4EBC-90B4-D1C6A4CEFEE5}"/>
    <hyperlink ref="L42" r:id="rId36" xr:uid="{5B35BF7A-12FC-4EC0-98B7-330AB253A512}"/>
    <hyperlink ref="L43" r:id="rId37" xr:uid="{BB87BE80-9280-4A7D-B728-A48E52FEAEE4}"/>
    <hyperlink ref="L44" r:id="rId38" xr:uid="{7A6FF60D-A917-4BAD-94BE-48BCE8218F08}"/>
    <hyperlink ref="L45" r:id="rId39" xr:uid="{1F216820-D54E-4399-B725-BA9ACC5FB8D5}"/>
    <hyperlink ref="L46" r:id="rId40" xr:uid="{FA80AD85-21A7-4BA7-84BE-01BAABE088F7}"/>
    <hyperlink ref="L48" r:id="rId41" xr:uid="{925B019F-B644-41E3-B9E0-71F600073191}"/>
    <hyperlink ref="L49" r:id="rId42" xr:uid="{B5F93011-7C93-4E90-BB87-F22D83F6B327}"/>
    <hyperlink ref="L50" r:id="rId43" xr:uid="{0369D951-D49C-4B0A-95BA-C18EEB7E72E9}"/>
    <hyperlink ref="L57" r:id="rId44" xr:uid="{F53A8881-9037-4D9C-AAD1-52B4FDD45E4F}"/>
    <hyperlink ref="L47" r:id="rId45" xr:uid="{4B78A559-FAEE-44D8-A09B-AEF0D194A54F}"/>
    <hyperlink ref="L51" r:id="rId46" xr:uid="{79092833-3782-41ED-9E8A-F3A5C05A88C3}"/>
    <hyperlink ref="L52" r:id="rId47" xr:uid="{75D01205-F6A8-41C3-B0A3-4B90A8B8B323}"/>
  </hyperlinks>
  <pageMargins left="0" right="0" top="0" bottom="0" header="0" footer="0"/>
  <pageSetup orientation="landscape"/>
  <headerFooter>
    <oddFooter xml:space="preserve">&amp;C_x000D_&amp;1#&amp;"Calibri"&amp;10&amp;K000000  For internal use only </oddFooter>
  </headerFooter>
  <drawing r:id="rId48"/>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outlinePr summaryBelow="0"/>
  </sheetPr>
  <dimension ref="A1:J24"/>
  <sheetViews>
    <sheetView workbookViewId="0">
      <selection activeCell="B20" sqref="B20:E20"/>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57</v>
      </c>
      <c r="B1" s="4" t="s">
        <v>58</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196</v>
      </c>
      <c r="C5" s="15"/>
      <c r="D5" s="15"/>
      <c r="E5" s="15"/>
      <c r="F5" s="15"/>
      <c r="G5" s="15"/>
      <c r="H5" s="16"/>
      <c r="I5" s="17"/>
      <c r="J5" s="5"/>
    </row>
    <row r="6" spans="1:10" ht="13.05" customHeight="1">
      <c r="A6" s="18" t="s">
        <v>197</v>
      </c>
      <c r="B6" s="19" t="s">
        <v>198</v>
      </c>
      <c r="C6" s="15"/>
      <c r="D6" s="15"/>
      <c r="E6" s="41"/>
      <c r="F6" s="21">
        <v>122.2328</v>
      </c>
      <c r="G6" s="22">
        <v>1.6999999999999999E-3</v>
      </c>
      <c r="H6" s="23">
        <v>5.557366631550955E-2</v>
      </c>
      <c r="I6" s="24"/>
      <c r="J6" s="5"/>
    </row>
    <row r="7" spans="1:10" ht="13.05" customHeight="1">
      <c r="A7" s="5"/>
      <c r="B7" s="14" t="s">
        <v>192</v>
      </c>
      <c r="C7" s="15"/>
      <c r="D7" s="15"/>
      <c r="E7" s="15"/>
      <c r="F7" s="25">
        <v>122.2328</v>
      </c>
      <c r="G7" s="26">
        <v>1.6999999999999999E-3</v>
      </c>
      <c r="H7" s="27"/>
      <c r="I7" s="28"/>
      <c r="J7" s="5"/>
    </row>
    <row r="8" spans="1:10" ht="13.05" customHeight="1">
      <c r="A8" s="5"/>
      <c r="B8" s="29" t="s">
        <v>195</v>
      </c>
      <c r="C8" s="30"/>
      <c r="D8" s="2"/>
      <c r="E8" s="30"/>
      <c r="F8" s="25">
        <v>122.2328</v>
      </c>
      <c r="G8" s="26">
        <v>1.6999999999999999E-3</v>
      </c>
      <c r="H8" s="27"/>
      <c r="I8" s="28"/>
      <c r="J8" s="5"/>
    </row>
    <row r="9" spans="1:10" ht="13.05" customHeight="1">
      <c r="A9" s="5"/>
      <c r="B9" s="14" t="s">
        <v>3630</v>
      </c>
      <c r="C9" s="15"/>
      <c r="D9" s="15"/>
      <c r="E9" s="15"/>
      <c r="F9" s="15"/>
      <c r="G9" s="15"/>
      <c r="H9" s="16"/>
      <c r="I9" s="17"/>
      <c r="J9" s="5"/>
    </row>
    <row r="10" spans="1:10" ht="13.05" customHeight="1">
      <c r="A10" s="18" t="s">
        <v>3631</v>
      </c>
      <c r="B10" s="19" t="s">
        <v>3632</v>
      </c>
      <c r="C10" s="15"/>
      <c r="D10" s="15"/>
      <c r="E10" s="20">
        <v>47425.373800000001</v>
      </c>
      <c r="F10" s="21">
        <v>70521.061300000001</v>
      </c>
      <c r="G10" s="22">
        <v>0.97829999999999995</v>
      </c>
      <c r="H10" s="23"/>
      <c r="I10" s="24"/>
      <c r="J10" s="5"/>
    </row>
    <row r="11" spans="1:10" ht="13.05" customHeight="1">
      <c r="A11" s="5"/>
      <c r="B11" s="14" t="s">
        <v>192</v>
      </c>
      <c r="C11" s="15"/>
      <c r="D11" s="15"/>
      <c r="E11" s="15"/>
      <c r="F11" s="25">
        <v>70521.061300000001</v>
      </c>
      <c r="G11" s="26">
        <v>0.97829999999999995</v>
      </c>
      <c r="H11" s="27"/>
      <c r="I11" s="28"/>
      <c r="J11" s="5"/>
    </row>
    <row r="12" spans="1:10" ht="13.05" customHeight="1">
      <c r="A12" s="5"/>
      <c r="B12" s="29" t="s">
        <v>195</v>
      </c>
      <c r="C12" s="30"/>
      <c r="D12" s="2"/>
      <c r="E12" s="30"/>
      <c r="F12" s="25">
        <v>70521.061300000001</v>
      </c>
      <c r="G12" s="26">
        <v>0.97829999999999995</v>
      </c>
      <c r="H12" s="27"/>
      <c r="I12" s="28"/>
      <c r="J12" s="5"/>
    </row>
    <row r="13" spans="1:10" ht="13.05" customHeight="1">
      <c r="A13" s="5"/>
      <c r="B13" s="29" t="s">
        <v>199</v>
      </c>
      <c r="C13" s="15"/>
      <c r="D13" s="2"/>
      <c r="E13" s="15"/>
      <c r="F13" s="31">
        <v>1444.8359</v>
      </c>
      <c r="G13" s="26">
        <v>0.02</v>
      </c>
      <c r="H13" s="27"/>
      <c r="I13" s="28"/>
      <c r="J13" s="5"/>
    </row>
    <row r="14" spans="1:10" ht="13.05" customHeight="1">
      <c r="A14" s="5"/>
      <c r="B14" s="32" t="s">
        <v>200</v>
      </c>
      <c r="C14" s="33"/>
      <c r="D14" s="33"/>
      <c r="E14" s="33"/>
      <c r="F14" s="34">
        <v>72088.13</v>
      </c>
      <c r="G14" s="35">
        <v>1</v>
      </c>
      <c r="H14" s="36"/>
      <c r="I14" s="37"/>
      <c r="J14" s="5"/>
    </row>
    <row r="15" spans="1:10" ht="13.05" customHeight="1">
      <c r="A15" s="5"/>
      <c r="B15" s="7"/>
      <c r="C15" s="5"/>
      <c r="D15" s="5"/>
      <c r="E15" s="5"/>
      <c r="F15" s="5"/>
      <c r="G15" s="5"/>
      <c r="H15" s="5"/>
      <c r="I15" s="5"/>
      <c r="J15" s="5"/>
    </row>
    <row r="16" spans="1:10" ht="13.05" customHeight="1">
      <c r="A16" s="5"/>
      <c r="B16" s="4" t="s">
        <v>201</v>
      </c>
      <c r="C16" s="5"/>
      <c r="D16" s="5"/>
      <c r="E16" s="5"/>
      <c r="F16" s="5"/>
      <c r="G16" s="5"/>
      <c r="H16" s="5"/>
      <c r="I16" s="5"/>
      <c r="J16" s="5"/>
    </row>
    <row r="17" spans="1:10" ht="25.95" customHeight="1">
      <c r="A17" s="5"/>
      <c r="B17" s="103" t="s">
        <v>202</v>
      </c>
      <c r="C17" s="103"/>
      <c r="D17" s="103"/>
      <c r="E17" s="103"/>
      <c r="F17" s="103"/>
      <c r="G17" s="103"/>
      <c r="H17" s="103"/>
      <c r="I17" s="103"/>
      <c r="J17" s="5"/>
    </row>
    <row r="18" spans="1:10" ht="13.05" customHeight="1">
      <c r="A18" s="5"/>
      <c r="B18" s="103" t="s">
        <v>203</v>
      </c>
      <c r="C18" s="103"/>
      <c r="D18" s="103"/>
      <c r="E18" s="103"/>
      <c r="F18" s="103"/>
      <c r="G18" s="103"/>
      <c r="H18" s="103"/>
      <c r="I18" s="103"/>
      <c r="J18" s="5"/>
    </row>
    <row r="19" spans="1:10" ht="13.05" customHeight="1">
      <c r="A19" s="5"/>
      <c r="B19" s="103"/>
      <c r="C19" s="103"/>
      <c r="D19" s="103"/>
      <c r="E19" s="103"/>
      <c r="F19" s="103"/>
      <c r="G19" s="103"/>
      <c r="H19" s="103"/>
      <c r="I19" s="103"/>
      <c r="J19" s="5"/>
    </row>
    <row r="20" spans="1:10" ht="13.05" customHeight="1">
      <c r="A20" s="5"/>
      <c r="B20" s="109" t="s">
        <v>3633</v>
      </c>
      <c r="C20" s="109"/>
      <c r="D20" s="109"/>
      <c r="E20" s="109"/>
      <c r="F20" s="5"/>
      <c r="G20" s="5"/>
      <c r="H20" s="5"/>
      <c r="I20" s="5"/>
      <c r="J20" s="5"/>
    </row>
    <row r="21" spans="1:10" ht="13.05" customHeight="1">
      <c r="A21" s="5"/>
      <c r="B21" s="103"/>
      <c r="C21" s="103"/>
      <c r="D21" s="103"/>
      <c r="E21" s="103"/>
      <c r="F21" s="103"/>
      <c r="G21" s="103"/>
      <c r="H21" s="103"/>
      <c r="I21" s="103"/>
      <c r="J21" s="5"/>
    </row>
    <row r="22" spans="1:10" ht="13.05" customHeight="1">
      <c r="A22" s="5"/>
      <c r="B22" s="5"/>
      <c r="C22" s="104" t="s">
        <v>3634</v>
      </c>
      <c r="D22" s="104"/>
      <c r="E22" s="104"/>
      <c r="F22" s="104"/>
      <c r="G22" s="5"/>
      <c r="H22" s="5"/>
      <c r="I22" s="5"/>
      <c r="J22" s="5"/>
    </row>
    <row r="23" spans="1:10" ht="13.05" customHeight="1">
      <c r="A23" s="5"/>
      <c r="B23" s="38" t="s">
        <v>207</v>
      </c>
      <c r="C23" s="104" t="s">
        <v>208</v>
      </c>
      <c r="D23" s="104"/>
      <c r="E23" s="104"/>
      <c r="F23" s="104"/>
      <c r="G23" s="5"/>
      <c r="H23" s="5"/>
      <c r="I23" s="5"/>
      <c r="J23" s="5"/>
    </row>
    <row r="24" spans="1:10" ht="135" customHeight="1">
      <c r="A24" s="5"/>
      <c r="B24" s="39"/>
      <c r="C24" s="105"/>
      <c r="D24" s="105"/>
      <c r="E24" s="5"/>
      <c r="F24" s="5"/>
      <c r="G24" s="5"/>
      <c r="H24" s="5"/>
      <c r="I24" s="5"/>
      <c r="J24" s="5"/>
    </row>
  </sheetData>
  <mergeCells count="8">
    <mergeCell ref="C22:F22"/>
    <mergeCell ref="C23:F23"/>
    <mergeCell ref="C24:D24"/>
    <mergeCell ref="B17:I17"/>
    <mergeCell ref="B18:I18"/>
    <mergeCell ref="B19:I19"/>
    <mergeCell ref="B20:E20"/>
    <mergeCell ref="B21:I21"/>
  </mergeCells>
  <hyperlinks>
    <hyperlink ref="A1" location="AxisSilverETF" display="AXISETS" xr:uid="{00000000-0004-0000-1B00-000000000000}"/>
    <hyperlink ref="B1" location="AxisSilverETF" display="Axis Silver ETF" xr:uid="{00000000-0004-0000-1B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outlinePr summaryBelow="0"/>
  </sheetPr>
  <dimension ref="A1:J52"/>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59</v>
      </c>
      <c r="B1" s="4" t="s">
        <v>60</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11005258</v>
      </c>
      <c r="F7" s="21">
        <v>108654.91220000001</v>
      </c>
      <c r="G7" s="22">
        <v>8.6400000000000005E-2</v>
      </c>
      <c r="H7" s="40"/>
      <c r="I7" s="24"/>
      <c r="J7" s="5"/>
    </row>
    <row r="8" spans="1:10" ht="13.05" customHeight="1">
      <c r="A8" s="18" t="s">
        <v>262</v>
      </c>
      <c r="B8" s="19" t="s">
        <v>263</v>
      </c>
      <c r="C8" s="15" t="s">
        <v>264</v>
      </c>
      <c r="D8" s="15" t="s">
        <v>257</v>
      </c>
      <c r="E8" s="20">
        <v>7951967</v>
      </c>
      <c r="F8" s="21">
        <v>106977.8121</v>
      </c>
      <c r="G8" s="22">
        <v>8.5000000000000006E-2</v>
      </c>
      <c r="H8" s="40"/>
      <c r="I8" s="24"/>
      <c r="J8" s="5"/>
    </row>
    <row r="9" spans="1:10" ht="13.05" customHeight="1">
      <c r="A9" s="18" t="s">
        <v>297</v>
      </c>
      <c r="B9" s="19" t="s">
        <v>298</v>
      </c>
      <c r="C9" s="15" t="s">
        <v>299</v>
      </c>
      <c r="D9" s="15" t="s">
        <v>300</v>
      </c>
      <c r="E9" s="20">
        <v>8783359</v>
      </c>
      <c r="F9" s="21">
        <v>91592.867700000003</v>
      </c>
      <c r="G9" s="22">
        <v>7.2800000000000004E-2</v>
      </c>
      <c r="H9" s="40"/>
      <c r="I9" s="24"/>
      <c r="J9" s="5"/>
    </row>
    <row r="10" spans="1:10" ht="13.05" customHeight="1">
      <c r="A10" s="18" t="s">
        <v>265</v>
      </c>
      <c r="B10" s="19" t="s">
        <v>266</v>
      </c>
      <c r="C10" s="15" t="s">
        <v>267</v>
      </c>
      <c r="D10" s="15" t="s">
        <v>268</v>
      </c>
      <c r="E10" s="20">
        <v>4138784</v>
      </c>
      <c r="F10" s="21">
        <v>85031.317299999995</v>
      </c>
      <c r="G10" s="22">
        <v>6.7599999999999993E-2</v>
      </c>
      <c r="H10" s="40"/>
      <c r="I10" s="24"/>
      <c r="J10" s="5"/>
    </row>
    <row r="11" spans="1:10" ht="13.05" customHeight="1">
      <c r="A11" s="18" t="s">
        <v>301</v>
      </c>
      <c r="B11" s="19" t="s">
        <v>302</v>
      </c>
      <c r="C11" s="15" t="s">
        <v>303</v>
      </c>
      <c r="D11" s="15" t="s">
        <v>304</v>
      </c>
      <c r="E11" s="20">
        <v>25167777</v>
      </c>
      <c r="F11" s="21">
        <v>79970.611399999994</v>
      </c>
      <c r="G11" s="22">
        <v>6.3600000000000004E-2</v>
      </c>
      <c r="H11" s="40"/>
      <c r="I11" s="24"/>
      <c r="J11" s="5"/>
    </row>
    <row r="12" spans="1:10" ht="13.05" customHeight="1">
      <c r="A12" s="18" t="s">
        <v>446</v>
      </c>
      <c r="B12" s="19" t="s">
        <v>447</v>
      </c>
      <c r="C12" s="15" t="s">
        <v>448</v>
      </c>
      <c r="D12" s="15" t="s">
        <v>300</v>
      </c>
      <c r="E12" s="20">
        <v>4014437</v>
      </c>
      <c r="F12" s="21">
        <v>68116.967000000004</v>
      </c>
      <c r="G12" s="22">
        <v>5.4100000000000002E-2</v>
      </c>
      <c r="H12" s="40"/>
      <c r="I12" s="24"/>
      <c r="J12" s="5"/>
    </row>
    <row r="13" spans="1:10" ht="13.05" customHeight="1">
      <c r="A13" s="18" t="s">
        <v>406</v>
      </c>
      <c r="B13" s="19" t="s">
        <v>407</v>
      </c>
      <c r="C13" s="15" t="s">
        <v>408</v>
      </c>
      <c r="D13" s="15" t="s">
        <v>314</v>
      </c>
      <c r="E13" s="20">
        <v>983954</v>
      </c>
      <c r="F13" s="21">
        <v>66298.820500000002</v>
      </c>
      <c r="G13" s="22">
        <v>5.2699999999999997E-2</v>
      </c>
      <c r="H13" s="40"/>
      <c r="I13" s="24"/>
      <c r="J13" s="5"/>
    </row>
    <row r="14" spans="1:10" ht="13.05" customHeight="1">
      <c r="A14" s="18" t="s">
        <v>345</v>
      </c>
      <c r="B14" s="19" t="s">
        <v>346</v>
      </c>
      <c r="C14" s="15" t="s">
        <v>347</v>
      </c>
      <c r="D14" s="15" t="s">
        <v>348</v>
      </c>
      <c r="E14" s="20">
        <v>939076</v>
      </c>
      <c r="F14" s="21">
        <v>52823.025000000001</v>
      </c>
      <c r="G14" s="22">
        <v>4.2000000000000003E-2</v>
      </c>
      <c r="H14" s="40"/>
      <c r="I14" s="24"/>
      <c r="J14" s="5"/>
    </row>
    <row r="15" spans="1:10" ht="13.05" customHeight="1">
      <c r="A15" s="18" t="s">
        <v>429</v>
      </c>
      <c r="B15" s="19" t="s">
        <v>430</v>
      </c>
      <c r="C15" s="15" t="s">
        <v>431</v>
      </c>
      <c r="D15" s="15" t="s">
        <v>415</v>
      </c>
      <c r="E15" s="20">
        <v>668123</v>
      </c>
      <c r="F15" s="21">
        <v>51318.527600000001</v>
      </c>
      <c r="G15" s="22">
        <v>4.0800000000000003E-2</v>
      </c>
      <c r="H15" s="40"/>
      <c r="I15" s="24"/>
      <c r="J15" s="5"/>
    </row>
    <row r="16" spans="1:10" ht="13.05" customHeight="1">
      <c r="A16" s="18" t="s">
        <v>706</v>
      </c>
      <c r="B16" s="19" t="s">
        <v>707</v>
      </c>
      <c r="C16" s="15" t="s">
        <v>708</v>
      </c>
      <c r="D16" s="15" t="s">
        <v>541</v>
      </c>
      <c r="E16" s="20">
        <v>2767025</v>
      </c>
      <c r="F16" s="21">
        <v>48276.285199999998</v>
      </c>
      <c r="G16" s="22">
        <v>3.8399999999999997E-2</v>
      </c>
      <c r="H16" s="40"/>
      <c r="I16" s="24"/>
      <c r="J16" s="5"/>
    </row>
    <row r="17" spans="1:10" ht="13.05" customHeight="1">
      <c r="A17" s="18" t="s">
        <v>293</v>
      </c>
      <c r="B17" s="19" t="s">
        <v>294</v>
      </c>
      <c r="C17" s="15" t="s">
        <v>295</v>
      </c>
      <c r="D17" s="15" t="s">
        <v>296</v>
      </c>
      <c r="E17" s="20">
        <v>1365212</v>
      </c>
      <c r="F17" s="21">
        <v>47607.672899999998</v>
      </c>
      <c r="G17" s="22">
        <v>3.78E-2</v>
      </c>
      <c r="H17" s="40"/>
      <c r="I17" s="24"/>
      <c r="J17" s="5"/>
    </row>
    <row r="18" spans="1:10" ht="13.05" customHeight="1">
      <c r="A18" s="18" t="s">
        <v>491</v>
      </c>
      <c r="B18" s="19" t="s">
        <v>492</v>
      </c>
      <c r="C18" s="15" t="s">
        <v>493</v>
      </c>
      <c r="D18" s="15" t="s">
        <v>494</v>
      </c>
      <c r="E18" s="20">
        <v>2591020</v>
      </c>
      <c r="F18" s="21">
        <v>46260.071100000001</v>
      </c>
      <c r="G18" s="22">
        <v>3.6799999999999999E-2</v>
      </c>
      <c r="H18" s="40"/>
      <c r="I18" s="24"/>
      <c r="J18" s="5"/>
    </row>
    <row r="19" spans="1:10" ht="13.05" customHeight="1">
      <c r="A19" s="18" t="s">
        <v>578</v>
      </c>
      <c r="B19" s="19" t="s">
        <v>579</v>
      </c>
      <c r="C19" s="15" t="s">
        <v>580</v>
      </c>
      <c r="D19" s="15" t="s">
        <v>581</v>
      </c>
      <c r="E19" s="20">
        <v>3123976</v>
      </c>
      <c r="F19" s="21">
        <v>45128.957300000002</v>
      </c>
      <c r="G19" s="22">
        <v>3.5900000000000001E-2</v>
      </c>
      <c r="H19" s="40"/>
      <c r="I19" s="24"/>
      <c r="J19" s="5"/>
    </row>
    <row r="20" spans="1:10" ht="13.05" customHeight="1">
      <c r="A20" s="18" t="s">
        <v>395</v>
      </c>
      <c r="B20" s="19" t="s">
        <v>396</v>
      </c>
      <c r="C20" s="15" t="s">
        <v>397</v>
      </c>
      <c r="D20" s="15" t="s">
        <v>329</v>
      </c>
      <c r="E20" s="20">
        <v>951159</v>
      </c>
      <c r="F20" s="21">
        <v>44512.338900000002</v>
      </c>
      <c r="G20" s="22">
        <v>3.5400000000000001E-2</v>
      </c>
      <c r="H20" s="40"/>
      <c r="I20" s="24"/>
      <c r="J20" s="5"/>
    </row>
    <row r="21" spans="1:10" ht="13.05" customHeight="1">
      <c r="A21" s="18" t="s">
        <v>269</v>
      </c>
      <c r="B21" s="19" t="s">
        <v>270</v>
      </c>
      <c r="C21" s="15" t="s">
        <v>271</v>
      </c>
      <c r="D21" s="15" t="s">
        <v>272</v>
      </c>
      <c r="E21" s="20">
        <v>2880330</v>
      </c>
      <c r="F21" s="21">
        <v>42695.131600000001</v>
      </c>
      <c r="G21" s="22">
        <v>3.39E-2</v>
      </c>
      <c r="H21" s="40"/>
      <c r="I21" s="24"/>
      <c r="J21" s="5"/>
    </row>
    <row r="22" spans="1:10" ht="13.05" customHeight="1">
      <c r="A22" s="18" t="s">
        <v>762</v>
      </c>
      <c r="B22" s="19" t="s">
        <v>763</v>
      </c>
      <c r="C22" s="15" t="s">
        <v>764</v>
      </c>
      <c r="D22" s="15" t="s">
        <v>321</v>
      </c>
      <c r="E22" s="20">
        <v>3047218</v>
      </c>
      <c r="F22" s="21">
        <v>40116.625</v>
      </c>
      <c r="G22" s="22">
        <v>3.1899999999999998E-2</v>
      </c>
      <c r="H22" s="40"/>
      <c r="I22" s="24"/>
      <c r="J22" s="5"/>
    </row>
    <row r="23" spans="1:10" ht="13.05" customHeight="1">
      <c r="A23" s="18" t="s">
        <v>523</v>
      </c>
      <c r="B23" s="19" t="s">
        <v>524</v>
      </c>
      <c r="C23" s="15" t="s">
        <v>525</v>
      </c>
      <c r="D23" s="15" t="s">
        <v>304</v>
      </c>
      <c r="E23" s="20">
        <v>2093514</v>
      </c>
      <c r="F23" s="21">
        <v>28854.9035</v>
      </c>
      <c r="G23" s="22">
        <v>2.29E-2</v>
      </c>
      <c r="H23" s="40"/>
      <c r="I23" s="24"/>
      <c r="J23" s="5"/>
    </row>
    <row r="24" spans="1:10" ht="13.05" customHeight="1">
      <c r="A24" s="18" t="s">
        <v>640</v>
      </c>
      <c r="B24" s="19" t="s">
        <v>641</v>
      </c>
      <c r="C24" s="15" t="s">
        <v>642</v>
      </c>
      <c r="D24" s="15" t="s">
        <v>296</v>
      </c>
      <c r="E24" s="20">
        <v>1146834</v>
      </c>
      <c r="F24" s="21">
        <v>27967.840800000002</v>
      </c>
      <c r="G24" s="22">
        <v>2.2200000000000001E-2</v>
      </c>
      <c r="H24" s="40"/>
      <c r="I24" s="24"/>
      <c r="J24" s="5"/>
    </row>
    <row r="25" spans="1:10" ht="13.05" customHeight="1">
      <c r="A25" s="18" t="s">
        <v>498</v>
      </c>
      <c r="B25" s="19" t="s">
        <v>499</v>
      </c>
      <c r="C25" s="15" t="s">
        <v>500</v>
      </c>
      <c r="D25" s="15" t="s">
        <v>501</v>
      </c>
      <c r="E25" s="20">
        <v>624592</v>
      </c>
      <c r="F25" s="21">
        <v>27132.901099999999</v>
      </c>
      <c r="G25" s="22">
        <v>2.1600000000000001E-2</v>
      </c>
      <c r="H25" s="40"/>
      <c r="I25" s="24"/>
      <c r="J25" s="5"/>
    </row>
    <row r="26" spans="1:10" ht="13.05" customHeight="1">
      <c r="A26" s="18" t="s">
        <v>739</v>
      </c>
      <c r="B26" s="19" t="s">
        <v>740</v>
      </c>
      <c r="C26" s="15" t="s">
        <v>741</v>
      </c>
      <c r="D26" s="15" t="s">
        <v>314</v>
      </c>
      <c r="E26" s="20">
        <v>1037596</v>
      </c>
      <c r="F26" s="21">
        <v>24736.2886</v>
      </c>
      <c r="G26" s="22">
        <v>1.9699999999999999E-2</v>
      </c>
      <c r="H26" s="40"/>
      <c r="I26" s="24"/>
      <c r="J26" s="5"/>
    </row>
    <row r="27" spans="1:10" ht="13.05" customHeight="1">
      <c r="A27" s="18" t="s">
        <v>986</v>
      </c>
      <c r="B27" s="19" t="s">
        <v>987</v>
      </c>
      <c r="C27" s="15" t="s">
        <v>988</v>
      </c>
      <c r="D27" s="15" t="s">
        <v>445</v>
      </c>
      <c r="E27" s="20">
        <v>283723</v>
      </c>
      <c r="F27" s="21">
        <v>24601.621299999999</v>
      </c>
      <c r="G27" s="22">
        <v>1.9599999999999999E-2</v>
      </c>
      <c r="H27" s="40"/>
      <c r="I27" s="24"/>
      <c r="J27" s="5"/>
    </row>
    <row r="28" spans="1:10" ht="13.05" customHeight="1">
      <c r="A28" s="18" t="s">
        <v>368</v>
      </c>
      <c r="B28" s="19" t="s">
        <v>369</v>
      </c>
      <c r="C28" s="15" t="s">
        <v>370</v>
      </c>
      <c r="D28" s="15" t="s">
        <v>304</v>
      </c>
      <c r="E28" s="20">
        <v>343158</v>
      </c>
      <c r="F28" s="21">
        <v>16108.866</v>
      </c>
      <c r="G28" s="22">
        <v>1.2800000000000001E-2</v>
      </c>
      <c r="H28" s="40"/>
      <c r="I28" s="24"/>
      <c r="J28" s="5"/>
    </row>
    <row r="29" spans="1:10" ht="13.05" customHeight="1">
      <c r="A29" s="18" t="s">
        <v>287</v>
      </c>
      <c r="B29" s="19" t="s">
        <v>288</v>
      </c>
      <c r="C29" s="15" t="s">
        <v>289</v>
      </c>
      <c r="D29" s="15" t="s">
        <v>272</v>
      </c>
      <c r="E29" s="20">
        <v>420828</v>
      </c>
      <c r="F29" s="21">
        <v>12868.9202</v>
      </c>
      <c r="G29" s="22">
        <v>1.0200000000000001E-2</v>
      </c>
      <c r="H29" s="40"/>
      <c r="I29" s="24"/>
      <c r="J29" s="5"/>
    </row>
    <row r="30" spans="1:10" ht="13.05" customHeight="1">
      <c r="A30" s="18" t="s">
        <v>485</v>
      </c>
      <c r="B30" s="19" t="s">
        <v>486</v>
      </c>
      <c r="C30" s="15" t="s">
        <v>487</v>
      </c>
      <c r="D30" s="15" t="s">
        <v>304</v>
      </c>
      <c r="E30" s="20">
        <v>265966</v>
      </c>
      <c r="F30" s="21">
        <v>11046.897800000001</v>
      </c>
      <c r="G30" s="22">
        <v>8.8000000000000005E-3</v>
      </c>
      <c r="H30" s="40"/>
      <c r="I30" s="24"/>
      <c r="J30" s="5"/>
    </row>
    <row r="31" spans="1:10" ht="13.05" customHeight="1">
      <c r="A31" s="18" t="s">
        <v>1214</v>
      </c>
      <c r="B31" s="19" t="s">
        <v>1215</v>
      </c>
      <c r="C31" s="15" t="s">
        <v>1216</v>
      </c>
      <c r="D31" s="15" t="s">
        <v>314</v>
      </c>
      <c r="E31" s="20">
        <v>1327133</v>
      </c>
      <c r="F31" s="21">
        <v>9998.6200000000008</v>
      </c>
      <c r="G31" s="22">
        <v>7.9000000000000008E-3</v>
      </c>
      <c r="H31" s="40"/>
      <c r="I31" s="24"/>
      <c r="J31" s="5"/>
    </row>
    <row r="32" spans="1:10" ht="13.05" customHeight="1">
      <c r="A32" s="5"/>
      <c r="B32" s="14" t="s">
        <v>192</v>
      </c>
      <c r="C32" s="15"/>
      <c r="D32" s="15"/>
      <c r="E32" s="15"/>
      <c r="F32" s="25">
        <v>1208698.8019999999</v>
      </c>
      <c r="G32" s="26">
        <v>0.9607</v>
      </c>
      <c r="H32" s="27"/>
      <c r="I32" s="28"/>
      <c r="J32" s="5"/>
    </row>
    <row r="33" spans="1:10" ht="13.05" customHeight="1">
      <c r="A33" s="5"/>
      <c r="B33" s="29" t="s">
        <v>1812</v>
      </c>
      <c r="C33" s="2"/>
      <c r="D33" s="2"/>
      <c r="E33" s="2"/>
      <c r="F33" s="27" t="s">
        <v>194</v>
      </c>
      <c r="G33" s="27" t="s">
        <v>194</v>
      </c>
      <c r="H33" s="27"/>
      <c r="I33" s="28"/>
      <c r="J33" s="5"/>
    </row>
    <row r="34" spans="1:10" ht="13.05" customHeight="1">
      <c r="A34" s="5"/>
      <c r="B34" s="29" t="s">
        <v>192</v>
      </c>
      <c r="C34" s="2"/>
      <c r="D34" s="2"/>
      <c r="E34" s="2"/>
      <c r="F34" s="27" t="s">
        <v>194</v>
      </c>
      <c r="G34" s="27" t="s">
        <v>194</v>
      </c>
      <c r="H34" s="27"/>
      <c r="I34" s="28"/>
      <c r="J34" s="5"/>
    </row>
    <row r="35" spans="1:10" ht="13.05" customHeight="1">
      <c r="A35" s="5"/>
      <c r="B35" s="29" t="s">
        <v>195</v>
      </c>
      <c r="C35" s="30"/>
      <c r="D35" s="2"/>
      <c r="E35" s="30"/>
      <c r="F35" s="25">
        <v>1208698.8019999999</v>
      </c>
      <c r="G35" s="26">
        <v>0.9607</v>
      </c>
      <c r="H35" s="27"/>
      <c r="I35" s="28"/>
      <c r="J35" s="5"/>
    </row>
    <row r="36" spans="1:10" ht="13.05" customHeight="1">
      <c r="A36" s="5"/>
      <c r="B36" s="14" t="s">
        <v>196</v>
      </c>
      <c r="C36" s="15"/>
      <c r="D36" s="15"/>
      <c r="E36" s="15"/>
      <c r="F36" s="15"/>
      <c r="G36" s="15"/>
      <c r="H36" s="16"/>
      <c r="I36" s="17"/>
      <c r="J36" s="5"/>
    </row>
    <row r="37" spans="1:10" ht="13.05" customHeight="1">
      <c r="A37" s="18" t="s">
        <v>197</v>
      </c>
      <c r="B37" s="19" t="s">
        <v>198</v>
      </c>
      <c r="C37" s="15"/>
      <c r="D37" s="15"/>
      <c r="E37" s="20"/>
      <c r="F37" s="21">
        <v>49080.664299999997</v>
      </c>
      <c r="G37" s="22">
        <v>3.9E-2</v>
      </c>
      <c r="H37" s="23">
        <v>5.5573617010495215E-2</v>
      </c>
      <c r="I37" s="24"/>
      <c r="J37" s="5"/>
    </row>
    <row r="38" spans="1:10" ht="13.05" customHeight="1">
      <c r="A38" s="5"/>
      <c r="B38" s="14" t="s">
        <v>192</v>
      </c>
      <c r="C38" s="15"/>
      <c r="D38" s="15"/>
      <c r="E38" s="15"/>
      <c r="F38" s="25">
        <v>49080.664299999997</v>
      </c>
      <c r="G38" s="26">
        <v>3.9E-2</v>
      </c>
      <c r="H38" s="27"/>
      <c r="I38" s="28"/>
      <c r="J38" s="5"/>
    </row>
    <row r="39" spans="1:10" ht="13.05" customHeight="1">
      <c r="A39" s="5"/>
      <c r="B39" s="29" t="s">
        <v>195</v>
      </c>
      <c r="C39" s="30"/>
      <c r="D39" s="2"/>
      <c r="E39" s="30"/>
      <c r="F39" s="25">
        <v>49080.664299999997</v>
      </c>
      <c r="G39" s="26">
        <v>3.9E-2</v>
      </c>
      <c r="H39" s="27"/>
      <c r="I39" s="28"/>
      <c r="J39" s="5"/>
    </row>
    <row r="40" spans="1:10" ht="13.05" customHeight="1">
      <c r="A40" s="5"/>
      <c r="B40" s="29" t="s">
        <v>199</v>
      </c>
      <c r="C40" s="15"/>
      <c r="D40" s="2"/>
      <c r="E40" s="15"/>
      <c r="F40" s="31">
        <v>306.77370000000002</v>
      </c>
      <c r="G40" s="26">
        <v>2.9999999999999997E-4</v>
      </c>
      <c r="H40" s="27"/>
      <c r="I40" s="28"/>
      <c r="J40" s="5"/>
    </row>
    <row r="41" spans="1:10" ht="13.05" customHeight="1">
      <c r="A41" s="5"/>
      <c r="B41" s="32" t="s">
        <v>200</v>
      </c>
      <c r="C41" s="33"/>
      <c r="D41" s="33"/>
      <c r="E41" s="33"/>
      <c r="F41" s="34">
        <v>1258086.24</v>
      </c>
      <c r="G41" s="35">
        <v>1</v>
      </c>
      <c r="H41" s="36"/>
      <c r="I41" s="37"/>
      <c r="J41" s="5"/>
    </row>
    <row r="42" spans="1:10" ht="13.05" customHeight="1">
      <c r="A42" s="5"/>
      <c r="B42" s="7"/>
      <c r="C42" s="5"/>
      <c r="D42" s="5"/>
      <c r="E42" s="5"/>
      <c r="F42" s="5"/>
      <c r="G42" s="5"/>
      <c r="H42" s="5"/>
      <c r="I42" s="5"/>
      <c r="J42" s="5"/>
    </row>
    <row r="43" spans="1:10" ht="13.05" customHeight="1">
      <c r="A43" s="5"/>
      <c r="B43" s="4" t="s">
        <v>201</v>
      </c>
      <c r="C43" s="5"/>
      <c r="D43" s="5"/>
      <c r="E43" s="5"/>
      <c r="F43" s="5"/>
      <c r="G43" s="5"/>
      <c r="H43" s="5"/>
      <c r="I43" s="5"/>
      <c r="J43" s="5"/>
    </row>
    <row r="44" spans="1:10" ht="25.95" customHeight="1">
      <c r="A44" s="5"/>
      <c r="B44" s="103" t="s">
        <v>202</v>
      </c>
      <c r="C44" s="103"/>
      <c r="D44" s="103"/>
      <c r="E44" s="103"/>
      <c r="F44" s="103"/>
      <c r="G44" s="103"/>
      <c r="H44" s="103"/>
      <c r="I44" s="103"/>
      <c r="J44" s="5"/>
    </row>
    <row r="45" spans="1:10" ht="13.05" customHeight="1">
      <c r="A45" s="5"/>
      <c r="B45" s="103" t="s">
        <v>203</v>
      </c>
      <c r="C45" s="103"/>
      <c r="D45" s="103"/>
      <c r="E45" s="103"/>
      <c r="F45" s="103"/>
      <c r="G45" s="103"/>
      <c r="H45" s="103"/>
      <c r="I45" s="103"/>
      <c r="J45" s="5"/>
    </row>
    <row r="46" spans="1:10" ht="13.05" customHeight="1">
      <c r="A46" s="5"/>
      <c r="B46" s="103"/>
      <c r="C46" s="103"/>
      <c r="D46" s="103"/>
      <c r="E46" s="103"/>
      <c r="F46" s="103"/>
      <c r="G46" s="103"/>
      <c r="H46" s="103"/>
      <c r="I46" s="103"/>
      <c r="J46" s="5"/>
    </row>
    <row r="47" spans="1:10" ht="13.05" customHeight="1">
      <c r="A47" s="5"/>
      <c r="B47" s="103"/>
      <c r="C47" s="103"/>
      <c r="D47" s="103"/>
      <c r="E47" s="103"/>
      <c r="F47" s="103"/>
      <c r="G47" s="103"/>
      <c r="H47" s="103"/>
      <c r="I47" s="103"/>
      <c r="J47" s="5"/>
    </row>
    <row r="48" spans="1:10" ht="13.05" customHeight="1">
      <c r="A48" s="5"/>
      <c r="B48" s="103"/>
      <c r="C48" s="103"/>
      <c r="D48" s="103"/>
      <c r="E48" s="103"/>
      <c r="F48" s="103"/>
      <c r="G48" s="103"/>
      <c r="H48" s="103"/>
      <c r="I48" s="103"/>
      <c r="J48" s="5"/>
    </row>
    <row r="49" spans="1:10" ht="13.05" customHeight="1">
      <c r="A49" s="5"/>
      <c r="B49" s="103"/>
      <c r="C49" s="103"/>
      <c r="D49" s="103"/>
      <c r="E49" s="103"/>
      <c r="F49" s="103"/>
      <c r="G49" s="103"/>
      <c r="H49" s="103"/>
      <c r="I49" s="103"/>
      <c r="J49" s="5"/>
    </row>
    <row r="50" spans="1:10" ht="13.05" customHeight="1">
      <c r="A50" s="5"/>
      <c r="B50" s="5"/>
      <c r="C50" s="104" t="s">
        <v>1817</v>
      </c>
      <c r="D50" s="104"/>
      <c r="E50" s="104"/>
      <c r="F50" s="104"/>
      <c r="G50" s="5"/>
      <c r="H50" s="5"/>
      <c r="I50" s="5"/>
      <c r="J50" s="5"/>
    </row>
    <row r="51" spans="1:10" ht="13.05" customHeight="1">
      <c r="A51" s="5"/>
      <c r="B51" s="38" t="s">
        <v>207</v>
      </c>
      <c r="C51" s="104" t="s">
        <v>208</v>
      </c>
      <c r="D51" s="104"/>
      <c r="E51" s="104"/>
      <c r="F51" s="104"/>
      <c r="G51" s="5"/>
      <c r="H51" s="5"/>
      <c r="I51" s="5"/>
      <c r="J51" s="5"/>
    </row>
    <row r="52" spans="1:10" ht="135" customHeight="1">
      <c r="A52" s="5"/>
      <c r="B52" s="39"/>
      <c r="C52" s="105"/>
      <c r="D52" s="105"/>
      <c r="E52" s="5"/>
      <c r="F52" s="5"/>
      <c r="G52" s="5"/>
      <c r="H52" s="5"/>
      <c r="I52" s="5"/>
      <c r="J52" s="5"/>
    </row>
  </sheetData>
  <mergeCells count="9">
    <mergeCell ref="B49:I49"/>
    <mergeCell ref="C50:F50"/>
    <mergeCell ref="C51:F51"/>
    <mergeCell ref="C52:D52"/>
    <mergeCell ref="B44:I44"/>
    <mergeCell ref="B45:I45"/>
    <mergeCell ref="B46:I46"/>
    <mergeCell ref="B47:I47"/>
    <mergeCell ref="B48:I48"/>
  </mergeCells>
  <hyperlinks>
    <hyperlink ref="A1" location="AxisFocusedFund" display="AXISF25" xr:uid="{00000000-0004-0000-1C00-000000000000}"/>
    <hyperlink ref="B1" location="AxisFocusedFund" display="Axis Focused Fund" xr:uid="{00000000-0004-0000-1C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outlinePr summaryBelow="0"/>
  </sheetPr>
  <dimension ref="A1:J67"/>
  <sheetViews>
    <sheetView topLeftCell="A23" workbookViewId="0">
      <selection activeCell="F52" sqref="F5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61</v>
      </c>
      <c r="B1" s="4" t="s">
        <v>62</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1871</v>
      </c>
      <c r="C5" s="15"/>
      <c r="D5" s="15"/>
      <c r="E5" s="15"/>
      <c r="F5" s="15"/>
      <c r="G5" s="15"/>
      <c r="H5" s="16"/>
      <c r="I5" s="17"/>
      <c r="J5" s="5"/>
    </row>
    <row r="6" spans="1:10" ht="13.05" customHeight="1">
      <c r="A6" s="5"/>
      <c r="B6" s="14" t="s">
        <v>1872</v>
      </c>
      <c r="C6" s="15"/>
      <c r="D6" s="15"/>
      <c r="E6" s="15"/>
      <c r="F6" s="5"/>
      <c r="G6" s="16"/>
      <c r="H6" s="16"/>
      <c r="I6" s="17"/>
      <c r="J6" s="5"/>
    </row>
    <row r="7" spans="1:10" ht="13.05" customHeight="1">
      <c r="A7" s="18" t="s">
        <v>3635</v>
      </c>
      <c r="B7" s="19" t="s">
        <v>3636</v>
      </c>
      <c r="C7" s="15"/>
      <c r="D7" s="15"/>
      <c r="E7" s="41"/>
      <c r="F7" s="21">
        <v>0.315</v>
      </c>
      <c r="G7" s="40" t="s">
        <v>1809</v>
      </c>
      <c r="H7" s="40"/>
      <c r="I7" s="24"/>
      <c r="J7" s="5"/>
    </row>
    <row r="8" spans="1:10" ht="13.05" customHeight="1">
      <c r="A8" s="18" t="s">
        <v>3637</v>
      </c>
      <c r="B8" s="19" t="s">
        <v>3638</v>
      </c>
      <c r="C8" s="15"/>
      <c r="D8" s="15"/>
      <c r="E8" s="41"/>
      <c r="F8" s="21">
        <v>7.4999999999999997E-2</v>
      </c>
      <c r="G8" s="40" t="s">
        <v>1809</v>
      </c>
      <c r="H8" s="40"/>
      <c r="I8" s="24"/>
      <c r="J8" s="5"/>
    </row>
    <row r="9" spans="1:10" ht="13.05" customHeight="1">
      <c r="A9" s="18" t="s">
        <v>3639</v>
      </c>
      <c r="B9" s="19" t="s">
        <v>3640</v>
      </c>
      <c r="C9" s="15"/>
      <c r="D9" s="15"/>
      <c r="E9" s="41"/>
      <c r="F9" s="21">
        <v>6.5000000000000002E-2</v>
      </c>
      <c r="G9" s="40" t="s">
        <v>1809</v>
      </c>
      <c r="H9" s="40"/>
      <c r="I9" s="24"/>
      <c r="J9" s="5"/>
    </row>
    <row r="10" spans="1:10" ht="13.05" customHeight="1">
      <c r="A10" s="18" t="s">
        <v>3641</v>
      </c>
      <c r="B10" s="19" t="s">
        <v>3642</v>
      </c>
      <c r="C10" s="15"/>
      <c r="D10" s="15"/>
      <c r="E10" s="41"/>
      <c r="F10" s="21">
        <v>6.5000000000000002E-2</v>
      </c>
      <c r="G10" s="40" t="s">
        <v>1809</v>
      </c>
      <c r="H10" s="40"/>
      <c r="I10" s="24"/>
      <c r="J10" s="5"/>
    </row>
    <row r="11" spans="1:10" ht="13.05" customHeight="1">
      <c r="A11" s="18" t="s">
        <v>3643</v>
      </c>
      <c r="B11" s="19" t="s">
        <v>3644</v>
      </c>
      <c r="C11" s="15"/>
      <c r="D11" s="15"/>
      <c r="E11" s="41"/>
      <c r="F11" s="21">
        <v>3.2500000000000001E-2</v>
      </c>
      <c r="G11" s="40" t="s">
        <v>1809</v>
      </c>
      <c r="H11" s="40"/>
      <c r="I11" s="24"/>
      <c r="J11" s="5"/>
    </row>
    <row r="12" spans="1:10" ht="13.05" customHeight="1">
      <c r="A12" s="18" t="s">
        <v>3645</v>
      </c>
      <c r="B12" s="19" t="s">
        <v>3646</v>
      </c>
      <c r="C12" s="15"/>
      <c r="D12" s="15"/>
      <c r="E12" s="41"/>
      <c r="F12" s="21">
        <v>-0.72850000000000004</v>
      </c>
      <c r="G12" s="22">
        <v>-1E-4</v>
      </c>
      <c r="H12" s="40"/>
      <c r="I12" s="24"/>
      <c r="J12" s="5"/>
    </row>
    <row r="13" spans="1:10" ht="13.05" customHeight="1">
      <c r="A13" s="5"/>
      <c r="B13" s="14" t="s">
        <v>192</v>
      </c>
      <c r="C13" s="15"/>
      <c r="D13" s="15"/>
      <c r="E13" s="15"/>
      <c r="F13" s="25">
        <v>-0.17600000000000005</v>
      </c>
      <c r="G13" s="43">
        <v>-1.4E-5</v>
      </c>
      <c r="H13" s="27"/>
      <c r="I13" s="28"/>
      <c r="J13" s="5"/>
    </row>
    <row r="14" spans="1:10" ht="13.05" customHeight="1">
      <c r="A14" s="5"/>
      <c r="B14" s="29" t="s">
        <v>195</v>
      </c>
      <c r="C14" s="30"/>
      <c r="D14" s="2"/>
      <c r="E14" s="30"/>
      <c r="F14" s="25">
        <v>-0.17600000000000005</v>
      </c>
      <c r="G14" s="43">
        <v>-1.4E-5</v>
      </c>
      <c r="H14" s="27"/>
      <c r="I14" s="28"/>
      <c r="J14" s="5"/>
    </row>
    <row r="15" spans="1:10" ht="13.05" customHeight="1">
      <c r="A15" s="5"/>
      <c r="B15" s="14" t="s">
        <v>183</v>
      </c>
      <c r="C15" s="15"/>
      <c r="D15" s="15"/>
      <c r="E15" s="15"/>
      <c r="F15" s="15"/>
      <c r="G15" s="15"/>
      <c r="H15" s="16"/>
      <c r="I15" s="17"/>
      <c r="J15" s="5"/>
    </row>
    <row r="16" spans="1:10" ht="13.05" customHeight="1">
      <c r="A16" s="5"/>
      <c r="B16" s="14" t="s">
        <v>184</v>
      </c>
      <c r="C16" s="15"/>
      <c r="D16" s="15"/>
      <c r="E16" s="15"/>
      <c r="F16" s="5"/>
      <c r="G16" s="16"/>
      <c r="H16" s="16"/>
      <c r="I16" s="17"/>
      <c r="J16" s="5"/>
    </row>
    <row r="17" spans="1:10" ht="13.05" customHeight="1">
      <c r="A17" s="18" t="s">
        <v>2876</v>
      </c>
      <c r="B17" s="19" t="s">
        <v>2877</v>
      </c>
      <c r="C17" s="15" t="s">
        <v>2878</v>
      </c>
      <c r="D17" s="15" t="s">
        <v>188</v>
      </c>
      <c r="E17" s="20">
        <v>1934000</v>
      </c>
      <c r="F17" s="21">
        <v>1939.6686</v>
      </c>
      <c r="G17" s="22">
        <v>0.15260000000000001</v>
      </c>
      <c r="H17" s="23">
        <v>7.4507000000000004E-2</v>
      </c>
      <c r="I17" s="24"/>
      <c r="J17" s="5"/>
    </row>
    <row r="18" spans="1:10" ht="13.05" customHeight="1">
      <c r="A18" s="18" t="s">
        <v>3647</v>
      </c>
      <c r="B18" s="19" t="s">
        <v>3648</v>
      </c>
      <c r="C18" s="15" t="s">
        <v>3649</v>
      </c>
      <c r="D18" s="15" t="s">
        <v>188</v>
      </c>
      <c r="E18" s="20">
        <v>1200000</v>
      </c>
      <c r="F18" s="21">
        <v>1182.9408000000001</v>
      </c>
      <c r="G18" s="22">
        <v>9.3100000000000002E-2</v>
      </c>
      <c r="H18" s="23">
        <v>6.6395999999999997E-2</v>
      </c>
      <c r="I18" s="24"/>
      <c r="J18" s="5"/>
    </row>
    <row r="19" spans="1:10" ht="13.05" customHeight="1">
      <c r="A19" s="18" t="s">
        <v>2243</v>
      </c>
      <c r="B19" s="19" t="s">
        <v>2244</v>
      </c>
      <c r="C19" s="15" t="s">
        <v>2245</v>
      </c>
      <c r="D19" s="15" t="s">
        <v>188</v>
      </c>
      <c r="E19" s="20">
        <v>1000000</v>
      </c>
      <c r="F19" s="21">
        <v>1019.73</v>
      </c>
      <c r="G19" s="22">
        <v>8.0199999999999994E-2</v>
      </c>
      <c r="H19" s="23">
        <v>7.3334999999999997E-2</v>
      </c>
      <c r="I19" s="24"/>
      <c r="J19" s="5"/>
    </row>
    <row r="20" spans="1:10" ht="13.05" customHeight="1">
      <c r="A20" s="18" t="s">
        <v>3650</v>
      </c>
      <c r="B20" s="19" t="s">
        <v>3651</v>
      </c>
      <c r="C20" s="15" t="s">
        <v>3652</v>
      </c>
      <c r="D20" s="15" t="s">
        <v>188</v>
      </c>
      <c r="E20" s="20">
        <v>1000000</v>
      </c>
      <c r="F20" s="21">
        <v>986.423</v>
      </c>
      <c r="G20" s="22">
        <v>7.7600000000000002E-2</v>
      </c>
      <c r="H20" s="23">
        <v>7.2859999999999994E-2</v>
      </c>
      <c r="I20" s="24"/>
      <c r="J20" s="5"/>
    </row>
    <row r="21" spans="1:10" ht="13.05" customHeight="1">
      <c r="A21" s="18" t="s">
        <v>3653</v>
      </c>
      <c r="B21" s="19" t="s">
        <v>3654</v>
      </c>
      <c r="C21" s="15" t="s">
        <v>3655</v>
      </c>
      <c r="D21" s="15" t="s">
        <v>3656</v>
      </c>
      <c r="E21" s="20">
        <v>500</v>
      </c>
      <c r="F21" s="21">
        <v>530.93050000000005</v>
      </c>
      <c r="G21" s="22">
        <v>4.1799999999999997E-2</v>
      </c>
      <c r="H21" s="23">
        <v>8.1367999999999996E-2</v>
      </c>
      <c r="I21" s="24"/>
      <c r="J21" s="5"/>
    </row>
    <row r="22" spans="1:10" ht="13.05" customHeight="1">
      <c r="A22" s="18" t="s">
        <v>3657</v>
      </c>
      <c r="B22" s="19" t="s">
        <v>3658</v>
      </c>
      <c r="C22" s="15" t="s">
        <v>3659</v>
      </c>
      <c r="D22" s="15" t="s">
        <v>3656</v>
      </c>
      <c r="E22" s="20">
        <v>500</v>
      </c>
      <c r="F22" s="21">
        <v>529.57249999999999</v>
      </c>
      <c r="G22" s="22">
        <v>4.1700000000000001E-2</v>
      </c>
      <c r="H22" s="23">
        <v>8.0699999999999994E-2</v>
      </c>
      <c r="I22" s="24"/>
      <c r="J22" s="5"/>
    </row>
    <row r="23" spans="1:10" ht="13.05" customHeight="1">
      <c r="A23" s="18" t="s">
        <v>3660</v>
      </c>
      <c r="B23" s="19" t="s">
        <v>3661</v>
      </c>
      <c r="C23" s="15" t="s">
        <v>3662</v>
      </c>
      <c r="D23" s="15" t="s">
        <v>213</v>
      </c>
      <c r="E23" s="20">
        <v>500</v>
      </c>
      <c r="F23" s="21">
        <v>512.77350000000001</v>
      </c>
      <c r="G23" s="22">
        <v>4.0300000000000002E-2</v>
      </c>
      <c r="H23" s="23">
        <v>6.8900000000000003E-2</v>
      </c>
      <c r="I23" s="24"/>
      <c r="J23" s="5"/>
    </row>
    <row r="24" spans="1:10" ht="13.05" customHeight="1">
      <c r="A24" s="18" t="s">
        <v>3663</v>
      </c>
      <c r="B24" s="19" t="s">
        <v>3664</v>
      </c>
      <c r="C24" s="15" t="s">
        <v>3665</v>
      </c>
      <c r="D24" s="15" t="s">
        <v>2447</v>
      </c>
      <c r="E24" s="20">
        <v>500</v>
      </c>
      <c r="F24" s="21">
        <v>507.12299999999999</v>
      </c>
      <c r="G24" s="22">
        <v>3.9899999999999998E-2</v>
      </c>
      <c r="H24" s="23">
        <v>7.85E-2</v>
      </c>
      <c r="I24" s="24"/>
      <c r="J24" s="5"/>
    </row>
    <row r="25" spans="1:10" ht="13.05" customHeight="1">
      <c r="A25" s="18" t="s">
        <v>1881</v>
      </c>
      <c r="B25" s="19" t="s">
        <v>1882</v>
      </c>
      <c r="C25" s="15" t="s">
        <v>1883</v>
      </c>
      <c r="D25" s="15" t="s">
        <v>188</v>
      </c>
      <c r="E25" s="20">
        <v>500000</v>
      </c>
      <c r="F25" s="21">
        <v>506.78750000000002</v>
      </c>
      <c r="G25" s="22">
        <v>3.9899999999999998E-2</v>
      </c>
      <c r="H25" s="23">
        <v>6.694E-2</v>
      </c>
      <c r="I25" s="24"/>
      <c r="J25" s="5"/>
    </row>
    <row r="26" spans="1:10" ht="13.05" customHeight="1">
      <c r="A26" s="18" t="s">
        <v>2671</v>
      </c>
      <c r="B26" s="19" t="s">
        <v>2672</v>
      </c>
      <c r="C26" s="15" t="s">
        <v>2673</v>
      </c>
      <c r="D26" s="15" t="s">
        <v>213</v>
      </c>
      <c r="E26" s="20">
        <v>500</v>
      </c>
      <c r="F26" s="21">
        <v>506.75450000000001</v>
      </c>
      <c r="G26" s="22">
        <v>3.9899999999999998E-2</v>
      </c>
      <c r="H26" s="23">
        <v>6.855E-2</v>
      </c>
      <c r="I26" s="24"/>
      <c r="J26" s="5"/>
    </row>
    <row r="27" spans="1:10" ht="13.05" customHeight="1">
      <c r="A27" s="18" t="s">
        <v>3666</v>
      </c>
      <c r="B27" s="19" t="s">
        <v>3667</v>
      </c>
      <c r="C27" s="15" t="s">
        <v>3668</v>
      </c>
      <c r="D27" s="15" t="s">
        <v>3130</v>
      </c>
      <c r="E27" s="20">
        <v>500</v>
      </c>
      <c r="F27" s="21">
        <v>501.29750000000001</v>
      </c>
      <c r="G27" s="22">
        <v>3.9399999999999998E-2</v>
      </c>
      <c r="H27" s="23">
        <v>8.6021E-2</v>
      </c>
      <c r="I27" s="24"/>
      <c r="J27" s="5"/>
    </row>
    <row r="28" spans="1:10" ht="13.05" customHeight="1">
      <c r="A28" s="18" t="s">
        <v>3669</v>
      </c>
      <c r="B28" s="19" t="s">
        <v>3670</v>
      </c>
      <c r="C28" s="15" t="s">
        <v>3671</v>
      </c>
      <c r="D28" s="15" t="s">
        <v>3146</v>
      </c>
      <c r="E28" s="20">
        <v>500</v>
      </c>
      <c r="F28" s="21">
        <v>500.93900000000002</v>
      </c>
      <c r="G28" s="22">
        <v>3.9399999999999998E-2</v>
      </c>
      <c r="H28" s="23">
        <v>8.6098999999999995E-2</v>
      </c>
      <c r="I28" s="24"/>
      <c r="J28" s="5"/>
    </row>
    <row r="29" spans="1:10" ht="13.05" customHeight="1">
      <c r="A29" s="18" t="s">
        <v>3672</v>
      </c>
      <c r="B29" s="19" t="s">
        <v>3673</v>
      </c>
      <c r="C29" s="15" t="s">
        <v>3674</v>
      </c>
      <c r="D29" s="15" t="s">
        <v>3146</v>
      </c>
      <c r="E29" s="20">
        <v>500</v>
      </c>
      <c r="F29" s="21">
        <v>500.49200000000002</v>
      </c>
      <c r="G29" s="22">
        <v>3.9399999999999998E-2</v>
      </c>
      <c r="H29" s="23">
        <v>8.6751999999999996E-2</v>
      </c>
      <c r="I29" s="24"/>
      <c r="J29" s="5"/>
    </row>
    <row r="30" spans="1:10" ht="13.05" customHeight="1">
      <c r="A30" s="18" t="s">
        <v>3675</v>
      </c>
      <c r="B30" s="19" t="s">
        <v>3676</v>
      </c>
      <c r="C30" s="15" t="s">
        <v>3677</v>
      </c>
      <c r="D30" s="15" t="s">
        <v>213</v>
      </c>
      <c r="E30" s="20">
        <v>50</v>
      </c>
      <c r="F30" s="21">
        <v>500.096</v>
      </c>
      <c r="G30" s="22">
        <v>3.9300000000000002E-2</v>
      </c>
      <c r="H30" s="23">
        <v>7.0999000000000007E-2</v>
      </c>
      <c r="I30" s="24"/>
      <c r="J30" s="5"/>
    </row>
    <row r="31" spans="1:10" ht="13.05" customHeight="1">
      <c r="A31" s="18" t="s">
        <v>2879</v>
      </c>
      <c r="B31" s="19" t="s">
        <v>2880</v>
      </c>
      <c r="C31" s="15" t="s">
        <v>2881</v>
      </c>
      <c r="D31" s="15" t="s">
        <v>188</v>
      </c>
      <c r="E31" s="20">
        <v>500000</v>
      </c>
      <c r="F31" s="21">
        <v>483.64550000000003</v>
      </c>
      <c r="G31" s="22">
        <v>3.8100000000000002E-2</v>
      </c>
      <c r="H31" s="23">
        <v>7.4712000000000001E-2</v>
      </c>
      <c r="I31" s="24"/>
      <c r="J31" s="5"/>
    </row>
    <row r="32" spans="1:10" ht="13.05" customHeight="1">
      <c r="A32" s="5"/>
      <c r="B32" s="14" t="s">
        <v>192</v>
      </c>
      <c r="C32" s="15"/>
      <c r="D32" s="15"/>
      <c r="E32" s="15"/>
      <c r="F32" s="25">
        <v>10709.1739</v>
      </c>
      <c r="G32" s="26">
        <v>0.84250000000000003</v>
      </c>
      <c r="H32" s="27"/>
      <c r="I32" s="28"/>
      <c r="J32" s="5"/>
    </row>
    <row r="33" spans="1:10" ht="13.05" customHeight="1">
      <c r="A33" s="5"/>
      <c r="B33" s="29" t="s">
        <v>193</v>
      </c>
      <c r="C33" s="2"/>
      <c r="D33" s="2"/>
      <c r="E33" s="2"/>
      <c r="F33" s="27" t="s">
        <v>194</v>
      </c>
      <c r="G33" s="27" t="s">
        <v>194</v>
      </c>
      <c r="H33" s="27"/>
      <c r="I33" s="28"/>
      <c r="J33" s="5"/>
    </row>
    <row r="34" spans="1:10" ht="13.05" customHeight="1">
      <c r="A34" s="5"/>
      <c r="B34" s="29" t="s">
        <v>192</v>
      </c>
      <c r="C34" s="2"/>
      <c r="D34" s="2"/>
      <c r="E34" s="2"/>
      <c r="F34" s="27" t="s">
        <v>194</v>
      </c>
      <c r="G34" s="27" t="s">
        <v>194</v>
      </c>
      <c r="H34" s="27"/>
      <c r="I34" s="28"/>
      <c r="J34" s="5"/>
    </row>
    <row r="35" spans="1:10" ht="13.05" customHeight="1">
      <c r="A35" s="5"/>
      <c r="B35" s="29" t="s">
        <v>195</v>
      </c>
      <c r="C35" s="30"/>
      <c r="D35" s="2"/>
      <c r="E35" s="30"/>
      <c r="F35" s="25">
        <v>10709.1739</v>
      </c>
      <c r="G35" s="26">
        <v>0.84250000000000003</v>
      </c>
      <c r="H35" s="27"/>
      <c r="I35" s="28"/>
      <c r="J35" s="5"/>
    </row>
    <row r="36" spans="1:10" ht="13.05" customHeight="1">
      <c r="A36" s="5"/>
      <c r="B36" s="14" t="s">
        <v>1866</v>
      </c>
      <c r="C36" s="15"/>
      <c r="D36" s="15"/>
      <c r="E36" s="15"/>
      <c r="F36" s="15"/>
      <c r="G36" s="15"/>
      <c r="H36" s="16"/>
      <c r="I36" s="17"/>
      <c r="J36" s="5"/>
    </row>
    <row r="37" spans="1:10" ht="13.05" customHeight="1">
      <c r="A37" s="5"/>
      <c r="B37" s="14" t="s">
        <v>1867</v>
      </c>
      <c r="C37" s="15"/>
      <c r="D37" s="15"/>
      <c r="E37" s="15"/>
      <c r="F37" s="5"/>
      <c r="G37" s="16"/>
      <c r="H37" s="16"/>
      <c r="I37" s="17"/>
      <c r="J37" s="5"/>
    </row>
    <row r="38" spans="1:10" ht="13.05" customHeight="1">
      <c r="A38" s="18" t="s">
        <v>3678</v>
      </c>
      <c r="B38" s="19" t="s">
        <v>3679</v>
      </c>
      <c r="C38" s="15" t="s">
        <v>3680</v>
      </c>
      <c r="D38" s="15" t="s">
        <v>188</v>
      </c>
      <c r="E38" s="20">
        <v>1000000</v>
      </c>
      <c r="F38" s="21">
        <v>973.21900000000005</v>
      </c>
      <c r="G38" s="22">
        <v>7.6600000000000001E-2</v>
      </c>
      <c r="H38" s="23">
        <v>5.5800000000000002E-2</v>
      </c>
      <c r="I38" s="24"/>
      <c r="J38" s="5"/>
    </row>
    <row r="39" spans="1:10" ht="13.05" customHeight="1">
      <c r="A39" s="5"/>
      <c r="B39" s="14" t="s">
        <v>192</v>
      </c>
      <c r="C39" s="15"/>
      <c r="D39" s="15"/>
      <c r="E39" s="15"/>
      <c r="F39" s="25">
        <v>973.21900000000005</v>
      </c>
      <c r="G39" s="26">
        <v>7.6600000000000001E-2</v>
      </c>
      <c r="H39" s="27"/>
      <c r="I39" s="28"/>
      <c r="J39" s="5"/>
    </row>
    <row r="40" spans="1:10" ht="13.05" customHeight="1">
      <c r="A40" s="5"/>
      <c r="B40" s="29" t="s">
        <v>195</v>
      </c>
      <c r="C40" s="30"/>
      <c r="D40" s="2"/>
      <c r="E40" s="30"/>
      <c r="F40" s="25">
        <v>973.21900000000005</v>
      </c>
      <c r="G40" s="26">
        <v>7.6600000000000001E-2</v>
      </c>
      <c r="H40" s="27"/>
      <c r="I40" s="28"/>
      <c r="J40" s="5"/>
    </row>
    <row r="41" spans="1:10" ht="13.05" customHeight="1">
      <c r="A41" s="5"/>
      <c r="B41" s="14" t="s">
        <v>1818</v>
      </c>
      <c r="C41" s="15"/>
      <c r="D41" s="15"/>
      <c r="E41" s="15"/>
      <c r="F41" s="15"/>
      <c r="G41" s="15"/>
      <c r="H41" s="16"/>
      <c r="I41" s="17"/>
      <c r="J41" s="5"/>
    </row>
    <row r="42" spans="1:10" ht="13.05" customHeight="1">
      <c r="A42" s="5"/>
      <c r="B42" s="14" t="s">
        <v>2332</v>
      </c>
      <c r="C42" s="15"/>
      <c r="D42" s="15"/>
      <c r="E42" s="15"/>
      <c r="F42" s="5"/>
      <c r="G42" s="16"/>
      <c r="H42" s="16"/>
      <c r="I42" s="17"/>
      <c r="J42" s="5"/>
    </row>
    <row r="43" spans="1:10" ht="13.05" customHeight="1">
      <c r="A43" s="18" t="s">
        <v>2333</v>
      </c>
      <c r="B43" s="19" t="s">
        <v>2334</v>
      </c>
      <c r="C43" s="15" t="s">
        <v>2335</v>
      </c>
      <c r="D43" s="15"/>
      <c r="E43" s="20">
        <v>1150.0429999999999</v>
      </c>
      <c r="F43" s="21">
        <v>131.57480000000001</v>
      </c>
      <c r="G43" s="22">
        <v>1.04E-2</v>
      </c>
      <c r="H43" s="23"/>
      <c r="I43" s="24"/>
      <c r="J43" s="5"/>
    </row>
    <row r="44" spans="1:10" ht="13.05" customHeight="1">
      <c r="A44" s="5"/>
      <c r="B44" s="14" t="s">
        <v>192</v>
      </c>
      <c r="C44" s="15"/>
      <c r="D44" s="15"/>
      <c r="E44" s="15"/>
      <c r="F44" s="25">
        <v>131.57480000000001</v>
      </c>
      <c r="G44" s="26">
        <v>1.04E-2</v>
      </c>
      <c r="H44" s="27"/>
      <c r="I44" s="28"/>
      <c r="J44" s="5"/>
    </row>
    <row r="45" spans="1:10" ht="13.05" customHeight="1">
      <c r="A45" s="5"/>
      <c r="B45" s="29" t="s">
        <v>195</v>
      </c>
      <c r="C45" s="30"/>
      <c r="D45" s="2"/>
      <c r="E45" s="30"/>
      <c r="F45" s="25">
        <v>131.57480000000001</v>
      </c>
      <c r="G45" s="26">
        <v>1.04E-2</v>
      </c>
      <c r="H45" s="27"/>
      <c r="I45" s="28"/>
      <c r="J45" s="5"/>
    </row>
    <row r="46" spans="1:10" ht="13.05" customHeight="1">
      <c r="A46" s="5"/>
      <c r="B46" s="14" t="s">
        <v>196</v>
      </c>
      <c r="C46" s="15"/>
      <c r="D46" s="15"/>
      <c r="E46" s="15"/>
      <c r="F46" s="15"/>
      <c r="G46" s="15"/>
      <c r="H46" s="16"/>
      <c r="I46" s="17"/>
      <c r="J46" s="5"/>
    </row>
    <row r="47" spans="1:10" ht="13.05" customHeight="1">
      <c r="A47" s="18" t="s">
        <v>197</v>
      </c>
      <c r="B47" s="19" t="s">
        <v>198</v>
      </c>
      <c r="C47" s="15"/>
      <c r="D47" s="15"/>
      <c r="E47" s="20"/>
      <c r="F47" s="21">
        <v>682.91200000000003</v>
      </c>
      <c r="G47" s="22">
        <v>5.3699999999999998E-2</v>
      </c>
      <c r="H47" s="23">
        <v>5.5573624314941776E-2</v>
      </c>
      <c r="I47" s="24"/>
      <c r="J47" s="5"/>
    </row>
    <row r="48" spans="1:10" ht="13.05" customHeight="1">
      <c r="A48" s="5"/>
      <c r="B48" s="14" t="s">
        <v>192</v>
      </c>
      <c r="C48" s="15"/>
      <c r="D48" s="15"/>
      <c r="E48" s="15"/>
      <c r="F48" s="25">
        <v>682.91200000000003</v>
      </c>
      <c r="G48" s="26">
        <v>5.3699999999999998E-2</v>
      </c>
      <c r="H48" s="27"/>
      <c r="I48" s="28"/>
      <c r="J48" s="5"/>
    </row>
    <row r="49" spans="1:10" ht="13.05" customHeight="1">
      <c r="A49" s="5"/>
      <c r="B49" s="29" t="s">
        <v>193</v>
      </c>
      <c r="C49" s="2"/>
      <c r="D49" s="2"/>
      <c r="E49" s="2"/>
      <c r="F49" s="27" t="s">
        <v>194</v>
      </c>
      <c r="G49" s="27" t="s">
        <v>194</v>
      </c>
      <c r="H49" s="27"/>
      <c r="I49" s="28"/>
      <c r="J49" s="5"/>
    </row>
    <row r="50" spans="1:10" ht="13.05" customHeight="1">
      <c r="A50" s="5"/>
      <c r="B50" s="29" t="s">
        <v>192</v>
      </c>
      <c r="C50" s="2"/>
      <c r="D50" s="2"/>
      <c r="E50" s="2"/>
      <c r="F50" s="27" t="s">
        <v>194</v>
      </c>
      <c r="G50" s="27" t="s">
        <v>194</v>
      </c>
      <c r="H50" s="27"/>
      <c r="I50" s="28"/>
      <c r="J50" s="5"/>
    </row>
    <row r="51" spans="1:10" ht="13.05" customHeight="1">
      <c r="A51" s="5"/>
      <c r="B51" s="29" t="s">
        <v>195</v>
      </c>
      <c r="C51" s="30"/>
      <c r="D51" s="2"/>
      <c r="E51" s="30"/>
      <c r="F51" s="25">
        <v>682.91200000000003</v>
      </c>
      <c r="G51" s="26">
        <v>5.3699999999999998E-2</v>
      </c>
      <c r="H51" s="27"/>
      <c r="I51" s="28"/>
      <c r="J51" s="5"/>
    </row>
    <row r="52" spans="1:10" ht="13.05" customHeight="1">
      <c r="A52" s="5"/>
      <c r="B52" s="29" t="s">
        <v>199</v>
      </c>
      <c r="C52" s="15"/>
      <c r="D52" s="2"/>
      <c r="E52" s="15"/>
      <c r="F52" s="31">
        <v>213.76560000000001</v>
      </c>
      <c r="G52" s="26">
        <v>1.6818127103089026E-2</v>
      </c>
      <c r="H52" s="27"/>
      <c r="I52" s="28"/>
      <c r="J52" s="5"/>
    </row>
    <row r="53" spans="1:10" ht="13.05" customHeight="1">
      <c r="A53" s="5"/>
      <c r="B53" s="32" t="s">
        <v>200</v>
      </c>
      <c r="C53" s="33"/>
      <c r="D53" s="33"/>
      <c r="E53" s="33"/>
      <c r="F53" s="34">
        <v>12710.47</v>
      </c>
      <c r="G53" s="35">
        <v>1</v>
      </c>
      <c r="H53" s="36"/>
      <c r="I53" s="37"/>
      <c r="J53" s="5"/>
    </row>
    <row r="54" spans="1:10" ht="13.05" customHeight="1">
      <c r="A54" s="5"/>
      <c r="B54" s="7"/>
      <c r="C54" s="5"/>
      <c r="D54" s="5"/>
      <c r="E54" s="5"/>
      <c r="F54" s="5"/>
      <c r="G54" s="5"/>
      <c r="H54" s="5"/>
      <c r="I54" s="5"/>
      <c r="J54" s="5"/>
    </row>
    <row r="55" spans="1:10" ht="13.05" customHeight="1">
      <c r="A55" s="5"/>
      <c r="B55" s="4" t="s">
        <v>2336</v>
      </c>
      <c r="C55" s="5"/>
      <c r="D55" s="5"/>
      <c r="E55" s="5"/>
      <c r="F55" s="5"/>
      <c r="G55" s="5"/>
      <c r="H55" s="5"/>
      <c r="I55" s="5"/>
      <c r="J55" s="5"/>
    </row>
    <row r="56" spans="1:10" ht="13.05" customHeight="1">
      <c r="A56" s="5"/>
      <c r="B56" s="4" t="s">
        <v>250</v>
      </c>
      <c r="C56" s="5"/>
      <c r="D56" s="5"/>
      <c r="E56" s="5"/>
      <c r="F56" s="5"/>
      <c r="G56" s="5"/>
      <c r="H56" s="5"/>
      <c r="I56" s="5"/>
      <c r="J56" s="5"/>
    </row>
    <row r="57" spans="1:10" ht="13.05" customHeight="1">
      <c r="A57" s="5"/>
      <c r="B57" s="4" t="s">
        <v>1816</v>
      </c>
      <c r="C57" s="5"/>
      <c r="D57" s="5"/>
      <c r="E57" s="5"/>
      <c r="F57" s="5"/>
      <c r="G57" s="5"/>
      <c r="H57" s="5"/>
      <c r="I57" s="5"/>
      <c r="J57" s="5"/>
    </row>
    <row r="58" spans="1:10" ht="13.05" customHeight="1">
      <c r="A58" s="5"/>
      <c r="B58" s="4" t="s">
        <v>201</v>
      </c>
      <c r="C58" s="5"/>
      <c r="D58" s="5"/>
      <c r="E58" s="5"/>
      <c r="F58" s="5"/>
      <c r="G58" s="5"/>
      <c r="H58" s="5"/>
      <c r="I58" s="5"/>
      <c r="J58" s="5"/>
    </row>
    <row r="59" spans="1:10" ht="25.95" customHeight="1">
      <c r="A59" s="5"/>
      <c r="B59" s="103" t="s">
        <v>202</v>
      </c>
      <c r="C59" s="103"/>
      <c r="D59" s="103"/>
      <c r="E59" s="103"/>
      <c r="F59" s="103"/>
      <c r="G59" s="103"/>
      <c r="H59" s="103"/>
      <c r="I59" s="103"/>
      <c r="J59" s="5"/>
    </row>
    <row r="60" spans="1:10" ht="13.05" customHeight="1">
      <c r="A60" s="5"/>
      <c r="B60" s="103" t="s">
        <v>203</v>
      </c>
      <c r="C60" s="103"/>
      <c r="D60" s="103"/>
      <c r="E60" s="103"/>
      <c r="F60" s="103"/>
      <c r="G60" s="103"/>
      <c r="H60" s="103"/>
      <c r="I60" s="103"/>
      <c r="J60" s="5"/>
    </row>
    <row r="61" spans="1:10" ht="13.05" customHeight="1">
      <c r="A61" s="5"/>
      <c r="B61" s="103"/>
      <c r="C61" s="103"/>
      <c r="D61" s="103"/>
      <c r="E61" s="103"/>
      <c r="F61" s="103"/>
      <c r="G61" s="103"/>
      <c r="H61" s="103"/>
      <c r="I61" s="103"/>
      <c r="J61" s="5"/>
    </row>
    <row r="62" spans="1:10" ht="13.05" customHeight="1">
      <c r="A62" s="5"/>
      <c r="B62" s="103"/>
      <c r="C62" s="103"/>
      <c r="D62" s="103"/>
      <c r="E62" s="103"/>
      <c r="F62" s="103"/>
      <c r="G62" s="103"/>
      <c r="H62" s="103"/>
      <c r="I62" s="103"/>
      <c r="J62" s="5"/>
    </row>
    <row r="63" spans="1:10" ht="13.05" customHeight="1">
      <c r="A63" s="5"/>
      <c r="B63" s="103"/>
      <c r="C63" s="103"/>
      <c r="D63" s="103"/>
      <c r="E63" s="103"/>
      <c r="F63" s="103"/>
      <c r="G63" s="103"/>
      <c r="H63" s="103"/>
      <c r="I63" s="103"/>
      <c r="J63" s="5"/>
    </row>
    <row r="64" spans="1:10" ht="13.05" customHeight="1">
      <c r="A64" s="5"/>
      <c r="B64" s="103"/>
      <c r="C64" s="103"/>
      <c r="D64" s="103"/>
      <c r="E64" s="103"/>
      <c r="F64" s="103"/>
      <c r="G64" s="103"/>
      <c r="H64" s="103"/>
      <c r="I64" s="103"/>
      <c r="J64" s="5"/>
    </row>
    <row r="65" spans="1:10" ht="13.05" customHeight="1">
      <c r="A65" s="5"/>
      <c r="B65" s="5"/>
      <c r="C65" s="104" t="s">
        <v>3681</v>
      </c>
      <c r="D65" s="104"/>
      <c r="E65" s="104"/>
      <c r="F65" s="104"/>
      <c r="G65" s="5"/>
      <c r="H65" s="5"/>
      <c r="I65" s="5"/>
      <c r="J65" s="5"/>
    </row>
    <row r="66" spans="1:10" ht="13.05" customHeight="1">
      <c r="A66" s="5"/>
      <c r="B66" s="38" t="s">
        <v>207</v>
      </c>
      <c r="C66" s="104" t="s">
        <v>208</v>
      </c>
      <c r="D66" s="104"/>
      <c r="E66" s="104"/>
      <c r="F66" s="104"/>
      <c r="G66" s="5"/>
      <c r="H66" s="5"/>
      <c r="I66" s="5"/>
      <c r="J66" s="5"/>
    </row>
    <row r="67" spans="1:10" ht="135" customHeight="1">
      <c r="A67" s="5"/>
      <c r="B67" s="39"/>
      <c r="C67" s="105"/>
      <c r="D67" s="105"/>
      <c r="E67" s="5"/>
      <c r="F67" s="5"/>
      <c r="G67" s="5"/>
      <c r="H67" s="5"/>
      <c r="I67" s="5"/>
      <c r="J67" s="5"/>
    </row>
  </sheetData>
  <mergeCells count="9">
    <mergeCell ref="B64:I64"/>
    <mergeCell ref="C65:F65"/>
    <mergeCell ref="C66:F66"/>
    <mergeCell ref="C67:D67"/>
    <mergeCell ref="B59:I59"/>
    <mergeCell ref="B60:I60"/>
    <mergeCell ref="B61:I61"/>
    <mergeCell ref="B62:I62"/>
    <mergeCell ref="B63:I63"/>
  </mergeCells>
  <hyperlinks>
    <hyperlink ref="A1" location="AxisFloaterFund" display="AXISFLO" xr:uid="{00000000-0004-0000-1D00-000000000000}"/>
    <hyperlink ref="B1" location="AxisFloaterFund" display="Axis Floater Fund" xr:uid="{00000000-0004-0000-1D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outlinePr summaryBelow="0"/>
  </sheetPr>
  <dimension ref="A1:J53"/>
  <sheetViews>
    <sheetView workbookViewId="0">
      <selection activeCell="D24" sqref="D24"/>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63</v>
      </c>
      <c r="B1" s="4" t="s">
        <v>5523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3682</v>
      </c>
      <c r="B7" s="19" t="s">
        <v>3683</v>
      </c>
      <c r="C7" s="15" t="s">
        <v>3684</v>
      </c>
      <c r="D7" s="15" t="s">
        <v>213</v>
      </c>
      <c r="E7" s="20">
        <v>250</v>
      </c>
      <c r="F7" s="21">
        <v>3143.8249999999998</v>
      </c>
      <c r="G7" s="22">
        <v>9.3700000000000006E-2</v>
      </c>
      <c r="H7" s="23">
        <v>6.7349999999999993E-2</v>
      </c>
      <c r="I7" s="24"/>
      <c r="J7" s="5"/>
    </row>
    <row r="8" spans="1:10" ht="13.05" customHeight="1">
      <c r="A8" s="18" t="s">
        <v>223</v>
      </c>
      <c r="B8" s="19" t="s">
        <v>224</v>
      </c>
      <c r="C8" s="15" t="s">
        <v>225</v>
      </c>
      <c r="D8" s="15" t="s">
        <v>213</v>
      </c>
      <c r="E8" s="20">
        <v>2500</v>
      </c>
      <c r="F8" s="21">
        <v>2508.1999999999998</v>
      </c>
      <c r="G8" s="22">
        <v>7.4800000000000005E-2</v>
      </c>
      <c r="H8" s="23">
        <v>6.2451E-2</v>
      </c>
      <c r="I8" s="24"/>
      <c r="J8" s="5"/>
    </row>
    <row r="9" spans="1:10" ht="13.05" customHeight="1">
      <c r="A9" s="18" t="s">
        <v>210</v>
      </c>
      <c r="B9" s="19" t="s">
        <v>211</v>
      </c>
      <c r="C9" s="15" t="s">
        <v>212</v>
      </c>
      <c r="D9" s="15" t="s">
        <v>213</v>
      </c>
      <c r="E9" s="20">
        <v>1000</v>
      </c>
      <c r="F9" s="21">
        <v>1003.229</v>
      </c>
      <c r="G9" s="22">
        <v>2.9899999999999999E-2</v>
      </c>
      <c r="H9" s="23">
        <v>6.2798000000000007E-2</v>
      </c>
      <c r="I9" s="24"/>
      <c r="J9" s="5"/>
    </row>
    <row r="10" spans="1:10" ht="13.05" customHeight="1">
      <c r="A10" s="5"/>
      <c r="B10" s="14" t="s">
        <v>192</v>
      </c>
      <c r="C10" s="15"/>
      <c r="D10" s="15"/>
      <c r="E10" s="15"/>
      <c r="F10" s="25">
        <v>6655.2539999999999</v>
      </c>
      <c r="G10" s="26">
        <v>0.19839999999999999</v>
      </c>
      <c r="H10" s="27"/>
      <c r="I10" s="28"/>
      <c r="J10" s="5"/>
    </row>
    <row r="11" spans="1:10" ht="13.05" customHeight="1">
      <c r="A11" s="5"/>
      <c r="B11" s="29" t="s">
        <v>193</v>
      </c>
      <c r="C11" s="2"/>
      <c r="D11" s="2"/>
      <c r="E11" s="2"/>
      <c r="F11" s="27" t="s">
        <v>194</v>
      </c>
      <c r="G11" s="27" t="s">
        <v>194</v>
      </c>
      <c r="H11" s="27"/>
      <c r="I11" s="28"/>
      <c r="J11" s="5"/>
    </row>
    <row r="12" spans="1:10" ht="13.05" customHeight="1">
      <c r="A12" s="5"/>
      <c r="B12" s="29" t="s">
        <v>192</v>
      </c>
      <c r="C12" s="2"/>
      <c r="D12" s="2"/>
      <c r="E12" s="2"/>
      <c r="F12" s="27" t="s">
        <v>194</v>
      </c>
      <c r="G12" s="27" t="s">
        <v>194</v>
      </c>
      <c r="H12" s="27"/>
      <c r="I12" s="28"/>
      <c r="J12" s="5"/>
    </row>
    <row r="13" spans="1:10" ht="13.05" customHeight="1">
      <c r="A13" s="5"/>
      <c r="B13" s="29" t="s">
        <v>195</v>
      </c>
      <c r="C13" s="30"/>
      <c r="D13" s="2"/>
      <c r="E13" s="30"/>
      <c r="F13" s="25">
        <v>6655.2539999999999</v>
      </c>
      <c r="G13" s="26">
        <v>0.19839999999999999</v>
      </c>
      <c r="H13" s="27"/>
      <c r="I13" s="28"/>
      <c r="J13" s="5"/>
    </row>
    <row r="14" spans="1:10" ht="13.05" customHeight="1">
      <c r="A14" s="5"/>
      <c r="B14" s="14" t="s">
        <v>1866</v>
      </c>
      <c r="C14" s="15"/>
      <c r="D14" s="15"/>
      <c r="E14" s="15"/>
      <c r="F14" s="15"/>
      <c r="G14" s="15"/>
      <c r="H14" s="16"/>
      <c r="I14" s="17"/>
      <c r="J14" s="5"/>
    </row>
    <row r="15" spans="1:10" ht="13.05" customHeight="1">
      <c r="A15" s="5"/>
      <c r="B15" s="14" t="s">
        <v>2308</v>
      </c>
      <c r="C15" s="15"/>
      <c r="D15" s="15"/>
      <c r="E15" s="15"/>
      <c r="F15" s="5"/>
      <c r="G15" s="16"/>
      <c r="H15" s="16"/>
      <c r="I15" s="17"/>
      <c r="J15" s="5"/>
    </row>
    <row r="16" spans="1:10" ht="13.05" customHeight="1">
      <c r="A16" s="18" t="s">
        <v>3685</v>
      </c>
      <c r="B16" s="19" t="s">
        <v>3686</v>
      </c>
      <c r="C16" s="15" t="s">
        <v>3687</v>
      </c>
      <c r="D16" s="15" t="s">
        <v>3478</v>
      </c>
      <c r="E16" s="20">
        <v>500</v>
      </c>
      <c r="F16" s="21">
        <v>2444.1774999999998</v>
      </c>
      <c r="G16" s="22">
        <v>7.2800000000000004E-2</v>
      </c>
      <c r="H16" s="23">
        <v>6.0850000000000001E-2</v>
      </c>
      <c r="I16" s="24"/>
      <c r="J16" s="5"/>
    </row>
    <row r="17" spans="1:10" ht="13.05" customHeight="1">
      <c r="A17" s="18" t="s">
        <v>3688</v>
      </c>
      <c r="B17" s="19" t="s">
        <v>3689</v>
      </c>
      <c r="C17" s="15" t="s">
        <v>3690</v>
      </c>
      <c r="D17" s="15" t="s">
        <v>2312</v>
      </c>
      <c r="E17" s="20">
        <v>400</v>
      </c>
      <c r="F17" s="21">
        <v>1959.9739999999999</v>
      </c>
      <c r="G17" s="22">
        <v>5.8400000000000001E-2</v>
      </c>
      <c r="H17" s="23">
        <v>6.0600000000000001E-2</v>
      </c>
      <c r="I17" s="24"/>
      <c r="J17" s="5"/>
    </row>
    <row r="18" spans="1:10" ht="13.05" customHeight="1">
      <c r="A18" s="18" t="s">
        <v>3691</v>
      </c>
      <c r="B18" s="19" t="s">
        <v>3692</v>
      </c>
      <c r="C18" s="15" t="s">
        <v>3693</v>
      </c>
      <c r="D18" s="15" t="s">
        <v>3478</v>
      </c>
      <c r="E18" s="20">
        <v>300</v>
      </c>
      <c r="F18" s="21">
        <v>1470.9915000000001</v>
      </c>
      <c r="G18" s="22">
        <v>4.3799999999999999E-2</v>
      </c>
      <c r="H18" s="23">
        <v>6.0998999999999998E-2</v>
      </c>
      <c r="I18" s="24"/>
      <c r="J18" s="5"/>
    </row>
    <row r="19" spans="1:10" ht="13.05" customHeight="1">
      <c r="A19" s="18" t="s">
        <v>3694</v>
      </c>
      <c r="B19" s="19" t="s">
        <v>3695</v>
      </c>
      <c r="C19" s="15" t="s">
        <v>3696</v>
      </c>
      <c r="D19" s="15" t="s">
        <v>2312</v>
      </c>
      <c r="E19" s="20">
        <v>200</v>
      </c>
      <c r="F19" s="21">
        <v>978.67899999999997</v>
      </c>
      <c r="G19" s="22">
        <v>2.92E-2</v>
      </c>
      <c r="H19" s="23">
        <v>6.0699999999999997E-2</v>
      </c>
      <c r="I19" s="24"/>
      <c r="J19" s="5"/>
    </row>
    <row r="20" spans="1:10" ht="13.05" customHeight="1">
      <c r="A20" s="18" t="s">
        <v>3697</v>
      </c>
      <c r="B20" s="19" t="s">
        <v>3698</v>
      </c>
      <c r="C20" s="15" t="s">
        <v>3699</v>
      </c>
      <c r="D20" s="15" t="s">
        <v>2312</v>
      </c>
      <c r="E20" s="20">
        <v>100</v>
      </c>
      <c r="F20" s="21">
        <v>492.24650000000003</v>
      </c>
      <c r="G20" s="22">
        <v>1.47E-2</v>
      </c>
      <c r="H20" s="23">
        <v>6.0519999999999997E-2</v>
      </c>
      <c r="I20" s="24"/>
      <c r="J20" s="5"/>
    </row>
    <row r="21" spans="1:10" ht="13.05" customHeight="1">
      <c r="A21" s="18" t="s">
        <v>3700</v>
      </c>
      <c r="B21" s="19" t="s">
        <v>3701</v>
      </c>
      <c r="C21" s="15" t="s">
        <v>3702</v>
      </c>
      <c r="D21" s="15" t="s">
        <v>2312</v>
      </c>
      <c r="E21" s="20">
        <v>100</v>
      </c>
      <c r="F21" s="21">
        <v>491.10950000000003</v>
      </c>
      <c r="G21" s="22">
        <v>1.46E-2</v>
      </c>
      <c r="H21" s="23">
        <v>6.062E-2</v>
      </c>
      <c r="I21" s="24"/>
      <c r="J21" s="5"/>
    </row>
    <row r="22" spans="1:10" ht="13.05" customHeight="1">
      <c r="A22" s="18" t="s">
        <v>3703</v>
      </c>
      <c r="B22" s="19" t="s">
        <v>3704</v>
      </c>
      <c r="C22" s="15" t="s">
        <v>3705</v>
      </c>
      <c r="D22" s="15" t="s">
        <v>2331</v>
      </c>
      <c r="E22" s="20">
        <v>100</v>
      </c>
      <c r="F22" s="21">
        <v>490.60199999999998</v>
      </c>
      <c r="G22" s="22">
        <v>1.46E-2</v>
      </c>
      <c r="H22" s="23">
        <v>6.08E-2</v>
      </c>
      <c r="I22" s="24"/>
      <c r="J22" s="5"/>
    </row>
    <row r="23" spans="1:10" ht="13.05" customHeight="1">
      <c r="A23" s="18" t="s">
        <v>3706</v>
      </c>
      <c r="B23" s="19" t="s">
        <v>3707</v>
      </c>
      <c r="C23" s="15" t="s">
        <v>3708</v>
      </c>
      <c r="D23" s="15" t="s">
        <v>2312</v>
      </c>
      <c r="E23" s="20">
        <v>100</v>
      </c>
      <c r="F23" s="21">
        <v>490.346</v>
      </c>
      <c r="G23" s="22">
        <v>1.46E-2</v>
      </c>
      <c r="H23" s="23">
        <v>6.0900000000000003E-2</v>
      </c>
      <c r="I23" s="24"/>
      <c r="J23" s="5"/>
    </row>
    <row r="24" spans="1:10" ht="13.05" customHeight="1">
      <c r="A24" s="18" t="s">
        <v>3709</v>
      </c>
      <c r="B24" s="19" t="s">
        <v>3710</v>
      </c>
      <c r="C24" s="15" t="s">
        <v>3711</v>
      </c>
      <c r="D24" s="15" t="s">
        <v>2331</v>
      </c>
      <c r="E24" s="20">
        <v>100</v>
      </c>
      <c r="F24" s="21">
        <v>490.34300000000002</v>
      </c>
      <c r="G24" s="22">
        <v>1.46E-2</v>
      </c>
      <c r="H24" s="23">
        <v>6.0919000000000001E-2</v>
      </c>
      <c r="I24" s="24"/>
      <c r="J24" s="5"/>
    </row>
    <row r="25" spans="1:10" ht="13.05" customHeight="1">
      <c r="A25" s="5"/>
      <c r="B25" s="14" t="s">
        <v>192</v>
      </c>
      <c r="C25" s="15"/>
      <c r="D25" s="15"/>
      <c r="E25" s="15"/>
      <c r="F25" s="25">
        <v>9308.4689999999991</v>
      </c>
      <c r="G25" s="26">
        <v>0.27739999999999998</v>
      </c>
      <c r="H25" s="27"/>
      <c r="I25" s="28"/>
      <c r="J25" s="5"/>
    </row>
    <row r="26" spans="1:10" ht="13.05" customHeight="1">
      <c r="A26" s="5"/>
      <c r="B26" s="14" t="s">
        <v>2770</v>
      </c>
      <c r="C26" s="15"/>
      <c r="D26" s="15"/>
      <c r="E26" s="15"/>
      <c r="F26" s="5"/>
      <c r="G26" s="16"/>
      <c r="H26" s="16"/>
      <c r="I26" s="17"/>
      <c r="J26" s="5"/>
    </row>
    <row r="27" spans="1:10" ht="13.05" customHeight="1">
      <c r="A27" s="18" t="s">
        <v>3712</v>
      </c>
      <c r="B27" s="19" t="s">
        <v>3713</v>
      </c>
      <c r="C27" s="15" t="s">
        <v>3714</v>
      </c>
      <c r="D27" s="15" t="s">
        <v>2312</v>
      </c>
      <c r="E27" s="20">
        <v>700</v>
      </c>
      <c r="F27" s="21">
        <v>3431.134</v>
      </c>
      <c r="G27" s="22">
        <v>0.1023</v>
      </c>
      <c r="H27" s="23">
        <v>6.6001000000000004E-2</v>
      </c>
      <c r="I27" s="24"/>
      <c r="J27" s="5"/>
    </row>
    <row r="28" spans="1:10" ht="13.05" customHeight="1">
      <c r="A28" s="18" t="s">
        <v>3500</v>
      </c>
      <c r="B28" s="19" t="s">
        <v>3501</v>
      </c>
      <c r="C28" s="15" t="s">
        <v>3502</v>
      </c>
      <c r="D28" s="15" t="s">
        <v>2312</v>
      </c>
      <c r="E28" s="20">
        <v>700</v>
      </c>
      <c r="F28" s="21">
        <v>3421.9324999999999</v>
      </c>
      <c r="G28" s="22">
        <v>0.10199999999999999</v>
      </c>
      <c r="H28" s="23">
        <v>6.7699999999999996E-2</v>
      </c>
      <c r="I28" s="24"/>
      <c r="J28" s="5"/>
    </row>
    <row r="29" spans="1:10" ht="13.05" customHeight="1">
      <c r="A29" s="18" t="s">
        <v>3497</v>
      </c>
      <c r="B29" s="19" t="s">
        <v>3498</v>
      </c>
      <c r="C29" s="15" t="s">
        <v>3499</v>
      </c>
      <c r="D29" s="15" t="s">
        <v>2774</v>
      </c>
      <c r="E29" s="20">
        <v>700</v>
      </c>
      <c r="F29" s="21">
        <v>3416.0245</v>
      </c>
      <c r="G29" s="22">
        <v>0.1018</v>
      </c>
      <c r="H29" s="23">
        <v>6.7974999999999994E-2</v>
      </c>
      <c r="I29" s="24"/>
      <c r="J29" s="5"/>
    </row>
    <row r="30" spans="1:10" ht="13.05" customHeight="1">
      <c r="A30" s="18" t="s">
        <v>3715</v>
      </c>
      <c r="B30" s="19" t="s">
        <v>3716</v>
      </c>
      <c r="C30" s="15" t="s">
        <v>3717</v>
      </c>
      <c r="D30" s="15" t="s">
        <v>2312</v>
      </c>
      <c r="E30" s="20">
        <v>700</v>
      </c>
      <c r="F30" s="21">
        <v>3415.6745000000001</v>
      </c>
      <c r="G30" s="22">
        <v>0.1018</v>
      </c>
      <c r="H30" s="23">
        <v>6.6750000000000004E-2</v>
      </c>
      <c r="I30" s="24"/>
      <c r="J30" s="5"/>
    </row>
    <row r="31" spans="1:10" ht="13.05" customHeight="1">
      <c r="A31" s="18" t="s">
        <v>3718</v>
      </c>
      <c r="B31" s="19" t="s">
        <v>3719</v>
      </c>
      <c r="C31" s="15" t="s">
        <v>3720</v>
      </c>
      <c r="D31" s="15" t="s">
        <v>2774</v>
      </c>
      <c r="E31" s="20">
        <v>700</v>
      </c>
      <c r="F31" s="21">
        <v>3414.7049999999999</v>
      </c>
      <c r="G31" s="22">
        <v>0.1018</v>
      </c>
      <c r="H31" s="23">
        <v>6.6550999999999999E-2</v>
      </c>
      <c r="I31" s="24"/>
      <c r="J31" s="5"/>
    </row>
    <row r="32" spans="1:10" ht="13.05" customHeight="1">
      <c r="A32" s="5"/>
      <c r="B32" s="14" t="s">
        <v>192</v>
      </c>
      <c r="C32" s="15"/>
      <c r="D32" s="15"/>
      <c r="E32" s="15"/>
      <c r="F32" s="25">
        <v>17099.470499999999</v>
      </c>
      <c r="G32" s="26">
        <v>0.50960000000000005</v>
      </c>
      <c r="H32" s="27"/>
      <c r="I32" s="28"/>
      <c r="J32" s="5"/>
    </row>
    <row r="33" spans="1:10" ht="13.05" customHeight="1">
      <c r="A33" s="5"/>
      <c r="B33" s="29" t="s">
        <v>195</v>
      </c>
      <c r="C33" s="30"/>
      <c r="D33" s="2"/>
      <c r="E33" s="30"/>
      <c r="F33" s="25">
        <v>26407.9395</v>
      </c>
      <c r="G33" s="26">
        <v>0.78710000000000002</v>
      </c>
      <c r="H33" s="27"/>
      <c r="I33" s="28"/>
      <c r="J33" s="5"/>
    </row>
    <row r="34" spans="1:10" ht="13.05" customHeight="1">
      <c r="A34" s="5"/>
      <c r="B34" s="14" t="s">
        <v>196</v>
      </c>
      <c r="C34" s="15"/>
      <c r="D34" s="15"/>
      <c r="E34" s="15"/>
      <c r="F34" s="15"/>
      <c r="G34" s="15"/>
      <c r="H34" s="16"/>
      <c r="I34" s="17"/>
      <c r="J34" s="5"/>
    </row>
    <row r="35" spans="1:10" ht="13.05" customHeight="1">
      <c r="A35" s="18" t="s">
        <v>197</v>
      </c>
      <c r="B35" s="19" t="s">
        <v>198</v>
      </c>
      <c r="C35" s="15"/>
      <c r="D35" s="15"/>
      <c r="E35" s="20"/>
      <c r="F35" s="21">
        <v>301.75810000000001</v>
      </c>
      <c r="G35" s="22">
        <v>8.9999999999999993E-3</v>
      </c>
      <c r="H35" s="23">
        <v>5.5573642576058194E-2</v>
      </c>
      <c r="I35" s="24"/>
      <c r="J35" s="5"/>
    </row>
    <row r="36" spans="1:10" ht="13.05" customHeight="1">
      <c r="A36" s="5"/>
      <c r="B36" s="14" t="s">
        <v>192</v>
      </c>
      <c r="C36" s="15"/>
      <c r="D36" s="15"/>
      <c r="E36" s="15"/>
      <c r="F36" s="25">
        <v>301.75810000000001</v>
      </c>
      <c r="G36" s="26">
        <v>8.9999999999999993E-3</v>
      </c>
      <c r="H36" s="27"/>
      <c r="I36" s="28"/>
      <c r="J36" s="5"/>
    </row>
    <row r="37" spans="1:10" ht="13.05" customHeight="1">
      <c r="A37" s="5"/>
      <c r="B37" s="29" t="s">
        <v>193</v>
      </c>
      <c r="C37" s="2"/>
      <c r="D37" s="2"/>
      <c r="E37" s="2"/>
      <c r="F37" s="27" t="s">
        <v>194</v>
      </c>
      <c r="G37" s="27" t="s">
        <v>194</v>
      </c>
      <c r="H37" s="27"/>
      <c r="I37" s="28"/>
      <c r="J37" s="5"/>
    </row>
    <row r="38" spans="1:10" ht="13.05" customHeight="1">
      <c r="A38" s="5"/>
      <c r="B38" s="29" t="s">
        <v>192</v>
      </c>
      <c r="C38" s="2"/>
      <c r="D38" s="2"/>
      <c r="E38" s="2"/>
      <c r="F38" s="27" t="s">
        <v>194</v>
      </c>
      <c r="G38" s="27" t="s">
        <v>194</v>
      </c>
      <c r="H38" s="27"/>
      <c r="I38" s="28"/>
      <c r="J38" s="5"/>
    </row>
    <row r="39" spans="1:10" ht="13.05" customHeight="1">
      <c r="A39" s="5"/>
      <c r="B39" s="29" t="s">
        <v>195</v>
      </c>
      <c r="C39" s="30"/>
      <c r="D39" s="2"/>
      <c r="E39" s="30"/>
      <c r="F39" s="25">
        <v>301.75810000000001</v>
      </c>
      <c r="G39" s="26">
        <v>8.9999999999999993E-3</v>
      </c>
      <c r="H39" s="27"/>
      <c r="I39" s="28"/>
      <c r="J39" s="5"/>
    </row>
    <row r="40" spans="1:10" ht="13.05" customHeight="1">
      <c r="A40" s="5"/>
      <c r="B40" s="29" t="s">
        <v>199</v>
      </c>
      <c r="C40" s="15"/>
      <c r="D40" s="2"/>
      <c r="E40" s="15"/>
      <c r="F40" s="31">
        <v>186.7184</v>
      </c>
      <c r="G40" s="26">
        <v>5.4999999999999997E-3</v>
      </c>
      <c r="H40" s="27"/>
      <c r="I40" s="28"/>
      <c r="J40" s="5"/>
    </row>
    <row r="41" spans="1:10" ht="13.05" customHeight="1">
      <c r="A41" s="5"/>
      <c r="B41" s="32" t="s">
        <v>200</v>
      </c>
      <c r="C41" s="33"/>
      <c r="D41" s="33"/>
      <c r="E41" s="33"/>
      <c r="F41" s="34">
        <v>33551.67</v>
      </c>
      <c r="G41" s="35">
        <v>1</v>
      </c>
      <c r="H41" s="36"/>
      <c r="I41" s="37"/>
      <c r="J41" s="5"/>
    </row>
    <row r="42" spans="1:10" ht="13.05" customHeight="1">
      <c r="A42" s="5"/>
      <c r="B42" s="7"/>
      <c r="C42" s="5"/>
      <c r="D42" s="5"/>
      <c r="E42" s="5"/>
      <c r="F42" s="5"/>
      <c r="G42" s="5"/>
      <c r="H42" s="5"/>
      <c r="I42" s="5"/>
      <c r="J42" s="5"/>
    </row>
    <row r="43" spans="1:10" ht="13.05" customHeight="1">
      <c r="A43" s="5"/>
      <c r="B43" s="4" t="s">
        <v>2336</v>
      </c>
      <c r="C43" s="5"/>
      <c r="D43" s="5"/>
      <c r="E43" s="5"/>
      <c r="F43" s="5"/>
      <c r="G43" s="5"/>
      <c r="H43" s="5"/>
      <c r="I43" s="5"/>
      <c r="J43" s="5"/>
    </row>
    <row r="44" spans="1:10" ht="13.05" customHeight="1">
      <c r="A44" s="5"/>
      <c r="B44" s="4" t="s">
        <v>250</v>
      </c>
      <c r="C44" s="5"/>
      <c r="D44" s="5"/>
      <c r="E44" s="5"/>
      <c r="F44" s="5"/>
      <c r="G44" s="5"/>
      <c r="H44" s="5"/>
      <c r="I44" s="5"/>
      <c r="J44" s="5"/>
    </row>
    <row r="45" spans="1:10" ht="13.05" customHeight="1">
      <c r="A45" s="5"/>
      <c r="B45" s="4" t="s">
        <v>201</v>
      </c>
      <c r="C45" s="5"/>
      <c r="D45" s="5"/>
      <c r="E45" s="5"/>
      <c r="F45" s="5"/>
      <c r="G45" s="5"/>
      <c r="H45" s="5"/>
      <c r="I45" s="5"/>
      <c r="J45" s="5"/>
    </row>
    <row r="46" spans="1:10" ht="25.95" customHeight="1">
      <c r="A46" s="5"/>
      <c r="B46" s="103" t="s">
        <v>202</v>
      </c>
      <c r="C46" s="103"/>
      <c r="D46" s="103"/>
      <c r="E46" s="103"/>
      <c r="F46" s="103"/>
      <c r="G46" s="103"/>
      <c r="H46" s="103"/>
      <c r="I46" s="103"/>
      <c r="J46" s="5"/>
    </row>
    <row r="47" spans="1:10" ht="13.05" customHeight="1">
      <c r="A47" s="5"/>
      <c r="B47" s="103" t="s">
        <v>203</v>
      </c>
      <c r="C47" s="103"/>
      <c r="D47" s="103"/>
      <c r="E47" s="103"/>
      <c r="F47" s="103"/>
      <c r="G47" s="103"/>
      <c r="H47" s="103"/>
      <c r="I47" s="103"/>
      <c r="J47" s="5"/>
    </row>
    <row r="48" spans="1:10" ht="13.05" customHeight="1">
      <c r="A48" s="5"/>
      <c r="B48" s="103" t="s">
        <v>3721</v>
      </c>
      <c r="C48" s="103"/>
      <c r="D48" s="103"/>
      <c r="E48" s="103"/>
      <c r="F48" s="103"/>
      <c r="G48" s="5"/>
      <c r="H48" s="5"/>
      <c r="I48" s="5"/>
      <c r="J48" s="5"/>
    </row>
    <row r="49" spans="1:10" ht="13.05" customHeight="1">
      <c r="A49" s="5"/>
      <c r="B49" s="103"/>
      <c r="C49" s="103"/>
      <c r="D49" s="103"/>
      <c r="E49" s="103"/>
      <c r="F49" s="103"/>
      <c r="G49" s="103"/>
      <c r="H49" s="103"/>
      <c r="I49" s="103"/>
      <c r="J49" s="5"/>
    </row>
    <row r="50" spans="1:10" ht="13.05" customHeight="1">
      <c r="A50" s="5"/>
      <c r="B50" s="103"/>
      <c r="C50" s="103"/>
      <c r="D50" s="103"/>
      <c r="E50" s="103"/>
      <c r="F50" s="103"/>
      <c r="G50" s="103"/>
      <c r="H50" s="103"/>
      <c r="I50" s="103"/>
      <c r="J50" s="5"/>
    </row>
    <row r="51" spans="1:10" ht="13.05" customHeight="1">
      <c r="A51" s="5"/>
      <c r="B51" s="5"/>
      <c r="C51" s="104" t="s">
        <v>3722</v>
      </c>
      <c r="D51" s="104"/>
      <c r="E51" s="104"/>
      <c r="F51" s="104"/>
      <c r="G51" s="5"/>
      <c r="H51" s="5"/>
      <c r="I51" s="5"/>
      <c r="J51" s="5"/>
    </row>
    <row r="52" spans="1:10" ht="13.05" customHeight="1">
      <c r="A52" s="5"/>
      <c r="B52" s="38" t="s">
        <v>207</v>
      </c>
      <c r="C52" s="104" t="s">
        <v>208</v>
      </c>
      <c r="D52" s="104"/>
      <c r="E52" s="104"/>
      <c r="F52" s="104"/>
      <c r="G52" s="5"/>
      <c r="H52" s="5"/>
      <c r="I52" s="5"/>
      <c r="J52" s="5"/>
    </row>
    <row r="53" spans="1:10" ht="135" customHeight="1">
      <c r="A53" s="5"/>
      <c r="B53" s="39"/>
      <c r="C53" s="105"/>
      <c r="D53" s="105"/>
      <c r="E53" s="5"/>
      <c r="F53" s="5"/>
      <c r="G53" s="5"/>
      <c r="H53" s="5"/>
      <c r="I53" s="5"/>
      <c r="J53" s="5"/>
    </row>
  </sheetData>
  <mergeCells count="8">
    <mergeCell ref="C51:F51"/>
    <mergeCell ref="C52:F52"/>
    <mergeCell ref="C53:D53"/>
    <mergeCell ref="B46:I46"/>
    <mergeCell ref="B47:I47"/>
    <mergeCell ref="B48:F48"/>
    <mergeCell ref="B49:I49"/>
    <mergeCell ref="B50:I50"/>
  </mergeCells>
  <hyperlinks>
    <hyperlink ref="A1" location="AxisCRISILIBXFinSvcs36MonDebtIndexFund" display="AXISFSD" xr:uid="{00000000-0004-0000-1E00-000000000000}"/>
    <hyperlink ref="B1" location="AxisCRISILIBXFinSvcs36MonDebtIndexFund" display="Axis CRISIL-IBX Fin. Svcs 3-6 Mon Debt Index Fund" xr:uid="{00000000-0004-0000-1E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outlinePr summaryBelow="0"/>
  </sheetPr>
  <dimension ref="A1:J26"/>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64</v>
      </c>
      <c r="B1" s="4" t="s">
        <v>65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1818</v>
      </c>
      <c r="C5" s="15"/>
      <c r="D5" s="15"/>
      <c r="E5" s="15"/>
      <c r="F5" s="15"/>
      <c r="G5" s="15"/>
      <c r="H5" s="16"/>
      <c r="I5" s="17"/>
      <c r="J5" s="5"/>
    </row>
    <row r="6" spans="1:10" ht="13.05" customHeight="1">
      <c r="A6" s="5"/>
      <c r="B6" s="14" t="s">
        <v>3723</v>
      </c>
      <c r="C6" s="15"/>
      <c r="D6" s="15"/>
      <c r="E6" s="15"/>
      <c r="F6" s="5"/>
      <c r="G6" s="16"/>
      <c r="H6" s="16"/>
      <c r="I6" s="17"/>
      <c r="J6" s="5"/>
    </row>
    <row r="7" spans="1:10" ht="13.05" customHeight="1">
      <c r="A7" s="18" t="s">
        <v>3724</v>
      </c>
      <c r="B7" s="19" t="s">
        <v>3725</v>
      </c>
      <c r="C7" s="15" t="s">
        <v>3726</v>
      </c>
      <c r="D7" s="15"/>
      <c r="E7" s="20">
        <v>1969727.716394</v>
      </c>
      <c r="F7" s="21">
        <v>144688.34520000001</v>
      </c>
      <c r="G7" s="22">
        <v>0.96379999999999999</v>
      </c>
      <c r="H7" s="40"/>
      <c r="I7" s="24"/>
      <c r="J7" s="5"/>
    </row>
    <row r="8" spans="1:10" ht="13.05" customHeight="1">
      <c r="A8" s="5"/>
      <c r="B8" s="14" t="s">
        <v>192</v>
      </c>
      <c r="C8" s="15"/>
      <c r="D8" s="15"/>
      <c r="E8" s="15"/>
      <c r="F8" s="25">
        <v>144688.34520000001</v>
      </c>
      <c r="G8" s="26">
        <v>0.96379999999999999</v>
      </c>
      <c r="H8" s="27"/>
      <c r="I8" s="28"/>
      <c r="J8" s="5"/>
    </row>
    <row r="9" spans="1:10" ht="13.05" customHeight="1">
      <c r="A9" s="5"/>
      <c r="B9" s="29" t="s">
        <v>195</v>
      </c>
      <c r="C9" s="30"/>
      <c r="D9" s="2"/>
      <c r="E9" s="30"/>
      <c r="F9" s="25">
        <v>144688.34520000001</v>
      </c>
      <c r="G9" s="26">
        <v>0.96379999999999999</v>
      </c>
      <c r="H9" s="27"/>
      <c r="I9" s="28"/>
      <c r="J9" s="5"/>
    </row>
    <row r="10" spans="1:10" ht="13.05" customHeight="1">
      <c r="A10" s="5"/>
      <c r="B10" s="14" t="s">
        <v>196</v>
      </c>
      <c r="C10" s="15"/>
      <c r="D10" s="15"/>
      <c r="E10" s="15"/>
      <c r="F10" s="15"/>
      <c r="G10" s="15"/>
      <c r="H10" s="16"/>
      <c r="I10" s="17"/>
      <c r="J10" s="5"/>
    </row>
    <row r="11" spans="1:10" ht="13.05" customHeight="1">
      <c r="A11" s="18" t="s">
        <v>197</v>
      </c>
      <c r="B11" s="19" t="s">
        <v>198</v>
      </c>
      <c r="C11" s="15"/>
      <c r="D11" s="15"/>
      <c r="E11" s="20"/>
      <c r="F11" s="21">
        <v>11091.4925</v>
      </c>
      <c r="G11" s="22">
        <v>7.3899999999999993E-2</v>
      </c>
      <c r="H11" s="23">
        <v>5.5573617010495215E-2</v>
      </c>
      <c r="I11" s="24"/>
      <c r="J11" s="5"/>
    </row>
    <row r="12" spans="1:10" ht="13.05" customHeight="1">
      <c r="A12" s="5"/>
      <c r="B12" s="14" t="s">
        <v>192</v>
      </c>
      <c r="C12" s="15"/>
      <c r="D12" s="15"/>
      <c r="E12" s="15"/>
      <c r="F12" s="25">
        <v>11091.4925</v>
      </c>
      <c r="G12" s="26">
        <v>7.3899999999999993E-2</v>
      </c>
      <c r="H12" s="27"/>
      <c r="I12" s="28"/>
      <c r="J12" s="5"/>
    </row>
    <row r="13" spans="1:10" ht="13.05" customHeight="1">
      <c r="A13" s="5"/>
      <c r="B13" s="29" t="s">
        <v>195</v>
      </c>
      <c r="C13" s="30"/>
      <c r="D13" s="2"/>
      <c r="E13" s="30"/>
      <c r="F13" s="25">
        <v>11091.4925</v>
      </c>
      <c r="G13" s="26">
        <v>7.3899999999999993E-2</v>
      </c>
      <c r="H13" s="27"/>
      <c r="I13" s="28"/>
      <c r="J13" s="5"/>
    </row>
    <row r="14" spans="1:10" ht="13.05" customHeight="1">
      <c r="A14" s="5"/>
      <c r="B14" s="29" t="s">
        <v>199</v>
      </c>
      <c r="C14" s="15"/>
      <c r="D14" s="2"/>
      <c r="E14" s="15"/>
      <c r="F14" s="31">
        <v>-5663.8176999999996</v>
      </c>
      <c r="G14" s="26">
        <v>-3.7699999999999997E-2</v>
      </c>
      <c r="H14" s="27"/>
      <c r="I14" s="28"/>
      <c r="J14" s="5"/>
    </row>
    <row r="15" spans="1:10" ht="13.05" customHeight="1">
      <c r="A15" s="5"/>
      <c r="B15" s="32" t="s">
        <v>200</v>
      </c>
      <c r="C15" s="33"/>
      <c r="D15" s="33"/>
      <c r="E15" s="33"/>
      <c r="F15" s="34">
        <v>150116.01999999999</v>
      </c>
      <c r="G15" s="35">
        <v>1</v>
      </c>
      <c r="H15" s="36"/>
      <c r="I15" s="37"/>
      <c r="J15" s="5"/>
    </row>
    <row r="16" spans="1:10" ht="13.05" customHeight="1">
      <c r="A16" s="5"/>
      <c r="B16" s="7"/>
      <c r="C16" s="5"/>
      <c r="D16" s="5"/>
      <c r="E16" s="5"/>
      <c r="F16" s="5"/>
      <c r="G16" s="5"/>
      <c r="H16" s="5"/>
      <c r="I16" s="5"/>
      <c r="J16" s="5"/>
    </row>
    <row r="17" spans="1:10" ht="13.05" customHeight="1">
      <c r="A17" s="5"/>
      <c r="B17" s="4" t="s">
        <v>201</v>
      </c>
      <c r="C17" s="5"/>
      <c r="D17" s="5"/>
      <c r="E17" s="5"/>
      <c r="F17" s="5"/>
      <c r="G17" s="5"/>
      <c r="H17" s="5"/>
      <c r="I17" s="5"/>
      <c r="J17" s="5"/>
    </row>
    <row r="18" spans="1:10" ht="25.95" customHeight="1">
      <c r="A18" s="5"/>
      <c r="B18" s="103" t="s">
        <v>202</v>
      </c>
      <c r="C18" s="103"/>
      <c r="D18" s="103"/>
      <c r="E18" s="103"/>
      <c r="F18" s="103"/>
      <c r="G18" s="103"/>
      <c r="H18" s="103"/>
      <c r="I18" s="103"/>
      <c r="J18" s="5"/>
    </row>
    <row r="19" spans="1:10" ht="13.05" customHeight="1">
      <c r="A19" s="5"/>
      <c r="B19" s="103" t="s">
        <v>203</v>
      </c>
      <c r="C19" s="103"/>
      <c r="D19" s="103"/>
      <c r="E19" s="103"/>
      <c r="F19" s="103"/>
      <c r="G19" s="103"/>
      <c r="H19" s="103"/>
      <c r="I19" s="103"/>
      <c r="J19" s="5"/>
    </row>
    <row r="20" spans="1:10" ht="13.05" customHeight="1">
      <c r="A20" s="5"/>
      <c r="B20" s="103"/>
      <c r="C20" s="103"/>
      <c r="D20" s="103"/>
      <c r="E20" s="103"/>
      <c r="F20" s="103"/>
      <c r="G20" s="103"/>
      <c r="H20" s="103"/>
      <c r="I20" s="103"/>
      <c r="J20" s="5"/>
    </row>
    <row r="21" spans="1:10" ht="13.05" customHeight="1">
      <c r="A21" s="5"/>
      <c r="B21" s="103"/>
      <c r="C21" s="103"/>
      <c r="D21" s="103"/>
      <c r="E21" s="103"/>
      <c r="F21" s="103"/>
      <c r="G21" s="103"/>
      <c r="H21" s="103"/>
      <c r="I21" s="103"/>
      <c r="J21" s="5"/>
    </row>
    <row r="22" spans="1:10" ht="13.05" customHeight="1">
      <c r="A22" s="5"/>
      <c r="B22" s="103"/>
      <c r="C22" s="103"/>
      <c r="D22" s="103"/>
      <c r="E22" s="103"/>
      <c r="F22" s="103"/>
      <c r="G22" s="103"/>
      <c r="H22" s="103"/>
      <c r="I22" s="103"/>
      <c r="J22" s="5"/>
    </row>
    <row r="23" spans="1:10" ht="13.05" customHeight="1">
      <c r="A23" s="5"/>
      <c r="B23" s="103"/>
      <c r="C23" s="103"/>
      <c r="D23" s="103"/>
      <c r="E23" s="103"/>
      <c r="F23" s="103"/>
      <c r="G23" s="103"/>
      <c r="H23" s="103"/>
      <c r="I23" s="103"/>
      <c r="J23" s="5"/>
    </row>
    <row r="24" spans="1:10" ht="13.05" customHeight="1">
      <c r="A24" s="5"/>
      <c r="B24" s="5"/>
      <c r="C24" s="104" t="s">
        <v>3727</v>
      </c>
      <c r="D24" s="104"/>
      <c r="E24" s="104"/>
      <c r="F24" s="104"/>
      <c r="G24" s="5"/>
      <c r="H24" s="5"/>
      <c r="I24" s="5"/>
      <c r="J24" s="5"/>
    </row>
    <row r="25" spans="1:10" ht="13.05" customHeight="1">
      <c r="A25" s="5"/>
      <c r="B25" s="38" t="s">
        <v>207</v>
      </c>
      <c r="C25" s="104" t="s">
        <v>208</v>
      </c>
      <c r="D25" s="104"/>
      <c r="E25" s="104"/>
      <c r="F25" s="104"/>
      <c r="G25" s="5"/>
      <c r="H25" s="5"/>
      <c r="I25" s="5"/>
      <c r="J25" s="5"/>
    </row>
    <row r="26" spans="1:10" ht="135" customHeight="1">
      <c r="A26" s="5"/>
      <c r="B26" s="39"/>
      <c r="C26" s="105"/>
      <c r="D26" s="105"/>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GreaterChinaEquityFundofFund" display="AXISGCE" xr:uid="{00000000-0004-0000-1F00-000000000000}"/>
    <hyperlink ref="B1" location="AxisGreaterChinaEquityFundofFund" display="Axis Greater China Equity Fund of Fund" xr:uid="{00000000-0004-0000-1F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outlinePr summaryBelow="0"/>
  </sheetPr>
  <dimension ref="A1:J26"/>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66</v>
      </c>
      <c r="B1" s="4" t="s">
        <v>67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1818</v>
      </c>
      <c r="C5" s="15"/>
      <c r="D5" s="15"/>
      <c r="E5" s="15"/>
      <c r="F5" s="15"/>
      <c r="G5" s="15"/>
      <c r="H5" s="16"/>
      <c r="I5" s="17"/>
      <c r="J5" s="5"/>
    </row>
    <row r="6" spans="1:10" ht="13.05" customHeight="1">
      <c r="A6" s="5"/>
      <c r="B6" s="14" t="s">
        <v>3723</v>
      </c>
      <c r="C6" s="15"/>
      <c r="D6" s="15"/>
      <c r="E6" s="15"/>
      <c r="F6" s="5"/>
      <c r="G6" s="16"/>
      <c r="H6" s="16"/>
      <c r="I6" s="17"/>
      <c r="J6" s="5"/>
    </row>
    <row r="7" spans="1:10" ht="13.05" customHeight="1">
      <c r="A7" s="18" t="s">
        <v>3728</v>
      </c>
      <c r="B7" s="19" t="s">
        <v>3729</v>
      </c>
      <c r="C7" s="15" t="s">
        <v>3730</v>
      </c>
      <c r="D7" s="15"/>
      <c r="E7" s="20">
        <v>678254.35713799996</v>
      </c>
      <c r="F7" s="21">
        <v>120002.07369999999</v>
      </c>
      <c r="G7" s="22">
        <v>0.9637</v>
      </c>
      <c r="H7" s="40"/>
      <c r="I7" s="24"/>
      <c r="J7" s="5"/>
    </row>
    <row r="8" spans="1:10" ht="13.05" customHeight="1">
      <c r="A8" s="5"/>
      <c r="B8" s="14" t="s">
        <v>192</v>
      </c>
      <c r="C8" s="15"/>
      <c r="D8" s="15"/>
      <c r="E8" s="15"/>
      <c r="F8" s="25">
        <v>120002.07369999999</v>
      </c>
      <c r="G8" s="26">
        <v>0.9637</v>
      </c>
      <c r="H8" s="27"/>
      <c r="I8" s="28"/>
      <c r="J8" s="5"/>
    </row>
    <row r="9" spans="1:10" ht="13.05" customHeight="1">
      <c r="A9" s="5"/>
      <c r="B9" s="29" t="s">
        <v>195</v>
      </c>
      <c r="C9" s="30"/>
      <c r="D9" s="2"/>
      <c r="E9" s="30"/>
      <c r="F9" s="25">
        <v>120002.07369999999</v>
      </c>
      <c r="G9" s="26">
        <v>0.9637</v>
      </c>
      <c r="H9" s="27"/>
      <c r="I9" s="28"/>
      <c r="J9" s="5"/>
    </row>
    <row r="10" spans="1:10" ht="13.05" customHeight="1">
      <c r="A10" s="5"/>
      <c r="B10" s="14" t="s">
        <v>196</v>
      </c>
      <c r="C10" s="15"/>
      <c r="D10" s="15"/>
      <c r="E10" s="15"/>
      <c r="F10" s="15"/>
      <c r="G10" s="15"/>
      <c r="H10" s="16"/>
      <c r="I10" s="17"/>
      <c r="J10" s="5"/>
    </row>
    <row r="11" spans="1:10" ht="13.05" customHeight="1">
      <c r="A11" s="18" t="s">
        <v>197</v>
      </c>
      <c r="B11" s="19" t="s">
        <v>198</v>
      </c>
      <c r="C11" s="15"/>
      <c r="D11" s="15"/>
      <c r="E11" s="20"/>
      <c r="F11" s="21">
        <v>5546.5510000000004</v>
      </c>
      <c r="G11" s="22">
        <v>4.4499999999999998E-2</v>
      </c>
      <c r="H11" s="23">
        <v>5.5573617010495215E-2</v>
      </c>
      <c r="I11" s="24"/>
      <c r="J11" s="5"/>
    </row>
    <row r="12" spans="1:10" ht="13.05" customHeight="1">
      <c r="A12" s="5"/>
      <c r="B12" s="14" t="s">
        <v>192</v>
      </c>
      <c r="C12" s="15"/>
      <c r="D12" s="15"/>
      <c r="E12" s="15"/>
      <c r="F12" s="25">
        <v>5546.5510000000004</v>
      </c>
      <c r="G12" s="26">
        <v>4.4499999999999998E-2</v>
      </c>
      <c r="H12" s="27"/>
      <c r="I12" s="28"/>
      <c r="J12" s="5"/>
    </row>
    <row r="13" spans="1:10" ht="13.05" customHeight="1">
      <c r="A13" s="5"/>
      <c r="B13" s="29" t="s">
        <v>195</v>
      </c>
      <c r="C13" s="30"/>
      <c r="D13" s="2"/>
      <c r="E13" s="30"/>
      <c r="F13" s="25">
        <v>5546.5510000000004</v>
      </c>
      <c r="G13" s="26">
        <v>4.4499999999999998E-2</v>
      </c>
      <c r="H13" s="27"/>
      <c r="I13" s="28"/>
      <c r="J13" s="5"/>
    </row>
    <row r="14" spans="1:10" ht="13.05" customHeight="1">
      <c r="A14" s="5"/>
      <c r="B14" s="29" t="s">
        <v>199</v>
      </c>
      <c r="C14" s="15"/>
      <c r="D14" s="2"/>
      <c r="E14" s="15"/>
      <c r="F14" s="31">
        <v>-1028.2147</v>
      </c>
      <c r="G14" s="26">
        <v>-8.2000000000000007E-3</v>
      </c>
      <c r="H14" s="27"/>
      <c r="I14" s="28"/>
      <c r="J14" s="5"/>
    </row>
    <row r="15" spans="1:10" ht="13.05" customHeight="1">
      <c r="A15" s="5"/>
      <c r="B15" s="32" t="s">
        <v>200</v>
      </c>
      <c r="C15" s="33"/>
      <c r="D15" s="33"/>
      <c r="E15" s="33"/>
      <c r="F15" s="34">
        <v>124520.41</v>
      </c>
      <c r="G15" s="35">
        <v>1</v>
      </c>
      <c r="H15" s="36"/>
      <c r="I15" s="37"/>
      <c r="J15" s="5"/>
    </row>
    <row r="16" spans="1:10" ht="13.05" customHeight="1">
      <c r="A16" s="5"/>
      <c r="B16" s="7"/>
      <c r="C16" s="5"/>
      <c r="D16" s="5"/>
      <c r="E16" s="5"/>
      <c r="F16" s="5"/>
      <c r="G16" s="5"/>
      <c r="H16" s="5"/>
      <c r="I16" s="5"/>
      <c r="J16" s="5"/>
    </row>
    <row r="17" spans="1:10" ht="13.05" customHeight="1">
      <c r="A17" s="5"/>
      <c r="B17" s="4" t="s">
        <v>201</v>
      </c>
      <c r="C17" s="5"/>
      <c r="D17" s="5"/>
      <c r="E17" s="5"/>
      <c r="F17" s="5"/>
      <c r="G17" s="5"/>
      <c r="H17" s="5"/>
      <c r="I17" s="5"/>
      <c r="J17" s="5"/>
    </row>
    <row r="18" spans="1:10" ht="25.95" customHeight="1">
      <c r="A18" s="5"/>
      <c r="B18" s="103" t="s">
        <v>202</v>
      </c>
      <c r="C18" s="103"/>
      <c r="D18" s="103"/>
      <c r="E18" s="103"/>
      <c r="F18" s="103"/>
      <c r="G18" s="103"/>
      <c r="H18" s="103"/>
      <c r="I18" s="103"/>
      <c r="J18" s="5"/>
    </row>
    <row r="19" spans="1:10" ht="13.05" customHeight="1">
      <c r="A19" s="5"/>
      <c r="B19" s="103" t="s">
        <v>203</v>
      </c>
      <c r="C19" s="103"/>
      <c r="D19" s="103"/>
      <c r="E19" s="103"/>
      <c r="F19" s="103"/>
      <c r="G19" s="103"/>
      <c r="H19" s="103"/>
      <c r="I19" s="103"/>
      <c r="J19" s="5"/>
    </row>
    <row r="20" spans="1:10" ht="13.05" customHeight="1">
      <c r="A20" s="5"/>
      <c r="B20" s="103"/>
      <c r="C20" s="103"/>
      <c r="D20" s="103"/>
      <c r="E20" s="103"/>
      <c r="F20" s="103"/>
      <c r="G20" s="103"/>
      <c r="H20" s="103"/>
      <c r="I20" s="103"/>
      <c r="J20" s="5"/>
    </row>
    <row r="21" spans="1:10" ht="13.05" customHeight="1">
      <c r="A21" s="5"/>
      <c r="B21" s="103"/>
      <c r="C21" s="103"/>
      <c r="D21" s="103"/>
      <c r="E21" s="103"/>
      <c r="F21" s="103"/>
      <c r="G21" s="103"/>
      <c r="H21" s="103"/>
      <c r="I21" s="103"/>
      <c r="J21" s="5"/>
    </row>
    <row r="22" spans="1:10" ht="13.05" customHeight="1">
      <c r="A22" s="5"/>
      <c r="B22" s="103"/>
      <c r="C22" s="103"/>
      <c r="D22" s="103"/>
      <c r="E22" s="103"/>
      <c r="F22" s="103"/>
      <c r="G22" s="103"/>
      <c r="H22" s="103"/>
      <c r="I22" s="103"/>
      <c r="J22" s="5"/>
    </row>
    <row r="23" spans="1:10" ht="13.05" customHeight="1">
      <c r="A23" s="5"/>
      <c r="B23" s="103"/>
      <c r="C23" s="103"/>
      <c r="D23" s="103"/>
      <c r="E23" s="103"/>
      <c r="F23" s="103"/>
      <c r="G23" s="103"/>
      <c r="H23" s="103"/>
      <c r="I23" s="103"/>
      <c r="J23" s="5"/>
    </row>
    <row r="24" spans="1:10" ht="13.05" customHeight="1">
      <c r="A24" s="5"/>
      <c r="B24" s="5"/>
      <c r="C24" s="104" t="s">
        <v>3731</v>
      </c>
      <c r="D24" s="104"/>
      <c r="E24" s="104"/>
      <c r="F24" s="104"/>
      <c r="G24" s="5"/>
      <c r="H24" s="5"/>
      <c r="I24" s="5"/>
      <c r="J24" s="5"/>
    </row>
    <row r="25" spans="1:10" ht="13.05" customHeight="1">
      <c r="A25" s="5"/>
      <c r="B25" s="38" t="s">
        <v>207</v>
      </c>
      <c r="C25" s="104" t="s">
        <v>208</v>
      </c>
      <c r="D25" s="104"/>
      <c r="E25" s="104"/>
      <c r="F25" s="104"/>
      <c r="G25" s="5"/>
      <c r="H25" s="5"/>
      <c r="I25" s="5"/>
      <c r="J25" s="5"/>
    </row>
    <row r="26" spans="1:10" ht="135" customHeight="1">
      <c r="A26" s="5"/>
      <c r="B26" s="39"/>
      <c r="C26" s="105"/>
      <c r="D26" s="105"/>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GlobalEquityAlphaFundofFund" display="AXISGEA" xr:uid="{00000000-0004-0000-2000-000000000000}"/>
    <hyperlink ref="B1" location="AxisGlobalEquityAlphaFundofFund" display="Axis Global Equity Alpha Fund of Fund" xr:uid="{00000000-0004-0000-20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outlinePr summaryBelow="0"/>
  </sheetPr>
  <dimension ref="A1:J24"/>
  <sheetViews>
    <sheetView topLeftCell="A13" workbookViewId="0">
      <selection activeCell="B20" sqref="B20:E20"/>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68</v>
      </c>
      <c r="B1" s="4" t="s">
        <v>69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v>
      </c>
    </row>
    <row r="5" spans="1:10" ht="13.05" customHeight="1">
      <c r="A5" s="5"/>
      <c r="B5" s="14" t="s">
        <v>3732</v>
      </c>
      <c r="C5" s="15"/>
      <c r="D5" s="15"/>
      <c r="E5" s="15"/>
      <c r="F5" s="15"/>
      <c r="G5" s="15"/>
      <c r="H5" s="16"/>
      <c r="I5" s="17"/>
      <c r="J5" s="5"/>
    </row>
    <row r="6" spans="1:10" ht="13.05" customHeight="1">
      <c r="A6" s="18" t="s">
        <v>3733</v>
      </c>
      <c r="B6" s="19" t="s">
        <v>3734</v>
      </c>
      <c r="C6" s="15"/>
      <c r="D6" s="15"/>
      <c r="E6" s="20">
        <v>2366</v>
      </c>
      <c r="F6" s="21">
        <v>284984.7</v>
      </c>
      <c r="G6" s="22">
        <v>0.98309999999999997</v>
      </c>
      <c r="H6" s="40"/>
      <c r="I6" s="24"/>
      <c r="J6" s="5"/>
    </row>
    <row r="7" spans="1:10" ht="13.05" customHeight="1">
      <c r="A7" s="5"/>
      <c r="B7" s="14" t="s">
        <v>192</v>
      </c>
      <c r="C7" s="15"/>
      <c r="D7" s="15"/>
      <c r="E7" s="15"/>
      <c r="F7" s="25">
        <v>284984.7</v>
      </c>
      <c r="G7" s="26">
        <v>0.98309999999999997</v>
      </c>
      <c r="H7" s="27"/>
      <c r="I7" s="28"/>
      <c r="J7" s="5"/>
    </row>
    <row r="8" spans="1:10" ht="13.05" customHeight="1">
      <c r="A8" s="5"/>
      <c r="B8" s="29" t="s">
        <v>195</v>
      </c>
      <c r="C8" s="30"/>
      <c r="D8" s="2"/>
      <c r="E8" s="30"/>
      <c r="F8" s="25">
        <v>284984.7</v>
      </c>
      <c r="G8" s="26">
        <v>0.98309999999999997</v>
      </c>
      <c r="H8" s="27"/>
      <c r="I8" s="28"/>
      <c r="J8" s="5"/>
    </row>
    <row r="9" spans="1:10" ht="13.05" customHeight="1">
      <c r="A9" s="5"/>
      <c r="B9" s="14" t="s">
        <v>196</v>
      </c>
      <c r="C9" s="15"/>
      <c r="D9" s="15"/>
      <c r="E9" s="15"/>
      <c r="F9" s="15"/>
      <c r="G9" s="15"/>
      <c r="H9" s="16"/>
      <c r="I9" s="17"/>
      <c r="J9" s="5"/>
    </row>
    <row r="10" spans="1:10" ht="13.05" customHeight="1">
      <c r="A10" s="18" t="s">
        <v>197</v>
      </c>
      <c r="B10" s="19" t="s">
        <v>198</v>
      </c>
      <c r="C10" s="15"/>
      <c r="D10" s="15"/>
      <c r="E10" s="20"/>
      <c r="F10" s="21">
        <v>592.89949999999999</v>
      </c>
      <c r="G10" s="22">
        <v>2E-3</v>
      </c>
      <c r="H10" s="23">
        <v>5.5573624314941776E-2</v>
      </c>
      <c r="I10" s="24"/>
      <c r="J10" s="5"/>
    </row>
    <row r="11" spans="1:10" ht="13.05" customHeight="1">
      <c r="A11" s="5"/>
      <c r="B11" s="14" t="s">
        <v>192</v>
      </c>
      <c r="C11" s="15"/>
      <c r="D11" s="15"/>
      <c r="E11" s="15"/>
      <c r="F11" s="25">
        <v>592.89949999999999</v>
      </c>
      <c r="G11" s="26">
        <v>2E-3</v>
      </c>
      <c r="H11" s="27"/>
      <c r="I11" s="28"/>
      <c r="J11" s="5"/>
    </row>
    <row r="12" spans="1:10" ht="13.05" customHeight="1">
      <c r="A12" s="5"/>
      <c r="B12" s="29" t="s">
        <v>195</v>
      </c>
      <c r="C12" s="30"/>
      <c r="D12" s="2"/>
      <c r="E12" s="30"/>
      <c r="F12" s="25">
        <v>592.89949999999999</v>
      </c>
      <c r="G12" s="26">
        <v>2E-3</v>
      </c>
      <c r="H12" s="27"/>
      <c r="I12" s="28"/>
      <c r="J12" s="5"/>
    </row>
    <row r="13" spans="1:10" ht="13.05" customHeight="1">
      <c r="A13" s="5"/>
      <c r="B13" s="29" t="s">
        <v>199</v>
      </c>
      <c r="C13" s="15"/>
      <c r="D13" s="2"/>
      <c r="E13" s="15"/>
      <c r="F13" s="31">
        <v>4320.7505000000001</v>
      </c>
      <c r="G13" s="26">
        <v>1.49E-2</v>
      </c>
      <c r="H13" s="27"/>
      <c r="I13" s="28"/>
      <c r="J13" s="5"/>
    </row>
    <row r="14" spans="1:10" ht="13.05" customHeight="1">
      <c r="A14" s="5"/>
      <c r="B14" s="32" t="s">
        <v>200</v>
      </c>
      <c r="C14" s="33"/>
      <c r="D14" s="33"/>
      <c r="E14" s="33"/>
      <c r="F14" s="34">
        <v>289898.34999999998</v>
      </c>
      <c r="G14" s="35">
        <v>1</v>
      </c>
      <c r="H14" s="36"/>
      <c r="I14" s="37"/>
      <c r="J14" s="5"/>
    </row>
    <row r="15" spans="1:10" ht="13.05" customHeight="1">
      <c r="A15" s="5"/>
      <c r="B15" s="7"/>
      <c r="C15" s="5"/>
      <c r="D15" s="5"/>
      <c r="E15" s="5"/>
      <c r="F15" s="5"/>
      <c r="G15" s="5"/>
      <c r="H15" s="5"/>
      <c r="I15" s="5"/>
      <c r="J15" s="5"/>
    </row>
    <row r="16" spans="1:10" ht="13.05" customHeight="1">
      <c r="A16" s="5"/>
      <c r="B16" s="4" t="s">
        <v>201</v>
      </c>
      <c r="C16" s="5"/>
      <c r="D16" s="5"/>
      <c r="E16" s="5"/>
      <c r="F16" s="5"/>
      <c r="G16" s="5"/>
      <c r="H16" s="5"/>
      <c r="I16" s="5"/>
      <c r="J16" s="5"/>
    </row>
    <row r="17" spans="1:10" ht="25.95" customHeight="1">
      <c r="A17" s="5"/>
      <c r="B17" s="103" t="s">
        <v>202</v>
      </c>
      <c r="C17" s="103"/>
      <c r="D17" s="103"/>
      <c r="E17" s="103"/>
      <c r="F17" s="103"/>
      <c r="G17" s="103"/>
      <c r="H17" s="103"/>
      <c r="I17" s="103"/>
      <c r="J17" s="5"/>
    </row>
    <row r="18" spans="1:10" ht="13.05" customHeight="1">
      <c r="A18" s="5"/>
      <c r="B18" s="103" t="s">
        <v>203</v>
      </c>
      <c r="C18" s="103"/>
      <c r="D18" s="103"/>
      <c r="E18" s="103"/>
      <c r="F18" s="103"/>
      <c r="G18" s="103"/>
      <c r="H18" s="103"/>
      <c r="I18" s="103"/>
      <c r="J18" s="5"/>
    </row>
    <row r="19" spans="1:10" ht="13.05" customHeight="1">
      <c r="A19" s="5"/>
      <c r="B19" s="103"/>
      <c r="C19" s="103"/>
      <c r="D19" s="103"/>
      <c r="E19" s="103"/>
      <c r="F19" s="103"/>
      <c r="G19" s="103"/>
      <c r="H19" s="103"/>
      <c r="I19" s="103"/>
      <c r="J19" s="5"/>
    </row>
    <row r="20" spans="1:10" ht="13.05" customHeight="1">
      <c r="A20" s="5"/>
      <c r="B20" s="109" t="s">
        <v>3735</v>
      </c>
      <c r="C20" s="109"/>
      <c r="D20" s="109"/>
      <c r="E20" s="109"/>
      <c r="F20" s="5"/>
      <c r="G20" s="5"/>
      <c r="H20" s="5"/>
      <c r="I20" s="5"/>
      <c r="J20" s="5"/>
    </row>
    <row r="21" spans="1:10" ht="13.05" customHeight="1">
      <c r="A21" s="5"/>
      <c r="B21" s="103"/>
      <c r="C21" s="103"/>
      <c r="D21" s="103"/>
      <c r="E21" s="103"/>
      <c r="F21" s="103"/>
      <c r="G21" s="103"/>
      <c r="H21" s="103"/>
      <c r="I21" s="103"/>
      <c r="J21" s="5"/>
    </row>
    <row r="22" spans="1:10" ht="13.05" customHeight="1">
      <c r="A22" s="5"/>
      <c r="B22" s="5"/>
      <c r="C22" s="104" t="s">
        <v>3736</v>
      </c>
      <c r="D22" s="104"/>
      <c r="E22" s="104"/>
      <c r="F22" s="104"/>
      <c r="G22" s="5"/>
      <c r="H22" s="5"/>
      <c r="I22" s="5"/>
      <c r="J22" s="5"/>
    </row>
    <row r="23" spans="1:10" ht="13.05" customHeight="1">
      <c r="A23" s="5"/>
      <c r="B23" s="38" t="s">
        <v>207</v>
      </c>
      <c r="C23" s="104" t="s">
        <v>208</v>
      </c>
      <c r="D23" s="104"/>
      <c r="E23" s="104"/>
      <c r="F23" s="104"/>
      <c r="G23" s="5"/>
      <c r="H23" s="5"/>
      <c r="I23" s="5"/>
      <c r="J23" s="5"/>
    </row>
    <row r="24" spans="1:10" ht="135" customHeight="1">
      <c r="A24" s="5"/>
      <c r="B24" s="39"/>
      <c r="C24" s="105"/>
      <c r="D24" s="105"/>
      <c r="E24" s="5"/>
      <c r="F24" s="5"/>
      <c r="G24" s="5"/>
      <c r="H24" s="5"/>
      <c r="I24" s="5"/>
      <c r="J24" s="5"/>
    </row>
  </sheetData>
  <mergeCells count="8">
    <mergeCell ref="C22:F22"/>
    <mergeCell ref="C23:F23"/>
    <mergeCell ref="C24:D24"/>
    <mergeCell ref="B17:I17"/>
    <mergeCell ref="B18:I18"/>
    <mergeCell ref="B19:I19"/>
    <mergeCell ref="B20:E20"/>
    <mergeCell ref="B21:I21"/>
  </mergeCells>
  <hyperlinks>
    <hyperlink ref="A1" location="AxisGoldETF" display="AXISGETF" xr:uid="{00000000-0004-0000-2100-000000000000}"/>
    <hyperlink ref="B1" location="AxisGoldETF" display="Axis Gold ETF" xr:uid="{00000000-0004-0000-2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outlinePr summaryBelow="0"/>
  </sheetPr>
  <dimension ref="A1:J26"/>
  <sheetViews>
    <sheetView topLeftCell="A16"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70</v>
      </c>
      <c r="B1" s="4" t="s">
        <v>71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1818</v>
      </c>
      <c r="C5" s="15"/>
      <c r="D5" s="15"/>
      <c r="E5" s="15"/>
      <c r="F5" s="15"/>
      <c r="G5" s="15"/>
      <c r="H5" s="16"/>
      <c r="I5" s="17"/>
      <c r="J5" s="5"/>
    </row>
    <row r="6" spans="1:10" ht="13.05" customHeight="1">
      <c r="A6" s="5"/>
      <c r="B6" s="14" t="s">
        <v>3723</v>
      </c>
      <c r="C6" s="15"/>
      <c r="D6" s="15"/>
      <c r="E6" s="15"/>
      <c r="F6" s="5"/>
      <c r="G6" s="16"/>
      <c r="H6" s="16"/>
      <c r="I6" s="17"/>
      <c r="J6" s="5"/>
    </row>
    <row r="7" spans="1:10" ht="13.05" customHeight="1">
      <c r="A7" s="18" t="s">
        <v>3737</v>
      </c>
      <c r="B7" s="19" t="s">
        <v>3738</v>
      </c>
      <c r="C7" s="15" t="s">
        <v>3739</v>
      </c>
      <c r="D7" s="15"/>
      <c r="E7" s="20">
        <v>469080.75792</v>
      </c>
      <c r="F7" s="21">
        <v>61985.203600000001</v>
      </c>
      <c r="G7" s="22">
        <v>0.96530000000000005</v>
      </c>
      <c r="H7" s="40"/>
      <c r="I7" s="24"/>
      <c r="J7" s="5"/>
    </row>
    <row r="8" spans="1:10" ht="13.05" customHeight="1">
      <c r="A8" s="5"/>
      <c r="B8" s="14" t="s">
        <v>192</v>
      </c>
      <c r="C8" s="15"/>
      <c r="D8" s="15"/>
      <c r="E8" s="15"/>
      <c r="F8" s="25">
        <v>61985.203600000001</v>
      </c>
      <c r="G8" s="26">
        <v>0.96530000000000005</v>
      </c>
      <c r="H8" s="27"/>
      <c r="I8" s="28"/>
      <c r="J8" s="5"/>
    </row>
    <row r="9" spans="1:10" ht="13.05" customHeight="1">
      <c r="A9" s="5"/>
      <c r="B9" s="29" t="s">
        <v>195</v>
      </c>
      <c r="C9" s="30"/>
      <c r="D9" s="2"/>
      <c r="E9" s="30"/>
      <c r="F9" s="25">
        <v>61985.203600000001</v>
      </c>
      <c r="G9" s="26">
        <v>0.96530000000000005</v>
      </c>
      <c r="H9" s="27"/>
      <c r="I9" s="28"/>
      <c r="J9" s="5"/>
    </row>
    <row r="10" spans="1:10" ht="13.05" customHeight="1">
      <c r="A10" s="5"/>
      <c r="B10" s="14" t="s">
        <v>196</v>
      </c>
      <c r="C10" s="15"/>
      <c r="D10" s="15"/>
      <c r="E10" s="15"/>
      <c r="F10" s="15"/>
      <c r="G10" s="15"/>
      <c r="H10" s="16"/>
      <c r="I10" s="17"/>
      <c r="J10" s="5"/>
    </row>
    <row r="11" spans="1:10" ht="13.05" customHeight="1">
      <c r="A11" s="18" t="s">
        <v>197</v>
      </c>
      <c r="B11" s="19" t="s">
        <v>198</v>
      </c>
      <c r="C11" s="15"/>
      <c r="D11" s="15"/>
      <c r="E11" s="20"/>
      <c r="F11" s="21">
        <v>2944.6633000000002</v>
      </c>
      <c r="G11" s="22">
        <v>4.5900000000000003E-2</v>
      </c>
      <c r="H11" s="23">
        <v>5.5573613358271927E-2</v>
      </c>
      <c r="I11" s="24"/>
      <c r="J11" s="5"/>
    </row>
    <row r="12" spans="1:10" ht="13.05" customHeight="1">
      <c r="A12" s="5"/>
      <c r="B12" s="14" t="s">
        <v>192</v>
      </c>
      <c r="C12" s="15"/>
      <c r="D12" s="15"/>
      <c r="E12" s="15"/>
      <c r="F12" s="25">
        <v>2944.6633000000002</v>
      </c>
      <c r="G12" s="26">
        <v>4.5900000000000003E-2</v>
      </c>
      <c r="H12" s="27"/>
      <c r="I12" s="28"/>
      <c r="J12" s="5"/>
    </row>
    <row r="13" spans="1:10" ht="13.05" customHeight="1">
      <c r="A13" s="5"/>
      <c r="B13" s="29" t="s">
        <v>195</v>
      </c>
      <c r="C13" s="30"/>
      <c r="D13" s="2"/>
      <c r="E13" s="30"/>
      <c r="F13" s="25">
        <v>2944.6633000000002</v>
      </c>
      <c r="G13" s="26">
        <v>4.5900000000000003E-2</v>
      </c>
      <c r="H13" s="27"/>
      <c r="I13" s="28"/>
      <c r="J13" s="5"/>
    </row>
    <row r="14" spans="1:10" ht="13.05" customHeight="1">
      <c r="A14" s="5"/>
      <c r="B14" s="29" t="s">
        <v>199</v>
      </c>
      <c r="C14" s="15"/>
      <c r="D14" s="2"/>
      <c r="E14" s="15"/>
      <c r="F14" s="31">
        <v>-718.92690000000005</v>
      </c>
      <c r="G14" s="26">
        <v>-1.12E-2</v>
      </c>
      <c r="H14" s="27"/>
      <c r="I14" s="28"/>
      <c r="J14" s="5"/>
    </row>
    <row r="15" spans="1:10" ht="13.05" customHeight="1">
      <c r="A15" s="5"/>
      <c r="B15" s="32" t="s">
        <v>200</v>
      </c>
      <c r="C15" s="33"/>
      <c r="D15" s="33"/>
      <c r="E15" s="33"/>
      <c r="F15" s="34">
        <v>64210.94</v>
      </c>
      <c r="G15" s="35">
        <v>1</v>
      </c>
      <c r="H15" s="36"/>
      <c r="I15" s="37"/>
      <c r="J15" s="5"/>
    </row>
    <row r="16" spans="1:10" ht="13.05" customHeight="1">
      <c r="A16" s="5"/>
      <c r="B16" s="7"/>
      <c r="C16" s="5"/>
      <c r="D16" s="5"/>
      <c r="E16" s="5"/>
      <c r="F16" s="5"/>
      <c r="G16" s="5"/>
      <c r="H16" s="5"/>
      <c r="I16" s="5"/>
      <c r="J16" s="5"/>
    </row>
    <row r="17" spans="1:10" ht="13.05" customHeight="1">
      <c r="A17" s="5"/>
      <c r="B17" s="4" t="s">
        <v>201</v>
      </c>
      <c r="C17" s="5"/>
      <c r="D17" s="5"/>
      <c r="E17" s="5"/>
      <c r="F17" s="5"/>
      <c r="G17" s="5"/>
      <c r="H17" s="5"/>
      <c r="I17" s="5"/>
      <c r="J17" s="5"/>
    </row>
    <row r="18" spans="1:10" ht="25.95" customHeight="1">
      <c r="A18" s="5"/>
      <c r="B18" s="103" t="s">
        <v>202</v>
      </c>
      <c r="C18" s="103"/>
      <c r="D18" s="103"/>
      <c r="E18" s="103"/>
      <c r="F18" s="103"/>
      <c r="G18" s="103"/>
      <c r="H18" s="103"/>
      <c r="I18" s="103"/>
      <c r="J18" s="5"/>
    </row>
    <row r="19" spans="1:10" ht="13.05" customHeight="1">
      <c r="A19" s="5"/>
      <c r="B19" s="103" t="s">
        <v>203</v>
      </c>
      <c r="C19" s="103"/>
      <c r="D19" s="103"/>
      <c r="E19" s="103"/>
      <c r="F19" s="103"/>
      <c r="G19" s="103"/>
      <c r="H19" s="103"/>
      <c r="I19" s="103"/>
      <c r="J19" s="5"/>
    </row>
    <row r="20" spans="1:10" ht="13.05" customHeight="1">
      <c r="A20" s="5"/>
      <c r="B20" s="103"/>
      <c r="C20" s="103"/>
      <c r="D20" s="103"/>
      <c r="E20" s="103"/>
      <c r="F20" s="103"/>
      <c r="G20" s="103"/>
      <c r="H20" s="103"/>
      <c r="I20" s="103"/>
      <c r="J20" s="5"/>
    </row>
    <row r="21" spans="1:10" ht="13.05" customHeight="1">
      <c r="A21" s="5"/>
      <c r="B21" s="103"/>
      <c r="C21" s="103"/>
      <c r="D21" s="103"/>
      <c r="E21" s="103"/>
      <c r="F21" s="103"/>
      <c r="G21" s="103"/>
      <c r="H21" s="103"/>
      <c r="I21" s="103"/>
      <c r="J21" s="5"/>
    </row>
    <row r="22" spans="1:10" ht="13.05" customHeight="1">
      <c r="A22" s="5"/>
      <c r="B22" s="103"/>
      <c r="C22" s="103"/>
      <c r="D22" s="103"/>
      <c r="E22" s="103"/>
      <c r="F22" s="103"/>
      <c r="G22" s="103"/>
      <c r="H22" s="103"/>
      <c r="I22" s="103"/>
      <c r="J22" s="5"/>
    </row>
    <row r="23" spans="1:10" ht="13.05" customHeight="1">
      <c r="A23" s="5"/>
      <c r="B23" s="103"/>
      <c r="C23" s="103"/>
      <c r="D23" s="103"/>
      <c r="E23" s="103"/>
      <c r="F23" s="103"/>
      <c r="G23" s="103"/>
      <c r="H23" s="103"/>
      <c r="I23" s="103"/>
      <c r="J23" s="5"/>
    </row>
    <row r="24" spans="1:10" ht="13.05" customHeight="1">
      <c r="A24" s="5"/>
      <c r="B24" s="5"/>
      <c r="C24" s="104" t="s">
        <v>3740</v>
      </c>
      <c r="D24" s="104"/>
      <c r="E24" s="104"/>
      <c r="F24" s="104"/>
      <c r="G24" s="5"/>
      <c r="H24" s="5"/>
      <c r="I24" s="5"/>
      <c r="J24" s="5"/>
    </row>
    <row r="25" spans="1:10" ht="13.05" customHeight="1">
      <c r="A25" s="5"/>
      <c r="B25" s="38" t="s">
        <v>207</v>
      </c>
      <c r="C25" s="104" t="s">
        <v>208</v>
      </c>
      <c r="D25" s="104"/>
      <c r="E25" s="104"/>
      <c r="F25" s="104"/>
      <c r="G25" s="5"/>
      <c r="H25" s="5"/>
      <c r="I25" s="5"/>
      <c r="J25" s="5"/>
    </row>
    <row r="26" spans="1:10" ht="135" customHeight="1">
      <c r="A26" s="5"/>
      <c r="B26" s="39"/>
      <c r="C26" s="105"/>
      <c r="D26" s="105"/>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GlobalInnovationFundofFund" display="AXISGIF" xr:uid="{00000000-0004-0000-2200-000000000000}"/>
    <hyperlink ref="B1" location="AxisGlobalInnovationFundofFund" display="Axis Global Innovation Fund of Fund" xr:uid="{00000000-0004-0000-2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outlinePr summaryBelow="0"/>
  </sheetPr>
  <dimension ref="A1:J26"/>
  <sheetViews>
    <sheetView workbookViewId="0">
      <selection activeCell="B1" sqref="B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72</v>
      </c>
      <c r="B1" s="4" t="s">
        <v>73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1818</v>
      </c>
      <c r="C5" s="15"/>
      <c r="D5" s="15"/>
      <c r="E5" s="15"/>
      <c r="F5" s="15"/>
      <c r="G5" s="15"/>
      <c r="H5" s="16"/>
      <c r="I5" s="17"/>
      <c r="J5" s="5"/>
    </row>
    <row r="6" spans="1:10" ht="13.05" customHeight="1">
      <c r="A6" s="5"/>
      <c r="B6" s="14" t="s">
        <v>3514</v>
      </c>
      <c r="C6" s="15"/>
      <c r="D6" s="15"/>
      <c r="E6" s="15"/>
      <c r="F6" s="5"/>
      <c r="G6" s="16"/>
      <c r="H6" s="16"/>
      <c r="I6" s="17"/>
      <c r="J6" s="5"/>
    </row>
    <row r="7" spans="1:10" ht="13.05" customHeight="1">
      <c r="A7" s="18" t="s">
        <v>3741</v>
      </c>
      <c r="B7" s="19" t="s">
        <v>69</v>
      </c>
      <c r="C7" s="15" t="s">
        <v>3742</v>
      </c>
      <c r="D7" s="15"/>
      <c r="E7" s="20">
        <v>178172322</v>
      </c>
      <c r="F7" s="21">
        <v>179829.32459999999</v>
      </c>
      <c r="G7" s="22">
        <v>0.99909999999999999</v>
      </c>
      <c r="H7" s="40"/>
      <c r="I7" s="24"/>
      <c r="J7" s="5"/>
    </row>
    <row r="8" spans="1:10" ht="13.05" customHeight="1">
      <c r="A8" s="5"/>
      <c r="B8" s="14" t="s">
        <v>192</v>
      </c>
      <c r="C8" s="15"/>
      <c r="D8" s="15"/>
      <c r="E8" s="15"/>
      <c r="F8" s="25">
        <v>179829.32459999999</v>
      </c>
      <c r="G8" s="26">
        <v>0.99909999999999999</v>
      </c>
      <c r="H8" s="27"/>
      <c r="I8" s="28"/>
      <c r="J8" s="5"/>
    </row>
    <row r="9" spans="1:10" ht="13.05" customHeight="1">
      <c r="A9" s="5"/>
      <c r="B9" s="29" t="s">
        <v>195</v>
      </c>
      <c r="C9" s="30"/>
      <c r="D9" s="2"/>
      <c r="E9" s="30"/>
      <c r="F9" s="25">
        <v>179829.32459999999</v>
      </c>
      <c r="G9" s="26">
        <v>0.99909999999999999</v>
      </c>
      <c r="H9" s="27"/>
      <c r="I9" s="28"/>
      <c r="J9" s="5"/>
    </row>
    <row r="10" spans="1:10" ht="13.05" customHeight="1">
      <c r="A10" s="5"/>
      <c r="B10" s="14" t="s">
        <v>196</v>
      </c>
      <c r="C10" s="15"/>
      <c r="D10" s="15"/>
      <c r="E10" s="15"/>
      <c r="F10" s="15"/>
      <c r="G10" s="15"/>
      <c r="H10" s="16"/>
      <c r="I10" s="17"/>
      <c r="J10" s="5"/>
    </row>
    <row r="11" spans="1:10" ht="13.05" customHeight="1">
      <c r="A11" s="18" t="s">
        <v>197</v>
      </c>
      <c r="B11" s="19" t="s">
        <v>198</v>
      </c>
      <c r="C11" s="15"/>
      <c r="D11" s="15"/>
      <c r="E11" s="20"/>
      <c r="F11" s="21">
        <v>865.36649999999997</v>
      </c>
      <c r="G11" s="22">
        <v>4.7999999999999996E-3</v>
      </c>
      <c r="H11" s="23">
        <v>5.5573613358271927E-2</v>
      </c>
      <c r="I11" s="24"/>
      <c r="J11" s="5"/>
    </row>
    <row r="12" spans="1:10" ht="13.05" customHeight="1">
      <c r="A12" s="5"/>
      <c r="B12" s="14" t="s">
        <v>192</v>
      </c>
      <c r="C12" s="15"/>
      <c r="D12" s="15"/>
      <c r="E12" s="15"/>
      <c r="F12" s="25">
        <v>865.36649999999997</v>
      </c>
      <c r="G12" s="26">
        <v>4.7999999999999996E-3</v>
      </c>
      <c r="H12" s="27"/>
      <c r="I12" s="28"/>
      <c r="J12" s="5"/>
    </row>
    <row r="13" spans="1:10" ht="13.05" customHeight="1">
      <c r="A13" s="5"/>
      <c r="B13" s="29" t="s">
        <v>195</v>
      </c>
      <c r="C13" s="30"/>
      <c r="D13" s="2"/>
      <c r="E13" s="30"/>
      <c r="F13" s="25">
        <v>865.36649999999997</v>
      </c>
      <c r="G13" s="26">
        <v>4.7999999999999996E-3</v>
      </c>
      <c r="H13" s="27"/>
      <c r="I13" s="28"/>
      <c r="J13" s="5"/>
    </row>
    <row r="14" spans="1:10" ht="13.05" customHeight="1">
      <c r="A14" s="5"/>
      <c r="B14" s="29" t="s">
        <v>199</v>
      </c>
      <c r="C14" s="15"/>
      <c r="D14" s="2"/>
      <c r="E14" s="15"/>
      <c r="F14" s="31">
        <v>-695.74109999999996</v>
      </c>
      <c r="G14" s="26">
        <v>-3.8999999999999998E-3</v>
      </c>
      <c r="H14" s="27"/>
      <c r="I14" s="28"/>
      <c r="J14" s="5"/>
    </row>
    <row r="15" spans="1:10" ht="13.05" customHeight="1">
      <c r="A15" s="5"/>
      <c r="B15" s="32" t="s">
        <v>200</v>
      </c>
      <c r="C15" s="33"/>
      <c r="D15" s="33"/>
      <c r="E15" s="33"/>
      <c r="F15" s="34">
        <v>179998.95</v>
      </c>
      <c r="G15" s="35">
        <v>1</v>
      </c>
      <c r="H15" s="36"/>
      <c r="I15" s="37"/>
      <c r="J15" s="5"/>
    </row>
    <row r="16" spans="1:10" ht="13.05" customHeight="1">
      <c r="A16" s="5"/>
      <c r="B16" s="7"/>
      <c r="C16" s="5"/>
      <c r="D16" s="5"/>
      <c r="E16" s="5"/>
      <c r="F16" s="5"/>
      <c r="G16" s="5"/>
      <c r="H16" s="5"/>
      <c r="I16" s="5"/>
      <c r="J16" s="5"/>
    </row>
    <row r="17" spans="1:10" ht="13.05" customHeight="1">
      <c r="A17" s="5"/>
      <c r="B17" s="4" t="s">
        <v>201</v>
      </c>
      <c r="C17" s="5"/>
      <c r="D17" s="5"/>
      <c r="E17" s="5"/>
      <c r="F17" s="5"/>
      <c r="G17" s="5"/>
      <c r="H17" s="5"/>
      <c r="I17" s="5"/>
      <c r="J17" s="5"/>
    </row>
    <row r="18" spans="1:10" ht="25.95" customHeight="1">
      <c r="A18" s="5"/>
      <c r="B18" s="103" t="s">
        <v>202</v>
      </c>
      <c r="C18" s="103"/>
      <c r="D18" s="103"/>
      <c r="E18" s="103"/>
      <c r="F18" s="103"/>
      <c r="G18" s="103"/>
      <c r="H18" s="103"/>
      <c r="I18" s="103"/>
      <c r="J18" s="5"/>
    </row>
    <row r="19" spans="1:10" ht="13.05" customHeight="1">
      <c r="A19" s="5"/>
      <c r="B19" s="103" t="s">
        <v>203</v>
      </c>
      <c r="C19" s="103"/>
      <c r="D19" s="103"/>
      <c r="E19" s="103"/>
      <c r="F19" s="103"/>
      <c r="G19" s="103"/>
      <c r="H19" s="103"/>
      <c r="I19" s="103"/>
      <c r="J19" s="5"/>
    </row>
    <row r="20" spans="1:10" ht="13.05" customHeight="1">
      <c r="A20" s="5"/>
      <c r="B20" s="103"/>
      <c r="C20" s="103"/>
      <c r="D20" s="103"/>
      <c r="E20" s="103"/>
      <c r="F20" s="103"/>
      <c r="G20" s="103"/>
      <c r="H20" s="103"/>
      <c r="I20" s="103"/>
      <c r="J20" s="5"/>
    </row>
    <row r="21" spans="1:10" ht="13.05" customHeight="1">
      <c r="A21" s="5"/>
      <c r="B21" s="103"/>
      <c r="C21" s="103"/>
      <c r="D21" s="103"/>
      <c r="E21" s="103"/>
      <c r="F21" s="103"/>
      <c r="G21" s="103"/>
      <c r="H21" s="103"/>
      <c r="I21" s="103"/>
      <c r="J21" s="5"/>
    </row>
    <row r="22" spans="1:10" ht="13.05" customHeight="1">
      <c r="A22" s="5"/>
      <c r="B22" s="103"/>
      <c r="C22" s="103"/>
      <c r="D22" s="103"/>
      <c r="E22" s="103"/>
      <c r="F22" s="103"/>
      <c r="G22" s="103"/>
      <c r="H22" s="103"/>
      <c r="I22" s="103"/>
      <c r="J22" s="5"/>
    </row>
    <row r="23" spans="1:10" ht="13.05" customHeight="1">
      <c r="A23" s="5"/>
      <c r="B23" s="103"/>
      <c r="C23" s="103"/>
      <c r="D23" s="103"/>
      <c r="E23" s="103"/>
      <c r="F23" s="103"/>
      <c r="G23" s="103"/>
      <c r="H23" s="103"/>
      <c r="I23" s="103"/>
      <c r="J23" s="5"/>
    </row>
    <row r="24" spans="1:10" ht="13.05" customHeight="1">
      <c r="A24" s="5"/>
      <c r="B24" s="5"/>
      <c r="C24" s="104" t="s">
        <v>3736</v>
      </c>
      <c r="D24" s="104"/>
      <c r="E24" s="104"/>
      <c r="F24" s="104"/>
      <c r="G24" s="5"/>
      <c r="H24" s="5"/>
      <c r="I24" s="5"/>
      <c r="J24" s="5"/>
    </row>
    <row r="25" spans="1:10" ht="13.05" customHeight="1">
      <c r="A25" s="5"/>
      <c r="B25" s="38" t="s">
        <v>207</v>
      </c>
      <c r="C25" s="104" t="s">
        <v>208</v>
      </c>
      <c r="D25" s="104"/>
      <c r="E25" s="104"/>
      <c r="F25" s="104"/>
      <c r="G25" s="5"/>
      <c r="H25" s="5"/>
      <c r="I25" s="5"/>
      <c r="J25" s="5"/>
    </row>
    <row r="26" spans="1:10" ht="135" customHeight="1">
      <c r="A26" s="5"/>
      <c r="B26" s="39"/>
      <c r="C26" s="105"/>
      <c r="D26" s="105"/>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GoldFund" display="AXISGLD" xr:uid="{00000000-0004-0000-2300-000000000000}"/>
    <hyperlink ref="B1" location="AxisGoldFund" display="Axis Gold Fund" xr:uid="{00000000-0004-0000-2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outlinePr summaryBelow="0"/>
  </sheetPr>
  <dimension ref="A1:J167"/>
  <sheetViews>
    <sheetView topLeftCell="A156" workbookViewId="0">
      <selection activeCell="C107" sqref="C107"/>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74</v>
      </c>
      <c r="B1" s="4" t="s">
        <v>75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9972140</v>
      </c>
      <c r="F7" s="21">
        <v>98454.938200000004</v>
      </c>
      <c r="G7" s="22">
        <v>6.3700000000000007E-2</v>
      </c>
      <c r="H7" s="40"/>
      <c r="I7" s="24"/>
      <c r="J7" s="5"/>
    </row>
    <row r="8" spans="1:10" ht="13.05" customHeight="1">
      <c r="A8" s="18" t="s">
        <v>262</v>
      </c>
      <c r="B8" s="19" t="s">
        <v>263</v>
      </c>
      <c r="C8" s="15" t="s">
        <v>264</v>
      </c>
      <c r="D8" s="15" t="s">
        <v>257</v>
      </c>
      <c r="E8" s="20">
        <v>4999365</v>
      </c>
      <c r="F8" s="21">
        <v>67256.457299999995</v>
      </c>
      <c r="G8" s="22">
        <v>4.3499999999999997E-2</v>
      </c>
      <c r="H8" s="40"/>
      <c r="I8" s="24"/>
      <c r="J8" s="5"/>
    </row>
    <row r="9" spans="1:10" ht="13.05" customHeight="1">
      <c r="A9" s="18" t="s">
        <v>258</v>
      </c>
      <c r="B9" s="19" t="s">
        <v>259</v>
      </c>
      <c r="C9" s="15" t="s">
        <v>260</v>
      </c>
      <c r="D9" s="15" t="s">
        <v>261</v>
      </c>
      <c r="E9" s="20">
        <v>3745528</v>
      </c>
      <c r="F9" s="21">
        <v>55673.528200000001</v>
      </c>
      <c r="G9" s="22">
        <v>3.5999999999999997E-2</v>
      </c>
      <c r="H9" s="40"/>
      <c r="I9" s="24"/>
      <c r="J9" s="5"/>
    </row>
    <row r="10" spans="1:10" ht="13.05" customHeight="1">
      <c r="A10" s="18" t="s">
        <v>265</v>
      </c>
      <c r="B10" s="19" t="s">
        <v>266</v>
      </c>
      <c r="C10" s="15" t="s">
        <v>267</v>
      </c>
      <c r="D10" s="15" t="s">
        <v>268</v>
      </c>
      <c r="E10" s="20">
        <v>1793339</v>
      </c>
      <c r="F10" s="21">
        <v>36844.149799999999</v>
      </c>
      <c r="G10" s="22">
        <v>2.3800000000000002E-2</v>
      </c>
      <c r="H10" s="40"/>
      <c r="I10" s="24"/>
      <c r="J10" s="5"/>
    </row>
    <row r="11" spans="1:10" ht="13.05" customHeight="1">
      <c r="A11" s="18" t="s">
        <v>616</v>
      </c>
      <c r="B11" s="19" t="s">
        <v>617</v>
      </c>
      <c r="C11" s="15" t="s">
        <v>618</v>
      </c>
      <c r="D11" s="15" t="s">
        <v>445</v>
      </c>
      <c r="E11" s="20">
        <v>1187630</v>
      </c>
      <c r="F11" s="21">
        <v>36073.073600000003</v>
      </c>
      <c r="G11" s="22">
        <v>2.3300000000000001E-2</v>
      </c>
      <c r="H11" s="40"/>
      <c r="I11" s="24"/>
      <c r="J11" s="5"/>
    </row>
    <row r="12" spans="1:10" ht="13.05" customHeight="1">
      <c r="A12" s="18" t="s">
        <v>297</v>
      </c>
      <c r="B12" s="19" t="s">
        <v>298</v>
      </c>
      <c r="C12" s="15" t="s">
        <v>299</v>
      </c>
      <c r="D12" s="15" t="s">
        <v>300</v>
      </c>
      <c r="E12" s="20">
        <v>3431045</v>
      </c>
      <c r="F12" s="21">
        <v>35778.937299999998</v>
      </c>
      <c r="G12" s="22">
        <v>2.3199999999999998E-2</v>
      </c>
      <c r="H12" s="40"/>
      <c r="I12" s="24"/>
      <c r="J12" s="5"/>
    </row>
    <row r="13" spans="1:10" ht="13.05" customHeight="1">
      <c r="A13" s="18" t="s">
        <v>514</v>
      </c>
      <c r="B13" s="19" t="s">
        <v>515</v>
      </c>
      <c r="C13" s="15" t="s">
        <v>516</v>
      </c>
      <c r="D13" s="15" t="s">
        <v>415</v>
      </c>
      <c r="E13" s="20">
        <v>3424593</v>
      </c>
      <c r="F13" s="21">
        <v>35035.298699999999</v>
      </c>
      <c r="G13" s="22">
        <v>2.2700000000000001E-2</v>
      </c>
      <c r="H13" s="40"/>
      <c r="I13" s="24"/>
      <c r="J13" s="5"/>
    </row>
    <row r="14" spans="1:10" ht="13.05" customHeight="1">
      <c r="A14" s="18" t="s">
        <v>762</v>
      </c>
      <c r="B14" s="19" t="s">
        <v>763</v>
      </c>
      <c r="C14" s="15" t="s">
        <v>764</v>
      </c>
      <c r="D14" s="15" t="s">
        <v>321</v>
      </c>
      <c r="E14" s="20">
        <v>2461971</v>
      </c>
      <c r="F14" s="21">
        <v>32411.8482</v>
      </c>
      <c r="G14" s="22">
        <v>2.1000000000000001E-2</v>
      </c>
      <c r="H14" s="40"/>
      <c r="I14" s="24"/>
      <c r="J14" s="5"/>
    </row>
    <row r="15" spans="1:10" ht="13.05" customHeight="1">
      <c r="A15" s="18" t="s">
        <v>301</v>
      </c>
      <c r="B15" s="19" t="s">
        <v>302</v>
      </c>
      <c r="C15" s="15" t="s">
        <v>303</v>
      </c>
      <c r="D15" s="15" t="s">
        <v>304</v>
      </c>
      <c r="E15" s="20">
        <v>10134980</v>
      </c>
      <c r="F15" s="21">
        <v>32203.899000000001</v>
      </c>
      <c r="G15" s="22">
        <v>2.0799999999999999E-2</v>
      </c>
      <c r="H15" s="40"/>
      <c r="I15" s="24"/>
      <c r="J15" s="5"/>
    </row>
    <row r="16" spans="1:10" ht="13.05" customHeight="1">
      <c r="A16" s="18" t="s">
        <v>495</v>
      </c>
      <c r="B16" s="19" t="s">
        <v>496</v>
      </c>
      <c r="C16" s="15" t="s">
        <v>497</v>
      </c>
      <c r="D16" s="15" t="s">
        <v>257</v>
      </c>
      <c r="E16" s="20">
        <v>11666267</v>
      </c>
      <c r="F16" s="21">
        <v>27603.5543</v>
      </c>
      <c r="G16" s="22">
        <v>1.7899999999999999E-2</v>
      </c>
      <c r="H16" s="40"/>
      <c r="I16" s="24"/>
      <c r="J16" s="5"/>
    </row>
    <row r="17" spans="1:10" ht="13.05" customHeight="1">
      <c r="A17" s="18" t="s">
        <v>281</v>
      </c>
      <c r="B17" s="19" t="s">
        <v>282</v>
      </c>
      <c r="C17" s="15" t="s">
        <v>283</v>
      </c>
      <c r="D17" s="15" t="s">
        <v>257</v>
      </c>
      <c r="E17" s="20">
        <v>2874060</v>
      </c>
      <c r="F17" s="21">
        <v>26929.942200000001</v>
      </c>
      <c r="G17" s="22">
        <v>1.7399999999999999E-2</v>
      </c>
      <c r="H17" s="40"/>
      <c r="I17" s="24"/>
      <c r="J17" s="5"/>
    </row>
    <row r="18" spans="1:10" ht="13.05" customHeight="1">
      <c r="A18" s="18" t="s">
        <v>273</v>
      </c>
      <c r="B18" s="19" t="s">
        <v>274</v>
      </c>
      <c r="C18" s="15" t="s">
        <v>275</v>
      </c>
      <c r="D18" s="15" t="s">
        <v>276</v>
      </c>
      <c r="E18" s="20">
        <v>652552</v>
      </c>
      <c r="F18" s="21">
        <v>26303.7186</v>
      </c>
      <c r="G18" s="22">
        <v>1.7000000000000001E-2</v>
      </c>
      <c r="H18" s="40"/>
      <c r="I18" s="24"/>
      <c r="J18" s="5"/>
    </row>
    <row r="19" spans="1:10" ht="13.05" customHeight="1">
      <c r="A19" s="18" t="s">
        <v>293</v>
      </c>
      <c r="B19" s="19" t="s">
        <v>294</v>
      </c>
      <c r="C19" s="15" t="s">
        <v>295</v>
      </c>
      <c r="D19" s="15" t="s">
        <v>296</v>
      </c>
      <c r="E19" s="20">
        <v>726237</v>
      </c>
      <c r="F19" s="21">
        <v>25325.3367</v>
      </c>
      <c r="G19" s="22">
        <v>1.6400000000000001E-2</v>
      </c>
      <c r="H19" s="40"/>
      <c r="I19" s="24"/>
      <c r="J19" s="5"/>
    </row>
    <row r="20" spans="1:10" ht="13.05" customHeight="1">
      <c r="A20" s="18" t="s">
        <v>269</v>
      </c>
      <c r="B20" s="19" t="s">
        <v>270</v>
      </c>
      <c r="C20" s="15" t="s">
        <v>271</v>
      </c>
      <c r="D20" s="15" t="s">
        <v>272</v>
      </c>
      <c r="E20" s="20">
        <v>1682514</v>
      </c>
      <c r="F20" s="21">
        <v>24939.904999999999</v>
      </c>
      <c r="G20" s="22">
        <v>1.61E-2</v>
      </c>
      <c r="H20" s="40"/>
      <c r="I20" s="24"/>
      <c r="J20" s="5"/>
    </row>
    <row r="21" spans="1:10" ht="13.05" customHeight="1">
      <c r="A21" s="18" t="s">
        <v>532</v>
      </c>
      <c r="B21" s="19" t="s">
        <v>533</v>
      </c>
      <c r="C21" s="15" t="s">
        <v>534</v>
      </c>
      <c r="D21" s="15" t="s">
        <v>445</v>
      </c>
      <c r="E21" s="20">
        <v>3359118</v>
      </c>
      <c r="F21" s="21">
        <v>24744.9427</v>
      </c>
      <c r="G21" s="22">
        <v>1.6E-2</v>
      </c>
      <c r="H21" s="40"/>
      <c r="I21" s="24"/>
      <c r="J21" s="5"/>
    </row>
    <row r="22" spans="1:10" ht="13.05" customHeight="1">
      <c r="A22" s="18" t="s">
        <v>558</v>
      </c>
      <c r="B22" s="19" t="s">
        <v>559</v>
      </c>
      <c r="C22" s="15" t="s">
        <v>560</v>
      </c>
      <c r="D22" s="15" t="s">
        <v>374</v>
      </c>
      <c r="E22" s="20">
        <v>251061</v>
      </c>
      <c r="F22" s="21">
        <v>23206.823499999999</v>
      </c>
      <c r="G22" s="22">
        <v>1.4999999999999999E-2</v>
      </c>
      <c r="H22" s="40"/>
      <c r="I22" s="24"/>
      <c r="J22" s="5"/>
    </row>
    <row r="23" spans="1:10" ht="13.05" customHeight="1">
      <c r="A23" s="18" t="s">
        <v>406</v>
      </c>
      <c r="B23" s="19" t="s">
        <v>407</v>
      </c>
      <c r="C23" s="15" t="s">
        <v>408</v>
      </c>
      <c r="D23" s="15" t="s">
        <v>314</v>
      </c>
      <c r="E23" s="20">
        <v>317118</v>
      </c>
      <c r="F23" s="21">
        <v>21367.410800000001</v>
      </c>
      <c r="G23" s="22">
        <v>1.38E-2</v>
      </c>
      <c r="H23" s="40"/>
      <c r="I23" s="24"/>
      <c r="J23" s="5"/>
    </row>
    <row r="24" spans="1:10" ht="13.05" customHeight="1">
      <c r="A24" s="18" t="s">
        <v>488</v>
      </c>
      <c r="B24" s="19" t="s">
        <v>489</v>
      </c>
      <c r="C24" s="15" t="s">
        <v>490</v>
      </c>
      <c r="D24" s="15" t="s">
        <v>272</v>
      </c>
      <c r="E24" s="20">
        <v>1199180</v>
      </c>
      <c r="F24" s="21">
        <v>21322.619600000002</v>
      </c>
      <c r="G24" s="22">
        <v>1.38E-2</v>
      </c>
      <c r="H24" s="40"/>
      <c r="I24" s="24"/>
      <c r="J24" s="5"/>
    </row>
    <row r="25" spans="1:10" ht="13.05" customHeight="1">
      <c r="A25" s="18" t="s">
        <v>290</v>
      </c>
      <c r="B25" s="19" t="s">
        <v>291</v>
      </c>
      <c r="C25" s="15" t="s">
        <v>292</v>
      </c>
      <c r="D25" s="15" t="s">
        <v>257</v>
      </c>
      <c r="E25" s="20">
        <v>985136</v>
      </c>
      <c r="F25" s="21">
        <v>20709.528999999999</v>
      </c>
      <c r="G25" s="22">
        <v>1.34E-2</v>
      </c>
      <c r="H25" s="40"/>
      <c r="I25" s="24"/>
      <c r="J25" s="5"/>
    </row>
    <row r="26" spans="1:10" ht="13.05" customHeight="1">
      <c r="A26" s="18" t="s">
        <v>476</v>
      </c>
      <c r="B26" s="19" t="s">
        <v>477</v>
      </c>
      <c r="C26" s="15" t="s">
        <v>478</v>
      </c>
      <c r="D26" s="15" t="s">
        <v>325</v>
      </c>
      <c r="E26" s="20">
        <v>127834</v>
      </c>
      <c r="F26" s="21">
        <v>19806.599999999999</v>
      </c>
      <c r="G26" s="22">
        <v>1.2800000000000001E-2</v>
      </c>
      <c r="H26" s="40"/>
      <c r="I26" s="24"/>
      <c r="J26" s="5"/>
    </row>
    <row r="27" spans="1:10" ht="13.05" customHeight="1">
      <c r="A27" s="18" t="s">
        <v>498</v>
      </c>
      <c r="B27" s="19" t="s">
        <v>499</v>
      </c>
      <c r="C27" s="15" t="s">
        <v>500</v>
      </c>
      <c r="D27" s="15" t="s">
        <v>501</v>
      </c>
      <c r="E27" s="20">
        <v>447837</v>
      </c>
      <c r="F27" s="21">
        <v>19454.487099999998</v>
      </c>
      <c r="G27" s="22">
        <v>1.26E-2</v>
      </c>
      <c r="H27" s="40"/>
      <c r="I27" s="24"/>
      <c r="J27" s="5"/>
    </row>
    <row r="28" spans="1:10" ht="13.05" customHeight="1">
      <c r="A28" s="18" t="s">
        <v>709</v>
      </c>
      <c r="B28" s="19" t="s">
        <v>710</v>
      </c>
      <c r="C28" s="15" t="s">
        <v>711</v>
      </c>
      <c r="D28" s="15" t="s">
        <v>304</v>
      </c>
      <c r="E28" s="20">
        <v>13165702</v>
      </c>
      <c r="F28" s="21">
        <v>19049.4542</v>
      </c>
      <c r="G28" s="22">
        <v>1.23E-2</v>
      </c>
      <c r="H28" s="40"/>
      <c r="I28" s="24"/>
      <c r="J28" s="5"/>
    </row>
    <row r="29" spans="1:10" ht="13.05" customHeight="1">
      <c r="A29" s="18" t="s">
        <v>461</v>
      </c>
      <c r="B29" s="19" t="s">
        <v>462</v>
      </c>
      <c r="C29" s="15" t="s">
        <v>463</v>
      </c>
      <c r="D29" s="15" t="s">
        <v>464</v>
      </c>
      <c r="E29" s="20">
        <v>2553793</v>
      </c>
      <c r="F29" s="21">
        <v>18944.036499999998</v>
      </c>
      <c r="G29" s="22">
        <v>1.23E-2</v>
      </c>
      <c r="H29" s="40"/>
      <c r="I29" s="24"/>
      <c r="J29" s="5"/>
    </row>
    <row r="30" spans="1:10" ht="13.05" customHeight="1">
      <c r="A30" s="18" t="s">
        <v>1052</v>
      </c>
      <c r="B30" s="19" t="s">
        <v>1053</v>
      </c>
      <c r="C30" s="15" t="s">
        <v>1054</v>
      </c>
      <c r="D30" s="15" t="s">
        <v>445</v>
      </c>
      <c r="E30" s="20">
        <v>1626356</v>
      </c>
      <c r="F30" s="21">
        <v>17779.323799999998</v>
      </c>
      <c r="G30" s="22">
        <v>1.15E-2</v>
      </c>
      <c r="H30" s="40"/>
      <c r="I30" s="24"/>
      <c r="J30" s="5"/>
    </row>
    <row r="31" spans="1:10" ht="13.05" customHeight="1">
      <c r="A31" s="18" t="s">
        <v>326</v>
      </c>
      <c r="B31" s="19" t="s">
        <v>327</v>
      </c>
      <c r="C31" s="15" t="s">
        <v>328</v>
      </c>
      <c r="D31" s="15" t="s">
        <v>329</v>
      </c>
      <c r="E31" s="20">
        <v>4041979</v>
      </c>
      <c r="F31" s="21">
        <v>17222.872500000001</v>
      </c>
      <c r="G31" s="22">
        <v>1.11E-2</v>
      </c>
      <c r="H31" s="40"/>
      <c r="I31" s="24"/>
      <c r="J31" s="5"/>
    </row>
    <row r="32" spans="1:10" ht="13.05" customHeight="1">
      <c r="A32" s="18" t="s">
        <v>700</v>
      </c>
      <c r="B32" s="19" t="s">
        <v>701</v>
      </c>
      <c r="C32" s="15" t="s">
        <v>702</v>
      </c>
      <c r="D32" s="15" t="s">
        <v>257</v>
      </c>
      <c r="E32" s="20">
        <v>1986694</v>
      </c>
      <c r="F32" s="21">
        <v>17059.741399999999</v>
      </c>
      <c r="G32" s="22">
        <v>1.0999999999999999E-2</v>
      </c>
      <c r="H32" s="40"/>
      <c r="I32" s="24"/>
      <c r="J32" s="5"/>
    </row>
    <row r="33" spans="1:10" ht="13.05" customHeight="1">
      <c r="A33" s="18" t="s">
        <v>508</v>
      </c>
      <c r="B33" s="19" t="s">
        <v>509</v>
      </c>
      <c r="C33" s="15" t="s">
        <v>510</v>
      </c>
      <c r="D33" s="15" t="s">
        <v>374</v>
      </c>
      <c r="E33" s="20">
        <v>315211</v>
      </c>
      <c r="F33" s="21">
        <v>16955.199700000001</v>
      </c>
      <c r="G33" s="22">
        <v>1.0999999999999999E-2</v>
      </c>
      <c r="H33" s="40"/>
      <c r="I33" s="24"/>
      <c r="J33" s="5"/>
    </row>
    <row r="34" spans="1:10" ht="13.05" customHeight="1">
      <c r="A34" s="18" t="s">
        <v>685</v>
      </c>
      <c r="B34" s="19" t="s">
        <v>686</v>
      </c>
      <c r="C34" s="15" t="s">
        <v>687</v>
      </c>
      <c r="D34" s="15" t="s">
        <v>272</v>
      </c>
      <c r="E34" s="20">
        <v>589177</v>
      </c>
      <c r="F34" s="21">
        <v>16287.209000000001</v>
      </c>
      <c r="G34" s="22">
        <v>1.0500000000000001E-2</v>
      </c>
      <c r="H34" s="40"/>
      <c r="I34" s="24"/>
      <c r="J34" s="5"/>
    </row>
    <row r="35" spans="1:10" ht="13.05" customHeight="1">
      <c r="A35" s="18" t="s">
        <v>739</v>
      </c>
      <c r="B35" s="19" t="s">
        <v>740</v>
      </c>
      <c r="C35" s="15" t="s">
        <v>741</v>
      </c>
      <c r="D35" s="15" t="s">
        <v>314</v>
      </c>
      <c r="E35" s="20">
        <v>679650</v>
      </c>
      <c r="F35" s="21">
        <v>16202.856</v>
      </c>
      <c r="G35" s="22">
        <v>1.0500000000000001E-2</v>
      </c>
      <c r="H35" s="40"/>
      <c r="I35" s="24"/>
      <c r="J35" s="5"/>
    </row>
    <row r="36" spans="1:10" ht="13.05" customHeight="1">
      <c r="A36" s="18" t="s">
        <v>345</v>
      </c>
      <c r="B36" s="19" t="s">
        <v>346</v>
      </c>
      <c r="C36" s="15" t="s">
        <v>347</v>
      </c>
      <c r="D36" s="15" t="s">
        <v>348</v>
      </c>
      <c r="E36" s="20">
        <v>275023</v>
      </c>
      <c r="F36" s="21">
        <v>15470.043799999999</v>
      </c>
      <c r="G36" s="22">
        <v>0.01</v>
      </c>
      <c r="H36" s="40"/>
      <c r="I36" s="24"/>
      <c r="J36" s="5"/>
    </row>
    <row r="37" spans="1:10" ht="13.05" customHeight="1">
      <c r="A37" s="18" t="s">
        <v>765</v>
      </c>
      <c r="B37" s="19" t="s">
        <v>766</v>
      </c>
      <c r="C37" s="15" t="s">
        <v>767</v>
      </c>
      <c r="D37" s="15" t="s">
        <v>325</v>
      </c>
      <c r="E37" s="20">
        <v>791248</v>
      </c>
      <c r="F37" s="21">
        <v>15329.638800000001</v>
      </c>
      <c r="G37" s="22">
        <v>9.9000000000000008E-3</v>
      </c>
      <c r="H37" s="40"/>
      <c r="I37" s="24"/>
      <c r="J37" s="5"/>
    </row>
    <row r="38" spans="1:10" ht="13.05" customHeight="1">
      <c r="A38" s="18" t="s">
        <v>940</v>
      </c>
      <c r="B38" s="19" t="s">
        <v>941</v>
      </c>
      <c r="C38" s="15" t="s">
        <v>942</v>
      </c>
      <c r="D38" s="15" t="s">
        <v>567</v>
      </c>
      <c r="E38" s="20">
        <v>370788</v>
      </c>
      <c r="F38" s="21">
        <v>14910.8686</v>
      </c>
      <c r="G38" s="22">
        <v>9.5999999999999992E-3</v>
      </c>
      <c r="H38" s="40"/>
      <c r="I38" s="24"/>
      <c r="J38" s="5"/>
    </row>
    <row r="39" spans="1:10" ht="13.05" customHeight="1">
      <c r="A39" s="18" t="s">
        <v>469</v>
      </c>
      <c r="B39" s="19" t="s">
        <v>470</v>
      </c>
      <c r="C39" s="15" t="s">
        <v>471</v>
      </c>
      <c r="D39" s="15" t="s">
        <v>272</v>
      </c>
      <c r="E39" s="20">
        <v>251629</v>
      </c>
      <c r="F39" s="21">
        <v>14887.8814</v>
      </c>
      <c r="G39" s="22">
        <v>9.5999999999999992E-3</v>
      </c>
      <c r="H39" s="40"/>
      <c r="I39" s="24"/>
      <c r="J39" s="5"/>
    </row>
    <row r="40" spans="1:10" ht="13.05" customHeight="1">
      <c r="A40" s="18" t="s">
        <v>649</v>
      </c>
      <c r="B40" s="19" t="s">
        <v>650</v>
      </c>
      <c r="C40" s="15" t="s">
        <v>651</v>
      </c>
      <c r="D40" s="15" t="s">
        <v>581</v>
      </c>
      <c r="E40" s="20">
        <v>105466</v>
      </c>
      <c r="F40" s="21">
        <v>14636.5715</v>
      </c>
      <c r="G40" s="22">
        <v>9.4999999999999998E-3</v>
      </c>
      <c r="H40" s="40"/>
      <c r="I40" s="24"/>
      <c r="J40" s="5"/>
    </row>
    <row r="41" spans="1:10" ht="13.05" customHeight="1">
      <c r="A41" s="18" t="s">
        <v>423</v>
      </c>
      <c r="B41" s="19" t="s">
        <v>424</v>
      </c>
      <c r="C41" s="15" t="s">
        <v>425</v>
      </c>
      <c r="D41" s="15" t="s">
        <v>296</v>
      </c>
      <c r="E41" s="20">
        <v>413010</v>
      </c>
      <c r="F41" s="21">
        <v>14491.2819</v>
      </c>
      <c r="G41" s="22">
        <v>9.4000000000000004E-3</v>
      </c>
      <c r="H41" s="40"/>
      <c r="I41" s="24"/>
      <c r="J41" s="5"/>
    </row>
    <row r="42" spans="1:10" ht="13.05" customHeight="1">
      <c r="A42" s="18" t="s">
        <v>810</v>
      </c>
      <c r="B42" s="19" t="s">
        <v>811</v>
      </c>
      <c r="C42" s="15" t="s">
        <v>812</v>
      </c>
      <c r="D42" s="15" t="s">
        <v>567</v>
      </c>
      <c r="E42" s="20">
        <v>1173079</v>
      </c>
      <c r="F42" s="21">
        <v>14489.871800000001</v>
      </c>
      <c r="G42" s="22">
        <v>9.4000000000000004E-3</v>
      </c>
      <c r="H42" s="40"/>
      <c r="I42" s="24"/>
      <c r="J42" s="5"/>
    </row>
    <row r="43" spans="1:10" ht="13.05" customHeight="1">
      <c r="A43" s="18" t="s">
        <v>491</v>
      </c>
      <c r="B43" s="19" t="s">
        <v>492</v>
      </c>
      <c r="C43" s="15" t="s">
        <v>493</v>
      </c>
      <c r="D43" s="15" t="s">
        <v>494</v>
      </c>
      <c r="E43" s="20">
        <v>799483</v>
      </c>
      <c r="F43" s="21">
        <v>14273.969499999999</v>
      </c>
      <c r="G43" s="22">
        <v>9.1999999999999998E-3</v>
      </c>
      <c r="H43" s="40"/>
      <c r="I43" s="24"/>
      <c r="J43" s="5"/>
    </row>
    <row r="44" spans="1:10" ht="13.05" customHeight="1">
      <c r="A44" s="18" t="s">
        <v>578</v>
      </c>
      <c r="B44" s="19" t="s">
        <v>579</v>
      </c>
      <c r="C44" s="15" t="s">
        <v>580</v>
      </c>
      <c r="D44" s="15" t="s">
        <v>581</v>
      </c>
      <c r="E44" s="20">
        <v>987148</v>
      </c>
      <c r="F44" s="21">
        <v>14260.34</v>
      </c>
      <c r="G44" s="22">
        <v>9.1999999999999998E-3</v>
      </c>
      <c r="H44" s="40"/>
      <c r="I44" s="24"/>
      <c r="J44" s="5"/>
    </row>
    <row r="45" spans="1:10" ht="13.05" customHeight="1">
      <c r="A45" s="18" t="s">
        <v>640</v>
      </c>
      <c r="B45" s="19" t="s">
        <v>641</v>
      </c>
      <c r="C45" s="15" t="s">
        <v>642</v>
      </c>
      <c r="D45" s="15" t="s">
        <v>296</v>
      </c>
      <c r="E45" s="20">
        <v>530690</v>
      </c>
      <c r="F45" s="21">
        <v>12941.937</v>
      </c>
      <c r="G45" s="22">
        <v>8.3999999999999995E-3</v>
      </c>
      <c r="H45" s="40"/>
      <c r="I45" s="24"/>
      <c r="J45" s="5"/>
    </row>
    <row r="46" spans="1:10" ht="13.05" customHeight="1">
      <c r="A46" s="18" t="s">
        <v>804</v>
      </c>
      <c r="B46" s="19" t="s">
        <v>805</v>
      </c>
      <c r="C46" s="15" t="s">
        <v>806</v>
      </c>
      <c r="D46" s="15" t="s">
        <v>464</v>
      </c>
      <c r="E46" s="20">
        <v>2141624</v>
      </c>
      <c r="F46" s="21">
        <v>12803.6991</v>
      </c>
      <c r="G46" s="22">
        <v>8.3000000000000001E-3</v>
      </c>
      <c r="H46" s="40"/>
      <c r="I46" s="24"/>
      <c r="J46" s="5"/>
    </row>
    <row r="47" spans="1:10" ht="13.05" customHeight="1">
      <c r="A47" s="18" t="s">
        <v>694</v>
      </c>
      <c r="B47" s="19" t="s">
        <v>695</v>
      </c>
      <c r="C47" s="15" t="s">
        <v>696</v>
      </c>
      <c r="D47" s="15" t="s">
        <v>541</v>
      </c>
      <c r="E47" s="20">
        <v>756349</v>
      </c>
      <c r="F47" s="21">
        <v>12726.328299999999</v>
      </c>
      <c r="G47" s="22">
        <v>8.2000000000000007E-3</v>
      </c>
      <c r="H47" s="40"/>
      <c r="I47" s="24"/>
      <c r="J47" s="5"/>
    </row>
    <row r="48" spans="1:10" ht="13.05" customHeight="1">
      <c r="A48" s="18" t="s">
        <v>682</v>
      </c>
      <c r="B48" s="19" t="s">
        <v>683</v>
      </c>
      <c r="C48" s="15" t="s">
        <v>684</v>
      </c>
      <c r="D48" s="15" t="s">
        <v>300</v>
      </c>
      <c r="E48" s="20">
        <v>276047</v>
      </c>
      <c r="F48" s="21">
        <v>12682.9794</v>
      </c>
      <c r="G48" s="22">
        <v>8.2000000000000007E-3</v>
      </c>
      <c r="H48" s="40"/>
      <c r="I48" s="24"/>
      <c r="J48" s="5"/>
    </row>
    <row r="49" spans="1:10" ht="13.05" customHeight="1">
      <c r="A49" s="18" t="s">
        <v>986</v>
      </c>
      <c r="B49" s="19" t="s">
        <v>987</v>
      </c>
      <c r="C49" s="15" t="s">
        <v>988</v>
      </c>
      <c r="D49" s="15" t="s">
        <v>445</v>
      </c>
      <c r="E49" s="20">
        <v>145921</v>
      </c>
      <c r="F49" s="21">
        <v>12652.8099</v>
      </c>
      <c r="G49" s="22">
        <v>8.2000000000000007E-3</v>
      </c>
      <c r="H49" s="40"/>
      <c r="I49" s="24"/>
      <c r="J49" s="5"/>
    </row>
    <row r="50" spans="1:10" ht="13.05" customHeight="1">
      <c r="A50" s="18" t="s">
        <v>334</v>
      </c>
      <c r="B50" s="19" t="s">
        <v>335</v>
      </c>
      <c r="C50" s="15" t="s">
        <v>336</v>
      </c>
      <c r="D50" s="15" t="s">
        <v>337</v>
      </c>
      <c r="E50" s="20">
        <v>98494</v>
      </c>
      <c r="F50" s="21">
        <v>11767.0782</v>
      </c>
      <c r="G50" s="22">
        <v>7.6E-3</v>
      </c>
      <c r="H50" s="40"/>
      <c r="I50" s="24"/>
      <c r="J50" s="5"/>
    </row>
    <row r="51" spans="1:10" ht="13.05" customHeight="1">
      <c r="A51" s="18" t="s">
        <v>706</v>
      </c>
      <c r="B51" s="19" t="s">
        <v>707</v>
      </c>
      <c r="C51" s="15" t="s">
        <v>708</v>
      </c>
      <c r="D51" s="15" t="s">
        <v>541</v>
      </c>
      <c r="E51" s="20">
        <v>637929</v>
      </c>
      <c r="F51" s="21">
        <v>11129.9473</v>
      </c>
      <c r="G51" s="22">
        <v>7.1999999999999998E-3</v>
      </c>
      <c r="H51" s="40"/>
      <c r="I51" s="24"/>
      <c r="J51" s="5"/>
    </row>
    <row r="52" spans="1:10" ht="13.05" customHeight="1">
      <c r="A52" s="18" t="s">
        <v>625</v>
      </c>
      <c r="B52" s="19" t="s">
        <v>626</v>
      </c>
      <c r="C52" s="15" t="s">
        <v>627</v>
      </c>
      <c r="D52" s="15" t="s">
        <v>314</v>
      </c>
      <c r="E52" s="20">
        <v>312176</v>
      </c>
      <c r="F52" s="21">
        <v>11113.7778</v>
      </c>
      <c r="G52" s="22">
        <v>7.1999999999999998E-3</v>
      </c>
      <c r="H52" s="40"/>
      <c r="I52" s="24"/>
      <c r="J52" s="5"/>
    </row>
    <row r="53" spans="1:10" ht="13.05" customHeight="1">
      <c r="A53" s="18" t="s">
        <v>277</v>
      </c>
      <c r="B53" s="19" t="s">
        <v>278</v>
      </c>
      <c r="C53" s="15" t="s">
        <v>279</v>
      </c>
      <c r="D53" s="15" t="s">
        <v>280</v>
      </c>
      <c r="E53" s="20">
        <v>2603861</v>
      </c>
      <c r="F53" s="21">
        <v>10945.3297</v>
      </c>
      <c r="G53" s="22">
        <v>7.1000000000000004E-3</v>
      </c>
      <c r="H53" s="40"/>
      <c r="I53" s="24"/>
      <c r="J53" s="5"/>
    </row>
    <row r="54" spans="1:10" ht="13.05" customHeight="1">
      <c r="A54" s="18" t="s">
        <v>712</v>
      </c>
      <c r="B54" s="19" t="s">
        <v>713</v>
      </c>
      <c r="C54" s="15" t="s">
        <v>714</v>
      </c>
      <c r="D54" s="15" t="s">
        <v>603</v>
      </c>
      <c r="E54" s="20">
        <v>305125</v>
      </c>
      <c r="F54" s="21">
        <v>10915.541800000001</v>
      </c>
      <c r="G54" s="22">
        <v>7.1000000000000004E-3</v>
      </c>
      <c r="H54" s="40"/>
      <c r="I54" s="24"/>
      <c r="J54" s="5"/>
    </row>
    <row r="55" spans="1:10" ht="13.05" customHeight="1">
      <c r="A55" s="18" t="s">
        <v>485</v>
      </c>
      <c r="B55" s="19" t="s">
        <v>486</v>
      </c>
      <c r="C55" s="15" t="s">
        <v>487</v>
      </c>
      <c r="D55" s="15" t="s">
        <v>304</v>
      </c>
      <c r="E55" s="20">
        <v>252000</v>
      </c>
      <c r="F55" s="21">
        <v>10466.82</v>
      </c>
      <c r="G55" s="22">
        <v>6.7999999999999996E-3</v>
      </c>
      <c r="H55" s="40"/>
      <c r="I55" s="24"/>
      <c r="J55" s="5"/>
    </row>
    <row r="56" spans="1:10" ht="13.05" customHeight="1">
      <c r="A56" s="18" t="s">
        <v>308</v>
      </c>
      <c r="B56" s="19" t="s">
        <v>309</v>
      </c>
      <c r="C56" s="15" t="s">
        <v>310</v>
      </c>
      <c r="D56" s="15" t="s">
        <v>296</v>
      </c>
      <c r="E56" s="20">
        <v>61238</v>
      </c>
      <c r="F56" s="21">
        <v>9911.9827000000005</v>
      </c>
      <c r="G56" s="22">
        <v>6.4000000000000003E-3</v>
      </c>
      <c r="H56" s="40"/>
      <c r="I56" s="24"/>
      <c r="J56" s="5"/>
    </row>
    <row r="57" spans="1:10" ht="13.05" customHeight="1">
      <c r="A57" s="18" t="s">
        <v>446</v>
      </c>
      <c r="B57" s="19" t="s">
        <v>447</v>
      </c>
      <c r="C57" s="15" t="s">
        <v>448</v>
      </c>
      <c r="D57" s="15" t="s">
        <v>300</v>
      </c>
      <c r="E57" s="20">
        <v>576194</v>
      </c>
      <c r="F57" s="21">
        <v>9776.8598000000002</v>
      </c>
      <c r="G57" s="22">
        <v>6.3E-3</v>
      </c>
      <c r="H57" s="40"/>
      <c r="I57" s="24"/>
      <c r="J57" s="5"/>
    </row>
    <row r="58" spans="1:10" ht="13.05" customHeight="1">
      <c r="A58" s="18" t="s">
        <v>880</v>
      </c>
      <c r="B58" s="19" t="s">
        <v>881</v>
      </c>
      <c r="C58" s="15" t="s">
        <v>882</v>
      </c>
      <c r="D58" s="15" t="s">
        <v>464</v>
      </c>
      <c r="E58" s="20">
        <v>4401370</v>
      </c>
      <c r="F58" s="21">
        <v>9545.6913000000004</v>
      </c>
      <c r="G58" s="22">
        <v>6.1999999999999998E-3</v>
      </c>
      <c r="H58" s="40"/>
      <c r="I58" s="24"/>
      <c r="J58" s="5"/>
    </row>
    <row r="59" spans="1:10" ht="13.05" customHeight="1">
      <c r="A59" s="18" t="s">
        <v>535</v>
      </c>
      <c r="B59" s="19" t="s">
        <v>536</v>
      </c>
      <c r="C59" s="15" t="s">
        <v>537</v>
      </c>
      <c r="D59" s="15" t="s">
        <v>257</v>
      </c>
      <c r="E59" s="20">
        <v>1083801</v>
      </c>
      <c r="F59" s="21">
        <v>9514.1471000000001</v>
      </c>
      <c r="G59" s="22">
        <v>6.1999999999999998E-3</v>
      </c>
      <c r="H59" s="40"/>
      <c r="I59" s="24"/>
      <c r="J59" s="5"/>
    </row>
    <row r="60" spans="1:10" ht="13.05" customHeight="1">
      <c r="A60" s="18" t="s">
        <v>549</v>
      </c>
      <c r="B60" s="19" t="s">
        <v>550</v>
      </c>
      <c r="C60" s="15" t="s">
        <v>551</v>
      </c>
      <c r="D60" s="15" t="s">
        <v>314</v>
      </c>
      <c r="E60" s="20">
        <v>484481</v>
      </c>
      <c r="F60" s="21">
        <v>9512.7844000000005</v>
      </c>
      <c r="G60" s="22">
        <v>6.1999999999999998E-3</v>
      </c>
      <c r="H60" s="40"/>
      <c r="I60" s="24"/>
      <c r="J60" s="5"/>
    </row>
    <row r="61" spans="1:10" ht="13.05" customHeight="1">
      <c r="A61" s="18" t="s">
        <v>1028</v>
      </c>
      <c r="B61" s="19" t="s">
        <v>1029</v>
      </c>
      <c r="C61" s="15" t="s">
        <v>1030</v>
      </c>
      <c r="D61" s="15" t="s">
        <v>581</v>
      </c>
      <c r="E61" s="20">
        <v>156663</v>
      </c>
      <c r="F61" s="21">
        <v>9420.9295000000002</v>
      </c>
      <c r="G61" s="22">
        <v>6.1000000000000004E-3</v>
      </c>
      <c r="H61" s="40"/>
      <c r="I61" s="24"/>
      <c r="J61" s="5"/>
    </row>
    <row r="62" spans="1:10" ht="13.05" customHeight="1">
      <c r="A62" s="18" t="s">
        <v>416</v>
      </c>
      <c r="B62" s="19" t="s">
        <v>417</v>
      </c>
      <c r="C62" s="15" t="s">
        <v>418</v>
      </c>
      <c r="D62" s="15" t="s">
        <v>314</v>
      </c>
      <c r="E62" s="20">
        <v>627080</v>
      </c>
      <c r="F62" s="21">
        <v>9414.3520000000008</v>
      </c>
      <c r="G62" s="22">
        <v>6.1000000000000004E-3</v>
      </c>
      <c r="H62" s="40"/>
      <c r="I62" s="24"/>
      <c r="J62" s="5"/>
    </row>
    <row r="63" spans="1:10" ht="13.05" customHeight="1">
      <c r="A63" s="18" t="s">
        <v>429</v>
      </c>
      <c r="B63" s="19" t="s">
        <v>430</v>
      </c>
      <c r="C63" s="15" t="s">
        <v>431</v>
      </c>
      <c r="D63" s="15" t="s">
        <v>415</v>
      </c>
      <c r="E63" s="20">
        <v>122270</v>
      </c>
      <c r="F63" s="21">
        <v>9391.5586999999996</v>
      </c>
      <c r="G63" s="22">
        <v>6.1000000000000004E-3</v>
      </c>
      <c r="H63" s="40"/>
      <c r="I63" s="24"/>
      <c r="J63" s="5"/>
    </row>
    <row r="64" spans="1:10" ht="13.05" customHeight="1">
      <c r="A64" s="18" t="s">
        <v>392</v>
      </c>
      <c r="B64" s="19" t="s">
        <v>393</v>
      </c>
      <c r="C64" s="15" t="s">
        <v>394</v>
      </c>
      <c r="D64" s="15" t="s">
        <v>272</v>
      </c>
      <c r="E64" s="20">
        <v>653694</v>
      </c>
      <c r="F64" s="21">
        <v>9311.2173000000003</v>
      </c>
      <c r="G64" s="22">
        <v>6.0000000000000001E-3</v>
      </c>
      <c r="H64" s="40"/>
      <c r="I64" s="24"/>
      <c r="J64" s="5"/>
    </row>
    <row r="65" spans="1:10" ht="13.05" customHeight="1">
      <c r="A65" s="18" t="s">
        <v>843</v>
      </c>
      <c r="B65" s="19" t="s">
        <v>844</v>
      </c>
      <c r="C65" s="15" t="s">
        <v>845</v>
      </c>
      <c r="D65" s="15" t="s">
        <v>846</v>
      </c>
      <c r="E65" s="20">
        <v>138517</v>
      </c>
      <c r="F65" s="21">
        <v>9286.8723000000009</v>
      </c>
      <c r="G65" s="22">
        <v>6.0000000000000001E-3</v>
      </c>
      <c r="H65" s="40"/>
      <c r="I65" s="24"/>
      <c r="J65" s="5"/>
    </row>
    <row r="66" spans="1:10" ht="13.05" customHeight="1">
      <c r="A66" s="18" t="s">
        <v>1626</v>
      </c>
      <c r="B66" s="19" t="s">
        <v>1627</v>
      </c>
      <c r="C66" s="15" t="s">
        <v>1628</v>
      </c>
      <c r="D66" s="15" t="s">
        <v>415</v>
      </c>
      <c r="E66" s="20">
        <v>937651</v>
      </c>
      <c r="F66" s="21">
        <v>9270.0866000000005</v>
      </c>
      <c r="G66" s="22">
        <v>6.0000000000000001E-3</v>
      </c>
      <c r="H66" s="40"/>
      <c r="I66" s="24"/>
      <c r="J66" s="5"/>
    </row>
    <row r="67" spans="1:10" ht="13.05" customHeight="1">
      <c r="A67" s="18" t="s">
        <v>946</v>
      </c>
      <c r="B67" s="19" t="s">
        <v>947</v>
      </c>
      <c r="C67" s="15" t="s">
        <v>948</v>
      </c>
      <c r="D67" s="15" t="s">
        <v>325</v>
      </c>
      <c r="E67" s="20">
        <v>1695127</v>
      </c>
      <c r="F67" s="21">
        <v>9189.2834999999995</v>
      </c>
      <c r="G67" s="22">
        <v>5.8999999999999999E-3</v>
      </c>
      <c r="H67" s="40"/>
      <c r="I67" s="24"/>
      <c r="J67" s="5"/>
    </row>
    <row r="68" spans="1:10" ht="13.05" customHeight="1">
      <c r="A68" s="18" t="s">
        <v>1638</v>
      </c>
      <c r="B68" s="19" t="s">
        <v>1639</v>
      </c>
      <c r="C68" s="15" t="s">
        <v>1640</v>
      </c>
      <c r="D68" s="15" t="s">
        <v>567</v>
      </c>
      <c r="E68" s="20">
        <v>1618518</v>
      </c>
      <c r="F68" s="21">
        <v>9123.5859999999993</v>
      </c>
      <c r="G68" s="22">
        <v>5.8999999999999999E-3</v>
      </c>
      <c r="H68" s="40"/>
      <c r="I68" s="24"/>
      <c r="J68" s="5"/>
    </row>
    <row r="69" spans="1:10" ht="13.05" customHeight="1">
      <c r="A69" s="18" t="s">
        <v>322</v>
      </c>
      <c r="B69" s="19" t="s">
        <v>323</v>
      </c>
      <c r="C69" s="15" t="s">
        <v>324</v>
      </c>
      <c r="D69" s="15" t="s">
        <v>325</v>
      </c>
      <c r="E69" s="20">
        <v>238695</v>
      </c>
      <c r="F69" s="21">
        <v>8943.1856000000007</v>
      </c>
      <c r="G69" s="22">
        <v>5.7999999999999996E-3</v>
      </c>
      <c r="H69" s="40"/>
      <c r="I69" s="24"/>
      <c r="J69" s="5"/>
    </row>
    <row r="70" spans="1:10" ht="13.05" customHeight="1">
      <c r="A70" s="18" t="s">
        <v>646</v>
      </c>
      <c r="B70" s="19" t="s">
        <v>647</v>
      </c>
      <c r="C70" s="15" t="s">
        <v>648</v>
      </c>
      <c r="D70" s="15" t="s">
        <v>445</v>
      </c>
      <c r="E70" s="20">
        <v>3204417</v>
      </c>
      <c r="F70" s="21">
        <v>8507.4066999999995</v>
      </c>
      <c r="G70" s="22">
        <v>5.4999999999999997E-3</v>
      </c>
      <c r="H70" s="40"/>
      <c r="I70" s="24"/>
      <c r="J70" s="5"/>
    </row>
    <row r="71" spans="1:10" ht="13.05" customHeight="1">
      <c r="A71" s="18" t="s">
        <v>822</v>
      </c>
      <c r="B71" s="19" t="s">
        <v>823</v>
      </c>
      <c r="C71" s="15" t="s">
        <v>824</v>
      </c>
      <c r="D71" s="15" t="s">
        <v>300</v>
      </c>
      <c r="E71" s="20">
        <v>3118845</v>
      </c>
      <c r="F71" s="21">
        <v>8436.1638000000003</v>
      </c>
      <c r="G71" s="22">
        <v>5.4999999999999997E-3</v>
      </c>
      <c r="H71" s="40"/>
      <c r="I71" s="24"/>
      <c r="J71" s="5"/>
    </row>
    <row r="72" spans="1:10" ht="13.05" customHeight="1">
      <c r="A72" s="18" t="s">
        <v>311</v>
      </c>
      <c r="B72" s="19" t="s">
        <v>312</v>
      </c>
      <c r="C72" s="15" t="s">
        <v>313</v>
      </c>
      <c r="D72" s="15" t="s">
        <v>314</v>
      </c>
      <c r="E72" s="20">
        <v>498078</v>
      </c>
      <c r="F72" s="21">
        <v>8421.0046999999995</v>
      </c>
      <c r="G72" s="22">
        <v>5.4000000000000003E-3</v>
      </c>
      <c r="H72" s="40"/>
      <c r="I72" s="24"/>
      <c r="J72" s="5"/>
    </row>
    <row r="73" spans="1:10" ht="13.05" customHeight="1">
      <c r="A73" s="18" t="s">
        <v>759</v>
      </c>
      <c r="B73" s="19" t="s">
        <v>760</v>
      </c>
      <c r="C73" s="15" t="s">
        <v>761</v>
      </c>
      <c r="D73" s="15" t="s">
        <v>603</v>
      </c>
      <c r="E73" s="20">
        <v>392117</v>
      </c>
      <c r="F73" s="21">
        <v>8330.9177999999993</v>
      </c>
      <c r="G73" s="22">
        <v>5.4000000000000003E-3</v>
      </c>
      <c r="H73" s="40"/>
      <c r="I73" s="24"/>
      <c r="J73" s="5"/>
    </row>
    <row r="74" spans="1:10" ht="13.05" customHeight="1">
      <c r="A74" s="18" t="s">
        <v>368</v>
      </c>
      <c r="B74" s="19" t="s">
        <v>369</v>
      </c>
      <c r="C74" s="15" t="s">
        <v>370</v>
      </c>
      <c r="D74" s="15" t="s">
        <v>304</v>
      </c>
      <c r="E74" s="20">
        <v>172905</v>
      </c>
      <c r="F74" s="21">
        <v>8116.6794</v>
      </c>
      <c r="G74" s="22">
        <v>5.3E-3</v>
      </c>
      <c r="H74" s="40"/>
      <c r="I74" s="24"/>
      <c r="J74" s="5"/>
    </row>
    <row r="75" spans="1:10" ht="13.05" customHeight="1">
      <c r="A75" s="18" t="s">
        <v>828</v>
      </c>
      <c r="B75" s="19" t="s">
        <v>829</v>
      </c>
      <c r="C75" s="15" t="s">
        <v>830</v>
      </c>
      <c r="D75" s="15" t="s">
        <v>567</v>
      </c>
      <c r="E75" s="20">
        <v>1704326</v>
      </c>
      <c r="F75" s="21">
        <v>8057.2012000000004</v>
      </c>
      <c r="G75" s="22">
        <v>5.1999999999999998E-3</v>
      </c>
      <c r="H75" s="40"/>
      <c r="I75" s="24"/>
      <c r="J75" s="5"/>
    </row>
    <row r="76" spans="1:10" ht="13.05" customHeight="1">
      <c r="A76" s="18" t="s">
        <v>768</v>
      </c>
      <c r="B76" s="19" t="s">
        <v>769</v>
      </c>
      <c r="C76" s="15" t="s">
        <v>770</v>
      </c>
      <c r="D76" s="15" t="s">
        <v>501</v>
      </c>
      <c r="E76" s="20">
        <v>196977</v>
      </c>
      <c r="F76" s="21">
        <v>7942.1126000000004</v>
      </c>
      <c r="G76" s="22">
        <v>5.1000000000000004E-3</v>
      </c>
      <c r="H76" s="40"/>
      <c r="I76" s="24"/>
      <c r="J76" s="5"/>
    </row>
    <row r="77" spans="1:10" ht="13.05" customHeight="1">
      <c r="A77" s="18" t="s">
        <v>652</v>
      </c>
      <c r="B77" s="19" t="s">
        <v>653</v>
      </c>
      <c r="C77" s="15" t="s">
        <v>654</v>
      </c>
      <c r="D77" s="15" t="s">
        <v>304</v>
      </c>
      <c r="E77" s="20">
        <v>3123793</v>
      </c>
      <c r="F77" s="21">
        <v>7745.1324000000004</v>
      </c>
      <c r="G77" s="22">
        <v>5.0000000000000001E-3</v>
      </c>
      <c r="H77" s="40"/>
      <c r="I77" s="24"/>
      <c r="J77" s="5"/>
    </row>
    <row r="78" spans="1:10" ht="13.05" customHeight="1">
      <c r="A78" s="18" t="s">
        <v>472</v>
      </c>
      <c r="B78" s="19" t="s">
        <v>473</v>
      </c>
      <c r="C78" s="15" t="s">
        <v>474</v>
      </c>
      <c r="D78" s="15" t="s">
        <v>475</v>
      </c>
      <c r="E78" s="20">
        <v>1645963</v>
      </c>
      <c r="F78" s="21">
        <v>7730.2651999999998</v>
      </c>
      <c r="G78" s="22">
        <v>5.0000000000000001E-3</v>
      </c>
      <c r="H78" s="40"/>
      <c r="I78" s="24"/>
      <c r="J78" s="5"/>
    </row>
    <row r="79" spans="1:10" ht="13.05" customHeight="1">
      <c r="A79" s="18" t="s">
        <v>426</v>
      </c>
      <c r="B79" s="19" t="s">
        <v>427</v>
      </c>
      <c r="C79" s="15" t="s">
        <v>428</v>
      </c>
      <c r="D79" s="15" t="s">
        <v>405</v>
      </c>
      <c r="E79" s="20">
        <v>994466</v>
      </c>
      <c r="F79" s="21">
        <v>7277.9993999999997</v>
      </c>
      <c r="G79" s="22">
        <v>4.7000000000000002E-3</v>
      </c>
      <c r="H79" s="40"/>
      <c r="I79" s="24"/>
      <c r="J79" s="5"/>
    </row>
    <row r="80" spans="1:10" ht="13.05" customHeight="1">
      <c r="A80" s="18" t="s">
        <v>807</v>
      </c>
      <c r="B80" s="19" t="s">
        <v>808</v>
      </c>
      <c r="C80" s="15" t="s">
        <v>809</v>
      </c>
      <c r="D80" s="15" t="s">
        <v>445</v>
      </c>
      <c r="E80" s="20">
        <v>38352</v>
      </c>
      <c r="F80" s="21">
        <v>6818.2186000000002</v>
      </c>
      <c r="G80" s="22">
        <v>4.4000000000000003E-3</v>
      </c>
      <c r="H80" s="40"/>
      <c r="I80" s="24"/>
      <c r="J80" s="5"/>
    </row>
    <row r="81" spans="1:10" ht="13.05" customHeight="1">
      <c r="A81" s="18" t="s">
        <v>341</v>
      </c>
      <c r="B81" s="19" t="s">
        <v>342</v>
      </c>
      <c r="C81" s="15" t="s">
        <v>343</v>
      </c>
      <c r="D81" s="15" t="s">
        <v>344</v>
      </c>
      <c r="E81" s="20">
        <v>700000</v>
      </c>
      <c r="F81" s="21">
        <v>5934.95</v>
      </c>
      <c r="G81" s="22">
        <v>3.8E-3</v>
      </c>
      <c r="H81" s="40"/>
      <c r="I81" s="24"/>
      <c r="J81" s="5"/>
    </row>
    <row r="82" spans="1:10" ht="13.05" customHeight="1">
      <c r="A82" s="18" t="s">
        <v>871</v>
      </c>
      <c r="B82" s="19" t="s">
        <v>872</v>
      </c>
      <c r="C82" s="15" t="s">
        <v>873</v>
      </c>
      <c r="D82" s="15" t="s">
        <v>257</v>
      </c>
      <c r="E82" s="20">
        <v>1780687</v>
      </c>
      <c r="F82" s="21">
        <v>5811.2719999999999</v>
      </c>
      <c r="G82" s="22">
        <v>3.8E-3</v>
      </c>
      <c r="H82" s="40"/>
      <c r="I82" s="24"/>
      <c r="J82" s="5"/>
    </row>
    <row r="83" spans="1:10" ht="13.05" customHeight="1">
      <c r="A83" s="18" t="s">
        <v>330</v>
      </c>
      <c r="B83" s="19" t="s">
        <v>331</v>
      </c>
      <c r="C83" s="15" t="s">
        <v>332</v>
      </c>
      <c r="D83" s="15" t="s">
        <v>333</v>
      </c>
      <c r="E83" s="20">
        <v>2985717</v>
      </c>
      <c r="F83" s="21">
        <v>5459.085</v>
      </c>
      <c r="G83" s="22">
        <v>3.5000000000000001E-3</v>
      </c>
      <c r="H83" s="40"/>
      <c r="I83" s="24"/>
      <c r="J83" s="5"/>
    </row>
    <row r="84" spans="1:10" ht="13.05" customHeight="1">
      <c r="A84" s="18" t="s">
        <v>703</v>
      </c>
      <c r="B84" s="19" t="s">
        <v>704</v>
      </c>
      <c r="C84" s="15" t="s">
        <v>705</v>
      </c>
      <c r="D84" s="15" t="s">
        <v>577</v>
      </c>
      <c r="E84" s="20">
        <v>227919</v>
      </c>
      <c r="F84" s="21">
        <v>5112.2232000000004</v>
      </c>
      <c r="G84" s="22">
        <v>3.3E-3</v>
      </c>
      <c r="H84" s="40"/>
      <c r="I84" s="24"/>
      <c r="J84" s="5"/>
    </row>
    <row r="85" spans="1:10" ht="13.05" customHeight="1">
      <c r="A85" s="18" t="s">
        <v>3743</v>
      </c>
      <c r="B85" s="19" t="s">
        <v>3744</v>
      </c>
      <c r="C85" s="15" t="s">
        <v>3745</v>
      </c>
      <c r="D85" s="15" t="s">
        <v>300</v>
      </c>
      <c r="E85" s="20">
        <v>689869</v>
      </c>
      <c r="F85" s="21">
        <v>5045.0119999999997</v>
      </c>
      <c r="G85" s="22">
        <v>3.3E-3</v>
      </c>
      <c r="H85" s="40"/>
      <c r="I85" s="24"/>
      <c r="J85" s="5"/>
    </row>
    <row r="86" spans="1:10" ht="13.05" customHeight="1">
      <c r="A86" s="18" t="s">
        <v>365</v>
      </c>
      <c r="B86" s="19" t="s">
        <v>366</v>
      </c>
      <c r="C86" s="15" t="s">
        <v>367</v>
      </c>
      <c r="D86" s="15" t="s">
        <v>300</v>
      </c>
      <c r="E86" s="20">
        <v>673465</v>
      </c>
      <c r="F86" s="21">
        <v>5043.5793999999996</v>
      </c>
      <c r="G86" s="22">
        <v>3.3E-3</v>
      </c>
      <c r="H86" s="40"/>
      <c r="I86" s="24"/>
      <c r="J86" s="5"/>
    </row>
    <row r="87" spans="1:10" ht="13.05" customHeight="1">
      <c r="A87" s="18" t="s">
        <v>1346</v>
      </c>
      <c r="B87" s="19" t="s">
        <v>1347</v>
      </c>
      <c r="C87" s="15" t="s">
        <v>1348</v>
      </c>
      <c r="D87" s="15" t="s">
        <v>300</v>
      </c>
      <c r="E87" s="20">
        <v>352890</v>
      </c>
      <c r="F87" s="21">
        <v>5023.7420000000002</v>
      </c>
      <c r="G87" s="22">
        <v>3.3E-3</v>
      </c>
      <c r="H87" s="40"/>
      <c r="I87" s="24"/>
      <c r="J87" s="5"/>
    </row>
    <row r="88" spans="1:10" ht="13.05" customHeight="1">
      <c r="A88" s="18" t="s">
        <v>771</v>
      </c>
      <c r="B88" s="19" t="s">
        <v>772</v>
      </c>
      <c r="C88" s="15" t="s">
        <v>773</v>
      </c>
      <c r="D88" s="15" t="s">
        <v>501</v>
      </c>
      <c r="E88" s="20">
        <v>131389</v>
      </c>
      <c r="F88" s="21">
        <v>5009.2056000000002</v>
      </c>
      <c r="G88" s="22">
        <v>3.2000000000000002E-3</v>
      </c>
      <c r="H88" s="40"/>
      <c r="I88" s="24"/>
      <c r="J88" s="5"/>
    </row>
    <row r="89" spans="1:10" ht="13.05" customHeight="1">
      <c r="A89" s="18" t="s">
        <v>1370</v>
      </c>
      <c r="B89" s="19" t="s">
        <v>1371</v>
      </c>
      <c r="C89" s="15" t="s">
        <v>1372</v>
      </c>
      <c r="D89" s="15" t="s">
        <v>846</v>
      </c>
      <c r="E89" s="20">
        <v>577382</v>
      </c>
      <c r="F89" s="21">
        <v>4988.5805</v>
      </c>
      <c r="G89" s="22">
        <v>3.2000000000000002E-3</v>
      </c>
      <c r="H89" s="40"/>
      <c r="I89" s="24"/>
      <c r="J89" s="5"/>
    </row>
    <row r="90" spans="1:10" ht="13.05" customHeight="1">
      <c r="A90" s="18" t="s">
        <v>949</v>
      </c>
      <c r="B90" s="19" t="s">
        <v>950</v>
      </c>
      <c r="C90" s="15" t="s">
        <v>951</v>
      </c>
      <c r="D90" s="15" t="s">
        <v>314</v>
      </c>
      <c r="E90" s="20">
        <v>258292</v>
      </c>
      <c r="F90" s="21">
        <v>4982.1944000000003</v>
      </c>
      <c r="G90" s="22">
        <v>3.2000000000000002E-3</v>
      </c>
      <c r="H90" s="40"/>
      <c r="I90" s="24"/>
      <c r="J90" s="5"/>
    </row>
    <row r="91" spans="1:10" ht="13.05" customHeight="1">
      <c r="A91" s="18" t="s">
        <v>730</v>
      </c>
      <c r="B91" s="19" t="s">
        <v>731</v>
      </c>
      <c r="C91" s="15" t="s">
        <v>732</v>
      </c>
      <c r="D91" s="15" t="s">
        <v>445</v>
      </c>
      <c r="E91" s="20">
        <v>155000</v>
      </c>
      <c r="F91" s="21">
        <v>4937.68</v>
      </c>
      <c r="G91" s="22">
        <v>3.2000000000000002E-3</v>
      </c>
      <c r="H91" s="40"/>
      <c r="I91" s="24"/>
      <c r="J91" s="5"/>
    </row>
    <row r="92" spans="1:10" ht="13.05" customHeight="1">
      <c r="A92" s="18" t="s">
        <v>745</v>
      </c>
      <c r="B92" s="19" t="s">
        <v>746</v>
      </c>
      <c r="C92" s="15" t="s">
        <v>747</v>
      </c>
      <c r="D92" s="15" t="s">
        <v>300</v>
      </c>
      <c r="E92" s="20">
        <v>561066</v>
      </c>
      <c r="F92" s="21">
        <v>4929.8064000000004</v>
      </c>
      <c r="G92" s="22">
        <v>3.2000000000000002E-3</v>
      </c>
      <c r="H92" s="40"/>
      <c r="I92" s="24"/>
      <c r="J92" s="5"/>
    </row>
    <row r="93" spans="1:10" ht="13.05" customHeight="1">
      <c r="A93" s="18" t="s">
        <v>305</v>
      </c>
      <c r="B93" s="19" t="s">
        <v>306</v>
      </c>
      <c r="C93" s="15" t="s">
        <v>307</v>
      </c>
      <c r="D93" s="15" t="s">
        <v>280</v>
      </c>
      <c r="E93" s="20">
        <v>149310</v>
      </c>
      <c r="F93" s="21">
        <v>3681.2381</v>
      </c>
      <c r="G93" s="22">
        <v>2.3999999999999998E-3</v>
      </c>
      <c r="H93" s="40"/>
      <c r="I93" s="24"/>
      <c r="J93" s="5"/>
    </row>
    <row r="94" spans="1:10" ht="13.05" customHeight="1">
      <c r="A94" s="18" t="s">
        <v>1263</v>
      </c>
      <c r="B94" s="19" t="s">
        <v>1264</v>
      </c>
      <c r="C94" s="15" t="s">
        <v>1265</v>
      </c>
      <c r="D94" s="15" t="s">
        <v>541</v>
      </c>
      <c r="E94" s="20">
        <v>539738</v>
      </c>
      <c r="F94" s="21">
        <v>3478.0717</v>
      </c>
      <c r="G94" s="22">
        <v>2.3E-3</v>
      </c>
      <c r="H94" s="40"/>
      <c r="I94" s="24"/>
      <c r="J94" s="5"/>
    </row>
    <row r="95" spans="1:10" ht="13.05" customHeight="1">
      <c r="A95" s="18" t="s">
        <v>721</v>
      </c>
      <c r="B95" s="19" t="s">
        <v>722</v>
      </c>
      <c r="C95" s="15" t="s">
        <v>723</v>
      </c>
      <c r="D95" s="15" t="s">
        <v>314</v>
      </c>
      <c r="E95" s="20">
        <v>180511</v>
      </c>
      <c r="F95" s="21">
        <v>3413.8240000000001</v>
      </c>
      <c r="G95" s="22">
        <v>2.2000000000000001E-3</v>
      </c>
      <c r="H95" s="40"/>
      <c r="I95" s="24"/>
      <c r="J95" s="5"/>
    </row>
    <row r="96" spans="1:10" ht="13.05" customHeight="1">
      <c r="A96" s="18" t="s">
        <v>1857</v>
      </c>
      <c r="B96" s="19" t="s">
        <v>1858</v>
      </c>
      <c r="C96" s="15" t="s">
        <v>1859</v>
      </c>
      <c r="D96" s="15" t="s">
        <v>325</v>
      </c>
      <c r="E96" s="20">
        <v>186418</v>
      </c>
      <c r="F96" s="21">
        <v>3101.2498000000001</v>
      </c>
      <c r="G96" s="22">
        <v>2E-3</v>
      </c>
      <c r="H96" s="40"/>
      <c r="I96" s="24"/>
      <c r="J96" s="5"/>
    </row>
    <row r="97" spans="1:10" ht="13.05" customHeight="1">
      <c r="A97" s="18" t="s">
        <v>574</v>
      </c>
      <c r="B97" s="19" t="s">
        <v>575</v>
      </c>
      <c r="C97" s="15" t="s">
        <v>576</v>
      </c>
      <c r="D97" s="15" t="s">
        <v>577</v>
      </c>
      <c r="E97" s="20">
        <v>253230</v>
      </c>
      <c r="F97" s="21">
        <v>2832.6307999999999</v>
      </c>
      <c r="G97" s="22">
        <v>1.8E-3</v>
      </c>
      <c r="H97" s="40"/>
      <c r="I97" s="24"/>
      <c r="J97" s="5"/>
    </row>
    <row r="98" spans="1:10" ht="13.05" customHeight="1">
      <c r="A98" s="18" t="s">
        <v>1851</v>
      </c>
      <c r="B98" s="19" t="s">
        <v>1852</v>
      </c>
      <c r="C98" s="15" t="s">
        <v>1853</v>
      </c>
      <c r="D98" s="15" t="s">
        <v>314</v>
      </c>
      <c r="E98" s="20">
        <v>375297</v>
      </c>
      <c r="F98" s="21">
        <v>2664.9839999999999</v>
      </c>
      <c r="G98" s="22">
        <v>1.6999999999999999E-3</v>
      </c>
      <c r="H98" s="40"/>
      <c r="I98" s="24"/>
      <c r="J98" s="5"/>
    </row>
    <row r="99" spans="1:10" ht="13.05" customHeight="1">
      <c r="A99" s="18" t="s">
        <v>395</v>
      </c>
      <c r="B99" s="19" t="s">
        <v>396</v>
      </c>
      <c r="C99" s="15" t="s">
        <v>397</v>
      </c>
      <c r="D99" s="15" t="s">
        <v>329</v>
      </c>
      <c r="E99" s="20">
        <v>48866</v>
      </c>
      <c r="F99" s="21">
        <v>2286.8310999999999</v>
      </c>
      <c r="G99" s="22">
        <v>1.5E-3</v>
      </c>
      <c r="H99" s="40"/>
      <c r="I99" s="24"/>
      <c r="J99" s="5"/>
    </row>
    <row r="100" spans="1:10" ht="13.05" customHeight="1">
      <c r="A100" s="18" t="s">
        <v>2789</v>
      </c>
      <c r="B100" s="19" t="s">
        <v>2790</v>
      </c>
      <c r="C100" s="15" t="s">
        <v>2791</v>
      </c>
      <c r="D100" s="15" t="s">
        <v>304</v>
      </c>
      <c r="E100" s="20">
        <v>566988</v>
      </c>
      <c r="F100" s="21">
        <v>2279.2918</v>
      </c>
      <c r="G100" s="22">
        <v>1.5E-3</v>
      </c>
      <c r="H100" s="40"/>
      <c r="I100" s="24"/>
      <c r="J100" s="5"/>
    </row>
    <row r="101" spans="1:10" ht="13.05" customHeight="1">
      <c r="A101" s="18" t="s">
        <v>1854</v>
      </c>
      <c r="B101" s="19" t="s">
        <v>1855</v>
      </c>
      <c r="C101" s="15" t="s">
        <v>1856</v>
      </c>
      <c r="D101" s="15" t="s">
        <v>300</v>
      </c>
      <c r="E101" s="20">
        <v>559844</v>
      </c>
      <c r="F101" s="21">
        <v>1832.3694</v>
      </c>
      <c r="G101" s="22">
        <v>1.1999999999999999E-3</v>
      </c>
      <c r="H101" s="40"/>
      <c r="I101" s="24"/>
      <c r="J101" s="5"/>
    </row>
    <row r="102" spans="1:10" ht="13.05" customHeight="1">
      <c r="A102" s="18" t="s">
        <v>1302</v>
      </c>
      <c r="B102" s="19" t="s">
        <v>1303</v>
      </c>
      <c r="C102" s="15" t="s">
        <v>1304</v>
      </c>
      <c r="D102" s="15" t="s">
        <v>314</v>
      </c>
      <c r="E102" s="20">
        <v>90095</v>
      </c>
      <c r="F102" s="21">
        <v>509.57729999999998</v>
      </c>
      <c r="G102" s="22">
        <v>2.9999999999999997E-4</v>
      </c>
      <c r="H102" s="40"/>
      <c r="I102" s="24"/>
      <c r="J102" s="5"/>
    </row>
    <row r="103" spans="1:10" ht="13.05" customHeight="1">
      <c r="A103" s="5"/>
      <c r="B103" s="14" t="s">
        <v>192</v>
      </c>
      <c r="C103" s="15"/>
      <c r="D103" s="15"/>
      <c r="E103" s="15"/>
      <c r="F103" s="25">
        <v>1421197.4454000001</v>
      </c>
      <c r="G103" s="26">
        <v>0.91969999999999996</v>
      </c>
      <c r="H103" s="27"/>
      <c r="I103" s="28"/>
      <c r="J103" s="5"/>
    </row>
    <row r="104" spans="1:10" ht="13.05" customHeight="1">
      <c r="A104" s="5"/>
      <c r="B104" s="29" t="s">
        <v>1812</v>
      </c>
      <c r="C104" s="2"/>
      <c r="D104" s="2"/>
      <c r="E104" s="2"/>
      <c r="F104" s="27" t="s">
        <v>194</v>
      </c>
      <c r="G104" s="27" t="s">
        <v>194</v>
      </c>
      <c r="H104" s="27"/>
      <c r="I104" s="28"/>
      <c r="J104" s="5"/>
    </row>
    <row r="105" spans="1:10" ht="13.05" customHeight="1">
      <c r="A105" s="5"/>
      <c r="B105" s="29" t="s">
        <v>192</v>
      </c>
      <c r="C105" s="2"/>
      <c r="D105" s="2"/>
      <c r="E105" s="2"/>
      <c r="F105" s="27" t="s">
        <v>194</v>
      </c>
      <c r="G105" s="27" t="s">
        <v>194</v>
      </c>
      <c r="H105" s="27"/>
      <c r="I105" s="28"/>
      <c r="J105" s="5"/>
    </row>
    <row r="106" spans="1:10" ht="13.05" customHeight="1">
      <c r="A106" s="5"/>
      <c r="B106" s="14" t="s">
        <v>1813</v>
      </c>
      <c r="C106" s="15"/>
      <c r="D106" s="15"/>
      <c r="E106" s="15"/>
      <c r="F106" s="5"/>
      <c r="G106" s="16"/>
      <c r="H106" s="16"/>
      <c r="I106" s="17"/>
      <c r="J106" s="5"/>
    </row>
    <row r="107" spans="1:10" ht="13.05" customHeight="1">
      <c r="A107" s="18" t="s">
        <v>1814</v>
      </c>
      <c r="B107" s="19" t="s">
        <v>5526</v>
      </c>
      <c r="C107" s="15" t="s">
        <v>1815</v>
      </c>
      <c r="D107" s="15" t="s">
        <v>296</v>
      </c>
      <c r="E107" s="20">
        <v>1166304</v>
      </c>
      <c r="F107" s="21">
        <v>117.69759999999999</v>
      </c>
      <c r="G107" s="22">
        <v>1E-4</v>
      </c>
      <c r="H107" s="40"/>
      <c r="I107" s="24"/>
      <c r="J107" s="5"/>
    </row>
    <row r="108" spans="1:10" ht="13.05" customHeight="1">
      <c r="A108" s="5"/>
      <c r="B108" s="14" t="s">
        <v>192</v>
      </c>
      <c r="C108" s="15"/>
      <c r="D108" s="15"/>
      <c r="E108" s="15"/>
      <c r="F108" s="25">
        <v>117.69759999999999</v>
      </c>
      <c r="G108" s="26">
        <v>1E-4</v>
      </c>
      <c r="H108" s="27"/>
      <c r="I108" s="28"/>
      <c r="J108" s="5"/>
    </row>
    <row r="109" spans="1:10" ht="13.05" customHeight="1">
      <c r="A109" s="5"/>
      <c r="B109" s="29" t="s">
        <v>195</v>
      </c>
      <c r="C109" s="30"/>
      <c r="D109" s="2"/>
      <c r="E109" s="30"/>
      <c r="F109" s="25">
        <v>1421315.1429999999</v>
      </c>
      <c r="G109" s="26">
        <v>0.91969999999999996</v>
      </c>
      <c r="H109" s="27"/>
      <c r="I109" s="28"/>
      <c r="J109" s="5"/>
    </row>
    <row r="110" spans="1:10" ht="13.05" customHeight="1">
      <c r="A110" s="5"/>
      <c r="B110" s="14" t="s">
        <v>3746</v>
      </c>
      <c r="C110" s="15"/>
      <c r="D110" s="15"/>
      <c r="E110" s="15"/>
      <c r="F110" s="15"/>
      <c r="G110" s="15"/>
      <c r="H110" s="16"/>
      <c r="I110" s="17"/>
      <c r="J110" s="5"/>
    </row>
    <row r="111" spans="1:10" ht="13.05" customHeight="1">
      <c r="A111" s="5"/>
      <c r="B111" s="14" t="s">
        <v>253</v>
      </c>
      <c r="C111" s="15"/>
      <c r="D111" s="15"/>
      <c r="E111" s="15"/>
      <c r="F111" s="5"/>
      <c r="G111" s="16"/>
      <c r="H111" s="16"/>
      <c r="I111" s="17"/>
      <c r="J111" s="5"/>
    </row>
    <row r="112" spans="1:10" ht="13.05" customHeight="1">
      <c r="A112" s="18" t="s">
        <v>3747</v>
      </c>
      <c r="B112" s="19" t="s">
        <v>3748</v>
      </c>
      <c r="C112" s="15" t="s">
        <v>3749</v>
      </c>
      <c r="D112" s="15" t="s">
        <v>3750</v>
      </c>
      <c r="E112" s="20">
        <v>50932</v>
      </c>
      <c r="F112" s="21">
        <v>12706.683300000001</v>
      </c>
      <c r="G112" s="22">
        <v>8.2000000000000007E-3</v>
      </c>
      <c r="H112" s="40"/>
      <c r="I112" s="24"/>
      <c r="J112" s="5"/>
    </row>
    <row r="113" spans="1:10" ht="13.05" customHeight="1">
      <c r="A113" s="18" t="s">
        <v>3751</v>
      </c>
      <c r="B113" s="19" t="s">
        <v>3752</v>
      </c>
      <c r="C113" s="15" t="s">
        <v>3753</v>
      </c>
      <c r="D113" s="15" t="s">
        <v>3754</v>
      </c>
      <c r="E113" s="20">
        <v>31780</v>
      </c>
      <c r="F113" s="21">
        <v>8471.0802000000003</v>
      </c>
      <c r="G113" s="22">
        <v>5.4999999999999997E-3</v>
      </c>
      <c r="H113" s="40"/>
      <c r="I113" s="24"/>
      <c r="J113" s="5"/>
    </row>
    <row r="114" spans="1:10" ht="13.05" customHeight="1">
      <c r="A114" s="18" t="s">
        <v>3755</v>
      </c>
      <c r="B114" s="19" t="s">
        <v>3756</v>
      </c>
      <c r="C114" s="15" t="s">
        <v>3757</v>
      </c>
      <c r="D114" s="15" t="s">
        <v>3758</v>
      </c>
      <c r="E114" s="20">
        <v>1458</v>
      </c>
      <c r="F114" s="21">
        <v>6568.5511999999999</v>
      </c>
      <c r="G114" s="22">
        <v>4.3E-3</v>
      </c>
      <c r="H114" s="40"/>
      <c r="I114" s="24"/>
      <c r="J114" s="5"/>
    </row>
    <row r="115" spans="1:10" ht="13.05" customHeight="1">
      <c r="A115" s="18" t="s">
        <v>3759</v>
      </c>
      <c r="B115" s="19" t="s">
        <v>3760</v>
      </c>
      <c r="C115" s="15" t="s">
        <v>3761</v>
      </c>
      <c r="D115" s="15" t="s">
        <v>3762</v>
      </c>
      <c r="E115" s="20">
        <v>73452</v>
      </c>
      <c r="F115" s="21">
        <v>6563.8846999999996</v>
      </c>
      <c r="G115" s="22">
        <v>4.1999999999999997E-3</v>
      </c>
      <c r="H115" s="40"/>
      <c r="I115" s="24"/>
      <c r="J115" s="5"/>
    </row>
    <row r="116" spans="1:10" ht="13.05" customHeight="1">
      <c r="A116" s="18" t="s">
        <v>3763</v>
      </c>
      <c r="B116" s="19" t="s">
        <v>3764</v>
      </c>
      <c r="C116" s="15" t="s">
        <v>3765</v>
      </c>
      <c r="D116" s="15" t="s">
        <v>3766</v>
      </c>
      <c r="E116" s="20">
        <v>13477</v>
      </c>
      <c r="F116" s="21">
        <v>6191.6337999999996</v>
      </c>
      <c r="G116" s="22">
        <v>4.0000000000000001E-3</v>
      </c>
      <c r="H116" s="40"/>
      <c r="I116" s="24"/>
      <c r="J116" s="5"/>
    </row>
    <row r="117" spans="1:10" ht="13.05" customHeight="1">
      <c r="A117" s="18" t="s">
        <v>3767</v>
      </c>
      <c r="B117" s="19" t="s">
        <v>3768</v>
      </c>
      <c r="C117" s="15" t="s">
        <v>3769</v>
      </c>
      <c r="D117" s="15" t="s">
        <v>3770</v>
      </c>
      <c r="E117" s="20">
        <v>49419</v>
      </c>
      <c r="F117" s="21">
        <v>6144.6572999999999</v>
      </c>
      <c r="G117" s="22">
        <v>4.0000000000000001E-3</v>
      </c>
      <c r="H117" s="40"/>
      <c r="I117" s="24"/>
      <c r="J117" s="5"/>
    </row>
    <row r="118" spans="1:10" ht="13.05" customHeight="1">
      <c r="A118" s="18" t="s">
        <v>3771</v>
      </c>
      <c r="B118" s="19" t="s">
        <v>3772</v>
      </c>
      <c r="C118" s="15" t="s">
        <v>3773</v>
      </c>
      <c r="D118" s="15" t="s">
        <v>3774</v>
      </c>
      <c r="E118" s="20">
        <v>61376</v>
      </c>
      <c r="F118" s="21">
        <v>5254.9368000000004</v>
      </c>
      <c r="G118" s="22">
        <v>3.3999999999999998E-3</v>
      </c>
      <c r="H118" s="40"/>
      <c r="I118" s="24"/>
      <c r="J118" s="5"/>
    </row>
    <row r="119" spans="1:10" ht="13.05" customHeight="1">
      <c r="A119" s="18" t="s">
        <v>3775</v>
      </c>
      <c r="B119" s="19" t="s">
        <v>3776</v>
      </c>
      <c r="C119" s="15" t="s">
        <v>3777</v>
      </c>
      <c r="D119" s="15" t="s">
        <v>3778</v>
      </c>
      <c r="E119" s="20">
        <v>19609</v>
      </c>
      <c r="F119" s="21">
        <v>4523.6302999999998</v>
      </c>
      <c r="G119" s="22">
        <v>2.8999999999999998E-3</v>
      </c>
      <c r="H119" s="40"/>
      <c r="I119" s="24"/>
      <c r="J119" s="5"/>
    </row>
    <row r="120" spans="1:10" ht="13.05" customHeight="1">
      <c r="A120" s="18" t="s">
        <v>3779</v>
      </c>
      <c r="B120" s="19" t="s">
        <v>3780</v>
      </c>
      <c r="C120" s="15" t="s">
        <v>3781</v>
      </c>
      <c r="D120" s="15" t="s">
        <v>3782</v>
      </c>
      <c r="E120" s="20">
        <v>4455</v>
      </c>
      <c r="F120" s="21">
        <v>4422.4717000000001</v>
      </c>
      <c r="G120" s="22">
        <v>2.8999999999999998E-3</v>
      </c>
      <c r="H120" s="40"/>
      <c r="I120" s="24"/>
      <c r="J120" s="5"/>
    </row>
    <row r="121" spans="1:10" ht="13.05" customHeight="1">
      <c r="A121" s="18" t="s">
        <v>3783</v>
      </c>
      <c r="B121" s="19" t="s">
        <v>3784</v>
      </c>
      <c r="C121" s="15" t="s">
        <v>3785</v>
      </c>
      <c r="D121" s="15" t="s">
        <v>3786</v>
      </c>
      <c r="E121" s="20">
        <v>13384</v>
      </c>
      <c r="F121" s="21">
        <v>4046.2307999999998</v>
      </c>
      <c r="G121" s="22">
        <v>2.5999999999999999E-3</v>
      </c>
      <c r="H121" s="40"/>
      <c r="I121" s="24"/>
      <c r="J121" s="5"/>
    </row>
    <row r="122" spans="1:10" ht="13.05" customHeight="1">
      <c r="A122" s="18" t="s">
        <v>3787</v>
      </c>
      <c r="B122" s="19" t="s">
        <v>3788</v>
      </c>
      <c r="C122" s="15" t="s">
        <v>3789</v>
      </c>
      <c r="D122" s="15" t="s">
        <v>3750</v>
      </c>
      <c r="E122" s="20">
        <v>6992</v>
      </c>
      <c r="F122" s="21">
        <v>4022.0970000000002</v>
      </c>
      <c r="G122" s="22">
        <v>2.5999999999999999E-3</v>
      </c>
      <c r="H122" s="40"/>
      <c r="I122" s="24"/>
      <c r="J122" s="5"/>
    </row>
    <row r="123" spans="1:10" ht="13.05" customHeight="1">
      <c r="A123" s="18" t="s">
        <v>3790</v>
      </c>
      <c r="B123" s="19" t="s">
        <v>3791</v>
      </c>
      <c r="C123" s="15" t="s">
        <v>3792</v>
      </c>
      <c r="D123" s="15" t="s">
        <v>3793</v>
      </c>
      <c r="E123" s="20">
        <v>5370</v>
      </c>
      <c r="F123" s="21">
        <v>3682.1363000000001</v>
      </c>
      <c r="G123" s="22">
        <v>2.3999999999999998E-3</v>
      </c>
      <c r="H123" s="40"/>
      <c r="I123" s="24"/>
      <c r="J123" s="5"/>
    </row>
    <row r="124" spans="1:10" ht="13.05" customHeight="1">
      <c r="A124" s="18" t="s">
        <v>3794</v>
      </c>
      <c r="B124" s="19" t="s">
        <v>3795</v>
      </c>
      <c r="C124" s="15" t="s">
        <v>3796</v>
      </c>
      <c r="D124" s="15" t="s">
        <v>3797</v>
      </c>
      <c r="E124" s="20">
        <v>948</v>
      </c>
      <c r="F124" s="21">
        <v>3090.5794999999998</v>
      </c>
      <c r="G124" s="22">
        <v>2E-3</v>
      </c>
      <c r="H124" s="40"/>
      <c r="I124" s="24"/>
      <c r="J124" s="5"/>
    </row>
    <row r="125" spans="1:10" ht="13.05" customHeight="1">
      <c r="A125" s="18" t="s">
        <v>3798</v>
      </c>
      <c r="B125" s="19" t="s">
        <v>3799</v>
      </c>
      <c r="C125" s="15" t="s">
        <v>3800</v>
      </c>
      <c r="D125" s="15" t="s">
        <v>3801</v>
      </c>
      <c r="E125" s="20">
        <v>35471</v>
      </c>
      <c r="F125" s="21">
        <v>2168.3742999999999</v>
      </c>
      <c r="G125" s="22">
        <v>1.4E-3</v>
      </c>
      <c r="H125" s="40"/>
      <c r="I125" s="24"/>
      <c r="J125" s="5"/>
    </row>
    <row r="126" spans="1:10" ht="13.05" customHeight="1">
      <c r="A126" s="18" t="s">
        <v>3802</v>
      </c>
      <c r="B126" s="19" t="s">
        <v>3803</v>
      </c>
      <c r="C126" s="15" t="s">
        <v>3804</v>
      </c>
      <c r="D126" s="15" t="s">
        <v>3782</v>
      </c>
      <c r="E126" s="20">
        <v>2245</v>
      </c>
      <c r="F126" s="21">
        <v>1305.3031000000001</v>
      </c>
      <c r="G126" s="22">
        <v>8.0000000000000004E-4</v>
      </c>
      <c r="H126" s="40"/>
      <c r="I126" s="24"/>
      <c r="J126" s="5"/>
    </row>
    <row r="127" spans="1:10" ht="13.05" customHeight="1">
      <c r="A127" s="5"/>
      <c r="B127" s="14" t="s">
        <v>192</v>
      </c>
      <c r="C127" s="15"/>
      <c r="D127" s="15"/>
      <c r="E127" s="15"/>
      <c r="F127" s="25">
        <v>79162.250199999995</v>
      </c>
      <c r="G127" s="26">
        <v>5.1200000000000002E-2</v>
      </c>
      <c r="H127" s="27"/>
      <c r="I127" s="28"/>
      <c r="J127" s="5"/>
    </row>
    <row r="128" spans="1:10" ht="13.05" customHeight="1">
      <c r="A128" s="5"/>
      <c r="B128" s="29" t="s">
        <v>1812</v>
      </c>
      <c r="C128" s="2"/>
      <c r="D128" s="2"/>
      <c r="E128" s="2"/>
      <c r="F128" s="27" t="s">
        <v>194</v>
      </c>
      <c r="G128" s="27" t="s">
        <v>194</v>
      </c>
      <c r="H128" s="27"/>
      <c r="I128" s="28"/>
      <c r="J128" s="5"/>
    </row>
    <row r="129" spans="1:10" ht="13.05" customHeight="1">
      <c r="A129" s="5"/>
      <c r="B129" s="29" t="s">
        <v>192</v>
      </c>
      <c r="C129" s="2"/>
      <c r="D129" s="2"/>
      <c r="E129" s="2"/>
      <c r="F129" s="27" t="s">
        <v>194</v>
      </c>
      <c r="G129" s="27" t="s">
        <v>194</v>
      </c>
      <c r="H129" s="27"/>
      <c r="I129" s="28"/>
      <c r="J129" s="5"/>
    </row>
    <row r="130" spans="1:10" ht="13.05" customHeight="1">
      <c r="A130" s="5"/>
      <c r="B130" s="29" t="s">
        <v>195</v>
      </c>
      <c r="C130" s="30"/>
      <c r="D130" s="2"/>
      <c r="E130" s="30"/>
      <c r="F130" s="25">
        <v>79162.250199999995</v>
      </c>
      <c r="G130" s="26">
        <v>5.1200000000000002E-2</v>
      </c>
      <c r="H130" s="27"/>
      <c r="I130" s="28"/>
      <c r="J130" s="5"/>
    </row>
    <row r="131" spans="1:10" ht="13.05" customHeight="1">
      <c r="A131" s="5"/>
      <c r="B131" s="14" t="s">
        <v>1871</v>
      </c>
      <c r="C131" s="15"/>
      <c r="D131" s="15"/>
      <c r="E131" s="15"/>
      <c r="F131" s="15"/>
      <c r="G131" s="15"/>
      <c r="H131" s="16"/>
      <c r="I131" s="17"/>
      <c r="J131" s="5"/>
    </row>
    <row r="132" spans="1:10" ht="13.05" customHeight="1">
      <c r="A132" s="5"/>
      <c r="B132" s="14" t="s">
        <v>2997</v>
      </c>
      <c r="C132" s="15"/>
      <c r="D132" s="15"/>
      <c r="E132" s="15"/>
      <c r="F132" s="5"/>
      <c r="G132" s="16"/>
      <c r="H132" s="16"/>
      <c r="I132" s="17"/>
      <c r="J132" s="5"/>
    </row>
    <row r="133" spans="1:10" ht="13.05" customHeight="1">
      <c r="A133" s="18" t="s">
        <v>3244</v>
      </c>
      <c r="B133" s="19" t="s">
        <v>3245</v>
      </c>
      <c r="C133" s="15"/>
      <c r="D133" s="15"/>
      <c r="E133" s="20">
        <v>110700</v>
      </c>
      <c r="F133" s="21">
        <v>2725.8768</v>
      </c>
      <c r="G133" s="22">
        <v>1.8E-3</v>
      </c>
      <c r="H133" s="40"/>
      <c r="I133" s="24"/>
      <c r="J133" s="5"/>
    </row>
    <row r="134" spans="1:10" ht="13.05" customHeight="1">
      <c r="A134" s="5"/>
      <c r="B134" s="14" t="s">
        <v>192</v>
      </c>
      <c r="C134" s="15"/>
      <c r="D134" s="15"/>
      <c r="E134" s="15"/>
      <c r="F134" s="25">
        <v>2725.8768</v>
      </c>
      <c r="G134" s="26">
        <v>1.8E-3</v>
      </c>
      <c r="H134" s="27"/>
      <c r="I134" s="28"/>
      <c r="J134" s="5"/>
    </row>
    <row r="135" spans="1:10" ht="13.05" customHeight="1">
      <c r="A135" s="5"/>
      <c r="B135" s="29" t="s">
        <v>195</v>
      </c>
      <c r="C135" s="30"/>
      <c r="D135" s="2"/>
      <c r="E135" s="30"/>
      <c r="F135" s="25">
        <v>2725.8768</v>
      </c>
      <c r="G135" s="26">
        <v>1.8E-3</v>
      </c>
      <c r="H135" s="27"/>
      <c r="I135" s="28"/>
      <c r="J135" s="5"/>
    </row>
    <row r="136" spans="1:10" ht="13.05" customHeight="1">
      <c r="A136" s="5"/>
      <c r="B136" s="14" t="s">
        <v>1866</v>
      </c>
      <c r="C136" s="15"/>
      <c r="D136" s="15"/>
      <c r="E136" s="15"/>
      <c r="F136" s="15"/>
      <c r="G136" s="15"/>
      <c r="H136" s="16"/>
      <c r="I136" s="17"/>
      <c r="J136" s="5"/>
    </row>
    <row r="137" spans="1:10" ht="13.05" customHeight="1">
      <c r="A137" s="5"/>
      <c r="B137" s="14" t="s">
        <v>1867</v>
      </c>
      <c r="C137" s="15"/>
      <c r="D137" s="15"/>
      <c r="E137" s="15"/>
      <c r="F137" s="5"/>
      <c r="G137" s="16"/>
      <c r="H137" s="16"/>
      <c r="I137" s="17"/>
      <c r="J137" s="5"/>
    </row>
    <row r="138" spans="1:10" ht="13.05" customHeight="1">
      <c r="A138" s="18" t="s">
        <v>3805</v>
      </c>
      <c r="B138" s="19" t="s">
        <v>3806</v>
      </c>
      <c r="C138" s="15" t="s">
        <v>3807</v>
      </c>
      <c r="D138" s="15" t="s">
        <v>188</v>
      </c>
      <c r="E138" s="20">
        <v>5000000</v>
      </c>
      <c r="F138" s="21">
        <v>4975.63</v>
      </c>
      <c r="G138" s="22">
        <v>3.2000000000000002E-3</v>
      </c>
      <c r="H138" s="23">
        <v>5.4172999999999999E-2</v>
      </c>
      <c r="I138" s="24"/>
      <c r="J138" s="5"/>
    </row>
    <row r="139" spans="1:10" ht="13.05" customHeight="1">
      <c r="A139" s="5"/>
      <c r="B139" s="14" t="s">
        <v>192</v>
      </c>
      <c r="C139" s="15"/>
      <c r="D139" s="15"/>
      <c r="E139" s="15"/>
      <c r="F139" s="25">
        <v>4975.63</v>
      </c>
      <c r="G139" s="26">
        <v>3.2000000000000002E-3</v>
      </c>
      <c r="H139" s="27"/>
      <c r="I139" s="28"/>
      <c r="J139" s="5"/>
    </row>
    <row r="140" spans="1:10" ht="13.05" customHeight="1">
      <c r="A140" s="5"/>
      <c r="B140" s="29" t="s">
        <v>195</v>
      </c>
      <c r="C140" s="30"/>
      <c r="D140" s="2"/>
      <c r="E140" s="30"/>
      <c r="F140" s="25">
        <v>4975.63</v>
      </c>
      <c r="G140" s="26">
        <v>3.2000000000000002E-3</v>
      </c>
      <c r="H140" s="27"/>
      <c r="I140" s="28"/>
      <c r="J140" s="5"/>
    </row>
    <row r="141" spans="1:10" ht="13.05" customHeight="1">
      <c r="A141" s="5"/>
      <c r="B141" s="14" t="s">
        <v>1818</v>
      </c>
      <c r="C141" s="15"/>
      <c r="D141" s="15"/>
      <c r="E141" s="15"/>
      <c r="F141" s="15"/>
      <c r="G141" s="15"/>
      <c r="H141" s="16"/>
      <c r="I141" s="17"/>
      <c r="J141" s="5"/>
    </row>
    <row r="142" spans="1:10" ht="13.05" customHeight="1">
      <c r="A142" s="5"/>
      <c r="B142" s="14" t="s">
        <v>3514</v>
      </c>
      <c r="C142" s="15"/>
      <c r="D142" s="15"/>
      <c r="E142" s="15"/>
      <c r="F142" s="5"/>
      <c r="G142" s="16"/>
      <c r="H142" s="16"/>
      <c r="I142" s="17"/>
      <c r="J142" s="5"/>
    </row>
    <row r="143" spans="1:10" ht="13.05" customHeight="1">
      <c r="A143" s="18" t="s">
        <v>3575</v>
      </c>
      <c r="B143" s="19" t="s">
        <v>109</v>
      </c>
      <c r="C143" s="15" t="s">
        <v>3576</v>
      </c>
      <c r="D143" s="15"/>
      <c r="E143" s="20">
        <v>4300000</v>
      </c>
      <c r="F143" s="21">
        <v>12156.1</v>
      </c>
      <c r="G143" s="22">
        <v>7.9000000000000008E-3</v>
      </c>
      <c r="H143" s="23"/>
      <c r="I143" s="24"/>
      <c r="J143" s="5"/>
    </row>
    <row r="144" spans="1:10" ht="13.05" customHeight="1">
      <c r="A144" s="5"/>
      <c r="B144" s="14" t="s">
        <v>192</v>
      </c>
      <c r="C144" s="15"/>
      <c r="D144" s="15"/>
      <c r="E144" s="15"/>
      <c r="F144" s="25">
        <v>12156.1</v>
      </c>
      <c r="G144" s="26">
        <v>7.9000000000000008E-3</v>
      </c>
      <c r="H144" s="27"/>
      <c r="I144" s="28"/>
      <c r="J144" s="5"/>
    </row>
    <row r="145" spans="1:10" ht="13.05" customHeight="1">
      <c r="A145" s="5"/>
      <c r="B145" s="14" t="s">
        <v>3808</v>
      </c>
      <c r="C145" s="15"/>
      <c r="D145" s="15"/>
      <c r="E145" s="15"/>
      <c r="F145" s="5"/>
      <c r="G145" s="16"/>
      <c r="H145" s="16"/>
      <c r="I145" s="17"/>
      <c r="J145" s="5"/>
    </row>
    <row r="146" spans="1:10" ht="13.05" customHeight="1">
      <c r="A146" s="18" t="s">
        <v>3809</v>
      </c>
      <c r="B146" s="19" t="s">
        <v>3810</v>
      </c>
      <c r="C146" s="15" t="s">
        <v>3811</v>
      </c>
      <c r="D146" s="15"/>
      <c r="E146" s="20">
        <v>7835</v>
      </c>
      <c r="F146" s="21">
        <v>10317.4656</v>
      </c>
      <c r="G146" s="22">
        <v>6.7000000000000002E-3</v>
      </c>
      <c r="H146" s="23"/>
      <c r="I146" s="24"/>
      <c r="J146" s="5"/>
    </row>
    <row r="147" spans="1:10" ht="13.05" customHeight="1">
      <c r="A147" s="18" t="s">
        <v>3812</v>
      </c>
      <c r="B147" s="19" t="s">
        <v>3813</v>
      </c>
      <c r="C147" s="15" t="s">
        <v>3814</v>
      </c>
      <c r="D147" s="15"/>
      <c r="E147" s="20">
        <v>13712</v>
      </c>
      <c r="F147" s="21">
        <v>8902.3597000000009</v>
      </c>
      <c r="G147" s="22">
        <v>5.7999999999999996E-3</v>
      </c>
      <c r="H147" s="23"/>
      <c r="I147" s="24"/>
      <c r="J147" s="5"/>
    </row>
    <row r="148" spans="1:10" ht="13.05" customHeight="1">
      <c r="A148" s="5"/>
      <c r="B148" s="14" t="s">
        <v>192</v>
      </c>
      <c r="C148" s="15"/>
      <c r="D148" s="15"/>
      <c r="E148" s="15"/>
      <c r="F148" s="25">
        <v>19219.8253</v>
      </c>
      <c r="G148" s="26">
        <v>1.24E-2</v>
      </c>
      <c r="H148" s="27"/>
      <c r="I148" s="28"/>
      <c r="J148" s="5"/>
    </row>
    <row r="149" spans="1:10" ht="13.05" customHeight="1">
      <c r="A149" s="5"/>
      <c r="B149" s="29" t="s">
        <v>195</v>
      </c>
      <c r="C149" s="30"/>
      <c r="D149" s="2"/>
      <c r="E149" s="30"/>
      <c r="F149" s="25">
        <v>31375.925299999999</v>
      </c>
      <c r="G149" s="26">
        <v>2.0299999999999999E-2</v>
      </c>
      <c r="H149" s="27"/>
      <c r="I149" s="28"/>
      <c r="J149" s="5"/>
    </row>
    <row r="150" spans="1:10" ht="13.05" customHeight="1">
      <c r="A150" s="5"/>
      <c r="B150" s="14" t="s">
        <v>196</v>
      </c>
      <c r="C150" s="15"/>
      <c r="D150" s="15"/>
      <c r="E150" s="15"/>
      <c r="F150" s="15"/>
      <c r="G150" s="15"/>
      <c r="H150" s="16"/>
      <c r="I150" s="17"/>
      <c r="J150" s="5"/>
    </row>
    <row r="151" spans="1:10" ht="13.05" customHeight="1">
      <c r="A151" s="18" t="s">
        <v>197</v>
      </c>
      <c r="B151" s="19" t="s">
        <v>198</v>
      </c>
      <c r="C151" s="15"/>
      <c r="D151" s="15"/>
      <c r="E151" s="20"/>
      <c r="F151" s="21">
        <v>9661.0380999999998</v>
      </c>
      <c r="G151" s="22">
        <v>6.3E-3</v>
      </c>
      <c r="H151" s="23">
        <v>5.5573617010495215E-2</v>
      </c>
      <c r="I151" s="24"/>
      <c r="J151" s="5"/>
    </row>
    <row r="152" spans="1:10" ht="13.05" customHeight="1">
      <c r="A152" s="5"/>
      <c r="B152" s="14" t="s">
        <v>192</v>
      </c>
      <c r="C152" s="15"/>
      <c r="D152" s="15"/>
      <c r="E152" s="15"/>
      <c r="F152" s="25">
        <v>9661.0380999999998</v>
      </c>
      <c r="G152" s="26">
        <v>6.3E-3</v>
      </c>
      <c r="H152" s="27"/>
      <c r="I152" s="28"/>
      <c r="J152" s="5"/>
    </row>
    <row r="153" spans="1:10" ht="13.05" customHeight="1">
      <c r="A153" s="5"/>
      <c r="B153" s="29" t="s">
        <v>195</v>
      </c>
      <c r="C153" s="30"/>
      <c r="D153" s="2"/>
      <c r="E153" s="30"/>
      <c r="F153" s="25">
        <v>9661.0380999999998</v>
      </c>
      <c r="G153" s="26">
        <v>6.3E-3</v>
      </c>
      <c r="H153" s="27"/>
      <c r="I153" s="28"/>
      <c r="J153" s="5"/>
    </row>
    <row r="154" spans="1:10" ht="13.05" customHeight="1">
      <c r="A154" s="5"/>
      <c r="B154" s="29" t="s">
        <v>199</v>
      </c>
      <c r="C154" s="15"/>
      <c r="D154" s="2"/>
      <c r="E154" s="15"/>
      <c r="F154" s="31">
        <v>-3880.0634</v>
      </c>
      <c r="G154" s="26">
        <v>-2.5000000000000001E-3</v>
      </c>
      <c r="H154" s="27"/>
      <c r="I154" s="28"/>
      <c r="J154" s="5"/>
    </row>
    <row r="155" spans="1:10" ht="13.05" customHeight="1">
      <c r="A155" s="5"/>
      <c r="B155" s="32" t="s">
        <v>200</v>
      </c>
      <c r="C155" s="33"/>
      <c r="D155" s="33"/>
      <c r="E155" s="33"/>
      <c r="F155" s="34">
        <v>1545335.8</v>
      </c>
      <c r="G155" s="35">
        <v>1</v>
      </c>
      <c r="H155" s="36"/>
      <c r="I155" s="37"/>
      <c r="J155" s="5"/>
    </row>
    <row r="156" spans="1:10" ht="13.05" customHeight="1">
      <c r="A156" s="5"/>
      <c r="B156" s="7"/>
      <c r="C156" s="5"/>
      <c r="D156" s="5"/>
      <c r="E156" s="5"/>
      <c r="F156" s="5"/>
      <c r="G156" s="5"/>
      <c r="H156" s="5"/>
      <c r="I156" s="5"/>
      <c r="J156" s="5"/>
    </row>
    <row r="157" spans="1:10" ht="13.05" customHeight="1">
      <c r="A157" s="5"/>
      <c r="B157" s="4" t="s">
        <v>250</v>
      </c>
      <c r="C157" s="5"/>
      <c r="D157" s="5"/>
      <c r="E157" s="5"/>
      <c r="F157" s="5"/>
      <c r="G157" s="5"/>
      <c r="H157" s="5"/>
      <c r="I157" s="5"/>
      <c r="J157" s="5"/>
    </row>
    <row r="158" spans="1:10" ht="13.05" customHeight="1">
      <c r="A158" s="5"/>
      <c r="B158" s="4" t="s">
        <v>201</v>
      </c>
      <c r="C158" s="5"/>
      <c r="D158" s="5"/>
      <c r="E158" s="5"/>
      <c r="F158" s="5"/>
      <c r="G158" s="5"/>
      <c r="H158" s="5"/>
      <c r="I158" s="5"/>
      <c r="J158" s="5"/>
    </row>
    <row r="159" spans="1:10" ht="25.95" customHeight="1">
      <c r="A159" s="5"/>
      <c r="B159" s="103" t="s">
        <v>202</v>
      </c>
      <c r="C159" s="103"/>
      <c r="D159" s="103"/>
      <c r="E159" s="103"/>
      <c r="F159" s="103"/>
      <c r="G159" s="103"/>
      <c r="H159" s="103"/>
      <c r="I159" s="103"/>
      <c r="J159" s="5"/>
    </row>
    <row r="160" spans="1:10" ht="13.05" customHeight="1">
      <c r="A160" s="5"/>
      <c r="B160" s="103" t="s">
        <v>203</v>
      </c>
      <c r="C160" s="103"/>
      <c r="D160" s="103"/>
      <c r="E160" s="103"/>
      <c r="F160" s="103"/>
      <c r="G160" s="103"/>
      <c r="H160" s="103"/>
      <c r="I160" s="103"/>
      <c r="J160" s="5"/>
    </row>
    <row r="161" spans="1:10" ht="13.05" customHeight="1">
      <c r="A161" s="5"/>
      <c r="B161" s="103"/>
      <c r="C161" s="103"/>
      <c r="D161" s="103"/>
      <c r="E161" s="103"/>
      <c r="F161" s="103"/>
      <c r="G161" s="103"/>
      <c r="H161" s="103"/>
      <c r="I161" s="103"/>
      <c r="J161" s="5"/>
    </row>
    <row r="162" spans="1:10" ht="13.05" customHeight="1">
      <c r="A162" s="5"/>
      <c r="B162" s="103"/>
      <c r="C162" s="103"/>
      <c r="D162" s="103"/>
      <c r="E162" s="103"/>
      <c r="F162" s="103"/>
      <c r="G162" s="103"/>
      <c r="H162" s="103"/>
      <c r="I162" s="103"/>
      <c r="J162" s="5"/>
    </row>
    <row r="163" spans="1:10" ht="13.05" customHeight="1">
      <c r="A163" s="5"/>
      <c r="B163" s="103"/>
      <c r="C163" s="103"/>
      <c r="D163" s="103"/>
      <c r="E163" s="103"/>
      <c r="F163" s="103"/>
      <c r="G163" s="103"/>
      <c r="H163" s="103"/>
      <c r="I163" s="103"/>
      <c r="J163" s="5"/>
    </row>
    <row r="164" spans="1:10" ht="13.05" customHeight="1">
      <c r="A164" s="5"/>
      <c r="B164" s="103"/>
      <c r="C164" s="103"/>
      <c r="D164" s="103"/>
      <c r="E164" s="103"/>
      <c r="F164" s="103"/>
      <c r="G164" s="103"/>
      <c r="H164" s="103"/>
      <c r="I164" s="103"/>
      <c r="J164" s="5"/>
    </row>
    <row r="165" spans="1:10" ht="13.05" customHeight="1">
      <c r="A165" s="5"/>
      <c r="B165" s="5"/>
      <c r="C165" s="104" t="s">
        <v>3815</v>
      </c>
      <c r="D165" s="104"/>
      <c r="E165" s="104"/>
      <c r="F165" s="104"/>
      <c r="G165" s="5"/>
      <c r="H165" s="5"/>
      <c r="I165" s="5"/>
      <c r="J165" s="5"/>
    </row>
    <row r="166" spans="1:10" ht="13.05" customHeight="1">
      <c r="A166" s="5"/>
      <c r="B166" s="38" t="s">
        <v>207</v>
      </c>
      <c r="C166" s="104" t="s">
        <v>208</v>
      </c>
      <c r="D166" s="104"/>
      <c r="E166" s="104"/>
      <c r="F166" s="104"/>
      <c r="G166" s="5"/>
      <c r="H166" s="5"/>
      <c r="I166" s="5"/>
      <c r="J166" s="5"/>
    </row>
    <row r="167" spans="1:10" ht="135" customHeight="1">
      <c r="A167" s="5"/>
      <c r="B167" s="39"/>
      <c r="C167" s="105"/>
      <c r="D167" s="105"/>
      <c r="E167" s="5"/>
      <c r="F167" s="5"/>
      <c r="G167" s="5"/>
      <c r="H167" s="5"/>
      <c r="I167" s="5"/>
      <c r="J167" s="5"/>
    </row>
  </sheetData>
  <mergeCells count="9">
    <mergeCell ref="B164:I164"/>
    <mergeCell ref="C165:F165"/>
    <mergeCell ref="C166:F166"/>
    <mergeCell ref="C167:D167"/>
    <mergeCell ref="B159:I159"/>
    <mergeCell ref="B160:I160"/>
    <mergeCell ref="B161:I161"/>
    <mergeCell ref="B162:I162"/>
    <mergeCell ref="B163:I163"/>
  </mergeCells>
  <hyperlinks>
    <hyperlink ref="A1" location="AxisLargeMidCapFund" display="AXISGOF" xr:uid="{00000000-0004-0000-2400-000000000000}"/>
    <hyperlink ref="B1" location="AxisLargeMidCapFund" display="Axis Large &amp; Mid Cap Fund" xr:uid="{00000000-0004-0000-24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outlinePr summaryBelow="0"/>
  </sheetPr>
  <dimension ref="A1:J47"/>
  <sheetViews>
    <sheetView topLeftCell="A33"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76</v>
      </c>
      <c r="B1" s="4" t="s">
        <v>77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311</v>
      </c>
      <c r="B7" s="19" t="s">
        <v>312</v>
      </c>
      <c r="C7" s="15" t="s">
        <v>313</v>
      </c>
      <c r="D7" s="15" t="s">
        <v>314</v>
      </c>
      <c r="E7" s="20">
        <v>21723</v>
      </c>
      <c r="F7" s="21">
        <v>367.27080000000001</v>
      </c>
      <c r="G7" s="22">
        <v>0.18160000000000001</v>
      </c>
      <c r="H7" s="40"/>
      <c r="I7" s="24"/>
      <c r="J7" s="5"/>
    </row>
    <row r="8" spans="1:10" ht="13.05" customHeight="1">
      <c r="A8" s="18" t="s">
        <v>406</v>
      </c>
      <c r="B8" s="19" t="s">
        <v>407</v>
      </c>
      <c r="C8" s="15" t="s">
        <v>408</v>
      </c>
      <c r="D8" s="15" t="s">
        <v>314</v>
      </c>
      <c r="E8" s="20">
        <v>2618</v>
      </c>
      <c r="F8" s="21">
        <v>176.4008</v>
      </c>
      <c r="G8" s="22">
        <v>8.72E-2</v>
      </c>
      <c r="H8" s="40"/>
      <c r="I8" s="24"/>
      <c r="J8" s="5"/>
    </row>
    <row r="9" spans="1:10" ht="13.05" customHeight="1">
      <c r="A9" s="18" t="s">
        <v>412</v>
      </c>
      <c r="B9" s="19" t="s">
        <v>413</v>
      </c>
      <c r="C9" s="15" t="s">
        <v>414</v>
      </c>
      <c r="D9" s="15" t="s">
        <v>415</v>
      </c>
      <c r="E9" s="20">
        <v>15321</v>
      </c>
      <c r="F9" s="21">
        <v>175.8544</v>
      </c>
      <c r="G9" s="22">
        <v>8.6999999999999994E-2</v>
      </c>
      <c r="H9" s="40"/>
      <c r="I9" s="24"/>
      <c r="J9" s="5"/>
    </row>
    <row r="10" spans="1:10" ht="13.05" customHeight="1">
      <c r="A10" s="18" t="s">
        <v>416</v>
      </c>
      <c r="B10" s="19" t="s">
        <v>417</v>
      </c>
      <c r="C10" s="15" t="s">
        <v>418</v>
      </c>
      <c r="D10" s="15" t="s">
        <v>314</v>
      </c>
      <c r="E10" s="20">
        <v>11594</v>
      </c>
      <c r="F10" s="21">
        <v>174.0607</v>
      </c>
      <c r="G10" s="22">
        <v>8.6099999999999996E-2</v>
      </c>
      <c r="H10" s="40"/>
      <c r="I10" s="24"/>
      <c r="J10" s="5"/>
    </row>
    <row r="11" spans="1:10" ht="13.05" customHeight="1">
      <c r="A11" s="18" t="s">
        <v>429</v>
      </c>
      <c r="B11" s="19" t="s">
        <v>430</v>
      </c>
      <c r="C11" s="15" t="s">
        <v>431</v>
      </c>
      <c r="D11" s="15" t="s">
        <v>415</v>
      </c>
      <c r="E11" s="20">
        <v>2083</v>
      </c>
      <c r="F11" s="21">
        <v>159.99520000000001</v>
      </c>
      <c r="G11" s="22">
        <v>7.9100000000000004E-2</v>
      </c>
      <c r="H11" s="40"/>
      <c r="I11" s="24"/>
      <c r="J11" s="5"/>
    </row>
    <row r="12" spans="1:10" ht="13.05" customHeight="1">
      <c r="A12" s="18" t="s">
        <v>436</v>
      </c>
      <c r="B12" s="19" t="s">
        <v>437</v>
      </c>
      <c r="C12" s="15" t="s">
        <v>438</v>
      </c>
      <c r="D12" s="15" t="s">
        <v>314</v>
      </c>
      <c r="E12" s="20">
        <v>12558</v>
      </c>
      <c r="F12" s="21">
        <v>150.3946</v>
      </c>
      <c r="G12" s="22">
        <v>7.4399999999999994E-2</v>
      </c>
      <c r="H12" s="40"/>
      <c r="I12" s="24"/>
      <c r="J12" s="5"/>
    </row>
    <row r="13" spans="1:10" ht="13.05" customHeight="1">
      <c r="A13" s="18" t="s">
        <v>514</v>
      </c>
      <c r="B13" s="19" t="s">
        <v>515</v>
      </c>
      <c r="C13" s="15" t="s">
        <v>516</v>
      </c>
      <c r="D13" s="15" t="s">
        <v>415</v>
      </c>
      <c r="E13" s="20">
        <v>10739</v>
      </c>
      <c r="F13" s="21">
        <v>109.8653</v>
      </c>
      <c r="G13" s="22">
        <v>5.4300000000000001E-2</v>
      </c>
      <c r="H13" s="40"/>
      <c r="I13" s="24"/>
      <c r="J13" s="5"/>
    </row>
    <row r="14" spans="1:10" ht="13.05" customHeight="1">
      <c r="A14" s="18" t="s">
        <v>549</v>
      </c>
      <c r="B14" s="19" t="s">
        <v>550</v>
      </c>
      <c r="C14" s="15" t="s">
        <v>551</v>
      </c>
      <c r="D14" s="15" t="s">
        <v>314</v>
      </c>
      <c r="E14" s="20">
        <v>4987</v>
      </c>
      <c r="F14" s="21">
        <v>97.919700000000006</v>
      </c>
      <c r="G14" s="22">
        <v>4.8399999999999999E-2</v>
      </c>
      <c r="H14" s="40"/>
      <c r="I14" s="24"/>
      <c r="J14" s="5"/>
    </row>
    <row r="15" spans="1:10" ht="13.05" customHeight="1">
      <c r="A15" s="18" t="s">
        <v>625</v>
      </c>
      <c r="B15" s="19" t="s">
        <v>626</v>
      </c>
      <c r="C15" s="15" t="s">
        <v>627</v>
      </c>
      <c r="D15" s="15" t="s">
        <v>314</v>
      </c>
      <c r="E15" s="20">
        <v>2156</v>
      </c>
      <c r="F15" s="21">
        <v>76.755799999999994</v>
      </c>
      <c r="G15" s="22">
        <v>3.7999999999999999E-2</v>
      </c>
      <c r="H15" s="40"/>
      <c r="I15" s="24"/>
      <c r="J15" s="5"/>
    </row>
    <row r="16" spans="1:10" ht="13.05" customHeight="1">
      <c r="A16" s="18" t="s">
        <v>622</v>
      </c>
      <c r="B16" s="19" t="s">
        <v>623</v>
      </c>
      <c r="C16" s="15" t="s">
        <v>624</v>
      </c>
      <c r="D16" s="15" t="s">
        <v>314</v>
      </c>
      <c r="E16" s="20">
        <v>8009</v>
      </c>
      <c r="F16" s="21">
        <v>76.377799999999993</v>
      </c>
      <c r="G16" s="22">
        <v>3.78E-2</v>
      </c>
      <c r="H16" s="40"/>
      <c r="I16" s="24"/>
      <c r="J16" s="5"/>
    </row>
    <row r="17" spans="1:10" ht="13.05" customHeight="1">
      <c r="A17" s="18" t="s">
        <v>676</v>
      </c>
      <c r="B17" s="19" t="s">
        <v>677</v>
      </c>
      <c r="C17" s="15" t="s">
        <v>678</v>
      </c>
      <c r="D17" s="15" t="s">
        <v>314</v>
      </c>
      <c r="E17" s="20">
        <v>5769</v>
      </c>
      <c r="F17" s="21">
        <v>65.703100000000006</v>
      </c>
      <c r="G17" s="22">
        <v>3.2500000000000001E-2</v>
      </c>
      <c r="H17" s="40"/>
      <c r="I17" s="24"/>
      <c r="J17" s="5"/>
    </row>
    <row r="18" spans="1:10" ht="13.05" customHeight="1">
      <c r="A18" s="18" t="s">
        <v>697</v>
      </c>
      <c r="B18" s="19" t="s">
        <v>698</v>
      </c>
      <c r="C18" s="15" t="s">
        <v>699</v>
      </c>
      <c r="D18" s="15" t="s">
        <v>314</v>
      </c>
      <c r="E18" s="20">
        <v>1155</v>
      </c>
      <c r="F18" s="21">
        <v>63.600099999999998</v>
      </c>
      <c r="G18" s="22">
        <v>3.1399999999999997E-2</v>
      </c>
      <c r="H18" s="40"/>
      <c r="I18" s="24"/>
      <c r="J18" s="5"/>
    </row>
    <row r="19" spans="1:10" ht="13.05" customHeight="1">
      <c r="A19" s="18" t="s">
        <v>721</v>
      </c>
      <c r="B19" s="19" t="s">
        <v>722</v>
      </c>
      <c r="C19" s="15" t="s">
        <v>723</v>
      </c>
      <c r="D19" s="15" t="s">
        <v>314</v>
      </c>
      <c r="E19" s="20">
        <v>3106</v>
      </c>
      <c r="F19" s="21">
        <v>58.740699999999997</v>
      </c>
      <c r="G19" s="22">
        <v>2.9000000000000001E-2</v>
      </c>
      <c r="H19" s="40"/>
      <c r="I19" s="24"/>
      <c r="J19" s="5"/>
    </row>
    <row r="20" spans="1:10" ht="13.05" customHeight="1">
      <c r="A20" s="18" t="s">
        <v>739</v>
      </c>
      <c r="B20" s="19" t="s">
        <v>740</v>
      </c>
      <c r="C20" s="15" t="s">
        <v>741</v>
      </c>
      <c r="D20" s="15" t="s">
        <v>314</v>
      </c>
      <c r="E20" s="20">
        <v>2325</v>
      </c>
      <c r="F20" s="21">
        <v>55.427999999999997</v>
      </c>
      <c r="G20" s="22">
        <v>2.7400000000000001E-2</v>
      </c>
      <c r="H20" s="40"/>
      <c r="I20" s="24"/>
      <c r="J20" s="5"/>
    </row>
    <row r="21" spans="1:10" ht="13.05" customHeight="1">
      <c r="A21" s="18" t="s">
        <v>777</v>
      </c>
      <c r="B21" s="19" t="s">
        <v>778</v>
      </c>
      <c r="C21" s="15" t="s">
        <v>779</v>
      </c>
      <c r="D21" s="15" t="s">
        <v>314</v>
      </c>
      <c r="E21" s="20">
        <v>5150</v>
      </c>
      <c r="F21" s="21">
        <v>50.184199999999997</v>
      </c>
      <c r="G21" s="22">
        <v>2.4799999999999999E-2</v>
      </c>
      <c r="H21" s="40"/>
      <c r="I21" s="24"/>
      <c r="J21" s="5"/>
    </row>
    <row r="22" spans="1:10" ht="13.05" customHeight="1">
      <c r="A22" s="18" t="s">
        <v>819</v>
      </c>
      <c r="B22" s="19" t="s">
        <v>820</v>
      </c>
      <c r="C22" s="15" t="s">
        <v>821</v>
      </c>
      <c r="D22" s="15" t="s">
        <v>314</v>
      </c>
      <c r="E22" s="20">
        <v>12401</v>
      </c>
      <c r="F22" s="21">
        <v>46.144100000000002</v>
      </c>
      <c r="G22" s="22">
        <v>2.2800000000000001E-2</v>
      </c>
      <c r="H22" s="40"/>
      <c r="I22" s="24"/>
      <c r="J22" s="5"/>
    </row>
    <row r="23" spans="1:10" ht="13.05" customHeight="1">
      <c r="A23" s="18" t="s">
        <v>904</v>
      </c>
      <c r="B23" s="19" t="s">
        <v>905</v>
      </c>
      <c r="C23" s="15" t="s">
        <v>906</v>
      </c>
      <c r="D23" s="15" t="s">
        <v>314</v>
      </c>
      <c r="E23" s="20">
        <v>2866</v>
      </c>
      <c r="F23" s="21">
        <v>36.432600000000001</v>
      </c>
      <c r="G23" s="22">
        <v>1.7999999999999999E-2</v>
      </c>
      <c r="H23" s="40"/>
      <c r="I23" s="24"/>
      <c r="J23" s="5"/>
    </row>
    <row r="24" spans="1:10" ht="13.05" customHeight="1">
      <c r="A24" s="18" t="s">
        <v>952</v>
      </c>
      <c r="B24" s="19" t="s">
        <v>953</v>
      </c>
      <c r="C24" s="15" t="s">
        <v>954</v>
      </c>
      <c r="D24" s="15" t="s">
        <v>314</v>
      </c>
      <c r="E24" s="20">
        <v>107</v>
      </c>
      <c r="F24" s="21">
        <v>31.024699999999999</v>
      </c>
      <c r="G24" s="22">
        <v>1.5299999999999999E-2</v>
      </c>
      <c r="H24" s="40"/>
      <c r="I24" s="24"/>
      <c r="J24" s="5"/>
    </row>
    <row r="25" spans="1:10" ht="13.05" customHeight="1">
      <c r="A25" s="18" t="s">
        <v>1055</v>
      </c>
      <c r="B25" s="19" t="s">
        <v>1056</v>
      </c>
      <c r="C25" s="15" t="s">
        <v>1057</v>
      </c>
      <c r="D25" s="15" t="s">
        <v>415</v>
      </c>
      <c r="E25" s="20">
        <v>3908</v>
      </c>
      <c r="F25" s="21">
        <v>25.405899999999999</v>
      </c>
      <c r="G25" s="22">
        <v>1.26E-2</v>
      </c>
      <c r="H25" s="40"/>
      <c r="I25" s="24"/>
      <c r="J25" s="5"/>
    </row>
    <row r="26" spans="1:10" ht="13.05" customHeight="1">
      <c r="A26" s="18" t="s">
        <v>1058</v>
      </c>
      <c r="B26" s="19" t="s">
        <v>1059</v>
      </c>
      <c r="C26" s="15" t="s">
        <v>1060</v>
      </c>
      <c r="D26" s="15" t="s">
        <v>314</v>
      </c>
      <c r="E26" s="20">
        <v>11756</v>
      </c>
      <c r="F26" s="21">
        <v>23.468499999999999</v>
      </c>
      <c r="G26" s="22">
        <v>1.1599999999999999E-2</v>
      </c>
      <c r="H26" s="40"/>
      <c r="I26" s="24"/>
      <c r="J26" s="5"/>
    </row>
    <row r="27" spans="1:10" ht="13.05" customHeight="1">
      <c r="A27" s="5"/>
      <c r="B27" s="14" t="s">
        <v>192</v>
      </c>
      <c r="C27" s="15"/>
      <c r="D27" s="15"/>
      <c r="E27" s="15"/>
      <c r="F27" s="25">
        <v>2021.0271</v>
      </c>
      <c r="G27" s="26">
        <v>0.99929999999999997</v>
      </c>
      <c r="H27" s="27"/>
      <c r="I27" s="28"/>
      <c r="J27" s="5"/>
    </row>
    <row r="28" spans="1:10" ht="13.05" customHeight="1">
      <c r="A28" s="5"/>
      <c r="B28" s="29" t="s">
        <v>1812</v>
      </c>
      <c r="C28" s="2"/>
      <c r="D28" s="2"/>
      <c r="E28" s="2"/>
      <c r="F28" s="27" t="s">
        <v>194</v>
      </c>
      <c r="G28" s="27" t="s">
        <v>194</v>
      </c>
      <c r="H28" s="27"/>
      <c r="I28" s="28"/>
      <c r="J28" s="5"/>
    </row>
    <row r="29" spans="1:10" ht="13.05" customHeight="1">
      <c r="A29" s="5"/>
      <c r="B29" s="29" t="s">
        <v>192</v>
      </c>
      <c r="C29" s="2"/>
      <c r="D29" s="2"/>
      <c r="E29" s="2"/>
      <c r="F29" s="27" t="s">
        <v>194</v>
      </c>
      <c r="G29" s="27" t="s">
        <v>194</v>
      </c>
      <c r="H29" s="27"/>
      <c r="I29" s="28"/>
      <c r="J29" s="5"/>
    </row>
    <row r="30" spans="1:10" ht="13.05" customHeight="1">
      <c r="A30" s="5"/>
      <c r="B30" s="29" t="s">
        <v>195</v>
      </c>
      <c r="C30" s="30"/>
      <c r="D30" s="2"/>
      <c r="E30" s="30"/>
      <c r="F30" s="25">
        <v>2021.0271</v>
      </c>
      <c r="G30" s="26">
        <v>0.99929999999999997</v>
      </c>
      <c r="H30" s="27"/>
      <c r="I30" s="28"/>
      <c r="J30" s="5"/>
    </row>
    <row r="31" spans="1:10" ht="13.05" customHeight="1">
      <c r="A31" s="5"/>
      <c r="B31" s="14" t="s">
        <v>196</v>
      </c>
      <c r="C31" s="15"/>
      <c r="D31" s="15"/>
      <c r="E31" s="15"/>
      <c r="F31" s="15"/>
      <c r="G31" s="15"/>
      <c r="H31" s="16"/>
      <c r="I31" s="17"/>
      <c r="J31" s="5"/>
    </row>
    <row r="32" spans="1:10" ht="13.05" customHeight="1">
      <c r="A32" s="18" t="s">
        <v>197</v>
      </c>
      <c r="B32" s="19" t="s">
        <v>198</v>
      </c>
      <c r="C32" s="15"/>
      <c r="D32" s="15"/>
      <c r="E32" s="20"/>
      <c r="F32" s="21">
        <v>3.8488000000000002</v>
      </c>
      <c r="G32" s="22">
        <v>1.9E-3</v>
      </c>
      <c r="H32" s="23">
        <v>5.5572760564139331E-2</v>
      </c>
      <c r="I32" s="24"/>
      <c r="J32" s="5"/>
    </row>
    <row r="33" spans="1:10" ht="13.05" customHeight="1">
      <c r="A33" s="5"/>
      <c r="B33" s="14" t="s">
        <v>192</v>
      </c>
      <c r="C33" s="15"/>
      <c r="D33" s="15"/>
      <c r="E33" s="15"/>
      <c r="F33" s="25">
        <v>3.8488000000000002</v>
      </c>
      <c r="G33" s="26">
        <v>1.9E-3</v>
      </c>
      <c r="H33" s="27"/>
      <c r="I33" s="28"/>
      <c r="J33" s="5"/>
    </row>
    <row r="34" spans="1:10" ht="13.05" customHeight="1">
      <c r="A34" s="5"/>
      <c r="B34" s="29" t="s">
        <v>195</v>
      </c>
      <c r="C34" s="30"/>
      <c r="D34" s="2"/>
      <c r="E34" s="30"/>
      <c r="F34" s="25">
        <v>3.8488000000000002</v>
      </c>
      <c r="G34" s="26">
        <v>1.9E-3</v>
      </c>
      <c r="H34" s="27"/>
      <c r="I34" s="28"/>
      <c r="J34" s="5"/>
    </row>
    <row r="35" spans="1:10" ht="13.05" customHeight="1">
      <c r="A35" s="5"/>
      <c r="B35" s="29" t="s">
        <v>199</v>
      </c>
      <c r="C35" s="15"/>
      <c r="D35" s="2"/>
      <c r="E35" s="15"/>
      <c r="F35" s="31">
        <v>-2.4258999999999999</v>
      </c>
      <c r="G35" s="26">
        <v>-1.1999999999999999E-3</v>
      </c>
      <c r="H35" s="27"/>
      <c r="I35" s="28"/>
      <c r="J35" s="5"/>
    </row>
    <row r="36" spans="1:10" ht="13.05" customHeight="1">
      <c r="A36" s="5"/>
      <c r="B36" s="32" t="s">
        <v>200</v>
      </c>
      <c r="C36" s="33"/>
      <c r="D36" s="33"/>
      <c r="E36" s="33"/>
      <c r="F36" s="34">
        <v>2022.45</v>
      </c>
      <c r="G36" s="35">
        <v>1</v>
      </c>
      <c r="H36" s="36"/>
      <c r="I36" s="37"/>
      <c r="J36" s="5"/>
    </row>
    <row r="37" spans="1:10" ht="13.05" customHeight="1">
      <c r="A37" s="5"/>
      <c r="B37" s="7"/>
      <c r="C37" s="5"/>
      <c r="D37" s="5"/>
      <c r="E37" s="5"/>
      <c r="F37" s="5"/>
      <c r="G37" s="5"/>
      <c r="H37" s="5"/>
      <c r="I37" s="5"/>
      <c r="J37" s="5"/>
    </row>
    <row r="38" spans="1:10" ht="13.05" customHeight="1">
      <c r="A38" s="5"/>
      <c r="B38" s="4" t="s">
        <v>201</v>
      </c>
      <c r="C38" s="5"/>
      <c r="D38" s="5"/>
      <c r="E38" s="5"/>
      <c r="F38" s="5"/>
      <c r="G38" s="5"/>
      <c r="H38" s="5"/>
      <c r="I38" s="5"/>
      <c r="J38" s="5"/>
    </row>
    <row r="39" spans="1:10" ht="25.95" customHeight="1">
      <c r="A39" s="5"/>
      <c r="B39" s="103" t="s">
        <v>202</v>
      </c>
      <c r="C39" s="103"/>
      <c r="D39" s="103"/>
      <c r="E39" s="103"/>
      <c r="F39" s="103"/>
      <c r="G39" s="103"/>
      <c r="H39" s="103"/>
      <c r="I39" s="103"/>
      <c r="J39" s="5"/>
    </row>
    <row r="40" spans="1:10" ht="13.05" customHeight="1">
      <c r="A40" s="5"/>
      <c r="B40" s="103" t="s">
        <v>203</v>
      </c>
      <c r="C40" s="103"/>
      <c r="D40" s="103"/>
      <c r="E40" s="103"/>
      <c r="F40" s="103"/>
      <c r="G40" s="103"/>
      <c r="H40" s="103"/>
      <c r="I40" s="103"/>
      <c r="J40" s="5"/>
    </row>
    <row r="41" spans="1:10" ht="13.05" customHeight="1">
      <c r="A41" s="5"/>
      <c r="B41" s="103"/>
      <c r="C41" s="103"/>
      <c r="D41" s="103"/>
      <c r="E41" s="103"/>
      <c r="F41" s="103"/>
      <c r="G41" s="103"/>
      <c r="H41" s="103"/>
      <c r="I41" s="103"/>
      <c r="J41" s="5"/>
    </row>
    <row r="42" spans="1:10" ht="13.05" customHeight="1">
      <c r="A42" s="5"/>
      <c r="B42" s="103"/>
      <c r="C42" s="103"/>
      <c r="D42" s="103"/>
      <c r="E42" s="103"/>
      <c r="F42" s="103"/>
      <c r="G42" s="103"/>
      <c r="H42" s="103"/>
      <c r="I42" s="103"/>
      <c r="J42" s="5"/>
    </row>
    <row r="43" spans="1:10" ht="13.05" customHeight="1">
      <c r="A43" s="5"/>
      <c r="B43" s="103"/>
      <c r="C43" s="103"/>
      <c r="D43" s="103"/>
      <c r="E43" s="103"/>
      <c r="F43" s="103"/>
      <c r="G43" s="103"/>
      <c r="H43" s="103"/>
      <c r="I43" s="103"/>
      <c r="J43" s="5"/>
    </row>
    <row r="44" spans="1:10" ht="13.05" customHeight="1">
      <c r="A44" s="5"/>
      <c r="B44" s="103"/>
      <c r="C44" s="103"/>
      <c r="D44" s="103"/>
      <c r="E44" s="103"/>
      <c r="F44" s="103"/>
      <c r="G44" s="103"/>
      <c r="H44" s="103"/>
      <c r="I44" s="103"/>
      <c r="J44" s="5"/>
    </row>
    <row r="45" spans="1:10" ht="13.05" customHeight="1">
      <c r="A45" s="5"/>
      <c r="B45" s="5"/>
      <c r="C45" s="104" t="s">
        <v>3816</v>
      </c>
      <c r="D45" s="104"/>
      <c r="E45" s="104"/>
      <c r="F45" s="104"/>
      <c r="G45" s="5"/>
      <c r="H45" s="5"/>
      <c r="I45" s="5"/>
      <c r="J45" s="5"/>
    </row>
    <row r="46" spans="1:10" ht="13.05" customHeight="1">
      <c r="A46" s="5"/>
      <c r="B46" s="38" t="s">
        <v>207</v>
      </c>
      <c r="C46" s="104" t="s">
        <v>208</v>
      </c>
      <c r="D46" s="104"/>
      <c r="E46" s="104"/>
      <c r="F46" s="104"/>
      <c r="G46" s="5"/>
      <c r="H46" s="5"/>
      <c r="I46" s="5"/>
      <c r="J46" s="5"/>
    </row>
    <row r="47" spans="1:10" ht="135" customHeight="1">
      <c r="A47" s="5"/>
      <c r="B47" s="39"/>
      <c r="C47" s="105"/>
      <c r="D47" s="105"/>
      <c r="E47" s="5"/>
      <c r="F47" s="5"/>
      <c r="G47" s="5"/>
      <c r="H47" s="5"/>
      <c r="I47" s="5"/>
      <c r="J47" s="5"/>
    </row>
  </sheetData>
  <mergeCells count="9">
    <mergeCell ref="B44:I44"/>
    <mergeCell ref="C45:F45"/>
    <mergeCell ref="C46:F46"/>
    <mergeCell ref="C47:D47"/>
    <mergeCell ref="B39:I39"/>
    <mergeCell ref="B40:I40"/>
    <mergeCell ref="B41:I41"/>
    <mergeCell ref="B42:I42"/>
    <mergeCell ref="B43:I43"/>
  </mergeCells>
  <hyperlinks>
    <hyperlink ref="A1" location="AxisNIFTYHealthcareETF" display="AXISHETF" xr:uid="{00000000-0004-0000-2500-000000000000}"/>
    <hyperlink ref="B1" location="AxisNIFTYHealthcareETF" display="Axis NIFTY Healthcare ETF" xr:uid="{00000000-0004-0000-25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outlinePr summaryBelow="0"/>
  </sheetPr>
  <dimension ref="A1:L123"/>
  <sheetViews>
    <sheetView topLeftCell="A108" workbookViewId="0">
      <selection activeCell="D67" sqref="D67"/>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 min="11" max="11" width="11.77734375" bestFit="1" customWidth="1"/>
  </cols>
  <sheetData>
    <row r="1" spans="1:10" ht="16.05" customHeight="1">
      <c r="A1" s="3" t="s">
        <v>78</v>
      </c>
      <c r="B1" s="4" t="s">
        <v>79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2991</v>
      </c>
      <c r="B7" s="19" t="s">
        <v>2992</v>
      </c>
      <c r="C7" s="15" t="s">
        <v>2993</v>
      </c>
      <c r="D7" s="15" t="s">
        <v>541</v>
      </c>
      <c r="E7" s="20">
        <v>904979</v>
      </c>
      <c r="F7" s="21">
        <v>1045.4317000000001</v>
      </c>
      <c r="G7" s="22">
        <v>5.4000000000000003E-3</v>
      </c>
      <c r="H7" s="40"/>
      <c r="I7" s="24"/>
      <c r="J7" s="5"/>
    </row>
    <row r="8" spans="1:10" ht="13.05" customHeight="1">
      <c r="A8" s="18" t="s">
        <v>3526</v>
      </c>
      <c r="B8" s="19" t="s">
        <v>3527</v>
      </c>
      <c r="C8" s="15" t="s">
        <v>3528</v>
      </c>
      <c r="D8" s="15" t="s">
        <v>541</v>
      </c>
      <c r="E8" s="20">
        <v>26120</v>
      </c>
      <c r="F8" s="21">
        <v>112.04170000000001</v>
      </c>
      <c r="G8" s="22">
        <v>5.9999999999999995E-4</v>
      </c>
      <c r="H8" s="40"/>
      <c r="I8" s="24"/>
      <c r="J8" s="5"/>
    </row>
    <row r="9" spans="1:10" ht="13.05" customHeight="1">
      <c r="A9" s="5"/>
      <c r="B9" s="14" t="s">
        <v>192</v>
      </c>
      <c r="C9" s="15"/>
      <c r="D9" s="15"/>
      <c r="E9" s="15"/>
      <c r="F9" s="25">
        <v>1157.4735000000001</v>
      </c>
      <c r="G9" s="26">
        <v>6.0000000000000001E-3</v>
      </c>
      <c r="H9" s="27"/>
      <c r="I9" s="28"/>
      <c r="J9" s="5"/>
    </row>
    <row r="10" spans="1:10" ht="13.05" customHeight="1">
      <c r="A10" s="5"/>
      <c r="B10" s="29" t="s">
        <v>1812</v>
      </c>
      <c r="C10" s="2"/>
      <c r="D10" s="2"/>
      <c r="E10" s="2"/>
      <c r="F10" s="27" t="s">
        <v>194</v>
      </c>
      <c r="G10" s="27" t="s">
        <v>194</v>
      </c>
      <c r="H10" s="27"/>
      <c r="I10" s="28"/>
      <c r="J10" s="5"/>
    </row>
    <row r="11" spans="1:10" ht="13.05" customHeight="1">
      <c r="A11" s="5"/>
      <c r="B11" s="29" t="s">
        <v>192</v>
      </c>
      <c r="C11" s="2"/>
      <c r="D11" s="2"/>
      <c r="E11" s="2"/>
      <c r="F11" s="27" t="s">
        <v>194</v>
      </c>
      <c r="G11" s="27" t="s">
        <v>194</v>
      </c>
      <c r="H11" s="27"/>
      <c r="I11" s="28"/>
      <c r="J11" s="5"/>
    </row>
    <row r="12" spans="1:10" ht="13.05" customHeight="1">
      <c r="A12" s="5"/>
      <c r="B12" s="29" t="s">
        <v>195</v>
      </c>
      <c r="C12" s="30"/>
      <c r="D12" s="2"/>
      <c r="E12" s="30"/>
      <c r="F12" s="25">
        <v>1157.4735000000001</v>
      </c>
      <c r="G12" s="26">
        <v>6.0000000000000001E-3</v>
      </c>
      <c r="H12" s="27"/>
      <c r="I12" s="28"/>
      <c r="J12" s="5"/>
    </row>
    <row r="13" spans="1:10" ht="13.05" customHeight="1">
      <c r="A13" s="5"/>
      <c r="B13" s="14" t="s">
        <v>1871</v>
      </c>
      <c r="C13" s="15"/>
      <c r="D13" s="15"/>
      <c r="E13" s="15"/>
      <c r="F13" s="15"/>
      <c r="G13" s="15"/>
      <c r="H13" s="16"/>
      <c r="I13" s="17"/>
      <c r="J13" s="5"/>
    </row>
    <row r="14" spans="1:10" ht="13.05" customHeight="1">
      <c r="A14" s="5"/>
      <c r="B14" s="14" t="s">
        <v>1872</v>
      </c>
      <c r="C14" s="15"/>
      <c r="D14" s="15"/>
      <c r="E14" s="15"/>
      <c r="F14" s="5"/>
      <c r="G14" s="16"/>
      <c r="H14" s="16"/>
      <c r="I14" s="17"/>
      <c r="J14" s="5"/>
    </row>
    <row r="15" spans="1:10" ht="13.05" customHeight="1">
      <c r="A15" s="18" t="s">
        <v>3817</v>
      </c>
      <c r="B15" s="19" t="s">
        <v>3818</v>
      </c>
      <c r="C15" s="15"/>
      <c r="D15" s="15"/>
      <c r="E15" s="20"/>
      <c r="F15" s="21">
        <v>-7.3150000000000004</v>
      </c>
      <c r="G15" s="40" t="s">
        <v>1809</v>
      </c>
      <c r="H15" s="40"/>
      <c r="I15" s="24"/>
      <c r="J15" s="5"/>
    </row>
    <row r="16" spans="1:10" ht="13.05" customHeight="1">
      <c r="A16" s="5"/>
      <c r="B16" s="14" t="s">
        <v>192</v>
      </c>
      <c r="C16" s="15"/>
      <c r="D16" s="15"/>
      <c r="E16" s="15"/>
      <c r="F16" s="25">
        <v>-7.3150000000000004</v>
      </c>
      <c r="G16" s="27" t="s">
        <v>1809</v>
      </c>
      <c r="H16" s="27"/>
      <c r="I16" s="28"/>
      <c r="J16" s="5"/>
    </row>
    <row r="17" spans="1:10" ht="13.05" customHeight="1">
      <c r="A17" s="5"/>
      <c r="B17" s="29" t="s">
        <v>195</v>
      </c>
      <c r="C17" s="30"/>
      <c r="D17" s="2"/>
      <c r="E17" s="30"/>
      <c r="F17" s="25">
        <v>-7.3150000000000004</v>
      </c>
      <c r="G17" s="27" t="s">
        <v>1809</v>
      </c>
      <c r="H17" s="27"/>
      <c r="I17" s="28"/>
      <c r="J17" s="5"/>
    </row>
    <row r="18" spans="1:10" ht="13.05" customHeight="1">
      <c r="A18" s="5"/>
      <c r="B18" s="14" t="s">
        <v>183</v>
      </c>
      <c r="C18" s="15"/>
      <c r="D18" s="15"/>
      <c r="E18" s="15"/>
      <c r="F18" s="15"/>
      <c r="G18" s="15"/>
      <c r="H18" s="16"/>
      <c r="I18" s="17"/>
      <c r="J18" s="5"/>
    </row>
    <row r="19" spans="1:10" ht="13.05" customHeight="1">
      <c r="A19" s="5"/>
      <c r="B19" s="14" t="s">
        <v>184</v>
      </c>
      <c r="C19" s="15"/>
      <c r="D19" s="15"/>
      <c r="E19" s="15"/>
      <c r="F19" s="5"/>
      <c r="G19" s="16"/>
      <c r="H19" s="16"/>
      <c r="I19" s="17"/>
      <c r="J19" s="5"/>
    </row>
    <row r="20" spans="1:10" ht="13.05" customHeight="1">
      <c r="A20" s="18" t="s">
        <v>2441</v>
      </c>
      <c r="B20" s="19" t="s">
        <v>2442</v>
      </c>
      <c r="C20" s="15" t="s">
        <v>2443</v>
      </c>
      <c r="D20" s="15" t="s">
        <v>188</v>
      </c>
      <c r="E20" s="20">
        <v>21200000</v>
      </c>
      <c r="F20" s="21">
        <v>21882.788400000001</v>
      </c>
      <c r="G20" s="22">
        <v>0.1135</v>
      </c>
      <c r="H20" s="23">
        <v>6.7038E-2</v>
      </c>
      <c r="I20" s="24"/>
      <c r="J20" s="5"/>
    </row>
    <row r="21" spans="1:10" ht="13.05" customHeight="1">
      <c r="A21" s="18" t="s">
        <v>3657</v>
      </c>
      <c r="B21" s="19" t="s">
        <v>3658</v>
      </c>
      <c r="C21" s="15" t="s">
        <v>3659</v>
      </c>
      <c r="D21" s="15" t="s">
        <v>3656</v>
      </c>
      <c r="E21" s="20">
        <v>6500</v>
      </c>
      <c r="F21" s="21">
        <v>6884.4425000000001</v>
      </c>
      <c r="G21" s="22">
        <v>3.5700000000000003E-2</v>
      </c>
      <c r="H21" s="23">
        <v>8.0699999999999994E-2</v>
      </c>
      <c r="I21" s="24"/>
      <c r="J21" s="5"/>
    </row>
    <row r="22" spans="1:10" ht="13.05" customHeight="1">
      <c r="A22" s="18" t="s">
        <v>3127</v>
      </c>
      <c r="B22" s="19" t="s">
        <v>3128</v>
      </c>
      <c r="C22" s="15" t="s">
        <v>3129</v>
      </c>
      <c r="D22" s="15" t="s">
        <v>3130</v>
      </c>
      <c r="E22" s="20">
        <v>6500</v>
      </c>
      <c r="F22" s="21">
        <v>6582.5955000000004</v>
      </c>
      <c r="G22" s="22">
        <v>3.4099999999999998E-2</v>
      </c>
      <c r="H22" s="23">
        <v>8.5999999999999993E-2</v>
      </c>
      <c r="I22" s="24"/>
      <c r="J22" s="5"/>
    </row>
    <row r="23" spans="1:10" ht="13.05" customHeight="1">
      <c r="A23" s="18" t="s">
        <v>1881</v>
      </c>
      <c r="B23" s="19" t="s">
        <v>1882</v>
      </c>
      <c r="C23" s="15" t="s">
        <v>1883</v>
      </c>
      <c r="D23" s="15" t="s">
        <v>188</v>
      </c>
      <c r="E23" s="20">
        <v>6031900</v>
      </c>
      <c r="F23" s="21">
        <v>6113.7830000000004</v>
      </c>
      <c r="G23" s="22">
        <v>3.1699999999999999E-2</v>
      </c>
      <c r="H23" s="23">
        <v>6.694E-2</v>
      </c>
      <c r="I23" s="24"/>
      <c r="J23" s="5"/>
    </row>
    <row r="24" spans="1:10" ht="13.05" customHeight="1">
      <c r="A24" s="18" t="s">
        <v>3819</v>
      </c>
      <c r="B24" s="19" t="s">
        <v>3820</v>
      </c>
      <c r="C24" s="15" t="s">
        <v>3821</v>
      </c>
      <c r="D24" s="15" t="s">
        <v>3656</v>
      </c>
      <c r="E24" s="20">
        <v>6000</v>
      </c>
      <c r="F24" s="21">
        <v>6070.9139999999998</v>
      </c>
      <c r="G24" s="22">
        <v>3.15E-2</v>
      </c>
      <c r="H24" s="23">
        <v>7.4649999999999994E-2</v>
      </c>
      <c r="I24" s="24"/>
      <c r="J24" s="5"/>
    </row>
    <row r="25" spans="1:10" ht="13.05" customHeight="1">
      <c r="A25" s="18" t="s">
        <v>3532</v>
      </c>
      <c r="B25" s="19" t="s">
        <v>3533</v>
      </c>
      <c r="C25" s="15" t="s">
        <v>3534</v>
      </c>
      <c r="D25" s="15" t="s">
        <v>3146</v>
      </c>
      <c r="E25" s="20">
        <v>6000</v>
      </c>
      <c r="F25" s="21">
        <v>6028.866</v>
      </c>
      <c r="G25" s="22">
        <v>3.1300000000000001E-2</v>
      </c>
      <c r="H25" s="23">
        <v>8.9399000000000006E-2</v>
      </c>
      <c r="I25" s="24"/>
      <c r="J25" s="5"/>
    </row>
    <row r="26" spans="1:10" ht="13.05" customHeight="1">
      <c r="A26" s="18" t="s">
        <v>3822</v>
      </c>
      <c r="B26" s="19" t="s">
        <v>3823</v>
      </c>
      <c r="C26" s="15" t="s">
        <v>3824</v>
      </c>
      <c r="D26" s="15" t="s">
        <v>3548</v>
      </c>
      <c r="E26" s="20">
        <v>5800</v>
      </c>
      <c r="F26" s="21">
        <v>5833.8951999999999</v>
      </c>
      <c r="G26" s="22">
        <v>3.0300000000000001E-2</v>
      </c>
      <c r="H26" s="23">
        <v>8.2949999999999996E-2</v>
      </c>
      <c r="I26" s="24"/>
      <c r="J26" s="5"/>
    </row>
    <row r="27" spans="1:10" ht="13.05" customHeight="1">
      <c r="A27" s="18" t="s">
        <v>3825</v>
      </c>
      <c r="B27" s="19" t="s">
        <v>3826</v>
      </c>
      <c r="C27" s="15" t="s">
        <v>3827</v>
      </c>
      <c r="D27" s="15" t="s">
        <v>3146</v>
      </c>
      <c r="E27" s="20">
        <v>5500</v>
      </c>
      <c r="F27" s="21">
        <v>5652.7569999999996</v>
      </c>
      <c r="G27" s="22">
        <v>2.93E-2</v>
      </c>
      <c r="H27" s="23">
        <v>9.0149999999999994E-2</v>
      </c>
      <c r="I27" s="24"/>
      <c r="J27" s="5"/>
    </row>
    <row r="28" spans="1:10" ht="13.05" customHeight="1">
      <c r="A28" s="18" t="s">
        <v>3828</v>
      </c>
      <c r="B28" s="19" t="s">
        <v>3829</v>
      </c>
      <c r="C28" s="15" t="s">
        <v>3830</v>
      </c>
      <c r="D28" s="15" t="s">
        <v>1923</v>
      </c>
      <c r="E28" s="20">
        <v>5500</v>
      </c>
      <c r="F28" s="21">
        <v>5594.3305</v>
      </c>
      <c r="G28" s="22">
        <v>2.9000000000000001E-2</v>
      </c>
      <c r="H28" s="23">
        <v>7.0399000000000003E-2</v>
      </c>
      <c r="I28" s="24"/>
      <c r="J28" s="5"/>
    </row>
    <row r="29" spans="1:10" ht="13.05" customHeight="1">
      <c r="A29" s="18" t="s">
        <v>2470</v>
      </c>
      <c r="B29" s="19" t="s">
        <v>2471</v>
      </c>
      <c r="C29" s="15" t="s">
        <v>2472</v>
      </c>
      <c r="D29" s="15" t="s">
        <v>2473</v>
      </c>
      <c r="E29" s="20">
        <v>5500</v>
      </c>
      <c r="F29" s="21">
        <v>5533.7974999999997</v>
      </c>
      <c r="G29" s="22">
        <v>2.87E-2</v>
      </c>
      <c r="H29" s="23">
        <v>8.3888000000000004E-2</v>
      </c>
      <c r="I29" s="24"/>
      <c r="J29" s="5"/>
    </row>
    <row r="30" spans="1:10" ht="13.05" customHeight="1">
      <c r="A30" s="18" t="s">
        <v>3831</v>
      </c>
      <c r="B30" s="19" t="s">
        <v>3832</v>
      </c>
      <c r="C30" s="15" t="s">
        <v>3833</v>
      </c>
      <c r="D30" s="15" t="s">
        <v>3146</v>
      </c>
      <c r="E30" s="20">
        <v>5200</v>
      </c>
      <c r="F30" s="21">
        <v>5286.7308000000003</v>
      </c>
      <c r="G30" s="22">
        <v>2.7400000000000001E-2</v>
      </c>
      <c r="H30" s="23">
        <v>7.6249999999999998E-2</v>
      </c>
      <c r="I30" s="24"/>
      <c r="J30" s="5"/>
    </row>
    <row r="31" spans="1:10" ht="13.05" customHeight="1">
      <c r="A31" s="18" t="s">
        <v>3555</v>
      </c>
      <c r="B31" s="19" t="s">
        <v>3556</v>
      </c>
      <c r="C31" s="15" t="s">
        <v>3557</v>
      </c>
      <c r="D31" s="15" t="s">
        <v>3558</v>
      </c>
      <c r="E31" s="20">
        <v>4500</v>
      </c>
      <c r="F31" s="21">
        <v>4481.4105</v>
      </c>
      <c r="G31" s="22">
        <v>2.3199999999999998E-2</v>
      </c>
      <c r="H31" s="23">
        <v>0.10150000000000001</v>
      </c>
      <c r="I31" s="24"/>
      <c r="J31" s="5"/>
    </row>
    <row r="32" spans="1:10" ht="13.05" customHeight="1">
      <c r="A32" s="18" t="s">
        <v>3545</v>
      </c>
      <c r="B32" s="19" t="s">
        <v>3546</v>
      </c>
      <c r="C32" s="15" t="s">
        <v>3547</v>
      </c>
      <c r="D32" s="15" t="s">
        <v>3548</v>
      </c>
      <c r="E32" s="20">
        <v>5000</v>
      </c>
      <c r="F32" s="21">
        <v>4374.63</v>
      </c>
      <c r="G32" s="22">
        <v>2.2700000000000001E-2</v>
      </c>
      <c r="H32" s="23">
        <v>9.3352000000000004E-2</v>
      </c>
      <c r="I32" s="24"/>
      <c r="J32" s="5"/>
    </row>
    <row r="33" spans="1:10" ht="13.05" customHeight="1">
      <c r="A33" s="18" t="s">
        <v>3834</v>
      </c>
      <c r="B33" s="19" t="s">
        <v>3835</v>
      </c>
      <c r="C33" s="15" t="s">
        <v>3836</v>
      </c>
      <c r="D33" s="15" t="s">
        <v>3146</v>
      </c>
      <c r="E33" s="20">
        <v>4200</v>
      </c>
      <c r="F33" s="21">
        <v>4199.6682000000001</v>
      </c>
      <c r="G33" s="22">
        <v>2.18E-2</v>
      </c>
      <c r="H33" s="23">
        <v>8.2050999999999999E-2</v>
      </c>
      <c r="I33" s="24"/>
      <c r="J33" s="5"/>
    </row>
    <row r="34" spans="1:10" ht="13.05" customHeight="1">
      <c r="A34" s="18" t="s">
        <v>3535</v>
      </c>
      <c r="B34" s="19" t="s">
        <v>3536</v>
      </c>
      <c r="C34" s="15" t="s">
        <v>3537</v>
      </c>
      <c r="D34" s="15" t="s">
        <v>3538</v>
      </c>
      <c r="E34" s="20">
        <v>4000</v>
      </c>
      <c r="F34" s="21">
        <v>4064.0239999999999</v>
      </c>
      <c r="G34" s="22">
        <v>2.1100000000000001E-2</v>
      </c>
      <c r="H34" s="23">
        <v>9.7694000000000003E-2</v>
      </c>
      <c r="I34" s="24"/>
      <c r="J34" s="5"/>
    </row>
    <row r="35" spans="1:10" ht="13.05" customHeight="1">
      <c r="A35" s="18" t="s">
        <v>3837</v>
      </c>
      <c r="B35" s="19" t="s">
        <v>3838</v>
      </c>
      <c r="C35" s="15" t="s">
        <v>3839</v>
      </c>
      <c r="D35" s="15" t="s">
        <v>3840</v>
      </c>
      <c r="E35" s="20">
        <v>4000</v>
      </c>
      <c r="F35" s="21">
        <v>4008.6239999999998</v>
      </c>
      <c r="G35" s="22">
        <v>2.0799999999999999E-2</v>
      </c>
      <c r="H35" s="23">
        <v>9.7061999999999996E-2</v>
      </c>
      <c r="I35" s="24"/>
      <c r="J35" s="5"/>
    </row>
    <row r="36" spans="1:10" ht="13.05" customHeight="1">
      <c r="A36" s="18" t="s">
        <v>3841</v>
      </c>
      <c r="B36" s="19" t="s">
        <v>3842</v>
      </c>
      <c r="C36" s="15" t="s">
        <v>3843</v>
      </c>
      <c r="D36" s="15" t="s">
        <v>3656</v>
      </c>
      <c r="E36" s="20">
        <v>3500</v>
      </c>
      <c r="F36" s="21">
        <v>3566.857</v>
      </c>
      <c r="G36" s="22">
        <v>1.8499999999999999E-2</v>
      </c>
      <c r="H36" s="23">
        <v>8.0699999999999994E-2</v>
      </c>
      <c r="I36" s="24"/>
      <c r="J36" s="5"/>
    </row>
    <row r="37" spans="1:10" ht="13.05" customHeight="1">
      <c r="A37" s="18" t="s">
        <v>3844</v>
      </c>
      <c r="B37" s="19" t="s">
        <v>3845</v>
      </c>
      <c r="C37" s="15" t="s">
        <v>3846</v>
      </c>
      <c r="D37" s="15" t="s">
        <v>3656</v>
      </c>
      <c r="E37" s="20">
        <v>3500</v>
      </c>
      <c r="F37" s="21">
        <v>3554.4564999999998</v>
      </c>
      <c r="G37" s="22">
        <v>1.84E-2</v>
      </c>
      <c r="H37" s="23">
        <v>7.6700000000000004E-2</v>
      </c>
      <c r="I37" s="24"/>
      <c r="J37" s="5"/>
    </row>
    <row r="38" spans="1:10" ht="13.05" customHeight="1">
      <c r="A38" s="18" t="s">
        <v>3847</v>
      </c>
      <c r="B38" s="19" t="s">
        <v>3848</v>
      </c>
      <c r="C38" s="15" t="s">
        <v>3849</v>
      </c>
      <c r="D38" s="15" t="s">
        <v>3850</v>
      </c>
      <c r="E38" s="20">
        <v>3500</v>
      </c>
      <c r="F38" s="21">
        <v>3509.3310000000001</v>
      </c>
      <c r="G38" s="22">
        <v>1.8200000000000001E-2</v>
      </c>
      <c r="H38" s="23">
        <v>9.1511999999999996E-2</v>
      </c>
      <c r="I38" s="24"/>
      <c r="J38" s="5"/>
    </row>
    <row r="39" spans="1:10" ht="13.05" customHeight="1">
      <c r="A39" s="18" t="s">
        <v>3851</v>
      </c>
      <c r="B39" s="19" t="s">
        <v>3852</v>
      </c>
      <c r="C39" s="15" t="s">
        <v>3853</v>
      </c>
      <c r="D39" s="15" t="s">
        <v>2451</v>
      </c>
      <c r="E39" s="20">
        <v>3200</v>
      </c>
      <c r="F39" s="21">
        <v>3201.3951999999999</v>
      </c>
      <c r="G39" s="22">
        <v>1.66E-2</v>
      </c>
      <c r="H39" s="23">
        <v>9.5383999999999997E-2</v>
      </c>
      <c r="I39" s="24"/>
      <c r="J39" s="5"/>
    </row>
    <row r="40" spans="1:10" ht="13.05" customHeight="1">
      <c r="A40" s="18" t="s">
        <v>3653</v>
      </c>
      <c r="B40" s="19" t="s">
        <v>3654</v>
      </c>
      <c r="C40" s="15" t="s">
        <v>3655</v>
      </c>
      <c r="D40" s="15" t="s">
        <v>3656</v>
      </c>
      <c r="E40" s="20">
        <v>3000</v>
      </c>
      <c r="F40" s="21">
        <v>3185.5830000000001</v>
      </c>
      <c r="G40" s="22">
        <v>1.6500000000000001E-2</v>
      </c>
      <c r="H40" s="23">
        <v>8.1367999999999996E-2</v>
      </c>
      <c r="I40" s="24"/>
      <c r="J40" s="5"/>
    </row>
    <row r="41" spans="1:10" ht="13.05" customHeight="1">
      <c r="A41" s="18" t="s">
        <v>3854</v>
      </c>
      <c r="B41" s="19" t="s">
        <v>3855</v>
      </c>
      <c r="C41" s="15" t="s">
        <v>3856</v>
      </c>
      <c r="D41" s="15" t="s">
        <v>213</v>
      </c>
      <c r="E41" s="20">
        <v>3000</v>
      </c>
      <c r="F41" s="21">
        <v>3085.7939999999999</v>
      </c>
      <c r="G41" s="22">
        <v>1.6E-2</v>
      </c>
      <c r="H41" s="23">
        <v>7.2548000000000001E-2</v>
      </c>
      <c r="I41" s="24"/>
      <c r="J41" s="5"/>
    </row>
    <row r="42" spans="1:10" ht="13.05" customHeight="1">
      <c r="A42" s="18" t="s">
        <v>3857</v>
      </c>
      <c r="B42" s="19" t="s">
        <v>3858</v>
      </c>
      <c r="C42" s="15" t="s">
        <v>3859</v>
      </c>
      <c r="D42" s="15" t="s">
        <v>3558</v>
      </c>
      <c r="E42" s="20">
        <v>4000</v>
      </c>
      <c r="F42" s="21">
        <v>3006.328</v>
      </c>
      <c r="G42" s="22">
        <v>1.5599999999999999E-2</v>
      </c>
      <c r="H42" s="23">
        <v>9.3664999999999998E-2</v>
      </c>
      <c r="I42" s="24"/>
      <c r="J42" s="5"/>
    </row>
    <row r="43" spans="1:10" ht="13.05" customHeight="1">
      <c r="A43" s="18" t="s">
        <v>3860</v>
      </c>
      <c r="B43" s="19" t="s">
        <v>3861</v>
      </c>
      <c r="C43" s="15" t="s">
        <v>3862</v>
      </c>
      <c r="D43" s="15" t="s">
        <v>188</v>
      </c>
      <c r="E43" s="20">
        <v>3000000</v>
      </c>
      <c r="F43" s="21">
        <v>2892.33</v>
      </c>
      <c r="G43" s="22">
        <v>1.4999999999999999E-2</v>
      </c>
      <c r="H43" s="23">
        <v>7.3555999999999996E-2</v>
      </c>
      <c r="I43" s="24"/>
      <c r="J43" s="5"/>
    </row>
    <row r="44" spans="1:10" ht="13.05" customHeight="1">
      <c r="A44" s="18" t="s">
        <v>3160</v>
      </c>
      <c r="B44" s="19" t="s">
        <v>3161</v>
      </c>
      <c r="C44" s="15" t="s">
        <v>3162</v>
      </c>
      <c r="D44" s="15" t="s">
        <v>3163</v>
      </c>
      <c r="E44" s="20">
        <v>2850</v>
      </c>
      <c r="F44" s="21">
        <v>2867.8238999999999</v>
      </c>
      <c r="G44" s="22">
        <v>1.49E-2</v>
      </c>
      <c r="H44" s="23">
        <v>7.8416E-2</v>
      </c>
      <c r="I44" s="24"/>
      <c r="J44" s="5"/>
    </row>
    <row r="45" spans="1:10" ht="13.05" customHeight="1">
      <c r="A45" s="18" t="s">
        <v>2876</v>
      </c>
      <c r="B45" s="19" t="s">
        <v>2877</v>
      </c>
      <c r="C45" s="15" t="s">
        <v>2878</v>
      </c>
      <c r="D45" s="15" t="s">
        <v>188</v>
      </c>
      <c r="E45" s="20">
        <v>2800000</v>
      </c>
      <c r="F45" s="21">
        <v>2808.2067999999999</v>
      </c>
      <c r="G45" s="22">
        <v>1.46E-2</v>
      </c>
      <c r="H45" s="23">
        <v>7.4507000000000004E-2</v>
      </c>
      <c r="I45" s="24"/>
      <c r="J45" s="5"/>
    </row>
    <row r="46" spans="1:10" ht="13.05" customHeight="1">
      <c r="A46" s="18" t="s">
        <v>3863</v>
      </c>
      <c r="B46" s="19" t="s">
        <v>3864</v>
      </c>
      <c r="C46" s="15" t="s">
        <v>3865</v>
      </c>
      <c r="D46" s="15" t="s">
        <v>3656</v>
      </c>
      <c r="E46" s="20">
        <v>2500</v>
      </c>
      <c r="F46" s="21">
        <v>2545.52</v>
      </c>
      <c r="G46" s="22">
        <v>1.32E-2</v>
      </c>
      <c r="H46" s="23">
        <v>7.3450000000000001E-2</v>
      </c>
      <c r="I46" s="24"/>
      <c r="J46" s="5"/>
    </row>
    <row r="47" spans="1:10" ht="13.05" customHeight="1">
      <c r="A47" s="18" t="s">
        <v>3866</v>
      </c>
      <c r="B47" s="19" t="s">
        <v>3867</v>
      </c>
      <c r="C47" s="15" t="s">
        <v>3868</v>
      </c>
      <c r="D47" s="15" t="s">
        <v>2447</v>
      </c>
      <c r="E47" s="20">
        <v>2500</v>
      </c>
      <c r="F47" s="21">
        <v>2541.19</v>
      </c>
      <c r="G47" s="22">
        <v>1.32E-2</v>
      </c>
      <c r="H47" s="23">
        <v>7.6575000000000004E-2</v>
      </c>
      <c r="I47" s="24"/>
      <c r="J47" s="5"/>
    </row>
    <row r="48" spans="1:10" ht="13.05" customHeight="1">
      <c r="A48" s="18" t="s">
        <v>3869</v>
      </c>
      <c r="B48" s="19" t="s">
        <v>3870</v>
      </c>
      <c r="C48" s="15" t="s">
        <v>3871</v>
      </c>
      <c r="D48" s="15" t="s">
        <v>3146</v>
      </c>
      <c r="E48" s="20">
        <v>2500</v>
      </c>
      <c r="F48" s="21">
        <v>2530.0349999999999</v>
      </c>
      <c r="G48" s="22">
        <v>1.3100000000000001E-2</v>
      </c>
      <c r="H48" s="23">
        <v>8.6900000000000005E-2</v>
      </c>
      <c r="I48" s="24"/>
      <c r="J48" s="5"/>
    </row>
    <row r="49" spans="1:12" ht="13.05" customHeight="1">
      <c r="A49" s="18" t="s">
        <v>1988</v>
      </c>
      <c r="B49" s="19" t="s">
        <v>1989</v>
      </c>
      <c r="C49" s="15" t="s">
        <v>1990</v>
      </c>
      <c r="D49" s="15" t="s">
        <v>213</v>
      </c>
      <c r="E49" s="20">
        <v>2500</v>
      </c>
      <c r="F49" s="21">
        <v>2488.9425000000001</v>
      </c>
      <c r="G49" s="22">
        <v>1.29E-2</v>
      </c>
      <c r="H49" s="23">
        <v>7.0000000000000007E-2</v>
      </c>
      <c r="I49" s="24"/>
      <c r="J49" s="5"/>
    </row>
    <row r="50" spans="1:12" ht="13.05" customHeight="1">
      <c r="A50" s="18" t="s">
        <v>2743</v>
      </c>
      <c r="B50" s="19" t="s">
        <v>2744</v>
      </c>
      <c r="C50" s="15" t="s">
        <v>2745</v>
      </c>
      <c r="D50" s="15" t="s">
        <v>188</v>
      </c>
      <c r="E50" s="20">
        <v>2500000</v>
      </c>
      <c r="F50" s="21">
        <v>2479.98</v>
      </c>
      <c r="G50" s="22">
        <v>1.29E-2</v>
      </c>
      <c r="H50" s="23">
        <v>6.5299999999999997E-2</v>
      </c>
      <c r="I50" s="24"/>
      <c r="J50" s="5"/>
    </row>
    <row r="51" spans="1:12" ht="13.05" customHeight="1">
      <c r="A51" s="18" t="s">
        <v>1958</v>
      </c>
      <c r="B51" s="19" t="s">
        <v>1959</v>
      </c>
      <c r="C51" s="15" t="s">
        <v>1960</v>
      </c>
      <c r="D51" s="15" t="s">
        <v>188</v>
      </c>
      <c r="E51" s="20">
        <v>2079400</v>
      </c>
      <c r="F51" s="21">
        <v>2159.5088999999998</v>
      </c>
      <c r="G51" s="22">
        <v>1.12E-2</v>
      </c>
      <c r="H51" s="23">
        <v>6.6900000000000001E-2</v>
      </c>
      <c r="I51" s="24"/>
      <c r="J51" s="5"/>
    </row>
    <row r="52" spans="1:12" ht="13.05" customHeight="1">
      <c r="A52" s="18" t="s">
        <v>3872</v>
      </c>
      <c r="B52" s="19" t="s">
        <v>3873</v>
      </c>
      <c r="C52" s="15" t="s">
        <v>3874</v>
      </c>
      <c r="D52" s="15" t="s">
        <v>213</v>
      </c>
      <c r="E52" s="20">
        <v>2000</v>
      </c>
      <c r="F52" s="21">
        <v>2042.634</v>
      </c>
      <c r="G52" s="22">
        <v>1.06E-2</v>
      </c>
      <c r="H52" s="23">
        <v>7.3200000000000001E-2</v>
      </c>
      <c r="I52" s="24"/>
      <c r="J52" s="5"/>
    </row>
    <row r="53" spans="1:12" ht="13.05" customHeight="1">
      <c r="A53" s="18" t="s">
        <v>2448</v>
      </c>
      <c r="B53" s="19" t="s">
        <v>2449</v>
      </c>
      <c r="C53" s="15" t="s">
        <v>2450</v>
      </c>
      <c r="D53" s="15" t="s">
        <v>2451</v>
      </c>
      <c r="E53" s="20">
        <v>2000</v>
      </c>
      <c r="F53" s="21">
        <v>2020.48</v>
      </c>
      <c r="G53" s="22">
        <v>1.0500000000000001E-2</v>
      </c>
      <c r="H53" s="23">
        <v>0.10395</v>
      </c>
      <c r="I53" s="24"/>
      <c r="J53" s="5"/>
    </row>
    <row r="54" spans="1:12" ht="13.05" customHeight="1">
      <c r="A54" s="18" t="s">
        <v>3875</v>
      </c>
      <c r="B54" s="19" t="s">
        <v>3876</v>
      </c>
      <c r="C54" s="15" t="s">
        <v>3877</v>
      </c>
      <c r="D54" s="15" t="s">
        <v>3850</v>
      </c>
      <c r="E54" s="20">
        <v>2000</v>
      </c>
      <c r="F54" s="21">
        <v>2011.7739999999999</v>
      </c>
      <c r="G54" s="22">
        <v>1.04E-2</v>
      </c>
      <c r="H54" s="23">
        <v>8.8050000000000003E-2</v>
      </c>
      <c r="I54" s="24"/>
      <c r="J54" s="5"/>
    </row>
    <row r="55" spans="1:12" ht="13.05" customHeight="1">
      <c r="A55" s="18" t="s">
        <v>2568</v>
      </c>
      <c r="B55" s="19" t="s">
        <v>2569</v>
      </c>
      <c r="C55" s="15" t="s">
        <v>2570</v>
      </c>
      <c r="D55" s="15" t="s">
        <v>2571</v>
      </c>
      <c r="E55" s="20">
        <v>2000</v>
      </c>
      <c r="F55" s="21">
        <v>2004.846</v>
      </c>
      <c r="G55" s="22">
        <v>1.04E-2</v>
      </c>
      <c r="H55" s="23">
        <v>7.5047500000000003E-2</v>
      </c>
      <c r="I55" s="24"/>
      <c r="J55" s="5"/>
      <c r="K55" s="46"/>
      <c r="L55" s="46"/>
    </row>
    <row r="56" spans="1:12" ht="13.05" customHeight="1">
      <c r="A56" s="18" t="s">
        <v>3647</v>
      </c>
      <c r="B56" s="19" t="s">
        <v>3648</v>
      </c>
      <c r="C56" s="15" t="s">
        <v>3649</v>
      </c>
      <c r="D56" s="15" t="s">
        <v>188</v>
      </c>
      <c r="E56" s="20">
        <v>2000000</v>
      </c>
      <c r="F56" s="21">
        <v>1971.568</v>
      </c>
      <c r="G56" s="22">
        <v>1.0200000000000001E-2</v>
      </c>
      <c r="H56" s="23">
        <v>6.6395999999999997E-2</v>
      </c>
      <c r="I56" s="24"/>
      <c r="J56" s="5"/>
      <c r="K56" s="46"/>
      <c r="L56" s="46"/>
    </row>
    <row r="57" spans="1:12" ht="13.05" customHeight="1">
      <c r="A57" s="18" t="s">
        <v>1890</v>
      </c>
      <c r="B57" s="19" t="s">
        <v>1891</v>
      </c>
      <c r="C57" s="15" t="s">
        <v>1892</v>
      </c>
      <c r="D57" s="15" t="s">
        <v>188</v>
      </c>
      <c r="E57" s="20">
        <v>1900000</v>
      </c>
      <c r="F57" s="21">
        <v>1970.0491999999999</v>
      </c>
      <c r="G57" s="22">
        <v>1.0200000000000001E-2</v>
      </c>
      <c r="H57" s="23">
        <v>6.6730999999999999E-2</v>
      </c>
      <c r="I57" s="24"/>
      <c r="J57" s="5"/>
      <c r="K57" s="46"/>
      <c r="L57" s="46"/>
    </row>
    <row r="58" spans="1:12" ht="13.05" customHeight="1">
      <c r="A58" s="18" t="s">
        <v>2575</v>
      </c>
      <c r="B58" s="19" t="s">
        <v>2576</v>
      </c>
      <c r="C58" s="15" t="s">
        <v>2577</v>
      </c>
      <c r="D58" s="15" t="s">
        <v>188</v>
      </c>
      <c r="E58" s="20">
        <v>2000000</v>
      </c>
      <c r="F58" s="21">
        <v>1960.84</v>
      </c>
      <c r="G58" s="22">
        <v>1.0200000000000001E-2</v>
      </c>
      <c r="H58" s="23">
        <v>7.0114999999999997E-2</v>
      </c>
      <c r="I58" s="24"/>
      <c r="J58" s="5"/>
      <c r="K58" s="46"/>
      <c r="L58" s="46"/>
    </row>
    <row r="59" spans="1:12" ht="13.05" customHeight="1">
      <c r="A59" s="18" t="s">
        <v>3878</v>
      </c>
      <c r="B59" s="19" t="s">
        <v>3879</v>
      </c>
      <c r="C59" s="15" t="s">
        <v>3880</v>
      </c>
      <c r="D59" s="15" t="s">
        <v>213</v>
      </c>
      <c r="E59" s="20">
        <v>150</v>
      </c>
      <c r="F59" s="21">
        <v>1528.3244999999999</v>
      </c>
      <c r="G59" s="22">
        <v>7.9000000000000008E-3</v>
      </c>
      <c r="H59" s="23">
        <v>6.9233000000000003E-2</v>
      </c>
      <c r="I59" s="24"/>
      <c r="J59" s="5"/>
      <c r="K59" s="46"/>
      <c r="L59" s="46"/>
    </row>
    <row r="60" spans="1:12" ht="13.05" customHeight="1">
      <c r="A60" s="18" t="s">
        <v>2467</v>
      </c>
      <c r="B60" s="19" t="s">
        <v>2468</v>
      </c>
      <c r="C60" s="15" t="s">
        <v>2469</v>
      </c>
      <c r="D60" s="15" t="s">
        <v>2447</v>
      </c>
      <c r="E60" s="20">
        <v>1500</v>
      </c>
      <c r="F60" s="21">
        <v>1517.3115</v>
      </c>
      <c r="G60" s="22">
        <v>7.9000000000000008E-3</v>
      </c>
      <c r="H60" s="23">
        <v>7.7998999999999999E-2</v>
      </c>
      <c r="I60" s="24"/>
      <c r="J60" s="5"/>
      <c r="K60" s="46"/>
      <c r="L60" s="46"/>
    </row>
    <row r="61" spans="1:12" ht="13.05" customHeight="1">
      <c r="A61" s="18" t="s">
        <v>3881</v>
      </c>
      <c r="B61" s="19" t="s">
        <v>3882</v>
      </c>
      <c r="C61" s="15" t="s">
        <v>3883</v>
      </c>
      <c r="D61" s="15" t="s">
        <v>3850</v>
      </c>
      <c r="E61" s="20">
        <v>1500</v>
      </c>
      <c r="F61" s="21">
        <v>1509.7439999999999</v>
      </c>
      <c r="G61" s="22">
        <v>7.7999999999999996E-3</v>
      </c>
      <c r="H61" s="23">
        <v>7.2900000000000006E-2</v>
      </c>
      <c r="I61" s="24"/>
      <c r="J61" s="5"/>
      <c r="K61" s="46"/>
      <c r="L61" s="46"/>
    </row>
    <row r="62" spans="1:12" ht="13.05" customHeight="1">
      <c r="A62" s="18" t="s">
        <v>3884</v>
      </c>
      <c r="B62" s="19" t="s">
        <v>3885</v>
      </c>
      <c r="C62" s="15" t="s">
        <v>3886</v>
      </c>
      <c r="D62" s="15" t="s">
        <v>188</v>
      </c>
      <c r="E62" s="20">
        <v>1000000</v>
      </c>
      <c r="F62" s="21">
        <v>1041.174</v>
      </c>
      <c r="G62" s="22">
        <v>5.4000000000000003E-3</v>
      </c>
      <c r="H62" s="23">
        <v>7.3610999999999996E-2</v>
      </c>
      <c r="I62" s="24"/>
      <c r="J62" s="5"/>
      <c r="K62" s="46"/>
      <c r="L62" s="46"/>
    </row>
    <row r="63" spans="1:12" ht="13.05" customHeight="1">
      <c r="A63" s="18" t="s">
        <v>3887</v>
      </c>
      <c r="B63" s="19" t="s">
        <v>3888</v>
      </c>
      <c r="C63" s="15" t="s">
        <v>3889</v>
      </c>
      <c r="D63" s="15" t="s">
        <v>213</v>
      </c>
      <c r="E63" s="20">
        <v>1000</v>
      </c>
      <c r="F63" s="21">
        <v>1015.5119999999999</v>
      </c>
      <c r="G63" s="22">
        <v>5.3E-3</v>
      </c>
      <c r="H63" s="23">
        <v>7.4200000000000002E-2</v>
      </c>
      <c r="I63" s="24"/>
      <c r="J63" s="5"/>
      <c r="K63" s="46"/>
      <c r="L63" s="46"/>
    </row>
    <row r="64" spans="1:12" ht="13.05" customHeight="1">
      <c r="A64" s="18" t="s">
        <v>3890</v>
      </c>
      <c r="B64" s="19" t="s">
        <v>3891</v>
      </c>
      <c r="C64" s="15" t="s">
        <v>3892</v>
      </c>
      <c r="D64" s="15" t="s">
        <v>3656</v>
      </c>
      <c r="E64" s="20">
        <v>1000</v>
      </c>
      <c r="F64" s="21">
        <v>1001.415</v>
      </c>
      <c r="G64" s="22">
        <v>5.1999999999999998E-3</v>
      </c>
      <c r="H64" s="23">
        <v>9.2249999999999999E-2</v>
      </c>
      <c r="I64" s="24"/>
      <c r="J64" s="5"/>
      <c r="K64" s="46"/>
      <c r="L64" s="46"/>
    </row>
    <row r="65" spans="1:12" ht="13.05" customHeight="1">
      <c r="A65" s="18" t="s">
        <v>3552</v>
      </c>
      <c r="B65" s="19" t="s">
        <v>3553</v>
      </c>
      <c r="C65" s="15" t="s">
        <v>3554</v>
      </c>
      <c r="D65" s="15" t="s">
        <v>3548</v>
      </c>
      <c r="E65" s="20">
        <v>800</v>
      </c>
      <c r="F65" s="21">
        <v>798.02639999999997</v>
      </c>
      <c r="G65" s="22">
        <v>4.1000000000000003E-3</v>
      </c>
      <c r="H65" s="23">
        <v>9.3549999999999994E-2</v>
      </c>
      <c r="I65" s="24"/>
      <c r="J65" s="5"/>
      <c r="K65" s="46"/>
      <c r="L65" s="46"/>
    </row>
    <row r="66" spans="1:12" ht="13.05" customHeight="1">
      <c r="A66" s="18" t="s">
        <v>2204</v>
      </c>
      <c r="B66" s="19" t="s">
        <v>2205</v>
      </c>
      <c r="C66" s="15" t="s">
        <v>2206</v>
      </c>
      <c r="D66" s="15" t="s">
        <v>213</v>
      </c>
      <c r="E66" s="20">
        <v>500</v>
      </c>
      <c r="F66" s="21">
        <v>509.64350000000002</v>
      </c>
      <c r="G66" s="22">
        <v>2.5999999999999999E-3</v>
      </c>
      <c r="H66" s="23">
        <v>6.8699999999999997E-2</v>
      </c>
      <c r="I66" s="24"/>
      <c r="J66" s="5"/>
      <c r="K66" s="46"/>
      <c r="L66" s="46"/>
    </row>
    <row r="67" spans="1:12" ht="13.05" customHeight="1">
      <c r="A67" s="18" t="s">
        <v>3167</v>
      </c>
      <c r="B67" s="19" t="s">
        <v>3168</v>
      </c>
      <c r="C67" s="15" t="s">
        <v>3169</v>
      </c>
      <c r="D67" s="15" t="s">
        <v>5585</v>
      </c>
      <c r="E67" s="20">
        <v>500</v>
      </c>
      <c r="F67" s="21">
        <v>502.53449999999998</v>
      </c>
      <c r="G67" s="22">
        <v>2.5999999999999999E-3</v>
      </c>
      <c r="H67" s="23">
        <v>7.2899000000000005E-2</v>
      </c>
      <c r="I67" s="24"/>
      <c r="J67" s="5"/>
      <c r="K67" s="46"/>
      <c r="L67" s="46"/>
    </row>
    <row r="68" spans="1:12" ht="13.05" customHeight="1">
      <c r="A68" s="18" t="s">
        <v>3893</v>
      </c>
      <c r="B68" s="19" t="s">
        <v>3894</v>
      </c>
      <c r="C68" s="15" t="s">
        <v>3895</v>
      </c>
      <c r="D68" s="15" t="s">
        <v>3850</v>
      </c>
      <c r="E68" s="20">
        <v>500</v>
      </c>
      <c r="F68" s="21">
        <v>502.32100000000003</v>
      </c>
      <c r="G68" s="22">
        <v>2.5999999999999999E-3</v>
      </c>
      <c r="H68" s="23">
        <v>9.6185999999999994E-2</v>
      </c>
      <c r="I68" s="24"/>
      <c r="J68" s="5"/>
      <c r="K68" s="46"/>
      <c r="L68" s="46"/>
    </row>
    <row r="69" spans="1:12" ht="13.05" customHeight="1">
      <c r="A69" s="18" t="s">
        <v>3896</v>
      </c>
      <c r="B69" s="19" t="s">
        <v>3897</v>
      </c>
      <c r="C69" s="15" t="s">
        <v>3898</v>
      </c>
      <c r="D69" s="15" t="s">
        <v>213</v>
      </c>
      <c r="E69" s="20">
        <v>500</v>
      </c>
      <c r="F69" s="21">
        <v>500.7645</v>
      </c>
      <c r="G69" s="22">
        <v>2.5999999999999999E-3</v>
      </c>
      <c r="H69" s="23">
        <v>6.5648999999999999E-2</v>
      </c>
      <c r="I69" s="24"/>
      <c r="J69" s="5"/>
      <c r="K69" s="46"/>
      <c r="L69" s="46"/>
    </row>
    <row r="70" spans="1:12" ht="13.05" customHeight="1">
      <c r="A70" s="18" t="s">
        <v>2480</v>
      </c>
      <c r="B70" s="19" t="s">
        <v>2481</v>
      </c>
      <c r="C70" s="15" t="s">
        <v>2482</v>
      </c>
      <c r="D70" s="15" t="s">
        <v>188</v>
      </c>
      <c r="E70" s="20">
        <v>300000</v>
      </c>
      <c r="F70" s="21">
        <v>317.3766</v>
      </c>
      <c r="G70" s="22">
        <v>1.6000000000000001E-3</v>
      </c>
      <c r="H70" s="23">
        <v>6.6983000000000001E-2</v>
      </c>
      <c r="I70" s="24"/>
      <c r="J70" s="5"/>
      <c r="K70" s="46"/>
      <c r="L70" s="46"/>
    </row>
    <row r="71" spans="1:12" ht="13.05" customHeight="1">
      <c r="A71" s="18" t="s">
        <v>2978</v>
      </c>
      <c r="B71" s="19" t="s">
        <v>2979</v>
      </c>
      <c r="C71" s="15" t="s">
        <v>2980</v>
      </c>
      <c r="D71" s="15" t="s">
        <v>188</v>
      </c>
      <c r="E71" s="20">
        <v>300000</v>
      </c>
      <c r="F71" s="21">
        <v>284.82479999999998</v>
      </c>
      <c r="G71" s="22">
        <v>1.5E-3</v>
      </c>
      <c r="H71" s="23">
        <v>7.4246000000000006E-2</v>
      </c>
      <c r="I71" s="24"/>
      <c r="J71" s="5"/>
      <c r="K71" s="46"/>
      <c r="L71" s="46"/>
    </row>
    <row r="72" spans="1:12" ht="13.05" customHeight="1">
      <c r="A72" s="18" t="s">
        <v>2746</v>
      </c>
      <c r="B72" s="19" t="s">
        <v>2747</v>
      </c>
      <c r="C72" s="15" t="s">
        <v>2748</v>
      </c>
      <c r="D72" s="15" t="s">
        <v>188</v>
      </c>
      <c r="E72" s="20">
        <v>200000</v>
      </c>
      <c r="F72" s="21">
        <v>207.8468</v>
      </c>
      <c r="G72" s="22">
        <v>1.1000000000000001E-3</v>
      </c>
      <c r="H72" s="23">
        <v>6.6410999999999998E-2</v>
      </c>
      <c r="I72" s="24"/>
      <c r="J72" s="5"/>
      <c r="K72" s="46"/>
      <c r="L72" s="46"/>
    </row>
    <row r="73" spans="1:12" ht="13.05" customHeight="1">
      <c r="A73" s="18" t="s">
        <v>3899</v>
      </c>
      <c r="B73" s="19" t="s">
        <v>3900</v>
      </c>
      <c r="C73" s="15" t="s">
        <v>3901</v>
      </c>
      <c r="D73" s="15" t="s">
        <v>188</v>
      </c>
      <c r="E73" s="20">
        <v>183700</v>
      </c>
      <c r="F73" s="21">
        <v>187.07239999999999</v>
      </c>
      <c r="G73" s="22">
        <v>1E-3</v>
      </c>
      <c r="H73" s="23">
        <v>7.3624999999999996E-2</v>
      </c>
      <c r="I73" s="24"/>
      <c r="J73" s="5"/>
      <c r="K73" s="46"/>
      <c r="L73" s="46"/>
    </row>
    <row r="74" spans="1:12" ht="13.05" customHeight="1">
      <c r="A74" s="18" t="s">
        <v>3902</v>
      </c>
      <c r="B74" s="19" t="s">
        <v>3903</v>
      </c>
      <c r="C74" s="15" t="s">
        <v>3904</v>
      </c>
      <c r="D74" s="15" t="s">
        <v>188</v>
      </c>
      <c r="E74" s="20">
        <v>150000</v>
      </c>
      <c r="F74" s="21">
        <v>159.3468</v>
      </c>
      <c r="G74" s="22">
        <v>8.0000000000000004E-4</v>
      </c>
      <c r="H74" s="23">
        <v>6.3278000000000001E-2</v>
      </c>
      <c r="I74" s="24"/>
      <c r="J74" s="5"/>
      <c r="K74" s="46"/>
      <c r="L74" s="46"/>
    </row>
    <row r="75" spans="1:12" ht="13.05" customHeight="1">
      <c r="A75" s="18" t="s">
        <v>2918</v>
      </c>
      <c r="B75" s="19" t="s">
        <v>2919</v>
      </c>
      <c r="C75" s="15" t="s">
        <v>2920</v>
      </c>
      <c r="D75" s="15" t="s">
        <v>213</v>
      </c>
      <c r="E75" s="20">
        <v>12</v>
      </c>
      <c r="F75" s="21">
        <v>126.279</v>
      </c>
      <c r="G75" s="22">
        <v>6.9999999999999999E-4</v>
      </c>
      <c r="H75" s="23">
        <v>6.6354999999999997E-2</v>
      </c>
      <c r="I75" s="24"/>
      <c r="J75" s="5"/>
      <c r="K75" s="46"/>
      <c r="L75" s="46"/>
    </row>
    <row r="76" spans="1:12" ht="13.05" customHeight="1">
      <c r="A76" s="18" t="s">
        <v>2966</v>
      </c>
      <c r="B76" s="19" t="s">
        <v>2967</v>
      </c>
      <c r="C76" s="15" t="s">
        <v>2968</v>
      </c>
      <c r="D76" s="15" t="s">
        <v>188</v>
      </c>
      <c r="E76" s="20">
        <v>100000</v>
      </c>
      <c r="F76" s="21">
        <v>103.35080000000001</v>
      </c>
      <c r="G76" s="22">
        <v>5.0000000000000001E-4</v>
      </c>
      <c r="H76" s="23">
        <v>6.1032000000000003E-2</v>
      </c>
      <c r="I76" s="24"/>
      <c r="J76" s="5"/>
      <c r="K76" s="46"/>
      <c r="L76" s="46"/>
    </row>
    <row r="77" spans="1:12" ht="13.05" customHeight="1">
      <c r="A77" s="18" t="s">
        <v>3905</v>
      </c>
      <c r="B77" s="19" t="s">
        <v>3906</v>
      </c>
      <c r="C77" s="15" t="s">
        <v>3907</v>
      </c>
      <c r="D77" s="15" t="s">
        <v>188</v>
      </c>
      <c r="E77" s="20">
        <v>98700</v>
      </c>
      <c r="F77" s="21">
        <v>101.6133</v>
      </c>
      <c r="G77" s="22">
        <v>5.0000000000000001E-4</v>
      </c>
      <c r="H77" s="23">
        <v>7.0081000000000004E-2</v>
      </c>
      <c r="I77" s="24"/>
      <c r="J77" s="5"/>
      <c r="K77" s="46"/>
      <c r="L77" s="46"/>
    </row>
    <row r="78" spans="1:12" ht="13.05" customHeight="1">
      <c r="A78" s="18" t="s">
        <v>3908</v>
      </c>
      <c r="B78" s="19" t="s">
        <v>3909</v>
      </c>
      <c r="C78" s="15" t="s">
        <v>3910</v>
      </c>
      <c r="D78" s="15" t="s">
        <v>213</v>
      </c>
      <c r="E78" s="20">
        <v>6</v>
      </c>
      <c r="F78" s="21">
        <v>59.955399999999997</v>
      </c>
      <c r="G78" s="22">
        <v>2.9999999999999997E-4</v>
      </c>
      <c r="H78" s="23">
        <v>6.0997999999999997E-2</v>
      </c>
      <c r="I78" s="24"/>
      <c r="J78" s="5"/>
      <c r="K78" s="46"/>
      <c r="L78" s="46"/>
    </row>
    <row r="79" spans="1:12" ht="13.05" customHeight="1">
      <c r="A79" s="18" t="s">
        <v>3911</v>
      </c>
      <c r="B79" s="19" t="s">
        <v>3912</v>
      </c>
      <c r="C79" s="15" t="s">
        <v>3913</v>
      </c>
      <c r="D79" s="15" t="s">
        <v>188</v>
      </c>
      <c r="E79" s="20">
        <v>48900</v>
      </c>
      <c r="F79" s="21">
        <v>50.7806</v>
      </c>
      <c r="G79" s="22">
        <v>2.9999999999999997E-4</v>
      </c>
      <c r="H79" s="23">
        <v>6.0073000000000001E-2</v>
      </c>
      <c r="I79" s="24"/>
      <c r="J79" s="5"/>
      <c r="K79" s="46"/>
      <c r="L79" s="46"/>
    </row>
    <row r="80" spans="1:12" ht="13.05" customHeight="1">
      <c r="A80" s="18" t="s">
        <v>2264</v>
      </c>
      <c r="B80" s="19" t="s">
        <v>2265</v>
      </c>
      <c r="C80" s="15" t="s">
        <v>2266</v>
      </c>
      <c r="D80" s="15" t="s">
        <v>188</v>
      </c>
      <c r="E80" s="20">
        <v>49400</v>
      </c>
      <c r="F80" s="21">
        <v>48.590800000000002</v>
      </c>
      <c r="G80" s="22">
        <v>2.9999999999999997E-4</v>
      </c>
      <c r="H80" s="23">
        <v>6.3063999999999995E-2</v>
      </c>
      <c r="I80" s="24"/>
      <c r="J80" s="5"/>
      <c r="K80" s="46"/>
      <c r="L80" s="46"/>
    </row>
    <row r="81" spans="1:12" ht="13.05" customHeight="1">
      <c r="A81" s="18" t="s">
        <v>2987</v>
      </c>
      <c r="B81" s="19" t="s">
        <v>2988</v>
      </c>
      <c r="C81" s="15" t="s">
        <v>2989</v>
      </c>
      <c r="D81" s="15" t="s">
        <v>188</v>
      </c>
      <c r="E81" s="20">
        <v>42000</v>
      </c>
      <c r="F81" s="21">
        <v>44.755299999999998</v>
      </c>
      <c r="G81" s="22">
        <v>2.0000000000000001E-4</v>
      </c>
      <c r="H81" s="23">
        <v>5.9117999999999997E-2</v>
      </c>
      <c r="I81" s="24"/>
      <c r="J81" s="5"/>
      <c r="K81" s="46"/>
      <c r="L81" s="46"/>
    </row>
    <row r="82" spans="1:12" ht="13.05" customHeight="1">
      <c r="A82" s="18" t="s">
        <v>3914</v>
      </c>
      <c r="B82" s="19" t="s">
        <v>3915</v>
      </c>
      <c r="C82" s="15" t="s">
        <v>3916</v>
      </c>
      <c r="D82" s="15" t="s">
        <v>213</v>
      </c>
      <c r="E82" s="20">
        <v>1</v>
      </c>
      <c r="F82" s="21">
        <v>10.0463</v>
      </c>
      <c r="G82" s="22">
        <v>1E-4</v>
      </c>
      <c r="H82" s="23">
        <v>7.1901999999999994E-2</v>
      </c>
      <c r="I82" s="24"/>
      <c r="J82" s="5"/>
      <c r="K82" s="46"/>
      <c r="L82" s="46"/>
    </row>
    <row r="83" spans="1:12" ht="13.05" customHeight="1">
      <c r="A83" s="18" t="s">
        <v>3917</v>
      </c>
      <c r="B83" s="19" t="s">
        <v>3918</v>
      </c>
      <c r="C83" s="15" t="s">
        <v>3919</v>
      </c>
      <c r="D83" s="15" t="s">
        <v>188</v>
      </c>
      <c r="E83" s="20">
        <v>9400</v>
      </c>
      <c r="F83" s="21">
        <v>9.6302000000000003</v>
      </c>
      <c r="G83" s="40" t="s">
        <v>1809</v>
      </c>
      <c r="H83" s="23">
        <v>5.8201000000000003E-2</v>
      </c>
      <c r="I83" s="24"/>
      <c r="J83" s="5"/>
      <c r="K83" s="46"/>
      <c r="L83" s="46"/>
    </row>
    <row r="84" spans="1:12" ht="13.05" customHeight="1">
      <c r="A84" s="18" t="s">
        <v>3920</v>
      </c>
      <c r="B84" s="19" t="s">
        <v>3921</v>
      </c>
      <c r="C84" s="15" t="s">
        <v>3922</v>
      </c>
      <c r="D84" s="15" t="s">
        <v>188</v>
      </c>
      <c r="E84" s="20">
        <v>4000</v>
      </c>
      <c r="F84" s="21">
        <v>4.1974</v>
      </c>
      <c r="G84" s="40" t="s">
        <v>1809</v>
      </c>
      <c r="H84" s="23">
        <v>6.0444999999999999E-2</v>
      </c>
      <c r="I84" s="24"/>
      <c r="J84" s="5"/>
    </row>
    <row r="85" spans="1:12" ht="13.05" customHeight="1">
      <c r="A85" s="5"/>
      <c r="B85" s="14" t="s">
        <v>192</v>
      </c>
      <c r="C85" s="15"/>
      <c r="D85" s="15"/>
      <c r="E85" s="15"/>
      <c r="F85" s="25">
        <v>175141.16750000001</v>
      </c>
      <c r="G85" s="26">
        <v>0.90849999999999997</v>
      </c>
      <c r="H85" s="27"/>
      <c r="I85" s="28"/>
      <c r="J85" s="5"/>
    </row>
    <row r="86" spans="1:12" ht="13.05" customHeight="1">
      <c r="A86" s="5"/>
      <c r="B86" s="29" t="s">
        <v>193</v>
      </c>
      <c r="C86" s="2"/>
      <c r="D86" s="2"/>
      <c r="E86" s="2"/>
      <c r="F86" s="27" t="s">
        <v>194</v>
      </c>
      <c r="G86" s="27" t="s">
        <v>194</v>
      </c>
      <c r="H86" s="27"/>
      <c r="I86" s="28"/>
      <c r="J86" s="5"/>
    </row>
    <row r="87" spans="1:12" ht="13.05" customHeight="1">
      <c r="A87" s="5"/>
      <c r="B87" s="29" t="s">
        <v>192</v>
      </c>
      <c r="C87" s="2"/>
      <c r="D87" s="2"/>
      <c r="E87" s="2"/>
      <c r="F87" s="27" t="s">
        <v>194</v>
      </c>
      <c r="G87" s="27" t="s">
        <v>194</v>
      </c>
      <c r="H87" s="27"/>
      <c r="I87" s="28"/>
      <c r="J87" s="5"/>
    </row>
    <row r="88" spans="1:12" ht="13.05" customHeight="1">
      <c r="A88" s="5"/>
      <c r="B88" s="14" t="s">
        <v>2297</v>
      </c>
      <c r="C88" s="15"/>
      <c r="D88" s="15"/>
      <c r="E88" s="15"/>
      <c r="F88" s="5"/>
      <c r="G88" s="16"/>
      <c r="H88" s="16"/>
      <c r="I88" s="17"/>
      <c r="J88" s="5"/>
    </row>
    <row r="89" spans="1:12" ht="13.05" customHeight="1">
      <c r="A89" s="18" t="s">
        <v>2302</v>
      </c>
      <c r="B89" s="19" t="s">
        <v>2303</v>
      </c>
      <c r="C89" s="15" t="s">
        <v>2304</v>
      </c>
      <c r="D89" s="15" t="s">
        <v>2301</v>
      </c>
      <c r="E89" s="20">
        <v>19</v>
      </c>
      <c r="F89" s="21">
        <v>1925.7778000000001</v>
      </c>
      <c r="G89" s="22">
        <v>0.01</v>
      </c>
      <c r="H89" s="23">
        <v>7.4237999999999998E-2</v>
      </c>
      <c r="I89" s="24"/>
      <c r="J89" s="5"/>
    </row>
    <row r="90" spans="1:12" ht="13.05" customHeight="1">
      <c r="A90" s="18" t="s">
        <v>2298</v>
      </c>
      <c r="B90" s="19" t="s">
        <v>2299</v>
      </c>
      <c r="C90" s="15" t="s">
        <v>2300</v>
      </c>
      <c r="D90" s="15" t="s">
        <v>2301</v>
      </c>
      <c r="E90" s="20">
        <v>19</v>
      </c>
      <c r="F90" s="21">
        <v>1923.3877</v>
      </c>
      <c r="G90" s="22">
        <v>0.01</v>
      </c>
      <c r="H90" s="23">
        <v>7.3218000000000005E-2</v>
      </c>
      <c r="I90" s="24"/>
      <c r="J90" s="5"/>
    </row>
    <row r="91" spans="1:12" ht="13.05" customHeight="1">
      <c r="A91" s="18" t="s">
        <v>2305</v>
      </c>
      <c r="B91" s="19" t="s">
        <v>2306</v>
      </c>
      <c r="C91" s="15" t="s">
        <v>2307</v>
      </c>
      <c r="D91" s="15" t="s">
        <v>2301</v>
      </c>
      <c r="E91" s="20">
        <v>12</v>
      </c>
      <c r="F91" s="21">
        <v>1212.1777999999999</v>
      </c>
      <c r="G91" s="22">
        <v>6.3E-3</v>
      </c>
      <c r="H91" s="23">
        <v>7.2300000000000003E-2</v>
      </c>
      <c r="I91" s="24"/>
      <c r="J91" s="5"/>
    </row>
    <row r="92" spans="1:12" ht="13.05" customHeight="1">
      <c r="A92" s="18" t="s">
        <v>3179</v>
      </c>
      <c r="B92" s="19" t="s">
        <v>3180</v>
      </c>
      <c r="C92" s="15" t="s">
        <v>3181</v>
      </c>
      <c r="D92" s="15" t="s">
        <v>3182</v>
      </c>
      <c r="E92" s="20">
        <v>30</v>
      </c>
      <c r="F92" s="21">
        <v>155.7824</v>
      </c>
      <c r="G92" s="22">
        <v>8.0000000000000004E-4</v>
      </c>
      <c r="H92" s="23">
        <v>9.0700000000000003E-2</v>
      </c>
      <c r="I92" s="24"/>
      <c r="J92" s="5"/>
    </row>
    <row r="93" spans="1:12" ht="13.05" customHeight="1">
      <c r="A93" s="5"/>
      <c r="B93" s="14" t="s">
        <v>192</v>
      </c>
      <c r="C93" s="15"/>
      <c r="D93" s="15"/>
      <c r="E93" s="15"/>
      <c r="F93" s="25">
        <v>5217.1256999999996</v>
      </c>
      <c r="G93" s="26">
        <v>2.7099999999999999E-2</v>
      </c>
      <c r="H93" s="27"/>
      <c r="I93" s="28"/>
      <c r="J93" s="5"/>
    </row>
    <row r="94" spans="1:12" ht="13.05" customHeight="1">
      <c r="A94" s="5"/>
      <c r="B94" s="29" t="s">
        <v>193</v>
      </c>
      <c r="C94" s="2"/>
      <c r="D94" s="2"/>
      <c r="E94" s="2"/>
      <c r="F94" s="27" t="s">
        <v>194</v>
      </c>
      <c r="G94" s="27" t="s">
        <v>194</v>
      </c>
      <c r="H94" s="27"/>
      <c r="I94" s="28"/>
      <c r="J94" s="5"/>
    </row>
    <row r="95" spans="1:12" ht="13.05" customHeight="1">
      <c r="A95" s="5"/>
      <c r="B95" s="29" t="s">
        <v>192</v>
      </c>
      <c r="C95" s="2"/>
      <c r="D95" s="2"/>
      <c r="E95" s="2"/>
      <c r="F95" s="27" t="s">
        <v>194</v>
      </c>
      <c r="G95" s="27" t="s">
        <v>194</v>
      </c>
      <c r="H95" s="27"/>
      <c r="I95" s="28"/>
      <c r="J95" s="5"/>
    </row>
    <row r="96" spans="1:12" ht="13.05" customHeight="1">
      <c r="A96" s="5"/>
      <c r="B96" s="29" t="s">
        <v>195</v>
      </c>
      <c r="C96" s="30"/>
      <c r="D96" s="2"/>
      <c r="E96" s="30"/>
      <c r="F96" s="25">
        <v>180358.29319999999</v>
      </c>
      <c r="G96" s="26">
        <v>0.93559999999999999</v>
      </c>
      <c r="H96" s="27"/>
      <c r="I96" s="28"/>
      <c r="J96" s="5"/>
    </row>
    <row r="97" spans="1:10" ht="13.05" customHeight="1">
      <c r="A97" s="5"/>
      <c r="B97" s="14" t="s">
        <v>1818</v>
      </c>
      <c r="C97" s="15"/>
      <c r="D97" s="15"/>
      <c r="E97" s="15"/>
      <c r="F97" s="15"/>
      <c r="G97" s="15"/>
      <c r="H97" s="16"/>
      <c r="I97" s="17"/>
      <c r="J97" s="5"/>
    </row>
    <row r="98" spans="1:10" ht="13.05" customHeight="1">
      <c r="A98" s="5"/>
      <c r="B98" s="14" t="s">
        <v>2332</v>
      </c>
      <c r="C98" s="15"/>
      <c r="D98" s="15"/>
      <c r="E98" s="15"/>
      <c r="F98" s="5"/>
      <c r="G98" s="16"/>
      <c r="H98" s="16"/>
      <c r="I98" s="17"/>
      <c r="J98" s="5"/>
    </row>
    <row r="99" spans="1:10" ht="13.05" customHeight="1">
      <c r="A99" s="18" t="s">
        <v>2333</v>
      </c>
      <c r="B99" s="19" t="s">
        <v>2334</v>
      </c>
      <c r="C99" s="15" t="s">
        <v>2335</v>
      </c>
      <c r="D99" s="15"/>
      <c r="E99" s="20">
        <v>4918.5829999999996</v>
      </c>
      <c r="F99" s="21">
        <v>562.72810000000004</v>
      </c>
      <c r="G99" s="22">
        <v>2.8999999999999998E-3</v>
      </c>
      <c r="H99" s="23"/>
      <c r="I99" s="24"/>
      <c r="J99" s="5"/>
    </row>
    <row r="100" spans="1:10" ht="13.05" customHeight="1">
      <c r="A100" s="5"/>
      <c r="B100" s="14" t="s">
        <v>192</v>
      </c>
      <c r="C100" s="15"/>
      <c r="D100" s="15"/>
      <c r="E100" s="15"/>
      <c r="F100" s="25">
        <v>562.72810000000004</v>
      </c>
      <c r="G100" s="26">
        <v>2.8999999999999998E-3</v>
      </c>
      <c r="H100" s="27"/>
      <c r="I100" s="28"/>
      <c r="J100" s="5"/>
    </row>
    <row r="101" spans="1:10" ht="13.05" customHeight="1">
      <c r="A101" s="5"/>
      <c r="B101" s="29" t="s">
        <v>195</v>
      </c>
      <c r="C101" s="30"/>
      <c r="D101" s="2"/>
      <c r="E101" s="30"/>
      <c r="F101" s="25">
        <v>562.72810000000004</v>
      </c>
      <c r="G101" s="26">
        <v>2.8999999999999998E-3</v>
      </c>
      <c r="H101" s="27"/>
      <c r="I101" s="28"/>
      <c r="J101" s="5"/>
    </row>
    <row r="102" spans="1:10" ht="13.05" customHeight="1">
      <c r="A102" s="5"/>
      <c r="B102" s="14" t="s">
        <v>196</v>
      </c>
      <c r="C102" s="15"/>
      <c r="D102" s="15"/>
      <c r="E102" s="15"/>
      <c r="F102" s="15"/>
      <c r="G102" s="15"/>
      <c r="H102" s="16"/>
      <c r="I102" s="17"/>
      <c r="J102" s="5"/>
    </row>
    <row r="103" spans="1:10" ht="13.05" customHeight="1">
      <c r="A103" s="18" t="s">
        <v>197</v>
      </c>
      <c r="B103" s="19" t="s">
        <v>198</v>
      </c>
      <c r="C103" s="15"/>
      <c r="D103" s="15"/>
      <c r="E103" s="20"/>
      <c r="F103" s="21">
        <v>8508.9089000000004</v>
      </c>
      <c r="G103" s="22">
        <v>4.41E-2</v>
      </c>
      <c r="H103" s="23">
        <v>5.5573617010495215E-2</v>
      </c>
      <c r="I103" s="24"/>
      <c r="J103" s="5"/>
    </row>
    <row r="104" spans="1:10" ht="13.05" customHeight="1">
      <c r="A104" s="5"/>
      <c r="B104" s="14" t="s">
        <v>192</v>
      </c>
      <c r="C104" s="15"/>
      <c r="D104" s="15"/>
      <c r="E104" s="15"/>
      <c r="F104" s="25">
        <v>8508.9089000000004</v>
      </c>
      <c r="G104" s="26">
        <v>4.41E-2</v>
      </c>
      <c r="H104" s="27"/>
      <c r="I104" s="28"/>
      <c r="J104" s="5"/>
    </row>
    <row r="105" spans="1:10" ht="13.05" customHeight="1">
      <c r="A105" s="5"/>
      <c r="B105" s="29" t="s">
        <v>193</v>
      </c>
      <c r="C105" s="2"/>
      <c r="D105" s="2"/>
      <c r="E105" s="2"/>
      <c r="F105" s="27" t="s">
        <v>194</v>
      </c>
      <c r="G105" s="27" t="s">
        <v>194</v>
      </c>
      <c r="H105" s="27"/>
      <c r="I105" s="28"/>
      <c r="J105" s="5"/>
    </row>
    <row r="106" spans="1:10" ht="13.05" customHeight="1">
      <c r="A106" s="5"/>
      <c r="B106" s="29" t="s">
        <v>192</v>
      </c>
      <c r="C106" s="2"/>
      <c r="D106" s="2"/>
      <c r="E106" s="2"/>
      <c r="F106" s="27" t="s">
        <v>194</v>
      </c>
      <c r="G106" s="27" t="s">
        <v>194</v>
      </c>
      <c r="H106" s="27"/>
      <c r="I106" s="28"/>
      <c r="J106" s="5"/>
    </row>
    <row r="107" spans="1:10" ht="13.05" customHeight="1">
      <c r="A107" s="5"/>
      <c r="B107" s="29" t="s">
        <v>195</v>
      </c>
      <c r="C107" s="30"/>
      <c r="D107" s="2"/>
      <c r="E107" s="30"/>
      <c r="F107" s="25">
        <v>8508.9089000000004</v>
      </c>
      <c r="G107" s="26">
        <v>4.41E-2</v>
      </c>
      <c r="H107" s="27"/>
      <c r="I107" s="28"/>
      <c r="J107" s="5"/>
    </row>
    <row r="108" spans="1:10" ht="13.05" customHeight="1">
      <c r="A108" s="5"/>
      <c r="B108" s="29" t="s">
        <v>199</v>
      </c>
      <c r="C108" s="15"/>
      <c r="D108" s="2"/>
      <c r="E108" s="15"/>
      <c r="F108" s="31">
        <v>2198.6713</v>
      </c>
      <c r="G108" s="26">
        <v>1.14E-2</v>
      </c>
      <c r="H108" s="27"/>
      <c r="I108" s="28"/>
      <c r="J108" s="5"/>
    </row>
    <row r="109" spans="1:10" ht="13.05" customHeight="1">
      <c r="A109" s="5"/>
      <c r="B109" s="32" t="s">
        <v>200</v>
      </c>
      <c r="C109" s="33"/>
      <c r="D109" s="33"/>
      <c r="E109" s="33"/>
      <c r="F109" s="34">
        <v>192778.76</v>
      </c>
      <c r="G109" s="35">
        <v>1</v>
      </c>
      <c r="H109" s="36"/>
      <c r="I109" s="37"/>
      <c r="J109" s="5"/>
    </row>
    <row r="110" spans="1:10" ht="13.05" customHeight="1">
      <c r="A110" s="5"/>
      <c r="B110" s="7"/>
      <c r="C110" s="5"/>
      <c r="D110" s="5"/>
      <c r="E110" s="5"/>
      <c r="F110" s="5"/>
      <c r="G110" s="5"/>
      <c r="H110" s="5"/>
      <c r="I110" s="5"/>
      <c r="J110" s="5"/>
    </row>
    <row r="111" spans="1:10" ht="13.05" customHeight="1">
      <c r="A111" s="5"/>
      <c r="B111" s="4" t="s">
        <v>2336</v>
      </c>
      <c r="C111" s="5"/>
      <c r="D111" s="5"/>
      <c r="E111" s="5"/>
      <c r="F111" s="5"/>
      <c r="G111" s="5"/>
      <c r="H111" s="5"/>
      <c r="I111" s="5"/>
      <c r="J111" s="5"/>
    </row>
    <row r="112" spans="1:10" ht="13.05" customHeight="1">
      <c r="A112" s="5"/>
      <c r="B112" s="4" t="s">
        <v>250</v>
      </c>
      <c r="C112" s="5"/>
      <c r="D112" s="5"/>
      <c r="E112" s="5"/>
      <c r="F112" s="5"/>
      <c r="G112" s="5"/>
      <c r="H112" s="5"/>
      <c r="I112" s="5"/>
      <c r="J112" s="5"/>
    </row>
    <row r="113" spans="1:10" ht="13.05" customHeight="1">
      <c r="A113" s="5"/>
      <c r="B113" s="4" t="s">
        <v>1816</v>
      </c>
      <c r="C113" s="5"/>
      <c r="D113" s="5"/>
      <c r="E113" s="5"/>
      <c r="F113" s="5"/>
      <c r="G113" s="5"/>
      <c r="H113" s="5"/>
      <c r="I113" s="5"/>
      <c r="J113" s="5"/>
    </row>
    <row r="114" spans="1:10" ht="13.05" customHeight="1">
      <c r="A114" s="5"/>
      <c r="B114" s="4" t="s">
        <v>201</v>
      </c>
      <c r="C114" s="5"/>
      <c r="D114" s="5"/>
      <c r="E114" s="5"/>
      <c r="F114" s="5"/>
      <c r="G114" s="5"/>
      <c r="H114" s="5"/>
      <c r="I114" s="5"/>
      <c r="J114" s="5"/>
    </row>
    <row r="115" spans="1:10" ht="25.95" customHeight="1">
      <c r="A115" s="5"/>
      <c r="B115" s="103" t="s">
        <v>202</v>
      </c>
      <c r="C115" s="103"/>
      <c r="D115" s="103"/>
      <c r="E115" s="103"/>
      <c r="F115" s="103"/>
      <c r="G115" s="103"/>
      <c r="H115" s="103"/>
      <c r="I115" s="103"/>
      <c r="J115" s="5"/>
    </row>
    <row r="116" spans="1:10" ht="16.05" customHeight="1">
      <c r="A116" s="5"/>
      <c r="B116" s="103" t="s">
        <v>203</v>
      </c>
      <c r="C116" s="103"/>
      <c r="D116" s="103"/>
      <c r="E116" s="103"/>
      <c r="F116" s="103"/>
      <c r="G116" s="103"/>
      <c r="H116" s="103"/>
      <c r="I116" s="103"/>
      <c r="J116" s="5"/>
    </row>
    <row r="117" spans="1:10" ht="13.05" customHeight="1">
      <c r="A117" s="5"/>
      <c r="B117" s="103"/>
      <c r="C117" s="103"/>
      <c r="D117" s="103"/>
      <c r="E117" s="103"/>
      <c r="F117" s="103"/>
      <c r="G117" s="103"/>
      <c r="H117" s="103"/>
      <c r="I117" s="103"/>
      <c r="J117" s="5"/>
    </row>
    <row r="118" spans="1:10" ht="13.05" customHeight="1">
      <c r="A118" s="5"/>
      <c r="B118" s="103"/>
      <c r="C118" s="103"/>
      <c r="D118" s="103"/>
      <c r="E118" s="103"/>
      <c r="F118" s="103"/>
      <c r="G118" s="103"/>
      <c r="H118" s="103"/>
      <c r="I118" s="103"/>
      <c r="J118" s="5"/>
    </row>
    <row r="119" spans="1:10" ht="13.05" customHeight="1">
      <c r="A119" s="5"/>
      <c r="B119" s="103"/>
      <c r="C119" s="103"/>
      <c r="D119" s="103"/>
      <c r="E119" s="103"/>
      <c r="F119" s="103"/>
      <c r="G119" s="103"/>
      <c r="H119" s="103"/>
      <c r="I119" s="103"/>
      <c r="J119" s="5"/>
    </row>
    <row r="120" spans="1:10" ht="13.05" customHeight="1">
      <c r="A120" s="5"/>
      <c r="B120" s="103"/>
      <c r="C120" s="103"/>
      <c r="D120" s="103"/>
      <c r="E120" s="103"/>
      <c r="F120" s="103"/>
      <c r="G120" s="103"/>
      <c r="H120" s="103"/>
      <c r="I120" s="103"/>
      <c r="J120" s="5"/>
    </row>
    <row r="121" spans="1:10" ht="13.05" customHeight="1">
      <c r="A121" s="5"/>
      <c r="B121" s="5"/>
      <c r="C121" s="104" t="s">
        <v>3923</v>
      </c>
      <c r="D121" s="104"/>
      <c r="E121" s="104"/>
      <c r="F121" s="104"/>
      <c r="G121" s="5"/>
      <c r="H121" s="5"/>
      <c r="I121" s="5"/>
      <c r="J121" s="5"/>
    </row>
    <row r="122" spans="1:10" ht="13.05" customHeight="1">
      <c r="A122" s="5"/>
      <c r="B122" s="38" t="s">
        <v>207</v>
      </c>
      <c r="C122" s="104" t="s">
        <v>208</v>
      </c>
      <c r="D122" s="104"/>
      <c r="E122" s="104"/>
      <c r="F122" s="104"/>
      <c r="G122" s="5"/>
      <c r="H122" s="5"/>
      <c r="I122" s="5"/>
      <c r="J122" s="5"/>
    </row>
    <row r="123" spans="1:10" ht="135" customHeight="1">
      <c r="A123" s="5"/>
      <c r="B123" s="39"/>
      <c r="C123" s="105"/>
      <c r="D123" s="105"/>
      <c r="E123" s="5"/>
      <c r="F123" s="5"/>
      <c r="G123" s="5"/>
      <c r="H123" s="5"/>
      <c r="I123" s="5"/>
      <c r="J123" s="5"/>
    </row>
  </sheetData>
  <mergeCells count="9">
    <mergeCell ref="B120:I120"/>
    <mergeCell ref="C121:F121"/>
    <mergeCell ref="C122:F122"/>
    <mergeCell ref="C123:D123"/>
    <mergeCell ref="B115:I115"/>
    <mergeCell ref="B116:I116"/>
    <mergeCell ref="B117:I117"/>
    <mergeCell ref="B118:I118"/>
    <mergeCell ref="B119:I119"/>
  </mergeCells>
  <hyperlinks>
    <hyperlink ref="A1" location="AxisStrategicBondFund" display="AXISIFD" xr:uid="{00000000-0004-0000-2600-000000000000}"/>
    <hyperlink ref="B1" location="AxisStrategicBondFund" display="Axis Strategic Bond Fund" xr:uid="{00000000-0004-0000-26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outlinePr summaryBelow="0"/>
  </sheetPr>
  <dimension ref="A1:J120"/>
  <sheetViews>
    <sheetView topLeftCell="A100" workbookViewId="0">
      <selection activeCell="H75" sqref="H75"/>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80</v>
      </c>
      <c r="B1" s="4" t="s">
        <v>81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293</v>
      </c>
      <c r="B7" s="19" t="s">
        <v>294</v>
      </c>
      <c r="C7" s="15" t="s">
        <v>295</v>
      </c>
      <c r="D7" s="15" t="s">
        <v>296</v>
      </c>
      <c r="E7" s="20">
        <v>858432</v>
      </c>
      <c r="F7" s="21">
        <v>29935.240699999998</v>
      </c>
      <c r="G7" s="22">
        <v>5.5899999999999998E-2</v>
      </c>
      <c r="H7" s="40"/>
      <c r="I7" s="24"/>
      <c r="J7" s="5"/>
    </row>
    <row r="8" spans="1:10" ht="13.05" customHeight="1">
      <c r="A8" s="18" t="s">
        <v>326</v>
      </c>
      <c r="B8" s="19" t="s">
        <v>327</v>
      </c>
      <c r="C8" s="15" t="s">
        <v>328</v>
      </c>
      <c r="D8" s="15" t="s">
        <v>329</v>
      </c>
      <c r="E8" s="20">
        <v>5953332</v>
      </c>
      <c r="F8" s="21">
        <v>25367.147700000001</v>
      </c>
      <c r="G8" s="22">
        <v>4.7399999999999998E-2</v>
      </c>
      <c r="H8" s="40"/>
      <c r="I8" s="24"/>
      <c r="J8" s="5"/>
    </row>
    <row r="9" spans="1:10" ht="13.05" customHeight="1">
      <c r="A9" s="18" t="s">
        <v>258</v>
      </c>
      <c r="B9" s="19" t="s">
        <v>259</v>
      </c>
      <c r="C9" s="15" t="s">
        <v>260</v>
      </c>
      <c r="D9" s="15" t="s">
        <v>261</v>
      </c>
      <c r="E9" s="20">
        <v>1446626</v>
      </c>
      <c r="F9" s="21">
        <v>21502.6489</v>
      </c>
      <c r="G9" s="22">
        <v>4.0099999999999997E-2</v>
      </c>
      <c r="H9" s="40"/>
      <c r="I9" s="24"/>
      <c r="J9" s="5"/>
    </row>
    <row r="10" spans="1:10" ht="13.05" customHeight="1">
      <c r="A10" s="18" t="s">
        <v>498</v>
      </c>
      <c r="B10" s="19" t="s">
        <v>499</v>
      </c>
      <c r="C10" s="15" t="s">
        <v>500</v>
      </c>
      <c r="D10" s="15" t="s">
        <v>501</v>
      </c>
      <c r="E10" s="20">
        <v>422903</v>
      </c>
      <c r="F10" s="21">
        <v>18371.3292</v>
      </c>
      <c r="G10" s="22">
        <v>3.4299999999999997E-2</v>
      </c>
      <c r="H10" s="40"/>
      <c r="I10" s="24"/>
      <c r="J10" s="5"/>
    </row>
    <row r="11" spans="1:10" ht="13.05" customHeight="1">
      <c r="A11" s="18" t="s">
        <v>308</v>
      </c>
      <c r="B11" s="19" t="s">
        <v>309</v>
      </c>
      <c r="C11" s="15" t="s">
        <v>310</v>
      </c>
      <c r="D11" s="15" t="s">
        <v>296</v>
      </c>
      <c r="E11" s="20">
        <v>113349</v>
      </c>
      <c r="F11" s="21">
        <v>18346.669099999999</v>
      </c>
      <c r="G11" s="22">
        <v>3.4299999999999997E-2</v>
      </c>
      <c r="H11" s="40"/>
      <c r="I11" s="24"/>
      <c r="J11" s="5"/>
    </row>
    <row r="12" spans="1:10" ht="13.05" customHeight="1">
      <c r="A12" s="18" t="s">
        <v>311</v>
      </c>
      <c r="B12" s="19" t="s">
        <v>312</v>
      </c>
      <c r="C12" s="15" t="s">
        <v>313</v>
      </c>
      <c r="D12" s="15" t="s">
        <v>314</v>
      </c>
      <c r="E12" s="20">
        <v>925339</v>
      </c>
      <c r="F12" s="21">
        <v>15644.7065</v>
      </c>
      <c r="G12" s="22">
        <v>2.92E-2</v>
      </c>
      <c r="H12" s="40"/>
      <c r="I12" s="24"/>
      <c r="J12" s="5"/>
    </row>
    <row r="13" spans="1:10" ht="13.05" customHeight="1">
      <c r="A13" s="18" t="s">
        <v>330</v>
      </c>
      <c r="B13" s="19" t="s">
        <v>331</v>
      </c>
      <c r="C13" s="15" t="s">
        <v>332</v>
      </c>
      <c r="D13" s="15" t="s">
        <v>333</v>
      </c>
      <c r="E13" s="20">
        <v>8339938</v>
      </c>
      <c r="F13" s="21">
        <v>15248.7426</v>
      </c>
      <c r="G13" s="22">
        <v>2.8500000000000001E-2</v>
      </c>
      <c r="H13" s="40"/>
      <c r="I13" s="24"/>
      <c r="J13" s="5"/>
    </row>
    <row r="14" spans="1:10" ht="13.05" customHeight="1">
      <c r="A14" s="18" t="s">
        <v>423</v>
      </c>
      <c r="B14" s="19" t="s">
        <v>424</v>
      </c>
      <c r="C14" s="15" t="s">
        <v>425</v>
      </c>
      <c r="D14" s="15" t="s">
        <v>296</v>
      </c>
      <c r="E14" s="20">
        <v>429921</v>
      </c>
      <c r="F14" s="21">
        <v>15084.6381</v>
      </c>
      <c r="G14" s="22">
        <v>2.8199999999999999E-2</v>
      </c>
      <c r="H14" s="40"/>
      <c r="I14" s="24"/>
      <c r="J14" s="5"/>
    </row>
    <row r="15" spans="1:10" ht="13.05" customHeight="1">
      <c r="A15" s="18" t="s">
        <v>341</v>
      </c>
      <c r="B15" s="19" t="s">
        <v>342</v>
      </c>
      <c r="C15" s="15" t="s">
        <v>343</v>
      </c>
      <c r="D15" s="15" t="s">
        <v>344</v>
      </c>
      <c r="E15" s="20">
        <v>1631311</v>
      </c>
      <c r="F15" s="21">
        <v>13831.070299999999</v>
      </c>
      <c r="G15" s="22">
        <v>2.58E-2</v>
      </c>
      <c r="H15" s="40"/>
      <c r="I15" s="24"/>
      <c r="J15" s="5"/>
    </row>
    <row r="16" spans="1:10" ht="13.05" customHeight="1">
      <c r="A16" s="18" t="s">
        <v>616</v>
      </c>
      <c r="B16" s="19" t="s">
        <v>617</v>
      </c>
      <c r="C16" s="15" t="s">
        <v>618</v>
      </c>
      <c r="D16" s="15" t="s">
        <v>445</v>
      </c>
      <c r="E16" s="20">
        <v>450743</v>
      </c>
      <c r="F16" s="21">
        <v>13690.867899999999</v>
      </c>
      <c r="G16" s="22">
        <v>2.5600000000000001E-2</v>
      </c>
      <c r="H16" s="40"/>
      <c r="I16" s="24"/>
      <c r="J16" s="5"/>
    </row>
    <row r="17" spans="1:10" ht="13.05" customHeight="1">
      <c r="A17" s="18" t="s">
        <v>532</v>
      </c>
      <c r="B17" s="19" t="s">
        <v>533</v>
      </c>
      <c r="C17" s="15" t="s">
        <v>534</v>
      </c>
      <c r="D17" s="15" t="s">
        <v>445</v>
      </c>
      <c r="E17" s="20">
        <v>1814117</v>
      </c>
      <c r="F17" s="21">
        <v>13363.6929</v>
      </c>
      <c r="G17" s="22">
        <v>2.5000000000000001E-2</v>
      </c>
      <c r="H17" s="40"/>
      <c r="I17" s="24"/>
      <c r="J17" s="5"/>
    </row>
    <row r="18" spans="1:10" ht="13.05" customHeight="1">
      <c r="A18" s="18" t="s">
        <v>1052</v>
      </c>
      <c r="B18" s="19" t="s">
        <v>1053</v>
      </c>
      <c r="C18" s="15" t="s">
        <v>1054</v>
      </c>
      <c r="D18" s="15" t="s">
        <v>445</v>
      </c>
      <c r="E18" s="20">
        <v>1165154</v>
      </c>
      <c r="F18" s="21">
        <v>12737.4635</v>
      </c>
      <c r="G18" s="22">
        <v>2.3800000000000002E-2</v>
      </c>
      <c r="H18" s="40"/>
      <c r="I18" s="24"/>
      <c r="J18" s="5"/>
    </row>
    <row r="19" spans="1:10" ht="13.05" customHeight="1">
      <c r="A19" s="18" t="s">
        <v>476</v>
      </c>
      <c r="B19" s="19" t="s">
        <v>477</v>
      </c>
      <c r="C19" s="15" t="s">
        <v>478</v>
      </c>
      <c r="D19" s="15" t="s">
        <v>325</v>
      </c>
      <c r="E19" s="20">
        <v>65200</v>
      </c>
      <c r="F19" s="21">
        <v>10102.088</v>
      </c>
      <c r="G19" s="22">
        <v>1.89E-2</v>
      </c>
      <c r="H19" s="40"/>
      <c r="I19" s="24"/>
      <c r="J19" s="5"/>
    </row>
    <row r="20" spans="1:10" ht="13.05" customHeight="1">
      <c r="A20" s="18" t="s">
        <v>406</v>
      </c>
      <c r="B20" s="19" t="s">
        <v>407</v>
      </c>
      <c r="C20" s="15" t="s">
        <v>408</v>
      </c>
      <c r="D20" s="15" t="s">
        <v>314</v>
      </c>
      <c r="E20" s="20">
        <v>138602</v>
      </c>
      <c r="F20" s="21">
        <v>9339.0028000000002</v>
      </c>
      <c r="G20" s="22">
        <v>1.7399999999999999E-2</v>
      </c>
      <c r="H20" s="40"/>
      <c r="I20" s="24"/>
      <c r="J20" s="5"/>
    </row>
    <row r="21" spans="1:10" ht="13.05" customHeight="1">
      <c r="A21" s="18" t="s">
        <v>449</v>
      </c>
      <c r="B21" s="19" t="s">
        <v>450</v>
      </c>
      <c r="C21" s="15" t="s">
        <v>451</v>
      </c>
      <c r="D21" s="15" t="s">
        <v>261</v>
      </c>
      <c r="E21" s="20">
        <v>2596963</v>
      </c>
      <c r="F21" s="21">
        <v>9265.9639999999999</v>
      </c>
      <c r="G21" s="22">
        <v>1.7299999999999999E-2</v>
      </c>
      <c r="H21" s="40"/>
      <c r="I21" s="24"/>
      <c r="J21" s="5"/>
    </row>
    <row r="22" spans="1:10" ht="13.05" customHeight="1">
      <c r="A22" s="18" t="s">
        <v>730</v>
      </c>
      <c r="B22" s="19" t="s">
        <v>731</v>
      </c>
      <c r="C22" s="15" t="s">
        <v>732</v>
      </c>
      <c r="D22" s="15" t="s">
        <v>445</v>
      </c>
      <c r="E22" s="20">
        <v>279489</v>
      </c>
      <c r="F22" s="21">
        <v>8903.4015999999992</v>
      </c>
      <c r="G22" s="22">
        <v>1.66E-2</v>
      </c>
      <c r="H22" s="40"/>
      <c r="I22" s="24"/>
      <c r="J22" s="5"/>
    </row>
    <row r="23" spans="1:10" ht="13.05" customHeight="1">
      <c r="A23" s="18" t="s">
        <v>395</v>
      </c>
      <c r="B23" s="19" t="s">
        <v>396</v>
      </c>
      <c r="C23" s="15" t="s">
        <v>397</v>
      </c>
      <c r="D23" s="15" t="s">
        <v>329</v>
      </c>
      <c r="E23" s="20">
        <v>183484</v>
      </c>
      <c r="F23" s="21">
        <v>8586.6841999999997</v>
      </c>
      <c r="G23" s="22">
        <v>1.6E-2</v>
      </c>
      <c r="H23" s="40"/>
      <c r="I23" s="24"/>
      <c r="J23" s="5"/>
    </row>
    <row r="24" spans="1:10" ht="13.05" customHeight="1">
      <c r="A24" s="18" t="s">
        <v>334</v>
      </c>
      <c r="B24" s="19" t="s">
        <v>335</v>
      </c>
      <c r="C24" s="15" t="s">
        <v>336</v>
      </c>
      <c r="D24" s="15" t="s">
        <v>337</v>
      </c>
      <c r="E24" s="20">
        <v>69475</v>
      </c>
      <c r="F24" s="21">
        <v>8300.1782999999996</v>
      </c>
      <c r="G24" s="22">
        <v>1.55E-2</v>
      </c>
      <c r="H24" s="40"/>
      <c r="I24" s="24"/>
      <c r="J24" s="5"/>
    </row>
    <row r="25" spans="1:10" ht="13.05" customHeight="1">
      <c r="A25" s="18" t="s">
        <v>382</v>
      </c>
      <c r="B25" s="19" t="s">
        <v>383</v>
      </c>
      <c r="C25" s="15" t="s">
        <v>384</v>
      </c>
      <c r="D25" s="15" t="s">
        <v>296</v>
      </c>
      <c r="E25" s="20">
        <v>93022</v>
      </c>
      <c r="F25" s="21">
        <v>8271.9814000000006</v>
      </c>
      <c r="G25" s="22">
        <v>1.54E-2</v>
      </c>
      <c r="H25" s="40"/>
      <c r="I25" s="24"/>
      <c r="J25" s="5"/>
    </row>
    <row r="26" spans="1:10" ht="13.05" customHeight="1">
      <c r="A26" s="18" t="s">
        <v>649</v>
      </c>
      <c r="B26" s="19" t="s">
        <v>650</v>
      </c>
      <c r="C26" s="15" t="s">
        <v>651</v>
      </c>
      <c r="D26" s="15" t="s">
        <v>581</v>
      </c>
      <c r="E26" s="20">
        <v>57800</v>
      </c>
      <c r="F26" s="21">
        <v>8021.4840000000004</v>
      </c>
      <c r="G26" s="22">
        <v>1.4999999999999999E-2</v>
      </c>
      <c r="H26" s="40"/>
      <c r="I26" s="24"/>
      <c r="J26" s="5"/>
    </row>
    <row r="27" spans="1:10" ht="13.05" customHeight="1">
      <c r="A27" s="18" t="s">
        <v>843</v>
      </c>
      <c r="B27" s="19" t="s">
        <v>844</v>
      </c>
      <c r="C27" s="15" t="s">
        <v>845</v>
      </c>
      <c r="D27" s="15" t="s">
        <v>846</v>
      </c>
      <c r="E27" s="20">
        <v>111923</v>
      </c>
      <c r="F27" s="21">
        <v>7503.8774999999996</v>
      </c>
      <c r="G27" s="22">
        <v>1.4E-2</v>
      </c>
      <c r="H27" s="40"/>
      <c r="I27" s="24"/>
      <c r="J27" s="5"/>
    </row>
    <row r="28" spans="1:10" ht="13.05" customHeight="1">
      <c r="A28" s="18" t="s">
        <v>604</v>
      </c>
      <c r="B28" s="19" t="s">
        <v>605</v>
      </c>
      <c r="C28" s="15" t="s">
        <v>606</v>
      </c>
      <c r="D28" s="15" t="s">
        <v>333</v>
      </c>
      <c r="E28" s="20">
        <v>686368</v>
      </c>
      <c r="F28" s="21">
        <v>7322.1737999999996</v>
      </c>
      <c r="G28" s="22">
        <v>1.37E-2</v>
      </c>
      <c r="H28" s="40"/>
      <c r="I28" s="24"/>
      <c r="J28" s="5"/>
    </row>
    <row r="29" spans="1:10" ht="13.05" customHeight="1">
      <c r="A29" s="18" t="s">
        <v>416</v>
      </c>
      <c r="B29" s="19" t="s">
        <v>417</v>
      </c>
      <c r="C29" s="15" t="s">
        <v>418</v>
      </c>
      <c r="D29" s="15" t="s">
        <v>314</v>
      </c>
      <c r="E29" s="20">
        <v>459609</v>
      </c>
      <c r="F29" s="21">
        <v>6900.1099000000004</v>
      </c>
      <c r="G29" s="22">
        <v>1.29E-2</v>
      </c>
      <c r="H29" s="40"/>
      <c r="I29" s="24"/>
      <c r="J29" s="5"/>
    </row>
    <row r="30" spans="1:10" ht="13.05" customHeight="1">
      <c r="A30" s="18" t="s">
        <v>1638</v>
      </c>
      <c r="B30" s="19" t="s">
        <v>1639</v>
      </c>
      <c r="C30" s="15" t="s">
        <v>1640</v>
      </c>
      <c r="D30" s="15" t="s">
        <v>567</v>
      </c>
      <c r="E30" s="20">
        <v>1212878</v>
      </c>
      <c r="F30" s="21">
        <v>6836.9933000000001</v>
      </c>
      <c r="G30" s="22">
        <v>1.2800000000000001E-2</v>
      </c>
      <c r="H30" s="40"/>
      <c r="I30" s="24"/>
      <c r="J30" s="5"/>
    </row>
    <row r="31" spans="1:10" ht="13.05" customHeight="1">
      <c r="A31" s="18" t="s">
        <v>640</v>
      </c>
      <c r="B31" s="19" t="s">
        <v>641</v>
      </c>
      <c r="C31" s="15" t="s">
        <v>642</v>
      </c>
      <c r="D31" s="15" t="s">
        <v>296</v>
      </c>
      <c r="E31" s="20">
        <v>271391</v>
      </c>
      <c r="F31" s="21">
        <v>6618.4123</v>
      </c>
      <c r="G31" s="22">
        <v>1.24E-2</v>
      </c>
      <c r="H31" s="40"/>
      <c r="I31" s="24"/>
      <c r="J31" s="5"/>
    </row>
    <row r="32" spans="1:10" ht="13.05" customHeight="1">
      <c r="A32" s="18" t="s">
        <v>564</v>
      </c>
      <c r="B32" s="19" t="s">
        <v>565</v>
      </c>
      <c r="C32" s="15" t="s">
        <v>566</v>
      </c>
      <c r="D32" s="15" t="s">
        <v>567</v>
      </c>
      <c r="E32" s="20">
        <v>6268939</v>
      </c>
      <c r="F32" s="21">
        <v>6606.8347999999996</v>
      </c>
      <c r="G32" s="22">
        <v>1.23E-2</v>
      </c>
      <c r="H32" s="40"/>
      <c r="I32" s="24"/>
      <c r="J32" s="5"/>
    </row>
    <row r="33" spans="1:10" ht="13.05" customHeight="1">
      <c r="A33" s="18" t="s">
        <v>768</v>
      </c>
      <c r="B33" s="19" t="s">
        <v>769</v>
      </c>
      <c r="C33" s="15" t="s">
        <v>770</v>
      </c>
      <c r="D33" s="15" t="s">
        <v>501</v>
      </c>
      <c r="E33" s="20">
        <v>154330</v>
      </c>
      <c r="F33" s="21">
        <v>6222.5856000000003</v>
      </c>
      <c r="G33" s="22">
        <v>1.1599999999999999E-2</v>
      </c>
      <c r="H33" s="40"/>
      <c r="I33" s="24"/>
      <c r="J33" s="5"/>
    </row>
    <row r="34" spans="1:10" ht="13.05" customHeight="1">
      <c r="A34" s="18" t="s">
        <v>578</v>
      </c>
      <c r="B34" s="19" t="s">
        <v>579</v>
      </c>
      <c r="C34" s="15" t="s">
        <v>580</v>
      </c>
      <c r="D34" s="15" t="s">
        <v>581</v>
      </c>
      <c r="E34" s="20">
        <v>427098</v>
      </c>
      <c r="F34" s="21">
        <v>6169.8576999999996</v>
      </c>
      <c r="G34" s="22">
        <v>1.15E-2</v>
      </c>
      <c r="H34" s="40"/>
      <c r="I34" s="24"/>
      <c r="J34" s="5"/>
    </row>
    <row r="35" spans="1:10" ht="13.05" customHeight="1">
      <c r="A35" s="18" t="s">
        <v>1352</v>
      </c>
      <c r="B35" s="19" t="s">
        <v>1353</v>
      </c>
      <c r="C35" s="15" t="s">
        <v>1354</v>
      </c>
      <c r="D35" s="15" t="s">
        <v>567</v>
      </c>
      <c r="E35" s="20">
        <v>90319</v>
      </c>
      <c r="F35" s="21">
        <v>6033.3091999999997</v>
      </c>
      <c r="G35" s="22">
        <v>1.1299999999999999E-2</v>
      </c>
      <c r="H35" s="40"/>
      <c r="I35" s="24"/>
      <c r="J35" s="5"/>
    </row>
    <row r="36" spans="1:10" ht="13.05" customHeight="1">
      <c r="A36" s="18" t="s">
        <v>807</v>
      </c>
      <c r="B36" s="19" t="s">
        <v>808</v>
      </c>
      <c r="C36" s="15" t="s">
        <v>809</v>
      </c>
      <c r="D36" s="15" t="s">
        <v>445</v>
      </c>
      <c r="E36" s="20">
        <v>33325</v>
      </c>
      <c r="F36" s="21">
        <v>5924.5185000000001</v>
      </c>
      <c r="G36" s="22">
        <v>1.11E-2</v>
      </c>
      <c r="H36" s="40"/>
      <c r="I36" s="24"/>
      <c r="J36" s="5"/>
    </row>
    <row r="37" spans="1:10" ht="13.05" customHeight="1">
      <c r="A37" s="18" t="s">
        <v>940</v>
      </c>
      <c r="B37" s="19" t="s">
        <v>941</v>
      </c>
      <c r="C37" s="15" t="s">
        <v>942</v>
      </c>
      <c r="D37" s="15" t="s">
        <v>567</v>
      </c>
      <c r="E37" s="20">
        <v>144608</v>
      </c>
      <c r="F37" s="21">
        <v>5815.2660999999998</v>
      </c>
      <c r="G37" s="22">
        <v>1.09E-2</v>
      </c>
      <c r="H37" s="40"/>
      <c r="I37" s="24"/>
      <c r="J37" s="5"/>
    </row>
    <row r="38" spans="1:10" ht="13.05" customHeight="1">
      <c r="A38" s="18" t="s">
        <v>355</v>
      </c>
      <c r="B38" s="19" t="s">
        <v>356</v>
      </c>
      <c r="C38" s="15" t="s">
        <v>357</v>
      </c>
      <c r="D38" s="15" t="s">
        <v>333</v>
      </c>
      <c r="E38" s="20">
        <v>478779</v>
      </c>
      <c r="F38" s="21">
        <v>5774.0747000000001</v>
      </c>
      <c r="G38" s="22">
        <v>1.0800000000000001E-2</v>
      </c>
      <c r="H38" s="40"/>
      <c r="I38" s="24"/>
      <c r="J38" s="5"/>
    </row>
    <row r="39" spans="1:10" ht="13.05" customHeight="1">
      <c r="A39" s="18" t="s">
        <v>273</v>
      </c>
      <c r="B39" s="19" t="s">
        <v>274</v>
      </c>
      <c r="C39" s="15" t="s">
        <v>275</v>
      </c>
      <c r="D39" s="15" t="s">
        <v>276</v>
      </c>
      <c r="E39" s="20">
        <v>142568</v>
      </c>
      <c r="F39" s="21">
        <v>5746.7735000000002</v>
      </c>
      <c r="G39" s="22">
        <v>1.0699999999999999E-2</v>
      </c>
      <c r="H39" s="40"/>
      <c r="I39" s="24"/>
      <c r="J39" s="5"/>
    </row>
    <row r="40" spans="1:10" ht="13.05" customHeight="1">
      <c r="A40" s="18" t="s">
        <v>1370</v>
      </c>
      <c r="B40" s="19" t="s">
        <v>1371</v>
      </c>
      <c r="C40" s="15" t="s">
        <v>1372</v>
      </c>
      <c r="D40" s="15" t="s">
        <v>846</v>
      </c>
      <c r="E40" s="20">
        <v>655660</v>
      </c>
      <c r="F40" s="21">
        <v>5664.9023999999999</v>
      </c>
      <c r="G40" s="22">
        <v>1.06E-2</v>
      </c>
      <c r="H40" s="40"/>
      <c r="I40" s="24"/>
      <c r="J40" s="5"/>
    </row>
    <row r="41" spans="1:10" ht="13.05" customHeight="1">
      <c r="A41" s="18" t="s">
        <v>986</v>
      </c>
      <c r="B41" s="19" t="s">
        <v>987</v>
      </c>
      <c r="C41" s="15" t="s">
        <v>988</v>
      </c>
      <c r="D41" s="15" t="s">
        <v>445</v>
      </c>
      <c r="E41" s="20">
        <v>64197</v>
      </c>
      <c r="F41" s="21">
        <v>5566.5218999999997</v>
      </c>
      <c r="G41" s="22">
        <v>1.04E-2</v>
      </c>
      <c r="H41" s="40"/>
      <c r="I41" s="24"/>
      <c r="J41" s="5"/>
    </row>
    <row r="42" spans="1:10" ht="13.05" customHeight="1">
      <c r="A42" s="18" t="s">
        <v>1013</v>
      </c>
      <c r="B42" s="19" t="s">
        <v>1014</v>
      </c>
      <c r="C42" s="15" t="s">
        <v>1015</v>
      </c>
      <c r="D42" s="15" t="s">
        <v>314</v>
      </c>
      <c r="E42" s="20">
        <v>320347</v>
      </c>
      <c r="F42" s="21">
        <v>5389.1976000000004</v>
      </c>
      <c r="G42" s="22">
        <v>1.01E-2</v>
      </c>
      <c r="H42" s="40"/>
      <c r="I42" s="24"/>
      <c r="J42" s="5"/>
    </row>
    <row r="43" spans="1:10" ht="13.05" customHeight="1">
      <c r="A43" s="18" t="s">
        <v>625</v>
      </c>
      <c r="B43" s="19" t="s">
        <v>626</v>
      </c>
      <c r="C43" s="15" t="s">
        <v>627</v>
      </c>
      <c r="D43" s="15" t="s">
        <v>314</v>
      </c>
      <c r="E43" s="20">
        <v>147522</v>
      </c>
      <c r="F43" s="21">
        <v>5251.9306999999999</v>
      </c>
      <c r="G43" s="22">
        <v>9.7999999999999997E-3</v>
      </c>
      <c r="H43" s="40"/>
      <c r="I43" s="24"/>
      <c r="J43" s="5"/>
    </row>
    <row r="44" spans="1:10" ht="13.05" customHeight="1">
      <c r="A44" s="18" t="s">
        <v>828</v>
      </c>
      <c r="B44" s="19" t="s">
        <v>829</v>
      </c>
      <c r="C44" s="15" t="s">
        <v>830</v>
      </c>
      <c r="D44" s="15" t="s">
        <v>567</v>
      </c>
      <c r="E44" s="20">
        <v>1095867</v>
      </c>
      <c r="F44" s="21">
        <v>5180.7111999999997</v>
      </c>
      <c r="G44" s="22">
        <v>9.7000000000000003E-3</v>
      </c>
      <c r="H44" s="40"/>
      <c r="I44" s="24"/>
      <c r="J44" s="5"/>
    </row>
    <row r="45" spans="1:10" ht="13.05" customHeight="1">
      <c r="A45" s="18" t="s">
        <v>472</v>
      </c>
      <c r="B45" s="19" t="s">
        <v>473</v>
      </c>
      <c r="C45" s="15" t="s">
        <v>474</v>
      </c>
      <c r="D45" s="15" t="s">
        <v>475</v>
      </c>
      <c r="E45" s="20">
        <v>1100017</v>
      </c>
      <c r="F45" s="21">
        <v>5166.2298000000001</v>
      </c>
      <c r="G45" s="22">
        <v>9.5999999999999992E-3</v>
      </c>
      <c r="H45" s="40"/>
      <c r="I45" s="24"/>
      <c r="J45" s="5"/>
    </row>
    <row r="46" spans="1:10" ht="13.05" customHeight="1">
      <c r="A46" s="18" t="s">
        <v>3924</v>
      </c>
      <c r="B46" s="19" t="s">
        <v>3925</v>
      </c>
      <c r="C46" s="15" t="s">
        <v>3926</v>
      </c>
      <c r="D46" s="15" t="s">
        <v>567</v>
      </c>
      <c r="E46" s="20">
        <v>402459</v>
      </c>
      <c r="F46" s="21">
        <v>5126.9251999999997</v>
      </c>
      <c r="G46" s="22">
        <v>9.5999999999999992E-3</v>
      </c>
      <c r="H46" s="40"/>
      <c r="I46" s="24"/>
      <c r="J46" s="5"/>
    </row>
    <row r="47" spans="1:10" ht="13.05" customHeight="1">
      <c r="A47" s="18" t="s">
        <v>634</v>
      </c>
      <c r="B47" s="19" t="s">
        <v>635</v>
      </c>
      <c r="C47" s="15" t="s">
        <v>636</v>
      </c>
      <c r="D47" s="15" t="s">
        <v>337</v>
      </c>
      <c r="E47" s="20">
        <v>865989</v>
      </c>
      <c r="F47" s="21">
        <v>4896.3018000000002</v>
      </c>
      <c r="G47" s="22">
        <v>9.1000000000000004E-3</v>
      </c>
      <c r="H47" s="40"/>
      <c r="I47" s="24"/>
      <c r="J47" s="5"/>
    </row>
    <row r="48" spans="1:10" ht="13.05" customHeight="1">
      <c r="A48" s="18" t="s">
        <v>571</v>
      </c>
      <c r="B48" s="19" t="s">
        <v>572</v>
      </c>
      <c r="C48" s="15" t="s">
        <v>573</v>
      </c>
      <c r="D48" s="15" t="s">
        <v>261</v>
      </c>
      <c r="E48" s="20">
        <v>991943</v>
      </c>
      <c r="F48" s="21">
        <v>4721.6486999999997</v>
      </c>
      <c r="G48" s="22">
        <v>8.8000000000000005E-3</v>
      </c>
      <c r="H48" s="40"/>
      <c r="I48" s="24"/>
      <c r="J48" s="5"/>
    </row>
    <row r="49" spans="1:10" ht="13.05" customHeight="1">
      <c r="A49" s="18" t="s">
        <v>2438</v>
      </c>
      <c r="B49" s="19" t="s">
        <v>2439</v>
      </c>
      <c r="C49" s="15" t="s">
        <v>2440</v>
      </c>
      <c r="D49" s="15" t="s">
        <v>445</v>
      </c>
      <c r="E49" s="20">
        <v>61365</v>
      </c>
      <c r="F49" s="21">
        <v>4543.1578</v>
      </c>
      <c r="G49" s="22">
        <v>8.5000000000000006E-3</v>
      </c>
      <c r="H49" s="40"/>
      <c r="I49" s="24"/>
      <c r="J49" s="5"/>
    </row>
    <row r="50" spans="1:10" ht="13.05" customHeight="1">
      <c r="A50" s="18" t="s">
        <v>385</v>
      </c>
      <c r="B50" s="19" t="s">
        <v>386</v>
      </c>
      <c r="C50" s="15" t="s">
        <v>387</v>
      </c>
      <c r="D50" s="15" t="s">
        <v>296</v>
      </c>
      <c r="E50" s="20">
        <v>63575</v>
      </c>
      <c r="F50" s="21">
        <v>4454.7003000000004</v>
      </c>
      <c r="G50" s="22">
        <v>8.3000000000000001E-3</v>
      </c>
      <c r="H50" s="40"/>
      <c r="I50" s="24"/>
      <c r="J50" s="5"/>
    </row>
    <row r="51" spans="1:10" ht="13.05" customHeight="1">
      <c r="A51" s="18" t="s">
        <v>721</v>
      </c>
      <c r="B51" s="19" t="s">
        <v>722</v>
      </c>
      <c r="C51" s="15" t="s">
        <v>723</v>
      </c>
      <c r="D51" s="15" t="s">
        <v>314</v>
      </c>
      <c r="E51" s="20">
        <v>231262</v>
      </c>
      <c r="F51" s="21">
        <v>4373.6269000000002</v>
      </c>
      <c r="G51" s="22">
        <v>8.2000000000000007E-3</v>
      </c>
      <c r="H51" s="40"/>
      <c r="I51" s="24"/>
      <c r="J51" s="5"/>
    </row>
    <row r="52" spans="1:10" ht="13.05" customHeight="1">
      <c r="A52" s="18" t="s">
        <v>1248</v>
      </c>
      <c r="B52" s="19" t="s">
        <v>1249</v>
      </c>
      <c r="C52" s="15" t="s">
        <v>1250</v>
      </c>
      <c r="D52" s="15" t="s">
        <v>314</v>
      </c>
      <c r="E52" s="20">
        <v>470554</v>
      </c>
      <c r="F52" s="21">
        <v>4320.6268</v>
      </c>
      <c r="G52" s="22">
        <v>8.0999999999999996E-3</v>
      </c>
      <c r="H52" s="40"/>
      <c r="I52" s="24"/>
      <c r="J52" s="5"/>
    </row>
    <row r="53" spans="1:10" ht="13.05" customHeight="1">
      <c r="A53" s="18" t="s">
        <v>931</v>
      </c>
      <c r="B53" s="19" t="s">
        <v>932</v>
      </c>
      <c r="C53" s="15" t="s">
        <v>933</v>
      </c>
      <c r="D53" s="15" t="s">
        <v>325</v>
      </c>
      <c r="E53" s="20">
        <v>49709</v>
      </c>
      <c r="F53" s="21">
        <v>3994.8638000000001</v>
      </c>
      <c r="G53" s="22">
        <v>7.4999999999999997E-3</v>
      </c>
      <c r="H53" s="40"/>
      <c r="I53" s="24"/>
      <c r="J53" s="5"/>
    </row>
    <row r="54" spans="1:10" ht="13.05" customHeight="1">
      <c r="A54" s="18" t="s">
        <v>739</v>
      </c>
      <c r="B54" s="19" t="s">
        <v>740</v>
      </c>
      <c r="C54" s="15" t="s">
        <v>741</v>
      </c>
      <c r="D54" s="15" t="s">
        <v>314</v>
      </c>
      <c r="E54" s="20">
        <v>167530</v>
      </c>
      <c r="F54" s="21">
        <v>3993.9151999999999</v>
      </c>
      <c r="G54" s="22">
        <v>7.4999999999999997E-3</v>
      </c>
      <c r="H54" s="40"/>
      <c r="I54" s="24"/>
      <c r="J54" s="5"/>
    </row>
    <row r="55" spans="1:10" ht="13.05" customHeight="1">
      <c r="A55" s="18" t="s">
        <v>752</v>
      </c>
      <c r="B55" s="19" t="s">
        <v>753</v>
      </c>
      <c r="C55" s="15" t="s">
        <v>754</v>
      </c>
      <c r="D55" s="15" t="s">
        <v>337</v>
      </c>
      <c r="E55" s="20">
        <v>59175</v>
      </c>
      <c r="F55" s="21">
        <v>3677.1345000000001</v>
      </c>
      <c r="G55" s="22">
        <v>6.8999999999999999E-3</v>
      </c>
      <c r="H55" s="40"/>
      <c r="I55" s="24"/>
      <c r="J55" s="5"/>
    </row>
    <row r="56" spans="1:10" ht="13.05" customHeight="1">
      <c r="A56" s="18" t="s">
        <v>1447</v>
      </c>
      <c r="B56" s="19" t="s">
        <v>1448</v>
      </c>
      <c r="C56" s="15" t="s">
        <v>1449</v>
      </c>
      <c r="D56" s="15" t="s">
        <v>445</v>
      </c>
      <c r="E56" s="20">
        <v>651185</v>
      </c>
      <c r="F56" s="21">
        <v>3485.7932999999998</v>
      </c>
      <c r="G56" s="22">
        <v>6.4999999999999997E-3</v>
      </c>
      <c r="H56" s="40"/>
      <c r="I56" s="24"/>
      <c r="J56" s="5"/>
    </row>
    <row r="57" spans="1:10" ht="13.05" customHeight="1">
      <c r="A57" s="18" t="s">
        <v>712</v>
      </c>
      <c r="B57" s="19" t="s">
        <v>713</v>
      </c>
      <c r="C57" s="15" t="s">
        <v>714</v>
      </c>
      <c r="D57" s="15" t="s">
        <v>603</v>
      </c>
      <c r="E57" s="20">
        <v>89233</v>
      </c>
      <c r="F57" s="21">
        <v>3192.2213000000002</v>
      </c>
      <c r="G57" s="22">
        <v>6.0000000000000001E-3</v>
      </c>
      <c r="H57" s="40"/>
      <c r="I57" s="24"/>
      <c r="J57" s="5"/>
    </row>
    <row r="58" spans="1:10" ht="13.05" customHeight="1">
      <c r="A58" s="18" t="s">
        <v>691</v>
      </c>
      <c r="B58" s="19" t="s">
        <v>692</v>
      </c>
      <c r="C58" s="15" t="s">
        <v>693</v>
      </c>
      <c r="D58" s="15" t="s">
        <v>325</v>
      </c>
      <c r="E58" s="20">
        <v>228730</v>
      </c>
      <c r="F58" s="21">
        <v>3164.7082999999998</v>
      </c>
      <c r="G58" s="22">
        <v>5.8999999999999999E-3</v>
      </c>
      <c r="H58" s="40"/>
      <c r="I58" s="24"/>
      <c r="J58" s="5"/>
    </row>
    <row r="59" spans="1:10" ht="13.05" customHeight="1">
      <c r="A59" s="18" t="s">
        <v>765</v>
      </c>
      <c r="B59" s="19" t="s">
        <v>766</v>
      </c>
      <c r="C59" s="15" t="s">
        <v>767</v>
      </c>
      <c r="D59" s="15" t="s">
        <v>325</v>
      </c>
      <c r="E59" s="20">
        <v>159075</v>
      </c>
      <c r="F59" s="21">
        <v>3081.9191000000001</v>
      </c>
      <c r="G59" s="22">
        <v>5.7999999999999996E-3</v>
      </c>
      <c r="H59" s="40"/>
      <c r="I59" s="24"/>
      <c r="J59" s="5"/>
    </row>
    <row r="60" spans="1:10" ht="13.05" customHeight="1">
      <c r="A60" s="18" t="s">
        <v>1453</v>
      </c>
      <c r="B60" s="19" t="s">
        <v>1454</v>
      </c>
      <c r="C60" s="15" t="s">
        <v>1455</v>
      </c>
      <c r="D60" s="15" t="s">
        <v>846</v>
      </c>
      <c r="E60" s="20">
        <v>378226</v>
      </c>
      <c r="F60" s="21">
        <v>3078.0032000000001</v>
      </c>
      <c r="G60" s="22">
        <v>5.7000000000000002E-3</v>
      </c>
      <c r="H60" s="40"/>
      <c r="I60" s="24"/>
      <c r="J60" s="5"/>
    </row>
    <row r="61" spans="1:10" ht="13.05" customHeight="1">
      <c r="A61" s="18" t="s">
        <v>1613</v>
      </c>
      <c r="B61" s="19" t="s">
        <v>1614</v>
      </c>
      <c r="C61" s="15" t="s">
        <v>1615</v>
      </c>
      <c r="D61" s="15" t="s">
        <v>1616</v>
      </c>
      <c r="E61" s="20">
        <v>117882</v>
      </c>
      <c r="F61" s="21">
        <v>3032.0428999999999</v>
      </c>
      <c r="G61" s="22">
        <v>5.7000000000000002E-3</v>
      </c>
      <c r="H61" s="40"/>
      <c r="I61" s="24"/>
      <c r="J61" s="5"/>
    </row>
    <row r="62" spans="1:10" ht="13.05" customHeight="1">
      <c r="A62" s="18" t="s">
        <v>733</v>
      </c>
      <c r="B62" s="19" t="s">
        <v>734</v>
      </c>
      <c r="C62" s="15" t="s">
        <v>735</v>
      </c>
      <c r="D62" s="15" t="s">
        <v>445</v>
      </c>
      <c r="E62" s="20">
        <v>96981</v>
      </c>
      <c r="F62" s="21">
        <v>3002.8227000000002</v>
      </c>
      <c r="G62" s="22">
        <v>5.5999999999999999E-3</v>
      </c>
      <c r="H62" s="40"/>
      <c r="I62" s="24"/>
      <c r="J62" s="5"/>
    </row>
    <row r="63" spans="1:10" ht="13.05" customHeight="1">
      <c r="A63" s="18" t="s">
        <v>628</v>
      </c>
      <c r="B63" s="19" t="s">
        <v>629</v>
      </c>
      <c r="C63" s="15" t="s">
        <v>630</v>
      </c>
      <c r="D63" s="15" t="s">
        <v>567</v>
      </c>
      <c r="E63" s="20">
        <v>221503</v>
      </c>
      <c r="F63" s="21">
        <v>2934.2501999999999</v>
      </c>
      <c r="G63" s="22">
        <v>5.4999999999999997E-3</v>
      </c>
      <c r="H63" s="40"/>
      <c r="I63" s="24"/>
      <c r="J63" s="5"/>
    </row>
    <row r="64" spans="1:10" ht="13.05" customHeight="1">
      <c r="A64" s="18" t="s">
        <v>1214</v>
      </c>
      <c r="B64" s="19" t="s">
        <v>1215</v>
      </c>
      <c r="C64" s="15" t="s">
        <v>1216</v>
      </c>
      <c r="D64" s="15" t="s">
        <v>314</v>
      </c>
      <c r="E64" s="20">
        <v>386738</v>
      </c>
      <c r="F64" s="21">
        <v>2913.6840999999999</v>
      </c>
      <c r="G64" s="22">
        <v>5.4000000000000003E-3</v>
      </c>
      <c r="H64" s="40"/>
      <c r="I64" s="24"/>
      <c r="J64" s="5"/>
    </row>
    <row r="65" spans="1:10" ht="13.05" customHeight="1">
      <c r="A65" s="18" t="s">
        <v>1174</v>
      </c>
      <c r="B65" s="19" t="s">
        <v>1175</v>
      </c>
      <c r="C65" s="15" t="s">
        <v>1176</v>
      </c>
      <c r="D65" s="15" t="s">
        <v>501</v>
      </c>
      <c r="E65" s="20">
        <v>317258</v>
      </c>
      <c r="F65" s="21">
        <v>2856.9083000000001</v>
      </c>
      <c r="G65" s="22">
        <v>5.3E-3</v>
      </c>
      <c r="H65" s="40"/>
      <c r="I65" s="24"/>
      <c r="J65" s="5"/>
    </row>
    <row r="66" spans="1:10" ht="13.05" customHeight="1">
      <c r="A66" s="18" t="s">
        <v>1034</v>
      </c>
      <c r="B66" s="19" t="s">
        <v>1035</v>
      </c>
      <c r="C66" s="15" t="s">
        <v>1036</v>
      </c>
      <c r="D66" s="15" t="s">
        <v>501</v>
      </c>
      <c r="E66" s="20">
        <v>293660</v>
      </c>
      <c r="F66" s="21">
        <v>2836.0214999999998</v>
      </c>
      <c r="G66" s="22">
        <v>5.3E-3</v>
      </c>
      <c r="H66" s="40"/>
      <c r="I66" s="24"/>
      <c r="J66" s="5"/>
    </row>
    <row r="67" spans="1:10" ht="13.05" customHeight="1">
      <c r="A67" s="18" t="s">
        <v>1099</v>
      </c>
      <c r="B67" s="19" t="s">
        <v>1100</v>
      </c>
      <c r="C67" s="15" t="s">
        <v>1101</v>
      </c>
      <c r="D67" s="15" t="s">
        <v>758</v>
      </c>
      <c r="E67" s="20">
        <v>263155</v>
      </c>
      <c r="F67" s="21">
        <v>2814.1795999999999</v>
      </c>
      <c r="G67" s="22">
        <v>5.3E-3</v>
      </c>
      <c r="H67" s="40"/>
      <c r="I67" s="24"/>
      <c r="J67" s="5"/>
    </row>
    <row r="68" spans="1:10" ht="13.05" customHeight="1">
      <c r="A68" s="18" t="s">
        <v>1471</v>
      </c>
      <c r="B68" s="19" t="s">
        <v>1472</v>
      </c>
      <c r="C68" s="15" t="s">
        <v>1473</v>
      </c>
      <c r="D68" s="15" t="s">
        <v>325</v>
      </c>
      <c r="E68" s="20">
        <v>773015</v>
      </c>
      <c r="F68" s="21">
        <v>2800.2467999999999</v>
      </c>
      <c r="G68" s="22">
        <v>5.1999999999999998E-3</v>
      </c>
      <c r="H68" s="40"/>
      <c r="I68" s="24"/>
      <c r="J68" s="5"/>
    </row>
    <row r="69" spans="1:10" ht="13.05" customHeight="1">
      <c r="A69" s="18" t="s">
        <v>673</v>
      </c>
      <c r="B69" s="19" t="s">
        <v>674</v>
      </c>
      <c r="C69" s="15" t="s">
        <v>675</v>
      </c>
      <c r="D69" s="15" t="s">
        <v>567</v>
      </c>
      <c r="E69" s="20">
        <v>7512</v>
      </c>
      <c r="F69" s="21">
        <v>2797.8444</v>
      </c>
      <c r="G69" s="22">
        <v>5.1999999999999998E-3</v>
      </c>
      <c r="H69" s="40"/>
      <c r="I69" s="24"/>
      <c r="J69" s="5"/>
    </row>
    <row r="70" spans="1:10" ht="13.05" customHeight="1">
      <c r="A70" s="18" t="s">
        <v>759</v>
      </c>
      <c r="B70" s="19" t="s">
        <v>760</v>
      </c>
      <c r="C70" s="15" t="s">
        <v>761</v>
      </c>
      <c r="D70" s="15" t="s">
        <v>603</v>
      </c>
      <c r="E70" s="20">
        <v>131524</v>
      </c>
      <c r="F70" s="21">
        <v>2794.3589000000002</v>
      </c>
      <c r="G70" s="22">
        <v>5.1999999999999998E-3</v>
      </c>
      <c r="H70" s="40"/>
      <c r="I70" s="24"/>
      <c r="J70" s="5"/>
    </row>
    <row r="71" spans="1:10" ht="13.05" customHeight="1">
      <c r="A71" s="18" t="s">
        <v>949</v>
      </c>
      <c r="B71" s="19" t="s">
        <v>950</v>
      </c>
      <c r="C71" s="15" t="s">
        <v>951</v>
      </c>
      <c r="D71" s="15" t="s">
        <v>314</v>
      </c>
      <c r="E71" s="20">
        <v>140333</v>
      </c>
      <c r="F71" s="21">
        <v>2706.8832000000002</v>
      </c>
      <c r="G71" s="22">
        <v>5.1000000000000004E-3</v>
      </c>
      <c r="H71" s="40"/>
      <c r="I71" s="24"/>
      <c r="J71" s="5"/>
    </row>
    <row r="72" spans="1:10" ht="13.05" customHeight="1">
      <c r="A72" s="18" t="s">
        <v>452</v>
      </c>
      <c r="B72" s="19" t="s">
        <v>453</v>
      </c>
      <c r="C72" s="15" t="s">
        <v>454</v>
      </c>
      <c r="D72" s="15" t="s">
        <v>391</v>
      </c>
      <c r="E72" s="20">
        <v>45042</v>
      </c>
      <c r="F72" s="21">
        <v>2628.8762999999999</v>
      </c>
      <c r="G72" s="22">
        <v>4.8999999999999998E-3</v>
      </c>
      <c r="H72" s="40"/>
      <c r="I72" s="24"/>
      <c r="J72" s="5"/>
    </row>
    <row r="73" spans="1:10" ht="13.05" customHeight="1">
      <c r="A73" s="18" t="s">
        <v>549</v>
      </c>
      <c r="B73" s="19" t="s">
        <v>550</v>
      </c>
      <c r="C73" s="15" t="s">
        <v>551</v>
      </c>
      <c r="D73" s="15" t="s">
        <v>314</v>
      </c>
      <c r="E73" s="20">
        <v>131536</v>
      </c>
      <c r="F73" s="21">
        <v>2582.7094000000002</v>
      </c>
      <c r="G73" s="22">
        <v>4.7999999999999996E-3</v>
      </c>
      <c r="H73" s="40"/>
      <c r="I73" s="24"/>
      <c r="J73" s="5"/>
    </row>
    <row r="74" spans="1:10" ht="13.05" customHeight="1">
      <c r="A74" s="18" t="s">
        <v>3927</v>
      </c>
      <c r="B74" s="19" t="s">
        <v>3928</v>
      </c>
      <c r="C74" s="15" t="s">
        <v>3929</v>
      </c>
      <c r="D74" s="15" t="s">
        <v>501</v>
      </c>
      <c r="E74" s="20">
        <v>251072</v>
      </c>
      <c r="F74" s="21">
        <v>2563.6961999999999</v>
      </c>
      <c r="G74" s="22">
        <v>4.7999999999999996E-3</v>
      </c>
      <c r="H74" s="40"/>
      <c r="I74" s="24"/>
      <c r="J74" s="5"/>
    </row>
    <row r="75" spans="1:10" ht="13.05" customHeight="1">
      <c r="A75" s="18" t="s">
        <v>409</v>
      </c>
      <c r="B75" s="19" t="s">
        <v>410</v>
      </c>
      <c r="C75" s="15" t="s">
        <v>411</v>
      </c>
      <c r="D75" s="15" t="s">
        <v>296</v>
      </c>
      <c r="E75" s="20">
        <v>606523</v>
      </c>
      <c r="F75" s="21">
        <v>2486.7442999999998</v>
      </c>
      <c r="G75" s="22">
        <v>4.5999999999999999E-3</v>
      </c>
      <c r="H75" s="40"/>
      <c r="I75" s="24"/>
      <c r="J75" s="5"/>
    </row>
    <row r="76" spans="1:10" ht="13.05" customHeight="1">
      <c r="A76" s="18" t="s">
        <v>3930</v>
      </c>
      <c r="B76" s="19" t="s">
        <v>3931</v>
      </c>
      <c r="C76" s="15" t="s">
        <v>3932</v>
      </c>
      <c r="D76" s="15" t="s">
        <v>445</v>
      </c>
      <c r="E76" s="20">
        <v>206009</v>
      </c>
      <c r="F76" s="21">
        <v>2452.9492</v>
      </c>
      <c r="G76" s="22">
        <v>4.5999999999999999E-3</v>
      </c>
      <c r="H76" s="40"/>
      <c r="I76" s="24"/>
      <c r="J76" s="5"/>
    </row>
    <row r="77" spans="1:10" ht="13.05" customHeight="1">
      <c r="A77" s="18" t="s">
        <v>1486</v>
      </c>
      <c r="B77" s="19" t="s">
        <v>1487</v>
      </c>
      <c r="C77" s="15" t="s">
        <v>1488</v>
      </c>
      <c r="D77" s="15" t="s">
        <v>581</v>
      </c>
      <c r="E77" s="20">
        <v>347382</v>
      </c>
      <c r="F77" s="21">
        <v>2396.7620999999999</v>
      </c>
      <c r="G77" s="22">
        <v>4.4999999999999997E-3</v>
      </c>
      <c r="H77" s="40"/>
      <c r="I77" s="24"/>
      <c r="J77" s="5"/>
    </row>
    <row r="78" spans="1:10" ht="13.05" customHeight="1">
      <c r="A78" s="18" t="s">
        <v>2435</v>
      </c>
      <c r="B78" s="19" t="s">
        <v>2436</v>
      </c>
      <c r="C78" s="15" t="s">
        <v>2437</v>
      </c>
      <c r="D78" s="15" t="s">
        <v>567</v>
      </c>
      <c r="E78" s="20">
        <v>157332</v>
      </c>
      <c r="F78" s="21">
        <v>2381.5345000000002</v>
      </c>
      <c r="G78" s="22">
        <v>4.4000000000000003E-3</v>
      </c>
      <c r="H78" s="40"/>
      <c r="I78" s="24"/>
      <c r="J78" s="5"/>
    </row>
    <row r="79" spans="1:10" ht="13.05" customHeight="1">
      <c r="A79" s="18" t="s">
        <v>1211</v>
      </c>
      <c r="B79" s="19" t="s">
        <v>1212</v>
      </c>
      <c r="C79" s="15" t="s">
        <v>1213</v>
      </c>
      <c r="D79" s="15" t="s">
        <v>314</v>
      </c>
      <c r="E79" s="20">
        <v>127413</v>
      </c>
      <c r="F79" s="21">
        <v>2362.3643999999999</v>
      </c>
      <c r="G79" s="22">
        <v>4.4000000000000003E-3</v>
      </c>
      <c r="H79" s="40"/>
      <c r="I79" s="24"/>
      <c r="J79" s="5"/>
    </row>
    <row r="80" spans="1:10" ht="13.05" customHeight="1">
      <c r="A80" s="18" t="s">
        <v>597</v>
      </c>
      <c r="B80" s="19" t="s">
        <v>598</v>
      </c>
      <c r="C80" s="15" t="s">
        <v>599</v>
      </c>
      <c r="D80" s="15" t="s">
        <v>507</v>
      </c>
      <c r="E80" s="20">
        <v>1562002</v>
      </c>
      <c r="F80" s="21">
        <v>2210.7013999999999</v>
      </c>
      <c r="G80" s="22">
        <v>4.1000000000000003E-3</v>
      </c>
      <c r="H80" s="40"/>
      <c r="I80" s="24"/>
      <c r="J80" s="5"/>
    </row>
    <row r="81" spans="1:10" ht="13.05" customHeight="1">
      <c r="A81" s="18" t="s">
        <v>3933</v>
      </c>
      <c r="B81" s="19" t="s">
        <v>3934</v>
      </c>
      <c r="C81" s="15" t="s">
        <v>3935</v>
      </c>
      <c r="D81" s="15" t="s">
        <v>501</v>
      </c>
      <c r="E81" s="20">
        <v>130568</v>
      </c>
      <c r="F81" s="21">
        <v>2205.4241000000002</v>
      </c>
      <c r="G81" s="22">
        <v>4.1000000000000003E-3</v>
      </c>
      <c r="H81" s="40"/>
      <c r="I81" s="24"/>
      <c r="J81" s="5"/>
    </row>
    <row r="82" spans="1:10" ht="13.05" customHeight="1">
      <c r="A82" s="18" t="s">
        <v>1126</v>
      </c>
      <c r="B82" s="19" t="s">
        <v>1127</v>
      </c>
      <c r="C82" s="15" t="s">
        <v>1128</v>
      </c>
      <c r="D82" s="15" t="s">
        <v>501</v>
      </c>
      <c r="E82" s="20">
        <v>64758</v>
      </c>
      <c r="F82" s="21">
        <v>2035.9915000000001</v>
      </c>
      <c r="G82" s="22">
        <v>3.8E-3</v>
      </c>
      <c r="H82" s="40"/>
      <c r="I82" s="24"/>
      <c r="J82" s="5"/>
    </row>
    <row r="83" spans="1:10" ht="13.05" customHeight="1">
      <c r="A83" s="18" t="s">
        <v>1028</v>
      </c>
      <c r="B83" s="19" t="s">
        <v>1029</v>
      </c>
      <c r="C83" s="15" t="s">
        <v>1030</v>
      </c>
      <c r="D83" s="15" t="s">
        <v>581</v>
      </c>
      <c r="E83" s="20">
        <v>33073</v>
      </c>
      <c r="F83" s="21">
        <v>1988.8449000000001</v>
      </c>
      <c r="G83" s="22">
        <v>3.7000000000000002E-3</v>
      </c>
      <c r="H83" s="40"/>
      <c r="I83" s="24"/>
      <c r="J83" s="5"/>
    </row>
    <row r="84" spans="1:10" ht="13.05" customHeight="1">
      <c r="A84" s="18" t="s">
        <v>810</v>
      </c>
      <c r="B84" s="19" t="s">
        <v>811</v>
      </c>
      <c r="C84" s="15" t="s">
        <v>812</v>
      </c>
      <c r="D84" s="15" t="s">
        <v>567</v>
      </c>
      <c r="E84" s="20">
        <v>152376</v>
      </c>
      <c r="F84" s="21">
        <v>1882.1484</v>
      </c>
      <c r="G84" s="22">
        <v>3.5000000000000001E-3</v>
      </c>
      <c r="H84" s="40"/>
      <c r="I84" s="24"/>
      <c r="J84" s="5"/>
    </row>
    <row r="85" spans="1:10" ht="13.05" customHeight="1">
      <c r="A85" s="18" t="s">
        <v>646</v>
      </c>
      <c r="B85" s="19" t="s">
        <v>647</v>
      </c>
      <c r="C85" s="15" t="s">
        <v>648</v>
      </c>
      <c r="D85" s="15" t="s">
        <v>445</v>
      </c>
      <c r="E85" s="20">
        <v>626118</v>
      </c>
      <c r="F85" s="21">
        <v>1662.2807</v>
      </c>
      <c r="G85" s="22">
        <v>3.0999999999999999E-3</v>
      </c>
      <c r="H85" s="40"/>
      <c r="I85" s="24"/>
      <c r="J85" s="5"/>
    </row>
    <row r="86" spans="1:10" ht="13.05" customHeight="1">
      <c r="A86" s="18" t="s">
        <v>505</v>
      </c>
      <c r="B86" s="19" t="s">
        <v>2339</v>
      </c>
      <c r="C86" s="15" t="s">
        <v>506</v>
      </c>
      <c r="D86" s="15" t="s">
        <v>507</v>
      </c>
      <c r="E86" s="20">
        <v>606523</v>
      </c>
      <c r="F86" s="21">
        <v>1581.5087000000001</v>
      </c>
      <c r="G86" s="22">
        <v>3.0000000000000001E-3</v>
      </c>
      <c r="H86" s="40"/>
      <c r="I86" s="24"/>
      <c r="J86" s="5"/>
    </row>
    <row r="87" spans="1:10" ht="13.05" customHeight="1">
      <c r="A87" s="18" t="s">
        <v>1299</v>
      </c>
      <c r="B87" s="19" t="s">
        <v>1300</v>
      </c>
      <c r="C87" s="15" t="s">
        <v>1301</v>
      </c>
      <c r="D87" s="15" t="s">
        <v>325</v>
      </c>
      <c r="E87" s="20">
        <v>261716</v>
      </c>
      <c r="F87" s="21">
        <v>1494.2674999999999</v>
      </c>
      <c r="G87" s="22">
        <v>2.8E-3</v>
      </c>
      <c r="H87" s="40"/>
      <c r="I87" s="24"/>
      <c r="J87" s="5"/>
    </row>
    <row r="88" spans="1:10" ht="13.05" customHeight="1">
      <c r="A88" s="18" t="s">
        <v>1857</v>
      </c>
      <c r="B88" s="19" t="s">
        <v>1858</v>
      </c>
      <c r="C88" s="15" t="s">
        <v>1859</v>
      </c>
      <c r="D88" s="15" t="s">
        <v>325</v>
      </c>
      <c r="E88" s="20">
        <v>83282</v>
      </c>
      <c r="F88" s="21">
        <v>1385.4793999999999</v>
      </c>
      <c r="G88" s="22">
        <v>2.5999999999999999E-3</v>
      </c>
      <c r="H88" s="40"/>
      <c r="I88" s="24"/>
      <c r="J88" s="5"/>
    </row>
    <row r="89" spans="1:10" ht="13.05" customHeight="1">
      <c r="A89" s="18" t="s">
        <v>1320</v>
      </c>
      <c r="B89" s="19" t="s">
        <v>1321</v>
      </c>
      <c r="C89" s="15" t="s">
        <v>1322</v>
      </c>
      <c r="D89" s="15" t="s">
        <v>846</v>
      </c>
      <c r="E89" s="20">
        <v>2248</v>
      </c>
      <c r="F89" s="21">
        <v>820.4076</v>
      </c>
      <c r="G89" s="22">
        <v>1.5E-3</v>
      </c>
      <c r="H89" s="40"/>
      <c r="I89" s="24"/>
      <c r="J89" s="5"/>
    </row>
    <row r="90" spans="1:10" ht="13.05" customHeight="1">
      <c r="A90" s="18" t="s">
        <v>1761</v>
      </c>
      <c r="B90" s="19" t="s">
        <v>1762</v>
      </c>
      <c r="C90" s="15" t="s">
        <v>1763</v>
      </c>
      <c r="D90" s="15" t="s">
        <v>501</v>
      </c>
      <c r="E90" s="20">
        <v>141128</v>
      </c>
      <c r="F90" s="21">
        <v>672.89829999999995</v>
      </c>
      <c r="G90" s="22">
        <v>1.2999999999999999E-3</v>
      </c>
      <c r="H90" s="40"/>
      <c r="I90" s="24"/>
      <c r="J90" s="5"/>
    </row>
    <row r="91" spans="1:10" ht="13.05" customHeight="1">
      <c r="A91" s="18" t="s">
        <v>736</v>
      </c>
      <c r="B91" s="19" t="s">
        <v>737</v>
      </c>
      <c r="C91" s="15" t="s">
        <v>738</v>
      </c>
      <c r="D91" s="15" t="s">
        <v>445</v>
      </c>
      <c r="E91" s="20">
        <v>9607</v>
      </c>
      <c r="F91" s="21">
        <v>501.48540000000003</v>
      </c>
      <c r="G91" s="22">
        <v>8.9999999999999998E-4</v>
      </c>
      <c r="H91" s="40"/>
      <c r="I91" s="24"/>
      <c r="J91" s="5"/>
    </row>
    <row r="92" spans="1:10" ht="13.05" customHeight="1">
      <c r="A92" s="18" t="s">
        <v>1367</v>
      </c>
      <c r="B92" s="19" t="s">
        <v>1368</v>
      </c>
      <c r="C92" s="15" t="s">
        <v>1369</v>
      </c>
      <c r="D92" s="15" t="s">
        <v>296</v>
      </c>
      <c r="E92" s="20">
        <v>68610</v>
      </c>
      <c r="F92" s="21">
        <v>474.74689999999998</v>
      </c>
      <c r="G92" s="22">
        <v>8.9999999999999998E-4</v>
      </c>
      <c r="H92" s="40"/>
      <c r="I92" s="24"/>
      <c r="J92" s="5"/>
    </row>
    <row r="93" spans="1:10" ht="13.05" customHeight="1">
      <c r="A93" s="18" t="s">
        <v>1266</v>
      </c>
      <c r="B93" s="19" t="s">
        <v>1267</v>
      </c>
      <c r="C93" s="15" t="s">
        <v>1268</v>
      </c>
      <c r="D93" s="15" t="s">
        <v>325</v>
      </c>
      <c r="E93" s="20">
        <v>25955</v>
      </c>
      <c r="F93" s="21">
        <v>363.13639999999998</v>
      </c>
      <c r="G93" s="22">
        <v>6.9999999999999999E-4</v>
      </c>
      <c r="H93" s="40"/>
      <c r="I93" s="24"/>
      <c r="J93" s="5"/>
    </row>
    <row r="94" spans="1:10" ht="13.05" customHeight="1">
      <c r="A94" s="18" t="s">
        <v>3936</v>
      </c>
      <c r="B94" s="19" t="s">
        <v>3937</v>
      </c>
      <c r="C94" s="15" t="s">
        <v>3938</v>
      </c>
      <c r="D94" s="15" t="s">
        <v>567</v>
      </c>
      <c r="E94" s="20">
        <v>270300</v>
      </c>
      <c r="F94" s="21">
        <v>329.76600000000002</v>
      </c>
      <c r="G94" s="22">
        <v>5.9999999999999995E-4</v>
      </c>
      <c r="H94" s="40"/>
      <c r="I94" s="24"/>
      <c r="J94" s="5"/>
    </row>
    <row r="95" spans="1:10" ht="13.05" customHeight="1">
      <c r="A95" s="18" t="s">
        <v>913</v>
      </c>
      <c r="B95" s="19" t="s">
        <v>914</v>
      </c>
      <c r="C95" s="15" t="s">
        <v>915</v>
      </c>
      <c r="D95" s="15" t="s">
        <v>567</v>
      </c>
      <c r="E95" s="20">
        <v>67455</v>
      </c>
      <c r="F95" s="21">
        <v>257.61059999999998</v>
      </c>
      <c r="G95" s="22">
        <v>5.0000000000000001E-4</v>
      </c>
      <c r="H95" s="40"/>
      <c r="I95" s="24"/>
      <c r="J95" s="5"/>
    </row>
    <row r="96" spans="1:10" ht="13.05" customHeight="1">
      <c r="A96" s="5"/>
      <c r="B96" s="14" t="s">
        <v>192</v>
      </c>
      <c r="C96" s="15"/>
      <c r="D96" s="15"/>
      <c r="E96" s="15"/>
      <c r="F96" s="25">
        <v>530926.40520000004</v>
      </c>
      <c r="G96" s="26">
        <v>0.99139999999999995</v>
      </c>
      <c r="H96" s="27"/>
      <c r="I96" s="28"/>
      <c r="J96" s="5"/>
    </row>
    <row r="97" spans="1:10" ht="13.05" customHeight="1">
      <c r="A97" s="5"/>
      <c r="B97" s="29" t="s">
        <v>1812</v>
      </c>
      <c r="C97" s="2"/>
      <c r="D97" s="2"/>
      <c r="E97" s="2"/>
      <c r="F97" s="27" t="s">
        <v>194</v>
      </c>
      <c r="G97" s="27" t="s">
        <v>194</v>
      </c>
      <c r="H97" s="27"/>
      <c r="I97" s="28"/>
      <c r="J97" s="5"/>
    </row>
    <row r="98" spans="1:10" ht="13.05" customHeight="1">
      <c r="A98" s="5"/>
      <c r="B98" s="29" t="s">
        <v>192</v>
      </c>
      <c r="C98" s="2"/>
      <c r="D98" s="2"/>
      <c r="E98" s="2"/>
      <c r="F98" s="27" t="s">
        <v>194</v>
      </c>
      <c r="G98" s="27" t="s">
        <v>194</v>
      </c>
      <c r="H98" s="27"/>
      <c r="I98" s="28"/>
      <c r="J98" s="5"/>
    </row>
    <row r="99" spans="1:10" ht="13.05" customHeight="1">
      <c r="A99" s="5"/>
      <c r="B99" s="14" t="s">
        <v>1813</v>
      </c>
      <c r="C99" s="15"/>
      <c r="D99" s="15"/>
      <c r="E99" s="15"/>
      <c r="F99" s="5"/>
      <c r="G99" s="16"/>
      <c r="H99" s="16"/>
      <c r="I99" s="17"/>
      <c r="J99" s="5"/>
    </row>
    <row r="100" spans="1:10" ht="13.05" customHeight="1">
      <c r="A100" s="18" t="s">
        <v>1814</v>
      </c>
      <c r="B100" s="19" t="s">
        <v>5526</v>
      </c>
      <c r="C100" s="15" t="s">
        <v>1815</v>
      </c>
      <c r="D100" s="15" t="s">
        <v>296</v>
      </c>
      <c r="E100" s="20">
        <v>1547788</v>
      </c>
      <c r="F100" s="21">
        <v>156.19499999999999</v>
      </c>
      <c r="G100" s="22">
        <v>2.9999999999999997E-4</v>
      </c>
      <c r="H100" s="40"/>
      <c r="I100" s="24"/>
      <c r="J100" s="5"/>
    </row>
    <row r="101" spans="1:10" ht="13.05" customHeight="1">
      <c r="A101" s="5"/>
      <c r="B101" s="14" t="s">
        <v>192</v>
      </c>
      <c r="C101" s="15"/>
      <c r="D101" s="15"/>
      <c r="E101" s="15"/>
      <c r="F101" s="25">
        <v>156.19499999999999</v>
      </c>
      <c r="G101" s="26">
        <v>2.9999999999999997E-4</v>
      </c>
      <c r="H101" s="27"/>
      <c r="I101" s="28"/>
      <c r="J101" s="5"/>
    </row>
    <row r="102" spans="1:10" ht="13.05" customHeight="1">
      <c r="A102" s="5"/>
      <c r="B102" s="29" t="s">
        <v>195</v>
      </c>
      <c r="C102" s="30"/>
      <c r="D102" s="2"/>
      <c r="E102" s="30"/>
      <c r="F102" s="25">
        <v>531082.60019999999</v>
      </c>
      <c r="G102" s="26">
        <v>0.99160000000000004</v>
      </c>
      <c r="H102" s="27"/>
      <c r="I102" s="28"/>
      <c r="J102" s="5"/>
    </row>
    <row r="103" spans="1:10" ht="13.05" customHeight="1">
      <c r="A103" s="5"/>
      <c r="B103" s="14" t="s">
        <v>196</v>
      </c>
      <c r="C103" s="15"/>
      <c r="D103" s="15"/>
      <c r="E103" s="15"/>
      <c r="F103" s="15"/>
      <c r="G103" s="15"/>
      <c r="H103" s="16"/>
      <c r="I103" s="17"/>
      <c r="J103" s="5"/>
    </row>
    <row r="104" spans="1:10" ht="13.05" customHeight="1">
      <c r="A104" s="18" t="s">
        <v>197</v>
      </c>
      <c r="B104" s="19" t="s">
        <v>198</v>
      </c>
      <c r="C104" s="15"/>
      <c r="D104" s="15"/>
      <c r="E104" s="20"/>
      <c r="F104" s="21">
        <v>4356.2134999999998</v>
      </c>
      <c r="G104" s="22">
        <v>8.0999999999999996E-3</v>
      </c>
      <c r="H104" s="23">
        <v>5.5573617010495215E-2</v>
      </c>
      <c r="I104" s="24"/>
      <c r="J104" s="5"/>
    </row>
    <row r="105" spans="1:10" ht="13.05" customHeight="1">
      <c r="A105" s="5"/>
      <c r="B105" s="14" t="s">
        <v>192</v>
      </c>
      <c r="C105" s="15"/>
      <c r="D105" s="15"/>
      <c r="E105" s="15"/>
      <c r="F105" s="25">
        <v>4356.2134999999998</v>
      </c>
      <c r="G105" s="26">
        <v>8.0999999999999996E-3</v>
      </c>
      <c r="H105" s="27"/>
      <c r="I105" s="28"/>
      <c r="J105" s="5"/>
    </row>
    <row r="106" spans="1:10" ht="13.05" customHeight="1">
      <c r="A106" s="5"/>
      <c r="B106" s="29" t="s">
        <v>195</v>
      </c>
      <c r="C106" s="30"/>
      <c r="D106" s="2"/>
      <c r="E106" s="30"/>
      <c r="F106" s="25">
        <v>4356.2134999999998</v>
      </c>
      <c r="G106" s="26">
        <v>8.0999999999999996E-3</v>
      </c>
      <c r="H106" s="27"/>
      <c r="I106" s="28"/>
      <c r="J106" s="5"/>
    </row>
    <row r="107" spans="1:10" ht="13.05" customHeight="1">
      <c r="A107" s="5"/>
      <c r="B107" s="29" t="s">
        <v>199</v>
      </c>
      <c r="C107" s="15"/>
      <c r="D107" s="2"/>
      <c r="E107" s="15"/>
      <c r="F107" s="31">
        <v>119.0963</v>
      </c>
      <c r="G107" s="26">
        <v>2.9999999999999997E-4</v>
      </c>
      <c r="H107" s="27"/>
      <c r="I107" s="28"/>
      <c r="J107" s="5"/>
    </row>
    <row r="108" spans="1:10" ht="13.05" customHeight="1">
      <c r="A108" s="5"/>
      <c r="B108" s="32" t="s">
        <v>200</v>
      </c>
      <c r="C108" s="33"/>
      <c r="D108" s="33"/>
      <c r="E108" s="33"/>
      <c r="F108" s="34">
        <v>535557.91</v>
      </c>
      <c r="G108" s="35">
        <v>1</v>
      </c>
      <c r="H108" s="36"/>
      <c r="I108" s="37"/>
      <c r="J108" s="5"/>
    </row>
    <row r="109" spans="1:10" ht="13.05" customHeight="1">
      <c r="A109" s="5"/>
      <c r="B109" s="7"/>
      <c r="C109" s="5"/>
      <c r="D109" s="5"/>
      <c r="E109" s="5"/>
      <c r="F109" s="5"/>
      <c r="G109" s="5"/>
      <c r="H109" s="5"/>
      <c r="I109" s="5"/>
      <c r="J109" s="5"/>
    </row>
    <row r="110" spans="1:10" ht="13.05" customHeight="1">
      <c r="A110" s="5"/>
      <c r="B110" s="4" t="s">
        <v>250</v>
      </c>
      <c r="C110" s="5"/>
      <c r="D110" s="5"/>
      <c r="E110" s="5"/>
      <c r="F110" s="5"/>
      <c r="G110" s="5"/>
      <c r="H110" s="5"/>
      <c r="I110" s="5"/>
      <c r="J110" s="5"/>
    </row>
    <row r="111" spans="1:10" ht="13.05" customHeight="1">
      <c r="A111" s="5"/>
      <c r="B111" s="4" t="s">
        <v>201</v>
      </c>
      <c r="C111" s="5"/>
      <c r="D111" s="5"/>
      <c r="E111" s="5"/>
      <c r="F111" s="5"/>
      <c r="G111" s="5"/>
      <c r="H111" s="5"/>
      <c r="I111" s="5"/>
      <c r="J111" s="5"/>
    </row>
    <row r="112" spans="1:10" ht="25.95" customHeight="1">
      <c r="A112" s="5"/>
      <c r="B112" s="103" t="s">
        <v>202</v>
      </c>
      <c r="C112" s="103"/>
      <c r="D112" s="103"/>
      <c r="E112" s="103"/>
      <c r="F112" s="103"/>
      <c r="G112" s="103"/>
      <c r="H112" s="103"/>
      <c r="I112" s="103"/>
      <c r="J112" s="5"/>
    </row>
    <row r="113" spans="1:10" ht="13.05" customHeight="1">
      <c r="A113" s="5"/>
      <c r="B113" s="103" t="s">
        <v>203</v>
      </c>
      <c r="C113" s="103"/>
      <c r="D113" s="103"/>
      <c r="E113" s="103"/>
      <c r="F113" s="103"/>
      <c r="G113" s="103"/>
      <c r="H113" s="103"/>
      <c r="I113" s="103"/>
      <c r="J113" s="5"/>
    </row>
    <row r="114" spans="1:10" ht="13.05" customHeight="1">
      <c r="A114" s="5"/>
      <c r="B114" s="103"/>
      <c r="C114" s="103"/>
      <c r="D114" s="103"/>
      <c r="E114" s="103"/>
      <c r="F114" s="103"/>
      <c r="G114" s="103"/>
      <c r="H114" s="103"/>
      <c r="I114" s="103"/>
      <c r="J114" s="5"/>
    </row>
    <row r="115" spans="1:10" ht="13.05" customHeight="1">
      <c r="A115" s="5"/>
      <c r="B115" s="103"/>
      <c r="C115" s="103"/>
      <c r="D115" s="103"/>
      <c r="E115" s="103"/>
      <c r="F115" s="103"/>
      <c r="G115" s="103"/>
      <c r="H115" s="103"/>
      <c r="I115" s="103"/>
      <c r="J115" s="5"/>
    </row>
    <row r="116" spans="1:10" ht="13.05" customHeight="1">
      <c r="A116" s="5"/>
      <c r="B116" s="103"/>
      <c r="C116" s="103"/>
      <c r="D116" s="103"/>
      <c r="E116" s="103"/>
      <c r="F116" s="103"/>
      <c r="G116" s="103"/>
      <c r="H116" s="103"/>
      <c r="I116" s="103"/>
      <c r="J116" s="5"/>
    </row>
    <row r="117" spans="1:10" ht="13.05" customHeight="1">
      <c r="A117" s="5"/>
      <c r="B117" s="103"/>
      <c r="C117" s="103"/>
      <c r="D117" s="103"/>
      <c r="E117" s="103"/>
      <c r="F117" s="103"/>
      <c r="G117" s="103"/>
      <c r="H117" s="103"/>
      <c r="I117" s="103"/>
      <c r="J117" s="5"/>
    </row>
    <row r="118" spans="1:10" ht="13.05" customHeight="1">
      <c r="A118" s="5"/>
      <c r="B118" s="5"/>
      <c r="C118" s="104" t="s">
        <v>3939</v>
      </c>
      <c r="D118" s="104"/>
      <c r="E118" s="104"/>
      <c r="F118" s="104"/>
      <c r="G118" s="5"/>
      <c r="H118" s="5"/>
      <c r="I118" s="5"/>
      <c r="J118" s="5"/>
    </row>
    <row r="119" spans="1:10" ht="13.05" customHeight="1">
      <c r="A119" s="5"/>
      <c r="B119" s="38" t="s">
        <v>207</v>
      </c>
      <c r="C119" s="104" t="s">
        <v>208</v>
      </c>
      <c r="D119" s="104"/>
      <c r="E119" s="104"/>
      <c r="F119" s="104"/>
      <c r="G119" s="5"/>
      <c r="H119" s="5"/>
      <c r="I119" s="5"/>
      <c r="J119" s="5"/>
    </row>
    <row r="120" spans="1:10" ht="135" customHeight="1">
      <c r="A120" s="5"/>
      <c r="B120" s="39"/>
      <c r="C120" s="105"/>
      <c r="D120" s="105"/>
      <c r="E120" s="5"/>
      <c r="F120" s="5"/>
      <c r="G120" s="5"/>
      <c r="H120" s="5"/>
      <c r="I120" s="5"/>
      <c r="J120" s="5"/>
    </row>
  </sheetData>
  <mergeCells count="9">
    <mergeCell ref="B117:I117"/>
    <mergeCell ref="C118:F118"/>
    <mergeCell ref="C119:F119"/>
    <mergeCell ref="C120:D120"/>
    <mergeCell ref="B112:I112"/>
    <mergeCell ref="B113:I113"/>
    <mergeCell ref="B114:I114"/>
    <mergeCell ref="B115:I115"/>
    <mergeCell ref="B116:I116"/>
  </mergeCells>
  <hyperlinks>
    <hyperlink ref="A1" location="AxisIndiaManufacturingFund" display="AXISIMF" xr:uid="{00000000-0004-0000-2700-000000000000}"/>
    <hyperlink ref="B1" location="AxisIndiaManufacturingFund" display="Axis India Manufacturing Fund" xr:uid="{00000000-0004-0000-27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outlinePr summaryBelow="0"/>
  </sheetPr>
  <dimension ref="A1:J86"/>
  <sheetViews>
    <sheetView topLeftCell="A76"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82</v>
      </c>
      <c r="B1" s="4" t="s">
        <v>83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2991</v>
      </c>
      <c r="B7" s="19" t="s">
        <v>2992</v>
      </c>
      <c r="C7" s="15" t="s">
        <v>2993</v>
      </c>
      <c r="D7" s="15" t="s">
        <v>541</v>
      </c>
      <c r="E7" s="20">
        <v>645168</v>
      </c>
      <c r="F7" s="21">
        <v>745.29809999999998</v>
      </c>
      <c r="G7" s="22">
        <v>2.0299999999999999E-2</v>
      </c>
      <c r="H7" s="40"/>
      <c r="I7" s="24"/>
      <c r="J7" s="5"/>
    </row>
    <row r="8" spans="1:10" ht="13.05" customHeight="1">
      <c r="A8" s="18" t="s">
        <v>2429</v>
      </c>
      <c r="B8" s="19" t="s">
        <v>2430</v>
      </c>
      <c r="C8" s="15" t="s">
        <v>2431</v>
      </c>
      <c r="D8" s="15" t="s">
        <v>364</v>
      </c>
      <c r="E8" s="20">
        <v>82647</v>
      </c>
      <c r="F8" s="21">
        <v>98.895399999999995</v>
      </c>
      <c r="G8" s="22">
        <v>2.7000000000000001E-3</v>
      </c>
      <c r="H8" s="40"/>
      <c r="I8" s="24"/>
      <c r="J8" s="5"/>
    </row>
    <row r="9" spans="1:10" ht="13.05" customHeight="1">
      <c r="A9" s="18" t="s">
        <v>3526</v>
      </c>
      <c r="B9" s="19" t="s">
        <v>3527</v>
      </c>
      <c r="C9" s="15" t="s">
        <v>3528</v>
      </c>
      <c r="D9" s="15" t="s">
        <v>541</v>
      </c>
      <c r="E9" s="20">
        <v>15328</v>
      </c>
      <c r="F9" s="21">
        <v>65.749499999999998</v>
      </c>
      <c r="G9" s="22">
        <v>1.8E-3</v>
      </c>
      <c r="H9" s="40"/>
      <c r="I9" s="24"/>
      <c r="J9" s="5"/>
    </row>
    <row r="10" spans="1:10" ht="13.05" customHeight="1">
      <c r="A10" s="5"/>
      <c r="B10" s="14" t="s">
        <v>192</v>
      </c>
      <c r="C10" s="15"/>
      <c r="D10" s="15"/>
      <c r="E10" s="15"/>
      <c r="F10" s="25">
        <v>909.94290000000001</v>
      </c>
      <c r="G10" s="26">
        <v>2.4799999999999999E-2</v>
      </c>
      <c r="H10" s="27"/>
      <c r="I10" s="28"/>
      <c r="J10" s="5"/>
    </row>
    <row r="11" spans="1:10" ht="13.05" customHeight="1">
      <c r="A11" s="5"/>
      <c r="B11" s="29" t="s">
        <v>1812</v>
      </c>
      <c r="C11" s="2"/>
      <c r="D11" s="2"/>
      <c r="E11" s="2"/>
      <c r="F11" s="27" t="s">
        <v>194</v>
      </c>
      <c r="G11" s="27" t="s">
        <v>194</v>
      </c>
      <c r="H11" s="27"/>
      <c r="I11" s="28"/>
      <c r="J11" s="5"/>
    </row>
    <row r="12" spans="1:10" ht="13.05" customHeight="1">
      <c r="A12" s="5"/>
      <c r="B12" s="29" t="s">
        <v>192</v>
      </c>
      <c r="C12" s="2"/>
      <c r="D12" s="2"/>
      <c r="E12" s="2"/>
      <c r="F12" s="27" t="s">
        <v>194</v>
      </c>
      <c r="G12" s="27" t="s">
        <v>194</v>
      </c>
      <c r="H12" s="27"/>
      <c r="I12" s="28"/>
      <c r="J12" s="5"/>
    </row>
    <row r="13" spans="1:10" ht="13.05" customHeight="1">
      <c r="A13" s="5"/>
      <c r="B13" s="29" t="s">
        <v>195</v>
      </c>
      <c r="C13" s="30"/>
      <c r="D13" s="2"/>
      <c r="E13" s="30"/>
      <c r="F13" s="25">
        <v>909.94290000000001</v>
      </c>
      <c r="G13" s="26">
        <v>2.4799999999999999E-2</v>
      </c>
      <c r="H13" s="27"/>
      <c r="I13" s="28"/>
      <c r="J13" s="5"/>
    </row>
    <row r="14" spans="1:10" ht="13.05" customHeight="1">
      <c r="A14" s="5"/>
      <c r="B14" s="14" t="s">
        <v>183</v>
      </c>
      <c r="C14" s="15"/>
      <c r="D14" s="15"/>
      <c r="E14" s="15"/>
      <c r="F14" s="15"/>
      <c r="G14" s="15"/>
      <c r="H14" s="16"/>
      <c r="I14" s="17"/>
      <c r="J14" s="5"/>
    </row>
    <row r="15" spans="1:10" ht="13.05" customHeight="1">
      <c r="A15" s="5"/>
      <c r="B15" s="14" t="s">
        <v>184</v>
      </c>
      <c r="C15" s="15"/>
      <c r="D15" s="15"/>
      <c r="E15" s="15"/>
      <c r="F15" s="5"/>
      <c r="G15" s="16"/>
      <c r="H15" s="16"/>
      <c r="I15" s="17"/>
      <c r="J15" s="5"/>
    </row>
    <row r="16" spans="1:10" ht="13.05" customHeight="1">
      <c r="A16" s="18" t="s">
        <v>3653</v>
      </c>
      <c r="B16" s="19" t="s">
        <v>3654</v>
      </c>
      <c r="C16" s="15" t="s">
        <v>3655</v>
      </c>
      <c r="D16" s="15" t="s">
        <v>3656</v>
      </c>
      <c r="E16" s="20">
        <v>1500</v>
      </c>
      <c r="F16" s="21">
        <v>1592.7915</v>
      </c>
      <c r="G16" s="22">
        <v>4.3400000000000001E-2</v>
      </c>
      <c r="H16" s="23">
        <v>8.1367999999999996E-2</v>
      </c>
      <c r="I16" s="24"/>
      <c r="J16" s="5"/>
    </row>
    <row r="17" spans="1:10" ht="13.05" customHeight="1">
      <c r="A17" s="18" t="s">
        <v>3841</v>
      </c>
      <c r="B17" s="19" t="s">
        <v>3842</v>
      </c>
      <c r="C17" s="15" t="s">
        <v>3843</v>
      </c>
      <c r="D17" s="15" t="s">
        <v>3656</v>
      </c>
      <c r="E17" s="20">
        <v>1500</v>
      </c>
      <c r="F17" s="21">
        <v>1528.653</v>
      </c>
      <c r="G17" s="22">
        <v>4.1599999999999998E-2</v>
      </c>
      <c r="H17" s="23">
        <v>8.0699999999999994E-2</v>
      </c>
      <c r="I17" s="24"/>
      <c r="J17" s="5"/>
    </row>
    <row r="18" spans="1:10" ht="13.05" customHeight="1">
      <c r="A18" s="18" t="s">
        <v>3844</v>
      </c>
      <c r="B18" s="19" t="s">
        <v>3845</v>
      </c>
      <c r="C18" s="15" t="s">
        <v>3846</v>
      </c>
      <c r="D18" s="15" t="s">
        <v>3656</v>
      </c>
      <c r="E18" s="20">
        <v>1500</v>
      </c>
      <c r="F18" s="21">
        <v>1523.3385000000001</v>
      </c>
      <c r="G18" s="22">
        <v>4.1500000000000002E-2</v>
      </c>
      <c r="H18" s="23">
        <v>7.6700000000000004E-2</v>
      </c>
      <c r="I18" s="24"/>
      <c r="J18" s="5"/>
    </row>
    <row r="19" spans="1:10" ht="13.05" customHeight="1">
      <c r="A19" s="18" t="s">
        <v>3887</v>
      </c>
      <c r="B19" s="19" t="s">
        <v>3888</v>
      </c>
      <c r="C19" s="15" t="s">
        <v>3889</v>
      </c>
      <c r="D19" s="15" t="s">
        <v>213</v>
      </c>
      <c r="E19" s="20">
        <v>1500</v>
      </c>
      <c r="F19" s="21">
        <v>1523.268</v>
      </c>
      <c r="G19" s="22">
        <v>4.1500000000000002E-2</v>
      </c>
      <c r="H19" s="23">
        <v>7.4200000000000002E-2</v>
      </c>
      <c r="I19" s="24"/>
      <c r="J19" s="5"/>
    </row>
    <row r="20" spans="1:10" ht="13.05" customHeight="1">
      <c r="A20" s="18" t="s">
        <v>3143</v>
      </c>
      <c r="B20" s="19" t="s">
        <v>3144</v>
      </c>
      <c r="C20" s="15" t="s">
        <v>3145</v>
      </c>
      <c r="D20" s="15" t="s">
        <v>3146</v>
      </c>
      <c r="E20" s="20">
        <v>1500</v>
      </c>
      <c r="F20" s="21">
        <v>1522.914</v>
      </c>
      <c r="G20" s="22">
        <v>4.1500000000000002E-2</v>
      </c>
      <c r="H20" s="23">
        <v>7.7698000000000003E-2</v>
      </c>
      <c r="I20" s="24"/>
      <c r="J20" s="5"/>
    </row>
    <row r="21" spans="1:10" ht="13.05" customHeight="1">
      <c r="A21" s="18" t="s">
        <v>3819</v>
      </c>
      <c r="B21" s="19" t="s">
        <v>3820</v>
      </c>
      <c r="C21" s="15" t="s">
        <v>3821</v>
      </c>
      <c r="D21" s="15" t="s">
        <v>3656</v>
      </c>
      <c r="E21" s="20">
        <v>1500</v>
      </c>
      <c r="F21" s="21">
        <v>1517.7284999999999</v>
      </c>
      <c r="G21" s="22">
        <v>4.1300000000000003E-2</v>
      </c>
      <c r="H21" s="23">
        <v>7.4649999999999994E-2</v>
      </c>
      <c r="I21" s="24"/>
      <c r="J21" s="5"/>
    </row>
    <row r="22" spans="1:10" ht="13.05" customHeight="1">
      <c r="A22" s="18" t="s">
        <v>3881</v>
      </c>
      <c r="B22" s="19" t="s">
        <v>3882</v>
      </c>
      <c r="C22" s="15" t="s">
        <v>3883</v>
      </c>
      <c r="D22" s="15" t="s">
        <v>3850</v>
      </c>
      <c r="E22" s="20">
        <v>1500</v>
      </c>
      <c r="F22" s="21">
        <v>1509.7439999999999</v>
      </c>
      <c r="G22" s="22">
        <v>4.1099999999999998E-2</v>
      </c>
      <c r="H22" s="23">
        <v>7.2900000000000006E-2</v>
      </c>
      <c r="I22" s="24"/>
      <c r="J22" s="5"/>
    </row>
    <row r="23" spans="1:10" ht="13.05" customHeight="1">
      <c r="A23" s="18" t="s">
        <v>2470</v>
      </c>
      <c r="B23" s="19" t="s">
        <v>2471</v>
      </c>
      <c r="C23" s="15" t="s">
        <v>2472</v>
      </c>
      <c r="D23" s="15" t="s">
        <v>2473</v>
      </c>
      <c r="E23" s="20">
        <v>1500</v>
      </c>
      <c r="F23" s="21">
        <v>1509.2175</v>
      </c>
      <c r="G23" s="22">
        <v>4.1099999999999998E-2</v>
      </c>
      <c r="H23" s="23">
        <v>8.3888000000000004E-2</v>
      </c>
      <c r="I23" s="24"/>
      <c r="J23" s="5"/>
    </row>
    <row r="24" spans="1:10" ht="13.05" customHeight="1">
      <c r="A24" s="18" t="s">
        <v>1890</v>
      </c>
      <c r="B24" s="19" t="s">
        <v>1891</v>
      </c>
      <c r="C24" s="15" t="s">
        <v>1892</v>
      </c>
      <c r="D24" s="15" t="s">
        <v>188</v>
      </c>
      <c r="E24" s="20">
        <v>1200000</v>
      </c>
      <c r="F24" s="21">
        <v>1244.2416000000001</v>
      </c>
      <c r="G24" s="22">
        <v>3.39E-2</v>
      </c>
      <c r="H24" s="23">
        <v>6.6730999999999999E-2</v>
      </c>
      <c r="I24" s="24"/>
      <c r="J24" s="5"/>
    </row>
    <row r="25" spans="1:10" ht="13.05" customHeight="1">
      <c r="A25" s="18" t="s">
        <v>3532</v>
      </c>
      <c r="B25" s="19" t="s">
        <v>3533</v>
      </c>
      <c r="C25" s="15" t="s">
        <v>3534</v>
      </c>
      <c r="D25" s="15" t="s">
        <v>3146</v>
      </c>
      <c r="E25" s="20">
        <v>1200</v>
      </c>
      <c r="F25" s="21">
        <v>1205.7732000000001</v>
      </c>
      <c r="G25" s="22">
        <v>3.2800000000000003E-2</v>
      </c>
      <c r="H25" s="23">
        <v>8.9399000000000006E-2</v>
      </c>
      <c r="I25" s="24"/>
      <c r="J25" s="5"/>
    </row>
    <row r="26" spans="1:10" ht="13.05" customHeight="1">
      <c r="A26" s="18" t="s">
        <v>3657</v>
      </c>
      <c r="B26" s="19" t="s">
        <v>3658</v>
      </c>
      <c r="C26" s="15" t="s">
        <v>3659</v>
      </c>
      <c r="D26" s="15" t="s">
        <v>3656</v>
      </c>
      <c r="E26" s="20">
        <v>1000</v>
      </c>
      <c r="F26" s="21">
        <v>1059.145</v>
      </c>
      <c r="G26" s="22">
        <v>2.8899999999999999E-2</v>
      </c>
      <c r="H26" s="23">
        <v>8.0699999999999994E-2</v>
      </c>
      <c r="I26" s="24"/>
      <c r="J26" s="5"/>
    </row>
    <row r="27" spans="1:10" ht="13.05" customHeight="1">
      <c r="A27" s="18" t="s">
        <v>3825</v>
      </c>
      <c r="B27" s="19" t="s">
        <v>3826</v>
      </c>
      <c r="C27" s="15" t="s">
        <v>3827</v>
      </c>
      <c r="D27" s="15" t="s">
        <v>3146</v>
      </c>
      <c r="E27" s="20">
        <v>1000</v>
      </c>
      <c r="F27" s="21">
        <v>1027.7739999999999</v>
      </c>
      <c r="G27" s="22">
        <v>2.8000000000000001E-2</v>
      </c>
      <c r="H27" s="23">
        <v>9.0149999999999994E-2</v>
      </c>
      <c r="I27" s="24"/>
      <c r="J27" s="5"/>
    </row>
    <row r="28" spans="1:10" ht="13.05" customHeight="1">
      <c r="A28" s="18" t="s">
        <v>3535</v>
      </c>
      <c r="B28" s="19" t="s">
        <v>3536</v>
      </c>
      <c r="C28" s="15" t="s">
        <v>3537</v>
      </c>
      <c r="D28" s="15" t="s">
        <v>3538</v>
      </c>
      <c r="E28" s="20">
        <v>1000</v>
      </c>
      <c r="F28" s="21">
        <v>1016.006</v>
      </c>
      <c r="G28" s="22">
        <v>2.7699999999999999E-2</v>
      </c>
      <c r="H28" s="23">
        <v>9.7694000000000003E-2</v>
      </c>
      <c r="I28" s="24"/>
      <c r="J28" s="5"/>
    </row>
    <row r="29" spans="1:10" ht="13.05" customHeight="1">
      <c r="A29" s="18" t="s">
        <v>3127</v>
      </c>
      <c r="B29" s="19" t="s">
        <v>3128</v>
      </c>
      <c r="C29" s="15" t="s">
        <v>3129</v>
      </c>
      <c r="D29" s="15" t="s">
        <v>3130</v>
      </c>
      <c r="E29" s="20">
        <v>1000</v>
      </c>
      <c r="F29" s="21">
        <v>1012.707</v>
      </c>
      <c r="G29" s="22">
        <v>2.76E-2</v>
      </c>
      <c r="H29" s="23">
        <v>8.5999999999999993E-2</v>
      </c>
      <c r="I29" s="24"/>
      <c r="J29" s="5"/>
    </row>
    <row r="30" spans="1:10" ht="13.05" customHeight="1">
      <c r="A30" s="18" t="s">
        <v>2448</v>
      </c>
      <c r="B30" s="19" t="s">
        <v>2449</v>
      </c>
      <c r="C30" s="15" t="s">
        <v>2450</v>
      </c>
      <c r="D30" s="15" t="s">
        <v>2451</v>
      </c>
      <c r="E30" s="20">
        <v>1000</v>
      </c>
      <c r="F30" s="21">
        <v>1010.24</v>
      </c>
      <c r="G30" s="22">
        <v>2.75E-2</v>
      </c>
      <c r="H30" s="23">
        <v>0.10395</v>
      </c>
      <c r="I30" s="24"/>
      <c r="J30" s="5"/>
    </row>
    <row r="31" spans="1:10" ht="13.05" customHeight="1">
      <c r="A31" s="18" t="s">
        <v>3893</v>
      </c>
      <c r="B31" s="19" t="s">
        <v>3894</v>
      </c>
      <c r="C31" s="15" t="s">
        <v>3895</v>
      </c>
      <c r="D31" s="15" t="s">
        <v>3850</v>
      </c>
      <c r="E31" s="20">
        <v>1000</v>
      </c>
      <c r="F31" s="21">
        <v>1004.6420000000001</v>
      </c>
      <c r="G31" s="22">
        <v>2.7400000000000001E-2</v>
      </c>
      <c r="H31" s="23">
        <v>9.6185999999999994E-2</v>
      </c>
      <c r="I31" s="24"/>
      <c r="J31" s="5"/>
    </row>
    <row r="32" spans="1:10" ht="13.05" customHeight="1">
      <c r="A32" s="18" t="s">
        <v>3666</v>
      </c>
      <c r="B32" s="19" t="s">
        <v>3667</v>
      </c>
      <c r="C32" s="15" t="s">
        <v>3668</v>
      </c>
      <c r="D32" s="15" t="s">
        <v>3130</v>
      </c>
      <c r="E32" s="20">
        <v>1000</v>
      </c>
      <c r="F32" s="21">
        <v>1002.595</v>
      </c>
      <c r="G32" s="22">
        <v>2.7300000000000001E-2</v>
      </c>
      <c r="H32" s="23">
        <v>8.6021E-2</v>
      </c>
      <c r="I32" s="24"/>
      <c r="J32" s="5"/>
    </row>
    <row r="33" spans="1:10" ht="13.05" customHeight="1">
      <c r="A33" s="18" t="s">
        <v>3837</v>
      </c>
      <c r="B33" s="19" t="s">
        <v>3838</v>
      </c>
      <c r="C33" s="15" t="s">
        <v>3839</v>
      </c>
      <c r="D33" s="15" t="s">
        <v>3840</v>
      </c>
      <c r="E33" s="20">
        <v>1000</v>
      </c>
      <c r="F33" s="21">
        <v>1002.1559999999999</v>
      </c>
      <c r="G33" s="22">
        <v>2.7300000000000001E-2</v>
      </c>
      <c r="H33" s="23">
        <v>9.7061999999999996E-2</v>
      </c>
      <c r="I33" s="24"/>
      <c r="J33" s="5"/>
    </row>
    <row r="34" spans="1:10" ht="13.05" customHeight="1">
      <c r="A34" s="18" t="s">
        <v>3555</v>
      </c>
      <c r="B34" s="19" t="s">
        <v>3556</v>
      </c>
      <c r="C34" s="15" t="s">
        <v>3557</v>
      </c>
      <c r="D34" s="15" t="s">
        <v>3558</v>
      </c>
      <c r="E34" s="20">
        <v>1000</v>
      </c>
      <c r="F34" s="21">
        <v>995.86900000000003</v>
      </c>
      <c r="G34" s="22">
        <v>2.7099999999999999E-2</v>
      </c>
      <c r="H34" s="23">
        <v>0.10150000000000001</v>
      </c>
      <c r="I34" s="24"/>
      <c r="J34" s="5"/>
    </row>
    <row r="35" spans="1:10" ht="13.05" customHeight="1">
      <c r="A35" s="18" t="s">
        <v>3940</v>
      </c>
      <c r="B35" s="19" t="s">
        <v>3941</v>
      </c>
      <c r="C35" s="15" t="s">
        <v>3942</v>
      </c>
      <c r="D35" s="15" t="s">
        <v>3146</v>
      </c>
      <c r="E35" s="20">
        <v>230</v>
      </c>
      <c r="F35" s="21">
        <v>930.20280000000002</v>
      </c>
      <c r="G35" s="22">
        <v>2.53E-2</v>
      </c>
      <c r="H35" s="23">
        <v>7.6248999999999997E-2</v>
      </c>
      <c r="I35" s="24"/>
      <c r="J35" s="5"/>
    </row>
    <row r="36" spans="1:10" ht="13.05" customHeight="1">
      <c r="A36" s="18" t="s">
        <v>3545</v>
      </c>
      <c r="B36" s="19" t="s">
        <v>3546</v>
      </c>
      <c r="C36" s="15" t="s">
        <v>3547</v>
      </c>
      <c r="D36" s="15" t="s">
        <v>3548</v>
      </c>
      <c r="E36" s="20">
        <v>1000</v>
      </c>
      <c r="F36" s="21">
        <v>874.92600000000004</v>
      </c>
      <c r="G36" s="22">
        <v>2.3800000000000002E-2</v>
      </c>
      <c r="H36" s="23">
        <v>9.3352000000000004E-2</v>
      </c>
      <c r="I36" s="24"/>
      <c r="J36" s="5"/>
    </row>
    <row r="37" spans="1:10" ht="13.05" customHeight="1">
      <c r="A37" s="18" t="s">
        <v>3831</v>
      </c>
      <c r="B37" s="19" t="s">
        <v>3832</v>
      </c>
      <c r="C37" s="15" t="s">
        <v>3833</v>
      </c>
      <c r="D37" s="15" t="s">
        <v>3146</v>
      </c>
      <c r="E37" s="20">
        <v>800</v>
      </c>
      <c r="F37" s="21">
        <v>813.34320000000002</v>
      </c>
      <c r="G37" s="22">
        <v>2.2200000000000001E-2</v>
      </c>
      <c r="H37" s="23">
        <v>7.6249999999999998E-2</v>
      </c>
      <c r="I37" s="24"/>
      <c r="J37" s="5"/>
    </row>
    <row r="38" spans="1:10" ht="13.05" customHeight="1">
      <c r="A38" s="18" t="s">
        <v>3943</v>
      </c>
      <c r="B38" s="19" t="s">
        <v>3944</v>
      </c>
      <c r="C38" s="15" t="s">
        <v>3945</v>
      </c>
      <c r="D38" s="15" t="s">
        <v>188</v>
      </c>
      <c r="E38" s="20">
        <v>800000</v>
      </c>
      <c r="F38" s="21">
        <v>800.63040000000001</v>
      </c>
      <c r="G38" s="22">
        <v>2.18E-2</v>
      </c>
      <c r="H38" s="23">
        <v>6.5728999999999996E-2</v>
      </c>
      <c r="I38" s="24"/>
      <c r="J38" s="5"/>
    </row>
    <row r="39" spans="1:10" ht="13.05" customHeight="1">
      <c r="A39" s="18" t="s">
        <v>3851</v>
      </c>
      <c r="B39" s="19" t="s">
        <v>3852</v>
      </c>
      <c r="C39" s="15" t="s">
        <v>3853</v>
      </c>
      <c r="D39" s="15" t="s">
        <v>2451</v>
      </c>
      <c r="E39" s="20">
        <v>800</v>
      </c>
      <c r="F39" s="21">
        <v>800.34879999999998</v>
      </c>
      <c r="G39" s="22">
        <v>2.18E-2</v>
      </c>
      <c r="H39" s="23">
        <v>9.5383999999999997E-2</v>
      </c>
      <c r="I39" s="24"/>
      <c r="J39" s="5"/>
    </row>
    <row r="40" spans="1:10" ht="13.05" customHeight="1">
      <c r="A40" s="18" t="s">
        <v>3834</v>
      </c>
      <c r="B40" s="19" t="s">
        <v>3835</v>
      </c>
      <c r="C40" s="15" t="s">
        <v>3836</v>
      </c>
      <c r="D40" s="15" t="s">
        <v>3146</v>
      </c>
      <c r="E40" s="20">
        <v>800</v>
      </c>
      <c r="F40" s="21">
        <v>799.93679999999995</v>
      </c>
      <c r="G40" s="22">
        <v>2.18E-2</v>
      </c>
      <c r="H40" s="23">
        <v>8.2050999999999999E-2</v>
      </c>
      <c r="I40" s="24"/>
      <c r="J40" s="5"/>
    </row>
    <row r="41" spans="1:10" ht="13.05" customHeight="1">
      <c r="A41" s="18" t="s">
        <v>3857</v>
      </c>
      <c r="B41" s="19" t="s">
        <v>3858</v>
      </c>
      <c r="C41" s="15" t="s">
        <v>3859</v>
      </c>
      <c r="D41" s="15" t="s">
        <v>3558</v>
      </c>
      <c r="E41" s="20">
        <v>1000</v>
      </c>
      <c r="F41" s="21">
        <v>751.58199999999999</v>
      </c>
      <c r="G41" s="22">
        <v>2.0500000000000001E-2</v>
      </c>
      <c r="H41" s="23">
        <v>9.3664999999999998E-2</v>
      </c>
      <c r="I41" s="24"/>
      <c r="J41" s="5"/>
    </row>
    <row r="42" spans="1:10" ht="13.05" customHeight="1">
      <c r="A42" s="18" t="s">
        <v>3552</v>
      </c>
      <c r="B42" s="19" t="s">
        <v>3553</v>
      </c>
      <c r="C42" s="15" t="s">
        <v>3554</v>
      </c>
      <c r="D42" s="15" t="s">
        <v>3548</v>
      </c>
      <c r="E42" s="20">
        <v>700</v>
      </c>
      <c r="F42" s="21">
        <v>698.2731</v>
      </c>
      <c r="G42" s="22">
        <v>1.9E-2</v>
      </c>
      <c r="H42" s="23">
        <v>9.3549999999999994E-2</v>
      </c>
      <c r="I42" s="24"/>
      <c r="J42" s="5"/>
    </row>
    <row r="43" spans="1:10" ht="13.05" customHeight="1">
      <c r="A43" s="18" t="s">
        <v>3872</v>
      </c>
      <c r="B43" s="19" t="s">
        <v>3873</v>
      </c>
      <c r="C43" s="15" t="s">
        <v>3874</v>
      </c>
      <c r="D43" s="15" t="s">
        <v>213</v>
      </c>
      <c r="E43" s="20">
        <v>500</v>
      </c>
      <c r="F43" s="21">
        <v>510.6585</v>
      </c>
      <c r="G43" s="22">
        <v>1.3899999999999999E-2</v>
      </c>
      <c r="H43" s="23">
        <v>7.3200000000000001E-2</v>
      </c>
      <c r="I43" s="24"/>
      <c r="J43" s="5"/>
    </row>
    <row r="44" spans="1:10" ht="13.05" customHeight="1">
      <c r="A44" s="18" t="s">
        <v>3890</v>
      </c>
      <c r="B44" s="19" t="s">
        <v>3891</v>
      </c>
      <c r="C44" s="15" t="s">
        <v>3892</v>
      </c>
      <c r="D44" s="15" t="s">
        <v>3656</v>
      </c>
      <c r="E44" s="20">
        <v>500</v>
      </c>
      <c r="F44" s="21">
        <v>500.70749999999998</v>
      </c>
      <c r="G44" s="22">
        <v>1.3599999999999999E-2</v>
      </c>
      <c r="H44" s="23">
        <v>9.2249999999999999E-2</v>
      </c>
      <c r="I44" s="24"/>
      <c r="J44" s="5"/>
    </row>
    <row r="45" spans="1:10" ht="13.05" customHeight="1">
      <c r="A45" s="18" t="s">
        <v>3828</v>
      </c>
      <c r="B45" s="19" t="s">
        <v>3829</v>
      </c>
      <c r="C45" s="15" t="s">
        <v>3830</v>
      </c>
      <c r="D45" s="15" t="s">
        <v>1923</v>
      </c>
      <c r="E45" s="20">
        <v>400</v>
      </c>
      <c r="F45" s="21">
        <v>406.86040000000003</v>
      </c>
      <c r="G45" s="22">
        <v>1.11E-2</v>
      </c>
      <c r="H45" s="23">
        <v>7.0399000000000003E-2</v>
      </c>
      <c r="I45" s="24"/>
      <c r="J45" s="5"/>
    </row>
    <row r="46" spans="1:10" ht="13.05" customHeight="1">
      <c r="A46" s="18" t="s">
        <v>3822</v>
      </c>
      <c r="B46" s="19" t="s">
        <v>3823</v>
      </c>
      <c r="C46" s="15" t="s">
        <v>3824</v>
      </c>
      <c r="D46" s="15" t="s">
        <v>3548</v>
      </c>
      <c r="E46" s="20">
        <v>200</v>
      </c>
      <c r="F46" s="21">
        <v>201.1688</v>
      </c>
      <c r="G46" s="22">
        <v>5.4999999999999997E-3</v>
      </c>
      <c r="H46" s="23">
        <v>8.2949999999999996E-2</v>
      </c>
      <c r="I46" s="24"/>
      <c r="J46" s="5"/>
    </row>
    <row r="47" spans="1:10" ht="13.05" customHeight="1">
      <c r="A47" s="18" t="s">
        <v>3946</v>
      </c>
      <c r="B47" s="19" t="s">
        <v>3947</v>
      </c>
      <c r="C47" s="15" t="s">
        <v>3948</v>
      </c>
      <c r="D47" s="15" t="s">
        <v>188</v>
      </c>
      <c r="E47" s="20">
        <v>138800</v>
      </c>
      <c r="F47" s="21">
        <v>138.83590000000001</v>
      </c>
      <c r="G47" s="22">
        <v>3.8E-3</v>
      </c>
      <c r="H47" s="23">
        <v>7.3033000000000001E-2</v>
      </c>
      <c r="I47" s="24"/>
      <c r="J47" s="5"/>
    </row>
    <row r="48" spans="1:10" ht="13.05" customHeight="1">
      <c r="A48" s="18" t="s">
        <v>3920</v>
      </c>
      <c r="B48" s="19" t="s">
        <v>3921</v>
      </c>
      <c r="C48" s="15" t="s">
        <v>3922</v>
      </c>
      <c r="D48" s="15" t="s">
        <v>188</v>
      </c>
      <c r="E48" s="20">
        <v>50000</v>
      </c>
      <c r="F48" s="21">
        <v>52.467700000000001</v>
      </c>
      <c r="G48" s="22">
        <v>1.4E-3</v>
      </c>
      <c r="H48" s="23">
        <v>6.0444999999999999E-2</v>
      </c>
      <c r="I48" s="24"/>
      <c r="J48" s="5"/>
    </row>
    <row r="49" spans="1:10" ht="13.05" customHeight="1">
      <c r="A49" s="18" t="s">
        <v>1958</v>
      </c>
      <c r="B49" s="19" t="s">
        <v>1959</v>
      </c>
      <c r="C49" s="15" t="s">
        <v>1960</v>
      </c>
      <c r="D49" s="15" t="s">
        <v>188</v>
      </c>
      <c r="E49" s="20">
        <v>50000</v>
      </c>
      <c r="F49" s="21">
        <v>51.926299999999998</v>
      </c>
      <c r="G49" s="22">
        <v>1.4E-3</v>
      </c>
      <c r="H49" s="23">
        <v>6.6900000000000001E-2</v>
      </c>
      <c r="I49" s="24"/>
      <c r="J49" s="5"/>
    </row>
    <row r="50" spans="1:10" ht="13.05" customHeight="1">
      <c r="A50" s="18" t="s">
        <v>2483</v>
      </c>
      <c r="B50" s="19" t="s">
        <v>2484</v>
      </c>
      <c r="C50" s="15" t="s">
        <v>2485</v>
      </c>
      <c r="D50" s="15" t="s">
        <v>188</v>
      </c>
      <c r="E50" s="20">
        <v>6100</v>
      </c>
      <c r="F50" s="21">
        <v>6.1223999999999998</v>
      </c>
      <c r="G50" s="22">
        <v>2.0000000000000001E-4</v>
      </c>
      <c r="H50" s="23">
        <v>5.5509000000000003E-2</v>
      </c>
      <c r="I50" s="24"/>
      <c r="J50" s="5"/>
    </row>
    <row r="51" spans="1:10" ht="13.05" customHeight="1">
      <c r="A51" s="5"/>
      <c r="B51" s="14" t="s">
        <v>192</v>
      </c>
      <c r="C51" s="15"/>
      <c r="D51" s="15"/>
      <c r="E51" s="15"/>
      <c r="F51" s="25">
        <v>32146.794399999999</v>
      </c>
      <c r="G51" s="26">
        <v>0.87570000000000003</v>
      </c>
      <c r="H51" s="27"/>
      <c r="I51" s="28"/>
      <c r="J51" s="5"/>
    </row>
    <row r="52" spans="1:10" ht="13.05" customHeight="1">
      <c r="A52" s="5"/>
      <c r="B52" s="29" t="s">
        <v>193</v>
      </c>
      <c r="C52" s="2"/>
      <c r="D52" s="2"/>
      <c r="E52" s="2"/>
      <c r="F52" s="27" t="s">
        <v>194</v>
      </c>
      <c r="G52" s="27" t="s">
        <v>194</v>
      </c>
      <c r="H52" s="27"/>
      <c r="I52" s="28"/>
      <c r="J52" s="5"/>
    </row>
    <row r="53" spans="1:10" ht="13.05" customHeight="1">
      <c r="A53" s="5"/>
      <c r="B53" s="29" t="s">
        <v>192</v>
      </c>
      <c r="C53" s="2"/>
      <c r="D53" s="2"/>
      <c r="E53" s="2"/>
      <c r="F53" s="27" t="s">
        <v>194</v>
      </c>
      <c r="G53" s="27" t="s">
        <v>194</v>
      </c>
      <c r="H53" s="27"/>
      <c r="I53" s="28"/>
      <c r="J53" s="5"/>
    </row>
    <row r="54" spans="1:10" ht="13.05" customHeight="1">
      <c r="A54" s="5"/>
      <c r="B54" s="14" t="s">
        <v>2297</v>
      </c>
      <c r="C54" s="15"/>
      <c r="D54" s="15"/>
      <c r="E54" s="15"/>
      <c r="F54" s="5"/>
      <c r="G54" s="16"/>
      <c r="H54" s="16"/>
      <c r="I54" s="17"/>
      <c r="J54" s="5"/>
    </row>
    <row r="55" spans="1:10" ht="13.05" customHeight="1">
      <c r="A55" s="18" t="s">
        <v>2305</v>
      </c>
      <c r="B55" s="19" t="s">
        <v>2306</v>
      </c>
      <c r="C55" s="15" t="s">
        <v>2307</v>
      </c>
      <c r="D55" s="15" t="s">
        <v>2301</v>
      </c>
      <c r="E55" s="20">
        <v>7</v>
      </c>
      <c r="F55" s="21">
        <v>707.1037</v>
      </c>
      <c r="G55" s="22">
        <v>1.9300000000000001E-2</v>
      </c>
      <c r="H55" s="23">
        <v>7.2300000000000003E-2</v>
      </c>
      <c r="I55" s="24"/>
      <c r="J55" s="5"/>
    </row>
    <row r="56" spans="1:10" ht="13.05" customHeight="1">
      <c r="A56" s="18" t="s">
        <v>2298</v>
      </c>
      <c r="B56" s="19" t="s">
        <v>2299</v>
      </c>
      <c r="C56" s="15" t="s">
        <v>2300</v>
      </c>
      <c r="D56" s="15" t="s">
        <v>2301</v>
      </c>
      <c r="E56" s="20">
        <v>3</v>
      </c>
      <c r="F56" s="21">
        <v>303.69279999999998</v>
      </c>
      <c r="G56" s="22">
        <v>8.3000000000000001E-3</v>
      </c>
      <c r="H56" s="23">
        <v>7.3218000000000005E-2</v>
      </c>
      <c r="I56" s="24"/>
      <c r="J56" s="5"/>
    </row>
    <row r="57" spans="1:10" ht="13.05" customHeight="1">
      <c r="A57" s="5"/>
      <c r="B57" s="14" t="s">
        <v>192</v>
      </c>
      <c r="C57" s="15"/>
      <c r="D57" s="15"/>
      <c r="E57" s="15"/>
      <c r="F57" s="25">
        <v>1010.7965</v>
      </c>
      <c r="G57" s="26">
        <v>2.75E-2</v>
      </c>
      <c r="H57" s="27"/>
      <c r="I57" s="28"/>
      <c r="J57" s="5"/>
    </row>
    <row r="58" spans="1:10" ht="13.05" customHeight="1">
      <c r="A58" s="5"/>
      <c r="B58" s="29" t="s">
        <v>193</v>
      </c>
      <c r="C58" s="2"/>
      <c r="D58" s="2"/>
      <c r="E58" s="2"/>
      <c r="F58" s="27" t="s">
        <v>194</v>
      </c>
      <c r="G58" s="27" t="s">
        <v>194</v>
      </c>
      <c r="H58" s="27"/>
      <c r="I58" s="28"/>
      <c r="J58" s="5"/>
    </row>
    <row r="59" spans="1:10" ht="13.05" customHeight="1">
      <c r="A59" s="5"/>
      <c r="B59" s="29" t="s">
        <v>192</v>
      </c>
      <c r="C59" s="2"/>
      <c r="D59" s="2"/>
      <c r="E59" s="2"/>
      <c r="F59" s="27" t="s">
        <v>194</v>
      </c>
      <c r="G59" s="27" t="s">
        <v>194</v>
      </c>
      <c r="H59" s="27"/>
      <c r="I59" s="28"/>
      <c r="J59" s="5"/>
    </row>
    <row r="60" spans="1:10" ht="13.05" customHeight="1">
      <c r="A60" s="5"/>
      <c r="B60" s="29" t="s">
        <v>195</v>
      </c>
      <c r="C60" s="30"/>
      <c r="D60" s="2"/>
      <c r="E60" s="30"/>
      <c r="F60" s="25">
        <v>33157.590900000003</v>
      </c>
      <c r="G60" s="26">
        <v>0.90329999999999999</v>
      </c>
      <c r="H60" s="27"/>
      <c r="I60" s="28"/>
      <c r="J60" s="5"/>
    </row>
    <row r="61" spans="1:10" ht="13.05" customHeight="1">
      <c r="A61" s="5"/>
      <c r="B61" s="14" t="s">
        <v>1818</v>
      </c>
      <c r="C61" s="15"/>
      <c r="D61" s="15"/>
      <c r="E61" s="15"/>
      <c r="F61" s="15"/>
      <c r="G61" s="15"/>
      <c r="H61" s="16"/>
      <c r="I61" s="17"/>
      <c r="J61" s="5"/>
    </row>
    <row r="62" spans="1:10" ht="13.05" customHeight="1">
      <c r="A62" s="5"/>
      <c r="B62" s="14" t="s">
        <v>2332</v>
      </c>
      <c r="C62" s="15"/>
      <c r="D62" s="15"/>
      <c r="E62" s="15"/>
      <c r="F62" s="5"/>
      <c r="G62" s="16"/>
      <c r="H62" s="16"/>
      <c r="I62" s="17"/>
      <c r="J62" s="5"/>
    </row>
    <row r="63" spans="1:10" ht="13.05" customHeight="1">
      <c r="A63" s="18" t="s">
        <v>2333</v>
      </c>
      <c r="B63" s="19" t="s">
        <v>2334</v>
      </c>
      <c r="C63" s="15" t="s">
        <v>2335</v>
      </c>
      <c r="D63" s="15"/>
      <c r="E63" s="20">
        <v>1555.222</v>
      </c>
      <c r="F63" s="21">
        <v>177.9307</v>
      </c>
      <c r="G63" s="22">
        <v>4.7999999999999996E-3</v>
      </c>
      <c r="H63" s="23"/>
      <c r="I63" s="24"/>
      <c r="J63" s="5"/>
    </row>
    <row r="64" spans="1:10" ht="13.05" customHeight="1">
      <c r="A64" s="5"/>
      <c r="B64" s="14" t="s">
        <v>192</v>
      </c>
      <c r="C64" s="15"/>
      <c r="D64" s="15"/>
      <c r="E64" s="15"/>
      <c r="F64" s="25">
        <v>177.9307</v>
      </c>
      <c r="G64" s="26">
        <v>4.7999999999999996E-3</v>
      </c>
      <c r="H64" s="27"/>
      <c r="I64" s="28"/>
      <c r="J64" s="5"/>
    </row>
    <row r="65" spans="1:10" ht="13.05" customHeight="1">
      <c r="A65" s="5"/>
      <c r="B65" s="29" t="s">
        <v>195</v>
      </c>
      <c r="C65" s="30"/>
      <c r="D65" s="2"/>
      <c r="E65" s="30"/>
      <c r="F65" s="25">
        <v>177.9307</v>
      </c>
      <c r="G65" s="26">
        <v>4.7999999999999996E-3</v>
      </c>
      <c r="H65" s="27"/>
      <c r="I65" s="28"/>
      <c r="J65" s="5"/>
    </row>
    <row r="66" spans="1:10" ht="13.05" customHeight="1">
      <c r="A66" s="5"/>
      <c r="B66" s="14" t="s">
        <v>196</v>
      </c>
      <c r="C66" s="15"/>
      <c r="D66" s="15"/>
      <c r="E66" s="15"/>
      <c r="F66" s="15"/>
      <c r="G66" s="15"/>
      <c r="H66" s="16"/>
      <c r="I66" s="17"/>
      <c r="J66" s="5"/>
    </row>
    <row r="67" spans="1:10" ht="13.05" customHeight="1">
      <c r="A67" s="18" t="s">
        <v>197</v>
      </c>
      <c r="B67" s="19" t="s">
        <v>198</v>
      </c>
      <c r="C67" s="15"/>
      <c r="D67" s="15"/>
      <c r="E67" s="20"/>
      <c r="F67" s="21">
        <v>1842.6588999999999</v>
      </c>
      <c r="G67" s="22">
        <v>5.0200000000000002E-2</v>
      </c>
      <c r="H67" s="23">
        <v>5.5573613358271927E-2</v>
      </c>
      <c r="I67" s="24"/>
      <c r="J67" s="5"/>
    </row>
    <row r="68" spans="1:10" ht="13.05" customHeight="1">
      <c r="A68" s="5"/>
      <c r="B68" s="14" t="s">
        <v>192</v>
      </c>
      <c r="C68" s="15"/>
      <c r="D68" s="15"/>
      <c r="E68" s="15"/>
      <c r="F68" s="25">
        <v>1842.6588999999999</v>
      </c>
      <c r="G68" s="26">
        <v>5.0200000000000002E-2</v>
      </c>
      <c r="H68" s="27"/>
      <c r="I68" s="28"/>
      <c r="J68" s="5"/>
    </row>
    <row r="69" spans="1:10" ht="13.05" customHeight="1">
      <c r="A69" s="5"/>
      <c r="B69" s="29" t="s">
        <v>193</v>
      </c>
      <c r="C69" s="2"/>
      <c r="D69" s="2"/>
      <c r="E69" s="2"/>
      <c r="F69" s="27" t="s">
        <v>194</v>
      </c>
      <c r="G69" s="27" t="s">
        <v>194</v>
      </c>
      <c r="H69" s="27"/>
      <c r="I69" s="28"/>
      <c r="J69" s="5"/>
    </row>
    <row r="70" spans="1:10" ht="13.05" customHeight="1">
      <c r="A70" s="5"/>
      <c r="B70" s="29" t="s">
        <v>192</v>
      </c>
      <c r="C70" s="2"/>
      <c r="D70" s="2"/>
      <c r="E70" s="2"/>
      <c r="F70" s="27" t="s">
        <v>194</v>
      </c>
      <c r="G70" s="27" t="s">
        <v>194</v>
      </c>
      <c r="H70" s="27"/>
      <c r="I70" s="28"/>
      <c r="J70" s="5"/>
    </row>
    <row r="71" spans="1:10" ht="13.05" customHeight="1">
      <c r="A71" s="5"/>
      <c r="B71" s="29" t="s">
        <v>195</v>
      </c>
      <c r="C71" s="30"/>
      <c r="D71" s="2"/>
      <c r="E71" s="30"/>
      <c r="F71" s="25">
        <v>1842.6588999999999</v>
      </c>
      <c r="G71" s="26">
        <v>5.0200000000000002E-2</v>
      </c>
      <c r="H71" s="27"/>
      <c r="I71" s="28"/>
      <c r="J71" s="5"/>
    </row>
    <row r="72" spans="1:10" ht="13.05" customHeight="1">
      <c r="A72" s="5"/>
      <c r="B72" s="29" t="s">
        <v>199</v>
      </c>
      <c r="C72" s="15"/>
      <c r="D72" s="2"/>
      <c r="E72" s="15"/>
      <c r="F72" s="31">
        <v>620.35659999999996</v>
      </c>
      <c r="G72" s="26">
        <v>1.6899999999999998E-2</v>
      </c>
      <c r="H72" s="27"/>
      <c r="I72" s="28"/>
      <c r="J72" s="5"/>
    </row>
    <row r="73" spans="1:10" ht="13.05" customHeight="1">
      <c r="A73" s="5"/>
      <c r="B73" s="32" t="s">
        <v>200</v>
      </c>
      <c r="C73" s="33"/>
      <c r="D73" s="33"/>
      <c r="E73" s="33"/>
      <c r="F73" s="34">
        <v>36708.480000000003</v>
      </c>
      <c r="G73" s="35">
        <v>1</v>
      </c>
      <c r="H73" s="36"/>
      <c r="I73" s="37"/>
      <c r="J73" s="5"/>
    </row>
    <row r="74" spans="1:10" ht="13.05" customHeight="1">
      <c r="A74" s="5"/>
      <c r="B74" s="7"/>
      <c r="C74" s="5"/>
      <c r="D74" s="5"/>
      <c r="E74" s="5"/>
      <c r="F74" s="5"/>
      <c r="G74" s="5"/>
      <c r="H74" s="5"/>
      <c r="I74" s="5"/>
      <c r="J74" s="5"/>
    </row>
    <row r="75" spans="1:10" ht="13.05" customHeight="1">
      <c r="A75" s="5"/>
      <c r="B75" s="4" t="s">
        <v>2336</v>
      </c>
      <c r="C75" s="5"/>
      <c r="D75" s="5"/>
      <c r="E75" s="5"/>
      <c r="F75" s="5"/>
      <c r="G75" s="5"/>
      <c r="H75" s="5"/>
      <c r="I75" s="5"/>
      <c r="J75" s="5"/>
    </row>
    <row r="76" spans="1:10" ht="13.05" customHeight="1">
      <c r="A76" s="5"/>
      <c r="B76" s="4" t="s">
        <v>250</v>
      </c>
      <c r="C76" s="5"/>
      <c r="D76" s="5"/>
      <c r="E76" s="5"/>
      <c r="F76" s="5"/>
      <c r="G76" s="5"/>
      <c r="H76" s="5"/>
      <c r="I76" s="5"/>
      <c r="J76" s="5"/>
    </row>
    <row r="77" spans="1:10" ht="13.05" customHeight="1">
      <c r="A77" s="5"/>
      <c r="B77" s="4" t="s">
        <v>201</v>
      </c>
      <c r="C77" s="5"/>
      <c r="D77" s="5"/>
      <c r="E77" s="5"/>
      <c r="F77" s="5"/>
      <c r="G77" s="5"/>
      <c r="H77" s="5"/>
      <c r="I77" s="5"/>
      <c r="J77" s="5"/>
    </row>
    <row r="78" spans="1:10" ht="25.95" customHeight="1">
      <c r="A78" s="5"/>
      <c r="B78" s="103" t="s">
        <v>202</v>
      </c>
      <c r="C78" s="103"/>
      <c r="D78" s="103"/>
      <c r="E78" s="103"/>
      <c r="F78" s="103"/>
      <c r="G78" s="103"/>
      <c r="H78" s="103"/>
      <c r="I78" s="103"/>
      <c r="J78" s="5"/>
    </row>
    <row r="79" spans="1:10" ht="13.05" customHeight="1">
      <c r="A79" s="5"/>
      <c r="B79" s="103" t="s">
        <v>203</v>
      </c>
      <c r="C79" s="103"/>
      <c r="D79" s="103"/>
      <c r="E79" s="103"/>
      <c r="F79" s="103"/>
      <c r="G79" s="103"/>
      <c r="H79" s="103"/>
      <c r="I79" s="103"/>
      <c r="J79" s="5"/>
    </row>
    <row r="80" spans="1:10" ht="13.05" customHeight="1">
      <c r="A80" s="5"/>
      <c r="B80" s="103"/>
      <c r="C80" s="103"/>
      <c r="D80" s="103"/>
      <c r="E80" s="103"/>
      <c r="F80" s="103"/>
      <c r="G80" s="103"/>
      <c r="H80" s="103"/>
      <c r="I80" s="103"/>
      <c r="J80" s="5"/>
    </row>
    <row r="81" spans="1:10" ht="13.05" customHeight="1">
      <c r="A81" s="5"/>
      <c r="B81" s="103"/>
      <c r="C81" s="103"/>
      <c r="D81" s="103"/>
      <c r="E81" s="103"/>
      <c r="F81" s="103"/>
      <c r="G81" s="103"/>
      <c r="H81" s="103"/>
      <c r="I81" s="103"/>
      <c r="J81" s="5"/>
    </row>
    <row r="82" spans="1:10" ht="13.05" customHeight="1">
      <c r="A82" s="5"/>
      <c r="B82" s="103"/>
      <c r="C82" s="103"/>
      <c r="D82" s="103"/>
      <c r="E82" s="103"/>
      <c r="F82" s="103"/>
      <c r="G82" s="103"/>
      <c r="H82" s="103"/>
      <c r="I82" s="103"/>
      <c r="J82" s="5"/>
    </row>
    <row r="83" spans="1:10" ht="13.05" customHeight="1">
      <c r="A83" s="5"/>
      <c r="B83" s="103"/>
      <c r="C83" s="103"/>
      <c r="D83" s="103"/>
      <c r="E83" s="103"/>
      <c r="F83" s="103"/>
      <c r="G83" s="103"/>
      <c r="H83" s="103"/>
      <c r="I83" s="103"/>
      <c r="J83" s="5"/>
    </row>
    <row r="84" spans="1:10" ht="13.05" customHeight="1">
      <c r="A84" s="5"/>
      <c r="B84" s="5"/>
      <c r="C84" s="104" t="s">
        <v>3949</v>
      </c>
      <c r="D84" s="104"/>
      <c r="E84" s="104"/>
      <c r="F84" s="104"/>
      <c r="G84" s="5"/>
      <c r="H84" s="5"/>
      <c r="I84" s="5"/>
      <c r="J84" s="5"/>
    </row>
    <row r="85" spans="1:10" ht="13.05" customHeight="1">
      <c r="A85" s="5"/>
      <c r="B85" s="38" t="s">
        <v>207</v>
      </c>
      <c r="C85" s="104" t="s">
        <v>208</v>
      </c>
      <c r="D85" s="104"/>
      <c r="E85" s="104"/>
      <c r="F85" s="104"/>
      <c r="G85" s="5"/>
      <c r="H85" s="5"/>
      <c r="I85" s="5"/>
      <c r="J85" s="5"/>
    </row>
    <row r="86" spans="1:10" ht="135" customHeight="1">
      <c r="A86" s="5"/>
      <c r="B86" s="39"/>
      <c r="C86" s="105"/>
      <c r="D86" s="105"/>
      <c r="E86" s="5"/>
      <c r="F86" s="5"/>
      <c r="G86" s="5"/>
      <c r="H86" s="5"/>
      <c r="I86" s="5"/>
      <c r="J86" s="5"/>
    </row>
  </sheetData>
  <mergeCells count="9">
    <mergeCell ref="B83:I83"/>
    <mergeCell ref="C84:F84"/>
    <mergeCell ref="C85:F85"/>
    <mergeCell ref="C86:D86"/>
    <mergeCell ref="B78:I78"/>
    <mergeCell ref="B79:I79"/>
    <mergeCell ref="B80:I80"/>
    <mergeCell ref="B81:I81"/>
    <mergeCell ref="B82:I82"/>
  </mergeCells>
  <hyperlinks>
    <hyperlink ref="A1" location="AxisCreditRiskFund" display="AXISIOF" xr:uid="{00000000-0004-0000-2800-000000000000}"/>
    <hyperlink ref="B1" location="AxisCreditRiskFund" display="Axis Credit Risk Fund" xr:uid="{00000000-0004-0000-28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outlinePr summaryBelow="0"/>
  </sheetPr>
  <dimension ref="A1:J101"/>
  <sheetViews>
    <sheetView topLeftCell="A83" workbookViewId="0">
      <selection activeCell="D1" sqref="D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84</v>
      </c>
      <c r="B1" s="4" t="s">
        <v>85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61948</v>
      </c>
      <c r="F7" s="21">
        <v>611.61260000000004</v>
      </c>
      <c r="G7" s="22">
        <v>2.24E-2</v>
      </c>
      <c r="H7" s="40"/>
      <c r="I7" s="24"/>
      <c r="J7" s="5"/>
    </row>
    <row r="8" spans="1:10" ht="13.05" customHeight="1">
      <c r="A8" s="18" t="s">
        <v>258</v>
      </c>
      <c r="B8" s="19" t="s">
        <v>259</v>
      </c>
      <c r="C8" s="15" t="s">
        <v>260</v>
      </c>
      <c r="D8" s="15" t="s">
        <v>261</v>
      </c>
      <c r="E8" s="20">
        <v>32282</v>
      </c>
      <c r="F8" s="21">
        <v>479.83960000000002</v>
      </c>
      <c r="G8" s="22">
        <v>1.7600000000000001E-2</v>
      </c>
      <c r="H8" s="40"/>
      <c r="I8" s="24"/>
      <c r="J8" s="5"/>
    </row>
    <row r="9" spans="1:10" ht="13.05" customHeight="1">
      <c r="A9" s="18" t="s">
        <v>281</v>
      </c>
      <c r="B9" s="19" t="s">
        <v>282</v>
      </c>
      <c r="C9" s="15" t="s">
        <v>283</v>
      </c>
      <c r="D9" s="15" t="s">
        <v>257</v>
      </c>
      <c r="E9" s="20">
        <v>41587</v>
      </c>
      <c r="F9" s="21">
        <v>389.67020000000002</v>
      </c>
      <c r="G9" s="22">
        <v>1.43E-2</v>
      </c>
      <c r="H9" s="40"/>
      <c r="I9" s="24"/>
      <c r="J9" s="5"/>
    </row>
    <row r="10" spans="1:10" ht="13.05" customHeight="1">
      <c r="A10" s="18" t="s">
        <v>269</v>
      </c>
      <c r="B10" s="19" t="s">
        <v>270</v>
      </c>
      <c r="C10" s="15" t="s">
        <v>271</v>
      </c>
      <c r="D10" s="15" t="s">
        <v>272</v>
      </c>
      <c r="E10" s="20">
        <v>25061</v>
      </c>
      <c r="F10" s="21">
        <v>371.47919999999999</v>
      </c>
      <c r="G10" s="22">
        <v>1.3599999999999999E-2</v>
      </c>
      <c r="H10" s="40"/>
      <c r="I10" s="24"/>
      <c r="J10" s="5"/>
    </row>
    <row r="11" spans="1:10" ht="13.05" customHeight="1">
      <c r="A11" s="18" t="s">
        <v>262</v>
      </c>
      <c r="B11" s="19" t="s">
        <v>263</v>
      </c>
      <c r="C11" s="15" t="s">
        <v>264</v>
      </c>
      <c r="D11" s="15" t="s">
        <v>257</v>
      </c>
      <c r="E11" s="20">
        <v>26572</v>
      </c>
      <c r="F11" s="21">
        <v>357.47309999999999</v>
      </c>
      <c r="G11" s="22">
        <v>1.3100000000000001E-2</v>
      </c>
      <c r="H11" s="40"/>
      <c r="I11" s="24"/>
      <c r="J11" s="5"/>
    </row>
    <row r="12" spans="1:10" ht="13.05" customHeight="1">
      <c r="A12" s="18" t="s">
        <v>273</v>
      </c>
      <c r="B12" s="19" t="s">
        <v>274</v>
      </c>
      <c r="C12" s="15" t="s">
        <v>275</v>
      </c>
      <c r="D12" s="15" t="s">
        <v>276</v>
      </c>
      <c r="E12" s="20">
        <v>7552</v>
      </c>
      <c r="F12" s="21">
        <v>304.41359999999997</v>
      </c>
      <c r="G12" s="22">
        <v>1.12E-2</v>
      </c>
      <c r="H12" s="40"/>
      <c r="I12" s="24"/>
      <c r="J12" s="5"/>
    </row>
    <row r="13" spans="1:10" ht="13.05" customHeight="1">
      <c r="A13" s="18" t="s">
        <v>416</v>
      </c>
      <c r="B13" s="19" t="s">
        <v>417</v>
      </c>
      <c r="C13" s="15" t="s">
        <v>418</v>
      </c>
      <c r="D13" s="15" t="s">
        <v>314</v>
      </c>
      <c r="E13" s="20">
        <v>16332</v>
      </c>
      <c r="F13" s="21">
        <v>245.19229999999999</v>
      </c>
      <c r="G13" s="22">
        <v>8.9999999999999993E-3</v>
      </c>
      <c r="H13" s="40"/>
      <c r="I13" s="24"/>
      <c r="J13" s="5"/>
    </row>
    <row r="14" spans="1:10" ht="13.05" customHeight="1">
      <c r="A14" s="18" t="s">
        <v>265</v>
      </c>
      <c r="B14" s="19" t="s">
        <v>266</v>
      </c>
      <c r="C14" s="15" t="s">
        <v>267</v>
      </c>
      <c r="D14" s="15" t="s">
        <v>268</v>
      </c>
      <c r="E14" s="20">
        <v>11411</v>
      </c>
      <c r="F14" s="21">
        <v>234.43899999999999</v>
      </c>
      <c r="G14" s="22">
        <v>8.6E-3</v>
      </c>
      <c r="H14" s="40"/>
      <c r="I14" s="24"/>
      <c r="J14" s="5"/>
    </row>
    <row r="15" spans="1:10" ht="13.05" customHeight="1">
      <c r="A15" s="18" t="s">
        <v>318</v>
      </c>
      <c r="B15" s="19" t="s">
        <v>319</v>
      </c>
      <c r="C15" s="15" t="s">
        <v>320</v>
      </c>
      <c r="D15" s="15" t="s">
        <v>321</v>
      </c>
      <c r="E15" s="20">
        <v>61472</v>
      </c>
      <c r="F15" s="21">
        <v>207.12989999999999</v>
      </c>
      <c r="G15" s="22">
        <v>7.6E-3</v>
      </c>
      <c r="H15" s="40"/>
      <c r="I15" s="24"/>
      <c r="J15" s="5"/>
    </row>
    <row r="16" spans="1:10" ht="13.05" customHeight="1">
      <c r="A16" s="18" t="s">
        <v>446</v>
      </c>
      <c r="B16" s="19" t="s">
        <v>447</v>
      </c>
      <c r="C16" s="15" t="s">
        <v>448</v>
      </c>
      <c r="D16" s="15" t="s">
        <v>300</v>
      </c>
      <c r="E16" s="20">
        <v>10886</v>
      </c>
      <c r="F16" s="21">
        <v>184.71360000000001</v>
      </c>
      <c r="G16" s="22">
        <v>6.7999999999999996E-3</v>
      </c>
      <c r="H16" s="40"/>
      <c r="I16" s="24"/>
      <c r="J16" s="5"/>
    </row>
    <row r="17" spans="1:10" ht="13.05" customHeight="1">
      <c r="A17" s="18" t="s">
        <v>2423</v>
      </c>
      <c r="B17" s="19" t="s">
        <v>2424</v>
      </c>
      <c r="C17" s="15" t="s">
        <v>2425</v>
      </c>
      <c r="D17" s="15" t="s">
        <v>300</v>
      </c>
      <c r="E17" s="20">
        <v>150</v>
      </c>
      <c r="F17" s="21">
        <v>178.434</v>
      </c>
      <c r="G17" s="22">
        <v>6.4999999999999997E-3</v>
      </c>
      <c r="H17" s="23" t="s">
        <v>5522</v>
      </c>
      <c r="I17" s="24"/>
      <c r="J17" s="5"/>
    </row>
    <row r="18" spans="1:10" ht="13.05" customHeight="1">
      <c r="A18" s="18" t="s">
        <v>529</v>
      </c>
      <c r="B18" s="19" t="s">
        <v>530</v>
      </c>
      <c r="C18" s="15" t="s">
        <v>531</v>
      </c>
      <c r="D18" s="15" t="s">
        <v>257</v>
      </c>
      <c r="E18" s="20">
        <v>62943</v>
      </c>
      <c r="F18" s="21">
        <v>175.23330000000001</v>
      </c>
      <c r="G18" s="22">
        <v>6.4000000000000003E-3</v>
      </c>
      <c r="H18" s="23"/>
      <c r="I18" s="24"/>
      <c r="J18" s="5"/>
    </row>
    <row r="19" spans="1:10" ht="13.05" customHeight="1">
      <c r="A19" s="18" t="s">
        <v>290</v>
      </c>
      <c r="B19" s="19" t="s">
        <v>291</v>
      </c>
      <c r="C19" s="15" t="s">
        <v>292</v>
      </c>
      <c r="D19" s="15" t="s">
        <v>257</v>
      </c>
      <c r="E19" s="20">
        <v>8309</v>
      </c>
      <c r="F19" s="21">
        <v>174.67179999999999</v>
      </c>
      <c r="G19" s="22">
        <v>6.4000000000000003E-3</v>
      </c>
      <c r="H19" s="23"/>
      <c r="I19" s="24"/>
      <c r="J19" s="5"/>
    </row>
    <row r="20" spans="1:10" ht="13.05" customHeight="1">
      <c r="A20" s="18" t="s">
        <v>712</v>
      </c>
      <c r="B20" s="19" t="s">
        <v>713</v>
      </c>
      <c r="C20" s="15" t="s">
        <v>714</v>
      </c>
      <c r="D20" s="15" t="s">
        <v>603</v>
      </c>
      <c r="E20" s="20">
        <v>4689</v>
      </c>
      <c r="F20" s="21">
        <v>167.74430000000001</v>
      </c>
      <c r="G20" s="22">
        <v>6.1000000000000004E-3</v>
      </c>
      <c r="H20" s="23"/>
      <c r="I20" s="24"/>
      <c r="J20" s="5"/>
    </row>
    <row r="21" spans="1:10" ht="13.05" customHeight="1">
      <c r="A21" s="18" t="s">
        <v>293</v>
      </c>
      <c r="B21" s="19" t="s">
        <v>294</v>
      </c>
      <c r="C21" s="15" t="s">
        <v>295</v>
      </c>
      <c r="D21" s="15" t="s">
        <v>296</v>
      </c>
      <c r="E21" s="20">
        <v>4325</v>
      </c>
      <c r="F21" s="21">
        <v>150.82140000000001</v>
      </c>
      <c r="G21" s="22">
        <v>5.4999999999999997E-3</v>
      </c>
      <c r="H21" s="23"/>
      <c r="I21" s="24"/>
      <c r="J21" s="5"/>
    </row>
    <row r="22" spans="1:10" ht="13.05" customHeight="1">
      <c r="A22" s="18" t="s">
        <v>426</v>
      </c>
      <c r="B22" s="19" t="s">
        <v>427</v>
      </c>
      <c r="C22" s="15" t="s">
        <v>428</v>
      </c>
      <c r="D22" s="15" t="s">
        <v>405</v>
      </c>
      <c r="E22" s="20">
        <v>20515</v>
      </c>
      <c r="F22" s="21">
        <v>150.13900000000001</v>
      </c>
      <c r="G22" s="22">
        <v>5.4999999999999997E-3</v>
      </c>
      <c r="H22" s="23"/>
      <c r="I22" s="24"/>
      <c r="J22" s="5"/>
    </row>
    <row r="23" spans="1:10" ht="13.05" customHeight="1">
      <c r="A23" s="18" t="s">
        <v>520</v>
      </c>
      <c r="B23" s="19" t="s">
        <v>521</v>
      </c>
      <c r="C23" s="15" t="s">
        <v>522</v>
      </c>
      <c r="D23" s="15" t="s">
        <v>272</v>
      </c>
      <c r="E23" s="20">
        <v>2342</v>
      </c>
      <c r="F23" s="21">
        <v>133.131</v>
      </c>
      <c r="G23" s="22">
        <v>4.8999999999999998E-3</v>
      </c>
      <c r="H23" s="23"/>
      <c r="I23" s="24"/>
      <c r="J23" s="5"/>
    </row>
    <row r="24" spans="1:10" ht="13.05" customHeight="1">
      <c r="A24" s="18" t="s">
        <v>297</v>
      </c>
      <c r="B24" s="19" t="s">
        <v>298</v>
      </c>
      <c r="C24" s="15" t="s">
        <v>299</v>
      </c>
      <c r="D24" s="15" t="s">
        <v>300</v>
      </c>
      <c r="E24" s="20">
        <v>12034</v>
      </c>
      <c r="F24" s="21">
        <v>125.4906</v>
      </c>
      <c r="G24" s="22">
        <v>4.5999999999999999E-3</v>
      </c>
      <c r="H24" s="23"/>
      <c r="I24" s="24"/>
      <c r="J24" s="5"/>
    </row>
    <row r="25" spans="1:10" ht="13.05" customHeight="1">
      <c r="A25" s="18" t="s">
        <v>277</v>
      </c>
      <c r="B25" s="19" t="s">
        <v>278</v>
      </c>
      <c r="C25" s="15" t="s">
        <v>279</v>
      </c>
      <c r="D25" s="15" t="s">
        <v>280</v>
      </c>
      <c r="E25" s="20">
        <v>24748</v>
      </c>
      <c r="F25" s="21">
        <v>104.0282</v>
      </c>
      <c r="G25" s="22">
        <v>3.8E-3</v>
      </c>
      <c r="H25" s="23"/>
      <c r="I25" s="24"/>
      <c r="J25" s="5"/>
    </row>
    <row r="26" spans="1:10" ht="13.05" customHeight="1">
      <c r="A26" s="18" t="s">
        <v>406</v>
      </c>
      <c r="B26" s="19" t="s">
        <v>407</v>
      </c>
      <c r="C26" s="15" t="s">
        <v>408</v>
      </c>
      <c r="D26" s="15" t="s">
        <v>314</v>
      </c>
      <c r="E26" s="20">
        <v>1478</v>
      </c>
      <c r="F26" s="21">
        <v>99.587599999999995</v>
      </c>
      <c r="G26" s="22">
        <v>3.7000000000000002E-3</v>
      </c>
      <c r="H26" s="23"/>
      <c r="I26" s="24"/>
      <c r="J26" s="5"/>
    </row>
    <row r="27" spans="1:10" ht="13.05" customHeight="1">
      <c r="A27" s="18" t="s">
        <v>322</v>
      </c>
      <c r="B27" s="19" t="s">
        <v>323</v>
      </c>
      <c r="C27" s="15" t="s">
        <v>324</v>
      </c>
      <c r="D27" s="15" t="s">
        <v>325</v>
      </c>
      <c r="E27" s="20">
        <v>2500</v>
      </c>
      <c r="F27" s="21">
        <v>93.667500000000004</v>
      </c>
      <c r="G27" s="22">
        <v>3.3999999999999998E-3</v>
      </c>
      <c r="H27" s="23"/>
      <c r="I27" s="24"/>
      <c r="J27" s="5"/>
    </row>
    <row r="28" spans="1:10" ht="13.05" customHeight="1">
      <c r="A28" s="18" t="s">
        <v>449</v>
      </c>
      <c r="B28" s="19" t="s">
        <v>450</v>
      </c>
      <c r="C28" s="15" t="s">
        <v>451</v>
      </c>
      <c r="D28" s="15" t="s">
        <v>261</v>
      </c>
      <c r="E28" s="20">
        <v>25376</v>
      </c>
      <c r="F28" s="21">
        <v>90.541600000000003</v>
      </c>
      <c r="G28" s="22">
        <v>3.3E-3</v>
      </c>
      <c r="H28" s="23"/>
      <c r="I28" s="24"/>
      <c r="J28" s="5"/>
    </row>
    <row r="29" spans="1:10" ht="13.05" customHeight="1">
      <c r="A29" s="18" t="s">
        <v>1492</v>
      </c>
      <c r="B29" s="19" t="s">
        <v>1493</v>
      </c>
      <c r="C29" s="15" t="s">
        <v>1494</v>
      </c>
      <c r="D29" s="15" t="s">
        <v>603</v>
      </c>
      <c r="E29" s="20">
        <v>15627</v>
      </c>
      <c r="F29" s="21">
        <v>78.478800000000007</v>
      </c>
      <c r="G29" s="22">
        <v>2.8999999999999998E-3</v>
      </c>
      <c r="H29" s="23"/>
      <c r="I29" s="24"/>
      <c r="J29" s="5"/>
    </row>
    <row r="30" spans="1:10" ht="13.05" customHeight="1">
      <c r="A30" s="18" t="s">
        <v>287</v>
      </c>
      <c r="B30" s="19" t="s">
        <v>288</v>
      </c>
      <c r="C30" s="15" t="s">
        <v>289</v>
      </c>
      <c r="D30" s="15" t="s">
        <v>272</v>
      </c>
      <c r="E30" s="20">
        <v>2367</v>
      </c>
      <c r="F30" s="21">
        <v>72.382900000000006</v>
      </c>
      <c r="G30" s="22">
        <v>2.7000000000000001E-3</v>
      </c>
      <c r="H30" s="23"/>
      <c r="I30" s="24"/>
      <c r="J30" s="5"/>
    </row>
    <row r="31" spans="1:10" ht="13.05" customHeight="1">
      <c r="A31" s="18" t="s">
        <v>452</v>
      </c>
      <c r="B31" s="19" t="s">
        <v>453</v>
      </c>
      <c r="C31" s="15" t="s">
        <v>454</v>
      </c>
      <c r="D31" s="15" t="s">
        <v>391</v>
      </c>
      <c r="E31" s="20">
        <v>1239</v>
      </c>
      <c r="F31" s="21">
        <v>72.3142</v>
      </c>
      <c r="G31" s="22">
        <v>2.7000000000000001E-3</v>
      </c>
      <c r="H31" s="23"/>
      <c r="I31" s="24"/>
      <c r="J31" s="5"/>
    </row>
    <row r="32" spans="1:10" ht="13.05" customHeight="1">
      <c r="A32" s="18" t="s">
        <v>311</v>
      </c>
      <c r="B32" s="19" t="s">
        <v>312</v>
      </c>
      <c r="C32" s="15" t="s">
        <v>313</v>
      </c>
      <c r="D32" s="15" t="s">
        <v>314</v>
      </c>
      <c r="E32" s="20">
        <v>3774</v>
      </c>
      <c r="F32" s="21">
        <v>63.807000000000002</v>
      </c>
      <c r="G32" s="22">
        <v>2.3E-3</v>
      </c>
      <c r="H32" s="23"/>
      <c r="I32" s="24"/>
      <c r="J32" s="5"/>
    </row>
    <row r="33" spans="1:10" ht="13.05" customHeight="1">
      <c r="A33" s="18" t="s">
        <v>828</v>
      </c>
      <c r="B33" s="19" t="s">
        <v>829</v>
      </c>
      <c r="C33" s="15" t="s">
        <v>830</v>
      </c>
      <c r="D33" s="15" t="s">
        <v>567</v>
      </c>
      <c r="E33" s="20">
        <v>9733</v>
      </c>
      <c r="F33" s="21">
        <v>46.012799999999999</v>
      </c>
      <c r="G33" s="22">
        <v>1.6999999999999999E-3</v>
      </c>
      <c r="H33" s="23"/>
      <c r="I33" s="24"/>
      <c r="J33" s="5"/>
    </row>
    <row r="34" spans="1:10" ht="13.05" customHeight="1">
      <c r="A34" s="18" t="s">
        <v>2435</v>
      </c>
      <c r="B34" s="19" t="s">
        <v>2436</v>
      </c>
      <c r="C34" s="15" t="s">
        <v>2437</v>
      </c>
      <c r="D34" s="15" t="s">
        <v>567</v>
      </c>
      <c r="E34" s="20">
        <v>2958</v>
      </c>
      <c r="F34" s="21">
        <v>44.775199999999998</v>
      </c>
      <c r="G34" s="22">
        <v>1.6000000000000001E-3</v>
      </c>
      <c r="H34" s="23"/>
      <c r="I34" s="24"/>
      <c r="J34" s="5"/>
    </row>
    <row r="35" spans="1:10" ht="13.05" customHeight="1">
      <c r="A35" s="18" t="s">
        <v>305</v>
      </c>
      <c r="B35" s="19" t="s">
        <v>306</v>
      </c>
      <c r="C35" s="15" t="s">
        <v>307</v>
      </c>
      <c r="D35" s="15" t="s">
        <v>280</v>
      </c>
      <c r="E35" s="20">
        <v>1784</v>
      </c>
      <c r="F35" s="21">
        <v>43.984499999999997</v>
      </c>
      <c r="G35" s="22">
        <v>1.6000000000000001E-3</v>
      </c>
      <c r="H35" s="23"/>
      <c r="I35" s="24"/>
      <c r="J35" s="5"/>
    </row>
    <row r="36" spans="1:10" ht="13.05" customHeight="1">
      <c r="A36" s="18" t="s">
        <v>798</v>
      </c>
      <c r="B36" s="19" t="s">
        <v>799</v>
      </c>
      <c r="C36" s="15" t="s">
        <v>800</v>
      </c>
      <c r="D36" s="15" t="s">
        <v>405</v>
      </c>
      <c r="E36" s="20">
        <v>5767</v>
      </c>
      <c r="F36" s="21">
        <v>34.0916</v>
      </c>
      <c r="G36" s="22">
        <v>1.1999999999999999E-3</v>
      </c>
      <c r="H36" s="23"/>
      <c r="I36" s="24"/>
      <c r="J36" s="5"/>
    </row>
    <row r="37" spans="1:10" ht="13.05" customHeight="1">
      <c r="A37" s="18" t="s">
        <v>682</v>
      </c>
      <c r="B37" s="19" t="s">
        <v>683</v>
      </c>
      <c r="C37" s="15" t="s">
        <v>684</v>
      </c>
      <c r="D37" s="15" t="s">
        <v>300</v>
      </c>
      <c r="E37" s="20">
        <v>353</v>
      </c>
      <c r="F37" s="21">
        <v>16.218599999999999</v>
      </c>
      <c r="G37" s="22">
        <v>5.9999999999999995E-4</v>
      </c>
      <c r="H37" s="23"/>
      <c r="I37" s="24"/>
      <c r="J37" s="5"/>
    </row>
    <row r="38" spans="1:10" ht="13.05" customHeight="1">
      <c r="A38" s="18" t="s">
        <v>388</v>
      </c>
      <c r="B38" s="19" t="s">
        <v>389</v>
      </c>
      <c r="C38" s="15" t="s">
        <v>390</v>
      </c>
      <c r="D38" s="15" t="s">
        <v>391</v>
      </c>
      <c r="E38" s="20">
        <v>884</v>
      </c>
      <c r="F38" s="21">
        <v>11.2409</v>
      </c>
      <c r="G38" s="22">
        <v>4.0000000000000002E-4</v>
      </c>
      <c r="H38" s="23"/>
      <c r="I38" s="24"/>
      <c r="J38" s="5"/>
    </row>
    <row r="39" spans="1:10" ht="13.05" customHeight="1">
      <c r="A39" s="18" t="s">
        <v>409</v>
      </c>
      <c r="B39" s="19" t="s">
        <v>410</v>
      </c>
      <c r="C39" s="15" t="s">
        <v>411</v>
      </c>
      <c r="D39" s="15" t="s">
        <v>296</v>
      </c>
      <c r="E39" s="20">
        <v>1378</v>
      </c>
      <c r="F39" s="21">
        <v>5.6497999999999999</v>
      </c>
      <c r="G39" s="22">
        <v>2.0000000000000001E-4</v>
      </c>
      <c r="H39" s="23"/>
      <c r="I39" s="24"/>
      <c r="J39" s="5"/>
    </row>
    <row r="40" spans="1:10" ht="13.05" customHeight="1">
      <c r="A40" s="18" t="s">
        <v>505</v>
      </c>
      <c r="B40" s="19" t="s">
        <v>2339</v>
      </c>
      <c r="C40" s="15" t="s">
        <v>506</v>
      </c>
      <c r="D40" s="15" t="s">
        <v>507</v>
      </c>
      <c r="E40" s="20">
        <v>1378</v>
      </c>
      <c r="F40" s="21">
        <v>3.5931000000000002</v>
      </c>
      <c r="G40" s="22">
        <v>1E-4</v>
      </c>
      <c r="H40" s="23"/>
      <c r="I40" s="24"/>
      <c r="J40" s="5"/>
    </row>
    <row r="41" spans="1:10" ht="13.05" customHeight="1">
      <c r="A41" s="5"/>
      <c r="B41" s="14" t="s">
        <v>192</v>
      </c>
      <c r="C41" s="15"/>
      <c r="D41" s="15"/>
      <c r="E41" s="15"/>
      <c r="F41" s="25">
        <v>5522.0029999999997</v>
      </c>
      <c r="G41" s="26">
        <v>0.2024</v>
      </c>
      <c r="H41" s="27"/>
      <c r="I41" s="28"/>
      <c r="J41" s="5"/>
    </row>
    <row r="42" spans="1:10" ht="13.05" customHeight="1">
      <c r="A42" s="5"/>
      <c r="B42" s="29" t="s">
        <v>1812</v>
      </c>
      <c r="C42" s="2"/>
      <c r="D42" s="2"/>
      <c r="E42" s="2"/>
      <c r="F42" s="27" t="s">
        <v>194</v>
      </c>
      <c r="G42" s="27" t="s">
        <v>194</v>
      </c>
      <c r="H42" s="27"/>
      <c r="I42" s="28"/>
      <c r="J42" s="5"/>
    </row>
    <row r="43" spans="1:10" ht="13.05" customHeight="1">
      <c r="A43" s="5"/>
      <c r="B43" s="29" t="s">
        <v>192</v>
      </c>
      <c r="C43" s="2"/>
      <c r="D43" s="2"/>
      <c r="E43" s="2"/>
      <c r="F43" s="27" t="s">
        <v>194</v>
      </c>
      <c r="G43" s="27" t="s">
        <v>194</v>
      </c>
      <c r="H43" s="27"/>
      <c r="I43" s="28"/>
      <c r="J43" s="5"/>
    </row>
    <row r="44" spans="1:10" ht="13.05" customHeight="1">
      <c r="A44" s="5"/>
      <c r="B44" s="29" t="s">
        <v>195</v>
      </c>
      <c r="C44" s="30"/>
      <c r="D44" s="2"/>
      <c r="E44" s="30"/>
      <c r="F44" s="25">
        <v>5522.0029999999997</v>
      </c>
      <c r="G44" s="26">
        <v>0.2024</v>
      </c>
      <c r="H44" s="27"/>
      <c r="I44" s="28"/>
      <c r="J44" s="5"/>
    </row>
    <row r="45" spans="1:10" ht="13.05" customHeight="1">
      <c r="A45" s="5"/>
      <c r="B45" s="14" t="s">
        <v>1871</v>
      </c>
      <c r="C45" s="15"/>
      <c r="D45" s="15"/>
      <c r="E45" s="15"/>
      <c r="F45" s="15"/>
      <c r="G45" s="15"/>
      <c r="H45" s="16"/>
      <c r="I45" s="17"/>
      <c r="J45" s="5"/>
    </row>
    <row r="46" spans="1:10" ht="13.05" customHeight="1">
      <c r="A46" s="5"/>
      <c r="B46" s="14" t="s">
        <v>1872</v>
      </c>
      <c r="C46" s="15"/>
      <c r="D46" s="15"/>
      <c r="E46" s="15"/>
      <c r="F46" s="5"/>
      <c r="G46" s="16"/>
      <c r="H46" s="16"/>
      <c r="I46" s="17"/>
      <c r="J46" s="5"/>
    </row>
    <row r="47" spans="1:10" ht="13.05" customHeight="1">
      <c r="A47" s="18" t="s">
        <v>3950</v>
      </c>
      <c r="B47" s="19" t="s">
        <v>3951</v>
      </c>
      <c r="C47" s="15"/>
      <c r="D47" s="15"/>
      <c r="E47" s="20"/>
      <c r="F47" s="21">
        <v>-14.1645</v>
      </c>
      <c r="G47" s="22">
        <v>-5.0000000000000001E-4</v>
      </c>
      <c r="H47" s="23"/>
      <c r="I47" s="24"/>
      <c r="J47" s="5"/>
    </row>
    <row r="48" spans="1:10" ht="13.05" customHeight="1">
      <c r="A48" s="5"/>
      <c r="B48" s="14" t="s">
        <v>192</v>
      </c>
      <c r="C48" s="15"/>
      <c r="D48" s="15"/>
      <c r="E48" s="15"/>
      <c r="F48" s="25">
        <v>-14.1645</v>
      </c>
      <c r="G48" s="26">
        <v>-5.0000000000000001E-4</v>
      </c>
      <c r="H48" s="27"/>
      <c r="I48" s="28"/>
      <c r="J48" s="5"/>
    </row>
    <row r="49" spans="1:10" ht="13.05" customHeight="1">
      <c r="A49" s="5"/>
      <c r="B49" s="29" t="s">
        <v>195</v>
      </c>
      <c r="C49" s="30"/>
      <c r="D49" s="2"/>
      <c r="E49" s="30"/>
      <c r="F49" s="25">
        <v>-14.1645</v>
      </c>
      <c r="G49" s="26">
        <v>-5.0000000000000001E-4</v>
      </c>
      <c r="H49" s="27"/>
      <c r="I49" s="28"/>
      <c r="J49" s="5"/>
    </row>
    <row r="50" spans="1:10" ht="13.05" customHeight="1">
      <c r="A50" s="5"/>
      <c r="B50" s="14" t="s">
        <v>183</v>
      </c>
      <c r="C50" s="15"/>
      <c r="D50" s="15"/>
      <c r="E50" s="15"/>
      <c r="F50" s="15"/>
      <c r="G50" s="15"/>
      <c r="H50" s="16"/>
      <c r="I50" s="17"/>
      <c r="J50" s="5"/>
    </row>
    <row r="51" spans="1:10" ht="13.05" customHeight="1">
      <c r="A51" s="5"/>
      <c r="B51" s="14" t="s">
        <v>184</v>
      </c>
      <c r="C51" s="15"/>
      <c r="D51" s="15"/>
      <c r="E51" s="15"/>
      <c r="F51" s="5"/>
      <c r="G51" s="16"/>
      <c r="H51" s="16"/>
      <c r="I51" s="17"/>
      <c r="J51" s="5"/>
    </row>
    <row r="52" spans="1:10" ht="13.05" customHeight="1">
      <c r="A52" s="18" t="s">
        <v>1890</v>
      </c>
      <c r="B52" s="19" t="s">
        <v>1891</v>
      </c>
      <c r="C52" s="15" t="s">
        <v>1892</v>
      </c>
      <c r="D52" s="15" t="s">
        <v>188</v>
      </c>
      <c r="E52" s="20">
        <v>3500000</v>
      </c>
      <c r="F52" s="21">
        <v>3629.038</v>
      </c>
      <c r="G52" s="22">
        <v>0.13300000000000001</v>
      </c>
      <c r="H52" s="23">
        <v>6.6730999999999999E-2</v>
      </c>
      <c r="I52" s="24"/>
      <c r="J52" s="5"/>
    </row>
    <row r="53" spans="1:10" ht="13.05" customHeight="1">
      <c r="A53" s="18" t="s">
        <v>1881</v>
      </c>
      <c r="B53" s="19" t="s">
        <v>1882</v>
      </c>
      <c r="C53" s="15" t="s">
        <v>1883</v>
      </c>
      <c r="D53" s="15" t="s">
        <v>188</v>
      </c>
      <c r="E53" s="20">
        <v>3000000</v>
      </c>
      <c r="F53" s="21">
        <v>3040.7249999999999</v>
      </c>
      <c r="G53" s="22">
        <v>0.1115</v>
      </c>
      <c r="H53" s="23">
        <v>6.694E-2</v>
      </c>
      <c r="I53" s="24"/>
      <c r="J53" s="5"/>
    </row>
    <row r="54" spans="1:10" ht="13.05" customHeight="1">
      <c r="A54" s="18" t="s">
        <v>2575</v>
      </c>
      <c r="B54" s="19" t="s">
        <v>2576</v>
      </c>
      <c r="C54" s="15" t="s">
        <v>2577</v>
      </c>
      <c r="D54" s="15" t="s">
        <v>188</v>
      </c>
      <c r="E54" s="20">
        <v>2500000</v>
      </c>
      <c r="F54" s="21">
        <v>2451.0500000000002</v>
      </c>
      <c r="G54" s="22">
        <v>8.9899999999999994E-2</v>
      </c>
      <c r="H54" s="23">
        <v>7.0114999999999997E-2</v>
      </c>
      <c r="I54" s="24"/>
      <c r="J54" s="5"/>
    </row>
    <row r="55" spans="1:10" ht="13.05" customHeight="1">
      <c r="A55" s="18" t="s">
        <v>2054</v>
      </c>
      <c r="B55" s="19" t="s">
        <v>2055</v>
      </c>
      <c r="C55" s="15" t="s">
        <v>2056</v>
      </c>
      <c r="D55" s="15" t="s">
        <v>213</v>
      </c>
      <c r="E55" s="20">
        <v>1500</v>
      </c>
      <c r="F55" s="21">
        <v>1544.9970000000001</v>
      </c>
      <c r="G55" s="22">
        <v>5.6599999999999998E-2</v>
      </c>
      <c r="H55" s="23">
        <v>7.0899000000000004E-2</v>
      </c>
      <c r="I55" s="24"/>
      <c r="J55" s="5"/>
    </row>
    <row r="56" spans="1:10" ht="13.05" customHeight="1">
      <c r="A56" s="18" t="s">
        <v>2441</v>
      </c>
      <c r="B56" s="19" t="s">
        <v>2442</v>
      </c>
      <c r="C56" s="15" t="s">
        <v>2443</v>
      </c>
      <c r="D56" s="15" t="s">
        <v>188</v>
      </c>
      <c r="E56" s="20">
        <v>1000000</v>
      </c>
      <c r="F56" s="21">
        <v>1032.2070000000001</v>
      </c>
      <c r="G56" s="22">
        <v>3.78E-2</v>
      </c>
      <c r="H56" s="23">
        <v>6.7038E-2</v>
      </c>
      <c r="I56" s="24"/>
      <c r="J56" s="5"/>
    </row>
    <row r="57" spans="1:10" ht="13.05" customHeight="1">
      <c r="A57" s="18" t="s">
        <v>2204</v>
      </c>
      <c r="B57" s="19" t="s">
        <v>2205</v>
      </c>
      <c r="C57" s="15" t="s">
        <v>2206</v>
      </c>
      <c r="D57" s="15" t="s">
        <v>213</v>
      </c>
      <c r="E57" s="20">
        <v>1000</v>
      </c>
      <c r="F57" s="21">
        <v>1019.287</v>
      </c>
      <c r="G57" s="22">
        <v>3.7400000000000003E-2</v>
      </c>
      <c r="H57" s="23">
        <v>6.8699999999999997E-2</v>
      </c>
      <c r="I57" s="24"/>
      <c r="J57" s="5"/>
    </row>
    <row r="58" spans="1:10" ht="13.05" customHeight="1">
      <c r="A58" s="18" t="s">
        <v>3952</v>
      </c>
      <c r="B58" s="19" t="s">
        <v>3953</v>
      </c>
      <c r="C58" s="15" t="s">
        <v>3954</v>
      </c>
      <c r="D58" s="15" t="s">
        <v>5583</v>
      </c>
      <c r="E58" s="20">
        <v>1000</v>
      </c>
      <c r="F58" s="21">
        <v>1002.673</v>
      </c>
      <c r="G58" s="22">
        <v>3.6799999999999999E-2</v>
      </c>
      <c r="H58" s="23">
        <v>6.5448999999999993E-2</v>
      </c>
      <c r="I58" s="24"/>
      <c r="J58" s="5"/>
    </row>
    <row r="59" spans="1:10" ht="13.05" customHeight="1">
      <c r="A59" s="18" t="s">
        <v>2719</v>
      </c>
      <c r="B59" s="19" t="s">
        <v>2720</v>
      </c>
      <c r="C59" s="15" t="s">
        <v>2721</v>
      </c>
      <c r="D59" s="15" t="s">
        <v>188</v>
      </c>
      <c r="E59" s="20">
        <v>900000</v>
      </c>
      <c r="F59" s="21">
        <v>923.73569999999995</v>
      </c>
      <c r="G59" s="22">
        <v>3.39E-2</v>
      </c>
      <c r="H59" s="23">
        <v>6.9646E-2</v>
      </c>
      <c r="I59" s="24"/>
      <c r="J59" s="5"/>
    </row>
    <row r="60" spans="1:10" ht="13.05" customHeight="1">
      <c r="A60" s="18" t="s">
        <v>3535</v>
      </c>
      <c r="B60" s="19" t="s">
        <v>3536</v>
      </c>
      <c r="C60" s="15" t="s">
        <v>3537</v>
      </c>
      <c r="D60" s="15" t="s">
        <v>3538</v>
      </c>
      <c r="E60" s="20">
        <v>500</v>
      </c>
      <c r="F60" s="21">
        <v>508.00299999999999</v>
      </c>
      <c r="G60" s="22">
        <v>1.8599999999999998E-2</v>
      </c>
      <c r="H60" s="23">
        <v>9.7694000000000003E-2</v>
      </c>
      <c r="I60" s="24"/>
      <c r="J60" s="5"/>
    </row>
    <row r="61" spans="1:10" ht="13.05" customHeight="1">
      <c r="A61" s="18" t="s">
        <v>2448</v>
      </c>
      <c r="B61" s="19" t="s">
        <v>2449</v>
      </c>
      <c r="C61" s="15" t="s">
        <v>2450</v>
      </c>
      <c r="D61" s="15" t="s">
        <v>2451</v>
      </c>
      <c r="E61" s="20">
        <v>500</v>
      </c>
      <c r="F61" s="21">
        <v>505.12</v>
      </c>
      <c r="G61" s="22">
        <v>1.8499999999999999E-2</v>
      </c>
      <c r="H61" s="23">
        <v>0.10395</v>
      </c>
      <c r="I61" s="24"/>
      <c r="J61" s="5"/>
    </row>
    <row r="62" spans="1:10" ht="13.05" customHeight="1">
      <c r="A62" s="18" t="s">
        <v>3167</v>
      </c>
      <c r="B62" s="19" t="s">
        <v>3168</v>
      </c>
      <c r="C62" s="15" t="s">
        <v>3169</v>
      </c>
      <c r="D62" s="15" t="s">
        <v>5585</v>
      </c>
      <c r="E62" s="20">
        <v>500</v>
      </c>
      <c r="F62" s="21">
        <v>502.53449999999998</v>
      </c>
      <c r="G62" s="22">
        <v>1.84E-2</v>
      </c>
      <c r="H62" s="23">
        <v>7.2899000000000005E-2</v>
      </c>
      <c r="I62" s="24"/>
      <c r="J62" s="5"/>
    </row>
    <row r="63" spans="1:10" ht="13.05" customHeight="1">
      <c r="A63" s="18" t="s">
        <v>3955</v>
      </c>
      <c r="B63" s="19" t="s">
        <v>3956</v>
      </c>
      <c r="C63" s="15" t="s">
        <v>3957</v>
      </c>
      <c r="D63" s="15" t="s">
        <v>2447</v>
      </c>
      <c r="E63" s="20">
        <v>500</v>
      </c>
      <c r="F63" s="21">
        <v>501.02249999999998</v>
      </c>
      <c r="G63" s="22">
        <v>1.84E-2</v>
      </c>
      <c r="H63" s="23">
        <v>7.1849999999999997E-2</v>
      </c>
      <c r="I63" s="24"/>
      <c r="J63" s="5"/>
    </row>
    <row r="64" spans="1:10" ht="13.05" customHeight="1">
      <c r="A64" s="18" t="s">
        <v>3958</v>
      </c>
      <c r="B64" s="19" t="s">
        <v>3959</v>
      </c>
      <c r="C64" s="15" t="s">
        <v>3960</v>
      </c>
      <c r="D64" s="15" t="s">
        <v>2447</v>
      </c>
      <c r="E64" s="20">
        <v>50</v>
      </c>
      <c r="F64" s="21">
        <v>500.48149999999998</v>
      </c>
      <c r="G64" s="22">
        <v>1.83E-2</v>
      </c>
      <c r="H64" s="23">
        <v>7.3193499999999995E-2</v>
      </c>
      <c r="I64" s="42"/>
      <c r="J64" s="5"/>
    </row>
    <row r="65" spans="1:10" ht="13.05" customHeight="1">
      <c r="A65" s="18" t="s">
        <v>3961</v>
      </c>
      <c r="B65" s="19" t="s">
        <v>3962</v>
      </c>
      <c r="C65" s="15" t="s">
        <v>3963</v>
      </c>
      <c r="D65" s="15" t="s">
        <v>213</v>
      </c>
      <c r="E65" s="20">
        <v>50</v>
      </c>
      <c r="F65" s="21">
        <v>499.54649999999998</v>
      </c>
      <c r="G65" s="22">
        <v>1.83E-2</v>
      </c>
      <c r="H65" s="23">
        <v>7.0038000000000003E-2</v>
      </c>
      <c r="I65" s="42"/>
      <c r="J65" s="5"/>
    </row>
    <row r="66" spans="1:10" ht="13.05" customHeight="1">
      <c r="A66" s="18" t="s">
        <v>3552</v>
      </c>
      <c r="B66" s="19" t="s">
        <v>3553</v>
      </c>
      <c r="C66" s="15" t="s">
        <v>3554</v>
      </c>
      <c r="D66" s="15" t="s">
        <v>3548</v>
      </c>
      <c r="E66" s="20">
        <v>500</v>
      </c>
      <c r="F66" s="21">
        <v>498.76650000000001</v>
      </c>
      <c r="G66" s="22">
        <v>1.83E-2</v>
      </c>
      <c r="H66" s="23">
        <v>9.3549999999999994E-2</v>
      </c>
      <c r="I66" s="42"/>
      <c r="J66" s="5"/>
    </row>
    <row r="67" spans="1:10" ht="13.05" customHeight="1">
      <c r="A67" s="18" t="s">
        <v>3555</v>
      </c>
      <c r="B67" s="19" t="s">
        <v>3556</v>
      </c>
      <c r="C67" s="15" t="s">
        <v>3557</v>
      </c>
      <c r="D67" s="15" t="s">
        <v>3558</v>
      </c>
      <c r="E67" s="20">
        <v>500</v>
      </c>
      <c r="F67" s="21">
        <v>497.93450000000001</v>
      </c>
      <c r="G67" s="22">
        <v>1.83E-2</v>
      </c>
      <c r="H67" s="23">
        <v>0.10150000000000001</v>
      </c>
      <c r="I67" s="42"/>
      <c r="J67" s="5"/>
    </row>
    <row r="68" spans="1:10" ht="13.05" customHeight="1">
      <c r="A68" s="18" t="s">
        <v>3545</v>
      </c>
      <c r="B68" s="19" t="s">
        <v>3546</v>
      </c>
      <c r="C68" s="15" t="s">
        <v>3547</v>
      </c>
      <c r="D68" s="15" t="s">
        <v>3548</v>
      </c>
      <c r="E68" s="20">
        <v>500</v>
      </c>
      <c r="F68" s="21">
        <v>437.46300000000002</v>
      </c>
      <c r="G68" s="22">
        <v>1.6E-2</v>
      </c>
      <c r="H68" s="23">
        <v>9.3352000000000004E-2</v>
      </c>
      <c r="I68" s="42"/>
      <c r="J68" s="5"/>
    </row>
    <row r="69" spans="1:10" ht="13.05" customHeight="1">
      <c r="A69" s="18" t="s">
        <v>3905</v>
      </c>
      <c r="B69" s="19" t="s">
        <v>3906</v>
      </c>
      <c r="C69" s="15" t="s">
        <v>3907</v>
      </c>
      <c r="D69" s="15" t="s">
        <v>188</v>
      </c>
      <c r="E69" s="20">
        <v>300000</v>
      </c>
      <c r="F69" s="21">
        <v>308.85509999999999</v>
      </c>
      <c r="G69" s="22">
        <v>1.1299999999999999E-2</v>
      </c>
      <c r="H69" s="23">
        <v>7.0081000000000004E-2</v>
      </c>
      <c r="I69" s="42"/>
      <c r="J69" s="5"/>
    </row>
    <row r="70" spans="1:10" ht="13.05" customHeight="1">
      <c r="A70" s="18" t="s">
        <v>2477</v>
      </c>
      <c r="B70" s="19" t="s">
        <v>2478</v>
      </c>
      <c r="C70" s="15" t="s">
        <v>2479</v>
      </c>
      <c r="D70" s="15" t="s">
        <v>188</v>
      </c>
      <c r="E70" s="20">
        <v>20000</v>
      </c>
      <c r="F70" s="21">
        <v>19.447800000000001</v>
      </c>
      <c r="G70" s="22">
        <v>6.9999999999999999E-4</v>
      </c>
      <c r="H70" s="23">
        <v>6.7138000000000003E-2</v>
      </c>
      <c r="I70" s="42"/>
      <c r="J70" s="5"/>
    </row>
    <row r="71" spans="1:10" ht="13.05" customHeight="1">
      <c r="A71" s="5"/>
      <c r="B71" s="14" t="s">
        <v>192</v>
      </c>
      <c r="C71" s="15"/>
      <c r="D71" s="15"/>
      <c r="E71" s="15"/>
      <c r="F71" s="25">
        <v>19422.887599999998</v>
      </c>
      <c r="G71" s="26">
        <v>0.71199999999999997</v>
      </c>
      <c r="H71" s="27"/>
      <c r="I71" s="28"/>
      <c r="J71" s="5"/>
    </row>
    <row r="72" spans="1:10" ht="13.05" customHeight="1">
      <c r="A72" s="5"/>
      <c r="B72" s="29" t="s">
        <v>193</v>
      </c>
      <c r="C72" s="2"/>
      <c r="D72" s="2"/>
      <c r="E72" s="2"/>
      <c r="F72" s="27" t="s">
        <v>194</v>
      </c>
      <c r="G72" s="27" t="s">
        <v>194</v>
      </c>
      <c r="H72" s="27"/>
      <c r="I72" s="28"/>
      <c r="J72" s="5"/>
    </row>
    <row r="73" spans="1:10" ht="13.05" customHeight="1">
      <c r="A73" s="5"/>
      <c r="B73" s="29" t="s">
        <v>192</v>
      </c>
      <c r="C73" s="2"/>
      <c r="D73" s="2"/>
      <c r="E73" s="2"/>
      <c r="F73" s="27" t="s">
        <v>194</v>
      </c>
      <c r="G73" s="27" t="s">
        <v>194</v>
      </c>
      <c r="H73" s="27"/>
      <c r="I73" s="28"/>
      <c r="J73" s="5"/>
    </row>
    <row r="74" spans="1:10" ht="13.05" customHeight="1">
      <c r="A74" s="5"/>
      <c r="B74" s="29" t="s">
        <v>195</v>
      </c>
      <c r="C74" s="30"/>
      <c r="D74" s="2"/>
      <c r="E74" s="30"/>
      <c r="F74" s="25">
        <v>19422.887599999998</v>
      </c>
      <c r="G74" s="26">
        <v>0.71199999999999997</v>
      </c>
      <c r="H74" s="27"/>
      <c r="I74" s="28"/>
      <c r="J74" s="5"/>
    </row>
    <row r="75" spans="1:10" ht="13.05" customHeight="1">
      <c r="A75" s="5"/>
      <c r="B75" s="14" t="s">
        <v>1818</v>
      </c>
      <c r="C75" s="15"/>
      <c r="D75" s="15"/>
      <c r="E75" s="15"/>
      <c r="F75" s="15"/>
      <c r="G75" s="15"/>
      <c r="H75" s="16"/>
      <c r="I75" s="17"/>
      <c r="J75" s="5"/>
    </row>
    <row r="76" spans="1:10" ht="13.05" customHeight="1">
      <c r="A76" s="5"/>
      <c r="B76" s="14" t="s">
        <v>2332</v>
      </c>
      <c r="C76" s="15"/>
      <c r="D76" s="15"/>
      <c r="E76" s="15"/>
      <c r="F76" s="5"/>
      <c r="G76" s="16"/>
      <c r="H76" s="16"/>
      <c r="I76" s="17"/>
      <c r="J76" s="5"/>
    </row>
    <row r="77" spans="1:10" ht="13.05" customHeight="1">
      <c r="A77" s="18" t="s">
        <v>2333</v>
      </c>
      <c r="B77" s="19" t="s">
        <v>2334</v>
      </c>
      <c r="C77" s="15" t="s">
        <v>2335</v>
      </c>
      <c r="D77" s="15"/>
      <c r="E77" s="20">
        <v>1092.645</v>
      </c>
      <c r="F77" s="21">
        <v>125.008</v>
      </c>
      <c r="G77" s="22">
        <v>4.5999999999999999E-3</v>
      </c>
      <c r="H77" s="23"/>
      <c r="I77" s="42"/>
      <c r="J77" s="5"/>
    </row>
    <row r="78" spans="1:10" ht="13.05" customHeight="1">
      <c r="A78" s="5"/>
      <c r="B78" s="14" t="s">
        <v>192</v>
      </c>
      <c r="C78" s="15"/>
      <c r="D78" s="15"/>
      <c r="E78" s="15"/>
      <c r="F78" s="25">
        <v>125.008</v>
      </c>
      <c r="G78" s="26">
        <v>4.5999999999999999E-3</v>
      </c>
      <c r="H78" s="27"/>
      <c r="I78" s="28"/>
      <c r="J78" s="5"/>
    </row>
    <row r="79" spans="1:10" ht="13.05" customHeight="1">
      <c r="A79" s="5"/>
      <c r="B79" s="29" t="s">
        <v>195</v>
      </c>
      <c r="C79" s="30"/>
      <c r="D79" s="2"/>
      <c r="E79" s="30"/>
      <c r="F79" s="25">
        <v>125.008</v>
      </c>
      <c r="G79" s="26">
        <v>4.5999999999999999E-3</v>
      </c>
      <c r="H79" s="27"/>
      <c r="I79" s="28"/>
      <c r="J79" s="5"/>
    </row>
    <row r="80" spans="1:10" ht="13.05" customHeight="1">
      <c r="A80" s="5"/>
      <c r="B80" s="14" t="s">
        <v>196</v>
      </c>
      <c r="C80" s="15"/>
      <c r="D80" s="15"/>
      <c r="E80" s="15"/>
      <c r="F80" s="15"/>
      <c r="G80" s="15"/>
      <c r="H80" s="16"/>
      <c r="I80" s="17"/>
      <c r="J80" s="5"/>
    </row>
    <row r="81" spans="1:10" ht="13.05" customHeight="1">
      <c r="A81" s="18" t="s">
        <v>197</v>
      </c>
      <c r="B81" s="19" t="s">
        <v>198</v>
      </c>
      <c r="C81" s="15"/>
      <c r="D81" s="15"/>
      <c r="E81" s="20"/>
      <c r="F81" s="21">
        <v>1738.5806</v>
      </c>
      <c r="G81" s="22">
        <v>6.3700000000000007E-2</v>
      </c>
      <c r="H81" s="23">
        <v>5.5573613358271927E-2</v>
      </c>
      <c r="I81" s="42"/>
      <c r="J81" s="5"/>
    </row>
    <row r="82" spans="1:10" ht="13.05" customHeight="1">
      <c r="A82" s="5"/>
      <c r="B82" s="14" t="s">
        <v>192</v>
      </c>
      <c r="C82" s="15"/>
      <c r="D82" s="15"/>
      <c r="E82" s="15"/>
      <c r="F82" s="25">
        <v>1738.5806</v>
      </c>
      <c r="G82" s="26">
        <v>6.3700000000000007E-2</v>
      </c>
      <c r="H82" s="27"/>
      <c r="I82" s="28"/>
      <c r="J82" s="5"/>
    </row>
    <row r="83" spans="1:10" ht="13.05" customHeight="1">
      <c r="A83" s="5"/>
      <c r="B83" s="29" t="s">
        <v>193</v>
      </c>
      <c r="C83" s="2"/>
      <c r="D83" s="2"/>
      <c r="E83" s="2"/>
      <c r="F83" s="27" t="s">
        <v>194</v>
      </c>
      <c r="G83" s="27" t="s">
        <v>194</v>
      </c>
      <c r="H83" s="27"/>
      <c r="I83" s="28"/>
      <c r="J83" s="5"/>
    </row>
    <row r="84" spans="1:10" ht="13.05" customHeight="1">
      <c r="A84" s="5"/>
      <c r="B84" s="29" t="s">
        <v>192</v>
      </c>
      <c r="C84" s="2"/>
      <c r="D84" s="2"/>
      <c r="E84" s="2"/>
      <c r="F84" s="27" t="s">
        <v>194</v>
      </c>
      <c r="G84" s="27" t="s">
        <v>194</v>
      </c>
      <c r="H84" s="27"/>
      <c r="I84" s="28"/>
      <c r="J84" s="5"/>
    </row>
    <row r="85" spans="1:10" ht="13.05" customHeight="1">
      <c r="A85" s="5"/>
      <c r="B85" s="29" t="s">
        <v>195</v>
      </c>
      <c r="C85" s="30"/>
      <c r="D85" s="2"/>
      <c r="E85" s="30"/>
      <c r="F85" s="25">
        <v>1738.5806</v>
      </c>
      <c r="G85" s="26">
        <v>6.3700000000000007E-2</v>
      </c>
      <c r="H85" s="27"/>
      <c r="I85" s="28"/>
      <c r="J85" s="5"/>
    </row>
    <row r="86" spans="1:10" ht="13.05" customHeight="1">
      <c r="A86" s="5"/>
      <c r="B86" s="29" t="s">
        <v>199</v>
      </c>
      <c r="C86" s="15"/>
      <c r="D86" s="2"/>
      <c r="E86" s="15"/>
      <c r="F86" s="31">
        <v>483.24529999999999</v>
      </c>
      <c r="G86" s="26">
        <v>1.78E-2</v>
      </c>
      <c r="H86" s="27"/>
      <c r="I86" s="28"/>
      <c r="J86" s="5"/>
    </row>
    <row r="87" spans="1:10" ht="13.05" customHeight="1">
      <c r="A87" s="5"/>
      <c r="B87" s="32" t="s">
        <v>200</v>
      </c>
      <c r="C87" s="33"/>
      <c r="D87" s="33"/>
      <c r="E87" s="33"/>
      <c r="F87" s="34">
        <v>27277.56</v>
      </c>
      <c r="G87" s="35">
        <v>1</v>
      </c>
      <c r="H87" s="36"/>
      <c r="I87" s="37"/>
      <c r="J87" s="5"/>
    </row>
    <row r="88" spans="1:10" ht="13.05" customHeight="1">
      <c r="A88" s="5"/>
      <c r="B88" s="7"/>
      <c r="C88" s="5"/>
      <c r="D88" s="5"/>
      <c r="E88" s="5"/>
      <c r="F88" s="5"/>
      <c r="G88" s="5"/>
      <c r="H88" s="5"/>
      <c r="I88" s="5"/>
      <c r="J88" s="5"/>
    </row>
    <row r="89" spans="1:10" ht="13.05" customHeight="1">
      <c r="A89" s="5"/>
      <c r="B89" s="4" t="s">
        <v>2486</v>
      </c>
      <c r="C89" s="5"/>
      <c r="D89" s="5"/>
      <c r="E89" s="5"/>
      <c r="F89" s="5"/>
      <c r="G89" s="5"/>
      <c r="H89" s="5"/>
      <c r="I89" s="5"/>
      <c r="J89" s="5"/>
    </row>
    <row r="90" spans="1:10" ht="13.05" customHeight="1">
      <c r="A90" s="5"/>
      <c r="B90" s="4" t="s">
        <v>250</v>
      </c>
      <c r="C90" s="5"/>
      <c r="D90" s="5"/>
      <c r="E90" s="5"/>
      <c r="F90" s="5"/>
      <c r="G90" s="5"/>
      <c r="H90" s="5"/>
      <c r="I90" s="5"/>
      <c r="J90" s="5"/>
    </row>
    <row r="91" spans="1:10" ht="13.05" customHeight="1">
      <c r="A91" s="5"/>
      <c r="B91" s="4" t="s">
        <v>2487</v>
      </c>
      <c r="C91" s="5"/>
      <c r="D91" s="5"/>
      <c r="E91" s="5"/>
      <c r="F91" s="5"/>
      <c r="G91" s="5"/>
      <c r="H91" s="5"/>
      <c r="I91" s="5"/>
      <c r="J91" s="5"/>
    </row>
    <row r="92" spans="1:10" ht="13.05" customHeight="1">
      <c r="A92" s="5"/>
      <c r="B92" s="4" t="s">
        <v>201</v>
      </c>
      <c r="C92" s="5"/>
      <c r="D92" s="5"/>
      <c r="E92" s="5"/>
      <c r="F92" s="5"/>
      <c r="G92" s="5"/>
      <c r="H92" s="5"/>
      <c r="I92" s="5"/>
      <c r="J92" s="5"/>
    </row>
    <row r="93" spans="1:10" ht="25.95" customHeight="1">
      <c r="A93" s="5"/>
      <c r="B93" s="103" t="s">
        <v>202</v>
      </c>
      <c r="C93" s="103"/>
      <c r="D93" s="103"/>
      <c r="E93" s="103"/>
      <c r="F93" s="103"/>
      <c r="G93" s="103"/>
      <c r="H93" s="103"/>
      <c r="I93" s="103"/>
      <c r="J93" s="5"/>
    </row>
    <row r="94" spans="1:10" ht="13.05" customHeight="1">
      <c r="A94" s="5"/>
      <c r="B94" s="103" t="s">
        <v>203</v>
      </c>
      <c r="C94" s="103"/>
      <c r="D94" s="103"/>
      <c r="E94" s="103"/>
      <c r="F94" s="103"/>
      <c r="G94" s="103"/>
      <c r="H94" s="103"/>
      <c r="I94" s="103"/>
      <c r="J94" s="5"/>
    </row>
    <row r="95" spans="1:10" ht="13.05" customHeight="1">
      <c r="A95" s="5"/>
      <c r="B95" s="103"/>
      <c r="C95" s="103"/>
      <c r="D95" s="103"/>
      <c r="E95" s="103"/>
      <c r="F95" s="103"/>
      <c r="G95" s="103"/>
      <c r="H95" s="103"/>
      <c r="I95" s="103"/>
      <c r="J95" s="5"/>
    </row>
    <row r="96" spans="1:10" ht="13.05" customHeight="1">
      <c r="A96" s="5"/>
      <c r="B96" s="103"/>
      <c r="C96" s="103"/>
      <c r="D96" s="103"/>
      <c r="E96" s="103"/>
      <c r="F96" s="103"/>
      <c r="G96" s="103"/>
      <c r="H96" s="103"/>
      <c r="I96" s="103"/>
      <c r="J96" s="5"/>
    </row>
    <row r="97" spans="1:10" ht="13.05" customHeight="1">
      <c r="A97" s="5"/>
      <c r="B97" s="103"/>
      <c r="C97" s="103"/>
      <c r="D97" s="103"/>
      <c r="E97" s="103"/>
      <c r="F97" s="103"/>
      <c r="G97" s="103"/>
      <c r="H97" s="103"/>
      <c r="I97" s="103"/>
      <c r="J97" s="5"/>
    </row>
    <row r="98" spans="1:10" ht="13.05" customHeight="1">
      <c r="A98" s="5"/>
      <c r="B98" s="103"/>
      <c r="C98" s="103"/>
      <c r="D98" s="103"/>
      <c r="E98" s="103"/>
      <c r="F98" s="103"/>
      <c r="G98" s="103"/>
      <c r="H98" s="103"/>
      <c r="I98" s="103"/>
      <c r="J98" s="5"/>
    </row>
    <row r="99" spans="1:10" ht="13.05" customHeight="1">
      <c r="A99" s="5"/>
      <c r="B99" s="5"/>
      <c r="C99" s="104" t="s">
        <v>3964</v>
      </c>
      <c r="D99" s="104"/>
      <c r="E99" s="104"/>
      <c r="F99" s="104"/>
      <c r="G99" s="5"/>
      <c r="H99" s="5"/>
      <c r="I99" s="5"/>
      <c r="J99" s="5"/>
    </row>
    <row r="100" spans="1:10" ht="13.05" customHeight="1">
      <c r="A100" s="5"/>
      <c r="B100" s="38" t="s">
        <v>207</v>
      </c>
      <c r="C100" s="104" t="s">
        <v>208</v>
      </c>
      <c r="D100" s="104"/>
      <c r="E100" s="104"/>
      <c r="F100" s="104"/>
      <c r="G100" s="5"/>
      <c r="H100" s="5"/>
      <c r="I100" s="5"/>
      <c r="J100" s="5"/>
    </row>
    <row r="101" spans="1:10" ht="135" customHeight="1">
      <c r="A101" s="5"/>
      <c r="B101" s="39"/>
      <c r="C101" s="105"/>
      <c r="D101" s="105"/>
      <c r="E101" s="5"/>
      <c r="F101" s="5"/>
      <c r="G101" s="5"/>
      <c r="H101" s="5"/>
      <c r="I101" s="5"/>
      <c r="J101" s="5"/>
    </row>
  </sheetData>
  <mergeCells count="9">
    <mergeCell ref="B98:I98"/>
    <mergeCell ref="C99:F99"/>
    <mergeCell ref="C100:F100"/>
    <mergeCell ref="C101:D101"/>
    <mergeCell ref="B93:I93"/>
    <mergeCell ref="B94:I94"/>
    <mergeCell ref="B95:I95"/>
    <mergeCell ref="B96:I96"/>
    <mergeCell ref="B97:I97"/>
  </mergeCells>
  <hyperlinks>
    <hyperlink ref="A1" location="AxisConservativeHybridFund" display="AXISISF" xr:uid="{00000000-0004-0000-2900-000000000000}"/>
    <hyperlink ref="B1" location="AxisConservativeHybridFund" display="Axis Conservative Hybrid Fund" xr:uid="{00000000-0004-0000-29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outlinePr summaryBelow="0"/>
  </sheetPr>
  <dimension ref="A1:J39"/>
  <sheetViews>
    <sheetView topLeftCell="A23"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86</v>
      </c>
      <c r="B1" s="4" t="s">
        <v>87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2876</v>
      </c>
      <c r="B7" s="19" t="s">
        <v>2877</v>
      </c>
      <c r="C7" s="15" t="s">
        <v>2878</v>
      </c>
      <c r="D7" s="15" t="s">
        <v>188</v>
      </c>
      <c r="E7" s="20">
        <v>11225300</v>
      </c>
      <c r="F7" s="21">
        <v>11258.2014</v>
      </c>
      <c r="G7" s="22">
        <v>0.42149999999999999</v>
      </c>
      <c r="H7" s="23">
        <v>7.4507000000000004E-2</v>
      </c>
      <c r="I7" s="24"/>
      <c r="J7" s="5"/>
    </row>
    <row r="8" spans="1:10" ht="13.05" customHeight="1">
      <c r="A8" s="18" t="s">
        <v>2731</v>
      </c>
      <c r="B8" s="19" t="s">
        <v>2732</v>
      </c>
      <c r="C8" s="15" t="s">
        <v>2733</v>
      </c>
      <c r="D8" s="15" t="s">
        <v>188</v>
      </c>
      <c r="E8" s="20">
        <v>6500000</v>
      </c>
      <c r="F8" s="21">
        <v>6437.3270000000002</v>
      </c>
      <c r="G8" s="22">
        <v>0.24099999999999999</v>
      </c>
      <c r="H8" s="23">
        <v>7.4589000000000003E-2</v>
      </c>
      <c r="I8" s="24"/>
      <c r="J8" s="5"/>
    </row>
    <row r="9" spans="1:10" ht="13.05" customHeight="1">
      <c r="A9" s="18" t="s">
        <v>3965</v>
      </c>
      <c r="B9" s="19" t="s">
        <v>3966</v>
      </c>
      <c r="C9" s="15" t="s">
        <v>3967</v>
      </c>
      <c r="D9" s="15" t="s">
        <v>188</v>
      </c>
      <c r="E9" s="20">
        <v>4800000</v>
      </c>
      <c r="F9" s="21">
        <v>4871.6112000000003</v>
      </c>
      <c r="G9" s="22">
        <v>0.18240000000000001</v>
      </c>
      <c r="H9" s="23">
        <v>7.3630000000000001E-2</v>
      </c>
      <c r="I9" s="24"/>
      <c r="J9" s="5"/>
    </row>
    <row r="10" spans="1:10" ht="13.05" customHeight="1">
      <c r="A10" s="18" t="s">
        <v>3968</v>
      </c>
      <c r="B10" s="19" t="s">
        <v>3969</v>
      </c>
      <c r="C10" s="15" t="s">
        <v>3970</v>
      </c>
      <c r="D10" s="15" t="s">
        <v>188</v>
      </c>
      <c r="E10" s="20">
        <v>3000000</v>
      </c>
      <c r="F10" s="21">
        <v>2945.877</v>
      </c>
      <c r="G10" s="22">
        <v>0.1103</v>
      </c>
      <c r="H10" s="23">
        <v>7.3696999999999999E-2</v>
      </c>
      <c r="I10" s="24"/>
      <c r="J10" s="5"/>
    </row>
    <row r="11" spans="1:10" ht="13.05" customHeight="1">
      <c r="A11" s="18" t="s">
        <v>2870</v>
      </c>
      <c r="B11" s="19" t="s">
        <v>2871</v>
      </c>
      <c r="C11" s="15" t="s">
        <v>2872</v>
      </c>
      <c r="D11" s="15" t="s">
        <v>188</v>
      </c>
      <c r="E11" s="20">
        <v>285800</v>
      </c>
      <c r="F11" s="21">
        <v>288.65570000000002</v>
      </c>
      <c r="G11" s="22">
        <v>1.0800000000000001E-2</v>
      </c>
      <c r="H11" s="23">
        <v>7.3451000000000002E-2</v>
      </c>
      <c r="I11" s="24"/>
      <c r="J11" s="5"/>
    </row>
    <row r="12" spans="1:10" ht="13.05" customHeight="1">
      <c r="A12" s="5"/>
      <c r="B12" s="14" t="s">
        <v>192</v>
      </c>
      <c r="C12" s="15"/>
      <c r="D12" s="15"/>
      <c r="E12" s="15"/>
      <c r="F12" s="25">
        <v>25801.672299999998</v>
      </c>
      <c r="G12" s="26">
        <v>0.96599999999999997</v>
      </c>
      <c r="H12" s="27"/>
      <c r="I12" s="28"/>
      <c r="J12" s="5"/>
    </row>
    <row r="13" spans="1:10" ht="13.05" customHeight="1">
      <c r="A13" s="5"/>
      <c r="B13" s="29" t="s">
        <v>193</v>
      </c>
      <c r="C13" s="2"/>
      <c r="D13" s="2"/>
      <c r="E13" s="2"/>
      <c r="F13" s="27" t="s">
        <v>194</v>
      </c>
      <c r="G13" s="27" t="s">
        <v>194</v>
      </c>
      <c r="H13" s="27"/>
      <c r="I13" s="28"/>
      <c r="J13" s="5"/>
    </row>
    <row r="14" spans="1:10" ht="13.05" customHeight="1">
      <c r="A14" s="5"/>
      <c r="B14" s="29" t="s">
        <v>192</v>
      </c>
      <c r="C14" s="2"/>
      <c r="D14" s="2"/>
      <c r="E14" s="2"/>
      <c r="F14" s="27" t="s">
        <v>194</v>
      </c>
      <c r="G14" s="27" t="s">
        <v>194</v>
      </c>
      <c r="H14" s="27"/>
      <c r="I14" s="28"/>
      <c r="J14" s="5"/>
    </row>
    <row r="15" spans="1:10" ht="13.05" customHeight="1">
      <c r="A15" s="5"/>
      <c r="B15" s="29" t="s">
        <v>195</v>
      </c>
      <c r="C15" s="30"/>
      <c r="D15" s="2"/>
      <c r="E15" s="30"/>
      <c r="F15" s="25">
        <v>25801.672299999998</v>
      </c>
      <c r="G15" s="26">
        <v>0.96599999999999997</v>
      </c>
      <c r="H15" s="27"/>
      <c r="I15" s="28"/>
      <c r="J15" s="5"/>
    </row>
    <row r="16" spans="1:10" ht="13.05" customHeight="1">
      <c r="A16" s="5"/>
      <c r="B16" s="14" t="s">
        <v>1818</v>
      </c>
      <c r="C16" s="15"/>
      <c r="D16" s="15"/>
      <c r="E16" s="15"/>
      <c r="F16" s="15"/>
      <c r="G16" s="15"/>
      <c r="H16" s="16"/>
      <c r="I16" s="17"/>
      <c r="J16" s="5"/>
    </row>
    <row r="17" spans="1:10" ht="13.05" customHeight="1">
      <c r="A17" s="5"/>
      <c r="B17" s="14" t="s">
        <v>2332</v>
      </c>
      <c r="C17" s="15"/>
      <c r="D17" s="15"/>
      <c r="E17" s="15"/>
      <c r="F17" s="5"/>
      <c r="G17" s="16"/>
      <c r="H17" s="16"/>
      <c r="I17" s="17"/>
      <c r="J17" s="5"/>
    </row>
    <row r="18" spans="1:10" ht="13.05" customHeight="1">
      <c r="A18" s="18" t="s">
        <v>2333</v>
      </c>
      <c r="B18" s="19" t="s">
        <v>2334</v>
      </c>
      <c r="C18" s="15" t="s">
        <v>2335</v>
      </c>
      <c r="D18" s="15"/>
      <c r="E18" s="20">
        <v>1344.4079999999999</v>
      </c>
      <c r="F18" s="21">
        <v>153.81180000000001</v>
      </c>
      <c r="G18" s="22">
        <v>5.7999999999999996E-3</v>
      </c>
      <c r="H18" s="23"/>
      <c r="I18" s="24"/>
      <c r="J18" s="5"/>
    </row>
    <row r="19" spans="1:10" ht="13.05" customHeight="1">
      <c r="A19" s="5"/>
      <c r="B19" s="14" t="s">
        <v>192</v>
      </c>
      <c r="C19" s="15"/>
      <c r="D19" s="15"/>
      <c r="E19" s="15"/>
      <c r="F19" s="25">
        <v>153.81180000000001</v>
      </c>
      <c r="G19" s="26">
        <v>5.7999999999999996E-3</v>
      </c>
      <c r="H19" s="27"/>
      <c r="I19" s="28"/>
      <c r="J19" s="5"/>
    </row>
    <row r="20" spans="1:10" ht="13.05" customHeight="1">
      <c r="A20" s="5"/>
      <c r="B20" s="29" t="s">
        <v>195</v>
      </c>
      <c r="C20" s="30"/>
      <c r="D20" s="2"/>
      <c r="E20" s="30"/>
      <c r="F20" s="25">
        <v>153.81180000000001</v>
      </c>
      <c r="G20" s="26">
        <v>5.7999999999999996E-3</v>
      </c>
      <c r="H20" s="27"/>
      <c r="I20" s="28"/>
      <c r="J20" s="5"/>
    </row>
    <row r="21" spans="1:10" ht="13.05" customHeight="1">
      <c r="A21" s="5"/>
      <c r="B21" s="14" t="s">
        <v>196</v>
      </c>
      <c r="C21" s="15"/>
      <c r="D21" s="15"/>
      <c r="E21" s="15"/>
      <c r="F21" s="15"/>
      <c r="G21" s="15"/>
      <c r="H21" s="16"/>
      <c r="I21" s="17"/>
      <c r="J21" s="5"/>
    </row>
    <row r="22" spans="1:10" ht="13.05" customHeight="1">
      <c r="A22" s="18" t="s">
        <v>197</v>
      </c>
      <c r="B22" s="19" t="s">
        <v>198</v>
      </c>
      <c r="C22" s="15"/>
      <c r="D22" s="15"/>
      <c r="E22" s="20"/>
      <c r="F22" s="21">
        <v>349.35359999999997</v>
      </c>
      <c r="G22" s="22">
        <v>1.3100000000000001E-2</v>
      </c>
      <c r="H22" s="23">
        <v>5.5573613358271927E-2</v>
      </c>
      <c r="I22" s="24"/>
      <c r="J22" s="5"/>
    </row>
    <row r="23" spans="1:10" ht="13.05" customHeight="1">
      <c r="A23" s="5"/>
      <c r="B23" s="14" t="s">
        <v>192</v>
      </c>
      <c r="C23" s="15"/>
      <c r="D23" s="15"/>
      <c r="E23" s="15"/>
      <c r="F23" s="25">
        <v>349.35359999999997</v>
      </c>
      <c r="G23" s="26">
        <v>1.3100000000000001E-2</v>
      </c>
      <c r="H23" s="27"/>
      <c r="I23" s="28"/>
      <c r="J23" s="5"/>
    </row>
    <row r="24" spans="1:10" ht="13.05" customHeight="1">
      <c r="A24" s="5"/>
      <c r="B24" s="29" t="s">
        <v>193</v>
      </c>
      <c r="C24" s="2"/>
      <c r="D24" s="2"/>
      <c r="E24" s="2"/>
      <c r="F24" s="27" t="s">
        <v>194</v>
      </c>
      <c r="G24" s="27" t="s">
        <v>194</v>
      </c>
      <c r="H24" s="27"/>
      <c r="I24" s="28"/>
      <c r="J24" s="5"/>
    </row>
    <row r="25" spans="1:10" ht="13.05" customHeight="1">
      <c r="A25" s="5"/>
      <c r="B25" s="29" t="s">
        <v>192</v>
      </c>
      <c r="C25" s="2"/>
      <c r="D25" s="2"/>
      <c r="E25" s="2"/>
      <c r="F25" s="27" t="s">
        <v>194</v>
      </c>
      <c r="G25" s="27" t="s">
        <v>194</v>
      </c>
      <c r="H25" s="27"/>
      <c r="I25" s="28"/>
      <c r="J25" s="5"/>
    </row>
    <row r="26" spans="1:10" ht="13.05" customHeight="1">
      <c r="A26" s="5"/>
      <c r="B26" s="29" t="s">
        <v>195</v>
      </c>
      <c r="C26" s="30"/>
      <c r="D26" s="2"/>
      <c r="E26" s="30"/>
      <c r="F26" s="25">
        <v>349.35359999999997</v>
      </c>
      <c r="G26" s="26">
        <v>1.3100000000000001E-2</v>
      </c>
      <c r="H26" s="27"/>
      <c r="I26" s="28"/>
      <c r="J26" s="5"/>
    </row>
    <row r="27" spans="1:10" ht="13.05" customHeight="1">
      <c r="A27" s="5"/>
      <c r="B27" s="29" t="s">
        <v>199</v>
      </c>
      <c r="C27" s="15"/>
      <c r="D27" s="2"/>
      <c r="E27" s="15"/>
      <c r="F27" s="31">
        <v>406.01229999999998</v>
      </c>
      <c r="G27" s="26">
        <v>1.5100000000000001E-2</v>
      </c>
      <c r="H27" s="27"/>
      <c r="I27" s="28"/>
      <c r="J27" s="5"/>
    </row>
    <row r="28" spans="1:10" ht="13.05" customHeight="1">
      <c r="A28" s="5"/>
      <c r="B28" s="32" t="s">
        <v>200</v>
      </c>
      <c r="C28" s="33"/>
      <c r="D28" s="33"/>
      <c r="E28" s="33"/>
      <c r="F28" s="34">
        <v>26710.85</v>
      </c>
      <c r="G28" s="35">
        <v>1</v>
      </c>
      <c r="H28" s="36"/>
      <c r="I28" s="37"/>
      <c r="J28" s="5"/>
    </row>
    <row r="29" spans="1:10" ht="13.05" customHeight="1">
      <c r="A29" s="5"/>
      <c r="B29" s="7"/>
      <c r="C29" s="5"/>
      <c r="D29" s="5"/>
      <c r="E29" s="5"/>
      <c r="F29" s="5"/>
      <c r="G29" s="5"/>
      <c r="H29" s="5"/>
      <c r="I29" s="5"/>
      <c r="J29" s="5"/>
    </row>
    <row r="30" spans="1:10" ht="13.05" customHeight="1">
      <c r="A30" s="5"/>
      <c r="B30" s="4" t="s">
        <v>201</v>
      </c>
      <c r="C30" s="5"/>
      <c r="D30" s="5"/>
      <c r="E30" s="5"/>
      <c r="F30" s="5"/>
      <c r="G30" s="5"/>
      <c r="H30" s="5"/>
      <c r="I30" s="5"/>
      <c r="J30" s="5"/>
    </row>
    <row r="31" spans="1:10" ht="25.95" customHeight="1">
      <c r="A31" s="5"/>
      <c r="B31" s="103" t="s">
        <v>202</v>
      </c>
      <c r="C31" s="103"/>
      <c r="D31" s="103"/>
      <c r="E31" s="103"/>
      <c r="F31" s="103"/>
      <c r="G31" s="103"/>
      <c r="H31" s="103"/>
      <c r="I31" s="103"/>
      <c r="J31" s="5"/>
    </row>
    <row r="32" spans="1:10" ht="13.05" customHeight="1">
      <c r="A32" s="5"/>
      <c r="B32" s="103" t="s">
        <v>203</v>
      </c>
      <c r="C32" s="103"/>
      <c r="D32" s="103"/>
      <c r="E32" s="103"/>
      <c r="F32" s="103"/>
      <c r="G32" s="103"/>
      <c r="H32" s="103"/>
      <c r="I32" s="103"/>
      <c r="J32" s="5"/>
    </row>
    <row r="33" spans="1:10" ht="13.05" customHeight="1">
      <c r="A33" s="5"/>
      <c r="B33" s="103"/>
      <c r="C33" s="103"/>
      <c r="D33" s="103"/>
      <c r="E33" s="103"/>
      <c r="F33" s="103"/>
      <c r="G33" s="103"/>
      <c r="H33" s="103"/>
      <c r="I33" s="103"/>
      <c r="J33" s="5"/>
    </row>
    <row r="34" spans="1:10" ht="13.05" customHeight="1">
      <c r="A34" s="5"/>
      <c r="B34" s="103"/>
      <c r="C34" s="103"/>
      <c r="D34" s="103"/>
      <c r="E34" s="103"/>
      <c r="F34" s="103"/>
      <c r="G34" s="103"/>
      <c r="H34" s="103"/>
      <c r="I34" s="103"/>
      <c r="J34" s="5"/>
    </row>
    <row r="35" spans="1:10" ht="13.05" customHeight="1">
      <c r="A35" s="5"/>
      <c r="B35" s="103"/>
      <c r="C35" s="103"/>
      <c r="D35" s="103"/>
      <c r="E35" s="103"/>
      <c r="F35" s="103"/>
      <c r="G35" s="103"/>
      <c r="H35" s="103"/>
      <c r="I35" s="103"/>
      <c r="J35" s="5"/>
    </row>
    <row r="36" spans="1:10" ht="13.05" customHeight="1">
      <c r="A36" s="5"/>
      <c r="B36" s="103"/>
      <c r="C36" s="103"/>
      <c r="D36" s="103"/>
      <c r="E36" s="103"/>
      <c r="F36" s="103"/>
      <c r="G36" s="103"/>
      <c r="H36" s="103"/>
      <c r="I36" s="103"/>
      <c r="J36" s="5"/>
    </row>
    <row r="37" spans="1:10" ht="13.05" customHeight="1">
      <c r="A37" s="5"/>
      <c r="B37" s="5"/>
      <c r="C37" s="104" t="s">
        <v>3971</v>
      </c>
      <c r="D37" s="104"/>
      <c r="E37" s="104"/>
      <c r="F37" s="104"/>
      <c r="G37" s="5"/>
      <c r="H37" s="5"/>
      <c r="I37" s="5"/>
      <c r="J37" s="5"/>
    </row>
    <row r="38" spans="1:10" ht="13.05" customHeight="1">
      <c r="A38" s="5"/>
      <c r="B38" s="38" t="s">
        <v>207</v>
      </c>
      <c r="C38" s="104" t="s">
        <v>208</v>
      </c>
      <c r="D38" s="104"/>
      <c r="E38" s="104"/>
      <c r="F38" s="104"/>
      <c r="G38" s="5"/>
      <c r="H38" s="5"/>
      <c r="I38" s="5"/>
      <c r="J38" s="5"/>
    </row>
    <row r="39" spans="1:10" ht="135" customHeight="1">
      <c r="A39" s="5"/>
      <c r="B39" s="39"/>
      <c r="C39" s="105"/>
      <c r="D39" s="105"/>
      <c r="E39" s="5"/>
      <c r="F39" s="5"/>
      <c r="G39" s="5"/>
      <c r="H39" s="5"/>
      <c r="I39" s="5"/>
      <c r="J39" s="5"/>
    </row>
  </sheetData>
  <mergeCells count="9">
    <mergeCell ref="B36:I36"/>
    <mergeCell ref="C37:F37"/>
    <mergeCell ref="C38:F38"/>
    <mergeCell ref="C39:D39"/>
    <mergeCell ref="B31:I31"/>
    <mergeCell ref="B32:I32"/>
    <mergeCell ref="B33:I33"/>
    <mergeCell ref="B34:I34"/>
    <mergeCell ref="B35:I35"/>
  </mergeCells>
  <hyperlinks>
    <hyperlink ref="A1" location="AxisLongDurationFund" display="AXISLDF" xr:uid="{00000000-0004-0000-2A00-000000000000}"/>
    <hyperlink ref="B1" location="AxisLongDurationFund" display="Axis Long Duration Fund" xr:uid="{00000000-0004-0000-2A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outlinePr summaryBelow="0"/>
  </sheetPr>
  <dimension ref="A1:J153"/>
  <sheetViews>
    <sheetView topLeftCell="A133"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88</v>
      </c>
      <c r="B1" s="4" t="s">
        <v>89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3972</v>
      </c>
      <c r="B7" s="19" t="s">
        <v>3973</v>
      </c>
      <c r="C7" s="15" t="s">
        <v>3974</v>
      </c>
      <c r="D7" s="15" t="s">
        <v>213</v>
      </c>
      <c r="E7" s="20">
        <v>20000</v>
      </c>
      <c r="F7" s="21">
        <v>20001.34</v>
      </c>
      <c r="G7" s="22">
        <v>5.7000000000000002E-3</v>
      </c>
      <c r="H7" s="23">
        <v>6.0597999999999999E-2</v>
      </c>
      <c r="I7" s="24"/>
      <c r="J7" s="5"/>
    </row>
    <row r="8" spans="1:10" ht="13.05" customHeight="1">
      <c r="A8" s="18" t="s">
        <v>2273</v>
      </c>
      <c r="B8" s="19" t="s">
        <v>2274</v>
      </c>
      <c r="C8" s="15" t="s">
        <v>2275</v>
      </c>
      <c r="D8" s="15" t="s">
        <v>213</v>
      </c>
      <c r="E8" s="20">
        <v>1250</v>
      </c>
      <c r="F8" s="21">
        <v>12490.8</v>
      </c>
      <c r="G8" s="22">
        <v>3.5000000000000001E-3</v>
      </c>
      <c r="H8" s="23">
        <v>6.5500000000000003E-2</v>
      </c>
      <c r="I8" s="24"/>
      <c r="J8" s="5"/>
    </row>
    <row r="9" spans="1:10" ht="13.05" customHeight="1">
      <c r="A9" s="18" t="s">
        <v>2734</v>
      </c>
      <c r="B9" s="19" t="s">
        <v>2735</v>
      </c>
      <c r="C9" s="15" t="s">
        <v>2736</v>
      </c>
      <c r="D9" s="15" t="s">
        <v>1923</v>
      </c>
      <c r="E9" s="20">
        <v>500</v>
      </c>
      <c r="F9" s="21">
        <v>5003.7250000000004</v>
      </c>
      <c r="G9" s="22">
        <v>1.4E-3</v>
      </c>
      <c r="H9" s="23">
        <v>6.2600000000000003E-2</v>
      </c>
      <c r="I9" s="24"/>
      <c r="J9" s="5"/>
    </row>
    <row r="10" spans="1:10" ht="13.05" customHeight="1">
      <c r="A10" s="18" t="s">
        <v>2210</v>
      </c>
      <c r="B10" s="19" t="s">
        <v>2211</v>
      </c>
      <c r="C10" s="15" t="s">
        <v>2212</v>
      </c>
      <c r="D10" s="15" t="s">
        <v>213</v>
      </c>
      <c r="E10" s="20">
        <v>250</v>
      </c>
      <c r="F10" s="21">
        <v>2503.9699999999998</v>
      </c>
      <c r="G10" s="22">
        <v>6.9999999999999999E-4</v>
      </c>
      <c r="H10" s="23">
        <v>6.1098E-2</v>
      </c>
      <c r="I10" s="24"/>
      <c r="J10" s="5"/>
    </row>
    <row r="11" spans="1:10" ht="13.05" customHeight="1">
      <c r="A11" s="18" t="s">
        <v>3975</v>
      </c>
      <c r="B11" s="19" t="s">
        <v>3976</v>
      </c>
      <c r="C11" s="15" t="s">
        <v>3977</v>
      </c>
      <c r="D11" s="15" t="s">
        <v>213</v>
      </c>
      <c r="E11" s="20">
        <v>250</v>
      </c>
      <c r="F11" s="21">
        <v>2502.2350000000001</v>
      </c>
      <c r="G11" s="22">
        <v>6.9999999999999999E-4</v>
      </c>
      <c r="H11" s="23">
        <v>6.1605E-2</v>
      </c>
      <c r="I11" s="24"/>
      <c r="J11" s="5"/>
    </row>
    <row r="12" spans="1:10" ht="13.05" customHeight="1">
      <c r="A12" s="18" t="s">
        <v>3978</v>
      </c>
      <c r="B12" s="19" t="s">
        <v>3979</v>
      </c>
      <c r="C12" s="15" t="s">
        <v>3980</v>
      </c>
      <c r="D12" s="15" t="s">
        <v>188</v>
      </c>
      <c r="E12" s="20">
        <v>1000000</v>
      </c>
      <c r="F12" s="21">
        <v>1000.794</v>
      </c>
      <c r="G12" s="22">
        <v>2.9999999999999997E-4</v>
      </c>
      <c r="H12" s="23">
        <v>5.6300000000000003E-2</v>
      </c>
      <c r="I12" s="24"/>
      <c r="J12" s="5"/>
    </row>
    <row r="13" spans="1:10" ht="13.05" customHeight="1">
      <c r="A13" s="5"/>
      <c r="B13" s="14" t="s">
        <v>192</v>
      </c>
      <c r="C13" s="15"/>
      <c r="D13" s="15"/>
      <c r="E13" s="15"/>
      <c r="F13" s="25">
        <v>43502.864000000001</v>
      </c>
      <c r="G13" s="26">
        <v>1.23E-2</v>
      </c>
      <c r="H13" s="27"/>
      <c r="I13" s="28"/>
      <c r="J13" s="5"/>
    </row>
    <row r="14" spans="1:10" ht="13.05" customHeight="1">
      <c r="A14" s="5"/>
      <c r="B14" s="29" t="s">
        <v>193</v>
      </c>
      <c r="C14" s="2"/>
      <c r="D14" s="2"/>
      <c r="E14" s="2"/>
      <c r="F14" s="27" t="s">
        <v>194</v>
      </c>
      <c r="G14" s="27" t="s">
        <v>194</v>
      </c>
      <c r="H14" s="27"/>
      <c r="I14" s="28"/>
      <c r="J14" s="5"/>
    </row>
    <row r="15" spans="1:10" ht="13.05" customHeight="1">
      <c r="A15" s="5"/>
      <c r="B15" s="29" t="s">
        <v>192</v>
      </c>
      <c r="C15" s="2"/>
      <c r="D15" s="2"/>
      <c r="E15" s="2"/>
      <c r="F15" s="27" t="s">
        <v>194</v>
      </c>
      <c r="G15" s="27" t="s">
        <v>194</v>
      </c>
      <c r="H15" s="27"/>
      <c r="I15" s="28"/>
      <c r="J15" s="5"/>
    </row>
    <row r="16" spans="1:10" ht="13.05" customHeight="1">
      <c r="A16" s="5"/>
      <c r="B16" s="29" t="s">
        <v>195</v>
      </c>
      <c r="C16" s="30"/>
      <c r="D16" s="2"/>
      <c r="E16" s="30"/>
      <c r="F16" s="25">
        <v>43502.864000000001</v>
      </c>
      <c r="G16" s="26">
        <v>1.23E-2</v>
      </c>
      <c r="H16" s="27"/>
      <c r="I16" s="28"/>
      <c r="J16" s="5"/>
    </row>
    <row r="17" spans="1:10" ht="13.05" customHeight="1">
      <c r="A17" s="5"/>
      <c r="B17" s="14" t="s">
        <v>1866</v>
      </c>
      <c r="C17" s="15"/>
      <c r="D17" s="15"/>
      <c r="E17" s="15"/>
      <c r="F17" s="15"/>
      <c r="G17" s="15"/>
      <c r="H17" s="16"/>
      <c r="I17" s="17"/>
      <c r="J17" s="5"/>
    </row>
    <row r="18" spans="1:10" ht="13.05" customHeight="1">
      <c r="A18" s="5"/>
      <c r="B18" s="14" t="s">
        <v>2308</v>
      </c>
      <c r="C18" s="15"/>
      <c r="D18" s="15"/>
      <c r="E18" s="15"/>
      <c r="F18" s="5"/>
      <c r="G18" s="16"/>
      <c r="H18" s="16"/>
      <c r="I18" s="17"/>
      <c r="J18" s="5"/>
    </row>
    <row r="19" spans="1:10" ht="13.05" customHeight="1">
      <c r="A19" s="18" t="s">
        <v>2328</v>
      </c>
      <c r="B19" s="19" t="s">
        <v>2329</v>
      </c>
      <c r="C19" s="15" t="s">
        <v>2330</v>
      </c>
      <c r="D19" s="15" t="s">
        <v>2331</v>
      </c>
      <c r="E19" s="20">
        <v>20000</v>
      </c>
      <c r="F19" s="21">
        <v>99243.199999999997</v>
      </c>
      <c r="G19" s="22">
        <v>2.81E-2</v>
      </c>
      <c r="H19" s="23">
        <v>5.9221000000000003E-2</v>
      </c>
      <c r="I19" s="24"/>
      <c r="J19" s="5"/>
    </row>
    <row r="20" spans="1:10" ht="13.05" customHeight="1">
      <c r="A20" s="18" t="s">
        <v>3479</v>
      </c>
      <c r="B20" s="19" t="s">
        <v>3480</v>
      </c>
      <c r="C20" s="15" t="s">
        <v>3481</v>
      </c>
      <c r="D20" s="15" t="s">
        <v>2331</v>
      </c>
      <c r="E20" s="20">
        <v>20000</v>
      </c>
      <c r="F20" s="21">
        <v>99239.7</v>
      </c>
      <c r="G20" s="22">
        <v>2.81E-2</v>
      </c>
      <c r="H20" s="23">
        <v>5.9499000000000003E-2</v>
      </c>
      <c r="I20" s="24"/>
      <c r="J20" s="5"/>
    </row>
    <row r="21" spans="1:10" ht="13.05" customHeight="1">
      <c r="A21" s="18" t="s">
        <v>3981</v>
      </c>
      <c r="B21" s="19" t="s">
        <v>3982</v>
      </c>
      <c r="C21" s="15" t="s">
        <v>3983</v>
      </c>
      <c r="D21" s="15" t="s">
        <v>2331</v>
      </c>
      <c r="E21" s="20">
        <v>19000</v>
      </c>
      <c r="F21" s="21">
        <v>94524.524999999994</v>
      </c>
      <c r="G21" s="22">
        <v>2.6700000000000002E-2</v>
      </c>
      <c r="H21" s="23">
        <v>5.9226000000000001E-2</v>
      </c>
      <c r="I21" s="24"/>
      <c r="J21" s="5"/>
    </row>
    <row r="22" spans="1:10" ht="13.05" customHeight="1">
      <c r="A22" s="18" t="s">
        <v>3984</v>
      </c>
      <c r="B22" s="19" t="s">
        <v>3985</v>
      </c>
      <c r="C22" s="15" t="s">
        <v>3986</v>
      </c>
      <c r="D22" s="15" t="s">
        <v>2312</v>
      </c>
      <c r="E22" s="20">
        <v>16500</v>
      </c>
      <c r="F22" s="21">
        <v>81881.085000000006</v>
      </c>
      <c r="G22" s="22">
        <v>2.3199999999999998E-2</v>
      </c>
      <c r="H22" s="23">
        <v>5.8698E-2</v>
      </c>
      <c r="I22" s="24"/>
      <c r="J22" s="5"/>
    </row>
    <row r="23" spans="1:10" ht="13.05" customHeight="1">
      <c r="A23" s="18" t="s">
        <v>3987</v>
      </c>
      <c r="B23" s="19" t="s">
        <v>3988</v>
      </c>
      <c r="C23" s="15" t="s">
        <v>3989</v>
      </c>
      <c r="D23" s="15" t="s">
        <v>2331</v>
      </c>
      <c r="E23" s="20">
        <v>15000</v>
      </c>
      <c r="F23" s="21">
        <v>74453.850000000006</v>
      </c>
      <c r="G23" s="22">
        <v>2.1100000000000001E-2</v>
      </c>
      <c r="H23" s="23">
        <v>5.9498000000000002E-2</v>
      </c>
      <c r="I23" s="24"/>
      <c r="J23" s="5"/>
    </row>
    <row r="24" spans="1:10" ht="13.05" customHeight="1">
      <c r="A24" s="18" t="s">
        <v>3990</v>
      </c>
      <c r="B24" s="19" t="s">
        <v>3991</v>
      </c>
      <c r="C24" s="15" t="s">
        <v>3992</v>
      </c>
      <c r="D24" s="15" t="s">
        <v>2312</v>
      </c>
      <c r="E24" s="20">
        <v>12000</v>
      </c>
      <c r="F24" s="21">
        <v>59540.58</v>
      </c>
      <c r="G24" s="22">
        <v>1.6799999999999999E-2</v>
      </c>
      <c r="H24" s="23">
        <v>5.9922999999999997E-2</v>
      </c>
      <c r="I24" s="24"/>
      <c r="J24" s="5"/>
    </row>
    <row r="25" spans="1:10" ht="13.05" customHeight="1">
      <c r="A25" s="18" t="s">
        <v>3993</v>
      </c>
      <c r="B25" s="19" t="s">
        <v>3994</v>
      </c>
      <c r="C25" s="15" t="s">
        <v>3995</v>
      </c>
      <c r="D25" s="15" t="s">
        <v>2331</v>
      </c>
      <c r="E25" s="20">
        <v>11500</v>
      </c>
      <c r="F25" s="21">
        <v>56890.154999999999</v>
      </c>
      <c r="G25" s="22">
        <v>1.61E-2</v>
      </c>
      <c r="H25" s="23">
        <v>6.0198000000000002E-2</v>
      </c>
      <c r="I25" s="24"/>
      <c r="J25" s="5"/>
    </row>
    <row r="26" spans="1:10" ht="13.05" customHeight="1">
      <c r="A26" s="18" t="s">
        <v>3996</v>
      </c>
      <c r="B26" s="19" t="s">
        <v>3997</v>
      </c>
      <c r="C26" s="15" t="s">
        <v>3998</v>
      </c>
      <c r="D26" s="15" t="s">
        <v>2312</v>
      </c>
      <c r="E26" s="20">
        <v>11000</v>
      </c>
      <c r="F26" s="21">
        <v>54592.01</v>
      </c>
      <c r="G26" s="22">
        <v>1.54E-2</v>
      </c>
      <c r="H26" s="23">
        <v>5.9299999999999999E-2</v>
      </c>
      <c r="I26" s="24"/>
      <c r="J26" s="5"/>
    </row>
    <row r="27" spans="1:10" ht="13.05" customHeight="1">
      <c r="A27" s="18" t="s">
        <v>3999</v>
      </c>
      <c r="B27" s="19" t="s">
        <v>4000</v>
      </c>
      <c r="C27" s="15" t="s">
        <v>4001</v>
      </c>
      <c r="D27" s="15" t="s">
        <v>2312</v>
      </c>
      <c r="E27" s="20">
        <v>10000</v>
      </c>
      <c r="F27" s="21">
        <v>49856.15</v>
      </c>
      <c r="G27" s="22">
        <v>1.41E-2</v>
      </c>
      <c r="H27" s="23">
        <v>5.8500000000000003E-2</v>
      </c>
      <c r="I27" s="24"/>
      <c r="J27" s="5"/>
    </row>
    <row r="28" spans="1:10" ht="13.05" customHeight="1">
      <c r="A28" s="18" t="s">
        <v>4002</v>
      </c>
      <c r="B28" s="19" t="s">
        <v>4003</v>
      </c>
      <c r="C28" s="15" t="s">
        <v>4004</v>
      </c>
      <c r="D28" s="15" t="s">
        <v>2774</v>
      </c>
      <c r="E28" s="20">
        <v>10000</v>
      </c>
      <c r="F28" s="21">
        <v>49743.35</v>
      </c>
      <c r="G28" s="22">
        <v>1.41E-2</v>
      </c>
      <c r="H28" s="23">
        <v>6.0755000000000003E-2</v>
      </c>
      <c r="I28" s="24"/>
      <c r="J28" s="5"/>
    </row>
    <row r="29" spans="1:10" ht="13.05" customHeight="1">
      <c r="A29" s="18" t="s">
        <v>4005</v>
      </c>
      <c r="B29" s="19" t="s">
        <v>4006</v>
      </c>
      <c r="C29" s="15" t="s">
        <v>4007</v>
      </c>
      <c r="D29" s="15" t="s">
        <v>2312</v>
      </c>
      <c r="E29" s="20">
        <v>10000</v>
      </c>
      <c r="F29" s="21">
        <v>49624.75</v>
      </c>
      <c r="G29" s="22">
        <v>1.4E-2</v>
      </c>
      <c r="H29" s="23">
        <v>6.0000999999999999E-2</v>
      </c>
      <c r="I29" s="24"/>
      <c r="J29" s="5"/>
    </row>
    <row r="30" spans="1:10" ht="13.05" customHeight="1">
      <c r="A30" s="18" t="s">
        <v>4008</v>
      </c>
      <c r="B30" s="19" t="s">
        <v>4009</v>
      </c>
      <c r="C30" s="15" t="s">
        <v>4010</v>
      </c>
      <c r="D30" s="15" t="s">
        <v>3478</v>
      </c>
      <c r="E30" s="20">
        <v>9500</v>
      </c>
      <c r="F30" s="21">
        <v>47238.18</v>
      </c>
      <c r="G30" s="22">
        <v>1.34E-2</v>
      </c>
      <c r="H30" s="23">
        <v>5.9500999999999998E-2</v>
      </c>
      <c r="I30" s="24"/>
      <c r="J30" s="5"/>
    </row>
    <row r="31" spans="1:10" ht="13.05" customHeight="1">
      <c r="A31" s="18" t="s">
        <v>4011</v>
      </c>
      <c r="B31" s="19" t="s">
        <v>4012</v>
      </c>
      <c r="C31" s="15" t="s">
        <v>4013</v>
      </c>
      <c r="D31" s="15" t="s">
        <v>2312</v>
      </c>
      <c r="E31" s="20">
        <v>9000</v>
      </c>
      <c r="F31" s="21">
        <v>44749.71</v>
      </c>
      <c r="G31" s="22">
        <v>1.2699999999999999E-2</v>
      </c>
      <c r="H31" s="23">
        <v>6.0048999999999998E-2</v>
      </c>
      <c r="I31" s="24"/>
      <c r="J31" s="5"/>
    </row>
    <row r="32" spans="1:10" ht="13.05" customHeight="1">
      <c r="A32" s="18" t="s">
        <v>4014</v>
      </c>
      <c r="B32" s="19" t="s">
        <v>4015</v>
      </c>
      <c r="C32" s="15" t="s">
        <v>4016</v>
      </c>
      <c r="D32" s="15" t="s">
        <v>2774</v>
      </c>
      <c r="E32" s="20">
        <v>8500</v>
      </c>
      <c r="F32" s="21">
        <v>42235.565000000002</v>
      </c>
      <c r="G32" s="22">
        <v>1.1900000000000001E-2</v>
      </c>
      <c r="H32" s="23">
        <v>5.8601E-2</v>
      </c>
      <c r="I32" s="24"/>
      <c r="J32" s="5"/>
    </row>
    <row r="33" spans="1:10" ht="13.05" customHeight="1">
      <c r="A33" s="18" t="s">
        <v>4017</v>
      </c>
      <c r="B33" s="19" t="s">
        <v>4018</v>
      </c>
      <c r="C33" s="15" t="s">
        <v>4019</v>
      </c>
      <c r="D33" s="15" t="s">
        <v>2312</v>
      </c>
      <c r="E33" s="20">
        <v>8000</v>
      </c>
      <c r="F33" s="21">
        <v>39785.599999999999</v>
      </c>
      <c r="G33" s="22">
        <v>1.1299999999999999E-2</v>
      </c>
      <c r="H33" s="23">
        <v>5.9598999999999999E-2</v>
      </c>
      <c r="I33" s="24"/>
      <c r="J33" s="5"/>
    </row>
    <row r="34" spans="1:10" ht="13.05" customHeight="1">
      <c r="A34" s="18" t="s">
        <v>4020</v>
      </c>
      <c r="B34" s="19" t="s">
        <v>4021</v>
      </c>
      <c r="C34" s="15" t="s">
        <v>4022</v>
      </c>
      <c r="D34" s="15" t="s">
        <v>2331</v>
      </c>
      <c r="E34" s="20">
        <v>8000</v>
      </c>
      <c r="F34" s="21">
        <v>39595.120000000003</v>
      </c>
      <c r="G34" s="22">
        <v>1.12E-2</v>
      </c>
      <c r="H34" s="23">
        <v>6.0201999999999999E-2</v>
      </c>
      <c r="I34" s="24"/>
      <c r="J34" s="5"/>
    </row>
    <row r="35" spans="1:10" ht="13.05" customHeight="1">
      <c r="A35" s="18" t="s">
        <v>4023</v>
      </c>
      <c r="B35" s="19" t="s">
        <v>4024</v>
      </c>
      <c r="C35" s="15" t="s">
        <v>4025</v>
      </c>
      <c r="D35" s="15" t="s">
        <v>2312</v>
      </c>
      <c r="E35" s="20">
        <v>7000</v>
      </c>
      <c r="F35" s="21">
        <v>34773.269999999997</v>
      </c>
      <c r="G35" s="22">
        <v>9.7999999999999997E-3</v>
      </c>
      <c r="H35" s="23">
        <v>5.9498000000000002E-2</v>
      </c>
      <c r="I35" s="24"/>
      <c r="J35" s="5"/>
    </row>
    <row r="36" spans="1:10" ht="13.05" customHeight="1">
      <c r="A36" s="18" t="s">
        <v>4026</v>
      </c>
      <c r="B36" s="19" t="s">
        <v>4027</v>
      </c>
      <c r="C36" s="15" t="s">
        <v>4028</v>
      </c>
      <c r="D36" s="15" t="s">
        <v>2774</v>
      </c>
      <c r="E36" s="20">
        <v>6000</v>
      </c>
      <c r="F36" s="21">
        <v>29775.33</v>
      </c>
      <c r="G36" s="22">
        <v>8.3999999999999995E-3</v>
      </c>
      <c r="H36" s="23">
        <v>5.8601E-2</v>
      </c>
      <c r="I36" s="24"/>
      <c r="J36" s="5"/>
    </row>
    <row r="37" spans="1:10" ht="13.05" customHeight="1">
      <c r="A37" s="18" t="s">
        <v>4029</v>
      </c>
      <c r="B37" s="19" t="s">
        <v>4030</v>
      </c>
      <c r="C37" s="15" t="s">
        <v>4031</v>
      </c>
      <c r="D37" s="15" t="s">
        <v>2774</v>
      </c>
      <c r="E37" s="20">
        <v>5500</v>
      </c>
      <c r="F37" s="21">
        <v>27350.702499999999</v>
      </c>
      <c r="G37" s="22">
        <v>7.7000000000000002E-3</v>
      </c>
      <c r="H37" s="23">
        <v>5.8599999999999999E-2</v>
      </c>
      <c r="I37" s="24"/>
      <c r="J37" s="5"/>
    </row>
    <row r="38" spans="1:10" ht="13.05" customHeight="1">
      <c r="A38" s="18" t="s">
        <v>4032</v>
      </c>
      <c r="B38" s="19" t="s">
        <v>4033</v>
      </c>
      <c r="C38" s="15" t="s">
        <v>4034</v>
      </c>
      <c r="D38" s="15" t="s">
        <v>2312</v>
      </c>
      <c r="E38" s="20">
        <v>5300</v>
      </c>
      <c r="F38" s="21">
        <v>26177.282999999999</v>
      </c>
      <c r="G38" s="22">
        <v>7.4000000000000003E-3</v>
      </c>
      <c r="H38" s="23">
        <v>5.9998999999999997E-2</v>
      </c>
      <c r="I38" s="24"/>
      <c r="J38" s="5"/>
    </row>
    <row r="39" spans="1:10" ht="13.05" customHeight="1">
      <c r="A39" s="18" t="s">
        <v>4035</v>
      </c>
      <c r="B39" s="19" t="s">
        <v>4036</v>
      </c>
      <c r="C39" s="15" t="s">
        <v>4037</v>
      </c>
      <c r="D39" s="15" t="s">
        <v>3478</v>
      </c>
      <c r="E39" s="20">
        <v>5000</v>
      </c>
      <c r="F39" s="21">
        <v>24931.95</v>
      </c>
      <c r="G39" s="22">
        <v>7.1000000000000004E-3</v>
      </c>
      <c r="H39" s="23">
        <v>5.8599499999999999E-2</v>
      </c>
      <c r="I39" s="24"/>
      <c r="J39" s="5"/>
    </row>
    <row r="40" spans="1:10" ht="13.05" customHeight="1">
      <c r="A40" s="18" t="s">
        <v>4038</v>
      </c>
      <c r="B40" s="19" t="s">
        <v>4039</v>
      </c>
      <c r="C40" s="15" t="s">
        <v>4040</v>
      </c>
      <c r="D40" s="15" t="s">
        <v>2312</v>
      </c>
      <c r="E40" s="20">
        <v>5000</v>
      </c>
      <c r="F40" s="21">
        <v>24931.35</v>
      </c>
      <c r="G40" s="22">
        <v>7.1000000000000004E-3</v>
      </c>
      <c r="H40" s="23">
        <v>5.9121E-2</v>
      </c>
      <c r="I40" s="24"/>
      <c r="J40" s="5"/>
    </row>
    <row r="41" spans="1:10" ht="13.05" customHeight="1">
      <c r="A41" s="18" t="s">
        <v>4041</v>
      </c>
      <c r="B41" s="19" t="s">
        <v>4042</v>
      </c>
      <c r="C41" s="15" t="s">
        <v>4043</v>
      </c>
      <c r="D41" s="15" t="s">
        <v>3478</v>
      </c>
      <c r="E41" s="20">
        <v>5000</v>
      </c>
      <c r="F41" s="21">
        <v>24870.5</v>
      </c>
      <c r="G41" s="22">
        <v>7.0000000000000001E-3</v>
      </c>
      <c r="H41" s="23">
        <v>5.9397999999999999E-2</v>
      </c>
      <c r="I41" s="24"/>
      <c r="J41" s="5"/>
    </row>
    <row r="42" spans="1:10" ht="13.05" customHeight="1">
      <c r="A42" s="18" t="s">
        <v>4044</v>
      </c>
      <c r="B42" s="19" t="s">
        <v>4045</v>
      </c>
      <c r="C42" s="15" t="s">
        <v>4046</v>
      </c>
      <c r="D42" s="15" t="s">
        <v>2774</v>
      </c>
      <c r="E42" s="20">
        <v>5000</v>
      </c>
      <c r="F42" s="21">
        <v>24846.974999999999</v>
      </c>
      <c r="G42" s="22">
        <v>7.0000000000000001E-3</v>
      </c>
      <c r="H42" s="23">
        <v>6.0755000000000003E-2</v>
      </c>
      <c r="I42" s="24"/>
      <c r="J42" s="5"/>
    </row>
    <row r="43" spans="1:10" ht="13.05" customHeight="1">
      <c r="A43" s="18" t="s">
        <v>4047</v>
      </c>
      <c r="B43" s="19" t="s">
        <v>4048</v>
      </c>
      <c r="C43" s="15" t="s">
        <v>4049</v>
      </c>
      <c r="D43" s="15" t="s">
        <v>2331</v>
      </c>
      <c r="E43" s="20">
        <v>5000</v>
      </c>
      <c r="F43" s="21">
        <v>24818.775000000001</v>
      </c>
      <c r="G43" s="22">
        <v>7.0000000000000001E-3</v>
      </c>
      <c r="H43" s="23">
        <v>5.9227000000000002E-2</v>
      </c>
      <c r="I43" s="24"/>
      <c r="J43" s="5"/>
    </row>
    <row r="44" spans="1:10" ht="13.05" customHeight="1">
      <c r="A44" s="18" t="s">
        <v>4050</v>
      </c>
      <c r="B44" s="19" t="s">
        <v>4051</v>
      </c>
      <c r="C44" s="15" t="s">
        <v>4052</v>
      </c>
      <c r="D44" s="15" t="s">
        <v>2312</v>
      </c>
      <c r="E44" s="20">
        <v>5000</v>
      </c>
      <c r="F44" s="21">
        <v>24730.799999999999</v>
      </c>
      <c r="G44" s="22">
        <v>7.0000000000000001E-3</v>
      </c>
      <c r="H44" s="23">
        <v>6.0200999999999998E-2</v>
      </c>
      <c r="I44" s="24"/>
      <c r="J44" s="5"/>
    </row>
    <row r="45" spans="1:10" ht="13.05" customHeight="1">
      <c r="A45" s="18" t="s">
        <v>4053</v>
      </c>
      <c r="B45" s="19" t="s">
        <v>4054</v>
      </c>
      <c r="C45" s="15" t="s">
        <v>4055</v>
      </c>
      <c r="D45" s="15" t="s">
        <v>2312</v>
      </c>
      <c r="E45" s="20">
        <v>5000</v>
      </c>
      <c r="F45" s="21">
        <v>24702.35</v>
      </c>
      <c r="G45" s="22">
        <v>7.0000000000000001E-3</v>
      </c>
      <c r="H45" s="23">
        <v>6.0249999999999998E-2</v>
      </c>
      <c r="I45" s="24"/>
      <c r="J45" s="5"/>
    </row>
    <row r="46" spans="1:10" ht="13.05" customHeight="1">
      <c r="A46" s="18" t="s">
        <v>4056</v>
      </c>
      <c r="B46" s="19" t="s">
        <v>4057</v>
      </c>
      <c r="C46" s="15" t="s">
        <v>4058</v>
      </c>
      <c r="D46" s="15" t="s">
        <v>2312</v>
      </c>
      <c r="E46" s="20">
        <v>4500</v>
      </c>
      <c r="F46" s="21">
        <v>22401.404999999999</v>
      </c>
      <c r="G46" s="22">
        <v>6.3E-3</v>
      </c>
      <c r="H46" s="23">
        <v>5.9501499999999999E-2</v>
      </c>
      <c r="I46" s="24"/>
      <c r="J46" s="5"/>
    </row>
    <row r="47" spans="1:10" ht="13.05" customHeight="1">
      <c r="A47" s="18" t="s">
        <v>4059</v>
      </c>
      <c r="B47" s="19" t="s">
        <v>4060</v>
      </c>
      <c r="C47" s="15" t="s">
        <v>4061</v>
      </c>
      <c r="D47" s="15" t="s">
        <v>2331</v>
      </c>
      <c r="E47" s="20">
        <v>4000</v>
      </c>
      <c r="F47" s="21">
        <v>19948.84</v>
      </c>
      <c r="G47" s="22">
        <v>5.5999999999999999E-3</v>
      </c>
      <c r="H47" s="23">
        <v>5.8498500000000002E-2</v>
      </c>
      <c r="I47" s="24"/>
      <c r="J47" s="5"/>
    </row>
    <row r="48" spans="1:10" ht="13.05" customHeight="1">
      <c r="A48" s="18" t="s">
        <v>4062</v>
      </c>
      <c r="B48" s="19" t="s">
        <v>4063</v>
      </c>
      <c r="C48" s="15" t="s">
        <v>4064</v>
      </c>
      <c r="D48" s="15" t="s">
        <v>2312</v>
      </c>
      <c r="E48" s="20">
        <v>4000</v>
      </c>
      <c r="F48" s="21">
        <v>19872.16</v>
      </c>
      <c r="G48" s="22">
        <v>5.5999999999999999E-3</v>
      </c>
      <c r="H48" s="23">
        <v>5.8703999999999999E-2</v>
      </c>
      <c r="I48" s="24"/>
      <c r="J48" s="5"/>
    </row>
    <row r="49" spans="1:10" ht="13.05" customHeight="1">
      <c r="A49" s="18" t="s">
        <v>4065</v>
      </c>
      <c r="B49" s="19" t="s">
        <v>4066</v>
      </c>
      <c r="C49" s="15" t="s">
        <v>4067</v>
      </c>
      <c r="D49" s="15" t="s">
        <v>2312</v>
      </c>
      <c r="E49" s="20">
        <v>4000</v>
      </c>
      <c r="F49" s="21">
        <v>19836.62</v>
      </c>
      <c r="G49" s="22">
        <v>5.5999999999999999E-3</v>
      </c>
      <c r="H49" s="23">
        <v>5.8950000000000002E-2</v>
      </c>
      <c r="I49" s="24"/>
      <c r="J49" s="5"/>
    </row>
    <row r="50" spans="1:10" ht="13.05" customHeight="1">
      <c r="A50" s="18" t="s">
        <v>4068</v>
      </c>
      <c r="B50" s="19" t="s">
        <v>4069</v>
      </c>
      <c r="C50" s="15" t="s">
        <v>4070</v>
      </c>
      <c r="D50" s="15" t="s">
        <v>2312</v>
      </c>
      <c r="E50" s="20">
        <v>4000</v>
      </c>
      <c r="F50" s="21">
        <v>19779.14</v>
      </c>
      <c r="G50" s="22">
        <v>5.5999999999999999E-3</v>
      </c>
      <c r="H50" s="23">
        <v>5.9936999999999997E-2</v>
      </c>
      <c r="I50" s="24"/>
      <c r="J50" s="5"/>
    </row>
    <row r="51" spans="1:10" ht="13.05" customHeight="1">
      <c r="A51" s="18" t="s">
        <v>4071</v>
      </c>
      <c r="B51" s="19" t="s">
        <v>4072</v>
      </c>
      <c r="C51" s="15" t="s">
        <v>4073</v>
      </c>
      <c r="D51" s="15" t="s">
        <v>2312</v>
      </c>
      <c r="E51" s="20">
        <v>3800</v>
      </c>
      <c r="F51" s="21">
        <v>18921.150000000001</v>
      </c>
      <c r="G51" s="22">
        <v>5.4000000000000003E-3</v>
      </c>
      <c r="H51" s="23">
        <v>5.8500000000000003E-2</v>
      </c>
      <c r="I51" s="24"/>
      <c r="J51" s="5"/>
    </row>
    <row r="52" spans="1:10" ht="13.05" customHeight="1">
      <c r="A52" s="18" t="s">
        <v>4074</v>
      </c>
      <c r="B52" s="19" t="s">
        <v>4075</v>
      </c>
      <c r="C52" s="15" t="s">
        <v>4076</v>
      </c>
      <c r="D52" s="15" t="s">
        <v>2312</v>
      </c>
      <c r="E52" s="20">
        <v>3000</v>
      </c>
      <c r="F52" s="21">
        <v>14818.334999999999</v>
      </c>
      <c r="G52" s="22">
        <v>4.1999999999999997E-3</v>
      </c>
      <c r="H52" s="23">
        <v>6.13E-2</v>
      </c>
      <c r="I52" s="24"/>
      <c r="J52" s="5"/>
    </row>
    <row r="53" spans="1:10" ht="13.05" customHeight="1">
      <c r="A53" s="18" t="s">
        <v>4077</v>
      </c>
      <c r="B53" s="19" t="s">
        <v>4078</v>
      </c>
      <c r="C53" s="15" t="s">
        <v>4079</v>
      </c>
      <c r="D53" s="15" t="s">
        <v>2312</v>
      </c>
      <c r="E53" s="20">
        <v>2000</v>
      </c>
      <c r="F53" s="21">
        <v>9936.25</v>
      </c>
      <c r="G53" s="22">
        <v>2.8E-3</v>
      </c>
      <c r="H53" s="23">
        <v>6.0051E-2</v>
      </c>
      <c r="I53" s="24"/>
      <c r="J53" s="5"/>
    </row>
    <row r="54" spans="1:10" ht="13.05" customHeight="1">
      <c r="A54" s="18" t="s">
        <v>4080</v>
      </c>
      <c r="B54" s="19" t="s">
        <v>4081</v>
      </c>
      <c r="C54" s="15" t="s">
        <v>4082</v>
      </c>
      <c r="D54" s="15" t="s">
        <v>2312</v>
      </c>
      <c r="E54" s="20">
        <v>2000</v>
      </c>
      <c r="F54" s="21">
        <v>9925.11</v>
      </c>
      <c r="G54" s="22">
        <v>2.8E-3</v>
      </c>
      <c r="H54" s="23">
        <v>5.8601E-2</v>
      </c>
      <c r="I54" s="24"/>
      <c r="J54" s="5"/>
    </row>
    <row r="55" spans="1:10" ht="13.05" customHeight="1">
      <c r="A55" s="18" t="s">
        <v>4083</v>
      </c>
      <c r="B55" s="19" t="s">
        <v>4084</v>
      </c>
      <c r="C55" s="15" t="s">
        <v>4085</v>
      </c>
      <c r="D55" s="15" t="s">
        <v>2312</v>
      </c>
      <c r="E55" s="20">
        <v>2000</v>
      </c>
      <c r="F55" s="21">
        <v>9912.4699999999993</v>
      </c>
      <c r="G55" s="22">
        <v>2.8E-3</v>
      </c>
      <c r="H55" s="23">
        <v>5.8597999999999997E-2</v>
      </c>
      <c r="I55" s="24"/>
      <c r="J55" s="5"/>
    </row>
    <row r="56" spans="1:10" ht="13.05" customHeight="1">
      <c r="A56" s="18" t="s">
        <v>2325</v>
      </c>
      <c r="B56" s="19" t="s">
        <v>2326</v>
      </c>
      <c r="C56" s="15" t="s">
        <v>2327</v>
      </c>
      <c r="D56" s="15" t="s">
        <v>2312</v>
      </c>
      <c r="E56" s="20">
        <v>1500</v>
      </c>
      <c r="F56" s="21">
        <v>7417.02</v>
      </c>
      <c r="G56" s="22">
        <v>2.0999999999999999E-3</v>
      </c>
      <c r="H56" s="23">
        <v>6.0052000000000001E-2</v>
      </c>
      <c r="I56" s="24"/>
      <c r="J56" s="5"/>
    </row>
    <row r="57" spans="1:10" ht="13.05" customHeight="1">
      <c r="A57" s="18" t="s">
        <v>4086</v>
      </c>
      <c r="B57" s="19" t="s">
        <v>4087</v>
      </c>
      <c r="C57" s="15" t="s">
        <v>4088</v>
      </c>
      <c r="D57" s="15" t="s">
        <v>2312</v>
      </c>
      <c r="E57" s="20">
        <v>1000</v>
      </c>
      <c r="F57" s="21">
        <v>4934.7250000000004</v>
      </c>
      <c r="G57" s="22">
        <v>1.4E-3</v>
      </c>
      <c r="H57" s="23">
        <v>6.0351000000000002E-2</v>
      </c>
      <c r="I57" s="24"/>
      <c r="J57" s="5"/>
    </row>
    <row r="58" spans="1:10" ht="13.05" customHeight="1">
      <c r="A58" s="18" t="s">
        <v>4089</v>
      </c>
      <c r="B58" s="19" t="s">
        <v>4090</v>
      </c>
      <c r="C58" s="15" t="s">
        <v>4091</v>
      </c>
      <c r="D58" s="15" t="s">
        <v>2312</v>
      </c>
      <c r="E58" s="20">
        <v>500</v>
      </c>
      <c r="F58" s="21">
        <v>2486.2199999999998</v>
      </c>
      <c r="G58" s="22">
        <v>6.9999999999999999E-4</v>
      </c>
      <c r="H58" s="23">
        <v>5.9499000000000003E-2</v>
      </c>
      <c r="I58" s="24"/>
      <c r="J58" s="5"/>
    </row>
    <row r="59" spans="1:10" ht="13.05" customHeight="1">
      <c r="A59" s="5"/>
      <c r="B59" s="14" t="s">
        <v>192</v>
      </c>
      <c r="C59" s="15"/>
      <c r="D59" s="15"/>
      <c r="E59" s="15"/>
      <c r="F59" s="25">
        <v>1455292.2605000001</v>
      </c>
      <c r="G59" s="26">
        <v>0.41160000000000002</v>
      </c>
      <c r="H59" s="27"/>
      <c r="I59" s="28"/>
      <c r="J59" s="5"/>
    </row>
    <row r="60" spans="1:10" ht="13.05" customHeight="1">
      <c r="A60" s="5"/>
      <c r="B60" s="14" t="s">
        <v>2770</v>
      </c>
      <c r="C60" s="15"/>
      <c r="D60" s="15"/>
      <c r="E60" s="15"/>
      <c r="F60" s="5"/>
      <c r="G60" s="16"/>
      <c r="H60" s="16"/>
      <c r="I60" s="17"/>
      <c r="J60" s="5"/>
    </row>
    <row r="61" spans="1:10" ht="13.05" customHeight="1">
      <c r="A61" s="18" t="s">
        <v>4092</v>
      </c>
      <c r="B61" s="19" t="s">
        <v>4093</v>
      </c>
      <c r="C61" s="15" t="s">
        <v>4094</v>
      </c>
      <c r="D61" s="15" t="s">
        <v>2312</v>
      </c>
      <c r="E61" s="20">
        <v>19000</v>
      </c>
      <c r="F61" s="21">
        <v>94626.08</v>
      </c>
      <c r="G61" s="22">
        <v>2.6800000000000001E-2</v>
      </c>
      <c r="H61" s="23">
        <v>6.0100500000000001E-2</v>
      </c>
      <c r="I61" s="24"/>
      <c r="J61" s="5"/>
    </row>
    <row r="62" spans="1:10" ht="13.05" customHeight="1">
      <c r="A62" s="18" t="s">
        <v>4095</v>
      </c>
      <c r="B62" s="19" t="s">
        <v>4096</v>
      </c>
      <c r="C62" s="15" t="s">
        <v>4097</v>
      </c>
      <c r="D62" s="15" t="s">
        <v>2312</v>
      </c>
      <c r="E62" s="20">
        <v>15000</v>
      </c>
      <c r="F62" s="21">
        <v>74847.3</v>
      </c>
      <c r="G62" s="22">
        <v>2.12E-2</v>
      </c>
      <c r="H62" s="23">
        <v>6.2054999999999999E-2</v>
      </c>
      <c r="I62" s="24"/>
      <c r="J62" s="5"/>
    </row>
    <row r="63" spans="1:10" ht="13.05" customHeight="1">
      <c r="A63" s="18" t="s">
        <v>4098</v>
      </c>
      <c r="B63" s="19" t="s">
        <v>4099</v>
      </c>
      <c r="C63" s="15" t="s">
        <v>4100</v>
      </c>
      <c r="D63" s="15" t="s">
        <v>2312</v>
      </c>
      <c r="E63" s="20">
        <v>15000</v>
      </c>
      <c r="F63" s="21">
        <v>74617.2</v>
      </c>
      <c r="G63" s="22">
        <v>2.1100000000000001E-2</v>
      </c>
      <c r="H63" s="23">
        <v>6.0403999999999999E-2</v>
      </c>
      <c r="I63" s="24"/>
      <c r="J63" s="5"/>
    </row>
    <row r="64" spans="1:10" ht="13.05" customHeight="1">
      <c r="A64" s="18" t="s">
        <v>4101</v>
      </c>
      <c r="B64" s="19" t="s">
        <v>4102</v>
      </c>
      <c r="C64" s="15" t="s">
        <v>4103</v>
      </c>
      <c r="D64" s="15" t="s">
        <v>2774</v>
      </c>
      <c r="E64" s="20">
        <v>15000</v>
      </c>
      <c r="F64" s="21">
        <v>74441.100000000006</v>
      </c>
      <c r="G64" s="22">
        <v>2.1100000000000001E-2</v>
      </c>
      <c r="H64" s="23">
        <v>6.0900000000000003E-2</v>
      </c>
      <c r="I64" s="24"/>
      <c r="J64" s="5"/>
    </row>
    <row r="65" spans="1:10" ht="13.05" customHeight="1">
      <c r="A65" s="18" t="s">
        <v>4104</v>
      </c>
      <c r="B65" s="19" t="s">
        <v>4105</v>
      </c>
      <c r="C65" s="15" t="s">
        <v>4106</v>
      </c>
      <c r="D65" s="15" t="s">
        <v>2774</v>
      </c>
      <c r="E65" s="20">
        <v>10000</v>
      </c>
      <c r="F65" s="21">
        <v>49855.8</v>
      </c>
      <c r="G65" s="22">
        <v>1.41E-2</v>
      </c>
      <c r="H65" s="23">
        <v>5.8650000000000001E-2</v>
      </c>
      <c r="I65" s="24"/>
      <c r="J65" s="5"/>
    </row>
    <row r="66" spans="1:10" ht="13.05" customHeight="1">
      <c r="A66" s="18" t="s">
        <v>4107</v>
      </c>
      <c r="B66" s="19" t="s">
        <v>4108</v>
      </c>
      <c r="C66" s="15" t="s">
        <v>4109</v>
      </c>
      <c r="D66" s="15" t="s">
        <v>2312</v>
      </c>
      <c r="E66" s="20">
        <v>10000</v>
      </c>
      <c r="F66" s="21">
        <v>49852.25</v>
      </c>
      <c r="G66" s="22">
        <v>1.41E-2</v>
      </c>
      <c r="H66" s="23">
        <v>6.0100500000000001E-2</v>
      </c>
      <c r="I66" s="24"/>
      <c r="J66" s="5"/>
    </row>
    <row r="67" spans="1:10" ht="13.05" customHeight="1">
      <c r="A67" s="18" t="s">
        <v>4110</v>
      </c>
      <c r="B67" s="19" t="s">
        <v>4111</v>
      </c>
      <c r="C67" s="15" t="s">
        <v>4112</v>
      </c>
      <c r="D67" s="15" t="s">
        <v>2312</v>
      </c>
      <c r="E67" s="20">
        <v>10000</v>
      </c>
      <c r="F67" s="21">
        <v>49851.75</v>
      </c>
      <c r="G67" s="22">
        <v>1.41E-2</v>
      </c>
      <c r="H67" s="23">
        <v>6.3850000000000004E-2</v>
      </c>
      <c r="I67" s="24"/>
      <c r="J67" s="5"/>
    </row>
    <row r="68" spans="1:10" ht="13.05" customHeight="1">
      <c r="A68" s="18" t="s">
        <v>4113</v>
      </c>
      <c r="B68" s="19" t="s">
        <v>4114</v>
      </c>
      <c r="C68" s="15" t="s">
        <v>4115</v>
      </c>
      <c r="D68" s="15" t="s">
        <v>3478</v>
      </c>
      <c r="E68" s="20">
        <v>10000</v>
      </c>
      <c r="F68" s="21">
        <v>49689.1</v>
      </c>
      <c r="G68" s="22">
        <v>1.41E-2</v>
      </c>
      <c r="H68" s="23">
        <v>6.0099E-2</v>
      </c>
      <c r="I68" s="24"/>
      <c r="J68" s="5"/>
    </row>
    <row r="69" spans="1:10" ht="13.05" customHeight="1">
      <c r="A69" s="18" t="s">
        <v>4116</v>
      </c>
      <c r="B69" s="19" t="s">
        <v>4117</v>
      </c>
      <c r="C69" s="15" t="s">
        <v>4118</v>
      </c>
      <c r="D69" s="15" t="s">
        <v>2312</v>
      </c>
      <c r="E69" s="20">
        <v>10000</v>
      </c>
      <c r="F69" s="21">
        <v>49582.400000000001</v>
      </c>
      <c r="G69" s="22">
        <v>1.4E-2</v>
      </c>
      <c r="H69" s="23">
        <v>6.0277999999999998E-2</v>
      </c>
      <c r="I69" s="24"/>
      <c r="J69" s="5"/>
    </row>
    <row r="70" spans="1:10" ht="13.05" customHeight="1">
      <c r="A70" s="18" t="s">
        <v>4119</v>
      </c>
      <c r="B70" s="19" t="s">
        <v>4120</v>
      </c>
      <c r="C70" s="15" t="s">
        <v>4121</v>
      </c>
      <c r="D70" s="15" t="s">
        <v>2312</v>
      </c>
      <c r="E70" s="20">
        <v>9000</v>
      </c>
      <c r="F70" s="21">
        <v>44705.61</v>
      </c>
      <c r="G70" s="22">
        <v>1.26E-2</v>
      </c>
      <c r="H70" s="23">
        <v>6.3251000000000002E-2</v>
      </c>
      <c r="I70" s="24"/>
      <c r="J70" s="5"/>
    </row>
    <row r="71" spans="1:10" ht="13.05" customHeight="1">
      <c r="A71" s="18" t="s">
        <v>4122</v>
      </c>
      <c r="B71" s="19" t="s">
        <v>4123</v>
      </c>
      <c r="C71" s="15" t="s">
        <v>4124</v>
      </c>
      <c r="D71" s="15" t="s">
        <v>2312</v>
      </c>
      <c r="E71" s="20">
        <v>9000</v>
      </c>
      <c r="F71" s="21">
        <v>44689.635000000002</v>
      </c>
      <c r="G71" s="22">
        <v>1.26E-2</v>
      </c>
      <c r="H71" s="23">
        <v>6.5001000000000003E-2</v>
      </c>
      <c r="I71" s="24"/>
      <c r="J71" s="5"/>
    </row>
    <row r="72" spans="1:10" ht="13.05" customHeight="1">
      <c r="A72" s="18" t="s">
        <v>4125</v>
      </c>
      <c r="B72" s="19" t="s">
        <v>4126</v>
      </c>
      <c r="C72" s="15" t="s">
        <v>4127</v>
      </c>
      <c r="D72" s="15" t="s">
        <v>2331</v>
      </c>
      <c r="E72" s="20">
        <v>8500</v>
      </c>
      <c r="F72" s="21">
        <v>42457.627500000002</v>
      </c>
      <c r="G72" s="22">
        <v>1.2E-2</v>
      </c>
      <c r="H72" s="23">
        <v>6.0741999999999997E-2</v>
      </c>
      <c r="I72" s="24"/>
      <c r="J72" s="5"/>
    </row>
    <row r="73" spans="1:10" ht="13.05" customHeight="1">
      <c r="A73" s="18" t="s">
        <v>4128</v>
      </c>
      <c r="B73" s="19" t="s">
        <v>4129</v>
      </c>
      <c r="C73" s="15" t="s">
        <v>4130</v>
      </c>
      <c r="D73" s="15" t="s">
        <v>2774</v>
      </c>
      <c r="E73" s="20">
        <v>8000</v>
      </c>
      <c r="F73" s="21">
        <v>39677.480000000003</v>
      </c>
      <c r="G73" s="22">
        <v>1.12E-2</v>
      </c>
      <c r="H73" s="23">
        <v>6.4500000000000002E-2</v>
      </c>
      <c r="I73" s="24"/>
      <c r="J73" s="5"/>
    </row>
    <row r="74" spans="1:10" ht="13.05" customHeight="1">
      <c r="A74" s="18" t="s">
        <v>4131</v>
      </c>
      <c r="B74" s="19" t="s">
        <v>4132</v>
      </c>
      <c r="C74" s="15" t="s">
        <v>4133</v>
      </c>
      <c r="D74" s="15" t="s">
        <v>2774</v>
      </c>
      <c r="E74" s="20">
        <v>8000</v>
      </c>
      <c r="F74" s="21">
        <v>39332.44</v>
      </c>
      <c r="G74" s="22">
        <v>1.11E-2</v>
      </c>
      <c r="H74" s="23">
        <v>7.0398000000000002E-2</v>
      </c>
      <c r="I74" s="24"/>
      <c r="J74" s="5"/>
    </row>
    <row r="75" spans="1:10" ht="13.05" customHeight="1">
      <c r="A75" s="18" t="s">
        <v>4134</v>
      </c>
      <c r="B75" s="19" t="s">
        <v>4135</v>
      </c>
      <c r="C75" s="15" t="s">
        <v>4136</v>
      </c>
      <c r="D75" s="15" t="s">
        <v>2312</v>
      </c>
      <c r="E75" s="20">
        <v>7000</v>
      </c>
      <c r="F75" s="21">
        <v>34747.544999999998</v>
      </c>
      <c r="G75" s="22">
        <v>9.7999999999999997E-3</v>
      </c>
      <c r="H75" s="23">
        <v>6.0274000000000001E-2</v>
      </c>
      <c r="I75" s="24"/>
      <c r="J75" s="5"/>
    </row>
    <row r="76" spans="1:10" ht="13.05" customHeight="1">
      <c r="A76" s="18" t="s">
        <v>4137</v>
      </c>
      <c r="B76" s="19" t="s">
        <v>4138</v>
      </c>
      <c r="C76" s="15" t="s">
        <v>4139</v>
      </c>
      <c r="D76" s="15" t="s">
        <v>2312</v>
      </c>
      <c r="E76" s="20">
        <v>6000</v>
      </c>
      <c r="F76" s="21">
        <v>29752.89</v>
      </c>
      <c r="G76" s="22">
        <v>8.3999999999999995E-3</v>
      </c>
      <c r="H76" s="23">
        <v>6.4500000000000002E-2</v>
      </c>
      <c r="I76" s="24"/>
      <c r="J76" s="5"/>
    </row>
    <row r="77" spans="1:10" ht="13.05" customHeight="1">
      <c r="A77" s="18" t="s">
        <v>4140</v>
      </c>
      <c r="B77" s="19" t="s">
        <v>4141</v>
      </c>
      <c r="C77" s="15" t="s">
        <v>4142</v>
      </c>
      <c r="D77" s="15" t="s">
        <v>2774</v>
      </c>
      <c r="E77" s="20">
        <v>5000</v>
      </c>
      <c r="F77" s="21">
        <v>24930.875</v>
      </c>
      <c r="G77" s="22">
        <v>7.1000000000000004E-3</v>
      </c>
      <c r="H77" s="23">
        <v>6.3251000000000002E-2</v>
      </c>
      <c r="I77" s="24"/>
      <c r="J77" s="5"/>
    </row>
    <row r="78" spans="1:10" ht="13.05" customHeight="1">
      <c r="A78" s="18" t="s">
        <v>4143</v>
      </c>
      <c r="B78" s="19" t="s">
        <v>4144</v>
      </c>
      <c r="C78" s="15" t="s">
        <v>4145</v>
      </c>
      <c r="D78" s="15" t="s">
        <v>2312</v>
      </c>
      <c r="E78" s="20">
        <v>5000</v>
      </c>
      <c r="F78" s="21">
        <v>24874.6</v>
      </c>
      <c r="G78" s="22">
        <v>7.0000000000000001E-3</v>
      </c>
      <c r="H78" s="23">
        <v>8.0003000000000005E-2</v>
      </c>
      <c r="I78" s="24"/>
      <c r="J78" s="5"/>
    </row>
    <row r="79" spans="1:10" ht="13.05" customHeight="1">
      <c r="A79" s="18" t="s">
        <v>4146</v>
      </c>
      <c r="B79" s="19" t="s">
        <v>4147</v>
      </c>
      <c r="C79" s="15" t="s">
        <v>4148</v>
      </c>
      <c r="D79" s="15" t="s">
        <v>2774</v>
      </c>
      <c r="E79" s="20">
        <v>5000</v>
      </c>
      <c r="F79" s="21">
        <v>24866.25</v>
      </c>
      <c r="G79" s="22">
        <v>7.0000000000000001E-3</v>
      </c>
      <c r="H79" s="23">
        <v>5.9498000000000002E-2</v>
      </c>
      <c r="I79" s="24"/>
      <c r="J79" s="5"/>
    </row>
    <row r="80" spans="1:10" ht="13.05" customHeight="1">
      <c r="A80" s="18" t="s">
        <v>4149</v>
      </c>
      <c r="B80" s="19" t="s">
        <v>4150</v>
      </c>
      <c r="C80" s="15" t="s">
        <v>4151</v>
      </c>
      <c r="D80" s="15" t="s">
        <v>2312</v>
      </c>
      <c r="E80" s="20">
        <v>5000</v>
      </c>
      <c r="F80" s="21">
        <v>24842.474999999999</v>
      </c>
      <c r="G80" s="22">
        <v>7.0000000000000001E-3</v>
      </c>
      <c r="H80" s="23">
        <v>5.935E-2</v>
      </c>
      <c r="I80" s="24"/>
      <c r="J80" s="5"/>
    </row>
    <row r="81" spans="1:10" ht="13.05" customHeight="1">
      <c r="A81" s="18" t="s">
        <v>4152</v>
      </c>
      <c r="B81" s="19" t="s">
        <v>4153</v>
      </c>
      <c r="C81" s="15" t="s">
        <v>4154</v>
      </c>
      <c r="D81" s="15" t="s">
        <v>2312</v>
      </c>
      <c r="E81" s="20">
        <v>5000</v>
      </c>
      <c r="F81" s="21">
        <v>24687.525000000001</v>
      </c>
      <c r="G81" s="22">
        <v>7.0000000000000001E-3</v>
      </c>
      <c r="H81" s="23">
        <v>6.1598E-2</v>
      </c>
      <c r="I81" s="24"/>
      <c r="J81" s="5"/>
    </row>
    <row r="82" spans="1:10" ht="13.05" customHeight="1">
      <c r="A82" s="18" t="s">
        <v>4155</v>
      </c>
      <c r="B82" s="19" t="s">
        <v>4156</v>
      </c>
      <c r="C82" s="15" t="s">
        <v>4157</v>
      </c>
      <c r="D82" s="15" t="s">
        <v>2312</v>
      </c>
      <c r="E82" s="20">
        <v>4500</v>
      </c>
      <c r="F82" s="21">
        <v>22362.615000000002</v>
      </c>
      <c r="G82" s="22">
        <v>6.3E-3</v>
      </c>
      <c r="H82" s="23">
        <v>6.7950999999999998E-2</v>
      </c>
      <c r="I82" s="24"/>
      <c r="J82" s="5"/>
    </row>
    <row r="83" spans="1:10" ht="13.05" customHeight="1">
      <c r="A83" s="18" t="s">
        <v>4158</v>
      </c>
      <c r="B83" s="19" t="s">
        <v>4159</v>
      </c>
      <c r="C83" s="15" t="s">
        <v>4160</v>
      </c>
      <c r="D83" s="15" t="s">
        <v>2774</v>
      </c>
      <c r="E83" s="20">
        <v>4000</v>
      </c>
      <c r="F83" s="21">
        <v>19936.84</v>
      </c>
      <c r="G83" s="22">
        <v>5.5999999999999999E-3</v>
      </c>
      <c r="H83" s="23">
        <v>6.4250000000000002E-2</v>
      </c>
      <c r="I83" s="24"/>
      <c r="J83" s="5"/>
    </row>
    <row r="84" spans="1:10" ht="13.05" customHeight="1">
      <c r="A84" s="18" t="s">
        <v>4161</v>
      </c>
      <c r="B84" s="19" t="s">
        <v>4162</v>
      </c>
      <c r="C84" s="15" t="s">
        <v>4163</v>
      </c>
      <c r="D84" s="15" t="s">
        <v>2774</v>
      </c>
      <c r="E84" s="20">
        <v>4000</v>
      </c>
      <c r="F84" s="21">
        <v>19890.2</v>
      </c>
      <c r="G84" s="22">
        <v>5.5999999999999999E-3</v>
      </c>
      <c r="H84" s="23">
        <v>6.5003000000000005E-2</v>
      </c>
      <c r="I84" s="24"/>
      <c r="J84" s="5"/>
    </row>
    <row r="85" spans="1:10" ht="13.05" customHeight="1">
      <c r="A85" s="18" t="s">
        <v>4164</v>
      </c>
      <c r="B85" s="19" t="s">
        <v>4165</v>
      </c>
      <c r="C85" s="15" t="s">
        <v>4166</v>
      </c>
      <c r="D85" s="15" t="s">
        <v>2312</v>
      </c>
      <c r="E85" s="20">
        <v>4000</v>
      </c>
      <c r="F85" s="21">
        <v>19878.78</v>
      </c>
      <c r="G85" s="22">
        <v>5.5999999999999999E-3</v>
      </c>
      <c r="H85" s="23">
        <v>6.7452999999999999E-2</v>
      </c>
      <c r="I85" s="24"/>
      <c r="J85" s="5"/>
    </row>
    <row r="86" spans="1:10" ht="13.05" customHeight="1">
      <c r="A86" s="18" t="s">
        <v>4167</v>
      </c>
      <c r="B86" s="19" t="s">
        <v>4168</v>
      </c>
      <c r="C86" s="15" t="s">
        <v>4169</v>
      </c>
      <c r="D86" s="15" t="s">
        <v>2312</v>
      </c>
      <c r="E86" s="20">
        <v>4000</v>
      </c>
      <c r="F86" s="21">
        <v>19856.900000000001</v>
      </c>
      <c r="G86" s="22">
        <v>5.5999999999999999E-3</v>
      </c>
      <c r="H86" s="23">
        <v>6.7450999999999997E-2</v>
      </c>
      <c r="I86" s="24"/>
      <c r="J86" s="5"/>
    </row>
    <row r="87" spans="1:10" ht="13.05" customHeight="1">
      <c r="A87" s="18" t="s">
        <v>4170</v>
      </c>
      <c r="B87" s="19" t="s">
        <v>4171</v>
      </c>
      <c r="C87" s="15" t="s">
        <v>4172</v>
      </c>
      <c r="D87" s="15" t="s">
        <v>2312</v>
      </c>
      <c r="E87" s="20">
        <v>4000</v>
      </c>
      <c r="F87" s="21">
        <v>19840.48</v>
      </c>
      <c r="G87" s="22">
        <v>5.5999999999999999E-3</v>
      </c>
      <c r="H87" s="23">
        <v>6.3800999999999997E-2</v>
      </c>
      <c r="I87" s="24"/>
      <c r="J87" s="5"/>
    </row>
    <row r="88" spans="1:10" ht="13.05" customHeight="1">
      <c r="A88" s="18" t="s">
        <v>4173</v>
      </c>
      <c r="B88" s="19" t="s">
        <v>4174</v>
      </c>
      <c r="C88" s="15" t="s">
        <v>4175</v>
      </c>
      <c r="D88" s="15" t="s">
        <v>2312</v>
      </c>
      <c r="E88" s="20">
        <v>4000</v>
      </c>
      <c r="F88" s="21">
        <v>19827.8</v>
      </c>
      <c r="G88" s="22">
        <v>5.5999999999999999E-3</v>
      </c>
      <c r="H88" s="23">
        <v>6.7449999999999996E-2</v>
      </c>
      <c r="I88" s="24"/>
      <c r="J88" s="5"/>
    </row>
    <row r="89" spans="1:10" ht="13.05" customHeight="1">
      <c r="A89" s="18" t="s">
        <v>4176</v>
      </c>
      <c r="B89" s="19" t="s">
        <v>4177</v>
      </c>
      <c r="C89" s="15" t="s">
        <v>4178</v>
      </c>
      <c r="D89" s="15" t="s">
        <v>2774</v>
      </c>
      <c r="E89" s="20">
        <v>4000</v>
      </c>
      <c r="F89" s="21">
        <v>19820.060000000001</v>
      </c>
      <c r="G89" s="22">
        <v>5.5999999999999999E-3</v>
      </c>
      <c r="H89" s="23">
        <v>6.0248999999999997E-2</v>
      </c>
      <c r="I89" s="24"/>
      <c r="J89" s="5"/>
    </row>
    <row r="90" spans="1:10" ht="13.05" customHeight="1">
      <c r="A90" s="18" t="s">
        <v>4179</v>
      </c>
      <c r="B90" s="19" t="s">
        <v>4180</v>
      </c>
      <c r="C90" s="15" t="s">
        <v>4181</v>
      </c>
      <c r="D90" s="15" t="s">
        <v>2774</v>
      </c>
      <c r="E90" s="20">
        <v>3500</v>
      </c>
      <c r="F90" s="21">
        <v>17448.27</v>
      </c>
      <c r="G90" s="22">
        <v>4.8999999999999998E-3</v>
      </c>
      <c r="H90" s="23">
        <v>6.3655000000000003E-2</v>
      </c>
      <c r="I90" s="24"/>
      <c r="J90" s="5"/>
    </row>
    <row r="91" spans="1:10" ht="13.05" customHeight="1">
      <c r="A91" s="18" t="s">
        <v>4182</v>
      </c>
      <c r="B91" s="19" t="s">
        <v>4183</v>
      </c>
      <c r="C91" s="15" t="s">
        <v>4184</v>
      </c>
      <c r="D91" s="15" t="s">
        <v>2312</v>
      </c>
      <c r="E91" s="20">
        <v>3000</v>
      </c>
      <c r="F91" s="21">
        <v>14958.27</v>
      </c>
      <c r="G91" s="22">
        <v>4.1999999999999997E-3</v>
      </c>
      <c r="H91" s="23">
        <v>6.3653000000000001E-2</v>
      </c>
      <c r="I91" s="24"/>
      <c r="J91" s="5"/>
    </row>
    <row r="92" spans="1:10" ht="13.05" customHeight="1">
      <c r="A92" s="18" t="s">
        <v>4185</v>
      </c>
      <c r="B92" s="19" t="s">
        <v>4186</v>
      </c>
      <c r="C92" s="15" t="s">
        <v>4187</v>
      </c>
      <c r="D92" s="15" t="s">
        <v>2312</v>
      </c>
      <c r="E92" s="20">
        <v>3000</v>
      </c>
      <c r="F92" s="21">
        <v>14912.775</v>
      </c>
      <c r="G92" s="22">
        <v>4.1999999999999997E-3</v>
      </c>
      <c r="H92" s="23">
        <v>6.4699000000000007E-2</v>
      </c>
      <c r="I92" s="24"/>
      <c r="J92" s="5"/>
    </row>
    <row r="93" spans="1:10" ht="13.05" customHeight="1">
      <c r="A93" s="18" t="s">
        <v>4188</v>
      </c>
      <c r="B93" s="19" t="s">
        <v>4189</v>
      </c>
      <c r="C93" s="15" t="s">
        <v>4190</v>
      </c>
      <c r="D93" s="15" t="s">
        <v>3478</v>
      </c>
      <c r="E93" s="20">
        <v>3000</v>
      </c>
      <c r="F93" s="21">
        <v>14900.88</v>
      </c>
      <c r="G93" s="22">
        <v>4.1999999999999997E-3</v>
      </c>
      <c r="H93" s="23">
        <v>6.0699000000000003E-2</v>
      </c>
      <c r="I93" s="24"/>
      <c r="J93" s="5"/>
    </row>
    <row r="94" spans="1:10" ht="13.05" customHeight="1">
      <c r="A94" s="18" t="s">
        <v>4191</v>
      </c>
      <c r="B94" s="19" t="s">
        <v>4192</v>
      </c>
      <c r="C94" s="15" t="s">
        <v>4193</v>
      </c>
      <c r="D94" s="15" t="s">
        <v>2312</v>
      </c>
      <c r="E94" s="20">
        <v>3000</v>
      </c>
      <c r="F94" s="21">
        <v>14898.135</v>
      </c>
      <c r="G94" s="22">
        <v>4.1999999999999997E-3</v>
      </c>
      <c r="H94" s="23">
        <v>6.7449999999999996E-2</v>
      </c>
      <c r="I94" s="24"/>
      <c r="J94" s="5"/>
    </row>
    <row r="95" spans="1:10" ht="13.05" customHeight="1">
      <c r="A95" s="18" t="s">
        <v>4194</v>
      </c>
      <c r="B95" s="19" t="s">
        <v>4195</v>
      </c>
      <c r="C95" s="15" t="s">
        <v>4196</v>
      </c>
      <c r="D95" s="15" t="s">
        <v>2312</v>
      </c>
      <c r="E95" s="20">
        <v>3000</v>
      </c>
      <c r="F95" s="21">
        <v>14892.945</v>
      </c>
      <c r="G95" s="22">
        <v>4.1999999999999997E-3</v>
      </c>
      <c r="H95" s="23">
        <v>8.1997E-2</v>
      </c>
      <c r="I95" s="24"/>
      <c r="J95" s="5"/>
    </row>
    <row r="96" spans="1:10" ht="13.05" customHeight="1">
      <c r="A96" s="18" t="s">
        <v>4197</v>
      </c>
      <c r="B96" s="19" t="s">
        <v>4198</v>
      </c>
      <c r="C96" s="15" t="s">
        <v>4199</v>
      </c>
      <c r="D96" s="15" t="s">
        <v>2312</v>
      </c>
      <c r="E96" s="20">
        <v>3000</v>
      </c>
      <c r="F96" s="21">
        <v>14863.094999999999</v>
      </c>
      <c r="G96" s="22">
        <v>4.1999999999999997E-3</v>
      </c>
      <c r="H96" s="23">
        <v>8.2001000000000004E-2</v>
      </c>
      <c r="I96" s="24"/>
      <c r="J96" s="5"/>
    </row>
    <row r="97" spans="1:10" ht="13.05" customHeight="1">
      <c r="A97" s="18" t="s">
        <v>4200</v>
      </c>
      <c r="B97" s="19" t="s">
        <v>4201</v>
      </c>
      <c r="C97" s="15" t="s">
        <v>4202</v>
      </c>
      <c r="D97" s="15" t="s">
        <v>2774</v>
      </c>
      <c r="E97" s="20">
        <v>2500</v>
      </c>
      <c r="F97" s="21">
        <v>12465.1625</v>
      </c>
      <c r="G97" s="22">
        <v>3.5000000000000001E-3</v>
      </c>
      <c r="H97" s="23">
        <v>6.0005999999999997E-2</v>
      </c>
      <c r="I97" s="24"/>
      <c r="J97" s="5"/>
    </row>
    <row r="98" spans="1:10" ht="13.05" customHeight="1">
      <c r="A98" s="18" t="s">
        <v>4203</v>
      </c>
      <c r="B98" s="19" t="s">
        <v>4204</v>
      </c>
      <c r="C98" s="15" t="s">
        <v>4205</v>
      </c>
      <c r="D98" s="15" t="s">
        <v>2774</v>
      </c>
      <c r="E98" s="20">
        <v>2500</v>
      </c>
      <c r="F98" s="21">
        <v>12451.512500000001</v>
      </c>
      <c r="G98" s="22">
        <v>3.5000000000000001E-3</v>
      </c>
      <c r="H98" s="23">
        <v>6.1797999999999999E-2</v>
      </c>
      <c r="I98" s="24"/>
      <c r="J98" s="5"/>
    </row>
    <row r="99" spans="1:10" ht="13.05" customHeight="1">
      <c r="A99" s="18" t="s">
        <v>4206</v>
      </c>
      <c r="B99" s="19" t="s">
        <v>4207</v>
      </c>
      <c r="C99" s="15" t="s">
        <v>4208</v>
      </c>
      <c r="D99" s="15" t="s">
        <v>2312</v>
      </c>
      <c r="E99" s="20">
        <v>2500</v>
      </c>
      <c r="F99" s="21">
        <v>12396.4625</v>
      </c>
      <c r="G99" s="22">
        <v>3.5000000000000001E-3</v>
      </c>
      <c r="H99" s="23">
        <v>6.7750000000000005E-2</v>
      </c>
      <c r="I99" s="24"/>
      <c r="J99" s="5"/>
    </row>
    <row r="100" spans="1:10" ht="13.05" customHeight="1">
      <c r="A100" s="18" t="s">
        <v>4209</v>
      </c>
      <c r="B100" s="19" t="s">
        <v>4210</v>
      </c>
      <c r="C100" s="15" t="s">
        <v>4211</v>
      </c>
      <c r="D100" s="15" t="s">
        <v>2312</v>
      </c>
      <c r="E100" s="20">
        <v>2000</v>
      </c>
      <c r="F100" s="21">
        <v>9982.83</v>
      </c>
      <c r="G100" s="22">
        <v>2.8E-3</v>
      </c>
      <c r="H100" s="23">
        <v>6.2797000000000006E-2</v>
      </c>
      <c r="I100" s="24"/>
      <c r="J100" s="5"/>
    </row>
    <row r="101" spans="1:10" ht="13.05" customHeight="1">
      <c r="A101" s="18" t="s">
        <v>4212</v>
      </c>
      <c r="B101" s="19" t="s">
        <v>4213</v>
      </c>
      <c r="C101" s="15" t="s">
        <v>4214</v>
      </c>
      <c r="D101" s="15" t="s">
        <v>2312</v>
      </c>
      <c r="E101" s="20">
        <v>2000</v>
      </c>
      <c r="F101" s="21">
        <v>9927.18</v>
      </c>
      <c r="G101" s="22">
        <v>2.8E-3</v>
      </c>
      <c r="H101" s="23">
        <v>5.9498000000000002E-2</v>
      </c>
      <c r="I101" s="24"/>
      <c r="J101" s="5"/>
    </row>
    <row r="102" spans="1:10" ht="13.05" customHeight="1">
      <c r="A102" s="18" t="s">
        <v>4215</v>
      </c>
      <c r="B102" s="19" t="s">
        <v>4216</v>
      </c>
      <c r="C102" s="15" t="s">
        <v>4217</v>
      </c>
      <c r="D102" s="15" t="s">
        <v>2312</v>
      </c>
      <c r="E102" s="20">
        <v>2000</v>
      </c>
      <c r="F102" s="21">
        <v>9918.93</v>
      </c>
      <c r="G102" s="22">
        <v>2.8E-3</v>
      </c>
      <c r="H102" s="23">
        <v>7.4586E-2</v>
      </c>
      <c r="I102" s="24"/>
      <c r="J102" s="5"/>
    </row>
    <row r="103" spans="1:10" ht="13.05" customHeight="1">
      <c r="A103" s="18" t="s">
        <v>4218</v>
      </c>
      <c r="B103" s="19" t="s">
        <v>4219</v>
      </c>
      <c r="C103" s="15" t="s">
        <v>4220</v>
      </c>
      <c r="D103" s="15" t="s">
        <v>2312</v>
      </c>
      <c r="E103" s="20">
        <v>2000</v>
      </c>
      <c r="F103" s="21">
        <v>9904.4</v>
      </c>
      <c r="G103" s="22">
        <v>2.8E-3</v>
      </c>
      <c r="H103" s="23">
        <v>6.7752000000000007E-2</v>
      </c>
      <c r="I103" s="24"/>
      <c r="J103" s="5"/>
    </row>
    <row r="104" spans="1:10" ht="13.05" customHeight="1">
      <c r="A104" s="18" t="s">
        <v>4221</v>
      </c>
      <c r="B104" s="19" t="s">
        <v>4222</v>
      </c>
      <c r="C104" s="15" t="s">
        <v>4223</v>
      </c>
      <c r="D104" s="15" t="s">
        <v>2312</v>
      </c>
      <c r="E104" s="20">
        <v>2000</v>
      </c>
      <c r="F104" s="21">
        <v>9867</v>
      </c>
      <c r="G104" s="22">
        <v>2.8E-3</v>
      </c>
      <c r="H104" s="23">
        <v>8.1999000000000002E-2</v>
      </c>
      <c r="I104" s="24"/>
      <c r="J104" s="5"/>
    </row>
    <row r="105" spans="1:10" ht="13.05" customHeight="1">
      <c r="A105" s="18" t="s">
        <v>4224</v>
      </c>
      <c r="B105" s="19" t="s">
        <v>4225</v>
      </c>
      <c r="C105" s="15" t="s">
        <v>4226</v>
      </c>
      <c r="D105" s="15" t="s">
        <v>2312</v>
      </c>
      <c r="E105" s="20">
        <v>1500</v>
      </c>
      <c r="F105" s="21">
        <v>7487.4449999999997</v>
      </c>
      <c r="G105" s="22">
        <v>2.0999999999999999E-3</v>
      </c>
      <c r="H105" s="23">
        <v>6.1221999999999999E-2</v>
      </c>
      <c r="I105" s="24"/>
      <c r="J105" s="5"/>
    </row>
    <row r="106" spans="1:10" ht="13.05" customHeight="1">
      <c r="A106" s="18" t="s">
        <v>4227</v>
      </c>
      <c r="B106" s="19" t="s">
        <v>4228</v>
      </c>
      <c r="C106" s="15" t="s">
        <v>4229</v>
      </c>
      <c r="D106" s="15" t="s">
        <v>2312</v>
      </c>
      <c r="E106" s="20">
        <v>1500</v>
      </c>
      <c r="F106" s="21">
        <v>7486.1925000000001</v>
      </c>
      <c r="G106" s="22">
        <v>2.0999999999999999E-3</v>
      </c>
      <c r="H106" s="23">
        <v>6.1217000000000001E-2</v>
      </c>
      <c r="I106" s="24"/>
      <c r="J106" s="5"/>
    </row>
    <row r="107" spans="1:10" ht="13.05" customHeight="1">
      <c r="A107" s="18" t="s">
        <v>4230</v>
      </c>
      <c r="B107" s="19" t="s">
        <v>4231</v>
      </c>
      <c r="C107" s="15" t="s">
        <v>4232</v>
      </c>
      <c r="D107" s="15" t="s">
        <v>2312</v>
      </c>
      <c r="E107" s="20">
        <v>1500</v>
      </c>
      <c r="F107" s="21">
        <v>7480.7025000000003</v>
      </c>
      <c r="G107" s="22">
        <v>2.0999999999999999E-3</v>
      </c>
      <c r="H107" s="23">
        <v>5.8859000000000002E-2</v>
      </c>
      <c r="I107" s="24"/>
      <c r="J107" s="5"/>
    </row>
    <row r="108" spans="1:10" ht="13.05" customHeight="1">
      <c r="A108" s="18" t="s">
        <v>4233</v>
      </c>
      <c r="B108" s="19" t="s">
        <v>4234</v>
      </c>
      <c r="C108" s="15" t="s">
        <v>4235</v>
      </c>
      <c r="D108" s="15" t="s">
        <v>2312</v>
      </c>
      <c r="E108" s="20">
        <v>1500</v>
      </c>
      <c r="F108" s="21">
        <v>7467.6075000000001</v>
      </c>
      <c r="G108" s="22">
        <v>2.0999999999999999E-3</v>
      </c>
      <c r="H108" s="23">
        <v>6.0894999999999998E-2</v>
      </c>
      <c r="I108" s="24"/>
      <c r="J108" s="5"/>
    </row>
    <row r="109" spans="1:10" ht="13.05" customHeight="1">
      <c r="A109" s="18" t="s">
        <v>4236</v>
      </c>
      <c r="B109" s="19" t="s">
        <v>4237</v>
      </c>
      <c r="C109" s="15" t="s">
        <v>4238</v>
      </c>
      <c r="D109" s="15" t="s">
        <v>2312</v>
      </c>
      <c r="E109" s="20">
        <v>1500</v>
      </c>
      <c r="F109" s="21">
        <v>7467.0675000000001</v>
      </c>
      <c r="G109" s="22">
        <v>2.0999999999999999E-3</v>
      </c>
      <c r="H109" s="23">
        <v>6.9999000000000006E-2</v>
      </c>
      <c r="I109" s="24"/>
      <c r="J109" s="5"/>
    </row>
    <row r="110" spans="1:10" ht="13.05" customHeight="1">
      <c r="A110" s="18" t="s">
        <v>4239</v>
      </c>
      <c r="B110" s="19" t="s">
        <v>4240</v>
      </c>
      <c r="C110" s="15" t="s">
        <v>4241</v>
      </c>
      <c r="D110" s="15" t="s">
        <v>2774</v>
      </c>
      <c r="E110" s="20">
        <v>1500</v>
      </c>
      <c r="F110" s="21">
        <v>7442.5050000000001</v>
      </c>
      <c r="G110" s="22">
        <v>2.0999999999999999E-3</v>
      </c>
      <c r="H110" s="23">
        <v>7.0497000000000004E-2</v>
      </c>
      <c r="I110" s="24"/>
      <c r="J110" s="5"/>
    </row>
    <row r="111" spans="1:10" ht="13.05" customHeight="1">
      <c r="A111" s="18" t="s">
        <v>4242</v>
      </c>
      <c r="B111" s="19" t="s">
        <v>4243</v>
      </c>
      <c r="C111" s="15" t="s">
        <v>4244</v>
      </c>
      <c r="D111" s="15" t="s">
        <v>2312</v>
      </c>
      <c r="E111" s="20">
        <v>1000</v>
      </c>
      <c r="F111" s="21">
        <v>4988.92</v>
      </c>
      <c r="G111" s="22">
        <v>1.4E-3</v>
      </c>
      <c r="H111" s="23">
        <v>6.2357000000000003E-2</v>
      </c>
      <c r="I111" s="24"/>
      <c r="J111" s="5"/>
    </row>
    <row r="112" spans="1:10" ht="13.05" customHeight="1">
      <c r="A112" s="18" t="s">
        <v>4245</v>
      </c>
      <c r="B112" s="19" t="s">
        <v>4246</v>
      </c>
      <c r="C112" s="15" t="s">
        <v>4247</v>
      </c>
      <c r="D112" s="15" t="s">
        <v>2312</v>
      </c>
      <c r="E112" s="20">
        <v>700</v>
      </c>
      <c r="F112" s="21">
        <v>3492.0340000000001</v>
      </c>
      <c r="G112" s="22">
        <v>1E-3</v>
      </c>
      <c r="H112" s="23">
        <v>6.4048999999999995E-2</v>
      </c>
      <c r="I112" s="24"/>
      <c r="J112" s="5"/>
    </row>
    <row r="113" spans="1:10" ht="13.05" customHeight="1">
      <c r="A113" s="18" t="s">
        <v>4248</v>
      </c>
      <c r="B113" s="19" t="s">
        <v>4249</v>
      </c>
      <c r="C113" s="15" t="s">
        <v>4250</v>
      </c>
      <c r="D113" s="15" t="s">
        <v>2312</v>
      </c>
      <c r="E113" s="20">
        <v>200</v>
      </c>
      <c r="F113" s="21">
        <v>997.09799999999996</v>
      </c>
      <c r="G113" s="22">
        <v>2.9999999999999997E-4</v>
      </c>
      <c r="H113" s="23">
        <v>6.25E-2</v>
      </c>
      <c r="I113" s="24"/>
      <c r="J113" s="5"/>
    </row>
    <row r="114" spans="1:10" ht="13.05" customHeight="1">
      <c r="A114" s="5"/>
      <c r="B114" s="14" t="s">
        <v>192</v>
      </c>
      <c r="C114" s="15"/>
      <c r="D114" s="15"/>
      <c r="E114" s="15"/>
      <c r="F114" s="25">
        <v>1376439.027</v>
      </c>
      <c r="G114" s="26">
        <v>0.38929999999999998</v>
      </c>
      <c r="H114" s="27"/>
      <c r="I114" s="28"/>
      <c r="J114" s="5"/>
    </row>
    <row r="115" spans="1:10" ht="13.05" customHeight="1">
      <c r="A115" s="5"/>
      <c r="B115" s="14" t="s">
        <v>1867</v>
      </c>
      <c r="C115" s="15"/>
      <c r="D115" s="15"/>
      <c r="E115" s="15"/>
      <c r="F115" s="5"/>
      <c r="G115" s="16"/>
      <c r="H115" s="16"/>
      <c r="I115" s="17"/>
      <c r="J115" s="5"/>
    </row>
    <row r="116" spans="1:10" ht="13.05" customHeight="1">
      <c r="A116" s="18" t="s">
        <v>3192</v>
      </c>
      <c r="B116" s="19" t="s">
        <v>3193</v>
      </c>
      <c r="C116" s="15" t="s">
        <v>3194</v>
      </c>
      <c r="D116" s="15" t="s">
        <v>188</v>
      </c>
      <c r="E116" s="20">
        <v>150000000</v>
      </c>
      <c r="F116" s="21">
        <v>149404.35</v>
      </c>
      <c r="G116" s="22">
        <v>4.2299999999999997E-2</v>
      </c>
      <c r="H116" s="23">
        <v>5.3900000000000003E-2</v>
      </c>
      <c r="I116" s="24"/>
      <c r="J116" s="5"/>
    </row>
    <row r="117" spans="1:10" ht="13.05" customHeight="1">
      <c r="A117" s="18" t="s">
        <v>3189</v>
      </c>
      <c r="B117" s="19" t="s">
        <v>3190</v>
      </c>
      <c r="C117" s="15" t="s">
        <v>3191</v>
      </c>
      <c r="D117" s="15" t="s">
        <v>188</v>
      </c>
      <c r="E117" s="20">
        <v>100000000</v>
      </c>
      <c r="F117" s="21">
        <v>98690.9</v>
      </c>
      <c r="G117" s="22">
        <v>2.7900000000000001E-2</v>
      </c>
      <c r="H117" s="23">
        <v>5.4399999999999997E-2</v>
      </c>
      <c r="I117" s="24"/>
      <c r="J117" s="5"/>
    </row>
    <row r="118" spans="1:10" ht="13.05" customHeight="1">
      <c r="A118" s="18" t="s">
        <v>4251</v>
      </c>
      <c r="B118" s="19" t="s">
        <v>4252</v>
      </c>
      <c r="C118" s="15" t="s">
        <v>4253</v>
      </c>
      <c r="D118" s="15" t="s">
        <v>188</v>
      </c>
      <c r="E118" s="20">
        <v>80000000</v>
      </c>
      <c r="F118" s="21">
        <v>79119.92</v>
      </c>
      <c r="G118" s="22">
        <v>2.24E-2</v>
      </c>
      <c r="H118" s="23">
        <v>5.4135999999999997E-2</v>
      </c>
      <c r="I118" s="24"/>
      <c r="J118" s="5"/>
    </row>
    <row r="119" spans="1:10" ht="13.05" customHeight="1">
      <c r="A119" s="18" t="s">
        <v>4254</v>
      </c>
      <c r="B119" s="19" t="s">
        <v>4255</v>
      </c>
      <c r="C119" s="15" t="s">
        <v>4256</v>
      </c>
      <c r="D119" s="15" t="s">
        <v>188</v>
      </c>
      <c r="E119" s="20">
        <v>50000000</v>
      </c>
      <c r="F119" s="21">
        <v>49860.85</v>
      </c>
      <c r="G119" s="22">
        <v>1.41E-2</v>
      </c>
      <c r="H119" s="23">
        <v>5.3615000000000003E-2</v>
      </c>
      <c r="I119" s="24"/>
      <c r="J119" s="5"/>
    </row>
    <row r="120" spans="1:10" ht="13.05" customHeight="1">
      <c r="A120" s="18" t="s">
        <v>4257</v>
      </c>
      <c r="B120" s="19" t="s">
        <v>4258</v>
      </c>
      <c r="C120" s="15" t="s">
        <v>4259</v>
      </c>
      <c r="D120" s="15" t="s">
        <v>188</v>
      </c>
      <c r="E120" s="20">
        <v>40000000</v>
      </c>
      <c r="F120" s="21">
        <v>39928.44</v>
      </c>
      <c r="G120" s="22">
        <v>1.1299999999999999E-2</v>
      </c>
      <c r="H120" s="23">
        <v>5.45E-2</v>
      </c>
      <c r="I120" s="24"/>
      <c r="J120" s="5"/>
    </row>
    <row r="121" spans="1:10" ht="13.05" customHeight="1">
      <c r="A121" s="18" t="s">
        <v>3604</v>
      </c>
      <c r="B121" s="19" t="s">
        <v>3605</v>
      </c>
      <c r="C121" s="15" t="s">
        <v>3606</v>
      </c>
      <c r="D121" s="15" t="s">
        <v>188</v>
      </c>
      <c r="E121" s="20">
        <v>25000000</v>
      </c>
      <c r="F121" s="21">
        <v>24878.15</v>
      </c>
      <c r="G121" s="22">
        <v>7.0000000000000001E-3</v>
      </c>
      <c r="H121" s="23">
        <v>5.4172999999999999E-2</v>
      </c>
      <c r="I121" s="24"/>
      <c r="J121" s="5"/>
    </row>
    <row r="122" spans="1:10" ht="13.05" customHeight="1">
      <c r="A122" s="18" t="s">
        <v>4260</v>
      </c>
      <c r="B122" s="19" t="s">
        <v>4261</v>
      </c>
      <c r="C122" s="15" t="s">
        <v>4262</v>
      </c>
      <c r="D122" s="15" t="s">
        <v>188</v>
      </c>
      <c r="E122" s="20">
        <v>25000000</v>
      </c>
      <c r="F122" s="21">
        <v>24826.825000000001</v>
      </c>
      <c r="G122" s="22">
        <v>7.0000000000000001E-3</v>
      </c>
      <c r="H122" s="23">
        <v>5.4174E-2</v>
      </c>
      <c r="I122" s="24"/>
      <c r="J122" s="5"/>
    </row>
    <row r="123" spans="1:10" ht="13.05" customHeight="1">
      <c r="A123" s="18" t="s">
        <v>3183</v>
      </c>
      <c r="B123" s="19" t="s">
        <v>3184</v>
      </c>
      <c r="C123" s="15" t="s">
        <v>3185</v>
      </c>
      <c r="D123" s="15" t="s">
        <v>188</v>
      </c>
      <c r="E123" s="20">
        <v>11500000</v>
      </c>
      <c r="F123" s="21">
        <v>11491.306</v>
      </c>
      <c r="G123" s="22">
        <v>3.2000000000000002E-3</v>
      </c>
      <c r="H123" s="23">
        <v>5.5199999999999999E-2</v>
      </c>
      <c r="I123" s="24"/>
      <c r="J123" s="5"/>
    </row>
    <row r="124" spans="1:10" ht="13.05" customHeight="1">
      <c r="A124" s="18" t="s">
        <v>4263</v>
      </c>
      <c r="B124" s="19" t="s">
        <v>4264</v>
      </c>
      <c r="C124" s="15" t="s">
        <v>4265</v>
      </c>
      <c r="D124" s="15" t="s">
        <v>188</v>
      </c>
      <c r="E124" s="20">
        <v>10000000</v>
      </c>
      <c r="F124" s="21">
        <v>9972.17</v>
      </c>
      <c r="G124" s="22">
        <v>2.8E-3</v>
      </c>
      <c r="H124" s="23">
        <v>5.3615000000000003E-2</v>
      </c>
      <c r="I124" s="24"/>
      <c r="J124" s="5"/>
    </row>
    <row r="125" spans="1:10" ht="13.05" customHeight="1">
      <c r="A125" s="18" t="s">
        <v>3607</v>
      </c>
      <c r="B125" s="19" t="s">
        <v>3608</v>
      </c>
      <c r="C125" s="15" t="s">
        <v>3609</v>
      </c>
      <c r="D125" s="15" t="s">
        <v>188</v>
      </c>
      <c r="E125" s="20">
        <v>9000000</v>
      </c>
      <c r="F125" s="21">
        <v>8918.0460000000003</v>
      </c>
      <c r="G125" s="22">
        <v>2.5000000000000001E-3</v>
      </c>
      <c r="H125" s="23">
        <v>5.4101000000000003E-2</v>
      </c>
      <c r="I125" s="24"/>
      <c r="J125" s="5"/>
    </row>
    <row r="126" spans="1:10" ht="13.05" customHeight="1">
      <c r="A126" s="5"/>
      <c r="B126" s="14" t="s">
        <v>192</v>
      </c>
      <c r="C126" s="15"/>
      <c r="D126" s="15"/>
      <c r="E126" s="15"/>
      <c r="F126" s="25">
        <v>497090.95699999999</v>
      </c>
      <c r="G126" s="26">
        <v>0.1406</v>
      </c>
      <c r="H126" s="27"/>
      <c r="I126" s="28"/>
      <c r="J126" s="5"/>
    </row>
    <row r="127" spans="1:10" ht="13.05" customHeight="1">
      <c r="A127" s="5"/>
      <c r="B127" s="29" t="s">
        <v>195</v>
      </c>
      <c r="C127" s="30"/>
      <c r="D127" s="2"/>
      <c r="E127" s="30"/>
      <c r="F127" s="25">
        <v>3328822.2445</v>
      </c>
      <c r="G127" s="26">
        <v>0.94140000000000001</v>
      </c>
      <c r="H127" s="27"/>
      <c r="I127" s="28"/>
      <c r="J127" s="5"/>
    </row>
    <row r="128" spans="1:10" ht="13.05" customHeight="1">
      <c r="A128" s="5"/>
      <c r="B128" s="14" t="s">
        <v>1818</v>
      </c>
      <c r="C128" s="15"/>
      <c r="D128" s="15"/>
      <c r="E128" s="15"/>
      <c r="F128" s="15"/>
      <c r="G128" s="15"/>
      <c r="H128" s="16"/>
      <c r="I128" s="17"/>
      <c r="J128" s="5"/>
    </row>
    <row r="129" spans="1:10" ht="13.05" customHeight="1">
      <c r="A129" s="5"/>
      <c r="B129" s="14" t="s">
        <v>2332</v>
      </c>
      <c r="C129" s="15"/>
      <c r="D129" s="15"/>
      <c r="E129" s="15"/>
      <c r="F129" s="5"/>
      <c r="G129" s="16"/>
      <c r="H129" s="16"/>
      <c r="I129" s="17"/>
      <c r="J129" s="5"/>
    </row>
    <row r="130" spans="1:10" ht="13.05" customHeight="1">
      <c r="A130" s="18" t="s">
        <v>2333</v>
      </c>
      <c r="B130" s="19" t="s">
        <v>2334</v>
      </c>
      <c r="C130" s="15" t="s">
        <v>2335</v>
      </c>
      <c r="D130" s="15"/>
      <c r="E130" s="20">
        <v>81627.707999999999</v>
      </c>
      <c r="F130" s="21">
        <v>9338.9094000000005</v>
      </c>
      <c r="G130" s="22">
        <v>2.5999999999999999E-3</v>
      </c>
      <c r="H130" s="23"/>
      <c r="I130" s="24"/>
      <c r="J130" s="5"/>
    </row>
    <row r="131" spans="1:10" ht="13.05" customHeight="1">
      <c r="A131" s="5"/>
      <c r="B131" s="14" t="s">
        <v>192</v>
      </c>
      <c r="C131" s="15"/>
      <c r="D131" s="15"/>
      <c r="E131" s="15"/>
      <c r="F131" s="25">
        <v>9338.9094000000005</v>
      </c>
      <c r="G131" s="26">
        <v>2.5999999999999999E-3</v>
      </c>
      <c r="H131" s="27"/>
      <c r="I131" s="28"/>
      <c r="J131" s="5"/>
    </row>
    <row r="132" spans="1:10" ht="13.05" customHeight="1">
      <c r="A132" s="5"/>
      <c r="B132" s="29" t="s">
        <v>195</v>
      </c>
      <c r="C132" s="30"/>
      <c r="D132" s="2"/>
      <c r="E132" s="30"/>
      <c r="F132" s="25">
        <v>9338.9094000000005</v>
      </c>
      <c r="G132" s="26">
        <v>2.5999999999999999E-3</v>
      </c>
      <c r="H132" s="27"/>
      <c r="I132" s="28"/>
      <c r="J132" s="5"/>
    </row>
    <row r="133" spans="1:10" ht="13.05" customHeight="1">
      <c r="A133" s="5"/>
      <c r="B133" s="14" t="s">
        <v>196</v>
      </c>
      <c r="C133" s="15"/>
      <c r="D133" s="15"/>
      <c r="E133" s="15"/>
      <c r="F133" s="15"/>
      <c r="G133" s="15"/>
      <c r="H133" s="16"/>
      <c r="I133" s="17"/>
      <c r="J133" s="5"/>
    </row>
    <row r="134" spans="1:10" ht="13.05" customHeight="1">
      <c r="A134" s="18" t="s">
        <v>4266</v>
      </c>
      <c r="B134" s="19" t="s">
        <v>198</v>
      </c>
      <c r="C134" s="15"/>
      <c r="D134" s="15"/>
      <c r="E134" s="20"/>
      <c r="F134" s="21">
        <v>99923.1</v>
      </c>
      <c r="G134" s="22">
        <v>2.8299999999999999E-2</v>
      </c>
      <c r="H134" s="23">
        <v>5.62E-2</v>
      </c>
      <c r="I134" s="24"/>
      <c r="J134" s="5"/>
    </row>
    <row r="135" spans="1:10" ht="13.05" customHeight="1">
      <c r="A135" s="18" t="s">
        <v>197</v>
      </c>
      <c r="B135" s="19" t="s">
        <v>198</v>
      </c>
      <c r="C135" s="15"/>
      <c r="D135" s="15"/>
      <c r="E135" s="20"/>
      <c r="F135" s="21">
        <v>50033.754099999998</v>
      </c>
      <c r="G135" s="22">
        <v>1.41E-2</v>
      </c>
      <c r="H135" s="23">
        <v>5.5573617010495215E-2</v>
      </c>
      <c r="I135" s="24"/>
      <c r="J135" s="5"/>
    </row>
    <row r="136" spans="1:10" ht="13.05" customHeight="1">
      <c r="A136" s="5"/>
      <c r="B136" s="14" t="s">
        <v>192</v>
      </c>
      <c r="C136" s="15"/>
      <c r="D136" s="15"/>
      <c r="E136" s="15"/>
      <c r="F136" s="25">
        <v>149956.8541</v>
      </c>
      <c r="G136" s="26">
        <v>4.24E-2</v>
      </c>
      <c r="H136" s="27"/>
      <c r="I136" s="28"/>
      <c r="J136" s="5"/>
    </row>
    <row r="137" spans="1:10" ht="13.05" customHeight="1">
      <c r="A137" s="5"/>
      <c r="B137" s="29" t="s">
        <v>193</v>
      </c>
      <c r="C137" s="2"/>
      <c r="D137" s="2"/>
      <c r="E137" s="2"/>
      <c r="F137" s="27" t="s">
        <v>194</v>
      </c>
      <c r="G137" s="27" t="s">
        <v>194</v>
      </c>
      <c r="H137" s="27"/>
      <c r="I137" s="28"/>
      <c r="J137" s="5"/>
    </row>
    <row r="138" spans="1:10" ht="13.05" customHeight="1">
      <c r="A138" s="5"/>
      <c r="B138" s="29" t="s">
        <v>192</v>
      </c>
      <c r="C138" s="2"/>
      <c r="D138" s="2"/>
      <c r="E138" s="2"/>
      <c r="F138" s="27" t="s">
        <v>194</v>
      </c>
      <c r="G138" s="27" t="s">
        <v>194</v>
      </c>
      <c r="H138" s="27"/>
      <c r="I138" s="28"/>
      <c r="J138" s="5"/>
    </row>
    <row r="139" spans="1:10" ht="13.05" customHeight="1">
      <c r="A139" s="5"/>
      <c r="B139" s="29" t="s">
        <v>195</v>
      </c>
      <c r="C139" s="30"/>
      <c r="D139" s="2"/>
      <c r="E139" s="30"/>
      <c r="F139" s="25">
        <v>149956.8541</v>
      </c>
      <c r="G139" s="26">
        <v>4.24E-2</v>
      </c>
      <c r="H139" s="27"/>
      <c r="I139" s="28"/>
      <c r="J139" s="5"/>
    </row>
    <row r="140" spans="1:10" ht="13.05" customHeight="1">
      <c r="A140" s="5"/>
      <c r="B140" s="29" t="s">
        <v>199</v>
      </c>
      <c r="C140" s="15"/>
      <c r="D140" s="2"/>
      <c r="E140" s="15"/>
      <c r="F140" s="31">
        <v>4421.6180000000004</v>
      </c>
      <c r="G140" s="26">
        <v>1.2999999999999999E-3</v>
      </c>
      <c r="H140" s="27"/>
      <c r="I140" s="28"/>
      <c r="J140" s="5"/>
    </row>
    <row r="141" spans="1:10" ht="13.05" customHeight="1">
      <c r="A141" s="5"/>
      <c r="B141" s="32" t="s">
        <v>200</v>
      </c>
      <c r="C141" s="33"/>
      <c r="D141" s="33"/>
      <c r="E141" s="33"/>
      <c r="F141" s="34">
        <v>3536042.49</v>
      </c>
      <c r="G141" s="35">
        <v>1</v>
      </c>
      <c r="H141" s="36"/>
      <c r="I141" s="37"/>
      <c r="J141" s="5"/>
    </row>
    <row r="142" spans="1:10" ht="13.05" customHeight="1">
      <c r="A142" s="5"/>
      <c r="B142" s="7"/>
      <c r="C142" s="5"/>
      <c r="D142" s="5"/>
      <c r="E142" s="5"/>
      <c r="F142" s="5"/>
      <c r="G142" s="5"/>
      <c r="H142" s="5"/>
      <c r="I142" s="5"/>
      <c r="J142" s="5"/>
    </row>
    <row r="143" spans="1:10" ht="13.05" customHeight="1">
      <c r="A143" s="5"/>
      <c r="B143" s="4" t="s">
        <v>250</v>
      </c>
      <c r="C143" s="5"/>
      <c r="D143" s="5"/>
      <c r="E143" s="5"/>
      <c r="F143" s="5"/>
      <c r="G143" s="5"/>
      <c r="H143" s="5"/>
      <c r="I143" s="5"/>
      <c r="J143" s="5"/>
    </row>
    <row r="144" spans="1:10" ht="13.05" customHeight="1">
      <c r="A144" s="5"/>
      <c r="B144" s="4" t="s">
        <v>201</v>
      </c>
      <c r="C144" s="5"/>
      <c r="D144" s="5"/>
      <c r="E144" s="5"/>
      <c r="F144" s="5"/>
      <c r="G144" s="5"/>
      <c r="H144" s="5"/>
      <c r="I144" s="5"/>
      <c r="J144" s="5"/>
    </row>
    <row r="145" spans="1:10" ht="25.95" customHeight="1">
      <c r="A145" s="5"/>
      <c r="B145" s="103" t="s">
        <v>202</v>
      </c>
      <c r="C145" s="103"/>
      <c r="D145" s="103"/>
      <c r="E145" s="103"/>
      <c r="F145" s="103"/>
      <c r="G145" s="103"/>
      <c r="H145" s="103"/>
      <c r="I145" s="103"/>
      <c r="J145" s="5"/>
    </row>
    <row r="146" spans="1:10" ht="13.05" customHeight="1">
      <c r="A146" s="5"/>
      <c r="B146" s="103" t="s">
        <v>203</v>
      </c>
      <c r="C146" s="103"/>
      <c r="D146" s="103"/>
      <c r="E146" s="103"/>
      <c r="F146" s="103"/>
      <c r="G146" s="103"/>
      <c r="H146" s="103"/>
      <c r="I146" s="103"/>
      <c r="J146" s="5"/>
    </row>
    <row r="147" spans="1:10" ht="13.05" customHeight="1">
      <c r="A147" s="5"/>
      <c r="B147" s="103"/>
      <c r="C147" s="103"/>
      <c r="D147" s="103"/>
      <c r="E147" s="103"/>
      <c r="F147" s="103"/>
      <c r="G147" s="103"/>
      <c r="H147" s="103"/>
      <c r="I147" s="103"/>
      <c r="J147" s="5"/>
    </row>
    <row r="148" spans="1:10" ht="13.05" customHeight="1">
      <c r="A148" s="5"/>
      <c r="B148" s="103"/>
      <c r="C148" s="103"/>
      <c r="D148" s="103"/>
      <c r="E148" s="103"/>
      <c r="F148" s="103"/>
      <c r="G148" s="103"/>
      <c r="H148" s="103"/>
      <c r="I148" s="103"/>
      <c r="J148" s="5"/>
    </row>
    <row r="149" spans="1:10" ht="13.05" customHeight="1">
      <c r="A149" s="5"/>
      <c r="B149" s="103"/>
      <c r="C149" s="103"/>
      <c r="D149" s="103"/>
      <c r="E149" s="103"/>
      <c r="F149" s="103"/>
      <c r="G149" s="103"/>
      <c r="H149" s="103"/>
      <c r="I149" s="103"/>
      <c r="J149" s="5"/>
    </row>
    <row r="150" spans="1:10" ht="13.05" customHeight="1">
      <c r="A150" s="5"/>
      <c r="B150" s="103"/>
      <c r="C150" s="103"/>
      <c r="D150" s="103"/>
      <c r="E150" s="103"/>
      <c r="F150" s="103"/>
      <c r="G150" s="103"/>
      <c r="H150" s="103"/>
      <c r="I150" s="103"/>
      <c r="J150" s="5"/>
    </row>
    <row r="151" spans="1:10" ht="13.05" customHeight="1">
      <c r="A151" s="5"/>
      <c r="B151" s="5"/>
      <c r="C151" s="104" t="s">
        <v>4267</v>
      </c>
      <c r="D151" s="104"/>
      <c r="E151" s="104"/>
      <c r="F151" s="104"/>
      <c r="G151" s="5"/>
      <c r="H151" s="5"/>
      <c r="I151" s="5"/>
      <c r="J151" s="5"/>
    </row>
    <row r="152" spans="1:10" ht="13.05" customHeight="1">
      <c r="A152" s="5"/>
      <c r="B152" s="38" t="s">
        <v>207</v>
      </c>
      <c r="C152" s="104" t="s">
        <v>208</v>
      </c>
      <c r="D152" s="104"/>
      <c r="E152" s="104"/>
      <c r="F152" s="104"/>
      <c r="G152" s="5"/>
      <c r="H152" s="5"/>
      <c r="I152" s="5"/>
      <c r="J152" s="5"/>
    </row>
    <row r="153" spans="1:10" ht="135" customHeight="1">
      <c r="A153" s="5"/>
      <c r="B153" s="39"/>
      <c r="C153" s="105"/>
      <c r="D153" s="105"/>
      <c r="E153" s="5"/>
      <c r="F153" s="5"/>
      <c r="G153" s="5"/>
      <c r="H153" s="5"/>
      <c r="I153" s="5"/>
      <c r="J153" s="5"/>
    </row>
  </sheetData>
  <mergeCells count="9">
    <mergeCell ref="B150:I150"/>
    <mergeCell ref="C151:F151"/>
    <mergeCell ref="C152:F152"/>
    <mergeCell ref="C153:D153"/>
    <mergeCell ref="B145:I145"/>
    <mergeCell ref="B146:I146"/>
    <mergeCell ref="B147:I147"/>
    <mergeCell ref="B148:I148"/>
    <mergeCell ref="B149:I149"/>
  </mergeCells>
  <hyperlinks>
    <hyperlink ref="A1" location="AxisLiquidFund" display="AXISLFA" xr:uid="{00000000-0004-0000-2B00-000000000000}"/>
    <hyperlink ref="B1" location="AxisLiquidFund" display="Axis Liquid Fund" xr:uid="{00000000-0004-0000-2B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outlinePr summaryBelow="0"/>
  </sheetPr>
  <dimension ref="A1:J50"/>
  <sheetViews>
    <sheetView topLeftCell="A45"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90</v>
      </c>
      <c r="B1" s="4" t="s">
        <v>91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2876</v>
      </c>
      <c r="B7" s="19" t="s">
        <v>2877</v>
      </c>
      <c r="C7" s="15" t="s">
        <v>2878</v>
      </c>
      <c r="D7" s="15" t="s">
        <v>188</v>
      </c>
      <c r="E7" s="20">
        <v>15494700</v>
      </c>
      <c r="F7" s="21">
        <v>15540.115</v>
      </c>
      <c r="G7" s="22">
        <v>0.26989999999999997</v>
      </c>
      <c r="H7" s="23">
        <v>7.4507000000000004E-2</v>
      </c>
      <c r="I7" s="24"/>
      <c r="J7" s="5"/>
    </row>
    <row r="8" spans="1:10" ht="13.05" customHeight="1">
      <c r="A8" s="18" t="s">
        <v>1881</v>
      </c>
      <c r="B8" s="19" t="s">
        <v>1882</v>
      </c>
      <c r="C8" s="15" t="s">
        <v>1883</v>
      </c>
      <c r="D8" s="15" t="s">
        <v>188</v>
      </c>
      <c r="E8" s="20">
        <v>9214800</v>
      </c>
      <c r="F8" s="21">
        <v>9339.8909000000003</v>
      </c>
      <c r="G8" s="22">
        <v>0.16220000000000001</v>
      </c>
      <c r="H8" s="23">
        <v>6.694E-2</v>
      </c>
      <c r="I8" s="24"/>
      <c r="J8" s="5"/>
    </row>
    <row r="9" spans="1:10" ht="13.05" customHeight="1">
      <c r="A9" s="18" t="s">
        <v>2441</v>
      </c>
      <c r="B9" s="19" t="s">
        <v>2442</v>
      </c>
      <c r="C9" s="15" t="s">
        <v>2443</v>
      </c>
      <c r="D9" s="15" t="s">
        <v>188</v>
      </c>
      <c r="E9" s="20">
        <v>4000000</v>
      </c>
      <c r="F9" s="21">
        <v>4128.8280000000004</v>
      </c>
      <c r="G9" s="22">
        <v>7.17E-2</v>
      </c>
      <c r="H9" s="23">
        <v>6.7038E-2</v>
      </c>
      <c r="I9" s="24"/>
      <c r="J9" s="5"/>
    </row>
    <row r="10" spans="1:10" ht="13.05" customHeight="1">
      <c r="A10" s="18" t="s">
        <v>2879</v>
      </c>
      <c r="B10" s="19" t="s">
        <v>2880</v>
      </c>
      <c r="C10" s="15" t="s">
        <v>2881</v>
      </c>
      <c r="D10" s="15" t="s">
        <v>188</v>
      </c>
      <c r="E10" s="20">
        <v>3643000</v>
      </c>
      <c r="F10" s="21">
        <v>3523.8411000000001</v>
      </c>
      <c r="G10" s="22">
        <v>6.1199999999999997E-2</v>
      </c>
      <c r="H10" s="23">
        <v>7.4712000000000001E-2</v>
      </c>
      <c r="I10" s="24"/>
      <c r="J10" s="5"/>
    </row>
    <row r="11" spans="1:10" ht="13.05" customHeight="1">
      <c r="A11" s="18" t="s">
        <v>3968</v>
      </c>
      <c r="B11" s="19" t="s">
        <v>3969</v>
      </c>
      <c r="C11" s="15" t="s">
        <v>3970</v>
      </c>
      <c r="D11" s="15" t="s">
        <v>188</v>
      </c>
      <c r="E11" s="20">
        <v>2500000</v>
      </c>
      <c r="F11" s="21">
        <v>2454.8975</v>
      </c>
      <c r="G11" s="22">
        <v>4.2599999999999999E-2</v>
      </c>
      <c r="H11" s="23">
        <v>7.3696999999999999E-2</v>
      </c>
      <c r="I11" s="24"/>
      <c r="J11" s="5"/>
    </row>
    <row r="12" spans="1:10" ht="13.05" customHeight="1">
      <c r="A12" s="18" t="s">
        <v>2572</v>
      </c>
      <c r="B12" s="19" t="s">
        <v>2573</v>
      </c>
      <c r="C12" s="15" t="s">
        <v>2574</v>
      </c>
      <c r="D12" s="15" t="s">
        <v>188</v>
      </c>
      <c r="E12" s="20">
        <v>2500000</v>
      </c>
      <c r="F12" s="21">
        <v>2451.9724999999999</v>
      </c>
      <c r="G12" s="22">
        <v>4.2599999999999999E-2</v>
      </c>
      <c r="H12" s="23">
        <v>7.3555999999999996E-2</v>
      </c>
      <c r="I12" s="24"/>
      <c r="J12" s="5"/>
    </row>
    <row r="13" spans="1:10" ht="13.05" customHeight="1">
      <c r="A13" s="18" t="s">
        <v>2350</v>
      </c>
      <c r="B13" s="19" t="s">
        <v>2351</v>
      </c>
      <c r="C13" s="15" t="s">
        <v>2352</v>
      </c>
      <c r="D13" s="15" t="s">
        <v>188</v>
      </c>
      <c r="E13" s="20">
        <v>1500000</v>
      </c>
      <c r="F13" s="21">
        <v>1571.0295000000001</v>
      </c>
      <c r="G13" s="22">
        <v>2.7300000000000001E-2</v>
      </c>
      <c r="H13" s="23">
        <v>7.3229000000000002E-2</v>
      </c>
      <c r="I13" s="24"/>
      <c r="J13" s="5"/>
    </row>
    <row r="14" spans="1:10" ht="13.05" customHeight="1">
      <c r="A14" s="18" t="s">
        <v>4268</v>
      </c>
      <c r="B14" s="19" t="s">
        <v>4269</v>
      </c>
      <c r="C14" s="15" t="s">
        <v>4270</v>
      </c>
      <c r="D14" s="15" t="s">
        <v>188</v>
      </c>
      <c r="E14" s="20">
        <v>1483000</v>
      </c>
      <c r="F14" s="21">
        <v>1514.0288</v>
      </c>
      <c r="G14" s="22">
        <v>2.63E-2</v>
      </c>
      <c r="H14" s="23">
        <v>7.3077000000000003E-2</v>
      </c>
      <c r="I14" s="24"/>
      <c r="J14" s="5"/>
    </row>
    <row r="15" spans="1:10" ht="13.05" customHeight="1">
      <c r="A15" s="18" t="s">
        <v>2575</v>
      </c>
      <c r="B15" s="19" t="s">
        <v>2576</v>
      </c>
      <c r="C15" s="15" t="s">
        <v>2577</v>
      </c>
      <c r="D15" s="15" t="s">
        <v>188</v>
      </c>
      <c r="E15" s="20">
        <v>1000000</v>
      </c>
      <c r="F15" s="21">
        <v>980.42</v>
      </c>
      <c r="G15" s="22">
        <v>1.7000000000000001E-2</v>
      </c>
      <c r="H15" s="23">
        <v>7.0114999999999997E-2</v>
      </c>
      <c r="I15" s="24"/>
      <c r="J15" s="5"/>
    </row>
    <row r="16" spans="1:10" ht="13.05" customHeight="1">
      <c r="A16" s="18" t="s">
        <v>4271</v>
      </c>
      <c r="B16" s="19" t="s">
        <v>4272</v>
      </c>
      <c r="C16" s="15" t="s">
        <v>4273</v>
      </c>
      <c r="D16" s="15" t="s">
        <v>188</v>
      </c>
      <c r="E16" s="20">
        <v>500000</v>
      </c>
      <c r="F16" s="21">
        <v>507.6275</v>
      </c>
      <c r="G16" s="22">
        <v>8.8000000000000005E-3</v>
      </c>
      <c r="H16" s="23">
        <v>7.4789999999999995E-2</v>
      </c>
      <c r="I16" s="24"/>
      <c r="J16" s="5"/>
    </row>
    <row r="17" spans="1:10" ht="13.05" customHeight="1">
      <c r="A17" s="18" t="s">
        <v>3860</v>
      </c>
      <c r="B17" s="19" t="s">
        <v>3861</v>
      </c>
      <c r="C17" s="15" t="s">
        <v>3862</v>
      </c>
      <c r="D17" s="15" t="s">
        <v>188</v>
      </c>
      <c r="E17" s="20">
        <v>424800</v>
      </c>
      <c r="F17" s="21">
        <v>409.5539</v>
      </c>
      <c r="G17" s="22">
        <v>7.1000000000000004E-3</v>
      </c>
      <c r="H17" s="23">
        <v>7.3555999999999996E-2</v>
      </c>
      <c r="I17" s="24"/>
      <c r="J17" s="5"/>
    </row>
    <row r="18" spans="1:10" ht="13.05" customHeight="1">
      <c r="A18" s="18" t="s">
        <v>4274</v>
      </c>
      <c r="B18" s="19" t="s">
        <v>4275</v>
      </c>
      <c r="C18" s="15" t="s">
        <v>4276</v>
      </c>
      <c r="D18" s="15" t="s">
        <v>188</v>
      </c>
      <c r="E18" s="20">
        <v>235700</v>
      </c>
      <c r="F18" s="21">
        <v>238.8049</v>
      </c>
      <c r="G18" s="22">
        <v>4.1000000000000003E-3</v>
      </c>
      <c r="H18" s="23">
        <v>7.2825000000000001E-2</v>
      </c>
      <c r="I18" s="24"/>
      <c r="J18" s="5"/>
    </row>
    <row r="19" spans="1:10" ht="13.05" customHeight="1">
      <c r="A19" s="18" t="s">
        <v>1890</v>
      </c>
      <c r="B19" s="19" t="s">
        <v>1891</v>
      </c>
      <c r="C19" s="15" t="s">
        <v>1892</v>
      </c>
      <c r="D19" s="15" t="s">
        <v>188</v>
      </c>
      <c r="E19" s="20">
        <v>200000</v>
      </c>
      <c r="F19" s="21">
        <v>207.37360000000001</v>
      </c>
      <c r="G19" s="22">
        <v>3.5999999999999999E-3</v>
      </c>
      <c r="H19" s="23">
        <v>6.6730999999999999E-2</v>
      </c>
      <c r="I19" s="24"/>
      <c r="J19" s="5"/>
    </row>
    <row r="20" spans="1:10" ht="13.05" customHeight="1">
      <c r="A20" s="18" t="s">
        <v>4277</v>
      </c>
      <c r="B20" s="19" t="s">
        <v>4278</v>
      </c>
      <c r="C20" s="15" t="s">
        <v>4279</v>
      </c>
      <c r="D20" s="15" t="s">
        <v>188</v>
      </c>
      <c r="E20" s="20">
        <v>200000</v>
      </c>
      <c r="F20" s="21">
        <v>198.3982</v>
      </c>
      <c r="G20" s="22">
        <v>3.3999999999999998E-3</v>
      </c>
      <c r="H20" s="23">
        <v>7.2912000000000005E-2</v>
      </c>
      <c r="I20" s="24"/>
      <c r="J20" s="5"/>
    </row>
    <row r="21" spans="1:10" ht="13.05" customHeight="1">
      <c r="A21" s="5"/>
      <c r="B21" s="14" t="s">
        <v>192</v>
      </c>
      <c r="C21" s="15"/>
      <c r="D21" s="15"/>
      <c r="E21" s="15"/>
      <c r="F21" s="25">
        <v>43066.7814</v>
      </c>
      <c r="G21" s="26">
        <v>0.748</v>
      </c>
      <c r="H21" s="27"/>
      <c r="I21" s="28"/>
      <c r="J21" s="5"/>
    </row>
    <row r="22" spans="1:10" ht="13.05" customHeight="1">
      <c r="A22" s="5"/>
      <c r="B22" s="29" t="s">
        <v>193</v>
      </c>
      <c r="C22" s="2"/>
      <c r="D22" s="2"/>
      <c r="E22" s="2"/>
      <c r="F22" s="27" t="s">
        <v>194</v>
      </c>
      <c r="G22" s="27" t="s">
        <v>194</v>
      </c>
      <c r="H22" s="27"/>
      <c r="I22" s="28"/>
      <c r="J22" s="5"/>
    </row>
    <row r="23" spans="1:10" ht="13.05" customHeight="1">
      <c r="A23" s="5"/>
      <c r="B23" s="29" t="s">
        <v>192</v>
      </c>
      <c r="C23" s="2"/>
      <c r="D23" s="2"/>
      <c r="E23" s="2"/>
      <c r="F23" s="27" t="s">
        <v>194</v>
      </c>
      <c r="G23" s="27" t="s">
        <v>194</v>
      </c>
      <c r="H23" s="27"/>
      <c r="I23" s="28"/>
      <c r="J23" s="5"/>
    </row>
    <row r="24" spans="1:10" ht="13.05" customHeight="1">
      <c r="A24" s="5"/>
      <c r="B24" s="29" t="s">
        <v>195</v>
      </c>
      <c r="C24" s="30"/>
      <c r="D24" s="2"/>
      <c r="E24" s="30"/>
      <c r="F24" s="25">
        <v>43066.7814</v>
      </c>
      <c r="G24" s="26">
        <v>0.748</v>
      </c>
      <c r="H24" s="27"/>
      <c r="I24" s="28"/>
      <c r="J24" s="5"/>
    </row>
    <row r="25" spans="1:10" ht="13.05" customHeight="1">
      <c r="A25" s="5"/>
      <c r="B25" s="14" t="s">
        <v>1866</v>
      </c>
      <c r="C25" s="15"/>
      <c r="D25" s="15"/>
      <c r="E25" s="15"/>
      <c r="F25" s="15"/>
      <c r="G25" s="15"/>
      <c r="H25" s="16"/>
      <c r="I25" s="17"/>
      <c r="J25" s="5"/>
    </row>
    <row r="26" spans="1:10" ht="13.05" customHeight="1">
      <c r="A26" s="5"/>
      <c r="B26" s="14" t="s">
        <v>1867</v>
      </c>
      <c r="C26" s="15"/>
      <c r="D26" s="15"/>
      <c r="E26" s="15"/>
      <c r="F26" s="5"/>
      <c r="G26" s="16"/>
      <c r="H26" s="16"/>
      <c r="I26" s="17"/>
      <c r="J26" s="5"/>
    </row>
    <row r="27" spans="1:10" ht="13.05" customHeight="1">
      <c r="A27" s="18" t="s">
        <v>3183</v>
      </c>
      <c r="B27" s="19" t="s">
        <v>3184</v>
      </c>
      <c r="C27" s="15" t="s">
        <v>3185</v>
      </c>
      <c r="D27" s="15" t="s">
        <v>188</v>
      </c>
      <c r="E27" s="20">
        <v>4000000</v>
      </c>
      <c r="F27" s="21">
        <v>3996.9760000000001</v>
      </c>
      <c r="G27" s="22">
        <v>6.9400000000000003E-2</v>
      </c>
      <c r="H27" s="23">
        <v>5.5199999999999999E-2</v>
      </c>
      <c r="I27" s="24"/>
      <c r="J27" s="5"/>
    </row>
    <row r="28" spans="1:10" ht="13.05" customHeight="1">
      <c r="A28" s="18" t="s">
        <v>4257</v>
      </c>
      <c r="B28" s="19" t="s">
        <v>4258</v>
      </c>
      <c r="C28" s="15" t="s">
        <v>4259</v>
      </c>
      <c r="D28" s="15" t="s">
        <v>188</v>
      </c>
      <c r="E28" s="20">
        <v>1000000</v>
      </c>
      <c r="F28" s="21">
        <v>998.21100000000001</v>
      </c>
      <c r="G28" s="22">
        <v>1.7299999999999999E-2</v>
      </c>
      <c r="H28" s="23">
        <v>5.45E-2</v>
      </c>
      <c r="I28" s="24"/>
      <c r="J28" s="5"/>
    </row>
    <row r="29" spans="1:10" ht="13.05" customHeight="1">
      <c r="A29" s="18" t="s">
        <v>4263</v>
      </c>
      <c r="B29" s="19" t="s">
        <v>4264</v>
      </c>
      <c r="C29" s="15" t="s">
        <v>4265</v>
      </c>
      <c r="D29" s="15" t="s">
        <v>188</v>
      </c>
      <c r="E29" s="20">
        <v>500000</v>
      </c>
      <c r="F29" s="21">
        <v>498.60849999999999</v>
      </c>
      <c r="G29" s="22">
        <v>8.6999999999999994E-3</v>
      </c>
      <c r="H29" s="23">
        <v>5.3615000000000003E-2</v>
      </c>
      <c r="I29" s="24"/>
      <c r="J29" s="5"/>
    </row>
    <row r="30" spans="1:10" ht="13.05" customHeight="1">
      <c r="A30" s="5"/>
      <c r="B30" s="14" t="s">
        <v>192</v>
      </c>
      <c r="C30" s="15"/>
      <c r="D30" s="15"/>
      <c r="E30" s="15"/>
      <c r="F30" s="25">
        <v>5493.7955000000002</v>
      </c>
      <c r="G30" s="26">
        <v>9.5399999999999999E-2</v>
      </c>
      <c r="H30" s="27"/>
      <c r="I30" s="28"/>
      <c r="J30" s="5"/>
    </row>
    <row r="31" spans="1:10" ht="13.05" customHeight="1">
      <c r="A31" s="5"/>
      <c r="B31" s="29" t="s">
        <v>195</v>
      </c>
      <c r="C31" s="30"/>
      <c r="D31" s="2"/>
      <c r="E31" s="30"/>
      <c r="F31" s="25">
        <v>5493.7955000000002</v>
      </c>
      <c r="G31" s="26">
        <v>9.5399999999999999E-2</v>
      </c>
      <c r="H31" s="27"/>
      <c r="I31" s="28"/>
      <c r="J31" s="5"/>
    </row>
    <row r="32" spans="1:10" ht="13.05" customHeight="1">
      <c r="A32" s="5"/>
      <c r="B32" s="14" t="s">
        <v>196</v>
      </c>
      <c r="C32" s="15"/>
      <c r="D32" s="15"/>
      <c r="E32" s="15"/>
      <c r="F32" s="15"/>
      <c r="G32" s="15"/>
      <c r="H32" s="16"/>
      <c r="I32" s="17"/>
      <c r="J32" s="5"/>
    </row>
    <row r="33" spans="1:10" ht="13.05" customHeight="1">
      <c r="A33" s="18" t="s">
        <v>197</v>
      </c>
      <c r="B33" s="19" t="s">
        <v>198</v>
      </c>
      <c r="C33" s="15"/>
      <c r="D33" s="15"/>
      <c r="E33" s="20"/>
      <c r="F33" s="21">
        <v>7360.2786999999998</v>
      </c>
      <c r="G33" s="22">
        <v>0.1278</v>
      </c>
      <c r="H33" s="23">
        <v>5.5573617010495215E-2</v>
      </c>
      <c r="I33" s="24"/>
      <c r="J33" s="5"/>
    </row>
    <row r="34" spans="1:10" ht="13.05" customHeight="1">
      <c r="A34" s="5"/>
      <c r="B34" s="14" t="s">
        <v>192</v>
      </c>
      <c r="C34" s="15"/>
      <c r="D34" s="15"/>
      <c r="E34" s="15"/>
      <c r="F34" s="25">
        <v>7360.2786999999998</v>
      </c>
      <c r="G34" s="26">
        <v>0.1278</v>
      </c>
      <c r="H34" s="27"/>
      <c r="I34" s="28"/>
      <c r="J34" s="5"/>
    </row>
    <row r="35" spans="1:10" ht="13.05" customHeight="1">
      <c r="A35" s="5"/>
      <c r="B35" s="29" t="s">
        <v>193</v>
      </c>
      <c r="C35" s="2"/>
      <c r="D35" s="2"/>
      <c r="E35" s="2"/>
      <c r="F35" s="27" t="s">
        <v>194</v>
      </c>
      <c r="G35" s="27" t="s">
        <v>194</v>
      </c>
      <c r="H35" s="27"/>
      <c r="I35" s="28"/>
      <c r="J35" s="5"/>
    </row>
    <row r="36" spans="1:10" ht="13.05" customHeight="1">
      <c r="A36" s="5"/>
      <c r="B36" s="29" t="s">
        <v>192</v>
      </c>
      <c r="C36" s="2"/>
      <c r="D36" s="2"/>
      <c r="E36" s="2"/>
      <c r="F36" s="27" t="s">
        <v>194</v>
      </c>
      <c r="G36" s="27" t="s">
        <v>194</v>
      </c>
      <c r="H36" s="27"/>
      <c r="I36" s="28"/>
      <c r="J36" s="5"/>
    </row>
    <row r="37" spans="1:10" ht="13.05" customHeight="1">
      <c r="A37" s="5"/>
      <c r="B37" s="29" t="s">
        <v>195</v>
      </c>
      <c r="C37" s="30"/>
      <c r="D37" s="2"/>
      <c r="E37" s="30"/>
      <c r="F37" s="25">
        <v>7360.2786999999998</v>
      </c>
      <c r="G37" s="26">
        <v>0.1278</v>
      </c>
      <c r="H37" s="27"/>
      <c r="I37" s="28"/>
      <c r="J37" s="5"/>
    </row>
    <row r="38" spans="1:10" ht="13.05" customHeight="1">
      <c r="A38" s="5"/>
      <c r="B38" s="29" t="s">
        <v>199</v>
      </c>
      <c r="C38" s="15"/>
      <c r="D38" s="2"/>
      <c r="E38" s="15"/>
      <c r="F38" s="31">
        <v>1654.6944000000001</v>
      </c>
      <c r="G38" s="26">
        <v>2.8799999999999999E-2</v>
      </c>
      <c r="H38" s="27"/>
      <c r="I38" s="28"/>
      <c r="J38" s="5"/>
    </row>
    <row r="39" spans="1:10" ht="13.05" customHeight="1">
      <c r="A39" s="5"/>
      <c r="B39" s="32" t="s">
        <v>200</v>
      </c>
      <c r="C39" s="33"/>
      <c r="D39" s="33"/>
      <c r="E39" s="33"/>
      <c r="F39" s="34">
        <v>57575.55</v>
      </c>
      <c r="G39" s="35">
        <v>1</v>
      </c>
      <c r="H39" s="36"/>
      <c r="I39" s="37"/>
      <c r="J39" s="5"/>
    </row>
    <row r="40" spans="1:10" ht="13.05" customHeight="1">
      <c r="A40" s="5"/>
      <c r="B40" s="7"/>
      <c r="C40" s="5"/>
      <c r="D40" s="5"/>
      <c r="E40" s="5"/>
      <c r="F40" s="5"/>
      <c r="G40" s="5"/>
      <c r="H40" s="5"/>
      <c r="I40" s="5"/>
      <c r="J40" s="5"/>
    </row>
    <row r="41" spans="1:10" ht="13.05" customHeight="1">
      <c r="A41" s="5"/>
      <c r="B41" s="4" t="s">
        <v>201</v>
      </c>
      <c r="C41" s="5"/>
      <c r="D41" s="5"/>
      <c r="E41" s="5"/>
      <c r="F41" s="5"/>
      <c r="G41" s="5"/>
      <c r="H41" s="5"/>
      <c r="I41" s="5"/>
      <c r="J41" s="5"/>
    </row>
    <row r="42" spans="1:10" ht="25.95" customHeight="1">
      <c r="A42" s="5"/>
      <c r="B42" s="103" t="s">
        <v>202</v>
      </c>
      <c r="C42" s="103"/>
      <c r="D42" s="103"/>
      <c r="E42" s="103"/>
      <c r="F42" s="103"/>
      <c r="G42" s="103"/>
      <c r="H42" s="103"/>
      <c r="I42" s="103"/>
      <c r="J42" s="5"/>
    </row>
    <row r="43" spans="1:10" ht="13.05" customHeight="1">
      <c r="A43" s="5"/>
      <c r="B43" s="103" t="s">
        <v>203</v>
      </c>
      <c r="C43" s="103"/>
      <c r="D43" s="103"/>
      <c r="E43" s="103"/>
      <c r="F43" s="103"/>
      <c r="G43" s="103"/>
      <c r="H43" s="103"/>
      <c r="I43" s="103"/>
      <c r="J43" s="5"/>
    </row>
    <row r="44" spans="1:10" ht="13.05" customHeight="1">
      <c r="A44" s="5"/>
      <c r="B44" s="103"/>
      <c r="C44" s="103"/>
      <c r="D44" s="103"/>
      <c r="E44" s="103"/>
      <c r="F44" s="103"/>
      <c r="G44" s="103"/>
      <c r="H44" s="103"/>
      <c r="I44" s="103"/>
      <c r="J44" s="5"/>
    </row>
    <row r="45" spans="1:10" ht="13.05" customHeight="1">
      <c r="A45" s="5"/>
      <c r="B45" s="103"/>
      <c r="C45" s="103"/>
      <c r="D45" s="103"/>
      <c r="E45" s="103"/>
      <c r="F45" s="103"/>
      <c r="G45" s="103"/>
      <c r="H45" s="103"/>
      <c r="I45" s="103"/>
      <c r="J45" s="5"/>
    </row>
    <row r="46" spans="1:10" ht="13.05" customHeight="1">
      <c r="A46" s="5"/>
      <c r="B46" s="103"/>
      <c r="C46" s="103"/>
      <c r="D46" s="103"/>
      <c r="E46" s="103"/>
      <c r="F46" s="103"/>
      <c r="G46" s="103"/>
      <c r="H46" s="103"/>
      <c r="I46" s="103"/>
      <c r="J46" s="5"/>
    </row>
    <row r="47" spans="1:10" ht="13.05" customHeight="1">
      <c r="A47" s="5"/>
      <c r="B47" s="103"/>
      <c r="C47" s="103"/>
      <c r="D47" s="103"/>
      <c r="E47" s="103"/>
      <c r="F47" s="103"/>
      <c r="G47" s="103"/>
      <c r="H47" s="103"/>
      <c r="I47" s="103"/>
      <c r="J47" s="5"/>
    </row>
    <row r="48" spans="1:10" ht="13.05" customHeight="1">
      <c r="A48" s="5"/>
      <c r="B48" s="5"/>
      <c r="C48" s="104" t="s">
        <v>4280</v>
      </c>
      <c r="D48" s="104"/>
      <c r="E48" s="104"/>
      <c r="F48" s="104"/>
      <c r="G48" s="5"/>
      <c r="H48" s="5"/>
      <c r="I48" s="5"/>
      <c r="J48" s="5"/>
    </row>
    <row r="49" spans="1:10" ht="13.05" customHeight="1">
      <c r="A49" s="5"/>
      <c r="B49" s="38" t="s">
        <v>207</v>
      </c>
      <c r="C49" s="104" t="s">
        <v>208</v>
      </c>
      <c r="D49" s="104"/>
      <c r="E49" s="104"/>
      <c r="F49" s="104"/>
      <c r="G49" s="5"/>
      <c r="H49" s="5"/>
      <c r="I49" s="5"/>
      <c r="J49" s="5"/>
    </row>
    <row r="50" spans="1:10" ht="135" customHeight="1">
      <c r="A50" s="5"/>
      <c r="B50" s="39"/>
      <c r="C50" s="105"/>
      <c r="D50" s="105"/>
      <c r="E50" s="5"/>
      <c r="F50" s="5"/>
      <c r="G50" s="5"/>
      <c r="H50" s="5"/>
      <c r="I50" s="5"/>
      <c r="J50" s="5"/>
    </row>
  </sheetData>
  <mergeCells count="9">
    <mergeCell ref="B47:I47"/>
    <mergeCell ref="C48:F48"/>
    <mergeCell ref="C49:F49"/>
    <mergeCell ref="C50:D50"/>
    <mergeCell ref="B42:I42"/>
    <mergeCell ref="B43:I43"/>
    <mergeCell ref="B44:I44"/>
    <mergeCell ref="B45:I45"/>
    <mergeCell ref="B46:I46"/>
  </mergeCells>
  <hyperlinks>
    <hyperlink ref="A1" location="AxisGiltFund" display="AXISM10" xr:uid="{00000000-0004-0000-2C00-000000000000}"/>
    <hyperlink ref="B1" location="AxisGiltFund" display="Axis Gilt Fund" xr:uid="{00000000-0004-0000-2C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outlinePr summaryBelow="0"/>
  </sheetPr>
  <dimension ref="A1:J129"/>
  <sheetViews>
    <sheetView topLeftCell="A112" workbookViewId="0">
      <selection activeCell="C109" sqref="C109"/>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92</v>
      </c>
      <c r="B1" s="4" t="s">
        <v>93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514</v>
      </c>
      <c r="B7" s="19" t="s">
        <v>515</v>
      </c>
      <c r="C7" s="15" t="s">
        <v>516</v>
      </c>
      <c r="D7" s="15" t="s">
        <v>415</v>
      </c>
      <c r="E7" s="20">
        <v>12674257</v>
      </c>
      <c r="F7" s="21">
        <v>129663.9862</v>
      </c>
      <c r="G7" s="22">
        <v>4.0399999999999998E-2</v>
      </c>
      <c r="H7" s="40"/>
      <c r="I7" s="24"/>
      <c r="J7" s="5"/>
    </row>
    <row r="8" spans="1:10" ht="13.05" customHeight="1">
      <c r="A8" s="18" t="s">
        <v>495</v>
      </c>
      <c r="B8" s="19" t="s">
        <v>496</v>
      </c>
      <c r="C8" s="15" t="s">
        <v>497</v>
      </c>
      <c r="D8" s="15" t="s">
        <v>257</v>
      </c>
      <c r="E8" s="20">
        <v>38056676</v>
      </c>
      <c r="F8" s="21">
        <v>90045.901100000003</v>
      </c>
      <c r="G8" s="22">
        <v>2.81E-2</v>
      </c>
      <c r="H8" s="40"/>
      <c r="I8" s="24"/>
      <c r="J8" s="5"/>
    </row>
    <row r="9" spans="1:10" ht="13.05" customHeight="1">
      <c r="A9" s="18" t="s">
        <v>461</v>
      </c>
      <c r="B9" s="19" t="s">
        <v>462</v>
      </c>
      <c r="C9" s="15" t="s">
        <v>463</v>
      </c>
      <c r="D9" s="15" t="s">
        <v>464</v>
      </c>
      <c r="E9" s="20">
        <v>10812201</v>
      </c>
      <c r="F9" s="21">
        <v>80204.907000000007</v>
      </c>
      <c r="G9" s="22">
        <v>2.5000000000000001E-2</v>
      </c>
      <c r="H9" s="40"/>
      <c r="I9" s="24"/>
      <c r="J9" s="5"/>
    </row>
    <row r="10" spans="1:10" ht="13.05" customHeight="1">
      <c r="A10" s="18" t="s">
        <v>752</v>
      </c>
      <c r="B10" s="19" t="s">
        <v>753</v>
      </c>
      <c r="C10" s="15" t="s">
        <v>754</v>
      </c>
      <c r="D10" s="15" t="s">
        <v>337</v>
      </c>
      <c r="E10" s="20">
        <v>1242683</v>
      </c>
      <c r="F10" s="21">
        <v>77220.321599999996</v>
      </c>
      <c r="G10" s="22">
        <v>2.41E-2</v>
      </c>
      <c r="H10" s="40"/>
      <c r="I10" s="24"/>
      <c r="J10" s="5"/>
    </row>
    <row r="11" spans="1:10" ht="13.05" customHeight="1">
      <c r="A11" s="18" t="s">
        <v>1004</v>
      </c>
      <c r="B11" s="19" t="s">
        <v>1005</v>
      </c>
      <c r="C11" s="15" t="s">
        <v>1006</v>
      </c>
      <c r="D11" s="15" t="s">
        <v>268</v>
      </c>
      <c r="E11" s="20">
        <v>4111208</v>
      </c>
      <c r="F11" s="21">
        <v>76501.358500000002</v>
      </c>
      <c r="G11" s="22">
        <v>2.3900000000000001E-2</v>
      </c>
      <c r="H11" s="40"/>
      <c r="I11" s="24"/>
      <c r="J11" s="5"/>
    </row>
    <row r="12" spans="1:10" ht="13.05" customHeight="1">
      <c r="A12" s="18" t="s">
        <v>616</v>
      </c>
      <c r="B12" s="19" t="s">
        <v>617</v>
      </c>
      <c r="C12" s="15" t="s">
        <v>618</v>
      </c>
      <c r="D12" s="15" t="s">
        <v>445</v>
      </c>
      <c r="E12" s="20">
        <v>2444385</v>
      </c>
      <c r="F12" s="21">
        <v>74245.75</v>
      </c>
      <c r="G12" s="22">
        <v>2.3199999999999998E-2</v>
      </c>
      <c r="H12" s="40"/>
      <c r="I12" s="24"/>
      <c r="J12" s="5"/>
    </row>
    <row r="13" spans="1:10" ht="13.05" customHeight="1">
      <c r="A13" s="18" t="s">
        <v>476</v>
      </c>
      <c r="B13" s="19" t="s">
        <v>477</v>
      </c>
      <c r="C13" s="15" t="s">
        <v>478</v>
      </c>
      <c r="D13" s="15" t="s">
        <v>325</v>
      </c>
      <c r="E13" s="20">
        <v>435265</v>
      </c>
      <c r="F13" s="21">
        <v>67439.959099999993</v>
      </c>
      <c r="G13" s="22">
        <v>2.1000000000000001E-2</v>
      </c>
      <c r="H13" s="40"/>
      <c r="I13" s="24"/>
      <c r="J13" s="5"/>
    </row>
    <row r="14" spans="1:10" ht="13.05" customHeight="1">
      <c r="A14" s="18" t="s">
        <v>810</v>
      </c>
      <c r="B14" s="19" t="s">
        <v>811</v>
      </c>
      <c r="C14" s="15" t="s">
        <v>812</v>
      </c>
      <c r="D14" s="15" t="s">
        <v>567</v>
      </c>
      <c r="E14" s="20">
        <v>5442971</v>
      </c>
      <c r="F14" s="21">
        <v>67231.577799999999</v>
      </c>
      <c r="G14" s="22">
        <v>2.1000000000000001E-2</v>
      </c>
      <c r="H14" s="40"/>
      <c r="I14" s="24"/>
      <c r="J14" s="5"/>
    </row>
    <row r="15" spans="1:10" ht="13.05" customHeight="1">
      <c r="A15" s="18" t="s">
        <v>558</v>
      </c>
      <c r="B15" s="19" t="s">
        <v>559</v>
      </c>
      <c r="C15" s="15" t="s">
        <v>560</v>
      </c>
      <c r="D15" s="15" t="s">
        <v>374</v>
      </c>
      <c r="E15" s="20">
        <v>713813</v>
      </c>
      <c r="F15" s="21">
        <v>65981.304699999993</v>
      </c>
      <c r="G15" s="22">
        <v>2.06E-2</v>
      </c>
      <c r="H15" s="40"/>
      <c r="I15" s="24"/>
      <c r="J15" s="5"/>
    </row>
    <row r="16" spans="1:10" ht="13.05" customHeight="1">
      <c r="A16" s="18" t="s">
        <v>940</v>
      </c>
      <c r="B16" s="19" t="s">
        <v>941</v>
      </c>
      <c r="C16" s="15" t="s">
        <v>942</v>
      </c>
      <c r="D16" s="15" t="s">
        <v>567</v>
      </c>
      <c r="E16" s="20">
        <v>1563264</v>
      </c>
      <c r="F16" s="21">
        <v>62865.0985</v>
      </c>
      <c r="G16" s="22">
        <v>1.9599999999999999E-2</v>
      </c>
      <c r="H16" s="40"/>
      <c r="I16" s="24"/>
      <c r="J16" s="5"/>
    </row>
    <row r="17" spans="1:10" ht="13.05" customHeight="1">
      <c r="A17" s="18" t="s">
        <v>469</v>
      </c>
      <c r="B17" s="19" t="s">
        <v>470</v>
      </c>
      <c r="C17" s="15" t="s">
        <v>471</v>
      </c>
      <c r="D17" s="15" t="s">
        <v>272</v>
      </c>
      <c r="E17" s="20">
        <v>1060304</v>
      </c>
      <c r="F17" s="21">
        <v>62733.946499999998</v>
      </c>
      <c r="G17" s="22">
        <v>1.9599999999999999E-2</v>
      </c>
      <c r="H17" s="40"/>
      <c r="I17" s="24"/>
      <c r="J17" s="5"/>
    </row>
    <row r="18" spans="1:10" ht="13.05" customHeight="1">
      <c r="A18" s="18" t="s">
        <v>491</v>
      </c>
      <c r="B18" s="19" t="s">
        <v>492</v>
      </c>
      <c r="C18" s="15" t="s">
        <v>493</v>
      </c>
      <c r="D18" s="15" t="s">
        <v>494</v>
      </c>
      <c r="E18" s="20">
        <v>3471664</v>
      </c>
      <c r="F18" s="21">
        <v>61983.089099999997</v>
      </c>
      <c r="G18" s="22">
        <v>1.9300000000000001E-2</v>
      </c>
      <c r="H18" s="40"/>
      <c r="I18" s="24"/>
      <c r="J18" s="5"/>
    </row>
    <row r="19" spans="1:10" ht="13.05" customHeight="1">
      <c r="A19" s="18" t="s">
        <v>1052</v>
      </c>
      <c r="B19" s="19" t="s">
        <v>1053</v>
      </c>
      <c r="C19" s="15" t="s">
        <v>1054</v>
      </c>
      <c r="D19" s="15" t="s">
        <v>445</v>
      </c>
      <c r="E19" s="20">
        <v>5560818</v>
      </c>
      <c r="F19" s="21">
        <v>60790.862399999998</v>
      </c>
      <c r="G19" s="22">
        <v>1.9E-2</v>
      </c>
      <c r="H19" s="40"/>
      <c r="I19" s="24"/>
      <c r="J19" s="5"/>
    </row>
    <row r="20" spans="1:10" ht="13.05" customHeight="1">
      <c r="A20" s="18" t="s">
        <v>694</v>
      </c>
      <c r="B20" s="19" t="s">
        <v>695</v>
      </c>
      <c r="C20" s="15" t="s">
        <v>696</v>
      </c>
      <c r="D20" s="15" t="s">
        <v>541</v>
      </c>
      <c r="E20" s="20">
        <v>3546529</v>
      </c>
      <c r="F20" s="21">
        <v>59673.896999999997</v>
      </c>
      <c r="G20" s="22">
        <v>1.8599999999999998E-2</v>
      </c>
      <c r="H20" s="40"/>
      <c r="I20" s="24"/>
      <c r="J20" s="5"/>
    </row>
    <row r="21" spans="1:10" ht="13.05" customHeight="1">
      <c r="A21" s="18" t="s">
        <v>498</v>
      </c>
      <c r="B21" s="19" t="s">
        <v>499</v>
      </c>
      <c r="C21" s="15" t="s">
        <v>500</v>
      </c>
      <c r="D21" s="15" t="s">
        <v>501</v>
      </c>
      <c r="E21" s="20">
        <v>1336705</v>
      </c>
      <c r="F21" s="21">
        <v>58067.801899999999</v>
      </c>
      <c r="G21" s="22">
        <v>1.8100000000000002E-2</v>
      </c>
      <c r="H21" s="40"/>
      <c r="I21" s="24"/>
      <c r="J21" s="5"/>
    </row>
    <row r="22" spans="1:10" ht="13.05" customHeight="1">
      <c r="A22" s="18" t="s">
        <v>423</v>
      </c>
      <c r="B22" s="19" t="s">
        <v>424</v>
      </c>
      <c r="C22" s="15" t="s">
        <v>425</v>
      </c>
      <c r="D22" s="15" t="s">
        <v>296</v>
      </c>
      <c r="E22" s="20">
        <v>1634564</v>
      </c>
      <c r="F22" s="21">
        <v>57351.947099999998</v>
      </c>
      <c r="G22" s="22">
        <v>1.7899999999999999E-2</v>
      </c>
      <c r="H22" s="40"/>
      <c r="I22" s="24"/>
      <c r="J22" s="5"/>
    </row>
    <row r="23" spans="1:10" ht="13.05" customHeight="1">
      <c r="A23" s="18" t="s">
        <v>759</v>
      </c>
      <c r="B23" s="19" t="s">
        <v>760</v>
      </c>
      <c r="C23" s="15" t="s">
        <v>761</v>
      </c>
      <c r="D23" s="15" t="s">
        <v>603</v>
      </c>
      <c r="E23" s="20">
        <v>2692866</v>
      </c>
      <c r="F23" s="21">
        <v>57212.631000000001</v>
      </c>
      <c r="G23" s="22">
        <v>1.78E-2</v>
      </c>
      <c r="H23" s="40"/>
      <c r="I23" s="24"/>
      <c r="J23" s="5"/>
    </row>
    <row r="24" spans="1:10" ht="13.05" customHeight="1">
      <c r="A24" s="18" t="s">
        <v>649</v>
      </c>
      <c r="B24" s="19" t="s">
        <v>650</v>
      </c>
      <c r="C24" s="15" t="s">
        <v>651</v>
      </c>
      <c r="D24" s="15" t="s">
        <v>581</v>
      </c>
      <c r="E24" s="20">
        <v>409811</v>
      </c>
      <c r="F24" s="21">
        <v>56873.570599999999</v>
      </c>
      <c r="G24" s="22">
        <v>1.77E-2</v>
      </c>
      <c r="H24" s="40"/>
      <c r="I24" s="24"/>
      <c r="J24" s="5"/>
    </row>
    <row r="25" spans="1:10" ht="13.05" customHeight="1">
      <c r="A25" s="18" t="s">
        <v>700</v>
      </c>
      <c r="B25" s="19" t="s">
        <v>701</v>
      </c>
      <c r="C25" s="15" t="s">
        <v>702</v>
      </c>
      <c r="D25" s="15" t="s">
        <v>257</v>
      </c>
      <c r="E25" s="20">
        <v>6585321</v>
      </c>
      <c r="F25" s="21">
        <v>56548.151400000002</v>
      </c>
      <c r="G25" s="22">
        <v>1.7600000000000001E-2</v>
      </c>
      <c r="H25" s="40"/>
      <c r="I25" s="24"/>
      <c r="J25" s="5"/>
    </row>
    <row r="26" spans="1:10" ht="13.05" customHeight="1">
      <c r="A26" s="18" t="s">
        <v>301</v>
      </c>
      <c r="B26" s="19" t="s">
        <v>302</v>
      </c>
      <c r="C26" s="15" t="s">
        <v>303</v>
      </c>
      <c r="D26" s="15" t="s">
        <v>304</v>
      </c>
      <c r="E26" s="20">
        <v>17361757</v>
      </c>
      <c r="F26" s="21">
        <v>55166.982900000003</v>
      </c>
      <c r="G26" s="22">
        <v>1.72E-2</v>
      </c>
      <c r="H26" s="40"/>
      <c r="I26" s="24"/>
      <c r="J26" s="5"/>
    </row>
    <row r="27" spans="1:10" ht="13.05" customHeight="1">
      <c r="A27" s="18" t="s">
        <v>709</v>
      </c>
      <c r="B27" s="19" t="s">
        <v>710</v>
      </c>
      <c r="C27" s="15" t="s">
        <v>711</v>
      </c>
      <c r="D27" s="15" t="s">
        <v>304</v>
      </c>
      <c r="E27" s="20">
        <v>34342246</v>
      </c>
      <c r="F27" s="21">
        <v>49689.795700000002</v>
      </c>
      <c r="G27" s="22">
        <v>1.55E-2</v>
      </c>
      <c r="H27" s="40"/>
      <c r="I27" s="24"/>
      <c r="J27" s="5"/>
    </row>
    <row r="28" spans="1:10" ht="13.05" customHeight="1">
      <c r="A28" s="18" t="s">
        <v>952</v>
      </c>
      <c r="B28" s="19" t="s">
        <v>953</v>
      </c>
      <c r="C28" s="15" t="s">
        <v>954</v>
      </c>
      <c r="D28" s="15" t="s">
        <v>314</v>
      </c>
      <c r="E28" s="20">
        <v>166043</v>
      </c>
      <c r="F28" s="21">
        <v>48144.1679</v>
      </c>
      <c r="G28" s="22">
        <v>1.4999999999999999E-2</v>
      </c>
      <c r="H28" s="40"/>
      <c r="I28" s="24"/>
      <c r="J28" s="5"/>
    </row>
    <row r="29" spans="1:10" ht="13.05" customHeight="1">
      <c r="A29" s="18" t="s">
        <v>664</v>
      </c>
      <c r="B29" s="19" t="s">
        <v>665</v>
      </c>
      <c r="C29" s="15" t="s">
        <v>666</v>
      </c>
      <c r="D29" s="15" t="s">
        <v>304</v>
      </c>
      <c r="E29" s="20">
        <v>11712553</v>
      </c>
      <c r="F29" s="21">
        <v>48015.610999999997</v>
      </c>
      <c r="G29" s="22">
        <v>1.4999999999999999E-2</v>
      </c>
      <c r="H29" s="40"/>
      <c r="I29" s="24"/>
      <c r="J29" s="5"/>
    </row>
    <row r="30" spans="1:10" ht="13.05" customHeight="1">
      <c r="A30" s="18" t="s">
        <v>326</v>
      </c>
      <c r="B30" s="19" t="s">
        <v>327</v>
      </c>
      <c r="C30" s="15" t="s">
        <v>328</v>
      </c>
      <c r="D30" s="15" t="s">
        <v>329</v>
      </c>
      <c r="E30" s="20">
        <v>10844267</v>
      </c>
      <c r="F30" s="21">
        <v>46207.421699999999</v>
      </c>
      <c r="G30" s="22">
        <v>1.44E-2</v>
      </c>
      <c r="H30" s="40"/>
      <c r="I30" s="24"/>
      <c r="J30" s="5"/>
    </row>
    <row r="31" spans="1:10" ht="13.05" customHeight="1">
      <c r="A31" s="18" t="s">
        <v>546</v>
      </c>
      <c r="B31" s="19" t="s">
        <v>547</v>
      </c>
      <c r="C31" s="15" t="s">
        <v>548</v>
      </c>
      <c r="D31" s="15" t="s">
        <v>405</v>
      </c>
      <c r="E31" s="20">
        <v>2175627</v>
      </c>
      <c r="F31" s="21">
        <v>43375.4755</v>
      </c>
      <c r="G31" s="22">
        <v>1.35E-2</v>
      </c>
      <c r="H31" s="40"/>
      <c r="I31" s="24"/>
      <c r="J31" s="5"/>
    </row>
    <row r="32" spans="1:10" ht="13.05" customHeight="1">
      <c r="A32" s="18" t="s">
        <v>532</v>
      </c>
      <c r="B32" s="19" t="s">
        <v>533</v>
      </c>
      <c r="C32" s="15" t="s">
        <v>534</v>
      </c>
      <c r="D32" s="15" t="s">
        <v>445</v>
      </c>
      <c r="E32" s="20">
        <v>5659111</v>
      </c>
      <c r="F32" s="21">
        <v>41687.841200000003</v>
      </c>
      <c r="G32" s="22">
        <v>1.2999999999999999E-2</v>
      </c>
      <c r="H32" s="40"/>
      <c r="I32" s="24"/>
      <c r="J32" s="5"/>
    </row>
    <row r="33" spans="1:10" ht="13.05" customHeight="1">
      <c r="A33" s="18" t="s">
        <v>986</v>
      </c>
      <c r="B33" s="19" t="s">
        <v>987</v>
      </c>
      <c r="C33" s="15" t="s">
        <v>988</v>
      </c>
      <c r="D33" s="15" t="s">
        <v>445</v>
      </c>
      <c r="E33" s="20">
        <v>480252</v>
      </c>
      <c r="F33" s="21">
        <v>41642.650900000001</v>
      </c>
      <c r="G33" s="22">
        <v>1.2999999999999999E-2</v>
      </c>
      <c r="H33" s="40"/>
      <c r="I33" s="24"/>
      <c r="J33" s="5"/>
    </row>
    <row r="34" spans="1:10" ht="13.05" customHeight="1">
      <c r="A34" s="18" t="s">
        <v>297</v>
      </c>
      <c r="B34" s="19" t="s">
        <v>298</v>
      </c>
      <c r="C34" s="15" t="s">
        <v>299</v>
      </c>
      <c r="D34" s="15" t="s">
        <v>300</v>
      </c>
      <c r="E34" s="20">
        <v>3847394</v>
      </c>
      <c r="F34" s="21">
        <v>40120.624600000003</v>
      </c>
      <c r="G34" s="22">
        <v>1.2500000000000001E-2</v>
      </c>
      <c r="H34" s="40"/>
      <c r="I34" s="24"/>
      <c r="J34" s="5"/>
    </row>
    <row r="35" spans="1:10" ht="13.05" customHeight="1">
      <c r="A35" s="18" t="s">
        <v>762</v>
      </c>
      <c r="B35" s="19" t="s">
        <v>763</v>
      </c>
      <c r="C35" s="15" t="s">
        <v>764</v>
      </c>
      <c r="D35" s="15" t="s">
        <v>321</v>
      </c>
      <c r="E35" s="20">
        <v>2955641</v>
      </c>
      <c r="F35" s="21">
        <v>38911.013800000001</v>
      </c>
      <c r="G35" s="22">
        <v>1.21E-2</v>
      </c>
      <c r="H35" s="40"/>
      <c r="I35" s="24"/>
      <c r="J35" s="5"/>
    </row>
    <row r="36" spans="1:10" ht="13.05" customHeight="1">
      <c r="A36" s="18" t="s">
        <v>604</v>
      </c>
      <c r="B36" s="19" t="s">
        <v>605</v>
      </c>
      <c r="C36" s="15" t="s">
        <v>606</v>
      </c>
      <c r="D36" s="15" t="s">
        <v>333</v>
      </c>
      <c r="E36" s="20">
        <v>3584330</v>
      </c>
      <c r="F36" s="21">
        <v>38237.632400000002</v>
      </c>
      <c r="G36" s="22">
        <v>1.1900000000000001E-2</v>
      </c>
      <c r="H36" s="40"/>
      <c r="I36" s="24"/>
      <c r="J36" s="5"/>
    </row>
    <row r="37" spans="1:10" ht="13.05" customHeight="1">
      <c r="A37" s="18" t="s">
        <v>771</v>
      </c>
      <c r="B37" s="19" t="s">
        <v>772</v>
      </c>
      <c r="C37" s="15" t="s">
        <v>773</v>
      </c>
      <c r="D37" s="15" t="s">
        <v>501</v>
      </c>
      <c r="E37" s="20">
        <v>973719</v>
      </c>
      <c r="F37" s="21">
        <v>37123.036899999999</v>
      </c>
      <c r="G37" s="22">
        <v>1.1599999999999999E-2</v>
      </c>
      <c r="H37" s="40"/>
      <c r="I37" s="24"/>
      <c r="J37" s="5"/>
    </row>
    <row r="38" spans="1:10" ht="13.05" customHeight="1">
      <c r="A38" s="18" t="s">
        <v>765</v>
      </c>
      <c r="B38" s="19" t="s">
        <v>766</v>
      </c>
      <c r="C38" s="15" t="s">
        <v>767</v>
      </c>
      <c r="D38" s="15" t="s">
        <v>325</v>
      </c>
      <c r="E38" s="20">
        <v>1909554</v>
      </c>
      <c r="F38" s="21">
        <v>36995.699200000003</v>
      </c>
      <c r="G38" s="22">
        <v>1.15E-2</v>
      </c>
      <c r="H38" s="40"/>
      <c r="I38" s="24"/>
      <c r="J38" s="5"/>
    </row>
    <row r="39" spans="1:10" ht="13.05" customHeight="1">
      <c r="A39" s="18" t="s">
        <v>446</v>
      </c>
      <c r="B39" s="19" t="s">
        <v>447</v>
      </c>
      <c r="C39" s="15" t="s">
        <v>448</v>
      </c>
      <c r="D39" s="15" t="s">
        <v>300</v>
      </c>
      <c r="E39" s="20">
        <v>2175278</v>
      </c>
      <c r="F39" s="21">
        <v>36910.117100000003</v>
      </c>
      <c r="G39" s="22">
        <v>1.15E-2</v>
      </c>
      <c r="H39" s="40"/>
      <c r="I39" s="24"/>
      <c r="J39" s="5"/>
    </row>
    <row r="40" spans="1:10" ht="13.05" customHeight="1">
      <c r="A40" s="18" t="s">
        <v>488</v>
      </c>
      <c r="B40" s="19" t="s">
        <v>489</v>
      </c>
      <c r="C40" s="15" t="s">
        <v>490</v>
      </c>
      <c r="D40" s="15" t="s">
        <v>272</v>
      </c>
      <c r="E40" s="20">
        <v>2048523</v>
      </c>
      <c r="F40" s="21">
        <v>36424.787499999999</v>
      </c>
      <c r="G40" s="22">
        <v>1.14E-2</v>
      </c>
      <c r="H40" s="40"/>
      <c r="I40" s="24"/>
      <c r="J40" s="5"/>
    </row>
    <row r="41" spans="1:10" ht="13.05" customHeight="1">
      <c r="A41" s="18" t="s">
        <v>807</v>
      </c>
      <c r="B41" s="19" t="s">
        <v>808</v>
      </c>
      <c r="C41" s="15" t="s">
        <v>809</v>
      </c>
      <c r="D41" s="15" t="s">
        <v>445</v>
      </c>
      <c r="E41" s="20">
        <v>194317</v>
      </c>
      <c r="F41" s="21">
        <v>34545.676299999999</v>
      </c>
      <c r="G41" s="22">
        <v>1.0800000000000001E-2</v>
      </c>
      <c r="H41" s="40"/>
      <c r="I41" s="24"/>
      <c r="J41" s="5"/>
    </row>
    <row r="42" spans="1:10" ht="13.05" customHeight="1">
      <c r="A42" s="18" t="s">
        <v>880</v>
      </c>
      <c r="B42" s="19" t="s">
        <v>881</v>
      </c>
      <c r="C42" s="15" t="s">
        <v>882</v>
      </c>
      <c r="D42" s="15" t="s">
        <v>464</v>
      </c>
      <c r="E42" s="20">
        <v>15506563</v>
      </c>
      <c r="F42" s="21">
        <v>33630.633800000003</v>
      </c>
      <c r="G42" s="22">
        <v>1.0500000000000001E-2</v>
      </c>
      <c r="H42" s="40"/>
      <c r="I42" s="24"/>
      <c r="J42" s="5"/>
    </row>
    <row r="43" spans="1:10" ht="13.05" customHeight="1">
      <c r="A43" s="18" t="s">
        <v>712</v>
      </c>
      <c r="B43" s="19" t="s">
        <v>713</v>
      </c>
      <c r="C43" s="15" t="s">
        <v>714</v>
      </c>
      <c r="D43" s="15" t="s">
        <v>603</v>
      </c>
      <c r="E43" s="20">
        <v>939288</v>
      </c>
      <c r="F43" s="21">
        <v>33602.088900000002</v>
      </c>
      <c r="G43" s="22">
        <v>1.0500000000000001E-2</v>
      </c>
      <c r="H43" s="40"/>
      <c r="I43" s="24"/>
      <c r="J43" s="5"/>
    </row>
    <row r="44" spans="1:10" ht="13.05" customHeight="1">
      <c r="A44" s="18" t="s">
        <v>768</v>
      </c>
      <c r="B44" s="19" t="s">
        <v>769</v>
      </c>
      <c r="C44" s="15" t="s">
        <v>770</v>
      </c>
      <c r="D44" s="15" t="s">
        <v>501</v>
      </c>
      <c r="E44" s="20">
        <v>810910</v>
      </c>
      <c r="F44" s="21">
        <v>32695.891199999998</v>
      </c>
      <c r="G44" s="22">
        <v>1.0200000000000001E-2</v>
      </c>
      <c r="H44" s="40"/>
      <c r="I44" s="24"/>
      <c r="J44" s="5"/>
    </row>
    <row r="45" spans="1:10" ht="13.05" customHeight="1">
      <c r="A45" s="18" t="s">
        <v>549</v>
      </c>
      <c r="B45" s="19" t="s">
        <v>550</v>
      </c>
      <c r="C45" s="15" t="s">
        <v>551</v>
      </c>
      <c r="D45" s="15" t="s">
        <v>314</v>
      </c>
      <c r="E45" s="20">
        <v>1638110</v>
      </c>
      <c r="F45" s="21">
        <v>32164.2899</v>
      </c>
      <c r="G45" s="22">
        <v>0.01</v>
      </c>
      <c r="H45" s="40"/>
      <c r="I45" s="24"/>
      <c r="J45" s="5"/>
    </row>
    <row r="46" spans="1:10" ht="13.05" customHeight="1">
      <c r="A46" s="18" t="s">
        <v>508</v>
      </c>
      <c r="B46" s="19" t="s">
        <v>509</v>
      </c>
      <c r="C46" s="15" t="s">
        <v>510</v>
      </c>
      <c r="D46" s="15" t="s">
        <v>374</v>
      </c>
      <c r="E46" s="20">
        <v>561982</v>
      </c>
      <c r="F46" s="21">
        <v>30229.0118</v>
      </c>
      <c r="G46" s="22">
        <v>9.4000000000000004E-3</v>
      </c>
      <c r="H46" s="40"/>
      <c r="I46" s="24"/>
      <c r="J46" s="5"/>
    </row>
    <row r="47" spans="1:10" ht="13.05" customHeight="1">
      <c r="A47" s="18" t="s">
        <v>628</v>
      </c>
      <c r="B47" s="19" t="s">
        <v>629</v>
      </c>
      <c r="C47" s="15" t="s">
        <v>630</v>
      </c>
      <c r="D47" s="15" t="s">
        <v>567</v>
      </c>
      <c r="E47" s="20">
        <v>2243289</v>
      </c>
      <c r="F47" s="21">
        <v>29716.849399999999</v>
      </c>
      <c r="G47" s="22">
        <v>9.2999999999999992E-3</v>
      </c>
      <c r="H47" s="40"/>
      <c r="I47" s="24"/>
      <c r="J47" s="5"/>
    </row>
    <row r="48" spans="1:10" ht="13.05" customHeight="1">
      <c r="A48" s="18" t="s">
        <v>523</v>
      </c>
      <c r="B48" s="19" t="s">
        <v>524</v>
      </c>
      <c r="C48" s="15" t="s">
        <v>525</v>
      </c>
      <c r="D48" s="15" t="s">
        <v>304</v>
      </c>
      <c r="E48" s="20">
        <v>2120387</v>
      </c>
      <c r="F48" s="21">
        <v>29225.294000000002</v>
      </c>
      <c r="G48" s="22">
        <v>9.1000000000000004E-3</v>
      </c>
      <c r="H48" s="40"/>
      <c r="I48" s="24"/>
      <c r="J48" s="5"/>
    </row>
    <row r="49" spans="1:10" ht="13.05" customHeight="1">
      <c r="A49" s="18" t="s">
        <v>368</v>
      </c>
      <c r="B49" s="19" t="s">
        <v>369</v>
      </c>
      <c r="C49" s="15" t="s">
        <v>370</v>
      </c>
      <c r="D49" s="15" t="s">
        <v>304</v>
      </c>
      <c r="E49" s="20">
        <v>621323</v>
      </c>
      <c r="F49" s="21">
        <v>29166.765599999999</v>
      </c>
      <c r="G49" s="22">
        <v>9.1000000000000004E-3</v>
      </c>
      <c r="H49" s="40"/>
      <c r="I49" s="24"/>
      <c r="J49" s="5"/>
    </row>
    <row r="50" spans="1:10" ht="13.05" customHeight="1">
      <c r="A50" s="18" t="s">
        <v>706</v>
      </c>
      <c r="B50" s="19" t="s">
        <v>707</v>
      </c>
      <c r="C50" s="15" t="s">
        <v>708</v>
      </c>
      <c r="D50" s="15" t="s">
        <v>541</v>
      </c>
      <c r="E50" s="20">
        <v>1660412</v>
      </c>
      <c r="F50" s="21">
        <v>28969.208200000001</v>
      </c>
      <c r="G50" s="22">
        <v>8.9999999999999993E-3</v>
      </c>
      <c r="H50" s="40"/>
      <c r="I50" s="24"/>
      <c r="J50" s="5"/>
    </row>
    <row r="51" spans="1:10" ht="13.05" customHeight="1">
      <c r="A51" s="18" t="s">
        <v>822</v>
      </c>
      <c r="B51" s="19" t="s">
        <v>823</v>
      </c>
      <c r="C51" s="15" t="s">
        <v>824</v>
      </c>
      <c r="D51" s="15" t="s">
        <v>300</v>
      </c>
      <c r="E51" s="20">
        <v>10522374</v>
      </c>
      <c r="F51" s="21">
        <v>28461.969400000002</v>
      </c>
      <c r="G51" s="22">
        <v>8.8999999999999999E-3</v>
      </c>
      <c r="H51" s="40"/>
      <c r="I51" s="24"/>
      <c r="J51" s="5"/>
    </row>
    <row r="52" spans="1:10" ht="13.05" customHeight="1">
      <c r="A52" s="18" t="s">
        <v>685</v>
      </c>
      <c r="B52" s="19" t="s">
        <v>686</v>
      </c>
      <c r="C52" s="15" t="s">
        <v>687</v>
      </c>
      <c r="D52" s="15" t="s">
        <v>272</v>
      </c>
      <c r="E52" s="20">
        <v>1019997</v>
      </c>
      <c r="F52" s="21">
        <v>28196.7971</v>
      </c>
      <c r="G52" s="22">
        <v>8.8000000000000005E-3</v>
      </c>
      <c r="H52" s="40"/>
      <c r="I52" s="24"/>
      <c r="J52" s="5"/>
    </row>
    <row r="53" spans="1:10" ht="13.05" customHeight="1">
      <c r="A53" s="18" t="s">
        <v>853</v>
      </c>
      <c r="B53" s="19" t="s">
        <v>854</v>
      </c>
      <c r="C53" s="15" t="s">
        <v>855</v>
      </c>
      <c r="D53" s="15" t="s">
        <v>272</v>
      </c>
      <c r="E53" s="20">
        <v>320113</v>
      </c>
      <c r="F53" s="21">
        <v>27257.621999999999</v>
      </c>
      <c r="G53" s="22">
        <v>8.5000000000000006E-3</v>
      </c>
      <c r="H53" s="40"/>
      <c r="I53" s="24"/>
      <c r="J53" s="5"/>
    </row>
    <row r="54" spans="1:10" ht="13.05" customHeight="1">
      <c r="A54" s="18" t="s">
        <v>1099</v>
      </c>
      <c r="B54" s="19" t="s">
        <v>1100</v>
      </c>
      <c r="C54" s="15" t="s">
        <v>1101</v>
      </c>
      <c r="D54" s="15" t="s">
        <v>758</v>
      </c>
      <c r="E54" s="20">
        <v>2433049</v>
      </c>
      <c r="F54" s="21">
        <v>26019.026000000002</v>
      </c>
      <c r="G54" s="22">
        <v>8.0999999999999996E-3</v>
      </c>
      <c r="H54" s="40"/>
      <c r="I54" s="24"/>
      <c r="J54" s="5"/>
    </row>
    <row r="55" spans="1:10" ht="13.05" customHeight="1">
      <c r="A55" s="18" t="s">
        <v>721</v>
      </c>
      <c r="B55" s="19" t="s">
        <v>722</v>
      </c>
      <c r="C55" s="15" t="s">
        <v>723</v>
      </c>
      <c r="D55" s="15" t="s">
        <v>314</v>
      </c>
      <c r="E55" s="20">
        <v>1361025</v>
      </c>
      <c r="F55" s="21">
        <v>25739.7048</v>
      </c>
      <c r="G55" s="22">
        <v>8.0000000000000002E-3</v>
      </c>
      <c r="H55" s="40"/>
      <c r="I55" s="24"/>
      <c r="J55" s="5"/>
    </row>
    <row r="56" spans="1:10" ht="13.05" customHeight="1">
      <c r="A56" s="18" t="s">
        <v>697</v>
      </c>
      <c r="B56" s="19" t="s">
        <v>698</v>
      </c>
      <c r="C56" s="15" t="s">
        <v>699</v>
      </c>
      <c r="D56" s="15" t="s">
        <v>314</v>
      </c>
      <c r="E56" s="20">
        <v>461670</v>
      </c>
      <c r="F56" s="21">
        <v>25421.8586</v>
      </c>
      <c r="G56" s="22">
        <v>7.9000000000000008E-3</v>
      </c>
      <c r="H56" s="40"/>
      <c r="I56" s="24"/>
      <c r="J56" s="5"/>
    </row>
    <row r="57" spans="1:10" ht="13.05" customHeight="1">
      <c r="A57" s="18" t="s">
        <v>412</v>
      </c>
      <c r="B57" s="19" t="s">
        <v>413</v>
      </c>
      <c r="C57" s="15" t="s">
        <v>414</v>
      </c>
      <c r="D57" s="15" t="s">
        <v>415</v>
      </c>
      <c r="E57" s="20">
        <v>2125406</v>
      </c>
      <c r="F57" s="21">
        <v>24395.410100000001</v>
      </c>
      <c r="G57" s="22">
        <v>7.6E-3</v>
      </c>
      <c r="H57" s="40"/>
      <c r="I57" s="24"/>
      <c r="J57" s="5"/>
    </row>
    <row r="58" spans="1:10" ht="13.05" customHeight="1">
      <c r="A58" s="18" t="s">
        <v>646</v>
      </c>
      <c r="B58" s="19" t="s">
        <v>647</v>
      </c>
      <c r="C58" s="15" t="s">
        <v>648</v>
      </c>
      <c r="D58" s="15" t="s">
        <v>445</v>
      </c>
      <c r="E58" s="20">
        <v>8970737</v>
      </c>
      <c r="F58" s="21">
        <v>23816.4097</v>
      </c>
      <c r="G58" s="22">
        <v>7.4000000000000003E-3</v>
      </c>
      <c r="H58" s="40"/>
      <c r="I58" s="24"/>
      <c r="J58" s="5"/>
    </row>
    <row r="59" spans="1:10" ht="13.05" customHeight="1">
      <c r="A59" s="18" t="s">
        <v>571</v>
      </c>
      <c r="B59" s="19" t="s">
        <v>572</v>
      </c>
      <c r="C59" s="15" t="s">
        <v>573</v>
      </c>
      <c r="D59" s="15" t="s">
        <v>261</v>
      </c>
      <c r="E59" s="20">
        <v>4944564</v>
      </c>
      <c r="F59" s="21">
        <v>23536.124599999999</v>
      </c>
      <c r="G59" s="22">
        <v>7.3000000000000001E-3</v>
      </c>
      <c r="H59" s="40"/>
      <c r="I59" s="24"/>
      <c r="J59" s="5"/>
    </row>
    <row r="60" spans="1:10" ht="13.05" customHeight="1">
      <c r="A60" s="18" t="s">
        <v>262</v>
      </c>
      <c r="B60" s="19" t="s">
        <v>263</v>
      </c>
      <c r="C60" s="15" t="s">
        <v>264</v>
      </c>
      <c r="D60" s="15" t="s">
        <v>257</v>
      </c>
      <c r="E60" s="20">
        <v>1738458</v>
      </c>
      <c r="F60" s="21">
        <v>23387.4755</v>
      </c>
      <c r="G60" s="22">
        <v>7.3000000000000001E-3</v>
      </c>
      <c r="H60" s="40"/>
      <c r="I60" s="24"/>
      <c r="J60" s="5"/>
    </row>
    <row r="61" spans="1:10" ht="13.05" customHeight="1">
      <c r="A61" s="18" t="s">
        <v>682</v>
      </c>
      <c r="B61" s="19" t="s">
        <v>683</v>
      </c>
      <c r="C61" s="15" t="s">
        <v>684</v>
      </c>
      <c r="D61" s="15" t="s">
        <v>300</v>
      </c>
      <c r="E61" s="20">
        <v>502384</v>
      </c>
      <c r="F61" s="21">
        <v>23082.032899999998</v>
      </c>
      <c r="G61" s="22">
        <v>7.1999999999999998E-3</v>
      </c>
      <c r="H61" s="40"/>
      <c r="I61" s="24"/>
      <c r="J61" s="5"/>
    </row>
    <row r="62" spans="1:10" ht="13.05" customHeight="1">
      <c r="A62" s="18" t="s">
        <v>371</v>
      </c>
      <c r="B62" s="19" t="s">
        <v>372</v>
      </c>
      <c r="C62" s="15" t="s">
        <v>373</v>
      </c>
      <c r="D62" s="15" t="s">
        <v>374</v>
      </c>
      <c r="E62" s="20">
        <v>922911</v>
      </c>
      <c r="F62" s="21">
        <v>22878.9637</v>
      </c>
      <c r="G62" s="22">
        <v>7.1000000000000004E-3</v>
      </c>
      <c r="H62" s="40"/>
      <c r="I62" s="24"/>
      <c r="J62" s="5"/>
    </row>
    <row r="63" spans="1:10" ht="13.05" customHeight="1">
      <c r="A63" s="18" t="s">
        <v>904</v>
      </c>
      <c r="B63" s="19" t="s">
        <v>905</v>
      </c>
      <c r="C63" s="15" t="s">
        <v>906</v>
      </c>
      <c r="D63" s="15" t="s">
        <v>314</v>
      </c>
      <c r="E63" s="20">
        <v>1781240</v>
      </c>
      <c r="F63" s="21">
        <v>22643.122899999998</v>
      </c>
      <c r="G63" s="22">
        <v>7.1000000000000004E-3</v>
      </c>
      <c r="H63" s="40"/>
      <c r="I63" s="24"/>
      <c r="J63" s="5"/>
    </row>
    <row r="64" spans="1:10" ht="13.05" customHeight="1">
      <c r="A64" s="18" t="s">
        <v>691</v>
      </c>
      <c r="B64" s="19" t="s">
        <v>692</v>
      </c>
      <c r="C64" s="15" t="s">
        <v>693</v>
      </c>
      <c r="D64" s="15" t="s">
        <v>325</v>
      </c>
      <c r="E64" s="20">
        <v>1538768</v>
      </c>
      <c r="F64" s="21">
        <v>21290.394</v>
      </c>
      <c r="G64" s="22">
        <v>6.6E-3</v>
      </c>
      <c r="H64" s="40"/>
      <c r="I64" s="24"/>
      <c r="J64" s="5"/>
    </row>
    <row r="65" spans="1:10" ht="13.05" customHeight="1">
      <c r="A65" s="18" t="s">
        <v>679</v>
      </c>
      <c r="B65" s="19" t="s">
        <v>680</v>
      </c>
      <c r="C65" s="15" t="s">
        <v>681</v>
      </c>
      <c r="D65" s="15" t="s">
        <v>567</v>
      </c>
      <c r="E65" s="20">
        <v>695656</v>
      </c>
      <c r="F65" s="21">
        <v>21029.680899999999</v>
      </c>
      <c r="G65" s="22">
        <v>6.6E-3</v>
      </c>
      <c r="H65" s="40"/>
      <c r="I65" s="24"/>
      <c r="J65" s="5"/>
    </row>
    <row r="66" spans="1:10" ht="13.05" customHeight="1">
      <c r="A66" s="18" t="s">
        <v>804</v>
      </c>
      <c r="B66" s="19" t="s">
        <v>805</v>
      </c>
      <c r="C66" s="15" t="s">
        <v>806</v>
      </c>
      <c r="D66" s="15" t="s">
        <v>464</v>
      </c>
      <c r="E66" s="20">
        <v>3396234</v>
      </c>
      <c r="F66" s="21">
        <v>20304.384999999998</v>
      </c>
      <c r="G66" s="22">
        <v>6.3E-3</v>
      </c>
      <c r="H66" s="40"/>
      <c r="I66" s="24"/>
      <c r="J66" s="5"/>
    </row>
    <row r="67" spans="1:10" ht="13.05" customHeight="1">
      <c r="A67" s="18" t="s">
        <v>828</v>
      </c>
      <c r="B67" s="19" t="s">
        <v>829</v>
      </c>
      <c r="C67" s="15" t="s">
        <v>830</v>
      </c>
      <c r="D67" s="15" t="s">
        <v>567</v>
      </c>
      <c r="E67" s="20">
        <v>4116879</v>
      </c>
      <c r="F67" s="21">
        <v>19462.5455</v>
      </c>
      <c r="G67" s="22">
        <v>6.1000000000000004E-3</v>
      </c>
      <c r="H67" s="40"/>
      <c r="I67" s="24"/>
      <c r="J67" s="5"/>
    </row>
    <row r="68" spans="1:10" ht="13.05" customHeight="1">
      <c r="A68" s="18" t="s">
        <v>877</v>
      </c>
      <c r="B68" s="19" t="s">
        <v>878</v>
      </c>
      <c r="C68" s="15" t="s">
        <v>879</v>
      </c>
      <c r="D68" s="15" t="s">
        <v>300</v>
      </c>
      <c r="E68" s="20">
        <v>942035</v>
      </c>
      <c r="F68" s="21">
        <v>18017.361400000002</v>
      </c>
      <c r="G68" s="22">
        <v>5.5999999999999999E-3</v>
      </c>
      <c r="H68" s="40"/>
      <c r="I68" s="24"/>
      <c r="J68" s="5"/>
    </row>
    <row r="69" spans="1:10" ht="13.05" customHeight="1">
      <c r="A69" s="18" t="s">
        <v>652</v>
      </c>
      <c r="B69" s="19" t="s">
        <v>653</v>
      </c>
      <c r="C69" s="15" t="s">
        <v>654</v>
      </c>
      <c r="D69" s="15" t="s">
        <v>304</v>
      </c>
      <c r="E69" s="20">
        <v>7117105</v>
      </c>
      <c r="F69" s="21">
        <v>17646.150099999999</v>
      </c>
      <c r="G69" s="22">
        <v>5.4999999999999997E-3</v>
      </c>
      <c r="H69" s="40"/>
      <c r="I69" s="24"/>
      <c r="J69" s="5"/>
    </row>
    <row r="70" spans="1:10" ht="13.05" customHeight="1">
      <c r="A70" s="18" t="s">
        <v>1013</v>
      </c>
      <c r="B70" s="19" t="s">
        <v>1014</v>
      </c>
      <c r="C70" s="15" t="s">
        <v>1015</v>
      </c>
      <c r="D70" s="15" t="s">
        <v>314</v>
      </c>
      <c r="E70" s="20">
        <v>984875</v>
      </c>
      <c r="F70" s="21">
        <v>16568.552100000001</v>
      </c>
      <c r="G70" s="22">
        <v>5.1999999999999998E-3</v>
      </c>
      <c r="H70" s="40"/>
      <c r="I70" s="24"/>
      <c r="J70" s="5"/>
    </row>
    <row r="71" spans="1:10" ht="13.05" customHeight="1">
      <c r="A71" s="18" t="s">
        <v>535</v>
      </c>
      <c r="B71" s="19" t="s">
        <v>536</v>
      </c>
      <c r="C71" s="15" t="s">
        <v>537</v>
      </c>
      <c r="D71" s="15" t="s">
        <v>257</v>
      </c>
      <c r="E71" s="20">
        <v>1878100</v>
      </c>
      <c r="F71" s="21">
        <v>16486.900900000001</v>
      </c>
      <c r="G71" s="22">
        <v>5.1000000000000004E-3</v>
      </c>
      <c r="H71" s="40"/>
      <c r="I71" s="24"/>
      <c r="J71" s="5"/>
    </row>
    <row r="72" spans="1:10" ht="13.05" customHeight="1">
      <c r="A72" s="18" t="s">
        <v>1342</v>
      </c>
      <c r="B72" s="19" t="s">
        <v>1343</v>
      </c>
      <c r="C72" s="15" t="s">
        <v>1344</v>
      </c>
      <c r="D72" s="15" t="s">
        <v>1345</v>
      </c>
      <c r="E72" s="20">
        <v>54955</v>
      </c>
      <c r="F72" s="21">
        <v>16244.698</v>
      </c>
      <c r="G72" s="22">
        <v>5.1000000000000004E-3</v>
      </c>
      <c r="H72" s="40"/>
      <c r="I72" s="24"/>
      <c r="J72" s="5"/>
    </row>
    <row r="73" spans="1:10" ht="13.05" customHeight="1">
      <c r="A73" s="18" t="s">
        <v>1198</v>
      </c>
      <c r="B73" s="19" t="s">
        <v>1199</v>
      </c>
      <c r="C73" s="15" t="s">
        <v>1200</v>
      </c>
      <c r="D73" s="15" t="s">
        <v>567</v>
      </c>
      <c r="E73" s="20">
        <v>551268</v>
      </c>
      <c r="F73" s="21">
        <v>15648.2934</v>
      </c>
      <c r="G73" s="22">
        <v>4.8999999999999998E-3</v>
      </c>
      <c r="H73" s="40"/>
      <c r="I73" s="24"/>
      <c r="J73" s="5"/>
    </row>
    <row r="74" spans="1:10" ht="13.05" customHeight="1">
      <c r="A74" s="18" t="s">
        <v>1260</v>
      </c>
      <c r="B74" s="19" t="s">
        <v>1261</v>
      </c>
      <c r="C74" s="15" t="s">
        <v>1262</v>
      </c>
      <c r="D74" s="15" t="s">
        <v>567</v>
      </c>
      <c r="E74" s="20">
        <v>124249</v>
      </c>
      <c r="F74" s="21">
        <v>15436.6958</v>
      </c>
      <c r="G74" s="22">
        <v>4.7999999999999996E-3</v>
      </c>
      <c r="H74" s="40"/>
      <c r="I74" s="24"/>
      <c r="J74" s="5"/>
    </row>
    <row r="75" spans="1:10" ht="13.05" customHeight="1">
      <c r="A75" s="18" t="s">
        <v>1857</v>
      </c>
      <c r="B75" s="19" t="s">
        <v>1858</v>
      </c>
      <c r="C75" s="15" t="s">
        <v>1859</v>
      </c>
      <c r="D75" s="15" t="s">
        <v>325</v>
      </c>
      <c r="E75" s="20">
        <v>900023</v>
      </c>
      <c r="F75" s="21">
        <v>14972.7826</v>
      </c>
      <c r="G75" s="22">
        <v>4.7000000000000002E-3</v>
      </c>
      <c r="H75" s="40"/>
      <c r="I75" s="24"/>
      <c r="J75" s="5"/>
    </row>
    <row r="76" spans="1:10" ht="13.05" customHeight="1">
      <c r="A76" s="18" t="s">
        <v>585</v>
      </c>
      <c r="B76" s="19" t="s">
        <v>586</v>
      </c>
      <c r="C76" s="15" t="s">
        <v>587</v>
      </c>
      <c r="D76" s="15" t="s">
        <v>581</v>
      </c>
      <c r="E76" s="20">
        <v>482360</v>
      </c>
      <c r="F76" s="21">
        <v>14135.559800000001</v>
      </c>
      <c r="G76" s="22">
        <v>4.4000000000000003E-3</v>
      </c>
      <c r="H76" s="40"/>
      <c r="I76" s="24"/>
      <c r="J76" s="5"/>
    </row>
    <row r="77" spans="1:10" ht="13.05" customHeight="1">
      <c r="A77" s="18" t="s">
        <v>1370</v>
      </c>
      <c r="B77" s="19" t="s">
        <v>1371</v>
      </c>
      <c r="C77" s="15" t="s">
        <v>1372</v>
      </c>
      <c r="D77" s="15" t="s">
        <v>846</v>
      </c>
      <c r="E77" s="20">
        <v>1602523</v>
      </c>
      <c r="F77" s="21">
        <v>13845.798699999999</v>
      </c>
      <c r="G77" s="22">
        <v>4.3E-3</v>
      </c>
      <c r="H77" s="40"/>
      <c r="I77" s="24"/>
      <c r="J77" s="5"/>
    </row>
    <row r="78" spans="1:10" ht="13.05" customHeight="1">
      <c r="A78" s="18" t="s">
        <v>4281</v>
      </c>
      <c r="B78" s="19" t="s">
        <v>4282</v>
      </c>
      <c r="C78" s="15" t="s">
        <v>4283</v>
      </c>
      <c r="D78" s="15" t="s">
        <v>581</v>
      </c>
      <c r="E78" s="20">
        <v>307724</v>
      </c>
      <c r="F78" s="21">
        <v>13654.329299999999</v>
      </c>
      <c r="G78" s="22">
        <v>4.3E-3</v>
      </c>
      <c r="H78" s="40"/>
      <c r="I78" s="24"/>
      <c r="J78" s="5"/>
    </row>
    <row r="79" spans="1:10" ht="13.05" customHeight="1">
      <c r="A79" s="18" t="s">
        <v>843</v>
      </c>
      <c r="B79" s="19" t="s">
        <v>844</v>
      </c>
      <c r="C79" s="15" t="s">
        <v>845</v>
      </c>
      <c r="D79" s="15" t="s">
        <v>846</v>
      </c>
      <c r="E79" s="20">
        <v>188981</v>
      </c>
      <c r="F79" s="21">
        <v>12670.231100000001</v>
      </c>
      <c r="G79" s="22">
        <v>4.0000000000000001E-3</v>
      </c>
      <c r="H79" s="40"/>
      <c r="I79" s="24"/>
      <c r="J79" s="5"/>
    </row>
    <row r="80" spans="1:10" ht="13.05" customHeight="1">
      <c r="A80" s="18" t="s">
        <v>895</v>
      </c>
      <c r="B80" s="19" t="s">
        <v>896</v>
      </c>
      <c r="C80" s="15" t="s">
        <v>897</v>
      </c>
      <c r="D80" s="15" t="s">
        <v>567</v>
      </c>
      <c r="E80" s="20">
        <v>544720</v>
      </c>
      <c r="F80" s="21">
        <v>12418.526599999999</v>
      </c>
      <c r="G80" s="22">
        <v>3.8999999999999998E-3</v>
      </c>
      <c r="H80" s="40"/>
      <c r="I80" s="24"/>
      <c r="J80" s="5"/>
    </row>
    <row r="81" spans="1:10" ht="13.05" customHeight="1">
      <c r="A81" s="18" t="s">
        <v>1214</v>
      </c>
      <c r="B81" s="19" t="s">
        <v>1215</v>
      </c>
      <c r="C81" s="15" t="s">
        <v>1216</v>
      </c>
      <c r="D81" s="15" t="s">
        <v>314</v>
      </c>
      <c r="E81" s="20">
        <v>1584565</v>
      </c>
      <c r="F81" s="21">
        <v>11938.1127</v>
      </c>
      <c r="G81" s="22">
        <v>3.7000000000000002E-3</v>
      </c>
      <c r="H81" s="40"/>
      <c r="I81" s="24"/>
      <c r="J81" s="5"/>
    </row>
    <row r="82" spans="1:10" ht="13.05" customHeight="1">
      <c r="A82" s="18" t="s">
        <v>819</v>
      </c>
      <c r="B82" s="19" t="s">
        <v>820</v>
      </c>
      <c r="C82" s="15" t="s">
        <v>821</v>
      </c>
      <c r="D82" s="15" t="s">
        <v>314</v>
      </c>
      <c r="E82" s="20">
        <v>3175457</v>
      </c>
      <c r="F82" s="21">
        <v>11815.8755</v>
      </c>
      <c r="G82" s="22">
        <v>3.7000000000000002E-3</v>
      </c>
      <c r="H82" s="40"/>
      <c r="I82" s="24"/>
      <c r="J82" s="5"/>
    </row>
    <row r="83" spans="1:10" ht="13.05" customHeight="1">
      <c r="A83" s="18" t="s">
        <v>755</v>
      </c>
      <c r="B83" s="19" t="s">
        <v>756</v>
      </c>
      <c r="C83" s="15" t="s">
        <v>757</v>
      </c>
      <c r="D83" s="15" t="s">
        <v>758</v>
      </c>
      <c r="E83" s="20">
        <v>25923</v>
      </c>
      <c r="F83" s="21">
        <v>10680.276</v>
      </c>
      <c r="G83" s="22">
        <v>3.3E-3</v>
      </c>
      <c r="H83" s="40"/>
      <c r="I83" s="24"/>
      <c r="J83" s="5"/>
    </row>
    <row r="84" spans="1:10" ht="13.05" customHeight="1">
      <c r="A84" s="18" t="s">
        <v>1111</v>
      </c>
      <c r="B84" s="19" t="s">
        <v>1112</v>
      </c>
      <c r="C84" s="15" t="s">
        <v>1113</v>
      </c>
      <c r="D84" s="15" t="s">
        <v>1068</v>
      </c>
      <c r="E84" s="20">
        <v>239234</v>
      </c>
      <c r="F84" s="21">
        <v>9853.57</v>
      </c>
      <c r="G84" s="22">
        <v>3.0999999999999999E-3</v>
      </c>
      <c r="H84" s="40"/>
      <c r="I84" s="24"/>
      <c r="J84" s="5"/>
    </row>
    <row r="85" spans="1:10" ht="13.05" customHeight="1">
      <c r="A85" s="18" t="s">
        <v>901</v>
      </c>
      <c r="B85" s="19" t="s">
        <v>902</v>
      </c>
      <c r="C85" s="15" t="s">
        <v>903</v>
      </c>
      <c r="D85" s="15" t="s">
        <v>501</v>
      </c>
      <c r="E85" s="20">
        <v>634381</v>
      </c>
      <c r="F85" s="21">
        <v>9199.1589000000004</v>
      </c>
      <c r="G85" s="22">
        <v>2.8999999999999998E-3</v>
      </c>
      <c r="H85" s="40"/>
      <c r="I85" s="24"/>
      <c r="J85" s="5"/>
    </row>
    <row r="86" spans="1:10" ht="13.05" customHeight="1">
      <c r="A86" s="18" t="s">
        <v>834</v>
      </c>
      <c r="B86" s="19" t="s">
        <v>835</v>
      </c>
      <c r="C86" s="15" t="s">
        <v>836</v>
      </c>
      <c r="D86" s="15" t="s">
        <v>541</v>
      </c>
      <c r="E86" s="20">
        <v>496566</v>
      </c>
      <c r="F86" s="21">
        <v>8830.4331999999995</v>
      </c>
      <c r="G86" s="22">
        <v>2.8E-3</v>
      </c>
      <c r="H86" s="40"/>
      <c r="I86" s="24"/>
      <c r="J86" s="5"/>
    </row>
    <row r="87" spans="1:10" ht="13.05" customHeight="1">
      <c r="A87" s="18" t="s">
        <v>1028</v>
      </c>
      <c r="B87" s="19" t="s">
        <v>1029</v>
      </c>
      <c r="C87" s="15" t="s">
        <v>1030</v>
      </c>
      <c r="D87" s="15" t="s">
        <v>581</v>
      </c>
      <c r="E87" s="20">
        <v>139865</v>
      </c>
      <c r="F87" s="21">
        <v>8410.7818000000007</v>
      </c>
      <c r="G87" s="22">
        <v>2.5999999999999999E-3</v>
      </c>
      <c r="H87" s="40"/>
      <c r="I87" s="24"/>
      <c r="J87" s="5"/>
    </row>
    <row r="88" spans="1:10" ht="13.05" customHeight="1">
      <c r="A88" s="18" t="s">
        <v>816</v>
      </c>
      <c r="B88" s="19" t="s">
        <v>817</v>
      </c>
      <c r="C88" s="15" t="s">
        <v>818</v>
      </c>
      <c r="D88" s="15" t="s">
        <v>268</v>
      </c>
      <c r="E88" s="20">
        <v>337293</v>
      </c>
      <c r="F88" s="21">
        <v>6325.5928999999996</v>
      </c>
      <c r="G88" s="22">
        <v>2E-3</v>
      </c>
      <c r="H88" s="40"/>
      <c r="I88" s="24"/>
      <c r="J88" s="5"/>
    </row>
    <row r="89" spans="1:10" ht="13.05" customHeight="1">
      <c r="A89" s="18" t="s">
        <v>564</v>
      </c>
      <c r="B89" s="19" t="s">
        <v>565</v>
      </c>
      <c r="C89" s="15" t="s">
        <v>566</v>
      </c>
      <c r="D89" s="15" t="s">
        <v>567</v>
      </c>
      <c r="E89" s="20">
        <v>5937479</v>
      </c>
      <c r="F89" s="21">
        <v>6257.5091000000002</v>
      </c>
      <c r="G89" s="22">
        <v>2E-3</v>
      </c>
      <c r="H89" s="40"/>
      <c r="I89" s="24"/>
      <c r="J89" s="5"/>
    </row>
    <row r="90" spans="1:10" ht="13.05" customHeight="1">
      <c r="A90" s="18" t="s">
        <v>1320</v>
      </c>
      <c r="B90" s="19" t="s">
        <v>1321</v>
      </c>
      <c r="C90" s="15" t="s">
        <v>1322</v>
      </c>
      <c r="D90" s="15" t="s">
        <v>846</v>
      </c>
      <c r="E90" s="20">
        <v>16258</v>
      </c>
      <c r="F90" s="21">
        <v>5933.3571000000002</v>
      </c>
      <c r="G90" s="22">
        <v>1.9E-3</v>
      </c>
      <c r="H90" s="40"/>
      <c r="I90" s="24"/>
      <c r="J90" s="5"/>
    </row>
    <row r="91" spans="1:10" ht="13.05" customHeight="1">
      <c r="A91" s="18" t="s">
        <v>874</v>
      </c>
      <c r="B91" s="19" t="s">
        <v>875</v>
      </c>
      <c r="C91" s="15" t="s">
        <v>876</v>
      </c>
      <c r="D91" s="15" t="s">
        <v>272</v>
      </c>
      <c r="E91" s="20">
        <v>422770</v>
      </c>
      <c r="F91" s="21">
        <v>4932.4575999999997</v>
      </c>
      <c r="G91" s="22">
        <v>1.5E-3</v>
      </c>
      <c r="H91" s="40"/>
      <c r="I91" s="24"/>
      <c r="J91" s="5"/>
    </row>
    <row r="92" spans="1:10" ht="13.05" customHeight="1">
      <c r="A92" s="18" t="s">
        <v>637</v>
      </c>
      <c r="B92" s="19" t="s">
        <v>638</v>
      </c>
      <c r="C92" s="15" t="s">
        <v>639</v>
      </c>
      <c r="D92" s="15" t="s">
        <v>541</v>
      </c>
      <c r="E92" s="20">
        <v>205989</v>
      </c>
      <c r="F92" s="21">
        <v>4713.0282999999999</v>
      </c>
      <c r="G92" s="22">
        <v>1.5E-3</v>
      </c>
      <c r="H92" s="40"/>
      <c r="I92" s="24"/>
      <c r="J92" s="5"/>
    </row>
    <row r="93" spans="1:10" ht="13.05" customHeight="1">
      <c r="A93" s="18" t="s">
        <v>1851</v>
      </c>
      <c r="B93" s="19" t="s">
        <v>1852</v>
      </c>
      <c r="C93" s="15" t="s">
        <v>1853</v>
      </c>
      <c r="D93" s="15" t="s">
        <v>314</v>
      </c>
      <c r="E93" s="20">
        <v>651139</v>
      </c>
      <c r="F93" s="21">
        <v>4623.7380000000003</v>
      </c>
      <c r="G93" s="22">
        <v>1.4E-3</v>
      </c>
      <c r="H93" s="40"/>
      <c r="I93" s="24"/>
      <c r="J93" s="5"/>
    </row>
    <row r="94" spans="1:10" ht="13.05" customHeight="1">
      <c r="A94" s="18" t="s">
        <v>889</v>
      </c>
      <c r="B94" s="19" t="s">
        <v>890</v>
      </c>
      <c r="C94" s="15" t="s">
        <v>891</v>
      </c>
      <c r="D94" s="15" t="s">
        <v>348</v>
      </c>
      <c r="E94" s="20">
        <v>810955</v>
      </c>
      <c r="F94" s="21">
        <v>4421.7321000000002</v>
      </c>
      <c r="G94" s="22">
        <v>1.4E-3</v>
      </c>
      <c r="H94" s="40"/>
      <c r="I94" s="24"/>
      <c r="J94" s="5"/>
    </row>
    <row r="95" spans="1:10" ht="13.05" customHeight="1">
      <c r="A95" s="18" t="s">
        <v>2789</v>
      </c>
      <c r="B95" s="19" t="s">
        <v>2790</v>
      </c>
      <c r="C95" s="15" t="s">
        <v>2791</v>
      </c>
      <c r="D95" s="15" t="s">
        <v>304</v>
      </c>
      <c r="E95" s="20">
        <v>1010729</v>
      </c>
      <c r="F95" s="21">
        <v>4063.1306</v>
      </c>
      <c r="G95" s="22">
        <v>1.2999999999999999E-3</v>
      </c>
      <c r="H95" s="40"/>
      <c r="I95" s="24"/>
      <c r="J95" s="5"/>
    </row>
    <row r="96" spans="1:10" ht="13.05" customHeight="1">
      <c r="A96" s="18" t="s">
        <v>561</v>
      </c>
      <c r="B96" s="19" t="s">
        <v>562</v>
      </c>
      <c r="C96" s="15" t="s">
        <v>563</v>
      </c>
      <c r="D96" s="15" t="s">
        <v>300</v>
      </c>
      <c r="E96" s="20">
        <v>1059606</v>
      </c>
      <c r="F96" s="21">
        <v>3971.9331000000002</v>
      </c>
      <c r="G96" s="22">
        <v>1.1999999999999999E-3</v>
      </c>
      <c r="H96" s="40"/>
      <c r="I96" s="24"/>
      <c r="J96" s="5"/>
    </row>
    <row r="97" spans="1:10" ht="13.05" customHeight="1">
      <c r="A97" s="18" t="s">
        <v>780</v>
      </c>
      <c r="B97" s="19" t="s">
        <v>781</v>
      </c>
      <c r="C97" s="15" t="s">
        <v>782</v>
      </c>
      <c r="D97" s="15" t="s">
        <v>333</v>
      </c>
      <c r="E97" s="20">
        <v>525797</v>
      </c>
      <c r="F97" s="21">
        <v>3962.9319999999998</v>
      </c>
      <c r="G97" s="22">
        <v>1.1999999999999999E-3</v>
      </c>
      <c r="H97" s="40"/>
      <c r="I97" s="24"/>
      <c r="J97" s="5"/>
    </row>
    <row r="98" spans="1:10" ht="13.05" customHeight="1">
      <c r="A98" s="18" t="s">
        <v>795</v>
      </c>
      <c r="B98" s="19" t="s">
        <v>796</v>
      </c>
      <c r="C98" s="15" t="s">
        <v>797</v>
      </c>
      <c r="D98" s="15" t="s">
        <v>381</v>
      </c>
      <c r="E98" s="20">
        <v>879710</v>
      </c>
      <c r="F98" s="21">
        <v>3812.2233000000001</v>
      </c>
      <c r="G98" s="22">
        <v>1.1999999999999999E-3</v>
      </c>
      <c r="H98" s="40"/>
      <c r="I98" s="24"/>
      <c r="J98" s="5"/>
    </row>
    <row r="99" spans="1:10" ht="13.05" customHeight="1">
      <c r="A99" s="18" t="s">
        <v>1177</v>
      </c>
      <c r="B99" s="19" t="s">
        <v>1178</v>
      </c>
      <c r="C99" s="15" t="s">
        <v>1179</v>
      </c>
      <c r="D99" s="15" t="s">
        <v>314</v>
      </c>
      <c r="E99" s="20">
        <v>139558</v>
      </c>
      <c r="F99" s="21">
        <v>3440.5234</v>
      </c>
      <c r="G99" s="22">
        <v>1.1000000000000001E-3</v>
      </c>
      <c r="H99" s="40"/>
      <c r="I99" s="24"/>
      <c r="J99" s="5"/>
    </row>
    <row r="100" spans="1:10" ht="13.05" customHeight="1">
      <c r="A100" s="18" t="s">
        <v>1275</v>
      </c>
      <c r="B100" s="19" t="s">
        <v>1276</v>
      </c>
      <c r="C100" s="15" t="s">
        <v>1277</v>
      </c>
      <c r="D100" s="15" t="s">
        <v>272</v>
      </c>
      <c r="E100" s="20">
        <v>498481</v>
      </c>
      <c r="F100" s="21">
        <v>3426.5583999999999</v>
      </c>
      <c r="G100" s="22">
        <v>1.1000000000000001E-3</v>
      </c>
      <c r="H100" s="40"/>
      <c r="I100" s="24"/>
      <c r="J100" s="5"/>
    </row>
    <row r="101" spans="1:10" ht="13.05" customHeight="1">
      <c r="A101" s="18" t="s">
        <v>703</v>
      </c>
      <c r="B101" s="19" t="s">
        <v>704</v>
      </c>
      <c r="C101" s="15" t="s">
        <v>705</v>
      </c>
      <c r="D101" s="15" t="s">
        <v>577</v>
      </c>
      <c r="E101" s="20">
        <v>132650</v>
      </c>
      <c r="F101" s="21">
        <v>2975.3395</v>
      </c>
      <c r="G101" s="22">
        <v>8.9999999999999998E-4</v>
      </c>
      <c r="H101" s="40"/>
      <c r="I101" s="24"/>
      <c r="J101" s="5"/>
    </row>
    <row r="102" spans="1:10" ht="13.05" customHeight="1">
      <c r="A102" s="18" t="s">
        <v>1302</v>
      </c>
      <c r="B102" s="19" t="s">
        <v>1303</v>
      </c>
      <c r="C102" s="15" t="s">
        <v>1304</v>
      </c>
      <c r="D102" s="15" t="s">
        <v>314</v>
      </c>
      <c r="E102" s="20">
        <v>508096</v>
      </c>
      <c r="F102" s="21">
        <v>2873.7910000000002</v>
      </c>
      <c r="G102" s="22">
        <v>8.9999999999999998E-4</v>
      </c>
      <c r="H102" s="40"/>
      <c r="I102" s="24"/>
      <c r="J102" s="5"/>
    </row>
    <row r="103" spans="1:10" ht="13.05" customHeight="1">
      <c r="A103" s="18" t="s">
        <v>3743</v>
      </c>
      <c r="B103" s="19" t="s">
        <v>3744</v>
      </c>
      <c r="C103" s="15" t="s">
        <v>3745</v>
      </c>
      <c r="D103" s="15" t="s">
        <v>300</v>
      </c>
      <c r="E103" s="20">
        <v>253380</v>
      </c>
      <c r="F103" s="21">
        <v>1852.9679000000001</v>
      </c>
      <c r="G103" s="22">
        <v>5.9999999999999995E-4</v>
      </c>
      <c r="H103" s="40"/>
      <c r="I103" s="24"/>
      <c r="J103" s="5"/>
    </row>
    <row r="104" spans="1:10" ht="13.05" customHeight="1">
      <c r="A104" s="18" t="s">
        <v>1332</v>
      </c>
      <c r="B104" s="19" t="s">
        <v>1333</v>
      </c>
      <c r="C104" s="15" t="s">
        <v>1334</v>
      </c>
      <c r="D104" s="15" t="s">
        <v>581</v>
      </c>
      <c r="E104" s="20">
        <v>477099</v>
      </c>
      <c r="F104" s="21">
        <v>1812.7376999999999</v>
      </c>
      <c r="G104" s="22">
        <v>5.9999999999999995E-4</v>
      </c>
      <c r="H104" s="40"/>
      <c r="I104" s="24"/>
      <c r="J104" s="5"/>
    </row>
    <row r="105" spans="1:10" ht="13.05" customHeight="1">
      <c r="A105" s="5"/>
      <c r="B105" s="14" t="s">
        <v>192</v>
      </c>
      <c r="C105" s="15"/>
      <c r="D105" s="15"/>
      <c r="E105" s="15"/>
      <c r="F105" s="25">
        <v>3020031.7910000002</v>
      </c>
      <c r="G105" s="26">
        <v>0.94169999999999998</v>
      </c>
      <c r="H105" s="27"/>
      <c r="I105" s="28"/>
      <c r="J105" s="5"/>
    </row>
    <row r="106" spans="1:10" ht="13.05" customHeight="1">
      <c r="A106" s="5"/>
      <c r="B106" s="29" t="s">
        <v>1812</v>
      </c>
      <c r="C106" s="2"/>
      <c r="D106" s="2"/>
      <c r="E106" s="2"/>
      <c r="F106" s="27" t="s">
        <v>194</v>
      </c>
      <c r="G106" s="27" t="s">
        <v>194</v>
      </c>
      <c r="H106" s="27"/>
      <c r="I106" s="28"/>
      <c r="J106" s="5"/>
    </row>
    <row r="107" spans="1:10" ht="13.05" customHeight="1">
      <c r="A107" s="5"/>
      <c r="B107" s="29" t="s">
        <v>192</v>
      </c>
      <c r="C107" s="2"/>
      <c r="D107" s="2"/>
      <c r="E107" s="2"/>
      <c r="F107" s="27" t="s">
        <v>194</v>
      </c>
      <c r="G107" s="27" t="s">
        <v>194</v>
      </c>
      <c r="H107" s="27"/>
      <c r="I107" s="28"/>
      <c r="J107" s="5"/>
    </row>
    <row r="108" spans="1:10" ht="13.05" customHeight="1">
      <c r="A108" s="5"/>
      <c r="B108" s="14" t="s">
        <v>1813</v>
      </c>
      <c r="C108" s="15"/>
      <c r="D108" s="15"/>
      <c r="E108" s="15"/>
      <c r="F108" s="5"/>
      <c r="G108" s="16"/>
      <c r="H108" s="16"/>
      <c r="I108" s="17"/>
      <c r="J108" s="5"/>
    </row>
    <row r="109" spans="1:10" ht="13.05" customHeight="1">
      <c r="A109" s="18" t="s">
        <v>1814</v>
      </c>
      <c r="B109" s="19" t="s">
        <v>5526</v>
      </c>
      <c r="C109" s="15" t="s">
        <v>1815</v>
      </c>
      <c r="D109" s="15" t="s">
        <v>296</v>
      </c>
      <c r="E109" s="20">
        <v>6711716</v>
      </c>
      <c r="F109" s="21">
        <v>677.31280000000004</v>
      </c>
      <c r="G109" s="22">
        <v>2.0000000000000001E-4</v>
      </c>
      <c r="H109" s="40"/>
      <c r="I109" s="24"/>
      <c r="J109" s="5"/>
    </row>
    <row r="110" spans="1:10" ht="13.05" customHeight="1">
      <c r="A110" s="5"/>
      <c r="B110" s="14" t="s">
        <v>192</v>
      </c>
      <c r="C110" s="15"/>
      <c r="D110" s="15"/>
      <c r="E110" s="15"/>
      <c r="F110" s="25">
        <v>677.31280000000004</v>
      </c>
      <c r="G110" s="26">
        <v>2.0000000000000001E-4</v>
      </c>
      <c r="H110" s="27"/>
      <c r="I110" s="28"/>
      <c r="J110" s="5"/>
    </row>
    <row r="111" spans="1:10" ht="13.05" customHeight="1">
      <c r="A111" s="5"/>
      <c r="B111" s="29" t="s">
        <v>195</v>
      </c>
      <c r="C111" s="30"/>
      <c r="D111" s="2"/>
      <c r="E111" s="30"/>
      <c r="F111" s="25">
        <v>3020709.1038000002</v>
      </c>
      <c r="G111" s="26">
        <v>0.94189999999999996</v>
      </c>
      <c r="H111" s="27"/>
      <c r="I111" s="28"/>
      <c r="J111" s="5"/>
    </row>
    <row r="112" spans="1:10" ht="13.05" customHeight="1">
      <c r="A112" s="5"/>
      <c r="B112" s="14" t="s">
        <v>196</v>
      </c>
      <c r="C112" s="15"/>
      <c r="D112" s="15"/>
      <c r="E112" s="15"/>
      <c r="F112" s="15"/>
      <c r="G112" s="15"/>
      <c r="H112" s="16"/>
      <c r="I112" s="17"/>
      <c r="J112" s="5"/>
    </row>
    <row r="113" spans="1:10" ht="13.05" customHeight="1">
      <c r="A113" s="18" t="s">
        <v>197</v>
      </c>
      <c r="B113" s="19" t="s">
        <v>198</v>
      </c>
      <c r="C113" s="15"/>
      <c r="D113" s="15"/>
      <c r="E113" s="20"/>
      <c r="F113" s="21">
        <v>185740.81950000001</v>
      </c>
      <c r="G113" s="22">
        <v>5.79E-2</v>
      </c>
      <c r="H113" s="23">
        <v>5.5573617010495215E-2</v>
      </c>
      <c r="I113" s="24"/>
      <c r="J113" s="5"/>
    </row>
    <row r="114" spans="1:10" ht="13.05" customHeight="1">
      <c r="A114" s="5"/>
      <c r="B114" s="14" t="s">
        <v>192</v>
      </c>
      <c r="C114" s="15"/>
      <c r="D114" s="15"/>
      <c r="E114" s="15"/>
      <c r="F114" s="25">
        <v>185740.81950000001</v>
      </c>
      <c r="G114" s="26">
        <v>5.79E-2</v>
      </c>
      <c r="H114" s="27"/>
      <c r="I114" s="28"/>
      <c r="J114" s="5"/>
    </row>
    <row r="115" spans="1:10" ht="13.05" customHeight="1">
      <c r="A115" s="5"/>
      <c r="B115" s="29" t="s">
        <v>195</v>
      </c>
      <c r="C115" s="30"/>
      <c r="D115" s="2"/>
      <c r="E115" s="30"/>
      <c r="F115" s="25">
        <v>185740.81950000001</v>
      </c>
      <c r="G115" s="26">
        <v>5.79E-2</v>
      </c>
      <c r="H115" s="27"/>
      <c r="I115" s="28"/>
      <c r="J115" s="5"/>
    </row>
    <row r="116" spans="1:10" ht="13.05" customHeight="1">
      <c r="A116" s="5"/>
      <c r="B116" s="29" t="s">
        <v>199</v>
      </c>
      <c r="C116" s="15"/>
      <c r="D116" s="2"/>
      <c r="E116" s="15"/>
      <c r="F116" s="31">
        <v>463.0367</v>
      </c>
      <c r="G116" s="26">
        <v>2.0000000000000001E-4</v>
      </c>
      <c r="H116" s="27"/>
      <c r="I116" s="28"/>
      <c r="J116" s="5"/>
    </row>
    <row r="117" spans="1:10" ht="13.05" customHeight="1">
      <c r="A117" s="5"/>
      <c r="B117" s="32" t="s">
        <v>200</v>
      </c>
      <c r="C117" s="33"/>
      <c r="D117" s="33"/>
      <c r="E117" s="33"/>
      <c r="F117" s="34">
        <v>3206912.96</v>
      </c>
      <c r="G117" s="35">
        <v>1</v>
      </c>
      <c r="H117" s="36"/>
      <c r="I117" s="37"/>
      <c r="J117" s="5"/>
    </row>
    <row r="118" spans="1:10" ht="13.05" customHeight="1">
      <c r="A118" s="5"/>
      <c r="B118" s="7"/>
      <c r="C118" s="5"/>
      <c r="D118" s="5"/>
      <c r="E118" s="5"/>
      <c r="F118" s="5"/>
      <c r="G118" s="5"/>
      <c r="H118" s="5"/>
      <c r="I118" s="5"/>
      <c r="J118" s="5"/>
    </row>
    <row r="119" spans="1:10" ht="13.05" customHeight="1">
      <c r="A119" s="5"/>
      <c r="B119" s="4" t="s">
        <v>250</v>
      </c>
      <c r="C119" s="5"/>
      <c r="D119" s="5"/>
      <c r="E119" s="5"/>
      <c r="F119" s="5"/>
      <c r="G119" s="5"/>
      <c r="H119" s="5"/>
      <c r="I119" s="5"/>
      <c r="J119" s="5"/>
    </row>
    <row r="120" spans="1:10" ht="13.05" customHeight="1">
      <c r="A120" s="5"/>
      <c r="B120" s="4" t="s">
        <v>201</v>
      </c>
      <c r="C120" s="5"/>
      <c r="D120" s="5"/>
      <c r="E120" s="5"/>
      <c r="F120" s="5"/>
      <c r="G120" s="5"/>
      <c r="H120" s="5"/>
      <c r="I120" s="5"/>
      <c r="J120" s="5"/>
    </row>
    <row r="121" spans="1:10" ht="25.95" customHeight="1">
      <c r="A121" s="5"/>
      <c r="B121" s="103" t="s">
        <v>202</v>
      </c>
      <c r="C121" s="103"/>
      <c r="D121" s="103"/>
      <c r="E121" s="103"/>
      <c r="F121" s="103"/>
      <c r="G121" s="103"/>
      <c r="H121" s="103"/>
      <c r="I121" s="103"/>
      <c r="J121" s="5"/>
    </row>
    <row r="122" spans="1:10" ht="13.05" customHeight="1">
      <c r="A122" s="5"/>
      <c r="B122" s="103" t="s">
        <v>203</v>
      </c>
      <c r="C122" s="103"/>
      <c r="D122" s="103"/>
      <c r="E122" s="103"/>
      <c r="F122" s="103"/>
      <c r="G122" s="103"/>
      <c r="H122" s="103"/>
      <c r="I122" s="103"/>
      <c r="J122" s="5"/>
    </row>
    <row r="123" spans="1:10" ht="13.05" customHeight="1">
      <c r="A123" s="5"/>
      <c r="B123" s="103"/>
      <c r="C123" s="103"/>
      <c r="D123" s="103"/>
      <c r="E123" s="103"/>
      <c r="F123" s="103"/>
      <c r="G123" s="103"/>
      <c r="H123" s="103"/>
      <c r="I123" s="103"/>
      <c r="J123" s="5"/>
    </row>
    <row r="124" spans="1:10" ht="13.05" customHeight="1">
      <c r="A124" s="5"/>
      <c r="B124" s="103"/>
      <c r="C124" s="103"/>
      <c r="D124" s="103"/>
      <c r="E124" s="103"/>
      <c r="F124" s="103"/>
      <c r="G124" s="103"/>
      <c r="H124" s="103"/>
      <c r="I124" s="103"/>
      <c r="J124" s="5"/>
    </row>
    <row r="125" spans="1:10" ht="13.05" customHeight="1">
      <c r="A125" s="5"/>
      <c r="B125" s="103"/>
      <c r="C125" s="103"/>
      <c r="D125" s="103"/>
      <c r="E125" s="103"/>
      <c r="F125" s="103"/>
      <c r="G125" s="103"/>
      <c r="H125" s="103"/>
      <c r="I125" s="103"/>
      <c r="J125" s="5"/>
    </row>
    <row r="126" spans="1:10" ht="13.05" customHeight="1">
      <c r="A126" s="5"/>
      <c r="B126" s="103"/>
      <c r="C126" s="103"/>
      <c r="D126" s="103"/>
      <c r="E126" s="103"/>
      <c r="F126" s="103"/>
      <c r="G126" s="103"/>
      <c r="H126" s="103"/>
      <c r="I126" s="103"/>
      <c r="J126" s="5"/>
    </row>
    <row r="127" spans="1:10" ht="13.05" customHeight="1">
      <c r="A127" s="5"/>
      <c r="B127" s="5"/>
      <c r="C127" s="104" t="s">
        <v>4284</v>
      </c>
      <c r="D127" s="104"/>
      <c r="E127" s="104"/>
      <c r="F127" s="104"/>
      <c r="G127" s="5"/>
      <c r="H127" s="5"/>
      <c r="I127" s="5"/>
      <c r="J127" s="5"/>
    </row>
    <row r="128" spans="1:10" ht="13.05" customHeight="1">
      <c r="A128" s="5"/>
      <c r="B128" s="38" t="s">
        <v>207</v>
      </c>
      <c r="C128" s="104" t="s">
        <v>208</v>
      </c>
      <c r="D128" s="104"/>
      <c r="E128" s="104"/>
      <c r="F128" s="104"/>
      <c r="G128" s="5"/>
      <c r="H128" s="5"/>
      <c r="I128" s="5"/>
      <c r="J128" s="5"/>
    </row>
    <row r="129" spans="1:10" ht="135" customHeight="1">
      <c r="A129" s="5"/>
      <c r="B129" s="39"/>
      <c r="C129" s="105"/>
      <c r="D129" s="105"/>
      <c r="E129" s="5"/>
      <c r="F129" s="5"/>
      <c r="G129" s="5"/>
      <c r="H129" s="5"/>
      <c r="I129" s="5"/>
      <c r="J129" s="5"/>
    </row>
  </sheetData>
  <mergeCells count="9">
    <mergeCell ref="B126:I126"/>
    <mergeCell ref="C127:F127"/>
    <mergeCell ref="C128:F128"/>
    <mergeCell ref="C129:D129"/>
    <mergeCell ref="B121:I121"/>
    <mergeCell ref="B122:I122"/>
    <mergeCell ref="B123:I123"/>
    <mergeCell ref="B124:I124"/>
    <mergeCell ref="B125:I125"/>
  </mergeCells>
  <hyperlinks>
    <hyperlink ref="A1" location="AxisMidcapFund" display="AXISMCF" xr:uid="{00000000-0004-0000-2D00-000000000000}"/>
    <hyperlink ref="B1" location="AxisMidcapFund" display="Axis Midcap Fund" xr:uid="{00000000-0004-0000-2D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outlinePr summaryBelow="0"/>
  </sheetPr>
  <dimension ref="A1:J68"/>
  <sheetViews>
    <sheetView topLeftCell="A56"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94</v>
      </c>
      <c r="B1" s="4" t="s">
        <v>95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262</v>
      </c>
      <c r="B7" s="19" t="s">
        <v>263</v>
      </c>
      <c r="C7" s="15" t="s">
        <v>264</v>
      </c>
      <c r="D7" s="15" t="s">
        <v>257</v>
      </c>
      <c r="E7" s="20">
        <v>804764</v>
      </c>
      <c r="F7" s="21">
        <v>10826.490100000001</v>
      </c>
      <c r="G7" s="22">
        <v>8.4699999999999998E-2</v>
      </c>
      <c r="H7" s="40"/>
      <c r="I7" s="24"/>
      <c r="J7" s="5"/>
    </row>
    <row r="8" spans="1:10" ht="13.05" customHeight="1">
      <c r="A8" s="18" t="s">
        <v>254</v>
      </c>
      <c r="B8" s="19" t="s">
        <v>255</v>
      </c>
      <c r="C8" s="15" t="s">
        <v>256</v>
      </c>
      <c r="D8" s="15" t="s">
        <v>257</v>
      </c>
      <c r="E8" s="20">
        <v>1094477</v>
      </c>
      <c r="F8" s="21">
        <v>10805.7714</v>
      </c>
      <c r="G8" s="22">
        <v>8.4599999999999995E-2</v>
      </c>
      <c r="H8" s="40"/>
      <c r="I8" s="24"/>
      <c r="J8" s="5"/>
    </row>
    <row r="9" spans="1:10" ht="13.05" customHeight="1">
      <c r="A9" s="18" t="s">
        <v>265</v>
      </c>
      <c r="B9" s="19" t="s">
        <v>266</v>
      </c>
      <c r="C9" s="15" t="s">
        <v>267</v>
      </c>
      <c r="D9" s="15" t="s">
        <v>268</v>
      </c>
      <c r="E9" s="20">
        <v>437696</v>
      </c>
      <c r="F9" s="21">
        <v>8992.4642999999996</v>
      </c>
      <c r="G9" s="22">
        <v>7.0400000000000004E-2</v>
      </c>
      <c r="H9" s="40"/>
      <c r="I9" s="24"/>
      <c r="J9" s="5"/>
    </row>
    <row r="10" spans="1:10" ht="13.05" customHeight="1">
      <c r="A10" s="18" t="s">
        <v>326</v>
      </c>
      <c r="B10" s="19" t="s">
        <v>327</v>
      </c>
      <c r="C10" s="15" t="s">
        <v>328</v>
      </c>
      <c r="D10" s="15" t="s">
        <v>329</v>
      </c>
      <c r="E10" s="20">
        <v>1251739</v>
      </c>
      <c r="F10" s="21">
        <v>5333.6598999999997</v>
      </c>
      <c r="G10" s="22">
        <v>4.1700000000000001E-2</v>
      </c>
      <c r="H10" s="40"/>
      <c r="I10" s="24"/>
      <c r="J10" s="5"/>
    </row>
    <row r="11" spans="1:10" ht="13.05" customHeight="1">
      <c r="A11" s="18" t="s">
        <v>345</v>
      </c>
      <c r="B11" s="19" t="s">
        <v>346</v>
      </c>
      <c r="C11" s="15" t="s">
        <v>347</v>
      </c>
      <c r="D11" s="15" t="s">
        <v>348</v>
      </c>
      <c r="E11" s="20">
        <v>86874</v>
      </c>
      <c r="F11" s="21">
        <v>4886.6625000000004</v>
      </c>
      <c r="G11" s="22">
        <v>3.8199999999999998E-2</v>
      </c>
      <c r="H11" s="40"/>
      <c r="I11" s="24"/>
      <c r="J11" s="5"/>
    </row>
    <row r="12" spans="1:10" ht="13.05" customHeight="1">
      <c r="A12" s="18" t="s">
        <v>558</v>
      </c>
      <c r="B12" s="19" t="s">
        <v>559</v>
      </c>
      <c r="C12" s="15" t="s">
        <v>560</v>
      </c>
      <c r="D12" s="15" t="s">
        <v>374</v>
      </c>
      <c r="E12" s="20">
        <v>52114</v>
      </c>
      <c r="F12" s="21">
        <v>4817.1575999999995</v>
      </c>
      <c r="G12" s="22">
        <v>3.7699999999999997E-2</v>
      </c>
      <c r="H12" s="40"/>
      <c r="I12" s="24"/>
      <c r="J12" s="5"/>
    </row>
    <row r="13" spans="1:10" ht="13.05" customHeight="1">
      <c r="A13" s="18" t="s">
        <v>555</v>
      </c>
      <c r="B13" s="19" t="s">
        <v>556</v>
      </c>
      <c r="C13" s="15" t="s">
        <v>557</v>
      </c>
      <c r="D13" s="15" t="s">
        <v>494</v>
      </c>
      <c r="E13" s="20">
        <v>345288</v>
      </c>
      <c r="F13" s="21">
        <v>4499.7932000000001</v>
      </c>
      <c r="G13" s="22">
        <v>3.5200000000000002E-2</v>
      </c>
      <c r="H13" s="40"/>
      <c r="I13" s="24"/>
      <c r="J13" s="5"/>
    </row>
    <row r="14" spans="1:10" ht="13.05" customHeight="1">
      <c r="A14" s="18" t="s">
        <v>622</v>
      </c>
      <c r="B14" s="19" t="s">
        <v>623</v>
      </c>
      <c r="C14" s="15" t="s">
        <v>624</v>
      </c>
      <c r="D14" s="15" t="s">
        <v>314</v>
      </c>
      <c r="E14" s="20">
        <v>461472</v>
      </c>
      <c r="F14" s="21">
        <v>4400.8276999999998</v>
      </c>
      <c r="G14" s="22">
        <v>3.44E-2</v>
      </c>
      <c r="H14" s="40"/>
      <c r="I14" s="24"/>
      <c r="J14" s="5"/>
    </row>
    <row r="15" spans="1:10" ht="13.05" customHeight="1">
      <c r="A15" s="18" t="s">
        <v>514</v>
      </c>
      <c r="B15" s="19" t="s">
        <v>515</v>
      </c>
      <c r="C15" s="15" t="s">
        <v>516</v>
      </c>
      <c r="D15" s="15" t="s">
        <v>415</v>
      </c>
      <c r="E15" s="20">
        <v>415699</v>
      </c>
      <c r="F15" s="21">
        <v>4252.8086000000003</v>
      </c>
      <c r="G15" s="22">
        <v>3.3300000000000003E-2</v>
      </c>
      <c r="H15" s="40"/>
      <c r="I15" s="24"/>
      <c r="J15" s="5"/>
    </row>
    <row r="16" spans="1:10" ht="13.05" customHeight="1">
      <c r="A16" s="18" t="s">
        <v>308</v>
      </c>
      <c r="B16" s="19" t="s">
        <v>309</v>
      </c>
      <c r="C16" s="15" t="s">
        <v>310</v>
      </c>
      <c r="D16" s="15" t="s">
        <v>296</v>
      </c>
      <c r="E16" s="20">
        <v>25232</v>
      </c>
      <c r="F16" s="21">
        <v>4084.0515</v>
      </c>
      <c r="G16" s="22">
        <v>3.2000000000000001E-2</v>
      </c>
      <c r="H16" s="40"/>
      <c r="I16" s="24"/>
      <c r="J16" s="5"/>
    </row>
    <row r="17" spans="1:10" ht="13.05" customHeight="1">
      <c r="A17" s="18" t="s">
        <v>293</v>
      </c>
      <c r="B17" s="19" t="s">
        <v>294</v>
      </c>
      <c r="C17" s="15" t="s">
        <v>295</v>
      </c>
      <c r="D17" s="15" t="s">
        <v>296</v>
      </c>
      <c r="E17" s="20">
        <v>114515</v>
      </c>
      <c r="F17" s="21">
        <v>3993.3670999999999</v>
      </c>
      <c r="G17" s="22">
        <v>3.1199999999999999E-2</v>
      </c>
      <c r="H17" s="40"/>
      <c r="I17" s="24"/>
      <c r="J17" s="5"/>
    </row>
    <row r="18" spans="1:10" ht="13.05" customHeight="1">
      <c r="A18" s="18" t="s">
        <v>649</v>
      </c>
      <c r="B18" s="19" t="s">
        <v>650</v>
      </c>
      <c r="C18" s="15" t="s">
        <v>651</v>
      </c>
      <c r="D18" s="15" t="s">
        <v>581</v>
      </c>
      <c r="E18" s="20">
        <v>28280</v>
      </c>
      <c r="F18" s="21">
        <v>3924.6984000000002</v>
      </c>
      <c r="G18" s="22">
        <v>3.0700000000000002E-2</v>
      </c>
      <c r="H18" s="40"/>
      <c r="I18" s="24"/>
      <c r="J18" s="5"/>
    </row>
    <row r="19" spans="1:10" ht="13.05" customHeight="1">
      <c r="A19" s="18" t="s">
        <v>616</v>
      </c>
      <c r="B19" s="19" t="s">
        <v>617</v>
      </c>
      <c r="C19" s="15" t="s">
        <v>618</v>
      </c>
      <c r="D19" s="15" t="s">
        <v>445</v>
      </c>
      <c r="E19" s="20">
        <v>125580</v>
      </c>
      <c r="F19" s="21">
        <v>3814.3669</v>
      </c>
      <c r="G19" s="22">
        <v>2.98E-2</v>
      </c>
      <c r="H19" s="40"/>
      <c r="I19" s="24"/>
      <c r="J19" s="5"/>
    </row>
    <row r="20" spans="1:10" ht="13.05" customHeight="1">
      <c r="A20" s="18" t="s">
        <v>673</v>
      </c>
      <c r="B20" s="19" t="s">
        <v>674</v>
      </c>
      <c r="C20" s="15" t="s">
        <v>675</v>
      </c>
      <c r="D20" s="15" t="s">
        <v>567</v>
      </c>
      <c r="E20" s="20">
        <v>9723</v>
      </c>
      <c r="F20" s="21">
        <v>3621.3314</v>
      </c>
      <c r="G20" s="22">
        <v>2.8299999999999999E-2</v>
      </c>
      <c r="H20" s="40"/>
      <c r="I20" s="24"/>
      <c r="J20" s="5"/>
    </row>
    <row r="21" spans="1:10" ht="13.05" customHeight="1">
      <c r="A21" s="18" t="s">
        <v>1090</v>
      </c>
      <c r="B21" s="19" t="s">
        <v>1091</v>
      </c>
      <c r="C21" s="15" t="s">
        <v>1092</v>
      </c>
      <c r="D21" s="15" t="s">
        <v>415</v>
      </c>
      <c r="E21" s="20">
        <v>205312</v>
      </c>
      <c r="F21" s="21">
        <v>3608.1531</v>
      </c>
      <c r="G21" s="22">
        <v>2.8199999999999999E-2</v>
      </c>
      <c r="H21" s="40"/>
      <c r="I21" s="24"/>
      <c r="J21" s="5"/>
    </row>
    <row r="22" spans="1:10" ht="13.05" customHeight="1">
      <c r="A22" s="18" t="s">
        <v>862</v>
      </c>
      <c r="B22" s="19" t="s">
        <v>863</v>
      </c>
      <c r="C22" s="15" t="s">
        <v>864</v>
      </c>
      <c r="D22" s="15" t="s">
        <v>581</v>
      </c>
      <c r="E22" s="20">
        <v>62514</v>
      </c>
      <c r="F22" s="21">
        <v>3555.4212000000002</v>
      </c>
      <c r="G22" s="22">
        <v>2.7799999999999998E-2</v>
      </c>
      <c r="H22" s="40"/>
      <c r="I22" s="24"/>
      <c r="J22" s="5"/>
    </row>
    <row r="23" spans="1:10" ht="13.05" customHeight="1">
      <c r="A23" s="18" t="s">
        <v>371</v>
      </c>
      <c r="B23" s="19" t="s">
        <v>372</v>
      </c>
      <c r="C23" s="15" t="s">
        <v>373</v>
      </c>
      <c r="D23" s="15" t="s">
        <v>374</v>
      </c>
      <c r="E23" s="20">
        <v>115751</v>
      </c>
      <c r="F23" s="21">
        <v>2869.4672999999998</v>
      </c>
      <c r="G23" s="22">
        <v>2.2499999999999999E-2</v>
      </c>
      <c r="H23" s="40"/>
      <c r="I23" s="24"/>
      <c r="J23" s="5"/>
    </row>
    <row r="24" spans="1:10" ht="13.05" customHeight="1">
      <c r="A24" s="18" t="s">
        <v>469</v>
      </c>
      <c r="B24" s="19" t="s">
        <v>470</v>
      </c>
      <c r="C24" s="15" t="s">
        <v>471</v>
      </c>
      <c r="D24" s="15" t="s">
        <v>272</v>
      </c>
      <c r="E24" s="20">
        <v>48457</v>
      </c>
      <c r="F24" s="21">
        <v>2867.0068999999999</v>
      </c>
      <c r="G24" s="22">
        <v>2.24E-2</v>
      </c>
      <c r="H24" s="40"/>
      <c r="I24" s="24"/>
      <c r="J24" s="5"/>
    </row>
    <row r="25" spans="1:10" ht="13.05" customHeight="1">
      <c r="A25" s="18" t="s">
        <v>406</v>
      </c>
      <c r="B25" s="19" t="s">
        <v>407</v>
      </c>
      <c r="C25" s="15" t="s">
        <v>408</v>
      </c>
      <c r="D25" s="15" t="s">
        <v>314</v>
      </c>
      <c r="E25" s="20">
        <v>39008</v>
      </c>
      <c r="F25" s="21">
        <v>2628.3589999999999</v>
      </c>
      <c r="G25" s="22">
        <v>2.06E-2</v>
      </c>
      <c r="H25" s="40"/>
      <c r="I25" s="24"/>
      <c r="J25" s="5"/>
    </row>
    <row r="26" spans="1:10" ht="13.05" customHeight="1">
      <c r="A26" s="18" t="s">
        <v>1474</v>
      </c>
      <c r="B26" s="19" t="s">
        <v>1475</v>
      </c>
      <c r="C26" s="15" t="s">
        <v>1476</v>
      </c>
      <c r="D26" s="15" t="s">
        <v>300</v>
      </c>
      <c r="E26" s="20">
        <v>1593973</v>
      </c>
      <c r="F26" s="21">
        <v>2614.4344999999998</v>
      </c>
      <c r="G26" s="22">
        <v>2.0500000000000001E-2</v>
      </c>
      <c r="H26" s="40"/>
      <c r="I26" s="24"/>
      <c r="J26" s="5"/>
    </row>
    <row r="27" spans="1:10" ht="13.05" customHeight="1">
      <c r="A27" s="18" t="s">
        <v>752</v>
      </c>
      <c r="B27" s="19" t="s">
        <v>753</v>
      </c>
      <c r="C27" s="15" t="s">
        <v>754</v>
      </c>
      <c r="D27" s="15" t="s">
        <v>337</v>
      </c>
      <c r="E27" s="20">
        <v>41167</v>
      </c>
      <c r="F27" s="21">
        <v>2558.1174000000001</v>
      </c>
      <c r="G27" s="22">
        <v>0.02</v>
      </c>
      <c r="H27" s="40"/>
      <c r="I27" s="24"/>
      <c r="J27" s="5"/>
    </row>
    <row r="28" spans="1:10" ht="13.05" customHeight="1">
      <c r="A28" s="18" t="s">
        <v>1453</v>
      </c>
      <c r="B28" s="19" t="s">
        <v>1454</v>
      </c>
      <c r="C28" s="15" t="s">
        <v>1455</v>
      </c>
      <c r="D28" s="15" t="s">
        <v>846</v>
      </c>
      <c r="E28" s="20">
        <v>312120</v>
      </c>
      <c r="F28" s="21">
        <v>2540.0326</v>
      </c>
      <c r="G28" s="22">
        <v>1.9900000000000001E-2</v>
      </c>
      <c r="H28" s="40"/>
      <c r="I28" s="24"/>
      <c r="J28" s="5"/>
    </row>
    <row r="29" spans="1:10" ht="13.05" customHeight="1">
      <c r="A29" s="18" t="s">
        <v>571</v>
      </c>
      <c r="B29" s="19" t="s">
        <v>572</v>
      </c>
      <c r="C29" s="15" t="s">
        <v>573</v>
      </c>
      <c r="D29" s="15" t="s">
        <v>261</v>
      </c>
      <c r="E29" s="20">
        <v>526292</v>
      </c>
      <c r="F29" s="21">
        <v>2505.1498999999999</v>
      </c>
      <c r="G29" s="22">
        <v>1.9599999999999999E-2</v>
      </c>
      <c r="H29" s="40"/>
      <c r="I29" s="24"/>
      <c r="J29" s="5"/>
    </row>
    <row r="30" spans="1:10" ht="13.05" customHeight="1">
      <c r="A30" s="18" t="s">
        <v>449</v>
      </c>
      <c r="B30" s="19" t="s">
        <v>450</v>
      </c>
      <c r="C30" s="15" t="s">
        <v>451</v>
      </c>
      <c r="D30" s="15" t="s">
        <v>261</v>
      </c>
      <c r="E30" s="20">
        <v>699833</v>
      </c>
      <c r="F30" s="21">
        <v>2497.0041000000001</v>
      </c>
      <c r="G30" s="22">
        <v>1.95E-2</v>
      </c>
      <c r="H30" s="40"/>
      <c r="I30" s="24"/>
      <c r="J30" s="5"/>
    </row>
    <row r="31" spans="1:10" ht="13.05" customHeight="1">
      <c r="A31" s="18" t="s">
        <v>774</v>
      </c>
      <c r="B31" s="19" t="s">
        <v>775</v>
      </c>
      <c r="C31" s="15" t="s">
        <v>776</v>
      </c>
      <c r="D31" s="15" t="s">
        <v>475</v>
      </c>
      <c r="E31" s="20">
        <v>71578</v>
      </c>
      <c r="F31" s="21">
        <v>2241.4650999999999</v>
      </c>
      <c r="G31" s="22">
        <v>1.7500000000000002E-2</v>
      </c>
      <c r="H31" s="40"/>
      <c r="I31" s="24"/>
      <c r="J31" s="5"/>
    </row>
    <row r="32" spans="1:10" ht="13.05" customHeight="1">
      <c r="A32" s="18" t="s">
        <v>423</v>
      </c>
      <c r="B32" s="19" t="s">
        <v>424</v>
      </c>
      <c r="C32" s="15" t="s">
        <v>425</v>
      </c>
      <c r="D32" s="15" t="s">
        <v>296</v>
      </c>
      <c r="E32" s="20">
        <v>56160</v>
      </c>
      <c r="F32" s="21">
        <v>1970.4858999999999</v>
      </c>
      <c r="G32" s="22">
        <v>1.54E-2</v>
      </c>
      <c r="H32" s="40"/>
      <c r="I32" s="24"/>
      <c r="J32" s="5"/>
    </row>
    <row r="33" spans="1:10" ht="13.05" customHeight="1">
      <c r="A33" s="18" t="s">
        <v>600</v>
      </c>
      <c r="B33" s="19" t="s">
        <v>601</v>
      </c>
      <c r="C33" s="15" t="s">
        <v>602</v>
      </c>
      <c r="D33" s="15" t="s">
        <v>603</v>
      </c>
      <c r="E33" s="20">
        <v>244389</v>
      </c>
      <c r="F33" s="21">
        <v>1759.8452</v>
      </c>
      <c r="G33" s="22">
        <v>1.38E-2</v>
      </c>
      <c r="H33" s="40"/>
      <c r="I33" s="24"/>
      <c r="J33" s="5"/>
    </row>
    <row r="34" spans="1:10" ht="13.05" customHeight="1">
      <c r="A34" s="18" t="s">
        <v>297</v>
      </c>
      <c r="B34" s="19" t="s">
        <v>298</v>
      </c>
      <c r="C34" s="15" t="s">
        <v>299</v>
      </c>
      <c r="D34" s="15" t="s">
        <v>300</v>
      </c>
      <c r="E34" s="20">
        <v>166811</v>
      </c>
      <c r="F34" s="21">
        <v>1739.5051000000001</v>
      </c>
      <c r="G34" s="22">
        <v>1.3599999999999999E-2</v>
      </c>
      <c r="H34" s="40"/>
      <c r="I34" s="24"/>
      <c r="J34" s="5"/>
    </row>
    <row r="35" spans="1:10" ht="13.05" customHeight="1">
      <c r="A35" s="18" t="s">
        <v>1504</v>
      </c>
      <c r="B35" s="19" t="s">
        <v>1505</v>
      </c>
      <c r="C35" s="15" t="s">
        <v>1506</v>
      </c>
      <c r="D35" s="15" t="s">
        <v>435</v>
      </c>
      <c r="E35" s="20">
        <v>192320</v>
      </c>
      <c r="F35" s="21">
        <v>1653.4712</v>
      </c>
      <c r="G35" s="22">
        <v>1.29E-2</v>
      </c>
      <c r="H35" s="40"/>
      <c r="I35" s="24"/>
      <c r="J35" s="5"/>
    </row>
    <row r="36" spans="1:10" ht="13.05" customHeight="1">
      <c r="A36" s="18" t="s">
        <v>402</v>
      </c>
      <c r="B36" s="19" t="s">
        <v>403</v>
      </c>
      <c r="C36" s="15" t="s">
        <v>404</v>
      </c>
      <c r="D36" s="15" t="s">
        <v>405</v>
      </c>
      <c r="E36" s="20">
        <v>76817</v>
      </c>
      <c r="F36" s="21">
        <v>1502.3100999999999</v>
      </c>
      <c r="G36" s="22">
        <v>1.18E-2</v>
      </c>
      <c r="H36" s="40"/>
      <c r="I36" s="24"/>
      <c r="J36" s="5"/>
    </row>
    <row r="37" spans="1:10" ht="13.05" customHeight="1">
      <c r="A37" s="18" t="s">
        <v>517</v>
      </c>
      <c r="B37" s="19" t="s">
        <v>518</v>
      </c>
      <c r="C37" s="15" t="s">
        <v>519</v>
      </c>
      <c r="D37" s="15" t="s">
        <v>300</v>
      </c>
      <c r="E37" s="20">
        <v>7501</v>
      </c>
      <c r="F37" s="21">
        <v>922.84799999999996</v>
      </c>
      <c r="G37" s="22">
        <v>7.1999999999999998E-3</v>
      </c>
      <c r="H37" s="40"/>
      <c r="I37" s="24"/>
      <c r="J37" s="5"/>
    </row>
    <row r="38" spans="1:10" ht="13.05" customHeight="1">
      <c r="A38" s="18" t="s">
        <v>759</v>
      </c>
      <c r="B38" s="19" t="s">
        <v>760</v>
      </c>
      <c r="C38" s="15" t="s">
        <v>761</v>
      </c>
      <c r="D38" s="15" t="s">
        <v>603</v>
      </c>
      <c r="E38" s="20">
        <v>42879</v>
      </c>
      <c r="F38" s="21">
        <v>911.00720000000001</v>
      </c>
      <c r="G38" s="22">
        <v>7.1000000000000004E-3</v>
      </c>
      <c r="H38" s="40"/>
      <c r="I38" s="24"/>
      <c r="J38" s="5"/>
    </row>
    <row r="39" spans="1:10" ht="13.05" customHeight="1">
      <c r="A39" s="18" t="s">
        <v>931</v>
      </c>
      <c r="B39" s="19" t="s">
        <v>932</v>
      </c>
      <c r="C39" s="15" t="s">
        <v>933</v>
      </c>
      <c r="D39" s="15" t="s">
        <v>325</v>
      </c>
      <c r="E39" s="20">
        <v>10483</v>
      </c>
      <c r="F39" s="21">
        <v>842.46630000000005</v>
      </c>
      <c r="G39" s="22">
        <v>6.6E-3</v>
      </c>
      <c r="H39" s="40"/>
      <c r="I39" s="24"/>
      <c r="J39" s="5"/>
    </row>
    <row r="40" spans="1:10" ht="13.05" customHeight="1">
      <c r="A40" s="18" t="s">
        <v>643</v>
      </c>
      <c r="B40" s="19" t="s">
        <v>644</v>
      </c>
      <c r="C40" s="15" t="s">
        <v>645</v>
      </c>
      <c r="D40" s="15" t="s">
        <v>300</v>
      </c>
      <c r="E40" s="20">
        <v>25696</v>
      </c>
      <c r="F40" s="21">
        <v>816.79880000000003</v>
      </c>
      <c r="G40" s="22">
        <v>6.4000000000000003E-3</v>
      </c>
      <c r="H40" s="40"/>
      <c r="I40" s="24"/>
      <c r="J40" s="5"/>
    </row>
    <row r="41" spans="1:10" ht="13.05" customHeight="1">
      <c r="A41" s="18" t="s">
        <v>1186</v>
      </c>
      <c r="B41" s="19" t="s">
        <v>1187</v>
      </c>
      <c r="C41" s="15" t="s">
        <v>1188</v>
      </c>
      <c r="D41" s="15" t="s">
        <v>970</v>
      </c>
      <c r="E41" s="20">
        <v>17125</v>
      </c>
      <c r="F41" s="21">
        <v>809.60149999999999</v>
      </c>
      <c r="G41" s="22">
        <v>6.3E-3</v>
      </c>
      <c r="H41" s="40"/>
      <c r="I41" s="24"/>
      <c r="J41" s="5"/>
    </row>
    <row r="42" spans="1:10" ht="13.05" customHeight="1">
      <c r="A42" s="18" t="s">
        <v>488</v>
      </c>
      <c r="B42" s="19" t="s">
        <v>489</v>
      </c>
      <c r="C42" s="15" t="s">
        <v>490</v>
      </c>
      <c r="D42" s="15" t="s">
        <v>272</v>
      </c>
      <c r="E42" s="20">
        <v>43750</v>
      </c>
      <c r="F42" s="21">
        <v>777.91880000000003</v>
      </c>
      <c r="G42" s="22">
        <v>6.1000000000000004E-3</v>
      </c>
      <c r="H42" s="40"/>
      <c r="I42" s="24"/>
      <c r="J42" s="5"/>
    </row>
    <row r="43" spans="1:10" ht="13.05" customHeight="1">
      <c r="A43" s="18" t="s">
        <v>1004</v>
      </c>
      <c r="B43" s="19" t="s">
        <v>1005</v>
      </c>
      <c r="C43" s="15" t="s">
        <v>1006</v>
      </c>
      <c r="D43" s="15" t="s">
        <v>268</v>
      </c>
      <c r="E43" s="20">
        <v>41766</v>
      </c>
      <c r="F43" s="21">
        <v>777.18169999999998</v>
      </c>
      <c r="G43" s="22">
        <v>6.1000000000000004E-3</v>
      </c>
      <c r="H43" s="40"/>
      <c r="I43" s="24"/>
      <c r="J43" s="5"/>
    </row>
    <row r="44" spans="1:10" ht="13.05" customHeight="1">
      <c r="A44" s="18" t="s">
        <v>658</v>
      </c>
      <c r="B44" s="19" t="s">
        <v>659</v>
      </c>
      <c r="C44" s="15" t="s">
        <v>660</v>
      </c>
      <c r="D44" s="15" t="s">
        <v>321</v>
      </c>
      <c r="E44" s="20">
        <v>68528</v>
      </c>
      <c r="F44" s="21">
        <v>675.82309999999995</v>
      </c>
      <c r="G44" s="22">
        <v>5.3E-3</v>
      </c>
      <c r="H44" s="40"/>
      <c r="I44" s="24"/>
      <c r="J44" s="5"/>
    </row>
    <row r="45" spans="1:10" ht="13.05" customHeight="1">
      <c r="A45" s="18" t="s">
        <v>1647</v>
      </c>
      <c r="B45" s="19" t="s">
        <v>1648</v>
      </c>
      <c r="C45" s="15" t="s">
        <v>1649</v>
      </c>
      <c r="D45" s="15" t="s">
        <v>337</v>
      </c>
      <c r="E45" s="20">
        <v>155991</v>
      </c>
      <c r="F45" s="21">
        <v>646.81669999999997</v>
      </c>
      <c r="G45" s="22">
        <v>5.1000000000000004E-3</v>
      </c>
      <c r="H45" s="40"/>
      <c r="I45" s="24"/>
      <c r="J45" s="5"/>
    </row>
    <row r="46" spans="1:10" ht="13.05" customHeight="1">
      <c r="A46" s="18" t="s">
        <v>476</v>
      </c>
      <c r="B46" s="19" t="s">
        <v>477</v>
      </c>
      <c r="C46" s="15" t="s">
        <v>478</v>
      </c>
      <c r="D46" s="15" t="s">
        <v>325</v>
      </c>
      <c r="E46" s="20">
        <v>3850</v>
      </c>
      <c r="F46" s="21">
        <v>596.51900000000001</v>
      </c>
      <c r="G46" s="22">
        <v>4.7000000000000002E-3</v>
      </c>
      <c r="H46" s="40"/>
      <c r="I46" s="24"/>
      <c r="J46" s="5"/>
    </row>
    <row r="47" spans="1:10" ht="13.05" customHeight="1">
      <c r="A47" s="18" t="s">
        <v>1558</v>
      </c>
      <c r="B47" s="19" t="s">
        <v>1559</v>
      </c>
      <c r="C47" s="15" t="s">
        <v>1560</v>
      </c>
      <c r="D47" s="15" t="s">
        <v>435</v>
      </c>
      <c r="E47" s="20">
        <v>118705</v>
      </c>
      <c r="F47" s="21">
        <v>544.79660000000001</v>
      </c>
      <c r="G47" s="22">
        <v>4.3E-3</v>
      </c>
      <c r="H47" s="40"/>
      <c r="I47" s="24"/>
      <c r="J47" s="5"/>
    </row>
    <row r="48" spans="1:10" ht="13.05" customHeight="1">
      <c r="A48" s="5"/>
      <c r="B48" s="14" t="s">
        <v>192</v>
      </c>
      <c r="C48" s="15"/>
      <c r="D48" s="15"/>
      <c r="E48" s="15"/>
      <c r="F48" s="25">
        <v>125685.4569</v>
      </c>
      <c r="G48" s="26">
        <v>0.98350000000000004</v>
      </c>
      <c r="H48" s="27"/>
      <c r="I48" s="28"/>
      <c r="J48" s="5"/>
    </row>
    <row r="49" spans="1:10" ht="13.05" customHeight="1">
      <c r="A49" s="5"/>
      <c r="B49" s="29" t="s">
        <v>1812</v>
      </c>
      <c r="C49" s="2"/>
      <c r="D49" s="2"/>
      <c r="E49" s="2"/>
      <c r="F49" s="27" t="s">
        <v>194</v>
      </c>
      <c r="G49" s="27" t="s">
        <v>194</v>
      </c>
      <c r="H49" s="27"/>
      <c r="I49" s="28"/>
      <c r="J49" s="5"/>
    </row>
    <row r="50" spans="1:10" ht="13.05" customHeight="1">
      <c r="A50" s="5"/>
      <c r="B50" s="29" t="s">
        <v>192</v>
      </c>
      <c r="C50" s="2"/>
      <c r="D50" s="2"/>
      <c r="E50" s="2"/>
      <c r="F50" s="27" t="s">
        <v>194</v>
      </c>
      <c r="G50" s="27" t="s">
        <v>194</v>
      </c>
      <c r="H50" s="27"/>
      <c r="I50" s="28"/>
      <c r="J50" s="5"/>
    </row>
    <row r="51" spans="1:10" ht="13.05" customHeight="1">
      <c r="A51" s="5"/>
      <c r="B51" s="29" t="s">
        <v>195</v>
      </c>
      <c r="C51" s="30"/>
      <c r="D51" s="2"/>
      <c r="E51" s="30"/>
      <c r="F51" s="25">
        <v>125685.4569</v>
      </c>
      <c r="G51" s="26">
        <v>0.98350000000000004</v>
      </c>
      <c r="H51" s="27"/>
      <c r="I51" s="28"/>
      <c r="J51" s="5"/>
    </row>
    <row r="52" spans="1:10" ht="13.05" customHeight="1">
      <c r="A52" s="5"/>
      <c r="B52" s="14" t="s">
        <v>196</v>
      </c>
      <c r="C52" s="15"/>
      <c r="D52" s="15"/>
      <c r="E52" s="15"/>
      <c r="F52" s="15"/>
      <c r="G52" s="15"/>
      <c r="H52" s="16"/>
      <c r="I52" s="17"/>
      <c r="J52" s="5"/>
    </row>
    <row r="53" spans="1:10" ht="13.05" customHeight="1">
      <c r="A53" s="18" t="s">
        <v>197</v>
      </c>
      <c r="B53" s="19" t="s">
        <v>198</v>
      </c>
      <c r="C53" s="15"/>
      <c r="D53" s="15"/>
      <c r="E53" s="20"/>
      <c r="F53" s="21">
        <v>2414.9146000000001</v>
      </c>
      <c r="G53" s="22">
        <v>1.89E-2</v>
      </c>
      <c r="H53" s="23">
        <v>5.5573615184383571E-2</v>
      </c>
      <c r="I53" s="24"/>
      <c r="J53" s="5"/>
    </row>
    <row r="54" spans="1:10" ht="13.05" customHeight="1">
      <c r="A54" s="5"/>
      <c r="B54" s="14" t="s">
        <v>192</v>
      </c>
      <c r="C54" s="15"/>
      <c r="D54" s="15"/>
      <c r="E54" s="15"/>
      <c r="F54" s="25">
        <v>2414.9146000000001</v>
      </c>
      <c r="G54" s="26">
        <v>1.89E-2</v>
      </c>
      <c r="H54" s="27"/>
      <c r="I54" s="28"/>
      <c r="J54" s="5"/>
    </row>
    <row r="55" spans="1:10" ht="13.05" customHeight="1">
      <c r="A55" s="5"/>
      <c r="B55" s="29" t="s">
        <v>195</v>
      </c>
      <c r="C55" s="30"/>
      <c r="D55" s="2"/>
      <c r="E55" s="30"/>
      <c r="F55" s="25">
        <v>2414.9146000000001</v>
      </c>
      <c r="G55" s="26">
        <v>1.89E-2</v>
      </c>
      <c r="H55" s="27"/>
      <c r="I55" s="28"/>
      <c r="J55" s="5"/>
    </row>
    <row r="56" spans="1:10" ht="13.05" customHeight="1">
      <c r="A56" s="5"/>
      <c r="B56" s="29" t="s">
        <v>199</v>
      </c>
      <c r="C56" s="15"/>
      <c r="D56" s="2"/>
      <c r="E56" s="15"/>
      <c r="F56" s="31">
        <v>-307.87150000000003</v>
      </c>
      <c r="G56" s="26">
        <v>-2.3999999999999998E-3</v>
      </c>
      <c r="H56" s="27"/>
      <c r="I56" s="28"/>
      <c r="J56" s="5"/>
    </row>
    <row r="57" spans="1:10" ht="13.05" customHeight="1">
      <c r="A57" s="5"/>
      <c r="B57" s="32" t="s">
        <v>200</v>
      </c>
      <c r="C57" s="33"/>
      <c r="D57" s="33"/>
      <c r="E57" s="33"/>
      <c r="F57" s="34">
        <v>127792.5</v>
      </c>
      <c r="G57" s="35">
        <v>1</v>
      </c>
      <c r="H57" s="36"/>
      <c r="I57" s="37"/>
      <c r="J57" s="5"/>
    </row>
    <row r="58" spans="1:10" ht="13.05" customHeight="1">
      <c r="A58" s="5"/>
      <c r="B58" s="7"/>
      <c r="C58" s="5"/>
      <c r="D58" s="5"/>
      <c r="E58" s="5"/>
      <c r="F58" s="5"/>
      <c r="G58" s="5"/>
      <c r="H58" s="5"/>
      <c r="I58" s="5"/>
      <c r="J58" s="5"/>
    </row>
    <row r="59" spans="1:10" ht="13.05" customHeight="1">
      <c r="A59" s="5"/>
      <c r="B59" s="4" t="s">
        <v>201</v>
      </c>
      <c r="C59" s="5"/>
      <c r="D59" s="5"/>
      <c r="E59" s="5"/>
      <c r="F59" s="5"/>
      <c r="G59" s="5"/>
      <c r="H59" s="5"/>
      <c r="I59" s="5"/>
      <c r="J59" s="5"/>
    </row>
    <row r="60" spans="1:10" ht="25.95" customHeight="1">
      <c r="A60" s="5"/>
      <c r="B60" s="103" t="s">
        <v>202</v>
      </c>
      <c r="C60" s="103"/>
      <c r="D60" s="103"/>
      <c r="E60" s="103"/>
      <c r="F60" s="103"/>
      <c r="G60" s="103"/>
      <c r="H60" s="103"/>
      <c r="I60" s="103"/>
      <c r="J60" s="5"/>
    </row>
    <row r="61" spans="1:10" ht="13.05" customHeight="1">
      <c r="A61" s="5"/>
      <c r="B61" s="103" t="s">
        <v>203</v>
      </c>
      <c r="C61" s="103"/>
      <c r="D61" s="103"/>
      <c r="E61" s="103"/>
      <c r="F61" s="103"/>
      <c r="G61" s="103"/>
      <c r="H61" s="103"/>
      <c r="I61" s="103"/>
      <c r="J61" s="5"/>
    </row>
    <row r="62" spans="1:10" ht="13.05" customHeight="1">
      <c r="A62" s="5"/>
      <c r="B62" s="103"/>
      <c r="C62" s="103"/>
      <c r="D62" s="103"/>
      <c r="E62" s="103"/>
      <c r="F62" s="103"/>
      <c r="G62" s="103"/>
      <c r="H62" s="103"/>
      <c r="I62" s="103"/>
      <c r="J62" s="5"/>
    </row>
    <row r="63" spans="1:10" ht="13.05" customHeight="1">
      <c r="A63" s="5"/>
      <c r="B63" s="103"/>
      <c r="C63" s="103"/>
      <c r="D63" s="103"/>
      <c r="E63" s="103"/>
      <c r="F63" s="103"/>
      <c r="G63" s="103"/>
      <c r="H63" s="103"/>
      <c r="I63" s="103"/>
      <c r="J63" s="5"/>
    </row>
    <row r="64" spans="1:10" ht="13.05" customHeight="1">
      <c r="A64" s="5"/>
      <c r="B64" s="103"/>
      <c r="C64" s="103"/>
      <c r="D64" s="103"/>
      <c r="E64" s="103"/>
      <c r="F64" s="103"/>
      <c r="G64" s="103"/>
      <c r="H64" s="103"/>
      <c r="I64" s="103"/>
      <c r="J64" s="5"/>
    </row>
    <row r="65" spans="1:10" ht="13.05" customHeight="1">
      <c r="A65" s="5"/>
      <c r="B65" s="103"/>
      <c r="C65" s="103"/>
      <c r="D65" s="103"/>
      <c r="E65" s="103"/>
      <c r="F65" s="103"/>
      <c r="G65" s="103"/>
      <c r="H65" s="103"/>
      <c r="I65" s="103"/>
      <c r="J65" s="5"/>
    </row>
    <row r="66" spans="1:10" ht="13.05" customHeight="1">
      <c r="A66" s="5"/>
      <c r="B66" s="5"/>
      <c r="C66" s="104" t="s">
        <v>1817</v>
      </c>
      <c r="D66" s="104"/>
      <c r="E66" s="104"/>
      <c r="F66" s="104"/>
      <c r="G66" s="5"/>
      <c r="H66" s="5"/>
      <c r="I66" s="5"/>
      <c r="J66" s="5"/>
    </row>
    <row r="67" spans="1:10" ht="13.05" customHeight="1">
      <c r="A67" s="5"/>
      <c r="B67" s="38" t="s">
        <v>207</v>
      </c>
      <c r="C67" s="104" t="s">
        <v>208</v>
      </c>
      <c r="D67" s="104"/>
      <c r="E67" s="104"/>
      <c r="F67" s="104"/>
      <c r="G67" s="5"/>
      <c r="H67" s="5"/>
      <c r="I67" s="5"/>
      <c r="J67" s="5"/>
    </row>
    <row r="68" spans="1:10" ht="135" customHeight="1">
      <c r="A68" s="5"/>
      <c r="B68" s="39"/>
      <c r="C68" s="105"/>
      <c r="D68" s="105"/>
      <c r="E68" s="5"/>
      <c r="F68" s="5"/>
      <c r="G68" s="5"/>
      <c r="H68" s="5"/>
      <c r="I68" s="5"/>
      <c r="J68" s="5"/>
    </row>
  </sheetData>
  <mergeCells count="9">
    <mergeCell ref="B65:I65"/>
    <mergeCell ref="C66:F66"/>
    <mergeCell ref="C67:F67"/>
    <mergeCell ref="C68:D68"/>
    <mergeCell ref="B60:I60"/>
    <mergeCell ref="B61:I61"/>
    <mergeCell ref="B62:I62"/>
    <mergeCell ref="B63:I63"/>
    <mergeCell ref="B64:I64"/>
  </mergeCells>
  <hyperlinks>
    <hyperlink ref="A1" location="AxisMomentumFund" display="AXISMIF" xr:uid="{00000000-0004-0000-2E00-000000000000}"/>
    <hyperlink ref="B1" location="AxisMomentumFund" display="Axis Momentum Fund" xr:uid="{00000000-0004-0000-2E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outlinePr summaryBelow="0"/>
  </sheetPr>
  <dimension ref="A1:J156"/>
  <sheetViews>
    <sheetView topLeftCell="A151" workbookViewId="0">
      <selection activeCell="C136" sqref="C136"/>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96</v>
      </c>
      <c r="B1" s="4" t="s">
        <v>97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5505392</v>
      </c>
      <c r="F7" s="21">
        <v>54354.735200000003</v>
      </c>
      <c r="G7" s="22">
        <v>5.9700000000000003E-2</v>
      </c>
      <c r="H7" s="40"/>
      <c r="I7" s="24"/>
      <c r="J7" s="5"/>
    </row>
    <row r="8" spans="1:10" ht="13.05" customHeight="1">
      <c r="A8" s="18" t="s">
        <v>262</v>
      </c>
      <c r="B8" s="19" t="s">
        <v>263</v>
      </c>
      <c r="C8" s="15" t="s">
        <v>264</v>
      </c>
      <c r="D8" s="15" t="s">
        <v>257</v>
      </c>
      <c r="E8" s="20">
        <v>2539408</v>
      </c>
      <c r="F8" s="21">
        <v>34162.6558</v>
      </c>
      <c r="G8" s="22">
        <v>3.7499999999999999E-2</v>
      </c>
      <c r="H8" s="40"/>
      <c r="I8" s="24"/>
      <c r="J8" s="5"/>
    </row>
    <row r="9" spans="1:10" ht="13.05" customHeight="1">
      <c r="A9" s="18" t="s">
        <v>258</v>
      </c>
      <c r="B9" s="19" t="s">
        <v>259</v>
      </c>
      <c r="C9" s="15" t="s">
        <v>260</v>
      </c>
      <c r="D9" s="15" t="s">
        <v>261</v>
      </c>
      <c r="E9" s="20">
        <v>2024523</v>
      </c>
      <c r="F9" s="21">
        <v>30092.509900000001</v>
      </c>
      <c r="G9" s="22">
        <v>3.3099999999999997E-2</v>
      </c>
      <c r="H9" s="40"/>
      <c r="I9" s="24"/>
      <c r="J9" s="5"/>
    </row>
    <row r="10" spans="1:10" ht="13.05" customHeight="1">
      <c r="A10" s="18" t="s">
        <v>514</v>
      </c>
      <c r="B10" s="19" t="s">
        <v>515</v>
      </c>
      <c r="C10" s="15" t="s">
        <v>516</v>
      </c>
      <c r="D10" s="15" t="s">
        <v>415</v>
      </c>
      <c r="E10" s="20">
        <v>2299144</v>
      </c>
      <c r="F10" s="21">
        <v>23521.3927</v>
      </c>
      <c r="G10" s="22">
        <v>2.58E-2</v>
      </c>
      <c r="H10" s="40"/>
      <c r="I10" s="24"/>
      <c r="J10" s="5"/>
    </row>
    <row r="11" spans="1:10" ht="13.05" customHeight="1">
      <c r="A11" s="18" t="s">
        <v>265</v>
      </c>
      <c r="B11" s="19" t="s">
        <v>266</v>
      </c>
      <c r="C11" s="15" t="s">
        <v>267</v>
      </c>
      <c r="D11" s="15" t="s">
        <v>268</v>
      </c>
      <c r="E11" s="20">
        <v>952842</v>
      </c>
      <c r="F11" s="21">
        <v>19576.138900000002</v>
      </c>
      <c r="G11" s="22">
        <v>2.1499999999999998E-2</v>
      </c>
      <c r="H11" s="40"/>
      <c r="I11" s="24"/>
      <c r="J11" s="5"/>
    </row>
    <row r="12" spans="1:10" ht="13.05" customHeight="1">
      <c r="A12" s="18" t="s">
        <v>301</v>
      </c>
      <c r="B12" s="19" t="s">
        <v>302</v>
      </c>
      <c r="C12" s="15" t="s">
        <v>303</v>
      </c>
      <c r="D12" s="15" t="s">
        <v>304</v>
      </c>
      <c r="E12" s="20">
        <v>5552760</v>
      </c>
      <c r="F12" s="21">
        <v>17643.894899999999</v>
      </c>
      <c r="G12" s="22">
        <v>1.9400000000000001E-2</v>
      </c>
      <c r="H12" s="40"/>
      <c r="I12" s="24"/>
      <c r="J12" s="5"/>
    </row>
    <row r="13" spans="1:10" ht="13.05" customHeight="1">
      <c r="A13" s="18" t="s">
        <v>297</v>
      </c>
      <c r="B13" s="19" t="s">
        <v>298</v>
      </c>
      <c r="C13" s="15" t="s">
        <v>299</v>
      </c>
      <c r="D13" s="15" t="s">
        <v>300</v>
      </c>
      <c r="E13" s="20">
        <v>1634382</v>
      </c>
      <c r="F13" s="21">
        <v>17043.335500000001</v>
      </c>
      <c r="G13" s="22">
        <v>1.8700000000000001E-2</v>
      </c>
      <c r="H13" s="40"/>
      <c r="I13" s="24"/>
      <c r="J13" s="5"/>
    </row>
    <row r="14" spans="1:10" ht="13.05" customHeight="1">
      <c r="A14" s="18" t="s">
        <v>1638</v>
      </c>
      <c r="B14" s="19" t="s">
        <v>1639</v>
      </c>
      <c r="C14" s="15" t="s">
        <v>1640</v>
      </c>
      <c r="D14" s="15" t="s">
        <v>567</v>
      </c>
      <c r="E14" s="20">
        <v>2947323</v>
      </c>
      <c r="F14" s="21">
        <v>16614.059799999999</v>
      </c>
      <c r="G14" s="22">
        <v>1.83E-2</v>
      </c>
      <c r="H14" s="40"/>
      <c r="I14" s="24"/>
      <c r="J14" s="5"/>
    </row>
    <row r="15" spans="1:10" ht="13.05" customHeight="1">
      <c r="A15" s="18" t="s">
        <v>616</v>
      </c>
      <c r="B15" s="19" t="s">
        <v>617</v>
      </c>
      <c r="C15" s="15" t="s">
        <v>618</v>
      </c>
      <c r="D15" s="15" t="s">
        <v>445</v>
      </c>
      <c r="E15" s="20">
        <v>529273</v>
      </c>
      <c r="F15" s="21">
        <v>16076.1381</v>
      </c>
      <c r="G15" s="22">
        <v>1.77E-2</v>
      </c>
      <c r="H15" s="40"/>
      <c r="I15" s="24"/>
      <c r="J15" s="5"/>
    </row>
    <row r="16" spans="1:10" ht="13.05" customHeight="1">
      <c r="A16" s="18" t="s">
        <v>293</v>
      </c>
      <c r="B16" s="19" t="s">
        <v>294</v>
      </c>
      <c r="C16" s="15" t="s">
        <v>295</v>
      </c>
      <c r="D16" s="15" t="s">
        <v>296</v>
      </c>
      <c r="E16" s="20">
        <v>430277</v>
      </c>
      <c r="F16" s="21">
        <v>15004.619500000001</v>
      </c>
      <c r="G16" s="22">
        <v>1.6500000000000001E-2</v>
      </c>
      <c r="H16" s="40"/>
      <c r="I16" s="24"/>
      <c r="J16" s="5"/>
    </row>
    <row r="17" spans="1:10" ht="13.05" customHeight="1">
      <c r="A17" s="18" t="s">
        <v>281</v>
      </c>
      <c r="B17" s="19" t="s">
        <v>282</v>
      </c>
      <c r="C17" s="15" t="s">
        <v>283</v>
      </c>
      <c r="D17" s="15" t="s">
        <v>257</v>
      </c>
      <c r="E17" s="20">
        <v>1531078</v>
      </c>
      <c r="F17" s="21">
        <v>14346.2009</v>
      </c>
      <c r="G17" s="22">
        <v>1.5800000000000002E-2</v>
      </c>
      <c r="H17" s="40"/>
      <c r="I17" s="24"/>
      <c r="J17" s="5"/>
    </row>
    <row r="18" spans="1:10" ht="13.05" customHeight="1">
      <c r="A18" s="18" t="s">
        <v>273</v>
      </c>
      <c r="B18" s="19" t="s">
        <v>274</v>
      </c>
      <c r="C18" s="15" t="s">
        <v>275</v>
      </c>
      <c r="D18" s="15" t="s">
        <v>276</v>
      </c>
      <c r="E18" s="20">
        <v>326743</v>
      </c>
      <c r="F18" s="21">
        <v>13170.6836</v>
      </c>
      <c r="G18" s="22">
        <v>1.4500000000000001E-2</v>
      </c>
      <c r="H18" s="40"/>
      <c r="I18" s="24"/>
      <c r="J18" s="5"/>
    </row>
    <row r="19" spans="1:10" ht="13.05" customHeight="1">
      <c r="A19" s="18" t="s">
        <v>1052</v>
      </c>
      <c r="B19" s="19" t="s">
        <v>1053</v>
      </c>
      <c r="C19" s="15" t="s">
        <v>1054</v>
      </c>
      <c r="D19" s="15" t="s">
        <v>445</v>
      </c>
      <c r="E19" s="20">
        <v>1181461</v>
      </c>
      <c r="F19" s="21">
        <v>12915.7317</v>
      </c>
      <c r="G19" s="22">
        <v>1.4200000000000001E-2</v>
      </c>
      <c r="H19" s="40"/>
      <c r="I19" s="24"/>
      <c r="J19" s="5"/>
    </row>
    <row r="20" spans="1:10" ht="13.05" customHeight="1">
      <c r="A20" s="18" t="s">
        <v>269</v>
      </c>
      <c r="B20" s="19" t="s">
        <v>270</v>
      </c>
      <c r="C20" s="15" t="s">
        <v>271</v>
      </c>
      <c r="D20" s="15" t="s">
        <v>272</v>
      </c>
      <c r="E20" s="20">
        <v>851928</v>
      </c>
      <c r="F20" s="21">
        <v>12628.128699999999</v>
      </c>
      <c r="G20" s="22">
        <v>1.3899999999999999E-2</v>
      </c>
      <c r="H20" s="40"/>
      <c r="I20" s="24"/>
      <c r="J20" s="5"/>
    </row>
    <row r="21" spans="1:10" ht="13.05" customHeight="1">
      <c r="A21" s="18" t="s">
        <v>558</v>
      </c>
      <c r="B21" s="19" t="s">
        <v>559</v>
      </c>
      <c r="C21" s="15" t="s">
        <v>560</v>
      </c>
      <c r="D21" s="15" t="s">
        <v>374</v>
      </c>
      <c r="E21" s="20">
        <v>134842</v>
      </c>
      <c r="F21" s="21">
        <v>12464.1203</v>
      </c>
      <c r="G21" s="22">
        <v>1.37E-2</v>
      </c>
      <c r="H21" s="40"/>
      <c r="I21" s="24"/>
      <c r="J21" s="5"/>
    </row>
    <row r="22" spans="1:10" ht="13.05" customHeight="1">
      <c r="A22" s="18" t="s">
        <v>1186</v>
      </c>
      <c r="B22" s="19" t="s">
        <v>1187</v>
      </c>
      <c r="C22" s="15" t="s">
        <v>1188</v>
      </c>
      <c r="D22" s="15" t="s">
        <v>970</v>
      </c>
      <c r="E22" s="20">
        <v>254175</v>
      </c>
      <c r="F22" s="21">
        <v>12016.3773</v>
      </c>
      <c r="G22" s="22">
        <v>1.32E-2</v>
      </c>
      <c r="H22" s="40"/>
      <c r="I22" s="24"/>
      <c r="J22" s="5"/>
    </row>
    <row r="23" spans="1:10" ht="13.05" customHeight="1">
      <c r="A23" s="18" t="s">
        <v>765</v>
      </c>
      <c r="B23" s="19" t="s">
        <v>766</v>
      </c>
      <c r="C23" s="15" t="s">
        <v>767</v>
      </c>
      <c r="D23" s="15" t="s">
        <v>325</v>
      </c>
      <c r="E23" s="20">
        <v>614696</v>
      </c>
      <c r="F23" s="21">
        <v>11909.1203</v>
      </c>
      <c r="G23" s="22">
        <v>1.3100000000000001E-2</v>
      </c>
      <c r="H23" s="40"/>
      <c r="I23" s="24"/>
      <c r="J23" s="5"/>
    </row>
    <row r="24" spans="1:10" ht="13.05" customHeight="1">
      <c r="A24" s="18" t="s">
        <v>290</v>
      </c>
      <c r="B24" s="19" t="s">
        <v>291</v>
      </c>
      <c r="C24" s="15" t="s">
        <v>292</v>
      </c>
      <c r="D24" s="15" t="s">
        <v>257</v>
      </c>
      <c r="E24" s="20">
        <v>524454</v>
      </c>
      <c r="F24" s="21">
        <v>11025.072</v>
      </c>
      <c r="G24" s="22">
        <v>1.21E-2</v>
      </c>
      <c r="H24" s="40"/>
      <c r="I24" s="24"/>
      <c r="J24" s="5"/>
    </row>
    <row r="25" spans="1:10" ht="13.05" customHeight="1">
      <c r="A25" s="18" t="s">
        <v>326</v>
      </c>
      <c r="B25" s="19" t="s">
        <v>327</v>
      </c>
      <c r="C25" s="15" t="s">
        <v>328</v>
      </c>
      <c r="D25" s="15" t="s">
        <v>329</v>
      </c>
      <c r="E25" s="20">
        <v>2587223</v>
      </c>
      <c r="F25" s="21">
        <v>11024.1572</v>
      </c>
      <c r="G25" s="22">
        <v>1.21E-2</v>
      </c>
      <c r="H25" s="40"/>
      <c r="I25" s="24"/>
      <c r="J25" s="5"/>
    </row>
    <row r="26" spans="1:10" ht="13.05" customHeight="1">
      <c r="A26" s="18" t="s">
        <v>488</v>
      </c>
      <c r="B26" s="19" t="s">
        <v>489</v>
      </c>
      <c r="C26" s="15" t="s">
        <v>490</v>
      </c>
      <c r="D26" s="15" t="s">
        <v>272</v>
      </c>
      <c r="E26" s="20">
        <v>610130</v>
      </c>
      <c r="F26" s="21">
        <v>10848.7215</v>
      </c>
      <c r="G26" s="22">
        <v>1.1900000000000001E-2</v>
      </c>
      <c r="H26" s="40"/>
      <c r="I26" s="24"/>
      <c r="J26" s="5"/>
    </row>
    <row r="27" spans="1:10" ht="13.05" customHeight="1">
      <c r="A27" s="18" t="s">
        <v>532</v>
      </c>
      <c r="B27" s="19" t="s">
        <v>533</v>
      </c>
      <c r="C27" s="15" t="s">
        <v>534</v>
      </c>
      <c r="D27" s="15" t="s">
        <v>445</v>
      </c>
      <c r="E27" s="20">
        <v>1430123</v>
      </c>
      <c r="F27" s="21">
        <v>10535.001099999999</v>
      </c>
      <c r="G27" s="22">
        <v>1.1599999999999999E-2</v>
      </c>
      <c r="H27" s="40"/>
      <c r="I27" s="24"/>
      <c r="J27" s="5"/>
    </row>
    <row r="28" spans="1:10" ht="13.05" customHeight="1">
      <c r="A28" s="18" t="s">
        <v>843</v>
      </c>
      <c r="B28" s="19" t="s">
        <v>844</v>
      </c>
      <c r="C28" s="15" t="s">
        <v>845</v>
      </c>
      <c r="D28" s="15" t="s">
        <v>846</v>
      </c>
      <c r="E28" s="20">
        <v>156146</v>
      </c>
      <c r="F28" s="21">
        <v>10468.8086</v>
      </c>
      <c r="G28" s="22">
        <v>1.15E-2</v>
      </c>
      <c r="H28" s="40"/>
      <c r="I28" s="24"/>
      <c r="J28" s="5"/>
    </row>
    <row r="29" spans="1:10" ht="13.05" customHeight="1">
      <c r="A29" s="18" t="s">
        <v>871</v>
      </c>
      <c r="B29" s="19" t="s">
        <v>872</v>
      </c>
      <c r="C29" s="15" t="s">
        <v>873</v>
      </c>
      <c r="D29" s="15" t="s">
        <v>257</v>
      </c>
      <c r="E29" s="20">
        <v>3162523</v>
      </c>
      <c r="F29" s="21">
        <v>10320.8938</v>
      </c>
      <c r="G29" s="22">
        <v>1.1299999999999999E-2</v>
      </c>
      <c r="H29" s="40"/>
      <c r="I29" s="24"/>
      <c r="J29" s="5"/>
    </row>
    <row r="30" spans="1:10" ht="13.05" customHeight="1">
      <c r="A30" s="18" t="s">
        <v>495</v>
      </c>
      <c r="B30" s="19" t="s">
        <v>496</v>
      </c>
      <c r="C30" s="15" t="s">
        <v>497</v>
      </c>
      <c r="D30" s="15" t="s">
        <v>257</v>
      </c>
      <c r="E30" s="20">
        <v>4108813</v>
      </c>
      <c r="F30" s="21">
        <v>9721.8624</v>
      </c>
      <c r="G30" s="22">
        <v>1.0699999999999999E-2</v>
      </c>
      <c r="H30" s="40"/>
      <c r="I30" s="24"/>
      <c r="J30" s="5"/>
    </row>
    <row r="31" spans="1:10" ht="13.05" customHeight="1">
      <c r="A31" s="18" t="s">
        <v>423</v>
      </c>
      <c r="B31" s="19" t="s">
        <v>424</v>
      </c>
      <c r="C31" s="15" t="s">
        <v>425</v>
      </c>
      <c r="D31" s="15" t="s">
        <v>296</v>
      </c>
      <c r="E31" s="20">
        <v>270969</v>
      </c>
      <c r="F31" s="21">
        <v>9507.4892999999993</v>
      </c>
      <c r="G31" s="22">
        <v>1.04E-2</v>
      </c>
      <c r="H31" s="40"/>
      <c r="I31" s="24"/>
      <c r="J31" s="5"/>
    </row>
    <row r="32" spans="1:10" ht="13.05" customHeight="1">
      <c r="A32" s="18" t="s">
        <v>801</v>
      </c>
      <c r="B32" s="19" t="s">
        <v>802</v>
      </c>
      <c r="C32" s="15" t="s">
        <v>803</v>
      </c>
      <c r="D32" s="15" t="s">
        <v>257</v>
      </c>
      <c r="E32" s="20">
        <v>3767008</v>
      </c>
      <c r="F32" s="21">
        <v>9159.48</v>
      </c>
      <c r="G32" s="22">
        <v>1.01E-2</v>
      </c>
      <c r="H32" s="40"/>
      <c r="I32" s="24"/>
      <c r="J32" s="5"/>
    </row>
    <row r="33" spans="1:10" ht="13.05" customHeight="1">
      <c r="A33" s="18" t="s">
        <v>986</v>
      </c>
      <c r="B33" s="19" t="s">
        <v>987</v>
      </c>
      <c r="C33" s="15" t="s">
        <v>988</v>
      </c>
      <c r="D33" s="15" t="s">
        <v>445</v>
      </c>
      <c r="E33" s="20">
        <v>104737</v>
      </c>
      <c r="F33" s="21">
        <v>9081.7453000000005</v>
      </c>
      <c r="G33" s="22">
        <v>0.01</v>
      </c>
      <c r="H33" s="40"/>
      <c r="I33" s="24"/>
      <c r="J33" s="5"/>
    </row>
    <row r="34" spans="1:10" ht="13.05" customHeight="1">
      <c r="A34" s="18" t="s">
        <v>1370</v>
      </c>
      <c r="B34" s="19" t="s">
        <v>1371</v>
      </c>
      <c r="C34" s="15" t="s">
        <v>1372</v>
      </c>
      <c r="D34" s="15" t="s">
        <v>846</v>
      </c>
      <c r="E34" s="20">
        <v>1024057</v>
      </c>
      <c r="F34" s="21">
        <v>8847.8525000000009</v>
      </c>
      <c r="G34" s="22">
        <v>9.7000000000000003E-3</v>
      </c>
      <c r="H34" s="40"/>
      <c r="I34" s="24"/>
      <c r="J34" s="5"/>
    </row>
    <row r="35" spans="1:10" ht="13.05" customHeight="1">
      <c r="A35" s="18" t="s">
        <v>700</v>
      </c>
      <c r="B35" s="19" t="s">
        <v>701</v>
      </c>
      <c r="C35" s="15" t="s">
        <v>702</v>
      </c>
      <c r="D35" s="15" t="s">
        <v>257</v>
      </c>
      <c r="E35" s="20">
        <v>979804</v>
      </c>
      <c r="F35" s="21">
        <v>8413.5769</v>
      </c>
      <c r="G35" s="22">
        <v>9.1999999999999998E-3</v>
      </c>
      <c r="H35" s="40"/>
      <c r="I35" s="24"/>
      <c r="J35" s="5"/>
    </row>
    <row r="36" spans="1:10" ht="13.05" customHeight="1">
      <c r="A36" s="18" t="s">
        <v>739</v>
      </c>
      <c r="B36" s="19" t="s">
        <v>740</v>
      </c>
      <c r="C36" s="15" t="s">
        <v>741</v>
      </c>
      <c r="D36" s="15" t="s">
        <v>314</v>
      </c>
      <c r="E36" s="20">
        <v>345727</v>
      </c>
      <c r="F36" s="21">
        <v>8242.1316999999999</v>
      </c>
      <c r="G36" s="22">
        <v>9.1000000000000004E-3</v>
      </c>
      <c r="H36" s="40"/>
      <c r="I36" s="24"/>
      <c r="J36" s="5"/>
    </row>
    <row r="37" spans="1:10" ht="13.05" customHeight="1">
      <c r="A37" s="18" t="s">
        <v>1263</v>
      </c>
      <c r="B37" s="19" t="s">
        <v>1264</v>
      </c>
      <c r="C37" s="15" t="s">
        <v>1265</v>
      </c>
      <c r="D37" s="15" t="s">
        <v>541</v>
      </c>
      <c r="E37" s="20">
        <v>1269061</v>
      </c>
      <c r="F37" s="21">
        <v>8177.8290999999999</v>
      </c>
      <c r="G37" s="22">
        <v>8.9999999999999993E-3</v>
      </c>
      <c r="H37" s="40"/>
      <c r="I37" s="24"/>
      <c r="J37" s="5"/>
    </row>
    <row r="38" spans="1:10" ht="13.05" customHeight="1">
      <c r="A38" s="18" t="s">
        <v>498</v>
      </c>
      <c r="B38" s="19" t="s">
        <v>499</v>
      </c>
      <c r="C38" s="15" t="s">
        <v>500</v>
      </c>
      <c r="D38" s="15" t="s">
        <v>501</v>
      </c>
      <c r="E38" s="20">
        <v>185109</v>
      </c>
      <c r="F38" s="21">
        <v>8041.3200999999999</v>
      </c>
      <c r="G38" s="22">
        <v>8.8000000000000005E-3</v>
      </c>
      <c r="H38" s="40"/>
      <c r="I38" s="24"/>
      <c r="J38" s="5"/>
    </row>
    <row r="39" spans="1:10" ht="13.05" customHeight="1">
      <c r="A39" s="18" t="s">
        <v>1352</v>
      </c>
      <c r="B39" s="19" t="s">
        <v>1353</v>
      </c>
      <c r="C39" s="15" t="s">
        <v>1354</v>
      </c>
      <c r="D39" s="15" t="s">
        <v>567</v>
      </c>
      <c r="E39" s="20">
        <v>119822</v>
      </c>
      <c r="F39" s="21">
        <v>8004.1095999999998</v>
      </c>
      <c r="G39" s="22">
        <v>8.8000000000000005E-3</v>
      </c>
      <c r="H39" s="40"/>
      <c r="I39" s="24"/>
      <c r="J39" s="5"/>
    </row>
    <row r="40" spans="1:10" ht="13.05" customHeight="1">
      <c r="A40" s="18" t="s">
        <v>649</v>
      </c>
      <c r="B40" s="19" t="s">
        <v>650</v>
      </c>
      <c r="C40" s="15" t="s">
        <v>651</v>
      </c>
      <c r="D40" s="15" t="s">
        <v>581</v>
      </c>
      <c r="E40" s="20">
        <v>56111</v>
      </c>
      <c r="F40" s="21">
        <v>7787.0846000000001</v>
      </c>
      <c r="G40" s="22">
        <v>8.6E-3</v>
      </c>
      <c r="H40" s="40"/>
      <c r="I40" s="24"/>
      <c r="J40" s="5"/>
    </row>
    <row r="41" spans="1:10" ht="13.05" customHeight="1">
      <c r="A41" s="18" t="s">
        <v>789</v>
      </c>
      <c r="B41" s="19" t="s">
        <v>790</v>
      </c>
      <c r="C41" s="15" t="s">
        <v>791</v>
      </c>
      <c r="D41" s="15" t="s">
        <v>348</v>
      </c>
      <c r="E41" s="20">
        <v>1661376</v>
      </c>
      <c r="F41" s="21">
        <v>7741.1814999999997</v>
      </c>
      <c r="G41" s="22">
        <v>8.5000000000000006E-3</v>
      </c>
      <c r="H41" s="40"/>
      <c r="I41" s="24"/>
      <c r="J41" s="5"/>
    </row>
    <row r="42" spans="1:10" ht="13.05" customHeight="1">
      <c r="A42" s="18" t="s">
        <v>1120</v>
      </c>
      <c r="B42" s="19" t="s">
        <v>1121</v>
      </c>
      <c r="C42" s="15" t="s">
        <v>1122</v>
      </c>
      <c r="D42" s="15" t="s">
        <v>970</v>
      </c>
      <c r="E42" s="20">
        <v>2181621</v>
      </c>
      <c r="F42" s="21">
        <v>7720.7566999999999</v>
      </c>
      <c r="G42" s="22">
        <v>8.5000000000000006E-3</v>
      </c>
      <c r="H42" s="40"/>
      <c r="I42" s="24"/>
      <c r="J42" s="5"/>
    </row>
    <row r="43" spans="1:10" ht="13.05" customHeight="1">
      <c r="A43" s="18" t="s">
        <v>469</v>
      </c>
      <c r="B43" s="19" t="s">
        <v>470</v>
      </c>
      <c r="C43" s="15" t="s">
        <v>471</v>
      </c>
      <c r="D43" s="15" t="s">
        <v>272</v>
      </c>
      <c r="E43" s="20">
        <v>130384</v>
      </c>
      <c r="F43" s="21">
        <v>7714.2996999999996</v>
      </c>
      <c r="G43" s="22">
        <v>8.5000000000000006E-3</v>
      </c>
      <c r="H43" s="40"/>
      <c r="I43" s="24"/>
      <c r="J43" s="5"/>
    </row>
    <row r="44" spans="1:10" ht="13.05" customHeight="1">
      <c r="A44" s="18" t="s">
        <v>1248</v>
      </c>
      <c r="B44" s="19" t="s">
        <v>1249</v>
      </c>
      <c r="C44" s="15" t="s">
        <v>1250</v>
      </c>
      <c r="D44" s="15" t="s">
        <v>314</v>
      </c>
      <c r="E44" s="20">
        <v>811956</v>
      </c>
      <c r="F44" s="21">
        <v>7455.38</v>
      </c>
      <c r="G44" s="22">
        <v>8.2000000000000007E-3</v>
      </c>
      <c r="H44" s="40"/>
      <c r="I44" s="24"/>
      <c r="J44" s="5"/>
    </row>
    <row r="45" spans="1:10" ht="13.05" customHeight="1">
      <c r="A45" s="18" t="s">
        <v>2426</v>
      </c>
      <c r="B45" s="19" t="s">
        <v>2427</v>
      </c>
      <c r="C45" s="15" t="s">
        <v>2428</v>
      </c>
      <c r="D45" s="15" t="s">
        <v>970</v>
      </c>
      <c r="E45" s="20">
        <v>1230326</v>
      </c>
      <c r="F45" s="21">
        <v>7383.1863000000003</v>
      </c>
      <c r="G45" s="22">
        <v>8.0999999999999996E-3</v>
      </c>
      <c r="H45" s="40"/>
      <c r="I45" s="24"/>
      <c r="J45" s="5"/>
    </row>
    <row r="46" spans="1:10" ht="13.05" customHeight="1">
      <c r="A46" s="18" t="s">
        <v>334</v>
      </c>
      <c r="B46" s="19" t="s">
        <v>335</v>
      </c>
      <c r="C46" s="15" t="s">
        <v>336</v>
      </c>
      <c r="D46" s="15" t="s">
        <v>337</v>
      </c>
      <c r="E46" s="20">
        <v>61684</v>
      </c>
      <c r="F46" s="21">
        <v>7369.3874999999998</v>
      </c>
      <c r="G46" s="22">
        <v>8.0999999999999996E-3</v>
      </c>
      <c r="H46" s="40"/>
      <c r="I46" s="24"/>
      <c r="J46" s="5"/>
    </row>
    <row r="47" spans="1:10" ht="13.05" customHeight="1">
      <c r="A47" s="18" t="s">
        <v>989</v>
      </c>
      <c r="B47" s="19" t="s">
        <v>990</v>
      </c>
      <c r="C47" s="15" t="s">
        <v>991</v>
      </c>
      <c r="D47" s="15" t="s">
        <v>541</v>
      </c>
      <c r="E47" s="20">
        <v>706137</v>
      </c>
      <c r="F47" s="21">
        <v>7327.5835999999999</v>
      </c>
      <c r="G47" s="22">
        <v>8.0999999999999996E-3</v>
      </c>
      <c r="H47" s="40"/>
      <c r="I47" s="24"/>
      <c r="J47" s="5"/>
    </row>
    <row r="48" spans="1:10" ht="13.05" customHeight="1">
      <c r="A48" s="18" t="s">
        <v>709</v>
      </c>
      <c r="B48" s="19" t="s">
        <v>710</v>
      </c>
      <c r="C48" s="15" t="s">
        <v>711</v>
      </c>
      <c r="D48" s="15" t="s">
        <v>304</v>
      </c>
      <c r="E48" s="20">
        <v>4948993</v>
      </c>
      <c r="F48" s="21">
        <v>7160.6980000000003</v>
      </c>
      <c r="G48" s="22">
        <v>7.9000000000000008E-3</v>
      </c>
      <c r="H48" s="40"/>
      <c r="I48" s="24"/>
      <c r="J48" s="5"/>
    </row>
    <row r="49" spans="1:10" ht="13.05" customHeight="1">
      <c r="A49" s="18" t="s">
        <v>685</v>
      </c>
      <c r="B49" s="19" t="s">
        <v>686</v>
      </c>
      <c r="C49" s="15" t="s">
        <v>687</v>
      </c>
      <c r="D49" s="15" t="s">
        <v>272</v>
      </c>
      <c r="E49" s="20">
        <v>257998</v>
      </c>
      <c r="F49" s="21">
        <v>7132.0967000000001</v>
      </c>
      <c r="G49" s="22">
        <v>7.7999999999999996E-3</v>
      </c>
      <c r="H49" s="40"/>
      <c r="I49" s="24"/>
      <c r="J49" s="5"/>
    </row>
    <row r="50" spans="1:10" ht="13.05" customHeight="1">
      <c r="A50" s="18" t="s">
        <v>345</v>
      </c>
      <c r="B50" s="19" t="s">
        <v>346</v>
      </c>
      <c r="C50" s="15" t="s">
        <v>347</v>
      </c>
      <c r="D50" s="15" t="s">
        <v>348</v>
      </c>
      <c r="E50" s="20">
        <v>121000</v>
      </c>
      <c r="F50" s="21">
        <v>6806.25</v>
      </c>
      <c r="G50" s="22">
        <v>7.4999999999999997E-3</v>
      </c>
      <c r="H50" s="40"/>
      <c r="I50" s="24"/>
      <c r="J50" s="5"/>
    </row>
    <row r="51" spans="1:10" ht="13.05" customHeight="1">
      <c r="A51" s="18" t="s">
        <v>1613</v>
      </c>
      <c r="B51" s="19" t="s">
        <v>1614</v>
      </c>
      <c r="C51" s="15" t="s">
        <v>1615</v>
      </c>
      <c r="D51" s="15" t="s">
        <v>1616</v>
      </c>
      <c r="E51" s="20">
        <v>250564</v>
      </c>
      <c r="F51" s="21">
        <v>6444.7565999999997</v>
      </c>
      <c r="G51" s="22">
        <v>7.1000000000000004E-3</v>
      </c>
      <c r="H51" s="40"/>
      <c r="I51" s="24"/>
      <c r="J51" s="5"/>
    </row>
    <row r="52" spans="1:10" ht="13.05" customHeight="1">
      <c r="A52" s="18" t="s">
        <v>476</v>
      </c>
      <c r="B52" s="19" t="s">
        <v>477</v>
      </c>
      <c r="C52" s="15" t="s">
        <v>478</v>
      </c>
      <c r="D52" s="15" t="s">
        <v>325</v>
      </c>
      <c r="E52" s="20">
        <v>41409</v>
      </c>
      <c r="F52" s="21">
        <v>6415.9105</v>
      </c>
      <c r="G52" s="22">
        <v>7.1000000000000004E-3</v>
      </c>
      <c r="H52" s="40"/>
      <c r="I52" s="24"/>
      <c r="J52" s="5"/>
    </row>
    <row r="53" spans="1:10" ht="13.05" customHeight="1">
      <c r="A53" s="18" t="s">
        <v>3924</v>
      </c>
      <c r="B53" s="19" t="s">
        <v>3925</v>
      </c>
      <c r="C53" s="15" t="s">
        <v>3926</v>
      </c>
      <c r="D53" s="15" t="s">
        <v>567</v>
      </c>
      <c r="E53" s="20">
        <v>491420</v>
      </c>
      <c r="F53" s="21">
        <v>6260.1994000000004</v>
      </c>
      <c r="G53" s="22">
        <v>6.8999999999999999E-3</v>
      </c>
      <c r="H53" s="40"/>
      <c r="I53" s="24"/>
      <c r="J53" s="5"/>
    </row>
    <row r="54" spans="1:10" ht="13.05" customHeight="1">
      <c r="A54" s="18" t="s">
        <v>406</v>
      </c>
      <c r="B54" s="19" t="s">
        <v>407</v>
      </c>
      <c r="C54" s="15" t="s">
        <v>408</v>
      </c>
      <c r="D54" s="15" t="s">
        <v>314</v>
      </c>
      <c r="E54" s="20">
        <v>92905</v>
      </c>
      <c r="F54" s="21">
        <v>6259.9389000000001</v>
      </c>
      <c r="G54" s="22">
        <v>6.8999999999999999E-3</v>
      </c>
      <c r="H54" s="40"/>
      <c r="I54" s="24"/>
      <c r="J54" s="5"/>
    </row>
    <row r="55" spans="1:10" ht="13.05" customHeight="1">
      <c r="A55" s="18" t="s">
        <v>640</v>
      </c>
      <c r="B55" s="19" t="s">
        <v>641</v>
      </c>
      <c r="C55" s="15" t="s">
        <v>642</v>
      </c>
      <c r="D55" s="15" t="s">
        <v>296</v>
      </c>
      <c r="E55" s="20">
        <v>253808</v>
      </c>
      <c r="F55" s="21">
        <v>6189.6157000000003</v>
      </c>
      <c r="G55" s="22">
        <v>6.7999999999999996E-3</v>
      </c>
      <c r="H55" s="40"/>
      <c r="I55" s="24"/>
      <c r="J55" s="5"/>
    </row>
    <row r="56" spans="1:10" ht="13.05" customHeight="1">
      <c r="A56" s="18" t="s">
        <v>277</v>
      </c>
      <c r="B56" s="19" t="s">
        <v>278</v>
      </c>
      <c r="C56" s="15" t="s">
        <v>279</v>
      </c>
      <c r="D56" s="15" t="s">
        <v>280</v>
      </c>
      <c r="E56" s="20">
        <v>1465962</v>
      </c>
      <c r="F56" s="21">
        <v>6162.1713</v>
      </c>
      <c r="G56" s="22">
        <v>6.7999999999999996E-3</v>
      </c>
      <c r="H56" s="40"/>
      <c r="I56" s="24"/>
      <c r="J56" s="5"/>
    </row>
    <row r="57" spans="1:10" ht="13.05" customHeight="1">
      <c r="A57" s="18" t="s">
        <v>2435</v>
      </c>
      <c r="B57" s="19" t="s">
        <v>2436</v>
      </c>
      <c r="C57" s="15" t="s">
        <v>2437</v>
      </c>
      <c r="D57" s="15" t="s">
        <v>567</v>
      </c>
      <c r="E57" s="20">
        <v>400713</v>
      </c>
      <c r="F57" s="21">
        <v>6065.5927000000001</v>
      </c>
      <c r="G57" s="22">
        <v>6.7000000000000002E-3</v>
      </c>
      <c r="H57" s="40"/>
      <c r="I57" s="24"/>
      <c r="J57" s="5"/>
    </row>
    <row r="58" spans="1:10" ht="13.05" customHeight="1">
      <c r="A58" s="18" t="s">
        <v>768</v>
      </c>
      <c r="B58" s="19" t="s">
        <v>769</v>
      </c>
      <c r="C58" s="15" t="s">
        <v>770</v>
      </c>
      <c r="D58" s="15" t="s">
        <v>501</v>
      </c>
      <c r="E58" s="20">
        <v>147804</v>
      </c>
      <c r="F58" s="21">
        <v>5959.4573</v>
      </c>
      <c r="G58" s="22">
        <v>6.4999999999999997E-3</v>
      </c>
      <c r="H58" s="40"/>
      <c r="I58" s="24"/>
      <c r="J58" s="5"/>
    </row>
    <row r="59" spans="1:10" ht="13.05" customHeight="1">
      <c r="A59" s="18" t="s">
        <v>946</v>
      </c>
      <c r="B59" s="19" t="s">
        <v>947</v>
      </c>
      <c r="C59" s="15" t="s">
        <v>948</v>
      </c>
      <c r="D59" s="15" t="s">
        <v>325</v>
      </c>
      <c r="E59" s="20">
        <v>1064319</v>
      </c>
      <c r="F59" s="21">
        <v>5769.6733000000004</v>
      </c>
      <c r="G59" s="22">
        <v>6.3E-3</v>
      </c>
      <c r="H59" s="40"/>
      <c r="I59" s="24"/>
      <c r="J59" s="5"/>
    </row>
    <row r="60" spans="1:10" ht="13.05" customHeight="1">
      <c r="A60" s="18" t="s">
        <v>485</v>
      </c>
      <c r="B60" s="19" t="s">
        <v>486</v>
      </c>
      <c r="C60" s="15" t="s">
        <v>487</v>
      </c>
      <c r="D60" s="15" t="s">
        <v>304</v>
      </c>
      <c r="E60" s="20">
        <v>138289</v>
      </c>
      <c r="F60" s="21">
        <v>5743.8335999999999</v>
      </c>
      <c r="G60" s="22">
        <v>6.3E-3</v>
      </c>
      <c r="H60" s="40"/>
      <c r="I60" s="24"/>
      <c r="J60" s="5"/>
    </row>
    <row r="61" spans="1:10" ht="13.05" customHeight="1">
      <c r="A61" s="18" t="s">
        <v>308</v>
      </c>
      <c r="B61" s="19" t="s">
        <v>309</v>
      </c>
      <c r="C61" s="15" t="s">
        <v>310</v>
      </c>
      <c r="D61" s="15" t="s">
        <v>296</v>
      </c>
      <c r="E61" s="20">
        <v>35291</v>
      </c>
      <c r="F61" s="21">
        <v>5712.2012999999997</v>
      </c>
      <c r="G61" s="22">
        <v>6.3E-3</v>
      </c>
      <c r="H61" s="40"/>
      <c r="I61" s="24"/>
      <c r="J61" s="5"/>
    </row>
    <row r="62" spans="1:10" ht="13.05" customHeight="1">
      <c r="A62" s="18" t="s">
        <v>907</v>
      </c>
      <c r="B62" s="19" t="s">
        <v>908</v>
      </c>
      <c r="C62" s="15" t="s">
        <v>909</v>
      </c>
      <c r="D62" s="15" t="s">
        <v>415</v>
      </c>
      <c r="E62" s="20">
        <v>791620</v>
      </c>
      <c r="F62" s="21">
        <v>5707.9759999999997</v>
      </c>
      <c r="G62" s="22">
        <v>6.3E-3</v>
      </c>
      <c r="H62" s="40"/>
      <c r="I62" s="24"/>
      <c r="J62" s="5"/>
    </row>
    <row r="63" spans="1:10" ht="13.05" customHeight="1">
      <c r="A63" s="18" t="s">
        <v>1013</v>
      </c>
      <c r="B63" s="19" t="s">
        <v>1014</v>
      </c>
      <c r="C63" s="15" t="s">
        <v>1015</v>
      </c>
      <c r="D63" s="15" t="s">
        <v>314</v>
      </c>
      <c r="E63" s="20">
        <v>337782</v>
      </c>
      <c r="F63" s="21">
        <v>5682.5065999999997</v>
      </c>
      <c r="G63" s="22">
        <v>6.1999999999999998E-3</v>
      </c>
      <c r="H63" s="40"/>
      <c r="I63" s="24"/>
      <c r="J63" s="5"/>
    </row>
    <row r="64" spans="1:10" ht="13.05" customHeight="1">
      <c r="A64" s="18" t="s">
        <v>810</v>
      </c>
      <c r="B64" s="19" t="s">
        <v>811</v>
      </c>
      <c r="C64" s="15" t="s">
        <v>812</v>
      </c>
      <c r="D64" s="15" t="s">
        <v>567</v>
      </c>
      <c r="E64" s="20">
        <v>451070</v>
      </c>
      <c r="F64" s="21">
        <v>5571.6166000000003</v>
      </c>
      <c r="G64" s="22">
        <v>6.1000000000000004E-3</v>
      </c>
      <c r="H64" s="40"/>
      <c r="I64" s="24"/>
      <c r="J64" s="5"/>
    </row>
    <row r="65" spans="1:10" ht="13.05" customHeight="1">
      <c r="A65" s="18" t="s">
        <v>1299</v>
      </c>
      <c r="B65" s="19" t="s">
        <v>1300</v>
      </c>
      <c r="C65" s="15" t="s">
        <v>1301</v>
      </c>
      <c r="D65" s="15" t="s">
        <v>325</v>
      </c>
      <c r="E65" s="20">
        <v>971560</v>
      </c>
      <c r="F65" s="21">
        <v>5547.1217999999999</v>
      </c>
      <c r="G65" s="22">
        <v>6.1000000000000004E-3</v>
      </c>
      <c r="H65" s="40"/>
      <c r="I65" s="24"/>
      <c r="J65" s="5"/>
    </row>
    <row r="66" spans="1:10" ht="13.05" customHeight="1">
      <c r="A66" s="18" t="s">
        <v>828</v>
      </c>
      <c r="B66" s="19" t="s">
        <v>829</v>
      </c>
      <c r="C66" s="15" t="s">
        <v>830</v>
      </c>
      <c r="D66" s="15" t="s">
        <v>567</v>
      </c>
      <c r="E66" s="20">
        <v>1100956</v>
      </c>
      <c r="F66" s="21">
        <v>5204.7695000000003</v>
      </c>
      <c r="G66" s="22">
        <v>5.7000000000000002E-3</v>
      </c>
      <c r="H66" s="40"/>
      <c r="I66" s="24"/>
      <c r="J66" s="5"/>
    </row>
    <row r="67" spans="1:10" ht="13.05" customHeight="1">
      <c r="A67" s="18" t="s">
        <v>730</v>
      </c>
      <c r="B67" s="19" t="s">
        <v>731</v>
      </c>
      <c r="C67" s="15" t="s">
        <v>732</v>
      </c>
      <c r="D67" s="15" t="s">
        <v>445</v>
      </c>
      <c r="E67" s="20">
        <v>161816</v>
      </c>
      <c r="F67" s="21">
        <v>5154.8104999999996</v>
      </c>
      <c r="G67" s="22">
        <v>5.7000000000000002E-3</v>
      </c>
      <c r="H67" s="40"/>
      <c r="I67" s="24"/>
      <c r="J67" s="5"/>
    </row>
    <row r="68" spans="1:10" ht="13.05" customHeight="1">
      <c r="A68" s="18" t="s">
        <v>446</v>
      </c>
      <c r="B68" s="19" t="s">
        <v>447</v>
      </c>
      <c r="C68" s="15" t="s">
        <v>448</v>
      </c>
      <c r="D68" s="15" t="s">
        <v>300</v>
      </c>
      <c r="E68" s="20">
        <v>303643</v>
      </c>
      <c r="F68" s="21">
        <v>5152.2143999999998</v>
      </c>
      <c r="G68" s="22">
        <v>5.7000000000000002E-3</v>
      </c>
      <c r="H68" s="40"/>
      <c r="I68" s="24"/>
      <c r="J68" s="5"/>
    </row>
    <row r="69" spans="1:10" ht="13.05" customHeight="1">
      <c r="A69" s="18" t="s">
        <v>1471</v>
      </c>
      <c r="B69" s="19" t="s">
        <v>1472</v>
      </c>
      <c r="C69" s="15" t="s">
        <v>1473</v>
      </c>
      <c r="D69" s="15" t="s">
        <v>325</v>
      </c>
      <c r="E69" s="20">
        <v>1377164</v>
      </c>
      <c r="F69" s="21">
        <v>4988.7766000000001</v>
      </c>
      <c r="G69" s="22">
        <v>5.4999999999999997E-3</v>
      </c>
      <c r="H69" s="40"/>
      <c r="I69" s="24"/>
      <c r="J69" s="5"/>
    </row>
    <row r="70" spans="1:10" ht="13.05" customHeight="1">
      <c r="A70" s="18" t="s">
        <v>508</v>
      </c>
      <c r="B70" s="19" t="s">
        <v>509</v>
      </c>
      <c r="C70" s="15" t="s">
        <v>510</v>
      </c>
      <c r="D70" s="15" t="s">
        <v>374</v>
      </c>
      <c r="E70" s="20">
        <v>92096</v>
      </c>
      <c r="F70" s="21">
        <v>4953.8437999999996</v>
      </c>
      <c r="G70" s="22">
        <v>5.4000000000000003E-3</v>
      </c>
      <c r="H70" s="40"/>
      <c r="I70" s="24"/>
      <c r="J70" s="5"/>
    </row>
    <row r="71" spans="1:10" ht="13.05" customHeight="1">
      <c r="A71" s="18" t="s">
        <v>578</v>
      </c>
      <c r="B71" s="19" t="s">
        <v>579</v>
      </c>
      <c r="C71" s="15" t="s">
        <v>580</v>
      </c>
      <c r="D71" s="15" t="s">
        <v>581</v>
      </c>
      <c r="E71" s="20">
        <v>339064</v>
      </c>
      <c r="F71" s="21">
        <v>4898.1184999999996</v>
      </c>
      <c r="G71" s="22">
        <v>5.4000000000000003E-3</v>
      </c>
      <c r="H71" s="40"/>
      <c r="I71" s="24"/>
      <c r="J71" s="5"/>
    </row>
    <row r="72" spans="1:10" ht="13.05" customHeight="1">
      <c r="A72" s="18" t="s">
        <v>694</v>
      </c>
      <c r="B72" s="19" t="s">
        <v>695</v>
      </c>
      <c r="C72" s="15" t="s">
        <v>696</v>
      </c>
      <c r="D72" s="15" t="s">
        <v>541</v>
      </c>
      <c r="E72" s="20">
        <v>291073</v>
      </c>
      <c r="F72" s="21">
        <v>4897.5942999999997</v>
      </c>
      <c r="G72" s="22">
        <v>5.4000000000000003E-3</v>
      </c>
      <c r="H72" s="40"/>
      <c r="I72" s="24"/>
      <c r="J72" s="5"/>
    </row>
    <row r="73" spans="1:10" ht="13.05" customHeight="1">
      <c r="A73" s="18" t="s">
        <v>1034</v>
      </c>
      <c r="B73" s="19" t="s">
        <v>1035</v>
      </c>
      <c r="C73" s="15" t="s">
        <v>1036</v>
      </c>
      <c r="D73" s="15" t="s">
        <v>501</v>
      </c>
      <c r="E73" s="20">
        <v>501675</v>
      </c>
      <c r="F73" s="21">
        <v>4844.9263000000001</v>
      </c>
      <c r="G73" s="22">
        <v>5.3E-3</v>
      </c>
      <c r="H73" s="40"/>
      <c r="I73" s="24"/>
      <c r="J73" s="5"/>
    </row>
    <row r="74" spans="1:10" ht="13.05" customHeight="1">
      <c r="A74" s="18" t="s">
        <v>604</v>
      </c>
      <c r="B74" s="19" t="s">
        <v>605</v>
      </c>
      <c r="C74" s="15" t="s">
        <v>606</v>
      </c>
      <c r="D74" s="15" t="s">
        <v>333</v>
      </c>
      <c r="E74" s="20">
        <v>453773</v>
      </c>
      <c r="F74" s="21">
        <v>4840.8504000000003</v>
      </c>
      <c r="G74" s="22">
        <v>5.3E-3</v>
      </c>
      <c r="H74" s="40"/>
      <c r="I74" s="24"/>
      <c r="J74" s="5"/>
    </row>
    <row r="75" spans="1:10" ht="13.05" customHeight="1">
      <c r="A75" s="18" t="s">
        <v>368</v>
      </c>
      <c r="B75" s="19" t="s">
        <v>369</v>
      </c>
      <c r="C75" s="15" t="s">
        <v>370</v>
      </c>
      <c r="D75" s="15" t="s">
        <v>304</v>
      </c>
      <c r="E75" s="20">
        <v>101290</v>
      </c>
      <c r="F75" s="21">
        <v>4754.8564999999999</v>
      </c>
      <c r="G75" s="22">
        <v>5.1999999999999998E-3</v>
      </c>
      <c r="H75" s="40"/>
      <c r="I75" s="24"/>
      <c r="J75" s="5"/>
    </row>
    <row r="76" spans="1:10" ht="13.05" customHeight="1">
      <c r="A76" s="18" t="s">
        <v>416</v>
      </c>
      <c r="B76" s="19" t="s">
        <v>417</v>
      </c>
      <c r="C76" s="15" t="s">
        <v>418</v>
      </c>
      <c r="D76" s="15" t="s">
        <v>314</v>
      </c>
      <c r="E76" s="20">
        <v>316004</v>
      </c>
      <c r="F76" s="21">
        <v>4744.1680999999999</v>
      </c>
      <c r="G76" s="22">
        <v>5.1999999999999998E-3</v>
      </c>
      <c r="H76" s="40"/>
      <c r="I76" s="24"/>
      <c r="J76" s="5"/>
    </row>
    <row r="77" spans="1:10" ht="13.05" customHeight="1">
      <c r="A77" s="18" t="s">
        <v>432</v>
      </c>
      <c r="B77" s="19" t="s">
        <v>433</v>
      </c>
      <c r="C77" s="15" t="s">
        <v>434</v>
      </c>
      <c r="D77" s="15" t="s">
        <v>435</v>
      </c>
      <c r="E77" s="20">
        <v>404624</v>
      </c>
      <c r="F77" s="21">
        <v>4713.8696</v>
      </c>
      <c r="G77" s="22">
        <v>5.1999999999999998E-3</v>
      </c>
      <c r="H77" s="40"/>
      <c r="I77" s="24"/>
      <c r="J77" s="5"/>
    </row>
    <row r="78" spans="1:10" ht="13.05" customHeight="1">
      <c r="A78" s="18" t="s">
        <v>395</v>
      </c>
      <c r="B78" s="19" t="s">
        <v>396</v>
      </c>
      <c r="C78" s="15" t="s">
        <v>397</v>
      </c>
      <c r="D78" s="15" t="s">
        <v>329</v>
      </c>
      <c r="E78" s="20">
        <v>100585</v>
      </c>
      <c r="F78" s="21">
        <v>4707.1768000000002</v>
      </c>
      <c r="G78" s="22">
        <v>5.1999999999999998E-3</v>
      </c>
      <c r="H78" s="40"/>
      <c r="I78" s="24"/>
      <c r="J78" s="5"/>
    </row>
    <row r="79" spans="1:10" ht="13.05" customHeight="1">
      <c r="A79" s="18" t="s">
        <v>646</v>
      </c>
      <c r="B79" s="19" t="s">
        <v>647</v>
      </c>
      <c r="C79" s="15" t="s">
        <v>648</v>
      </c>
      <c r="D79" s="15" t="s">
        <v>445</v>
      </c>
      <c r="E79" s="20">
        <v>1756658</v>
      </c>
      <c r="F79" s="21">
        <v>4663.7512999999999</v>
      </c>
      <c r="G79" s="22">
        <v>5.1000000000000004E-3</v>
      </c>
      <c r="H79" s="40"/>
      <c r="I79" s="24"/>
      <c r="J79" s="5"/>
    </row>
    <row r="80" spans="1:10" ht="13.05" customHeight="1">
      <c r="A80" s="18" t="s">
        <v>2777</v>
      </c>
      <c r="B80" s="19" t="s">
        <v>2778</v>
      </c>
      <c r="C80" s="15" t="s">
        <v>2779</v>
      </c>
      <c r="D80" s="15" t="s">
        <v>464</v>
      </c>
      <c r="E80" s="20">
        <v>351246</v>
      </c>
      <c r="F80" s="21">
        <v>4631.1785</v>
      </c>
      <c r="G80" s="22">
        <v>5.1000000000000004E-3</v>
      </c>
      <c r="H80" s="40"/>
      <c r="I80" s="24"/>
      <c r="J80" s="5"/>
    </row>
    <row r="81" spans="1:10" ht="13.05" customHeight="1">
      <c r="A81" s="18" t="s">
        <v>311</v>
      </c>
      <c r="B81" s="19" t="s">
        <v>312</v>
      </c>
      <c r="C81" s="15" t="s">
        <v>313</v>
      </c>
      <c r="D81" s="15" t="s">
        <v>314</v>
      </c>
      <c r="E81" s="20">
        <v>272961</v>
      </c>
      <c r="F81" s="21">
        <v>4614.9516000000003</v>
      </c>
      <c r="G81" s="22">
        <v>5.1000000000000004E-3</v>
      </c>
      <c r="H81" s="40"/>
      <c r="I81" s="24"/>
      <c r="J81" s="5"/>
    </row>
    <row r="82" spans="1:10" ht="13.05" customHeight="1">
      <c r="A82" s="18" t="s">
        <v>322</v>
      </c>
      <c r="B82" s="19" t="s">
        <v>323</v>
      </c>
      <c r="C82" s="15" t="s">
        <v>324</v>
      </c>
      <c r="D82" s="15" t="s">
        <v>325</v>
      </c>
      <c r="E82" s="20">
        <v>121323</v>
      </c>
      <c r="F82" s="21">
        <v>4545.6088</v>
      </c>
      <c r="G82" s="22">
        <v>5.0000000000000001E-3</v>
      </c>
      <c r="H82" s="40"/>
      <c r="I82" s="24"/>
      <c r="J82" s="5"/>
    </row>
    <row r="83" spans="1:10" ht="13.05" customHeight="1">
      <c r="A83" s="18" t="s">
        <v>472</v>
      </c>
      <c r="B83" s="19" t="s">
        <v>473</v>
      </c>
      <c r="C83" s="15" t="s">
        <v>474</v>
      </c>
      <c r="D83" s="15" t="s">
        <v>475</v>
      </c>
      <c r="E83" s="20">
        <v>960932</v>
      </c>
      <c r="F83" s="21">
        <v>4513.0171</v>
      </c>
      <c r="G83" s="22">
        <v>5.0000000000000001E-3</v>
      </c>
      <c r="H83" s="40"/>
      <c r="I83" s="24"/>
      <c r="J83" s="5"/>
    </row>
    <row r="84" spans="1:10" ht="13.05" customHeight="1">
      <c r="A84" s="18" t="s">
        <v>2780</v>
      </c>
      <c r="B84" s="19" t="s">
        <v>2781</v>
      </c>
      <c r="C84" s="15" t="s">
        <v>2782</v>
      </c>
      <c r="D84" s="15" t="s">
        <v>970</v>
      </c>
      <c r="E84" s="20">
        <v>694882</v>
      </c>
      <c r="F84" s="21">
        <v>4485.4633000000003</v>
      </c>
      <c r="G84" s="22">
        <v>4.8999999999999998E-3</v>
      </c>
      <c r="H84" s="40"/>
      <c r="I84" s="24"/>
      <c r="J84" s="5"/>
    </row>
    <row r="85" spans="1:10" ht="13.05" customHeight="1">
      <c r="A85" s="18" t="s">
        <v>880</v>
      </c>
      <c r="B85" s="19" t="s">
        <v>881</v>
      </c>
      <c r="C85" s="15" t="s">
        <v>882</v>
      </c>
      <c r="D85" s="15" t="s">
        <v>464</v>
      </c>
      <c r="E85" s="20">
        <v>2054714</v>
      </c>
      <c r="F85" s="21">
        <v>4456.2637000000004</v>
      </c>
      <c r="G85" s="22">
        <v>4.8999999999999998E-3</v>
      </c>
      <c r="H85" s="40"/>
      <c r="I85" s="24"/>
      <c r="J85" s="5"/>
    </row>
    <row r="86" spans="1:10" ht="13.05" customHeight="1">
      <c r="A86" s="18" t="s">
        <v>1302</v>
      </c>
      <c r="B86" s="19" t="s">
        <v>1303</v>
      </c>
      <c r="C86" s="15" t="s">
        <v>1304</v>
      </c>
      <c r="D86" s="15" t="s">
        <v>314</v>
      </c>
      <c r="E86" s="20">
        <v>787153</v>
      </c>
      <c r="F86" s="21">
        <v>4452.1373999999996</v>
      </c>
      <c r="G86" s="22">
        <v>4.8999999999999998E-3</v>
      </c>
      <c r="H86" s="40"/>
      <c r="I86" s="24"/>
      <c r="J86" s="5"/>
    </row>
    <row r="87" spans="1:10" ht="13.05" customHeight="1">
      <c r="A87" s="18" t="s">
        <v>452</v>
      </c>
      <c r="B87" s="19" t="s">
        <v>453</v>
      </c>
      <c r="C87" s="15" t="s">
        <v>454</v>
      </c>
      <c r="D87" s="15" t="s">
        <v>391</v>
      </c>
      <c r="E87" s="20">
        <v>75000</v>
      </c>
      <c r="F87" s="21">
        <v>4377.375</v>
      </c>
      <c r="G87" s="22">
        <v>4.7999999999999996E-3</v>
      </c>
      <c r="H87" s="40"/>
      <c r="I87" s="24"/>
      <c r="J87" s="5"/>
    </row>
    <row r="88" spans="1:10" ht="13.05" customHeight="1">
      <c r="A88" s="18" t="s">
        <v>940</v>
      </c>
      <c r="B88" s="19" t="s">
        <v>941</v>
      </c>
      <c r="C88" s="15" t="s">
        <v>942</v>
      </c>
      <c r="D88" s="15" t="s">
        <v>567</v>
      </c>
      <c r="E88" s="20">
        <v>108283</v>
      </c>
      <c r="F88" s="21">
        <v>4354.4925999999996</v>
      </c>
      <c r="G88" s="22">
        <v>4.7999999999999996E-3</v>
      </c>
      <c r="H88" s="40"/>
      <c r="I88" s="24"/>
      <c r="J88" s="5"/>
    </row>
    <row r="89" spans="1:10" ht="13.05" customHeight="1">
      <c r="A89" s="18" t="s">
        <v>949</v>
      </c>
      <c r="B89" s="19" t="s">
        <v>950</v>
      </c>
      <c r="C89" s="15" t="s">
        <v>951</v>
      </c>
      <c r="D89" s="15" t="s">
        <v>314</v>
      </c>
      <c r="E89" s="20">
        <v>222836</v>
      </c>
      <c r="F89" s="21">
        <v>4298.2835999999998</v>
      </c>
      <c r="G89" s="22">
        <v>4.7000000000000002E-3</v>
      </c>
      <c r="H89" s="40"/>
      <c r="I89" s="24"/>
      <c r="J89" s="5"/>
    </row>
    <row r="90" spans="1:10" ht="13.05" customHeight="1">
      <c r="A90" s="18" t="s">
        <v>807</v>
      </c>
      <c r="B90" s="19" t="s">
        <v>808</v>
      </c>
      <c r="C90" s="15" t="s">
        <v>809</v>
      </c>
      <c r="D90" s="15" t="s">
        <v>445</v>
      </c>
      <c r="E90" s="20">
        <v>24166</v>
      </c>
      <c r="F90" s="21">
        <v>4296.2314999999999</v>
      </c>
      <c r="G90" s="22">
        <v>4.7000000000000002E-3</v>
      </c>
      <c r="H90" s="40"/>
      <c r="I90" s="24"/>
      <c r="J90" s="5"/>
    </row>
    <row r="91" spans="1:10" ht="13.05" customHeight="1">
      <c r="A91" s="18" t="s">
        <v>2438</v>
      </c>
      <c r="B91" s="19" t="s">
        <v>2439</v>
      </c>
      <c r="C91" s="15" t="s">
        <v>2440</v>
      </c>
      <c r="D91" s="15" t="s">
        <v>445</v>
      </c>
      <c r="E91" s="20">
        <v>57843</v>
      </c>
      <c r="F91" s="21">
        <v>4282.4065000000001</v>
      </c>
      <c r="G91" s="22">
        <v>4.7000000000000002E-3</v>
      </c>
      <c r="H91" s="40"/>
      <c r="I91" s="24"/>
      <c r="J91" s="5"/>
    </row>
    <row r="92" spans="1:10" ht="13.05" customHeight="1">
      <c r="A92" s="18" t="s">
        <v>365</v>
      </c>
      <c r="B92" s="19" t="s">
        <v>366</v>
      </c>
      <c r="C92" s="15" t="s">
        <v>367</v>
      </c>
      <c r="D92" s="15" t="s">
        <v>300</v>
      </c>
      <c r="E92" s="20">
        <v>563188</v>
      </c>
      <c r="F92" s="21">
        <v>4217.7148999999999</v>
      </c>
      <c r="G92" s="22">
        <v>4.5999999999999999E-3</v>
      </c>
      <c r="H92" s="40"/>
      <c r="I92" s="24"/>
      <c r="J92" s="5"/>
    </row>
    <row r="93" spans="1:10" ht="13.05" customHeight="1">
      <c r="A93" s="18" t="s">
        <v>804</v>
      </c>
      <c r="B93" s="19" t="s">
        <v>805</v>
      </c>
      <c r="C93" s="15" t="s">
        <v>806</v>
      </c>
      <c r="D93" s="15" t="s">
        <v>464</v>
      </c>
      <c r="E93" s="20">
        <v>700829</v>
      </c>
      <c r="F93" s="21">
        <v>4189.9062000000004</v>
      </c>
      <c r="G93" s="22">
        <v>4.5999999999999999E-3</v>
      </c>
      <c r="H93" s="40"/>
      <c r="I93" s="24"/>
      <c r="J93" s="5"/>
    </row>
    <row r="94" spans="1:10" ht="13.05" customHeight="1">
      <c r="A94" s="18" t="s">
        <v>491</v>
      </c>
      <c r="B94" s="19" t="s">
        <v>492</v>
      </c>
      <c r="C94" s="15" t="s">
        <v>493</v>
      </c>
      <c r="D94" s="15" t="s">
        <v>494</v>
      </c>
      <c r="E94" s="20">
        <v>230968</v>
      </c>
      <c r="F94" s="21">
        <v>4123.7026999999998</v>
      </c>
      <c r="G94" s="22">
        <v>4.4999999999999997E-3</v>
      </c>
      <c r="H94" s="40"/>
      <c r="I94" s="24"/>
      <c r="J94" s="5"/>
    </row>
    <row r="95" spans="1:10" ht="13.05" customHeight="1">
      <c r="A95" s="18" t="s">
        <v>1099</v>
      </c>
      <c r="B95" s="19" t="s">
        <v>1100</v>
      </c>
      <c r="C95" s="15" t="s">
        <v>1101</v>
      </c>
      <c r="D95" s="15" t="s">
        <v>758</v>
      </c>
      <c r="E95" s="20">
        <v>381380</v>
      </c>
      <c r="F95" s="21">
        <v>4078.4776999999999</v>
      </c>
      <c r="G95" s="22">
        <v>4.4999999999999997E-3</v>
      </c>
      <c r="H95" s="40"/>
      <c r="I95" s="24"/>
      <c r="J95" s="5"/>
    </row>
    <row r="96" spans="1:10" ht="13.05" customHeight="1">
      <c r="A96" s="18" t="s">
        <v>305</v>
      </c>
      <c r="B96" s="19" t="s">
        <v>306</v>
      </c>
      <c r="C96" s="15" t="s">
        <v>307</v>
      </c>
      <c r="D96" s="15" t="s">
        <v>280</v>
      </c>
      <c r="E96" s="20">
        <v>163103</v>
      </c>
      <c r="F96" s="21">
        <v>4021.3045000000002</v>
      </c>
      <c r="G96" s="22">
        <v>4.4000000000000003E-3</v>
      </c>
      <c r="H96" s="40"/>
      <c r="I96" s="24"/>
      <c r="J96" s="5"/>
    </row>
    <row r="97" spans="1:10" ht="13.05" customHeight="1">
      <c r="A97" s="18" t="s">
        <v>1504</v>
      </c>
      <c r="B97" s="19" t="s">
        <v>1505</v>
      </c>
      <c r="C97" s="15" t="s">
        <v>1506</v>
      </c>
      <c r="D97" s="15" t="s">
        <v>435</v>
      </c>
      <c r="E97" s="20">
        <v>466913</v>
      </c>
      <c r="F97" s="21">
        <v>4014.2845000000002</v>
      </c>
      <c r="G97" s="22">
        <v>4.4000000000000003E-3</v>
      </c>
      <c r="H97" s="40"/>
      <c r="I97" s="24"/>
      <c r="J97" s="5"/>
    </row>
    <row r="98" spans="1:10" ht="13.05" customHeight="1">
      <c r="A98" s="18" t="s">
        <v>752</v>
      </c>
      <c r="B98" s="19" t="s">
        <v>753</v>
      </c>
      <c r="C98" s="15" t="s">
        <v>754</v>
      </c>
      <c r="D98" s="15" t="s">
        <v>337</v>
      </c>
      <c r="E98" s="20">
        <v>63612</v>
      </c>
      <c r="F98" s="21">
        <v>3952.8497000000002</v>
      </c>
      <c r="G98" s="22">
        <v>4.3E-3</v>
      </c>
      <c r="H98" s="40"/>
      <c r="I98" s="24"/>
      <c r="J98" s="5"/>
    </row>
    <row r="99" spans="1:10" ht="13.05" customHeight="1">
      <c r="A99" s="18" t="s">
        <v>759</v>
      </c>
      <c r="B99" s="19" t="s">
        <v>760</v>
      </c>
      <c r="C99" s="15" t="s">
        <v>761</v>
      </c>
      <c r="D99" s="15" t="s">
        <v>603</v>
      </c>
      <c r="E99" s="20">
        <v>184735</v>
      </c>
      <c r="F99" s="21">
        <v>3924.8798000000002</v>
      </c>
      <c r="G99" s="22">
        <v>4.3E-3</v>
      </c>
      <c r="H99" s="40"/>
      <c r="I99" s="24"/>
      <c r="J99" s="5"/>
    </row>
    <row r="100" spans="1:10" ht="13.05" customHeight="1">
      <c r="A100" s="18" t="s">
        <v>318</v>
      </c>
      <c r="B100" s="19" t="s">
        <v>319</v>
      </c>
      <c r="C100" s="15" t="s">
        <v>320</v>
      </c>
      <c r="D100" s="15" t="s">
        <v>321</v>
      </c>
      <c r="E100" s="20">
        <v>1156740</v>
      </c>
      <c r="F100" s="21">
        <v>3897.6354000000001</v>
      </c>
      <c r="G100" s="22">
        <v>4.3E-3</v>
      </c>
      <c r="H100" s="40"/>
      <c r="I100" s="24"/>
      <c r="J100" s="5"/>
    </row>
    <row r="101" spans="1:10" ht="13.05" customHeight="1">
      <c r="A101" s="18" t="s">
        <v>1400</v>
      </c>
      <c r="B101" s="19" t="s">
        <v>1401</v>
      </c>
      <c r="C101" s="15" t="s">
        <v>1402</v>
      </c>
      <c r="D101" s="15" t="s">
        <v>415</v>
      </c>
      <c r="E101" s="20">
        <v>281911</v>
      </c>
      <c r="F101" s="21">
        <v>3860.4892</v>
      </c>
      <c r="G101" s="22">
        <v>4.1999999999999997E-3</v>
      </c>
      <c r="H101" s="40"/>
      <c r="I101" s="24"/>
      <c r="J101" s="5"/>
    </row>
    <row r="102" spans="1:10" ht="13.05" customHeight="1">
      <c r="A102" s="18" t="s">
        <v>1409</v>
      </c>
      <c r="B102" s="19" t="s">
        <v>1410</v>
      </c>
      <c r="C102" s="15" t="s">
        <v>1411</v>
      </c>
      <c r="D102" s="15" t="s">
        <v>464</v>
      </c>
      <c r="E102" s="20">
        <v>406153</v>
      </c>
      <c r="F102" s="21">
        <v>3857.4380999999998</v>
      </c>
      <c r="G102" s="22">
        <v>4.1999999999999997E-3</v>
      </c>
      <c r="H102" s="40"/>
      <c r="I102" s="24"/>
      <c r="J102" s="5"/>
    </row>
    <row r="103" spans="1:10" ht="13.05" customHeight="1">
      <c r="A103" s="18" t="s">
        <v>429</v>
      </c>
      <c r="B103" s="19" t="s">
        <v>430</v>
      </c>
      <c r="C103" s="15" t="s">
        <v>431</v>
      </c>
      <c r="D103" s="15" t="s">
        <v>415</v>
      </c>
      <c r="E103" s="20">
        <v>49563</v>
      </c>
      <c r="F103" s="21">
        <v>3806.9340000000002</v>
      </c>
      <c r="G103" s="22">
        <v>4.1999999999999997E-3</v>
      </c>
      <c r="H103" s="40"/>
      <c r="I103" s="24"/>
      <c r="J103" s="5"/>
    </row>
    <row r="104" spans="1:10" ht="13.05" customHeight="1">
      <c r="A104" s="18" t="s">
        <v>426</v>
      </c>
      <c r="B104" s="19" t="s">
        <v>427</v>
      </c>
      <c r="C104" s="15" t="s">
        <v>428</v>
      </c>
      <c r="D104" s="15" t="s">
        <v>405</v>
      </c>
      <c r="E104" s="20">
        <v>509344</v>
      </c>
      <c r="F104" s="21">
        <v>3727.6341000000002</v>
      </c>
      <c r="G104" s="22">
        <v>4.1000000000000003E-3</v>
      </c>
      <c r="H104" s="40"/>
      <c r="I104" s="24"/>
      <c r="J104" s="5"/>
    </row>
    <row r="105" spans="1:10" ht="13.05" customHeight="1">
      <c r="A105" s="18" t="s">
        <v>721</v>
      </c>
      <c r="B105" s="19" t="s">
        <v>722</v>
      </c>
      <c r="C105" s="15" t="s">
        <v>723</v>
      </c>
      <c r="D105" s="15" t="s">
        <v>314</v>
      </c>
      <c r="E105" s="20">
        <v>195000</v>
      </c>
      <c r="F105" s="21">
        <v>3687.84</v>
      </c>
      <c r="G105" s="22">
        <v>4.1000000000000003E-3</v>
      </c>
      <c r="H105" s="40"/>
      <c r="I105" s="24"/>
      <c r="J105" s="5"/>
    </row>
    <row r="106" spans="1:10" ht="13.05" customHeight="1">
      <c r="A106" s="18" t="s">
        <v>1486</v>
      </c>
      <c r="B106" s="19" t="s">
        <v>1487</v>
      </c>
      <c r="C106" s="15" t="s">
        <v>1488</v>
      </c>
      <c r="D106" s="15" t="s">
        <v>581</v>
      </c>
      <c r="E106" s="20">
        <v>531367</v>
      </c>
      <c r="F106" s="21">
        <v>3666.1666</v>
      </c>
      <c r="G106" s="22">
        <v>4.0000000000000001E-3</v>
      </c>
      <c r="H106" s="40"/>
      <c r="I106" s="24"/>
      <c r="J106" s="5"/>
    </row>
    <row r="107" spans="1:10" ht="13.05" customHeight="1">
      <c r="A107" s="18" t="s">
        <v>392</v>
      </c>
      <c r="B107" s="19" t="s">
        <v>393</v>
      </c>
      <c r="C107" s="15" t="s">
        <v>394</v>
      </c>
      <c r="D107" s="15" t="s">
        <v>272</v>
      </c>
      <c r="E107" s="20">
        <v>255475</v>
      </c>
      <c r="F107" s="21">
        <v>3638.9859000000001</v>
      </c>
      <c r="G107" s="22">
        <v>4.0000000000000001E-3</v>
      </c>
      <c r="H107" s="40"/>
      <c r="I107" s="24"/>
      <c r="J107" s="5"/>
    </row>
    <row r="108" spans="1:10" ht="13.05" customHeight="1">
      <c r="A108" s="18" t="s">
        <v>549</v>
      </c>
      <c r="B108" s="19" t="s">
        <v>550</v>
      </c>
      <c r="C108" s="15" t="s">
        <v>551</v>
      </c>
      <c r="D108" s="15" t="s">
        <v>314</v>
      </c>
      <c r="E108" s="20">
        <v>180000</v>
      </c>
      <c r="F108" s="21">
        <v>3534.3</v>
      </c>
      <c r="G108" s="22">
        <v>3.8999999999999998E-3</v>
      </c>
      <c r="H108" s="40"/>
      <c r="I108" s="24"/>
      <c r="J108" s="5"/>
    </row>
    <row r="109" spans="1:10" ht="13.05" customHeight="1">
      <c r="A109" s="18" t="s">
        <v>1214</v>
      </c>
      <c r="B109" s="19" t="s">
        <v>1215</v>
      </c>
      <c r="C109" s="15" t="s">
        <v>1216</v>
      </c>
      <c r="D109" s="15" t="s">
        <v>314</v>
      </c>
      <c r="E109" s="20">
        <v>467163</v>
      </c>
      <c r="F109" s="21">
        <v>3519.6060000000002</v>
      </c>
      <c r="G109" s="22">
        <v>3.8999999999999998E-3</v>
      </c>
      <c r="H109" s="40"/>
      <c r="I109" s="24"/>
      <c r="J109" s="5"/>
    </row>
    <row r="110" spans="1:10" ht="13.05" customHeight="1">
      <c r="A110" s="18" t="s">
        <v>992</v>
      </c>
      <c r="B110" s="19" t="s">
        <v>993</v>
      </c>
      <c r="C110" s="15" t="s">
        <v>994</v>
      </c>
      <c r="D110" s="15" t="s">
        <v>374</v>
      </c>
      <c r="E110" s="20">
        <v>309451</v>
      </c>
      <c r="F110" s="21">
        <v>3398.0814</v>
      </c>
      <c r="G110" s="22">
        <v>3.7000000000000002E-3</v>
      </c>
      <c r="H110" s="40"/>
      <c r="I110" s="24"/>
      <c r="J110" s="5"/>
    </row>
    <row r="111" spans="1:10" ht="13.05" customHeight="1">
      <c r="A111" s="18" t="s">
        <v>4285</v>
      </c>
      <c r="B111" s="19" t="s">
        <v>4286</v>
      </c>
      <c r="C111" s="15" t="s">
        <v>4287</v>
      </c>
      <c r="D111" s="15" t="s">
        <v>581</v>
      </c>
      <c r="E111" s="20">
        <v>145367</v>
      </c>
      <c r="F111" s="21">
        <v>3242.4108999999999</v>
      </c>
      <c r="G111" s="22">
        <v>3.5999999999999999E-3</v>
      </c>
      <c r="H111" s="40"/>
      <c r="I111" s="24"/>
      <c r="J111" s="5"/>
    </row>
    <row r="112" spans="1:10" ht="13.05" customHeight="1">
      <c r="A112" s="18" t="s">
        <v>564</v>
      </c>
      <c r="B112" s="19" t="s">
        <v>565</v>
      </c>
      <c r="C112" s="15" t="s">
        <v>566</v>
      </c>
      <c r="D112" s="15" t="s">
        <v>567</v>
      </c>
      <c r="E112" s="20">
        <v>3020128</v>
      </c>
      <c r="F112" s="21">
        <v>3182.9128999999998</v>
      </c>
      <c r="G112" s="22">
        <v>3.5000000000000001E-3</v>
      </c>
      <c r="H112" s="40"/>
      <c r="I112" s="24"/>
      <c r="J112" s="5"/>
    </row>
    <row r="113" spans="1:10" ht="13.05" customHeight="1">
      <c r="A113" s="18" t="s">
        <v>341</v>
      </c>
      <c r="B113" s="19" t="s">
        <v>342</v>
      </c>
      <c r="C113" s="15" t="s">
        <v>343</v>
      </c>
      <c r="D113" s="15" t="s">
        <v>344</v>
      </c>
      <c r="E113" s="20">
        <v>370000</v>
      </c>
      <c r="F113" s="21">
        <v>3137.0450000000001</v>
      </c>
      <c r="G113" s="22">
        <v>3.3999999999999998E-3</v>
      </c>
      <c r="H113" s="40"/>
      <c r="I113" s="24"/>
      <c r="J113" s="5"/>
    </row>
    <row r="114" spans="1:10" ht="13.05" customHeight="1">
      <c r="A114" s="18" t="s">
        <v>1326</v>
      </c>
      <c r="B114" s="19" t="s">
        <v>1327</v>
      </c>
      <c r="C114" s="15" t="s">
        <v>1328</v>
      </c>
      <c r="D114" s="15" t="s">
        <v>1068</v>
      </c>
      <c r="E114" s="20">
        <v>5806346</v>
      </c>
      <c r="F114" s="21">
        <v>3050.6541999999999</v>
      </c>
      <c r="G114" s="22">
        <v>3.3999999999999998E-3</v>
      </c>
      <c r="H114" s="40"/>
      <c r="I114" s="24"/>
      <c r="J114" s="5"/>
    </row>
    <row r="115" spans="1:10" ht="13.05" customHeight="1">
      <c r="A115" s="18" t="s">
        <v>706</v>
      </c>
      <c r="B115" s="19" t="s">
        <v>707</v>
      </c>
      <c r="C115" s="15" t="s">
        <v>708</v>
      </c>
      <c r="D115" s="15" t="s">
        <v>541</v>
      </c>
      <c r="E115" s="20">
        <v>174051</v>
      </c>
      <c r="F115" s="21">
        <v>3036.6678000000002</v>
      </c>
      <c r="G115" s="22">
        <v>3.3E-3</v>
      </c>
      <c r="H115" s="40"/>
      <c r="I115" s="24"/>
      <c r="J115" s="5"/>
    </row>
    <row r="116" spans="1:10" ht="13.05" customHeight="1">
      <c r="A116" s="18" t="s">
        <v>1090</v>
      </c>
      <c r="B116" s="19" t="s">
        <v>1091</v>
      </c>
      <c r="C116" s="15" t="s">
        <v>1092</v>
      </c>
      <c r="D116" s="15" t="s">
        <v>415</v>
      </c>
      <c r="E116" s="20">
        <v>171898</v>
      </c>
      <c r="F116" s="21">
        <v>3020.9355</v>
      </c>
      <c r="G116" s="22">
        <v>3.3E-3</v>
      </c>
      <c r="H116" s="40"/>
      <c r="I116" s="24"/>
      <c r="J116" s="5"/>
    </row>
    <row r="117" spans="1:10" ht="13.05" customHeight="1">
      <c r="A117" s="18" t="s">
        <v>1848</v>
      </c>
      <c r="B117" s="19" t="s">
        <v>1849</v>
      </c>
      <c r="C117" s="15" t="s">
        <v>1850</v>
      </c>
      <c r="D117" s="15" t="s">
        <v>304</v>
      </c>
      <c r="E117" s="20">
        <v>596972</v>
      </c>
      <c r="F117" s="21">
        <v>3001.8737000000001</v>
      </c>
      <c r="G117" s="22">
        <v>3.3E-3</v>
      </c>
      <c r="H117" s="40"/>
      <c r="I117" s="24"/>
      <c r="J117" s="5"/>
    </row>
    <row r="118" spans="1:10" ht="13.05" customHeight="1">
      <c r="A118" s="18" t="s">
        <v>1626</v>
      </c>
      <c r="B118" s="19" t="s">
        <v>1627</v>
      </c>
      <c r="C118" s="15" t="s">
        <v>1628</v>
      </c>
      <c r="D118" s="15" t="s">
        <v>415</v>
      </c>
      <c r="E118" s="20">
        <v>301332</v>
      </c>
      <c r="F118" s="21">
        <v>2979.1188000000002</v>
      </c>
      <c r="G118" s="22">
        <v>3.3E-3</v>
      </c>
      <c r="H118" s="40"/>
      <c r="I118" s="24"/>
      <c r="J118" s="5"/>
    </row>
    <row r="119" spans="1:10" ht="13.05" customHeight="1">
      <c r="A119" s="18" t="s">
        <v>919</v>
      </c>
      <c r="B119" s="19" t="s">
        <v>920</v>
      </c>
      <c r="C119" s="15" t="s">
        <v>921</v>
      </c>
      <c r="D119" s="15" t="s">
        <v>300</v>
      </c>
      <c r="E119" s="20">
        <v>309155</v>
      </c>
      <c r="F119" s="21">
        <v>2871.1224999999999</v>
      </c>
      <c r="G119" s="22">
        <v>3.2000000000000002E-3</v>
      </c>
      <c r="H119" s="40"/>
      <c r="I119" s="24"/>
      <c r="J119" s="5"/>
    </row>
    <row r="120" spans="1:10" ht="13.05" customHeight="1">
      <c r="A120" s="18" t="s">
        <v>712</v>
      </c>
      <c r="B120" s="19" t="s">
        <v>713</v>
      </c>
      <c r="C120" s="15" t="s">
        <v>714</v>
      </c>
      <c r="D120" s="15" t="s">
        <v>603</v>
      </c>
      <c r="E120" s="20">
        <v>79538</v>
      </c>
      <c r="F120" s="21">
        <v>2845.3924000000002</v>
      </c>
      <c r="G120" s="22">
        <v>3.0999999999999999E-3</v>
      </c>
      <c r="H120" s="40"/>
      <c r="I120" s="24"/>
      <c r="J120" s="5"/>
    </row>
    <row r="121" spans="1:10" ht="13.05" customHeight="1">
      <c r="A121" s="18" t="s">
        <v>1406</v>
      </c>
      <c r="B121" s="19" t="s">
        <v>1407</v>
      </c>
      <c r="C121" s="15" t="s">
        <v>1408</v>
      </c>
      <c r="D121" s="15" t="s">
        <v>464</v>
      </c>
      <c r="E121" s="20">
        <v>955650</v>
      </c>
      <c r="F121" s="21">
        <v>2733.6368000000002</v>
      </c>
      <c r="G121" s="22">
        <v>3.0000000000000001E-3</v>
      </c>
      <c r="H121" s="40"/>
      <c r="I121" s="24"/>
      <c r="J121" s="5"/>
    </row>
    <row r="122" spans="1:10" ht="13.05" customHeight="1">
      <c r="A122" s="18" t="s">
        <v>1845</v>
      </c>
      <c r="B122" s="19" t="s">
        <v>1846</v>
      </c>
      <c r="C122" s="15" t="s">
        <v>1847</v>
      </c>
      <c r="D122" s="15" t="s">
        <v>374</v>
      </c>
      <c r="E122" s="20">
        <v>225779</v>
      </c>
      <c r="F122" s="21">
        <v>2615.7626</v>
      </c>
      <c r="G122" s="22">
        <v>2.8999999999999998E-3</v>
      </c>
      <c r="H122" s="40"/>
      <c r="I122" s="24"/>
      <c r="J122" s="5"/>
    </row>
    <row r="123" spans="1:10" ht="13.05" customHeight="1">
      <c r="A123" s="18" t="s">
        <v>1857</v>
      </c>
      <c r="B123" s="19" t="s">
        <v>1858</v>
      </c>
      <c r="C123" s="15" t="s">
        <v>1859</v>
      </c>
      <c r="D123" s="15" t="s">
        <v>325</v>
      </c>
      <c r="E123" s="20">
        <v>144922</v>
      </c>
      <c r="F123" s="21">
        <v>2410.9223999999999</v>
      </c>
      <c r="G123" s="22">
        <v>2.5999999999999999E-3</v>
      </c>
      <c r="H123" s="40"/>
      <c r="I123" s="24"/>
      <c r="J123" s="5"/>
    </row>
    <row r="124" spans="1:10" ht="13.05" customHeight="1">
      <c r="A124" s="18" t="s">
        <v>625</v>
      </c>
      <c r="B124" s="19" t="s">
        <v>626</v>
      </c>
      <c r="C124" s="15" t="s">
        <v>627</v>
      </c>
      <c r="D124" s="15" t="s">
        <v>314</v>
      </c>
      <c r="E124" s="20">
        <v>67524</v>
      </c>
      <c r="F124" s="21">
        <v>2403.9218999999998</v>
      </c>
      <c r="G124" s="22">
        <v>2.5999999999999999E-3</v>
      </c>
      <c r="H124" s="40"/>
      <c r="I124" s="24"/>
      <c r="J124" s="5"/>
    </row>
    <row r="125" spans="1:10" ht="13.05" customHeight="1">
      <c r="A125" s="18" t="s">
        <v>2789</v>
      </c>
      <c r="B125" s="19" t="s">
        <v>2790</v>
      </c>
      <c r="C125" s="15" t="s">
        <v>2791</v>
      </c>
      <c r="D125" s="15" t="s">
        <v>304</v>
      </c>
      <c r="E125" s="20">
        <v>493025</v>
      </c>
      <c r="F125" s="21">
        <v>1981.9604999999999</v>
      </c>
      <c r="G125" s="22">
        <v>2.2000000000000001E-3</v>
      </c>
      <c r="H125" s="40"/>
      <c r="I125" s="24"/>
      <c r="J125" s="5"/>
    </row>
    <row r="126" spans="1:10" ht="13.05" customHeight="1">
      <c r="A126" s="18" t="s">
        <v>1662</v>
      </c>
      <c r="B126" s="19" t="s">
        <v>1663</v>
      </c>
      <c r="C126" s="15" t="s">
        <v>1664</v>
      </c>
      <c r="D126" s="15" t="s">
        <v>1616</v>
      </c>
      <c r="E126" s="20">
        <v>604025</v>
      </c>
      <c r="F126" s="21">
        <v>1899.6586</v>
      </c>
      <c r="G126" s="22">
        <v>2.0999999999999999E-3</v>
      </c>
      <c r="H126" s="40"/>
      <c r="I126" s="24"/>
      <c r="J126" s="5"/>
    </row>
    <row r="127" spans="1:10" ht="13.05" customHeight="1">
      <c r="A127" s="18" t="s">
        <v>1367</v>
      </c>
      <c r="B127" s="19" t="s">
        <v>1368</v>
      </c>
      <c r="C127" s="15" t="s">
        <v>1369</v>
      </c>
      <c r="D127" s="15" t="s">
        <v>296</v>
      </c>
      <c r="E127" s="20">
        <v>247940</v>
      </c>
      <c r="F127" s="21">
        <v>1715.6207999999999</v>
      </c>
      <c r="G127" s="22">
        <v>1.9E-3</v>
      </c>
      <c r="H127" s="40"/>
      <c r="I127" s="24"/>
      <c r="J127" s="5"/>
    </row>
    <row r="128" spans="1:10" ht="13.05" customHeight="1">
      <c r="A128" s="18" t="s">
        <v>3936</v>
      </c>
      <c r="B128" s="19" t="s">
        <v>3937</v>
      </c>
      <c r="C128" s="15" t="s">
        <v>3938</v>
      </c>
      <c r="D128" s="15" t="s">
        <v>567</v>
      </c>
      <c r="E128" s="20">
        <v>997020</v>
      </c>
      <c r="F128" s="21">
        <v>1216.3643999999999</v>
      </c>
      <c r="G128" s="22">
        <v>1.2999999999999999E-3</v>
      </c>
      <c r="H128" s="40"/>
      <c r="I128" s="24"/>
      <c r="J128" s="5"/>
    </row>
    <row r="129" spans="1:10" ht="13.05" customHeight="1">
      <c r="A129" s="18" t="s">
        <v>382</v>
      </c>
      <c r="B129" s="19" t="s">
        <v>383</v>
      </c>
      <c r="C129" s="15" t="s">
        <v>384</v>
      </c>
      <c r="D129" s="15" t="s">
        <v>296</v>
      </c>
      <c r="E129" s="20">
        <v>9667</v>
      </c>
      <c r="F129" s="21">
        <v>859.63800000000003</v>
      </c>
      <c r="G129" s="22">
        <v>8.9999999999999998E-4</v>
      </c>
      <c r="H129" s="40"/>
      <c r="I129" s="24"/>
      <c r="J129" s="5"/>
    </row>
    <row r="130" spans="1:10" ht="13.05" customHeight="1">
      <c r="A130" s="18" t="s">
        <v>574</v>
      </c>
      <c r="B130" s="19" t="s">
        <v>575</v>
      </c>
      <c r="C130" s="15" t="s">
        <v>576</v>
      </c>
      <c r="D130" s="15" t="s">
        <v>577</v>
      </c>
      <c r="E130" s="20">
        <v>74532</v>
      </c>
      <c r="F130" s="21">
        <v>833.71500000000003</v>
      </c>
      <c r="G130" s="22">
        <v>8.9999999999999998E-4</v>
      </c>
      <c r="H130" s="40"/>
      <c r="I130" s="24"/>
      <c r="J130" s="5"/>
    </row>
    <row r="131" spans="1:10" ht="13.05" customHeight="1">
      <c r="A131" s="18" t="s">
        <v>4288</v>
      </c>
      <c r="B131" s="19" t="s">
        <v>4289</v>
      </c>
      <c r="C131" s="15" t="s">
        <v>4290</v>
      </c>
      <c r="D131" s="15" t="s">
        <v>325</v>
      </c>
      <c r="E131" s="20">
        <v>83429</v>
      </c>
      <c r="F131" s="21">
        <v>558.80740000000003</v>
      </c>
      <c r="G131" s="22">
        <v>5.9999999999999995E-4</v>
      </c>
      <c r="H131" s="40"/>
      <c r="I131" s="24"/>
      <c r="J131" s="5"/>
    </row>
    <row r="132" spans="1:10" ht="13.05" customHeight="1">
      <c r="A132" s="5"/>
      <c r="B132" s="14" t="s">
        <v>192</v>
      </c>
      <c r="C132" s="15"/>
      <c r="D132" s="15"/>
      <c r="E132" s="15"/>
      <c r="F132" s="25">
        <v>900593.87950000004</v>
      </c>
      <c r="G132" s="26">
        <v>0.98970000000000002</v>
      </c>
      <c r="H132" s="27"/>
      <c r="I132" s="28"/>
      <c r="J132" s="5"/>
    </row>
    <row r="133" spans="1:10" ht="13.05" customHeight="1">
      <c r="A133" s="5"/>
      <c r="B133" s="29" t="s">
        <v>1812</v>
      </c>
      <c r="C133" s="2"/>
      <c r="D133" s="2"/>
      <c r="E133" s="2"/>
      <c r="F133" s="27" t="s">
        <v>194</v>
      </c>
      <c r="G133" s="27" t="s">
        <v>194</v>
      </c>
      <c r="H133" s="27"/>
      <c r="I133" s="28"/>
      <c r="J133" s="5"/>
    </row>
    <row r="134" spans="1:10" ht="13.05" customHeight="1">
      <c r="A134" s="5"/>
      <c r="B134" s="29" t="s">
        <v>192</v>
      </c>
      <c r="C134" s="2"/>
      <c r="D134" s="2"/>
      <c r="E134" s="2"/>
      <c r="F134" s="27" t="s">
        <v>194</v>
      </c>
      <c r="G134" s="27" t="s">
        <v>194</v>
      </c>
      <c r="H134" s="27"/>
      <c r="I134" s="28"/>
      <c r="J134" s="5"/>
    </row>
    <row r="135" spans="1:10" ht="13.05" customHeight="1">
      <c r="A135" s="5"/>
      <c r="B135" s="14" t="s">
        <v>1813</v>
      </c>
      <c r="C135" s="15"/>
      <c r="D135" s="15"/>
      <c r="E135" s="15"/>
      <c r="F135" s="5"/>
      <c r="G135" s="16"/>
      <c r="H135" s="16"/>
      <c r="I135" s="17"/>
      <c r="J135" s="5"/>
    </row>
    <row r="136" spans="1:10" ht="13.05" customHeight="1">
      <c r="A136" s="18" t="s">
        <v>1814</v>
      </c>
      <c r="B136" s="19" t="s">
        <v>5526</v>
      </c>
      <c r="C136" s="15" t="s">
        <v>1815</v>
      </c>
      <c r="D136" s="15" t="s">
        <v>296</v>
      </c>
      <c r="E136" s="20">
        <v>1043172</v>
      </c>
      <c r="F136" s="21">
        <v>105.2717</v>
      </c>
      <c r="G136" s="22">
        <v>1E-4</v>
      </c>
      <c r="H136" s="40"/>
      <c r="I136" s="24"/>
      <c r="J136" s="5"/>
    </row>
    <row r="137" spans="1:10" ht="13.05" customHeight="1">
      <c r="A137" s="5"/>
      <c r="B137" s="14" t="s">
        <v>192</v>
      </c>
      <c r="C137" s="15"/>
      <c r="D137" s="15"/>
      <c r="E137" s="15"/>
      <c r="F137" s="25">
        <v>105.2717</v>
      </c>
      <c r="G137" s="26">
        <v>1E-4</v>
      </c>
      <c r="H137" s="27"/>
      <c r="I137" s="28"/>
      <c r="J137" s="5"/>
    </row>
    <row r="138" spans="1:10" ht="13.05" customHeight="1">
      <c r="A138" s="5"/>
      <c r="B138" s="29" t="s">
        <v>195</v>
      </c>
      <c r="C138" s="30"/>
      <c r="D138" s="2"/>
      <c r="E138" s="30"/>
      <c r="F138" s="25">
        <v>900699.15119999996</v>
      </c>
      <c r="G138" s="26">
        <v>0.9899</v>
      </c>
      <c r="H138" s="27"/>
      <c r="I138" s="28"/>
      <c r="J138" s="5"/>
    </row>
    <row r="139" spans="1:10" ht="13.05" customHeight="1">
      <c r="A139" s="5"/>
      <c r="B139" s="14" t="s">
        <v>196</v>
      </c>
      <c r="C139" s="15"/>
      <c r="D139" s="15"/>
      <c r="E139" s="15"/>
      <c r="F139" s="15"/>
      <c r="G139" s="15"/>
      <c r="H139" s="16"/>
      <c r="I139" s="17"/>
      <c r="J139" s="5"/>
    </row>
    <row r="140" spans="1:10" ht="13.05" customHeight="1">
      <c r="A140" s="18" t="s">
        <v>197</v>
      </c>
      <c r="B140" s="19" t="s">
        <v>198</v>
      </c>
      <c r="C140" s="15"/>
      <c r="D140" s="15"/>
      <c r="E140" s="20"/>
      <c r="F140" s="21">
        <v>10388.266600000001</v>
      </c>
      <c r="G140" s="22">
        <v>1.14E-2</v>
      </c>
      <c r="H140" s="23">
        <v>5.5573617010495215E-2</v>
      </c>
      <c r="I140" s="24"/>
      <c r="J140" s="5"/>
    </row>
    <row r="141" spans="1:10" ht="13.05" customHeight="1">
      <c r="A141" s="5"/>
      <c r="B141" s="14" t="s">
        <v>192</v>
      </c>
      <c r="C141" s="15"/>
      <c r="D141" s="15"/>
      <c r="E141" s="15"/>
      <c r="F141" s="25">
        <v>10388.266600000001</v>
      </c>
      <c r="G141" s="26">
        <v>1.14E-2</v>
      </c>
      <c r="H141" s="27"/>
      <c r="I141" s="28"/>
      <c r="J141" s="5"/>
    </row>
    <row r="142" spans="1:10" ht="13.05" customHeight="1">
      <c r="A142" s="5"/>
      <c r="B142" s="29" t="s">
        <v>195</v>
      </c>
      <c r="C142" s="30"/>
      <c r="D142" s="2"/>
      <c r="E142" s="30"/>
      <c r="F142" s="25">
        <v>10388.266600000001</v>
      </c>
      <c r="G142" s="26">
        <v>1.14E-2</v>
      </c>
      <c r="H142" s="27"/>
      <c r="I142" s="28"/>
      <c r="J142" s="5"/>
    </row>
    <row r="143" spans="1:10" ht="13.05" customHeight="1">
      <c r="A143" s="5"/>
      <c r="B143" s="29" t="s">
        <v>199</v>
      </c>
      <c r="C143" s="15"/>
      <c r="D143" s="2"/>
      <c r="E143" s="15"/>
      <c r="F143" s="31">
        <v>-1156.2978000000001</v>
      </c>
      <c r="G143" s="26">
        <v>-1.2999999999999999E-3</v>
      </c>
      <c r="H143" s="27"/>
      <c r="I143" s="28"/>
      <c r="J143" s="5"/>
    </row>
    <row r="144" spans="1:10" ht="13.05" customHeight="1">
      <c r="A144" s="5"/>
      <c r="B144" s="32" t="s">
        <v>200</v>
      </c>
      <c r="C144" s="33"/>
      <c r="D144" s="33"/>
      <c r="E144" s="33"/>
      <c r="F144" s="34">
        <v>909931.12</v>
      </c>
      <c r="G144" s="35">
        <v>1</v>
      </c>
      <c r="H144" s="36"/>
      <c r="I144" s="37"/>
      <c r="J144" s="5"/>
    </row>
    <row r="145" spans="1:10" ht="13.05" customHeight="1">
      <c r="A145" s="5"/>
      <c r="B145" s="7"/>
      <c r="C145" s="5"/>
      <c r="D145" s="5"/>
      <c r="E145" s="5"/>
      <c r="F145" s="5"/>
      <c r="G145" s="5"/>
      <c r="H145" s="5"/>
      <c r="I145" s="5"/>
      <c r="J145" s="5"/>
    </row>
    <row r="146" spans="1:10" ht="13.05" customHeight="1">
      <c r="A146" s="5"/>
      <c r="B146" s="4" t="s">
        <v>250</v>
      </c>
      <c r="C146" s="5"/>
      <c r="D146" s="5"/>
      <c r="E146" s="5"/>
      <c r="F146" s="5"/>
      <c r="G146" s="5"/>
      <c r="H146" s="5"/>
      <c r="I146" s="5"/>
      <c r="J146" s="5"/>
    </row>
    <row r="147" spans="1:10" ht="13.05" customHeight="1">
      <c r="A147" s="5"/>
      <c r="B147" s="4" t="s">
        <v>201</v>
      </c>
      <c r="C147" s="5"/>
      <c r="D147" s="5"/>
      <c r="E147" s="5"/>
      <c r="F147" s="5"/>
      <c r="G147" s="5"/>
      <c r="H147" s="5"/>
      <c r="I147" s="5"/>
      <c r="J147" s="5"/>
    </row>
    <row r="148" spans="1:10" ht="25.95" customHeight="1">
      <c r="A148" s="5"/>
      <c r="B148" s="103" t="s">
        <v>202</v>
      </c>
      <c r="C148" s="103"/>
      <c r="D148" s="103"/>
      <c r="E148" s="103"/>
      <c r="F148" s="103"/>
      <c r="G148" s="103"/>
      <c r="H148" s="103"/>
      <c r="I148" s="103"/>
      <c r="J148" s="5"/>
    </row>
    <row r="149" spans="1:10" ht="13.05" customHeight="1">
      <c r="A149" s="5"/>
      <c r="B149" s="103" t="s">
        <v>203</v>
      </c>
      <c r="C149" s="103"/>
      <c r="D149" s="103"/>
      <c r="E149" s="103"/>
      <c r="F149" s="103"/>
      <c r="G149" s="103"/>
      <c r="H149" s="103"/>
      <c r="I149" s="103"/>
      <c r="J149" s="5"/>
    </row>
    <row r="150" spans="1:10" ht="13.05" customHeight="1">
      <c r="A150" s="5"/>
      <c r="B150" s="103"/>
      <c r="C150" s="103"/>
      <c r="D150" s="103"/>
      <c r="E150" s="103"/>
      <c r="F150" s="103"/>
      <c r="G150" s="103"/>
      <c r="H150" s="103"/>
      <c r="I150" s="103"/>
      <c r="J150" s="5"/>
    </row>
    <row r="151" spans="1:10" ht="13.05" customHeight="1">
      <c r="A151" s="5"/>
      <c r="B151" s="103"/>
      <c r="C151" s="103"/>
      <c r="D151" s="103"/>
      <c r="E151" s="103"/>
      <c r="F151" s="103"/>
      <c r="G151" s="103"/>
      <c r="H151" s="103"/>
      <c r="I151" s="103"/>
      <c r="J151" s="5"/>
    </row>
    <row r="152" spans="1:10" ht="13.05" customHeight="1">
      <c r="A152" s="5"/>
      <c r="B152" s="103"/>
      <c r="C152" s="103"/>
      <c r="D152" s="103"/>
      <c r="E152" s="103"/>
      <c r="F152" s="103"/>
      <c r="G152" s="103"/>
      <c r="H152" s="103"/>
      <c r="I152" s="103"/>
      <c r="J152" s="5"/>
    </row>
    <row r="153" spans="1:10" ht="13.05" customHeight="1">
      <c r="A153" s="5"/>
      <c r="B153" s="103"/>
      <c r="C153" s="103"/>
      <c r="D153" s="103"/>
      <c r="E153" s="103"/>
      <c r="F153" s="103"/>
      <c r="G153" s="103"/>
      <c r="H153" s="103"/>
      <c r="I153" s="103"/>
      <c r="J153" s="5"/>
    </row>
    <row r="154" spans="1:10" ht="13.05" customHeight="1">
      <c r="A154" s="5"/>
      <c r="B154" s="5"/>
      <c r="C154" s="104" t="s">
        <v>4291</v>
      </c>
      <c r="D154" s="104"/>
      <c r="E154" s="104"/>
      <c r="F154" s="104"/>
      <c r="G154" s="5"/>
      <c r="H154" s="5"/>
      <c r="I154" s="5"/>
      <c r="J154" s="5"/>
    </row>
    <row r="155" spans="1:10" ht="13.05" customHeight="1">
      <c r="A155" s="5"/>
      <c r="B155" s="38" t="s">
        <v>207</v>
      </c>
      <c r="C155" s="104" t="s">
        <v>208</v>
      </c>
      <c r="D155" s="104"/>
      <c r="E155" s="104"/>
      <c r="F155" s="104"/>
      <c r="G155" s="5"/>
      <c r="H155" s="5"/>
      <c r="I155" s="5"/>
      <c r="J155" s="5"/>
    </row>
    <row r="156" spans="1:10" ht="135" customHeight="1">
      <c r="A156" s="5"/>
      <c r="B156" s="39"/>
      <c r="C156" s="105"/>
      <c r="D156" s="105"/>
      <c r="E156" s="5"/>
      <c r="F156" s="5"/>
      <c r="G156" s="5"/>
      <c r="H156" s="5"/>
      <c r="I156" s="5"/>
      <c r="J156" s="5"/>
    </row>
  </sheetData>
  <mergeCells count="9">
    <mergeCell ref="B153:I153"/>
    <mergeCell ref="C154:F154"/>
    <mergeCell ref="C155:F155"/>
    <mergeCell ref="C156:D156"/>
    <mergeCell ref="B148:I148"/>
    <mergeCell ref="B149:I149"/>
    <mergeCell ref="B150:I150"/>
    <mergeCell ref="B151:I151"/>
    <mergeCell ref="B152:I152"/>
  </mergeCells>
  <hyperlinks>
    <hyperlink ref="A1" location="AxisMulticapFund" display="AXISMLC" xr:uid="{00000000-0004-0000-2F00-000000000000}"/>
    <hyperlink ref="B1" location="AxisMulticapFund" display="Axis Multicap Fund" xr:uid="{00000000-0004-0000-2F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outlinePr summaryBelow="0"/>
  </sheetPr>
  <dimension ref="A1:J88"/>
  <sheetViews>
    <sheetView topLeftCell="A71" workbookViewId="0">
      <selection activeCell="C68" sqref="C68"/>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98</v>
      </c>
      <c r="B1" s="4" t="s">
        <v>99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262</v>
      </c>
      <c r="B7" s="19" t="s">
        <v>263</v>
      </c>
      <c r="C7" s="15" t="s">
        <v>264</v>
      </c>
      <c r="D7" s="15" t="s">
        <v>257</v>
      </c>
      <c r="E7" s="20">
        <v>8310359</v>
      </c>
      <c r="F7" s="21">
        <v>111799.2596</v>
      </c>
      <c r="G7" s="22">
        <v>8.3900000000000002E-2</v>
      </c>
      <c r="H7" s="40"/>
      <c r="I7" s="24"/>
      <c r="J7" s="5"/>
    </row>
    <row r="8" spans="1:10" ht="13.05" customHeight="1">
      <c r="A8" s="18" t="s">
        <v>254</v>
      </c>
      <c r="B8" s="19" t="s">
        <v>255</v>
      </c>
      <c r="C8" s="15" t="s">
        <v>256</v>
      </c>
      <c r="D8" s="15" t="s">
        <v>257</v>
      </c>
      <c r="E8" s="20">
        <v>10149592</v>
      </c>
      <c r="F8" s="21">
        <v>100206.9218</v>
      </c>
      <c r="G8" s="22">
        <v>7.5200000000000003E-2</v>
      </c>
      <c r="H8" s="40"/>
      <c r="I8" s="24"/>
      <c r="J8" s="5"/>
    </row>
    <row r="9" spans="1:10" ht="13.05" customHeight="1">
      <c r="A9" s="18" t="s">
        <v>297</v>
      </c>
      <c r="B9" s="19" t="s">
        <v>298</v>
      </c>
      <c r="C9" s="15" t="s">
        <v>299</v>
      </c>
      <c r="D9" s="15" t="s">
        <v>300</v>
      </c>
      <c r="E9" s="20">
        <v>7556575</v>
      </c>
      <c r="F9" s="21">
        <v>78799.964099999997</v>
      </c>
      <c r="G9" s="22">
        <v>5.9200000000000003E-2</v>
      </c>
      <c r="H9" s="40"/>
      <c r="I9" s="24"/>
      <c r="J9" s="5"/>
    </row>
    <row r="10" spans="1:10" ht="13.05" customHeight="1">
      <c r="A10" s="18" t="s">
        <v>265</v>
      </c>
      <c r="B10" s="19" t="s">
        <v>266</v>
      </c>
      <c r="C10" s="15" t="s">
        <v>267</v>
      </c>
      <c r="D10" s="15" t="s">
        <v>268</v>
      </c>
      <c r="E10" s="20">
        <v>3192555</v>
      </c>
      <c r="F10" s="21">
        <v>65591.042499999996</v>
      </c>
      <c r="G10" s="22">
        <v>4.9200000000000001E-2</v>
      </c>
      <c r="H10" s="40"/>
      <c r="I10" s="24"/>
      <c r="J10" s="5"/>
    </row>
    <row r="11" spans="1:10" ht="13.05" customHeight="1">
      <c r="A11" s="18" t="s">
        <v>301</v>
      </c>
      <c r="B11" s="19" t="s">
        <v>302</v>
      </c>
      <c r="C11" s="15" t="s">
        <v>303</v>
      </c>
      <c r="D11" s="15" t="s">
        <v>304</v>
      </c>
      <c r="E11" s="20">
        <v>17510633</v>
      </c>
      <c r="F11" s="21">
        <v>55640.036399999997</v>
      </c>
      <c r="G11" s="22">
        <v>4.1799999999999997E-2</v>
      </c>
      <c r="H11" s="40"/>
      <c r="I11" s="24"/>
      <c r="J11" s="5"/>
    </row>
    <row r="12" spans="1:10" ht="13.05" customHeight="1">
      <c r="A12" s="18" t="s">
        <v>326</v>
      </c>
      <c r="B12" s="19" t="s">
        <v>327</v>
      </c>
      <c r="C12" s="15" t="s">
        <v>328</v>
      </c>
      <c r="D12" s="15" t="s">
        <v>329</v>
      </c>
      <c r="E12" s="20">
        <v>11788313</v>
      </c>
      <c r="F12" s="21">
        <v>50230.001700000001</v>
      </c>
      <c r="G12" s="22">
        <v>3.7699999999999997E-2</v>
      </c>
      <c r="H12" s="40"/>
      <c r="I12" s="24"/>
      <c r="J12" s="5"/>
    </row>
    <row r="13" spans="1:10" ht="13.05" customHeight="1">
      <c r="A13" s="18" t="s">
        <v>293</v>
      </c>
      <c r="B13" s="19" t="s">
        <v>294</v>
      </c>
      <c r="C13" s="15" t="s">
        <v>295</v>
      </c>
      <c r="D13" s="15" t="s">
        <v>296</v>
      </c>
      <c r="E13" s="20">
        <v>1346911</v>
      </c>
      <c r="F13" s="21">
        <v>46969.4804</v>
      </c>
      <c r="G13" s="22">
        <v>3.5299999999999998E-2</v>
      </c>
      <c r="H13" s="40"/>
      <c r="I13" s="24"/>
      <c r="J13" s="5"/>
    </row>
    <row r="14" spans="1:10" ht="13.05" customHeight="1">
      <c r="A14" s="18" t="s">
        <v>907</v>
      </c>
      <c r="B14" s="19" t="s">
        <v>908</v>
      </c>
      <c r="C14" s="15" t="s">
        <v>909</v>
      </c>
      <c r="D14" s="15" t="s">
        <v>415</v>
      </c>
      <c r="E14" s="20">
        <v>6222485</v>
      </c>
      <c r="F14" s="21">
        <v>44867.2281</v>
      </c>
      <c r="G14" s="22">
        <v>3.3700000000000001E-2</v>
      </c>
      <c r="H14" s="40"/>
      <c r="I14" s="24"/>
      <c r="J14" s="5"/>
    </row>
    <row r="15" spans="1:10" ht="13.05" customHeight="1">
      <c r="A15" s="18" t="s">
        <v>269</v>
      </c>
      <c r="B15" s="19" t="s">
        <v>270</v>
      </c>
      <c r="C15" s="15" t="s">
        <v>271</v>
      </c>
      <c r="D15" s="15" t="s">
        <v>272</v>
      </c>
      <c r="E15" s="20">
        <v>2833493</v>
      </c>
      <c r="F15" s="21">
        <v>42000.866699999999</v>
      </c>
      <c r="G15" s="22">
        <v>3.15E-2</v>
      </c>
      <c r="H15" s="40"/>
      <c r="I15" s="24"/>
      <c r="J15" s="5"/>
    </row>
    <row r="16" spans="1:10" ht="13.05" customHeight="1">
      <c r="A16" s="18" t="s">
        <v>345</v>
      </c>
      <c r="B16" s="19" t="s">
        <v>346</v>
      </c>
      <c r="C16" s="15" t="s">
        <v>347</v>
      </c>
      <c r="D16" s="15" t="s">
        <v>348</v>
      </c>
      <c r="E16" s="20">
        <v>683426</v>
      </c>
      <c r="F16" s="21">
        <v>38442.712500000001</v>
      </c>
      <c r="G16" s="22">
        <v>2.8899999999999999E-2</v>
      </c>
      <c r="H16" s="40"/>
      <c r="I16" s="24"/>
      <c r="J16" s="5"/>
    </row>
    <row r="17" spans="1:10" ht="13.05" customHeight="1">
      <c r="A17" s="18" t="s">
        <v>334</v>
      </c>
      <c r="B17" s="19" t="s">
        <v>335</v>
      </c>
      <c r="C17" s="15" t="s">
        <v>336</v>
      </c>
      <c r="D17" s="15" t="s">
        <v>337</v>
      </c>
      <c r="E17" s="20">
        <v>318914</v>
      </c>
      <c r="F17" s="21">
        <v>38100.655599999998</v>
      </c>
      <c r="G17" s="22">
        <v>2.86E-2</v>
      </c>
      <c r="H17" s="40"/>
      <c r="I17" s="24"/>
      <c r="J17" s="5"/>
    </row>
    <row r="18" spans="1:10" ht="13.05" customHeight="1">
      <c r="A18" s="18" t="s">
        <v>446</v>
      </c>
      <c r="B18" s="19" t="s">
        <v>447</v>
      </c>
      <c r="C18" s="15" t="s">
        <v>448</v>
      </c>
      <c r="D18" s="15" t="s">
        <v>300</v>
      </c>
      <c r="E18" s="20">
        <v>1845193</v>
      </c>
      <c r="F18" s="21">
        <v>31309.234799999998</v>
      </c>
      <c r="G18" s="22">
        <v>2.35E-2</v>
      </c>
      <c r="H18" s="40"/>
      <c r="I18" s="24"/>
      <c r="J18" s="5"/>
    </row>
    <row r="19" spans="1:10" ht="13.05" customHeight="1">
      <c r="A19" s="18" t="s">
        <v>706</v>
      </c>
      <c r="B19" s="19" t="s">
        <v>707</v>
      </c>
      <c r="C19" s="15" t="s">
        <v>708</v>
      </c>
      <c r="D19" s="15" t="s">
        <v>541</v>
      </c>
      <c r="E19" s="20">
        <v>1659362</v>
      </c>
      <c r="F19" s="21">
        <v>28950.888800000001</v>
      </c>
      <c r="G19" s="22">
        <v>2.1700000000000001E-2</v>
      </c>
      <c r="H19" s="40"/>
      <c r="I19" s="24"/>
      <c r="J19" s="5"/>
    </row>
    <row r="20" spans="1:10" ht="13.05" customHeight="1">
      <c r="A20" s="18" t="s">
        <v>986</v>
      </c>
      <c r="B20" s="19" t="s">
        <v>987</v>
      </c>
      <c r="C20" s="15" t="s">
        <v>988</v>
      </c>
      <c r="D20" s="15" t="s">
        <v>445</v>
      </c>
      <c r="E20" s="20">
        <v>297434</v>
      </c>
      <c r="F20" s="21">
        <v>25790.502100000002</v>
      </c>
      <c r="G20" s="22">
        <v>1.9400000000000001E-2</v>
      </c>
      <c r="H20" s="40"/>
      <c r="I20" s="24"/>
      <c r="J20" s="5"/>
    </row>
    <row r="21" spans="1:10" ht="13.05" customHeight="1">
      <c r="A21" s="18" t="s">
        <v>491</v>
      </c>
      <c r="B21" s="19" t="s">
        <v>492</v>
      </c>
      <c r="C21" s="15" t="s">
        <v>493</v>
      </c>
      <c r="D21" s="15" t="s">
        <v>494</v>
      </c>
      <c r="E21" s="20">
        <v>1441789</v>
      </c>
      <c r="F21" s="21">
        <v>25741.700799999999</v>
      </c>
      <c r="G21" s="22">
        <v>1.9300000000000001E-2</v>
      </c>
      <c r="H21" s="40"/>
      <c r="I21" s="24"/>
      <c r="J21" s="5"/>
    </row>
    <row r="22" spans="1:10" ht="13.05" customHeight="1">
      <c r="A22" s="18" t="s">
        <v>739</v>
      </c>
      <c r="B22" s="19" t="s">
        <v>740</v>
      </c>
      <c r="C22" s="15" t="s">
        <v>741</v>
      </c>
      <c r="D22" s="15" t="s">
        <v>314</v>
      </c>
      <c r="E22" s="20">
        <v>1076417</v>
      </c>
      <c r="F22" s="21">
        <v>25661.781299999999</v>
      </c>
      <c r="G22" s="22">
        <v>1.9300000000000001E-2</v>
      </c>
      <c r="H22" s="40"/>
      <c r="I22" s="24"/>
      <c r="J22" s="5"/>
    </row>
    <row r="23" spans="1:10" ht="13.05" customHeight="1">
      <c r="A23" s="18" t="s">
        <v>843</v>
      </c>
      <c r="B23" s="19" t="s">
        <v>844</v>
      </c>
      <c r="C23" s="15" t="s">
        <v>845</v>
      </c>
      <c r="D23" s="15" t="s">
        <v>846</v>
      </c>
      <c r="E23" s="20">
        <v>337999</v>
      </c>
      <c r="F23" s="21">
        <v>22661.143</v>
      </c>
      <c r="G23" s="22">
        <v>1.7000000000000001E-2</v>
      </c>
      <c r="H23" s="40"/>
      <c r="I23" s="24"/>
      <c r="J23" s="5"/>
    </row>
    <row r="24" spans="1:10" ht="13.05" customHeight="1">
      <c r="A24" s="18" t="s">
        <v>395</v>
      </c>
      <c r="B24" s="19" t="s">
        <v>396</v>
      </c>
      <c r="C24" s="15" t="s">
        <v>397</v>
      </c>
      <c r="D24" s="15" t="s">
        <v>329</v>
      </c>
      <c r="E24" s="20">
        <v>481208</v>
      </c>
      <c r="F24" s="21">
        <v>22519.572</v>
      </c>
      <c r="G24" s="22">
        <v>1.6899999999999998E-2</v>
      </c>
      <c r="H24" s="40"/>
      <c r="I24" s="24"/>
      <c r="J24" s="5"/>
    </row>
    <row r="25" spans="1:10" ht="13.05" customHeight="1">
      <c r="A25" s="18" t="s">
        <v>368</v>
      </c>
      <c r="B25" s="19" t="s">
        <v>369</v>
      </c>
      <c r="C25" s="15" t="s">
        <v>370</v>
      </c>
      <c r="D25" s="15" t="s">
        <v>304</v>
      </c>
      <c r="E25" s="20">
        <v>456747</v>
      </c>
      <c r="F25" s="21">
        <v>21441.074400000001</v>
      </c>
      <c r="G25" s="22">
        <v>1.61E-2</v>
      </c>
      <c r="H25" s="40"/>
      <c r="I25" s="24"/>
      <c r="J25" s="5"/>
    </row>
    <row r="26" spans="1:10" ht="13.05" customHeight="1">
      <c r="A26" s="18" t="s">
        <v>461</v>
      </c>
      <c r="B26" s="19" t="s">
        <v>462</v>
      </c>
      <c r="C26" s="15" t="s">
        <v>463</v>
      </c>
      <c r="D26" s="15" t="s">
        <v>464</v>
      </c>
      <c r="E26" s="20">
        <v>2861040</v>
      </c>
      <c r="F26" s="21">
        <v>21223.1947</v>
      </c>
      <c r="G26" s="22">
        <v>1.5900000000000001E-2</v>
      </c>
      <c r="H26" s="40"/>
      <c r="I26" s="24"/>
      <c r="J26" s="5"/>
    </row>
    <row r="27" spans="1:10" ht="13.05" customHeight="1">
      <c r="A27" s="18" t="s">
        <v>616</v>
      </c>
      <c r="B27" s="19" t="s">
        <v>617</v>
      </c>
      <c r="C27" s="15" t="s">
        <v>618</v>
      </c>
      <c r="D27" s="15" t="s">
        <v>445</v>
      </c>
      <c r="E27" s="20">
        <v>674600</v>
      </c>
      <c r="F27" s="21">
        <v>20490.3004</v>
      </c>
      <c r="G27" s="22">
        <v>1.54E-2</v>
      </c>
      <c r="H27" s="40"/>
      <c r="I27" s="24"/>
      <c r="J27" s="5"/>
    </row>
    <row r="28" spans="1:10" ht="13.05" customHeight="1">
      <c r="A28" s="18" t="s">
        <v>423</v>
      </c>
      <c r="B28" s="19" t="s">
        <v>424</v>
      </c>
      <c r="C28" s="15" t="s">
        <v>425</v>
      </c>
      <c r="D28" s="15" t="s">
        <v>296</v>
      </c>
      <c r="E28" s="20">
        <v>516855</v>
      </c>
      <c r="F28" s="21">
        <v>18134.8914</v>
      </c>
      <c r="G28" s="22">
        <v>1.3599999999999999E-2</v>
      </c>
      <c r="H28" s="40"/>
      <c r="I28" s="24"/>
      <c r="J28" s="5"/>
    </row>
    <row r="29" spans="1:10" ht="13.05" customHeight="1">
      <c r="A29" s="18" t="s">
        <v>762</v>
      </c>
      <c r="B29" s="19" t="s">
        <v>763</v>
      </c>
      <c r="C29" s="15" t="s">
        <v>764</v>
      </c>
      <c r="D29" s="15" t="s">
        <v>321</v>
      </c>
      <c r="E29" s="20">
        <v>1325996</v>
      </c>
      <c r="F29" s="21">
        <v>17456.737300000001</v>
      </c>
      <c r="G29" s="22">
        <v>1.3100000000000001E-2</v>
      </c>
      <c r="H29" s="40"/>
      <c r="I29" s="24"/>
      <c r="J29" s="5"/>
    </row>
    <row r="30" spans="1:10" ht="13.05" customHeight="1">
      <c r="A30" s="18" t="s">
        <v>287</v>
      </c>
      <c r="B30" s="19" t="s">
        <v>288</v>
      </c>
      <c r="C30" s="15" t="s">
        <v>289</v>
      </c>
      <c r="D30" s="15" t="s">
        <v>272</v>
      </c>
      <c r="E30" s="20">
        <v>553868</v>
      </c>
      <c r="F30" s="21">
        <v>16937.2834</v>
      </c>
      <c r="G30" s="22">
        <v>1.2699999999999999E-2</v>
      </c>
      <c r="H30" s="40"/>
      <c r="I30" s="24"/>
      <c r="J30" s="5"/>
    </row>
    <row r="31" spans="1:10" ht="13.05" customHeight="1">
      <c r="A31" s="18" t="s">
        <v>822</v>
      </c>
      <c r="B31" s="19" t="s">
        <v>823</v>
      </c>
      <c r="C31" s="15" t="s">
        <v>824</v>
      </c>
      <c r="D31" s="15" t="s">
        <v>300</v>
      </c>
      <c r="E31" s="20">
        <v>5864820</v>
      </c>
      <c r="F31" s="21">
        <v>15863.7516</v>
      </c>
      <c r="G31" s="22">
        <v>1.1900000000000001E-2</v>
      </c>
      <c r="H31" s="40"/>
      <c r="I31" s="24"/>
      <c r="J31" s="5"/>
    </row>
    <row r="32" spans="1:10" ht="13.05" customHeight="1">
      <c r="A32" s="18" t="s">
        <v>495</v>
      </c>
      <c r="B32" s="19" t="s">
        <v>496</v>
      </c>
      <c r="C32" s="15" t="s">
        <v>497</v>
      </c>
      <c r="D32" s="15" t="s">
        <v>257</v>
      </c>
      <c r="E32" s="20">
        <v>6366877</v>
      </c>
      <c r="F32" s="21">
        <v>15064.6677</v>
      </c>
      <c r="G32" s="22">
        <v>1.1299999999999999E-2</v>
      </c>
      <c r="H32" s="40"/>
      <c r="I32" s="24"/>
      <c r="J32" s="5"/>
    </row>
    <row r="33" spans="1:10" ht="13.05" customHeight="1">
      <c r="A33" s="18" t="s">
        <v>989</v>
      </c>
      <c r="B33" s="19" t="s">
        <v>990</v>
      </c>
      <c r="C33" s="15" t="s">
        <v>991</v>
      </c>
      <c r="D33" s="15" t="s">
        <v>541</v>
      </c>
      <c r="E33" s="20">
        <v>1369452</v>
      </c>
      <c r="F33" s="21">
        <v>14210.803400000001</v>
      </c>
      <c r="G33" s="22">
        <v>1.0699999999999999E-2</v>
      </c>
      <c r="H33" s="40"/>
      <c r="I33" s="24"/>
      <c r="J33" s="5"/>
    </row>
    <row r="34" spans="1:10" ht="13.05" customHeight="1">
      <c r="A34" s="18" t="s">
        <v>564</v>
      </c>
      <c r="B34" s="19" t="s">
        <v>565</v>
      </c>
      <c r="C34" s="15" t="s">
        <v>566</v>
      </c>
      <c r="D34" s="15" t="s">
        <v>567</v>
      </c>
      <c r="E34" s="20">
        <v>13448520</v>
      </c>
      <c r="F34" s="21">
        <v>14173.395200000001</v>
      </c>
      <c r="G34" s="22">
        <v>1.06E-2</v>
      </c>
      <c r="H34" s="40"/>
      <c r="I34" s="24"/>
      <c r="J34" s="5"/>
    </row>
    <row r="35" spans="1:10" ht="13.05" customHeight="1">
      <c r="A35" s="18" t="s">
        <v>2435</v>
      </c>
      <c r="B35" s="19" t="s">
        <v>2436</v>
      </c>
      <c r="C35" s="15" t="s">
        <v>2437</v>
      </c>
      <c r="D35" s="15" t="s">
        <v>567</v>
      </c>
      <c r="E35" s="20">
        <v>920954</v>
      </c>
      <c r="F35" s="21">
        <v>13940.4807</v>
      </c>
      <c r="G35" s="22">
        <v>1.0500000000000001E-2</v>
      </c>
      <c r="H35" s="40"/>
      <c r="I35" s="24"/>
      <c r="J35" s="5"/>
    </row>
    <row r="36" spans="1:10" ht="13.05" customHeight="1">
      <c r="A36" s="18" t="s">
        <v>322</v>
      </c>
      <c r="B36" s="19" t="s">
        <v>323</v>
      </c>
      <c r="C36" s="15" t="s">
        <v>324</v>
      </c>
      <c r="D36" s="15" t="s">
        <v>325</v>
      </c>
      <c r="E36" s="20">
        <v>361479</v>
      </c>
      <c r="F36" s="21">
        <v>13543.5337</v>
      </c>
      <c r="G36" s="22">
        <v>1.0200000000000001E-2</v>
      </c>
      <c r="H36" s="40"/>
      <c r="I36" s="24"/>
      <c r="J36" s="5"/>
    </row>
    <row r="37" spans="1:10" ht="13.05" customHeight="1">
      <c r="A37" s="18" t="s">
        <v>4281</v>
      </c>
      <c r="B37" s="19" t="s">
        <v>4282</v>
      </c>
      <c r="C37" s="15" t="s">
        <v>4283</v>
      </c>
      <c r="D37" s="15" t="s">
        <v>581</v>
      </c>
      <c r="E37" s="20">
        <v>303189</v>
      </c>
      <c r="F37" s="21">
        <v>13453.1023</v>
      </c>
      <c r="G37" s="22">
        <v>1.01E-2</v>
      </c>
      <c r="H37" s="40"/>
      <c r="I37" s="24"/>
      <c r="J37" s="5"/>
    </row>
    <row r="38" spans="1:10" ht="13.05" customHeight="1">
      <c r="A38" s="18" t="s">
        <v>1211</v>
      </c>
      <c r="B38" s="19" t="s">
        <v>1212</v>
      </c>
      <c r="C38" s="15" t="s">
        <v>1213</v>
      </c>
      <c r="D38" s="15" t="s">
        <v>314</v>
      </c>
      <c r="E38" s="20">
        <v>649672</v>
      </c>
      <c r="F38" s="21">
        <v>12045.568600000001</v>
      </c>
      <c r="G38" s="22">
        <v>8.9999999999999993E-3</v>
      </c>
      <c r="H38" s="40"/>
      <c r="I38" s="24"/>
      <c r="J38" s="5"/>
    </row>
    <row r="39" spans="1:10" ht="13.05" customHeight="1">
      <c r="A39" s="18" t="s">
        <v>649</v>
      </c>
      <c r="B39" s="19" t="s">
        <v>650</v>
      </c>
      <c r="C39" s="15" t="s">
        <v>651</v>
      </c>
      <c r="D39" s="15" t="s">
        <v>581</v>
      </c>
      <c r="E39" s="20">
        <v>86000</v>
      </c>
      <c r="F39" s="21">
        <v>11935.08</v>
      </c>
      <c r="G39" s="22">
        <v>8.9999999999999993E-3</v>
      </c>
      <c r="H39" s="40"/>
      <c r="I39" s="24"/>
      <c r="J39" s="5"/>
    </row>
    <row r="40" spans="1:10" ht="13.05" customHeight="1">
      <c r="A40" s="18" t="s">
        <v>498</v>
      </c>
      <c r="B40" s="19" t="s">
        <v>499</v>
      </c>
      <c r="C40" s="15" t="s">
        <v>500</v>
      </c>
      <c r="D40" s="15" t="s">
        <v>501</v>
      </c>
      <c r="E40" s="20">
        <v>258683</v>
      </c>
      <c r="F40" s="21">
        <v>11237.448200000001</v>
      </c>
      <c r="G40" s="22">
        <v>8.3999999999999995E-3</v>
      </c>
      <c r="H40" s="40"/>
      <c r="I40" s="24"/>
      <c r="J40" s="5"/>
    </row>
    <row r="41" spans="1:10" ht="13.05" customHeight="1">
      <c r="A41" s="18" t="s">
        <v>476</v>
      </c>
      <c r="B41" s="19" t="s">
        <v>477</v>
      </c>
      <c r="C41" s="15" t="s">
        <v>478</v>
      </c>
      <c r="D41" s="15" t="s">
        <v>325</v>
      </c>
      <c r="E41" s="20">
        <v>69143</v>
      </c>
      <c r="F41" s="21">
        <v>10713.0164</v>
      </c>
      <c r="G41" s="22">
        <v>8.0000000000000002E-3</v>
      </c>
      <c r="H41" s="40"/>
      <c r="I41" s="24"/>
      <c r="J41" s="5"/>
    </row>
    <row r="42" spans="1:10" ht="13.05" customHeight="1">
      <c r="A42" s="18" t="s">
        <v>862</v>
      </c>
      <c r="B42" s="19" t="s">
        <v>863</v>
      </c>
      <c r="C42" s="15" t="s">
        <v>864</v>
      </c>
      <c r="D42" s="15" t="s">
        <v>581</v>
      </c>
      <c r="E42" s="20">
        <v>188228</v>
      </c>
      <c r="F42" s="21">
        <v>10705.2793</v>
      </c>
      <c r="G42" s="22">
        <v>8.0000000000000002E-3</v>
      </c>
      <c r="H42" s="40"/>
      <c r="I42" s="24"/>
      <c r="J42" s="5"/>
    </row>
    <row r="43" spans="1:10" ht="13.05" customHeight="1">
      <c r="A43" s="18" t="s">
        <v>1400</v>
      </c>
      <c r="B43" s="19" t="s">
        <v>1401</v>
      </c>
      <c r="C43" s="15" t="s">
        <v>1402</v>
      </c>
      <c r="D43" s="15" t="s">
        <v>415</v>
      </c>
      <c r="E43" s="20">
        <v>770362</v>
      </c>
      <c r="F43" s="21">
        <v>10549.3372</v>
      </c>
      <c r="G43" s="22">
        <v>7.9000000000000008E-3</v>
      </c>
      <c r="H43" s="40"/>
      <c r="I43" s="24"/>
      <c r="J43" s="5"/>
    </row>
    <row r="44" spans="1:10" ht="13.05" customHeight="1">
      <c r="A44" s="18" t="s">
        <v>1248</v>
      </c>
      <c r="B44" s="19" t="s">
        <v>1249</v>
      </c>
      <c r="C44" s="15" t="s">
        <v>1250</v>
      </c>
      <c r="D44" s="15" t="s">
        <v>314</v>
      </c>
      <c r="E44" s="20">
        <v>1121521</v>
      </c>
      <c r="F44" s="21">
        <v>10297.8058</v>
      </c>
      <c r="G44" s="22">
        <v>7.7000000000000002E-3</v>
      </c>
      <c r="H44" s="40"/>
      <c r="I44" s="24"/>
      <c r="J44" s="5"/>
    </row>
    <row r="45" spans="1:10" ht="13.05" customHeight="1">
      <c r="A45" s="18" t="s">
        <v>652</v>
      </c>
      <c r="B45" s="19" t="s">
        <v>653</v>
      </c>
      <c r="C45" s="15" t="s">
        <v>654</v>
      </c>
      <c r="D45" s="15" t="s">
        <v>304</v>
      </c>
      <c r="E45" s="20">
        <v>3877139</v>
      </c>
      <c r="F45" s="21">
        <v>9612.9784</v>
      </c>
      <c r="G45" s="22">
        <v>7.1999999999999998E-3</v>
      </c>
      <c r="H45" s="40"/>
      <c r="I45" s="24"/>
      <c r="J45" s="5"/>
    </row>
    <row r="46" spans="1:10" ht="13.05" customHeight="1">
      <c r="A46" s="18" t="s">
        <v>664</v>
      </c>
      <c r="B46" s="19" t="s">
        <v>665</v>
      </c>
      <c r="C46" s="15" t="s">
        <v>666</v>
      </c>
      <c r="D46" s="15" t="s">
        <v>304</v>
      </c>
      <c r="E46" s="20">
        <v>2111160</v>
      </c>
      <c r="F46" s="21">
        <v>8654.7003999999997</v>
      </c>
      <c r="G46" s="22">
        <v>6.4999999999999997E-3</v>
      </c>
      <c r="H46" s="40"/>
      <c r="I46" s="24"/>
      <c r="J46" s="5"/>
    </row>
    <row r="47" spans="1:10" ht="13.05" customHeight="1">
      <c r="A47" s="18" t="s">
        <v>768</v>
      </c>
      <c r="B47" s="19" t="s">
        <v>769</v>
      </c>
      <c r="C47" s="15" t="s">
        <v>770</v>
      </c>
      <c r="D47" s="15" t="s">
        <v>501</v>
      </c>
      <c r="E47" s="20">
        <v>193001</v>
      </c>
      <c r="F47" s="21">
        <v>7781.8002999999999</v>
      </c>
      <c r="G47" s="22">
        <v>5.7999999999999996E-3</v>
      </c>
      <c r="H47" s="40"/>
      <c r="I47" s="24"/>
      <c r="J47" s="5"/>
    </row>
    <row r="48" spans="1:10" ht="13.05" customHeight="1">
      <c r="A48" s="18" t="s">
        <v>532</v>
      </c>
      <c r="B48" s="19" t="s">
        <v>533</v>
      </c>
      <c r="C48" s="15" t="s">
        <v>534</v>
      </c>
      <c r="D48" s="15" t="s">
        <v>445</v>
      </c>
      <c r="E48" s="20">
        <v>1049674</v>
      </c>
      <c r="F48" s="21">
        <v>7732.4234999999999</v>
      </c>
      <c r="G48" s="22">
        <v>5.7999999999999996E-3</v>
      </c>
      <c r="H48" s="40"/>
      <c r="I48" s="24"/>
      <c r="J48" s="5"/>
    </row>
    <row r="49" spans="1:10" ht="13.05" customHeight="1">
      <c r="A49" s="18" t="s">
        <v>3581</v>
      </c>
      <c r="B49" s="19" t="s">
        <v>3582</v>
      </c>
      <c r="C49" s="15" t="s">
        <v>3583</v>
      </c>
      <c r="D49" s="15" t="s">
        <v>415</v>
      </c>
      <c r="E49" s="20">
        <v>1017366</v>
      </c>
      <c r="F49" s="21">
        <v>7601.2501000000002</v>
      </c>
      <c r="G49" s="22">
        <v>5.7000000000000002E-3</v>
      </c>
      <c r="H49" s="40"/>
      <c r="I49" s="24"/>
      <c r="J49" s="5"/>
    </row>
    <row r="50" spans="1:10" ht="13.05" customHeight="1">
      <c r="A50" s="18" t="s">
        <v>4292</v>
      </c>
      <c r="B50" s="19" t="s">
        <v>4293</v>
      </c>
      <c r="C50" s="15" t="s">
        <v>4294</v>
      </c>
      <c r="D50" s="15" t="s">
        <v>391</v>
      </c>
      <c r="E50" s="20">
        <v>468929</v>
      </c>
      <c r="F50" s="21">
        <v>6281.3040000000001</v>
      </c>
      <c r="G50" s="22">
        <v>4.7000000000000002E-3</v>
      </c>
      <c r="H50" s="40"/>
      <c r="I50" s="24"/>
      <c r="J50" s="5"/>
    </row>
    <row r="51" spans="1:10" ht="13.05" customHeight="1">
      <c r="A51" s="18" t="s">
        <v>1613</v>
      </c>
      <c r="B51" s="19" t="s">
        <v>1614</v>
      </c>
      <c r="C51" s="15" t="s">
        <v>1615</v>
      </c>
      <c r="D51" s="15" t="s">
        <v>1616</v>
      </c>
      <c r="E51" s="20">
        <v>215015</v>
      </c>
      <c r="F51" s="21">
        <v>5530.4008000000003</v>
      </c>
      <c r="G51" s="22">
        <v>4.1999999999999997E-3</v>
      </c>
      <c r="H51" s="40"/>
      <c r="I51" s="24"/>
      <c r="J51" s="5"/>
    </row>
    <row r="52" spans="1:10" ht="13.05" customHeight="1">
      <c r="A52" s="18" t="s">
        <v>1214</v>
      </c>
      <c r="B52" s="19" t="s">
        <v>1215</v>
      </c>
      <c r="C52" s="15" t="s">
        <v>1216</v>
      </c>
      <c r="D52" s="15" t="s">
        <v>314</v>
      </c>
      <c r="E52" s="20">
        <v>668498</v>
      </c>
      <c r="F52" s="21">
        <v>5036.4638999999997</v>
      </c>
      <c r="G52" s="22">
        <v>3.8E-3</v>
      </c>
      <c r="H52" s="40"/>
      <c r="I52" s="24"/>
      <c r="J52" s="5"/>
    </row>
    <row r="53" spans="1:10" ht="13.05" customHeight="1">
      <c r="A53" s="18" t="s">
        <v>1848</v>
      </c>
      <c r="B53" s="19" t="s">
        <v>1849</v>
      </c>
      <c r="C53" s="15" t="s">
        <v>1850</v>
      </c>
      <c r="D53" s="15" t="s">
        <v>304</v>
      </c>
      <c r="E53" s="20">
        <v>998214</v>
      </c>
      <c r="F53" s="21">
        <v>5019.5191000000004</v>
      </c>
      <c r="G53" s="22">
        <v>3.8E-3</v>
      </c>
      <c r="H53" s="40"/>
      <c r="I53" s="24"/>
      <c r="J53" s="5"/>
    </row>
    <row r="54" spans="1:10" ht="13.05" customHeight="1">
      <c r="A54" s="18" t="s">
        <v>1854</v>
      </c>
      <c r="B54" s="19" t="s">
        <v>1855</v>
      </c>
      <c r="C54" s="15" t="s">
        <v>1856</v>
      </c>
      <c r="D54" s="15" t="s">
        <v>300</v>
      </c>
      <c r="E54" s="20">
        <v>1509628</v>
      </c>
      <c r="F54" s="21">
        <v>4941.0123999999996</v>
      </c>
      <c r="G54" s="22">
        <v>3.7000000000000002E-3</v>
      </c>
      <c r="H54" s="40"/>
      <c r="I54" s="24"/>
      <c r="J54" s="5"/>
    </row>
    <row r="55" spans="1:10" ht="13.05" customHeight="1">
      <c r="A55" s="18" t="s">
        <v>1439</v>
      </c>
      <c r="B55" s="19" t="s">
        <v>1440</v>
      </c>
      <c r="C55" s="15" t="s">
        <v>1441</v>
      </c>
      <c r="D55" s="15" t="s">
        <v>541</v>
      </c>
      <c r="E55" s="20">
        <v>264810</v>
      </c>
      <c r="F55" s="21">
        <v>4286.2147000000004</v>
      </c>
      <c r="G55" s="22">
        <v>3.2000000000000002E-3</v>
      </c>
      <c r="H55" s="40"/>
      <c r="I55" s="24"/>
      <c r="J55" s="5"/>
    </row>
    <row r="56" spans="1:10" ht="13.05" customHeight="1">
      <c r="A56" s="18" t="s">
        <v>4295</v>
      </c>
      <c r="B56" s="19" t="s">
        <v>4296</v>
      </c>
      <c r="C56" s="15" t="s">
        <v>4297</v>
      </c>
      <c r="D56" s="15" t="s">
        <v>464</v>
      </c>
      <c r="E56" s="20">
        <v>4703610</v>
      </c>
      <c r="F56" s="21">
        <v>3940.2141000000001</v>
      </c>
      <c r="G56" s="22">
        <v>3.0000000000000001E-3</v>
      </c>
      <c r="H56" s="40"/>
      <c r="I56" s="24"/>
      <c r="J56" s="5"/>
    </row>
    <row r="57" spans="1:10" ht="13.05" customHeight="1">
      <c r="A57" s="18" t="s">
        <v>819</v>
      </c>
      <c r="B57" s="19" t="s">
        <v>820</v>
      </c>
      <c r="C57" s="15" t="s">
        <v>821</v>
      </c>
      <c r="D57" s="15" t="s">
        <v>314</v>
      </c>
      <c r="E57" s="20">
        <v>1037775</v>
      </c>
      <c r="F57" s="21">
        <v>3861.5608000000002</v>
      </c>
      <c r="G57" s="22">
        <v>2.8999999999999998E-3</v>
      </c>
      <c r="H57" s="40"/>
      <c r="I57" s="24"/>
      <c r="J57" s="5"/>
    </row>
    <row r="58" spans="1:10" ht="13.05" customHeight="1">
      <c r="A58" s="18" t="s">
        <v>1174</v>
      </c>
      <c r="B58" s="19" t="s">
        <v>1175</v>
      </c>
      <c r="C58" s="15" t="s">
        <v>1176</v>
      </c>
      <c r="D58" s="15" t="s">
        <v>501</v>
      </c>
      <c r="E58" s="20">
        <v>399538</v>
      </c>
      <c r="F58" s="21">
        <v>3597.8397</v>
      </c>
      <c r="G58" s="22">
        <v>2.7000000000000001E-3</v>
      </c>
      <c r="H58" s="40"/>
      <c r="I58" s="24"/>
      <c r="J58" s="5"/>
    </row>
    <row r="59" spans="1:10" ht="13.05" customHeight="1">
      <c r="A59" s="18" t="s">
        <v>995</v>
      </c>
      <c r="B59" s="19" t="s">
        <v>996</v>
      </c>
      <c r="C59" s="15" t="s">
        <v>997</v>
      </c>
      <c r="D59" s="15" t="s">
        <v>314</v>
      </c>
      <c r="E59" s="20">
        <v>19136</v>
      </c>
      <c r="F59" s="21">
        <v>3152.2732999999998</v>
      </c>
      <c r="G59" s="22">
        <v>2.3999999999999998E-3</v>
      </c>
      <c r="H59" s="40"/>
      <c r="I59" s="24"/>
      <c r="J59" s="5"/>
    </row>
    <row r="60" spans="1:10" ht="13.05" customHeight="1">
      <c r="A60" s="18" t="s">
        <v>2432</v>
      </c>
      <c r="B60" s="19" t="s">
        <v>2433</v>
      </c>
      <c r="C60" s="15" t="s">
        <v>2434</v>
      </c>
      <c r="D60" s="15" t="s">
        <v>581</v>
      </c>
      <c r="E60" s="20">
        <v>212801</v>
      </c>
      <c r="F60" s="21">
        <v>3069.8672000000001</v>
      </c>
      <c r="G60" s="22">
        <v>2.3E-3</v>
      </c>
      <c r="H60" s="40"/>
      <c r="I60" s="24"/>
      <c r="J60" s="5"/>
    </row>
    <row r="61" spans="1:10" ht="13.05" customHeight="1">
      <c r="A61" s="18" t="s">
        <v>4298</v>
      </c>
      <c r="B61" s="19" t="s">
        <v>4299</v>
      </c>
      <c r="C61" s="15" t="s">
        <v>4300</v>
      </c>
      <c r="D61" s="15" t="s">
        <v>314</v>
      </c>
      <c r="E61" s="20">
        <v>271679</v>
      </c>
      <c r="F61" s="21">
        <v>2539.3836000000001</v>
      </c>
      <c r="G61" s="22">
        <v>1.9E-3</v>
      </c>
      <c r="H61" s="40"/>
      <c r="I61" s="24"/>
      <c r="J61" s="5"/>
    </row>
    <row r="62" spans="1:10" ht="13.05" customHeight="1">
      <c r="A62" s="18" t="s">
        <v>4301</v>
      </c>
      <c r="B62" s="19" t="s">
        <v>4302</v>
      </c>
      <c r="C62" s="15" t="s">
        <v>4303</v>
      </c>
      <c r="D62" s="15" t="s">
        <v>758</v>
      </c>
      <c r="E62" s="20">
        <v>201938</v>
      </c>
      <c r="F62" s="21">
        <v>1692.9472000000001</v>
      </c>
      <c r="G62" s="22">
        <v>1.2999999999999999E-3</v>
      </c>
      <c r="H62" s="40"/>
      <c r="I62" s="24"/>
      <c r="J62" s="5"/>
    </row>
    <row r="63" spans="1:10" ht="13.05" customHeight="1">
      <c r="A63" s="18" t="s">
        <v>4304</v>
      </c>
      <c r="B63" s="19" t="s">
        <v>4305</v>
      </c>
      <c r="C63" s="15" t="s">
        <v>4306</v>
      </c>
      <c r="D63" s="15" t="s">
        <v>494</v>
      </c>
      <c r="E63" s="20">
        <v>292699</v>
      </c>
      <c r="F63" s="21">
        <v>765.84690000000001</v>
      </c>
      <c r="G63" s="22">
        <v>5.9999999999999995E-4</v>
      </c>
      <c r="H63" s="40"/>
      <c r="I63" s="24"/>
      <c r="J63" s="5"/>
    </row>
    <row r="64" spans="1:10" ht="13.05" customHeight="1">
      <c r="A64" s="5"/>
      <c r="B64" s="14" t="s">
        <v>192</v>
      </c>
      <c r="C64" s="15"/>
      <c r="D64" s="15"/>
      <c r="E64" s="15"/>
      <c r="F64" s="25">
        <v>1243797.7445</v>
      </c>
      <c r="G64" s="26">
        <v>0.93379999999999996</v>
      </c>
      <c r="H64" s="27"/>
      <c r="I64" s="28"/>
      <c r="J64" s="5"/>
    </row>
    <row r="65" spans="1:10" ht="13.05" customHeight="1">
      <c r="A65" s="5"/>
      <c r="B65" s="29" t="s">
        <v>1812</v>
      </c>
      <c r="C65" s="2"/>
      <c r="D65" s="2"/>
      <c r="E65" s="2"/>
      <c r="F65" s="27" t="s">
        <v>194</v>
      </c>
      <c r="G65" s="27" t="s">
        <v>194</v>
      </c>
      <c r="H65" s="27"/>
      <c r="I65" s="28"/>
      <c r="J65" s="5"/>
    </row>
    <row r="66" spans="1:10" ht="13.05" customHeight="1">
      <c r="A66" s="5"/>
      <c r="B66" s="29" t="s">
        <v>192</v>
      </c>
      <c r="C66" s="2"/>
      <c r="D66" s="2"/>
      <c r="E66" s="2"/>
      <c r="F66" s="27" t="s">
        <v>194</v>
      </c>
      <c r="G66" s="27" t="s">
        <v>194</v>
      </c>
      <c r="H66" s="27"/>
      <c r="I66" s="28"/>
      <c r="J66" s="5"/>
    </row>
    <row r="67" spans="1:10" ht="13.05" customHeight="1">
      <c r="A67" s="5"/>
      <c r="B67" s="14" t="s">
        <v>1813</v>
      </c>
      <c r="C67" s="15"/>
      <c r="D67" s="15"/>
      <c r="E67" s="15"/>
      <c r="F67" s="5"/>
      <c r="G67" s="16"/>
      <c r="H67" s="16"/>
      <c r="I67" s="17"/>
      <c r="J67" s="5"/>
    </row>
    <row r="68" spans="1:10" ht="13.05" customHeight="1">
      <c r="A68" s="18" t="s">
        <v>1814</v>
      </c>
      <c r="B68" s="19" t="s">
        <v>5526</v>
      </c>
      <c r="C68" s="15" t="s">
        <v>1815</v>
      </c>
      <c r="D68" s="15" t="s">
        <v>296</v>
      </c>
      <c r="E68" s="20">
        <v>2067420</v>
      </c>
      <c r="F68" s="21">
        <v>208.6337</v>
      </c>
      <c r="G68" s="22">
        <v>2.0000000000000001E-4</v>
      </c>
      <c r="H68" s="40"/>
      <c r="I68" s="24"/>
      <c r="J68" s="5"/>
    </row>
    <row r="69" spans="1:10" ht="13.05" customHeight="1">
      <c r="A69" s="5"/>
      <c r="B69" s="14" t="s">
        <v>192</v>
      </c>
      <c r="C69" s="15"/>
      <c r="D69" s="15"/>
      <c r="E69" s="15"/>
      <c r="F69" s="25">
        <v>208.6337</v>
      </c>
      <c r="G69" s="26">
        <v>2.0000000000000001E-4</v>
      </c>
      <c r="H69" s="27"/>
      <c r="I69" s="28"/>
      <c r="J69" s="5"/>
    </row>
    <row r="70" spans="1:10" ht="13.05" customHeight="1">
      <c r="A70" s="5"/>
      <c r="B70" s="29" t="s">
        <v>195</v>
      </c>
      <c r="C70" s="30"/>
      <c r="D70" s="2"/>
      <c r="E70" s="30"/>
      <c r="F70" s="25">
        <v>1244006.3781999999</v>
      </c>
      <c r="G70" s="26">
        <v>0.93400000000000005</v>
      </c>
      <c r="H70" s="27"/>
      <c r="I70" s="28"/>
      <c r="J70" s="5"/>
    </row>
    <row r="71" spans="1:10" ht="13.05" customHeight="1">
      <c r="A71" s="5"/>
      <c r="B71" s="14" t="s">
        <v>196</v>
      </c>
      <c r="C71" s="15"/>
      <c r="D71" s="15"/>
      <c r="E71" s="15"/>
      <c r="F71" s="15"/>
      <c r="G71" s="15"/>
      <c r="H71" s="16"/>
      <c r="I71" s="17"/>
      <c r="J71" s="5"/>
    </row>
    <row r="72" spans="1:10" ht="13.05" customHeight="1">
      <c r="A72" s="18" t="s">
        <v>197</v>
      </c>
      <c r="B72" s="19" t="s">
        <v>198</v>
      </c>
      <c r="C72" s="15"/>
      <c r="D72" s="15"/>
      <c r="E72" s="20"/>
      <c r="F72" s="21">
        <v>87062.468299999993</v>
      </c>
      <c r="G72" s="22">
        <v>6.54E-2</v>
      </c>
      <c r="H72" s="23">
        <v>5.5573617010495215E-2</v>
      </c>
      <c r="I72" s="24"/>
      <c r="J72" s="5"/>
    </row>
    <row r="73" spans="1:10" ht="13.05" customHeight="1">
      <c r="A73" s="5"/>
      <c r="B73" s="14" t="s">
        <v>192</v>
      </c>
      <c r="C73" s="15"/>
      <c r="D73" s="15"/>
      <c r="E73" s="15"/>
      <c r="F73" s="25">
        <v>87062.468299999993</v>
      </c>
      <c r="G73" s="26">
        <v>6.54E-2</v>
      </c>
      <c r="H73" s="27"/>
      <c r="I73" s="28"/>
      <c r="J73" s="5"/>
    </row>
    <row r="74" spans="1:10" ht="13.05" customHeight="1">
      <c r="A74" s="5"/>
      <c r="B74" s="29" t="s">
        <v>195</v>
      </c>
      <c r="C74" s="30"/>
      <c r="D74" s="2"/>
      <c r="E74" s="30"/>
      <c r="F74" s="25">
        <v>87062.468299999993</v>
      </c>
      <c r="G74" s="26">
        <v>6.54E-2</v>
      </c>
      <c r="H74" s="27"/>
      <c r="I74" s="28"/>
      <c r="J74" s="5"/>
    </row>
    <row r="75" spans="1:10" ht="13.05" customHeight="1">
      <c r="A75" s="5"/>
      <c r="B75" s="29" t="s">
        <v>199</v>
      </c>
      <c r="C75" s="15"/>
      <c r="D75" s="2"/>
      <c r="E75" s="15"/>
      <c r="F75" s="31">
        <v>852.45349999999996</v>
      </c>
      <c r="G75" s="26">
        <v>5.9999999999999995E-4</v>
      </c>
      <c r="H75" s="27"/>
      <c r="I75" s="28"/>
      <c r="J75" s="5"/>
    </row>
    <row r="76" spans="1:10" ht="13.05" customHeight="1">
      <c r="A76" s="5"/>
      <c r="B76" s="32" t="s">
        <v>200</v>
      </c>
      <c r="C76" s="33"/>
      <c r="D76" s="33"/>
      <c r="E76" s="33"/>
      <c r="F76" s="34">
        <v>1331921.3</v>
      </c>
      <c r="G76" s="35">
        <v>1</v>
      </c>
      <c r="H76" s="36"/>
      <c r="I76" s="37"/>
      <c r="J76" s="5"/>
    </row>
    <row r="77" spans="1:10" ht="13.05" customHeight="1">
      <c r="A77" s="5"/>
      <c r="B77" s="7"/>
      <c r="C77" s="5"/>
      <c r="D77" s="5"/>
      <c r="E77" s="5"/>
      <c r="F77" s="5"/>
      <c r="G77" s="5"/>
      <c r="H77" s="5"/>
      <c r="I77" s="5"/>
      <c r="J77" s="5"/>
    </row>
    <row r="78" spans="1:10" ht="13.05" customHeight="1">
      <c r="A78" s="5"/>
      <c r="B78" s="4" t="s">
        <v>250</v>
      </c>
      <c r="C78" s="5"/>
      <c r="D78" s="5"/>
      <c r="E78" s="5"/>
      <c r="F78" s="5"/>
      <c r="G78" s="5"/>
      <c r="H78" s="5"/>
      <c r="I78" s="5"/>
      <c r="J78" s="5"/>
    </row>
    <row r="79" spans="1:10" ht="13.05" customHeight="1">
      <c r="A79" s="5"/>
      <c r="B79" s="4" t="s">
        <v>201</v>
      </c>
      <c r="C79" s="5"/>
      <c r="D79" s="5"/>
      <c r="E79" s="5"/>
      <c r="F79" s="5"/>
      <c r="G79" s="5"/>
      <c r="H79" s="5"/>
      <c r="I79" s="5"/>
      <c r="J79" s="5"/>
    </row>
    <row r="80" spans="1:10" ht="25.95" customHeight="1">
      <c r="A80" s="5"/>
      <c r="B80" s="103" t="s">
        <v>202</v>
      </c>
      <c r="C80" s="103"/>
      <c r="D80" s="103"/>
      <c r="E80" s="103"/>
      <c r="F80" s="103"/>
      <c r="G80" s="103"/>
      <c r="H80" s="103"/>
      <c r="I80" s="103"/>
      <c r="J80" s="5"/>
    </row>
    <row r="81" spans="1:10" ht="13.05" customHeight="1">
      <c r="A81" s="5"/>
      <c r="B81" s="103" t="s">
        <v>203</v>
      </c>
      <c r="C81" s="103"/>
      <c r="D81" s="103"/>
      <c r="E81" s="103"/>
      <c r="F81" s="103"/>
      <c r="G81" s="103"/>
      <c r="H81" s="103"/>
      <c r="I81" s="103"/>
      <c r="J81" s="5"/>
    </row>
    <row r="82" spans="1:10" ht="13.05" customHeight="1">
      <c r="A82" s="5"/>
      <c r="B82" s="103"/>
      <c r="C82" s="103"/>
      <c r="D82" s="103"/>
      <c r="E82" s="103"/>
      <c r="F82" s="103"/>
      <c r="G82" s="103"/>
      <c r="H82" s="103"/>
      <c r="I82" s="103"/>
      <c r="J82" s="5"/>
    </row>
    <row r="83" spans="1:10" ht="13.05" customHeight="1">
      <c r="A83" s="5"/>
      <c r="B83" s="103"/>
      <c r="C83" s="103"/>
      <c r="D83" s="103"/>
      <c r="E83" s="103"/>
      <c r="F83" s="103"/>
      <c r="G83" s="103"/>
      <c r="H83" s="103"/>
      <c r="I83" s="103"/>
      <c r="J83" s="5"/>
    </row>
    <row r="84" spans="1:10" ht="13.05" customHeight="1">
      <c r="A84" s="5"/>
      <c r="B84" s="103"/>
      <c r="C84" s="103"/>
      <c r="D84" s="103"/>
      <c r="E84" s="103"/>
      <c r="F84" s="103"/>
      <c r="G84" s="103"/>
      <c r="H84" s="103"/>
      <c r="I84" s="103"/>
      <c r="J84" s="5"/>
    </row>
    <row r="85" spans="1:10" ht="13.05" customHeight="1">
      <c r="A85" s="5"/>
      <c r="B85" s="103"/>
      <c r="C85" s="103"/>
      <c r="D85" s="103"/>
      <c r="E85" s="103"/>
      <c r="F85" s="103"/>
      <c r="G85" s="103"/>
      <c r="H85" s="103"/>
      <c r="I85" s="103"/>
      <c r="J85" s="5"/>
    </row>
    <row r="86" spans="1:10" ht="13.05" customHeight="1">
      <c r="A86" s="5"/>
      <c r="B86" s="5"/>
      <c r="C86" s="104" t="s">
        <v>1817</v>
      </c>
      <c r="D86" s="104"/>
      <c r="E86" s="104"/>
      <c r="F86" s="104"/>
      <c r="G86" s="5"/>
      <c r="H86" s="5"/>
      <c r="I86" s="5"/>
      <c r="J86" s="5"/>
    </row>
    <row r="87" spans="1:10" ht="13.05" customHeight="1">
      <c r="A87" s="5"/>
      <c r="B87" s="38" t="s">
        <v>207</v>
      </c>
      <c r="C87" s="104" t="s">
        <v>208</v>
      </c>
      <c r="D87" s="104"/>
      <c r="E87" s="104"/>
      <c r="F87" s="104"/>
      <c r="G87" s="5"/>
      <c r="H87" s="5"/>
      <c r="I87" s="5"/>
      <c r="J87" s="5"/>
    </row>
    <row r="88" spans="1:10" ht="135" customHeight="1">
      <c r="A88" s="5"/>
      <c r="B88" s="39"/>
      <c r="C88" s="105"/>
      <c r="D88" s="105"/>
      <c r="E88" s="5"/>
      <c r="F88" s="5"/>
      <c r="G88" s="5"/>
      <c r="H88" s="5"/>
      <c r="I88" s="5"/>
      <c r="J88" s="5"/>
    </row>
  </sheetData>
  <mergeCells count="9">
    <mergeCell ref="B85:I85"/>
    <mergeCell ref="C86:F86"/>
    <mergeCell ref="C87:F87"/>
    <mergeCell ref="C88:D88"/>
    <mergeCell ref="B80:I80"/>
    <mergeCell ref="B81:I81"/>
    <mergeCell ref="B82:I82"/>
    <mergeCell ref="B83:I83"/>
    <mergeCell ref="B84:I84"/>
  </mergeCells>
  <hyperlinks>
    <hyperlink ref="A1" location="AxisFlexiCapFund" display="AXISMLF" xr:uid="{00000000-0004-0000-3000-000000000000}"/>
    <hyperlink ref="B1" location="AxisFlexiCapFund" display="Axis Flexi Cap Fund" xr:uid="{00000000-0004-0000-30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outlinePr summaryBelow="0"/>
  </sheetPr>
  <dimension ref="A1:J170"/>
  <sheetViews>
    <sheetView topLeftCell="A150" workbookViewId="0">
      <selection activeCell="B1" sqref="B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100</v>
      </c>
      <c r="B1" s="4" t="s">
        <v>101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1871</v>
      </c>
      <c r="C5" s="15"/>
      <c r="D5" s="15"/>
      <c r="E5" s="15"/>
      <c r="F5" s="15"/>
      <c r="G5" s="15"/>
      <c r="H5" s="16"/>
      <c r="I5" s="17"/>
      <c r="J5" s="5"/>
    </row>
    <row r="6" spans="1:10" ht="13.05" customHeight="1">
      <c r="A6" s="5"/>
      <c r="B6" s="14" t="s">
        <v>1872</v>
      </c>
      <c r="C6" s="15"/>
      <c r="D6" s="15"/>
      <c r="E6" s="15"/>
      <c r="F6" s="5"/>
      <c r="G6" s="16"/>
      <c r="H6" s="16"/>
      <c r="I6" s="17"/>
      <c r="J6" s="5"/>
    </row>
    <row r="7" spans="1:10" ht="13.05" customHeight="1">
      <c r="A7" s="18" t="s">
        <v>4307</v>
      </c>
      <c r="B7" s="19" t="s">
        <v>4308</v>
      </c>
      <c r="C7" s="15"/>
      <c r="D7" s="15"/>
      <c r="E7" s="41"/>
      <c r="F7" s="21">
        <v>-6.76</v>
      </c>
      <c r="G7" s="40" t="s">
        <v>1809</v>
      </c>
      <c r="H7" s="40"/>
      <c r="I7" s="24"/>
      <c r="J7" s="5"/>
    </row>
    <row r="8" spans="1:10" ht="13.05" customHeight="1">
      <c r="A8" s="18" t="s">
        <v>4309</v>
      </c>
      <c r="B8" s="19" t="s">
        <v>4310</v>
      </c>
      <c r="C8" s="15"/>
      <c r="D8" s="15"/>
      <c r="E8" s="41"/>
      <c r="F8" s="21">
        <v>-7.2</v>
      </c>
      <c r="G8" s="40" t="s">
        <v>1809</v>
      </c>
      <c r="H8" s="40"/>
      <c r="I8" s="24"/>
      <c r="J8" s="5"/>
    </row>
    <row r="9" spans="1:10" ht="13.05" customHeight="1">
      <c r="A9" s="18" t="s">
        <v>4311</v>
      </c>
      <c r="B9" s="19" t="s">
        <v>4312</v>
      </c>
      <c r="C9" s="15"/>
      <c r="D9" s="15"/>
      <c r="E9" s="41"/>
      <c r="F9" s="21">
        <v>-10.199999999999999</v>
      </c>
      <c r="G9" s="40" t="s">
        <v>1809</v>
      </c>
      <c r="H9" s="40"/>
      <c r="I9" s="24"/>
      <c r="J9" s="5"/>
    </row>
    <row r="10" spans="1:10" ht="13.05" customHeight="1">
      <c r="A10" s="5"/>
      <c r="B10" s="14" t="s">
        <v>192</v>
      </c>
      <c r="C10" s="15"/>
      <c r="D10" s="15"/>
      <c r="E10" s="15"/>
      <c r="F10" s="25">
        <v>-24.16</v>
      </c>
      <c r="G10" s="27" t="s">
        <v>1809</v>
      </c>
      <c r="H10" s="27"/>
      <c r="I10" s="28"/>
      <c r="J10" s="5"/>
    </row>
    <row r="11" spans="1:10" ht="13.05" customHeight="1">
      <c r="A11" s="5"/>
      <c r="B11" s="29" t="s">
        <v>195</v>
      </c>
      <c r="C11" s="30"/>
      <c r="D11" s="2"/>
      <c r="E11" s="30"/>
      <c r="F11" s="25">
        <v>-24.16</v>
      </c>
      <c r="G11" s="27" t="s">
        <v>1809</v>
      </c>
      <c r="H11" s="27"/>
      <c r="I11" s="28"/>
      <c r="J11" s="5"/>
    </row>
    <row r="12" spans="1:10" ht="13.05" customHeight="1">
      <c r="A12" s="5"/>
      <c r="B12" s="14" t="s">
        <v>183</v>
      </c>
      <c r="C12" s="15"/>
      <c r="D12" s="15"/>
      <c r="E12" s="15"/>
      <c r="F12" s="15"/>
      <c r="G12" s="15"/>
      <c r="H12" s="16"/>
      <c r="I12" s="17"/>
      <c r="J12" s="5"/>
    </row>
    <row r="13" spans="1:10" ht="13.05" customHeight="1">
      <c r="A13" s="5"/>
      <c r="B13" s="14" t="s">
        <v>184</v>
      </c>
      <c r="C13" s="15"/>
      <c r="D13" s="15"/>
      <c r="E13" s="15"/>
      <c r="F13" s="5"/>
      <c r="G13" s="16"/>
      <c r="H13" s="16"/>
      <c r="I13" s="17"/>
      <c r="J13" s="5"/>
    </row>
    <row r="14" spans="1:10" ht="13.05" customHeight="1">
      <c r="A14" s="18" t="s">
        <v>4313</v>
      </c>
      <c r="B14" s="19" t="s">
        <v>4314</v>
      </c>
      <c r="C14" s="15" t="s">
        <v>4315</v>
      </c>
      <c r="D14" s="15" t="s">
        <v>188</v>
      </c>
      <c r="E14" s="20">
        <v>21000000</v>
      </c>
      <c r="F14" s="21">
        <v>21188.286</v>
      </c>
      <c r="G14" s="22">
        <v>9.2999999999999992E-3</v>
      </c>
      <c r="H14" s="23">
        <v>5.6500000000000002E-2</v>
      </c>
      <c r="I14" s="24"/>
      <c r="J14" s="5"/>
    </row>
    <row r="15" spans="1:10" ht="13.05" customHeight="1">
      <c r="A15" s="18" t="s">
        <v>4316</v>
      </c>
      <c r="B15" s="19" t="s">
        <v>4317</v>
      </c>
      <c r="C15" s="15" t="s">
        <v>4318</v>
      </c>
      <c r="D15" s="15" t="s">
        <v>188</v>
      </c>
      <c r="E15" s="20">
        <v>9500000</v>
      </c>
      <c r="F15" s="21">
        <v>9520.0069999999996</v>
      </c>
      <c r="G15" s="22">
        <v>4.1999999999999997E-3</v>
      </c>
      <c r="H15" s="23">
        <v>5.9283000000000002E-2</v>
      </c>
      <c r="I15" s="24"/>
      <c r="J15" s="5"/>
    </row>
    <row r="16" spans="1:10" ht="13.05" customHeight="1">
      <c r="A16" s="18" t="s">
        <v>4319</v>
      </c>
      <c r="B16" s="19" t="s">
        <v>4320</v>
      </c>
      <c r="C16" s="15" t="s">
        <v>4321</v>
      </c>
      <c r="D16" s="15" t="s">
        <v>188</v>
      </c>
      <c r="E16" s="20">
        <v>7745000</v>
      </c>
      <c r="F16" s="21">
        <v>7855.0874000000003</v>
      </c>
      <c r="G16" s="22">
        <v>3.3999999999999998E-3</v>
      </c>
      <c r="H16" s="23">
        <v>5.7863999999999999E-2</v>
      </c>
      <c r="I16" s="24"/>
      <c r="J16" s="5"/>
    </row>
    <row r="17" spans="1:10" ht="13.05" customHeight="1">
      <c r="A17" s="18" t="s">
        <v>4322</v>
      </c>
      <c r="B17" s="19" t="s">
        <v>4323</v>
      </c>
      <c r="C17" s="15" t="s">
        <v>4324</v>
      </c>
      <c r="D17" s="15" t="s">
        <v>188</v>
      </c>
      <c r="E17" s="20">
        <v>6500000</v>
      </c>
      <c r="F17" s="21">
        <v>6558.6755000000003</v>
      </c>
      <c r="G17" s="22">
        <v>2.8999999999999998E-3</v>
      </c>
      <c r="H17" s="23">
        <v>5.6500000000000002E-2</v>
      </c>
      <c r="I17" s="24"/>
      <c r="J17" s="5"/>
    </row>
    <row r="18" spans="1:10" ht="13.05" customHeight="1">
      <c r="A18" s="18" t="s">
        <v>4325</v>
      </c>
      <c r="B18" s="19" t="s">
        <v>4326</v>
      </c>
      <c r="C18" s="15" t="s">
        <v>4327</v>
      </c>
      <c r="D18" s="15" t="s">
        <v>188</v>
      </c>
      <c r="E18" s="20">
        <v>5000000</v>
      </c>
      <c r="F18" s="21">
        <v>5036.2349999999997</v>
      </c>
      <c r="G18" s="22">
        <v>2.2000000000000001E-3</v>
      </c>
      <c r="H18" s="23">
        <v>5.6500000000000002E-2</v>
      </c>
      <c r="I18" s="24"/>
      <c r="J18" s="5"/>
    </row>
    <row r="19" spans="1:10" ht="13.05" customHeight="1">
      <c r="A19" s="18" t="s">
        <v>4328</v>
      </c>
      <c r="B19" s="19" t="s">
        <v>4329</v>
      </c>
      <c r="C19" s="15" t="s">
        <v>4330</v>
      </c>
      <c r="D19" s="15" t="s">
        <v>188</v>
      </c>
      <c r="E19" s="20">
        <v>3500000</v>
      </c>
      <c r="F19" s="21">
        <v>3532.6444999999999</v>
      </c>
      <c r="G19" s="22">
        <v>1.5E-3</v>
      </c>
      <c r="H19" s="23">
        <v>5.6899999999999999E-2</v>
      </c>
      <c r="I19" s="24"/>
      <c r="J19" s="5"/>
    </row>
    <row r="20" spans="1:10" ht="13.05" customHeight="1">
      <c r="A20" s="18" t="s">
        <v>4331</v>
      </c>
      <c r="B20" s="19" t="s">
        <v>4332</v>
      </c>
      <c r="C20" s="15" t="s">
        <v>4333</v>
      </c>
      <c r="D20" s="15" t="s">
        <v>188</v>
      </c>
      <c r="E20" s="20">
        <v>1000000</v>
      </c>
      <c r="F20" s="21">
        <v>1002.645</v>
      </c>
      <c r="G20" s="22">
        <v>4.0000000000000002E-4</v>
      </c>
      <c r="H20" s="23">
        <v>5.6075E-2</v>
      </c>
      <c r="I20" s="24"/>
      <c r="J20" s="5"/>
    </row>
    <row r="21" spans="1:10" ht="13.05" customHeight="1">
      <c r="A21" s="18" t="s">
        <v>4334</v>
      </c>
      <c r="B21" s="19" t="s">
        <v>4335</v>
      </c>
      <c r="C21" s="15" t="s">
        <v>4336</v>
      </c>
      <c r="D21" s="15" t="s">
        <v>188</v>
      </c>
      <c r="E21" s="20">
        <v>800000</v>
      </c>
      <c r="F21" s="21">
        <v>805.0752</v>
      </c>
      <c r="G21" s="22">
        <v>4.0000000000000002E-4</v>
      </c>
      <c r="H21" s="23">
        <v>5.5799000000000001E-2</v>
      </c>
      <c r="I21" s="24"/>
      <c r="J21" s="5"/>
    </row>
    <row r="22" spans="1:10" ht="13.05" customHeight="1">
      <c r="A22" s="18" t="s">
        <v>4337</v>
      </c>
      <c r="B22" s="19" t="s">
        <v>4338</v>
      </c>
      <c r="C22" s="15" t="s">
        <v>4339</v>
      </c>
      <c r="D22" s="15" t="s">
        <v>188</v>
      </c>
      <c r="E22" s="20">
        <v>600000</v>
      </c>
      <c r="F22" s="21">
        <v>603.02819999999997</v>
      </c>
      <c r="G22" s="22">
        <v>2.9999999999999997E-4</v>
      </c>
      <c r="H22" s="23">
        <v>5.5799000000000001E-2</v>
      </c>
      <c r="I22" s="24"/>
      <c r="J22" s="5"/>
    </row>
    <row r="23" spans="1:10" ht="13.05" customHeight="1">
      <c r="A23" s="18" t="s">
        <v>4340</v>
      </c>
      <c r="B23" s="19" t="s">
        <v>4341</v>
      </c>
      <c r="C23" s="15" t="s">
        <v>4342</v>
      </c>
      <c r="D23" s="15" t="s">
        <v>188</v>
      </c>
      <c r="E23" s="20">
        <v>500000</v>
      </c>
      <c r="F23" s="21">
        <v>504.99799999999999</v>
      </c>
      <c r="G23" s="22">
        <v>2.0000000000000001E-4</v>
      </c>
      <c r="H23" s="23">
        <v>5.7403999999999997E-2</v>
      </c>
      <c r="I23" s="24"/>
      <c r="J23" s="5"/>
    </row>
    <row r="24" spans="1:10" ht="13.05" customHeight="1">
      <c r="A24" s="5"/>
      <c r="B24" s="14" t="s">
        <v>192</v>
      </c>
      <c r="C24" s="15"/>
      <c r="D24" s="15"/>
      <c r="E24" s="15"/>
      <c r="F24" s="25">
        <v>56606.681799999998</v>
      </c>
      <c r="G24" s="26">
        <v>2.4799999999999999E-2</v>
      </c>
      <c r="H24" s="27"/>
      <c r="I24" s="28"/>
      <c r="J24" s="5"/>
    </row>
    <row r="25" spans="1:10" ht="13.05" customHeight="1">
      <c r="A25" s="5"/>
      <c r="B25" s="29" t="s">
        <v>193</v>
      </c>
      <c r="C25" s="2"/>
      <c r="D25" s="2"/>
      <c r="E25" s="2"/>
      <c r="F25" s="27" t="s">
        <v>194</v>
      </c>
      <c r="G25" s="27" t="s">
        <v>194</v>
      </c>
      <c r="H25" s="27"/>
      <c r="I25" s="28"/>
      <c r="J25" s="5"/>
    </row>
    <row r="26" spans="1:10" ht="13.05" customHeight="1">
      <c r="A26" s="5"/>
      <c r="B26" s="29" t="s">
        <v>192</v>
      </c>
      <c r="C26" s="2"/>
      <c r="D26" s="2"/>
      <c r="E26" s="2"/>
      <c r="F26" s="27" t="s">
        <v>194</v>
      </c>
      <c r="G26" s="27" t="s">
        <v>194</v>
      </c>
      <c r="H26" s="27"/>
      <c r="I26" s="28"/>
      <c r="J26" s="5"/>
    </row>
    <row r="27" spans="1:10" ht="13.05" customHeight="1">
      <c r="A27" s="5"/>
      <c r="B27" s="29" t="s">
        <v>195</v>
      </c>
      <c r="C27" s="30"/>
      <c r="D27" s="2"/>
      <c r="E27" s="30"/>
      <c r="F27" s="25">
        <v>56606.681799999998</v>
      </c>
      <c r="G27" s="26">
        <v>2.4799999999999999E-2</v>
      </c>
      <c r="H27" s="27"/>
      <c r="I27" s="28"/>
      <c r="J27" s="5"/>
    </row>
    <row r="28" spans="1:10" ht="13.05" customHeight="1">
      <c r="A28" s="5"/>
      <c r="B28" s="14" t="s">
        <v>1866</v>
      </c>
      <c r="C28" s="15"/>
      <c r="D28" s="15"/>
      <c r="E28" s="15"/>
      <c r="F28" s="15"/>
      <c r="G28" s="15"/>
      <c r="H28" s="16"/>
      <c r="I28" s="17"/>
      <c r="J28" s="5"/>
    </row>
    <row r="29" spans="1:10" ht="13.05" customHeight="1">
      <c r="A29" s="5"/>
      <c r="B29" s="14" t="s">
        <v>2308</v>
      </c>
      <c r="C29" s="15"/>
      <c r="D29" s="15"/>
      <c r="E29" s="15"/>
      <c r="F29" s="5"/>
      <c r="G29" s="16"/>
      <c r="H29" s="16"/>
      <c r="I29" s="17"/>
      <c r="J29" s="5"/>
    </row>
    <row r="30" spans="1:10" ht="13.05" customHeight="1">
      <c r="A30" s="18" t="s">
        <v>4343</v>
      </c>
      <c r="B30" s="19" t="s">
        <v>4344</v>
      </c>
      <c r="C30" s="15" t="s">
        <v>4345</v>
      </c>
      <c r="D30" s="15" t="s">
        <v>2312</v>
      </c>
      <c r="E30" s="20">
        <v>13000</v>
      </c>
      <c r="F30" s="21">
        <v>63988.73</v>
      </c>
      <c r="G30" s="22">
        <v>2.81E-2</v>
      </c>
      <c r="H30" s="23">
        <v>6.0720000000000003E-2</v>
      </c>
      <c r="I30" s="24"/>
      <c r="J30" s="5"/>
    </row>
    <row r="31" spans="1:10" ht="13.05" customHeight="1">
      <c r="A31" s="18" t="s">
        <v>4346</v>
      </c>
      <c r="B31" s="19" t="s">
        <v>4347</v>
      </c>
      <c r="C31" s="15" t="s">
        <v>4348</v>
      </c>
      <c r="D31" s="15" t="s">
        <v>3478</v>
      </c>
      <c r="E31" s="20">
        <v>12500</v>
      </c>
      <c r="F31" s="21">
        <v>60437.3125</v>
      </c>
      <c r="G31" s="22">
        <v>2.6499999999999999E-2</v>
      </c>
      <c r="H31" s="23">
        <v>6.2600000000000003E-2</v>
      </c>
      <c r="I31" s="24"/>
      <c r="J31" s="5"/>
    </row>
    <row r="32" spans="1:10" ht="13.05" customHeight="1">
      <c r="A32" s="18" t="s">
        <v>3691</v>
      </c>
      <c r="B32" s="19" t="s">
        <v>3692</v>
      </c>
      <c r="C32" s="15" t="s">
        <v>3693</v>
      </c>
      <c r="D32" s="15" t="s">
        <v>3478</v>
      </c>
      <c r="E32" s="20">
        <v>12000</v>
      </c>
      <c r="F32" s="21">
        <v>58839.66</v>
      </c>
      <c r="G32" s="22">
        <v>2.58E-2</v>
      </c>
      <c r="H32" s="23">
        <v>6.0998999999999998E-2</v>
      </c>
      <c r="I32" s="24"/>
      <c r="J32" s="5"/>
    </row>
    <row r="33" spans="1:10" ht="13.05" customHeight="1">
      <c r="A33" s="18" t="s">
        <v>4349</v>
      </c>
      <c r="B33" s="19" t="s">
        <v>4350</v>
      </c>
      <c r="C33" s="15" t="s">
        <v>4351</v>
      </c>
      <c r="D33" s="15" t="s">
        <v>2312</v>
      </c>
      <c r="E33" s="20">
        <v>11600</v>
      </c>
      <c r="F33" s="21">
        <v>56639.493999999999</v>
      </c>
      <c r="G33" s="22">
        <v>2.4799999999999999E-2</v>
      </c>
      <c r="H33" s="23">
        <v>6.0886000000000003E-2</v>
      </c>
      <c r="I33" s="24"/>
      <c r="J33" s="5"/>
    </row>
    <row r="34" spans="1:10" ht="13.05" customHeight="1">
      <c r="A34" s="18" t="s">
        <v>4352</v>
      </c>
      <c r="B34" s="19" t="s">
        <v>4353</v>
      </c>
      <c r="C34" s="15" t="s">
        <v>4354</v>
      </c>
      <c r="D34" s="15" t="s">
        <v>2312</v>
      </c>
      <c r="E34" s="20">
        <v>11000</v>
      </c>
      <c r="F34" s="21">
        <v>54124.014999999999</v>
      </c>
      <c r="G34" s="22">
        <v>2.3699999999999999E-2</v>
      </c>
      <c r="H34" s="23">
        <v>6.0900000000000003E-2</v>
      </c>
      <c r="I34" s="24"/>
      <c r="J34" s="5"/>
    </row>
    <row r="35" spans="1:10" ht="13.05" customHeight="1">
      <c r="A35" s="18" t="s">
        <v>4355</v>
      </c>
      <c r="B35" s="19" t="s">
        <v>4356</v>
      </c>
      <c r="C35" s="15" t="s">
        <v>4357</v>
      </c>
      <c r="D35" s="15" t="s">
        <v>2312</v>
      </c>
      <c r="E35" s="20">
        <v>10000</v>
      </c>
      <c r="F35" s="21">
        <v>48943.1</v>
      </c>
      <c r="G35" s="22">
        <v>2.1499999999999998E-2</v>
      </c>
      <c r="H35" s="23">
        <v>6.1100000000000002E-2</v>
      </c>
      <c r="I35" s="24"/>
      <c r="J35" s="5"/>
    </row>
    <row r="36" spans="1:10" ht="13.05" customHeight="1">
      <c r="A36" s="18" t="s">
        <v>4358</v>
      </c>
      <c r="B36" s="19" t="s">
        <v>4359</v>
      </c>
      <c r="C36" s="15" t="s">
        <v>4360</v>
      </c>
      <c r="D36" s="15" t="s">
        <v>3478</v>
      </c>
      <c r="E36" s="20">
        <v>10000</v>
      </c>
      <c r="F36" s="21">
        <v>48729.65</v>
      </c>
      <c r="G36" s="22">
        <v>2.1399999999999999E-2</v>
      </c>
      <c r="H36" s="23">
        <v>6.2600000000000003E-2</v>
      </c>
      <c r="I36" s="24"/>
      <c r="J36" s="5"/>
    </row>
    <row r="37" spans="1:10" ht="13.05" customHeight="1">
      <c r="A37" s="18" t="s">
        <v>4361</v>
      </c>
      <c r="B37" s="19" t="s">
        <v>4362</v>
      </c>
      <c r="C37" s="15" t="s">
        <v>4363</v>
      </c>
      <c r="D37" s="15" t="s">
        <v>3478</v>
      </c>
      <c r="E37" s="20">
        <v>10000</v>
      </c>
      <c r="F37" s="21">
        <v>48221.85</v>
      </c>
      <c r="G37" s="22">
        <v>2.1100000000000001E-2</v>
      </c>
      <c r="H37" s="23">
        <v>6.2600000000000003E-2</v>
      </c>
      <c r="I37" s="24"/>
      <c r="J37" s="5"/>
    </row>
    <row r="38" spans="1:10" ht="13.05" customHeight="1">
      <c r="A38" s="18" t="s">
        <v>4364</v>
      </c>
      <c r="B38" s="19" t="s">
        <v>4365</v>
      </c>
      <c r="C38" s="15" t="s">
        <v>4366</v>
      </c>
      <c r="D38" s="15" t="s">
        <v>3478</v>
      </c>
      <c r="E38" s="20">
        <v>10000</v>
      </c>
      <c r="F38" s="21">
        <v>47102.2</v>
      </c>
      <c r="G38" s="22">
        <v>2.07E-2</v>
      </c>
      <c r="H38" s="23">
        <v>6.4899999999999999E-2</v>
      </c>
      <c r="I38" s="24"/>
      <c r="J38" s="5"/>
    </row>
    <row r="39" spans="1:10" ht="13.05" customHeight="1">
      <c r="A39" s="18" t="s">
        <v>4367</v>
      </c>
      <c r="B39" s="19" t="s">
        <v>4368</v>
      </c>
      <c r="C39" s="15" t="s">
        <v>4369</v>
      </c>
      <c r="D39" s="15" t="s">
        <v>2312</v>
      </c>
      <c r="E39" s="20">
        <v>8500</v>
      </c>
      <c r="F39" s="21">
        <v>41835.81</v>
      </c>
      <c r="G39" s="22">
        <v>1.83E-2</v>
      </c>
      <c r="H39" s="23">
        <v>6.0999999999999999E-2</v>
      </c>
      <c r="I39" s="24"/>
      <c r="J39" s="5"/>
    </row>
    <row r="40" spans="1:10" ht="13.05" customHeight="1">
      <c r="A40" s="18" t="s">
        <v>3694</v>
      </c>
      <c r="B40" s="19" t="s">
        <v>3695</v>
      </c>
      <c r="C40" s="15" t="s">
        <v>3696</v>
      </c>
      <c r="D40" s="15" t="s">
        <v>2312</v>
      </c>
      <c r="E40" s="20">
        <v>8000</v>
      </c>
      <c r="F40" s="21">
        <v>39147.160000000003</v>
      </c>
      <c r="G40" s="22">
        <v>1.72E-2</v>
      </c>
      <c r="H40" s="23">
        <v>6.0699999999999997E-2</v>
      </c>
      <c r="I40" s="24"/>
      <c r="J40" s="5"/>
    </row>
    <row r="41" spans="1:10" ht="13.05" customHeight="1">
      <c r="A41" s="18" t="s">
        <v>4370</v>
      </c>
      <c r="B41" s="19" t="s">
        <v>4371</v>
      </c>
      <c r="C41" s="15" t="s">
        <v>4372</v>
      </c>
      <c r="D41" s="15" t="s">
        <v>2312</v>
      </c>
      <c r="E41" s="20">
        <v>8000</v>
      </c>
      <c r="F41" s="21">
        <v>38533.32</v>
      </c>
      <c r="G41" s="22">
        <v>1.6899999999999998E-2</v>
      </c>
      <c r="H41" s="23">
        <v>6.2300000000000001E-2</v>
      </c>
      <c r="I41" s="24"/>
      <c r="J41" s="5"/>
    </row>
    <row r="42" spans="1:10" ht="13.05" customHeight="1">
      <c r="A42" s="18" t="s">
        <v>4373</v>
      </c>
      <c r="B42" s="19" t="s">
        <v>4374</v>
      </c>
      <c r="C42" s="15" t="s">
        <v>4375</v>
      </c>
      <c r="D42" s="15" t="s">
        <v>2312</v>
      </c>
      <c r="E42" s="20">
        <v>8000</v>
      </c>
      <c r="F42" s="21">
        <v>38504.239999999998</v>
      </c>
      <c r="G42" s="22">
        <v>1.6899999999999998E-2</v>
      </c>
      <c r="H42" s="23">
        <v>6.4449999999999993E-2</v>
      </c>
      <c r="I42" s="24"/>
      <c r="J42" s="5"/>
    </row>
    <row r="43" spans="1:10" ht="13.05" customHeight="1">
      <c r="A43" s="18" t="s">
        <v>2309</v>
      </c>
      <c r="B43" s="19" t="s">
        <v>2310</v>
      </c>
      <c r="C43" s="15" t="s">
        <v>2311</v>
      </c>
      <c r="D43" s="15" t="s">
        <v>2312</v>
      </c>
      <c r="E43" s="20">
        <v>7500</v>
      </c>
      <c r="F43" s="21">
        <v>36703.050000000003</v>
      </c>
      <c r="G43" s="22">
        <v>1.61E-2</v>
      </c>
      <c r="H43" s="23">
        <v>6.0499999999999998E-2</v>
      </c>
      <c r="I43" s="24"/>
      <c r="J43" s="5"/>
    </row>
    <row r="44" spans="1:10" ht="13.05" customHeight="1">
      <c r="A44" s="18" t="s">
        <v>3685</v>
      </c>
      <c r="B44" s="19" t="s">
        <v>3686</v>
      </c>
      <c r="C44" s="15" t="s">
        <v>3687</v>
      </c>
      <c r="D44" s="15" t="s">
        <v>3478</v>
      </c>
      <c r="E44" s="20">
        <v>7500</v>
      </c>
      <c r="F44" s="21">
        <v>36662.662499999999</v>
      </c>
      <c r="G44" s="22">
        <v>1.61E-2</v>
      </c>
      <c r="H44" s="23">
        <v>6.0850000000000001E-2</v>
      </c>
      <c r="I44" s="24"/>
      <c r="J44" s="5"/>
    </row>
    <row r="45" spans="1:10" ht="13.05" customHeight="1">
      <c r="A45" s="18" t="s">
        <v>4376</v>
      </c>
      <c r="B45" s="19" t="s">
        <v>4377</v>
      </c>
      <c r="C45" s="15" t="s">
        <v>4378</v>
      </c>
      <c r="D45" s="15" t="s">
        <v>2312</v>
      </c>
      <c r="E45" s="20">
        <v>7000</v>
      </c>
      <c r="F45" s="21">
        <v>34517.525000000001</v>
      </c>
      <c r="G45" s="22">
        <v>1.5100000000000001E-2</v>
      </c>
      <c r="H45" s="23">
        <v>6.3772999999999996E-2</v>
      </c>
      <c r="I45" s="24"/>
      <c r="J45" s="5"/>
    </row>
    <row r="46" spans="1:10" ht="13.05" customHeight="1">
      <c r="A46" s="18" t="s">
        <v>4379</v>
      </c>
      <c r="B46" s="19" t="s">
        <v>4380</v>
      </c>
      <c r="C46" s="15" t="s">
        <v>4381</v>
      </c>
      <c r="D46" s="15" t="s">
        <v>2312</v>
      </c>
      <c r="E46" s="20">
        <v>7000</v>
      </c>
      <c r="F46" s="21">
        <v>33858.51</v>
      </c>
      <c r="G46" s="22">
        <v>1.4800000000000001E-2</v>
      </c>
      <c r="H46" s="23">
        <v>6.2149999999999997E-2</v>
      </c>
      <c r="I46" s="24"/>
      <c r="J46" s="5"/>
    </row>
    <row r="47" spans="1:10" ht="13.05" customHeight="1">
      <c r="A47" s="18" t="s">
        <v>4382</v>
      </c>
      <c r="B47" s="19" t="s">
        <v>4383</v>
      </c>
      <c r="C47" s="15" t="s">
        <v>4384</v>
      </c>
      <c r="D47" s="15" t="s">
        <v>2774</v>
      </c>
      <c r="E47" s="20">
        <v>6000</v>
      </c>
      <c r="F47" s="21">
        <v>29565.99</v>
      </c>
      <c r="G47" s="22">
        <v>1.2999999999999999E-2</v>
      </c>
      <c r="H47" s="23">
        <v>6.0200999999999998E-2</v>
      </c>
      <c r="I47" s="24"/>
      <c r="J47" s="5"/>
    </row>
    <row r="48" spans="1:10" ht="13.05" customHeight="1">
      <c r="A48" s="18" t="s">
        <v>4385</v>
      </c>
      <c r="B48" s="19" t="s">
        <v>4386</v>
      </c>
      <c r="C48" s="15" t="s">
        <v>4387</v>
      </c>
      <c r="D48" s="15" t="s">
        <v>2331</v>
      </c>
      <c r="E48" s="20">
        <v>6000</v>
      </c>
      <c r="F48" s="21">
        <v>29468.97</v>
      </c>
      <c r="G48" s="22">
        <v>1.29E-2</v>
      </c>
      <c r="H48" s="23">
        <v>6.0900000000000003E-2</v>
      </c>
      <c r="I48" s="24"/>
      <c r="J48" s="5"/>
    </row>
    <row r="49" spans="1:10" ht="13.05" customHeight="1">
      <c r="A49" s="18" t="s">
        <v>4388</v>
      </c>
      <c r="B49" s="19" t="s">
        <v>4389</v>
      </c>
      <c r="C49" s="15" t="s">
        <v>4390</v>
      </c>
      <c r="D49" s="15" t="s">
        <v>2312</v>
      </c>
      <c r="E49" s="20">
        <v>6000</v>
      </c>
      <c r="F49" s="21">
        <v>29401.47</v>
      </c>
      <c r="G49" s="22">
        <v>1.29E-2</v>
      </c>
      <c r="H49" s="23">
        <v>6.2970999999999999E-2</v>
      </c>
      <c r="I49" s="24"/>
      <c r="J49" s="5"/>
    </row>
    <row r="50" spans="1:10" ht="13.05" customHeight="1">
      <c r="A50" s="18" t="s">
        <v>4391</v>
      </c>
      <c r="B50" s="19" t="s">
        <v>4392</v>
      </c>
      <c r="C50" s="15" t="s">
        <v>4393</v>
      </c>
      <c r="D50" s="15" t="s">
        <v>2331</v>
      </c>
      <c r="E50" s="20">
        <v>6000</v>
      </c>
      <c r="F50" s="21">
        <v>29364.33</v>
      </c>
      <c r="G50" s="22">
        <v>1.29E-2</v>
      </c>
      <c r="H50" s="23">
        <v>6.0780000000000001E-2</v>
      </c>
      <c r="I50" s="24"/>
      <c r="J50" s="5"/>
    </row>
    <row r="51" spans="1:10" ht="13.05" customHeight="1">
      <c r="A51" s="18" t="s">
        <v>4394</v>
      </c>
      <c r="B51" s="19" t="s">
        <v>4395</v>
      </c>
      <c r="C51" s="15" t="s">
        <v>4396</v>
      </c>
      <c r="D51" s="15" t="s">
        <v>2312</v>
      </c>
      <c r="E51" s="20">
        <v>6000</v>
      </c>
      <c r="F51" s="21">
        <v>29300.91</v>
      </c>
      <c r="G51" s="22">
        <v>1.2800000000000001E-2</v>
      </c>
      <c r="H51" s="23">
        <v>6.0899000000000002E-2</v>
      </c>
      <c r="I51" s="24"/>
      <c r="J51" s="5"/>
    </row>
    <row r="52" spans="1:10" ht="13.05" customHeight="1">
      <c r="A52" s="18" t="s">
        <v>4397</v>
      </c>
      <c r="B52" s="19" t="s">
        <v>4398</v>
      </c>
      <c r="C52" s="15" t="s">
        <v>4399</v>
      </c>
      <c r="D52" s="15" t="s">
        <v>2312</v>
      </c>
      <c r="E52" s="20">
        <v>5500</v>
      </c>
      <c r="F52" s="21">
        <v>26585.9</v>
      </c>
      <c r="G52" s="22">
        <v>1.17E-2</v>
      </c>
      <c r="H52" s="23">
        <v>6.275E-2</v>
      </c>
      <c r="I52" s="24"/>
      <c r="J52" s="5"/>
    </row>
    <row r="53" spans="1:10" ht="13.05" customHeight="1">
      <c r="A53" s="18" t="s">
        <v>4400</v>
      </c>
      <c r="B53" s="19" t="s">
        <v>4401</v>
      </c>
      <c r="C53" s="15" t="s">
        <v>4402</v>
      </c>
      <c r="D53" s="15" t="s">
        <v>2312</v>
      </c>
      <c r="E53" s="20">
        <v>5000</v>
      </c>
      <c r="F53" s="21">
        <v>24635.525000000001</v>
      </c>
      <c r="G53" s="22">
        <v>1.0800000000000001E-2</v>
      </c>
      <c r="H53" s="23">
        <v>5.9999499999999997E-2</v>
      </c>
      <c r="I53" s="24"/>
      <c r="J53" s="5"/>
    </row>
    <row r="54" spans="1:10" ht="13.05" customHeight="1">
      <c r="A54" s="18" t="s">
        <v>3700</v>
      </c>
      <c r="B54" s="19" t="s">
        <v>3701</v>
      </c>
      <c r="C54" s="15" t="s">
        <v>3702</v>
      </c>
      <c r="D54" s="15" t="s">
        <v>2312</v>
      </c>
      <c r="E54" s="20">
        <v>5000</v>
      </c>
      <c r="F54" s="21">
        <v>24555.474999999999</v>
      </c>
      <c r="G54" s="22">
        <v>1.0800000000000001E-2</v>
      </c>
      <c r="H54" s="23">
        <v>6.062E-2</v>
      </c>
      <c r="I54" s="24"/>
      <c r="J54" s="5"/>
    </row>
    <row r="55" spans="1:10" ht="13.05" customHeight="1">
      <c r="A55" s="18" t="s">
        <v>4403</v>
      </c>
      <c r="B55" s="19" t="s">
        <v>4404</v>
      </c>
      <c r="C55" s="15" t="s">
        <v>4405</v>
      </c>
      <c r="D55" s="15" t="s">
        <v>2312</v>
      </c>
      <c r="E55" s="20">
        <v>5000</v>
      </c>
      <c r="F55" s="21">
        <v>23749.1</v>
      </c>
      <c r="G55" s="22">
        <v>1.04E-2</v>
      </c>
      <c r="H55" s="23">
        <v>6.3450000000000006E-2</v>
      </c>
      <c r="I55" s="24"/>
      <c r="J55" s="5"/>
    </row>
    <row r="56" spans="1:10" ht="13.05" customHeight="1">
      <c r="A56" s="18" t="s">
        <v>4406</v>
      </c>
      <c r="B56" s="19" t="s">
        <v>4407</v>
      </c>
      <c r="C56" s="15" t="s">
        <v>4408</v>
      </c>
      <c r="D56" s="15" t="s">
        <v>2312</v>
      </c>
      <c r="E56" s="20">
        <v>4000</v>
      </c>
      <c r="F56" s="21">
        <v>19685.62</v>
      </c>
      <c r="G56" s="22">
        <v>8.6E-3</v>
      </c>
      <c r="H56" s="23">
        <v>6.2010999999999997E-2</v>
      </c>
      <c r="I56" s="24"/>
      <c r="J56" s="5"/>
    </row>
    <row r="57" spans="1:10" ht="13.05" customHeight="1">
      <c r="A57" s="18" t="s">
        <v>4409</v>
      </c>
      <c r="B57" s="19" t="s">
        <v>4410</v>
      </c>
      <c r="C57" s="15" t="s">
        <v>4411</v>
      </c>
      <c r="D57" s="15" t="s">
        <v>2312</v>
      </c>
      <c r="E57" s="20">
        <v>4000</v>
      </c>
      <c r="F57" s="21">
        <v>19620</v>
      </c>
      <c r="G57" s="22">
        <v>8.6E-3</v>
      </c>
      <c r="H57" s="23">
        <v>6.2011999999999998E-2</v>
      </c>
      <c r="I57" s="24"/>
      <c r="J57" s="5"/>
    </row>
    <row r="58" spans="1:10" ht="13.05" customHeight="1">
      <c r="A58" s="18" t="s">
        <v>4412</v>
      </c>
      <c r="B58" s="19" t="s">
        <v>4413</v>
      </c>
      <c r="C58" s="15" t="s">
        <v>4414</v>
      </c>
      <c r="D58" s="15" t="s">
        <v>2312</v>
      </c>
      <c r="E58" s="20">
        <v>4000</v>
      </c>
      <c r="F58" s="21">
        <v>19615.080000000002</v>
      </c>
      <c r="G58" s="22">
        <v>8.6E-3</v>
      </c>
      <c r="H58" s="23">
        <v>6.0700999999999998E-2</v>
      </c>
      <c r="I58" s="24"/>
      <c r="J58" s="5"/>
    </row>
    <row r="59" spans="1:10" ht="13.05" customHeight="1">
      <c r="A59" s="18" t="s">
        <v>3475</v>
      </c>
      <c r="B59" s="19" t="s">
        <v>3476</v>
      </c>
      <c r="C59" s="15" t="s">
        <v>3477</v>
      </c>
      <c r="D59" s="15" t="s">
        <v>3478</v>
      </c>
      <c r="E59" s="20">
        <v>4000</v>
      </c>
      <c r="F59" s="21">
        <v>19574.72</v>
      </c>
      <c r="G59" s="22">
        <v>8.6E-3</v>
      </c>
      <c r="H59" s="23">
        <v>6.0999999999999999E-2</v>
      </c>
      <c r="I59" s="24"/>
      <c r="J59" s="5"/>
    </row>
    <row r="60" spans="1:10" ht="13.05" customHeight="1">
      <c r="A60" s="18" t="s">
        <v>4415</v>
      </c>
      <c r="B60" s="19" t="s">
        <v>4416</v>
      </c>
      <c r="C60" s="15" t="s">
        <v>4417</v>
      </c>
      <c r="D60" s="15" t="s">
        <v>2312</v>
      </c>
      <c r="E60" s="20">
        <v>4000</v>
      </c>
      <c r="F60" s="21">
        <v>19568.32</v>
      </c>
      <c r="G60" s="22">
        <v>8.6E-3</v>
      </c>
      <c r="H60" s="23">
        <v>6.0999999999999999E-2</v>
      </c>
      <c r="I60" s="24"/>
      <c r="J60" s="5"/>
    </row>
    <row r="61" spans="1:10" ht="13.05" customHeight="1">
      <c r="A61" s="18" t="s">
        <v>4418</v>
      </c>
      <c r="B61" s="19" t="s">
        <v>4419</v>
      </c>
      <c r="C61" s="15" t="s">
        <v>4420</v>
      </c>
      <c r="D61" s="15" t="s">
        <v>2331</v>
      </c>
      <c r="E61" s="20">
        <v>4000</v>
      </c>
      <c r="F61" s="21">
        <v>19479.66</v>
      </c>
      <c r="G61" s="22">
        <v>8.5000000000000006E-3</v>
      </c>
      <c r="H61" s="23">
        <v>6.2498999999999999E-2</v>
      </c>
      <c r="I61" s="24"/>
      <c r="J61" s="5"/>
    </row>
    <row r="62" spans="1:10" ht="13.05" customHeight="1">
      <c r="A62" s="18" t="s">
        <v>4421</v>
      </c>
      <c r="B62" s="19" t="s">
        <v>4422</v>
      </c>
      <c r="C62" s="15" t="s">
        <v>4423</v>
      </c>
      <c r="D62" s="15" t="s">
        <v>3478</v>
      </c>
      <c r="E62" s="20">
        <v>4000</v>
      </c>
      <c r="F62" s="21">
        <v>18796.8</v>
      </c>
      <c r="G62" s="22">
        <v>8.2000000000000007E-3</v>
      </c>
      <c r="H62" s="23">
        <v>6.4899999999999999E-2</v>
      </c>
      <c r="I62" s="24"/>
      <c r="J62" s="5"/>
    </row>
    <row r="63" spans="1:10" ht="13.05" customHeight="1">
      <c r="A63" s="18" t="s">
        <v>3485</v>
      </c>
      <c r="B63" s="19" t="s">
        <v>3486</v>
      </c>
      <c r="C63" s="15" t="s">
        <v>3487</v>
      </c>
      <c r="D63" s="15" t="s">
        <v>3478</v>
      </c>
      <c r="E63" s="20">
        <v>3700</v>
      </c>
      <c r="F63" s="21">
        <v>18271.5435</v>
      </c>
      <c r="G63" s="22">
        <v>8.0000000000000002E-3</v>
      </c>
      <c r="H63" s="23">
        <v>6.0048999999999998E-2</v>
      </c>
      <c r="I63" s="24"/>
      <c r="J63" s="5"/>
    </row>
    <row r="64" spans="1:10" ht="13.05" customHeight="1">
      <c r="A64" s="18" t="s">
        <v>4424</v>
      </c>
      <c r="B64" s="19" t="s">
        <v>4425</v>
      </c>
      <c r="C64" s="15" t="s">
        <v>4426</v>
      </c>
      <c r="D64" s="15" t="s">
        <v>2312</v>
      </c>
      <c r="E64" s="20">
        <v>3000</v>
      </c>
      <c r="F64" s="21">
        <v>14914.29</v>
      </c>
      <c r="G64" s="22">
        <v>6.4999999999999997E-3</v>
      </c>
      <c r="H64" s="23">
        <v>6.1698999999999997E-2</v>
      </c>
      <c r="I64" s="24"/>
      <c r="J64" s="5"/>
    </row>
    <row r="65" spans="1:10" ht="13.05" customHeight="1">
      <c r="A65" s="18" t="s">
        <v>4427</v>
      </c>
      <c r="B65" s="19" t="s">
        <v>4428</v>
      </c>
      <c r="C65" s="15" t="s">
        <v>4429</v>
      </c>
      <c r="D65" s="15" t="s">
        <v>2331</v>
      </c>
      <c r="E65" s="20">
        <v>3000</v>
      </c>
      <c r="F65" s="21">
        <v>14776.184999999999</v>
      </c>
      <c r="G65" s="22">
        <v>6.4999999999999997E-3</v>
      </c>
      <c r="H65" s="23">
        <v>6.3549999999999995E-2</v>
      </c>
      <c r="I65" s="24"/>
      <c r="J65" s="5"/>
    </row>
    <row r="66" spans="1:10" ht="13.05" customHeight="1">
      <c r="A66" s="18" t="s">
        <v>3703</v>
      </c>
      <c r="B66" s="19" t="s">
        <v>3704</v>
      </c>
      <c r="C66" s="15" t="s">
        <v>3705</v>
      </c>
      <c r="D66" s="15" t="s">
        <v>2331</v>
      </c>
      <c r="E66" s="20">
        <v>3000</v>
      </c>
      <c r="F66" s="21">
        <v>14718.06</v>
      </c>
      <c r="G66" s="22">
        <v>6.4999999999999997E-3</v>
      </c>
      <c r="H66" s="23">
        <v>6.08E-2</v>
      </c>
      <c r="I66" s="24"/>
      <c r="J66" s="5"/>
    </row>
    <row r="67" spans="1:10" ht="13.05" customHeight="1">
      <c r="A67" s="18" t="s">
        <v>3706</v>
      </c>
      <c r="B67" s="19" t="s">
        <v>3707</v>
      </c>
      <c r="C67" s="15" t="s">
        <v>3708</v>
      </c>
      <c r="D67" s="15" t="s">
        <v>2312</v>
      </c>
      <c r="E67" s="20">
        <v>3000</v>
      </c>
      <c r="F67" s="21">
        <v>14710.38</v>
      </c>
      <c r="G67" s="22">
        <v>6.4999999999999997E-3</v>
      </c>
      <c r="H67" s="23">
        <v>6.0900000000000003E-2</v>
      </c>
      <c r="I67" s="24"/>
      <c r="J67" s="5"/>
    </row>
    <row r="68" spans="1:10" ht="13.05" customHeight="1">
      <c r="A68" s="18" t="s">
        <v>4430</v>
      </c>
      <c r="B68" s="19" t="s">
        <v>4431</v>
      </c>
      <c r="C68" s="15" t="s">
        <v>4432</v>
      </c>
      <c r="D68" s="15" t="s">
        <v>2331</v>
      </c>
      <c r="E68" s="20">
        <v>3000</v>
      </c>
      <c r="F68" s="21">
        <v>14683.44</v>
      </c>
      <c r="G68" s="22">
        <v>6.4000000000000003E-3</v>
      </c>
      <c r="H68" s="23">
        <v>6.0999999999999999E-2</v>
      </c>
      <c r="I68" s="24"/>
      <c r="J68" s="5"/>
    </row>
    <row r="69" spans="1:10" ht="13.05" customHeight="1">
      <c r="A69" s="18" t="s">
        <v>4433</v>
      </c>
      <c r="B69" s="19" t="s">
        <v>4434</v>
      </c>
      <c r="C69" s="15" t="s">
        <v>4435</v>
      </c>
      <c r="D69" s="15" t="s">
        <v>2312</v>
      </c>
      <c r="E69" s="20">
        <v>3000</v>
      </c>
      <c r="F69" s="21">
        <v>14647.5</v>
      </c>
      <c r="G69" s="22">
        <v>6.4000000000000003E-3</v>
      </c>
      <c r="H69" s="23">
        <v>6.0999999999999999E-2</v>
      </c>
      <c r="I69" s="24"/>
      <c r="J69" s="5"/>
    </row>
    <row r="70" spans="1:10" ht="13.05" customHeight="1">
      <c r="A70" s="18" t="s">
        <v>2767</v>
      </c>
      <c r="B70" s="19" t="s">
        <v>2768</v>
      </c>
      <c r="C70" s="15" t="s">
        <v>2769</v>
      </c>
      <c r="D70" s="15" t="s">
        <v>2312</v>
      </c>
      <c r="E70" s="20">
        <v>3000</v>
      </c>
      <c r="F70" s="21">
        <v>14552.19</v>
      </c>
      <c r="G70" s="22">
        <v>6.4000000000000003E-3</v>
      </c>
      <c r="H70" s="23">
        <v>6.2399999999999997E-2</v>
      </c>
      <c r="I70" s="24"/>
      <c r="J70" s="5"/>
    </row>
    <row r="71" spans="1:10" ht="13.05" customHeight="1">
      <c r="A71" s="18" t="s">
        <v>4436</v>
      </c>
      <c r="B71" s="19" t="s">
        <v>4437</v>
      </c>
      <c r="C71" s="15" t="s">
        <v>4438</v>
      </c>
      <c r="D71" s="15" t="s">
        <v>2331</v>
      </c>
      <c r="E71" s="20">
        <v>2500</v>
      </c>
      <c r="F71" s="21">
        <v>12231.15</v>
      </c>
      <c r="G71" s="22">
        <v>5.4000000000000003E-3</v>
      </c>
      <c r="H71" s="23">
        <v>6.0780000000000001E-2</v>
      </c>
      <c r="I71" s="24"/>
      <c r="J71" s="5"/>
    </row>
    <row r="72" spans="1:10" ht="13.05" customHeight="1">
      <c r="A72" s="18" t="s">
        <v>4439</v>
      </c>
      <c r="B72" s="19" t="s">
        <v>4440</v>
      </c>
      <c r="C72" s="15" t="s">
        <v>4441</v>
      </c>
      <c r="D72" s="15" t="s">
        <v>2312</v>
      </c>
      <c r="E72" s="20">
        <v>2000</v>
      </c>
      <c r="F72" s="21">
        <v>9955.3700000000008</v>
      </c>
      <c r="G72" s="22">
        <v>4.4000000000000003E-3</v>
      </c>
      <c r="H72" s="23">
        <v>6.0603999999999998E-2</v>
      </c>
      <c r="I72" s="24"/>
      <c r="J72" s="5"/>
    </row>
    <row r="73" spans="1:10" ht="13.05" customHeight="1">
      <c r="A73" s="18" t="s">
        <v>4442</v>
      </c>
      <c r="B73" s="19" t="s">
        <v>4443</v>
      </c>
      <c r="C73" s="15" t="s">
        <v>4444</v>
      </c>
      <c r="D73" s="15" t="s">
        <v>2312</v>
      </c>
      <c r="E73" s="20">
        <v>2000</v>
      </c>
      <c r="F73" s="21">
        <v>9864.6200000000008</v>
      </c>
      <c r="G73" s="22">
        <v>4.3E-3</v>
      </c>
      <c r="H73" s="23">
        <v>6.0352000000000003E-2</v>
      </c>
      <c r="I73" s="24"/>
      <c r="J73" s="5"/>
    </row>
    <row r="74" spans="1:10" ht="13.05" customHeight="1">
      <c r="A74" s="18" t="s">
        <v>4445</v>
      </c>
      <c r="B74" s="19" t="s">
        <v>4446</v>
      </c>
      <c r="C74" s="15" t="s">
        <v>4447</v>
      </c>
      <c r="D74" s="15" t="s">
        <v>2331</v>
      </c>
      <c r="E74" s="20">
        <v>2000</v>
      </c>
      <c r="F74" s="21">
        <v>9818.11</v>
      </c>
      <c r="G74" s="22">
        <v>4.3E-3</v>
      </c>
      <c r="H74" s="23">
        <v>6.0920000000000002E-2</v>
      </c>
      <c r="I74" s="24"/>
      <c r="J74" s="5"/>
    </row>
    <row r="75" spans="1:10" ht="13.05" customHeight="1">
      <c r="A75" s="18" t="s">
        <v>4448</v>
      </c>
      <c r="B75" s="19" t="s">
        <v>4449</v>
      </c>
      <c r="C75" s="15" t="s">
        <v>4450</v>
      </c>
      <c r="D75" s="15" t="s">
        <v>2312</v>
      </c>
      <c r="E75" s="20">
        <v>2000</v>
      </c>
      <c r="F75" s="21">
        <v>9814.81</v>
      </c>
      <c r="G75" s="22">
        <v>4.3E-3</v>
      </c>
      <c r="H75" s="23">
        <v>6.2045000000000003E-2</v>
      </c>
      <c r="I75" s="24"/>
      <c r="J75" s="5"/>
    </row>
    <row r="76" spans="1:10" ht="13.05" customHeight="1">
      <c r="A76" s="18" t="s">
        <v>4451</v>
      </c>
      <c r="B76" s="19" t="s">
        <v>4452</v>
      </c>
      <c r="C76" s="15" t="s">
        <v>4453</v>
      </c>
      <c r="D76" s="15" t="s">
        <v>2312</v>
      </c>
      <c r="E76" s="20">
        <v>2000</v>
      </c>
      <c r="F76" s="21">
        <v>9786.11</v>
      </c>
      <c r="G76" s="22">
        <v>4.3E-3</v>
      </c>
      <c r="H76" s="23">
        <v>6.0899000000000002E-2</v>
      </c>
      <c r="I76" s="24"/>
      <c r="J76" s="5"/>
    </row>
    <row r="77" spans="1:10" ht="13.05" customHeight="1">
      <c r="A77" s="18" t="s">
        <v>2313</v>
      </c>
      <c r="B77" s="19" t="s">
        <v>2314</v>
      </c>
      <c r="C77" s="15" t="s">
        <v>2315</v>
      </c>
      <c r="D77" s="15" t="s">
        <v>2312</v>
      </c>
      <c r="E77" s="20">
        <v>2000</v>
      </c>
      <c r="F77" s="21">
        <v>9777.24</v>
      </c>
      <c r="G77" s="22">
        <v>4.3E-3</v>
      </c>
      <c r="H77" s="23">
        <v>6.0699999999999997E-2</v>
      </c>
      <c r="I77" s="24"/>
      <c r="J77" s="5"/>
    </row>
    <row r="78" spans="1:10" ht="13.05" customHeight="1">
      <c r="A78" s="18" t="s">
        <v>4454</v>
      </c>
      <c r="B78" s="19" t="s">
        <v>4455</v>
      </c>
      <c r="C78" s="15" t="s">
        <v>4456</v>
      </c>
      <c r="D78" s="15" t="s">
        <v>2331</v>
      </c>
      <c r="E78" s="20">
        <v>2000</v>
      </c>
      <c r="F78" s="21">
        <v>9677.02</v>
      </c>
      <c r="G78" s="22">
        <v>4.1999999999999997E-3</v>
      </c>
      <c r="H78" s="23">
        <v>6.2474000000000002E-2</v>
      </c>
      <c r="I78" s="24"/>
      <c r="J78" s="5"/>
    </row>
    <row r="79" spans="1:10" ht="13.05" customHeight="1">
      <c r="A79" s="18" t="s">
        <v>4457</v>
      </c>
      <c r="B79" s="19" t="s">
        <v>4458</v>
      </c>
      <c r="C79" s="15" t="s">
        <v>4459</v>
      </c>
      <c r="D79" s="15" t="s">
        <v>2312</v>
      </c>
      <c r="E79" s="20">
        <v>2000</v>
      </c>
      <c r="F79" s="21">
        <v>9668.8799999999992</v>
      </c>
      <c r="G79" s="22">
        <v>4.1999999999999997E-3</v>
      </c>
      <c r="H79" s="23">
        <v>6.25E-2</v>
      </c>
      <c r="I79" s="24"/>
      <c r="J79" s="5"/>
    </row>
    <row r="80" spans="1:10" ht="13.05" customHeight="1">
      <c r="A80" s="18" t="s">
        <v>4460</v>
      </c>
      <c r="B80" s="19" t="s">
        <v>4461</v>
      </c>
      <c r="C80" s="15" t="s">
        <v>4462</v>
      </c>
      <c r="D80" s="15" t="s">
        <v>2312</v>
      </c>
      <c r="E80" s="20">
        <v>2000</v>
      </c>
      <c r="F80" s="21">
        <v>9660.8799999999992</v>
      </c>
      <c r="G80" s="22">
        <v>4.1999999999999997E-3</v>
      </c>
      <c r="H80" s="23">
        <v>6.2498999999999999E-2</v>
      </c>
      <c r="I80" s="24"/>
      <c r="J80" s="5"/>
    </row>
    <row r="81" spans="1:10" ht="13.05" customHeight="1">
      <c r="A81" s="18" t="s">
        <v>4032</v>
      </c>
      <c r="B81" s="19" t="s">
        <v>4033</v>
      </c>
      <c r="C81" s="15" t="s">
        <v>4034</v>
      </c>
      <c r="D81" s="15" t="s">
        <v>2312</v>
      </c>
      <c r="E81" s="20">
        <v>1600</v>
      </c>
      <c r="F81" s="21">
        <v>7902.576</v>
      </c>
      <c r="G81" s="22">
        <v>3.5000000000000001E-3</v>
      </c>
      <c r="H81" s="23">
        <v>5.9998999999999997E-2</v>
      </c>
      <c r="I81" s="24"/>
      <c r="J81" s="5"/>
    </row>
    <row r="82" spans="1:10" ht="13.05" customHeight="1">
      <c r="A82" s="18" t="s">
        <v>4463</v>
      </c>
      <c r="B82" s="19" t="s">
        <v>4464</v>
      </c>
      <c r="C82" s="15" t="s">
        <v>4465</v>
      </c>
      <c r="D82" s="15" t="s">
        <v>2774</v>
      </c>
      <c r="E82" s="20">
        <v>1500</v>
      </c>
      <c r="F82" s="21">
        <v>7384.1549999999997</v>
      </c>
      <c r="G82" s="22">
        <v>3.2000000000000002E-3</v>
      </c>
      <c r="H82" s="23">
        <v>6.0919000000000001E-2</v>
      </c>
      <c r="I82" s="24"/>
      <c r="J82" s="5"/>
    </row>
    <row r="83" spans="1:10" ht="13.05" customHeight="1">
      <c r="A83" s="18" t="s">
        <v>4466</v>
      </c>
      <c r="B83" s="19" t="s">
        <v>4467</v>
      </c>
      <c r="C83" s="15" t="s">
        <v>4468</v>
      </c>
      <c r="D83" s="15" t="s">
        <v>2331</v>
      </c>
      <c r="E83" s="20">
        <v>1500</v>
      </c>
      <c r="F83" s="21">
        <v>7360.23</v>
      </c>
      <c r="G83" s="22">
        <v>3.2000000000000002E-3</v>
      </c>
      <c r="H83" s="23">
        <v>6.08E-2</v>
      </c>
      <c r="I83" s="24"/>
      <c r="J83" s="5"/>
    </row>
    <row r="84" spans="1:10" ht="13.05" customHeight="1">
      <c r="A84" s="18" t="s">
        <v>4469</v>
      </c>
      <c r="B84" s="19" t="s">
        <v>4470</v>
      </c>
      <c r="C84" s="15" t="s">
        <v>4471</v>
      </c>
      <c r="D84" s="15" t="s">
        <v>2312</v>
      </c>
      <c r="E84" s="20">
        <v>1500</v>
      </c>
      <c r="F84" s="21">
        <v>7268.82</v>
      </c>
      <c r="G84" s="22">
        <v>3.2000000000000002E-3</v>
      </c>
      <c r="H84" s="23">
        <v>6.275E-2</v>
      </c>
      <c r="I84" s="24"/>
      <c r="J84" s="5"/>
    </row>
    <row r="85" spans="1:10" ht="13.05" customHeight="1">
      <c r="A85" s="18" t="s">
        <v>4472</v>
      </c>
      <c r="B85" s="19" t="s">
        <v>4473</v>
      </c>
      <c r="C85" s="15" t="s">
        <v>4474</v>
      </c>
      <c r="D85" s="15" t="s">
        <v>2312</v>
      </c>
      <c r="E85" s="20">
        <v>1500</v>
      </c>
      <c r="F85" s="21">
        <v>7105.3649999999998</v>
      </c>
      <c r="G85" s="22">
        <v>3.0999999999999999E-3</v>
      </c>
      <c r="H85" s="23">
        <v>6.3549999999999995E-2</v>
      </c>
      <c r="I85" s="24"/>
      <c r="J85" s="5"/>
    </row>
    <row r="86" spans="1:10" ht="13.05" customHeight="1">
      <c r="A86" s="18" t="s">
        <v>4475</v>
      </c>
      <c r="B86" s="19" t="s">
        <v>4476</v>
      </c>
      <c r="C86" s="15" t="s">
        <v>4477</v>
      </c>
      <c r="D86" s="15" t="s">
        <v>2331</v>
      </c>
      <c r="E86" s="20">
        <v>1000</v>
      </c>
      <c r="F86" s="21">
        <v>4931.3149999999996</v>
      </c>
      <c r="G86" s="22">
        <v>2.2000000000000001E-3</v>
      </c>
      <c r="H86" s="23">
        <v>6.3547999999999993E-2</v>
      </c>
      <c r="I86" s="24"/>
      <c r="J86" s="5"/>
    </row>
    <row r="87" spans="1:10" ht="13.05" customHeight="1">
      <c r="A87" s="18" t="s">
        <v>4478</v>
      </c>
      <c r="B87" s="19" t="s">
        <v>4479</v>
      </c>
      <c r="C87" s="15" t="s">
        <v>4480</v>
      </c>
      <c r="D87" s="15" t="s">
        <v>3478</v>
      </c>
      <c r="E87" s="20">
        <v>1000</v>
      </c>
      <c r="F87" s="21">
        <v>4920.24</v>
      </c>
      <c r="G87" s="22">
        <v>2.2000000000000001E-3</v>
      </c>
      <c r="H87" s="23">
        <v>6.0998999999999998E-2</v>
      </c>
      <c r="I87" s="24"/>
      <c r="J87" s="5"/>
    </row>
    <row r="88" spans="1:10" ht="13.05" customHeight="1">
      <c r="A88" s="18" t="s">
        <v>4481</v>
      </c>
      <c r="B88" s="19" t="s">
        <v>4482</v>
      </c>
      <c r="C88" s="15" t="s">
        <v>4483</v>
      </c>
      <c r="D88" s="15" t="s">
        <v>2312</v>
      </c>
      <c r="E88" s="20">
        <v>1000</v>
      </c>
      <c r="F88" s="21">
        <v>4892.7700000000004</v>
      </c>
      <c r="G88" s="22">
        <v>2.0999999999999999E-3</v>
      </c>
      <c r="H88" s="23">
        <v>6.0601000000000002E-2</v>
      </c>
      <c r="I88" s="24"/>
      <c r="J88" s="5"/>
    </row>
    <row r="89" spans="1:10" ht="13.05" customHeight="1">
      <c r="A89" s="18" t="s">
        <v>4484</v>
      </c>
      <c r="B89" s="19" t="s">
        <v>4485</v>
      </c>
      <c r="C89" s="15" t="s">
        <v>4486</v>
      </c>
      <c r="D89" s="15" t="s">
        <v>2312</v>
      </c>
      <c r="E89" s="20">
        <v>500</v>
      </c>
      <c r="F89" s="21">
        <v>2467.0949999999998</v>
      </c>
      <c r="G89" s="22">
        <v>1.1000000000000001E-3</v>
      </c>
      <c r="H89" s="23">
        <v>6.0100000000000001E-2</v>
      </c>
      <c r="I89" s="24"/>
      <c r="J89" s="5"/>
    </row>
    <row r="90" spans="1:10" ht="13.05" customHeight="1">
      <c r="A90" s="18" t="s">
        <v>2319</v>
      </c>
      <c r="B90" s="19" t="s">
        <v>2320</v>
      </c>
      <c r="C90" s="15" t="s">
        <v>2321</v>
      </c>
      <c r="D90" s="15" t="s">
        <v>2312</v>
      </c>
      <c r="E90" s="20">
        <v>500</v>
      </c>
      <c r="F90" s="21">
        <v>2441.7199999999998</v>
      </c>
      <c r="G90" s="22">
        <v>1.1000000000000001E-3</v>
      </c>
      <c r="H90" s="23">
        <v>6.0499999999999998E-2</v>
      </c>
      <c r="I90" s="24"/>
      <c r="J90" s="5"/>
    </row>
    <row r="91" spans="1:10" ht="13.05" customHeight="1">
      <c r="A91" s="18" t="s">
        <v>2325</v>
      </c>
      <c r="B91" s="19" t="s">
        <v>2326</v>
      </c>
      <c r="C91" s="15" t="s">
        <v>2327</v>
      </c>
      <c r="D91" s="15" t="s">
        <v>2312</v>
      </c>
      <c r="E91" s="20">
        <v>100</v>
      </c>
      <c r="F91" s="21">
        <v>494.46800000000002</v>
      </c>
      <c r="G91" s="22">
        <v>2.0000000000000001E-4</v>
      </c>
      <c r="H91" s="23">
        <v>6.0052000000000001E-2</v>
      </c>
      <c r="I91" s="24"/>
      <c r="J91" s="5"/>
    </row>
    <row r="92" spans="1:10" ht="13.05" customHeight="1">
      <c r="A92" s="5"/>
      <c r="B92" s="14" t="s">
        <v>192</v>
      </c>
      <c r="C92" s="15"/>
      <c r="D92" s="15"/>
      <c r="E92" s="15"/>
      <c r="F92" s="25">
        <v>1448452.6915</v>
      </c>
      <c r="G92" s="26">
        <v>0.6351</v>
      </c>
      <c r="H92" s="27"/>
      <c r="I92" s="28"/>
      <c r="J92" s="5"/>
    </row>
    <row r="93" spans="1:10" ht="13.05" customHeight="1">
      <c r="A93" s="5"/>
      <c r="B93" s="14" t="s">
        <v>2770</v>
      </c>
      <c r="C93" s="15"/>
      <c r="D93" s="15"/>
      <c r="E93" s="15"/>
      <c r="F93" s="5"/>
      <c r="G93" s="16"/>
      <c r="H93" s="16"/>
      <c r="I93" s="17"/>
      <c r="J93" s="5"/>
    </row>
    <row r="94" spans="1:10" ht="13.05" customHeight="1">
      <c r="A94" s="18" t="s">
        <v>4487</v>
      </c>
      <c r="B94" s="19" t="s">
        <v>4488</v>
      </c>
      <c r="C94" s="15" t="s">
        <v>4489</v>
      </c>
      <c r="D94" s="15" t="s">
        <v>2312</v>
      </c>
      <c r="E94" s="20">
        <v>9500</v>
      </c>
      <c r="F94" s="21">
        <v>46876.372499999998</v>
      </c>
      <c r="G94" s="22">
        <v>2.06E-2</v>
      </c>
      <c r="H94" s="23">
        <v>6.0699999999999997E-2</v>
      </c>
      <c r="I94" s="24"/>
      <c r="J94" s="5"/>
    </row>
    <row r="95" spans="1:10" ht="13.05" customHeight="1">
      <c r="A95" s="18" t="s">
        <v>4490</v>
      </c>
      <c r="B95" s="19" t="s">
        <v>4491</v>
      </c>
      <c r="C95" s="15" t="s">
        <v>4492</v>
      </c>
      <c r="D95" s="15" t="s">
        <v>2312</v>
      </c>
      <c r="E95" s="20">
        <v>7000</v>
      </c>
      <c r="F95" s="21">
        <v>34325.165000000001</v>
      </c>
      <c r="G95" s="22">
        <v>1.5100000000000001E-2</v>
      </c>
      <c r="H95" s="23">
        <v>6.9001000000000007E-2</v>
      </c>
      <c r="I95" s="24"/>
      <c r="J95" s="5"/>
    </row>
    <row r="96" spans="1:10" ht="13.05" customHeight="1">
      <c r="A96" s="18" t="s">
        <v>4493</v>
      </c>
      <c r="B96" s="19" t="s">
        <v>4494</v>
      </c>
      <c r="C96" s="15" t="s">
        <v>4495</v>
      </c>
      <c r="D96" s="15" t="s">
        <v>2774</v>
      </c>
      <c r="E96" s="20">
        <v>5000</v>
      </c>
      <c r="F96" s="21">
        <v>24464.55</v>
      </c>
      <c r="G96" s="22">
        <v>1.0699999999999999E-2</v>
      </c>
      <c r="H96" s="23">
        <v>6.7700999999999997E-2</v>
      </c>
      <c r="I96" s="24"/>
      <c r="J96" s="5"/>
    </row>
    <row r="97" spans="1:10" ht="13.05" customHeight="1">
      <c r="A97" s="18" t="s">
        <v>4496</v>
      </c>
      <c r="B97" s="19" t="s">
        <v>4497</v>
      </c>
      <c r="C97" s="15" t="s">
        <v>4498</v>
      </c>
      <c r="D97" s="15" t="s">
        <v>2312</v>
      </c>
      <c r="E97" s="20">
        <v>5000</v>
      </c>
      <c r="F97" s="21">
        <v>24422.55</v>
      </c>
      <c r="G97" s="22">
        <v>1.0699999999999999E-2</v>
      </c>
      <c r="H97" s="23">
        <v>6.9598999999999994E-2</v>
      </c>
      <c r="I97" s="24"/>
      <c r="J97" s="5"/>
    </row>
    <row r="98" spans="1:10" ht="13.05" customHeight="1">
      <c r="A98" s="18" t="s">
        <v>4499</v>
      </c>
      <c r="B98" s="19" t="s">
        <v>4500</v>
      </c>
      <c r="C98" s="15" t="s">
        <v>4501</v>
      </c>
      <c r="D98" s="15" t="s">
        <v>2312</v>
      </c>
      <c r="E98" s="20">
        <v>5000</v>
      </c>
      <c r="F98" s="21">
        <v>24346.825000000001</v>
      </c>
      <c r="G98" s="22">
        <v>1.0699999999999999E-2</v>
      </c>
      <c r="H98" s="23">
        <v>7.4749999999999997E-2</v>
      </c>
      <c r="I98" s="24"/>
      <c r="J98" s="5"/>
    </row>
    <row r="99" spans="1:10" ht="13.05" customHeight="1">
      <c r="A99" s="18" t="s">
        <v>4502</v>
      </c>
      <c r="B99" s="19" t="s">
        <v>4503</v>
      </c>
      <c r="C99" s="15" t="s">
        <v>4504</v>
      </c>
      <c r="D99" s="15" t="s">
        <v>2312</v>
      </c>
      <c r="E99" s="20">
        <v>5000</v>
      </c>
      <c r="F99" s="21">
        <v>24113.9</v>
      </c>
      <c r="G99" s="22">
        <v>1.06E-2</v>
      </c>
      <c r="H99" s="23">
        <v>6.7400000000000002E-2</v>
      </c>
      <c r="I99" s="24"/>
      <c r="J99" s="5"/>
    </row>
    <row r="100" spans="1:10" ht="13.05" customHeight="1">
      <c r="A100" s="18" t="s">
        <v>4505</v>
      </c>
      <c r="B100" s="19" t="s">
        <v>4506</v>
      </c>
      <c r="C100" s="15" t="s">
        <v>4507</v>
      </c>
      <c r="D100" s="15" t="s">
        <v>2312</v>
      </c>
      <c r="E100" s="20">
        <v>5000</v>
      </c>
      <c r="F100" s="21">
        <v>23903.95</v>
      </c>
      <c r="G100" s="22">
        <v>1.0500000000000001E-2</v>
      </c>
      <c r="H100" s="23">
        <v>7.5050000000000006E-2</v>
      </c>
      <c r="I100" s="24"/>
      <c r="J100" s="5"/>
    </row>
    <row r="101" spans="1:10" ht="13.05" customHeight="1">
      <c r="A101" s="18" t="s">
        <v>4508</v>
      </c>
      <c r="B101" s="19" t="s">
        <v>4509</v>
      </c>
      <c r="C101" s="15" t="s">
        <v>4510</v>
      </c>
      <c r="D101" s="15" t="s">
        <v>2312</v>
      </c>
      <c r="E101" s="20">
        <v>4000</v>
      </c>
      <c r="F101" s="21">
        <v>19555.46</v>
      </c>
      <c r="G101" s="22">
        <v>8.6E-3</v>
      </c>
      <c r="H101" s="23">
        <v>7.4749999999999997E-2</v>
      </c>
      <c r="I101" s="24"/>
      <c r="J101" s="5"/>
    </row>
    <row r="102" spans="1:10" ht="13.05" customHeight="1">
      <c r="A102" s="18" t="s">
        <v>4511</v>
      </c>
      <c r="B102" s="19" t="s">
        <v>4512</v>
      </c>
      <c r="C102" s="15" t="s">
        <v>4513</v>
      </c>
      <c r="D102" s="15" t="s">
        <v>2312</v>
      </c>
      <c r="E102" s="20">
        <v>3500</v>
      </c>
      <c r="F102" s="21">
        <v>17178.192500000001</v>
      </c>
      <c r="G102" s="22">
        <v>7.4999999999999997E-3</v>
      </c>
      <c r="H102" s="23">
        <v>6.7699999999999996E-2</v>
      </c>
      <c r="I102" s="24"/>
      <c r="J102" s="5"/>
    </row>
    <row r="103" spans="1:10" ht="13.05" customHeight="1">
      <c r="A103" s="18" t="s">
        <v>4514</v>
      </c>
      <c r="B103" s="19" t="s">
        <v>4515</v>
      </c>
      <c r="C103" s="15" t="s">
        <v>4516</v>
      </c>
      <c r="D103" s="15" t="s">
        <v>2312</v>
      </c>
      <c r="E103" s="20">
        <v>3000</v>
      </c>
      <c r="F103" s="21">
        <v>14866.334999999999</v>
      </c>
      <c r="G103" s="22">
        <v>6.4999999999999997E-3</v>
      </c>
      <c r="H103" s="23">
        <v>7.4590000000000004E-2</v>
      </c>
      <c r="I103" s="24"/>
      <c r="J103" s="5"/>
    </row>
    <row r="104" spans="1:10" ht="13.05" customHeight="1">
      <c r="A104" s="18" t="s">
        <v>4517</v>
      </c>
      <c r="B104" s="19" t="s">
        <v>4518</v>
      </c>
      <c r="C104" s="15" t="s">
        <v>4519</v>
      </c>
      <c r="D104" s="15" t="s">
        <v>2312</v>
      </c>
      <c r="E104" s="20">
        <v>3000</v>
      </c>
      <c r="F104" s="21">
        <v>14710.785</v>
      </c>
      <c r="G104" s="22">
        <v>6.4999999999999997E-3</v>
      </c>
      <c r="H104" s="23">
        <v>7.4750999999999998E-2</v>
      </c>
      <c r="I104" s="24"/>
      <c r="J104" s="5"/>
    </row>
    <row r="105" spans="1:10" ht="13.05" customHeight="1">
      <c r="A105" s="18" t="s">
        <v>4520</v>
      </c>
      <c r="B105" s="19" t="s">
        <v>4521</v>
      </c>
      <c r="C105" s="15" t="s">
        <v>4522</v>
      </c>
      <c r="D105" s="15" t="s">
        <v>2312</v>
      </c>
      <c r="E105" s="20">
        <v>3000</v>
      </c>
      <c r="F105" s="21">
        <v>14687.19</v>
      </c>
      <c r="G105" s="22">
        <v>6.4000000000000003E-3</v>
      </c>
      <c r="H105" s="23">
        <v>7.4747999999999995E-2</v>
      </c>
      <c r="I105" s="24"/>
      <c r="J105" s="5"/>
    </row>
    <row r="106" spans="1:10" ht="13.05" customHeight="1">
      <c r="A106" s="18" t="s">
        <v>4523</v>
      </c>
      <c r="B106" s="19" t="s">
        <v>4524</v>
      </c>
      <c r="C106" s="15" t="s">
        <v>4525</v>
      </c>
      <c r="D106" s="15" t="s">
        <v>2774</v>
      </c>
      <c r="E106" s="20">
        <v>3000</v>
      </c>
      <c r="F106" s="21">
        <v>14684.084999999999</v>
      </c>
      <c r="G106" s="22">
        <v>6.4000000000000003E-3</v>
      </c>
      <c r="H106" s="23">
        <v>6.6548999999999997E-2</v>
      </c>
      <c r="I106" s="24"/>
      <c r="J106" s="5"/>
    </row>
    <row r="107" spans="1:10" ht="13.05" customHeight="1">
      <c r="A107" s="18" t="s">
        <v>4526</v>
      </c>
      <c r="B107" s="19" t="s">
        <v>4527</v>
      </c>
      <c r="C107" s="15" t="s">
        <v>4528</v>
      </c>
      <c r="D107" s="15" t="s">
        <v>2312</v>
      </c>
      <c r="E107" s="20">
        <v>3000</v>
      </c>
      <c r="F107" s="21">
        <v>14666.594999999999</v>
      </c>
      <c r="G107" s="22">
        <v>6.4000000000000003E-3</v>
      </c>
      <c r="H107" s="23">
        <v>7.4749999999999997E-2</v>
      </c>
      <c r="I107" s="24"/>
      <c r="J107" s="5"/>
    </row>
    <row r="108" spans="1:10" ht="13.05" customHeight="1">
      <c r="A108" s="18" t="s">
        <v>4529</v>
      </c>
      <c r="B108" s="19" t="s">
        <v>4530</v>
      </c>
      <c r="C108" s="15" t="s">
        <v>4531</v>
      </c>
      <c r="D108" s="15" t="s">
        <v>2312</v>
      </c>
      <c r="E108" s="20">
        <v>3000</v>
      </c>
      <c r="F108" s="21">
        <v>14356.74</v>
      </c>
      <c r="G108" s="22">
        <v>6.3E-3</v>
      </c>
      <c r="H108" s="23">
        <v>7.825E-2</v>
      </c>
      <c r="I108" s="24"/>
      <c r="J108" s="5"/>
    </row>
    <row r="109" spans="1:10" ht="13.05" customHeight="1">
      <c r="A109" s="18" t="s">
        <v>4532</v>
      </c>
      <c r="B109" s="19" t="s">
        <v>4533</v>
      </c>
      <c r="C109" s="15" t="s">
        <v>4534</v>
      </c>
      <c r="D109" s="15" t="s">
        <v>2312</v>
      </c>
      <c r="E109" s="20">
        <v>2500</v>
      </c>
      <c r="F109" s="21">
        <v>12243.1625</v>
      </c>
      <c r="G109" s="22">
        <v>5.4000000000000003E-3</v>
      </c>
      <c r="H109" s="23">
        <v>7.0900000000000005E-2</v>
      </c>
      <c r="I109" s="24"/>
      <c r="J109" s="5"/>
    </row>
    <row r="110" spans="1:10" ht="13.05" customHeight="1">
      <c r="A110" s="18" t="s">
        <v>4535</v>
      </c>
      <c r="B110" s="19" t="s">
        <v>4536</v>
      </c>
      <c r="C110" s="15" t="s">
        <v>4537</v>
      </c>
      <c r="D110" s="15" t="s">
        <v>2312</v>
      </c>
      <c r="E110" s="20">
        <v>2000</v>
      </c>
      <c r="F110" s="21">
        <v>9846.84</v>
      </c>
      <c r="G110" s="22">
        <v>4.3E-3</v>
      </c>
      <c r="H110" s="23">
        <v>6.8401000000000003E-2</v>
      </c>
      <c r="I110" s="24"/>
      <c r="J110" s="5"/>
    </row>
    <row r="111" spans="1:10" ht="13.05" customHeight="1">
      <c r="A111" s="18" t="s">
        <v>4538</v>
      </c>
      <c r="B111" s="19" t="s">
        <v>4539</v>
      </c>
      <c r="C111" s="15" t="s">
        <v>4540</v>
      </c>
      <c r="D111" s="15" t="s">
        <v>2312</v>
      </c>
      <c r="E111" s="20">
        <v>2000</v>
      </c>
      <c r="F111" s="21">
        <v>9839.9</v>
      </c>
      <c r="G111" s="22">
        <v>4.3E-3</v>
      </c>
      <c r="H111" s="23">
        <v>7.1551000000000003E-2</v>
      </c>
      <c r="I111" s="24"/>
      <c r="J111" s="5"/>
    </row>
    <row r="112" spans="1:10" ht="13.05" customHeight="1">
      <c r="A112" s="18" t="s">
        <v>4541</v>
      </c>
      <c r="B112" s="19" t="s">
        <v>4542</v>
      </c>
      <c r="C112" s="15" t="s">
        <v>4543</v>
      </c>
      <c r="D112" s="15" t="s">
        <v>2312</v>
      </c>
      <c r="E112" s="20">
        <v>2000</v>
      </c>
      <c r="F112" s="21">
        <v>9780.8700000000008</v>
      </c>
      <c r="G112" s="22">
        <v>4.3E-3</v>
      </c>
      <c r="H112" s="23">
        <v>6.93E-2</v>
      </c>
      <c r="I112" s="24"/>
      <c r="J112" s="5"/>
    </row>
    <row r="113" spans="1:10" ht="13.05" customHeight="1">
      <c r="A113" s="18" t="s">
        <v>4544</v>
      </c>
      <c r="B113" s="19" t="s">
        <v>4545</v>
      </c>
      <c r="C113" s="15" t="s">
        <v>4546</v>
      </c>
      <c r="D113" s="15" t="s">
        <v>2774</v>
      </c>
      <c r="E113" s="20">
        <v>2000</v>
      </c>
      <c r="F113" s="21">
        <v>9759.11</v>
      </c>
      <c r="G113" s="22">
        <v>4.3E-3</v>
      </c>
      <c r="H113" s="23">
        <v>7.2076000000000001E-2</v>
      </c>
      <c r="I113" s="24"/>
      <c r="J113" s="5"/>
    </row>
    <row r="114" spans="1:10" ht="13.05" customHeight="1">
      <c r="A114" s="18" t="s">
        <v>4547</v>
      </c>
      <c r="B114" s="19" t="s">
        <v>4548</v>
      </c>
      <c r="C114" s="15" t="s">
        <v>4549</v>
      </c>
      <c r="D114" s="15" t="s">
        <v>2312</v>
      </c>
      <c r="E114" s="20">
        <v>2000</v>
      </c>
      <c r="F114" s="21">
        <v>9755.27</v>
      </c>
      <c r="G114" s="22">
        <v>4.3E-3</v>
      </c>
      <c r="H114" s="23">
        <v>7.7601000000000003E-2</v>
      </c>
      <c r="I114" s="24"/>
      <c r="J114" s="5"/>
    </row>
    <row r="115" spans="1:10" ht="13.05" customHeight="1">
      <c r="A115" s="18" t="s">
        <v>4550</v>
      </c>
      <c r="B115" s="19" t="s">
        <v>4551</v>
      </c>
      <c r="C115" s="15" t="s">
        <v>4552</v>
      </c>
      <c r="D115" s="15" t="s">
        <v>3478</v>
      </c>
      <c r="E115" s="20">
        <v>2000</v>
      </c>
      <c r="F115" s="21">
        <v>9657.7999999999993</v>
      </c>
      <c r="G115" s="22">
        <v>4.1999999999999997E-3</v>
      </c>
      <c r="H115" s="23">
        <v>7.1848999999999996E-2</v>
      </c>
      <c r="I115" s="24"/>
      <c r="J115" s="5"/>
    </row>
    <row r="116" spans="1:10" ht="13.05" customHeight="1">
      <c r="A116" s="18" t="s">
        <v>4553</v>
      </c>
      <c r="B116" s="19" t="s">
        <v>4554</v>
      </c>
      <c r="C116" s="15" t="s">
        <v>4555</v>
      </c>
      <c r="D116" s="15" t="s">
        <v>2312</v>
      </c>
      <c r="E116" s="20">
        <v>2000</v>
      </c>
      <c r="F116" s="21">
        <v>9651.94</v>
      </c>
      <c r="G116" s="22">
        <v>4.1999999999999997E-3</v>
      </c>
      <c r="H116" s="23">
        <v>6.7500000000000004E-2</v>
      </c>
      <c r="I116" s="24"/>
      <c r="J116" s="5"/>
    </row>
    <row r="117" spans="1:10" ht="13.05" customHeight="1">
      <c r="A117" s="18" t="s">
        <v>4556</v>
      </c>
      <c r="B117" s="19" t="s">
        <v>4557</v>
      </c>
      <c r="C117" s="15" t="s">
        <v>4558</v>
      </c>
      <c r="D117" s="15" t="s">
        <v>2312</v>
      </c>
      <c r="E117" s="20">
        <v>2000</v>
      </c>
      <c r="F117" s="21">
        <v>9585.66</v>
      </c>
      <c r="G117" s="22">
        <v>4.1999999999999997E-3</v>
      </c>
      <c r="H117" s="23">
        <v>7.0749000000000006E-2</v>
      </c>
      <c r="I117" s="24"/>
      <c r="J117" s="5"/>
    </row>
    <row r="118" spans="1:10" ht="13.05" customHeight="1">
      <c r="A118" s="18" t="s">
        <v>4559</v>
      </c>
      <c r="B118" s="19" t="s">
        <v>4560</v>
      </c>
      <c r="C118" s="15" t="s">
        <v>4561</v>
      </c>
      <c r="D118" s="15" t="s">
        <v>2774</v>
      </c>
      <c r="E118" s="20">
        <v>2000</v>
      </c>
      <c r="F118" s="21">
        <v>9565.77</v>
      </c>
      <c r="G118" s="22">
        <v>4.1999999999999997E-3</v>
      </c>
      <c r="H118" s="23">
        <v>7.4300000000000005E-2</v>
      </c>
      <c r="I118" s="24"/>
      <c r="J118" s="5"/>
    </row>
    <row r="119" spans="1:10" ht="13.05" customHeight="1">
      <c r="A119" s="18" t="s">
        <v>4562</v>
      </c>
      <c r="B119" s="19" t="s">
        <v>4563</v>
      </c>
      <c r="C119" s="15" t="s">
        <v>4564</v>
      </c>
      <c r="D119" s="15" t="s">
        <v>2312</v>
      </c>
      <c r="E119" s="20">
        <v>1500</v>
      </c>
      <c r="F119" s="21">
        <v>7365.1724999999997</v>
      </c>
      <c r="G119" s="22">
        <v>3.2000000000000002E-3</v>
      </c>
      <c r="H119" s="23">
        <v>6.9600999999999996E-2</v>
      </c>
      <c r="I119" s="24"/>
      <c r="J119" s="5"/>
    </row>
    <row r="120" spans="1:10" ht="13.05" customHeight="1">
      <c r="A120" s="18" t="s">
        <v>4565</v>
      </c>
      <c r="B120" s="19" t="s">
        <v>4566</v>
      </c>
      <c r="C120" s="15" t="s">
        <v>4567</v>
      </c>
      <c r="D120" s="15" t="s">
        <v>2312</v>
      </c>
      <c r="E120" s="20">
        <v>1500</v>
      </c>
      <c r="F120" s="21">
        <v>7363.8</v>
      </c>
      <c r="G120" s="22">
        <v>3.2000000000000002E-3</v>
      </c>
      <c r="H120" s="23">
        <v>6.9599999999999995E-2</v>
      </c>
      <c r="I120" s="24"/>
      <c r="J120" s="5"/>
    </row>
    <row r="121" spans="1:10" ht="13.05" customHeight="1">
      <c r="A121" s="18" t="s">
        <v>4568</v>
      </c>
      <c r="B121" s="19" t="s">
        <v>4569</v>
      </c>
      <c r="C121" s="15" t="s">
        <v>4570</v>
      </c>
      <c r="D121" s="15" t="s">
        <v>2312</v>
      </c>
      <c r="E121" s="20">
        <v>1500</v>
      </c>
      <c r="F121" s="21">
        <v>7363.32</v>
      </c>
      <c r="G121" s="22">
        <v>3.2000000000000002E-3</v>
      </c>
      <c r="H121" s="23">
        <v>6.9849999999999995E-2</v>
      </c>
      <c r="I121" s="24"/>
      <c r="J121" s="5"/>
    </row>
    <row r="122" spans="1:10" ht="13.05" customHeight="1">
      <c r="A122" s="18" t="s">
        <v>4571</v>
      </c>
      <c r="B122" s="19" t="s">
        <v>4572</v>
      </c>
      <c r="C122" s="15" t="s">
        <v>4573</v>
      </c>
      <c r="D122" s="15" t="s">
        <v>2312</v>
      </c>
      <c r="E122" s="20">
        <v>1500</v>
      </c>
      <c r="F122" s="21">
        <v>7350.39</v>
      </c>
      <c r="G122" s="22">
        <v>3.2000000000000002E-3</v>
      </c>
      <c r="H122" s="23">
        <v>6.1400000000000003E-2</v>
      </c>
      <c r="I122" s="24"/>
      <c r="J122" s="5"/>
    </row>
    <row r="123" spans="1:10" ht="13.05" customHeight="1">
      <c r="A123" s="18" t="s">
        <v>4574</v>
      </c>
      <c r="B123" s="19" t="s">
        <v>4575</v>
      </c>
      <c r="C123" s="15" t="s">
        <v>4576</v>
      </c>
      <c r="D123" s="15" t="s">
        <v>2312</v>
      </c>
      <c r="E123" s="20">
        <v>1500</v>
      </c>
      <c r="F123" s="21">
        <v>7349.0924999999997</v>
      </c>
      <c r="G123" s="22">
        <v>3.2000000000000002E-3</v>
      </c>
      <c r="H123" s="23">
        <v>6.9400000000000003E-2</v>
      </c>
      <c r="I123" s="24"/>
      <c r="J123" s="5"/>
    </row>
    <row r="124" spans="1:10" ht="13.05" customHeight="1">
      <c r="A124" s="18" t="s">
        <v>4577</v>
      </c>
      <c r="B124" s="19" t="s">
        <v>4578</v>
      </c>
      <c r="C124" s="15" t="s">
        <v>4579</v>
      </c>
      <c r="D124" s="15" t="s">
        <v>2312</v>
      </c>
      <c r="E124" s="20">
        <v>1500</v>
      </c>
      <c r="F124" s="21">
        <v>7209.1875</v>
      </c>
      <c r="G124" s="22">
        <v>3.2000000000000002E-3</v>
      </c>
      <c r="H124" s="23">
        <v>7.0449999999999999E-2</v>
      </c>
      <c r="I124" s="24"/>
      <c r="J124" s="5"/>
    </row>
    <row r="125" spans="1:10" ht="13.05" customHeight="1">
      <c r="A125" s="18" t="s">
        <v>4580</v>
      </c>
      <c r="B125" s="19" t="s">
        <v>4581</v>
      </c>
      <c r="C125" s="15" t="s">
        <v>4582</v>
      </c>
      <c r="D125" s="15" t="s">
        <v>2312</v>
      </c>
      <c r="E125" s="20">
        <v>1500</v>
      </c>
      <c r="F125" s="21">
        <v>7199.835</v>
      </c>
      <c r="G125" s="22">
        <v>3.2000000000000002E-3</v>
      </c>
      <c r="H125" s="23">
        <v>7.0449999999999999E-2</v>
      </c>
      <c r="I125" s="24"/>
      <c r="J125" s="5"/>
    </row>
    <row r="126" spans="1:10" ht="13.05" customHeight="1">
      <c r="A126" s="18" t="s">
        <v>4583</v>
      </c>
      <c r="B126" s="19" t="s">
        <v>4584</v>
      </c>
      <c r="C126" s="15" t="s">
        <v>4585</v>
      </c>
      <c r="D126" s="15" t="s">
        <v>2312</v>
      </c>
      <c r="E126" s="20">
        <v>1000</v>
      </c>
      <c r="F126" s="21">
        <v>4890.2849999999999</v>
      </c>
      <c r="G126" s="22">
        <v>2.0999999999999999E-3</v>
      </c>
      <c r="H126" s="23">
        <v>6.9399000000000002E-2</v>
      </c>
      <c r="I126" s="24"/>
      <c r="J126" s="5"/>
    </row>
    <row r="127" spans="1:10" ht="13.05" customHeight="1">
      <c r="A127" s="18" t="s">
        <v>4586</v>
      </c>
      <c r="B127" s="19" t="s">
        <v>4587</v>
      </c>
      <c r="C127" s="15" t="s">
        <v>4588</v>
      </c>
      <c r="D127" s="15" t="s">
        <v>2312</v>
      </c>
      <c r="E127" s="20">
        <v>500</v>
      </c>
      <c r="F127" s="21">
        <v>2449.9650000000001</v>
      </c>
      <c r="G127" s="22">
        <v>1.1000000000000001E-3</v>
      </c>
      <c r="H127" s="23">
        <v>6.1101000000000003E-2</v>
      </c>
      <c r="I127" s="24"/>
      <c r="J127" s="5"/>
    </row>
    <row r="128" spans="1:10" ht="13.05" customHeight="1">
      <c r="A128" s="18" t="s">
        <v>4589</v>
      </c>
      <c r="B128" s="19" t="s">
        <v>4590</v>
      </c>
      <c r="C128" s="15" t="s">
        <v>4591</v>
      </c>
      <c r="D128" s="15" t="s">
        <v>2312</v>
      </c>
      <c r="E128" s="20">
        <v>500</v>
      </c>
      <c r="F128" s="21">
        <v>2442.415</v>
      </c>
      <c r="G128" s="22">
        <v>1.1000000000000001E-3</v>
      </c>
      <c r="H128" s="23">
        <v>6.9400000000000003E-2</v>
      </c>
      <c r="I128" s="24"/>
      <c r="J128" s="5"/>
    </row>
    <row r="129" spans="1:10" ht="13.05" customHeight="1">
      <c r="A129" s="18" t="s">
        <v>4592</v>
      </c>
      <c r="B129" s="19" t="s">
        <v>4593</v>
      </c>
      <c r="C129" s="15" t="s">
        <v>4594</v>
      </c>
      <c r="D129" s="15" t="s">
        <v>2312</v>
      </c>
      <c r="E129" s="20">
        <v>500</v>
      </c>
      <c r="F129" s="21">
        <v>2442.1999999999998</v>
      </c>
      <c r="G129" s="22">
        <v>1.1000000000000001E-3</v>
      </c>
      <c r="H129" s="23">
        <v>6.6449999999999995E-2</v>
      </c>
      <c r="I129" s="24"/>
      <c r="J129" s="5"/>
    </row>
    <row r="130" spans="1:10" ht="13.05" customHeight="1">
      <c r="A130" s="18" t="s">
        <v>4595</v>
      </c>
      <c r="B130" s="19" t="s">
        <v>4596</v>
      </c>
      <c r="C130" s="15" t="s">
        <v>4597</v>
      </c>
      <c r="D130" s="15" t="s">
        <v>2312</v>
      </c>
      <c r="E130" s="20">
        <v>500</v>
      </c>
      <c r="F130" s="21">
        <v>2438.62</v>
      </c>
      <c r="G130" s="22">
        <v>1.1000000000000001E-3</v>
      </c>
      <c r="H130" s="23">
        <v>6.9599999999999995E-2</v>
      </c>
      <c r="I130" s="24"/>
      <c r="J130" s="5"/>
    </row>
    <row r="131" spans="1:10" ht="13.05" customHeight="1">
      <c r="A131" s="5"/>
      <c r="B131" s="14" t="s">
        <v>192</v>
      </c>
      <c r="C131" s="15"/>
      <c r="D131" s="15"/>
      <c r="E131" s="15"/>
      <c r="F131" s="25">
        <v>492709.3</v>
      </c>
      <c r="G131" s="26">
        <v>0.216</v>
      </c>
      <c r="H131" s="27"/>
      <c r="I131" s="28"/>
      <c r="J131" s="5"/>
    </row>
    <row r="132" spans="1:10" ht="13.05" customHeight="1">
      <c r="A132" s="5"/>
      <c r="B132" s="14" t="s">
        <v>1867</v>
      </c>
      <c r="C132" s="15"/>
      <c r="D132" s="15"/>
      <c r="E132" s="15"/>
      <c r="F132" s="5"/>
      <c r="G132" s="16"/>
      <c r="H132" s="16"/>
      <c r="I132" s="17"/>
      <c r="J132" s="5"/>
    </row>
    <row r="133" spans="1:10" ht="13.05" customHeight="1">
      <c r="A133" s="18" t="s">
        <v>3678</v>
      </c>
      <c r="B133" s="19" t="s">
        <v>3679</v>
      </c>
      <c r="C133" s="15" t="s">
        <v>3680</v>
      </c>
      <c r="D133" s="15" t="s">
        <v>188</v>
      </c>
      <c r="E133" s="20">
        <v>56500000</v>
      </c>
      <c r="F133" s="21">
        <v>54986.873500000002</v>
      </c>
      <c r="G133" s="22">
        <v>2.41E-2</v>
      </c>
      <c r="H133" s="23">
        <v>5.5800000000000002E-2</v>
      </c>
      <c r="I133" s="24"/>
      <c r="J133" s="5"/>
    </row>
    <row r="134" spans="1:10" ht="13.05" customHeight="1">
      <c r="A134" s="18" t="s">
        <v>4598</v>
      </c>
      <c r="B134" s="19" t="s">
        <v>4599</v>
      </c>
      <c r="C134" s="15" t="s">
        <v>4600</v>
      </c>
      <c r="D134" s="15" t="s">
        <v>188</v>
      </c>
      <c r="E134" s="20">
        <v>55000000</v>
      </c>
      <c r="F134" s="21">
        <v>52120.53</v>
      </c>
      <c r="G134" s="22">
        <v>2.29E-2</v>
      </c>
      <c r="H134" s="23">
        <v>5.5703999999999997E-2</v>
      </c>
      <c r="I134" s="24"/>
      <c r="J134" s="5"/>
    </row>
    <row r="135" spans="1:10" ht="13.05" customHeight="1">
      <c r="A135" s="18" t="s">
        <v>4601</v>
      </c>
      <c r="B135" s="19" t="s">
        <v>4602</v>
      </c>
      <c r="C135" s="15" t="s">
        <v>4603</v>
      </c>
      <c r="D135" s="15" t="s">
        <v>188</v>
      </c>
      <c r="E135" s="20">
        <v>40000000</v>
      </c>
      <c r="F135" s="21">
        <v>37982</v>
      </c>
      <c r="G135" s="22">
        <v>1.67E-2</v>
      </c>
      <c r="H135" s="23">
        <v>5.5725999999999998E-2</v>
      </c>
      <c r="I135" s="24"/>
      <c r="J135" s="5"/>
    </row>
    <row r="136" spans="1:10" ht="13.05" customHeight="1">
      <c r="A136" s="18" t="s">
        <v>4604</v>
      </c>
      <c r="B136" s="19" t="s">
        <v>4605</v>
      </c>
      <c r="C136" s="15" t="s">
        <v>4606</v>
      </c>
      <c r="D136" s="15" t="s">
        <v>188</v>
      </c>
      <c r="E136" s="20">
        <v>30000000</v>
      </c>
      <c r="F136" s="21">
        <v>29574.959999999999</v>
      </c>
      <c r="G136" s="22">
        <v>1.2999999999999999E-2</v>
      </c>
      <c r="H136" s="23">
        <v>5.4642000000000003E-2</v>
      </c>
      <c r="I136" s="24"/>
      <c r="J136" s="5"/>
    </row>
    <row r="137" spans="1:10" ht="13.05" customHeight="1">
      <c r="A137" s="18" t="s">
        <v>4607</v>
      </c>
      <c r="B137" s="19" t="s">
        <v>4608</v>
      </c>
      <c r="C137" s="15" t="s">
        <v>4609</v>
      </c>
      <c r="D137" s="15" t="s">
        <v>188</v>
      </c>
      <c r="E137" s="20">
        <v>20000000</v>
      </c>
      <c r="F137" s="21">
        <v>19651.580000000002</v>
      </c>
      <c r="G137" s="22">
        <v>8.6E-3</v>
      </c>
      <c r="H137" s="23">
        <v>5.4842000000000002E-2</v>
      </c>
      <c r="I137" s="24"/>
      <c r="J137" s="5"/>
    </row>
    <row r="138" spans="1:10" ht="13.05" customHeight="1">
      <c r="A138" s="18" t="s">
        <v>4610</v>
      </c>
      <c r="B138" s="19" t="s">
        <v>4611</v>
      </c>
      <c r="C138" s="15" t="s">
        <v>4612</v>
      </c>
      <c r="D138" s="15" t="s">
        <v>188</v>
      </c>
      <c r="E138" s="20">
        <v>10000000</v>
      </c>
      <c r="F138" s="21">
        <v>9869.09</v>
      </c>
      <c r="G138" s="22">
        <v>4.3E-3</v>
      </c>
      <c r="H138" s="23">
        <v>5.4399999999999997E-2</v>
      </c>
      <c r="I138" s="24"/>
      <c r="J138" s="5"/>
    </row>
    <row r="139" spans="1:10" ht="13.05" customHeight="1">
      <c r="A139" s="18" t="s">
        <v>4613</v>
      </c>
      <c r="B139" s="19" t="s">
        <v>4614</v>
      </c>
      <c r="C139" s="15" t="s">
        <v>4615</v>
      </c>
      <c r="D139" s="15" t="s">
        <v>188</v>
      </c>
      <c r="E139" s="20">
        <v>10000000</v>
      </c>
      <c r="F139" s="21">
        <v>9483.98</v>
      </c>
      <c r="G139" s="22">
        <v>4.1999999999999997E-3</v>
      </c>
      <c r="H139" s="23">
        <v>5.5786000000000002E-2</v>
      </c>
      <c r="I139" s="24"/>
      <c r="J139" s="5"/>
    </row>
    <row r="140" spans="1:10" ht="13.05" customHeight="1">
      <c r="A140" s="18" t="s">
        <v>4616</v>
      </c>
      <c r="B140" s="19" t="s">
        <v>4617</v>
      </c>
      <c r="C140" s="15" t="s">
        <v>4618</v>
      </c>
      <c r="D140" s="15" t="s">
        <v>188</v>
      </c>
      <c r="E140" s="20">
        <v>6500000</v>
      </c>
      <c r="F140" s="21">
        <v>6435.143</v>
      </c>
      <c r="G140" s="22">
        <v>2.8E-3</v>
      </c>
      <c r="H140" s="23">
        <v>5.4100000000000002E-2</v>
      </c>
      <c r="I140" s="24"/>
      <c r="J140" s="5"/>
    </row>
    <row r="141" spans="1:10" ht="13.05" customHeight="1">
      <c r="A141" s="18" t="s">
        <v>4619</v>
      </c>
      <c r="B141" s="19" t="s">
        <v>4620</v>
      </c>
      <c r="C141" s="15" t="s">
        <v>4621</v>
      </c>
      <c r="D141" s="15" t="s">
        <v>188</v>
      </c>
      <c r="E141" s="20">
        <v>1000000</v>
      </c>
      <c r="F141" s="21">
        <v>985.83199999999999</v>
      </c>
      <c r="G141" s="22">
        <v>4.0000000000000002E-4</v>
      </c>
      <c r="H141" s="23">
        <v>5.4642000000000003E-2</v>
      </c>
      <c r="I141" s="24"/>
      <c r="J141" s="5"/>
    </row>
    <row r="142" spans="1:10" ht="13.05" customHeight="1">
      <c r="A142" s="5"/>
      <c r="B142" s="14" t="s">
        <v>192</v>
      </c>
      <c r="C142" s="15"/>
      <c r="D142" s="15"/>
      <c r="E142" s="15"/>
      <c r="F142" s="25">
        <v>221089.98850000001</v>
      </c>
      <c r="G142" s="26">
        <v>9.69E-2</v>
      </c>
      <c r="H142" s="27"/>
      <c r="I142" s="28"/>
      <c r="J142" s="5"/>
    </row>
    <row r="143" spans="1:10" ht="13.05" customHeight="1">
      <c r="A143" s="5"/>
      <c r="B143" s="29" t="s">
        <v>195</v>
      </c>
      <c r="C143" s="30"/>
      <c r="D143" s="2"/>
      <c r="E143" s="30"/>
      <c r="F143" s="25">
        <v>2162251.98</v>
      </c>
      <c r="G143" s="26">
        <v>0.94810000000000005</v>
      </c>
      <c r="H143" s="27"/>
      <c r="I143" s="28"/>
      <c r="J143" s="5"/>
    </row>
    <row r="144" spans="1:10" ht="13.05" customHeight="1">
      <c r="A144" s="5"/>
      <c r="B144" s="14" t="s">
        <v>1818</v>
      </c>
      <c r="C144" s="15"/>
      <c r="D144" s="15"/>
      <c r="E144" s="15"/>
      <c r="F144" s="15"/>
      <c r="G144" s="15"/>
      <c r="H144" s="16"/>
      <c r="I144" s="17"/>
      <c r="J144" s="5"/>
    </row>
    <row r="145" spans="1:10" ht="13.05" customHeight="1">
      <c r="A145" s="5"/>
      <c r="B145" s="14" t="s">
        <v>2332</v>
      </c>
      <c r="C145" s="15"/>
      <c r="D145" s="15"/>
      <c r="E145" s="15"/>
      <c r="F145" s="5"/>
      <c r="G145" s="16"/>
      <c r="H145" s="16"/>
      <c r="I145" s="17"/>
      <c r="J145" s="5"/>
    </row>
    <row r="146" spans="1:10" ht="13.05" customHeight="1">
      <c r="A146" s="18" t="s">
        <v>2333</v>
      </c>
      <c r="B146" s="19" t="s">
        <v>2334</v>
      </c>
      <c r="C146" s="15" t="s">
        <v>2335</v>
      </c>
      <c r="D146" s="15"/>
      <c r="E146" s="20">
        <v>45211.735999999997</v>
      </c>
      <c r="F146" s="21">
        <v>5172.6100999999999</v>
      </c>
      <c r="G146" s="22">
        <v>2.3E-3</v>
      </c>
      <c r="H146" s="23"/>
      <c r="I146" s="24"/>
      <c r="J146" s="5"/>
    </row>
    <row r="147" spans="1:10" ht="13.05" customHeight="1">
      <c r="A147" s="5"/>
      <c r="B147" s="14" t="s">
        <v>192</v>
      </c>
      <c r="C147" s="15"/>
      <c r="D147" s="15"/>
      <c r="E147" s="15"/>
      <c r="F147" s="25">
        <v>5172.6100999999999</v>
      </c>
      <c r="G147" s="26">
        <v>2.3E-3</v>
      </c>
      <c r="H147" s="27"/>
      <c r="I147" s="28"/>
      <c r="J147" s="5"/>
    </row>
    <row r="148" spans="1:10" ht="13.05" customHeight="1">
      <c r="A148" s="5"/>
      <c r="B148" s="29" t="s">
        <v>195</v>
      </c>
      <c r="C148" s="30"/>
      <c r="D148" s="2"/>
      <c r="E148" s="30"/>
      <c r="F148" s="25">
        <v>5172.6100999999999</v>
      </c>
      <c r="G148" s="26">
        <v>2.3E-3</v>
      </c>
      <c r="H148" s="27"/>
      <c r="I148" s="28"/>
      <c r="J148" s="5"/>
    </row>
    <row r="149" spans="1:10" ht="13.05" customHeight="1">
      <c r="A149" s="5"/>
      <c r="B149" s="14" t="s">
        <v>196</v>
      </c>
      <c r="C149" s="15"/>
      <c r="D149" s="15"/>
      <c r="E149" s="15"/>
      <c r="F149" s="15"/>
      <c r="G149" s="15"/>
      <c r="H149" s="16"/>
      <c r="I149" s="17"/>
      <c r="J149" s="5"/>
    </row>
    <row r="150" spans="1:10" ht="13.05" customHeight="1">
      <c r="A150" s="18" t="s">
        <v>4622</v>
      </c>
      <c r="B150" s="19" t="s">
        <v>198</v>
      </c>
      <c r="C150" s="15"/>
      <c r="D150" s="15"/>
      <c r="E150" s="20"/>
      <c r="F150" s="21">
        <v>43399.9084</v>
      </c>
      <c r="G150" s="22">
        <v>1.9E-2</v>
      </c>
      <c r="H150" s="23">
        <v>5.6500000000000002E-2</v>
      </c>
      <c r="I150" s="24"/>
      <c r="J150" s="5"/>
    </row>
    <row r="151" spans="1:10" ht="13.05" customHeight="1">
      <c r="A151" s="18" t="s">
        <v>4623</v>
      </c>
      <c r="B151" s="19" t="s">
        <v>198</v>
      </c>
      <c r="C151" s="15"/>
      <c r="D151" s="15"/>
      <c r="E151" s="20"/>
      <c r="F151" s="21">
        <v>27799.732400000001</v>
      </c>
      <c r="G151" s="22">
        <v>1.2200000000000001E-2</v>
      </c>
      <c r="H151" s="23">
        <v>5.6899999999999999E-2</v>
      </c>
      <c r="I151" s="24"/>
      <c r="J151" s="5"/>
    </row>
    <row r="152" spans="1:10" ht="13.05" customHeight="1">
      <c r="A152" s="18" t="s">
        <v>197</v>
      </c>
      <c r="B152" s="19" t="s">
        <v>198</v>
      </c>
      <c r="C152" s="15"/>
      <c r="D152" s="15"/>
      <c r="E152" s="20"/>
      <c r="F152" s="21">
        <v>17531.031599999998</v>
      </c>
      <c r="G152" s="22">
        <v>7.7000000000000002E-3</v>
      </c>
      <c r="H152" s="23">
        <v>5.5573615184383571E-2</v>
      </c>
      <c r="I152" s="24"/>
      <c r="J152" s="5"/>
    </row>
    <row r="153" spans="1:10" ht="13.05" customHeight="1">
      <c r="A153" s="5"/>
      <c r="B153" s="14" t="s">
        <v>192</v>
      </c>
      <c r="C153" s="15"/>
      <c r="D153" s="15"/>
      <c r="E153" s="15"/>
      <c r="F153" s="25">
        <v>88730.672300000006</v>
      </c>
      <c r="G153" s="26">
        <v>3.8899999999999997E-2</v>
      </c>
      <c r="H153" s="27"/>
      <c r="I153" s="28"/>
      <c r="J153" s="5"/>
    </row>
    <row r="154" spans="1:10" ht="13.05" customHeight="1">
      <c r="A154" s="5"/>
      <c r="B154" s="29" t="s">
        <v>193</v>
      </c>
      <c r="C154" s="2"/>
      <c r="D154" s="2"/>
      <c r="E154" s="2"/>
      <c r="F154" s="27" t="s">
        <v>194</v>
      </c>
      <c r="G154" s="27" t="s">
        <v>194</v>
      </c>
      <c r="H154" s="27"/>
      <c r="I154" s="28"/>
      <c r="J154" s="5"/>
    </row>
    <row r="155" spans="1:10" ht="13.05" customHeight="1">
      <c r="A155" s="5"/>
      <c r="B155" s="29" t="s">
        <v>192</v>
      </c>
      <c r="C155" s="2"/>
      <c r="D155" s="2"/>
      <c r="E155" s="2"/>
      <c r="F155" s="27" t="s">
        <v>194</v>
      </c>
      <c r="G155" s="27" t="s">
        <v>194</v>
      </c>
      <c r="H155" s="27"/>
      <c r="I155" s="28"/>
      <c r="J155" s="5"/>
    </row>
    <row r="156" spans="1:10" ht="13.05" customHeight="1">
      <c r="A156" s="5"/>
      <c r="B156" s="29" t="s">
        <v>195</v>
      </c>
      <c r="C156" s="30"/>
      <c r="D156" s="2"/>
      <c r="E156" s="30"/>
      <c r="F156" s="25">
        <v>88730.672300000006</v>
      </c>
      <c r="G156" s="26">
        <v>3.8899999999999997E-2</v>
      </c>
      <c r="H156" s="27"/>
      <c r="I156" s="28"/>
      <c r="J156" s="5"/>
    </row>
    <row r="157" spans="1:10" ht="13.05" customHeight="1">
      <c r="A157" s="5"/>
      <c r="B157" s="29" t="s">
        <v>199</v>
      </c>
      <c r="C157" s="15"/>
      <c r="D157" s="2"/>
      <c r="E157" s="15"/>
      <c r="F157" s="31">
        <v>-32125.154200000001</v>
      </c>
      <c r="G157" s="26">
        <v>-1.41E-2</v>
      </c>
      <c r="H157" s="27"/>
      <c r="I157" s="28"/>
      <c r="J157" s="5"/>
    </row>
    <row r="158" spans="1:10" ht="13.05" customHeight="1">
      <c r="A158" s="5"/>
      <c r="B158" s="32" t="s">
        <v>200</v>
      </c>
      <c r="C158" s="33"/>
      <c r="D158" s="33"/>
      <c r="E158" s="33"/>
      <c r="F158" s="34">
        <v>2280612.63</v>
      </c>
      <c r="G158" s="35">
        <v>1</v>
      </c>
      <c r="H158" s="36"/>
      <c r="I158" s="37"/>
      <c r="J158" s="5"/>
    </row>
    <row r="159" spans="1:10" ht="13.05" customHeight="1">
      <c r="A159" s="5"/>
      <c r="B159" s="7"/>
      <c r="C159" s="5"/>
      <c r="D159" s="5"/>
      <c r="E159" s="5"/>
      <c r="F159" s="5"/>
      <c r="G159" s="5"/>
      <c r="H159" s="5"/>
      <c r="I159" s="5"/>
      <c r="J159" s="5"/>
    </row>
    <row r="160" spans="1:10" ht="13.05" customHeight="1">
      <c r="A160" s="5"/>
      <c r="B160" s="4" t="s">
        <v>250</v>
      </c>
      <c r="C160" s="5"/>
      <c r="D160" s="5"/>
      <c r="E160" s="5"/>
      <c r="F160" s="5"/>
      <c r="G160" s="5"/>
      <c r="H160" s="5"/>
      <c r="I160" s="5"/>
      <c r="J160" s="5"/>
    </row>
    <row r="161" spans="1:10" ht="13.05" customHeight="1">
      <c r="A161" s="5"/>
      <c r="B161" s="4" t="s">
        <v>1816</v>
      </c>
      <c r="C161" s="5"/>
      <c r="D161" s="5"/>
      <c r="E161" s="5"/>
      <c r="F161" s="5"/>
      <c r="G161" s="5"/>
      <c r="H161" s="5"/>
      <c r="I161" s="5"/>
      <c r="J161" s="5"/>
    </row>
    <row r="162" spans="1:10" ht="13.05" customHeight="1">
      <c r="A162" s="5"/>
      <c r="B162" s="4" t="s">
        <v>201</v>
      </c>
      <c r="C162" s="5"/>
      <c r="D162" s="5"/>
      <c r="E162" s="5"/>
      <c r="F162" s="5"/>
      <c r="G162" s="5"/>
      <c r="H162" s="5"/>
      <c r="I162" s="5"/>
      <c r="J162" s="5"/>
    </row>
    <row r="163" spans="1:10" ht="25.95" customHeight="1">
      <c r="A163" s="5"/>
      <c r="B163" s="103" t="s">
        <v>202</v>
      </c>
      <c r="C163" s="103"/>
      <c r="D163" s="103"/>
      <c r="E163" s="103"/>
      <c r="F163" s="103"/>
      <c r="G163" s="103"/>
      <c r="H163" s="103"/>
      <c r="I163" s="103"/>
      <c r="J163" s="5"/>
    </row>
    <row r="164" spans="1:10" ht="13.05" customHeight="1">
      <c r="A164" s="5"/>
      <c r="B164" s="103" t="s">
        <v>203</v>
      </c>
      <c r="C164" s="103"/>
      <c r="D164" s="103"/>
      <c r="E164" s="103"/>
      <c r="F164" s="103"/>
      <c r="G164" s="103"/>
      <c r="H164" s="103"/>
      <c r="I164" s="103"/>
      <c r="J164" s="5"/>
    </row>
    <row r="165" spans="1:10" ht="13.05" customHeight="1">
      <c r="A165" s="5"/>
      <c r="B165" s="103"/>
      <c r="C165" s="103"/>
      <c r="D165" s="103"/>
      <c r="E165" s="103"/>
      <c r="F165" s="103"/>
      <c r="G165" s="103"/>
      <c r="H165" s="103"/>
      <c r="I165" s="103"/>
      <c r="J165" s="5"/>
    </row>
    <row r="166" spans="1:10" ht="13.05" customHeight="1">
      <c r="A166" s="5"/>
      <c r="B166" s="109" t="s">
        <v>4624</v>
      </c>
      <c r="C166" s="109"/>
      <c r="D166" s="109"/>
      <c r="E166" s="109"/>
      <c r="F166" s="5"/>
      <c r="G166" s="5"/>
      <c r="H166" s="5"/>
      <c r="I166" s="5"/>
      <c r="J166" s="5"/>
    </row>
    <row r="167" spans="1:10" ht="13.05" customHeight="1">
      <c r="A167" s="5"/>
      <c r="B167" s="103"/>
      <c r="C167" s="103"/>
      <c r="D167" s="103"/>
      <c r="E167" s="103"/>
      <c r="F167" s="103"/>
      <c r="G167" s="103"/>
      <c r="H167" s="103"/>
      <c r="I167" s="103"/>
      <c r="J167" s="5"/>
    </row>
    <row r="168" spans="1:10" ht="13.05" customHeight="1">
      <c r="A168" s="5"/>
      <c r="B168" s="5"/>
      <c r="C168" s="104" t="s">
        <v>4625</v>
      </c>
      <c r="D168" s="104"/>
      <c r="E168" s="104"/>
      <c r="F168" s="104"/>
      <c r="G168" s="5"/>
      <c r="H168" s="5"/>
      <c r="I168" s="5"/>
      <c r="J168" s="5"/>
    </row>
    <row r="169" spans="1:10" ht="13.05" customHeight="1">
      <c r="A169" s="5"/>
      <c r="B169" s="38" t="s">
        <v>207</v>
      </c>
      <c r="C169" s="104" t="s">
        <v>208</v>
      </c>
      <c r="D169" s="104"/>
      <c r="E169" s="104"/>
      <c r="F169" s="104"/>
      <c r="G169" s="5"/>
      <c r="H169" s="5"/>
      <c r="I169" s="5"/>
      <c r="J169" s="5"/>
    </row>
    <row r="170" spans="1:10" ht="135" customHeight="1">
      <c r="A170" s="5"/>
      <c r="B170" s="39"/>
      <c r="C170" s="105"/>
      <c r="D170" s="105"/>
      <c r="E170" s="5"/>
      <c r="F170" s="5"/>
      <c r="G170" s="5"/>
      <c r="H170" s="5"/>
      <c r="I170" s="5"/>
      <c r="J170" s="5"/>
    </row>
  </sheetData>
  <mergeCells count="8">
    <mergeCell ref="C168:F168"/>
    <mergeCell ref="C169:F169"/>
    <mergeCell ref="C170:D170"/>
    <mergeCell ref="B163:I163"/>
    <mergeCell ref="B164:I164"/>
    <mergeCell ref="B165:I165"/>
    <mergeCell ref="B166:E166"/>
    <mergeCell ref="B167:I167"/>
  </mergeCells>
  <hyperlinks>
    <hyperlink ref="A1" location="AxisMoneyMarketFund" display="AXISMMF" xr:uid="{00000000-0004-0000-3100-000000000000}"/>
    <hyperlink ref="B1" location="AxisMoneyMarketFund" display="Axis Money Market Fund" xr:uid="{00000000-0004-0000-3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outlinePr summaryBelow="0"/>
  </sheetPr>
  <dimension ref="A1:J79"/>
  <sheetViews>
    <sheetView topLeftCell="A71" workbookViewId="0">
      <selection activeCell="C57" sqref="C57"/>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102</v>
      </c>
      <c r="B1" s="4" t="s">
        <v>103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1025027</v>
      </c>
      <c r="F7" s="21">
        <v>10120.0916</v>
      </c>
      <c r="G7" s="22">
        <v>0.12809999999999999</v>
      </c>
      <c r="H7" s="40"/>
      <c r="I7" s="24"/>
      <c r="J7" s="5"/>
    </row>
    <row r="8" spans="1:10" ht="13.05" customHeight="1">
      <c r="A8" s="18" t="s">
        <v>258</v>
      </c>
      <c r="B8" s="19" t="s">
        <v>259</v>
      </c>
      <c r="C8" s="15" t="s">
        <v>260</v>
      </c>
      <c r="D8" s="15" t="s">
        <v>261</v>
      </c>
      <c r="E8" s="20">
        <v>454303</v>
      </c>
      <c r="F8" s="21">
        <v>6752.7597999999998</v>
      </c>
      <c r="G8" s="22">
        <v>8.5500000000000007E-2</v>
      </c>
      <c r="H8" s="40"/>
      <c r="I8" s="24"/>
      <c r="J8" s="5"/>
    </row>
    <row r="9" spans="1:10" ht="13.05" customHeight="1">
      <c r="A9" s="18" t="s">
        <v>262</v>
      </c>
      <c r="B9" s="19" t="s">
        <v>263</v>
      </c>
      <c r="C9" s="15" t="s">
        <v>264</v>
      </c>
      <c r="D9" s="15" t="s">
        <v>257</v>
      </c>
      <c r="E9" s="20">
        <v>478913</v>
      </c>
      <c r="F9" s="21">
        <v>6442.8166000000001</v>
      </c>
      <c r="G9" s="22">
        <v>8.1500000000000003E-2</v>
      </c>
      <c r="H9" s="40"/>
      <c r="I9" s="24"/>
      <c r="J9" s="5"/>
    </row>
    <row r="10" spans="1:10" ht="13.05" customHeight="1">
      <c r="A10" s="18" t="s">
        <v>265</v>
      </c>
      <c r="B10" s="19" t="s">
        <v>266</v>
      </c>
      <c r="C10" s="15" t="s">
        <v>267</v>
      </c>
      <c r="D10" s="15" t="s">
        <v>268</v>
      </c>
      <c r="E10" s="20">
        <v>182642</v>
      </c>
      <c r="F10" s="21">
        <v>3752.3798999999999</v>
      </c>
      <c r="G10" s="22">
        <v>4.7500000000000001E-2</v>
      </c>
      <c r="H10" s="40"/>
      <c r="I10" s="24"/>
      <c r="J10" s="5"/>
    </row>
    <row r="11" spans="1:10" ht="13.05" customHeight="1">
      <c r="A11" s="18" t="s">
        <v>269</v>
      </c>
      <c r="B11" s="19" t="s">
        <v>270</v>
      </c>
      <c r="C11" s="15" t="s">
        <v>271</v>
      </c>
      <c r="D11" s="15" t="s">
        <v>272</v>
      </c>
      <c r="E11" s="20">
        <v>241428</v>
      </c>
      <c r="F11" s="21">
        <v>3578.6871999999998</v>
      </c>
      <c r="G11" s="22">
        <v>4.53E-2</v>
      </c>
      <c r="H11" s="40"/>
      <c r="I11" s="24"/>
      <c r="J11" s="5"/>
    </row>
    <row r="12" spans="1:10" ht="13.05" customHeight="1">
      <c r="A12" s="18" t="s">
        <v>273</v>
      </c>
      <c r="B12" s="19" t="s">
        <v>274</v>
      </c>
      <c r="C12" s="15" t="s">
        <v>275</v>
      </c>
      <c r="D12" s="15" t="s">
        <v>276</v>
      </c>
      <c r="E12" s="20">
        <v>78708</v>
      </c>
      <c r="F12" s="21">
        <v>3172.6408000000001</v>
      </c>
      <c r="G12" s="22">
        <v>4.02E-2</v>
      </c>
      <c r="H12" s="40"/>
      <c r="I12" s="24"/>
      <c r="J12" s="5"/>
    </row>
    <row r="13" spans="1:10" ht="13.05" customHeight="1">
      <c r="A13" s="18" t="s">
        <v>277</v>
      </c>
      <c r="B13" s="19" t="s">
        <v>278</v>
      </c>
      <c r="C13" s="15" t="s">
        <v>279</v>
      </c>
      <c r="D13" s="15" t="s">
        <v>280</v>
      </c>
      <c r="E13" s="20">
        <v>645741</v>
      </c>
      <c r="F13" s="21">
        <v>2714.3723</v>
      </c>
      <c r="G13" s="22">
        <v>3.44E-2</v>
      </c>
      <c r="H13" s="40"/>
      <c r="I13" s="24"/>
      <c r="J13" s="5"/>
    </row>
    <row r="14" spans="1:10" ht="13.05" customHeight="1">
      <c r="A14" s="18" t="s">
        <v>281</v>
      </c>
      <c r="B14" s="19" t="s">
        <v>282</v>
      </c>
      <c r="C14" s="15" t="s">
        <v>283</v>
      </c>
      <c r="D14" s="15" t="s">
        <v>257</v>
      </c>
      <c r="E14" s="20">
        <v>278106</v>
      </c>
      <c r="F14" s="21">
        <v>2605.8532</v>
      </c>
      <c r="G14" s="22">
        <v>3.3000000000000002E-2</v>
      </c>
      <c r="H14" s="40"/>
      <c r="I14" s="24"/>
      <c r="J14" s="5"/>
    </row>
    <row r="15" spans="1:10" ht="13.05" customHeight="1">
      <c r="A15" s="18" t="s">
        <v>284</v>
      </c>
      <c r="B15" s="19" t="s">
        <v>285</v>
      </c>
      <c r="C15" s="15" t="s">
        <v>286</v>
      </c>
      <c r="D15" s="15" t="s">
        <v>257</v>
      </c>
      <c r="E15" s="20">
        <v>191920</v>
      </c>
      <c r="F15" s="21">
        <v>2365.9897999999998</v>
      </c>
      <c r="G15" s="22">
        <v>2.9899999999999999E-2</v>
      </c>
      <c r="H15" s="40"/>
      <c r="I15" s="24"/>
      <c r="J15" s="5"/>
    </row>
    <row r="16" spans="1:10" ht="13.05" customHeight="1">
      <c r="A16" s="18" t="s">
        <v>287</v>
      </c>
      <c r="B16" s="19" t="s">
        <v>288</v>
      </c>
      <c r="C16" s="15" t="s">
        <v>289</v>
      </c>
      <c r="D16" s="15" t="s">
        <v>272</v>
      </c>
      <c r="E16" s="20">
        <v>68445</v>
      </c>
      <c r="F16" s="21">
        <v>2093.0481</v>
      </c>
      <c r="G16" s="22">
        <v>2.6499999999999999E-2</v>
      </c>
      <c r="H16" s="40"/>
      <c r="I16" s="24"/>
      <c r="J16" s="5"/>
    </row>
    <row r="17" spans="1:10" ht="13.05" customHeight="1">
      <c r="A17" s="18" t="s">
        <v>290</v>
      </c>
      <c r="B17" s="19" t="s">
        <v>291</v>
      </c>
      <c r="C17" s="15" t="s">
        <v>292</v>
      </c>
      <c r="D17" s="15" t="s">
        <v>257</v>
      </c>
      <c r="E17" s="20">
        <v>98548</v>
      </c>
      <c r="F17" s="21">
        <v>2071.6761000000001</v>
      </c>
      <c r="G17" s="22">
        <v>2.6200000000000001E-2</v>
      </c>
      <c r="H17" s="40"/>
      <c r="I17" s="24"/>
      <c r="J17" s="5"/>
    </row>
    <row r="18" spans="1:10" ht="13.05" customHeight="1">
      <c r="A18" s="18" t="s">
        <v>293</v>
      </c>
      <c r="B18" s="19" t="s">
        <v>294</v>
      </c>
      <c r="C18" s="15" t="s">
        <v>295</v>
      </c>
      <c r="D18" s="15" t="s">
        <v>296</v>
      </c>
      <c r="E18" s="20">
        <v>59381</v>
      </c>
      <c r="F18" s="21">
        <v>2070.7341999999999</v>
      </c>
      <c r="G18" s="22">
        <v>2.6200000000000001E-2</v>
      </c>
      <c r="H18" s="40"/>
      <c r="I18" s="24"/>
      <c r="J18" s="5"/>
    </row>
    <row r="19" spans="1:10" ht="13.05" customHeight="1">
      <c r="A19" s="18" t="s">
        <v>297</v>
      </c>
      <c r="B19" s="19" t="s">
        <v>298</v>
      </c>
      <c r="C19" s="15" t="s">
        <v>299</v>
      </c>
      <c r="D19" s="15" t="s">
        <v>300</v>
      </c>
      <c r="E19" s="20">
        <v>178321</v>
      </c>
      <c r="F19" s="21">
        <v>1859.5314000000001</v>
      </c>
      <c r="G19" s="22">
        <v>2.35E-2</v>
      </c>
      <c r="H19" s="40"/>
      <c r="I19" s="24"/>
      <c r="J19" s="5"/>
    </row>
    <row r="20" spans="1:10" ht="13.05" customHeight="1">
      <c r="A20" s="18" t="s">
        <v>301</v>
      </c>
      <c r="B20" s="19" t="s">
        <v>302</v>
      </c>
      <c r="C20" s="15" t="s">
        <v>303</v>
      </c>
      <c r="D20" s="15" t="s">
        <v>304</v>
      </c>
      <c r="E20" s="20">
        <v>466584</v>
      </c>
      <c r="F20" s="21">
        <v>1482.5707</v>
      </c>
      <c r="G20" s="22">
        <v>1.8800000000000001E-2</v>
      </c>
      <c r="H20" s="40"/>
      <c r="I20" s="24"/>
      <c r="J20" s="5"/>
    </row>
    <row r="21" spans="1:10" ht="13.05" customHeight="1">
      <c r="A21" s="18" t="s">
        <v>305</v>
      </c>
      <c r="B21" s="19" t="s">
        <v>306</v>
      </c>
      <c r="C21" s="15" t="s">
        <v>307</v>
      </c>
      <c r="D21" s="15" t="s">
        <v>280</v>
      </c>
      <c r="E21" s="20">
        <v>59480</v>
      </c>
      <c r="F21" s="21">
        <v>1466.4793999999999</v>
      </c>
      <c r="G21" s="22">
        <v>1.8599999999999998E-2</v>
      </c>
      <c r="H21" s="40"/>
      <c r="I21" s="24"/>
      <c r="J21" s="5"/>
    </row>
    <row r="22" spans="1:10" ht="13.05" customHeight="1">
      <c r="A22" s="18" t="s">
        <v>308</v>
      </c>
      <c r="B22" s="19" t="s">
        <v>309</v>
      </c>
      <c r="C22" s="15" t="s">
        <v>310</v>
      </c>
      <c r="D22" s="15" t="s">
        <v>296</v>
      </c>
      <c r="E22" s="20">
        <v>8792</v>
      </c>
      <c r="F22" s="21">
        <v>1423.0731000000001</v>
      </c>
      <c r="G22" s="22">
        <v>1.7999999999999999E-2</v>
      </c>
      <c r="H22" s="40"/>
      <c r="I22" s="24"/>
      <c r="J22" s="5"/>
    </row>
    <row r="23" spans="1:10" ht="13.05" customHeight="1">
      <c r="A23" s="18" t="s">
        <v>311</v>
      </c>
      <c r="B23" s="19" t="s">
        <v>312</v>
      </c>
      <c r="C23" s="15" t="s">
        <v>313</v>
      </c>
      <c r="D23" s="15" t="s">
        <v>314</v>
      </c>
      <c r="E23" s="20">
        <v>70624</v>
      </c>
      <c r="F23" s="21">
        <v>1194.04</v>
      </c>
      <c r="G23" s="22">
        <v>1.5100000000000001E-2</v>
      </c>
      <c r="H23" s="40"/>
      <c r="I23" s="24"/>
      <c r="J23" s="5"/>
    </row>
    <row r="24" spans="1:10" ht="13.05" customHeight="1">
      <c r="A24" s="18" t="s">
        <v>315</v>
      </c>
      <c r="B24" s="19" t="s">
        <v>316</v>
      </c>
      <c r="C24" s="15" t="s">
        <v>317</v>
      </c>
      <c r="D24" s="15" t="s">
        <v>272</v>
      </c>
      <c r="E24" s="20">
        <v>71119</v>
      </c>
      <c r="F24" s="21">
        <v>1096.2994000000001</v>
      </c>
      <c r="G24" s="22">
        <v>1.3899999999999999E-2</v>
      </c>
      <c r="H24" s="40"/>
      <c r="I24" s="24"/>
      <c r="J24" s="5"/>
    </row>
    <row r="25" spans="1:10" ht="13.05" customHeight="1">
      <c r="A25" s="18" t="s">
        <v>318</v>
      </c>
      <c r="B25" s="19" t="s">
        <v>319</v>
      </c>
      <c r="C25" s="15" t="s">
        <v>320</v>
      </c>
      <c r="D25" s="15" t="s">
        <v>321</v>
      </c>
      <c r="E25" s="20">
        <v>317849</v>
      </c>
      <c r="F25" s="21">
        <v>1070.9921999999999</v>
      </c>
      <c r="G25" s="22">
        <v>1.3599999999999999E-2</v>
      </c>
      <c r="H25" s="40"/>
      <c r="I25" s="24"/>
      <c r="J25" s="5"/>
    </row>
    <row r="26" spans="1:10" ht="13.05" customHeight="1">
      <c r="A26" s="18" t="s">
        <v>322</v>
      </c>
      <c r="B26" s="19" t="s">
        <v>323</v>
      </c>
      <c r="C26" s="15" t="s">
        <v>324</v>
      </c>
      <c r="D26" s="15" t="s">
        <v>325</v>
      </c>
      <c r="E26" s="20">
        <v>27527</v>
      </c>
      <c r="F26" s="21">
        <v>1031.3541</v>
      </c>
      <c r="G26" s="22">
        <v>1.3100000000000001E-2</v>
      </c>
      <c r="H26" s="40"/>
      <c r="I26" s="24"/>
      <c r="J26" s="5"/>
    </row>
    <row r="27" spans="1:10" ht="13.05" customHeight="1">
      <c r="A27" s="18" t="s">
        <v>326</v>
      </c>
      <c r="B27" s="19" t="s">
        <v>327</v>
      </c>
      <c r="C27" s="15" t="s">
        <v>328</v>
      </c>
      <c r="D27" s="15" t="s">
        <v>329</v>
      </c>
      <c r="E27" s="20">
        <v>238931</v>
      </c>
      <c r="F27" s="21">
        <v>1018.085</v>
      </c>
      <c r="G27" s="22">
        <v>1.29E-2</v>
      </c>
      <c r="H27" s="40"/>
      <c r="I27" s="24"/>
      <c r="J27" s="5"/>
    </row>
    <row r="28" spans="1:10" ht="13.05" customHeight="1">
      <c r="A28" s="18" t="s">
        <v>330</v>
      </c>
      <c r="B28" s="19" t="s">
        <v>331</v>
      </c>
      <c r="C28" s="15" t="s">
        <v>332</v>
      </c>
      <c r="D28" s="15" t="s">
        <v>333</v>
      </c>
      <c r="E28" s="20">
        <v>554913</v>
      </c>
      <c r="F28" s="21">
        <v>1014.6029</v>
      </c>
      <c r="G28" s="22">
        <v>1.2800000000000001E-2</v>
      </c>
      <c r="H28" s="40"/>
      <c r="I28" s="24"/>
      <c r="J28" s="5"/>
    </row>
    <row r="29" spans="1:10" ht="13.05" customHeight="1">
      <c r="A29" s="18" t="s">
        <v>334</v>
      </c>
      <c r="B29" s="19" t="s">
        <v>335</v>
      </c>
      <c r="C29" s="15" t="s">
        <v>336</v>
      </c>
      <c r="D29" s="15" t="s">
        <v>337</v>
      </c>
      <c r="E29" s="20">
        <v>7966</v>
      </c>
      <c r="F29" s="21">
        <v>951.69799999999998</v>
      </c>
      <c r="G29" s="22">
        <v>1.2E-2</v>
      </c>
      <c r="H29" s="40"/>
      <c r="I29" s="24"/>
      <c r="J29" s="5"/>
    </row>
    <row r="30" spans="1:10" ht="13.05" customHeight="1">
      <c r="A30" s="18" t="s">
        <v>338</v>
      </c>
      <c r="B30" s="19" t="s">
        <v>339</v>
      </c>
      <c r="C30" s="15" t="s">
        <v>340</v>
      </c>
      <c r="D30" s="15" t="s">
        <v>321</v>
      </c>
      <c r="E30" s="20">
        <v>302151</v>
      </c>
      <c r="F30" s="21">
        <v>870.6481</v>
      </c>
      <c r="G30" s="22">
        <v>1.0999999999999999E-2</v>
      </c>
      <c r="H30" s="40"/>
      <c r="I30" s="24"/>
      <c r="J30" s="5"/>
    </row>
    <row r="31" spans="1:10" ht="13.05" customHeight="1">
      <c r="A31" s="18" t="s">
        <v>345</v>
      </c>
      <c r="B31" s="19" t="s">
        <v>346</v>
      </c>
      <c r="C31" s="15" t="s">
        <v>347</v>
      </c>
      <c r="D31" s="15" t="s">
        <v>348</v>
      </c>
      <c r="E31" s="20">
        <v>14639</v>
      </c>
      <c r="F31" s="21">
        <v>823.44380000000001</v>
      </c>
      <c r="G31" s="22">
        <v>1.04E-2</v>
      </c>
      <c r="H31" s="40"/>
      <c r="I31" s="24"/>
      <c r="J31" s="5"/>
    </row>
    <row r="32" spans="1:10" ht="13.05" customHeight="1">
      <c r="A32" s="18" t="s">
        <v>341</v>
      </c>
      <c r="B32" s="19" t="s">
        <v>342</v>
      </c>
      <c r="C32" s="15" t="s">
        <v>343</v>
      </c>
      <c r="D32" s="15" t="s">
        <v>344</v>
      </c>
      <c r="E32" s="20">
        <v>96619</v>
      </c>
      <c r="F32" s="21">
        <v>819.18420000000003</v>
      </c>
      <c r="G32" s="22">
        <v>1.04E-2</v>
      </c>
      <c r="H32" s="40"/>
      <c r="I32" s="24"/>
      <c r="J32" s="5"/>
    </row>
    <row r="33" spans="1:10" ht="13.05" customHeight="1">
      <c r="A33" s="18" t="s">
        <v>349</v>
      </c>
      <c r="B33" s="19" t="s">
        <v>350</v>
      </c>
      <c r="C33" s="15" t="s">
        <v>351</v>
      </c>
      <c r="D33" s="15" t="s">
        <v>300</v>
      </c>
      <c r="E33" s="20">
        <v>38146</v>
      </c>
      <c r="F33" s="21">
        <v>796.60289999999998</v>
      </c>
      <c r="G33" s="22">
        <v>1.01E-2</v>
      </c>
      <c r="H33" s="40"/>
      <c r="I33" s="24"/>
      <c r="J33" s="5"/>
    </row>
    <row r="34" spans="1:10" ht="13.05" customHeight="1">
      <c r="A34" s="18" t="s">
        <v>352</v>
      </c>
      <c r="B34" s="19" t="s">
        <v>353</v>
      </c>
      <c r="C34" s="15" t="s">
        <v>354</v>
      </c>
      <c r="D34" s="15" t="s">
        <v>325</v>
      </c>
      <c r="E34" s="20">
        <v>30170</v>
      </c>
      <c r="F34" s="21">
        <v>757.50840000000005</v>
      </c>
      <c r="G34" s="22">
        <v>9.5999999999999992E-3</v>
      </c>
      <c r="H34" s="40"/>
      <c r="I34" s="24"/>
      <c r="J34" s="5"/>
    </row>
    <row r="35" spans="1:10" ht="13.05" customHeight="1">
      <c r="A35" s="18" t="s">
        <v>355</v>
      </c>
      <c r="B35" s="19" t="s">
        <v>356</v>
      </c>
      <c r="C35" s="15" t="s">
        <v>357</v>
      </c>
      <c r="D35" s="15" t="s">
        <v>333</v>
      </c>
      <c r="E35" s="20">
        <v>62431</v>
      </c>
      <c r="F35" s="21">
        <v>752.91790000000003</v>
      </c>
      <c r="G35" s="22">
        <v>9.4999999999999998E-3</v>
      </c>
      <c r="H35" s="40"/>
      <c r="I35" s="24"/>
      <c r="J35" s="5"/>
    </row>
    <row r="36" spans="1:10" ht="13.05" customHeight="1">
      <c r="A36" s="18" t="s">
        <v>358</v>
      </c>
      <c r="B36" s="19" t="s">
        <v>359</v>
      </c>
      <c r="C36" s="15" t="s">
        <v>360</v>
      </c>
      <c r="D36" s="15" t="s">
        <v>337</v>
      </c>
      <c r="E36" s="20">
        <v>25482</v>
      </c>
      <c r="F36" s="21">
        <v>736.86300000000006</v>
      </c>
      <c r="G36" s="22">
        <v>9.2999999999999992E-3</v>
      </c>
      <c r="H36" s="40"/>
      <c r="I36" s="24"/>
      <c r="J36" s="5"/>
    </row>
    <row r="37" spans="1:10" ht="13.05" customHeight="1">
      <c r="A37" s="18" t="s">
        <v>361</v>
      </c>
      <c r="B37" s="19" t="s">
        <v>362</v>
      </c>
      <c r="C37" s="15" t="s">
        <v>363</v>
      </c>
      <c r="D37" s="15" t="s">
        <v>364</v>
      </c>
      <c r="E37" s="20">
        <v>49201</v>
      </c>
      <c r="F37" s="21">
        <v>714.15250000000003</v>
      </c>
      <c r="G37" s="22">
        <v>8.9999999999999993E-3</v>
      </c>
      <c r="H37" s="40"/>
      <c r="I37" s="24"/>
      <c r="J37" s="5"/>
    </row>
    <row r="38" spans="1:10" ht="13.05" customHeight="1">
      <c r="A38" s="18" t="s">
        <v>365</v>
      </c>
      <c r="B38" s="19" t="s">
        <v>366</v>
      </c>
      <c r="C38" s="15" t="s">
        <v>367</v>
      </c>
      <c r="D38" s="15" t="s">
        <v>300</v>
      </c>
      <c r="E38" s="20">
        <v>93389</v>
      </c>
      <c r="F38" s="21">
        <v>699.39020000000005</v>
      </c>
      <c r="G38" s="22">
        <v>8.8999999999999999E-3</v>
      </c>
      <c r="H38" s="40"/>
      <c r="I38" s="24"/>
      <c r="J38" s="5"/>
    </row>
    <row r="39" spans="1:10" ht="13.05" customHeight="1">
      <c r="A39" s="18" t="s">
        <v>368</v>
      </c>
      <c r="B39" s="19" t="s">
        <v>369</v>
      </c>
      <c r="C39" s="15" t="s">
        <v>370</v>
      </c>
      <c r="D39" s="15" t="s">
        <v>304</v>
      </c>
      <c r="E39" s="20">
        <v>14808</v>
      </c>
      <c r="F39" s="21">
        <v>695.13189999999997</v>
      </c>
      <c r="G39" s="22">
        <v>8.8000000000000005E-3</v>
      </c>
      <c r="H39" s="40"/>
      <c r="I39" s="24"/>
      <c r="J39" s="5"/>
    </row>
    <row r="40" spans="1:10" ht="13.05" customHeight="1">
      <c r="A40" s="18" t="s">
        <v>375</v>
      </c>
      <c r="B40" s="19" t="s">
        <v>376</v>
      </c>
      <c r="C40" s="15" t="s">
        <v>377</v>
      </c>
      <c r="D40" s="15" t="s">
        <v>300</v>
      </c>
      <c r="E40" s="20">
        <v>218498</v>
      </c>
      <c r="F40" s="21">
        <v>670.3519</v>
      </c>
      <c r="G40" s="22">
        <v>8.5000000000000006E-3</v>
      </c>
      <c r="H40" s="40"/>
      <c r="I40" s="24"/>
      <c r="J40" s="5"/>
    </row>
    <row r="41" spans="1:10" ht="13.05" customHeight="1">
      <c r="A41" s="18" t="s">
        <v>378</v>
      </c>
      <c r="B41" s="19" t="s">
        <v>379</v>
      </c>
      <c r="C41" s="15" t="s">
        <v>380</v>
      </c>
      <c r="D41" s="15" t="s">
        <v>381</v>
      </c>
      <c r="E41" s="20">
        <v>259741</v>
      </c>
      <c r="F41" s="21">
        <v>663.30060000000003</v>
      </c>
      <c r="G41" s="22">
        <v>8.3999999999999995E-3</v>
      </c>
      <c r="H41" s="40"/>
      <c r="I41" s="24"/>
      <c r="J41" s="5"/>
    </row>
    <row r="42" spans="1:10" ht="13.05" customHeight="1">
      <c r="A42" s="18" t="s">
        <v>382</v>
      </c>
      <c r="B42" s="19" t="s">
        <v>383</v>
      </c>
      <c r="C42" s="15" t="s">
        <v>384</v>
      </c>
      <c r="D42" s="15" t="s">
        <v>296</v>
      </c>
      <c r="E42" s="20">
        <v>7393</v>
      </c>
      <c r="F42" s="21">
        <v>657.42250000000001</v>
      </c>
      <c r="G42" s="22">
        <v>8.3000000000000001E-3</v>
      </c>
      <c r="H42" s="40"/>
      <c r="I42" s="24"/>
      <c r="J42" s="5"/>
    </row>
    <row r="43" spans="1:10" ht="13.05" customHeight="1">
      <c r="A43" s="18" t="s">
        <v>385</v>
      </c>
      <c r="B43" s="19" t="s">
        <v>386</v>
      </c>
      <c r="C43" s="15" t="s">
        <v>387</v>
      </c>
      <c r="D43" s="15" t="s">
        <v>296</v>
      </c>
      <c r="E43" s="20">
        <v>9217</v>
      </c>
      <c r="F43" s="21">
        <v>645.83519999999999</v>
      </c>
      <c r="G43" s="22">
        <v>8.2000000000000007E-3</v>
      </c>
      <c r="H43" s="40"/>
      <c r="I43" s="24"/>
      <c r="J43" s="5"/>
    </row>
    <row r="44" spans="1:10" ht="13.05" customHeight="1">
      <c r="A44" s="18" t="s">
        <v>388</v>
      </c>
      <c r="B44" s="19" t="s">
        <v>389</v>
      </c>
      <c r="C44" s="15" t="s">
        <v>390</v>
      </c>
      <c r="D44" s="15" t="s">
        <v>391</v>
      </c>
      <c r="E44" s="20">
        <v>47785</v>
      </c>
      <c r="F44" s="21">
        <v>607.63409999999999</v>
      </c>
      <c r="G44" s="22">
        <v>7.7000000000000002E-3</v>
      </c>
      <c r="H44" s="40"/>
      <c r="I44" s="24"/>
      <c r="J44" s="5"/>
    </row>
    <row r="45" spans="1:10" ht="13.05" customHeight="1">
      <c r="A45" s="18" t="s">
        <v>392</v>
      </c>
      <c r="B45" s="19" t="s">
        <v>393</v>
      </c>
      <c r="C45" s="15" t="s">
        <v>394</v>
      </c>
      <c r="D45" s="15" t="s">
        <v>272</v>
      </c>
      <c r="E45" s="20">
        <v>42398</v>
      </c>
      <c r="F45" s="21">
        <v>603.9171</v>
      </c>
      <c r="G45" s="22">
        <v>7.6E-3</v>
      </c>
      <c r="H45" s="40"/>
      <c r="I45" s="24"/>
      <c r="J45" s="5"/>
    </row>
    <row r="46" spans="1:10" ht="13.05" customHeight="1">
      <c r="A46" s="18" t="s">
        <v>398</v>
      </c>
      <c r="B46" s="19" t="s">
        <v>399</v>
      </c>
      <c r="C46" s="15" t="s">
        <v>400</v>
      </c>
      <c r="D46" s="15" t="s">
        <v>401</v>
      </c>
      <c r="E46" s="20">
        <v>152085</v>
      </c>
      <c r="F46" s="21">
        <v>591.07839999999999</v>
      </c>
      <c r="G46" s="22">
        <v>7.4999999999999997E-3</v>
      </c>
      <c r="H46" s="40"/>
      <c r="I46" s="24"/>
      <c r="J46" s="5"/>
    </row>
    <row r="47" spans="1:10" ht="13.05" customHeight="1">
      <c r="A47" s="18" t="s">
        <v>402</v>
      </c>
      <c r="B47" s="19" t="s">
        <v>403</v>
      </c>
      <c r="C47" s="15" t="s">
        <v>404</v>
      </c>
      <c r="D47" s="15" t="s">
        <v>405</v>
      </c>
      <c r="E47" s="20">
        <v>30077</v>
      </c>
      <c r="F47" s="21">
        <v>588.21590000000003</v>
      </c>
      <c r="G47" s="22">
        <v>7.4000000000000003E-3</v>
      </c>
      <c r="H47" s="40"/>
      <c r="I47" s="24"/>
      <c r="J47" s="5"/>
    </row>
    <row r="48" spans="1:10" ht="13.05" customHeight="1">
      <c r="A48" s="18" t="s">
        <v>412</v>
      </c>
      <c r="B48" s="19" t="s">
        <v>413</v>
      </c>
      <c r="C48" s="15" t="s">
        <v>414</v>
      </c>
      <c r="D48" s="15" t="s">
        <v>415</v>
      </c>
      <c r="E48" s="20">
        <v>49846</v>
      </c>
      <c r="F48" s="21">
        <v>572.13239999999996</v>
      </c>
      <c r="G48" s="22">
        <v>7.1999999999999998E-3</v>
      </c>
      <c r="H48" s="40"/>
      <c r="I48" s="24"/>
      <c r="J48" s="5"/>
    </row>
    <row r="49" spans="1:10" ht="13.05" customHeight="1">
      <c r="A49" s="18" t="s">
        <v>409</v>
      </c>
      <c r="B49" s="19" t="s">
        <v>410</v>
      </c>
      <c r="C49" s="15" t="s">
        <v>411</v>
      </c>
      <c r="D49" s="15" t="s">
        <v>296</v>
      </c>
      <c r="E49" s="20">
        <v>139336</v>
      </c>
      <c r="F49" s="21">
        <v>571.27760000000001</v>
      </c>
      <c r="G49" s="22">
        <v>7.1999999999999998E-3</v>
      </c>
      <c r="H49" s="40"/>
      <c r="I49" s="24"/>
      <c r="J49" s="5"/>
    </row>
    <row r="50" spans="1:10" ht="13.05" customHeight="1">
      <c r="A50" s="18" t="s">
        <v>416</v>
      </c>
      <c r="B50" s="19" t="s">
        <v>417</v>
      </c>
      <c r="C50" s="15" t="s">
        <v>418</v>
      </c>
      <c r="D50" s="15" t="s">
        <v>314</v>
      </c>
      <c r="E50" s="20">
        <v>37524</v>
      </c>
      <c r="F50" s="21">
        <v>563.34780000000001</v>
      </c>
      <c r="G50" s="22">
        <v>7.1000000000000004E-3</v>
      </c>
      <c r="H50" s="40"/>
      <c r="I50" s="24"/>
      <c r="J50" s="5"/>
    </row>
    <row r="51" spans="1:10" ht="13.05" customHeight="1">
      <c r="A51" s="18" t="s">
        <v>426</v>
      </c>
      <c r="B51" s="19" t="s">
        <v>427</v>
      </c>
      <c r="C51" s="15" t="s">
        <v>428</v>
      </c>
      <c r="D51" s="15" t="s">
        <v>405</v>
      </c>
      <c r="E51" s="20">
        <v>71860</v>
      </c>
      <c r="F51" s="21">
        <v>525.90740000000005</v>
      </c>
      <c r="G51" s="22">
        <v>6.7000000000000002E-3</v>
      </c>
      <c r="H51" s="40"/>
      <c r="I51" s="24"/>
      <c r="J51" s="5"/>
    </row>
    <row r="52" spans="1:10" ht="13.05" customHeight="1">
      <c r="A52" s="18" t="s">
        <v>429</v>
      </c>
      <c r="B52" s="19" t="s">
        <v>430</v>
      </c>
      <c r="C52" s="15" t="s">
        <v>431</v>
      </c>
      <c r="D52" s="15" t="s">
        <v>415</v>
      </c>
      <c r="E52" s="20">
        <v>6773</v>
      </c>
      <c r="F52" s="21">
        <v>520.23410000000001</v>
      </c>
      <c r="G52" s="22">
        <v>6.6E-3</v>
      </c>
      <c r="H52" s="40"/>
      <c r="I52" s="24"/>
      <c r="J52" s="5"/>
    </row>
    <row r="53" spans="1:10" ht="13.05" customHeight="1">
      <c r="A53" s="18" t="s">
        <v>432</v>
      </c>
      <c r="B53" s="19" t="s">
        <v>433</v>
      </c>
      <c r="C53" s="15" t="s">
        <v>434</v>
      </c>
      <c r="D53" s="15" t="s">
        <v>435</v>
      </c>
      <c r="E53" s="20">
        <v>43575</v>
      </c>
      <c r="F53" s="21">
        <v>507.64879999999999</v>
      </c>
      <c r="G53" s="22">
        <v>6.4000000000000003E-3</v>
      </c>
      <c r="H53" s="40"/>
      <c r="I53" s="24"/>
      <c r="J53" s="5"/>
    </row>
    <row r="54" spans="1:10" ht="13.05" customHeight="1">
      <c r="A54" s="18" t="s">
        <v>436</v>
      </c>
      <c r="B54" s="19" t="s">
        <v>437</v>
      </c>
      <c r="C54" s="15" t="s">
        <v>438</v>
      </c>
      <c r="D54" s="15" t="s">
        <v>314</v>
      </c>
      <c r="E54" s="20">
        <v>40612</v>
      </c>
      <c r="F54" s="21">
        <v>486.36930000000001</v>
      </c>
      <c r="G54" s="22">
        <v>6.1999999999999998E-3</v>
      </c>
      <c r="H54" s="40"/>
      <c r="I54" s="24"/>
      <c r="J54" s="5"/>
    </row>
    <row r="55" spans="1:10" ht="13.05" customHeight="1">
      <c r="A55" s="18" t="s">
        <v>455</v>
      </c>
      <c r="B55" s="19" t="s">
        <v>456</v>
      </c>
      <c r="C55" s="15" t="s">
        <v>457</v>
      </c>
      <c r="D55" s="15" t="s">
        <v>272</v>
      </c>
      <c r="E55" s="20">
        <v>190692</v>
      </c>
      <c r="F55" s="21">
        <v>458.9384</v>
      </c>
      <c r="G55" s="22">
        <v>5.7999999999999996E-3</v>
      </c>
      <c r="H55" s="40"/>
      <c r="I55" s="24"/>
      <c r="J55" s="5"/>
    </row>
    <row r="56" spans="1:10" ht="13.05" customHeight="1">
      <c r="A56" s="18" t="s">
        <v>465</v>
      </c>
      <c r="B56" s="19" t="s">
        <v>466</v>
      </c>
      <c r="C56" s="15" t="s">
        <v>467</v>
      </c>
      <c r="D56" s="15" t="s">
        <v>468</v>
      </c>
      <c r="E56" s="20">
        <v>17492</v>
      </c>
      <c r="F56" s="21">
        <v>433.97649999999999</v>
      </c>
      <c r="G56" s="22">
        <v>5.4999999999999997E-3</v>
      </c>
      <c r="H56" s="40"/>
      <c r="I56" s="24"/>
      <c r="J56" s="5"/>
    </row>
    <row r="57" spans="1:10" ht="13.05" customHeight="1">
      <c r="A57" s="18" t="s">
        <v>505</v>
      </c>
      <c r="B57" s="19" t="s">
        <v>2339</v>
      </c>
      <c r="C57" s="15" t="s">
        <v>506</v>
      </c>
      <c r="D57" s="15" t="s">
        <v>507</v>
      </c>
      <c r="E57" s="20">
        <v>140339</v>
      </c>
      <c r="F57" s="21">
        <v>365.93389999999999</v>
      </c>
      <c r="G57" s="22">
        <v>4.5999999999999999E-3</v>
      </c>
      <c r="H57" s="40"/>
      <c r="I57" s="24"/>
      <c r="J57" s="5"/>
    </row>
    <row r="58" spans="1:10" ht="13.05" customHeight="1">
      <c r="A58" s="5"/>
      <c r="B58" s="14" t="s">
        <v>192</v>
      </c>
      <c r="C58" s="15"/>
      <c r="D58" s="15"/>
      <c r="E58" s="15"/>
      <c r="F58" s="25">
        <v>79049.140400000004</v>
      </c>
      <c r="G58" s="26">
        <v>1.0004</v>
      </c>
      <c r="H58" s="27"/>
      <c r="I58" s="28"/>
      <c r="J58" s="5"/>
    </row>
    <row r="59" spans="1:10" ht="13.05" customHeight="1">
      <c r="A59" s="5"/>
      <c r="B59" s="29" t="s">
        <v>1812</v>
      </c>
      <c r="C59" s="2"/>
      <c r="D59" s="2"/>
      <c r="E59" s="2"/>
      <c r="F59" s="27" t="s">
        <v>194</v>
      </c>
      <c r="G59" s="27" t="s">
        <v>194</v>
      </c>
      <c r="H59" s="27"/>
      <c r="I59" s="28"/>
      <c r="J59" s="5"/>
    </row>
    <row r="60" spans="1:10" ht="13.05" customHeight="1">
      <c r="A60" s="5"/>
      <c r="B60" s="29" t="s">
        <v>192</v>
      </c>
      <c r="C60" s="2"/>
      <c r="D60" s="2"/>
      <c r="E60" s="2"/>
      <c r="F60" s="27" t="s">
        <v>194</v>
      </c>
      <c r="G60" s="27" t="s">
        <v>194</v>
      </c>
      <c r="H60" s="27"/>
      <c r="I60" s="28"/>
      <c r="J60" s="5"/>
    </row>
    <row r="61" spans="1:10" ht="13.05" customHeight="1">
      <c r="A61" s="5"/>
      <c r="B61" s="29" t="s">
        <v>195</v>
      </c>
      <c r="C61" s="30"/>
      <c r="D61" s="2"/>
      <c r="E61" s="30"/>
      <c r="F61" s="25">
        <v>79049.140400000004</v>
      </c>
      <c r="G61" s="26">
        <v>1.0004</v>
      </c>
      <c r="H61" s="27"/>
      <c r="I61" s="28"/>
      <c r="J61" s="5"/>
    </row>
    <row r="62" spans="1:10" ht="13.05" customHeight="1">
      <c r="A62" s="5"/>
      <c r="B62" s="14" t="s">
        <v>196</v>
      </c>
      <c r="C62" s="15"/>
      <c r="D62" s="15"/>
      <c r="E62" s="15"/>
      <c r="F62" s="15"/>
      <c r="G62" s="15"/>
      <c r="H62" s="16"/>
      <c r="I62" s="17"/>
      <c r="J62" s="5"/>
    </row>
    <row r="63" spans="1:10" ht="13.05" customHeight="1">
      <c r="A63" s="18" t="s">
        <v>197</v>
      </c>
      <c r="B63" s="19" t="s">
        <v>198</v>
      </c>
      <c r="C63" s="15"/>
      <c r="D63" s="15"/>
      <c r="E63" s="20"/>
      <c r="F63" s="21">
        <v>194.0609</v>
      </c>
      <c r="G63" s="22">
        <v>2.5000000000000001E-3</v>
      </c>
      <c r="H63" s="23">
        <v>5.5573651706616406E-2</v>
      </c>
      <c r="I63" s="24"/>
      <c r="J63" s="5"/>
    </row>
    <row r="64" spans="1:10" ht="13.05" customHeight="1">
      <c r="A64" s="5"/>
      <c r="B64" s="14" t="s">
        <v>192</v>
      </c>
      <c r="C64" s="15"/>
      <c r="D64" s="15"/>
      <c r="E64" s="15"/>
      <c r="F64" s="25">
        <v>194.0609</v>
      </c>
      <c r="G64" s="26">
        <v>2.5000000000000001E-3</v>
      </c>
      <c r="H64" s="27"/>
      <c r="I64" s="28"/>
      <c r="J64" s="5"/>
    </row>
    <row r="65" spans="1:10" ht="13.05" customHeight="1">
      <c r="A65" s="5"/>
      <c r="B65" s="29" t="s">
        <v>195</v>
      </c>
      <c r="C65" s="30"/>
      <c r="D65" s="2"/>
      <c r="E65" s="30"/>
      <c r="F65" s="25">
        <v>194.0609</v>
      </c>
      <c r="G65" s="26">
        <v>2.5000000000000001E-3</v>
      </c>
      <c r="H65" s="27"/>
      <c r="I65" s="28"/>
      <c r="J65" s="5"/>
    </row>
    <row r="66" spans="1:10" ht="13.05" customHeight="1">
      <c r="A66" s="5"/>
      <c r="B66" s="29" t="s">
        <v>199</v>
      </c>
      <c r="C66" s="15"/>
      <c r="D66" s="2"/>
      <c r="E66" s="15"/>
      <c r="F66" s="31">
        <v>-225.47130000000001</v>
      </c>
      <c r="G66" s="26">
        <v>-2.8999999999999998E-3</v>
      </c>
      <c r="H66" s="27"/>
      <c r="I66" s="28"/>
      <c r="J66" s="5"/>
    </row>
    <row r="67" spans="1:10" ht="13.05" customHeight="1">
      <c r="A67" s="5"/>
      <c r="B67" s="32" t="s">
        <v>200</v>
      </c>
      <c r="C67" s="33"/>
      <c r="D67" s="33"/>
      <c r="E67" s="33"/>
      <c r="F67" s="34">
        <v>79017.73</v>
      </c>
      <c r="G67" s="35">
        <v>1</v>
      </c>
      <c r="H67" s="36"/>
      <c r="I67" s="37"/>
      <c r="J67" s="5"/>
    </row>
    <row r="68" spans="1:10" ht="13.05" customHeight="1">
      <c r="A68" s="5"/>
      <c r="B68" s="7"/>
      <c r="C68" s="5"/>
      <c r="D68" s="5"/>
      <c r="E68" s="5"/>
      <c r="F68" s="5"/>
      <c r="G68" s="5"/>
      <c r="H68" s="5"/>
      <c r="I68" s="5"/>
      <c r="J68" s="5"/>
    </row>
    <row r="69" spans="1:10" ht="13.05" customHeight="1">
      <c r="A69" s="5"/>
      <c r="B69" s="4" t="s">
        <v>250</v>
      </c>
      <c r="C69" s="5"/>
      <c r="D69" s="5"/>
      <c r="E69" s="5"/>
      <c r="F69" s="5"/>
      <c r="G69" s="5"/>
      <c r="H69" s="5"/>
      <c r="I69" s="5"/>
      <c r="J69" s="5"/>
    </row>
    <row r="70" spans="1:10" ht="13.05" customHeight="1">
      <c r="A70" s="5"/>
      <c r="B70" s="4" t="s">
        <v>201</v>
      </c>
      <c r="C70" s="5"/>
      <c r="D70" s="5"/>
      <c r="E70" s="5"/>
      <c r="F70" s="5"/>
      <c r="G70" s="5"/>
      <c r="H70" s="5"/>
      <c r="I70" s="5"/>
      <c r="J70" s="5"/>
    </row>
    <row r="71" spans="1:10" ht="25.95" customHeight="1">
      <c r="A71" s="5"/>
      <c r="B71" s="103" t="s">
        <v>202</v>
      </c>
      <c r="C71" s="103"/>
      <c r="D71" s="103"/>
      <c r="E71" s="103"/>
      <c r="F71" s="103"/>
      <c r="G71" s="103"/>
      <c r="H71" s="103"/>
      <c r="I71" s="103"/>
      <c r="J71" s="5"/>
    </row>
    <row r="72" spans="1:10" ht="13.05" customHeight="1">
      <c r="A72" s="5"/>
      <c r="B72" s="103" t="s">
        <v>203</v>
      </c>
      <c r="C72" s="103"/>
      <c r="D72" s="103"/>
      <c r="E72" s="103"/>
      <c r="F72" s="103"/>
      <c r="G72" s="103"/>
      <c r="H72" s="103"/>
      <c r="I72" s="103"/>
      <c r="J72" s="5"/>
    </row>
    <row r="73" spans="1:10" ht="13.05" customHeight="1">
      <c r="A73" s="5"/>
      <c r="B73" s="103"/>
      <c r="C73" s="103"/>
      <c r="D73" s="103"/>
      <c r="E73" s="103"/>
      <c r="F73" s="103"/>
      <c r="G73" s="103"/>
      <c r="H73" s="103"/>
      <c r="I73" s="103"/>
      <c r="J73" s="5"/>
    </row>
    <row r="74" spans="1:10" ht="13.05" customHeight="1">
      <c r="A74" s="5"/>
      <c r="B74" s="103"/>
      <c r="C74" s="103"/>
      <c r="D74" s="103"/>
      <c r="E74" s="103"/>
      <c r="F74" s="103"/>
      <c r="G74" s="103"/>
      <c r="H74" s="103"/>
      <c r="I74" s="103"/>
      <c r="J74" s="5"/>
    </row>
    <row r="75" spans="1:10" ht="13.05" customHeight="1">
      <c r="A75" s="5"/>
      <c r="B75" s="103"/>
      <c r="C75" s="103"/>
      <c r="D75" s="103"/>
      <c r="E75" s="103"/>
      <c r="F75" s="103"/>
      <c r="G75" s="103"/>
      <c r="H75" s="103"/>
      <c r="I75" s="103"/>
      <c r="J75" s="5"/>
    </row>
    <row r="76" spans="1:10" ht="13.05" customHeight="1">
      <c r="A76" s="5"/>
      <c r="B76" s="103"/>
      <c r="C76" s="103"/>
      <c r="D76" s="103"/>
      <c r="E76" s="103"/>
      <c r="F76" s="103"/>
      <c r="G76" s="103"/>
      <c r="H76" s="103"/>
      <c r="I76" s="103"/>
      <c r="J76" s="5"/>
    </row>
    <row r="77" spans="1:10" ht="13.05" customHeight="1">
      <c r="A77" s="5"/>
      <c r="B77" s="5"/>
      <c r="C77" s="104" t="s">
        <v>4626</v>
      </c>
      <c r="D77" s="104"/>
      <c r="E77" s="104"/>
      <c r="F77" s="104"/>
      <c r="G77" s="5"/>
      <c r="H77" s="5"/>
      <c r="I77" s="5"/>
      <c r="J77" s="5"/>
    </row>
    <row r="78" spans="1:10" ht="13.05" customHeight="1">
      <c r="A78" s="5"/>
      <c r="B78" s="38" t="s">
        <v>207</v>
      </c>
      <c r="C78" s="104" t="s">
        <v>208</v>
      </c>
      <c r="D78" s="104"/>
      <c r="E78" s="104"/>
      <c r="F78" s="104"/>
      <c r="G78" s="5"/>
      <c r="H78" s="5"/>
      <c r="I78" s="5"/>
      <c r="J78" s="5"/>
    </row>
    <row r="79" spans="1:10" ht="135" customHeight="1">
      <c r="A79" s="5"/>
      <c r="B79" s="39"/>
      <c r="C79" s="105"/>
      <c r="D79" s="105"/>
      <c r="E79" s="5"/>
      <c r="F79" s="5"/>
      <c r="G79" s="5"/>
      <c r="H79" s="5"/>
      <c r="I79" s="5"/>
      <c r="J79" s="5"/>
    </row>
  </sheetData>
  <mergeCells count="9">
    <mergeCell ref="B76:I76"/>
    <mergeCell ref="C77:F77"/>
    <mergeCell ref="C78:F78"/>
    <mergeCell ref="C79:D79"/>
    <mergeCell ref="B71:I71"/>
    <mergeCell ref="B72:I72"/>
    <mergeCell ref="B73:I73"/>
    <mergeCell ref="B74:I74"/>
    <mergeCell ref="B75:I75"/>
  </mergeCells>
  <hyperlinks>
    <hyperlink ref="A1" location="AxisNifty50IndexFund" display="AXISN50" xr:uid="{00000000-0004-0000-3200-000000000000}"/>
    <hyperlink ref="B1" location="AxisNifty50IndexFund" display="Axis Nifty 50 Index Fund" xr:uid="{00000000-0004-0000-3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outlinePr summaryBelow="0"/>
  </sheetPr>
  <dimension ref="A1:J77"/>
  <sheetViews>
    <sheetView topLeftCell="A56"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104</v>
      </c>
      <c r="B1" s="4" t="s">
        <v>105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297</v>
      </c>
      <c r="B7" s="19" t="s">
        <v>298</v>
      </c>
      <c r="C7" s="15" t="s">
        <v>299</v>
      </c>
      <c r="D7" s="15" t="s">
        <v>300</v>
      </c>
      <c r="E7" s="20">
        <v>59775</v>
      </c>
      <c r="F7" s="21">
        <v>623.33370000000002</v>
      </c>
      <c r="G7" s="22">
        <v>5.6899999999999999E-2</v>
      </c>
      <c r="H7" s="40"/>
      <c r="I7" s="24"/>
      <c r="J7" s="5"/>
    </row>
    <row r="8" spans="1:10" ht="13.05" customHeight="1">
      <c r="A8" s="18" t="s">
        <v>402</v>
      </c>
      <c r="B8" s="19" t="s">
        <v>403</v>
      </c>
      <c r="C8" s="15" t="s">
        <v>404</v>
      </c>
      <c r="D8" s="15" t="s">
        <v>405</v>
      </c>
      <c r="E8" s="20">
        <v>30102</v>
      </c>
      <c r="F8" s="21">
        <v>588.70479999999998</v>
      </c>
      <c r="G8" s="22">
        <v>5.3699999999999998E-2</v>
      </c>
      <c r="H8" s="40"/>
      <c r="I8" s="24"/>
      <c r="J8" s="5"/>
    </row>
    <row r="9" spans="1:10" ht="13.05" customHeight="1">
      <c r="A9" s="18" t="s">
        <v>349</v>
      </c>
      <c r="B9" s="19" t="s">
        <v>350</v>
      </c>
      <c r="C9" s="15" t="s">
        <v>351</v>
      </c>
      <c r="D9" s="15" t="s">
        <v>300</v>
      </c>
      <c r="E9" s="20">
        <v>27571</v>
      </c>
      <c r="F9" s="21">
        <v>575.76520000000005</v>
      </c>
      <c r="G9" s="22">
        <v>5.2600000000000001E-2</v>
      </c>
      <c r="H9" s="40"/>
      <c r="I9" s="24"/>
      <c r="J9" s="5"/>
    </row>
    <row r="10" spans="1:10" ht="13.05" customHeight="1">
      <c r="A10" s="18" t="s">
        <v>345</v>
      </c>
      <c r="B10" s="19" t="s">
        <v>346</v>
      </c>
      <c r="C10" s="15" t="s">
        <v>347</v>
      </c>
      <c r="D10" s="15" t="s">
        <v>348</v>
      </c>
      <c r="E10" s="20">
        <v>9836</v>
      </c>
      <c r="F10" s="21">
        <v>553.27499999999998</v>
      </c>
      <c r="G10" s="22">
        <v>5.0500000000000003E-2</v>
      </c>
      <c r="H10" s="40"/>
      <c r="I10" s="24"/>
      <c r="J10" s="5"/>
    </row>
    <row r="11" spans="1:10" ht="13.05" customHeight="1">
      <c r="A11" s="18" t="s">
        <v>290</v>
      </c>
      <c r="B11" s="19" t="s">
        <v>291</v>
      </c>
      <c r="C11" s="15" t="s">
        <v>292</v>
      </c>
      <c r="D11" s="15" t="s">
        <v>257</v>
      </c>
      <c r="E11" s="20">
        <v>25233</v>
      </c>
      <c r="F11" s="21">
        <v>530.44809999999995</v>
      </c>
      <c r="G11" s="22">
        <v>4.8399999999999999E-2</v>
      </c>
      <c r="H11" s="40"/>
      <c r="I11" s="24"/>
      <c r="J11" s="5"/>
    </row>
    <row r="12" spans="1:10" ht="13.05" customHeight="1">
      <c r="A12" s="18" t="s">
        <v>406</v>
      </c>
      <c r="B12" s="19" t="s">
        <v>407</v>
      </c>
      <c r="C12" s="15" t="s">
        <v>408</v>
      </c>
      <c r="D12" s="15" t="s">
        <v>314</v>
      </c>
      <c r="E12" s="20">
        <v>7697</v>
      </c>
      <c r="F12" s="21">
        <v>518.62390000000005</v>
      </c>
      <c r="G12" s="22">
        <v>4.7300000000000002E-2</v>
      </c>
      <c r="H12" s="40"/>
      <c r="I12" s="24"/>
      <c r="J12" s="5"/>
    </row>
    <row r="13" spans="1:10" ht="13.05" customHeight="1">
      <c r="A13" s="18" t="s">
        <v>426</v>
      </c>
      <c r="B13" s="19" t="s">
        <v>427</v>
      </c>
      <c r="C13" s="15" t="s">
        <v>428</v>
      </c>
      <c r="D13" s="15" t="s">
        <v>405</v>
      </c>
      <c r="E13" s="20">
        <v>70659</v>
      </c>
      <c r="F13" s="21">
        <v>517.11789999999996</v>
      </c>
      <c r="G13" s="22">
        <v>4.7199999999999999E-2</v>
      </c>
      <c r="H13" s="40"/>
      <c r="I13" s="24"/>
      <c r="J13" s="5"/>
    </row>
    <row r="14" spans="1:10" ht="13.05" customHeight="1">
      <c r="A14" s="18" t="s">
        <v>371</v>
      </c>
      <c r="B14" s="19" t="s">
        <v>372</v>
      </c>
      <c r="C14" s="15" t="s">
        <v>373</v>
      </c>
      <c r="D14" s="15" t="s">
        <v>374</v>
      </c>
      <c r="E14" s="20">
        <v>19888</v>
      </c>
      <c r="F14" s="21">
        <v>493.02350000000001</v>
      </c>
      <c r="G14" s="22">
        <v>4.4999999999999998E-2</v>
      </c>
      <c r="H14" s="40"/>
      <c r="I14" s="24"/>
      <c r="J14" s="5"/>
    </row>
    <row r="15" spans="1:10" ht="13.05" customHeight="1">
      <c r="A15" s="18" t="s">
        <v>412</v>
      </c>
      <c r="B15" s="19" t="s">
        <v>413</v>
      </c>
      <c r="C15" s="15" t="s">
        <v>414</v>
      </c>
      <c r="D15" s="15" t="s">
        <v>415</v>
      </c>
      <c r="E15" s="20">
        <v>41693</v>
      </c>
      <c r="F15" s="21">
        <v>478.5523</v>
      </c>
      <c r="G15" s="22">
        <v>4.3700000000000003E-2</v>
      </c>
      <c r="H15" s="40"/>
      <c r="I15" s="24"/>
      <c r="J15" s="5"/>
    </row>
    <row r="16" spans="1:10" ht="13.05" customHeight="1">
      <c r="A16" s="18" t="s">
        <v>446</v>
      </c>
      <c r="B16" s="19" t="s">
        <v>447</v>
      </c>
      <c r="C16" s="15" t="s">
        <v>448</v>
      </c>
      <c r="D16" s="15" t="s">
        <v>300</v>
      </c>
      <c r="E16" s="20">
        <v>25883</v>
      </c>
      <c r="F16" s="21">
        <v>439.18270000000001</v>
      </c>
      <c r="G16" s="22">
        <v>4.0099999999999997E-2</v>
      </c>
      <c r="H16" s="40"/>
      <c r="I16" s="24"/>
      <c r="J16" s="5"/>
    </row>
    <row r="17" spans="1:10" ht="13.05" customHeight="1">
      <c r="A17" s="18" t="s">
        <v>594</v>
      </c>
      <c r="B17" s="19" t="s">
        <v>595</v>
      </c>
      <c r="C17" s="15" t="s">
        <v>596</v>
      </c>
      <c r="D17" s="15" t="s">
        <v>405</v>
      </c>
      <c r="E17" s="20">
        <v>25033</v>
      </c>
      <c r="F17" s="21">
        <v>387.13529999999997</v>
      </c>
      <c r="G17" s="22">
        <v>3.5299999999999998E-2</v>
      </c>
      <c r="H17" s="40"/>
      <c r="I17" s="24"/>
      <c r="J17" s="5"/>
    </row>
    <row r="18" spans="1:10" ht="13.05" customHeight="1">
      <c r="A18" s="18" t="s">
        <v>488</v>
      </c>
      <c r="B18" s="19" t="s">
        <v>489</v>
      </c>
      <c r="C18" s="15" t="s">
        <v>490</v>
      </c>
      <c r="D18" s="15" t="s">
        <v>272</v>
      </c>
      <c r="E18" s="20">
        <v>17645</v>
      </c>
      <c r="F18" s="21">
        <v>313.7457</v>
      </c>
      <c r="G18" s="22">
        <v>2.86E-2</v>
      </c>
      <c r="H18" s="40"/>
      <c r="I18" s="24"/>
      <c r="J18" s="5"/>
    </row>
    <row r="19" spans="1:10" ht="13.05" customHeight="1">
      <c r="A19" s="18" t="s">
        <v>649</v>
      </c>
      <c r="B19" s="19" t="s">
        <v>650</v>
      </c>
      <c r="C19" s="15" t="s">
        <v>651</v>
      </c>
      <c r="D19" s="15" t="s">
        <v>581</v>
      </c>
      <c r="E19" s="20">
        <v>2210</v>
      </c>
      <c r="F19" s="21">
        <v>306.7038</v>
      </c>
      <c r="G19" s="22">
        <v>2.8000000000000001E-2</v>
      </c>
      <c r="H19" s="40"/>
      <c r="I19" s="24"/>
      <c r="J19" s="5"/>
    </row>
    <row r="20" spans="1:10" ht="13.05" customHeight="1">
      <c r="A20" s="18" t="s">
        <v>555</v>
      </c>
      <c r="B20" s="19" t="s">
        <v>556</v>
      </c>
      <c r="C20" s="15" t="s">
        <v>557</v>
      </c>
      <c r="D20" s="15" t="s">
        <v>494</v>
      </c>
      <c r="E20" s="20">
        <v>22991</v>
      </c>
      <c r="F20" s="21">
        <v>299.61869999999999</v>
      </c>
      <c r="G20" s="22">
        <v>2.7400000000000001E-2</v>
      </c>
      <c r="H20" s="40"/>
      <c r="I20" s="24"/>
      <c r="J20" s="5"/>
    </row>
    <row r="21" spans="1:10" ht="13.05" customHeight="1">
      <c r="A21" s="18" t="s">
        <v>469</v>
      </c>
      <c r="B21" s="19" t="s">
        <v>470</v>
      </c>
      <c r="C21" s="15" t="s">
        <v>471</v>
      </c>
      <c r="D21" s="15" t="s">
        <v>272</v>
      </c>
      <c r="E21" s="20">
        <v>5010</v>
      </c>
      <c r="F21" s="21">
        <v>296.42169999999999</v>
      </c>
      <c r="G21" s="22">
        <v>2.7099999999999999E-2</v>
      </c>
      <c r="H21" s="40"/>
      <c r="I21" s="24"/>
      <c r="J21" s="5"/>
    </row>
    <row r="22" spans="1:10" ht="13.05" customHeight="1">
      <c r="A22" s="18" t="s">
        <v>558</v>
      </c>
      <c r="B22" s="19" t="s">
        <v>559</v>
      </c>
      <c r="C22" s="15" t="s">
        <v>560</v>
      </c>
      <c r="D22" s="15" t="s">
        <v>374</v>
      </c>
      <c r="E22" s="20">
        <v>3028</v>
      </c>
      <c r="F22" s="21">
        <v>279.89319999999998</v>
      </c>
      <c r="G22" s="22">
        <v>2.5600000000000001E-2</v>
      </c>
      <c r="H22" s="40"/>
      <c r="I22" s="24"/>
      <c r="J22" s="5"/>
    </row>
    <row r="23" spans="1:10" ht="13.05" customHeight="1">
      <c r="A23" s="18" t="s">
        <v>514</v>
      </c>
      <c r="B23" s="19" t="s">
        <v>515</v>
      </c>
      <c r="C23" s="15" t="s">
        <v>516</v>
      </c>
      <c r="D23" s="15" t="s">
        <v>415</v>
      </c>
      <c r="E23" s="20">
        <v>27259</v>
      </c>
      <c r="F23" s="21">
        <v>278.8732</v>
      </c>
      <c r="G23" s="22">
        <v>2.5499999999999998E-2</v>
      </c>
      <c r="H23" s="40"/>
      <c r="I23" s="24"/>
      <c r="J23" s="5"/>
    </row>
    <row r="24" spans="1:10" ht="13.05" customHeight="1">
      <c r="A24" s="18" t="s">
        <v>585</v>
      </c>
      <c r="B24" s="19" t="s">
        <v>586</v>
      </c>
      <c r="C24" s="15" t="s">
        <v>587</v>
      </c>
      <c r="D24" s="15" t="s">
        <v>581</v>
      </c>
      <c r="E24" s="20">
        <v>9268</v>
      </c>
      <c r="F24" s="21">
        <v>271.59870000000001</v>
      </c>
      <c r="G24" s="22">
        <v>2.4799999999999999E-2</v>
      </c>
      <c r="H24" s="40"/>
      <c r="I24" s="24"/>
      <c r="J24" s="5"/>
    </row>
    <row r="25" spans="1:10" ht="13.05" customHeight="1">
      <c r="A25" s="18" t="s">
        <v>759</v>
      </c>
      <c r="B25" s="19" t="s">
        <v>760</v>
      </c>
      <c r="C25" s="15" t="s">
        <v>761</v>
      </c>
      <c r="D25" s="15" t="s">
        <v>603</v>
      </c>
      <c r="E25" s="20">
        <v>10509</v>
      </c>
      <c r="F25" s="21">
        <v>223.27420000000001</v>
      </c>
      <c r="G25" s="22">
        <v>2.0400000000000001E-2</v>
      </c>
      <c r="H25" s="40"/>
      <c r="I25" s="24"/>
      <c r="J25" s="5"/>
    </row>
    <row r="26" spans="1:10" ht="13.05" customHeight="1">
      <c r="A26" s="18" t="s">
        <v>745</v>
      </c>
      <c r="B26" s="19" t="s">
        <v>746</v>
      </c>
      <c r="C26" s="15" t="s">
        <v>747</v>
      </c>
      <c r="D26" s="15" t="s">
        <v>300</v>
      </c>
      <c r="E26" s="20">
        <v>24627</v>
      </c>
      <c r="F26" s="21">
        <v>216.38509999999999</v>
      </c>
      <c r="G26" s="22">
        <v>1.9800000000000002E-2</v>
      </c>
      <c r="H26" s="40"/>
      <c r="I26" s="24"/>
      <c r="J26" s="5"/>
    </row>
    <row r="27" spans="1:10" ht="13.05" customHeight="1">
      <c r="A27" s="18" t="s">
        <v>643</v>
      </c>
      <c r="B27" s="19" t="s">
        <v>644</v>
      </c>
      <c r="C27" s="15" t="s">
        <v>645</v>
      </c>
      <c r="D27" s="15" t="s">
        <v>300</v>
      </c>
      <c r="E27" s="20">
        <v>5858</v>
      </c>
      <c r="F27" s="21">
        <v>186.20820000000001</v>
      </c>
      <c r="G27" s="22">
        <v>1.7000000000000001E-2</v>
      </c>
      <c r="H27" s="40"/>
      <c r="I27" s="24"/>
      <c r="J27" s="5"/>
    </row>
    <row r="28" spans="1:10" ht="13.05" customHeight="1">
      <c r="A28" s="18" t="s">
        <v>807</v>
      </c>
      <c r="B28" s="19" t="s">
        <v>808</v>
      </c>
      <c r="C28" s="15" t="s">
        <v>809</v>
      </c>
      <c r="D28" s="15" t="s">
        <v>445</v>
      </c>
      <c r="E28" s="20">
        <v>992</v>
      </c>
      <c r="F28" s="21">
        <v>176.3578</v>
      </c>
      <c r="G28" s="22">
        <v>1.61E-2</v>
      </c>
      <c r="H28" s="40"/>
      <c r="I28" s="24"/>
      <c r="J28" s="5"/>
    </row>
    <row r="29" spans="1:10" ht="13.05" customHeight="1">
      <c r="A29" s="18" t="s">
        <v>847</v>
      </c>
      <c r="B29" s="19" t="s">
        <v>848</v>
      </c>
      <c r="C29" s="15" t="s">
        <v>849</v>
      </c>
      <c r="D29" s="15" t="s">
        <v>846</v>
      </c>
      <c r="E29" s="20">
        <v>5769</v>
      </c>
      <c r="F29" s="21">
        <v>157.43600000000001</v>
      </c>
      <c r="G29" s="22">
        <v>1.44E-2</v>
      </c>
      <c r="H29" s="40"/>
      <c r="I29" s="24"/>
      <c r="J29" s="5"/>
    </row>
    <row r="30" spans="1:10" ht="13.05" customHeight="1">
      <c r="A30" s="18" t="s">
        <v>922</v>
      </c>
      <c r="B30" s="19" t="s">
        <v>923</v>
      </c>
      <c r="C30" s="15" t="s">
        <v>924</v>
      </c>
      <c r="D30" s="15" t="s">
        <v>751</v>
      </c>
      <c r="E30" s="20">
        <v>10849</v>
      </c>
      <c r="F30" s="21">
        <v>141.55779999999999</v>
      </c>
      <c r="G30" s="22">
        <v>1.29E-2</v>
      </c>
      <c r="H30" s="40"/>
      <c r="I30" s="24"/>
      <c r="J30" s="5"/>
    </row>
    <row r="31" spans="1:10" ht="13.05" customHeight="1">
      <c r="A31" s="18" t="s">
        <v>774</v>
      </c>
      <c r="B31" s="19" t="s">
        <v>775</v>
      </c>
      <c r="C31" s="15" t="s">
        <v>776</v>
      </c>
      <c r="D31" s="15" t="s">
        <v>475</v>
      </c>
      <c r="E31" s="20">
        <v>4124</v>
      </c>
      <c r="F31" s="21">
        <v>129.1431</v>
      </c>
      <c r="G31" s="22">
        <v>1.18E-2</v>
      </c>
      <c r="H31" s="40"/>
      <c r="I31" s="24"/>
      <c r="J31" s="5"/>
    </row>
    <row r="32" spans="1:10" ht="13.05" customHeight="1">
      <c r="A32" s="18" t="s">
        <v>862</v>
      </c>
      <c r="B32" s="19" t="s">
        <v>863</v>
      </c>
      <c r="C32" s="15" t="s">
        <v>864</v>
      </c>
      <c r="D32" s="15" t="s">
        <v>581</v>
      </c>
      <c r="E32" s="20">
        <v>2041</v>
      </c>
      <c r="F32" s="21">
        <v>116.07980000000001</v>
      </c>
      <c r="G32" s="22">
        <v>1.06E-2</v>
      </c>
      <c r="H32" s="40"/>
      <c r="I32" s="24"/>
      <c r="J32" s="5"/>
    </row>
    <row r="33" spans="1:10" ht="13.05" customHeight="1">
      <c r="A33" s="18" t="s">
        <v>977</v>
      </c>
      <c r="B33" s="19" t="s">
        <v>978</v>
      </c>
      <c r="C33" s="15" t="s">
        <v>979</v>
      </c>
      <c r="D33" s="15" t="s">
        <v>300</v>
      </c>
      <c r="E33" s="20">
        <v>42193</v>
      </c>
      <c r="F33" s="21">
        <v>113.7101</v>
      </c>
      <c r="G33" s="22">
        <v>1.04E-2</v>
      </c>
      <c r="H33" s="40"/>
      <c r="I33" s="24"/>
      <c r="J33" s="5"/>
    </row>
    <row r="34" spans="1:10" ht="13.05" customHeight="1">
      <c r="A34" s="18" t="s">
        <v>1022</v>
      </c>
      <c r="B34" s="19" t="s">
        <v>1023</v>
      </c>
      <c r="C34" s="15" t="s">
        <v>1024</v>
      </c>
      <c r="D34" s="15" t="s">
        <v>321</v>
      </c>
      <c r="E34" s="20">
        <v>240414</v>
      </c>
      <c r="F34" s="21">
        <v>111.6002</v>
      </c>
      <c r="G34" s="22">
        <v>1.0200000000000001E-2</v>
      </c>
      <c r="H34" s="40"/>
      <c r="I34" s="24"/>
      <c r="J34" s="5"/>
    </row>
    <row r="35" spans="1:10" ht="13.05" customHeight="1">
      <c r="A35" s="18" t="s">
        <v>1001</v>
      </c>
      <c r="B35" s="19" t="s">
        <v>1002</v>
      </c>
      <c r="C35" s="15" t="s">
        <v>1003</v>
      </c>
      <c r="D35" s="15" t="s">
        <v>329</v>
      </c>
      <c r="E35" s="20">
        <v>7151</v>
      </c>
      <c r="F35" s="21">
        <v>109.40309999999999</v>
      </c>
      <c r="G35" s="22">
        <v>0.01</v>
      </c>
      <c r="H35" s="40"/>
      <c r="I35" s="24"/>
      <c r="J35" s="5"/>
    </row>
    <row r="36" spans="1:10" ht="13.05" customHeight="1">
      <c r="A36" s="18" t="s">
        <v>1004</v>
      </c>
      <c r="B36" s="19" t="s">
        <v>1005</v>
      </c>
      <c r="C36" s="15" t="s">
        <v>1006</v>
      </c>
      <c r="D36" s="15" t="s">
        <v>268</v>
      </c>
      <c r="E36" s="20">
        <v>5542</v>
      </c>
      <c r="F36" s="21">
        <v>103.1255</v>
      </c>
      <c r="G36" s="22">
        <v>9.4000000000000004E-3</v>
      </c>
      <c r="H36" s="40"/>
      <c r="I36" s="24"/>
      <c r="J36" s="5"/>
    </row>
    <row r="37" spans="1:10" ht="13.05" customHeight="1">
      <c r="A37" s="18" t="s">
        <v>1090</v>
      </c>
      <c r="B37" s="19" t="s">
        <v>1091</v>
      </c>
      <c r="C37" s="15" t="s">
        <v>1092</v>
      </c>
      <c r="D37" s="15" t="s">
        <v>415</v>
      </c>
      <c r="E37" s="20">
        <v>5822</v>
      </c>
      <c r="F37" s="21">
        <v>102.3158</v>
      </c>
      <c r="G37" s="22">
        <v>9.2999999999999992E-3</v>
      </c>
      <c r="H37" s="40"/>
      <c r="I37" s="24"/>
      <c r="J37" s="5"/>
    </row>
    <row r="38" spans="1:10" ht="13.05" customHeight="1">
      <c r="A38" s="18" t="s">
        <v>1061</v>
      </c>
      <c r="B38" s="19" t="s">
        <v>1062</v>
      </c>
      <c r="C38" s="15" t="s">
        <v>1063</v>
      </c>
      <c r="D38" s="15" t="s">
        <v>1064</v>
      </c>
      <c r="E38" s="20">
        <v>3110</v>
      </c>
      <c r="F38" s="21">
        <v>95.716499999999996</v>
      </c>
      <c r="G38" s="22">
        <v>8.6999999999999994E-3</v>
      </c>
      <c r="H38" s="40"/>
      <c r="I38" s="24"/>
      <c r="J38" s="5"/>
    </row>
    <row r="39" spans="1:10" ht="13.05" customHeight="1">
      <c r="A39" s="18" t="s">
        <v>958</v>
      </c>
      <c r="B39" s="19" t="s">
        <v>959</v>
      </c>
      <c r="C39" s="15" t="s">
        <v>960</v>
      </c>
      <c r="D39" s="15" t="s">
        <v>415</v>
      </c>
      <c r="E39" s="20">
        <v>13804</v>
      </c>
      <c r="F39" s="21">
        <v>93.597999999999999</v>
      </c>
      <c r="G39" s="22">
        <v>8.5000000000000006E-3</v>
      </c>
      <c r="H39" s="40"/>
      <c r="I39" s="24"/>
      <c r="J39" s="5"/>
    </row>
    <row r="40" spans="1:10" ht="13.05" customHeight="1">
      <c r="A40" s="18" t="s">
        <v>946</v>
      </c>
      <c r="B40" s="19" t="s">
        <v>947</v>
      </c>
      <c r="C40" s="15" t="s">
        <v>948</v>
      </c>
      <c r="D40" s="15" t="s">
        <v>325</v>
      </c>
      <c r="E40" s="20">
        <v>15836</v>
      </c>
      <c r="F40" s="21">
        <v>85.846999999999994</v>
      </c>
      <c r="G40" s="22">
        <v>7.7999999999999996E-3</v>
      </c>
      <c r="H40" s="40"/>
      <c r="I40" s="24"/>
      <c r="J40" s="5"/>
    </row>
    <row r="41" spans="1:10" ht="13.05" customHeight="1">
      <c r="A41" s="18" t="s">
        <v>931</v>
      </c>
      <c r="B41" s="19" t="s">
        <v>932</v>
      </c>
      <c r="C41" s="15" t="s">
        <v>933</v>
      </c>
      <c r="D41" s="15" t="s">
        <v>325</v>
      </c>
      <c r="E41" s="20">
        <v>1032</v>
      </c>
      <c r="F41" s="21">
        <v>82.936700000000002</v>
      </c>
      <c r="G41" s="22">
        <v>7.6E-3</v>
      </c>
      <c r="H41" s="40"/>
      <c r="I41" s="24"/>
      <c r="J41" s="5"/>
    </row>
    <row r="42" spans="1:10" ht="13.05" customHeight="1">
      <c r="A42" s="18" t="s">
        <v>967</v>
      </c>
      <c r="B42" s="19" t="s">
        <v>968</v>
      </c>
      <c r="C42" s="15" t="s">
        <v>969</v>
      </c>
      <c r="D42" s="15" t="s">
        <v>970</v>
      </c>
      <c r="E42" s="20">
        <v>32480</v>
      </c>
      <c r="F42" s="21">
        <v>82.418000000000006</v>
      </c>
      <c r="G42" s="22">
        <v>7.4999999999999997E-3</v>
      </c>
      <c r="H42" s="40"/>
      <c r="I42" s="24"/>
      <c r="J42" s="5"/>
    </row>
    <row r="43" spans="1:10" ht="13.05" customHeight="1">
      <c r="A43" s="18" t="s">
        <v>843</v>
      </c>
      <c r="B43" s="19" t="s">
        <v>844</v>
      </c>
      <c r="C43" s="15" t="s">
        <v>845</v>
      </c>
      <c r="D43" s="15" t="s">
        <v>846</v>
      </c>
      <c r="E43" s="20">
        <v>1216</v>
      </c>
      <c r="F43" s="21">
        <v>81.526700000000005</v>
      </c>
      <c r="G43" s="22">
        <v>7.4000000000000003E-3</v>
      </c>
      <c r="H43" s="40"/>
      <c r="I43" s="24"/>
      <c r="J43" s="5"/>
    </row>
    <row r="44" spans="1:10" ht="13.05" customHeight="1">
      <c r="A44" s="18" t="s">
        <v>1034</v>
      </c>
      <c r="B44" s="19" t="s">
        <v>1035</v>
      </c>
      <c r="C44" s="15" t="s">
        <v>1036</v>
      </c>
      <c r="D44" s="15" t="s">
        <v>501</v>
      </c>
      <c r="E44" s="20">
        <v>8190</v>
      </c>
      <c r="F44" s="21">
        <v>79.094899999999996</v>
      </c>
      <c r="G44" s="22">
        <v>7.1999999999999998E-3</v>
      </c>
      <c r="H44" s="40"/>
      <c r="I44" s="24"/>
      <c r="J44" s="5"/>
    </row>
    <row r="45" spans="1:10" ht="13.05" customHeight="1">
      <c r="A45" s="18" t="s">
        <v>1195</v>
      </c>
      <c r="B45" s="19" t="s">
        <v>1196</v>
      </c>
      <c r="C45" s="15" t="s">
        <v>1197</v>
      </c>
      <c r="D45" s="15" t="s">
        <v>581</v>
      </c>
      <c r="E45" s="20">
        <v>5083</v>
      </c>
      <c r="F45" s="21">
        <v>75.817999999999998</v>
      </c>
      <c r="G45" s="22">
        <v>6.8999999999999999E-3</v>
      </c>
      <c r="H45" s="40"/>
      <c r="I45" s="24"/>
      <c r="J45" s="5"/>
    </row>
    <row r="46" spans="1:10" ht="13.05" customHeight="1">
      <c r="A46" s="18" t="s">
        <v>1168</v>
      </c>
      <c r="B46" s="19" t="s">
        <v>1169</v>
      </c>
      <c r="C46" s="15" t="s">
        <v>1170</v>
      </c>
      <c r="D46" s="15" t="s">
        <v>272</v>
      </c>
      <c r="E46" s="20">
        <v>6562</v>
      </c>
      <c r="F46" s="21">
        <v>74.380300000000005</v>
      </c>
      <c r="G46" s="22">
        <v>6.7999999999999996E-3</v>
      </c>
      <c r="H46" s="40"/>
      <c r="I46" s="24"/>
      <c r="J46" s="5"/>
    </row>
    <row r="47" spans="1:10" ht="13.05" customHeight="1">
      <c r="A47" s="18" t="s">
        <v>1355</v>
      </c>
      <c r="B47" s="19" t="s">
        <v>1356</v>
      </c>
      <c r="C47" s="15" t="s">
        <v>1357</v>
      </c>
      <c r="D47" s="15" t="s">
        <v>329</v>
      </c>
      <c r="E47" s="20">
        <v>2507</v>
      </c>
      <c r="F47" s="21">
        <v>64.081400000000002</v>
      </c>
      <c r="G47" s="22">
        <v>5.7999999999999996E-3</v>
      </c>
      <c r="H47" s="40"/>
      <c r="I47" s="24"/>
      <c r="J47" s="5"/>
    </row>
    <row r="48" spans="1:10" ht="13.05" customHeight="1">
      <c r="A48" s="18" t="s">
        <v>1120</v>
      </c>
      <c r="B48" s="19" t="s">
        <v>1121</v>
      </c>
      <c r="C48" s="15" t="s">
        <v>1122</v>
      </c>
      <c r="D48" s="15" t="s">
        <v>970</v>
      </c>
      <c r="E48" s="20">
        <v>17952</v>
      </c>
      <c r="F48" s="21">
        <v>63.5321</v>
      </c>
      <c r="G48" s="22">
        <v>5.7999999999999996E-3</v>
      </c>
      <c r="H48" s="40"/>
      <c r="I48" s="24"/>
      <c r="J48" s="5"/>
    </row>
    <row r="49" spans="1:10" ht="13.05" customHeight="1">
      <c r="A49" s="18" t="s">
        <v>1162</v>
      </c>
      <c r="B49" s="19" t="s">
        <v>1163</v>
      </c>
      <c r="C49" s="15" t="s">
        <v>1164</v>
      </c>
      <c r="D49" s="15" t="s">
        <v>501</v>
      </c>
      <c r="E49" s="20">
        <v>365</v>
      </c>
      <c r="F49" s="21">
        <v>63.082999999999998</v>
      </c>
      <c r="G49" s="22">
        <v>5.7999999999999996E-3</v>
      </c>
      <c r="H49" s="40"/>
      <c r="I49" s="24"/>
      <c r="J49" s="5"/>
    </row>
    <row r="50" spans="1:10" ht="13.05" customHeight="1">
      <c r="A50" s="18" t="s">
        <v>1141</v>
      </c>
      <c r="B50" s="19" t="s">
        <v>1142</v>
      </c>
      <c r="C50" s="15" t="s">
        <v>1143</v>
      </c>
      <c r="D50" s="15" t="s">
        <v>314</v>
      </c>
      <c r="E50" s="20">
        <v>2387</v>
      </c>
      <c r="F50" s="21">
        <v>62.506</v>
      </c>
      <c r="G50" s="22">
        <v>5.7000000000000002E-3</v>
      </c>
      <c r="H50" s="40"/>
      <c r="I50" s="24"/>
      <c r="J50" s="5"/>
    </row>
    <row r="51" spans="1:10" ht="13.05" customHeight="1">
      <c r="A51" s="18" t="s">
        <v>1299</v>
      </c>
      <c r="B51" s="19" t="s">
        <v>1300</v>
      </c>
      <c r="C51" s="15" t="s">
        <v>1301</v>
      </c>
      <c r="D51" s="15" t="s">
        <v>325</v>
      </c>
      <c r="E51" s="20">
        <v>10856</v>
      </c>
      <c r="F51" s="21">
        <v>61.982300000000002</v>
      </c>
      <c r="G51" s="22">
        <v>5.7000000000000002E-3</v>
      </c>
      <c r="H51" s="40"/>
      <c r="I51" s="24"/>
      <c r="J51" s="5"/>
    </row>
    <row r="52" spans="1:10" ht="13.05" customHeight="1">
      <c r="A52" s="18" t="s">
        <v>1278</v>
      </c>
      <c r="B52" s="19" t="s">
        <v>1279</v>
      </c>
      <c r="C52" s="15" t="s">
        <v>1280</v>
      </c>
      <c r="D52" s="15" t="s">
        <v>567</v>
      </c>
      <c r="E52" s="20">
        <v>1404</v>
      </c>
      <c r="F52" s="21">
        <v>56.619100000000003</v>
      </c>
      <c r="G52" s="22">
        <v>5.1999999999999998E-3</v>
      </c>
      <c r="H52" s="40"/>
      <c r="I52" s="24"/>
      <c r="J52" s="5"/>
    </row>
    <row r="53" spans="1:10" ht="13.05" customHeight="1">
      <c r="A53" s="18" t="s">
        <v>1281</v>
      </c>
      <c r="B53" s="19" t="s">
        <v>1282</v>
      </c>
      <c r="C53" s="15" t="s">
        <v>1283</v>
      </c>
      <c r="D53" s="15" t="s">
        <v>314</v>
      </c>
      <c r="E53" s="20">
        <v>3482</v>
      </c>
      <c r="F53" s="21">
        <v>55.423000000000002</v>
      </c>
      <c r="G53" s="22">
        <v>5.1000000000000004E-3</v>
      </c>
      <c r="H53" s="40"/>
      <c r="I53" s="24"/>
      <c r="J53" s="5"/>
    </row>
    <row r="54" spans="1:10" ht="13.05" customHeight="1">
      <c r="A54" s="18" t="s">
        <v>1226</v>
      </c>
      <c r="B54" s="19" t="s">
        <v>1227</v>
      </c>
      <c r="C54" s="15" t="s">
        <v>1228</v>
      </c>
      <c r="D54" s="15" t="s">
        <v>300</v>
      </c>
      <c r="E54" s="20">
        <v>4499</v>
      </c>
      <c r="F54" s="21">
        <v>53.767499999999998</v>
      </c>
      <c r="G54" s="22">
        <v>4.8999999999999998E-3</v>
      </c>
      <c r="H54" s="40"/>
      <c r="I54" s="24"/>
      <c r="J54" s="5"/>
    </row>
    <row r="55" spans="1:10" ht="13.05" customHeight="1">
      <c r="A55" s="18" t="s">
        <v>1522</v>
      </c>
      <c r="B55" s="19" t="s">
        <v>1523</v>
      </c>
      <c r="C55" s="15" t="s">
        <v>1524</v>
      </c>
      <c r="D55" s="15" t="s">
        <v>435</v>
      </c>
      <c r="E55" s="20">
        <v>9441</v>
      </c>
      <c r="F55" s="21">
        <v>39.699399999999997</v>
      </c>
      <c r="G55" s="22">
        <v>3.5999999999999999E-3</v>
      </c>
      <c r="H55" s="40"/>
      <c r="I55" s="24"/>
      <c r="J55" s="5"/>
    </row>
    <row r="56" spans="1:10" ht="13.05" customHeight="1">
      <c r="A56" s="18" t="s">
        <v>1459</v>
      </c>
      <c r="B56" s="19" t="s">
        <v>1460</v>
      </c>
      <c r="C56" s="15" t="s">
        <v>1461</v>
      </c>
      <c r="D56" s="15" t="s">
        <v>329</v>
      </c>
      <c r="E56" s="20">
        <v>2821</v>
      </c>
      <c r="F56" s="21">
        <v>38.2866</v>
      </c>
      <c r="G56" s="22">
        <v>3.5000000000000001E-3</v>
      </c>
      <c r="H56" s="40"/>
      <c r="I56" s="24"/>
      <c r="J56" s="5"/>
    </row>
    <row r="57" spans="1:10" ht="13.05" customHeight="1">
      <c r="A57" s="5"/>
      <c r="B57" s="14" t="s">
        <v>192</v>
      </c>
      <c r="C57" s="15"/>
      <c r="D57" s="15"/>
      <c r="E57" s="15"/>
      <c r="F57" s="25">
        <v>10948.930899999999</v>
      </c>
      <c r="G57" s="26">
        <v>0.99950000000000006</v>
      </c>
      <c r="H57" s="27"/>
      <c r="I57" s="28"/>
      <c r="J57" s="5"/>
    </row>
    <row r="58" spans="1:10" ht="13.05" customHeight="1">
      <c r="A58" s="5"/>
      <c r="B58" s="29" t="s">
        <v>1812</v>
      </c>
      <c r="C58" s="2"/>
      <c r="D58" s="2"/>
      <c r="E58" s="2"/>
      <c r="F58" s="27" t="s">
        <v>194</v>
      </c>
      <c r="G58" s="27" t="s">
        <v>194</v>
      </c>
      <c r="H58" s="27"/>
      <c r="I58" s="28"/>
      <c r="J58" s="5"/>
    </row>
    <row r="59" spans="1:10" ht="13.05" customHeight="1">
      <c r="A59" s="5"/>
      <c r="B59" s="29" t="s">
        <v>192</v>
      </c>
      <c r="C59" s="2"/>
      <c r="D59" s="2"/>
      <c r="E59" s="2"/>
      <c r="F59" s="27" t="s">
        <v>194</v>
      </c>
      <c r="G59" s="27" t="s">
        <v>194</v>
      </c>
      <c r="H59" s="27"/>
      <c r="I59" s="28"/>
      <c r="J59" s="5"/>
    </row>
    <row r="60" spans="1:10" ht="13.05" customHeight="1">
      <c r="A60" s="5"/>
      <c r="B60" s="29" t="s">
        <v>195</v>
      </c>
      <c r="C60" s="30"/>
      <c r="D60" s="2"/>
      <c r="E60" s="30"/>
      <c r="F60" s="25">
        <v>10948.930899999999</v>
      </c>
      <c r="G60" s="26">
        <v>0.99950000000000006</v>
      </c>
      <c r="H60" s="27"/>
      <c r="I60" s="28"/>
      <c r="J60" s="5"/>
    </row>
    <row r="61" spans="1:10" ht="13.05" customHeight="1">
      <c r="A61" s="5"/>
      <c r="B61" s="14" t="s">
        <v>196</v>
      </c>
      <c r="C61" s="15"/>
      <c r="D61" s="15"/>
      <c r="E61" s="15"/>
      <c r="F61" s="15"/>
      <c r="G61" s="15"/>
      <c r="H61" s="16"/>
      <c r="I61" s="17"/>
      <c r="J61" s="5"/>
    </row>
    <row r="62" spans="1:10" ht="13.05" customHeight="1">
      <c r="A62" s="18" t="s">
        <v>197</v>
      </c>
      <c r="B62" s="19" t="s">
        <v>198</v>
      </c>
      <c r="C62" s="15"/>
      <c r="D62" s="15"/>
      <c r="E62" s="20"/>
      <c r="F62" s="21">
        <v>102.6088</v>
      </c>
      <c r="G62" s="22">
        <v>9.4000000000000004E-3</v>
      </c>
      <c r="H62" s="23">
        <v>5.5573622488830139E-2</v>
      </c>
      <c r="I62" s="24"/>
      <c r="J62" s="5"/>
    </row>
    <row r="63" spans="1:10" ht="13.05" customHeight="1">
      <c r="A63" s="5"/>
      <c r="B63" s="14" t="s">
        <v>192</v>
      </c>
      <c r="C63" s="15"/>
      <c r="D63" s="15"/>
      <c r="E63" s="15"/>
      <c r="F63" s="25">
        <v>102.6088</v>
      </c>
      <c r="G63" s="26">
        <v>9.4000000000000004E-3</v>
      </c>
      <c r="H63" s="27"/>
      <c r="I63" s="28"/>
      <c r="J63" s="5"/>
    </row>
    <row r="64" spans="1:10" ht="13.05" customHeight="1">
      <c r="A64" s="5"/>
      <c r="B64" s="29" t="s">
        <v>195</v>
      </c>
      <c r="C64" s="30"/>
      <c r="D64" s="2"/>
      <c r="E64" s="30"/>
      <c r="F64" s="25">
        <v>102.6088</v>
      </c>
      <c r="G64" s="26">
        <v>9.4000000000000004E-3</v>
      </c>
      <c r="H64" s="27"/>
      <c r="I64" s="28"/>
      <c r="J64" s="5"/>
    </row>
    <row r="65" spans="1:10" ht="13.05" customHeight="1">
      <c r="A65" s="5"/>
      <c r="B65" s="29" t="s">
        <v>199</v>
      </c>
      <c r="C65" s="15"/>
      <c r="D65" s="2"/>
      <c r="E65" s="15"/>
      <c r="F65" s="31">
        <v>-97.139700000000005</v>
      </c>
      <c r="G65" s="26">
        <v>-8.8999999999999999E-3</v>
      </c>
      <c r="H65" s="27"/>
      <c r="I65" s="28"/>
      <c r="J65" s="5"/>
    </row>
    <row r="66" spans="1:10" ht="13.05" customHeight="1">
      <c r="A66" s="5"/>
      <c r="B66" s="32" t="s">
        <v>200</v>
      </c>
      <c r="C66" s="33"/>
      <c r="D66" s="33"/>
      <c r="E66" s="33"/>
      <c r="F66" s="34">
        <v>10954.4</v>
      </c>
      <c r="G66" s="35">
        <v>1</v>
      </c>
      <c r="H66" s="36"/>
      <c r="I66" s="37"/>
      <c r="J66" s="5"/>
    </row>
    <row r="67" spans="1:10" ht="13.05" customHeight="1">
      <c r="A67" s="5"/>
      <c r="B67" s="7"/>
      <c r="C67" s="5"/>
      <c r="D67" s="5"/>
      <c r="E67" s="5"/>
      <c r="F67" s="5"/>
      <c r="G67" s="5"/>
      <c r="H67" s="5"/>
      <c r="I67" s="5"/>
      <c r="J67" s="5"/>
    </row>
    <row r="68" spans="1:10" ht="13.05" customHeight="1">
      <c r="A68" s="5"/>
      <c r="B68" s="4" t="s">
        <v>201</v>
      </c>
      <c r="C68" s="5"/>
      <c r="D68" s="5"/>
      <c r="E68" s="5"/>
      <c r="F68" s="5"/>
      <c r="G68" s="5"/>
      <c r="H68" s="5"/>
      <c r="I68" s="5"/>
      <c r="J68" s="5"/>
    </row>
    <row r="69" spans="1:10" ht="25.95" customHeight="1">
      <c r="A69" s="5"/>
      <c r="B69" s="103" t="s">
        <v>202</v>
      </c>
      <c r="C69" s="103"/>
      <c r="D69" s="103"/>
      <c r="E69" s="103"/>
      <c r="F69" s="103"/>
      <c r="G69" s="103"/>
      <c r="H69" s="103"/>
      <c r="I69" s="103"/>
      <c r="J69" s="5"/>
    </row>
    <row r="70" spans="1:10" ht="13.05" customHeight="1">
      <c r="A70" s="5"/>
      <c r="B70" s="103" t="s">
        <v>203</v>
      </c>
      <c r="C70" s="103"/>
      <c r="D70" s="103"/>
      <c r="E70" s="103"/>
      <c r="F70" s="103"/>
      <c r="G70" s="103"/>
      <c r="H70" s="103"/>
      <c r="I70" s="103"/>
      <c r="J70" s="5"/>
    </row>
    <row r="71" spans="1:10" ht="13.05" customHeight="1">
      <c r="A71" s="5"/>
      <c r="B71" s="103"/>
      <c r="C71" s="103"/>
      <c r="D71" s="103"/>
      <c r="E71" s="103"/>
      <c r="F71" s="103"/>
      <c r="G71" s="103"/>
      <c r="H71" s="103"/>
      <c r="I71" s="103"/>
      <c r="J71" s="5"/>
    </row>
    <row r="72" spans="1:10" ht="13.05" customHeight="1">
      <c r="A72" s="5"/>
      <c r="B72" s="103"/>
      <c r="C72" s="103"/>
      <c r="D72" s="103"/>
      <c r="E72" s="103"/>
      <c r="F72" s="103"/>
      <c r="G72" s="103"/>
      <c r="H72" s="103"/>
      <c r="I72" s="103"/>
      <c r="J72" s="5"/>
    </row>
    <row r="73" spans="1:10" ht="13.05" customHeight="1">
      <c r="A73" s="5"/>
      <c r="B73" s="103"/>
      <c r="C73" s="103"/>
      <c r="D73" s="103"/>
      <c r="E73" s="103"/>
      <c r="F73" s="103"/>
      <c r="G73" s="103"/>
      <c r="H73" s="103"/>
      <c r="I73" s="103"/>
      <c r="J73" s="5"/>
    </row>
    <row r="74" spans="1:10" ht="13.05" customHeight="1">
      <c r="A74" s="5"/>
      <c r="B74" s="103"/>
      <c r="C74" s="103"/>
      <c r="D74" s="103"/>
      <c r="E74" s="103"/>
      <c r="F74" s="103"/>
      <c r="G74" s="103"/>
      <c r="H74" s="103"/>
      <c r="I74" s="103"/>
      <c r="J74" s="5"/>
    </row>
    <row r="75" spans="1:10" ht="13.05" customHeight="1">
      <c r="A75" s="5"/>
      <c r="B75" s="5"/>
      <c r="C75" s="104" t="s">
        <v>4627</v>
      </c>
      <c r="D75" s="104"/>
      <c r="E75" s="104"/>
      <c r="F75" s="104"/>
      <c r="G75" s="5"/>
      <c r="H75" s="5"/>
      <c r="I75" s="5"/>
      <c r="J75" s="5"/>
    </row>
    <row r="76" spans="1:10" ht="13.05" customHeight="1">
      <c r="A76" s="5"/>
      <c r="B76" s="38" t="s">
        <v>207</v>
      </c>
      <c r="C76" s="104" t="s">
        <v>208</v>
      </c>
      <c r="D76" s="104"/>
      <c r="E76" s="104"/>
      <c r="F76" s="104"/>
      <c r="G76" s="5"/>
      <c r="H76" s="5"/>
      <c r="I76" s="5"/>
      <c r="J76" s="5"/>
    </row>
    <row r="77" spans="1:10" ht="135" customHeight="1">
      <c r="A77" s="5"/>
      <c r="B77" s="39"/>
      <c r="C77" s="105"/>
      <c r="D77" s="105"/>
      <c r="E77" s="5"/>
      <c r="F77" s="5"/>
      <c r="G77" s="5"/>
      <c r="H77" s="5"/>
      <c r="I77" s="5"/>
      <c r="J77" s="5"/>
    </row>
  </sheetData>
  <mergeCells count="9">
    <mergeCell ref="B74:I74"/>
    <mergeCell ref="C75:F75"/>
    <mergeCell ref="C76:F76"/>
    <mergeCell ref="C77:D77"/>
    <mergeCell ref="B69:I69"/>
    <mergeCell ref="B70:I70"/>
    <mergeCell ref="B71:I71"/>
    <mergeCell ref="B72:I72"/>
    <mergeCell ref="B73:I73"/>
  </mergeCells>
  <hyperlinks>
    <hyperlink ref="A1" location="AxisNifty500Momentum50IndexFund" display="AXISN500" xr:uid="{00000000-0004-0000-3300-000000000000}"/>
    <hyperlink ref="B1" location="AxisNifty500Momentum50IndexFund" display="Axis Nifty500 Momentum 50 Index Fund" xr:uid="{00000000-0004-0000-3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outlinePr summaryBelow="0"/>
  </sheetPr>
  <dimension ref="A1:J39"/>
  <sheetViews>
    <sheetView topLeftCell="A29"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106</v>
      </c>
      <c r="B1" s="4" t="s">
        <v>107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406278</v>
      </c>
      <c r="F7" s="21">
        <v>4011.1826999999998</v>
      </c>
      <c r="G7" s="22">
        <v>0.28000000000000003</v>
      </c>
      <c r="H7" s="40"/>
      <c r="I7" s="24"/>
      <c r="J7" s="5"/>
    </row>
    <row r="8" spans="1:10" ht="13.05" customHeight="1">
      <c r="A8" s="18" t="s">
        <v>262</v>
      </c>
      <c r="B8" s="19" t="s">
        <v>263</v>
      </c>
      <c r="C8" s="15" t="s">
        <v>264</v>
      </c>
      <c r="D8" s="15" t="s">
        <v>257</v>
      </c>
      <c r="E8" s="20">
        <v>245266</v>
      </c>
      <c r="F8" s="21">
        <v>3299.5635000000002</v>
      </c>
      <c r="G8" s="22">
        <v>0.2303</v>
      </c>
      <c r="H8" s="40"/>
      <c r="I8" s="24"/>
      <c r="J8" s="5"/>
    </row>
    <row r="9" spans="1:10" ht="13.05" customHeight="1">
      <c r="A9" s="18" t="s">
        <v>281</v>
      </c>
      <c r="B9" s="19" t="s">
        <v>282</v>
      </c>
      <c r="C9" s="15" t="s">
        <v>283</v>
      </c>
      <c r="D9" s="15" t="s">
        <v>257</v>
      </c>
      <c r="E9" s="20">
        <v>142535</v>
      </c>
      <c r="F9" s="21">
        <v>1335.5530000000001</v>
      </c>
      <c r="G9" s="22">
        <v>9.3200000000000005E-2</v>
      </c>
      <c r="H9" s="40"/>
      <c r="I9" s="24"/>
      <c r="J9" s="5"/>
    </row>
    <row r="10" spans="1:10" ht="13.05" customHeight="1">
      <c r="A10" s="18" t="s">
        <v>284</v>
      </c>
      <c r="B10" s="19" t="s">
        <v>285</v>
      </c>
      <c r="C10" s="15" t="s">
        <v>286</v>
      </c>
      <c r="D10" s="15" t="s">
        <v>257</v>
      </c>
      <c r="E10" s="20">
        <v>105239</v>
      </c>
      <c r="F10" s="21">
        <v>1297.3864000000001</v>
      </c>
      <c r="G10" s="22">
        <v>9.06E-2</v>
      </c>
      <c r="H10" s="40"/>
      <c r="I10" s="24"/>
      <c r="J10" s="5"/>
    </row>
    <row r="11" spans="1:10" ht="13.05" customHeight="1">
      <c r="A11" s="18" t="s">
        <v>290</v>
      </c>
      <c r="B11" s="19" t="s">
        <v>291</v>
      </c>
      <c r="C11" s="15" t="s">
        <v>292</v>
      </c>
      <c r="D11" s="15" t="s">
        <v>257</v>
      </c>
      <c r="E11" s="20">
        <v>60959</v>
      </c>
      <c r="F11" s="21">
        <v>1281.4801</v>
      </c>
      <c r="G11" s="22">
        <v>8.9399999999999993E-2</v>
      </c>
      <c r="H11" s="40"/>
      <c r="I11" s="24"/>
      <c r="J11" s="5"/>
    </row>
    <row r="12" spans="1:10" ht="13.05" customHeight="1">
      <c r="A12" s="18" t="s">
        <v>495</v>
      </c>
      <c r="B12" s="19" t="s">
        <v>496</v>
      </c>
      <c r="C12" s="15" t="s">
        <v>497</v>
      </c>
      <c r="D12" s="15" t="s">
        <v>257</v>
      </c>
      <c r="E12" s="20">
        <v>216102</v>
      </c>
      <c r="F12" s="21">
        <v>511.31889999999999</v>
      </c>
      <c r="G12" s="22">
        <v>3.5700000000000003E-2</v>
      </c>
      <c r="H12" s="40"/>
      <c r="I12" s="24"/>
      <c r="J12" s="5"/>
    </row>
    <row r="13" spans="1:10" ht="13.05" customHeight="1">
      <c r="A13" s="18" t="s">
        <v>511</v>
      </c>
      <c r="B13" s="19" t="s">
        <v>512</v>
      </c>
      <c r="C13" s="15" t="s">
        <v>513</v>
      </c>
      <c r="D13" s="15" t="s">
        <v>257</v>
      </c>
      <c r="E13" s="20">
        <v>579517</v>
      </c>
      <c r="F13" s="21">
        <v>473.87110000000001</v>
      </c>
      <c r="G13" s="22">
        <v>3.3099999999999997E-2</v>
      </c>
      <c r="H13" s="40"/>
      <c r="I13" s="24"/>
      <c r="J13" s="5"/>
    </row>
    <row r="14" spans="1:10" ht="13.05" customHeight="1">
      <c r="A14" s="18" t="s">
        <v>526</v>
      </c>
      <c r="B14" s="19" t="s">
        <v>527</v>
      </c>
      <c r="C14" s="15" t="s">
        <v>528</v>
      </c>
      <c r="D14" s="15" t="s">
        <v>257</v>
      </c>
      <c r="E14" s="20">
        <v>57710</v>
      </c>
      <c r="F14" s="21">
        <v>458.67910000000001</v>
      </c>
      <c r="G14" s="22">
        <v>3.2000000000000001E-2</v>
      </c>
      <c r="H14" s="40"/>
      <c r="I14" s="24"/>
      <c r="J14" s="5"/>
    </row>
    <row r="15" spans="1:10" ht="13.05" customHeight="1">
      <c r="A15" s="18" t="s">
        <v>529</v>
      </c>
      <c r="B15" s="19" t="s">
        <v>530</v>
      </c>
      <c r="C15" s="15" t="s">
        <v>531</v>
      </c>
      <c r="D15" s="15" t="s">
        <v>257</v>
      </c>
      <c r="E15" s="20">
        <v>161746</v>
      </c>
      <c r="F15" s="21">
        <v>450.30090000000001</v>
      </c>
      <c r="G15" s="22">
        <v>3.1399999999999997E-2</v>
      </c>
      <c r="H15" s="40"/>
      <c r="I15" s="24"/>
      <c r="J15" s="5"/>
    </row>
    <row r="16" spans="1:10" ht="13.05" customHeight="1">
      <c r="A16" s="18" t="s">
        <v>535</v>
      </c>
      <c r="B16" s="19" t="s">
        <v>536</v>
      </c>
      <c r="C16" s="15" t="s">
        <v>537</v>
      </c>
      <c r="D16" s="15" t="s">
        <v>257</v>
      </c>
      <c r="E16" s="20">
        <v>49305</v>
      </c>
      <c r="F16" s="21">
        <v>432.82389999999998</v>
      </c>
      <c r="G16" s="22">
        <v>3.0200000000000001E-2</v>
      </c>
      <c r="H16" s="40"/>
      <c r="I16" s="24"/>
      <c r="J16" s="5"/>
    </row>
    <row r="17" spans="1:10" ht="13.05" customHeight="1">
      <c r="A17" s="18" t="s">
        <v>568</v>
      </c>
      <c r="B17" s="19" t="s">
        <v>569</v>
      </c>
      <c r="C17" s="15" t="s">
        <v>570</v>
      </c>
      <c r="D17" s="15" t="s">
        <v>257</v>
      </c>
      <c r="E17" s="20">
        <v>295405</v>
      </c>
      <c r="F17" s="21">
        <v>404.67529999999999</v>
      </c>
      <c r="G17" s="22">
        <v>2.8199999999999999E-2</v>
      </c>
      <c r="H17" s="40"/>
      <c r="I17" s="24"/>
      <c r="J17" s="5"/>
    </row>
    <row r="18" spans="1:10" ht="13.05" customHeight="1">
      <c r="A18" s="18" t="s">
        <v>588</v>
      </c>
      <c r="B18" s="19" t="s">
        <v>589</v>
      </c>
      <c r="C18" s="15" t="s">
        <v>590</v>
      </c>
      <c r="D18" s="15" t="s">
        <v>257</v>
      </c>
      <c r="E18" s="20">
        <v>302058</v>
      </c>
      <c r="F18" s="21">
        <v>371.19909999999999</v>
      </c>
      <c r="G18" s="22">
        <v>2.5899999999999999E-2</v>
      </c>
      <c r="H18" s="40"/>
      <c r="I18" s="24"/>
      <c r="J18" s="5"/>
    </row>
    <row r="19" spans="1:10" ht="13.05" customHeight="1">
      <c r="A19" s="5"/>
      <c r="B19" s="14" t="s">
        <v>192</v>
      </c>
      <c r="C19" s="15"/>
      <c r="D19" s="15"/>
      <c r="E19" s="15"/>
      <c r="F19" s="25">
        <v>14328.0339</v>
      </c>
      <c r="G19" s="26">
        <v>1</v>
      </c>
      <c r="H19" s="27"/>
      <c r="I19" s="28"/>
      <c r="J19" s="5"/>
    </row>
    <row r="20" spans="1:10" ht="13.05" customHeight="1">
      <c r="A20" s="5"/>
      <c r="B20" s="29" t="s">
        <v>1812</v>
      </c>
      <c r="C20" s="2"/>
      <c r="D20" s="2"/>
      <c r="E20" s="2"/>
      <c r="F20" s="27" t="s">
        <v>194</v>
      </c>
      <c r="G20" s="27" t="s">
        <v>194</v>
      </c>
      <c r="H20" s="27"/>
      <c r="I20" s="28"/>
      <c r="J20" s="5"/>
    </row>
    <row r="21" spans="1:10" ht="13.05" customHeight="1">
      <c r="A21" s="5"/>
      <c r="B21" s="29" t="s">
        <v>192</v>
      </c>
      <c r="C21" s="2"/>
      <c r="D21" s="2"/>
      <c r="E21" s="2"/>
      <c r="F21" s="27" t="s">
        <v>194</v>
      </c>
      <c r="G21" s="27" t="s">
        <v>194</v>
      </c>
      <c r="H21" s="27"/>
      <c r="I21" s="28"/>
      <c r="J21" s="5"/>
    </row>
    <row r="22" spans="1:10" ht="13.05" customHeight="1">
      <c r="A22" s="5"/>
      <c r="B22" s="29" t="s">
        <v>195</v>
      </c>
      <c r="C22" s="30"/>
      <c r="D22" s="2"/>
      <c r="E22" s="30"/>
      <c r="F22" s="25">
        <v>14328.0339</v>
      </c>
      <c r="G22" s="26">
        <v>1</v>
      </c>
      <c r="H22" s="27"/>
      <c r="I22" s="28"/>
      <c r="J22" s="5"/>
    </row>
    <row r="23" spans="1:10" ht="13.05" customHeight="1">
      <c r="A23" s="5"/>
      <c r="B23" s="14" t="s">
        <v>196</v>
      </c>
      <c r="C23" s="15"/>
      <c r="D23" s="15"/>
      <c r="E23" s="15"/>
      <c r="F23" s="15"/>
      <c r="G23" s="15"/>
      <c r="H23" s="16"/>
      <c r="I23" s="17"/>
      <c r="J23" s="5"/>
    </row>
    <row r="24" spans="1:10" ht="13.05" customHeight="1">
      <c r="A24" s="18" t="s">
        <v>197</v>
      </c>
      <c r="B24" s="19" t="s">
        <v>198</v>
      </c>
      <c r="C24" s="15"/>
      <c r="D24" s="15"/>
      <c r="E24" s="20"/>
      <c r="F24" s="21">
        <v>37.118699999999997</v>
      </c>
      <c r="G24" s="22">
        <v>2.5999999999999999E-3</v>
      </c>
      <c r="H24" s="23">
        <v>5.557349648712695E-2</v>
      </c>
      <c r="I24" s="24"/>
      <c r="J24" s="5"/>
    </row>
    <row r="25" spans="1:10" ht="13.05" customHeight="1">
      <c r="A25" s="5"/>
      <c r="B25" s="14" t="s">
        <v>192</v>
      </c>
      <c r="C25" s="15"/>
      <c r="D25" s="15"/>
      <c r="E25" s="15"/>
      <c r="F25" s="25">
        <v>37.118699999999997</v>
      </c>
      <c r="G25" s="26">
        <v>2.5999999999999999E-3</v>
      </c>
      <c r="H25" s="27"/>
      <c r="I25" s="28"/>
      <c r="J25" s="5"/>
    </row>
    <row r="26" spans="1:10" ht="13.05" customHeight="1">
      <c r="A26" s="5"/>
      <c r="B26" s="29" t="s">
        <v>195</v>
      </c>
      <c r="C26" s="30"/>
      <c r="D26" s="2"/>
      <c r="E26" s="30"/>
      <c r="F26" s="25">
        <v>37.118699999999997</v>
      </c>
      <c r="G26" s="26">
        <v>2.5999999999999999E-3</v>
      </c>
      <c r="H26" s="27"/>
      <c r="I26" s="28"/>
      <c r="J26" s="5"/>
    </row>
    <row r="27" spans="1:10" ht="13.05" customHeight="1">
      <c r="A27" s="5"/>
      <c r="B27" s="29" t="s">
        <v>199</v>
      </c>
      <c r="C27" s="15"/>
      <c r="D27" s="2"/>
      <c r="E27" s="15"/>
      <c r="F27" s="31">
        <v>-37.662599999999998</v>
      </c>
      <c r="G27" s="26">
        <v>-2.5999999999999999E-3</v>
      </c>
      <c r="H27" s="27"/>
      <c r="I27" s="28"/>
      <c r="J27" s="5"/>
    </row>
    <row r="28" spans="1:10" ht="13.05" customHeight="1">
      <c r="A28" s="5"/>
      <c r="B28" s="32" t="s">
        <v>200</v>
      </c>
      <c r="C28" s="33"/>
      <c r="D28" s="33"/>
      <c r="E28" s="33"/>
      <c r="F28" s="34">
        <v>14327.49</v>
      </c>
      <c r="G28" s="35">
        <v>1</v>
      </c>
      <c r="H28" s="36"/>
      <c r="I28" s="37"/>
      <c r="J28" s="5"/>
    </row>
    <row r="29" spans="1:10" ht="13.05" customHeight="1">
      <c r="A29" s="5"/>
      <c r="B29" s="7"/>
      <c r="C29" s="5"/>
      <c r="D29" s="5"/>
      <c r="E29" s="5"/>
      <c r="F29" s="5"/>
      <c r="G29" s="5"/>
      <c r="H29" s="5"/>
      <c r="I29" s="5"/>
      <c r="J29" s="5"/>
    </row>
    <row r="30" spans="1:10" ht="13.05" customHeight="1">
      <c r="A30" s="5"/>
      <c r="B30" s="4" t="s">
        <v>201</v>
      </c>
      <c r="C30" s="5"/>
      <c r="D30" s="5"/>
      <c r="E30" s="5"/>
      <c r="F30" s="5"/>
      <c r="G30" s="5"/>
      <c r="H30" s="5"/>
      <c r="I30" s="5"/>
      <c r="J30" s="5"/>
    </row>
    <row r="31" spans="1:10" ht="25.95" customHeight="1">
      <c r="A31" s="5"/>
      <c r="B31" s="103" t="s">
        <v>202</v>
      </c>
      <c r="C31" s="103"/>
      <c r="D31" s="103"/>
      <c r="E31" s="103"/>
      <c r="F31" s="103"/>
      <c r="G31" s="103"/>
      <c r="H31" s="103"/>
      <c r="I31" s="103"/>
      <c r="J31" s="5"/>
    </row>
    <row r="32" spans="1:10" ht="13.05" customHeight="1">
      <c r="A32" s="5"/>
      <c r="B32" s="103" t="s">
        <v>203</v>
      </c>
      <c r="C32" s="103"/>
      <c r="D32" s="103"/>
      <c r="E32" s="103"/>
      <c r="F32" s="103"/>
      <c r="G32" s="103"/>
      <c r="H32" s="103"/>
      <c r="I32" s="103"/>
      <c r="J32" s="5"/>
    </row>
    <row r="33" spans="1:10" ht="13.05" customHeight="1">
      <c r="A33" s="5"/>
      <c r="B33" s="103"/>
      <c r="C33" s="103"/>
      <c r="D33" s="103"/>
      <c r="E33" s="103"/>
      <c r="F33" s="103"/>
      <c r="G33" s="103"/>
      <c r="H33" s="103"/>
      <c r="I33" s="103"/>
      <c r="J33" s="5"/>
    </row>
    <row r="34" spans="1:10" ht="13.05" customHeight="1">
      <c r="A34" s="5"/>
      <c r="B34" s="103"/>
      <c r="C34" s="103"/>
      <c r="D34" s="103"/>
      <c r="E34" s="103"/>
      <c r="F34" s="103"/>
      <c r="G34" s="103"/>
      <c r="H34" s="103"/>
      <c r="I34" s="103"/>
      <c r="J34" s="5"/>
    </row>
    <row r="35" spans="1:10" ht="13.05" customHeight="1">
      <c r="A35" s="5"/>
      <c r="B35" s="103"/>
      <c r="C35" s="103"/>
      <c r="D35" s="103"/>
      <c r="E35" s="103"/>
      <c r="F35" s="103"/>
      <c r="G35" s="103"/>
      <c r="H35" s="103"/>
      <c r="I35" s="103"/>
      <c r="J35" s="5"/>
    </row>
    <row r="36" spans="1:10" ht="13.05" customHeight="1">
      <c r="A36" s="5"/>
      <c r="B36" s="103"/>
      <c r="C36" s="103"/>
      <c r="D36" s="103"/>
      <c r="E36" s="103"/>
      <c r="F36" s="103"/>
      <c r="G36" s="103"/>
      <c r="H36" s="103"/>
      <c r="I36" s="103"/>
      <c r="J36" s="5"/>
    </row>
    <row r="37" spans="1:10" ht="13.05" customHeight="1">
      <c r="A37" s="5"/>
      <c r="B37" s="5"/>
      <c r="C37" s="104" t="s">
        <v>2338</v>
      </c>
      <c r="D37" s="104"/>
      <c r="E37" s="104"/>
      <c r="F37" s="104"/>
      <c r="G37" s="5"/>
      <c r="H37" s="5"/>
      <c r="I37" s="5"/>
      <c r="J37" s="5"/>
    </row>
    <row r="38" spans="1:10" ht="13.05" customHeight="1">
      <c r="A38" s="5"/>
      <c r="B38" s="38" t="s">
        <v>207</v>
      </c>
      <c r="C38" s="104" t="s">
        <v>208</v>
      </c>
      <c r="D38" s="104"/>
      <c r="E38" s="104"/>
      <c r="F38" s="104"/>
      <c r="G38" s="5"/>
      <c r="H38" s="5"/>
      <c r="I38" s="5"/>
      <c r="J38" s="5"/>
    </row>
    <row r="39" spans="1:10" ht="135" customHeight="1">
      <c r="A39" s="5"/>
      <c r="B39" s="39"/>
      <c r="C39" s="105"/>
      <c r="D39" s="105"/>
      <c r="E39" s="5"/>
      <c r="F39" s="5"/>
      <c r="G39" s="5"/>
      <c r="H39" s="5"/>
      <c r="I39" s="5"/>
      <c r="J39" s="5"/>
    </row>
  </sheetData>
  <mergeCells count="9">
    <mergeCell ref="B36:I36"/>
    <mergeCell ref="C37:F37"/>
    <mergeCell ref="C38:F38"/>
    <mergeCell ref="C39:D39"/>
    <mergeCell ref="B31:I31"/>
    <mergeCell ref="B32:I32"/>
    <mergeCell ref="B33:I33"/>
    <mergeCell ref="B34:I34"/>
    <mergeCell ref="B35:I35"/>
  </mergeCells>
  <hyperlinks>
    <hyperlink ref="A1" location="AxisNiftyBankIndexFund" display="AXISNBI" xr:uid="{00000000-0004-0000-3400-000000000000}"/>
    <hyperlink ref="B1" location="AxisNiftyBankIndexFund" display="Axis Nifty Bank Index Fund" xr:uid="{00000000-0004-0000-34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outlinePr summaryBelow="0"/>
  </sheetPr>
  <dimension ref="A1:J78"/>
  <sheetViews>
    <sheetView workbookViewId="0">
      <selection activeCell="B1" sqref="B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108</v>
      </c>
      <c r="B1" s="4" t="s">
        <v>109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1424801</v>
      </c>
      <c r="F7" s="21">
        <v>14067.060299999999</v>
      </c>
      <c r="G7" s="22">
        <v>0.12770000000000001</v>
      </c>
      <c r="H7" s="40"/>
      <c r="I7" s="24"/>
      <c r="J7" s="5"/>
    </row>
    <row r="8" spans="1:10" ht="13.05" customHeight="1">
      <c r="A8" s="18" t="s">
        <v>258</v>
      </c>
      <c r="B8" s="19" t="s">
        <v>259</v>
      </c>
      <c r="C8" s="15" t="s">
        <v>260</v>
      </c>
      <c r="D8" s="15" t="s">
        <v>261</v>
      </c>
      <c r="E8" s="20">
        <v>631800</v>
      </c>
      <c r="F8" s="21">
        <v>9391.0751999999993</v>
      </c>
      <c r="G8" s="22">
        <v>8.5199999999999998E-2</v>
      </c>
      <c r="H8" s="40"/>
      <c r="I8" s="24"/>
      <c r="J8" s="5"/>
    </row>
    <row r="9" spans="1:10" ht="13.05" customHeight="1">
      <c r="A9" s="18" t="s">
        <v>262</v>
      </c>
      <c r="B9" s="19" t="s">
        <v>263</v>
      </c>
      <c r="C9" s="15" t="s">
        <v>264</v>
      </c>
      <c r="D9" s="15" t="s">
        <v>257</v>
      </c>
      <c r="E9" s="20">
        <v>665919</v>
      </c>
      <c r="F9" s="21">
        <v>8958.6082999999999</v>
      </c>
      <c r="G9" s="22">
        <v>8.1299999999999997E-2</v>
      </c>
      <c r="H9" s="40"/>
      <c r="I9" s="24"/>
      <c r="J9" s="5"/>
    </row>
    <row r="10" spans="1:10" ht="13.05" customHeight="1">
      <c r="A10" s="18" t="s">
        <v>265</v>
      </c>
      <c r="B10" s="19" t="s">
        <v>266</v>
      </c>
      <c r="C10" s="15" t="s">
        <v>267</v>
      </c>
      <c r="D10" s="15" t="s">
        <v>268</v>
      </c>
      <c r="E10" s="20">
        <v>254339</v>
      </c>
      <c r="F10" s="21">
        <v>5225.3948</v>
      </c>
      <c r="G10" s="22">
        <v>4.7399999999999998E-2</v>
      </c>
      <c r="H10" s="40"/>
      <c r="I10" s="24"/>
      <c r="J10" s="5"/>
    </row>
    <row r="11" spans="1:10" ht="13.05" customHeight="1">
      <c r="A11" s="18" t="s">
        <v>269</v>
      </c>
      <c r="B11" s="19" t="s">
        <v>270</v>
      </c>
      <c r="C11" s="15" t="s">
        <v>271</v>
      </c>
      <c r="D11" s="15" t="s">
        <v>272</v>
      </c>
      <c r="E11" s="20">
        <v>336210</v>
      </c>
      <c r="F11" s="21">
        <v>4983.6408000000001</v>
      </c>
      <c r="G11" s="22">
        <v>4.5199999999999997E-2</v>
      </c>
      <c r="H11" s="40"/>
      <c r="I11" s="24"/>
      <c r="J11" s="5"/>
    </row>
    <row r="12" spans="1:10" ht="13.05" customHeight="1">
      <c r="A12" s="18" t="s">
        <v>273</v>
      </c>
      <c r="B12" s="19" t="s">
        <v>274</v>
      </c>
      <c r="C12" s="15" t="s">
        <v>275</v>
      </c>
      <c r="D12" s="15" t="s">
        <v>276</v>
      </c>
      <c r="E12" s="20">
        <v>109567</v>
      </c>
      <c r="F12" s="21">
        <v>4416.5361999999996</v>
      </c>
      <c r="G12" s="22">
        <v>4.0099999999999997E-2</v>
      </c>
      <c r="H12" s="40"/>
      <c r="I12" s="24"/>
      <c r="J12" s="5"/>
    </row>
    <row r="13" spans="1:10" ht="13.05" customHeight="1">
      <c r="A13" s="18" t="s">
        <v>277</v>
      </c>
      <c r="B13" s="19" t="s">
        <v>278</v>
      </c>
      <c r="C13" s="15" t="s">
        <v>279</v>
      </c>
      <c r="D13" s="15" t="s">
        <v>280</v>
      </c>
      <c r="E13" s="20">
        <v>898163</v>
      </c>
      <c r="F13" s="21">
        <v>3775.4281999999998</v>
      </c>
      <c r="G13" s="22">
        <v>3.4299999999999997E-2</v>
      </c>
      <c r="H13" s="40"/>
      <c r="I13" s="24"/>
      <c r="J13" s="5"/>
    </row>
    <row r="14" spans="1:10" ht="13.05" customHeight="1">
      <c r="A14" s="18" t="s">
        <v>281</v>
      </c>
      <c r="B14" s="19" t="s">
        <v>282</v>
      </c>
      <c r="C14" s="15" t="s">
        <v>283</v>
      </c>
      <c r="D14" s="15" t="s">
        <v>257</v>
      </c>
      <c r="E14" s="20">
        <v>386120</v>
      </c>
      <c r="F14" s="21">
        <v>3617.9443999999999</v>
      </c>
      <c r="G14" s="22">
        <v>3.2800000000000003E-2</v>
      </c>
      <c r="H14" s="40"/>
      <c r="I14" s="24"/>
      <c r="J14" s="5"/>
    </row>
    <row r="15" spans="1:10" ht="13.05" customHeight="1">
      <c r="A15" s="18" t="s">
        <v>284</v>
      </c>
      <c r="B15" s="19" t="s">
        <v>285</v>
      </c>
      <c r="C15" s="15" t="s">
        <v>286</v>
      </c>
      <c r="D15" s="15" t="s">
        <v>257</v>
      </c>
      <c r="E15" s="20">
        <v>267242</v>
      </c>
      <c r="F15" s="21">
        <v>3294.5594000000001</v>
      </c>
      <c r="G15" s="22">
        <v>2.9899999999999999E-2</v>
      </c>
      <c r="H15" s="40"/>
      <c r="I15" s="24"/>
      <c r="J15" s="5"/>
    </row>
    <row r="16" spans="1:10" ht="13.05" customHeight="1">
      <c r="A16" s="18" t="s">
        <v>287</v>
      </c>
      <c r="B16" s="19" t="s">
        <v>288</v>
      </c>
      <c r="C16" s="15" t="s">
        <v>289</v>
      </c>
      <c r="D16" s="15" t="s">
        <v>272</v>
      </c>
      <c r="E16" s="20">
        <v>95291</v>
      </c>
      <c r="F16" s="21">
        <v>2913.9987999999998</v>
      </c>
      <c r="G16" s="22">
        <v>2.64E-2</v>
      </c>
      <c r="H16" s="40"/>
      <c r="I16" s="24"/>
      <c r="J16" s="5"/>
    </row>
    <row r="17" spans="1:10" ht="13.05" customHeight="1">
      <c r="A17" s="18" t="s">
        <v>290</v>
      </c>
      <c r="B17" s="19" t="s">
        <v>291</v>
      </c>
      <c r="C17" s="15" t="s">
        <v>292</v>
      </c>
      <c r="D17" s="15" t="s">
        <v>257</v>
      </c>
      <c r="E17" s="20">
        <v>137235</v>
      </c>
      <c r="F17" s="21">
        <v>2884.9542000000001</v>
      </c>
      <c r="G17" s="22">
        <v>2.6200000000000001E-2</v>
      </c>
      <c r="H17" s="40"/>
      <c r="I17" s="24"/>
      <c r="J17" s="5"/>
    </row>
    <row r="18" spans="1:10" ht="13.05" customHeight="1">
      <c r="A18" s="18" t="s">
        <v>293</v>
      </c>
      <c r="B18" s="19" t="s">
        <v>294</v>
      </c>
      <c r="C18" s="15" t="s">
        <v>295</v>
      </c>
      <c r="D18" s="15" t="s">
        <v>296</v>
      </c>
      <c r="E18" s="20">
        <v>82715</v>
      </c>
      <c r="F18" s="21">
        <v>2884.4375</v>
      </c>
      <c r="G18" s="22">
        <v>2.6200000000000001E-2</v>
      </c>
      <c r="H18" s="40"/>
      <c r="I18" s="24"/>
      <c r="J18" s="5"/>
    </row>
    <row r="19" spans="1:10" ht="13.05" customHeight="1">
      <c r="A19" s="18" t="s">
        <v>297</v>
      </c>
      <c r="B19" s="19" t="s">
        <v>298</v>
      </c>
      <c r="C19" s="15" t="s">
        <v>299</v>
      </c>
      <c r="D19" s="15" t="s">
        <v>300</v>
      </c>
      <c r="E19" s="20">
        <v>248249</v>
      </c>
      <c r="F19" s="21">
        <v>2588.7406000000001</v>
      </c>
      <c r="G19" s="22">
        <v>2.35E-2</v>
      </c>
      <c r="H19" s="40"/>
      <c r="I19" s="24"/>
      <c r="J19" s="5"/>
    </row>
    <row r="20" spans="1:10" ht="13.05" customHeight="1">
      <c r="A20" s="18" t="s">
        <v>301</v>
      </c>
      <c r="B20" s="19" t="s">
        <v>302</v>
      </c>
      <c r="C20" s="15" t="s">
        <v>303</v>
      </c>
      <c r="D20" s="15" t="s">
        <v>304</v>
      </c>
      <c r="E20" s="20">
        <v>649830</v>
      </c>
      <c r="F20" s="21">
        <v>2064.8348000000001</v>
      </c>
      <c r="G20" s="22">
        <v>1.8700000000000001E-2</v>
      </c>
      <c r="H20" s="40"/>
      <c r="I20" s="24"/>
      <c r="J20" s="5"/>
    </row>
    <row r="21" spans="1:10" ht="13.05" customHeight="1">
      <c r="A21" s="18" t="s">
        <v>305</v>
      </c>
      <c r="B21" s="19" t="s">
        <v>306</v>
      </c>
      <c r="C21" s="15" t="s">
        <v>307</v>
      </c>
      <c r="D21" s="15" t="s">
        <v>280</v>
      </c>
      <c r="E21" s="20">
        <v>82802</v>
      </c>
      <c r="F21" s="21">
        <v>2041.4833000000001</v>
      </c>
      <c r="G21" s="22">
        <v>1.8499999999999999E-2</v>
      </c>
      <c r="H21" s="40"/>
      <c r="I21" s="24"/>
      <c r="J21" s="5"/>
    </row>
    <row r="22" spans="1:10" ht="13.05" customHeight="1">
      <c r="A22" s="18" t="s">
        <v>308</v>
      </c>
      <c r="B22" s="19" t="s">
        <v>309</v>
      </c>
      <c r="C22" s="15" t="s">
        <v>310</v>
      </c>
      <c r="D22" s="15" t="s">
        <v>296</v>
      </c>
      <c r="E22" s="20">
        <v>12258</v>
      </c>
      <c r="F22" s="21">
        <v>1984.0799</v>
      </c>
      <c r="G22" s="22">
        <v>1.7999999999999999E-2</v>
      </c>
      <c r="H22" s="40"/>
      <c r="I22" s="24"/>
      <c r="J22" s="5"/>
    </row>
    <row r="23" spans="1:10" ht="13.05" customHeight="1">
      <c r="A23" s="18" t="s">
        <v>311</v>
      </c>
      <c r="B23" s="19" t="s">
        <v>312</v>
      </c>
      <c r="C23" s="15" t="s">
        <v>313</v>
      </c>
      <c r="D23" s="15" t="s">
        <v>314</v>
      </c>
      <c r="E23" s="20">
        <v>98325</v>
      </c>
      <c r="F23" s="21">
        <v>1662.3807999999999</v>
      </c>
      <c r="G23" s="22">
        <v>1.5100000000000001E-2</v>
      </c>
      <c r="H23" s="40"/>
      <c r="I23" s="24"/>
      <c r="J23" s="5"/>
    </row>
    <row r="24" spans="1:10" ht="13.05" customHeight="1">
      <c r="A24" s="18" t="s">
        <v>315</v>
      </c>
      <c r="B24" s="19" t="s">
        <v>316</v>
      </c>
      <c r="C24" s="15" t="s">
        <v>317</v>
      </c>
      <c r="D24" s="15" t="s">
        <v>272</v>
      </c>
      <c r="E24" s="20">
        <v>98880</v>
      </c>
      <c r="F24" s="21">
        <v>1524.2352000000001</v>
      </c>
      <c r="G24" s="22">
        <v>1.38E-2</v>
      </c>
      <c r="H24" s="40"/>
      <c r="I24" s="24"/>
      <c r="J24" s="5"/>
    </row>
    <row r="25" spans="1:10" ht="13.05" customHeight="1">
      <c r="A25" s="18" t="s">
        <v>318</v>
      </c>
      <c r="B25" s="19" t="s">
        <v>319</v>
      </c>
      <c r="C25" s="15" t="s">
        <v>320</v>
      </c>
      <c r="D25" s="15" t="s">
        <v>321</v>
      </c>
      <c r="E25" s="20">
        <v>442479</v>
      </c>
      <c r="F25" s="21">
        <v>1490.933</v>
      </c>
      <c r="G25" s="22">
        <v>1.35E-2</v>
      </c>
      <c r="H25" s="40"/>
      <c r="I25" s="24"/>
      <c r="J25" s="5"/>
    </row>
    <row r="26" spans="1:10" ht="13.05" customHeight="1">
      <c r="A26" s="18" t="s">
        <v>322</v>
      </c>
      <c r="B26" s="19" t="s">
        <v>323</v>
      </c>
      <c r="C26" s="15" t="s">
        <v>324</v>
      </c>
      <c r="D26" s="15" t="s">
        <v>325</v>
      </c>
      <c r="E26" s="20">
        <v>38491</v>
      </c>
      <c r="F26" s="21">
        <v>1442.1423</v>
      </c>
      <c r="G26" s="22">
        <v>1.3100000000000001E-2</v>
      </c>
      <c r="H26" s="40"/>
      <c r="I26" s="24"/>
      <c r="J26" s="5"/>
    </row>
    <row r="27" spans="1:10" ht="13.05" customHeight="1">
      <c r="A27" s="18" t="s">
        <v>326</v>
      </c>
      <c r="B27" s="19" t="s">
        <v>327</v>
      </c>
      <c r="C27" s="15" t="s">
        <v>328</v>
      </c>
      <c r="D27" s="15" t="s">
        <v>329</v>
      </c>
      <c r="E27" s="20">
        <v>334256</v>
      </c>
      <c r="F27" s="21">
        <v>1424.2647999999999</v>
      </c>
      <c r="G27" s="22">
        <v>1.29E-2</v>
      </c>
      <c r="H27" s="40"/>
      <c r="I27" s="24"/>
      <c r="J27" s="5"/>
    </row>
    <row r="28" spans="1:10" ht="13.05" customHeight="1">
      <c r="A28" s="18" t="s">
        <v>330</v>
      </c>
      <c r="B28" s="19" t="s">
        <v>331</v>
      </c>
      <c r="C28" s="15" t="s">
        <v>332</v>
      </c>
      <c r="D28" s="15" t="s">
        <v>333</v>
      </c>
      <c r="E28" s="20">
        <v>771978</v>
      </c>
      <c r="F28" s="21">
        <v>1411.4846</v>
      </c>
      <c r="G28" s="22">
        <v>1.2800000000000001E-2</v>
      </c>
      <c r="H28" s="40"/>
      <c r="I28" s="24"/>
      <c r="J28" s="5"/>
    </row>
    <row r="29" spans="1:10" ht="13.05" customHeight="1">
      <c r="A29" s="18" t="s">
        <v>334</v>
      </c>
      <c r="B29" s="19" t="s">
        <v>335</v>
      </c>
      <c r="C29" s="15" t="s">
        <v>336</v>
      </c>
      <c r="D29" s="15" t="s">
        <v>337</v>
      </c>
      <c r="E29" s="20">
        <v>11067</v>
      </c>
      <c r="F29" s="21">
        <v>1322.1745000000001</v>
      </c>
      <c r="G29" s="22">
        <v>1.2E-2</v>
      </c>
      <c r="H29" s="40"/>
      <c r="I29" s="24"/>
      <c r="J29" s="5"/>
    </row>
    <row r="30" spans="1:10" ht="13.05" customHeight="1">
      <c r="A30" s="18" t="s">
        <v>338</v>
      </c>
      <c r="B30" s="19" t="s">
        <v>339</v>
      </c>
      <c r="C30" s="15" t="s">
        <v>340</v>
      </c>
      <c r="D30" s="15" t="s">
        <v>321</v>
      </c>
      <c r="E30" s="20">
        <v>422787</v>
      </c>
      <c r="F30" s="21">
        <v>1218.2607</v>
      </c>
      <c r="G30" s="22">
        <v>1.11E-2</v>
      </c>
      <c r="H30" s="40"/>
      <c r="I30" s="24"/>
      <c r="J30" s="5"/>
    </row>
    <row r="31" spans="1:10" ht="13.05" customHeight="1">
      <c r="A31" s="18" t="s">
        <v>341</v>
      </c>
      <c r="B31" s="19" t="s">
        <v>342</v>
      </c>
      <c r="C31" s="15" t="s">
        <v>343</v>
      </c>
      <c r="D31" s="15" t="s">
        <v>344</v>
      </c>
      <c r="E31" s="20">
        <v>135171</v>
      </c>
      <c r="F31" s="21">
        <v>1146.0473</v>
      </c>
      <c r="G31" s="22">
        <v>1.04E-2</v>
      </c>
      <c r="H31" s="40"/>
      <c r="I31" s="24"/>
      <c r="J31" s="5"/>
    </row>
    <row r="32" spans="1:10" ht="13.05" customHeight="1">
      <c r="A32" s="18" t="s">
        <v>349</v>
      </c>
      <c r="B32" s="19" t="s">
        <v>350</v>
      </c>
      <c r="C32" s="15" t="s">
        <v>351</v>
      </c>
      <c r="D32" s="15" t="s">
        <v>300</v>
      </c>
      <c r="E32" s="20">
        <v>53152</v>
      </c>
      <c r="F32" s="21">
        <v>1109.9731999999999</v>
      </c>
      <c r="G32" s="22">
        <v>1.01E-2</v>
      </c>
      <c r="H32" s="40"/>
      <c r="I32" s="24"/>
      <c r="J32" s="5"/>
    </row>
    <row r="33" spans="1:10" ht="13.05" customHeight="1">
      <c r="A33" s="18" t="s">
        <v>345</v>
      </c>
      <c r="B33" s="19" t="s">
        <v>346</v>
      </c>
      <c r="C33" s="15" t="s">
        <v>347</v>
      </c>
      <c r="D33" s="15" t="s">
        <v>348</v>
      </c>
      <c r="E33" s="20">
        <v>19698</v>
      </c>
      <c r="F33" s="21">
        <v>1108.0125</v>
      </c>
      <c r="G33" s="22">
        <v>1.01E-2</v>
      </c>
      <c r="H33" s="40"/>
      <c r="I33" s="24"/>
      <c r="J33" s="5"/>
    </row>
    <row r="34" spans="1:10" ht="13.05" customHeight="1">
      <c r="A34" s="18" t="s">
        <v>352</v>
      </c>
      <c r="B34" s="19" t="s">
        <v>353</v>
      </c>
      <c r="C34" s="15" t="s">
        <v>354</v>
      </c>
      <c r="D34" s="15" t="s">
        <v>325</v>
      </c>
      <c r="E34" s="20">
        <v>42188</v>
      </c>
      <c r="F34" s="21">
        <v>1059.2563</v>
      </c>
      <c r="G34" s="22">
        <v>9.5999999999999992E-3</v>
      </c>
      <c r="H34" s="40"/>
      <c r="I34" s="24"/>
      <c r="J34" s="5"/>
    </row>
    <row r="35" spans="1:10" ht="13.05" customHeight="1">
      <c r="A35" s="18" t="s">
        <v>355</v>
      </c>
      <c r="B35" s="19" t="s">
        <v>356</v>
      </c>
      <c r="C35" s="15" t="s">
        <v>357</v>
      </c>
      <c r="D35" s="15" t="s">
        <v>333</v>
      </c>
      <c r="E35" s="20">
        <v>87431</v>
      </c>
      <c r="F35" s="21">
        <v>1054.4178999999999</v>
      </c>
      <c r="G35" s="22">
        <v>9.5999999999999992E-3</v>
      </c>
      <c r="H35" s="40"/>
      <c r="I35" s="24"/>
      <c r="J35" s="5"/>
    </row>
    <row r="36" spans="1:10" ht="13.05" customHeight="1">
      <c r="A36" s="18" t="s">
        <v>358</v>
      </c>
      <c r="B36" s="19" t="s">
        <v>359</v>
      </c>
      <c r="C36" s="15" t="s">
        <v>360</v>
      </c>
      <c r="D36" s="15" t="s">
        <v>337</v>
      </c>
      <c r="E36" s="20">
        <v>35684</v>
      </c>
      <c r="F36" s="21">
        <v>1031.8742</v>
      </c>
      <c r="G36" s="22">
        <v>9.4000000000000004E-3</v>
      </c>
      <c r="H36" s="40"/>
      <c r="I36" s="24"/>
      <c r="J36" s="5"/>
    </row>
    <row r="37" spans="1:10" ht="13.05" customHeight="1">
      <c r="A37" s="18" t="s">
        <v>361</v>
      </c>
      <c r="B37" s="19" t="s">
        <v>362</v>
      </c>
      <c r="C37" s="15" t="s">
        <v>363</v>
      </c>
      <c r="D37" s="15" t="s">
        <v>364</v>
      </c>
      <c r="E37" s="20">
        <v>68892</v>
      </c>
      <c r="F37" s="21">
        <v>999.9674</v>
      </c>
      <c r="G37" s="22">
        <v>9.1000000000000004E-3</v>
      </c>
      <c r="H37" s="40"/>
      <c r="I37" s="24"/>
      <c r="J37" s="5"/>
    </row>
    <row r="38" spans="1:10" ht="13.05" customHeight="1">
      <c r="A38" s="18" t="s">
        <v>365</v>
      </c>
      <c r="B38" s="19" t="s">
        <v>366</v>
      </c>
      <c r="C38" s="15" t="s">
        <v>367</v>
      </c>
      <c r="D38" s="15" t="s">
        <v>300</v>
      </c>
      <c r="E38" s="20">
        <v>130694</v>
      </c>
      <c r="F38" s="21">
        <v>978.76739999999995</v>
      </c>
      <c r="G38" s="22">
        <v>8.8999999999999999E-3</v>
      </c>
      <c r="H38" s="40"/>
      <c r="I38" s="24"/>
      <c r="J38" s="5"/>
    </row>
    <row r="39" spans="1:10" ht="13.05" customHeight="1">
      <c r="A39" s="18" t="s">
        <v>368</v>
      </c>
      <c r="B39" s="19" t="s">
        <v>369</v>
      </c>
      <c r="C39" s="15" t="s">
        <v>370</v>
      </c>
      <c r="D39" s="15" t="s">
        <v>304</v>
      </c>
      <c r="E39" s="20">
        <v>20728</v>
      </c>
      <c r="F39" s="21">
        <v>973.03449999999998</v>
      </c>
      <c r="G39" s="22">
        <v>8.8000000000000005E-3</v>
      </c>
      <c r="H39" s="40"/>
      <c r="I39" s="24"/>
      <c r="J39" s="5"/>
    </row>
    <row r="40" spans="1:10" ht="13.05" customHeight="1">
      <c r="A40" s="18" t="s">
        <v>375</v>
      </c>
      <c r="B40" s="19" t="s">
        <v>376</v>
      </c>
      <c r="C40" s="15" t="s">
        <v>377</v>
      </c>
      <c r="D40" s="15" t="s">
        <v>300</v>
      </c>
      <c r="E40" s="20">
        <v>305757</v>
      </c>
      <c r="F40" s="21">
        <v>938.0625</v>
      </c>
      <c r="G40" s="22">
        <v>8.5000000000000006E-3</v>
      </c>
      <c r="H40" s="40"/>
      <c r="I40" s="24"/>
      <c r="J40" s="5"/>
    </row>
    <row r="41" spans="1:10" ht="13.05" customHeight="1">
      <c r="A41" s="18" t="s">
        <v>378</v>
      </c>
      <c r="B41" s="19" t="s">
        <v>379</v>
      </c>
      <c r="C41" s="15" t="s">
        <v>380</v>
      </c>
      <c r="D41" s="15" t="s">
        <v>381</v>
      </c>
      <c r="E41" s="20">
        <v>362391</v>
      </c>
      <c r="F41" s="21">
        <v>925.43790000000001</v>
      </c>
      <c r="G41" s="22">
        <v>8.3999999999999995E-3</v>
      </c>
      <c r="H41" s="40"/>
      <c r="I41" s="24"/>
      <c r="J41" s="5"/>
    </row>
    <row r="42" spans="1:10" ht="13.05" customHeight="1">
      <c r="A42" s="18" t="s">
        <v>382</v>
      </c>
      <c r="B42" s="19" t="s">
        <v>383</v>
      </c>
      <c r="C42" s="15" t="s">
        <v>384</v>
      </c>
      <c r="D42" s="15" t="s">
        <v>296</v>
      </c>
      <c r="E42" s="20">
        <v>10332</v>
      </c>
      <c r="F42" s="21">
        <v>918.7731</v>
      </c>
      <c r="G42" s="22">
        <v>8.3000000000000001E-3</v>
      </c>
      <c r="H42" s="40"/>
      <c r="I42" s="24"/>
      <c r="J42" s="5"/>
    </row>
    <row r="43" spans="1:10" ht="13.05" customHeight="1">
      <c r="A43" s="18" t="s">
        <v>385</v>
      </c>
      <c r="B43" s="19" t="s">
        <v>386</v>
      </c>
      <c r="C43" s="15" t="s">
        <v>387</v>
      </c>
      <c r="D43" s="15" t="s">
        <v>296</v>
      </c>
      <c r="E43" s="20">
        <v>12818</v>
      </c>
      <c r="F43" s="21">
        <v>898.15729999999996</v>
      </c>
      <c r="G43" s="22">
        <v>8.2000000000000007E-3</v>
      </c>
      <c r="H43" s="40"/>
      <c r="I43" s="24"/>
      <c r="J43" s="5"/>
    </row>
    <row r="44" spans="1:10" ht="13.05" customHeight="1">
      <c r="A44" s="18" t="s">
        <v>388</v>
      </c>
      <c r="B44" s="19" t="s">
        <v>389</v>
      </c>
      <c r="C44" s="15" t="s">
        <v>390</v>
      </c>
      <c r="D44" s="15" t="s">
        <v>391</v>
      </c>
      <c r="E44" s="20">
        <v>66893</v>
      </c>
      <c r="F44" s="21">
        <v>850.6114</v>
      </c>
      <c r="G44" s="22">
        <v>7.7000000000000002E-3</v>
      </c>
      <c r="H44" s="40"/>
      <c r="I44" s="24"/>
      <c r="J44" s="5"/>
    </row>
    <row r="45" spans="1:10" ht="13.05" customHeight="1">
      <c r="A45" s="18" t="s">
        <v>392</v>
      </c>
      <c r="B45" s="19" t="s">
        <v>393</v>
      </c>
      <c r="C45" s="15" t="s">
        <v>394</v>
      </c>
      <c r="D45" s="15" t="s">
        <v>272</v>
      </c>
      <c r="E45" s="20">
        <v>59275</v>
      </c>
      <c r="F45" s="21">
        <v>844.31309999999996</v>
      </c>
      <c r="G45" s="22">
        <v>7.7000000000000002E-3</v>
      </c>
      <c r="H45" s="40"/>
      <c r="I45" s="24"/>
      <c r="J45" s="5"/>
    </row>
    <row r="46" spans="1:10" ht="13.05" customHeight="1">
      <c r="A46" s="18" t="s">
        <v>398</v>
      </c>
      <c r="B46" s="19" t="s">
        <v>399</v>
      </c>
      <c r="C46" s="15" t="s">
        <v>400</v>
      </c>
      <c r="D46" s="15" t="s">
        <v>401</v>
      </c>
      <c r="E46" s="20">
        <v>211930</v>
      </c>
      <c r="F46" s="21">
        <v>823.66589999999997</v>
      </c>
      <c r="G46" s="22">
        <v>7.4999999999999997E-3</v>
      </c>
      <c r="H46" s="40"/>
      <c r="I46" s="24"/>
      <c r="J46" s="5"/>
    </row>
    <row r="47" spans="1:10" ht="13.05" customHeight="1">
      <c r="A47" s="18" t="s">
        <v>402</v>
      </c>
      <c r="B47" s="19" t="s">
        <v>403</v>
      </c>
      <c r="C47" s="15" t="s">
        <v>404</v>
      </c>
      <c r="D47" s="15" t="s">
        <v>405</v>
      </c>
      <c r="E47" s="20">
        <v>41900</v>
      </c>
      <c r="F47" s="21">
        <v>819.43830000000003</v>
      </c>
      <c r="G47" s="22">
        <v>7.4000000000000003E-3</v>
      </c>
      <c r="H47" s="40"/>
      <c r="I47" s="24"/>
      <c r="J47" s="5"/>
    </row>
    <row r="48" spans="1:10" ht="13.05" customHeight="1">
      <c r="A48" s="18" t="s">
        <v>409</v>
      </c>
      <c r="B48" s="19" t="s">
        <v>410</v>
      </c>
      <c r="C48" s="15" t="s">
        <v>411</v>
      </c>
      <c r="D48" s="15" t="s">
        <v>296</v>
      </c>
      <c r="E48" s="20">
        <v>195000</v>
      </c>
      <c r="F48" s="21">
        <v>799.5</v>
      </c>
      <c r="G48" s="22">
        <v>7.3000000000000001E-3</v>
      </c>
      <c r="H48" s="40"/>
      <c r="I48" s="24"/>
      <c r="J48" s="5"/>
    </row>
    <row r="49" spans="1:10" ht="13.05" customHeight="1">
      <c r="A49" s="18" t="s">
        <v>416</v>
      </c>
      <c r="B49" s="19" t="s">
        <v>417</v>
      </c>
      <c r="C49" s="15" t="s">
        <v>418</v>
      </c>
      <c r="D49" s="15" t="s">
        <v>314</v>
      </c>
      <c r="E49" s="20">
        <v>52467</v>
      </c>
      <c r="F49" s="21">
        <v>787.68709999999999</v>
      </c>
      <c r="G49" s="22">
        <v>7.1000000000000004E-3</v>
      </c>
      <c r="H49" s="40"/>
      <c r="I49" s="24"/>
      <c r="J49" s="5"/>
    </row>
    <row r="50" spans="1:10" ht="13.05" customHeight="1">
      <c r="A50" s="18" t="s">
        <v>412</v>
      </c>
      <c r="B50" s="19" t="s">
        <v>413</v>
      </c>
      <c r="C50" s="15" t="s">
        <v>414</v>
      </c>
      <c r="D50" s="15" t="s">
        <v>415</v>
      </c>
      <c r="E50" s="20">
        <v>66409</v>
      </c>
      <c r="F50" s="21">
        <v>762.24249999999995</v>
      </c>
      <c r="G50" s="22">
        <v>6.8999999999999999E-3</v>
      </c>
      <c r="H50" s="40"/>
      <c r="I50" s="24"/>
      <c r="J50" s="5"/>
    </row>
    <row r="51" spans="1:10" ht="13.05" customHeight="1">
      <c r="A51" s="18" t="s">
        <v>426</v>
      </c>
      <c r="B51" s="19" t="s">
        <v>427</v>
      </c>
      <c r="C51" s="15" t="s">
        <v>428</v>
      </c>
      <c r="D51" s="15" t="s">
        <v>405</v>
      </c>
      <c r="E51" s="20">
        <v>100020</v>
      </c>
      <c r="F51" s="21">
        <v>731.99639999999999</v>
      </c>
      <c r="G51" s="22">
        <v>6.6E-3</v>
      </c>
      <c r="H51" s="40"/>
      <c r="I51" s="24"/>
      <c r="J51" s="5"/>
    </row>
    <row r="52" spans="1:10" ht="13.05" customHeight="1">
      <c r="A52" s="18" t="s">
        <v>429</v>
      </c>
      <c r="B52" s="19" t="s">
        <v>430</v>
      </c>
      <c r="C52" s="15" t="s">
        <v>431</v>
      </c>
      <c r="D52" s="15" t="s">
        <v>415</v>
      </c>
      <c r="E52" s="20">
        <v>9421</v>
      </c>
      <c r="F52" s="21">
        <v>723.62699999999995</v>
      </c>
      <c r="G52" s="22">
        <v>6.6E-3</v>
      </c>
      <c r="H52" s="40"/>
      <c r="I52" s="24"/>
      <c r="J52" s="5"/>
    </row>
    <row r="53" spans="1:10" ht="13.05" customHeight="1">
      <c r="A53" s="18" t="s">
        <v>432</v>
      </c>
      <c r="B53" s="19" t="s">
        <v>433</v>
      </c>
      <c r="C53" s="15" t="s">
        <v>434</v>
      </c>
      <c r="D53" s="15" t="s">
        <v>435</v>
      </c>
      <c r="E53" s="20">
        <v>60830</v>
      </c>
      <c r="F53" s="21">
        <v>708.66949999999997</v>
      </c>
      <c r="G53" s="22">
        <v>6.4000000000000003E-3</v>
      </c>
      <c r="H53" s="40"/>
      <c r="I53" s="24"/>
      <c r="J53" s="5"/>
    </row>
    <row r="54" spans="1:10" ht="13.05" customHeight="1">
      <c r="A54" s="18" t="s">
        <v>436</v>
      </c>
      <c r="B54" s="19" t="s">
        <v>437</v>
      </c>
      <c r="C54" s="15" t="s">
        <v>438</v>
      </c>
      <c r="D54" s="15" t="s">
        <v>314</v>
      </c>
      <c r="E54" s="20">
        <v>56829</v>
      </c>
      <c r="F54" s="21">
        <v>680.58410000000003</v>
      </c>
      <c r="G54" s="22">
        <v>6.1999999999999998E-3</v>
      </c>
      <c r="H54" s="40"/>
      <c r="I54" s="24"/>
      <c r="J54" s="5"/>
    </row>
    <row r="55" spans="1:10" ht="13.05" customHeight="1">
      <c r="A55" s="18" t="s">
        <v>455</v>
      </c>
      <c r="B55" s="19" t="s">
        <v>456</v>
      </c>
      <c r="C55" s="15" t="s">
        <v>457</v>
      </c>
      <c r="D55" s="15" t="s">
        <v>272</v>
      </c>
      <c r="E55" s="20">
        <v>266398</v>
      </c>
      <c r="F55" s="21">
        <v>641.14009999999996</v>
      </c>
      <c r="G55" s="22">
        <v>5.7999999999999996E-3</v>
      </c>
      <c r="H55" s="40"/>
      <c r="I55" s="24"/>
      <c r="J55" s="5"/>
    </row>
    <row r="56" spans="1:10" ht="13.05" customHeight="1">
      <c r="A56" s="18" t="s">
        <v>465</v>
      </c>
      <c r="B56" s="19" t="s">
        <v>466</v>
      </c>
      <c r="C56" s="15" t="s">
        <v>467</v>
      </c>
      <c r="D56" s="15" t="s">
        <v>468</v>
      </c>
      <c r="E56" s="20">
        <v>24288</v>
      </c>
      <c r="F56" s="21">
        <v>602.58529999999996</v>
      </c>
      <c r="G56" s="22">
        <v>5.4999999999999997E-3</v>
      </c>
      <c r="H56" s="40"/>
      <c r="I56" s="24"/>
      <c r="J56" s="5"/>
    </row>
    <row r="57" spans="1:10" ht="13.05" customHeight="1">
      <c r="A57" s="18" t="s">
        <v>505</v>
      </c>
      <c r="B57" s="19" t="s">
        <v>2339</v>
      </c>
      <c r="C57" s="15" t="s">
        <v>506</v>
      </c>
      <c r="D57" s="15" t="s">
        <v>507</v>
      </c>
      <c r="E57" s="20">
        <v>184250</v>
      </c>
      <c r="F57" s="21">
        <v>480.43189999999998</v>
      </c>
      <c r="G57" s="22">
        <v>4.4000000000000003E-3</v>
      </c>
      <c r="H57" s="40"/>
      <c r="I57" s="24"/>
      <c r="J57" s="5"/>
    </row>
    <row r="58" spans="1:10" ht="13.05" customHeight="1">
      <c r="A58" s="5"/>
      <c r="B58" s="14" t="s">
        <v>192</v>
      </c>
      <c r="C58" s="15"/>
      <c r="D58" s="15"/>
      <c r="E58" s="15"/>
      <c r="F58" s="25">
        <v>109986.92630000001</v>
      </c>
      <c r="G58" s="26">
        <v>0.99829999999999997</v>
      </c>
      <c r="H58" s="27"/>
      <c r="I58" s="28"/>
      <c r="J58" s="5"/>
    </row>
    <row r="59" spans="1:10" ht="13.05" customHeight="1">
      <c r="A59" s="5"/>
      <c r="B59" s="29" t="s">
        <v>1812</v>
      </c>
      <c r="C59" s="2"/>
      <c r="D59" s="2"/>
      <c r="E59" s="2"/>
      <c r="F59" s="27" t="s">
        <v>194</v>
      </c>
      <c r="G59" s="27" t="s">
        <v>194</v>
      </c>
      <c r="H59" s="27"/>
      <c r="I59" s="28"/>
      <c r="J59" s="5"/>
    </row>
    <row r="60" spans="1:10" ht="13.05" customHeight="1">
      <c r="A60" s="5"/>
      <c r="B60" s="29" t="s">
        <v>192</v>
      </c>
      <c r="C60" s="2"/>
      <c r="D60" s="2"/>
      <c r="E60" s="2"/>
      <c r="F60" s="27" t="s">
        <v>194</v>
      </c>
      <c r="G60" s="27" t="s">
        <v>194</v>
      </c>
      <c r="H60" s="27"/>
      <c r="I60" s="28"/>
      <c r="J60" s="5"/>
    </row>
    <row r="61" spans="1:10" ht="13.05" customHeight="1">
      <c r="A61" s="5"/>
      <c r="B61" s="29" t="s">
        <v>195</v>
      </c>
      <c r="C61" s="30"/>
      <c r="D61" s="2"/>
      <c r="E61" s="30"/>
      <c r="F61" s="25">
        <v>109986.92630000001</v>
      </c>
      <c r="G61" s="26">
        <v>0.99829999999999997</v>
      </c>
      <c r="H61" s="27"/>
      <c r="I61" s="28"/>
      <c r="J61" s="5"/>
    </row>
    <row r="62" spans="1:10" ht="13.05" customHeight="1">
      <c r="A62" s="5"/>
      <c r="B62" s="14" t="s">
        <v>196</v>
      </c>
      <c r="C62" s="15"/>
      <c r="D62" s="15"/>
      <c r="E62" s="15"/>
      <c r="F62" s="15"/>
      <c r="G62" s="15"/>
      <c r="H62" s="16"/>
      <c r="I62" s="17"/>
      <c r="J62" s="5"/>
    </row>
    <row r="63" spans="1:10" ht="13.05" customHeight="1">
      <c r="A63" s="18" t="s">
        <v>197</v>
      </c>
      <c r="B63" s="19" t="s">
        <v>198</v>
      </c>
      <c r="C63" s="15"/>
      <c r="D63" s="15"/>
      <c r="E63" s="20"/>
      <c r="F63" s="21">
        <v>101.5891</v>
      </c>
      <c r="G63" s="22">
        <v>8.9999999999999998E-4</v>
      </c>
      <c r="H63" s="23">
        <v>5.5573638923834913E-2</v>
      </c>
      <c r="I63" s="24"/>
      <c r="J63" s="5"/>
    </row>
    <row r="64" spans="1:10" ht="13.05" customHeight="1">
      <c r="A64" s="5"/>
      <c r="B64" s="14" t="s">
        <v>192</v>
      </c>
      <c r="C64" s="15"/>
      <c r="D64" s="15"/>
      <c r="E64" s="15"/>
      <c r="F64" s="25">
        <v>101.5891</v>
      </c>
      <c r="G64" s="26">
        <v>8.9999999999999998E-4</v>
      </c>
      <c r="H64" s="27"/>
      <c r="I64" s="28"/>
      <c r="J64" s="5"/>
    </row>
    <row r="65" spans="1:10" ht="13.05" customHeight="1">
      <c r="A65" s="5"/>
      <c r="B65" s="29" t="s">
        <v>195</v>
      </c>
      <c r="C65" s="30"/>
      <c r="D65" s="2"/>
      <c r="E65" s="30"/>
      <c r="F65" s="25">
        <v>101.5891</v>
      </c>
      <c r="G65" s="26">
        <v>8.9999999999999998E-4</v>
      </c>
      <c r="H65" s="27"/>
      <c r="I65" s="28"/>
      <c r="J65" s="5"/>
    </row>
    <row r="66" spans="1:10" ht="13.05" customHeight="1">
      <c r="A66" s="5"/>
      <c r="B66" s="29" t="s">
        <v>199</v>
      </c>
      <c r="C66" s="15"/>
      <c r="D66" s="2"/>
      <c r="E66" s="15"/>
      <c r="F66" s="31">
        <v>88.334599999999995</v>
      </c>
      <c r="G66" s="26">
        <v>8.0000000000000004E-4</v>
      </c>
      <c r="H66" s="27"/>
      <c r="I66" s="28"/>
      <c r="J66" s="5"/>
    </row>
    <row r="67" spans="1:10" ht="13.05" customHeight="1">
      <c r="A67" s="5"/>
      <c r="B67" s="32" t="s">
        <v>200</v>
      </c>
      <c r="C67" s="33"/>
      <c r="D67" s="33"/>
      <c r="E67" s="33"/>
      <c r="F67" s="34">
        <v>110176.85</v>
      </c>
      <c r="G67" s="35">
        <v>1</v>
      </c>
      <c r="H67" s="36"/>
      <c r="I67" s="37"/>
      <c r="J67" s="5"/>
    </row>
    <row r="68" spans="1:10" ht="13.05" customHeight="1">
      <c r="A68" s="5"/>
      <c r="B68" s="7"/>
      <c r="C68" s="5"/>
      <c r="D68" s="5"/>
      <c r="E68" s="5"/>
      <c r="F68" s="5"/>
      <c r="G68" s="5"/>
      <c r="H68" s="5"/>
      <c r="I68" s="5"/>
      <c r="J68" s="5"/>
    </row>
    <row r="69" spans="1:10" ht="13.05" customHeight="1">
      <c r="A69" s="5"/>
      <c r="B69" s="4"/>
      <c r="C69" s="5"/>
      <c r="D69" s="5"/>
      <c r="E69" s="5"/>
      <c r="F69" s="5"/>
      <c r="G69" s="5"/>
      <c r="H69" s="5"/>
      <c r="I69" s="5"/>
      <c r="J69" s="5"/>
    </row>
    <row r="70" spans="1:10" ht="13.05" customHeight="1">
      <c r="A70" s="5"/>
      <c r="B70" s="4" t="s">
        <v>201</v>
      </c>
      <c r="C70" s="5"/>
      <c r="D70" s="5"/>
      <c r="E70" s="5"/>
      <c r="F70" s="5"/>
      <c r="G70" s="5"/>
      <c r="H70" s="5"/>
      <c r="I70" s="5"/>
      <c r="J70" s="5"/>
    </row>
    <row r="71" spans="1:10" ht="25.95" customHeight="1">
      <c r="A71" s="5"/>
      <c r="B71" s="103" t="s">
        <v>202</v>
      </c>
      <c r="C71" s="103"/>
      <c r="D71" s="103"/>
      <c r="E71" s="103"/>
      <c r="F71" s="103"/>
      <c r="G71" s="103"/>
      <c r="H71" s="103"/>
      <c r="I71" s="103"/>
      <c r="J71" s="5"/>
    </row>
    <row r="72" spans="1:10" ht="13.05" customHeight="1">
      <c r="A72" s="5"/>
      <c r="B72" s="103" t="s">
        <v>203</v>
      </c>
      <c r="C72" s="103"/>
      <c r="D72" s="103"/>
      <c r="E72" s="103"/>
      <c r="F72" s="103"/>
      <c r="G72" s="103"/>
      <c r="H72" s="103"/>
      <c r="I72" s="103"/>
      <c r="J72" s="5"/>
    </row>
    <row r="73" spans="1:10" ht="13.05" customHeight="1">
      <c r="A73" s="5"/>
      <c r="B73" s="103"/>
      <c r="C73" s="103"/>
      <c r="D73" s="103"/>
      <c r="E73" s="103"/>
      <c r="F73" s="103"/>
      <c r="G73" s="103"/>
      <c r="H73" s="103"/>
      <c r="I73" s="103"/>
      <c r="J73" s="5"/>
    </row>
    <row r="74" spans="1:10" ht="13.05" customHeight="1">
      <c r="A74" s="5"/>
      <c r="B74" s="109" t="s">
        <v>4628</v>
      </c>
      <c r="C74" s="109"/>
      <c r="D74" s="109"/>
      <c r="E74" s="109"/>
      <c r="F74" s="5"/>
      <c r="G74" s="5"/>
      <c r="H74" s="5"/>
      <c r="I74" s="5"/>
      <c r="J74" s="5"/>
    </row>
    <row r="75" spans="1:10" ht="13.05" customHeight="1">
      <c r="A75" s="5"/>
      <c r="B75" s="103"/>
      <c r="C75" s="103"/>
      <c r="D75" s="103"/>
      <c r="E75" s="103"/>
      <c r="F75" s="103"/>
      <c r="G75" s="103"/>
      <c r="H75" s="103"/>
      <c r="I75" s="103"/>
      <c r="J75" s="5"/>
    </row>
    <row r="76" spans="1:10" ht="13.05" customHeight="1">
      <c r="A76" s="5"/>
      <c r="B76" s="5"/>
      <c r="C76" s="104" t="s">
        <v>4626</v>
      </c>
      <c r="D76" s="104"/>
      <c r="E76" s="104"/>
      <c r="F76" s="104"/>
      <c r="G76" s="5"/>
      <c r="H76" s="5"/>
      <c r="I76" s="5"/>
      <c r="J76" s="5"/>
    </row>
    <row r="77" spans="1:10" ht="13.05" customHeight="1">
      <c r="A77" s="5"/>
      <c r="B77" s="38" t="s">
        <v>207</v>
      </c>
      <c r="C77" s="104" t="s">
        <v>208</v>
      </c>
      <c r="D77" s="104"/>
      <c r="E77" s="104"/>
      <c r="F77" s="104"/>
      <c r="G77" s="5"/>
      <c r="H77" s="5"/>
      <c r="I77" s="5"/>
      <c r="J77" s="5"/>
    </row>
    <row r="78" spans="1:10" ht="135" customHeight="1">
      <c r="A78" s="5"/>
      <c r="B78" s="39"/>
      <c r="C78" s="105"/>
      <c r="D78" s="105"/>
      <c r="E78" s="5"/>
      <c r="F78" s="5"/>
      <c r="G78" s="5"/>
      <c r="H78" s="5"/>
      <c r="I78" s="5"/>
      <c r="J78" s="5"/>
    </row>
  </sheetData>
  <mergeCells count="8">
    <mergeCell ref="C76:F76"/>
    <mergeCell ref="C77:F77"/>
    <mergeCell ref="C78:D78"/>
    <mergeCell ref="B71:I71"/>
    <mergeCell ref="B72:I72"/>
    <mergeCell ref="B73:I73"/>
    <mergeCell ref="B74:E74"/>
    <mergeCell ref="B75:I75"/>
  </mergeCells>
  <hyperlinks>
    <hyperlink ref="A1" location="AxisNIFTY50ETF" display="AXISNETF" xr:uid="{00000000-0004-0000-3500-000000000000}"/>
    <hyperlink ref="B1" location="AxisNIFTY50ETF" display="Axis NIFTY 50 ETF" xr:uid="{00000000-0004-0000-35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outlinePr summaryBelow="0"/>
  </sheetPr>
  <dimension ref="A1:J26"/>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110</v>
      </c>
      <c r="B1" s="4" t="s">
        <v>111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1818</v>
      </c>
      <c r="C5" s="15"/>
      <c r="D5" s="15"/>
      <c r="E5" s="15"/>
      <c r="F5" s="15"/>
      <c r="G5" s="15"/>
      <c r="H5" s="16"/>
      <c r="I5" s="17"/>
      <c r="J5" s="5"/>
    </row>
    <row r="6" spans="1:10" ht="13.05" customHeight="1">
      <c r="A6" s="5"/>
      <c r="B6" s="14" t="s">
        <v>3808</v>
      </c>
      <c r="C6" s="15"/>
      <c r="D6" s="15"/>
      <c r="E6" s="15"/>
      <c r="F6" s="5"/>
      <c r="G6" s="16"/>
      <c r="H6" s="16"/>
      <c r="I6" s="17"/>
      <c r="J6" s="5"/>
    </row>
    <row r="7" spans="1:10" ht="13.05" customHeight="1">
      <c r="A7" s="18" t="s">
        <v>3809</v>
      </c>
      <c r="B7" s="19" t="s">
        <v>3810</v>
      </c>
      <c r="C7" s="15" t="s">
        <v>3811</v>
      </c>
      <c r="D7" s="15"/>
      <c r="E7" s="20">
        <v>14781</v>
      </c>
      <c r="F7" s="21">
        <v>19464.257699999998</v>
      </c>
      <c r="G7" s="22">
        <v>0.99280000000000002</v>
      </c>
      <c r="H7" s="40"/>
      <c r="I7" s="24"/>
      <c r="J7" s="5"/>
    </row>
    <row r="8" spans="1:10" ht="13.05" customHeight="1">
      <c r="A8" s="5"/>
      <c r="B8" s="14" t="s">
        <v>192</v>
      </c>
      <c r="C8" s="15"/>
      <c r="D8" s="15"/>
      <c r="E8" s="15"/>
      <c r="F8" s="25">
        <v>19464.257699999998</v>
      </c>
      <c r="G8" s="26">
        <v>0.99280000000000002</v>
      </c>
      <c r="H8" s="27"/>
      <c r="I8" s="28"/>
      <c r="J8" s="5"/>
    </row>
    <row r="9" spans="1:10" ht="13.05" customHeight="1">
      <c r="A9" s="5"/>
      <c r="B9" s="29" t="s">
        <v>195</v>
      </c>
      <c r="C9" s="30"/>
      <c r="D9" s="2"/>
      <c r="E9" s="30"/>
      <c r="F9" s="25">
        <v>19464.257699999998</v>
      </c>
      <c r="G9" s="26">
        <v>0.99280000000000002</v>
      </c>
      <c r="H9" s="27"/>
      <c r="I9" s="28"/>
      <c r="J9" s="5"/>
    </row>
    <row r="10" spans="1:10" ht="13.05" customHeight="1">
      <c r="A10" s="5"/>
      <c r="B10" s="14" t="s">
        <v>196</v>
      </c>
      <c r="C10" s="15"/>
      <c r="D10" s="15"/>
      <c r="E10" s="15"/>
      <c r="F10" s="15"/>
      <c r="G10" s="15"/>
      <c r="H10" s="16"/>
      <c r="I10" s="17"/>
      <c r="J10" s="5"/>
    </row>
    <row r="11" spans="1:10" ht="13.05" customHeight="1">
      <c r="A11" s="18" t="s">
        <v>197</v>
      </c>
      <c r="B11" s="19" t="s">
        <v>198</v>
      </c>
      <c r="C11" s="15"/>
      <c r="D11" s="15"/>
      <c r="E11" s="20"/>
      <c r="F11" s="21">
        <v>167.99879999999999</v>
      </c>
      <c r="G11" s="22">
        <v>8.6E-3</v>
      </c>
      <c r="H11" s="23">
        <v>5.5573587792708948E-2</v>
      </c>
      <c r="I11" s="24"/>
      <c r="J11" s="5"/>
    </row>
    <row r="12" spans="1:10" ht="13.05" customHeight="1">
      <c r="A12" s="5"/>
      <c r="B12" s="14" t="s">
        <v>192</v>
      </c>
      <c r="C12" s="15"/>
      <c r="D12" s="15"/>
      <c r="E12" s="15"/>
      <c r="F12" s="25">
        <v>167.99879999999999</v>
      </c>
      <c r="G12" s="26">
        <v>8.6E-3</v>
      </c>
      <c r="H12" s="27"/>
      <c r="I12" s="28"/>
      <c r="J12" s="5"/>
    </row>
    <row r="13" spans="1:10" ht="13.05" customHeight="1">
      <c r="A13" s="5"/>
      <c r="B13" s="29" t="s">
        <v>195</v>
      </c>
      <c r="C13" s="30"/>
      <c r="D13" s="2"/>
      <c r="E13" s="30"/>
      <c r="F13" s="25">
        <v>167.99879999999999</v>
      </c>
      <c r="G13" s="26">
        <v>8.6E-3</v>
      </c>
      <c r="H13" s="27"/>
      <c r="I13" s="28"/>
      <c r="J13" s="5"/>
    </row>
    <row r="14" spans="1:10" ht="13.05" customHeight="1">
      <c r="A14" s="5"/>
      <c r="B14" s="29" t="s">
        <v>199</v>
      </c>
      <c r="C14" s="15"/>
      <c r="D14" s="2"/>
      <c r="E14" s="15"/>
      <c r="F14" s="31">
        <v>-27.406500000000001</v>
      </c>
      <c r="G14" s="26">
        <v>-1.4E-3</v>
      </c>
      <c r="H14" s="27"/>
      <c r="I14" s="28"/>
      <c r="J14" s="5"/>
    </row>
    <row r="15" spans="1:10" ht="13.05" customHeight="1">
      <c r="A15" s="5"/>
      <c r="B15" s="32" t="s">
        <v>200</v>
      </c>
      <c r="C15" s="33"/>
      <c r="D15" s="33"/>
      <c r="E15" s="33"/>
      <c r="F15" s="34">
        <v>19604.849999999999</v>
      </c>
      <c r="G15" s="35">
        <v>1</v>
      </c>
      <c r="H15" s="36"/>
      <c r="I15" s="37"/>
      <c r="J15" s="5"/>
    </row>
    <row r="16" spans="1:10" ht="13.05" customHeight="1">
      <c r="A16" s="5"/>
      <c r="B16" s="7"/>
      <c r="C16" s="5"/>
      <c r="D16" s="5"/>
      <c r="E16" s="5"/>
      <c r="F16" s="5"/>
      <c r="G16" s="5"/>
      <c r="H16" s="5"/>
      <c r="I16" s="5"/>
      <c r="J16" s="5"/>
    </row>
    <row r="17" spans="1:10" ht="13.05" customHeight="1">
      <c r="A17" s="5"/>
      <c r="B17" s="4" t="s">
        <v>201</v>
      </c>
      <c r="C17" s="5"/>
      <c r="D17" s="5"/>
      <c r="E17" s="5"/>
      <c r="F17" s="5"/>
      <c r="G17" s="5"/>
      <c r="H17" s="5"/>
      <c r="I17" s="5"/>
      <c r="J17" s="5"/>
    </row>
    <row r="18" spans="1:10" ht="25.95" customHeight="1">
      <c r="A18" s="5"/>
      <c r="B18" s="103" t="s">
        <v>202</v>
      </c>
      <c r="C18" s="103"/>
      <c r="D18" s="103"/>
      <c r="E18" s="103"/>
      <c r="F18" s="103"/>
      <c r="G18" s="103"/>
      <c r="H18" s="103"/>
      <c r="I18" s="103"/>
      <c r="J18" s="5"/>
    </row>
    <row r="19" spans="1:10" ht="13.05" customHeight="1">
      <c r="A19" s="5"/>
      <c r="B19" s="103" t="s">
        <v>203</v>
      </c>
      <c r="C19" s="103"/>
      <c r="D19" s="103"/>
      <c r="E19" s="103"/>
      <c r="F19" s="103"/>
      <c r="G19" s="103"/>
      <c r="H19" s="103"/>
      <c r="I19" s="103"/>
      <c r="J19" s="5"/>
    </row>
    <row r="20" spans="1:10" ht="13.05" customHeight="1">
      <c r="A20" s="5"/>
      <c r="B20" s="103"/>
      <c r="C20" s="103"/>
      <c r="D20" s="103"/>
      <c r="E20" s="103"/>
      <c r="F20" s="103"/>
      <c r="G20" s="103"/>
      <c r="H20" s="103"/>
      <c r="I20" s="103"/>
      <c r="J20" s="5"/>
    </row>
    <row r="21" spans="1:10" ht="13.05" customHeight="1">
      <c r="A21" s="5"/>
      <c r="B21" s="103"/>
      <c r="C21" s="103"/>
      <c r="D21" s="103"/>
      <c r="E21" s="103"/>
      <c r="F21" s="103"/>
      <c r="G21" s="103"/>
      <c r="H21" s="103"/>
      <c r="I21" s="103"/>
      <c r="J21" s="5"/>
    </row>
    <row r="22" spans="1:10" ht="13.05" customHeight="1">
      <c r="A22" s="5"/>
      <c r="B22" s="103"/>
      <c r="C22" s="103"/>
      <c r="D22" s="103"/>
      <c r="E22" s="103"/>
      <c r="F22" s="103"/>
      <c r="G22" s="103"/>
      <c r="H22" s="103"/>
      <c r="I22" s="103"/>
      <c r="J22" s="5"/>
    </row>
    <row r="23" spans="1:10" ht="13.05" customHeight="1">
      <c r="A23" s="5"/>
      <c r="B23" s="103"/>
      <c r="C23" s="103"/>
      <c r="D23" s="103"/>
      <c r="E23" s="103"/>
      <c r="F23" s="103"/>
      <c r="G23" s="103"/>
      <c r="H23" s="103"/>
      <c r="I23" s="103"/>
      <c r="J23" s="5"/>
    </row>
    <row r="24" spans="1:10" ht="13.05" customHeight="1">
      <c r="A24" s="5"/>
      <c r="B24" s="5"/>
      <c r="C24" s="104" t="s">
        <v>4629</v>
      </c>
      <c r="D24" s="104"/>
      <c r="E24" s="104"/>
      <c r="F24" s="104"/>
      <c r="G24" s="5"/>
      <c r="H24" s="5"/>
      <c r="I24" s="5"/>
      <c r="J24" s="5"/>
    </row>
    <row r="25" spans="1:10" ht="13.05" customHeight="1">
      <c r="A25" s="5"/>
      <c r="B25" s="38" t="s">
        <v>207</v>
      </c>
      <c r="C25" s="104" t="s">
        <v>208</v>
      </c>
      <c r="D25" s="104"/>
      <c r="E25" s="104"/>
      <c r="F25" s="104"/>
      <c r="G25" s="5"/>
      <c r="H25" s="5"/>
      <c r="I25" s="5"/>
      <c r="J25" s="5"/>
    </row>
    <row r="26" spans="1:10" ht="135" customHeight="1">
      <c r="A26" s="5"/>
      <c r="B26" s="39"/>
      <c r="C26" s="105"/>
      <c r="D26" s="105"/>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USSpecificEquityPassiveFOF" display="AXISNFOF" xr:uid="{00000000-0004-0000-3600-000000000000}"/>
    <hyperlink ref="B1" location="AxisUSSpecificEquityPassiveFOF" display="Axis US Specific Equity Passive FOF" xr:uid="{00000000-0004-0000-36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outlinePr summaryBelow="0"/>
  </sheetPr>
  <dimension ref="A1:J41"/>
  <sheetViews>
    <sheetView topLeftCell="A23" workbookViewId="0">
      <selection activeCell="C44" sqref="C44"/>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112</v>
      </c>
      <c r="B1" s="4" t="s">
        <v>113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2373</v>
      </c>
      <c r="B7" s="19" t="s">
        <v>2374</v>
      </c>
      <c r="C7" s="15" t="s">
        <v>2375</v>
      </c>
      <c r="D7" s="15" t="s">
        <v>1923</v>
      </c>
      <c r="E7" s="20">
        <v>500</v>
      </c>
      <c r="F7" s="21">
        <v>508.33100000000002</v>
      </c>
      <c r="G7" s="22">
        <v>0.1096</v>
      </c>
      <c r="H7" s="23">
        <v>6.9650000000000004E-2</v>
      </c>
      <c r="I7" s="24"/>
      <c r="J7" s="5"/>
    </row>
    <row r="8" spans="1:10" ht="13.05" customHeight="1">
      <c r="A8" s="18" t="s">
        <v>2364</v>
      </c>
      <c r="B8" s="19" t="s">
        <v>2365</v>
      </c>
      <c r="C8" s="15" t="s">
        <v>2366</v>
      </c>
      <c r="D8" s="15" t="s">
        <v>213</v>
      </c>
      <c r="E8" s="20">
        <v>500</v>
      </c>
      <c r="F8" s="21">
        <v>508.267</v>
      </c>
      <c r="G8" s="22">
        <v>0.1096</v>
      </c>
      <c r="H8" s="23">
        <v>7.1400000000000005E-2</v>
      </c>
      <c r="I8" s="24"/>
      <c r="J8" s="5"/>
    </row>
    <row r="9" spans="1:10" ht="13.05" customHeight="1">
      <c r="A9" s="18" t="s">
        <v>4630</v>
      </c>
      <c r="B9" s="19" t="s">
        <v>4631</v>
      </c>
      <c r="C9" s="15" t="s">
        <v>4632</v>
      </c>
      <c r="D9" s="15" t="s">
        <v>213</v>
      </c>
      <c r="E9" s="20">
        <v>500</v>
      </c>
      <c r="F9" s="21">
        <v>507.18599999999998</v>
      </c>
      <c r="G9" s="22">
        <v>0.1094</v>
      </c>
      <c r="H9" s="23">
        <v>6.7650000000000002E-2</v>
      </c>
      <c r="I9" s="24"/>
      <c r="J9" s="5"/>
    </row>
    <row r="10" spans="1:10" ht="13.05" customHeight="1">
      <c r="A10" s="18" t="s">
        <v>4633</v>
      </c>
      <c r="B10" s="19" t="s">
        <v>4634</v>
      </c>
      <c r="C10" s="15" t="s">
        <v>4635</v>
      </c>
      <c r="D10" s="15" t="s">
        <v>213</v>
      </c>
      <c r="E10" s="20">
        <v>500</v>
      </c>
      <c r="F10" s="21">
        <v>507.166</v>
      </c>
      <c r="G10" s="22">
        <v>0.1094</v>
      </c>
      <c r="H10" s="23">
        <v>6.8949999999999997E-2</v>
      </c>
      <c r="I10" s="24"/>
      <c r="J10" s="5"/>
    </row>
    <row r="11" spans="1:10" ht="13.05" customHeight="1">
      <c r="A11" s="18" t="s">
        <v>4636</v>
      </c>
      <c r="B11" s="19" t="s">
        <v>4637</v>
      </c>
      <c r="C11" s="15" t="s">
        <v>4638</v>
      </c>
      <c r="D11" s="15" t="s">
        <v>213</v>
      </c>
      <c r="E11" s="20">
        <v>50</v>
      </c>
      <c r="F11" s="21">
        <v>505.67750000000001</v>
      </c>
      <c r="G11" s="22">
        <v>0.1091</v>
      </c>
      <c r="H11" s="23">
        <v>6.8599999999999994E-2</v>
      </c>
      <c r="I11" s="24"/>
      <c r="J11" s="5"/>
    </row>
    <row r="12" spans="1:10" ht="13.05" customHeight="1">
      <c r="A12" s="18" t="s">
        <v>2370</v>
      </c>
      <c r="B12" s="19" t="s">
        <v>2371</v>
      </c>
      <c r="C12" s="15" t="s">
        <v>2372</v>
      </c>
      <c r="D12" s="15" t="s">
        <v>213</v>
      </c>
      <c r="E12" s="20">
        <v>350</v>
      </c>
      <c r="F12" s="21">
        <v>355.96539999999999</v>
      </c>
      <c r="G12" s="22">
        <v>7.6799999999999993E-2</v>
      </c>
      <c r="H12" s="23">
        <v>6.9400000000000003E-2</v>
      </c>
      <c r="I12" s="24"/>
      <c r="J12" s="5"/>
    </row>
    <row r="13" spans="1:10" ht="13.05" customHeight="1">
      <c r="A13" s="18" t="s">
        <v>2400</v>
      </c>
      <c r="B13" s="19" t="s">
        <v>2401</v>
      </c>
      <c r="C13" s="15" t="s">
        <v>2402</v>
      </c>
      <c r="D13" s="15" t="s">
        <v>213</v>
      </c>
      <c r="E13" s="20">
        <v>300</v>
      </c>
      <c r="F13" s="21">
        <v>305.67239999999998</v>
      </c>
      <c r="G13" s="22">
        <v>6.59E-2</v>
      </c>
      <c r="H13" s="23">
        <v>7.0687E-2</v>
      </c>
      <c r="I13" s="24"/>
      <c r="J13" s="5"/>
    </row>
    <row r="14" spans="1:10" ht="13.05" customHeight="1">
      <c r="A14" s="18" t="s">
        <v>2367</v>
      </c>
      <c r="B14" s="19" t="s">
        <v>2368</v>
      </c>
      <c r="C14" s="15" t="s">
        <v>2369</v>
      </c>
      <c r="D14" s="15" t="s">
        <v>213</v>
      </c>
      <c r="E14" s="20">
        <v>300</v>
      </c>
      <c r="F14" s="21">
        <v>304.6875</v>
      </c>
      <c r="G14" s="22">
        <v>6.5699999999999995E-2</v>
      </c>
      <c r="H14" s="23">
        <v>7.1599999999999997E-2</v>
      </c>
      <c r="I14" s="24"/>
      <c r="J14" s="5"/>
    </row>
    <row r="15" spans="1:10" ht="13.05" customHeight="1">
      <c r="A15" s="18" t="s">
        <v>4639</v>
      </c>
      <c r="B15" s="19" t="s">
        <v>4640</v>
      </c>
      <c r="C15" s="15" t="s">
        <v>4641</v>
      </c>
      <c r="D15" s="15" t="s">
        <v>213</v>
      </c>
      <c r="E15" s="20">
        <v>300</v>
      </c>
      <c r="F15" s="21">
        <v>304.48289999999997</v>
      </c>
      <c r="G15" s="22">
        <v>6.5699999999999995E-2</v>
      </c>
      <c r="H15" s="23">
        <v>6.8199999999999997E-2</v>
      </c>
      <c r="I15" s="24"/>
      <c r="J15" s="5"/>
    </row>
    <row r="16" spans="1:10" ht="13.05" customHeight="1">
      <c r="A16" s="18" t="s">
        <v>2276</v>
      </c>
      <c r="B16" s="19" t="s">
        <v>2277</v>
      </c>
      <c r="C16" s="15" t="s">
        <v>2278</v>
      </c>
      <c r="D16" s="15" t="s">
        <v>213</v>
      </c>
      <c r="E16" s="20">
        <v>250</v>
      </c>
      <c r="F16" s="21">
        <v>253.97329999999999</v>
      </c>
      <c r="G16" s="22">
        <v>5.4800000000000001E-2</v>
      </c>
      <c r="H16" s="23">
        <v>7.0949999999999999E-2</v>
      </c>
      <c r="I16" s="24"/>
      <c r="J16" s="5"/>
    </row>
    <row r="17" spans="1:10" ht="13.05" customHeight="1">
      <c r="A17" s="18" t="s">
        <v>2288</v>
      </c>
      <c r="B17" s="19" t="s">
        <v>2289</v>
      </c>
      <c r="C17" s="15" t="s">
        <v>2290</v>
      </c>
      <c r="D17" s="15" t="s">
        <v>213</v>
      </c>
      <c r="E17" s="20">
        <v>100</v>
      </c>
      <c r="F17" s="21">
        <v>101.6079</v>
      </c>
      <c r="G17" s="22">
        <v>2.1899999999999999E-2</v>
      </c>
      <c r="H17" s="23">
        <v>6.9849999999999995E-2</v>
      </c>
      <c r="I17" s="24"/>
      <c r="J17" s="5"/>
    </row>
    <row r="18" spans="1:10" ht="13.05" customHeight="1">
      <c r="A18" s="18" t="s">
        <v>2397</v>
      </c>
      <c r="B18" s="19" t="s">
        <v>2398</v>
      </c>
      <c r="C18" s="15" t="s">
        <v>2399</v>
      </c>
      <c r="D18" s="15" t="s">
        <v>213</v>
      </c>
      <c r="E18" s="20">
        <v>100</v>
      </c>
      <c r="F18" s="21">
        <v>101.541</v>
      </c>
      <c r="G18" s="22">
        <v>2.1899999999999999E-2</v>
      </c>
      <c r="H18" s="23">
        <v>6.9650000000000004E-2</v>
      </c>
      <c r="I18" s="24"/>
      <c r="J18" s="5"/>
    </row>
    <row r="19" spans="1:10" ht="13.05" customHeight="1">
      <c r="A19" s="5"/>
      <c r="B19" s="14" t="s">
        <v>192</v>
      </c>
      <c r="C19" s="15"/>
      <c r="D19" s="15"/>
      <c r="E19" s="15"/>
      <c r="F19" s="25">
        <v>4264.5578999999998</v>
      </c>
      <c r="G19" s="26">
        <v>0.91990000000000005</v>
      </c>
      <c r="H19" s="27"/>
      <c r="I19" s="28"/>
      <c r="J19" s="5"/>
    </row>
    <row r="20" spans="1:10" ht="13.05" customHeight="1">
      <c r="A20" s="5"/>
      <c r="B20" s="29" t="s">
        <v>193</v>
      </c>
      <c r="C20" s="2"/>
      <c r="D20" s="2"/>
      <c r="E20" s="2"/>
      <c r="F20" s="27" t="s">
        <v>194</v>
      </c>
      <c r="G20" s="27" t="s">
        <v>194</v>
      </c>
      <c r="H20" s="27"/>
      <c r="I20" s="28"/>
      <c r="J20" s="5"/>
    </row>
    <row r="21" spans="1:10" ht="13.05" customHeight="1">
      <c r="A21" s="5"/>
      <c r="B21" s="29" t="s">
        <v>192</v>
      </c>
      <c r="C21" s="2"/>
      <c r="D21" s="2"/>
      <c r="E21" s="2"/>
      <c r="F21" s="27" t="s">
        <v>194</v>
      </c>
      <c r="G21" s="27" t="s">
        <v>194</v>
      </c>
      <c r="H21" s="27"/>
      <c r="I21" s="28"/>
      <c r="J21" s="5"/>
    </row>
    <row r="22" spans="1:10" ht="13.05" customHeight="1">
      <c r="A22" s="5"/>
      <c r="B22" s="29" t="s">
        <v>195</v>
      </c>
      <c r="C22" s="30"/>
      <c r="D22" s="2"/>
      <c r="E22" s="30"/>
      <c r="F22" s="25">
        <v>4264.5578999999998</v>
      </c>
      <c r="G22" s="26">
        <v>0.91990000000000005</v>
      </c>
      <c r="H22" s="27"/>
      <c r="I22" s="28"/>
      <c r="J22" s="5"/>
    </row>
    <row r="23" spans="1:10" ht="13.05" customHeight="1">
      <c r="A23" s="5"/>
      <c r="B23" s="14" t="s">
        <v>196</v>
      </c>
      <c r="C23" s="15"/>
      <c r="D23" s="15"/>
      <c r="E23" s="15"/>
      <c r="F23" s="15"/>
      <c r="G23" s="15"/>
      <c r="H23" s="16"/>
      <c r="I23" s="17"/>
      <c r="J23" s="5"/>
    </row>
    <row r="24" spans="1:10" ht="13.05" customHeight="1">
      <c r="A24" s="18" t="s">
        <v>197</v>
      </c>
      <c r="B24" s="19" t="s">
        <v>198</v>
      </c>
      <c r="C24" s="15"/>
      <c r="D24" s="15"/>
      <c r="E24" s="20"/>
      <c r="F24" s="21">
        <v>186.47319999999999</v>
      </c>
      <c r="G24" s="22">
        <v>4.02E-2</v>
      </c>
      <c r="H24" s="23">
        <v>5.5573604227713722E-2</v>
      </c>
      <c r="I24" s="24"/>
      <c r="J24" s="5"/>
    </row>
    <row r="25" spans="1:10" ht="13.05" customHeight="1">
      <c r="A25" s="5"/>
      <c r="B25" s="14" t="s">
        <v>192</v>
      </c>
      <c r="C25" s="15"/>
      <c r="D25" s="15"/>
      <c r="E25" s="15"/>
      <c r="F25" s="25">
        <v>186.47319999999999</v>
      </c>
      <c r="G25" s="26">
        <v>4.02E-2</v>
      </c>
      <c r="H25" s="27"/>
      <c r="I25" s="28"/>
      <c r="J25" s="5"/>
    </row>
    <row r="26" spans="1:10" ht="13.05" customHeight="1">
      <c r="A26" s="5"/>
      <c r="B26" s="29" t="s">
        <v>193</v>
      </c>
      <c r="C26" s="2"/>
      <c r="D26" s="2"/>
      <c r="E26" s="2"/>
      <c r="F26" s="27" t="s">
        <v>194</v>
      </c>
      <c r="G26" s="27" t="s">
        <v>194</v>
      </c>
      <c r="H26" s="27"/>
      <c r="I26" s="28"/>
      <c r="J26" s="5"/>
    </row>
    <row r="27" spans="1:10" ht="13.05" customHeight="1">
      <c r="A27" s="5"/>
      <c r="B27" s="29" t="s">
        <v>192</v>
      </c>
      <c r="C27" s="2"/>
      <c r="D27" s="2"/>
      <c r="E27" s="2"/>
      <c r="F27" s="27" t="s">
        <v>194</v>
      </c>
      <c r="G27" s="27" t="s">
        <v>194</v>
      </c>
      <c r="H27" s="27"/>
      <c r="I27" s="28"/>
      <c r="J27" s="5"/>
    </row>
    <row r="28" spans="1:10" ht="13.05" customHeight="1">
      <c r="A28" s="5"/>
      <c r="B28" s="29" t="s">
        <v>195</v>
      </c>
      <c r="C28" s="30"/>
      <c r="D28" s="2"/>
      <c r="E28" s="30"/>
      <c r="F28" s="25">
        <v>186.47319999999999</v>
      </c>
      <c r="G28" s="26">
        <v>4.02E-2</v>
      </c>
      <c r="H28" s="27"/>
      <c r="I28" s="28"/>
      <c r="J28" s="5"/>
    </row>
    <row r="29" spans="1:10" ht="13.05" customHeight="1">
      <c r="A29" s="5"/>
      <c r="B29" s="29" t="s">
        <v>199</v>
      </c>
      <c r="C29" s="15"/>
      <c r="D29" s="2"/>
      <c r="E29" s="15"/>
      <c r="F29" s="31">
        <v>184.94890000000001</v>
      </c>
      <c r="G29" s="26">
        <v>3.9899999999999998E-2</v>
      </c>
      <c r="H29" s="27"/>
      <c r="I29" s="28"/>
      <c r="J29" s="5"/>
    </row>
    <row r="30" spans="1:10" ht="13.05" customHeight="1">
      <c r="A30" s="5"/>
      <c r="B30" s="32" t="s">
        <v>200</v>
      </c>
      <c r="C30" s="33"/>
      <c r="D30" s="33"/>
      <c r="E30" s="33"/>
      <c r="F30" s="34">
        <v>4635.9799999999996</v>
      </c>
      <c r="G30" s="35">
        <v>1</v>
      </c>
      <c r="H30" s="36"/>
      <c r="I30" s="37"/>
      <c r="J30" s="5"/>
    </row>
    <row r="31" spans="1:10" ht="13.05" customHeight="1">
      <c r="A31" s="5"/>
      <c r="B31" s="7"/>
      <c r="C31" s="5"/>
      <c r="D31" s="5"/>
      <c r="E31" s="5"/>
      <c r="F31" s="5"/>
      <c r="G31" s="5"/>
      <c r="H31" s="5"/>
      <c r="I31" s="5"/>
      <c r="J31" s="5"/>
    </row>
    <row r="32" spans="1:10" ht="13.05" customHeight="1">
      <c r="A32" s="5"/>
      <c r="B32" s="4" t="s">
        <v>250</v>
      </c>
      <c r="C32" s="5"/>
      <c r="D32" s="5"/>
      <c r="E32" s="5"/>
      <c r="F32" s="5"/>
      <c r="G32" s="5"/>
      <c r="H32" s="5"/>
      <c r="I32" s="5"/>
      <c r="J32" s="5"/>
    </row>
    <row r="33" spans="1:10" ht="13.05" customHeight="1">
      <c r="A33" s="5"/>
      <c r="B33" s="4" t="s">
        <v>201</v>
      </c>
      <c r="C33" s="5"/>
      <c r="D33" s="5"/>
      <c r="E33" s="5"/>
      <c r="F33" s="5"/>
      <c r="G33" s="5"/>
      <c r="H33" s="5"/>
      <c r="I33" s="5"/>
      <c r="J33" s="5"/>
    </row>
    <row r="34" spans="1:10" ht="25.95" customHeight="1">
      <c r="A34" s="5"/>
      <c r="B34" s="103" t="s">
        <v>202</v>
      </c>
      <c r="C34" s="103"/>
      <c r="D34" s="103"/>
      <c r="E34" s="103"/>
      <c r="F34" s="103"/>
      <c r="G34" s="103"/>
      <c r="H34" s="103"/>
      <c r="I34" s="103"/>
      <c r="J34" s="5"/>
    </row>
    <row r="35" spans="1:10" ht="13.05" customHeight="1">
      <c r="A35" s="5"/>
      <c r="B35" s="103" t="s">
        <v>203</v>
      </c>
      <c r="C35" s="103"/>
      <c r="D35" s="103"/>
      <c r="E35" s="103"/>
      <c r="F35" s="103"/>
      <c r="G35" s="103"/>
      <c r="H35" s="103"/>
      <c r="I35" s="103"/>
      <c r="J35" s="5"/>
    </row>
    <row r="36" spans="1:10" ht="13.05" customHeight="1">
      <c r="A36" s="5"/>
      <c r="B36" s="103" t="s">
        <v>4642</v>
      </c>
      <c r="C36" s="103"/>
      <c r="D36" s="103"/>
      <c r="E36" s="103"/>
      <c r="F36" s="103"/>
      <c r="G36" s="5"/>
      <c r="H36" s="5"/>
      <c r="I36" s="5"/>
      <c r="J36" s="5"/>
    </row>
    <row r="37" spans="1:10" ht="13.05" customHeight="1">
      <c r="A37" s="5"/>
      <c r="B37" s="103"/>
      <c r="C37" s="103"/>
      <c r="D37" s="103"/>
      <c r="E37" s="103"/>
      <c r="F37" s="103"/>
      <c r="G37" s="103"/>
      <c r="H37" s="103"/>
      <c r="I37" s="103"/>
      <c r="J37" s="5"/>
    </row>
    <row r="38" spans="1:10" ht="13.05" customHeight="1">
      <c r="A38" s="5"/>
      <c r="B38" s="103"/>
      <c r="C38" s="103"/>
      <c r="D38" s="103"/>
      <c r="E38" s="103"/>
      <c r="F38" s="103"/>
      <c r="G38" s="103"/>
      <c r="H38" s="103"/>
      <c r="I38" s="103"/>
      <c r="J38" s="5"/>
    </row>
    <row r="39" spans="1:10" ht="13.05" customHeight="1">
      <c r="A39" s="5"/>
      <c r="B39" s="5"/>
      <c r="C39" s="104" t="s">
        <v>4643</v>
      </c>
      <c r="D39" s="104"/>
      <c r="E39" s="104"/>
      <c r="F39" s="104"/>
      <c r="G39" s="5"/>
      <c r="H39" s="5"/>
      <c r="I39" s="5"/>
      <c r="J39" s="5"/>
    </row>
    <row r="40" spans="1:10" ht="13.05" customHeight="1">
      <c r="A40" s="5"/>
      <c r="B40" s="38" t="s">
        <v>207</v>
      </c>
      <c r="C40" s="104" t="s">
        <v>208</v>
      </c>
      <c r="D40" s="104"/>
      <c r="E40" s="104"/>
      <c r="F40" s="104"/>
      <c r="G40" s="5"/>
      <c r="H40" s="5"/>
      <c r="I40" s="5"/>
      <c r="J40" s="5"/>
    </row>
    <row r="41" spans="1:10" ht="135" customHeight="1">
      <c r="A41" s="5"/>
      <c r="B41" s="39"/>
      <c r="C41" s="105"/>
      <c r="D41" s="105"/>
      <c r="E41" s="5"/>
      <c r="F41" s="5"/>
      <c r="G41" s="5"/>
      <c r="H41" s="5"/>
      <c r="I41" s="5"/>
      <c r="J41" s="5"/>
    </row>
  </sheetData>
  <mergeCells count="8">
    <mergeCell ref="C39:F39"/>
    <mergeCell ref="C40:F40"/>
    <mergeCell ref="C41:D41"/>
    <mergeCell ref="B34:I34"/>
    <mergeCell ref="B35:I35"/>
    <mergeCell ref="B36:F36"/>
    <mergeCell ref="B37:I37"/>
    <mergeCell ref="B38:I38"/>
  </mergeCells>
  <hyperlinks>
    <hyperlink ref="A1" location="AxisCRISILIBXAAABondNBFCHFCJun2027IndexFund" display="AXISNHS" xr:uid="{00000000-0004-0000-3700-000000000000}"/>
    <hyperlink ref="B1" location="AxisCRISILIBXAAABondNBFCHFCJun2027IndexFund" display="Axis CRISIL-IBX AAA Bond NBFC-HFC - Jun 2027 Index Fund" xr:uid="{00000000-0004-0000-37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outlinePr summaryBelow="0"/>
  </sheetPr>
  <dimension ref="A1:J132"/>
  <sheetViews>
    <sheetView topLeftCell="A88" workbookViewId="0">
      <selection activeCell="C112" sqref="C11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114</v>
      </c>
      <c r="B1" s="4" t="s">
        <v>115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2180719</v>
      </c>
      <c r="F7" s="21">
        <v>21530.238700000002</v>
      </c>
      <c r="G7" s="22">
        <v>0.1066</v>
      </c>
      <c r="H7" s="40"/>
      <c r="I7" s="24"/>
      <c r="J7" s="5"/>
    </row>
    <row r="8" spans="1:10" ht="13.05" customHeight="1">
      <c r="A8" s="18" t="s">
        <v>258</v>
      </c>
      <c r="B8" s="19" t="s">
        <v>259</v>
      </c>
      <c r="C8" s="15" t="s">
        <v>260</v>
      </c>
      <c r="D8" s="15" t="s">
        <v>261</v>
      </c>
      <c r="E8" s="20">
        <v>966550</v>
      </c>
      <c r="F8" s="21">
        <v>14366.799199999999</v>
      </c>
      <c r="G8" s="22">
        <v>7.1099999999999997E-2</v>
      </c>
      <c r="H8" s="40"/>
      <c r="I8" s="24"/>
      <c r="J8" s="5"/>
    </row>
    <row r="9" spans="1:10" ht="13.05" customHeight="1">
      <c r="A9" s="18" t="s">
        <v>262</v>
      </c>
      <c r="B9" s="19" t="s">
        <v>263</v>
      </c>
      <c r="C9" s="15" t="s">
        <v>264</v>
      </c>
      <c r="D9" s="15" t="s">
        <v>257</v>
      </c>
      <c r="E9" s="20">
        <v>1018892</v>
      </c>
      <c r="F9" s="21">
        <v>13707.1541</v>
      </c>
      <c r="G9" s="22">
        <v>6.7900000000000002E-2</v>
      </c>
      <c r="H9" s="40"/>
      <c r="I9" s="24"/>
      <c r="J9" s="5"/>
    </row>
    <row r="10" spans="1:10" ht="13.05" customHeight="1">
      <c r="A10" s="18" t="s">
        <v>265</v>
      </c>
      <c r="B10" s="19" t="s">
        <v>266</v>
      </c>
      <c r="C10" s="15" t="s">
        <v>267</v>
      </c>
      <c r="D10" s="15" t="s">
        <v>268</v>
      </c>
      <c r="E10" s="20">
        <v>389377</v>
      </c>
      <c r="F10" s="21">
        <v>7999.7505000000001</v>
      </c>
      <c r="G10" s="22">
        <v>3.9600000000000003E-2</v>
      </c>
      <c r="H10" s="40"/>
      <c r="I10" s="24"/>
      <c r="J10" s="5"/>
    </row>
    <row r="11" spans="1:10" ht="13.05" customHeight="1">
      <c r="A11" s="18" t="s">
        <v>269</v>
      </c>
      <c r="B11" s="19" t="s">
        <v>270</v>
      </c>
      <c r="C11" s="15" t="s">
        <v>271</v>
      </c>
      <c r="D11" s="15" t="s">
        <v>272</v>
      </c>
      <c r="E11" s="20">
        <v>514722</v>
      </c>
      <c r="F11" s="21">
        <v>7629.7241999999997</v>
      </c>
      <c r="G11" s="22">
        <v>3.78E-2</v>
      </c>
      <c r="H11" s="40"/>
      <c r="I11" s="24"/>
      <c r="J11" s="5"/>
    </row>
    <row r="12" spans="1:10" ht="13.05" customHeight="1">
      <c r="A12" s="18" t="s">
        <v>273</v>
      </c>
      <c r="B12" s="19" t="s">
        <v>274</v>
      </c>
      <c r="C12" s="15" t="s">
        <v>275</v>
      </c>
      <c r="D12" s="15" t="s">
        <v>276</v>
      </c>
      <c r="E12" s="20">
        <v>167802</v>
      </c>
      <c r="F12" s="21">
        <v>6763.9308000000001</v>
      </c>
      <c r="G12" s="22">
        <v>3.3500000000000002E-2</v>
      </c>
      <c r="H12" s="40"/>
      <c r="I12" s="24"/>
      <c r="J12" s="5"/>
    </row>
    <row r="13" spans="1:10" ht="13.05" customHeight="1">
      <c r="A13" s="18" t="s">
        <v>277</v>
      </c>
      <c r="B13" s="19" t="s">
        <v>278</v>
      </c>
      <c r="C13" s="15" t="s">
        <v>279</v>
      </c>
      <c r="D13" s="15" t="s">
        <v>280</v>
      </c>
      <c r="E13" s="20">
        <v>1374309</v>
      </c>
      <c r="F13" s="21">
        <v>5776.9079000000002</v>
      </c>
      <c r="G13" s="22">
        <v>2.86E-2</v>
      </c>
      <c r="H13" s="40"/>
      <c r="I13" s="24"/>
      <c r="J13" s="5"/>
    </row>
    <row r="14" spans="1:10" ht="13.05" customHeight="1">
      <c r="A14" s="18" t="s">
        <v>281</v>
      </c>
      <c r="B14" s="19" t="s">
        <v>282</v>
      </c>
      <c r="C14" s="15" t="s">
        <v>283</v>
      </c>
      <c r="D14" s="15" t="s">
        <v>257</v>
      </c>
      <c r="E14" s="20">
        <v>592559</v>
      </c>
      <c r="F14" s="21">
        <v>5552.2777999999998</v>
      </c>
      <c r="G14" s="22">
        <v>2.75E-2</v>
      </c>
      <c r="H14" s="40"/>
      <c r="I14" s="24"/>
      <c r="J14" s="5"/>
    </row>
    <row r="15" spans="1:10" ht="13.05" customHeight="1">
      <c r="A15" s="18" t="s">
        <v>284</v>
      </c>
      <c r="B15" s="19" t="s">
        <v>285</v>
      </c>
      <c r="C15" s="15" t="s">
        <v>286</v>
      </c>
      <c r="D15" s="15" t="s">
        <v>257</v>
      </c>
      <c r="E15" s="20">
        <v>409157</v>
      </c>
      <c r="F15" s="21">
        <v>5044.0874999999996</v>
      </c>
      <c r="G15" s="22">
        <v>2.5000000000000001E-2</v>
      </c>
      <c r="H15" s="40"/>
      <c r="I15" s="24"/>
      <c r="J15" s="5"/>
    </row>
    <row r="16" spans="1:10" ht="13.05" customHeight="1">
      <c r="A16" s="18" t="s">
        <v>287</v>
      </c>
      <c r="B16" s="19" t="s">
        <v>288</v>
      </c>
      <c r="C16" s="15" t="s">
        <v>289</v>
      </c>
      <c r="D16" s="15" t="s">
        <v>272</v>
      </c>
      <c r="E16" s="20">
        <v>145917</v>
      </c>
      <c r="F16" s="21">
        <v>4462.1418999999996</v>
      </c>
      <c r="G16" s="22">
        <v>2.2100000000000002E-2</v>
      </c>
      <c r="H16" s="40"/>
      <c r="I16" s="24"/>
      <c r="J16" s="5"/>
    </row>
    <row r="17" spans="1:10" ht="13.05" customHeight="1">
      <c r="A17" s="18" t="s">
        <v>290</v>
      </c>
      <c r="B17" s="19" t="s">
        <v>291</v>
      </c>
      <c r="C17" s="15" t="s">
        <v>292</v>
      </c>
      <c r="D17" s="15" t="s">
        <v>257</v>
      </c>
      <c r="E17" s="20">
        <v>210129</v>
      </c>
      <c r="F17" s="21">
        <v>4417.3317999999999</v>
      </c>
      <c r="G17" s="22">
        <v>2.1899999999999999E-2</v>
      </c>
      <c r="H17" s="40"/>
      <c r="I17" s="24"/>
      <c r="J17" s="5"/>
    </row>
    <row r="18" spans="1:10" ht="13.05" customHeight="1">
      <c r="A18" s="18" t="s">
        <v>293</v>
      </c>
      <c r="B18" s="19" t="s">
        <v>294</v>
      </c>
      <c r="C18" s="15" t="s">
        <v>295</v>
      </c>
      <c r="D18" s="15" t="s">
        <v>296</v>
      </c>
      <c r="E18" s="20">
        <v>126601</v>
      </c>
      <c r="F18" s="21">
        <v>4414.8301000000001</v>
      </c>
      <c r="G18" s="22">
        <v>2.1899999999999999E-2</v>
      </c>
      <c r="H18" s="40"/>
      <c r="I18" s="24"/>
      <c r="J18" s="5"/>
    </row>
    <row r="19" spans="1:10" ht="13.05" customHeight="1">
      <c r="A19" s="18" t="s">
        <v>297</v>
      </c>
      <c r="B19" s="19" t="s">
        <v>298</v>
      </c>
      <c r="C19" s="15" t="s">
        <v>299</v>
      </c>
      <c r="D19" s="15" t="s">
        <v>300</v>
      </c>
      <c r="E19" s="20">
        <v>380095</v>
      </c>
      <c r="F19" s="21">
        <v>3963.6307000000002</v>
      </c>
      <c r="G19" s="22">
        <v>1.9599999999999999E-2</v>
      </c>
      <c r="H19" s="40"/>
      <c r="I19" s="24"/>
      <c r="J19" s="5"/>
    </row>
    <row r="20" spans="1:10" ht="13.05" customHeight="1">
      <c r="A20" s="18" t="s">
        <v>301</v>
      </c>
      <c r="B20" s="19" t="s">
        <v>302</v>
      </c>
      <c r="C20" s="15" t="s">
        <v>303</v>
      </c>
      <c r="D20" s="15" t="s">
        <v>304</v>
      </c>
      <c r="E20" s="20">
        <v>993966</v>
      </c>
      <c r="F20" s="21">
        <v>3158.3270000000002</v>
      </c>
      <c r="G20" s="22">
        <v>1.5599999999999999E-2</v>
      </c>
      <c r="H20" s="40"/>
      <c r="I20" s="24"/>
      <c r="J20" s="5"/>
    </row>
    <row r="21" spans="1:10" ht="13.05" customHeight="1">
      <c r="A21" s="18" t="s">
        <v>305</v>
      </c>
      <c r="B21" s="19" t="s">
        <v>306</v>
      </c>
      <c r="C21" s="15" t="s">
        <v>307</v>
      </c>
      <c r="D21" s="15" t="s">
        <v>280</v>
      </c>
      <c r="E21" s="20">
        <v>126832</v>
      </c>
      <c r="F21" s="21">
        <v>3127.0430000000001</v>
      </c>
      <c r="G21" s="22">
        <v>1.55E-2</v>
      </c>
      <c r="H21" s="40"/>
      <c r="I21" s="24"/>
      <c r="J21" s="5"/>
    </row>
    <row r="22" spans="1:10" ht="13.05" customHeight="1">
      <c r="A22" s="18" t="s">
        <v>308</v>
      </c>
      <c r="B22" s="19" t="s">
        <v>309</v>
      </c>
      <c r="C22" s="15" t="s">
        <v>310</v>
      </c>
      <c r="D22" s="15" t="s">
        <v>296</v>
      </c>
      <c r="E22" s="20">
        <v>18752</v>
      </c>
      <c r="F22" s="21">
        <v>3035.1986999999999</v>
      </c>
      <c r="G22" s="22">
        <v>1.4999999999999999E-2</v>
      </c>
      <c r="H22" s="40"/>
      <c r="I22" s="24"/>
      <c r="J22" s="5"/>
    </row>
    <row r="23" spans="1:10" ht="13.05" customHeight="1">
      <c r="A23" s="18" t="s">
        <v>311</v>
      </c>
      <c r="B23" s="19" t="s">
        <v>312</v>
      </c>
      <c r="C23" s="15" t="s">
        <v>313</v>
      </c>
      <c r="D23" s="15" t="s">
        <v>314</v>
      </c>
      <c r="E23" s="20">
        <v>150548</v>
      </c>
      <c r="F23" s="21">
        <v>2545.3150000000001</v>
      </c>
      <c r="G23" s="22">
        <v>1.26E-2</v>
      </c>
      <c r="H23" s="40"/>
      <c r="I23" s="24"/>
      <c r="J23" s="5"/>
    </row>
    <row r="24" spans="1:10" ht="13.05" customHeight="1">
      <c r="A24" s="18" t="s">
        <v>315</v>
      </c>
      <c r="B24" s="19" t="s">
        <v>316</v>
      </c>
      <c r="C24" s="15" t="s">
        <v>317</v>
      </c>
      <c r="D24" s="15" t="s">
        <v>272</v>
      </c>
      <c r="E24" s="20">
        <v>151876</v>
      </c>
      <c r="F24" s="21">
        <v>2341.1685000000002</v>
      </c>
      <c r="G24" s="22">
        <v>1.1599999999999999E-2</v>
      </c>
      <c r="H24" s="40"/>
      <c r="I24" s="24"/>
      <c r="J24" s="5"/>
    </row>
    <row r="25" spans="1:10" ht="13.05" customHeight="1">
      <c r="A25" s="18" t="s">
        <v>318</v>
      </c>
      <c r="B25" s="19" t="s">
        <v>319</v>
      </c>
      <c r="C25" s="15" t="s">
        <v>320</v>
      </c>
      <c r="D25" s="15" t="s">
        <v>321</v>
      </c>
      <c r="E25" s="20">
        <v>677664</v>
      </c>
      <c r="F25" s="21">
        <v>2283.3888000000002</v>
      </c>
      <c r="G25" s="22">
        <v>1.1299999999999999E-2</v>
      </c>
      <c r="H25" s="40"/>
      <c r="I25" s="24"/>
      <c r="J25" s="5"/>
    </row>
    <row r="26" spans="1:10" ht="13.05" customHeight="1">
      <c r="A26" s="18" t="s">
        <v>322</v>
      </c>
      <c r="B26" s="19" t="s">
        <v>323</v>
      </c>
      <c r="C26" s="15" t="s">
        <v>324</v>
      </c>
      <c r="D26" s="15" t="s">
        <v>325</v>
      </c>
      <c r="E26" s="20">
        <v>58961</v>
      </c>
      <c r="F26" s="21">
        <v>2209.0918000000001</v>
      </c>
      <c r="G26" s="22">
        <v>1.09E-2</v>
      </c>
      <c r="H26" s="40"/>
      <c r="I26" s="24"/>
      <c r="J26" s="5"/>
    </row>
    <row r="27" spans="1:10" ht="13.05" customHeight="1">
      <c r="A27" s="18" t="s">
        <v>326</v>
      </c>
      <c r="B27" s="19" t="s">
        <v>327</v>
      </c>
      <c r="C27" s="15" t="s">
        <v>328</v>
      </c>
      <c r="D27" s="15" t="s">
        <v>329</v>
      </c>
      <c r="E27" s="20">
        <v>513199</v>
      </c>
      <c r="F27" s="21">
        <v>2186.7408999999998</v>
      </c>
      <c r="G27" s="22">
        <v>1.0800000000000001E-2</v>
      </c>
      <c r="H27" s="40"/>
      <c r="I27" s="24"/>
      <c r="J27" s="5"/>
    </row>
    <row r="28" spans="1:10" ht="13.05" customHeight="1">
      <c r="A28" s="18" t="s">
        <v>330</v>
      </c>
      <c r="B28" s="19" t="s">
        <v>331</v>
      </c>
      <c r="C28" s="15" t="s">
        <v>332</v>
      </c>
      <c r="D28" s="15" t="s">
        <v>333</v>
      </c>
      <c r="E28" s="20">
        <v>1181314</v>
      </c>
      <c r="F28" s="21">
        <v>2159.9144999999999</v>
      </c>
      <c r="G28" s="22">
        <v>1.0699999999999999E-2</v>
      </c>
      <c r="H28" s="40"/>
      <c r="I28" s="24"/>
      <c r="J28" s="5"/>
    </row>
    <row r="29" spans="1:10" ht="13.05" customHeight="1">
      <c r="A29" s="18" t="s">
        <v>334</v>
      </c>
      <c r="B29" s="19" t="s">
        <v>335</v>
      </c>
      <c r="C29" s="15" t="s">
        <v>336</v>
      </c>
      <c r="D29" s="15" t="s">
        <v>337</v>
      </c>
      <c r="E29" s="20">
        <v>16951</v>
      </c>
      <c r="F29" s="21">
        <v>2025.136</v>
      </c>
      <c r="G29" s="22">
        <v>0.01</v>
      </c>
      <c r="H29" s="40"/>
      <c r="I29" s="24"/>
      <c r="J29" s="5"/>
    </row>
    <row r="30" spans="1:10" ht="13.05" customHeight="1">
      <c r="A30" s="18" t="s">
        <v>338</v>
      </c>
      <c r="B30" s="19" t="s">
        <v>339</v>
      </c>
      <c r="C30" s="15" t="s">
        <v>340</v>
      </c>
      <c r="D30" s="15" t="s">
        <v>321</v>
      </c>
      <c r="E30" s="20">
        <v>646790</v>
      </c>
      <c r="F30" s="21">
        <v>1863.7254</v>
      </c>
      <c r="G30" s="22">
        <v>9.1999999999999998E-3</v>
      </c>
      <c r="H30" s="40"/>
      <c r="I30" s="24"/>
      <c r="J30" s="5"/>
    </row>
    <row r="31" spans="1:10" ht="13.05" customHeight="1">
      <c r="A31" s="18" t="s">
        <v>341</v>
      </c>
      <c r="B31" s="19" t="s">
        <v>342</v>
      </c>
      <c r="C31" s="15" t="s">
        <v>343</v>
      </c>
      <c r="D31" s="15" t="s">
        <v>344</v>
      </c>
      <c r="E31" s="20">
        <v>207807</v>
      </c>
      <c r="F31" s="21">
        <v>1761.8915999999999</v>
      </c>
      <c r="G31" s="22">
        <v>8.6999999999999994E-3</v>
      </c>
      <c r="H31" s="40"/>
      <c r="I31" s="24"/>
      <c r="J31" s="5"/>
    </row>
    <row r="32" spans="1:10" ht="13.05" customHeight="1">
      <c r="A32" s="18" t="s">
        <v>345</v>
      </c>
      <c r="B32" s="19" t="s">
        <v>346</v>
      </c>
      <c r="C32" s="15" t="s">
        <v>347</v>
      </c>
      <c r="D32" s="15" t="s">
        <v>348</v>
      </c>
      <c r="E32" s="20">
        <v>31181</v>
      </c>
      <c r="F32" s="21">
        <v>1753.9313</v>
      </c>
      <c r="G32" s="22">
        <v>8.6999999999999994E-3</v>
      </c>
      <c r="H32" s="40"/>
      <c r="I32" s="24"/>
      <c r="J32" s="5"/>
    </row>
    <row r="33" spans="1:10" ht="13.05" customHeight="1">
      <c r="A33" s="18" t="s">
        <v>349</v>
      </c>
      <c r="B33" s="19" t="s">
        <v>350</v>
      </c>
      <c r="C33" s="15" t="s">
        <v>351</v>
      </c>
      <c r="D33" s="15" t="s">
        <v>300</v>
      </c>
      <c r="E33" s="20">
        <v>81245</v>
      </c>
      <c r="F33" s="21">
        <v>1696.6393</v>
      </c>
      <c r="G33" s="22">
        <v>8.3999999999999995E-3</v>
      </c>
      <c r="H33" s="40"/>
      <c r="I33" s="24"/>
      <c r="J33" s="5"/>
    </row>
    <row r="34" spans="1:10" ht="13.05" customHeight="1">
      <c r="A34" s="18" t="s">
        <v>352</v>
      </c>
      <c r="B34" s="19" t="s">
        <v>353</v>
      </c>
      <c r="C34" s="15" t="s">
        <v>354</v>
      </c>
      <c r="D34" s="15" t="s">
        <v>325</v>
      </c>
      <c r="E34" s="20">
        <v>64599</v>
      </c>
      <c r="F34" s="21">
        <v>1621.9517000000001</v>
      </c>
      <c r="G34" s="22">
        <v>8.0000000000000002E-3</v>
      </c>
      <c r="H34" s="40"/>
      <c r="I34" s="24"/>
      <c r="J34" s="5"/>
    </row>
    <row r="35" spans="1:10" ht="13.05" customHeight="1">
      <c r="A35" s="18" t="s">
        <v>355</v>
      </c>
      <c r="B35" s="19" t="s">
        <v>356</v>
      </c>
      <c r="C35" s="15" t="s">
        <v>357</v>
      </c>
      <c r="D35" s="15" t="s">
        <v>333</v>
      </c>
      <c r="E35" s="20">
        <v>133900</v>
      </c>
      <c r="F35" s="21">
        <v>1614.8340000000001</v>
      </c>
      <c r="G35" s="22">
        <v>8.0000000000000002E-3</v>
      </c>
      <c r="H35" s="40"/>
      <c r="I35" s="24"/>
      <c r="J35" s="5"/>
    </row>
    <row r="36" spans="1:10" ht="13.05" customHeight="1">
      <c r="A36" s="18" t="s">
        <v>358</v>
      </c>
      <c r="B36" s="19" t="s">
        <v>359</v>
      </c>
      <c r="C36" s="15" t="s">
        <v>360</v>
      </c>
      <c r="D36" s="15" t="s">
        <v>337</v>
      </c>
      <c r="E36" s="20">
        <v>54655</v>
      </c>
      <c r="F36" s="21">
        <v>1580.4585999999999</v>
      </c>
      <c r="G36" s="22">
        <v>7.7999999999999996E-3</v>
      </c>
      <c r="H36" s="40"/>
      <c r="I36" s="24"/>
      <c r="J36" s="5"/>
    </row>
    <row r="37" spans="1:10" ht="13.05" customHeight="1">
      <c r="A37" s="18" t="s">
        <v>361</v>
      </c>
      <c r="B37" s="19" t="s">
        <v>362</v>
      </c>
      <c r="C37" s="15" t="s">
        <v>363</v>
      </c>
      <c r="D37" s="15" t="s">
        <v>364</v>
      </c>
      <c r="E37" s="20">
        <v>105877</v>
      </c>
      <c r="F37" s="21">
        <v>1536.8046999999999</v>
      </c>
      <c r="G37" s="22">
        <v>7.6E-3</v>
      </c>
      <c r="H37" s="40"/>
      <c r="I37" s="24"/>
      <c r="J37" s="5"/>
    </row>
    <row r="38" spans="1:10" ht="13.05" customHeight="1">
      <c r="A38" s="18" t="s">
        <v>365</v>
      </c>
      <c r="B38" s="19" t="s">
        <v>366</v>
      </c>
      <c r="C38" s="15" t="s">
        <v>367</v>
      </c>
      <c r="D38" s="15" t="s">
        <v>300</v>
      </c>
      <c r="E38" s="20">
        <v>200093</v>
      </c>
      <c r="F38" s="21">
        <v>1498.4965</v>
      </c>
      <c r="G38" s="22">
        <v>7.4000000000000003E-3</v>
      </c>
      <c r="H38" s="40"/>
      <c r="I38" s="24"/>
      <c r="J38" s="5"/>
    </row>
    <row r="39" spans="1:10" ht="13.05" customHeight="1">
      <c r="A39" s="18" t="s">
        <v>368</v>
      </c>
      <c r="B39" s="19" t="s">
        <v>369</v>
      </c>
      <c r="C39" s="15" t="s">
        <v>370</v>
      </c>
      <c r="D39" s="15" t="s">
        <v>304</v>
      </c>
      <c r="E39" s="20">
        <v>31793</v>
      </c>
      <c r="F39" s="21">
        <v>1492.4588000000001</v>
      </c>
      <c r="G39" s="22">
        <v>7.4000000000000003E-3</v>
      </c>
      <c r="H39" s="40"/>
      <c r="I39" s="24"/>
      <c r="J39" s="5"/>
    </row>
    <row r="40" spans="1:10" ht="13.05" customHeight="1">
      <c r="A40" s="18" t="s">
        <v>375</v>
      </c>
      <c r="B40" s="19" t="s">
        <v>376</v>
      </c>
      <c r="C40" s="15" t="s">
        <v>377</v>
      </c>
      <c r="D40" s="15" t="s">
        <v>300</v>
      </c>
      <c r="E40" s="20">
        <v>469117</v>
      </c>
      <c r="F40" s="21">
        <v>1439.251</v>
      </c>
      <c r="G40" s="22">
        <v>7.1000000000000004E-3</v>
      </c>
      <c r="H40" s="40"/>
      <c r="I40" s="24"/>
      <c r="J40" s="5"/>
    </row>
    <row r="41" spans="1:10" ht="13.05" customHeight="1">
      <c r="A41" s="18" t="s">
        <v>378</v>
      </c>
      <c r="B41" s="19" t="s">
        <v>379</v>
      </c>
      <c r="C41" s="15" t="s">
        <v>380</v>
      </c>
      <c r="D41" s="15" t="s">
        <v>381</v>
      </c>
      <c r="E41" s="20">
        <v>555520</v>
      </c>
      <c r="F41" s="21">
        <v>1418.6314</v>
      </c>
      <c r="G41" s="22">
        <v>7.0000000000000001E-3</v>
      </c>
      <c r="H41" s="40"/>
      <c r="I41" s="24"/>
      <c r="J41" s="5"/>
    </row>
    <row r="42" spans="1:10" ht="13.05" customHeight="1">
      <c r="A42" s="18" t="s">
        <v>382</v>
      </c>
      <c r="B42" s="19" t="s">
        <v>383</v>
      </c>
      <c r="C42" s="15" t="s">
        <v>384</v>
      </c>
      <c r="D42" s="15" t="s">
        <v>296</v>
      </c>
      <c r="E42" s="20">
        <v>15824</v>
      </c>
      <c r="F42" s="21">
        <v>1407.1492000000001</v>
      </c>
      <c r="G42" s="22">
        <v>7.0000000000000001E-3</v>
      </c>
      <c r="H42" s="40"/>
      <c r="I42" s="24"/>
      <c r="J42" s="5"/>
    </row>
    <row r="43" spans="1:10" ht="13.05" customHeight="1">
      <c r="A43" s="18" t="s">
        <v>385</v>
      </c>
      <c r="B43" s="19" t="s">
        <v>386</v>
      </c>
      <c r="C43" s="15" t="s">
        <v>387</v>
      </c>
      <c r="D43" s="15" t="s">
        <v>296</v>
      </c>
      <c r="E43" s="20">
        <v>19642</v>
      </c>
      <c r="F43" s="21">
        <v>1376.3149000000001</v>
      </c>
      <c r="G43" s="22">
        <v>6.7999999999999996E-3</v>
      </c>
      <c r="H43" s="40"/>
      <c r="I43" s="24"/>
      <c r="J43" s="5"/>
    </row>
    <row r="44" spans="1:10" ht="13.05" customHeight="1">
      <c r="A44" s="18" t="s">
        <v>388</v>
      </c>
      <c r="B44" s="19" t="s">
        <v>389</v>
      </c>
      <c r="C44" s="15" t="s">
        <v>390</v>
      </c>
      <c r="D44" s="15" t="s">
        <v>391</v>
      </c>
      <c r="E44" s="20">
        <v>102597</v>
      </c>
      <c r="F44" s="21">
        <v>1304.6234999999999</v>
      </c>
      <c r="G44" s="22">
        <v>6.4999999999999997E-3</v>
      </c>
      <c r="H44" s="40"/>
      <c r="I44" s="24"/>
      <c r="J44" s="5"/>
    </row>
    <row r="45" spans="1:10" ht="13.05" customHeight="1">
      <c r="A45" s="18" t="s">
        <v>392</v>
      </c>
      <c r="B45" s="19" t="s">
        <v>393</v>
      </c>
      <c r="C45" s="15" t="s">
        <v>394</v>
      </c>
      <c r="D45" s="15" t="s">
        <v>272</v>
      </c>
      <c r="E45" s="20">
        <v>91248</v>
      </c>
      <c r="F45" s="21">
        <v>1299.7365</v>
      </c>
      <c r="G45" s="22">
        <v>6.4000000000000003E-3</v>
      </c>
      <c r="H45" s="40"/>
      <c r="I45" s="24"/>
      <c r="J45" s="5"/>
    </row>
    <row r="46" spans="1:10" ht="13.05" customHeight="1">
      <c r="A46" s="18" t="s">
        <v>395</v>
      </c>
      <c r="B46" s="19" t="s">
        <v>396</v>
      </c>
      <c r="C46" s="15" t="s">
        <v>397</v>
      </c>
      <c r="D46" s="15" t="s">
        <v>329</v>
      </c>
      <c r="E46" s="20">
        <v>27280</v>
      </c>
      <c r="F46" s="21">
        <v>1276.6494</v>
      </c>
      <c r="G46" s="22">
        <v>6.3E-3</v>
      </c>
      <c r="H46" s="40"/>
      <c r="I46" s="24"/>
      <c r="J46" s="5"/>
    </row>
    <row r="47" spans="1:10" ht="13.05" customHeight="1">
      <c r="A47" s="18" t="s">
        <v>398</v>
      </c>
      <c r="B47" s="19" t="s">
        <v>399</v>
      </c>
      <c r="C47" s="15" t="s">
        <v>400</v>
      </c>
      <c r="D47" s="15" t="s">
        <v>401</v>
      </c>
      <c r="E47" s="20">
        <v>324476</v>
      </c>
      <c r="F47" s="21">
        <v>1261.076</v>
      </c>
      <c r="G47" s="22">
        <v>6.1999999999999998E-3</v>
      </c>
      <c r="H47" s="40"/>
      <c r="I47" s="24"/>
      <c r="J47" s="5"/>
    </row>
    <row r="48" spans="1:10" ht="13.05" customHeight="1">
      <c r="A48" s="18" t="s">
        <v>402</v>
      </c>
      <c r="B48" s="19" t="s">
        <v>403</v>
      </c>
      <c r="C48" s="15" t="s">
        <v>404</v>
      </c>
      <c r="D48" s="15" t="s">
        <v>405</v>
      </c>
      <c r="E48" s="20">
        <v>64383</v>
      </c>
      <c r="F48" s="21">
        <v>1259.1383000000001</v>
      </c>
      <c r="G48" s="22">
        <v>6.1999999999999998E-3</v>
      </c>
      <c r="H48" s="40"/>
      <c r="I48" s="24"/>
      <c r="J48" s="5"/>
    </row>
    <row r="49" spans="1:10" ht="13.05" customHeight="1">
      <c r="A49" s="18" t="s">
        <v>409</v>
      </c>
      <c r="B49" s="19" t="s">
        <v>410</v>
      </c>
      <c r="C49" s="15" t="s">
        <v>411</v>
      </c>
      <c r="D49" s="15" t="s">
        <v>296</v>
      </c>
      <c r="E49" s="20">
        <v>299093</v>
      </c>
      <c r="F49" s="21">
        <v>1226.2813000000001</v>
      </c>
      <c r="G49" s="22">
        <v>6.1000000000000004E-3</v>
      </c>
      <c r="H49" s="40"/>
      <c r="I49" s="24"/>
      <c r="J49" s="5"/>
    </row>
    <row r="50" spans="1:10" ht="13.05" customHeight="1">
      <c r="A50" s="18" t="s">
        <v>406</v>
      </c>
      <c r="B50" s="19" t="s">
        <v>407</v>
      </c>
      <c r="C50" s="15" t="s">
        <v>408</v>
      </c>
      <c r="D50" s="15" t="s">
        <v>314</v>
      </c>
      <c r="E50" s="20">
        <v>18159</v>
      </c>
      <c r="F50" s="21">
        <v>1223.5534</v>
      </c>
      <c r="G50" s="22">
        <v>6.1000000000000004E-3</v>
      </c>
      <c r="H50" s="40"/>
      <c r="I50" s="24"/>
      <c r="J50" s="5"/>
    </row>
    <row r="51" spans="1:10" ht="13.05" customHeight="1">
      <c r="A51" s="18" t="s">
        <v>416</v>
      </c>
      <c r="B51" s="19" t="s">
        <v>417</v>
      </c>
      <c r="C51" s="15" t="s">
        <v>418</v>
      </c>
      <c r="D51" s="15" t="s">
        <v>314</v>
      </c>
      <c r="E51" s="20">
        <v>80756</v>
      </c>
      <c r="F51" s="21">
        <v>1212.3897999999999</v>
      </c>
      <c r="G51" s="22">
        <v>6.0000000000000001E-3</v>
      </c>
      <c r="H51" s="40"/>
      <c r="I51" s="24"/>
      <c r="J51" s="5"/>
    </row>
    <row r="52" spans="1:10" ht="13.05" customHeight="1">
      <c r="A52" s="18" t="s">
        <v>412</v>
      </c>
      <c r="B52" s="19" t="s">
        <v>413</v>
      </c>
      <c r="C52" s="15" t="s">
        <v>414</v>
      </c>
      <c r="D52" s="15" t="s">
        <v>415</v>
      </c>
      <c r="E52" s="20">
        <v>105401</v>
      </c>
      <c r="F52" s="21">
        <v>1209.7927</v>
      </c>
      <c r="G52" s="22">
        <v>6.0000000000000001E-3</v>
      </c>
      <c r="H52" s="40"/>
      <c r="I52" s="24"/>
      <c r="J52" s="5"/>
    </row>
    <row r="53" spans="1:10" ht="13.05" customHeight="1">
      <c r="A53" s="18" t="s">
        <v>419</v>
      </c>
      <c r="B53" s="19" t="s">
        <v>420</v>
      </c>
      <c r="C53" s="15" t="s">
        <v>421</v>
      </c>
      <c r="D53" s="15" t="s">
        <v>422</v>
      </c>
      <c r="E53" s="20">
        <v>243714</v>
      </c>
      <c r="F53" s="21">
        <v>1202.8504</v>
      </c>
      <c r="G53" s="22">
        <v>6.0000000000000001E-3</v>
      </c>
      <c r="H53" s="40"/>
      <c r="I53" s="24"/>
      <c r="J53" s="5"/>
    </row>
    <row r="54" spans="1:10" ht="13.05" customHeight="1">
      <c r="A54" s="18" t="s">
        <v>423</v>
      </c>
      <c r="B54" s="19" t="s">
        <v>424</v>
      </c>
      <c r="C54" s="15" t="s">
        <v>425</v>
      </c>
      <c r="D54" s="15" t="s">
        <v>296</v>
      </c>
      <c r="E54" s="20">
        <v>33649</v>
      </c>
      <c r="F54" s="21">
        <v>1180.6424999999999</v>
      </c>
      <c r="G54" s="22">
        <v>5.7999999999999996E-3</v>
      </c>
      <c r="H54" s="40"/>
      <c r="I54" s="24"/>
      <c r="J54" s="5"/>
    </row>
    <row r="55" spans="1:10" ht="13.05" customHeight="1">
      <c r="A55" s="18" t="s">
        <v>426</v>
      </c>
      <c r="B55" s="19" t="s">
        <v>427</v>
      </c>
      <c r="C55" s="15" t="s">
        <v>428</v>
      </c>
      <c r="D55" s="15" t="s">
        <v>405</v>
      </c>
      <c r="E55" s="20">
        <v>153792</v>
      </c>
      <c r="F55" s="21">
        <v>1125.5268000000001</v>
      </c>
      <c r="G55" s="22">
        <v>5.5999999999999999E-3</v>
      </c>
      <c r="H55" s="40"/>
      <c r="I55" s="24"/>
      <c r="J55" s="5"/>
    </row>
    <row r="56" spans="1:10" ht="13.05" customHeight="1">
      <c r="A56" s="18" t="s">
        <v>429</v>
      </c>
      <c r="B56" s="19" t="s">
        <v>430</v>
      </c>
      <c r="C56" s="15" t="s">
        <v>431</v>
      </c>
      <c r="D56" s="15" t="s">
        <v>415</v>
      </c>
      <c r="E56" s="20">
        <v>14418</v>
      </c>
      <c r="F56" s="21">
        <v>1107.4466</v>
      </c>
      <c r="G56" s="22">
        <v>5.4999999999999997E-3</v>
      </c>
      <c r="H56" s="40"/>
      <c r="I56" s="24"/>
      <c r="J56" s="5"/>
    </row>
    <row r="57" spans="1:10" ht="13.05" customHeight="1">
      <c r="A57" s="18" t="s">
        <v>432</v>
      </c>
      <c r="B57" s="19" t="s">
        <v>433</v>
      </c>
      <c r="C57" s="15" t="s">
        <v>434</v>
      </c>
      <c r="D57" s="15" t="s">
        <v>435</v>
      </c>
      <c r="E57" s="20">
        <v>93402</v>
      </c>
      <c r="F57" s="21">
        <v>1088.1333</v>
      </c>
      <c r="G57" s="22">
        <v>5.4000000000000003E-3</v>
      </c>
      <c r="H57" s="40"/>
      <c r="I57" s="24"/>
      <c r="J57" s="5"/>
    </row>
    <row r="58" spans="1:10" ht="13.05" customHeight="1">
      <c r="A58" s="18" t="s">
        <v>436</v>
      </c>
      <c r="B58" s="19" t="s">
        <v>437</v>
      </c>
      <c r="C58" s="15" t="s">
        <v>438</v>
      </c>
      <c r="D58" s="15" t="s">
        <v>314</v>
      </c>
      <c r="E58" s="20">
        <v>87342</v>
      </c>
      <c r="F58" s="21">
        <v>1046.0078000000001</v>
      </c>
      <c r="G58" s="22">
        <v>5.1999999999999998E-3</v>
      </c>
      <c r="H58" s="40"/>
      <c r="I58" s="24"/>
      <c r="J58" s="5"/>
    </row>
    <row r="59" spans="1:10" ht="13.05" customHeight="1">
      <c r="A59" s="18" t="s">
        <v>446</v>
      </c>
      <c r="B59" s="19" t="s">
        <v>447</v>
      </c>
      <c r="C59" s="15" t="s">
        <v>448</v>
      </c>
      <c r="D59" s="15" t="s">
        <v>300</v>
      </c>
      <c r="E59" s="20">
        <v>60463</v>
      </c>
      <c r="F59" s="21">
        <v>1025.9362000000001</v>
      </c>
      <c r="G59" s="22">
        <v>5.1000000000000004E-3</v>
      </c>
      <c r="H59" s="40"/>
      <c r="I59" s="24"/>
      <c r="J59" s="5"/>
    </row>
    <row r="60" spans="1:10" ht="13.05" customHeight="1">
      <c r="A60" s="18" t="s">
        <v>449</v>
      </c>
      <c r="B60" s="19" t="s">
        <v>450</v>
      </c>
      <c r="C60" s="15" t="s">
        <v>451</v>
      </c>
      <c r="D60" s="15" t="s">
        <v>261</v>
      </c>
      <c r="E60" s="20">
        <v>278487</v>
      </c>
      <c r="F60" s="21">
        <v>993.64160000000004</v>
      </c>
      <c r="G60" s="22">
        <v>4.8999999999999998E-3</v>
      </c>
      <c r="H60" s="40"/>
      <c r="I60" s="24"/>
      <c r="J60" s="5"/>
    </row>
    <row r="61" spans="1:10" ht="13.05" customHeight="1">
      <c r="A61" s="18" t="s">
        <v>455</v>
      </c>
      <c r="B61" s="19" t="s">
        <v>456</v>
      </c>
      <c r="C61" s="15" t="s">
        <v>457</v>
      </c>
      <c r="D61" s="15" t="s">
        <v>272</v>
      </c>
      <c r="E61" s="20">
        <v>409231</v>
      </c>
      <c r="F61" s="21">
        <v>984.89620000000002</v>
      </c>
      <c r="G61" s="22">
        <v>4.8999999999999998E-3</v>
      </c>
      <c r="H61" s="40"/>
      <c r="I61" s="24"/>
      <c r="J61" s="5"/>
    </row>
    <row r="62" spans="1:10" ht="13.05" customHeight="1">
      <c r="A62" s="18" t="s">
        <v>452</v>
      </c>
      <c r="B62" s="19" t="s">
        <v>453</v>
      </c>
      <c r="C62" s="15" t="s">
        <v>454</v>
      </c>
      <c r="D62" s="15" t="s">
        <v>391</v>
      </c>
      <c r="E62" s="20">
        <v>16868</v>
      </c>
      <c r="F62" s="21">
        <v>984.50080000000003</v>
      </c>
      <c r="G62" s="22">
        <v>4.8999999999999998E-3</v>
      </c>
      <c r="H62" s="40"/>
      <c r="I62" s="24"/>
      <c r="J62" s="5"/>
    </row>
    <row r="63" spans="1:10" ht="13.05" customHeight="1">
      <c r="A63" s="18" t="s">
        <v>458</v>
      </c>
      <c r="B63" s="19" t="s">
        <v>459</v>
      </c>
      <c r="C63" s="15" t="s">
        <v>460</v>
      </c>
      <c r="D63" s="15" t="s">
        <v>321</v>
      </c>
      <c r="E63" s="20">
        <v>240921</v>
      </c>
      <c r="F63" s="21">
        <v>975.48910000000001</v>
      </c>
      <c r="G63" s="22">
        <v>4.7999999999999996E-3</v>
      </c>
      <c r="H63" s="40"/>
      <c r="I63" s="24"/>
      <c r="J63" s="5"/>
    </row>
    <row r="64" spans="1:10" ht="13.05" customHeight="1">
      <c r="A64" s="18" t="s">
        <v>461</v>
      </c>
      <c r="B64" s="19" t="s">
        <v>462</v>
      </c>
      <c r="C64" s="15" t="s">
        <v>463</v>
      </c>
      <c r="D64" s="15" t="s">
        <v>464</v>
      </c>
      <c r="E64" s="20">
        <v>125874</v>
      </c>
      <c r="F64" s="21">
        <v>933.73329999999999</v>
      </c>
      <c r="G64" s="22">
        <v>4.5999999999999999E-3</v>
      </c>
      <c r="H64" s="40"/>
      <c r="I64" s="24"/>
      <c r="J64" s="5"/>
    </row>
    <row r="65" spans="1:10" ht="13.05" customHeight="1">
      <c r="A65" s="18" t="s">
        <v>465</v>
      </c>
      <c r="B65" s="19" t="s">
        <v>466</v>
      </c>
      <c r="C65" s="15" t="s">
        <v>467</v>
      </c>
      <c r="D65" s="15" t="s">
        <v>468</v>
      </c>
      <c r="E65" s="20">
        <v>37410</v>
      </c>
      <c r="F65" s="21">
        <v>928.14210000000003</v>
      </c>
      <c r="G65" s="22">
        <v>4.5999999999999999E-3</v>
      </c>
      <c r="H65" s="40"/>
      <c r="I65" s="24"/>
      <c r="J65" s="5"/>
    </row>
    <row r="66" spans="1:10" ht="13.05" customHeight="1">
      <c r="A66" s="18" t="s">
        <v>472</v>
      </c>
      <c r="B66" s="19" t="s">
        <v>473</v>
      </c>
      <c r="C66" s="15" t="s">
        <v>474</v>
      </c>
      <c r="D66" s="15" t="s">
        <v>475</v>
      </c>
      <c r="E66" s="20">
        <v>192365</v>
      </c>
      <c r="F66" s="21">
        <v>903.44219999999996</v>
      </c>
      <c r="G66" s="22">
        <v>4.4999999999999997E-3</v>
      </c>
      <c r="H66" s="40"/>
      <c r="I66" s="24"/>
      <c r="J66" s="5"/>
    </row>
    <row r="67" spans="1:10" ht="13.05" customHeight="1">
      <c r="A67" s="18" t="s">
        <v>479</v>
      </c>
      <c r="B67" s="19" t="s">
        <v>480</v>
      </c>
      <c r="C67" s="15" t="s">
        <v>481</v>
      </c>
      <c r="D67" s="15" t="s">
        <v>321</v>
      </c>
      <c r="E67" s="20">
        <v>565890</v>
      </c>
      <c r="F67" s="21">
        <v>893.25739999999996</v>
      </c>
      <c r="G67" s="22">
        <v>4.4000000000000003E-3</v>
      </c>
      <c r="H67" s="40"/>
      <c r="I67" s="24"/>
      <c r="J67" s="5"/>
    </row>
    <row r="68" spans="1:10" ht="13.05" customHeight="1">
      <c r="A68" s="18" t="s">
        <v>482</v>
      </c>
      <c r="B68" s="19" t="s">
        <v>483</v>
      </c>
      <c r="C68" s="15" t="s">
        <v>484</v>
      </c>
      <c r="D68" s="15" t="s">
        <v>261</v>
      </c>
      <c r="E68" s="20">
        <v>536966</v>
      </c>
      <c r="F68" s="21">
        <v>890.82659999999998</v>
      </c>
      <c r="G68" s="22">
        <v>4.4000000000000003E-3</v>
      </c>
      <c r="H68" s="40"/>
      <c r="I68" s="24"/>
      <c r="J68" s="5"/>
    </row>
    <row r="69" spans="1:10" ht="13.05" customHeight="1">
      <c r="A69" s="18" t="s">
        <v>485</v>
      </c>
      <c r="B69" s="19" t="s">
        <v>486</v>
      </c>
      <c r="C69" s="15" t="s">
        <v>487</v>
      </c>
      <c r="D69" s="15" t="s">
        <v>304</v>
      </c>
      <c r="E69" s="20">
        <v>21136</v>
      </c>
      <c r="F69" s="21">
        <v>877.88379999999995</v>
      </c>
      <c r="G69" s="22">
        <v>4.3E-3</v>
      </c>
      <c r="H69" s="40"/>
      <c r="I69" s="24"/>
      <c r="J69" s="5"/>
    </row>
    <row r="70" spans="1:10" ht="13.05" customHeight="1">
      <c r="A70" s="18" t="s">
        <v>502</v>
      </c>
      <c r="B70" s="19" t="s">
        <v>503</v>
      </c>
      <c r="C70" s="15" t="s">
        <v>504</v>
      </c>
      <c r="D70" s="15" t="s">
        <v>300</v>
      </c>
      <c r="E70" s="20">
        <v>207343</v>
      </c>
      <c r="F70" s="21">
        <v>836.11059999999998</v>
      </c>
      <c r="G70" s="22">
        <v>4.1000000000000003E-3</v>
      </c>
      <c r="H70" s="40"/>
      <c r="I70" s="24"/>
      <c r="J70" s="5"/>
    </row>
    <row r="71" spans="1:10" ht="13.05" customHeight="1">
      <c r="A71" s="18" t="s">
        <v>505</v>
      </c>
      <c r="B71" s="19" t="s">
        <v>2339</v>
      </c>
      <c r="C71" s="15" t="s">
        <v>506</v>
      </c>
      <c r="D71" s="15" t="s">
        <v>507</v>
      </c>
      <c r="E71" s="20">
        <v>299028</v>
      </c>
      <c r="F71" s="21">
        <v>779.71550000000002</v>
      </c>
      <c r="G71" s="22">
        <v>3.8999999999999998E-3</v>
      </c>
      <c r="H71" s="40"/>
      <c r="I71" s="24"/>
      <c r="J71" s="5"/>
    </row>
    <row r="72" spans="1:10" ht="13.05" customHeight="1">
      <c r="A72" s="18" t="s">
        <v>523</v>
      </c>
      <c r="B72" s="19" t="s">
        <v>524</v>
      </c>
      <c r="C72" s="15" t="s">
        <v>525</v>
      </c>
      <c r="D72" s="15" t="s">
        <v>304</v>
      </c>
      <c r="E72" s="20">
        <v>55570</v>
      </c>
      <c r="F72" s="21">
        <v>765.92129999999997</v>
      </c>
      <c r="G72" s="22">
        <v>3.8E-3</v>
      </c>
      <c r="H72" s="40"/>
      <c r="I72" s="24"/>
      <c r="J72" s="5"/>
    </row>
    <row r="73" spans="1:10" ht="13.05" customHeight="1">
      <c r="A73" s="18" t="s">
        <v>517</v>
      </c>
      <c r="B73" s="19" t="s">
        <v>518</v>
      </c>
      <c r="C73" s="15" t="s">
        <v>519</v>
      </c>
      <c r="D73" s="15" t="s">
        <v>300</v>
      </c>
      <c r="E73" s="20">
        <v>6181</v>
      </c>
      <c r="F73" s="21">
        <v>760.44839999999999</v>
      </c>
      <c r="G73" s="22">
        <v>3.8E-3</v>
      </c>
      <c r="H73" s="40"/>
      <c r="I73" s="24"/>
      <c r="J73" s="5"/>
    </row>
    <row r="74" spans="1:10" ht="13.05" customHeight="1">
      <c r="A74" s="18" t="s">
        <v>520</v>
      </c>
      <c r="B74" s="19" t="s">
        <v>521</v>
      </c>
      <c r="C74" s="15" t="s">
        <v>522</v>
      </c>
      <c r="D74" s="15" t="s">
        <v>272</v>
      </c>
      <c r="E74" s="20">
        <v>13275</v>
      </c>
      <c r="F74" s="21">
        <v>754.61739999999998</v>
      </c>
      <c r="G74" s="22">
        <v>3.7000000000000002E-3</v>
      </c>
      <c r="H74" s="40"/>
      <c r="I74" s="24"/>
      <c r="J74" s="5"/>
    </row>
    <row r="75" spans="1:10" ht="13.05" customHeight="1">
      <c r="A75" s="18" t="s">
        <v>529</v>
      </c>
      <c r="B75" s="19" t="s">
        <v>530</v>
      </c>
      <c r="C75" s="15" t="s">
        <v>531</v>
      </c>
      <c r="D75" s="15" t="s">
        <v>257</v>
      </c>
      <c r="E75" s="20">
        <v>263235</v>
      </c>
      <c r="F75" s="21">
        <v>732.84619999999995</v>
      </c>
      <c r="G75" s="22">
        <v>3.5999999999999999E-3</v>
      </c>
      <c r="H75" s="40"/>
      <c r="I75" s="24"/>
      <c r="J75" s="5"/>
    </row>
    <row r="76" spans="1:10" ht="13.05" customHeight="1">
      <c r="A76" s="18" t="s">
        <v>542</v>
      </c>
      <c r="B76" s="19" t="s">
        <v>543</v>
      </c>
      <c r="C76" s="15" t="s">
        <v>544</v>
      </c>
      <c r="D76" s="15" t="s">
        <v>545</v>
      </c>
      <c r="E76" s="20">
        <v>387783</v>
      </c>
      <c r="F76" s="21">
        <v>708.71220000000005</v>
      </c>
      <c r="G76" s="22">
        <v>3.5000000000000001E-3</v>
      </c>
      <c r="H76" s="40"/>
      <c r="I76" s="24"/>
      <c r="J76" s="5"/>
    </row>
    <row r="77" spans="1:10" ht="13.05" customHeight="1">
      <c r="A77" s="18" t="s">
        <v>538</v>
      </c>
      <c r="B77" s="19" t="s">
        <v>539</v>
      </c>
      <c r="C77" s="15" t="s">
        <v>540</v>
      </c>
      <c r="D77" s="15" t="s">
        <v>541</v>
      </c>
      <c r="E77" s="20">
        <v>91478</v>
      </c>
      <c r="F77" s="21">
        <v>691.80240000000003</v>
      </c>
      <c r="G77" s="22">
        <v>3.3999999999999998E-3</v>
      </c>
      <c r="H77" s="40"/>
      <c r="I77" s="24"/>
      <c r="J77" s="5"/>
    </row>
    <row r="78" spans="1:10" ht="13.05" customHeight="1">
      <c r="A78" s="18" t="s">
        <v>546</v>
      </c>
      <c r="B78" s="19" t="s">
        <v>547</v>
      </c>
      <c r="C78" s="15" t="s">
        <v>548</v>
      </c>
      <c r="D78" s="15" t="s">
        <v>405</v>
      </c>
      <c r="E78" s="20">
        <v>34536</v>
      </c>
      <c r="F78" s="21">
        <v>688.54420000000005</v>
      </c>
      <c r="G78" s="22">
        <v>3.3999999999999998E-3</v>
      </c>
      <c r="H78" s="40"/>
      <c r="I78" s="24"/>
      <c r="J78" s="5"/>
    </row>
    <row r="79" spans="1:10" ht="13.05" customHeight="1">
      <c r="A79" s="18" t="s">
        <v>532</v>
      </c>
      <c r="B79" s="19" t="s">
        <v>533</v>
      </c>
      <c r="C79" s="15" t="s">
        <v>534</v>
      </c>
      <c r="D79" s="15" t="s">
        <v>445</v>
      </c>
      <c r="E79" s="20">
        <v>91107</v>
      </c>
      <c r="F79" s="21">
        <v>671.13969999999995</v>
      </c>
      <c r="G79" s="22">
        <v>3.3E-3</v>
      </c>
      <c r="H79" s="40"/>
      <c r="I79" s="24"/>
      <c r="J79" s="5"/>
    </row>
    <row r="80" spans="1:10" ht="13.05" customHeight="1">
      <c r="A80" s="18" t="s">
        <v>561</v>
      </c>
      <c r="B80" s="19" t="s">
        <v>562</v>
      </c>
      <c r="C80" s="15" t="s">
        <v>563</v>
      </c>
      <c r="D80" s="15" t="s">
        <v>300</v>
      </c>
      <c r="E80" s="20">
        <v>178426</v>
      </c>
      <c r="F80" s="21">
        <v>668.82989999999995</v>
      </c>
      <c r="G80" s="22">
        <v>3.3E-3</v>
      </c>
      <c r="H80" s="40"/>
      <c r="I80" s="24"/>
      <c r="J80" s="5"/>
    </row>
    <row r="81" spans="1:10" ht="13.05" customHeight="1">
      <c r="A81" s="18" t="s">
        <v>564</v>
      </c>
      <c r="B81" s="19" t="s">
        <v>565</v>
      </c>
      <c r="C81" s="15" t="s">
        <v>566</v>
      </c>
      <c r="D81" s="15" t="s">
        <v>567</v>
      </c>
      <c r="E81" s="20">
        <v>630664</v>
      </c>
      <c r="F81" s="21">
        <v>664.65679999999998</v>
      </c>
      <c r="G81" s="22">
        <v>3.3E-3</v>
      </c>
      <c r="H81" s="40"/>
      <c r="I81" s="24"/>
      <c r="J81" s="5"/>
    </row>
    <row r="82" spans="1:10" ht="13.05" customHeight="1">
      <c r="A82" s="18" t="s">
        <v>568</v>
      </c>
      <c r="B82" s="19" t="s">
        <v>569</v>
      </c>
      <c r="C82" s="15" t="s">
        <v>570</v>
      </c>
      <c r="D82" s="15" t="s">
        <v>257</v>
      </c>
      <c r="E82" s="20">
        <v>484042</v>
      </c>
      <c r="F82" s="21">
        <v>663.08910000000003</v>
      </c>
      <c r="G82" s="22">
        <v>3.3E-3</v>
      </c>
      <c r="H82" s="40"/>
      <c r="I82" s="24"/>
      <c r="J82" s="5"/>
    </row>
    <row r="83" spans="1:10" ht="13.05" customHeight="1">
      <c r="A83" s="18" t="s">
        <v>574</v>
      </c>
      <c r="B83" s="19" t="s">
        <v>575</v>
      </c>
      <c r="C83" s="15" t="s">
        <v>576</v>
      </c>
      <c r="D83" s="15" t="s">
        <v>577</v>
      </c>
      <c r="E83" s="20">
        <v>57306</v>
      </c>
      <c r="F83" s="21">
        <v>641.0249</v>
      </c>
      <c r="G83" s="22">
        <v>3.2000000000000002E-3</v>
      </c>
      <c r="H83" s="40"/>
      <c r="I83" s="24"/>
      <c r="J83" s="5"/>
    </row>
    <row r="84" spans="1:10" ht="13.05" customHeight="1">
      <c r="A84" s="18" t="s">
        <v>578</v>
      </c>
      <c r="B84" s="19" t="s">
        <v>579</v>
      </c>
      <c r="C84" s="15" t="s">
        <v>580</v>
      </c>
      <c r="D84" s="15" t="s">
        <v>581</v>
      </c>
      <c r="E84" s="20">
        <v>44107</v>
      </c>
      <c r="F84" s="21">
        <v>637.16970000000003</v>
      </c>
      <c r="G84" s="22">
        <v>3.2000000000000002E-3</v>
      </c>
      <c r="H84" s="40"/>
      <c r="I84" s="24"/>
      <c r="J84" s="5"/>
    </row>
    <row r="85" spans="1:10" ht="13.05" customHeight="1">
      <c r="A85" s="18" t="s">
        <v>588</v>
      </c>
      <c r="B85" s="19" t="s">
        <v>589</v>
      </c>
      <c r="C85" s="15" t="s">
        <v>590</v>
      </c>
      <c r="D85" s="15" t="s">
        <v>257</v>
      </c>
      <c r="E85" s="20">
        <v>491887</v>
      </c>
      <c r="F85" s="21">
        <v>604.47990000000004</v>
      </c>
      <c r="G85" s="22">
        <v>3.0000000000000001E-3</v>
      </c>
      <c r="H85" s="40"/>
      <c r="I85" s="24"/>
      <c r="J85" s="5"/>
    </row>
    <row r="86" spans="1:10" ht="13.05" customHeight="1">
      <c r="A86" s="18" t="s">
        <v>591</v>
      </c>
      <c r="B86" s="19" t="s">
        <v>592</v>
      </c>
      <c r="C86" s="15" t="s">
        <v>593</v>
      </c>
      <c r="D86" s="15" t="s">
        <v>475</v>
      </c>
      <c r="E86" s="20">
        <v>42009</v>
      </c>
      <c r="F86" s="21">
        <v>601.31679999999994</v>
      </c>
      <c r="G86" s="22">
        <v>3.0000000000000001E-3</v>
      </c>
      <c r="H86" s="40"/>
      <c r="I86" s="24"/>
      <c r="J86" s="5"/>
    </row>
    <row r="87" spans="1:10" ht="13.05" customHeight="1">
      <c r="A87" s="18" t="s">
        <v>604</v>
      </c>
      <c r="B87" s="19" t="s">
        <v>605</v>
      </c>
      <c r="C87" s="15" t="s">
        <v>606</v>
      </c>
      <c r="D87" s="15" t="s">
        <v>333</v>
      </c>
      <c r="E87" s="20">
        <v>52613</v>
      </c>
      <c r="F87" s="21">
        <v>561.27549999999997</v>
      </c>
      <c r="G87" s="22">
        <v>2.8E-3</v>
      </c>
      <c r="H87" s="40"/>
      <c r="I87" s="24"/>
      <c r="J87" s="5"/>
    </row>
    <row r="88" spans="1:10" ht="13.05" customHeight="1">
      <c r="A88" s="18" t="s">
        <v>613</v>
      </c>
      <c r="B88" s="19" t="s">
        <v>614</v>
      </c>
      <c r="C88" s="15" t="s">
        <v>615</v>
      </c>
      <c r="D88" s="15" t="s">
        <v>337</v>
      </c>
      <c r="E88" s="20">
        <v>1922</v>
      </c>
      <c r="F88" s="21">
        <v>544.1182</v>
      </c>
      <c r="G88" s="22">
        <v>2.7000000000000001E-3</v>
      </c>
      <c r="H88" s="40"/>
      <c r="I88" s="24"/>
      <c r="J88" s="5"/>
    </row>
    <row r="89" spans="1:10" ht="13.05" customHeight="1">
      <c r="A89" s="18" t="s">
        <v>619</v>
      </c>
      <c r="B89" s="19" t="s">
        <v>620</v>
      </c>
      <c r="C89" s="15" t="s">
        <v>621</v>
      </c>
      <c r="D89" s="15" t="s">
        <v>325</v>
      </c>
      <c r="E89" s="20">
        <v>36260</v>
      </c>
      <c r="F89" s="21">
        <v>541.68809999999996</v>
      </c>
      <c r="G89" s="22">
        <v>2.7000000000000001E-3</v>
      </c>
      <c r="H89" s="40"/>
      <c r="I89" s="24"/>
      <c r="J89" s="5"/>
    </row>
    <row r="90" spans="1:10" ht="13.05" customHeight="1">
      <c r="A90" s="18" t="s">
        <v>625</v>
      </c>
      <c r="B90" s="19" t="s">
        <v>626</v>
      </c>
      <c r="C90" s="15" t="s">
        <v>627</v>
      </c>
      <c r="D90" s="15" t="s">
        <v>314</v>
      </c>
      <c r="E90" s="20">
        <v>14987</v>
      </c>
      <c r="F90" s="21">
        <v>533.55219999999997</v>
      </c>
      <c r="G90" s="22">
        <v>2.5999999999999999E-3</v>
      </c>
      <c r="H90" s="40"/>
      <c r="I90" s="24"/>
      <c r="J90" s="5"/>
    </row>
    <row r="91" spans="1:10" ht="13.05" customHeight="1">
      <c r="A91" s="18" t="s">
        <v>634</v>
      </c>
      <c r="B91" s="19" t="s">
        <v>635</v>
      </c>
      <c r="C91" s="15" t="s">
        <v>636</v>
      </c>
      <c r="D91" s="15" t="s">
        <v>337</v>
      </c>
      <c r="E91" s="20">
        <v>89441</v>
      </c>
      <c r="F91" s="21">
        <v>505.69940000000003</v>
      </c>
      <c r="G91" s="22">
        <v>2.5000000000000001E-3</v>
      </c>
      <c r="H91" s="40"/>
      <c r="I91" s="24"/>
      <c r="J91" s="5"/>
    </row>
    <row r="92" spans="1:10" ht="13.05" customHeight="1">
      <c r="A92" s="18" t="s">
        <v>631</v>
      </c>
      <c r="B92" s="19" t="s">
        <v>632</v>
      </c>
      <c r="C92" s="15" t="s">
        <v>633</v>
      </c>
      <c r="D92" s="15" t="s">
        <v>321</v>
      </c>
      <c r="E92" s="20">
        <v>44115</v>
      </c>
      <c r="F92" s="21">
        <v>502.911</v>
      </c>
      <c r="G92" s="22">
        <v>2.5000000000000001E-3</v>
      </c>
      <c r="H92" s="40"/>
      <c r="I92" s="24"/>
      <c r="J92" s="5"/>
    </row>
    <row r="93" spans="1:10" ht="13.05" customHeight="1">
      <c r="A93" s="18" t="s">
        <v>640</v>
      </c>
      <c r="B93" s="19" t="s">
        <v>641</v>
      </c>
      <c r="C93" s="15" t="s">
        <v>642</v>
      </c>
      <c r="D93" s="15" t="s">
        <v>296</v>
      </c>
      <c r="E93" s="20">
        <v>20483</v>
      </c>
      <c r="F93" s="21">
        <v>499.51889999999997</v>
      </c>
      <c r="G93" s="22">
        <v>2.5000000000000001E-3</v>
      </c>
      <c r="H93" s="40"/>
      <c r="I93" s="24"/>
      <c r="J93" s="5"/>
    </row>
    <row r="94" spans="1:10" ht="13.05" customHeight="1">
      <c r="A94" s="18" t="s">
        <v>658</v>
      </c>
      <c r="B94" s="19" t="s">
        <v>659</v>
      </c>
      <c r="C94" s="15" t="s">
        <v>660</v>
      </c>
      <c r="D94" s="15" t="s">
        <v>321</v>
      </c>
      <c r="E94" s="20">
        <v>49676</v>
      </c>
      <c r="F94" s="21">
        <v>489.90469999999999</v>
      </c>
      <c r="G94" s="22">
        <v>2.3999999999999998E-3</v>
      </c>
      <c r="H94" s="40"/>
      <c r="I94" s="24"/>
      <c r="J94" s="5"/>
    </row>
    <row r="95" spans="1:10" ht="13.05" customHeight="1">
      <c r="A95" s="18" t="s">
        <v>649</v>
      </c>
      <c r="B95" s="19" t="s">
        <v>650</v>
      </c>
      <c r="C95" s="15" t="s">
        <v>651</v>
      </c>
      <c r="D95" s="15" t="s">
        <v>581</v>
      </c>
      <c r="E95" s="20">
        <v>3470</v>
      </c>
      <c r="F95" s="21">
        <v>481.56659999999999</v>
      </c>
      <c r="G95" s="22">
        <v>2.3999999999999998E-3</v>
      </c>
      <c r="H95" s="40"/>
      <c r="I95" s="24"/>
      <c r="J95" s="5"/>
    </row>
    <row r="96" spans="1:10" ht="13.05" customHeight="1">
      <c r="A96" s="18" t="s">
        <v>661</v>
      </c>
      <c r="B96" s="19" t="s">
        <v>662</v>
      </c>
      <c r="C96" s="15" t="s">
        <v>663</v>
      </c>
      <c r="D96" s="15" t="s">
        <v>541</v>
      </c>
      <c r="E96" s="20">
        <v>39777</v>
      </c>
      <c r="F96" s="21">
        <v>476.48869999999999</v>
      </c>
      <c r="G96" s="22">
        <v>2.3999999999999998E-3</v>
      </c>
      <c r="H96" s="40"/>
      <c r="I96" s="24"/>
      <c r="J96" s="5"/>
    </row>
    <row r="97" spans="1:10" ht="13.05" customHeight="1">
      <c r="A97" s="18" t="s">
        <v>673</v>
      </c>
      <c r="B97" s="19" t="s">
        <v>674</v>
      </c>
      <c r="C97" s="15" t="s">
        <v>675</v>
      </c>
      <c r="D97" s="15" t="s">
        <v>567</v>
      </c>
      <c r="E97" s="20">
        <v>1230</v>
      </c>
      <c r="F97" s="21">
        <v>458.11349999999999</v>
      </c>
      <c r="G97" s="22">
        <v>2.3E-3</v>
      </c>
      <c r="H97" s="40"/>
      <c r="I97" s="24"/>
      <c r="J97" s="5"/>
    </row>
    <row r="98" spans="1:10" ht="13.05" customHeight="1">
      <c r="A98" s="18" t="s">
        <v>730</v>
      </c>
      <c r="B98" s="19" t="s">
        <v>731</v>
      </c>
      <c r="C98" s="15" t="s">
        <v>732</v>
      </c>
      <c r="D98" s="15" t="s">
        <v>445</v>
      </c>
      <c r="E98" s="20">
        <v>12630</v>
      </c>
      <c r="F98" s="21">
        <v>402.34129999999999</v>
      </c>
      <c r="G98" s="22">
        <v>2E-3</v>
      </c>
      <c r="H98" s="40"/>
      <c r="I98" s="24"/>
      <c r="J98" s="5"/>
    </row>
    <row r="99" spans="1:10" ht="13.05" customHeight="1">
      <c r="A99" s="18" t="s">
        <v>727</v>
      </c>
      <c r="B99" s="19" t="s">
        <v>728</v>
      </c>
      <c r="C99" s="15" t="s">
        <v>729</v>
      </c>
      <c r="D99" s="15" t="s">
        <v>321</v>
      </c>
      <c r="E99" s="20">
        <v>75644</v>
      </c>
      <c r="F99" s="21">
        <v>398.98430000000002</v>
      </c>
      <c r="G99" s="22">
        <v>2E-3</v>
      </c>
      <c r="H99" s="40"/>
      <c r="I99" s="24"/>
      <c r="J99" s="5"/>
    </row>
    <row r="100" spans="1:10" ht="13.05" customHeight="1">
      <c r="A100" s="18" t="s">
        <v>733</v>
      </c>
      <c r="B100" s="19" t="s">
        <v>734</v>
      </c>
      <c r="C100" s="15" t="s">
        <v>735</v>
      </c>
      <c r="D100" s="15" t="s">
        <v>445</v>
      </c>
      <c r="E100" s="20">
        <v>12715</v>
      </c>
      <c r="F100" s="21">
        <v>393.69450000000001</v>
      </c>
      <c r="G100" s="22">
        <v>1.9E-3</v>
      </c>
      <c r="H100" s="40"/>
      <c r="I100" s="24"/>
      <c r="J100" s="5"/>
    </row>
    <row r="101" spans="1:10" ht="13.05" customHeight="1">
      <c r="A101" s="18" t="s">
        <v>736</v>
      </c>
      <c r="B101" s="19" t="s">
        <v>737</v>
      </c>
      <c r="C101" s="15" t="s">
        <v>738</v>
      </c>
      <c r="D101" s="15" t="s">
        <v>445</v>
      </c>
      <c r="E101" s="20">
        <v>7390</v>
      </c>
      <c r="F101" s="21">
        <v>385.75799999999998</v>
      </c>
      <c r="G101" s="22">
        <v>1.9E-3</v>
      </c>
      <c r="H101" s="40"/>
      <c r="I101" s="24"/>
      <c r="J101" s="5"/>
    </row>
    <row r="102" spans="1:10" ht="13.05" customHeight="1">
      <c r="A102" s="18" t="s">
        <v>777</v>
      </c>
      <c r="B102" s="19" t="s">
        <v>778</v>
      </c>
      <c r="C102" s="15" t="s">
        <v>779</v>
      </c>
      <c r="D102" s="15" t="s">
        <v>314</v>
      </c>
      <c r="E102" s="20">
        <v>35958</v>
      </c>
      <c r="F102" s="21">
        <v>350.39269999999999</v>
      </c>
      <c r="G102" s="22">
        <v>1.6999999999999999E-3</v>
      </c>
      <c r="H102" s="40"/>
      <c r="I102" s="24"/>
      <c r="J102" s="5"/>
    </row>
    <row r="103" spans="1:10" ht="13.05" customHeight="1">
      <c r="A103" s="18" t="s">
        <v>813</v>
      </c>
      <c r="B103" s="19" t="s">
        <v>814</v>
      </c>
      <c r="C103" s="15" t="s">
        <v>815</v>
      </c>
      <c r="D103" s="15" t="s">
        <v>300</v>
      </c>
      <c r="E103" s="20">
        <v>253303</v>
      </c>
      <c r="F103" s="21">
        <v>312.34789999999998</v>
      </c>
      <c r="G103" s="22">
        <v>1.5E-3</v>
      </c>
      <c r="H103" s="40"/>
      <c r="I103" s="24"/>
      <c r="J103" s="5"/>
    </row>
    <row r="104" spans="1:10" ht="13.05" customHeight="1">
      <c r="A104" s="18" t="s">
        <v>847</v>
      </c>
      <c r="B104" s="19" t="s">
        <v>848</v>
      </c>
      <c r="C104" s="15" t="s">
        <v>849</v>
      </c>
      <c r="D104" s="15" t="s">
        <v>846</v>
      </c>
      <c r="E104" s="20">
        <v>10809</v>
      </c>
      <c r="F104" s="21">
        <v>294.9776</v>
      </c>
      <c r="G104" s="22">
        <v>1.5E-3</v>
      </c>
      <c r="H104" s="40"/>
      <c r="I104" s="24"/>
      <c r="J104" s="5"/>
    </row>
    <row r="105" spans="1:10" ht="13.05" customHeight="1">
      <c r="A105" s="18" t="s">
        <v>850</v>
      </c>
      <c r="B105" s="19" t="s">
        <v>851</v>
      </c>
      <c r="C105" s="15" t="s">
        <v>852</v>
      </c>
      <c r="D105" s="15" t="s">
        <v>344</v>
      </c>
      <c r="E105" s="20">
        <v>61287</v>
      </c>
      <c r="F105" s="21">
        <v>292.0326</v>
      </c>
      <c r="G105" s="22">
        <v>1.4E-3</v>
      </c>
      <c r="H105" s="40"/>
      <c r="I105" s="24"/>
      <c r="J105" s="5"/>
    </row>
    <row r="106" spans="1:10" ht="13.05" customHeight="1">
      <c r="A106" s="18" t="s">
        <v>859</v>
      </c>
      <c r="B106" s="19" t="s">
        <v>860</v>
      </c>
      <c r="C106" s="15" t="s">
        <v>861</v>
      </c>
      <c r="D106" s="15" t="s">
        <v>405</v>
      </c>
      <c r="E106" s="20">
        <v>31783</v>
      </c>
      <c r="F106" s="21">
        <v>284.36250000000001</v>
      </c>
      <c r="G106" s="22">
        <v>1.4E-3</v>
      </c>
      <c r="H106" s="40"/>
      <c r="I106" s="24"/>
      <c r="J106" s="5"/>
    </row>
    <row r="107" spans="1:10" ht="13.05" customHeight="1">
      <c r="A107" s="18" t="s">
        <v>1183</v>
      </c>
      <c r="B107" s="19" t="s">
        <v>1184</v>
      </c>
      <c r="C107" s="15" t="s">
        <v>1185</v>
      </c>
      <c r="D107" s="15" t="s">
        <v>300</v>
      </c>
      <c r="E107" s="20">
        <v>129926</v>
      </c>
      <c r="F107" s="21">
        <v>143.19139999999999</v>
      </c>
      <c r="G107" s="22">
        <v>6.9999999999999999E-4</v>
      </c>
      <c r="H107" s="40"/>
      <c r="I107" s="24"/>
      <c r="J107" s="5"/>
    </row>
    <row r="108" spans="1:10" ht="13.05" customHeight="1">
      <c r="A108" s="5"/>
      <c r="B108" s="14" t="s">
        <v>192</v>
      </c>
      <c r="C108" s="15"/>
      <c r="D108" s="15"/>
      <c r="E108" s="15"/>
      <c r="F108" s="25">
        <v>201901.61040000001</v>
      </c>
      <c r="G108" s="26">
        <v>0.99960000000000004</v>
      </c>
      <c r="H108" s="27"/>
      <c r="I108" s="28"/>
      <c r="J108" s="5"/>
    </row>
    <row r="109" spans="1:10" ht="13.05" customHeight="1">
      <c r="A109" s="5"/>
      <c r="B109" s="29" t="s">
        <v>1812</v>
      </c>
      <c r="C109" s="2"/>
      <c r="D109" s="2"/>
      <c r="E109" s="2"/>
      <c r="F109" s="27" t="s">
        <v>194</v>
      </c>
      <c r="G109" s="27" t="s">
        <v>194</v>
      </c>
      <c r="H109" s="27"/>
      <c r="I109" s="28"/>
      <c r="J109" s="5"/>
    </row>
    <row r="110" spans="1:10" ht="13.05" customHeight="1">
      <c r="A110" s="5"/>
      <c r="B110" s="29" t="s">
        <v>192</v>
      </c>
      <c r="C110" s="2"/>
      <c r="D110" s="2"/>
      <c r="E110" s="2"/>
      <c r="F110" s="27" t="s">
        <v>194</v>
      </c>
      <c r="G110" s="27" t="s">
        <v>194</v>
      </c>
      <c r="H110" s="27"/>
      <c r="I110" s="28"/>
      <c r="J110" s="5"/>
    </row>
    <row r="111" spans="1:10" ht="13.05" customHeight="1">
      <c r="A111" s="5"/>
      <c r="B111" s="14" t="s">
        <v>1813</v>
      </c>
      <c r="C111" s="15"/>
      <c r="D111" s="15"/>
      <c r="E111" s="15"/>
      <c r="F111" s="5"/>
      <c r="G111" s="16"/>
      <c r="H111" s="16"/>
      <c r="I111" s="17"/>
      <c r="J111" s="5"/>
    </row>
    <row r="112" spans="1:10" ht="13.05" customHeight="1">
      <c r="A112" s="18" t="s">
        <v>1814</v>
      </c>
      <c r="B112" s="19" t="s">
        <v>5526</v>
      </c>
      <c r="C112" s="15" t="s">
        <v>1815</v>
      </c>
      <c r="D112" s="15" t="s">
        <v>296</v>
      </c>
      <c r="E112" s="20">
        <v>133604</v>
      </c>
      <c r="F112" s="21">
        <v>13.4826</v>
      </c>
      <c r="G112" s="22">
        <v>1E-4</v>
      </c>
      <c r="H112" s="40"/>
      <c r="I112" s="24"/>
      <c r="J112" s="5"/>
    </row>
    <row r="113" spans="1:10" ht="13.05" customHeight="1">
      <c r="A113" s="5"/>
      <c r="B113" s="14" t="s">
        <v>192</v>
      </c>
      <c r="C113" s="15"/>
      <c r="D113" s="15"/>
      <c r="E113" s="15"/>
      <c r="F113" s="25">
        <v>13.4826</v>
      </c>
      <c r="G113" s="26">
        <v>1E-4</v>
      </c>
      <c r="H113" s="27"/>
      <c r="I113" s="28"/>
      <c r="J113" s="5"/>
    </row>
    <row r="114" spans="1:10" ht="13.05" customHeight="1">
      <c r="A114" s="5"/>
      <c r="B114" s="29" t="s">
        <v>195</v>
      </c>
      <c r="C114" s="30"/>
      <c r="D114" s="2"/>
      <c r="E114" s="30"/>
      <c r="F114" s="25">
        <v>201915.09299999999</v>
      </c>
      <c r="G114" s="26">
        <v>0.99970000000000003</v>
      </c>
      <c r="H114" s="27"/>
      <c r="I114" s="28"/>
      <c r="J114" s="5"/>
    </row>
    <row r="115" spans="1:10" ht="13.05" customHeight="1">
      <c r="A115" s="5"/>
      <c r="B115" s="14" t="s">
        <v>196</v>
      </c>
      <c r="C115" s="15"/>
      <c r="D115" s="15"/>
      <c r="E115" s="15"/>
      <c r="F115" s="15"/>
      <c r="G115" s="15"/>
      <c r="H115" s="16"/>
      <c r="I115" s="17"/>
      <c r="J115" s="5"/>
    </row>
    <row r="116" spans="1:10" ht="13.05" customHeight="1">
      <c r="A116" s="18" t="s">
        <v>197</v>
      </c>
      <c r="B116" s="19" t="s">
        <v>198</v>
      </c>
      <c r="C116" s="15"/>
      <c r="D116" s="15"/>
      <c r="E116" s="20"/>
      <c r="F116" s="21">
        <v>192.50139999999999</v>
      </c>
      <c r="G116" s="22">
        <v>1E-3</v>
      </c>
      <c r="H116" s="23">
        <v>5.5573648054393125E-2</v>
      </c>
      <c r="I116" s="24"/>
      <c r="J116" s="5"/>
    </row>
    <row r="117" spans="1:10" ht="13.05" customHeight="1">
      <c r="A117" s="5"/>
      <c r="B117" s="14" t="s">
        <v>192</v>
      </c>
      <c r="C117" s="15"/>
      <c r="D117" s="15"/>
      <c r="E117" s="15"/>
      <c r="F117" s="25">
        <v>192.50139999999999</v>
      </c>
      <c r="G117" s="26">
        <v>1E-3</v>
      </c>
      <c r="H117" s="27"/>
      <c r="I117" s="28"/>
      <c r="J117" s="5"/>
    </row>
    <row r="118" spans="1:10" ht="13.05" customHeight="1">
      <c r="A118" s="5"/>
      <c r="B118" s="29" t="s">
        <v>195</v>
      </c>
      <c r="C118" s="30"/>
      <c r="D118" s="2"/>
      <c r="E118" s="30"/>
      <c r="F118" s="25">
        <v>192.50139999999999</v>
      </c>
      <c r="G118" s="26">
        <v>1E-3</v>
      </c>
      <c r="H118" s="27"/>
      <c r="I118" s="28"/>
      <c r="J118" s="5"/>
    </row>
    <row r="119" spans="1:10" ht="13.05" customHeight="1">
      <c r="A119" s="5"/>
      <c r="B119" s="29" t="s">
        <v>199</v>
      </c>
      <c r="C119" s="15"/>
      <c r="D119" s="2"/>
      <c r="E119" s="15"/>
      <c r="F119" s="31">
        <v>-126.5844</v>
      </c>
      <c r="G119" s="26">
        <v>-6.9999999999999999E-4</v>
      </c>
      <c r="H119" s="27"/>
      <c r="I119" s="28"/>
      <c r="J119" s="5"/>
    </row>
    <row r="120" spans="1:10" ht="13.05" customHeight="1">
      <c r="A120" s="5"/>
      <c r="B120" s="32" t="s">
        <v>200</v>
      </c>
      <c r="C120" s="33"/>
      <c r="D120" s="33"/>
      <c r="E120" s="33"/>
      <c r="F120" s="34">
        <v>201981.01</v>
      </c>
      <c r="G120" s="35">
        <v>1</v>
      </c>
      <c r="H120" s="36"/>
      <c r="I120" s="37"/>
      <c r="J120" s="5"/>
    </row>
    <row r="121" spans="1:10" ht="13.05" customHeight="1">
      <c r="A121" s="5"/>
      <c r="B121" s="7"/>
      <c r="C121" s="5"/>
      <c r="D121" s="5"/>
      <c r="E121" s="5"/>
      <c r="F121" s="5"/>
      <c r="G121" s="5"/>
      <c r="H121" s="5"/>
      <c r="I121" s="5"/>
      <c r="J121" s="5"/>
    </row>
    <row r="122" spans="1:10" ht="13.05" customHeight="1">
      <c r="A122" s="5"/>
      <c r="B122" s="4" t="s">
        <v>250</v>
      </c>
      <c r="C122" s="5"/>
      <c r="D122" s="5"/>
      <c r="E122" s="5"/>
      <c r="F122" s="5"/>
      <c r="G122" s="5"/>
      <c r="H122" s="5"/>
      <c r="I122" s="5"/>
      <c r="J122" s="5"/>
    </row>
    <row r="123" spans="1:10" ht="13.05" customHeight="1">
      <c r="A123" s="5"/>
      <c r="B123" s="4" t="s">
        <v>201</v>
      </c>
      <c r="C123" s="5"/>
      <c r="D123" s="5"/>
      <c r="E123" s="5"/>
      <c r="F123" s="5"/>
      <c r="G123" s="5"/>
      <c r="H123" s="5"/>
      <c r="I123" s="5"/>
      <c r="J123" s="5"/>
    </row>
    <row r="124" spans="1:10" ht="25.95" customHeight="1">
      <c r="A124" s="5"/>
      <c r="B124" s="103" t="s">
        <v>202</v>
      </c>
      <c r="C124" s="103"/>
      <c r="D124" s="103"/>
      <c r="E124" s="103"/>
      <c r="F124" s="103"/>
      <c r="G124" s="103"/>
      <c r="H124" s="103"/>
      <c r="I124" s="103"/>
      <c r="J124" s="5"/>
    </row>
    <row r="125" spans="1:10" ht="13.05" customHeight="1">
      <c r="A125" s="5"/>
      <c r="B125" s="103" t="s">
        <v>203</v>
      </c>
      <c r="C125" s="103"/>
      <c r="D125" s="103"/>
      <c r="E125" s="103"/>
      <c r="F125" s="103"/>
      <c r="G125" s="103"/>
      <c r="H125" s="103"/>
      <c r="I125" s="103"/>
      <c r="J125" s="5"/>
    </row>
    <row r="126" spans="1:10" ht="13.05" customHeight="1">
      <c r="A126" s="5"/>
      <c r="B126" s="103"/>
      <c r="C126" s="103"/>
      <c r="D126" s="103"/>
      <c r="E126" s="103"/>
      <c r="F126" s="103"/>
      <c r="G126" s="103"/>
      <c r="H126" s="103"/>
      <c r="I126" s="103"/>
      <c r="J126" s="5"/>
    </row>
    <row r="127" spans="1:10" ht="13.05" customHeight="1">
      <c r="A127" s="5"/>
      <c r="B127" s="103"/>
      <c r="C127" s="103"/>
      <c r="D127" s="103"/>
      <c r="E127" s="103"/>
      <c r="F127" s="103"/>
      <c r="G127" s="103"/>
      <c r="H127" s="103"/>
      <c r="I127" s="103"/>
      <c r="J127" s="5"/>
    </row>
    <row r="128" spans="1:10" ht="13.05" customHeight="1">
      <c r="A128" s="5"/>
      <c r="B128" s="103"/>
      <c r="C128" s="103"/>
      <c r="D128" s="103"/>
      <c r="E128" s="103"/>
      <c r="F128" s="103"/>
      <c r="G128" s="103"/>
      <c r="H128" s="103"/>
      <c r="I128" s="103"/>
      <c r="J128" s="5"/>
    </row>
    <row r="129" spans="1:10" ht="13.05" customHeight="1">
      <c r="A129" s="5"/>
      <c r="B129" s="103"/>
      <c r="C129" s="103"/>
      <c r="D129" s="103"/>
      <c r="E129" s="103"/>
      <c r="F129" s="103"/>
      <c r="G129" s="103"/>
      <c r="H129" s="103"/>
      <c r="I129" s="103"/>
      <c r="J129" s="5"/>
    </row>
    <row r="130" spans="1:10" ht="13.05" customHeight="1">
      <c r="A130" s="5"/>
      <c r="B130" s="5"/>
      <c r="C130" s="104" t="s">
        <v>4644</v>
      </c>
      <c r="D130" s="104"/>
      <c r="E130" s="104"/>
      <c r="F130" s="104"/>
      <c r="G130" s="5"/>
      <c r="H130" s="5"/>
      <c r="I130" s="5"/>
      <c r="J130" s="5"/>
    </row>
    <row r="131" spans="1:10" ht="13.05" customHeight="1">
      <c r="A131" s="5"/>
      <c r="B131" s="38" t="s">
        <v>207</v>
      </c>
      <c r="C131" s="104" t="s">
        <v>208</v>
      </c>
      <c r="D131" s="104"/>
      <c r="E131" s="104"/>
      <c r="F131" s="104"/>
      <c r="G131" s="5"/>
      <c r="H131" s="5"/>
      <c r="I131" s="5"/>
      <c r="J131" s="5"/>
    </row>
    <row r="132" spans="1:10" ht="135" customHeight="1">
      <c r="A132" s="5"/>
      <c r="B132" s="39"/>
      <c r="C132" s="105"/>
      <c r="D132" s="105"/>
      <c r="E132" s="5"/>
      <c r="F132" s="5"/>
      <c r="G132" s="5"/>
      <c r="H132" s="5"/>
      <c r="I132" s="5"/>
      <c r="J132" s="5"/>
    </row>
  </sheetData>
  <mergeCells count="9">
    <mergeCell ref="B129:I129"/>
    <mergeCell ref="C130:F130"/>
    <mergeCell ref="C131:F131"/>
    <mergeCell ref="C132:D132"/>
    <mergeCell ref="B124:I124"/>
    <mergeCell ref="B125:I125"/>
    <mergeCell ref="B126:I126"/>
    <mergeCell ref="B127:I127"/>
    <mergeCell ref="B128:I128"/>
  </mergeCells>
  <hyperlinks>
    <hyperlink ref="A1" location="AxisNifty100IndexFund" display="AXISNIF" xr:uid="{00000000-0004-0000-3800-000000000000}"/>
    <hyperlink ref="B1" location="AxisNifty100IndexFund" display="Axis Nifty 100 Index Fund" xr:uid="{00000000-0004-0000-38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outlinePr summaryBelow="0"/>
  </sheetPr>
  <dimension ref="A1:J37"/>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116</v>
      </c>
      <c r="B1" s="4" t="s">
        <v>117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269</v>
      </c>
      <c r="B7" s="19" t="s">
        <v>270</v>
      </c>
      <c r="C7" s="15" t="s">
        <v>271</v>
      </c>
      <c r="D7" s="15" t="s">
        <v>272</v>
      </c>
      <c r="E7" s="20">
        <v>255480</v>
      </c>
      <c r="F7" s="21">
        <v>3786.98</v>
      </c>
      <c r="G7" s="22">
        <v>0.28120000000000001</v>
      </c>
      <c r="H7" s="40"/>
      <c r="I7" s="24"/>
      <c r="J7" s="5"/>
    </row>
    <row r="8" spans="1:10" ht="13.05" customHeight="1">
      <c r="A8" s="18" t="s">
        <v>287</v>
      </c>
      <c r="B8" s="19" t="s">
        <v>288</v>
      </c>
      <c r="C8" s="15" t="s">
        <v>289</v>
      </c>
      <c r="D8" s="15" t="s">
        <v>272</v>
      </c>
      <c r="E8" s="20">
        <v>95688</v>
      </c>
      <c r="F8" s="21">
        <v>2926.1390000000001</v>
      </c>
      <c r="G8" s="22">
        <v>0.2172</v>
      </c>
      <c r="H8" s="40"/>
      <c r="I8" s="24"/>
      <c r="J8" s="5"/>
    </row>
    <row r="9" spans="1:10" ht="13.05" customHeight="1">
      <c r="A9" s="18" t="s">
        <v>315</v>
      </c>
      <c r="B9" s="19" t="s">
        <v>316</v>
      </c>
      <c r="C9" s="15" t="s">
        <v>317</v>
      </c>
      <c r="D9" s="15" t="s">
        <v>272</v>
      </c>
      <c r="E9" s="20">
        <v>99263</v>
      </c>
      <c r="F9" s="21">
        <v>1530.1391000000001</v>
      </c>
      <c r="G9" s="22">
        <v>0.11360000000000001</v>
      </c>
      <c r="H9" s="40"/>
      <c r="I9" s="24"/>
      <c r="J9" s="5"/>
    </row>
    <row r="10" spans="1:10" ht="13.05" customHeight="1">
      <c r="A10" s="18" t="s">
        <v>392</v>
      </c>
      <c r="B10" s="19" t="s">
        <v>393</v>
      </c>
      <c r="C10" s="15" t="s">
        <v>394</v>
      </c>
      <c r="D10" s="15" t="s">
        <v>272</v>
      </c>
      <c r="E10" s="20">
        <v>84708</v>
      </c>
      <c r="F10" s="21">
        <v>1206.5808</v>
      </c>
      <c r="G10" s="22">
        <v>8.9599999999999999E-2</v>
      </c>
      <c r="H10" s="40"/>
      <c r="I10" s="24"/>
      <c r="J10" s="5"/>
    </row>
    <row r="11" spans="1:10" ht="13.05" customHeight="1">
      <c r="A11" s="18" t="s">
        <v>455</v>
      </c>
      <c r="B11" s="19" t="s">
        <v>456</v>
      </c>
      <c r="C11" s="15" t="s">
        <v>457</v>
      </c>
      <c r="D11" s="15" t="s">
        <v>272</v>
      </c>
      <c r="E11" s="20">
        <v>379526</v>
      </c>
      <c r="F11" s="21">
        <v>913.40520000000004</v>
      </c>
      <c r="G11" s="22">
        <v>6.7799999999999999E-2</v>
      </c>
      <c r="H11" s="40"/>
      <c r="I11" s="24"/>
      <c r="J11" s="5"/>
    </row>
    <row r="12" spans="1:10" ht="13.05" customHeight="1">
      <c r="A12" s="18" t="s">
        <v>469</v>
      </c>
      <c r="B12" s="19" t="s">
        <v>470</v>
      </c>
      <c r="C12" s="15" t="s">
        <v>471</v>
      </c>
      <c r="D12" s="15" t="s">
        <v>272</v>
      </c>
      <c r="E12" s="20">
        <v>14257</v>
      </c>
      <c r="F12" s="21">
        <v>843.52970000000005</v>
      </c>
      <c r="G12" s="22">
        <v>6.2600000000000003E-2</v>
      </c>
      <c r="H12" s="40"/>
      <c r="I12" s="24"/>
      <c r="J12" s="5"/>
    </row>
    <row r="13" spans="1:10" ht="13.05" customHeight="1">
      <c r="A13" s="18" t="s">
        <v>488</v>
      </c>
      <c r="B13" s="19" t="s">
        <v>489</v>
      </c>
      <c r="C13" s="15" t="s">
        <v>490</v>
      </c>
      <c r="D13" s="15" t="s">
        <v>272</v>
      </c>
      <c r="E13" s="20">
        <v>44446</v>
      </c>
      <c r="F13" s="21">
        <v>790.29430000000002</v>
      </c>
      <c r="G13" s="22">
        <v>5.8700000000000002E-2</v>
      </c>
      <c r="H13" s="40"/>
      <c r="I13" s="24"/>
      <c r="J13" s="5"/>
    </row>
    <row r="14" spans="1:10" ht="13.05" customHeight="1">
      <c r="A14" s="18" t="s">
        <v>520</v>
      </c>
      <c r="B14" s="19" t="s">
        <v>521</v>
      </c>
      <c r="C14" s="15" t="s">
        <v>522</v>
      </c>
      <c r="D14" s="15" t="s">
        <v>272</v>
      </c>
      <c r="E14" s="20">
        <v>12328</v>
      </c>
      <c r="F14" s="21">
        <v>700.78520000000003</v>
      </c>
      <c r="G14" s="22">
        <v>5.1999999999999998E-2</v>
      </c>
      <c r="H14" s="40"/>
      <c r="I14" s="24"/>
      <c r="J14" s="5"/>
    </row>
    <row r="15" spans="1:10" ht="13.05" customHeight="1">
      <c r="A15" s="18" t="s">
        <v>685</v>
      </c>
      <c r="B15" s="19" t="s">
        <v>686</v>
      </c>
      <c r="C15" s="15" t="s">
        <v>687</v>
      </c>
      <c r="D15" s="15" t="s">
        <v>272</v>
      </c>
      <c r="E15" s="20">
        <v>15156</v>
      </c>
      <c r="F15" s="21">
        <v>418.97250000000003</v>
      </c>
      <c r="G15" s="22">
        <v>3.1099999999999999E-2</v>
      </c>
      <c r="H15" s="40"/>
      <c r="I15" s="24"/>
      <c r="J15" s="5"/>
    </row>
    <row r="16" spans="1:10" ht="13.05" customHeight="1">
      <c r="A16" s="18" t="s">
        <v>853</v>
      </c>
      <c r="B16" s="19" t="s">
        <v>854</v>
      </c>
      <c r="C16" s="15" t="s">
        <v>855</v>
      </c>
      <c r="D16" s="15" t="s">
        <v>272</v>
      </c>
      <c r="E16" s="20">
        <v>3165</v>
      </c>
      <c r="F16" s="21">
        <v>269.49979999999999</v>
      </c>
      <c r="G16" s="22">
        <v>0.02</v>
      </c>
      <c r="H16" s="40"/>
      <c r="I16" s="24"/>
      <c r="J16" s="5"/>
    </row>
    <row r="17" spans="1:10" ht="13.05" customHeight="1">
      <c r="A17" s="5"/>
      <c r="B17" s="14" t="s">
        <v>192</v>
      </c>
      <c r="C17" s="15"/>
      <c r="D17" s="15"/>
      <c r="E17" s="15"/>
      <c r="F17" s="25">
        <v>13386.3256</v>
      </c>
      <c r="G17" s="26">
        <v>0.99380000000000002</v>
      </c>
      <c r="H17" s="27"/>
      <c r="I17" s="28"/>
      <c r="J17" s="5"/>
    </row>
    <row r="18" spans="1:10" ht="13.05" customHeight="1">
      <c r="A18" s="5"/>
      <c r="B18" s="29" t="s">
        <v>1812</v>
      </c>
      <c r="C18" s="2"/>
      <c r="D18" s="2"/>
      <c r="E18" s="2"/>
      <c r="F18" s="27" t="s">
        <v>194</v>
      </c>
      <c r="G18" s="27" t="s">
        <v>194</v>
      </c>
      <c r="H18" s="27"/>
      <c r="I18" s="28"/>
      <c r="J18" s="5"/>
    </row>
    <row r="19" spans="1:10" ht="13.05" customHeight="1">
      <c r="A19" s="5"/>
      <c r="B19" s="29" t="s">
        <v>192</v>
      </c>
      <c r="C19" s="2"/>
      <c r="D19" s="2"/>
      <c r="E19" s="2"/>
      <c r="F19" s="27" t="s">
        <v>194</v>
      </c>
      <c r="G19" s="27" t="s">
        <v>194</v>
      </c>
      <c r="H19" s="27"/>
      <c r="I19" s="28"/>
      <c r="J19" s="5"/>
    </row>
    <row r="20" spans="1:10" ht="13.05" customHeight="1">
      <c r="A20" s="5"/>
      <c r="B20" s="29" t="s">
        <v>195</v>
      </c>
      <c r="C20" s="30"/>
      <c r="D20" s="2"/>
      <c r="E20" s="30"/>
      <c r="F20" s="25">
        <v>13386.3256</v>
      </c>
      <c r="G20" s="26">
        <v>0.99380000000000002</v>
      </c>
      <c r="H20" s="27"/>
      <c r="I20" s="28"/>
      <c r="J20" s="5"/>
    </row>
    <row r="21" spans="1:10" ht="13.05" customHeight="1">
      <c r="A21" s="5"/>
      <c r="B21" s="14" t="s">
        <v>196</v>
      </c>
      <c r="C21" s="15"/>
      <c r="D21" s="15"/>
      <c r="E21" s="15"/>
      <c r="F21" s="15"/>
      <c r="G21" s="15"/>
      <c r="H21" s="16"/>
      <c r="I21" s="17"/>
      <c r="J21" s="5"/>
    </row>
    <row r="22" spans="1:10" ht="13.05" customHeight="1">
      <c r="A22" s="18" t="s">
        <v>197</v>
      </c>
      <c r="B22" s="19" t="s">
        <v>198</v>
      </c>
      <c r="C22" s="15"/>
      <c r="D22" s="15"/>
      <c r="E22" s="20"/>
      <c r="F22" s="21">
        <v>27.621600000000001</v>
      </c>
      <c r="G22" s="22">
        <v>2.0999999999999999E-3</v>
      </c>
      <c r="H22" s="23">
        <v>5.5573405181545035E-2</v>
      </c>
      <c r="I22" s="24"/>
      <c r="J22" s="5"/>
    </row>
    <row r="23" spans="1:10" ht="13.05" customHeight="1">
      <c r="A23" s="5"/>
      <c r="B23" s="14" t="s">
        <v>192</v>
      </c>
      <c r="C23" s="15"/>
      <c r="D23" s="15"/>
      <c r="E23" s="15"/>
      <c r="F23" s="25">
        <v>27.621600000000001</v>
      </c>
      <c r="G23" s="26">
        <v>2.0999999999999999E-3</v>
      </c>
      <c r="H23" s="27"/>
      <c r="I23" s="28"/>
      <c r="J23" s="5"/>
    </row>
    <row r="24" spans="1:10" ht="13.05" customHeight="1">
      <c r="A24" s="5"/>
      <c r="B24" s="29" t="s">
        <v>195</v>
      </c>
      <c r="C24" s="30"/>
      <c r="D24" s="2"/>
      <c r="E24" s="30"/>
      <c r="F24" s="25">
        <v>27.621600000000001</v>
      </c>
      <c r="G24" s="26">
        <v>2.0999999999999999E-3</v>
      </c>
      <c r="H24" s="27"/>
      <c r="I24" s="28"/>
      <c r="J24" s="5"/>
    </row>
    <row r="25" spans="1:10" ht="13.05" customHeight="1">
      <c r="A25" s="5"/>
      <c r="B25" s="29" t="s">
        <v>199</v>
      </c>
      <c r="C25" s="15"/>
      <c r="D25" s="2"/>
      <c r="E25" s="15"/>
      <c r="F25" s="31">
        <v>55.622799999999998</v>
      </c>
      <c r="G25" s="26">
        <v>4.1000000000000003E-3</v>
      </c>
      <c r="H25" s="27"/>
      <c r="I25" s="28"/>
      <c r="J25" s="5"/>
    </row>
    <row r="26" spans="1:10" ht="13.05" customHeight="1">
      <c r="A26" s="5"/>
      <c r="B26" s="32" t="s">
        <v>200</v>
      </c>
      <c r="C26" s="33"/>
      <c r="D26" s="33"/>
      <c r="E26" s="33"/>
      <c r="F26" s="34">
        <v>13469.57</v>
      </c>
      <c r="G26" s="35">
        <v>1</v>
      </c>
      <c r="H26" s="36"/>
      <c r="I26" s="37"/>
      <c r="J26" s="5"/>
    </row>
    <row r="27" spans="1:10" ht="13.05" customHeight="1">
      <c r="A27" s="5"/>
      <c r="B27" s="7"/>
      <c r="C27" s="5"/>
      <c r="D27" s="5"/>
      <c r="E27" s="5"/>
      <c r="F27" s="5"/>
      <c r="G27" s="5"/>
      <c r="H27" s="5"/>
      <c r="I27" s="5"/>
      <c r="J27" s="5"/>
    </row>
    <row r="28" spans="1:10" ht="13.05" customHeight="1">
      <c r="A28" s="5"/>
      <c r="B28" s="4" t="s">
        <v>201</v>
      </c>
      <c r="C28" s="5"/>
      <c r="D28" s="5"/>
      <c r="E28" s="5"/>
      <c r="F28" s="5"/>
      <c r="G28" s="5"/>
      <c r="H28" s="5"/>
      <c r="I28" s="5"/>
      <c r="J28" s="5"/>
    </row>
    <row r="29" spans="1:10" ht="25.95" customHeight="1">
      <c r="A29" s="5"/>
      <c r="B29" s="103" t="s">
        <v>202</v>
      </c>
      <c r="C29" s="103"/>
      <c r="D29" s="103"/>
      <c r="E29" s="103"/>
      <c r="F29" s="103"/>
      <c r="G29" s="103"/>
      <c r="H29" s="103"/>
      <c r="I29" s="103"/>
      <c r="J29" s="5"/>
    </row>
    <row r="30" spans="1:10" ht="13.05" customHeight="1">
      <c r="A30" s="5"/>
      <c r="B30" s="103" t="s">
        <v>203</v>
      </c>
      <c r="C30" s="103"/>
      <c r="D30" s="103"/>
      <c r="E30" s="103"/>
      <c r="F30" s="103"/>
      <c r="G30" s="103"/>
      <c r="H30" s="103"/>
      <c r="I30" s="103"/>
      <c r="J30" s="5"/>
    </row>
    <row r="31" spans="1:10" ht="13.05" customHeight="1">
      <c r="A31" s="5"/>
      <c r="B31" s="103"/>
      <c r="C31" s="103"/>
      <c r="D31" s="103"/>
      <c r="E31" s="103"/>
      <c r="F31" s="103"/>
      <c r="G31" s="103"/>
      <c r="H31" s="103"/>
      <c r="I31" s="103"/>
      <c r="J31" s="5"/>
    </row>
    <row r="32" spans="1:10" ht="13.05" customHeight="1">
      <c r="A32" s="5"/>
      <c r="B32" s="103"/>
      <c r="C32" s="103"/>
      <c r="D32" s="103"/>
      <c r="E32" s="103"/>
      <c r="F32" s="103"/>
      <c r="G32" s="103"/>
      <c r="H32" s="103"/>
      <c r="I32" s="103"/>
      <c r="J32" s="5"/>
    </row>
    <row r="33" spans="1:10" ht="13.05" customHeight="1">
      <c r="A33" s="5"/>
      <c r="B33" s="103"/>
      <c r="C33" s="103"/>
      <c r="D33" s="103"/>
      <c r="E33" s="103"/>
      <c r="F33" s="103"/>
      <c r="G33" s="103"/>
      <c r="H33" s="103"/>
      <c r="I33" s="103"/>
      <c r="J33" s="5"/>
    </row>
    <row r="34" spans="1:10" ht="13.05" customHeight="1">
      <c r="A34" s="5"/>
      <c r="B34" s="103"/>
      <c r="C34" s="103"/>
      <c r="D34" s="103"/>
      <c r="E34" s="103"/>
      <c r="F34" s="103"/>
      <c r="G34" s="103"/>
      <c r="H34" s="103"/>
      <c r="I34" s="103"/>
      <c r="J34" s="5"/>
    </row>
    <row r="35" spans="1:10" ht="13.05" customHeight="1">
      <c r="A35" s="5"/>
      <c r="B35" s="5"/>
      <c r="C35" s="104" t="s">
        <v>4645</v>
      </c>
      <c r="D35" s="104"/>
      <c r="E35" s="104"/>
      <c r="F35" s="104"/>
      <c r="G35" s="5"/>
      <c r="H35" s="5"/>
      <c r="I35" s="5"/>
      <c r="J35" s="5"/>
    </row>
    <row r="36" spans="1:10" ht="13.05" customHeight="1">
      <c r="A36" s="5"/>
      <c r="B36" s="38" t="s">
        <v>207</v>
      </c>
      <c r="C36" s="104" t="s">
        <v>208</v>
      </c>
      <c r="D36" s="104"/>
      <c r="E36" s="104"/>
      <c r="F36" s="104"/>
      <c r="G36" s="5"/>
      <c r="H36" s="5"/>
      <c r="I36" s="5"/>
      <c r="J36" s="5"/>
    </row>
    <row r="37" spans="1:10" ht="135" customHeight="1">
      <c r="A37" s="5"/>
      <c r="B37" s="39"/>
      <c r="C37" s="105"/>
      <c r="D37" s="105"/>
      <c r="E37" s="5"/>
      <c r="F37" s="5"/>
      <c r="G37" s="5"/>
      <c r="H37" s="5"/>
      <c r="I37" s="5"/>
      <c r="J37" s="5"/>
    </row>
  </sheetData>
  <mergeCells count="9">
    <mergeCell ref="B34:I34"/>
    <mergeCell ref="C35:F35"/>
    <mergeCell ref="C36:F36"/>
    <mergeCell ref="C37:D37"/>
    <mergeCell ref="B29:I29"/>
    <mergeCell ref="B30:I30"/>
    <mergeCell ref="B31:I31"/>
    <mergeCell ref="B32:I32"/>
    <mergeCell ref="B33:I33"/>
  </mergeCells>
  <hyperlinks>
    <hyperlink ref="A1" location="AxisNiftyITIndexFund" display="AXISNIT" xr:uid="{00000000-0004-0000-3900-000000000000}"/>
    <hyperlink ref="B1" location="AxisNiftyITIndexFund" display="Axis Nifty IT Index Fund" xr:uid="{00000000-0004-0000-39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outlinePr summaryBelow="0"/>
  </sheetPr>
  <dimension ref="A1:J77"/>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118</v>
      </c>
      <c r="B1" s="4" t="s">
        <v>119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371</v>
      </c>
      <c r="B7" s="19" t="s">
        <v>372</v>
      </c>
      <c r="C7" s="15" t="s">
        <v>373</v>
      </c>
      <c r="D7" s="15" t="s">
        <v>374</v>
      </c>
      <c r="E7" s="20">
        <v>102769</v>
      </c>
      <c r="F7" s="21">
        <v>2547.6435000000001</v>
      </c>
      <c r="G7" s="22">
        <v>4.9099999999999998E-2</v>
      </c>
      <c r="H7" s="40"/>
      <c r="I7" s="24"/>
      <c r="J7" s="5"/>
    </row>
    <row r="8" spans="1:10" ht="13.05" customHeight="1">
      <c r="A8" s="18" t="s">
        <v>439</v>
      </c>
      <c r="B8" s="19" t="s">
        <v>440</v>
      </c>
      <c r="C8" s="15" t="s">
        <v>441</v>
      </c>
      <c r="D8" s="15" t="s">
        <v>296</v>
      </c>
      <c r="E8" s="20">
        <v>32664</v>
      </c>
      <c r="F8" s="21">
        <v>1810.8922</v>
      </c>
      <c r="G8" s="22">
        <v>3.49E-2</v>
      </c>
      <c r="H8" s="40"/>
      <c r="I8" s="24"/>
      <c r="J8" s="5"/>
    </row>
    <row r="9" spans="1:10" ht="13.05" customHeight="1">
      <c r="A9" s="18" t="s">
        <v>442</v>
      </c>
      <c r="B9" s="19" t="s">
        <v>443</v>
      </c>
      <c r="C9" s="15" t="s">
        <v>444</v>
      </c>
      <c r="D9" s="15" t="s">
        <v>445</v>
      </c>
      <c r="E9" s="20">
        <v>3052663</v>
      </c>
      <c r="F9" s="21">
        <v>1810.2292</v>
      </c>
      <c r="G9" s="22">
        <v>3.49E-2</v>
      </c>
      <c r="H9" s="40"/>
      <c r="I9" s="24"/>
      <c r="J9" s="5"/>
    </row>
    <row r="10" spans="1:10" ht="13.05" customHeight="1">
      <c r="A10" s="18" t="s">
        <v>476</v>
      </c>
      <c r="B10" s="19" t="s">
        <v>477</v>
      </c>
      <c r="C10" s="15" t="s">
        <v>478</v>
      </c>
      <c r="D10" s="15" t="s">
        <v>325</v>
      </c>
      <c r="E10" s="20">
        <v>10318</v>
      </c>
      <c r="F10" s="21">
        <v>1598.6709000000001</v>
      </c>
      <c r="G10" s="22">
        <v>3.0800000000000001E-2</v>
      </c>
      <c r="H10" s="40"/>
      <c r="I10" s="24"/>
      <c r="J10" s="5"/>
    </row>
    <row r="11" spans="1:10" ht="13.05" customHeight="1">
      <c r="A11" s="18" t="s">
        <v>469</v>
      </c>
      <c r="B11" s="19" t="s">
        <v>470</v>
      </c>
      <c r="C11" s="15" t="s">
        <v>471</v>
      </c>
      <c r="D11" s="15" t="s">
        <v>272</v>
      </c>
      <c r="E11" s="20">
        <v>27007</v>
      </c>
      <c r="F11" s="21">
        <v>1597.8961999999999</v>
      </c>
      <c r="G11" s="22">
        <v>3.0800000000000001E-2</v>
      </c>
      <c r="H11" s="40"/>
      <c r="I11" s="24"/>
      <c r="J11" s="5"/>
    </row>
    <row r="12" spans="1:10" ht="13.05" customHeight="1">
      <c r="A12" s="18" t="s">
        <v>491</v>
      </c>
      <c r="B12" s="19" t="s">
        <v>492</v>
      </c>
      <c r="C12" s="15" t="s">
        <v>493</v>
      </c>
      <c r="D12" s="15" t="s">
        <v>494</v>
      </c>
      <c r="E12" s="20">
        <v>84891</v>
      </c>
      <c r="F12" s="21">
        <v>1515.6439</v>
      </c>
      <c r="G12" s="22">
        <v>2.92E-2</v>
      </c>
      <c r="H12" s="40"/>
      <c r="I12" s="24"/>
      <c r="J12" s="5"/>
    </row>
    <row r="13" spans="1:10" ht="13.05" customHeight="1">
      <c r="A13" s="18" t="s">
        <v>488</v>
      </c>
      <c r="B13" s="19" t="s">
        <v>489</v>
      </c>
      <c r="C13" s="15" t="s">
        <v>490</v>
      </c>
      <c r="D13" s="15" t="s">
        <v>272</v>
      </c>
      <c r="E13" s="20">
        <v>84131</v>
      </c>
      <c r="F13" s="21">
        <v>1495.9332999999999</v>
      </c>
      <c r="G13" s="22">
        <v>2.8899999999999999E-2</v>
      </c>
      <c r="H13" s="40"/>
      <c r="I13" s="24"/>
      <c r="J13" s="5"/>
    </row>
    <row r="14" spans="1:10" ht="13.05" customHeight="1">
      <c r="A14" s="18" t="s">
        <v>498</v>
      </c>
      <c r="B14" s="19" t="s">
        <v>499</v>
      </c>
      <c r="C14" s="15" t="s">
        <v>500</v>
      </c>
      <c r="D14" s="15" t="s">
        <v>501</v>
      </c>
      <c r="E14" s="20">
        <v>34012</v>
      </c>
      <c r="F14" s="21">
        <v>1477.5153</v>
      </c>
      <c r="G14" s="22">
        <v>2.8500000000000001E-2</v>
      </c>
      <c r="H14" s="40"/>
      <c r="I14" s="24"/>
      <c r="J14" s="5"/>
    </row>
    <row r="15" spans="1:10" ht="13.05" customHeight="1">
      <c r="A15" s="18" t="s">
        <v>495</v>
      </c>
      <c r="B15" s="19" t="s">
        <v>496</v>
      </c>
      <c r="C15" s="15" t="s">
        <v>497</v>
      </c>
      <c r="D15" s="15" t="s">
        <v>257</v>
      </c>
      <c r="E15" s="20">
        <v>618649</v>
      </c>
      <c r="F15" s="21">
        <v>1463.7854</v>
      </c>
      <c r="G15" s="22">
        <v>2.8199999999999999E-2</v>
      </c>
      <c r="H15" s="40"/>
      <c r="I15" s="24"/>
      <c r="J15" s="5"/>
    </row>
    <row r="16" spans="1:10" ht="13.05" customHeight="1">
      <c r="A16" s="18" t="s">
        <v>508</v>
      </c>
      <c r="B16" s="19" t="s">
        <v>509</v>
      </c>
      <c r="C16" s="15" t="s">
        <v>510</v>
      </c>
      <c r="D16" s="15" t="s">
        <v>374</v>
      </c>
      <c r="E16" s="20">
        <v>25577</v>
      </c>
      <c r="F16" s="21">
        <v>1375.7868000000001</v>
      </c>
      <c r="G16" s="22">
        <v>2.6499999999999999E-2</v>
      </c>
      <c r="H16" s="40"/>
      <c r="I16" s="24"/>
      <c r="J16" s="5"/>
    </row>
    <row r="17" spans="1:10" ht="13.05" customHeight="1">
      <c r="A17" s="18" t="s">
        <v>511</v>
      </c>
      <c r="B17" s="19" t="s">
        <v>512</v>
      </c>
      <c r="C17" s="15" t="s">
        <v>513</v>
      </c>
      <c r="D17" s="15" t="s">
        <v>257</v>
      </c>
      <c r="E17" s="20">
        <v>1664237</v>
      </c>
      <c r="F17" s="21">
        <v>1360.8466000000001</v>
      </c>
      <c r="G17" s="22">
        <v>2.63E-2</v>
      </c>
      <c r="H17" s="40"/>
      <c r="I17" s="24"/>
      <c r="J17" s="5"/>
    </row>
    <row r="18" spans="1:10" ht="13.05" customHeight="1">
      <c r="A18" s="18" t="s">
        <v>514</v>
      </c>
      <c r="B18" s="19" t="s">
        <v>515</v>
      </c>
      <c r="C18" s="15" t="s">
        <v>516</v>
      </c>
      <c r="D18" s="15" t="s">
        <v>415</v>
      </c>
      <c r="E18" s="20">
        <v>131145</v>
      </c>
      <c r="F18" s="21">
        <v>1341.6789000000001</v>
      </c>
      <c r="G18" s="22">
        <v>2.5899999999999999E-2</v>
      </c>
      <c r="H18" s="40"/>
      <c r="I18" s="24"/>
      <c r="J18" s="5"/>
    </row>
    <row r="19" spans="1:10" ht="13.05" customHeight="1">
      <c r="A19" s="18" t="s">
        <v>526</v>
      </c>
      <c r="B19" s="19" t="s">
        <v>527</v>
      </c>
      <c r="C19" s="15" t="s">
        <v>528</v>
      </c>
      <c r="D19" s="15" t="s">
        <v>257</v>
      </c>
      <c r="E19" s="20">
        <v>165719</v>
      </c>
      <c r="F19" s="21">
        <v>1317.1346000000001</v>
      </c>
      <c r="G19" s="22">
        <v>2.5399999999999999E-2</v>
      </c>
      <c r="H19" s="40"/>
      <c r="I19" s="24"/>
      <c r="J19" s="5"/>
    </row>
    <row r="20" spans="1:10" ht="13.05" customHeight="1">
      <c r="A20" s="18" t="s">
        <v>535</v>
      </c>
      <c r="B20" s="19" t="s">
        <v>536</v>
      </c>
      <c r="C20" s="15" t="s">
        <v>537</v>
      </c>
      <c r="D20" s="15" t="s">
        <v>257</v>
      </c>
      <c r="E20" s="20">
        <v>141639</v>
      </c>
      <c r="F20" s="21">
        <v>1243.3779999999999</v>
      </c>
      <c r="G20" s="22">
        <v>2.4E-2</v>
      </c>
      <c r="H20" s="40"/>
      <c r="I20" s="24"/>
      <c r="J20" s="5"/>
    </row>
    <row r="21" spans="1:10" ht="13.05" customHeight="1">
      <c r="A21" s="18" t="s">
        <v>552</v>
      </c>
      <c r="B21" s="19" t="s">
        <v>553</v>
      </c>
      <c r="C21" s="15" t="s">
        <v>554</v>
      </c>
      <c r="D21" s="15" t="s">
        <v>268</v>
      </c>
      <c r="E21" s="20">
        <v>332517</v>
      </c>
      <c r="F21" s="21">
        <v>1209.0318</v>
      </c>
      <c r="G21" s="22">
        <v>2.3300000000000001E-2</v>
      </c>
      <c r="H21" s="40"/>
      <c r="I21" s="24"/>
      <c r="J21" s="5"/>
    </row>
    <row r="22" spans="1:10" ht="13.05" customHeight="1">
      <c r="A22" s="18" t="s">
        <v>555</v>
      </c>
      <c r="B22" s="19" t="s">
        <v>556</v>
      </c>
      <c r="C22" s="15" t="s">
        <v>557</v>
      </c>
      <c r="D22" s="15" t="s">
        <v>494</v>
      </c>
      <c r="E22" s="20">
        <v>92433</v>
      </c>
      <c r="F22" s="21">
        <v>1204.5869</v>
      </c>
      <c r="G22" s="22">
        <v>2.3199999999999998E-2</v>
      </c>
      <c r="H22" s="40"/>
      <c r="I22" s="24"/>
      <c r="J22" s="5"/>
    </row>
    <row r="23" spans="1:10" ht="13.05" customHeight="1">
      <c r="A23" s="18" t="s">
        <v>549</v>
      </c>
      <c r="B23" s="19" t="s">
        <v>550</v>
      </c>
      <c r="C23" s="15" t="s">
        <v>551</v>
      </c>
      <c r="D23" s="15" t="s">
        <v>314</v>
      </c>
      <c r="E23" s="20">
        <v>60880</v>
      </c>
      <c r="F23" s="21">
        <v>1195.3788</v>
      </c>
      <c r="G23" s="22">
        <v>2.3099999999999999E-2</v>
      </c>
      <c r="H23" s="40"/>
      <c r="I23" s="24"/>
      <c r="J23" s="5"/>
    </row>
    <row r="24" spans="1:10" ht="13.05" customHeight="1">
      <c r="A24" s="18" t="s">
        <v>571</v>
      </c>
      <c r="B24" s="19" t="s">
        <v>572</v>
      </c>
      <c r="C24" s="15" t="s">
        <v>573</v>
      </c>
      <c r="D24" s="15" t="s">
        <v>261</v>
      </c>
      <c r="E24" s="20">
        <v>241701</v>
      </c>
      <c r="F24" s="21">
        <v>1150.4967999999999</v>
      </c>
      <c r="G24" s="22">
        <v>2.2200000000000001E-2</v>
      </c>
      <c r="H24" s="40"/>
      <c r="I24" s="24"/>
      <c r="J24" s="5"/>
    </row>
    <row r="25" spans="1:10" ht="13.05" customHeight="1">
      <c r="A25" s="18" t="s">
        <v>582</v>
      </c>
      <c r="B25" s="19" t="s">
        <v>583</v>
      </c>
      <c r="C25" s="15" t="s">
        <v>584</v>
      </c>
      <c r="D25" s="15" t="s">
        <v>257</v>
      </c>
      <c r="E25" s="20">
        <v>4955334</v>
      </c>
      <c r="F25" s="21">
        <v>1126.8430000000001</v>
      </c>
      <c r="G25" s="22">
        <v>2.1700000000000001E-2</v>
      </c>
      <c r="H25" s="40"/>
      <c r="I25" s="24"/>
      <c r="J25" s="5"/>
    </row>
    <row r="26" spans="1:10" ht="13.05" customHeight="1">
      <c r="A26" s="18" t="s">
        <v>585</v>
      </c>
      <c r="B26" s="19" t="s">
        <v>586</v>
      </c>
      <c r="C26" s="15" t="s">
        <v>587</v>
      </c>
      <c r="D26" s="15" t="s">
        <v>581</v>
      </c>
      <c r="E26" s="20">
        <v>36535</v>
      </c>
      <c r="F26" s="21">
        <v>1070.6582000000001</v>
      </c>
      <c r="G26" s="22">
        <v>2.07E-2</v>
      </c>
      <c r="H26" s="40"/>
      <c r="I26" s="24"/>
      <c r="J26" s="5"/>
    </row>
    <row r="27" spans="1:10" ht="13.05" customHeight="1">
      <c r="A27" s="18" t="s">
        <v>600</v>
      </c>
      <c r="B27" s="19" t="s">
        <v>601</v>
      </c>
      <c r="C27" s="15" t="s">
        <v>602</v>
      </c>
      <c r="D27" s="15" t="s">
        <v>603</v>
      </c>
      <c r="E27" s="20">
        <v>143114</v>
      </c>
      <c r="F27" s="21">
        <v>1030.5639000000001</v>
      </c>
      <c r="G27" s="22">
        <v>1.9900000000000001E-2</v>
      </c>
      <c r="H27" s="40"/>
      <c r="I27" s="24"/>
      <c r="J27" s="5"/>
    </row>
    <row r="28" spans="1:10" ht="13.05" customHeight="1">
      <c r="A28" s="18" t="s">
        <v>594</v>
      </c>
      <c r="B28" s="19" t="s">
        <v>595</v>
      </c>
      <c r="C28" s="15" t="s">
        <v>596</v>
      </c>
      <c r="D28" s="15" t="s">
        <v>405</v>
      </c>
      <c r="E28" s="20">
        <v>66330</v>
      </c>
      <c r="F28" s="21">
        <v>1025.7935</v>
      </c>
      <c r="G28" s="22">
        <v>1.9800000000000002E-2</v>
      </c>
      <c r="H28" s="40"/>
      <c r="I28" s="24"/>
      <c r="J28" s="5"/>
    </row>
    <row r="29" spans="1:10" ht="13.05" customHeight="1">
      <c r="A29" s="18" t="s">
        <v>597</v>
      </c>
      <c r="B29" s="19" t="s">
        <v>598</v>
      </c>
      <c r="C29" s="15" t="s">
        <v>599</v>
      </c>
      <c r="D29" s="15" t="s">
        <v>507</v>
      </c>
      <c r="E29" s="20">
        <v>720026</v>
      </c>
      <c r="F29" s="21">
        <v>1019.0528</v>
      </c>
      <c r="G29" s="22">
        <v>1.9699999999999999E-2</v>
      </c>
      <c r="H29" s="40"/>
      <c r="I29" s="24"/>
      <c r="J29" s="5"/>
    </row>
    <row r="30" spans="1:10" ht="13.05" customHeight="1">
      <c r="A30" s="18" t="s">
        <v>607</v>
      </c>
      <c r="B30" s="19" t="s">
        <v>608</v>
      </c>
      <c r="C30" s="15" t="s">
        <v>609</v>
      </c>
      <c r="D30" s="15" t="s">
        <v>501</v>
      </c>
      <c r="E30" s="20">
        <v>12655</v>
      </c>
      <c r="F30" s="21">
        <v>974.94119999999998</v>
      </c>
      <c r="G30" s="22">
        <v>1.8800000000000001E-2</v>
      </c>
      <c r="H30" s="40"/>
      <c r="I30" s="24"/>
      <c r="J30" s="5"/>
    </row>
    <row r="31" spans="1:10" ht="13.05" customHeight="1">
      <c r="A31" s="18" t="s">
        <v>610</v>
      </c>
      <c r="B31" s="19" t="s">
        <v>611</v>
      </c>
      <c r="C31" s="15" t="s">
        <v>612</v>
      </c>
      <c r="D31" s="15" t="s">
        <v>435</v>
      </c>
      <c r="E31" s="20">
        <v>133186</v>
      </c>
      <c r="F31" s="21">
        <v>958.87260000000003</v>
      </c>
      <c r="G31" s="22">
        <v>1.8499999999999999E-2</v>
      </c>
      <c r="H31" s="40"/>
      <c r="I31" s="24"/>
      <c r="J31" s="5"/>
    </row>
    <row r="32" spans="1:10" ht="13.05" customHeight="1">
      <c r="A32" s="18" t="s">
        <v>628</v>
      </c>
      <c r="B32" s="19" t="s">
        <v>629</v>
      </c>
      <c r="C32" s="15" t="s">
        <v>630</v>
      </c>
      <c r="D32" s="15" t="s">
        <v>567</v>
      </c>
      <c r="E32" s="20">
        <v>67077</v>
      </c>
      <c r="F32" s="21">
        <v>888.56899999999996</v>
      </c>
      <c r="G32" s="22">
        <v>1.7100000000000001E-2</v>
      </c>
      <c r="H32" s="40"/>
      <c r="I32" s="24"/>
      <c r="J32" s="5"/>
    </row>
    <row r="33" spans="1:10" ht="13.05" customHeight="1">
      <c r="A33" s="18" t="s">
        <v>637</v>
      </c>
      <c r="B33" s="19" t="s">
        <v>638</v>
      </c>
      <c r="C33" s="15" t="s">
        <v>639</v>
      </c>
      <c r="D33" s="15" t="s">
        <v>541</v>
      </c>
      <c r="E33" s="20">
        <v>37804</v>
      </c>
      <c r="F33" s="21">
        <v>864.95550000000003</v>
      </c>
      <c r="G33" s="22">
        <v>1.67E-2</v>
      </c>
      <c r="H33" s="40"/>
      <c r="I33" s="24"/>
      <c r="J33" s="5"/>
    </row>
    <row r="34" spans="1:10" ht="13.05" customHeight="1">
      <c r="A34" s="18" t="s">
        <v>646</v>
      </c>
      <c r="B34" s="19" t="s">
        <v>647</v>
      </c>
      <c r="C34" s="15" t="s">
        <v>648</v>
      </c>
      <c r="D34" s="15" t="s">
        <v>445</v>
      </c>
      <c r="E34" s="20">
        <v>323515</v>
      </c>
      <c r="F34" s="21">
        <v>858.9</v>
      </c>
      <c r="G34" s="22">
        <v>1.66E-2</v>
      </c>
      <c r="H34" s="40"/>
      <c r="I34" s="24"/>
      <c r="J34" s="5"/>
    </row>
    <row r="35" spans="1:10" ht="13.05" customHeight="1">
      <c r="A35" s="18" t="s">
        <v>643</v>
      </c>
      <c r="B35" s="19" t="s">
        <v>644</v>
      </c>
      <c r="C35" s="15" t="s">
        <v>645</v>
      </c>
      <c r="D35" s="15" t="s">
        <v>300</v>
      </c>
      <c r="E35" s="20">
        <v>26995</v>
      </c>
      <c r="F35" s="21">
        <v>858.09010000000001</v>
      </c>
      <c r="G35" s="22">
        <v>1.66E-2</v>
      </c>
      <c r="H35" s="40"/>
      <c r="I35" s="24"/>
      <c r="J35" s="5"/>
    </row>
    <row r="36" spans="1:10" ht="13.05" customHeight="1">
      <c r="A36" s="18" t="s">
        <v>655</v>
      </c>
      <c r="B36" s="19" t="s">
        <v>656</v>
      </c>
      <c r="C36" s="15" t="s">
        <v>657</v>
      </c>
      <c r="D36" s="15" t="s">
        <v>364</v>
      </c>
      <c r="E36" s="20">
        <v>897797</v>
      </c>
      <c r="F36" s="21">
        <v>843.65980000000002</v>
      </c>
      <c r="G36" s="22">
        <v>1.6299999999999999E-2</v>
      </c>
      <c r="H36" s="40"/>
      <c r="I36" s="24"/>
      <c r="J36" s="5"/>
    </row>
    <row r="37" spans="1:10" ht="13.05" customHeight="1">
      <c r="A37" s="18" t="s">
        <v>667</v>
      </c>
      <c r="B37" s="19" t="s">
        <v>668</v>
      </c>
      <c r="C37" s="15" t="s">
        <v>669</v>
      </c>
      <c r="D37" s="15" t="s">
        <v>501</v>
      </c>
      <c r="E37" s="20">
        <v>45649</v>
      </c>
      <c r="F37" s="21">
        <v>817.80179999999996</v>
      </c>
      <c r="G37" s="22">
        <v>1.5800000000000002E-2</v>
      </c>
      <c r="H37" s="40"/>
      <c r="I37" s="24"/>
      <c r="J37" s="5"/>
    </row>
    <row r="38" spans="1:10" ht="13.05" customHeight="1">
      <c r="A38" s="18" t="s">
        <v>679</v>
      </c>
      <c r="B38" s="19" t="s">
        <v>680</v>
      </c>
      <c r="C38" s="15" t="s">
        <v>681</v>
      </c>
      <c r="D38" s="15" t="s">
        <v>567</v>
      </c>
      <c r="E38" s="20">
        <v>26871</v>
      </c>
      <c r="F38" s="21">
        <v>812.31029999999998</v>
      </c>
      <c r="G38" s="22">
        <v>1.5699999999999999E-2</v>
      </c>
      <c r="H38" s="40"/>
      <c r="I38" s="24"/>
      <c r="J38" s="5"/>
    </row>
    <row r="39" spans="1:10" ht="13.05" customHeight="1">
      <c r="A39" s="18" t="s">
        <v>676</v>
      </c>
      <c r="B39" s="19" t="s">
        <v>677</v>
      </c>
      <c r="C39" s="15" t="s">
        <v>678</v>
      </c>
      <c r="D39" s="15" t="s">
        <v>314</v>
      </c>
      <c r="E39" s="20">
        <v>70370</v>
      </c>
      <c r="F39" s="21">
        <v>801.44389999999999</v>
      </c>
      <c r="G39" s="22">
        <v>1.55E-2</v>
      </c>
      <c r="H39" s="40"/>
      <c r="I39" s="24"/>
      <c r="J39" s="5"/>
    </row>
    <row r="40" spans="1:10" ht="13.05" customHeight="1">
      <c r="A40" s="18" t="s">
        <v>685</v>
      </c>
      <c r="B40" s="19" t="s">
        <v>686</v>
      </c>
      <c r="C40" s="15" t="s">
        <v>687</v>
      </c>
      <c r="D40" s="15" t="s">
        <v>272</v>
      </c>
      <c r="E40" s="20">
        <v>28654</v>
      </c>
      <c r="F40" s="21">
        <v>792.11120000000005</v>
      </c>
      <c r="G40" s="22">
        <v>1.5299999999999999E-2</v>
      </c>
      <c r="H40" s="40"/>
      <c r="I40" s="24"/>
      <c r="J40" s="5"/>
    </row>
    <row r="41" spans="1:10" ht="13.05" customHeight="1">
      <c r="A41" s="18" t="s">
        <v>694</v>
      </c>
      <c r="B41" s="19" t="s">
        <v>695</v>
      </c>
      <c r="C41" s="15" t="s">
        <v>696</v>
      </c>
      <c r="D41" s="15" t="s">
        <v>541</v>
      </c>
      <c r="E41" s="20">
        <v>46937</v>
      </c>
      <c r="F41" s="21">
        <v>789.76199999999994</v>
      </c>
      <c r="G41" s="22">
        <v>1.52E-2</v>
      </c>
      <c r="H41" s="40"/>
      <c r="I41" s="24"/>
      <c r="J41" s="5"/>
    </row>
    <row r="42" spans="1:10" ht="13.05" customHeight="1">
      <c r="A42" s="18" t="s">
        <v>703</v>
      </c>
      <c r="B42" s="19" t="s">
        <v>704</v>
      </c>
      <c r="C42" s="15" t="s">
        <v>705</v>
      </c>
      <c r="D42" s="15" t="s">
        <v>577</v>
      </c>
      <c r="E42" s="20">
        <v>33149</v>
      </c>
      <c r="F42" s="21">
        <v>743.53210000000001</v>
      </c>
      <c r="G42" s="22">
        <v>1.43E-2</v>
      </c>
      <c r="H42" s="40"/>
      <c r="I42" s="24"/>
      <c r="J42" s="5"/>
    </row>
    <row r="43" spans="1:10" ht="13.05" customHeight="1">
      <c r="A43" s="18" t="s">
        <v>706</v>
      </c>
      <c r="B43" s="19" t="s">
        <v>707</v>
      </c>
      <c r="C43" s="15" t="s">
        <v>708</v>
      </c>
      <c r="D43" s="15" t="s">
        <v>541</v>
      </c>
      <c r="E43" s="20">
        <v>42462</v>
      </c>
      <c r="F43" s="21">
        <v>740.83450000000005</v>
      </c>
      <c r="G43" s="22">
        <v>1.43E-2</v>
      </c>
      <c r="H43" s="40"/>
      <c r="I43" s="24"/>
      <c r="J43" s="5"/>
    </row>
    <row r="44" spans="1:10" ht="13.05" customHeight="1">
      <c r="A44" s="18" t="s">
        <v>712</v>
      </c>
      <c r="B44" s="19" t="s">
        <v>713</v>
      </c>
      <c r="C44" s="15" t="s">
        <v>714</v>
      </c>
      <c r="D44" s="15" t="s">
        <v>603</v>
      </c>
      <c r="E44" s="20">
        <v>20384</v>
      </c>
      <c r="F44" s="21">
        <v>729.21720000000005</v>
      </c>
      <c r="G44" s="22">
        <v>1.41E-2</v>
      </c>
      <c r="H44" s="40"/>
      <c r="I44" s="24"/>
      <c r="J44" s="5"/>
    </row>
    <row r="45" spans="1:10" ht="13.05" customHeight="1">
      <c r="A45" s="18" t="s">
        <v>715</v>
      </c>
      <c r="B45" s="19" t="s">
        <v>716</v>
      </c>
      <c r="C45" s="15" t="s">
        <v>717</v>
      </c>
      <c r="D45" s="15" t="s">
        <v>577</v>
      </c>
      <c r="E45" s="20">
        <v>148421</v>
      </c>
      <c r="F45" s="21">
        <v>723.62660000000005</v>
      </c>
      <c r="G45" s="22">
        <v>1.4E-2</v>
      </c>
      <c r="H45" s="40"/>
      <c r="I45" s="24"/>
      <c r="J45" s="5"/>
    </row>
    <row r="46" spans="1:10" ht="13.05" customHeight="1">
      <c r="A46" s="18" t="s">
        <v>742</v>
      </c>
      <c r="B46" s="19" t="s">
        <v>743</v>
      </c>
      <c r="C46" s="15" t="s">
        <v>744</v>
      </c>
      <c r="D46" s="15" t="s">
        <v>321</v>
      </c>
      <c r="E46" s="20">
        <v>796202</v>
      </c>
      <c r="F46" s="21">
        <v>675.49779999999998</v>
      </c>
      <c r="G46" s="22">
        <v>1.2999999999999999E-2</v>
      </c>
      <c r="H46" s="40"/>
      <c r="I46" s="24"/>
      <c r="J46" s="5"/>
    </row>
    <row r="47" spans="1:10" ht="13.05" customHeight="1">
      <c r="A47" s="18" t="s">
        <v>739</v>
      </c>
      <c r="B47" s="19" t="s">
        <v>740</v>
      </c>
      <c r="C47" s="15" t="s">
        <v>741</v>
      </c>
      <c r="D47" s="15" t="s">
        <v>314</v>
      </c>
      <c r="E47" s="20">
        <v>28182</v>
      </c>
      <c r="F47" s="21">
        <v>671.85889999999995</v>
      </c>
      <c r="G47" s="22">
        <v>1.2999999999999999E-2</v>
      </c>
      <c r="H47" s="40"/>
      <c r="I47" s="24"/>
      <c r="J47" s="5"/>
    </row>
    <row r="48" spans="1:10" ht="13.05" customHeight="1">
      <c r="A48" s="18" t="s">
        <v>745</v>
      </c>
      <c r="B48" s="19" t="s">
        <v>746</v>
      </c>
      <c r="C48" s="15" t="s">
        <v>747</v>
      </c>
      <c r="D48" s="15" t="s">
        <v>300</v>
      </c>
      <c r="E48" s="20">
        <v>75431</v>
      </c>
      <c r="F48" s="21">
        <v>662.77449999999999</v>
      </c>
      <c r="G48" s="22">
        <v>1.2800000000000001E-2</v>
      </c>
      <c r="H48" s="40"/>
      <c r="I48" s="24"/>
      <c r="J48" s="5"/>
    </row>
    <row r="49" spans="1:10" ht="13.05" customHeight="1">
      <c r="A49" s="18" t="s">
        <v>755</v>
      </c>
      <c r="B49" s="19" t="s">
        <v>756</v>
      </c>
      <c r="C49" s="15" t="s">
        <v>757</v>
      </c>
      <c r="D49" s="15" t="s">
        <v>758</v>
      </c>
      <c r="E49" s="20">
        <v>1587</v>
      </c>
      <c r="F49" s="21">
        <v>653.84400000000005</v>
      </c>
      <c r="G49" s="22">
        <v>1.26E-2</v>
      </c>
      <c r="H49" s="40"/>
      <c r="I49" s="24"/>
      <c r="J49" s="5"/>
    </row>
    <row r="50" spans="1:10" ht="13.05" customHeight="1">
      <c r="A50" s="18" t="s">
        <v>748</v>
      </c>
      <c r="B50" s="19" t="s">
        <v>749</v>
      </c>
      <c r="C50" s="15" t="s">
        <v>750</v>
      </c>
      <c r="D50" s="15" t="s">
        <v>751</v>
      </c>
      <c r="E50" s="20">
        <v>860551</v>
      </c>
      <c r="F50" s="21">
        <v>652.21159999999998</v>
      </c>
      <c r="G50" s="22">
        <v>1.26E-2</v>
      </c>
      <c r="H50" s="40"/>
      <c r="I50" s="24"/>
      <c r="J50" s="5"/>
    </row>
    <row r="51" spans="1:10" ht="13.05" customHeight="1">
      <c r="A51" s="18" t="s">
        <v>771</v>
      </c>
      <c r="B51" s="19" t="s">
        <v>772</v>
      </c>
      <c r="C51" s="15" t="s">
        <v>773</v>
      </c>
      <c r="D51" s="15" t="s">
        <v>501</v>
      </c>
      <c r="E51" s="20">
        <v>16254</v>
      </c>
      <c r="F51" s="21">
        <v>619.68380000000002</v>
      </c>
      <c r="G51" s="22">
        <v>1.2E-2</v>
      </c>
      <c r="H51" s="40"/>
      <c r="I51" s="24"/>
      <c r="J51" s="5"/>
    </row>
    <row r="52" spans="1:10" ht="13.05" customHeight="1">
      <c r="A52" s="18" t="s">
        <v>795</v>
      </c>
      <c r="B52" s="19" t="s">
        <v>796</v>
      </c>
      <c r="C52" s="15" t="s">
        <v>797</v>
      </c>
      <c r="D52" s="15" t="s">
        <v>381</v>
      </c>
      <c r="E52" s="20">
        <v>135772</v>
      </c>
      <c r="F52" s="21">
        <v>588.36800000000005</v>
      </c>
      <c r="G52" s="22">
        <v>1.1299999999999999E-2</v>
      </c>
      <c r="H52" s="40"/>
      <c r="I52" s="24"/>
      <c r="J52" s="5"/>
    </row>
    <row r="53" spans="1:10" ht="13.05" customHeight="1">
      <c r="A53" s="18" t="s">
        <v>804</v>
      </c>
      <c r="B53" s="19" t="s">
        <v>805</v>
      </c>
      <c r="C53" s="15" t="s">
        <v>806</v>
      </c>
      <c r="D53" s="15" t="s">
        <v>464</v>
      </c>
      <c r="E53" s="20">
        <v>97457</v>
      </c>
      <c r="F53" s="21">
        <v>582.64670000000001</v>
      </c>
      <c r="G53" s="22">
        <v>1.12E-2</v>
      </c>
      <c r="H53" s="40"/>
      <c r="I53" s="24"/>
      <c r="J53" s="5"/>
    </row>
    <row r="54" spans="1:10" ht="13.05" customHeight="1">
      <c r="A54" s="18" t="s">
        <v>825</v>
      </c>
      <c r="B54" s="19" t="s">
        <v>826</v>
      </c>
      <c r="C54" s="15" t="s">
        <v>827</v>
      </c>
      <c r="D54" s="15" t="s">
        <v>464</v>
      </c>
      <c r="E54" s="20">
        <v>75105</v>
      </c>
      <c r="F54" s="21">
        <v>539.77959999999996</v>
      </c>
      <c r="G54" s="22">
        <v>1.04E-2</v>
      </c>
      <c r="H54" s="40"/>
      <c r="I54" s="24"/>
      <c r="J54" s="5"/>
    </row>
    <row r="55" spans="1:10" ht="13.05" customHeight="1">
      <c r="A55" s="18" t="s">
        <v>834</v>
      </c>
      <c r="B55" s="19" t="s">
        <v>835</v>
      </c>
      <c r="C55" s="15" t="s">
        <v>836</v>
      </c>
      <c r="D55" s="15" t="s">
        <v>541</v>
      </c>
      <c r="E55" s="20">
        <v>29304</v>
      </c>
      <c r="F55" s="21">
        <v>521.11300000000006</v>
      </c>
      <c r="G55" s="22">
        <v>1.01E-2</v>
      </c>
      <c r="H55" s="40"/>
      <c r="I55" s="24"/>
      <c r="J55" s="5"/>
    </row>
    <row r="56" spans="1:10" ht="13.05" customHeight="1">
      <c r="A56" s="18" t="s">
        <v>853</v>
      </c>
      <c r="B56" s="19" t="s">
        <v>854</v>
      </c>
      <c r="C56" s="15" t="s">
        <v>855</v>
      </c>
      <c r="D56" s="15" t="s">
        <v>272</v>
      </c>
      <c r="E56" s="20">
        <v>5907</v>
      </c>
      <c r="F56" s="21">
        <v>502.98110000000003</v>
      </c>
      <c r="G56" s="22">
        <v>9.7000000000000003E-3</v>
      </c>
      <c r="H56" s="40"/>
      <c r="I56" s="24"/>
      <c r="J56" s="5"/>
    </row>
    <row r="57" spans="1:10" ht="13.05" customHeight="1">
      <c r="A57" s="5"/>
      <c r="B57" s="14" t="s">
        <v>192</v>
      </c>
      <c r="C57" s="15"/>
      <c r="D57" s="15"/>
      <c r="E57" s="15"/>
      <c r="F57" s="25">
        <v>51858.826999999997</v>
      </c>
      <c r="G57" s="26">
        <v>1.0004</v>
      </c>
      <c r="H57" s="27"/>
      <c r="I57" s="28"/>
      <c r="J57" s="5"/>
    </row>
    <row r="58" spans="1:10" ht="13.05" customHeight="1">
      <c r="A58" s="5"/>
      <c r="B58" s="29" t="s">
        <v>1812</v>
      </c>
      <c r="C58" s="2"/>
      <c r="D58" s="2"/>
      <c r="E58" s="2"/>
      <c r="F58" s="27" t="s">
        <v>194</v>
      </c>
      <c r="G58" s="27" t="s">
        <v>194</v>
      </c>
      <c r="H58" s="27"/>
      <c r="I58" s="28"/>
      <c r="J58" s="5"/>
    </row>
    <row r="59" spans="1:10" ht="13.05" customHeight="1">
      <c r="A59" s="5"/>
      <c r="B59" s="29" t="s">
        <v>192</v>
      </c>
      <c r="C59" s="2"/>
      <c r="D59" s="2"/>
      <c r="E59" s="2"/>
      <c r="F59" s="27" t="s">
        <v>194</v>
      </c>
      <c r="G59" s="27" t="s">
        <v>194</v>
      </c>
      <c r="H59" s="27"/>
      <c r="I59" s="28"/>
      <c r="J59" s="5"/>
    </row>
    <row r="60" spans="1:10" ht="13.05" customHeight="1">
      <c r="A60" s="5"/>
      <c r="B60" s="29" t="s">
        <v>195</v>
      </c>
      <c r="C60" s="30"/>
      <c r="D60" s="2"/>
      <c r="E60" s="30"/>
      <c r="F60" s="25">
        <v>51858.826999999997</v>
      </c>
      <c r="G60" s="26">
        <v>1.0004</v>
      </c>
      <c r="H60" s="27"/>
      <c r="I60" s="28"/>
      <c r="J60" s="5"/>
    </row>
    <row r="61" spans="1:10" ht="13.05" customHeight="1">
      <c r="A61" s="5"/>
      <c r="B61" s="14" t="s">
        <v>196</v>
      </c>
      <c r="C61" s="15"/>
      <c r="D61" s="15"/>
      <c r="E61" s="15"/>
      <c r="F61" s="15"/>
      <c r="G61" s="15"/>
      <c r="H61" s="16"/>
      <c r="I61" s="17"/>
      <c r="J61" s="5"/>
    </row>
    <row r="62" spans="1:10" ht="13.05" customHeight="1">
      <c r="A62" s="18" t="s">
        <v>197</v>
      </c>
      <c r="B62" s="19" t="s">
        <v>198</v>
      </c>
      <c r="C62" s="15"/>
      <c r="D62" s="15"/>
      <c r="E62" s="20"/>
      <c r="F62" s="21">
        <v>58.8521</v>
      </c>
      <c r="G62" s="22">
        <v>1.1000000000000001E-3</v>
      </c>
      <c r="H62" s="23">
        <v>5.557355127047614E-2</v>
      </c>
      <c r="I62" s="24"/>
      <c r="J62" s="5"/>
    </row>
    <row r="63" spans="1:10" ht="13.05" customHeight="1">
      <c r="A63" s="5"/>
      <c r="B63" s="14" t="s">
        <v>192</v>
      </c>
      <c r="C63" s="15"/>
      <c r="D63" s="15"/>
      <c r="E63" s="15"/>
      <c r="F63" s="25">
        <v>58.8521</v>
      </c>
      <c r="G63" s="26">
        <v>1.1000000000000001E-3</v>
      </c>
      <c r="H63" s="27"/>
      <c r="I63" s="28"/>
      <c r="J63" s="5"/>
    </row>
    <row r="64" spans="1:10" ht="13.05" customHeight="1">
      <c r="A64" s="5"/>
      <c r="B64" s="29" t="s">
        <v>195</v>
      </c>
      <c r="C64" s="30"/>
      <c r="D64" s="2"/>
      <c r="E64" s="30"/>
      <c r="F64" s="25">
        <v>58.8521</v>
      </c>
      <c r="G64" s="26">
        <v>1.1000000000000001E-3</v>
      </c>
      <c r="H64" s="27"/>
      <c r="I64" s="28"/>
      <c r="J64" s="5"/>
    </row>
    <row r="65" spans="1:10" ht="13.05" customHeight="1">
      <c r="A65" s="5"/>
      <c r="B65" s="29" t="s">
        <v>199</v>
      </c>
      <c r="C65" s="15"/>
      <c r="D65" s="2"/>
      <c r="E65" s="15"/>
      <c r="F65" s="31">
        <v>-78.089100000000002</v>
      </c>
      <c r="G65" s="26">
        <v>-1.5E-3</v>
      </c>
      <c r="H65" s="27"/>
      <c r="I65" s="28"/>
      <c r="J65" s="5"/>
    </row>
    <row r="66" spans="1:10" ht="13.05" customHeight="1">
      <c r="A66" s="5"/>
      <c r="B66" s="32" t="s">
        <v>200</v>
      </c>
      <c r="C66" s="33"/>
      <c r="D66" s="33"/>
      <c r="E66" s="33"/>
      <c r="F66" s="34">
        <v>51839.59</v>
      </c>
      <c r="G66" s="35">
        <v>1</v>
      </c>
      <c r="H66" s="36"/>
      <c r="I66" s="37"/>
      <c r="J66" s="5"/>
    </row>
    <row r="67" spans="1:10" ht="13.05" customHeight="1">
      <c r="A67" s="5"/>
      <c r="B67" s="7"/>
      <c r="C67" s="5"/>
      <c r="D67" s="5"/>
      <c r="E67" s="5"/>
      <c r="F67" s="5"/>
      <c r="G67" s="5"/>
      <c r="H67" s="5"/>
      <c r="I67" s="5"/>
      <c r="J67" s="5"/>
    </row>
    <row r="68" spans="1:10" ht="13.05" customHeight="1">
      <c r="A68" s="5"/>
      <c r="B68" s="4" t="s">
        <v>201</v>
      </c>
      <c r="C68" s="5"/>
      <c r="D68" s="5"/>
      <c r="E68" s="5"/>
      <c r="F68" s="5"/>
      <c r="G68" s="5"/>
      <c r="H68" s="5"/>
      <c r="I68" s="5"/>
      <c r="J68" s="5"/>
    </row>
    <row r="69" spans="1:10" ht="25.95" customHeight="1">
      <c r="A69" s="5"/>
      <c r="B69" s="103" t="s">
        <v>202</v>
      </c>
      <c r="C69" s="103"/>
      <c r="D69" s="103"/>
      <c r="E69" s="103"/>
      <c r="F69" s="103"/>
      <c r="G69" s="103"/>
      <c r="H69" s="103"/>
      <c r="I69" s="103"/>
      <c r="J69" s="5"/>
    </row>
    <row r="70" spans="1:10" ht="13.05" customHeight="1">
      <c r="A70" s="5"/>
      <c r="B70" s="103" t="s">
        <v>203</v>
      </c>
      <c r="C70" s="103"/>
      <c r="D70" s="103"/>
      <c r="E70" s="103"/>
      <c r="F70" s="103"/>
      <c r="G70" s="103"/>
      <c r="H70" s="103"/>
      <c r="I70" s="103"/>
      <c r="J70" s="5"/>
    </row>
    <row r="71" spans="1:10" ht="13.05" customHeight="1">
      <c r="A71" s="5"/>
      <c r="B71" s="103"/>
      <c r="C71" s="103"/>
      <c r="D71" s="103"/>
      <c r="E71" s="103"/>
      <c r="F71" s="103"/>
      <c r="G71" s="103"/>
      <c r="H71" s="103"/>
      <c r="I71" s="103"/>
      <c r="J71" s="5"/>
    </row>
    <row r="72" spans="1:10" ht="13.05" customHeight="1">
      <c r="A72" s="5"/>
      <c r="B72" s="103"/>
      <c r="C72" s="103"/>
      <c r="D72" s="103"/>
      <c r="E72" s="103"/>
      <c r="F72" s="103"/>
      <c r="G72" s="103"/>
      <c r="H72" s="103"/>
      <c r="I72" s="103"/>
      <c r="J72" s="5"/>
    </row>
    <row r="73" spans="1:10" ht="13.05" customHeight="1">
      <c r="A73" s="5"/>
      <c r="B73" s="103"/>
      <c r="C73" s="103"/>
      <c r="D73" s="103"/>
      <c r="E73" s="103"/>
      <c r="F73" s="103"/>
      <c r="G73" s="103"/>
      <c r="H73" s="103"/>
      <c r="I73" s="103"/>
      <c r="J73" s="5"/>
    </row>
    <row r="74" spans="1:10" ht="13.05" customHeight="1">
      <c r="A74" s="5"/>
      <c r="B74" s="103"/>
      <c r="C74" s="103"/>
      <c r="D74" s="103"/>
      <c r="E74" s="103"/>
      <c r="F74" s="103"/>
      <c r="G74" s="103"/>
      <c r="H74" s="103"/>
      <c r="I74" s="103"/>
      <c r="J74" s="5"/>
    </row>
    <row r="75" spans="1:10" ht="13.05" customHeight="1">
      <c r="A75" s="5"/>
      <c r="B75" s="5"/>
      <c r="C75" s="104" t="s">
        <v>4646</v>
      </c>
      <c r="D75" s="104"/>
      <c r="E75" s="104"/>
      <c r="F75" s="104"/>
      <c r="G75" s="5"/>
      <c r="H75" s="5"/>
      <c r="I75" s="5"/>
      <c r="J75" s="5"/>
    </row>
    <row r="76" spans="1:10" ht="13.05" customHeight="1">
      <c r="A76" s="5"/>
      <c r="B76" s="38" t="s">
        <v>207</v>
      </c>
      <c r="C76" s="104" t="s">
        <v>208</v>
      </c>
      <c r="D76" s="104"/>
      <c r="E76" s="104"/>
      <c r="F76" s="104"/>
      <c r="G76" s="5"/>
      <c r="H76" s="5"/>
      <c r="I76" s="5"/>
      <c r="J76" s="5"/>
    </row>
    <row r="77" spans="1:10" ht="135" customHeight="1">
      <c r="A77" s="5"/>
      <c r="B77" s="39"/>
      <c r="C77" s="105"/>
      <c r="D77" s="105"/>
      <c r="E77" s="5"/>
      <c r="F77" s="5"/>
      <c r="G77" s="5"/>
      <c r="H77" s="5"/>
      <c r="I77" s="5"/>
      <c r="J77" s="5"/>
    </row>
  </sheetData>
  <mergeCells count="9">
    <mergeCell ref="B74:I74"/>
    <mergeCell ref="C75:F75"/>
    <mergeCell ref="C76:F76"/>
    <mergeCell ref="C77:D77"/>
    <mergeCell ref="B69:I69"/>
    <mergeCell ref="B70:I70"/>
    <mergeCell ref="B71:I71"/>
    <mergeCell ref="B72:I72"/>
    <mergeCell ref="B73:I73"/>
  </mergeCells>
  <hyperlinks>
    <hyperlink ref="A1" location="AXISNIFTYMIDCAP50INDEXFUND" display="AXISNM50" xr:uid="{00000000-0004-0000-3A00-000000000000}"/>
    <hyperlink ref="B1" location="AXISNIFTYMIDCAP50INDEXFUND" display="AXIS NIFTY MIDCAP 50 INDEX FUND" xr:uid="{00000000-0004-0000-3A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outlinePr summaryBelow="0"/>
  </sheetPr>
  <dimension ref="A1:J81"/>
  <sheetViews>
    <sheetView topLeftCell="A44" workbookViewId="0">
      <selection activeCell="C61" sqref="C6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120</v>
      </c>
      <c r="B1" s="4" t="s">
        <v>121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395</v>
      </c>
      <c r="B7" s="19" t="s">
        <v>396</v>
      </c>
      <c r="C7" s="15" t="s">
        <v>397</v>
      </c>
      <c r="D7" s="15" t="s">
        <v>329</v>
      </c>
      <c r="E7" s="20">
        <v>31188</v>
      </c>
      <c r="F7" s="21">
        <v>1459.5360000000001</v>
      </c>
      <c r="G7" s="22">
        <v>3.8100000000000002E-2</v>
      </c>
      <c r="H7" s="40"/>
      <c r="I7" s="24"/>
      <c r="J7" s="5"/>
    </row>
    <row r="8" spans="1:10" ht="13.05" customHeight="1">
      <c r="A8" s="18" t="s">
        <v>406</v>
      </c>
      <c r="B8" s="19" t="s">
        <v>407</v>
      </c>
      <c r="C8" s="15" t="s">
        <v>408</v>
      </c>
      <c r="D8" s="15" t="s">
        <v>314</v>
      </c>
      <c r="E8" s="20">
        <v>20868</v>
      </c>
      <c r="F8" s="21">
        <v>1406.0858000000001</v>
      </c>
      <c r="G8" s="22">
        <v>3.6700000000000003E-2</v>
      </c>
      <c r="H8" s="40"/>
      <c r="I8" s="24"/>
      <c r="J8" s="5"/>
    </row>
    <row r="9" spans="1:10" ht="13.05" customHeight="1">
      <c r="A9" s="18" t="s">
        <v>419</v>
      </c>
      <c r="B9" s="19" t="s">
        <v>420</v>
      </c>
      <c r="C9" s="15" t="s">
        <v>421</v>
      </c>
      <c r="D9" s="15" t="s">
        <v>422</v>
      </c>
      <c r="E9" s="20">
        <v>278722</v>
      </c>
      <c r="F9" s="21">
        <v>1375.6324</v>
      </c>
      <c r="G9" s="22">
        <v>3.5900000000000001E-2</v>
      </c>
      <c r="H9" s="40"/>
      <c r="I9" s="24"/>
      <c r="J9" s="5"/>
    </row>
    <row r="10" spans="1:10" ht="13.05" customHeight="1">
      <c r="A10" s="18" t="s">
        <v>423</v>
      </c>
      <c r="B10" s="19" t="s">
        <v>424</v>
      </c>
      <c r="C10" s="15" t="s">
        <v>425</v>
      </c>
      <c r="D10" s="15" t="s">
        <v>296</v>
      </c>
      <c r="E10" s="20">
        <v>38568</v>
      </c>
      <c r="F10" s="21">
        <v>1353.2354</v>
      </c>
      <c r="G10" s="22">
        <v>3.5299999999999998E-2</v>
      </c>
      <c r="H10" s="40"/>
      <c r="I10" s="24"/>
      <c r="J10" s="5"/>
    </row>
    <row r="11" spans="1:10" ht="13.05" customHeight="1">
      <c r="A11" s="18" t="s">
        <v>446</v>
      </c>
      <c r="B11" s="19" t="s">
        <v>447</v>
      </c>
      <c r="C11" s="15" t="s">
        <v>448</v>
      </c>
      <c r="D11" s="15" t="s">
        <v>300</v>
      </c>
      <c r="E11" s="20">
        <v>69235</v>
      </c>
      <c r="F11" s="21">
        <v>1174.7795000000001</v>
      </c>
      <c r="G11" s="22">
        <v>3.0700000000000002E-2</v>
      </c>
      <c r="H11" s="40"/>
      <c r="I11" s="24"/>
      <c r="J11" s="5"/>
    </row>
    <row r="12" spans="1:10" ht="13.05" customHeight="1">
      <c r="A12" s="18" t="s">
        <v>449</v>
      </c>
      <c r="B12" s="19" t="s">
        <v>450</v>
      </c>
      <c r="C12" s="15" t="s">
        <v>451</v>
      </c>
      <c r="D12" s="15" t="s">
        <v>261</v>
      </c>
      <c r="E12" s="20">
        <v>318479</v>
      </c>
      <c r="F12" s="21">
        <v>1136.3331000000001</v>
      </c>
      <c r="G12" s="22">
        <v>2.9700000000000001E-2</v>
      </c>
      <c r="H12" s="40"/>
      <c r="I12" s="24"/>
      <c r="J12" s="5"/>
    </row>
    <row r="13" spans="1:10" ht="13.05" customHeight="1">
      <c r="A13" s="18" t="s">
        <v>452</v>
      </c>
      <c r="B13" s="19" t="s">
        <v>453</v>
      </c>
      <c r="C13" s="15" t="s">
        <v>454</v>
      </c>
      <c r="D13" s="15" t="s">
        <v>391</v>
      </c>
      <c r="E13" s="20">
        <v>19378</v>
      </c>
      <c r="F13" s="21">
        <v>1130.9970000000001</v>
      </c>
      <c r="G13" s="22">
        <v>2.9499999999999998E-2</v>
      </c>
      <c r="H13" s="40"/>
      <c r="I13" s="24"/>
      <c r="J13" s="5"/>
    </row>
    <row r="14" spans="1:10" ht="13.05" customHeight="1">
      <c r="A14" s="18" t="s">
        <v>458</v>
      </c>
      <c r="B14" s="19" t="s">
        <v>459</v>
      </c>
      <c r="C14" s="15" t="s">
        <v>460</v>
      </c>
      <c r="D14" s="15" t="s">
        <v>321</v>
      </c>
      <c r="E14" s="20">
        <v>275864</v>
      </c>
      <c r="F14" s="21">
        <v>1116.9733000000001</v>
      </c>
      <c r="G14" s="22">
        <v>2.92E-2</v>
      </c>
      <c r="H14" s="40"/>
      <c r="I14" s="24"/>
      <c r="J14" s="5"/>
    </row>
    <row r="15" spans="1:10" ht="13.05" customHeight="1">
      <c r="A15" s="18" t="s">
        <v>461</v>
      </c>
      <c r="B15" s="19" t="s">
        <v>462</v>
      </c>
      <c r="C15" s="15" t="s">
        <v>463</v>
      </c>
      <c r="D15" s="15" t="s">
        <v>464</v>
      </c>
      <c r="E15" s="20">
        <v>144321</v>
      </c>
      <c r="F15" s="21">
        <v>1070.5732</v>
      </c>
      <c r="G15" s="22">
        <v>2.7900000000000001E-2</v>
      </c>
      <c r="H15" s="40"/>
      <c r="I15" s="24"/>
      <c r="J15" s="5"/>
    </row>
    <row r="16" spans="1:10" ht="13.05" customHeight="1">
      <c r="A16" s="18" t="s">
        <v>472</v>
      </c>
      <c r="B16" s="19" t="s">
        <v>473</v>
      </c>
      <c r="C16" s="15" t="s">
        <v>474</v>
      </c>
      <c r="D16" s="15" t="s">
        <v>475</v>
      </c>
      <c r="E16" s="20">
        <v>222557</v>
      </c>
      <c r="F16" s="21">
        <v>1045.239</v>
      </c>
      <c r="G16" s="22">
        <v>2.7300000000000001E-2</v>
      </c>
      <c r="H16" s="40"/>
      <c r="I16" s="24"/>
      <c r="J16" s="5"/>
    </row>
    <row r="17" spans="1:10" ht="13.05" customHeight="1">
      <c r="A17" s="18" t="s">
        <v>479</v>
      </c>
      <c r="B17" s="19" t="s">
        <v>480</v>
      </c>
      <c r="C17" s="15" t="s">
        <v>481</v>
      </c>
      <c r="D17" s="15" t="s">
        <v>321</v>
      </c>
      <c r="E17" s="20">
        <v>646675</v>
      </c>
      <c r="F17" s="21">
        <v>1020.7765000000001</v>
      </c>
      <c r="G17" s="22">
        <v>2.6599999999999999E-2</v>
      </c>
      <c r="H17" s="40"/>
      <c r="I17" s="24"/>
      <c r="J17" s="5"/>
    </row>
    <row r="18" spans="1:10" ht="13.05" customHeight="1">
      <c r="A18" s="18" t="s">
        <v>482</v>
      </c>
      <c r="B18" s="19" t="s">
        <v>483</v>
      </c>
      <c r="C18" s="15" t="s">
        <v>484</v>
      </c>
      <c r="D18" s="15" t="s">
        <v>261</v>
      </c>
      <c r="E18" s="20">
        <v>613819</v>
      </c>
      <c r="F18" s="21">
        <v>1018.3257</v>
      </c>
      <c r="G18" s="22">
        <v>2.6599999999999999E-2</v>
      </c>
      <c r="H18" s="40"/>
      <c r="I18" s="24"/>
      <c r="J18" s="5"/>
    </row>
    <row r="19" spans="1:10" ht="13.05" customHeight="1">
      <c r="A19" s="18" t="s">
        <v>485</v>
      </c>
      <c r="B19" s="19" t="s">
        <v>486</v>
      </c>
      <c r="C19" s="15" t="s">
        <v>487</v>
      </c>
      <c r="D19" s="15" t="s">
        <v>304</v>
      </c>
      <c r="E19" s="20">
        <v>24183</v>
      </c>
      <c r="F19" s="21">
        <v>1004.4409000000001</v>
      </c>
      <c r="G19" s="22">
        <v>2.6200000000000001E-2</v>
      </c>
      <c r="H19" s="40"/>
      <c r="I19" s="24"/>
      <c r="J19" s="5"/>
    </row>
    <row r="20" spans="1:10" ht="13.05" customHeight="1">
      <c r="A20" s="18" t="s">
        <v>502</v>
      </c>
      <c r="B20" s="19" t="s">
        <v>503</v>
      </c>
      <c r="C20" s="15" t="s">
        <v>504</v>
      </c>
      <c r="D20" s="15" t="s">
        <v>300</v>
      </c>
      <c r="E20" s="20">
        <v>239256</v>
      </c>
      <c r="F20" s="21">
        <v>964.7998</v>
      </c>
      <c r="G20" s="22">
        <v>2.52E-2</v>
      </c>
      <c r="H20" s="40"/>
      <c r="I20" s="24"/>
      <c r="J20" s="5"/>
    </row>
    <row r="21" spans="1:10" ht="13.05" customHeight="1">
      <c r="A21" s="18" t="s">
        <v>523</v>
      </c>
      <c r="B21" s="19" t="s">
        <v>524</v>
      </c>
      <c r="C21" s="15" t="s">
        <v>525</v>
      </c>
      <c r="D21" s="15" t="s">
        <v>304</v>
      </c>
      <c r="E21" s="20">
        <v>63731</v>
      </c>
      <c r="F21" s="21">
        <v>878.40440000000001</v>
      </c>
      <c r="G21" s="22">
        <v>2.29E-2</v>
      </c>
      <c r="H21" s="40"/>
      <c r="I21" s="24"/>
      <c r="J21" s="5"/>
    </row>
    <row r="22" spans="1:10" ht="13.05" customHeight="1">
      <c r="A22" s="18" t="s">
        <v>517</v>
      </c>
      <c r="B22" s="19" t="s">
        <v>518</v>
      </c>
      <c r="C22" s="15" t="s">
        <v>519</v>
      </c>
      <c r="D22" s="15" t="s">
        <v>300</v>
      </c>
      <c r="E22" s="20">
        <v>7100</v>
      </c>
      <c r="F22" s="21">
        <v>873.51300000000003</v>
      </c>
      <c r="G22" s="22">
        <v>2.2800000000000001E-2</v>
      </c>
      <c r="H22" s="40"/>
      <c r="I22" s="24"/>
      <c r="J22" s="5"/>
    </row>
    <row r="23" spans="1:10" ht="13.05" customHeight="1">
      <c r="A23" s="18" t="s">
        <v>520</v>
      </c>
      <c r="B23" s="19" t="s">
        <v>521</v>
      </c>
      <c r="C23" s="15" t="s">
        <v>522</v>
      </c>
      <c r="D23" s="15" t="s">
        <v>272</v>
      </c>
      <c r="E23" s="20">
        <v>15236</v>
      </c>
      <c r="F23" s="21">
        <v>866.09040000000005</v>
      </c>
      <c r="G23" s="22">
        <v>2.2599999999999999E-2</v>
      </c>
      <c r="H23" s="40"/>
      <c r="I23" s="24"/>
      <c r="J23" s="5"/>
    </row>
    <row r="24" spans="1:10" ht="13.05" customHeight="1">
      <c r="A24" s="18" t="s">
        <v>529</v>
      </c>
      <c r="B24" s="19" t="s">
        <v>530</v>
      </c>
      <c r="C24" s="15" t="s">
        <v>531</v>
      </c>
      <c r="D24" s="15" t="s">
        <v>257</v>
      </c>
      <c r="E24" s="20">
        <v>302543</v>
      </c>
      <c r="F24" s="21">
        <v>842.27970000000005</v>
      </c>
      <c r="G24" s="22">
        <v>2.1999999999999999E-2</v>
      </c>
      <c r="H24" s="40"/>
      <c r="I24" s="24"/>
      <c r="J24" s="5"/>
    </row>
    <row r="25" spans="1:10" ht="13.05" customHeight="1">
      <c r="A25" s="18" t="s">
        <v>532</v>
      </c>
      <c r="B25" s="19" t="s">
        <v>533</v>
      </c>
      <c r="C25" s="15" t="s">
        <v>534</v>
      </c>
      <c r="D25" s="15" t="s">
        <v>445</v>
      </c>
      <c r="E25" s="20">
        <v>112538</v>
      </c>
      <c r="F25" s="21">
        <v>829.01120000000003</v>
      </c>
      <c r="G25" s="22">
        <v>2.1600000000000001E-2</v>
      </c>
      <c r="H25" s="40"/>
      <c r="I25" s="24"/>
      <c r="J25" s="5"/>
    </row>
    <row r="26" spans="1:10" ht="13.05" customHeight="1">
      <c r="A26" s="18" t="s">
        <v>542</v>
      </c>
      <c r="B26" s="19" t="s">
        <v>543</v>
      </c>
      <c r="C26" s="15" t="s">
        <v>544</v>
      </c>
      <c r="D26" s="15" t="s">
        <v>545</v>
      </c>
      <c r="E26" s="20">
        <v>443223</v>
      </c>
      <c r="F26" s="21">
        <v>810.03440000000001</v>
      </c>
      <c r="G26" s="22">
        <v>2.1100000000000001E-2</v>
      </c>
      <c r="H26" s="40"/>
      <c r="I26" s="24"/>
      <c r="J26" s="5"/>
    </row>
    <row r="27" spans="1:10" ht="13.05" customHeight="1">
      <c r="A27" s="18" t="s">
        <v>538</v>
      </c>
      <c r="B27" s="19" t="s">
        <v>539</v>
      </c>
      <c r="C27" s="15" t="s">
        <v>540</v>
      </c>
      <c r="D27" s="15" t="s">
        <v>541</v>
      </c>
      <c r="E27" s="20">
        <v>105076</v>
      </c>
      <c r="F27" s="21">
        <v>794.63729999999998</v>
      </c>
      <c r="G27" s="22">
        <v>2.07E-2</v>
      </c>
      <c r="H27" s="40"/>
      <c r="I27" s="24"/>
      <c r="J27" s="5"/>
    </row>
    <row r="28" spans="1:10" ht="13.05" customHeight="1">
      <c r="A28" s="18" t="s">
        <v>546</v>
      </c>
      <c r="B28" s="19" t="s">
        <v>547</v>
      </c>
      <c r="C28" s="15" t="s">
        <v>548</v>
      </c>
      <c r="D28" s="15" t="s">
        <v>405</v>
      </c>
      <c r="E28" s="20">
        <v>39656</v>
      </c>
      <c r="F28" s="21">
        <v>790.62170000000003</v>
      </c>
      <c r="G28" s="22">
        <v>2.06E-2</v>
      </c>
      <c r="H28" s="40"/>
      <c r="I28" s="24"/>
      <c r="J28" s="5"/>
    </row>
    <row r="29" spans="1:10" ht="13.05" customHeight="1">
      <c r="A29" s="18" t="s">
        <v>561</v>
      </c>
      <c r="B29" s="19" t="s">
        <v>562</v>
      </c>
      <c r="C29" s="15" t="s">
        <v>563</v>
      </c>
      <c r="D29" s="15" t="s">
        <v>300</v>
      </c>
      <c r="E29" s="20">
        <v>204703</v>
      </c>
      <c r="F29" s="21">
        <v>767.32920000000001</v>
      </c>
      <c r="G29" s="22">
        <v>0.02</v>
      </c>
      <c r="H29" s="40"/>
      <c r="I29" s="24"/>
      <c r="J29" s="5"/>
    </row>
    <row r="30" spans="1:10" ht="13.05" customHeight="1">
      <c r="A30" s="18" t="s">
        <v>564</v>
      </c>
      <c r="B30" s="19" t="s">
        <v>565</v>
      </c>
      <c r="C30" s="15" t="s">
        <v>566</v>
      </c>
      <c r="D30" s="15" t="s">
        <v>567</v>
      </c>
      <c r="E30" s="20">
        <v>727737</v>
      </c>
      <c r="F30" s="21">
        <v>766.96199999999999</v>
      </c>
      <c r="G30" s="22">
        <v>0.02</v>
      </c>
      <c r="H30" s="40"/>
      <c r="I30" s="24"/>
      <c r="J30" s="5"/>
    </row>
    <row r="31" spans="1:10" ht="13.05" customHeight="1">
      <c r="A31" s="18" t="s">
        <v>568</v>
      </c>
      <c r="B31" s="19" t="s">
        <v>569</v>
      </c>
      <c r="C31" s="15" t="s">
        <v>570</v>
      </c>
      <c r="D31" s="15" t="s">
        <v>257</v>
      </c>
      <c r="E31" s="20">
        <v>552579</v>
      </c>
      <c r="F31" s="21">
        <v>756.97799999999995</v>
      </c>
      <c r="G31" s="22">
        <v>1.9800000000000002E-2</v>
      </c>
      <c r="H31" s="40"/>
      <c r="I31" s="24"/>
      <c r="J31" s="5"/>
    </row>
    <row r="32" spans="1:10" ht="13.05" customHeight="1">
      <c r="A32" s="18" t="s">
        <v>574</v>
      </c>
      <c r="B32" s="19" t="s">
        <v>575</v>
      </c>
      <c r="C32" s="15" t="s">
        <v>576</v>
      </c>
      <c r="D32" s="15" t="s">
        <v>577</v>
      </c>
      <c r="E32" s="20">
        <v>66104</v>
      </c>
      <c r="F32" s="21">
        <v>739.4393</v>
      </c>
      <c r="G32" s="22">
        <v>1.9300000000000001E-2</v>
      </c>
      <c r="H32" s="40"/>
      <c r="I32" s="24"/>
      <c r="J32" s="5"/>
    </row>
    <row r="33" spans="1:10" ht="13.05" customHeight="1">
      <c r="A33" s="18" t="s">
        <v>578</v>
      </c>
      <c r="B33" s="19" t="s">
        <v>579</v>
      </c>
      <c r="C33" s="15" t="s">
        <v>580</v>
      </c>
      <c r="D33" s="15" t="s">
        <v>581</v>
      </c>
      <c r="E33" s="20">
        <v>50895</v>
      </c>
      <c r="F33" s="21">
        <v>735.22919999999999</v>
      </c>
      <c r="G33" s="22">
        <v>1.9199999999999998E-2</v>
      </c>
      <c r="H33" s="40"/>
      <c r="I33" s="24"/>
      <c r="J33" s="5"/>
    </row>
    <row r="34" spans="1:10" ht="13.05" customHeight="1">
      <c r="A34" s="18" t="s">
        <v>588</v>
      </c>
      <c r="B34" s="19" t="s">
        <v>589</v>
      </c>
      <c r="C34" s="15" t="s">
        <v>590</v>
      </c>
      <c r="D34" s="15" t="s">
        <v>257</v>
      </c>
      <c r="E34" s="20">
        <v>565030</v>
      </c>
      <c r="F34" s="21">
        <v>694.36540000000002</v>
      </c>
      <c r="G34" s="22">
        <v>1.8100000000000002E-2</v>
      </c>
      <c r="H34" s="40"/>
      <c r="I34" s="24"/>
      <c r="J34" s="5"/>
    </row>
    <row r="35" spans="1:10" ht="13.05" customHeight="1">
      <c r="A35" s="18" t="s">
        <v>591</v>
      </c>
      <c r="B35" s="19" t="s">
        <v>592</v>
      </c>
      <c r="C35" s="15" t="s">
        <v>593</v>
      </c>
      <c r="D35" s="15" t="s">
        <v>475</v>
      </c>
      <c r="E35" s="20">
        <v>48414</v>
      </c>
      <c r="F35" s="21">
        <v>692.99800000000005</v>
      </c>
      <c r="G35" s="22">
        <v>1.8100000000000002E-2</v>
      </c>
      <c r="H35" s="40"/>
      <c r="I35" s="24"/>
      <c r="J35" s="5"/>
    </row>
    <row r="36" spans="1:10" ht="13.05" customHeight="1">
      <c r="A36" s="18" t="s">
        <v>604</v>
      </c>
      <c r="B36" s="19" t="s">
        <v>605</v>
      </c>
      <c r="C36" s="15" t="s">
        <v>606</v>
      </c>
      <c r="D36" s="15" t="s">
        <v>333</v>
      </c>
      <c r="E36" s="20">
        <v>61255</v>
      </c>
      <c r="F36" s="21">
        <v>653.4683</v>
      </c>
      <c r="G36" s="22">
        <v>1.7100000000000001E-2</v>
      </c>
      <c r="H36" s="40"/>
      <c r="I36" s="24"/>
      <c r="J36" s="5"/>
    </row>
    <row r="37" spans="1:10" ht="13.05" customHeight="1">
      <c r="A37" s="18" t="s">
        <v>613</v>
      </c>
      <c r="B37" s="19" t="s">
        <v>614</v>
      </c>
      <c r="C37" s="15" t="s">
        <v>615</v>
      </c>
      <c r="D37" s="15" t="s">
        <v>337</v>
      </c>
      <c r="E37" s="20">
        <v>2192</v>
      </c>
      <c r="F37" s="21">
        <v>620.55520000000001</v>
      </c>
      <c r="G37" s="22">
        <v>1.6199999999999999E-2</v>
      </c>
      <c r="H37" s="40"/>
      <c r="I37" s="24"/>
      <c r="J37" s="5"/>
    </row>
    <row r="38" spans="1:10" ht="13.05" customHeight="1">
      <c r="A38" s="18" t="s">
        <v>619</v>
      </c>
      <c r="B38" s="19" t="s">
        <v>620</v>
      </c>
      <c r="C38" s="15" t="s">
        <v>621</v>
      </c>
      <c r="D38" s="15" t="s">
        <v>325</v>
      </c>
      <c r="E38" s="20">
        <v>41332</v>
      </c>
      <c r="F38" s="21">
        <v>617.45870000000002</v>
      </c>
      <c r="G38" s="22">
        <v>1.61E-2</v>
      </c>
      <c r="H38" s="40"/>
      <c r="I38" s="24"/>
      <c r="J38" s="5"/>
    </row>
    <row r="39" spans="1:10" ht="13.05" customHeight="1">
      <c r="A39" s="18" t="s">
        <v>625</v>
      </c>
      <c r="B39" s="19" t="s">
        <v>626</v>
      </c>
      <c r="C39" s="15" t="s">
        <v>627</v>
      </c>
      <c r="D39" s="15" t="s">
        <v>314</v>
      </c>
      <c r="E39" s="20">
        <v>17146</v>
      </c>
      <c r="F39" s="21">
        <v>610.41470000000004</v>
      </c>
      <c r="G39" s="22">
        <v>1.5900000000000001E-2</v>
      </c>
      <c r="H39" s="40"/>
      <c r="I39" s="24"/>
      <c r="J39" s="5"/>
    </row>
    <row r="40" spans="1:10" ht="13.05" customHeight="1">
      <c r="A40" s="18" t="s">
        <v>634</v>
      </c>
      <c r="B40" s="19" t="s">
        <v>635</v>
      </c>
      <c r="C40" s="15" t="s">
        <v>636</v>
      </c>
      <c r="D40" s="15" t="s">
        <v>337</v>
      </c>
      <c r="E40" s="20">
        <v>102542</v>
      </c>
      <c r="F40" s="21">
        <v>579.77250000000004</v>
      </c>
      <c r="G40" s="22">
        <v>1.5100000000000001E-2</v>
      </c>
      <c r="H40" s="40"/>
      <c r="I40" s="24"/>
      <c r="J40" s="5"/>
    </row>
    <row r="41" spans="1:10" ht="13.05" customHeight="1">
      <c r="A41" s="18" t="s">
        <v>631</v>
      </c>
      <c r="B41" s="19" t="s">
        <v>632</v>
      </c>
      <c r="C41" s="15" t="s">
        <v>633</v>
      </c>
      <c r="D41" s="15" t="s">
        <v>321</v>
      </c>
      <c r="E41" s="20">
        <v>50192</v>
      </c>
      <c r="F41" s="21">
        <v>572.18880000000001</v>
      </c>
      <c r="G41" s="22">
        <v>1.49E-2</v>
      </c>
      <c r="H41" s="40"/>
      <c r="I41" s="24"/>
      <c r="J41" s="5"/>
    </row>
    <row r="42" spans="1:10" ht="13.05" customHeight="1">
      <c r="A42" s="18" t="s">
        <v>640</v>
      </c>
      <c r="B42" s="19" t="s">
        <v>641</v>
      </c>
      <c r="C42" s="15" t="s">
        <v>642</v>
      </c>
      <c r="D42" s="15" t="s">
        <v>296</v>
      </c>
      <c r="E42" s="20">
        <v>23370</v>
      </c>
      <c r="F42" s="21">
        <v>569.92420000000004</v>
      </c>
      <c r="G42" s="22">
        <v>1.49E-2</v>
      </c>
      <c r="H42" s="40"/>
      <c r="I42" s="24"/>
      <c r="J42" s="5"/>
    </row>
    <row r="43" spans="1:10" ht="13.05" customHeight="1">
      <c r="A43" s="18" t="s">
        <v>658</v>
      </c>
      <c r="B43" s="19" t="s">
        <v>659</v>
      </c>
      <c r="C43" s="15" t="s">
        <v>660</v>
      </c>
      <c r="D43" s="15" t="s">
        <v>321</v>
      </c>
      <c r="E43" s="20">
        <v>56836</v>
      </c>
      <c r="F43" s="21">
        <v>560.51660000000004</v>
      </c>
      <c r="G43" s="22">
        <v>1.46E-2</v>
      </c>
      <c r="H43" s="40"/>
      <c r="I43" s="24"/>
      <c r="J43" s="5"/>
    </row>
    <row r="44" spans="1:10" ht="13.05" customHeight="1">
      <c r="A44" s="18" t="s">
        <v>649</v>
      </c>
      <c r="B44" s="19" t="s">
        <v>650</v>
      </c>
      <c r="C44" s="15" t="s">
        <v>651</v>
      </c>
      <c r="D44" s="15" t="s">
        <v>581</v>
      </c>
      <c r="E44" s="20">
        <v>3991</v>
      </c>
      <c r="F44" s="21">
        <v>553.87099999999998</v>
      </c>
      <c r="G44" s="22">
        <v>1.4500000000000001E-2</v>
      </c>
      <c r="H44" s="40"/>
      <c r="I44" s="24"/>
      <c r="J44" s="5"/>
    </row>
    <row r="45" spans="1:10" ht="13.05" customHeight="1">
      <c r="A45" s="18" t="s">
        <v>661</v>
      </c>
      <c r="B45" s="19" t="s">
        <v>662</v>
      </c>
      <c r="C45" s="15" t="s">
        <v>663</v>
      </c>
      <c r="D45" s="15" t="s">
        <v>541</v>
      </c>
      <c r="E45" s="20">
        <v>46068</v>
      </c>
      <c r="F45" s="21">
        <v>551.84860000000003</v>
      </c>
      <c r="G45" s="22">
        <v>1.44E-2</v>
      </c>
      <c r="H45" s="40"/>
      <c r="I45" s="24"/>
      <c r="J45" s="5"/>
    </row>
    <row r="46" spans="1:10" ht="13.05" customHeight="1">
      <c r="A46" s="18" t="s">
        <v>673</v>
      </c>
      <c r="B46" s="19" t="s">
        <v>674</v>
      </c>
      <c r="C46" s="15" t="s">
        <v>675</v>
      </c>
      <c r="D46" s="15" t="s">
        <v>567</v>
      </c>
      <c r="E46" s="20">
        <v>1423</v>
      </c>
      <c r="F46" s="21">
        <v>529.99639999999999</v>
      </c>
      <c r="G46" s="22">
        <v>1.38E-2</v>
      </c>
      <c r="H46" s="40"/>
      <c r="I46" s="24"/>
      <c r="J46" s="5"/>
    </row>
    <row r="47" spans="1:10" ht="13.05" customHeight="1">
      <c r="A47" s="18" t="s">
        <v>727</v>
      </c>
      <c r="B47" s="19" t="s">
        <v>728</v>
      </c>
      <c r="C47" s="15" t="s">
        <v>729</v>
      </c>
      <c r="D47" s="15" t="s">
        <v>321</v>
      </c>
      <c r="E47" s="20">
        <v>87975</v>
      </c>
      <c r="F47" s="21">
        <v>464.02409999999998</v>
      </c>
      <c r="G47" s="22">
        <v>1.21E-2</v>
      </c>
      <c r="H47" s="40"/>
      <c r="I47" s="24"/>
      <c r="J47" s="5"/>
    </row>
    <row r="48" spans="1:10" ht="13.05" customHeight="1">
      <c r="A48" s="18" t="s">
        <v>730</v>
      </c>
      <c r="B48" s="19" t="s">
        <v>731</v>
      </c>
      <c r="C48" s="15" t="s">
        <v>732</v>
      </c>
      <c r="D48" s="15" t="s">
        <v>445</v>
      </c>
      <c r="E48" s="20">
        <v>14532</v>
      </c>
      <c r="F48" s="21">
        <v>462.9314</v>
      </c>
      <c r="G48" s="22">
        <v>1.21E-2</v>
      </c>
      <c r="H48" s="40"/>
      <c r="I48" s="24"/>
      <c r="J48" s="5"/>
    </row>
    <row r="49" spans="1:10" ht="13.05" customHeight="1">
      <c r="A49" s="18" t="s">
        <v>733</v>
      </c>
      <c r="B49" s="19" t="s">
        <v>734</v>
      </c>
      <c r="C49" s="15" t="s">
        <v>735</v>
      </c>
      <c r="D49" s="15" t="s">
        <v>445</v>
      </c>
      <c r="E49" s="20">
        <v>14523</v>
      </c>
      <c r="F49" s="21">
        <v>449.67559999999997</v>
      </c>
      <c r="G49" s="22">
        <v>1.17E-2</v>
      </c>
      <c r="H49" s="40"/>
      <c r="I49" s="24"/>
      <c r="J49" s="5"/>
    </row>
    <row r="50" spans="1:10" ht="13.05" customHeight="1">
      <c r="A50" s="18" t="s">
        <v>736</v>
      </c>
      <c r="B50" s="19" t="s">
        <v>737</v>
      </c>
      <c r="C50" s="15" t="s">
        <v>738</v>
      </c>
      <c r="D50" s="15" t="s">
        <v>445</v>
      </c>
      <c r="E50" s="20">
        <v>8614</v>
      </c>
      <c r="F50" s="21">
        <v>449.6508</v>
      </c>
      <c r="G50" s="22">
        <v>1.17E-2</v>
      </c>
      <c r="H50" s="40"/>
      <c r="I50" s="24"/>
      <c r="J50" s="5"/>
    </row>
    <row r="51" spans="1:10" ht="13.05" customHeight="1">
      <c r="A51" s="18" t="s">
        <v>777</v>
      </c>
      <c r="B51" s="19" t="s">
        <v>778</v>
      </c>
      <c r="C51" s="15" t="s">
        <v>779</v>
      </c>
      <c r="D51" s="15" t="s">
        <v>314</v>
      </c>
      <c r="E51" s="20">
        <v>41034</v>
      </c>
      <c r="F51" s="21">
        <v>399.85579999999999</v>
      </c>
      <c r="G51" s="22">
        <v>1.04E-2</v>
      </c>
      <c r="H51" s="40"/>
      <c r="I51" s="24"/>
      <c r="J51" s="5"/>
    </row>
    <row r="52" spans="1:10" ht="13.05" customHeight="1">
      <c r="A52" s="18" t="s">
        <v>813</v>
      </c>
      <c r="B52" s="19" t="s">
        <v>814</v>
      </c>
      <c r="C52" s="15" t="s">
        <v>815</v>
      </c>
      <c r="D52" s="15" t="s">
        <v>300</v>
      </c>
      <c r="E52" s="20">
        <v>292899</v>
      </c>
      <c r="F52" s="21">
        <v>361.17380000000003</v>
      </c>
      <c r="G52" s="22">
        <v>9.4000000000000004E-3</v>
      </c>
      <c r="H52" s="40"/>
      <c r="I52" s="24"/>
      <c r="J52" s="5"/>
    </row>
    <row r="53" spans="1:10" ht="13.05" customHeight="1">
      <c r="A53" s="18" t="s">
        <v>847</v>
      </c>
      <c r="B53" s="19" t="s">
        <v>848</v>
      </c>
      <c r="C53" s="15" t="s">
        <v>849</v>
      </c>
      <c r="D53" s="15" t="s">
        <v>846</v>
      </c>
      <c r="E53" s="20">
        <v>12447</v>
      </c>
      <c r="F53" s="21">
        <v>339.67860000000002</v>
      </c>
      <c r="G53" s="22">
        <v>8.8999999999999999E-3</v>
      </c>
      <c r="H53" s="40"/>
      <c r="I53" s="24"/>
      <c r="J53" s="5"/>
    </row>
    <row r="54" spans="1:10" ht="13.05" customHeight="1">
      <c r="A54" s="18" t="s">
        <v>850</v>
      </c>
      <c r="B54" s="19" t="s">
        <v>851</v>
      </c>
      <c r="C54" s="15" t="s">
        <v>852</v>
      </c>
      <c r="D54" s="15" t="s">
        <v>344</v>
      </c>
      <c r="E54" s="20">
        <v>70963</v>
      </c>
      <c r="F54" s="21">
        <v>338.13869999999997</v>
      </c>
      <c r="G54" s="22">
        <v>8.8000000000000005E-3</v>
      </c>
      <c r="H54" s="40"/>
      <c r="I54" s="24"/>
      <c r="J54" s="5"/>
    </row>
    <row r="55" spans="1:10" ht="13.05" customHeight="1">
      <c r="A55" s="18" t="s">
        <v>859</v>
      </c>
      <c r="B55" s="19" t="s">
        <v>860</v>
      </c>
      <c r="C55" s="15" t="s">
        <v>861</v>
      </c>
      <c r="D55" s="15" t="s">
        <v>405</v>
      </c>
      <c r="E55" s="20">
        <v>36386</v>
      </c>
      <c r="F55" s="21">
        <v>325.5455</v>
      </c>
      <c r="G55" s="22">
        <v>8.5000000000000006E-3</v>
      </c>
      <c r="H55" s="40"/>
      <c r="I55" s="24"/>
      <c r="J55" s="5"/>
    </row>
    <row r="56" spans="1:10" ht="13.05" customHeight="1">
      <c r="A56" s="18" t="s">
        <v>1183</v>
      </c>
      <c r="B56" s="19" t="s">
        <v>1184</v>
      </c>
      <c r="C56" s="15" t="s">
        <v>1185</v>
      </c>
      <c r="D56" s="15" t="s">
        <v>300</v>
      </c>
      <c r="E56" s="20">
        <v>152550</v>
      </c>
      <c r="F56" s="21">
        <v>168.12540000000001</v>
      </c>
      <c r="G56" s="22">
        <v>4.4000000000000003E-3</v>
      </c>
      <c r="H56" s="40"/>
      <c r="I56" s="24"/>
      <c r="J56" s="5"/>
    </row>
    <row r="57" spans="1:10" ht="13.05" customHeight="1">
      <c r="A57" s="5"/>
      <c r="B57" s="14" t="s">
        <v>192</v>
      </c>
      <c r="C57" s="15"/>
      <c r="D57" s="15"/>
      <c r="E57" s="15"/>
      <c r="F57" s="25">
        <v>38294.4355</v>
      </c>
      <c r="G57" s="26">
        <v>0.99950000000000006</v>
      </c>
      <c r="H57" s="27"/>
      <c r="I57" s="28"/>
      <c r="J57" s="5"/>
    </row>
    <row r="58" spans="1:10" ht="13.05" customHeight="1">
      <c r="A58" s="5"/>
      <c r="B58" s="29" t="s">
        <v>1812</v>
      </c>
      <c r="C58" s="2"/>
      <c r="D58" s="2"/>
      <c r="E58" s="2"/>
      <c r="F58" s="27" t="s">
        <v>194</v>
      </c>
      <c r="G58" s="27" t="s">
        <v>194</v>
      </c>
      <c r="H58" s="27"/>
      <c r="I58" s="28"/>
      <c r="J58" s="5"/>
    </row>
    <row r="59" spans="1:10" ht="13.05" customHeight="1">
      <c r="A59" s="5"/>
      <c r="B59" s="29" t="s">
        <v>192</v>
      </c>
      <c r="C59" s="2"/>
      <c r="D59" s="2"/>
      <c r="E59" s="2"/>
      <c r="F59" s="27" t="s">
        <v>194</v>
      </c>
      <c r="G59" s="27" t="s">
        <v>194</v>
      </c>
      <c r="H59" s="27"/>
      <c r="I59" s="28"/>
      <c r="J59" s="5"/>
    </row>
    <row r="60" spans="1:10" ht="13.05" customHeight="1">
      <c r="A60" s="5"/>
      <c r="B60" s="14" t="s">
        <v>1813</v>
      </c>
      <c r="C60" s="15"/>
      <c r="D60" s="15"/>
      <c r="E60" s="15"/>
      <c r="F60" s="5"/>
      <c r="G60" s="16"/>
      <c r="H60" s="16"/>
      <c r="I60" s="17"/>
      <c r="J60" s="5"/>
    </row>
    <row r="61" spans="1:10" ht="13.05" customHeight="1">
      <c r="A61" s="18" t="s">
        <v>1814</v>
      </c>
      <c r="B61" s="19" t="s">
        <v>5526</v>
      </c>
      <c r="C61" s="15" t="s">
        <v>1815</v>
      </c>
      <c r="D61" s="15" t="s">
        <v>296</v>
      </c>
      <c r="E61" s="20">
        <v>148852</v>
      </c>
      <c r="F61" s="21">
        <v>15.0214</v>
      </c>
      <c r="G61" s="22">
        <v>4.0000000000000002E-4</v>
      </c>
      <c r="H61" s="40"/>
      <c r="I61" s="24"/>
      <c r="J61" s="5"/>
    </row>
    <row r="62" spans="1:10" ht="13.05" customHeight="1">
      <c r="A62" s="5"/>
      <c r="B62" s="14" t="s">
        <v>192</v>
      </c>
      <c r="C62" s="15"/>
      <c r="D62" s="15"/>
      <c r="E62" s="15"/>
      <c r="F62" s="25">
        <v>15.0214</v>
      </c>
      <c r="G62" s="26">
        <v>4.0000000000000002E-4</v>
      </c>
      <c r="H62" s="27"/>
      <c r="I62" s="28"/>
      <c r="J62" s="5"/>
    </row>
    <row r="63" spans="1:10" ht="13.05" customHeight="1">
      <c r="A63" s="5"/>
      <c r="B63" s="29" t="s">
        <v>195</v>
      </c>
      <c r="C63" s="30"/>
      <c r="D63" s="2"/>
      <c r="E63" s="30"/>
      <c r="F63" s="25">
        <v>38309.456899999997</v>
      </c>
      <c r="G63" s="26">
        <v>0.99990000000000001</v>
      </c>
      <c r="H63" s="27"/>
      <c r="I63" s="28"/>
      <c r="J63" s="5"/>
    </row>
    <row r="64" spans="1:10" ht="13.05" customHeight="1">
      <c r="A64" s="5"/>
      <c r="B64" s="14" t="s">
        <v>196</v>
      </c>
      <c r="C64" s="15"/>
      <c r="D64" s="15"/>
      <c r="E64" s="15"/>
      <c r="F64" s="15"/>
      <c r="G64" s="15"/>
      <c r="H64" s="16"/>
      <c r="I64" s="17"/>
      <c r="J64" s="5"/>
    </row>
    <row r="65" spans="1:10" ht="13.05" customHeight="1">
      <c r="A65" s="18" t="s">
        <v>197</v>
      </c>
      <c r="B65" s="19" t="s">
        <v>198</v>
      </c>
      <c r="C65" s="15"/>
      <c r="D65" s="15"/>
      <c r="E65" s="20"/>
      <c r="F65" s="21">
        <v>130.77019999999999</v>
      </c>
      <c r="G65" s="22">
        <v>3.3999999999999998E-3</v>
      </c>
      <c r="H65" s="23">
        <v>5.5573595097155516E-2</v>
      </c>
      <c r="I65" s="24"/>
      <c r="J65" s="5"/>
    </row>
    <row r="66" spans="1:10" ht="13.05" customHeight="1">
      <c r="A66" s="5"/>
      <c r="B66" s="14" t="s">
        <v>192</v>
      </c>
      <c r="C66" s="15"/>
      <c r="D66" s="15"/>
      <c r="E66" s="15"/>
      <c r="F66" s="25">
        <v>130.77019999999999</v>
      </c>
      <c r="G66" s="26">
        <v>3.3999999999999998E-3</v>
      </c>
      <c r="H66" s="27"/>
      <c r="I66" s="28"/>
      <c r="J66" s="5"/>
    </row>
    <row r="67" spans="1:10" ht="13.05" customHeight="1">
      <c r="A67" s="5"/>
      <c r="B67" s="29" t="s">
        <v>195</v>
      </c>
      <c r="C67" s="30"/>
      <c r="D67" s="2"/>
      <c r="E67" s="30"/>
      <c r="F67" s="25">
        <v>130.77019999999999</v>
      </c>
      <c r="G67" s="26">
        <v>3.3999999999999998E-3</v>
      </c>
      <c r="H67" s="27"/>
      <c r="I67" s="28"/>
      <c r="J67" s="5"/>
    </row>
    <row r="68" spans="1:10" ht="13.05" customHeight="1">
      <c r="A68" s="5"/>
      <c r="B68" s="29" t="s">
        <v>199</v>
      </c>
      <c r="C68" s="15"/>
      <c r="D68" s="2"/>
      <c r="E68" s="15"/>
      <c r="F68" s="31">
        <v>-128.40710000000001</v>
      </c>
      <c r="G68" s="26">
        <v>-3.3E-3</v>
      </c>
      <c r="H68" s="27"/>
      <c r="I68" s="28"/>
      <c r="J68" s="5"/>
    </row>
    <row r="69" spans="1:10" ht="13.05" customHeight="1">
      <c r="A69" s="5"/>
      <c r="B69" s="32" t="s">
        <v>200</v>
      </c>
      <c r="C69" s="33"/>
      <c r="D69" s="33"/>
      <c r="E69" s="33"/>
      <c r="F69" s="34">
        <v>38311.82</v>
      </c>
      <c r="G69" s="35">
        <v>1</v>
      </c>
      <c r="H69" s="36"/>
      <c r="I69" s="37"/>
      <c r="J69" s="5"/>
    </row>
    <row r="70" spans="1:10" ht="13.05" customHeight="1">
      <c r="A70" s="5"/>
      <c r="B70" s="7"/>
      <c r="C70" s="5"/>
      <c r="D70" s="5"/>
      <c r="E70" s="5"/>
      <c r="F70" s="5"/>
      <c r="G70" s="5"/>
      <c r="H70" s="5"/>
      <c r="I70" s="5"/>
      <c r="J70" s="5"/>
    </row>
    <row r="71" spans="1:10" ht="13.05" customHeight="1">
      <c r="A71" s="5"/>
      <c r="B71" s="4" t="s">
        <v>250</v>
      </c>
      <c r="C71" s="5"/>
      <c r="D71" s="5"/>
      <c r="E71" s="5"/>
      <c r="F71" s="5"/>
      <c r="G71" s="5"/>
      <c r="H71" s="5"/>
      <c r="I71" s="5"/>
      <c r="J71" s="5"/>
    </row>
    <row r="72" spans="1:10" ht="13.05" customHeight="1">
      <c r="A72" s="5"/>
      <c r="B72" s="4" t="s">
        <v>201</v>
      </c>
      <c r="C72" s="5"/>
      <c r="D72" s="5"/>
      <c r="E72" s="5"/>
      <c r="F72" s="5"/>
      <c r="G72" s="5"/>
      <c r="H72" s="5"/>
      <c r="I72" s="5"/>
      <c r="J72" s="5"/>
    </row>
    <row r="73" spans="1:10" ht="25.95" customHeight="1">
      <c r="A73" s="5"/>
      <c r="B73" s="103" t="s">
        <v>202</v>
      </c>
      <c r="C73" s="103"/>
      <c r="D73" s="103"/>
      <c r="E73" s="103"/>
      <c r="F73" s="103"/>
      <c r="G73" s="103"/>
      <c r="H73" s="103"/>
      <c r="I73" s="103"/>
      <c r="J73" s="5"/>
    </row>
    <row r="74" spans="1:10" ht="13.05" customHeight="1">
      <c r="A74" s="5"/>
      <c r="B74" s="103" t="s">
        <v>203</v>
      </c>
      <c r="C74" s="103"/>
      <c r="D74" s="103"/>
      <c r="E74" s="103"/>
      <c r="F74" s="103"/>
      <c r="G74" s="103"/>
      <c r="H74" s="103"/>
      <c r="I74" s="103"/>
      <c r="J74" s="5"/>
    </row>
    <row r="75" spans="1:10" ht="13.05" customHeight="1">
      <c r="A75" s="5"/>
      <c r="B75" s="103"/>
      <c r="C75" s="103"/>
      <c r="D75" s="103"/>
      <c r="E75" s="103"/>
      <c r="F75" s="103"/>
      <c r="G75" s="103"/>
      <c r="H75" s="103"/>
      <c r="I75" s="103"/>
      <c r="J75" s="5"/>
    </row>
    <row r="76" spans="1:10" ht="13.05" customHeight="1">
      <c r="A76" s="5"/>
      <c r="B76" s="103"/>
      <c r="C76" s="103"/>
      <c r="D76" s="103"/>
      <c r="E76" s="103"/>
      <c r="F76" s="103"/>
      <c r="G76" s="103"/>
      <c r="H76" s="103"/>
      <c r="I76" s="103"/>
      <c r="J76" s="5"/>
    </row>
    <row r="77" spans="1:10" ht="13.05" customHeight="1">
      <c r="A77" s="5"/>
      <c r="B77" s="103"/>
      <c r="C77" s="103"/>
      <c r="D77" s="103"/>
      <c r="E77" s="103"/>
      <c r="F77" s="103"/>
      <c r="G77" s="103"/>
      <c r="H77" s="103"/>
      <c r="I77" s="103"/>
      <c r="J77" s="5"/>
    </row>
    <row r="78" spans="1:10" ht="13.05" customHeight="1">
      <c r="A78" s="5"/>
      <c r="B78" s="103"/>
      <c r="C78" s="103"/>
      <c r="D78" s="103"/>
      <c r="E78" s="103"/>
      <c r="F78" s="103"/>
      <c r="G78" s="103"/>
      <c r="H78" s="103"/>
      <c r="I78" s="103"/>
      <c r="J78" s="5"/>
    </row>
    <row r="79" spans="1:10" ht="13.05" customHeight="1">
      <c r="A79" s="5"/>
      <c r="B79" s="5"/>
      <c r="C79" s="104" t="s">
        <v>4647</v>
      </c>
      <c r="D79" s="104"/>
      <c r="E79" s="104"/>
      <c r="F79" s="104"/>
      <c r="G79" s="5"/>
      <c r="H79" s="5"/>
      <c r="I79" s="5"/>
      <c r="J79" s="5"/>
    </row>
    <row r="80" spans="1:10" ht="13.05" customHeight="1">
      <c r="A80" s="5"/>
      <c r="B80" s="38" t="s">
        <v>207</v>
      </c>
      <c r="C80" s="104" t="s">
        <v>208</v>
      </c>
      <c r="D80" s="104"/>
      <c r="E80" s="104"/>
      <c r="F80" s="104"/>
      <c r="G80" s="5"/>
      <c r="H80" s="5"/>
      <c r="I80" s="5"/>
      <c r="J80" s="5"/>
    </row>
    <row r="81" spans="1:10" ht="135" customHeight="1">
      <c r="A81" s="5"/>
      <c r="B81" s="39"/>
      <c r="C81" s="105"/>
      <c r="D81" s="105"/>
      <c r="E81" s="5"/>
      <c r="F81" s="5"/>
      <c r="G81" s="5"/>
      <c r="H81" s="5"/>
      <c r="I81" s="5"/>
      <c r="J81" s="5"/>
    </row>
  </sheetData>
  <mergeCells count="9">
    <mergeCell ref="B78:I78"/>
    <mergeCell ref="C79:F79"/>
    <mergeCell ref="C80:F80"/>
    <mergeCell ref="C81:D81"/>
    <mergeCell ref="B73:I73"/>
    <mergeCell ref="B74:I74"/>
    <mergeCell ref="B75:I75"/>
    <mergeCell ref="B76:I76"/>
    <mergeCell ref="B77:I77"/>
  </mergeCells>
  <hyperlinks>
    <hyperlink ref="A1" location="AxisNiftyNext50IndexFund" display="AXISNNF" xr:uid="{00000000-0004-0000-3B00-000000000000}"/>
    <hyperlink ref="B1" location="AxisNiftyNext50IndexFund" display="Axis Nifty Next 50 Index Fund" xr:uid="{00000000-0004-0000-3B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outlinePr summaryBelow="0"/>
  </sheetPr>
  <dimension ref="A1:J77"/>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122</v>
      </c>
      <c r="B1" s="4" t="s">
        <v>123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558</v>
      </c>
      <c r="B7" s="19" t="s">
        <v>559</v>
      </c>
      <c r="C7" s="15" t="s">
        <v>560</v>
      </c>
      <c r="D7" s="15" t="s">
        <v>374</v>
      </c>
      <c r="E7" s="20">
        <v>37106</v>
      </c>
      <c r="F7" s="21">
        <v>3429.8930999999998</v>
      </c>
      <c r="G7" s="22">
        <v>6.1499999999999999E-2</v>
      </c>
      <c r="H7" s="40"/>
      <c r="I7" s="24"/>
      <c r="J7" s="5"/>
    </row>
    <row r="8" spans="1:10" ht="13.05" customHeight="1">
      <c r="A8" s="18" t="s">
        <v>622</v>
      </c>
      <c r="B8" s="19" t="s">
        <v>623</v>
      </c>
      <c r="C8" s="15" t="s">
        <v>624</v>
      </c>
      <c r="D8" s="15" t="s">
        <v>314</v>
      </c>
      <c r="E8" s="20">
        <v>282526</v>
      </c>
      <c r="F8" s="21">
        <v>2694.3092000000001</v>
      </c>
      <c r="G8" s="22">
        <v>4.8300000000000003E-2</v>
      </c>
      <c r="H8" s="40"/>
      <c r="I8" s="24"/>
      <c r="J8" s="5"/>
    </row>
    <row r="9" spans="1:10" ht="13.05" customHeight="1">
      <c r="A9" s="18" t="s">
        <v>724</v>
      </c>
      <c r="B9" s="19" t="s">
        <v>725</v>
      </c>
      <c r="C9" s="15" t="s">
        <v>726</v>
      </c>
      <c r="D9" s="15" t="s">
        <v>374</v>
      </c>
      <c r="E9" s="20">
        <v>129549</v>
      </c>
      <c r="F9" s="21">
        <v>2056.2017000000001</v>
      </c>
      <c r="G9" s="22">
        <v>3.6900000000000002E-2</v>
      </c>
      <c r="H9" s="40"/>
      <c r="I9" s="24"/>
      <c r="J9" s="5"/>
    </row>
    <row r="10" spans="1:10" ht="13.05" customHeight="1">
      <c r="A10" s="18" t="s">
        <v>789</v>
      </c>
      <c r="B10" s="19" t="s">
        <v>790</v>
      </c>
      <c r="C10" s="15" t="s">
        <v>791</v>
      </c>
      <c r="D10" s="15" t="s">
        <v>348</v>
      </c>
      <c r="E10" s="20">
        <v>388909</v>
      </c>
      <c r="F10" s="21">
        <v>1812.1215</v>
      </c>
      <c r="G10" s="22">
        <v>3.2500000000000001E-2</v>
      </c>
      <c r="H10" s="40"/>
      <c r="I10" s="24"/>
      <c r="J10" s="5"/>
    </row>
    <row r="11" spans="1:10" ht="13.05" customHeight="1">
      <c r="A11" s="18" t="s">
        <v>774</v>
      </c>
      <c r="B11" s="19" t="s">
        <v>775</v>
      </c>
      <c r="C11" s="15" t="s">
        <v>776</v>
      </c>
      <c r="D11" s="15" t="s">
        <v>475</v>
      </c>
      <c r="E11" s="20">
        <v>56901</v>
      </c>
      <c r="F11" s="21">
        <v>1781.8548000000001</v>
      </c>
      <c r="G11" s="22">
        <v>3.2000000000000001E-2</v>
      </c>
      <c r="H11" s="40"/>
      <c r="I11" s="24"/>
      <c r="J11" s="5"/>
    </row>
    <row r="12" spans="1:10" ht="13.05" customHeight="1">
      <c r="A12" s="18" t="s">
        <v>801</v>
      </c>
      <c r="B12" s="19" t="s">
        <v>802</v>
      </c>
      <c r="C12" s="15" t="s">
        <v>803</v>
      </c>
      <c r="D12" s="15" t="s">
        <v>257</v>
      </c>
      <c r="E12" s="20">
        <v>686695</v>
      </c>
      <c r="F12" s="21">
        <v>1669.6989000000001</v>
      </c>
      <c r="G12" s="22">
        <v>2.9899999999999999E-2</v>
      </c>
      <c r="H12" s="40"/>
      <c r="I12" s="24"/>
      <c r="J12" s="5"/>
    </row>
    <row r="13" spans="1:10" ht="13.05" customHeight="1">
      <c r="A13" s="18" t="s">
        <v>843</v>
      </c>
      <c r="B13" s="19" t="s">
        <v>844</v>
      </c>
      <c r="C13" s="15" t="s">
        <v>845</v>
      </c>
      <c r="D13" s="15" t="s">
        <v>846</v>
      </c>
      <c r="E13" s="20">
        <v>22714</v>
      </c>
      <c r="F13" s="21">
        <v>1522.8601000000001</v>
      </c>
      <c r="G13" s="22">
        <v>2.7300000000000001E-2</v>
      </c>
      <c r="H13" s="40"/>
      <c r="I13" s="24"/>
      <c r="J13" s="5"/>
    </row>
    <row r="14" spans="1:10" ht="13.05" customHeight="1">
      <c r="A14" s="18" t="s">
        <v>862</v>
      </c>
      <c r="B14" s="19" t="s">
        <v>863</v>
      </c>
      <c r="C14" s="15" t="s">
        <v>864</v>
      </c>
      <c r="D14" s="15" t="s">
        <v>581</v>
      </c>
      <c r="E14" s="20">
        <v>26735</v>
      </c>
      <c r="F14" s="21">
        <v>1520.5264</v>
      </c>
      <c r="G14" s="22">
        <v>2.7300000000000001E-2</v>
      </c>
      <c r="H14" s="40"/>
      <c r="I14" s="24"/>
      <c r="J14" s="5"/>
    </row>
    <row r="15" spans="1:10" ht="13.05" customHeight="1">
      <c r="A15" s="18" t="s">
        <v>877</v>
      </c>
      <c r="B15" s="19" t="s">
        <v>878</v>
      </c>
      <c r="C15" s="15" t="s">
        <v>879</v>
      </c>
      <c r="D15" s="15" t="s">
        <v>300</v>
      </c>
      <c r="E15" s="20">
        <v>72027</v>
      </c>
      <c r="F15" s="21">
        <v>1377.5884000000001</v>
      </c>
      <c r="G15" s="22">
        <v>2.47E-2</v>
      </c>
      <c r="H15" s="40"/>
      <c r="I15" s="24"/>
      <c r="J15" s="5"/>
    </row>
    <row r="16" spans="1:10" ht="13.05" customHeight="1">
      <c r="A16" s="18" t="s">
        <v>886</v>
      </c>
      <c r="B16" s="19" t="s">
        <v>887</v>
      </c>
      <c r="C16" s="15" t="s">
        <v>888</v>
      </c>
      <c r="D16" s="15" t="s">
        <v>374</v>
      </c>
      <c r="E16" s="20">
        <v>34900</v>
      </c>
      <c r="F16" s="21">
        <v>1375.5137</v>
      </c>
      <c r="G16" s="22">
        <v>2.47E-2</v>
      </c>
      <c r="H16" s="40"/>
      <c r="I16" s="24"/>
      <c r="J16" s="5"/>
    </row>
    <row r="17" spans="1:10" ht="13.05" customHeight="1">
      <c r="A17" s="18" t="s">
        <v>898</v>
      </c>
      <c r="B17" s="19" t="s">
        <v>899</v>
      </c>
      <c r="C17" s="15" t="s">
        <v>900</v>
      </c>
      <c r="D17" s="15" t="s">
        <v>325</v>
      </c>
      <c r="E17" s="20">
        <v>467391</v>
      </c>
      <c r="F17" s="21">
        <v>1321.3144</v>
      </c>
      <c r="G17" s="22">
        <v>2.3699999999999999E-2</v>
      </c>
      <c r="H17" s="40"/>
      <c r="I17" s="24"/>
      <c r="J17" s="5"/>
    </row>
    <row r="18" spans="1:10" ht="13.05" customHeight="1">
      <c r="A18" s="18" t="s">
        <v>919</v>
      </c>
      <c r="B18" s="19" t="s">
        <v>920</v>
      </c>
      <c r="C18" s="15" t="s">
        <v>921</v>
      </c>
      <c r="D18" s="15" t="s">
        <v>300</v>
      </c>
      <c r="E18" s="20">
        <v>136636</v>
      </c>
      <c r="F18" s="21">
        <v>1268.9385</v>
      </c>
      <c r="G18" s="22">
        <v>2.2800000000000001E-2</v>
      </c>
      <c r="H18" s="40"/>
      <c r="I18" s="24"/>
      <c r="J18" s="5"/>
    </row>
    <row r="19" spans="1:10" ht="13.05" customHeight="1">
      <c r="A19" s="18" t="s">
        <v>931</v>
      </c>
      <c r="B19" s="19" t="s">
        <v>932</v>
      </c>
      <c r="C19" s="15" t="s">
        <v>933</v>
      </c>
      <c r="D19" s="15" t="s">
        <v>325</v>
      </c>
      <c r="E19" s="20">
        <v>15452</v>
      </c>
      <c r="F19" s="21">
        <v>1241.8</v>
      </c>
      <c r="G19" s="22">
        <v>2.23E-2</v>
      </c>
      <c r="H19" s="40"/>
      <c r="I19" s="24"/>
      <c r="J19" s="5"/>
    </row>
    <row r="20" spans="1:10" ht="13.05" customHeight="1">
      <c r="A20" s="18" t="s">
        <v>943</v>
      </c>
      <c r="B20" s="19" t="s">
        <v>944</v>
      </c>
      <c r="C20" s="15" t="s">
        <v>945</v>
      </c>
      <c r="D20" s="15" t="s">
        <v>374</v>
      </c>
      <c r="E20" s="20">
        <v>46746</v>
      </c>
      <c r="F20" s="21">
        <v>1165.0972999999999</v>
      </c>
      <c r="G20" s="22">
        <v>2.0899999999999998E-2</v>
      </c>
      <c r="H20" s="40"/>
      <c r="I20" s="24"/>
      <c r="J20" s="5"/>
    </row>
    <row r="21" spans="1:10" ht="13.05" customHeight="1">
      <c r="A21" s="18" t="s">
        <v>949</v>
      </c>
      <c r="B21" s="19" t="s">
        <v>950</v>
      </c>
      <c r="C21" s="15" t="s">
        <v>951</v>
      </c>
      <c r="D21" s="15" t="s">
        <v>314</v>
      </c>
      <c r="E21" s="20">
        <v>57883</v>
      </c>
      <c r="F21" s="21">
        <v>1116.5052000000001</v>
      </c>
      <c r="G21" s="22">
        <v>0.02</v>
      </c>
      <c r="H21" s="40"/>
      <c r="I21" s="24"/>
      <c r="J21" s="5"/>
    </row>
    <row r="22" spans="1:10" ht="13.05" customHeight="1">
      <c r="A22" s="18" t="s">
        <v>958</v>
      </c>
      <c r="B22" s="19" t="s">
        <v>959</v>
      </c>
      <c r="C22" s="15" t="s">
        <v>960</v>
      </c>
      <c r="D22" s="15" t="s">
        <v>415</v>
      </c>
      <c r="E22" s="20">
        <v>164372</v>
      </c>
      <c r="F22" s="21">
        <v>1114.5243</v>
      </c>
      <c r="G22" s="22">
        <v>0.02</v>
      </c>
      <c r="H22" s="40"/>
      <c r="I22" s="24"/>
      <c r="J22" s="5"/>
    </row>
    <row r="23" spans="1:10" ht="13.05" customHeight="1">
      <c r="A23" s="18" t="s">
        <v>967</v>
      </c>
      <c r="B23" s="19" t="s">
        <v>968</v>
      </c>
      <c r="C23" s="15" t="s">
        <v>969</v>
      </c>
      <c r="D23" s="15" t="s">
        <v>970</v>
      </c>
      <c r="E23" s="20">
        <v>430700</v>
      </c>
      <c r="F23" s="21">
        <v>1092.9013</v>
      </c>
      <c r="G23" s="22">
        <v>1.9599999999999999E-2</v>
      </c>
      <c r="H23" s="40"/>
      <c r="I23" s="24"/>
      <c r="J23" s="5"/>
    </row>
    <row r="24" spans="1:10" ht="13.05" customHeight="1">
      <c r="A24" s="18" t="s">
        <v>974</v>
      </c>
      <c r="B24" s="19" t="s">
        <v>975</v>
      </c>
      <c r="C24" s="15" t="s">
        <v>976</v>
      </c>
      <c r="D24" s="15" t="s">
        <v>445</v>
      </c>
      <c r="E24" s="20">
        <v>701414</v>
      </c>
      <c r="F24" s="21">
        <v>1088.1034999999999</v>
      </c>
      <c r="G24" s="22">
        <v>1.95E-2</v>
      </c>
      <c r="H24" s="40"/>
      <c r="I24" s="24"/>
      <c r="J24" s="5"/>
    </row>
    <row r="25" spans="1:10" ht="13.05" customHeight="1">
      <c r="A25" s="18" t="s">
        <v>977</v>
      </c>
      <c r="B25" s="19" t="s">
        <v>978</v>
      </c>
      <c r="C25" s="15" t="s">
        <v>979</v>
      </c>
      <c r="D25" s="15" t="s">
        <v>300</v>
      </c>
      <c r="E25" s="20">
        <v>397858</v>
      </c>
      <c r="F25" s="21">
        <v>1072.2273</v>
      </c>
      <c r="G25" s="22">
        <v>1.9199999999999998E-2</v>
      </c>
      <c r="H25" s="40"/>
      <c r="I25" s="24"/>
      <c r="J25" s="5"/>
    </row>
    <row r="26" spans="1:10" ht="13.05" customHeight="1">
      <c r="A26" s="18" t="s">
        <v>992</v>
      </c>
      <c r="B26" s="19" t="s">
        <v>993</v>
      </c>
      <c r="C26" s="15" t="s">
        <v>994</v>
      </c>
      <c r="D26" s="15" t="s">
        <v>374</v>
      </c>
      <c r="E26" s="20">
        <v>96593</v>
      </c>
      <c r="F26" s="21">
        <v>1060.6876999999999</v>
      </c>
      <c r="G26" s="22">
        <v>1.9E-2</v>
      </c>
      <c r="H26" s="40"/>
      <c r="I26" s="24"/>
      <c r="J26" s="5"/>
    </row>
    <row r="27" spans="1:10" ht="13.05" customHeight="1">
      <c r="A27" s="18" t="s">
        <v>995</v>
      </c>
      <c r="B27" s="19" t="s">
        <v>996</v>
      </c>
      <c r="C27" s="15" t="s">
        <v>997</v>
      </c>
      <c r="D27" s="15" t="s">
        <v>314</v>
      </c>
      <c r="E27" s="20">
        <v>6215</v>
      </c>
      <c r="F27" s="21">
        <v>1023.797</v>
      </c>
      <c r="G27" s="22">
        <v>1.84E-2</v>
      </c>
      <c r="H27" s="40"/>
      <c r="I27" s="24"/>
      <c r="J27" s="5"/>
    </row>
    <row r="28" spans="1:10" ht="13.05" customHeight="1">
      <c r="A28" s="18" t="s">
        <v>1007</v>
      </c>
      <c r="B28" s="19" t="s">
        <v>1008</v>
      </c>
      <c r="C28" s="15" t="s">
        <v>1009</v>
      </c>
      <c r="D28" s="15" t="s">
        <v>581</v>
      </c>
      <c r="E28" s="20">
        <v>113474</v>
      </c>
      <c r="F28" s="21">
        <v>1010.6562</v>
      </c>
      <c r="G28" s="22">
        <v>1.8100000000000002E-2</v>
      </c>
      <c r="H28" s="40"/>
      <c r="I28" s="24"/>
      <c r="J28" s="5"/>
    </row>
    <row r="29" spans="1:10" ht="13.05" customHeight="1">
      <c r="A29" s="18" t="s">
        <v>1010</v>
      </c>
      <c r="B29" s="19" t="s">
        <v>1011</v>
      </c>
      <c r="C29" s="15" t="s">
        <v>1012</v>
      </c>
      <c r="D29" s="15" t="s">
        <v>300</v>
      </c>
      <c r="E29" s="20">
        <v>208210</v>
      </c>
      <c r="F29" s="21">
        <v>1003.2599</v>
      </c>
      <c r="G29" s="22">
        <v>1.7999999999999999E-2</v>
      </c>
      <c r="H29" s="40"/>
      <c r="I29" s="24"/>
      <c r="J29" s="5"/>
    </row>
    <row r="30" spans="1:10" ht="13.05" customHeight="1">
      <c r="A30" s="18" t="s">
        <v>1013</v>
      </c>
      <c r="B30" s="19" t="s">
        <v>1014</v>
      </c>
      <c r="C30" s="15" t="s">
        <v>1015</v>
      </c>
      <c r="D30" s="15" t="s">
        <v>314</v>
      </c>
      <c r="E30" s="20">
        <v>58992</v>
      </c>
      <c r="F30" s="21">
        <v>992.42240000000004</v>
      </c>
      <c r="G30" s="22">
        <v>1.78E-2</v>
      </c>
      <c r="H30" s="40"/>
      <c r="I30" s="24"/>
      <c r="J30" s="5"/>
    </row>
    <row r="31" spans="1:10" ht="13.05" customHeight="1">
      <c r="A31" s="18" t="s">
        <v>1019</v>
      </c>
      <c r="B31" s="19" t="s">
        <v>1020</v>
      </c>
      <c r="C31" s="15" t="s">
        <v>1021</v>
      </c>
      <c r="D31" s="15" t="s">
        <v>257</v>
      </c>
      <c r="E31" s="20">
        <v>632640</v>
      </c>
      <c r="F31" s="21">
        <v>990.46119999999996</v>
      </c>
      <c r="G31" s="22">
        <v>1.78E-2</v>
      </c>
      <c r="H31" s="40"/>
      <c r="I31" s="24"/>
      <c r="J31" s="5"/>
    </row>
    <row r="32" spans="1:10" ht="13.05" customHeight="1">
      <c r="A32" s="18" t="s">
        <v>1022</v>
      </c>
      <c r="B32" s="19" t="s">
        <v>1023</v>
      </c>
      <c r="C32" s="15" t="s">
        <v>1024</v>
      </c>
      <c r="D32" s="15" t="s">
        <v>321</v>
      </c>
      <c r="E32" s="20">
        <v>2076749</v>
      </c>
      <c r="F32" s="21">
        <v>964.02689999999996</v>
      </c>
      <c r="G32" s="22">
        <v>1.7299999999999999E-2</v>
      </c>
      <c r="H32" s="40"/>
      <c r="I32" s="24"/>
      <c r="J32" s="5"/>
    </row>
    <row r="33" spans="1:10" ht="13.05" customHeight="1">
      <c r="A33" s="18" t="s">
        <v>1016</v>
      </c>
      <c r="B33" s="19" t="s">
        <v>1017</v>
      </c>
      <c r="C33" s="15" t="s">
        <v>1018</v>
      </c>
      <c r="D33" s="15" t="s">
        <v>337</v>
      </c>
      <c r="E33" s="20">
        <v>91882</v>
      </c>
      <c r="F33" s="21">
        <v>959.66150000000005</v>
      </c>
      <c r="G33" s="22">
        <v>1.72E-2</v>
      </c>
      <c r="H33" s="40"/>
      <c r="I33" s="24"/>
      <c r="J33" s="5"/>
    </row>
    <row r="34" spans="1:10" ht="13.05" customHeight="1">
      <c r="A34" s="18" t="s">
        <v>1034</v>
      </c>
      <c r="B34" s="19" t="s">
        <v>1035</v>
      </c>
      <c r="C34" s="15" t="s">
        <v>1036</v>
      </c>
      <c r="D34" s="15" t="s">
        <v>501</v>
      </c>
      <c r="E34" s="20">
        <v>95185</v>
      </c>
      <c r="F34" s="21">
        <v>919.2491</v>
      </c>
      <c r="G34" s="22">
        <v>1.6500000000000001E-2</v>
      </c>
      <c r="H34" s="40"/>
      <c r="I34" s="24"/>
      <c r="J34" s="5"/>
    </row>
    <row r="35" spans="1:10" ht="13.05" customHeight="1">
      <c r="A35" s="18" t="s">
        <v>1046</v>
      </c>
      <c r="B35" s="19" t="s">
        <v>1047</v>
      </c>
      <c r="C35" s="15" t="s">
        <v>1048</v>
      </c>
      <c r="D35" s="15" t="s">
        <v>300</v>
      </c>
      <c r="E35" s="20">
        <v>168374</v>
      </c>
      <c r="F35" s="21">
        <v>900.12739999999997</v>
      </c>
      <c r="G35" s="22">
        <v>1.61E-2</v>
      </c>
      <c r="H35" s="40"/>
      <c r="I35" s="24"/>
      <c r="J35" s="5"/>
    </row>
    <row r="36" spans="1:10" ht="13.05" customHeight="1">
      <c r="A36" s="18" t="s">
        <v>1058</v>
      </c>
      <c r="B36" s="19" t="s">
        <v>1059</v>
      </c>
      <c r="C36" s="15" t="s">
        <v>1060</v>
      </c>
      <c r="D36" s="15" t="s">
        <v>314</v>
      </c>
      <c r="E36" s="20">
        <v>448348</v>
      </c>
      <c r="F36" s="21">
        <v>895.03710000000001</v>
      </c>
      <c r="G36" s="22">
        <v>1.61E-2</v>
      </c>
      <c r="H36" s="40"/>
      <c r="I36" s="24"/>
      <c r="J36" s="5"/>
    </row>
    <row r="37" spans="1:10" ht="13.05" customHeight="1">
      <c r="A37" s="18" t="s">
        <v>1043</v>
      </c>
      <c r="B37" s="19" t="s">
        <v>1044</v>
      </c>
      <c r="C37" s="15" t="s">
        <v>1045</v>
      </c>
      <c r="D37" s="15" t="s">
        <v>567</v>
      </c>
      <c r="E37" s="20">
        <v>88806</v>
      </c>
      <c r="F37" s="21">
        <v>892.27829999999994</v>
      </c>
      <c r="G37" s="22">
        <v>1.6E-2</v>
      </c>
      <c r="H37" s="40"/>
      <c r="I37" s="24"/>
      <c r="J37" s="5"/>
    </row>
    <row r="38" spans="1:10" ht="13.05" customHeight="1">
      <c r="A38" s="18" t="s">
        <v>1065</v>
      </c>
      <c r="B38" s="19" t="s">
        <v>1066</v>
      </c>
      <c r="C38" s="15" t="s">
        <v>1067</v>
      </c>
      <c r="D38" s="15" t="s">
        <v>1068</v>
      </c>
      <c r="E38" s="20">
        <v>45912</v>
      </c>
      <c r="F38" s="21">
        <v>886.37710000000004</v>
      </c>
      <c r="G38" s="22">
        <v>1.5900000000000001E-2</v>
      </c>
      <c r="H38" s="40"/>
      <c r="I38" s="24"/>
      <c r="J38" s="5"/>
    </row>
    <row r="39" spans="1:10" ht="13.05" customHeight="1">
      <c r="A39" s="18" t="s">
        <v>1069</v>
      </c>
      <c r="B39" s="19" t="s">
        <v>1070</v>
      </c>
      <c r="C39" s="15" t="s">
        <v>1071</v>
      </c>
      <c r="D39" s="15" t="s">
        <v>300</v>
      </c>
      <c r="E39" s="20">
        <v>135554</v>
      </c>
      <c r="F39" s="21">
        <v>884.82870000000003</v>
      </c>
      <c r="G39" s="22">
        <v>1.5900000000000001E-2</v>
      </c>
      <c r="H39" s="40"/>
      <c r="I39" s="24"/>
      <c r="J39" s="5"/>
    </row>
    <row r="40" spans="1:10" ht="13.05" customHeight="1">
      <c r="A40" s="18" t="s">
        <v>1072</v>
      </c>
      <c r="B40" s="19" t="s">
        <v>1073</v>
      </c>
      <c r="C40" s="15" t="s">
        <v>1074</v>
      </c>
      <c r="D40" s="15" t="s">
        <v>276</v>
      </c>
      <c r="E40" s="20">
        <v>751203</v>
      </c>
      <c r="F40" s="21">
        <v>881.98739999999998</v>
      </c>
      <c r="G40" s="22">
        <v>1.5800000000000002E-2</v>
      </c>
      <c r="H40" s="40"/>
      <c r="I40" s="24"/>
      <c r="J40" s="5"/>
    </row>
    <row r="41" spans="1:10" ht="13.05" customHeight="1">
      <c r="A41" s="18" t="s">
        <v>1102</v>
      </c>
      <c r="B41" s="19" t="s">
        <v>1103</v>
      </c>
      <c r="C41" s="15" t="s">
        <v>1104</v>
      </c>
      <c r="D41" s="15" t="s">
        <v>415</v>
      </c>
      <c r="E41" s="20">
        <v>27695</v>
      </c>
      <c r="F41" s="21">
        <v>868.37670000000003</v>
      </c>
      <c r="G41" s="22">
        <v>1.5599999999999999E-2</v>
      </c>
      <c r="H41" s="40"/>
      <c r="I41" s="24"/>
      <c r="J41" s="5"/>
    </row>
    <row r="42" spans="1:10" ht="13.05" customHeight="1">
      <c r="A42" s="18" t="s">
        <v>1090</v>
      </c>
      <c r="B42" s="19" t="s">
        <v>1091</v>
      </c>
      <c r="C42" s="15" t="s">
        <v>1092</v>
      </c>
      <c r="D42" s="15" t="s">
        <v>415</v>
      </c>
      <c r="E42" s="20">
        <v>49245</v>
      </c>
      <c r="F42" s="21">
        <v>865.4316</v>
      </c>
      <c r="G42" s="22">
        <v>1.55E-2</v>
      </c>
      <c r="H42" s="40"/>
      <c r="I42" s="24"/>
      <c r="J42" s="5"/>
    </row>
    <row r="43" spans="1:10" ht="13.05" customHeight="1">
      <c r="A43" s="18" t="s">
        <v>1123</v>
      </c>
      <c r="B43" s="19" t="s">
        <v>1124</v>
      </c>
      <c r="C43" s="15" t="s">
        <v>1125</v>
      </c>
      <c r="D43" s="15" t="s">
        <v>581</v>
      </c>
      <c r="E43" s="20">
        <v>170232</v>
      </c>
      <c r="F43" s="21">
        <v>820.94380000000001</v>
      </c>
      <c r="G43" s="22">
        <v>1.47E-2</v>
      </c>
      <c r="H43" s="40"/>
      <c r="I43" s="24"/>
      <c r="J43" s="5"/>
    </row>
    <row r="44" spans="1:10" ht="13.05" customHeight="1">
      <c r="A44" s="18" t="s">
        <v>1120</v>
      </c>
      <c r="B44" s="19" t="s">
        <v>1121</v>
      </c>
      <c r="C44" s="15" t="s">
        <v>1122</v>
      </c>
      <c r="D44" s="15" t="s">
        <v>970</v>
      </c>
      <c r="E44" s="20">
        <v>230398</v>
      </c>
      <c r="F44" s="21">
        <v>815.37850000000003</v>
      </c>
      <c r="G44" s="22">
        <v>1.46E-2</v>
      </c>
      <c r="H44" s="40"/>
      <c r="I44" s="24"/>
      <c r="J44" s="5"/>
    </row>
    <row r="45" spans="1:10" ht="13.05" customHeight="1">
      <c r="A45" s="18" t="s">
        <v>1159</v>
      </c>
      <c r="B45" s="19" t="s">
        <v>1160</v>
      </c>
      <c r="C45" s="15" t="s">
        <v>1161</v>
      </c>
      <c r="D45" s="15" t="s">
        <v>374</v>
      </c>
      <c r="E45" s="20">
        <v>576899</v>
      </c>
      <c r="F45" s="21">
        <v>802.23569999999995</v>
      </c>
      <c r="G45" s="22">
        <v>1.44E-2</v>
      </c>
      <c r="H45" s="40"/>
      <c r="I45" s="24"/>
      <c r="J45" s="5"/>
    </row>
    <row r="46" spans="1:10" ht="13.05" customHeight="1">
      <c r="A46" s="18" t="s">
        <v>1114</v>
      </c>
      <c r="B46" s="19" t="s">
        <v>1115</v>
      </c>
      <c r="C46" s="15" t="s">
        <v>1116</v>
      </c>
      <c r="D46" s="15" t="s">
        <v>321</v>
      </c>
      <c r="E46" s="20">
        <v>443742</v>
      </c>
      <c r="F46" s="21">
        <v>798.55809999999997</v>
      </c>
      <c r="G46" s="22">
        <v>1.43E-2</v>
      </c>
      <c r="H46" s="40"/>
      <c r="I46" s="24"/>
      <c r="J46" s="5"/>
    </row>
    <row r="47" spans="1:10" ht="13.05" customHeight="1">
      <c r="A47" s="18" t="s">
        <v>1204</v>
      </c>
      <c r="B47" s="19" t="s">
        <v>1205</v>
      </c>
      <c r="C47" s="15" t="s">
        <v>1206</v>
      </c>
      <c r="D47" s="15" t="s">
        <v>276</v>
      </c>
      <c r="E47" s="20">
        <v>94105</v>
      </c>
      <c r="F47" s="21">
        <v>769.54359999999997</v>
      </c>
      <c r="G47" s="22">
        <v>1.38E-2</v>
      </c>
      <c r="H47" s="40"/>
      <c r="I47" s="24"/>
      <c r="J47" s="5"/>
    </row>
    <row r="48" spans="1:10" ht="13.05" customHeight="1">
      <c r="A48" s="18" t="s">
        <v>1153</v>
      </c>
      <c r="B48" s="19" t="s">
        <v>1154</v>
      </c>
      <c r="C48" s="15" t="s">
        <v>1155</v>
      </c>
      <c r="D48" s="15" t="s">
        <v>314</v>
      </c>
      <c r="E48" s="20">
        <v>59863</v>
      </c>
      <c r="F48" s="21">
        <v>767.14430000000004</v>
      </c>
      <c r="G48" s="22">
        <v>1.38E-2</v>
      </c>
      <c r="H48" s="40"/>
      <c r="I48" s="24"/>
      <c r="J48" s="5"/>
    </row>
    <row r="49" spans="1:10" ht="13.05" customHeight="1">
      <c r="A49" s="18" t="s">
        <v>1201</v>
      </c>
      <c r="B49" s="19" t="s">
        <v>1202</v>
      </c>
      <c r="C49" s="15" t="s">
        <v>1203</v>
      </c>
      <c r="D49" s="15" t="s">
        <v>1068</v>
      </c>
      <c r="E49" s="20">
        <v>61508</v>
      </c>
      <c r="F49" s="21">
        <v>715.03049999999996</v>
      </c>
      <c r="G49" s="22">
        <v>1.2800000000000001E-2</v>
      </c>
      <c r="H49" s="40"/>
      <c r="I49" s="24"/>
      <c r="J49" s="5"/>
    </row>
    <row r="50" spans="1:10" ht="13.05" customHeight="1">
      <c r="A50" s="18" t="s">
        <v>1207</v>
      </c>
      <c r="B50" s="19" t="s">
        <v>1208</v>
      </c>
      <c r="C50" s="15" t="s">
        <v>1209</v>
      </c>
      <c r="D50" s="15" t="s">
        <v>1210</v>
      </c>
      <c r="E50" s="20">
        <v>38037</v>
      </c>
      <c r="F50" s="21">
        <v>713.84040000000005</v>
      </c>
      <c r="G50" s="22">
        <v>1.2800000000000001E-2</v>
      </c>
      <c r="H50" s="40"/>
      <c r="I50" s="24"/>
      <c r="J50" s="5"/>
    </row>
    <row r="51" spans="1:10" ht="13.05" customHeight="1">
      <c r="A51" s="18" t="s">
        <v>1223</v>
      </c>
      <c r="B51" s="19" t="s">
        <v>1224</v>
      </c>
      <c r="C51" s="15" t="s">
        <v>1225</v>
      </c>
      <c r="D51" s="15" t="s">
        <v>261</v>
      </c>
      <c r="E51" s="20">
        <v>351971</v>
      </c>
      <c r="F51" s="21">
        <v>686.37860000000001</v>
      </c>
      <c r="G51" s="22">
        <v>1.23E-2</v>
      </c>
      <c r="H51" s="40"/>
      <c r="I51" s="24"/>
      <c r="J51" s="5"/>
    </row>
    <row r="52" spans="1:10" ht="13.05" customHeight="1">
      <c r="A52" s="18" t="s">
        <v>1220</v>
      </c>
      <c r="B52" s="19" t="s">
        <v>1221</v>
      </c>
      <c r="C52" s="15" t="s">
        <v>1222</v>
      </c>
      <c r="D52" s="15" t="s">
        <v>545</v>
      </c>
      <c r="E52" s="20">
        <v>91317</v>
      </c>
      <c r="F52" s="21">
        <v>685.0145</v>
      </c>
      <c r="G52" s="22">
        <v>1.23E-2</v>
      </c>
      <c r="H52" s="40"/>
      <c r="I52" s="24"/>
      <c r="J52" s="5"/>
    </row>
    <row r="53" spans="1:10" ht="13.05" customHeight="1">
      <c r="A53" s="18" t="s">
        <v>1299</v>
      </c>
      <c r="B53" s="19" t="s">
        <v>1300</v>
      </c>
      <c r="C53" s="15" t="s">
        <v>1301</v>
      </c>
      <c r="D53" s="15" t="s">
        <v>325</v>
      </c>
      <c r="E53" s="20">
        <v>116372</v>
      </c>
      <c r="F53" s="21">
        <v>664.42589999999996</v>
      </c>
      <c r="G53" s="22">
        <v>1.1900000000000001E-2</v>
      </c>
      <c r="H53" s="40"/>
      <c r="I53" s="24"/>
      <c r="J53" s="5"/>
    </row>
    <row r="54" spans="1:10" ht="13.05" customHeight="1">
      <c r="A54" s="18" t="s">
        <v>1239</v>
      </c>
      <c r="B54" s="19" t="s">
        <v>1240</v>
      </c>
      <c r="C54" s="15" t="s">
        <v>1241</v>
      </c>
      <c r="D54" s="15" t="s">
        <v>272</v>
      </c>
      <c r="E54" s="20">
        <v>83300</v>
      </c>
      <c r="F54" s="21">
        <v>664.35919999999999</v>
      </c>
      <c r="G54" s="22">
        <v>1.1900000000000001E-2</v>
      </c>
      <c r="H54" s="40"/>
      <c r="I54" s="24"/>
      <c r="J54" s="5"/>
    </row>
    <row r="55" spans="1:10" ht="13.05" customHeight="1">
      <c r="A55" s="18" t="s">
        <v>1332</v>
      </c>
      <c r="B55" s="19" t="s">
        <v>1333</v>
      </c>
      <c r="C55" s="15" t="s">
        <v>1334</v>
      </c>
      <c r="D55" s="15" t="s">
        <v>581</v>
      </c>
      <c r="E55" s="20">
        <v>149256</v>
      </c>
      <c r="F55" s="21">
        <v>567.09820000000002</v>
      </c>
      <c r="G55" s="22">
        <v>1.0200000000000001E-2</v>
      </c>
      <c r="H55" s="40"/>
      <c r="I55" s="24"/>
      <c r="J55" s="5"/>
    </row>
    <row r="56" spans="1:10" ht="13.05" customHeight="1">
      <c r="A56" s="18" t="s">
        <v>1415</v>
      </c>
      <c r="B56" s="19" t="s">
        <v>1416</v>
      </c>
      <c r="C56" s="15" t="s">
        <v>1417</v>
      </c>
      <c r="D56" s="15" t="s">
        <v>314</v>
      </c>
      <c r="E56" s="20">
        <v>64758</v>
      </c>
      <c r="F56" s="21">
        <v>530.95079999999996</v>
      </c>
      <c r="G56" s="22">
        <v>9.4999999999999998E-3</v>
      </c>
      <c r="H56" s="40"/>
      <c r="I56" s="24"/>
      <c r="J56" s="5"/>
    </row>
    <row r="57" spans="1:10" ht="13.05" customHeight="1">
      <c r="A57" s="5"/>
      <c r="B57" s="14" t="s">
        <v>192</v>
      </c>
      <c r="C57" s="15"/>
      <c r="D57" s="15"/>
      <c r="E57" s="15"/>
      <c r="F57" s="25">
        <v>55721.548300000002</v>
      </c>
      <c r="G57" s="26">
        <v>0.99929999999999997</v>
      </c>
      <c r="H57" s="27"/>
      <c r="I57" s="28"/>
      <c r="J57" s="5"/>
    </row>
    <row r="58" spans="1:10" ht="13.05" customHeight="1">
      <c r="A58" s="5"/>
      <c r="B58" s="29" t="s">
        <v>1812</v>
      </c>
      <c r="C58" s="2"/>
      <c r="D58" s="2"/>
      <c r="E58" s="2"/>
      <c r="F58" s="27" t="s">
        <v>194</v>
      </c>
      <c r="G58" s="27" t="s">
        <v>194</v>
      </c>
      <c r="H58" s="27"/>
      <c r="I58" s="28"/>
      <c r="J58" s="5"/>
    </row>
    <row r="59" spans="1:10" ht="13.05" customHeight="1">
      <c r="A59" s="5"/>
      <c r="B59" s="29" t="s">
        <v>192</v>
      </c>
      <c r="C59" s="2"/>
      <c r="D59" s="2"/>
      <c r="E59" s="2"/>
      <c r="F59" s="27" t="s">
        <v>194</v>
      </c>
      <c r="G59" s="27" t="s">
        <v>194</v>
      </c>
      <c r="H59" s="27"/>
      <c r="I59" s="28"/>
      <c r="J59" s="5"/>
    </row>
    <row r="60" spans="1:10" ht="13.05" customHeight="1">
      <c r="A60" s="5"/>
      <c r="B60" s="29" t="s">
        <v>195</v>
      </c>
      <c r="C60" s="30"/>
      <c r="D60" s="2"/>
      <c r="E60" s="30"/>
      <c r="F60" s="25">
        <v>55721.548300000002</v>
      </c>
      <c r="G60" s="26">
        <v>0.99929999999999997</v>
      </c>
      <c r="H60" s="27"/>
      <c r="I60" s="28"/>
      <c r="J60" s="5"/>
    </row>
    <row r="61" spans="1:10" ht="13.05" customHeight="1">
      <c r="A61" s="5"/>
      <c r="B61" s="14" t="s">
        <v>196</v>
      </c>
      <c r="C61" s="15"/>
      <c r="D61" s="15"/>
      <c r="E61" s="15"/>
      <c r="F61" s="15"/>
      <c r="G61" s="15"/>
      <c r="H61" s="16"/>
      <c r="I61" s="17"/>
      <c r="J61" s="5"/>
    </row>
    <row r="62" spans="1:10" ht="13.05" customHeight="1">
      <c r="A62" s="18" t="s">
        <v>197</v>
      </c>
      <c r="B62" s="19" t="s">
        <v>198</v>
      </c>
      <c r="C62" s="15"/>
      <c r="D62" s="15"/>
      <c r="E62" s="20"/>
      <c r="F62" s="21">
        <v>122.4927</v>
      </c>
      <c r="G62" s="22">
        <v>2.2000000000000001E-3</v>
      </c>
      <c r="H62" s="23">
        <v>5.5573593271043872E-2</v>
      </c>
      <c r="I62" s="24"/>
      <c r="J62" s="5"/>
    </row>
    <row r="63" spans="1:10" ht="13.05" customHeight="1">
      <c r="A63" s="5"/>
      <c r="B63" s="14" t="s">
        <v>192</v>
      </c>
      <c r="C63" s="15"/>
      <c r="D63" s="15"/>
      <c r="E63" s="15"/>
      <c r="F63" s="25">
        <v>122.4927</v>
      </c>
      <c r="G63" s="26">
        <v>2.2000000000000001E-3</v>
      </c>
      <c r="H63" s="27"/>
      <c r="I63" s="28"/>
      <c r="J63" s="5"/>
    </row>
    <row r="64" spans="1:10" ht="13.05" customHeight="1">
      <c r="A64" s="5"/>
      <c r="B64" s="29" t="s">
        <v>195</v>
      </c>
      <c r="C64" s="30"/>
      <c r="D64" s="2"/>
      <c r="E64" s="30"/>
      <c r="F64" s="25">
        <v>122.4927</v>
      </c>
      <c r="G64" s="26">
        <v>2.2000000000000001E-3</v>
      </c>
      <c r="H64" s="27"/>
      <c r="I64" s="28"/>
      <c r="J64" s="5"/>
    </row>
    <row r="65" spans="1:10" ht="13.05" customHeight="1">
      <c r="A65" s="5"/>
      <c r="B65" s="29" t="s">
        <v>199</v>
      </c>
      <c r="C65" s="15"/>
      <c r="D65" s="2"/>
      <c r="E65" s="15"/>
      <c r="F65" s="31">
        <v>-85.311000000000007</v>
      </c>
      <c r="G65" s="26">
        <v>-1.5E-3</v>
      </c>
      <c r="H65" s="27"/>
      <c r="I65" s="28"/>
      <c r="J65" s="5"/>
    </row>
    <row r="66" spans="1:10" ht="13.05" customHeight="1">
      <c r="A66" s="5"/>
      <c r="B66" s="32" t="s">
        <v>200</v>
      </c>
      <c r="C66" s="33"/>
      <c r="D66" s="33"/>
      <c r="E66" s="33"/>
      <c r="F66" s="34">
        <v>55758.73</v>
      </c>
      <c r="G66" s="35">
        <v>1</v>
      </c>
      <c r="H66" s="36"/>
      <c r="I66" s="37"/>
      <c r="J66" s="5"/>
    </row>
    <row r="67" spans="1:10" ht="13.05" customHeight="1">
      <c r="A67" s="5"/>
      <c r="B67" s="7"/>
      <c r="C67" s="5"/>
      <c r="D67" s="5"/>
      <c r="E67" s="5"/>
      <c r="F67" s="5"/>
      <c r="G67" s="5"/>
      <c r="H67" s="5"/>
      <c r="I67" s="5"/>
      <c r="J67" s="5"/>
    </row>
    <row r="68" spans="1:10" ht="13.05" customHeight="1">
      <c r="A68" s="5"/>
      <c r="B68" s="4" t="s">
        <v>201</v>
      </c>
      <c r="C68" s="5"/>
      <c r="D68" s="5"/>
      <c r="E68" s="5"/>
      <c r="F68" s="5"/>
      <c r="G68" s="5"/>
      <c r="H68" s="5"/>
      <c r="I68" s="5"/>
      <c r="J68" s="5"/>
    </row>
    <row r="69" spans="1:10" ht="25.95" customHeight="1">
      <c r="A69" s="5"/>
      <c r="B69" s="103" t="s">
        <v>202</v>
      </c>
      <c r="C69" s="103"/>
      <c r="D69" s="103"/>
      <c r="E69" s="103"/>
      <c r="F69" s="103"/>
      <c r="G69" s="103"/>
      <c r="H69" s="103"/>
      <c r="I69" s="103"/>
      <c r="J69" s="5"/>
    </row>
    <row r="70" spans="1:10" ht="13.05" customHeight="1">
      <c r="A70" s="5"/>
      <c r="B70" s="103" t="s">
        <v>203</v>
      </c>
      <c r="C70" s="103"/>
      <c r="D70" s="103"/>
      <c r="E70" s="103"/>
      <c r="F70" s="103"/>
      <c r="G70" s="103"/>
      <c r="H70" s="103"/>
      <c r="I70" s="103"/>
      <c r="J70" s="5"/>
    </row>
    <row r="71" spans="1:10" ht="13.05" customHeight="1">
      <c r="A71" s="5"/>
      <c r="B71" s="103"/>
      <c r="C71" s="103"/>
      <c r="D71" s="103"/>
      <c r="E71" s="103"/>
      <c r="F71" s="103"/>
      <c r="G71" s="103"/>
      <c r="H71" s="103"/>
      <c r="I71" s="103"/>
      <c r="J71" s="5"/>
    </row>
    <row r="72" spans="1:10" ht="13.05" customHeight="1">
      <c r="A72" s="5"/>
      <c r="B72" s="103"/>
      <c r="C72" s="103"/>
      <c r="D72" s="103"/>
      <c r="E72" s="103"/>
      <c r="F72" s="103"/>
      <c r="G72" s="103"/>
      <c r="H72" s="103"/>
      <c r="I72" s="103"/>
      <c r="J72" s="5"/>
    </row>
    <row r="73" spans="1:10" ht="13.05" customHeight="1">
      <c r="A73" s="5"/>
      <c r="B73" s="103"/>
      <c r="C73" s="103"/>
      <c r="D73" s="103"/>
      <c r="E73" s="103"/>
      <c r="F73" s="103"/>
      <c r="G73" s="103"/>
      <c r="H73" s="103"/>
      <c r="I73" s="103"/>
      <c r="J73" s="5"/>
    </row>
    <row r="74" spans="1:10" ht="13.05" customHeight="1">
      <c r="A74" s="5"/>
      <c r="B74" s="103"/>
      <c r="C74" s="103"/>
      <c r="D74" s="103"/>
      <c r="E74" s="103"/>
      <c r="F74" s="103"/>
      <c r="G74" s="103"/>
      <c r="H74" s="103"/>
      <c r="I74" s="103"/>
      <c r="J74" s="5"/>
    </row>
    <row r="75" spans="1:10" ht="13.05" customHeight="1">
      <c r="A75" s="5"/>
      <c r="B75" s="5"/>
      <c r="C75" s="104" t="s">
        <v>4648</v>
      </c>
      <c r="D75" s="104"/>
      <c r="E75" s="104"/>
      <c r="F75" s="104"/>
      <c r="G75" s="5"/>
      <c r="H75" s="5"/>
      <c r="I75" s="5"/>
      <c r="J75" s="5"/>
    </row>
    <row r="76" spans="1:10" ht="13.05" customHeight="1">
      <c r="A76" s="5"/>
      <c r="B76" s="38" t="s">
        <v>207</v>
      </c>
      <c r="C76" s="104" t="s">
        <v>208</v>
      </c>
      <c r="D76" s="104"/>
      <c r="E76" s="104"/>
      <c r="F76" s="104"/>
      <c r="G76" s="5"/>
      <c r="H76" s="5"/>
      <c r="I76" s="5"/>
      <c r="J76" s="5"/>
    </row>
    <row r="77" spans="1:10" ht="135" customHeight="1">
      <c r="A77" s="5"/>
      <c r="B77" s="39"/>
      <c r="C77" s="105"/>
      <c r="D77" s="105"/>
      <c r="E77" s="5"/>
      <c r="F77" s="5"/>
      <c r="G77" s="5"/>
      <c r="H77" s="5"/>
      <c r="I77" s="5"/>
      <c r="J77" s="5"/>
    </row>
  </sheetData>
  <mergeCells count="9">
    <mergeCell ref="B74:I74"/>
    <mergeCell ref="C75:F75"/>
    <mergeCell ref="C76:F76"/>
    <mergeCell ref="C77:D77"/>
    <mergeCell ref="B69:I69"/>
    <mergeCell ref="B70:I70"/>
    <mergeCell ref="B71:I71"/>
    <mergeCell ref="B72:I72"/>
    <mergeCell ref="B73:I73"/>
  </mergeCells>
  <hyperlinks>
    <hyperlink ref="A1" location="AXISNIFTYSMALLCAP50INDEXFUND" display="AXISNS50" xr:uid="{00000000-0004-0000-3C00-000000000000}"/>
    <hyperlink ref="B1" location="AXISNIFTYSMALLCAP50INDEXFUND" display="AXIS NIFTY SMALLCAP 50 INDEX FUND" xr:uid="{00000000-0004-0000-3C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outlinePr summaryBelow="0"/>
  </sheetPr>
  <dimension ref="A1:J78"/>
  <sheetViews>
    <sheetView topLeftCell="A42" workbookViewId="0">
      <selection activeCell="B69" sqref="B69"/>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124</v>
      </c>
      <c r="B1" s="4" t="s">
        <v>125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341</v>
      </c>
      <c r="B7" s="19" t="s">
        <v>342</v>
      </c>
      <c r="C7" s="15" t="s">
        <v>343</v>
      </c>
      <c r="D7" s="15" t="s">
        <v>344</v>
      </c>
      <c r="E7" s="20">
        <v>9710</v>
      </c>
      <c r="F7" s="21">
        <v>82.3262</v>
      </c>
      <c r="G7" s="22">
        <v>5.4100000000000002E-2</v>
      </c>
      <c r="H7" s="40"/>
      <c r="I7" s="24"/>
      <c r="J7" s="5"/>
    </row>
    <row r="8" spans="1:10" ht="13.05" customHeight="1">
      <c r="A8" s="18" t="s">
        <v>482</v>
      </c>
      <c r="B8" s="19" t="s">
        <v>483</v>
      </c>
      <c r="C8" s="15" t="s">
        <v>484</v>
      </c>
      <c r="D8" s="15" t="s">
        <v>261</v>
      </c>
      <c r="E8" s="20">
        <v>49478</v>
      </c>
      <c r="F8" s="21">
        <v>82.084000000000003</v>
      </c>
      <c r="G8" s="22">
        <v>5.3900000000000003E-2</v>
      </c>
      <c r="H8" s="40"/>
      <c r="I8" s="24"/>
      <c r="J8" s="5"/>
    </row>
    <row r="9" spans="1:10" ht="13.05" customHeight="1">
      <c r="A9" s="18" t="s">
        <v>281</v>
      </c>
      <c r="B9" s="19" t="s">
        <v>282</v>
      </c>
      <c r="C9" s="15" t="s">
        <v>283</v>
      </c>
      <c r="D9" s="15" t="s">
        <v>257</v>
      </c>
      <c r="E9" s="20">
        <v>8526</v>
      </c>
      <c r="F9" s="21">
        <v>79.888599999999997</v>
      </c>
      <c r="G9" s="22">
        <v>5.2499999999999998E-2</v>
      </c>
      <c r="H9" s="40"/>
      <c r="I9" s="24"/>
      <c r="J9" s="5"/>
    </row>
    <row r="10" spans="1:10" ht="13.05" customHeight="1">
      <c r="A10" s="18" t="s">
        <v>378</v>
      </c>
      <c r="B10" s="19" t="s">
        <v>379</v>
      </c>
      <c r="C10" s="15" t="s">
        <v>380</v>
      </c>
      <c r="D10" s="15" t="s">
        <v>381</v>
      </c>
      <c r="E10" s="20">
        <v>30901</v>
      </c>
      <c r="F10" s="21">
        <v>78.911900000000003</v>
      </c>
      <c r="G10" s="22">
        <v>5.1799999999999999E-2</v>
      </c>
      <c r="H10" s="40"/>
      <c r="I10" s="24"/>
      <c r="J10" s="5"/>
    </row>
    <row r="11" spans="1:10" ht="13.05" customHeight="1">
      <c r="A11" s="18" t="s">
        <v>419</v>
      </c>
      <c r="B11" s="19" t="s">
        <v>420</v>
      </c>
      <c r="C11" s="15" t="s">
        <v>421</v>
      </c>
      <c r="D11" s="15" t="s">
        <v>422</v>
      </c>
      <c r="E11" s="20">
        <v>15975</v>
      </c>
      <c r="F11" s="21">
        <v>78.8446</v>
      </c>
      <c r="G11" s="22">
        <v>5.1799999999999999E-2</v>
      </c>
      <c r="H11" s="40"/>
      <c r="I11" s="24"/>
      <c r="J11" s="5"/>
    </row>
    <row r="12" spans="1:10" ht="13.05" customHeight="1">
      <c r="A12" s="18" t="s">
        <v>330</v>
      </c>
      <c r="B12" s="19" t="s">
        <v>331</v>
      </c>
      <c r="C12" s="15" t="s">
        <v>332</v>
      </c>
      <c r="D12" s="15" t="s">
        <v>333</v>
      </c>
      <c r="E12" s="20">
        <v>42334</v>
      </c>
      <c r="F12" s="21">
        <v>77.403499999999994</v>
      </c>
      <c r="G12" s="22">
        <v>5.0799999999999998E-2</v>
      </c>
      <c r="H12" s="40"/>
      <c r="I12" s="24"/>
      <c r="J12" s="5"/>
    </row>
    <row r="13" spans="1:10" ht="13.05" customHeight="1">
      <c r="A13" s="18" t="s">
        <v>358</v>
      </c>
      <c r="B13" s="19" t="s">
        <v>359</v>
      </c>
      <c r="C13" s="15" t="s">
        <v>360</v>
      </c>
      <c r="D13" s="15" t="s">
        <v>337</v>
      </c>
      <c r="E13" s="20">
        <v>2529</v>
      </c>
      <c r="F13" s="21">
        <v>73.131100000000004</v>
      </c>
      <c r="G13" s="22">
        <v>4.8000000000000001E-2</v>
      </c>
      <c r="H13" s="40"/>
      <c r="I13" s="24"/>
      <c r="J13" s="5"/>
    </row>
    <row r="14" spans="1:10" ht="13.05" customHeight="1">
      <c r="A14" s="18" t="s">
        <v>318</v>
      </c>
      <c r="B14" s="19" t="s">
        <v>319</v>
      </c>
      <c r="C14" s="15" t="s">
        <v>320</v>
      </c>
      <c r="D14" s="15" t="s">
        <v>321</v>
      </c>
      <c r="E14" s="20">
        <v>21599</v>
      </c>
      <c r="F14" s="21">
        <v>72.777799999999999</v>
      </c>
      <c r="G14" s="22">
        <v>4.7800000000000002E-2</v>
      </c>
      <c r="H14" s="40"/>
      <c r="I14" s="24"/>
      <c r="J14" s="5"/>
    </row>
    <row r="15" spans="1:10" ht="13.05" customHeight="1">
      <c r="A15" s="18" t="s">
        <v>338</v>
      </c>
      <c r="B15" s="19" t="s">
        <v>339</v>
      </c>
      <c r="C15" s="15" t="s">
        <v>340</v>
      </c>
      <c r="D15" s="15" t="s">
        <v>321</v>
      </c>
      <c r="E15" s="20">
        <v>25154</v>
      </c>
      <c r="F15" s="21">
        <v>72.481300000000005</v>
      </c>
      <c r="G15" s="22">
        <v>4.7600000000000003E-2</v>
      </c>
      <c r="H15" s="40"/>
      <c r="I15" s="24"/>
      <c r="J15" s="5"/>
    </row>
    <row r="16" spans="1:10" ht="13.05" customHeight="1">
      <c r="A16" s="18" t="s">
        <v>398</v>
      </c>
      <c r="B16" s="19" t="s">
        <v>399</v>
      </c>
      <c r="C16" s="15" t="s">
        <v>400</v>
      </c>
      <c r="D16" s="15" t="s">
        <v>401</v>
      </c>
      <c r="E16" s="20">
        <v>18500</v>
      </c>
      <c r="F16" s="21">
        <v>71.900300000000001</v>
      </c>
      <c r="G16" s="22">
        <v>4.7199999999999999E-2</v>
      </c>
      <c r="H16" s="40"/>
      <c r="I16" s="24"/>
      <c r="J16" s="5"/>
    </row>
    <row r="17" spans="1:10" ht="13.05" customHeight="1">
      <c r="A17" s="18" t="s">
        <v>449</v>
      </c>
      <c r="B17" s="19" t="s">
        <v>450</v>
      </c>
      <c r="C17" s="15" t="s">
        <v>451</v>
      </c>
      <c r="D17" s="15" t="s">
        <v>261</v>
      </c>
      <c r="E17" s="20">
        <v>17403</v>
      </c>
      <c r="F17" s="21">
        <v>62.093899999999998</v>
      </c>
      <c r="G17" s="22">
        <v>4.0800000000000003E-2</v>
      </c>
      <c r="H17" s="40"/>
      <c r="I17" s="24"/>
      <c r="J17" s="5"/>
    </row>
    <row r="18" spans="1:10" ht="13.05" customHeight="1">
      <c r="A18" s="18" t="s">
        <v>571</v>
      </c>
      <c r="B18" s="19" t="s">
        <v>572</v>
      </c>
      <c r="C18" s="15" t="s">
        <v>573</v>
      </c>
      <c r="D18" s="15" t="s">
        <v>261</v>
      </c>
      <c r="E18" s="20">
        <v>9572</v>
      </c>
      <c r="F18" s="21">
        <v>45.5627</v>
      </c>
      <c r="G18" s="22">
        <v>2.9899999999999999E-2</v>
      </c>
      <c r="H18" s="40"/>
      <c r="I18" s="24"/>
      <c r="J18" s="5"/>
    </row>
    <row r="19" spans="1:10" ht="13.05" customHeight="1">
      <c r="A19" s="18" t="s">
        <v>502</v>
      </c>
      <c r="B19" s="19" t="s">
        <v>503</v>
      </c>
      <c r="C19" s="15" t="s">
        <v>504</v>
      </c>
      <c r="D19" s="15" t="s">
        <v>300</v>
      </c>
      <c r="E19" s="20">
        <v>10853</v>
      </c>
      <c r="F19" s="21">
        <v>43.764699999999998</v>
      </c>
      <c r="G19" s="22">
        <v>2.87E-2</v>
      </c>
      <c r="H19" s="40"/>
      <c r="I19" s="24"/>
      <c r="J19" s="5"/>
    </row>
    <row r="20" spans="1:10" ht="13.05" customHeight="1">
      <c r="A20" s="18" t="s">
        <v>409</v>
      </c>
      <c r="B20" s="19" t="s">
        <v>410</v>
      </c>
      <c r="C20" s="15" t="s">
        <v>411</v>
      </c>
      <c r="D20" s="15" t="s">
        <v>296</v>
      </c>
      <c r="E20" s="20">
        <v>10241</v>
      </c>
      <c r="F20" s="21">
        <v>41.988100000000003</v>
      </c>
      <c r="G20" s="22">
        <v>2.76E-2</v>
      </c>
      <c r="H20" s="40"/>
      <c r="I20" s="24"/>
      <c r="J20" s="5"/>
    </row>
    <row r="21" spans="1:10" ht="13.05" customHeight="1">
      <c r="A21" s="18" t="s">
        <v>640</v>
      </c>
      <c r="B21" s="19" t="s">
        <v>641</v>
      </c>
      <c r="C21" s="15" t="s">
        <v>642</v>
      </c>
      <c r="D21" s="15" t="s">
        <v>296</v>
      </c>
      <c r="E21" s="20">
        <v>1455</v>
      </c>
      <c r="F21" s="21">
        <v>35.4831</v>
      </c>
      <c r="G21" s="22">
        <v>2.3300000000000001E-2</v>
      </c>
      <c r="H21" s="40"/>
      <c r="I21" s="24"/>
      <c r="J21" s="5"/>
    </row>
    <row r="22" spans="1:10" ht="13.05" customHeight="1">
      <c r="A22" s="18" t="s">
        <v>529</v>
      </c>
      <c r="B22" s="19" t="s">
        <v>530</v>
      </c>
      <c r="C22" s="15" t="s">
        <v>531</v>
      </c>
      <c r="D22" s="15" t="s">
        <v>257</v>
      </c>
      <c r="E22" s="20">
        <v>12454</v>
      </c>
      <c r="F22" s="21">
        <v>34.671900000000001</v>
      </c>
      <c r="G22" s="22">
        <v>2.2800000000000001E-2</v>
      </c>
      <c r="H22" s="40"/>
      <c r="I22" s="24"/>
      <c r="J22" s="5"/>
    </row>
    <row r="23" spans="1:10" ht="13.05" customHeight="1">
      <c r="A23" s="18" t="s">
        <v>526</v>
      </c>
      <c r="B23" s="19" t="s">
        <v>527</v>
      </c>
      <c r="C23" s="15" t="s">
        <v>528</v>
      </c>
      <c r="D23" s="15" t="s">
        <v>257</v>
      </c>
      <c r="E23" s="20">
        <v>4069</v>
      </c>
      <c r="F23" s="21">
        <v>32.340400000000002</v>
      </c>
      <c r="G23" s="22">
        <v>2.12E-2</v>
      </c>
      <c r="H23" s="40"/>
      <c r="I23" s="24"/>
      <c r="J23" s="5"/>
    </row>
    <row r="24" spans="1:10" ht="13.05" customHeight="1">
      <c r="A24" s="18" t="s">
        <v>568</v>
      </c>
      <c r="B24" s="19" t="s">
        <v>569</v>
      </c>
      <c r="C24" s="15" t="s">
        <v>570</v>
      </c>
      <c r="D24" s="15" t="s">
        <v>257</v>
      </c>
      <c r="E24" s="20">
        <v>23105</v>
      </c>
      <c r="F24" s="21">
        <v>31.651499999999999</v>
      </c>
      <c r="G24" s="22">
        <v>2.0799999999999999E-2</v>
      </c>
      <c r="H24" s="40"/>
      <c r="I24" s="24"/>
      <c r="J24" s="5"/>
    </row>
    <row r="25" spans="1:10" ht="13.05" customHeight="1">
      <c r="A25" s="18" t="s">
        <v>561</v>
      </c>
      <c r="B25" s="19" t="s">
        <v>562</v>
      </c>
      <c r="C25" s="15" t="s">
        <v>563</v>
      </c>
      <c r="D25" s="15" t="s">
        <v>300</v>
      </c>
      <c r="E25" s="20">
        <v>7842</v>
      </c>
      <c r="F25" s="21">
        <v>29.395700000000001</v>
      </c>
      <c r="G25" s="22">
        <v>1.9300000000000001E-2</v>
      </c>
      <c r="H25" s="40"/>
      <c r="I25" s="24"/>
      <c r="J25" s="5"/>
    </row>
    <row r="26" spans="1:10" ht="13.05" customHeight="1">
      <c r="A26" s="18" t="s">
        <v>748</v>
      </c>
      <c r="B26" s="19" t="s">
        <v>749</v>
      </c>
      <c r="C26" s="15" t="s">
        <v>750</v>
      </c>
      <c r="D26" s="15" t="s">
        <v>751</v>
      </c>
      <c r="E26" s="20">
        <v>33393</v>
      </c>
      <c r="F26" s="21">
        <v>25.308599999999998</v>
      </c>
      <c r="G26" s="22">
        <v>1.66E-2</v>
      </c>
      <c r="H26" s="40"/>
      <c r="I26" s="24"/>
      <c r="J26" s="5"/>
    </row>
    <row r="27" spans="1:10" ht="13.05" customHeight="1">
      <c r="A27" s="18" t="s">
        <v>542</v>
      </c>
      <c r="B27" s="19" t="s">
        <v>543</v>
      </c>
      <c r="C27" s="15" t="s">
        <v>544</v>
      </c>
      <c r="D27" s="15" t="s">
        <v>545</v>
      </c>
      <c r="E27" s="20">
        <v>13491</v>
      </c>
      <c r="F27" s="21">
        <v>24.656199999999998</v>
      </c>
      <c r="G27" s="22">
        <v>1.6199999999999999E-2</v>
      </c>
      <c r="H27" s="40"/>
      <c r="I27" s="24"/>
      <c r="J27" s="5"/>
    </row>
    <row r="28" spans="1:10" ht="13.05" customHeight="1">
      <c r="A28" s="18" t="s">
        <v>505</v>
      </c>
      <c r="B28" s="19" t="s">
        <v>2339</v>
      </c>
      <c r="C28" s="15" t="s">
        <v>506</v>
      </c>
      <c r="D28" s="15" t="s">
        <v>507</v>
      </c>
      <c r="E28" s="20">
        <v>9361</v>
      </c>
      <c r="F28" s="21">
        <v>24.408799999999999</v>
      </c>
      <c r="G28" s="22">
        <v>1.6E-2</v>
      </c>
      <c r="H28" s="40"/>
      <c r="I28" s="24"/>
      <c r="J28" s="5"/>
    </row>
    <row r="29" spans="1:10" ht="13.05" customHeight="1">
      <c r="A29" s="18" t="s">
        <v>865</v>
      </c>
      <c r="B29" s="19" t="s">
        <v>866</v>
      </c>
      <c r="C29" s="15" t="s">
        <v>867</v>
      </c>
      <c r="D29" s="15" t="s">
        <v>333</v>
      </c>
      <c r="E29" s="20">
        <v>17578</v>
      </c>
      <c r="F29" s="21">
        <v>24.055499999999999</v>
      </c>
      <c r="G29" s="22">
        <v>1.5800000000000002E-2</v>
      </c>
      <c r="H29" s="40"/>
      <c r="I29" s="24"/>
      <c r="J29" s="5"/>
    </row>
    <row r="30" spans="1:10" ht="13.05" customHeight="1">
      <c r="A30" s="18" t="s">
        <v>967</v>
      </c>
      <c r="B30" s="19" t="s">
        <v>968</v>
      </c>
      <c r="C30" s="15" t="s">
        <v>969</v>
      </c>
      <c r="D30" s="15" t="s">
        <v>970</v>
      </c>
      <c r="E30" s="20">
        <v>9465</v>
      </c>
      <c r="F30" s="21">
        <v>24.017399999999999</v>
      </c>
      <c r="G30" s="22">
        <v>1.5800000000000002E-2</v>
      </c>
      <c r="H30" s="40"/>
      <c r="I30" s="24"/>
      <c r="J30" s="5"/>
    </row>
    <row r="31" spans="1:10" ht="13.05" customHeight="1">
      <c r="A31" s="18" t="s">
        <v>600</v>
      </c>
      <c r="B31" s="19" t="s">
        <v>601</v>
      </c>
      <c r="C31" s="15" t="s">
        <v>602</v>
      </c>
      <c r="D31" s="15" t="s">
        <v>603</v>
      </c>
      <c r="E31" s="20">
        <v>2985</v>
      </c>
      <c r="F31" s="21">
        <v>21.495000000000001</v>
      </c>
      <c r="G31" s="22">
        <v>1.41E-2</v>
      </c>
      <c r="H31" s="40"/>
      <c r="I31" s="24"/>
      <c r="J31" s="5"/>
    </row>
    <row r="32" spans="1:10" ht="13.05" customHeight="1">
      <c r="A32" s="18" t="s">
        <v>495</v>
      </c>
      <c r="B32" s="19" t="s">
        <v>496</v>
      </c>
      <c r="C32" s="15" t="s">
        <v>497</v>
      </c>
      <c r="D32" s="15" t="s">
        <v>257</v>
      </c>
      <c r="E32" s="20">
        <v>8616</v>
      </c>
      <c r="F32" s="21">
        <v>20.386299999999999</v>
      </c>
      <c r="G32" s="22">
        <v>1.34E-2</v>
      </c>
      <c r="H32" s="40"/>
      <c r="I32" s="24"/>
      <c r="J32" s="5"/>
    </row>
    <row r="33" spans="1:10" ht="13.05" customHeight="1">
      <c r="A33" s="18" t="s">
        <v>588</v>
      </c>
      <c r="B33" s="19" t="s">
        <v>589</v>
      </c>
      <c r="C33" s="15" t="s">
        <v>590</v>
      </c>
      <c r="D33" s="15" t="s">
        <v>257</v>
      </c>
      <c r="E33" s="20">
        <v>16318</v>
      </c>
      <c r="F33" s="21">
        <v>20.0532</v>
      </c>
      <c r="G33" s="22">
        <v>1.32E-2</v>
      </c>
      <c r="H33" s="40"/>
      <c r="I33" s="24"/>
      <c r="J33" s="5"/>
    </row>
    <row r="34" spans="1:10" ht="13.05" customHeight="1">
      <c r="A34" s="18" t="s">
        <v>718</v>
      </c>
      <c r="B34" s="19" t="s">
        <v>719</v>
      </c>
      <c r="C34" s="15" t="s">
        <v>720</v>
      </c>
      <c r="D34" s="15" t="s">
        <v>257</v>
      </c>
      <c r="E34" s="20">
        <v>12607</v>
      </c>
      <c r="F34" s="21">
        <v>18.742799999999999</v>
      </c>
      <c r="G34" s="22">
        <v>1.23E-2</v>
      </c>
      <c r="H34" s="40"/>
      <c r="I34" s="24"/>
      <c r="J34" s="5"/>
    </row>
    <row r="35" spans="1:10" ht="13.05" customHeight="1">
      <c r="A35" s="18" t="s">
        <v>1138</v>
      </c>
      <c r="B35" s="19" t="s">
        <v>1139</v>
      </c>
      <c r="C35" s="15" t="s">
        <v>1140</v>
      </c>
      <c r="D35" s="15" t="s">
        <v>348</v>
      </c>
      <c r="E35" s="20">
        <v>1376</v>
      </c>
      <c r="F35" s="21">
        <v>15.1305</v>
      </c>
      <c r="G35" s="22">
        <v>9.9000000000000008E-3</v>
      </c>
      <c r="H35" s="40"/>
      <c r="I35" s="24"/>
      <c r="J35" s="5"/>
    </row>
    <row r="36" spans="1:10" ht="13.05" customHeight="1">
      <c r="A36" s="18" t="s">
        <v>837</v>
      </c>
      <c r="B36" s="19" t="s">
        <v>838</v>
      </c>
      <c r="C36" s="15" t="s">
        <v>839</v>
      </c>
      <c r="D36" s="15" t="s">
        <v>344</v>
      </c>
      <c r="E36" s="20">
        <v>6299</v>
      </c>
      <c r="F36" s="21">
        <v>14.7485</v>
      </c>
      <c r="G36" s="22">
        <v>9.7000000000000003E-3</v>
      </c>
      <c r="H36" s="40"/>
      <c r="I36" s="24"/>
      <c r="J36" s="5"/>
    </row>
    <row r="37" spans="1:10" ht="13.05" customHeight="1">
      <c r="A37" s="18" t="s">
        <v>700</v>
      </c>
      <c r="B37" s="19" t="s">
        <v>701</v>
      </c>
      <c r="C37" s="15" t="s">
        <v>702</v>
      </c>
      <c r="D37" s="15" t="s">
        <v>257</v>
      </c>
      <c r="E37" s="20">
        <v>1533</v>
      </c>
      <c r="F37" s="21">
        <v>13.1639</v>
      </c>
      <c r="G37" s="22">
        <v>8.6E-3</v>
      </c>
      <c r="H37" s="40"/>
      <c r="I37" s="24"/>
      <c r="J37" s="5"/>
    </row>
    <row r="38" spans="1:10" ht="13.05" customHeight="1">
      <c r="A38" s="18" t="s">
        <v>795</v>
      </c>
      <c r="B38" s="19" t="s">
        <v>796</v>
      </c>
      <c r="C38" s="15" t="s">
        <v>797</v>
      </c>
      <c r="D38" s="15" t="s">
        <v>381</v>
      </c>
      <c r="E38" s="20">
        <v>2809</v>
      </c>
      <c r="F38" s="21">
        <v>12.172800000000001</v>
      </c>
      <c r="G38" s="22">
        <v>8.0000000000000002E-3</v>
      </c>
      <c r="H38" s="40"/>
      <c r="I38" s="24"/>
      <c r="J38" s="5"/>
    </row>
    <row r="39" spans="1:10" ht="13.05" customHeight="1">
      <c r="A39" s="18" t="s">
        <v>831</v>
      </c>
      <c r="B39" s="19" t="s">
        <v>832</v>
      </c>
      <c r="C39" s="15" t="s">
        <v>833</v>
      </c>
      <c r="D39" s="15" t="s">
        <v>545</v>
      </c>
      <c r="E39" s="20">
        <v>3890</v>
      </c>
      <c r="F39" s="21">
        <v>10.9406</v>
      </c>
      <c r="G39" s="22">
        <v>7.1999999999999998E-3</v>
      </c>
      <c r="H39" s="40"/>
      <c r="I39" s="24"/>
      <c r="J39" s="5"/>
    </row>
    <row r="40" spans="1:10" ht="13.05" customHeight="1">
      <c r="A40" s="18" t="s">
        <v>925</v>
      </c>
      <c r="B40" s="19" t="s">
        <v>926</v>
      </c>
      <c r="C40" s="15" t="s">
        <v>927</v>
      </c>
      <c r="D40" s="15" t="s">
        <v>257</v>
      </c>
      <c r="E40" s="20">
        <v>7808</v>
      </c>
      <c r="F40" s="21">
        <v>10.921799999999999</v>
      </c>
      <c r="G40" s="22">
        <v>7.1999999999999998E-3</v>
      </c>
      <c r="H40" s="40"/>
      <c r="I40" s="24"/>
      <c r="J40" s="5"/>
    </row>
    <row r="41" spans="1:10" ht="13.05" customHeight="1">
      <c r="A41" s="18" t="s">
        <v>1114</v>
      </c>
      <c r="B41" s="19" t="s">
        <v>1115</v>
      </c>
      <c r="C41" s="15" t="s">
        <v>1116</v>
      </c>
      <c r="D41" s="15" t="s">
        <v>321</v>
      </c>
      <c r="E41" s="20">
        <v>6028</v>
      </c>
      <c r="F41" s="21">
        <v>10.848000000000001</v>
      </c>
      <c r="G41" s="22">
        <v>7.1000000000000004E-3</v>
      </c>
      <c r="H41" s="40"/>
      <c r="I41" s="24"/>
      <c r="J41" s="5"/>
    </row>
    <row r="42" spans="1:10" ht="13.05" customHeight="1">
      <c r="A42" s="18" t="s">
        <v>1007</v>
      </c>
      <c r="B42" s="19" t="s">
        <v>1008</v>
      </c>
      <c r="C42" s="15" t="s">
        <v>1009</v>
      </c>
      <c r="D42" s="15" t="s">
        <v>581</v>
      </c>
      <c r="E42" s="20">
        <v>1144</v>
      </c>
      <c r="F42" s="21">
        <v>10.189</v>
      </c>
      <c r="G42" s="22">
        <v>6.7000000000000002E-3</v>
      </c>
      <c r="H42" s="40"/>
      <c r="I42" s="24"/>
      <c r="J42" s="5"/>
    </row>
    <row r="43" spans="1:10" ht="13.05" customHeight="1">
      <c r="A43" s="18" t="s">
        <v>916</v>
      </c>
      <c r="B43" s="19" t="s">
        <v>917</v>
      </c>
      <c r="C43" s="15" t="s">
        <v>918</v>
      </c>
      <c r="D43" s="15" t="s">
        <v>300</v>
      </c>
      <c r="E43" s="20">
        <v>1754</v>
      </c>
      <c r="F43" s="21">
        <v>10.0145</v>
      </c>
      <c r="G43" s="22">
        <v>6.6E-3</v>
      </c>
      <c r="H43" s="40"/>
      <c r="I43" s="24"/>
      <c r="J43" s="5"/>
    </row>
    <row r="44" spans="1:10" ht="13.05" customHeight="1">
      <c r="A44" s="18" t="s">
        <v>983</v>
      </c>
      <c r="B44" s="19" t="s">
        <v>984</v>
      </c>
      <c r="C44" s="15" t="s">
        <v>985</v>
      </c>
      <c r="D44" s="15" t="s">
        <v>300</v>
      </c>
      <c r="E44" s="20">
        <v>5126</v>
      </c>
      <c r="F44" s="21">
        <v>9.6670999999999996</v>
      </c>
      <c r="G44" s="22">
        <v>6.4000000000000003E-3</v>
      </c>
      <c r="H44" s="40"/>
      <c r="I44" s="24"/>
      <c r="J44" s="5"/>
    </row>
    <row r="45" spans="1:10" ht="13.05" customHeight="1">
      <c r="A45" s="18" t="s">
        <v>871</v>
      </c>
      <c r="B45" s="19" t="s">
        <v>872</v>
      </c>
      <c r="C45" s="15" t="s">
        <v>873</v>
      </c>
      <c r="D45" s="15" t="s">
        <v>257</v>
      </c>
      <c r="E45" s="20">
        <v>2634</v>
      </c>
      <c r="F45" s="21">
        <v>8.5960999999999999</v>
      </c>
      <c r="G45" s="22">
        <v>5.5999999999999999E-3</v>
      </c>
      <c r="H45" s="40"/>
      <c r="I45" s="24"/>
      <c r="J45" s="5"/>
    </row>
    <row r="46" spans="1:10" ht="13.05" customHeight="1">
      <c r="A46" s="18" t="s">
        <v>1323</v>
      </c>
      <c r="B46" s="19" t="s">
        <v>1324</v>
      </c>
      <c r="C46" s="15" t="s">
        <v>1325</v>
      </c>
      <c r="D46" s="15" t="s">
        <v>276</v>
      </c>
      <c r="E46" s="20">
        <v>3507</v>
      </c>
      <c r="F46" s="21">
        <v>7.4478</v>
      </c>
      <c r="G46" s="22">
        <v>4.8999999999999998E-3</v>
      </c>
      <c r="H46" s="40"/>
      <c r="I46" s="24"/>
      <c r="J46" s="5"/>
    </row>
    <row r="47" spans="1:10" ht="13.05" customHeight="1">
      <c r="A47" s="18" t="s">
        <v>801</v>
      </c>
      <c r="B47" s="19" t="s">
        <v>802</v>
      </c>
      <c r="C47" s="15" t="s">
        <v>803</v>
      </c>
      <c r="D47" s="15" t="s">
        <v>257</v>
      </c>
      <c r="E47" s="20">
        <v>3026</v>
      </c>
      <c r="F47" s="21">
        <v>7.3577000000000004</v>
      </c>
      <c r="G47" s="22">
        <v>4.7999999999999996E-3</v>
      </c>
      <c r="H47" s="40"/>
      <c r="I47" s="24"/>
      <c r="J47" s="5"/>
    </row>
    <row r="48" spans="1:10" ht="13.05" customHeight="1">
      <c r="A48" s="18" t="s">
        <v>1229</v>
      </c>
      <c r="B48" s="19" t="s">
        <v>1230</v>
      </c>
      <c r="C48" s="15" t="s">
        <v>1231</v>
      </c>
      <c r="D48" s="15" t="s">
        <v>1232</v>
      </c>
      <c r="E48" s="20">
        <v>6142</v>
      </c>
      <c r="F48" s="21">
        <v>6.1776</v>
      </c>
      <c r="G48" s="22">
        <v>4.1000000000000003E-3</v>
      </c>
      <c r="H48" s="40"/>
      <c r="I48" s="24"/>
      <c r="J48" s="5"/>
    </row>
    <row r="49" spans="1:10" ht="13.05" customHeight="1">
      <c r="A49" s="18" t="s">
        <v>1019</v>
      </c>
      <c r="B49" s="19" t="s">
        <v>1020</v>
      </c>
      <c r="C49" s="15" t="s">
        <v>1021</v>
      </c>
      <c r="D49" s="15" t="s">
        <v>257</v>
      </c>
      <c r="E49" s="20">
        <v>3612</v>
      </c>
      <c r="F49" s="21">
        <v>5.6548999999999996</v>
      </c>
      <c r="G49" s="22">
        <v>3.7000000000000002E-3</v>
      </c>
      <c r="H49" s="40"/>
      <c r="I49" s="24"/>
      <c r="J49" s="5"/>
    </row>
    <row r="50" spans="1:10" ht="13.05" customHeight="1">
      <c r="A50" s="18" t="s">
        <v>977</v>
      </c>
      <c r="B50" s="19" t="s">
        <v>978</v>
      </c>
      <c r="C50" s="15" t="s">
        <v>979</v>
      </c>
      <c r="D50" s="15" t="s">
        <v>300</v>
      </c>
      <c r="E50" s="20">
        <v>2028</v>
      </c>
      <c r="F50" s="21">
        <v>5.4654999999999996</v>
      </c>
      <c r="G50" s="22">
        <v>3.5999999999999999E-3</v>
      </c>
      <c r="H50" s="40"/>
      <c r="I50" s="24"/>
      <c r="J50" s="5"/>
    </row>
    <row r="51" spans="1:10" ht="13.05" customHeight="1">
      <c r="A51" s="18" t="s">
        <v>1465</v>
      </c>
      <c r="B51" s="19" t="s">
        <v>1466</v>
      </c>
      <c r="C51" s="15" t="s">
        <v>1467</v>
      </c>
      <c r="D51" s="15" t="s">
        <v>321</v>
      </c>
      <c r="E51" s="20">
        <v>2472</v>
      </c>
      <c r="F51" s="21">
        <v>5.3384999999999998</v>
      </c>
      <c r="G51" s="22">
        <v>3.5000000000000001E-3</v>
      </c>
      <c r="H51" s="40"/>
      <c r="I51" s="24"/>
      <c r="J51" s="5"/>
    </row>
    <row r="52" spans="1:10" ht="13.05" customHeight="1">
      <c r="A52" s="18" t="s">
        <v>934</v>
      </c>
      <c r="B52" s="19" t="s">
        <v>935</v>
      </c>
      <c r="C52" s="15" t="s">
        <v>936</v>
      </c>
      <c r="D52" s="15" t="s">
        <v>257</v>
      </c>
      <c r="E52" s="20">
        <v>2238</v>
      </c>
      <c r="F52" s="21">
        <v>5.1176000000000004</v>
      </c>
      <c r="G52" s="22">
        <v>3.3999999999999998E-3</v>
      </c>
      <c r="H52" s="40"/>
      <c r="I52" s="24"/>
      <c r="J52" s="5"/>
    </row>
    <row r="53" spans="1:10" ht="13.05" customHeight="1">
      <c r="A53" s="18" t="s">
        <v>1046</v>
      </c>
      <c r="B53" s="19" t="s">
        <v>1047</v>
      </c>
      <c r="C53" s="15" t="s">
        <v>1048</v>
      </c>
      <c r="D53" s="15" t="s">
        <v>300</v>
      </c>
      <c r="E53" s="20">
        <v>922</v>
      </c>
      <c r="F53" s="21">
        <v>4.9290000000000003</v>
      </c>
      <c r="G53" s="22">
        <v>3.2000000000000002E-3</v>
      </c>
      <c r="H53" s="40"/>
      <c r="I53" s="24"/>
      <c r="J53" s="5"/>
    </row>
    <row r="54" spans="1:10" ht="13.05" customHeight="1">
      <c r="A54" s="18" t="s">
        <v>1379</v>
      </c>
      <c r="B54" s="19" t="s">
        <v>1380</v>
      </c>
      <c r="C54" s="15" t="s">
        <v>1381</v>
      </c>
      <c r="D54" s="15" t="s">
        <v>603</v>
      </c>
      <c r="E54" s="20">
        <v>1018</v>
      </c>
      <c r="F54" s="21">
        <v>4.8951000000000002</v>
      </c>
      <c r="G54" s="22">
        <v>3.2000000000000002E-3</v>
      </c>
      <c r="H54" s="40"/>
      <c r="I54" s="24"/>
      <c r="J54" s="5"/>
    </row>
    <row r="55" spans="1:10" ht="13.05" customHeight="1">
      <c r="A55" s="18" t="s">
        <v>1653</v>
      </c>
      <c r="B55" s="19" t="s">
        <v>1654</v>
      </c>
      <c r="C55" s="15" t="s">
        <v>1655</v>
      </c>
      <c r="D55" s="15" t="s">
        <v>501</v>
      </c>
      <c r="E55" s="20">
        <v>2504</v>
      </c>
      <c r="F55" s="21">
        <v>4.3883000000000001</v>
      </c>
      <c r="G55" s="22">
        <v>2.8999999999999998E-3</v>
      </c>
      <c r="H55" s="40"/>
      <c r="I55" s="24"/>
      <c r="J55" s="5"/>
    </row>
    <row r="56" spans="1:10" ht="13.05" customHeight="1">
      <c r="A56" s="18" t="s">
        <v>1251</v>
      </c>
      <c r="B56" s="19" t="s">
        <v>1252</v>
      </c>
      <c r="C56" s="15" t="s">
        <v>1253</v>
      </c>
      <c r="D56" s="15" t="s">
        <v>257</v>
      </c>
      <c r="E56" s="20">
        <v>6697</v>
      </c>
      <c r="F56" s="21">
        <v>3.9531999999999998</v>
      </c>
      <c r="G56" s="22">
        <v>2.5999999999999999E-3</v>
      </c>
      <c r="H56" s="40"/>
      <c r="I56" s="24"/>
      <c r="J56" s="5"/>
    </row>
    <row r="57" spans="1:10" ht="13.05" customHeight="1">
      <c r="A57" s="18" t="s">
        <v>1376</v>
      </c>
      <c r="B57" s="19" t="s">
        <v>1377</v>
      </c>
      <c r="C57" s="15" t="s">
        <v>1378</v>
      </c>
      <c r="D57" s="15" t="s">
        <v>545</v>
      </c>
      <c r="E57" s="20">
        <v>225</v>
      </c>
      <c r="F57" s="21">
        <v>2.8730000000000002</v>
      </c>
      <c r="G57" s="22">
        <v>1.9E-3</v>
      </c>
      <c r="H57" s="40"/>
      <c r="I57" s="24"/>
      <c r="J57" s="5"/>
    </row>
    <row r="58" spans="1:10" ht="13.05" customHeight="1">
      <c r="A58" s="5"/>
      <c r="B58" s="14" t="s">
        <v>192</v>
      </c>
      <c r="C58" s="15"/>
      <c r="D58" s="15"/>
      <c r="E58" s="15"/>
      <c r="F58" s="25">
        <v>1519.8163</v>
      </c>
      <c r="G58" s="26">
        <v>0.99829999999999997</v>
      </c>
      <c r="H58" s="27"/>
      <c r="I58" s="28"/>
      <c r="J58" s="5"/>
    </row>
    <row r="59" spans="1:10" ht="13.05" customHeight="1">
      <c r="A59" s="5"/>
      <c r="B59" s="29" t="s">
        <v>1812</v>
      </c>
      <c r="C59" s="2"/>
      <c r="D59" s="2"/>
      <c r="E59" s="2"/>
      <c r="F59" s="27" t="s">
        <v>194</v>
      </c>
      <c r="G59" s="27" t="s">
        <v>194</v>
      </c>
      <c r="H59" s="27"/>
      <c r="I59" s="28"/>
      <c r="J59" s="5"/>
    </row>
    <row r="60" spans="1:10" ht="13.05" customHeight="1">
      <c r="A60" s="5"/>
      <c r="B60" s="29" t="s">
        <v>192</v>
      </c>
      <c r="C60" s="2"/>
      <c r="D60" s="2"/>
      <c r="E60" s="2"/>
      <c r="F60" s="27" t="s">
        <v>194</v>
      </c>
      <c r="G60" s="27" t="s">
        <v>194</v>
      </c>
      <c r="H60" s="27"/>
      <c r="I60" s="28"/>
      <c r="J60" s="5"/>
    </row>
    <row r="61" spans="1:10" ht="13.05" customHeight="1">
      <c r="A61" s="5"/>
      <c r="B61" s="29" t="s">
        <v>195</v>
      </c>
      <c r="C61" s="30"/>
      <c r="D61" s="2"/>
      <c r="E61" s="30"/>
      <c r="F61" s="25">
        <v>1519.8163</v>
      </c>
      <c r="G61" s="26">
        <v>0.99829999999999997</v>
      </c>
      <c r="H61" s="27"/>
      <c r="I61" s="28"/>
      <c r="J61" s="5"/>
    </row>
    <row r="62" spans="1:10" ht="13.05" customHeight="1">
      <c r="A62" s="5"/>
      <c r="B62" s="14" t="s">
        <v>196</v>
      </c>
      <c r="C62" s="15"/>
      <c r="D62" s="15"/>
      <c r="E62" s="15"/>
      <c r="F62" s="15"/>
      <c r="G62" s="15"/>
      <c r="H62" s="16"/>
      <c r="I62" s="17"/>
      <c r="J62" s="5"/>
    </row>
    <row r="63" spans="1:10" ht="13.05" customHeight="1">
      <c r="A63" s="18" t="s">
        <v>197</v>
      </c>
      <c r="B63" s="19" t="s">
        <v>198</v>
      </c>
      <c r="C63" s="15"/>
      <c r="D63" s="15"/>
      <c r="E63" s="20"/>
      <c r="F63" s="21">
        <v>2.3993000000000002</v>
      </c>
      <c r="G63" s="22">
        <v>1.6000000000000001E-3</v>
      </c>
      <c r="H63" s="23">
        <v>5.5572959610306616E-2</v>
      </c>
      <c r="I63" s="24"/>
      <c r="J63" s="5"/>
    </row>
    <row r="64" spans="1:10" ht="13.05" customHeight="1">
      <c r="A64" s="5"/>
      <c r="B64" s="14" t="s">
        <v>192</v>
      </c>
      <c r="C64" s="15"/>
      <c r="D64" s="15"/>
      <c r="E64" s="15"/>
      <c r="F64" s="25">
        <v>2.3993000000000002</v>
      </c>
      <c r="G64" s="26">
        <v>1.6000000000000001E-3</v>
      </c>
      <c r="H64" s="27"/>
      <c r="I64" s="28"/>
      <c r="J64" s="5"/>
    </row>
    <row r="65" spans="1:10" ht="13.05" customHeight="1">
      <c r="A65" s="5"/>
      <c r="B65" s="29" t="s">
        <v>195</v>
      </c>
      <c r="C65" s="30"/>
      <c r="D65" s="2"/>
      <c r="E65" s="30"/>
      <c r="F65" s="25">
        <v>2.3993000000000002</v>
      </c>
      <c r="G65" s="26">
        <v>1.6000000000000001E-3</v>
      </c>
      <c r="H65" s="27"/>
      <c r="I65" s="28"/>
      <c r="J65" s="5"/>
    </row>
    <row r="66" spans="1:10" ht="13.05" customHeight="1">
      <c r="A66" s="5"/>
      <c r="B66" s="29" t="s">
        <v>199</v>
      </c>
      <c r="C66" s="15"/>
      <c r="D66" s="2"/>
      <c r="E66" s="15"/>
      <c r="F66" s="31">
        <v>0.13439999999999999</v>
      </c>
      <c r="G66" s="26">
        <v>1E-4</v>
      </c>
      <c r="H66" s="27"/>
      <c r="I66" s="28"/>
      <c r="J66" s="5"/>
    </row>
    <row r="67" spans="1:10" ht="13.05" customHeight="1">
      <c r="A67" s="5"/>
      <c r="B67" s="32" t="s">
        <v>200</v>
      </c>
      <c r="C67" s="33"/>
      <c r="D67" s="33"/>
      <c r="E67" s="33"/>
      <c r="F67" s="34">
        <v>1522.35</v>
      </c>
      <c r="G67" s="35">
        <v>1</v>
      </c>
      <c r="H67" s="36"/>
      <c r="I67" s="37"/>
      <c r="J67" s="5"/>
    </row>
    <row r="68" spans="1:10" ht="13.05" customHeight="1">
      <c r="A68" s="5"/>
      <c r="B68" s="7"/>
      <c r="C68" s="5"/>
      <c r="D68" s="5"/>
      <c r="E68" s="5"/>
      <c r="F68" s="5"/>
      <c r="G68" s="5"/>
      <c r="H68" s="5"/>
      <c r="I68" s="5"/>
      <c r="J68" s="5"/>
    </row>
    <row r="69" spans="1:10" ht="13.05" customHeight="1">
      <c r="A69" s="5"/>
      <c r="B69" s="4"/>
      <c r="C69" s="5"/>
      <c r="D69" s="5"/>
      <c r="E69" s="5"/>
      <c r="F69" s="5"/>
      <c r="G69" s="5"/>
      <c r="H69" s="5"/>
      <c r="I69" s="5"/>
      <c r="J69" s="5"/>
    </row>
    <row r="70" spans="1:10" ht="13.05" customHeight="1">
      <c r="A70" s="5"/>
      <c r="B70" s="4" t="s">
        <v>201</v>
      </c>
      <c r="C70" s="5"/>
      <c r="D70" s="5"/>
      <c r="E70" s="5"/>
      <c r="F70" s="5"/>
      <c r="G70" s="5"/>
      <c r="H70" s="5"/>
      <c r="I70" s="5"/>
      <c r="J70" s="5"/>
    </row>
    <row r="71" spans="1:10" ht="25.95" customHeight="1">
      <c r="A71" s="5"/>
      <c r="B71" s="103" t="s">
        <v>202</v>
      </c>
      <c r="C71" s="103"/>
      <c r="D71" s="103"/>
      <c r="E71" s="103"/>
      <c r="F71" s="103"/>
      <c r="G71" s="103"/>
      <c r="H71" s="103"/>
      <c r="I71" s="103"/>
      <c r="J71" s="5"/>
    </row>
    <row r="72" spans="1:10" ht="13.05" customHeight="1">
      <c r="A72" s="5"/>
      <c r="B72" s="103" t="s">
        <v>203</v>
      </c>
      <c r="C72" s="103"/>
      <c r="D72" s="103"/>
      <c r="E72" s="103"/>
      <c r="F72" s="103"/>
      <c r="G72" s="103"/>
      <c r="H72" s="103"/>
      <c r="I72" s="103"/>
      <c r="J72" s="5"/>
    </row>
    <row r="73" spans="1:10" ht="13.05" customHeight="1">
      <c r="A73" s="5"/>
      <c r="B73" s="103"/>
      <c r="C73" s="103"/>
      <c r="D73" s="103"/>
      <c r="E73" s="103"/>
      <c r="F73" s="103"/>
      <c r="G73" s="103"/>
      <c r="H73" s="103"/>
      <c r="I73" s="103"/>
      <c r="J73" s="5"/>
    </row>
    <row r="74" spans="1:10" ht="13.05" customHeight="1">
      <c r="A74" s="5"/>
      <c r="B74" s="109" t="s">
        <v>4649</v>
      </c>
      <c r="C74" s="109"/>
      <c r="D74" s="109"/>
      <c r="E74" s="109"/>
      <c r="F74" s="5"/>
      <c r="G74" s="5"/>
      <c r="H74" s="5"/>
      <c r="I74" s="5"/>
      <c r="J74" s="5"/>
    </row>
    <row r="75" spans="1:10" ht="13.05" customHeight="1">
      <c r="A75" s="5"/>
      <c r="B75" s="103"/>
      <c r="C75" s="103"/>
      <c r="D75" s="103"/>
      <c r="E75" s="103"/>
      <c r="F75" s="103"/>
      <c r="G75" s="103"/>
      <c r="H75" s="103"/>
      <c r="I75" s="103"/>
      <c r="J75" s="5"/>
    </row>
    <row r="76" spans="1:10" ht="13.05" customHeight="1">
      <c r="A76" s="5"/>
      <c r="B76" s="5"/>
      <c r="C76" s="104" t="s">
        <v>4650</v>
      </c>
      <c r="D76" s="104"/>
      <c r="E76" s="104"/>
      <c r="F76" s="104"/>
      <c r="G76" s="5"/>
      <c r="H76" s="5"/>
      <c r="I76" s="5"/>
      <c r="J76" s="5"/>
    </row>
    <row r="77" spans="1:10" ht="13.05" customHeight="1">
      <c r="A77" s="5"/>
      <c r="B77" s="38" t="s">
        <v>207</v>
      </c>
      <c r="C77" s="104" t="s">
        <v>208</v>
      </c>
      <c r="D77" s="104"/>
      <c r="E77" s="104"/>
      <c r="F77" s="104"/>
      <c r="G77" s="5"/>
      <c r="H77" s="5"/>
      <c r="I77" s="5"/>
      <c r="J77" s="5"/>
    </row>
    <row r="78" spans="1:10" ht="135" customHeight="1">
      <c r="A78" s="5"/>
      <c r="B78" s="39"/>
      <c r="C78" s="105"/>
      <c r="D78" s="105"/>
      <c r="E78" s="5"/>
      <c r="F78" s="5"/>
      <c r="G78" s="5"/>
      <c r="H78" s="5"/>
      <c r="I78" s="5"/>
      <c r="J78" s="5"/>
    </row>
  </sheetData>
  <mergeCells count="8">
    <mergeCell ref="C76:F76"/>
    <mergeCell ref="C77:F77"/>
    <mergeCell ref="C78:D78"/>
    <mergeCell ref="B71:I71"/>
    <mergeCell ref="B72:I72"/>
    <mergeCell ref="B73:I73"/>
    <mergeCell ref="B74:E74"/>
    <mergeCell ref="B75:I75"/>
  </mergeCells>
  <hyperlinks>
    <hyperlink ref="A1" location="AxisNifty500Value50ETF" display="AXISNTF" xr:uid="{00000000-0004-0000-3D00-000000000000}"/>
    <hyperlink ref="B1" location="AxisNifty500Value50ETF" display="Axis Nifty500 Value 50 ETF" xr:uid="{00000000-0004-0000-3D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outlinePr summaryBelow="0"/>
  </sheetPr>
  <dimension ref="A1:J37"/>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126</v>
      </c>
      <c r="B1" s="4" t="s">
        <v>127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1866</v>
      </c>
      <c r="C5" s="15"/>
      <c r="D5" s="15"/>
      <c r="E5" s="15"/>
      <c r="F5" s="15"/>
      <c r="G5" s="15"/>
      <c r="H5" s="16"/>
      <c r="I5" s="17"/>
      <c r="J5" s="5"/>
    </row>
    <row r="6" spans="1:10" ht="13.05" customHeight="1">
      <c r="A6" s="5"/>
      <c r="B6" s="14" t="s">
        <v>1867</v>
      </c>
      <c r="C6" s="15"/>
      <c r="D6" s="15"/>
      <c r="E6" s="15"/>
      <c r="F6" s="5"/>
      <c r="G6" s="16"/>
      <c r="H6" s="16"/>
      <c r="I6" s="17"/>
      <c r="J6" s="5"/>
    </row>
    <row r="7" spans="1:10" ht="13.05" customHeight="1">
      <c r="A7" s="18" t="s">
        <v>4651</v>
      </c>
      <c r="B7" s="19" t="s">
        <v>4652</v>
      </c>
      <c r="C7" s="15" t="s">
        <v>4653</v>
      </c>
      <c r="D7" s="15" t="s">
        <v>188</v>
      </c>
      <c r="E7" s="20">
        <v>15000000</v>
      </c>
      <c r="F7" s="21">
        <v>14943.06</v>
      </c>
      <c r="G7" s="22">
        <v>1.4999999999999999E-2</v>
      </c>
      <c r="H7" s="23">
        <v>5.3499999999999999E-2</v>
      </c>
      <c r="I7" s="24"/>
      <c r="J7" s="5"/>
    </row>
    <row r="8" spans="1:10" ht="13.05" customHeight="1">
      <c r="A8" s="18" t="s">
        <v>4257</v>
      </c>
      <c r="B8" s="19" t="s">
        <v>4258</v>
      </c>
      <c r="C8" s="15" t="s">
        <v>4259</v>
      </c>
      <c r="D8" s="15" t="s">
        <v>188</v>
      </c>
      <c r="E8" s="20">
        <v>12500000</v>
      </c>
      <c r="F8" s="21">
        <v>12477.637500000001</v>
      </c>
      <c r="G8" s="22">
        <v>1.2500000000000001E-2</v>
      </c>
      <c r="H8" s="23">
        <v>5.45E-2</v>
      </c>
      <c r="I8" s="24"/>
      <c r="J8" s="5"/>
    </row>
    <row r="9" spans="1:10" ht="13.05" customHeight="1">
      <c r="A9" s="18" t="s">
        <v>3183</v>
      </c>
      <c r="B9" s="19" t="s">
        <v>3184</v>
      </c>
      <c r="C9" s="15" t="s">
        <v>3185</v>
      </c>
      <c r="D9" s="15" t="s">
        <v>188</v>
      </c>
      <c r="E9" s="20">
        <v>11500000</v>
      </c>
      <c r="F9" s="21">
        <v>11491.306</v>
      </c>
      <c r="G9" s="22">
        <v>1.15E-2</v>
      </c>
      <c r="H9" s="23">
        <v>5.5199999999999999E-2</v>
      </c>
      <c r="I9" s="24"/>
      <c r="J9" s="5"/>
    </row>
    <row r="10" spans="1:10" ht="13.05" customHeight="1">
      <c r="A10" s="18" t="s">
        <v>4263</v>
      </c>
      <c r="B10" s="19" t="s">
        <v>4264</v>
      </c>
      <c r="C10" s="15" t="s">
        <v>4265</v>
      </c>
      <c r="D10" s="15" t="s">
        <v>188</v>
      </c>
      <c r="E10" s="20">
        <v>10000000</v>
      </c>
      <c r="F10" s="21">
        <v>9972.17</v>
      </c>
      <c r="G10" s="22">
        <v>0.01</v>
      </c>
      <c r="H10" s="23">
        <v>5.3615000000000003E-2</v>
      </c>
      <c r="I10" s="24"/>
      <c r="J10" s="5"/>
    </row>
    <row r="11" spans="1:10" ht="13.05" customHeight="1">
      <c r="A11" s="18" t="s">
        <v>4654</v>
      </c>
      <c r="B11" s="19" t="s">
        <v>4655</v>
      </c>
      <c r="C11" s="15" t="s">
        <v>4656</v>
      </c>
      <c r="D11" s="15" t="s">
        <v>188</v>
      </c>
      <c r="E11" s="20">
        <v>5000000</v>
      </c>
      <c r="F11" s="21">
        <v>4991.085</v>
      </c>
      <c r="G11" s="22">
        <v>5.0000000000000001E-3</v>
      </c>
      <c r="H11" s="23">
        <v>5.4332999999999999E-2</v>
      </c>
      <c r="I11" s="24"/>
      <c r="J11" s="5"/>
    </row>
    <row r="12" spans="1:10" ht="13.05" customHeight="1">
      <c r="A12" s="18" t="s">
        <v>4254</v>
      </c>
      <c r="B12" s="19" t="s">
        <v>4255</v>
      </c>
      <c r="C12" s="15" t="s">
        <v>4256</v>
      </c>
      <c r="D12" s="15" t="s">
        <v>188</v>
      </c>
      <c r="E12" s="20">
        <v>5000000</v>
      </c>
      <c r="F12" s="21">
        <v>4986.085</v>
      </c>
      <c r="G12" s="22">
        <v>5.0000000000000001E-3</v>
      </c>
      <c r="H12" s="23">
        <v>5.3615000000000003E-2</v>
      </c>
      <c r="I12" s="24"/>
      <c r="J12" s="5"/>
    </row>
    <row r="13" spans="1:10" ht="13.05" customHeight="1">
      <c r="A13" s="5"/>
      <c r="B13" s="14" t="s">
        <v>192</v>
      </c>
      <c r="C13" s="15"/>
      <c r="D13" s="15"/>
      <c r="E13" s="15"/>
      <c r="F13" s="25">
        <v>58861.343500000003</v>
      </c>
      <c r="G13" s="26">
        <v>5.91E-2</v>
      </c>
      <c r="H13" s="27"/>
      <c r="I13" s="28"/>
      <c r="J13" s="5"/>
    </row>
    <row r="14" spans="1:10" ht="13.05" customHeight="1">
      <c r="A14" s="5"/>
      <c r="B14" s="29" t="s">
        <v>195</v>
      </c>
      <c r="C14" s="30"/>
      <c r="D14" s="2"/>
      <c r="E14" s="30"/>
      <c r="F14" s="25">
        <v>58861.343500000003</v>
      </c>
      <c r="G14" s="26">
        <v>5.91E-2</v>
      </c>
      <c r="H14" s="27"/>
      <c r="I14" s="28"/>
      <c r="J14" s="5"/>
    </row>
    <row r="15" spans="1:10" ht="13.05" customHeight="1">
      <c r="A15" s="5"/>
      <c r="B15" s="14" t="s">
        <v>196</v>
      </c>
      <c r="C15" s="15"/>
      <c r="D15" s="15"/>
      <c r="E15" s="15"/>
      <c r="F15" s="15"/>
      <c r="G15" s="15"/>
      <c r="H15" s="16"/>
      <c r="I15" s="17"/>
      <c r="J15" s="5"/>
    </row>
    <row r="16" spans="1:10" ht="13.05" customHeight="1">
      <c r="A16" s="18" t="s">
        <v>4622</v>
      </c>
      <c r="B16" s="19" t="s">
        <v>198</v>
      </c>
      <c r="C16" s="15"/>
      <c r="D16" s="15"/>
      <c r="E16" s="20"/>
      <c r="F16" s="21">
        <v>392885.8089</v>
      </c>
      <c r="G16" s="22">
        <v>0.39429999999999998</v>
      </c>
      <c r="H16" s="23">
        <v>5.6500000000000002E-2</v>
      </c>
      <c r="I16" s="24"/>
      <c r="J16" s="5"/>
    </row>
    <row r="17" spans="1:10" ht="13.05" customHeight="1">
      <c r="A17" s="18" t="s">
        <v>4657</v>
      </c>
      <c r="B17" s="19" t="s">
        <v>198</v>
      </c>
      <c r="C17" s="15"/>
      <c r="D17" s="15"/>
      <c r="E17" s="20"/>
      <c r="F17" s="21">
        <v>182498.30780000001</v>
      </c>
      <c r="G17" s="22">
        <v>0.1832</v>
      </c>
      <c r="H17" s="23">
        <v>5.6000000000000001E-2</v>
      </c>
      <c r="I17" s="24"/>
      <c r="J17" s="5"/>
    </row>
    <row r="18" spans="1:10" ht="13.05" customHeight="1">
      <c r="A18" s="18" t="s">
        <v>4658</v>
      </c>
      <c r="B18" s="19" t="s">
        <v>198</v>
      </c>
      <c r="C18" s="15"/>
      <c r="D18" s="15"/>
      <c r="E18" s="20"/>
      <c r="F18" s="21">
        <v>149999.71059999999</v>
      </c>
      <c r="G18" s="22">
        <v>0.15060000000000001</v>
      </c>
      <c r="H18" s="23">
        <v>5.7500000000000002E-2</v>
      </c>
      <c r="I18" s="24"/>
      <c r="J18" s="5"/>
    </row>
    <row r="19" spans="1:10" ht="13.05" customHeight="1">
      <c r="A19" s="18" t="s">
        <v>4659</v>
      </c>
      <c r="B19" s="19" t="s">
        <v>198</v>
      </c>
      <c r="C19" s="15"/>
      <c r="D19" s="15"/>
      <c r="E19" s="20"/>
      <c r="F19" s="21">
        <v>82898.309299999994</v>
      </c>
      <c r="G19" s="22">
        <v>8.3199999999999996E-2</v>
      </c>
      <c r="H19" s="23">
        <v>5.8500000000000003E-2</v>
      </c>
      <c r="I19" s="24"/>
      <c r="J19" s="5"/>
    </row>
    <row r="20" spans="1:10" ht="13.05" customHeight="1">
      <c r="A20" s="18" t="s">
        <v>4660</v>
      </c>
      <c r="B20" s="19" t="s">
        <v>198</v>
      </c>
      <c r="C20" s="15"/>
      <c r="D20" s="15"/>
      <c r="E20" s="20"/>
      <c r="F20" s="21">
        <v>69999.166599999997</v>
      </c>
      <c r="G20" s="22">
        <v>7.0300000000000001E-2</v>
      </c>
      <c r="H20" s="23">
        <v>5.6300000000000003E-2</v>
      </c>
      <c r="I20" s="24"/>
      <c r="J20" s="5"/>
    </row>
    <row r="21" spans="1:10" ht="13.05" customHeight="1">
      <c r="A21" s="18" t="s">
        <v>4661</v>
      </c>
      <c r="B21" s="19" t="s">
        <v>198</v>
      </c>
      <c r="C21" s="15"/>
      <c r="D21" s="15"/>
      <c r="E21" s="20"/>
      <c r="F21" s="21">
        <v>53455.900399999999</v>
      </c>
      <c r="G21" s="22">
        <v>5.3699999999999998E-2</v>
      </c>
      <c r="H21" s="23">
        <v>5.6399999999999999E-2</v>
      </c>
      <c r="I21" s="24"/>
      <c r="J21" s="5"/>
    </row>
    <row r="22" spans="1:10" ht="13.05" customHeight="1">
      <c r="A22" s="18" t="s">
        <v>197</v>
      </c>
      <c r="B22" s="19" t="s">
        <v>198</v>
      </c>
      <c r="C22" s="15"/>
      <c r="D22" s="15"/>
      <c r="E22" s="20"/>
      <c r="F22" s="21">
        <v>1377.7304999999999</v>
      </c>
      <c r="G22" s="22">
        <v>1.4E-3</v>
      </c>
      <c r="H22" s="23">
        <v>5.5573617010495215E-2</v>
      </c>
      <c r="I22" s="24"/>
      <c r="J22" s="5"/>
    </row>
    <row r="23" spans="1:10" ht="13.05" customHeight="1">
      <c r="A23" s="5"/>
      <c r="B23" s="14" t="s">
        <v>192</v>
      </c>
      <c r="C23" s="15"/>
      <c r="D23" s="15"/>
      <c r="E23" s="15"/>
      <c r="F23" s="25">
        <v>933114.93400000001</v>
      </c>
      <c r="G23" s="26">
        <v>0.9365</v>
      </c>
      <c r="H23" s="27"/>
      <c r="I23" s="28"/>
      <c r="J23" s="5"/>
    </row>
    <row r="24" spans="1:10" ht="13.05" customHeight="1">
      <c r="A24" s="5"/>
      <c r="B24" s="29" t="s">
        <v>195</v>
      </c>
      <c r="C24" s="30"/>
      <c r="D24" s="2"/>
      <c r="E24" s="30"/>
      <c r="F24" s="25">
        <v>933114.93400000001</v>
      </c>
      <c r="G24" s="26">
        <v>0.9365</v>
      </c>
      <c r="H24" s="27"/>
      <c r="I24" s="28"/>
      <c r="J24" s="5"/>
    </row>
    <row r="25" spans="1:10" ht="13.05" customHeight="1">
      <c r="A25" s="5"/>
      <c r="B25" s="29" t="s">
        <v>199</v>
      </c>
      <c r="C25" s="15"/>
      <c r="D25" s="2"/>
      <c r="E25" s="15"/>
      <c r="F25" s="31">
        <v>4359.1025</v>
      </c>
      <c r="G25" s="26">
        <v>4.4000000000000003E-3</v>
      </c>
      <c r="H25" s="27"/>
      <c r="I25" s="28"/>
      <c r="J25" s="5"/>
    </row>
    <row r="26" spans="1:10" ht="13.05" customHeight="1">
      <c r="A26" s="5"/>
      <c r="B26" s="32" t="s">
        <v>200</v>
      </c>
      <c r="C26" s="33"/>
      <c r="D26" s="33"/>
      <c r="E26" s="33"/>
      <c r="F26" s="34">
        <v>996335.38</v>
      </c>
      <c r="G26" s="35">
        <v>1</v>
      </c>
      <c r="H26" s="36"/>
      <c r="I26" s="37"/>
      <c r="J26" s="5"/>
    </row>
    <row r="27" spans="1:10" ht="13.05" customHeight="1">
      <c r="A27" s="5"/>
      <c r="B27" s="7"/>
      <c r="C27" s="5"/>
      <c r="D27" s="5"/>
      <c r="E27" s="5"/>
      <c r="F27" s="5"/>
      <c r="G27" s="5"/>
      <c r="H27" s="5"/>
      <c r="I27" s="5"/>
      <c r="J27" s="5"/>
    </row>
    <row r="28" spans="1:10" ht="13.05" customHeight="1">
      <c r="A28" s="5"/>
      <c r="B28" s="4" t="s">
        <v>201</v>
      </c>
      <c r="C28" s="5"/>
      <c r="D28" s="5"/>
      <c r="E28" s="5"/>
      <c r="F28" s="5"/>
      <c r="G28" s="5"/>
      <c r="H28" s="5"/>
      <c r="I28" s="5"/>
      <c r="J28" s="5"/>
    </row>
    <row r="29" spans="1:10" ht="25.95" customHeight="1">
      <c r="A29" s="5"/>
      <c r="B29" s="103" t="s">
        <v>202</v>
      </c>
      <c r="C29" s="103"/>
      <c r="D29" s="103"/>
      <c r="E29" s="103"/>
      <c r="F29" s="103"/>
      <c r="G29" s="103"/>
      <c r="H29" s="103"/>
      <c r="I29" s="103"/>
      <c r="J29" s="5"/>
    </row>
    <row r="30" spans="1:10" ht="13.05" customHeight="1">
      <c r="A30" s="5"/>
      <c r="B30" s="103" t="s">
        <v>203</v>
      </c>
      <c r="C30" s="103"/>
      <c r="D30" s="103"/>
      <c r="E30" s="103"/>
      <c r="F30" s="103"/>
      <c r="G30" s="103"/>
      <c r="H30" s="103"/>
      <c r="I30" s="103"/>
      <c r="J30" s="5"/>
    </row>
    <row r="31" spans="1:10" ht="13.05" customHeight="1">
      <c r="A31" s="5"/>
      <c r="B31" s="103"/>
      <c r="C31" s="103"/>
      <c r="D31" s="103"/>
      <c r="E31" s="103"/>
      <c r="F31" s="103"/>
      <c r="G31" s="103"/>
      <c r="H31" s="103"/>
      <c r="I31" s="103"/>
      <c r="J31" s="5"/>
    </row>
    <row r="32" spans="1:10" ht="13.05" customHeight="1">
      <c r="A32" s="5"/>
      <c r="B32" s="103"/>
      <c r="C32" s="103"/>
      <c r="D32" s="103"/>
      <c r="E32" s="103"/>
      <c r="F32" s="103"/>
      <c r="G32" s="103"/>
      <c r="H32" s="103"/>
      <c r="I32" s="103"/>
      <c r="J32" s="5"/>
    </row>
    <row r="33" spans="1:10" ht="13.05" customHeight="1">
      <c r="A33" s="5"/>
      <c r="B33" s="103"/>
      <c r="C33" s="103"/>
      <c r="D33" s="103"/>
      <c r="E33" s="103"/>
      <c r="F33" s="103"/>
      <c r="G33" s="103"/>
      <c r="H33" s="103"/>
      <c r="I33" s="103"/>
      <c r="J33" s="5"/>
    </row>
    <row r="34" spans="1:10" ht="13.05" customHeight="1">
      <c r="A34" s="5"/>
      <c r="B34" s="103"/>
      <c r="C34" s="103"/>
      <c r="D34" s="103"/>
      <c r="E34" s="103"/>
      <c r="F34" s="103"/>
      <c r="G34" s="103"/>
      <c r="H34" s="103"/>
      <c r="I34" s="103"/>
      <c r="J34" s="5"/>
    </row>
    <row r="35" spans="1:10" ht="13.05" customHeight="1">
      <c r="A35" s="5"/>
      <c r="B35" s="5"/>
      <c r="C35" s="104" t="s">
        <v>4662</v>
      </c>
      <c r="D35" s="104"/>
      <c r="E35" s="104"/>
      <c r="F35" s="104"/>
      <c r="G35" s="5"/>
      <c r="H35" s="5"/>
      <c r="I35" s="5"/>
      <c r="J35" s="5"/>
    </row>
    <row r="36" spans="1:10" ht="13.05" customHeight="1">
      <c r="A36" s="5"/>
      <c r="B36" s="38" t="s">
        <v>207</v>
      </c>
      <c r="C36" s="104" t="s">
        <v>208</v>
      </c>
      <c r="D36" s="104"/>
      <c r="E36" s="104"/>
      <c r="F36" s="104"/>
      <c r="G36" s="5"/>
      <c r="H36" s="5"/>
      <c r="I36" s="5"/>
      <c r="J36" s="5"/>
    </row>
    <row r="37" spans="1:10" ht="135" customHeight="1">
      <c r="A37" s="5"/>
      <c r="B37" s="39"/>
      <c r="C37" s="105"/>
      <c r="D37" s="105"/>
      <c r="E37" s="5"/>
      <c r="F37" s="5"/>
      <c r="G37" s="5"/>
      <c r="H37" s="5"/>
      <c r="I37" s="5"/>
      <c r="J37" s="5"/>
    </row>
  </sheetData>
  <mergeCells count="9">
    <mergeCell ref="B34:I34"/>
    <mergeCell ref="C35:F35"/>
    <mergeCell ref="C36:F36"/>
    <mergeCell ref="C37:D37"/>
    <mergeCell ref="B29:I29"/>
    <mergeCell ref="B30:I30"/>
    <mergeCell ref="B31:I31"/>
    <mergeCell ref="B32:I32"/>
    <mergeCell ref="B33:I33"/>
  </mergeCells>
  <hyperlinks>
    <hyperlink ref="A1" location="AxisOvernightFund" display="AXISONF" xr:uid="{00000000-0004-0000-3E00-000000000000}"/>
    <hyperlink ref="B1" location="AxisOvernightFund" display="Axis Overnight Fund" xr:uid="{00000000-0004-0000-3E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outlinePr summaryBelow="0"/>
  </sheetPr>
  <dimension ref="A1:J77"/>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128</v>
      </c>
      <c r="B1" s="4" t="s">
        <v>129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326</v>
      </c>
      <c r="B7" s="19" t="s">
        <v>327</v>
      </c>
      <c r="C7" s="15" t="s">
        <v>328</v>
      </c>
      <c r="D7" s="15" t="s">
        <v>329</v>
      </c>
      <c r="E7" s="20">
        <v>93023</v>
      </c>
      <c r="F7" s="21">
        <v>396.37099999999998</v>
      </c>
      <c r="G7" s="22">
        <v>4.8500000000000001E-2</v>
      </c>
      <c r="H7" s="40"/>
      <c r="I7" s="24"/>
      <c r="J7" s="5"/>
    </row>
    <row r="8" spans="1:10" ht="13.05" customHeight="1">
      <c r="A8" s="18" t="s">
        <v>398</v>
      </c>
      <c r="B8" s="19" t="s">
        <v>399</v>
      </c>
      <c r="C8" s="15" t="s">
        <v>400</v>
      </c>
      <c r="D8" s="15" t="s">
        <v>401</v>
      </c>
      <c r="E8" s="20">
        <v>96154</v>
      </c>
      <c r="F8" s="21">
        <v>373.70249999999999</v>
      </c>
      <c r="G8" s="22">
        <v>4.58E-2</v>
      </c>
      <c r="H8" s="40"/>
      <c r="I8" s="24"/>
      <c r="J8" s="5"/>
    </row>
    <row r="9" spans="1:10" ht="13.05" customHeight="1">
      <c r="A9" s="18" t="s">
        <v>452</v>
      </c>
      <c r="B9" s="19" t="s">
        <v>453</v>
      </c>
      <c r="C9" s="15" t="s">
        <v>454</v>
      </c>
      <c r="D9" s="15" t="s">
        <v>391</v>
      </c>
      <c r="E9" s="20">
        <v>5961</v>
      </c>
      <c r="F9" s="21">
        <v>347.91379999999998</v>
      </c>
      <c r="G9" s="22">
        <v>4.2599999999999999E-2</v>
      </c>
      <c r="H9" s="40"/>
      <c r="I9" s="24"/>
      <c r="J9" s="5"/>
    </row>
    <row r="10" spans="1:10" ht="13.05" customHeight="1">
      <c r="A10" s="18" t="s">
        <v>479</v>
      </c>
      <c r="B10" s="19" t="s">
        <v>480</v>
      </c>
      <c r="C10" s="15" t="s">
        <v>481</v>
      </c>
      <c r="D10" s="15" t="s">
        <v>321</v>
      </c>
      <c r="E10" s="20">
        <v>214263</v>
      </c>
      <c r="F10" s="21">
        <v>338.21409999999997</v>
      </c>
      <c r="G10" s="22">
        <v>4.1399999999999999E-2</v>
      </c>
      <c r="H10" s="40"/>
      <c r="I10" s="24"/>
      <c r="J10" s="5"/>
    </row>
    <row r="11" spans="1:10" ht="13.05" customHeight="1">
      <c r="A11" s="18" t="s">
        <v>382</v>
      </c>
      <c r="B11" s="19" t="s">
        <v>383</v>
      </c>
      <c r="C11" s="15" t="s">
        <v>384</v>
      </c>
      <c r="D11" s="15" t="s">
        <v>296</v>
      </c>
      <c r="E11" s="20">
        <v>3576</v>
      </c>
      <c r="F11" s="21">
        <v>317.99579999999997</v>
      </c>
      <c r="G11" s="22">
        <v>3.8899999999999997E-2</v>
      </c>
      <c r="H11" s="40"/>
      <c r="I11" s="24"/>
      <c r="J11" s="5"/>
    </row>
    <row r="12" spans="1:10" ht="13.05" customHeight="1">
      <c r="A12" s="18" t="s">
        <v>703</v>
      </c>
      <c r="B12" s="19" t="s">
        <v>704</v>
      </c>
      <c r="C12" s="15" t="s">
        <v>705</v>
      </c>
      <c r="D12" s="15" t="s">
        <v>577</v>
      </c>
      <c r="E12" s="20">
        <v>12913</v>
      </c>
      <c r="F12" s="21">
        <v>289.6386</v>
      </c>
      <c r="G12" s="22">
        <v>3.5499999999999997E-2</v>
      </c>
      <c r="H12" s="40"/>
      <c r="I12" s="24"/>
      <c r="J12" s="5"/>
    </row>
    <row r="13" spans="1:10" ht="13.05" customHeight="1">
      <c r="A13" s="18" t="s">
        <v>449</v>
      </c>
      <c r="B13" s="19" t="s">
        <v>450</v>
      </c>
      <c r="C13" s="15" t="s">
        <v>451</v>
      </c>
      <c r="D13" s="15" t="s">
        <v>261</v>
      </c>
      <c r="E13" s="20">
        <v>74718</v>
      </c>
      <c r="F13" s="21">
        <v>266.59379999999999</v>
      </c>
      <c r="G13" s="22">
        <v>3.2599999999999997E-2</v>
      </c>
      <c r="H13" s="40"/>
      <c r="I13" s="24"/>
      <c r="J13" s="5"/>
    </row>
    <row r="14" spans="1:10" ht="13.05" customHeight="1">
      <c r="A14" s="18" t="s">
        <v>442</v>
      </c>
      <c r="B14" s="19" t="s">
        <v>443</v>
      </c>
      <c r="C14" s="15" t="s">
        <v>444</v>
      </c>
      <c r="D14" s="15" t="s">
        <v>445</v>
      </c>
      <c r="E14" s="20">
        <v>421422</v>
      </c>
      <c r="F14" s="21">
        <v>249.9032</v>
      </c>
      <c r="G14" s="22">
        <v>3.0599999999999999E-2</v>
      </c>
      <c r="H14" s="40"/>
      <c r="I14" s="24"/>
      <c r="J14" s="5"/>
    </row>
    <row r="15" spans="1:10" ht="13.05" customHeight="1">
      <c r="A15" s="18" t="s">
        <v>532</v>
      </c>
      <c r="B15" s="19" t="s">
        <v>533</v>
      </c>
      <c r="C15" s="15" t="s">
        <v>534</v>
      </c>
      <c r="D15" s="15" t="s">
        <v>445</v>
      </c>
      <c r="E15" s="20">
        <v>33354</v>
      </c>
      <c r="F15" s="21">
        <v>245.7022</v>
      </c>
      <c r="G15" s="22">
        <v>3.0099999999999998E-2</v>
      </c>
      <c r="H15" s="40"/>
      <c r="I15" s="24"/>
      <c r="J15" s="5"/>
    </row>
    <row r="16" spans="1:10" ht="13.05" customHeight="1">
      <c r="A16" s="18" t="s">
        <v>508</v>
      </c>
      <c r="B16" s="19" t="s">
        <v>509</v>
      </c>
      <c r="C16" s="15" t="s">
        <v>510</v>
      </c>
      <c r="D16" s="15" t="s">
        <v>374</v>
      </c>
      <c r="E16" s="20">
        <v>4566</v>
      </c>
      <c r="F16" s="21">
        <v>245.60509999999999</v>
      </c>
      <c r="G16" s="22">
        <v>3.0099999999999998E-2</v>
      </c>
      <c r="H16" s="40"/>
      <c r="I16" s="24"/>
      <c r="J16" s="5"/>
    </row>
    <row r="17" spans="1:10" ht="13.05" customHeight="1">
      <c r="A17" s="18" t="s">
        <v>469</v>
      </c>
      <c r="B17" s="19" t="s">
        <v>470</v>
      </c>
      <c r="C17" s="15" t="s">
        <v>471</v>
      </c>
      <c r="D17" s="15" t="s">
        <v>272</v>
      </c>
      <c r="E17" s="20">
        <v>3861</v>
      </c>
      <c r="F17" s="21">
        <v>228.43989999999999</v>
      </c>
      <c r="G17" s="22">
        <v>2.8000000000000001E-2</v>
      </c>
      <c r="H17" s="40"/>
      <c r="I17" s="24"/>
      <c r="J17" s="5"/>
    </row>
    <row r="18" spans="1:10" ht="13.05" customHeight="1">
      <c r="A18" s="18" t="s">
        <v>610</v>
      </c>
      <c r="B18" s="19" t="s">
        <v>611</v>
      </c>
      <c r="C18" s="15" t="s">
        <v>612</v>
      </c>
      <c r="D18" s="15" t="s">
        <v>435</v>
      </c>
      <c r="E18" s="20">
        <v>30744</v>
      </c>
      <c r="F18" s="21">
        <v>221.34139999999999</v>
      </c>
      <c r="G18" s="22">
        <v>2.7099999999999999E-2</v>
      </c>
      <c r="H18" s="40"/>
      <c r="I18" s="24"/>
      <c r="J18" s="5"/>
    </row>
    <row r="19" spans="1:10" ht="13.05" customHeight="1">
      <c r="A19" s="18" t="s">
        <v>488</v>
      </c>
      <c r="B19" s="19" t="s">
        <v>489</v>
      </c>
      <c r="C19" s="15" t="s">
        <v>490</v>
      </c>
      <c r="D19" s="15" t="s">
        <v>272</v>
      </c>
      <c r="E19" s="20">
        <v>11968</v>
      </c>
      <c r="F19" s="21">
        <v>212.803</v>
      </c>
      <c r="G19" s="22">
        <v>2.6100000000000002E-2</v>
      </c>
      <c r="H19" s="40"/>
      <c r="I19" s="24"/>
      <c r="J19" s="5"/>
    </row>
    <row r="20" spans="1:10" ht="13.05" customHeight="1">
      <c r="A20" s="18" t="s">
        <v>520</v>
      </c>
      <c r="B20" s="19" t="s">
        <v>521</v>
      </c>
      <c r="C20" s="15" t="s">
        <v>522</v>
      </c>
      <c r="D20" s="15" t="s">
        <v>272</v>
      </c>
      <c r="E20" s="20">
        <v>3675</v>
      </c>
      <c r="F20" s="21">
        <v>208.90539999999999</v>
      </c>
      <c r="G20" s="22">
        <v>2.5600000000000001E-2</v>
      </c>
      <c r="H20" s="40"/>
      <c r="I20" s="24"/>
      <c r="J20" s="5"/>
    </row>
    <row r="21" spans="1:10" ht="13.05" customHeight="1">
      <c r="A21" s="18" t="s">
        <v>1108</v>
      </c>
      <c r="B21" s="19" t="s">
        <v>1109</v>
      </c>
      <c r="C21" s="15" t="s">
        <v>1110</v>
      </c>
      <c r="D21" s="15" t="s">
        <v>374</v>
      </c>
      <c r="E21" s="20">
        <v>5872</v>
      </c>
      <c r="F21" s="21">
        <v>181.35079999999999</v>
      </c>
      <c r="G21" s="22">
        <v>2.2200000000000001E-2</v>
      </c>
      <c r="H21" s="40"/>
      <c r="I21" s="24"/>
      <c r="J21" s="5"/>
    </row>
    <row r="22" spans="1:10" ht="13.05" customHeight="1">
      <c r="A22" s="18" t="s">
        <v>825</v>
      </c>
      <c r="B22" s="19" t="s">
        <v>826</v>
      </c>
      <c r="C22" s="15" t="s">
        <v>827</v>
      </c>
      <c r="D22" s="15" t="s">
        <v>464</v>
      </c>
      <c r="E22" s="20">
        <v>24109</v>
      </c>
      <c r="F22" s="21">
        <v>173.2714</v>
      </c>
      <c r="G22" s="22">
        <v>2.12E-2</v>
      </c>
      <c r="H22" s="40"/>
      <c r="I22" s="24"/>
      <c r="J22" s="5"/>
    </row>
    <row r="23" spans="1:10" ht="13.05" customHeight="1">
      <c r="A23" s="18" t="s">
        <v>755</v>
      </c>
      <c r="B23" s="19" t="s">
        <v>756</v>
      </c>
      <c r="C23" s="15" t="s">
        <v>757</v>
      </c>
      <c r="D23" s="15" t="s">
        <v>758</v>
      </c>
      <c r="E23" s="20">
        <v>419</v>
      </c>
      <c r="F23" s="21">
        <v>172.62799999999999</v>
      </c>
      <c r="G23" s="22">
        <v>2.1100000000000001E-2</v>
      </c>
      <c r="H23" s="40"/>
      <c r="I23" s="24"/>
      <c r="J23" s="5"/>
    </row>
    <row r="24" spans="1:10" ht="13.05" customHeight="1">
      <c r="A24" s="18" t="s">
        <v>886</v>
      </c>
      <c r="B24" s="19" t="s">
        <v>887</v>
      </c>
      <c r="C24" s="15" t="s">
        <v>888</v>
      </c>
      <c r="D24" s="15" t="s">
        <v>374</v>
      </c>
      <c r="E24" s="20">
        <v>4369</v>
      </c>
      <c r="F24" s="21">
        <v>172.19540000000001</v>
      </c>
      <c r="G24" s="22">
        <v>2.1100000000000001E-2</v>
      </c>
      <c r="H24" s="40"/>
      <c r="I24" s="24"/>
      <c r="J24" s="5"/>
    </row>
    <row r="25" spans="1:10" ht="13.05" customHeight="1">
      <c r="A25" s="18" t="s">
        <v>724</v>
      </c>
      <c r="B25" s="19" t="s">
        <v>725</v>
      </c>
      <c r="C25" s="15" t="s">
        <v>726</v>
      </c>
      <c r="D25" s="15" t="s">
        <v>374</v>
      </c>
      <c r="E25" s="20">
        <v>10437</v>
      </c>
      <c r="F25" s="21">
        <v>165.65610000000001</v>
      </c>
      <c r="G25" s="22">
        <v>2.0299999999999999E-2</v>
      </c>
      <c r="H25" s="40"/>
      <c r="I25" s="24"/>
      <c r="J25" s="5"/>
    </row>
    <row r="26" spans="1:10" ht="13.05" customHeight="1">
      <c r="A26" s="18" t="s">
        <v>649</v>
      </c>
      <c r="B26" s="19" t="s">
        <v>650</v>
      </c>
      <c r="C26" s="15" t="s">
        <v>651</v>
      </c>
      <c r="D26" s="15" t="s">
        <v>581</v>
      </c>
      <c r="E26" s="20">
        <v>1182</v>
      </c>
      <c r="F26" s="21">
        <v>164.03800000000001</v>
      </c>
      <c r="G26" s="22">
        <v>2.01E-2</v>
      </c>
      <c r="H26" s="40"/>
      <c r="I26" s="24"/>
      <c r="J26" s="5"/>
    </row>
    <row r="27" spans="1:10" ht="13.05" customHeight="1">
      <c r="A27" s="18" t="s">
        <v>748</v>
      </c>
      <c r="B27" s="19" t="s">
        <v>749</v>
      </c>
      <c r="C27" s="15" t="s">
        <v>750</v>
      </c>
      <c r="D27" s="15" t="s">
        <v>751</v>
      </c>
      <c r="E27" s="20">
        <v>210189</v>
      </c>
      <c r="F27" s="21">
        <v>159.3022</v>
      </c>
      <c r="G27" s="22">
        <v>1.95E-2</v>
      </c>
      <c r="H27" s="40"/>
      <c r="I27" s="24"/>
      <c r="J27" s="5"/>
    </row>
    <row r="28" spans="1:10" ht="13.05" customHeight="1">
      <c r="A28" s="18" t="s">
        <v>736</v>
      </c>
      <c r="B28" s="19" t="s">
        <v>737</v>
      </c>
      <c r="C28" s="15" t="s">
        <v>738</v>
      </c>
      <c r="D28" s="15" t="s">
        <v>445</v>
      </c>
      <c r="E28" s="20">
        <v>3049</v>
      </c>
      <c r="F28" s="21">
        <v>159.15780000000001</v>
      </c>
      <c r="G28" s="22">
        <v>1.95E-2</v>
      </c>
      <c r="H28" s="40"/>
      <c r="I28" s="24"/>
      <c r="J28" s="5"/>
    </row>
    <row r="29" spans="1:10" ht="13.05" customHeight="1">
      <c r="A29" s="18" t="s">
        <v>980</v>
      </c>
      <c r="B29" s="19" t="s">
        <v>981</v>
      </c>
      <c r="C29" s="15" t="s">
        <v>982</v>
      </c>
      <c r="D29" s="15" t="s">
        <v>374</v>
      </c>
      <c r="E29" s="20">
        <v>14500</v>
      </c>
      <c r="F29" s="21">
        <v>141.81</v>
      </c>
      <c r="G29" s="22">
        <v>1.7399999999999999E-2</v>
      </c>
      <c r="H29" s="40"/>
      <c r="I29" s="24"/>
      <c r="J29" s="5"/>
    </row>
    <row r="30" spans="1:10" ht="13.05" customHeight="1">
      <c r="A30" s="18" t="s">
        <v>883</v>
      </c>
      <c r="B30" s="19" t="s">
        <v>884</v>
      </c>
      <c r="C30" s="15" t="s">
        <v>885</v>
      </c>
      <c r="D30" s="15" t="s">
        <v>272</v>
      </c>
      <c r="E30" s="20">
        <v>2576</v>
      </c>
      <c r="F30" s="21">
        <v>140.50790000000001</v>
      </c>
      <c r="G30" s="22">
        <v>1.72E-2</v>
      </c>
      <c r="H30" s="40"/>
      <c r="I30" s="24"/>
      <c r="J30" s="5"/>
    </row>
    <row r="31" spans="1:10" ht="13.05" customHeight="1">
      <c r="A31" s="18" t="s">
        <v>853</v>
      </c>
      <c r="B31" s="19" t="s">
        <v>854</v>
      </c>
      <c r="C31" s="15" t="s">
        <v>855</v>
      </c>
      <c r="D31" s="15" t="s">
        <v>272</v>
      </c>
      <c r="E31" s="20">
        <v>1638</v>
      </c>
      <c r="F31" s="21">
        <v>139.47569999999999</v>
      </c>
      <c r="G31" s="22">
        <v>1.7100000000000001E-2</v>
      </c>
      <c r="H31" s="40"/>
      <c r="I31" s="24"/>
      <c r="J31" s="5"/>
    </row>
    <row r="32" spans="1:10" ht="13.05" customHeight="1">
      <c r="A32" s="18" t="s">
        <v>874</v>
      </c>
      <c r="B32" s="19" t="s">
        <v>875</v>
      </c>
      <c r="C32" s="15" t="s">
        <v>876</v>
      </c>
      <c r="D32" s="15" t="s">
        <v>272</v>
      </c>
      <c r="E32" s="20">
        <v>11454</v>
      </c>
      <c r="F32" s="21">
        <v>133.63380000000001</v>
      </c>
      <c r="G32" s="22">
        <v>1.6400000000000001E-2</v>
      </c>
      <c r="H32" s="40"/>
      <c r="I32" s="24"/>
      <c r="J32" s="5"/>
    </row>
    <row r="33" spans="1:10" ht="13.05" customHeight="1">
      <c r="A33" s="18" t="s">
        <v>1607</v>
      </c>
      <c r="B33" s="19" t="s">
        <v>1608</v>
      </c>
      <c r="C33" s="15" t="s">
        <v>1609</v>
      </c>
      <c r="D33" s="15" t="s">
        <v>445</v>
      </c>
      <c r="E33" s="20">
        <v>15847</v>
      </c>
      <c r="F33" s="21">
        <v>132.56020000000001</v>
      </c>
      <c r="G33" s="22">
        <v>1.6199999999999999E-2</v>
      </c>
      <c r="H33" s="40"/>
      <c r="I33" s="24"/>
      <c r="J33" s="5"/>
    </row>
    <row r="34" spans="1:10" ht="13.05" customHeight="1">
      <c r="A34" s="18" t="s">
        <v>955</v>
      </c>
      <c r="B34" s="19" t="s">
        <v>956</v>
      </c>
      <c r="C34" s="15" t="s">
        <v>957</v>
      </c>
      <c r="D34" s="15" t="s">
        <v>374</v>
      </c>
      <c r="E34" s="20">
        <v>15141</v>
      </c>
      <c r="F34" s="21">
        <v>132.45349999999999</v>
      </c>
      <c r="G34" s="22">
        <v>1.6199999999999999E-2</v>
      </c>
      <c r="H34" s="40"/>
      <c r="I34" s="24"/>
      <c r="J34" s="5"/>
    </row>
    <row r="35" spans="1:10" ht="13.05" customHeight="1">
      <c r="A35" s="18" t="s">
        <v>792</v>
      </c>
      <c r="B35" s="19" t="s">
        <v>793</v>
      </c>
      <c r="C35" s="15" t="s">
        <v>794</v>
      </c>
      <c r="D35" s="15" t="s">
        <v>374</v>
      </c>
      <c r="E35" s="20">
        <v>12066</v>
      </c>
      <c r="F35" s="21">
        <v>130.3973</v>
      </c>
      <c r="G35" s="22">
        <v>1.6E-2</v>
      </c>
      <c r="H35" s="40"/>
      <c r="I35" s="24"/>
      <c r="J35" s="5"/>
    </row>
    <row r="36" spans="1:10" ht="13.05" customHeight="1">
      <c r="A36" s="18" t="s">
        <v>847</v>
      </c>
      <c r="B36" s="19" t="s">
        <v>848</v>
      </c>
      <c r="C36" s="15" t="s">
        <v>849</v>
      </c>
      <c r="D36" s="15" t="s">
        <v>846</v>
      </c>
      <c r="E36" s="20">
        <v>4757</v>
      </c>
      <c r="F36" s="21">
        <v>129.8185</v>
      </c>
      <c r="G36" s="22">
        <v>1.5900000000000001E-2</v>
      </c>
      <c r="H36" s="40"/>
      <c r="I36" s="24"/>
      <c r="J36" s="5"/>
    </row>
    <row r="37" spans="1:10" ht="13.05" customHeight="1">
      <c r="A37" s="18" t="s">
        <v>986</v>
      </c>
      <c r="B37" s="19" t="s">
        <v>987</v>
      </c>
      <c r="C37" s="15" t="s">
        <v>988</v>
      </c>
      <c r="D37" s="15" t="s">
        <v>445</v>
      </c>
      <c r="E37" s="20">
        <v>1382</v>
      </c>
      <c r="F37" s="21">
        <v>119.83320000000001</v>
      </c>
      <c r="G37" s="22">
        <v>1.47E-2</v>
      </c>
      <c r="H37" s="40"/>
      <c r="I37" s="24"/>
      <c r="J37" s="5"/>
    </row>
    <row r="38" spans="1:10" ht="13.05" customHeight="1">
      <c r="A38" s="18" t="s">
        <v>1141</v>
      </c>
      <c r="B38" s="19" t="s">
        <v>1142</v>
      </c>
      <c r="C38" s="15" t="s">
        <v>1143</v>
      </c>
      <c r="D38" s="15" t="s">
        <v>314</v>
      </c>
      <c r="E38" s="20">
        <v>4389</v>
      </c>
      <c r="F38" s="21">
        <v>114.93040000000001</v>
      </c>
      <c r="G38" s="22">
        <v>1.41E-2</v>
      </c>
      <c r="H38" s="40"/>
      <c r="I38" s="24"/>
      <c r="J38" s="5"/>
    </row>
    <row r="39" spans="1:10" ht="13.05" customHeight="1">
      <c r="A39" s="18" t="s">
        <v>1223</v>
      </c>
      <c r="B39" s="19" t="s">
        <v>1224</v>
      </c>
      <c r="C39" s="15" t="s">
        <v>1225</v>
      </c>
      <c r="D39" s="15" t="s">
        <v>261</v>
      </c>
      <c r="E39" s="20">
        <v>58785</v>
      </c>
      <c r="F39" s="21">
        <v>114.6366</v>
      </c>
      <c r="G39" s="22">
        <v>1.4E-2</v>
      </c>
      <c r="H39" s="40"/>
      <c r="I39" s="24"/>
      <c r="J39" s="5"/>
    </row>
    <row r="40" spans="1:10" ht="13.05" customHeight="1">
      <c r="A40" s="18" t="s">
        <v>1186</v>
      </c>
      <c r="B40" s="19" t="s">
        <v>1187</v>
      </c>
      <c r="C40" s="15" t="s">
        <v>1188</v>
      </c>
      <c r="D40" s="15" t="s">
        <v>970</v>
      </c>
      <c r="E40" s="20">
        <v>2322</v>
      </c>
      <c r="F40" s="21">
        <v>109.7749</v>
      </c>
      <c r="G40" s="22">
        <v>1.34E-2</v>
      </c>
      <c r="H40" s="40"/>
      <c r="I40" s="24"/>
      <c r="J40" s="5"/>
    </row>
    <row r="41" spans="1:10" ht="13.05" customHeight="1">
      <c r="A41" s="18" t="s">
        <v>1159</v>
      </c>
      <c r="B41" s="19" t="s">
        <v>1160</v>
      </c>
      <c r="C41" s="15" t="s">
        <v>1161</v>
      </c>
      <c r="D41" s="15" t="s">
        <v>374</v>
      </c>
      <c r="E41" s="20">
        <v>77643</v>
      </c>
      <c r="F41" s="21">
        <v>107.9704</v>
      </c>
      <c r="G41" s="22">
        <v>1.32E-2</v>
      </c>
      <c r="H41" s="40"/>
      <c r="I41" s="24"/>
      <c r="J41" s="5"/>
    </row>
    <row r="42" spans="1:10" ht="13.05" customHeight="1">
      <c r="A42" s="18" t="s">
        <v>943</v>
      </c>
      <c r="B42" s="19" t="s">
        <v>944</v>
      </c>
      <c r="C42" s="15" t="s">
        <v>945</v>
      </c>
      <c r="D42" s="15" t="s">
        <v>374</v>
      </c>
      <c r="E42" s="20">
        <v>4308</v>
      </c>
      <c r="F42" s="21">
        <v>107.37260000000001</v>
      </c>
      <c r="G42" s="22">
        <v>1.3100000000000001E-2</v>
      </c>
      <c r="H42" s="40"/>
      <c r="I42" s="24"/>
      <c r="J42" s="5"/>
    </row>
    <row r="43" spans="1:10" ht="13.05" customHeight="1">
      <c r="A43" s="18" t="s">
        <v>1156</v>
      </c>
      <c r="B43" s="19" t="s">
        <v>1157</v>
      </c>
      <c r="C43" s="15" t="s">
        <v>1158</v>
      </c>
      <c r="D43" s="15" t="s">
        <v>577</v>
      </c>
      <c r="E43" s="20">
        <v>19676</v>
      </c>
      <c r="F43" s="21">
        <v>105.1485</v>
      </c>
      <c r="G43" s="22">
        <v>1.29E-2</v>
      </c>
      <c r="H43" s="40"/>
      <c r="I43" s="24"/>
      <c r="J43" s="5"/>
    </row>
    <row r="44" spans="1:10" ht="13.05" customHeight="1">
      <c r="A44" s="18" t="s">
        <v>1361</v>
      </c>
      <c r="B44" s="19" t="s">
        <v>1362</v>
      </c>
      <c r="C44" s="15" t="s">
        <v>1363</v>
      </c>
      <c r="D44" s="15" t="s">
        <v>577</v>
      </c>
      <c r="E44" s="20">
        <v>1109</v>
      </c>
      <c r="F44" s="21">
        <v>99.992999999999995</v>
      </c>
      <c r="G44" s="22">
        <v>1.2200000000000001E-2</v>
      </c>
      <c r="H44" s="40"/>
      <c r="I44" s="24"/>
      <c r="J44" s="5"/>
    </row>
    <row r="45" spans="1:10" ht="13.05" customHeight="1">
      <c r="A45" s="18" t="s">
        <v>1081</v>
      </c>
      <c r="B45" s="19" t="s">
        <v>1082</v>
      </c>
      <c r="C45" s="15" t="s">
        <v>1083</v>
      </c>
      <c r="D45" s="15" t="s">
        <v>300</v>
      </c>
      <c r="E45" s="20">
        <v>2014</v>
      </c>
      <c r="F45" s="21">
        <v>99.274100000000004</v>
      </c>
      <c r="G45" s="22">
        <v>1.2200000000000001E-2</v>
      </c>
      <c r="H45" s="40"/>
      <c r="I45" s="24"/>
      <c r="J45" s="5"/>
    </row>
    <row r="46" spans="1:10" ht="13.05" customHeight="1">
      <c r="A46" s="18" t="s">
        <v>1111</v>
      </c>
      <c r="B46" s="19" t="s">
        <v>1112</v>
      </c>
      <c r="C46" s="15" t="s">
        <v>1113</v>
      </c>
      <c r="D46" s="15" t="s">
        <v>1068</v>
      </c>
      <c r="E46" s="20">
        <v>2402</v>
      </c>
      <c r="F46" s="21">
        <v>98.933599999999998</v>
      </c>
      <c r="G46" s="22">
        <v>1.21E-2</v>
      </c>
      <c r="H46" s="40"/>
      <c r="I46" s="24"/>
      <c r="J46" s="5"/>
    </row>
    <row r="47" spans="1:10" ht="13.05" customHeight="1">
      <c r="A47" s="18" t="s">
        <v>1090</v>
      </c>
      <c r="B47" s="19" t="s">
        <v>1091</v>
      </c>
      <c r="C47" s="15" t="s">
        <v>1092</v>
      </c>
      <c r="D47" s="15" t="s">
        <v>415</v>
      </c>
      <c r="E47" s="20">
        <v>5086</v>
      </c>
      <c r="F47" s="21">
        <v>89.381399999999999</v>
      </c>
      <c r="G47" s="22">
        <v>1.09E-2</v>
      </c>
      <c r="H47" s="40"/>
      <c r="I47" s="24"/>
      <c r="J47" s="5"/>
    </row>
    <row r="48" spans="1:10" ht="13.05" customHeight="1">
      <c r="A48" s="18" t="s">
        <v>1623</v>
      </c>
      <c r="B48" s="19" t="s">
        <v>1624</v>
      </c>
      <c r="C48" s="15" t="s">
        <v>1625</v>
      </c>
      <c r="D48" s="15" t="s">
        <v>261</v>
      </c>
      <c r="E48" s="20">
        <v>8572</v>
      </c>
      <c r="F48" s="21">
        <v>83.9499</v>
      </c>
      <c r="G48" s="22">
        <v>1.03E-2</v>
      </c>
      <c r="H48" s="40"/>
      <c r="I48" s="24"/>
      <c r="J48" s="5"/>
    </row>
    <row r="49" spans="1:10" ht="13.05" customHeight="1">
      <c r="A49" s="18" t="s">
        <v>1376</v>
      </c>
      <c r="B49" s="19" t="s">
        <v>1377</v>
      </c>
      <c r="C49" s="15" t="s">
        <v>1378</v>
      </c>
      <c r="D49" s="15" t="s">
        <v>545</v>
      </c>
      <c r="E49" s="20">
        <v>6295</v>
      </c>
      <c r="F49" s="21">
        <v>80.380899999999997</v>
      </c>
      <c r="G49" s="22">
        <v>9.7999999999999997E-3</v>
      </c>
      <c r="H49" s="40"/>
      <c r="I49" s="24"/>
      <c r="J49" s="5"/>
    </row>
    <row r="50" spans="1:10" ht="13.05" customHeight="1">
      <c r="A50" s="18" t="s">
        <v>1447</v>
      </c>
      <c r="B50" s="19" t="s">
        <v>1448</v>
      </c>
      <c r="C50" s="15" t="s">
        <v>1449</v>
      </c>
      <c r="D50" s="15" t="s">
        <v>445</v>
      </c>
      <c r="E50" s="20">
        <v>14640</v>
      </c>
      <c r="F50" s="21">
        <v>78.367900000000006</v>
      </c>
      <c r="G50" s="22">
        <v>9.5999999999999992E-3</v>
      </c>
      <c r="H50" s="40"/>
      <c r="I50" s="24"/>
      <c r="J50" s="5"/>
    </row>
    <row r="51" spans="1:10" ht="13.05" customHeight="1">
      <c r="A51" s="18" t="s">
        <v>1382</v>
      </c>
      <c r="B51" s="19" t="s">
        <v>1383</v>
      </c>
      <c r="C51" s="15" t="s">
        <v>1384</v>
      </c>
      <c r="D51" s="15" t="s">
        <v>272</v>
      </c>
      <c r="E51" s="20">
        <v>19502</v>
      </c>
      <c r="F51" s="21">
        <v>72.128100000000003</v>
      </c>
      <c r="G51" s="22">
        <v>8.8000000000000005E-3</v>
      </c>
      <c r="H51" s="40"/>
      <c r="I51" s="24"/>
      <c r="J51" s="5"/>
    </row>
    <row r="52" spans="1:10" ht="13.05" customHeight="1">
      <c r="A52" s="18" t="s">
        <v>1459</v>
      </c>
      <c r="B52" s="19" t="s">
        <v>1460</v>
      </c>
      <c r="C52" s="15" t="s">
        <v>1461</v>
      </c>
      <c r="D52" s="15" t="s">
        <v>329</v>
      </c>
      <c r="E52" s="20">
        <v>5126</v>
      </c>
      <c r="F52" s="21">
        <v>69.570099999999996</v>
      </c>
      <c r="G52" s="22">
        <v>8.5000000000000006E-3</v>
      </c>
      <c r="H52" s="40"/>
      <c r="I52" s="24"/>
      <c r="J52" s="5"/>
    </row>
    <row r="53" spans="1:10" ht="13.05" customHeight="1">
      <c r="A53" s="18" t="s">
        <v>1650</v>
      </c>
      <c r="B53" s="19" t="s">
        <v>1651</v>
      </c>
      <c r="C53" s="15" t="s">
        <v>1652</v>
      </c>
      <c r="D53" s="15" t="s">
        <v>507</v>
      </c>
      <c r="E53" s="20">
        <v>6116</v>
      </c>
      <c r="F53" s="21">
        <v>67.331000000000003</v>
      </c>
      <c r="G53" s="22">
        <v>8.2000000000000007E-3</v>
      </c>
      <c r="H53" s="40"/>
      <c r="I53" s="24"/>
      <c r="J53" s="5"/>
    </row>
    <row r="54" spans="1:10" ht="13.05" customHeight="1">
      <c r="A54" s="18" t="s">
        <v>4663</v>
      </c>
      <c r="B54" s="19" t="s">
        <v>4664</v>
      </c>
      <c r="C54" s="15" t="s">
        <v>4665</v>
      </c>
      <c r="D54" s="15" t="s">
        <v>272</v>
      </c>
      <c r="E54" s="20">
        <v>10889</v>
      </c>
      <c r="F54" s="21">
        <v>66.482799999999997</v>
      </c>
      <c r="G54" s="22">
        <v>8.0999999999999996E-3</v>
      </c>
      <c r="H54" s="40"/>
      <c r="I54" s="24"/>
      <c r="J54" s="5"/>
    </row>
    <row r="55" spans="1:10" ht="13.05" customHeight="1">
      <c r="A55" s="18" t="s">
        <v>1710</v>
      </c>
      <c r="B55" s="19" t="s">
        <v>1711</v>
      </c>
      <c r="C55" s="15" t="s">
        <v>1712</v>
      </c>
      <c r="D55" s="15" t="s">
        <v>464</v>
      </c>
      <c r="E55" s="20">
        <v>18469</v>
      </c>
      <c r="F55" s="21">
        <v>58.103499999999997</v>
      </c>
      <c r="G55" s="22">
        <v>7.1000000000000004E-3</v>
      </c>
      <c r="H55" s="40"/>
      <c r="I55" s="24"/>
      <c r="J55" s="5"/>
    </row>
    <row r="56" spans="1:10" ht="13.05" customHeight="1">
      <c r="A56" s="18" t="s">
        <v>1677</v>
      </c>
      <c r="B56" s="19" t="s">
        <v>1678</v>
      </c>
      <c r="C56" s="15" t="s">
        <v>1679</v>
      </c>
      <c r="D56" s="15" t="s">
        <v>846</v>
      </c>
      <c r="E56" s="20">
        <v>14315</v>
      </c>
      <c r="F56" s="21">
        <v>48.327399999999997</v>
      </c>
      <c r="G56" s="22">
        <v>5.8999999999999999E-3</v>
      </c>
      <c r="H56" s="40"/>
      <c r="I56" s="24"/>
      <c r="J56" s="5"/>
    </row>
    <row r="57" spans="1:10" ht="13.05" customHeight="1">
      <c r="A57" s="5"/>
      <c r="B57" s="14" t="s">
        <v>192</v>
      </c>
      <c r="C57" s="15"/>
      <c r="D57" s="15"/>
      <c r="E57" s="15"/>
      <c r="F57" s="25">
        <v>8163.2767999999996</v>
      </c>
      <c r="G57" s="26">
        <v>0.99970000000000003</v>
      </c>
      <c r="H57" s="27"/>
      <c r="I57" s="28"/>
      <c r="J57" s="5"/>
    </row>
    <row r="58" spans="1:10" ht="13.05" customHeight="1">
      <c r="A58" s="5"/>
      <c r="B58" s="29" t="s">
        <v>1812</v>
      </c>
      <c r="C58" s="2"/>
      <c r="D58" s="2"/>
      <c r="E58" s="2"/>
      <c r="F58" s="27" t="s">
        <v>194</v>
      </c>
      <c r="G58" s="27" t="s">
        <v>194</v>
      </c>
      <c r="H58" s="27"/>
      <c r="I58" s="28"/>
      <c r="J58" s="5"/>
    </row>
    <row r="59" spans="1:10" ht="13.05" customHeight="1">
      <c r="A59" s="5"/>
      <c r="B59" s="29" t="s">
        <v>192</v>
      </c>
      <c r="C59" s="2"/>
      <c r="D59" s="2"/>
      <c r="E59" s="2"/>
      <c r="F59" s="27" t="s">
        <v>194</v>
      </c>
      <c r="G59" s="27" t="s">
        <v>194</v>
      </c>
      <c r="H59" s="27"/>
      <c r="I59" s="28"/>
      <c r="J59" s="5"/>
    </row>
    <row r="60" spans="1:10" ht="13.05" customHeight="1">
      <c r="A60" s="5"/>
      <c r="B60" s="29" t="s">
        <v>195</v>
      </c>
      <c r="C60" s="30"/>
      <c r="D60" s="2"/>
      <c r="E60" s="30"/>
      <c r="F60" s="25">
        <v>8163.2767999999996</v>
      </c>
      <c r="G60" s="26">
        <v>0.99970000000000003</v>
      </c>
      <c r="H60" s="27"/>
      <c r="I60" s="28"/>
      <c r="J60" s="5"/>
    </row>
    <row r="61" spans="1:10" ht="13.05" customHeight="1">
      <c r="A61" s="5"/>
      <c r="B61" s="14" t="s">
        <v>196</v>
      </c>
      <c r="C61" s="15"/>
      <c r="D61" s="15"/>
      <c r="E61" s="15"/>
      <c r="F61" s="15"/>
      <c r="G61" s="15"/>
      <c r="H61" s="16"/>
      <c r="I61" s="17"/>
      <c r="J61" s="5"/>
    </row>
    <row r="62" spans="1:10" ht="13.05" customHeight="1">
      <c r="A62" s="18" t="s">
        <v>197</v>
      </c>
      <c r="B62" s="19" t="s">
        <v>198</v>
      </c>
      <c r="C62" s="15"/>
      <c r="D62" s="15"/>
      <c r="E62" s="20"/>
      <c r="F62" s="21">
        <v>20.733699999999999</v>
      </c>
      <c r="G62" s="22">
        <v>2.5000000000000001E-3</v>
      </c>
      <c r="H62" s="23">
        <v>5.5573825187222585E-2</v>
      </c>
      <c r="I62" s="24"/>
      <c r="J62" s="5"/>
    </row>
    <row r="63" spans="1:10" ht="13.05" customHeight="1">
      <c r="A63" s="5"/>
      <c r="B63" s="14" t="s">
        <v>192</v>
      </c>
      <c r="C63" s="15"/>
      <c r="D63" s="15"/>
      <c r="E63" s="15"/>
      <c r="F63" s="25">
        <v>20.733699999999999</v>
      </c>
      <c r="G63" s="26">
        <v>2.5000000000000001E-3</v>
      </c>
      <c r="H63" s="27"/>
      <c r="I63" s="28"/>
      <c r="J63" s="5"/>
    </row>
    <row r="64" spans="1:10" ht="13.05" customHeight="1">
      <c r="A64" s="5"/>
      <c r="B64" s="29" t="s">
        <v>195</v>
      </c>
      <c r="C64" s="30"/>
      <c r="D64" s="2"/>
      <c r="E64" s="30"/>
      <c r="F64" s="25">
        <v>20.733699999999999</v>
      </c>
      <c r="G64" s="26">
        <v>2.5000000000000001E-3</v>
      </c>
      <c r="H64" s="27"/>
      <c r="I64" s="28"/>
      <c r="J64" s="5"/>
    </row>
    <row r="65" spans="1:10" ht="13.05" customHeight="1">
      <c r="A65" s="5"/>
      <c r="B65" s="29" t="s">
        <v>199</v>
      </c>
      <c r="C65" s="15"/>
      <c r="D65" s="2"/>
      <c r="E65" s="15"/>
      <c r="F65" s="31">
        <v>-18.410499999999999</v>
      </c>
      <c r="G65" s="26">
        <v>-2.2000000000000001E-3</v>
      </c>
      <c r="H65" s="27"/>
      <c r="I65" s="28"/>
      <c r="J65" s="5"/>
    </row>
    <row r="66" spans="1:10" ht="13.05" customHeight="1">
      <c r="A66" s="5"/>
      <c r="B66" s="32" t="s">
        <v>200</v>
      </c>
      <c r="C66" s="33"/>
      <c r="D66" s="33"/>
      <c r="E66" s="33"/>
      <c r="F66" s="34">
        <v>8165.6</v>
      </c>
      <c r="G66" s="35">
        <v>1</v>
      </c>
      <c r="H66" s="36"/>
      <c r="I66" s="37"/>
      <c r="J66" s="5"/>
    </row>
    <row r="67" spans="1:10" ht="13.05" customHeight="1">
      <c r="A67" s="5"/>
      <c r="B67" s="7"/>
      <c r="C67" s="5"/>
      <c r="D67" s="5"/>
      <c r="E67" s="5"/>
      <c r="F67" s="5"/>
      <c r="G67" s="5"/>
      <c r="H67" s="5"/>
      <c r="I67" s="5"/>
      <c r="J67" s="5"/>
    </row>
    <row r="68" spans="1:10" ht="13.05" customHeight="1">
      <c r="A68" s="5"/>
      <c r="B68" s="4" t="s">
        <v>201</v>
      </c>
      <c r="C68" s="5"/>
      <c r="D68" s="5"/>
      <c r="E68" s="5"/>
      <c r="F68" s="5"/>
      <c r="G68" s="5"/>
      <c r="H68" s="5"/>
      <c r="I68" s="5"/>
      <c r="J68" s="5"/>
    </row>
    <row r="69" spans="1:10" ht="25.95" customHeight="1">
      <c r="A69" s="5"/>
      <c r="B69" s="103" t="s">
        <v>202</v>
      </c>
      <c r="C69" s="103"/>
      <c r="D69" s="103"/>
      <c r="E69" s="103"/>
      <c r="F69" s="103"/>
      <c r="G69" s="103"/>
      <c r="H69" s="103"/>
      <c r="I69" s="103"/>
      <c r="J69" s="5"/>
    </row>
    <row r="70" spans="1:10" ht="13.05" customHeight="1">
      <c r="A70" s="5"/>
      <c r="B70" s="103" t="s">
        <v>203</v>
      </c>
      <c r="C70" s="103"/>
      <c r="D70" s="103"/>
      <c r="E70" s="103"/>
      <c r="F70" s="103"/>
      <c r="G70" s="103"/>
      <c r="H70" s="103"/>
      <c r="I70" s="103"/>
      <c r="J70" s="5"/>
    </row>
    <row r="71" spans="1:10" ht="13.05" customHeight="1">
      <c r="A71" s="5"/>
      <c r="B71" s="103"/>
      <c r="C71" s="103"/>
      <c r="D71" s="103"/>
      <c r="E71" s="103"/>
      <c r="F71" s="103"/>
      <c r="G71" s="103"/>
      <c r="H71" s="103"/>
      <c r="I71" s="103"/>
      <c r="J71" s="5"/>
    </row>
    <row r="72" spans="1:10" ht="13.05" customHeight="1">
      <c r="A72" s="5"/>
      <c r="B72" s="103"/>
      <c r="C72" s="103"/>
      <c r="D72" s="103"/>
      <c r="E72" s="103"/>
      <c r="F72" s="103"/>
      <c r="G72" s="103"/>
      <c r="H72" s="103"/>
      <c r="I72" s="103"/>
      <c r="J72" s="5"/>
    </row>
    <row r="73" spans="1:10" ht="13.05" customHeight="1">
      <c r="A73" s="5"/>
      <c r="B73" s="103"/>
      <c r="C73" s="103"/>
      <c r="D73" s="103"/>
      <c r="E73" s="103"/>
      <c r="F73" s="103"/>
      <c r="G73" s="103"/>
      <c r="H73" s="103"/>
      <c r="I73" s="103"/>
      <c r="J73" s="5"/>
    </row>
    <row r="74" spans="1:10" ht="13.05" customHeight="1">
      <c r="A74" s="5"/>
      <c r="B74" s="103"/>
      <c r="C74" s="103"/>
      <c r="D74" s="103"/>
      <c r="E74" s="103"/>
      <c r="F74" s="103"/>
      <c r="G74" s="103"/>
      <c r="H74" s="103"/>
      <c r="I74" s="103"/>
      <c r="J74" s="5"/>
    </row>
    <row r="75" spans="1:10" ht="13.05" customHeight="1">
      <c r="A75" s="5"/>
      <c r="B75" s="5"/>
      <c r="C75" s="104" t="s">
        <v>4666</v>
      </c>
      <c r="D75" s="104"/>
      <c r="E75" s="104"/>
      <c r="F75" s="104"/>
      <c r="G75" s="5"/>
      <c r="H75" s="5"/>
      <c r="I75" s="5"/>
      <c r="J75" s="5"/>
    </row>
    <row r="76" spans="1:10" ht="13.05" customHeight="1">
      <c r="A76" s="5"/>
      <c r="B76" s="38" t="s">
        <v>207</v>
      </c>
      <c r="C76" s="104" t="s">
        <v>208</v>
      </c>
      <c r="D76" s="104"/>
      <c r="E76" s="104"/>
      <c r="F76" s="104"/>
      <c r="G76" s="5"/>
      <c r="H76" s="5"/>
      <c r="I76" s="5"/>
      <c r="J76" s="5"/>
    </row>
    <row r="77" spans="1:10" ht="135" customHeight="1">
      <c r="A77" s="5"/>
      <c r="B77" s="39"/>
      <c r="C77" s="105"/>
      <c r="D77" s="105"/>
      <c r="E77" s="5"/>
      <c r="F77" s="5"/>
      <c r="G77" s="5"/>
      <c r="H77" s="5"/>
      <c r="I77" s="5"/>
      <c r="J77" s="5"/>
    </row>
  </sheetData>
  <mergeCells count="9">
    <mergeCell ref="B74:I74"/>
    <mergeCell ref="C75:F75"/>
    <mergeCell ref="C76:F76"/>
    <mergeCell ref="C77:D77"/>
    <mergeCell ref="B69:I69"/>
    <mergeCell ref="B70:I70"/>
    <mergeCell ref="B71:I71"/>
    <mergeCell ref="B72:I72"/>
    <mergeCell ref="B73:I73"/>
  </mergeCells>
  <hyperlinks>
    <hyperlink ref="A1" location="AxisNifty500Quality50IndexFund" display="AXISQIF" xr:uid="{00000000-0004-0000-3F00-000000000000}"/>
    <hyperlink ref="B1" location="AxisNifty500Quality50IndexFund" display="Axis Nifty500 Quality 50 Index Fund" xr:uid="{00000000-0004-0000-3F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outlinePr summaryBelow="0"/>
  </sheetPr>
  <dimension ref="A1:J69"/>
  <sheetViews>
    <sheetView topLeftCell="A31" workbookViewId="0">
      <selection activeCell="C48" sqref="C48"/>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130</v>
      </c>
      <c r="B1" s="4" t="s">
        <v>131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910660</v>
      </c>
      <c r="F7" s="21">
        <v>8990.9462000000003</v>
      </c>
      <c r="G7" s="22">
        <v>9.7900000000000001E-2</v>
      </c>
      <c r="H7" s="40"/>
      <c r="I7" s="24"/>
      <c r="J7" s="5"/>
    </row>
    <row r="8" spans="1:10" ht="13.05" customHeight="1">
      <c r="A8" s="18" t="s">
        <v>262</v>
      </c>
      <c r="B8" s="19" t="s">
        <v>263</v>
      </c>
      <c r="C8" s="15" t="s">
        <v>264</v>
      </c>
      <c r="D8" s="15" t="s">
        <v>257</v>
      </c>
      <c r="E8" s="20">
        <v>615528</v>
      </c>
      <c r="F8" s="21">
        <v>8280.6982000000007</v>
      </c>
      <c r="G8" s="22">
        <v>9.0200000000000002E-2</v>
      </c>
      <c r="H8" s="40"/>
      <c r="I8" s="24"/>
      <c r="J8" s="5"/>
    </row>
    <row r="9" spans="1:10" ht="13.05" customHeight="1">
      <c r="A9" s="18" t="s">
        <v>265</v>
      </c>
      <c r="B9" s="19" t="s">
        <v>266</v>
      </c>
      <c r="C9" s="15" t="s">
        <v>267</v>
      </c>
      <c r="D9" s="15" t="s">
        <v>268</v>
      </c>
      <c r="E9" s="20">
        <v>333044</v>
      </c>
      <c r="F9" s="21">
        <v>6842.3890000000001</v>
      </c>
      <c r="G9" s="22">
        <v>7.4499999999999997E-2</v>
      </c>
      <c r="H9" s="40"/>
      <c r="I9" s="24"/>
      <c r="J9" s="5"/>
    </row>
    <row r="10" spans="1:10" ht="13.05" customHeight="1">
      <c r="A10" s="18" t="s">
        <v>305</v>
      </c>
      <c r="B10" s="19" t="s">
        <v>306</v>
      </c>
      <c r="C10" s="15" t="s">
        <v>307</v>
      </c>
      <c r="D10" s="15" t="s">
        <v>280</v>
      </c>
      <c r="E10" s="20">
        <v>152429</v>
      </c>
      <c r="F10" s="21">
        <v>3758.1370000000002</v>
      </c>
      <c r="G10" s="22">
        <v>4.0899999999999999E-2</v>
      </c>
      <c r="H10" s="40"/>
      <c r="I10" s="24"/>
      <c r="J10" s="5"/>
    </row>
    <row r="11" spans="1:10" ht="13.05" customHeight="1">
      <c r="A11" s="18" t="s">
        <v>345</v>
      </c>
      <c r="B11" s="19" t="s">
        <v>346</v>
      </c>
      <c r="C11" s="15" t="s">
        <v>347</v>
      </c>
      <c r="D11" s="15" t="s">
        <v>348</v>
      </c>
      <c r="E11" s="20">
        <v>60531</v>
      </c>
      <c r="F11" s="21">
        <v>3404.8688000000002</v>
      </c>
      <c r="G11" s="22">
        <v>3.7100000000000001E-2</v>
      </c>
      <c r="H11" s="40"/>
      <c r="I11" s="24"/>
      <c r="J11" s="5"/>
    </row>
    <row r="12" spans="1:10" ht="13.05" customHeight="1">
      <c r="A12" s="18" t="s">
        <v>449</v>
      </c>
      <c r="B12" s="19" t="s">
        <v>450</v>
      </c>
      <c r="C12" s="15" t="s">
        <v>451</v>
      </c>
      <c r="D12" s="15" t="s">
        <v>261</v>
      </c>
      <c r="E12" s="20">
        <v>936299</v>
      </c>
      <c r="F12" s="21">
        <v>3340.7148000000002</v>
      </c>
      <c r="G12" s="22">
        <v>3.6400000000000002E-2</v>
      </c>
      <c r="H12" s="40"/>
      <c r="I12" s="24"/>
      <c r="J12" s="5"/>
    </row>
    <row r="13" spans="1:10" ht="13.05" customHeight="1">
      <c r="A13" s="18" t="s">
        <v>700</v>
      </c>
      <c r="B13" s="19" t="s">
        <v>701</v>
      </c>
      <c r="C13" s="15" t="s">
        <v>702</v>
      </c>
      <c r="D13" s="15" t="s">
        <v>257</v>
      </c>
      <c r="E13" s="20">
        <v>362503</v>
      </c>
      <c r="F13" s="21">
        <v>3112.8132999999998</v>
      </c>
      <c r="G13" s="22">
        <v>3.39E-2</v>
      </c>
      <c r="H13" s="40"/>
      <c r="I13" s="24"/>
      <c r="J13" s="5"/>
    </row>
    <row r="14" spans="1:10" ht="13.05" customHeight="1">
      <c r="A14" s="18" t="s">
        <v>385</v>
      </c>
      <c r="B14" s="19" t="s">
        <v>386</v>
      </c>
      <c r="C14" s="15" t="s">
        <v>387</v>
      </c>
      <c r="D14" s="15" t="s">
        <v>296</v>
      </c>
      <c r="E14" s="20">
        <v>44229</v>
      </c>
      <c r="F14" s="21">
        <v>3099.1260000000002</v>
      </c>
      <c r="G14" s="22">
        <v>3.3700000000000001E-2</v>
      </c>
      <c r="H14" s="40"/>
      <c r="I14" s="24"/>
      <c r="J14" s="5"/>
    </row>
    <row r="15" spans="1:10" ht="13.05" customHeight="1">
      <c r="A15" s="18" t="s">
        <v>423</v>
      </c>
      <c r="B15" s="19" t="s">
        <v>424</v>
      </c>
      <c r="C15" s="15" t="s">
        <v>425</v>
      </c>
      <c r="D15" s="15" t="s">
        <v>296</v>
      </c>
      <c r="E15" s="20">
        <v>85078</v>
      </c>
      <c r="F15" s="21">
        <v>2985.1318000000001</v>
      </c>
      <c r="G15" s="22">
        <v>3.2500000000000001E-2</v>
      </c>
      <c r="H15" s="40"/>
      <c r="I15" s="24"/>
      <c r="J15" s="5"/>
    </row>
    <row r="16" spans="1:10" ht="13.05" customHeight="1">
      <c r="A16" s="18" t="s">
        <v>452</v>
      </c>
      <c r="B16" s="19" t="s">
        <v>453</v>
      </c>
      <c r="C16" s="15" t="s">
        <v>454</v>
      </c>
      <c r="D16" s="15" t="s">
        <v>391</v>
      </c>
      <c r="E16" s="20">
        <v>49239</v>
      </c>
      <c r="F16" s="21">
        <v>2873.8341999999998</v>
      </c>
      <c r="G16" s="22">
        <v>3.1300000000000001E-2</v>
      </c>
      <c r="H16" s="40"/>
      <c r="I16" s="24"/>
      <c r="J16" s="5"/>
    </row>
    <row r="17" spans="1:10" ht="13.05" customHeight="1">
      <c r="A17" s="18" t="s">
        <v>508</v>
      </c>
      <c r="B17" s="19" t="s">
        <v>509</v>
      </c>
      <c r="C17" s="15" t="s">
        <v>510</v>
      </c>
      <c r="D17" s="15" t="s">
        <v>374</v>
      </c>
      <c r="E17" s="20">
        <v>50316</v>
      </c>
      <c r="F17" s="21">
        <v>2706.4976000000001</v>
      </c>
      <c r="G17" s="22">
        <v>2.9499999999999998E-2</v>
      </c>
      <c r="H17" s="40"/>
      <c r="I17" s="24"/>
      <c r="J17" s="5"/>
    </row>
    <row r="18" spans="1:10" ht="13.05" customHeight="1">
      <c r="A18" s="18" t="s">
        <v>783</v>
      </c>
      <c r="B18" s="19" t="s">
        <v>784</v>
      </c>
      <c r="C18" s="15" t="s">
        <v>785</v>
      </c>
      <c r="D18" s="15" t="s">
        <v>300</v>
      </c>
      <c r="E18" s="20">
        <v>832605</v>
      </c>
      <c r="F18" s="21">
        <v>2699.3054000000002</v>
      </c>
      <c r="G18" s="22">
        <v>2.9399999999999999E-2</v>
      </c>
      <c r="H18" s="40"/>
      <c r="I18" s="24"/>
      <c r="J18" s="5"/>
    </row>
    <row r="19" spans="1:10" ht="13.05" customHeight="1">
      <c r="A19" s="18" t="s">
        <v>616</v>
      </c>
      <c r="B19" s="19" t="s">
        <v>617</v>
      </c>
      <c r="C19" s="15" t="s">
        <v>618</v>
      </c>
      <c r="D19" s="15" t="s">
        <v>445</v>
      </c>
      <c r="E19" s="20">
        <v>88186</v>
      </c>
      <c r="F19" s="21">
        <v>2678.5616</v>
      </c>
      <c r="G19" s="22">
        <v>2.92E-2</v>
      </c>
      <c r="H19" s="40"/>
      <c r="I19" s="24"/>
      <c r="J19" s="5"/>
    </row>
    <row r="20" spans="1:10" ht="13.05" customHeight="1">
      <c r="A20" s="18" t="s">
        <v>643</v>
      </c>
      <c r="B20" s="19" t="s">
        <v>644</v>
      </c>
      <c r="C20" s="15" t="s">
        <v>645</v>
      </c>
      <c r="D20" s="15" t="s">
        <v>300</v>
      </c>
      <c r="E20" s="20">
        <v>83954</v>
      </c>
      <c r="F20" s="21">
        <v>2668.6457999999998</v>
      </c>
      <c r="G20" s="22">
        <v>2.9100000000000001E-2</v>
      </c>
      <c r="H20" s="40"/>
      <c r="I20" s="24"/>
      <c r="J20" s="5"/>
    </row>
    <row r="21" spans="1:10" ht="13.05" customHeight="1">
      <c r="A21" s="18" t="s">
        <v>585</v>
      </c>
      <c r="B21" s="19" t="s">
        <v>586</v>
      </c>
      <c r="C21" s="15" t="s">
        <v>587</v>
      </c>
      <c r="D21" s="15" t="s">
        <v>581</v>
      </c>
      <c r="E21" s="20">
        <v>86412</v>
      </c>
      <c r="F21" s="21">
        <v>2532.3036999999999</v>
      </c>
      <c r="G21" s="22">
        <v>2.76E-2</v>
      </c>
      <c r="H21" s="40"/>
      <c r="I21" s="24"/>
      <c r="J21" s="5"/>
    </row>
    <row r="22" spans="1:10" ht="13.05" customHeight="1">
      <c r="A22" s="18" t="s">
        <v>625</v>
      </c>
      <c r="B22" s="19" t="s">
        <v>626</v>
      </c>
      <c r="C22" s="15" t="s">
        <v>627</v>
      </c>
      <c r="D22" s="15" t="s">
        <v>314</v>
      </c>
      <c r="E22" s="20">
        <v>69486</v>
      </c>
      <c r="F22" s="21">
        <v>2473.7710999999999</v>
      </c>
      <c r="G22" s="22">
        <v>2.69E-2</v>
      </c>
      <c r="H22" s="40"/>
      <c r="I22" s="24"/>
      <c r="J22" s="5"/>
    </row>
    <row r="23" spans="1:10" ht="13.05" customHeight="1">
      <c r="A23" s="18" t="s">
        <v>673</v>
      </c>
      <c r="B23" s="19" t="s">
        <v>674</v>
      </c>
      <c r="C23" s="15" t="s">
        <v>675</v>
      </c>
      <c r="D23" s="15" t="s">
        <v>567</v>
      </c>
      <c r="E23" s="20">
        <v>6395</v>
      </c>
      <c r="F23" s="21">
        <v>2381.8177999999998</v>
      </c>
      <c r="G23" s="22">
        <v>2.5899999999999999E-2</v>
      </c>
      <c r="H23" s="40"/>
      <c r="I23" s="24"/>
      <c r="J23" s="5"/>
    </row>
    <row r="24" spans="1:10" ht="13.05" customHeight="1">
      <c r="A24" s="18" t="s">
        <v>755</v>
      </c>
      <c r="B24" s="19" t="s">
        <v>756</v>
      </c>
      <c r="C24" s="15" t="s">
        <v>757</v>
      </c>
      <c r="D24" s="15" t="s">
        <v>758</v>
      </c>
      <c r="E24" s="20">
        <v>5569</v>
      </c>
      <c r="F24" s="21">
        <v>2294.4279999999999</v>
      </c>
      <c r="G24" s="22">
        <v>2.5000000000000001E-2</v>
      </c>
      <c r="H24" s="40"/>
      <c r="I24" s="24"/>
      <c r="J24" s="5"/>
    </row>
    <row r="25" spans="1:10" ht="13.05" customHeight="1">
      <c r="A25" s="18" t="s">
        <v>269</v>
      </c>
      <c r="B25" s="19" t="s">
        <v>270</v>
      </c>
      <c r="C25" s="15" t="s">
        <v>271</v>
      </c>
      <c r="D25" s="15" t="s">
        <v>272</v>
      </c>
      <c r="E25" s="20">
        <v>151784</v>
      </c>
      <c r="F25" s="21">
        <v>2249.8942000000002</v>
      </c>
      <c r="G25" s="22">
        <v>2.4500000000000001E-2</v>
      </c>
      <c r="H25" s="40"/>
      <c r="I25" s="24"/>
      <c r="J25" s="5"/>
    </row>
    <row r="26" spans="1:10" ht="13.05" customHeight="1">
      <c r="A26" s="18" t="s">
        <v>610</v>
      </c>
      <c r="B26" s="19" t="s">
        <v>611</v>
      </c>
      <c r="C26" s="15" t="s">
        <v>612</v>
      </c>
      <c r="D26" s="15" t="s">
        <v>435</v>
      </c>
      <c r="E26" s="20">
        <v>297441</v>
      </c>
      <c r="F26" s="21">
        <v>2141.4265</v>
      </c>
      <c r="G26" s="22">
        <v>2.3300000000000001E-2</v>
      </c>
      <c r="H26" s="40"/>
      <c r="I26" s="24"/>
      <c r="J26" s="5"/>
    </row>
    <row r="27" spans="1:10" ht="13.05" customHeight="1">
      <c r="A27" s="18" t="s">
        <v>613</v>
      </c>
      <c r="B27" s="19" t="s">
        <v>614</v>
      </c>
      <c r="C27" s="15" t="s">
        <v>615</v>
      </c>
      <c r="D27" s="15" t="s">
        <v>337</v>
      </c>
      <c r="E27" s="20">
        <v>7288</v>
      </c>
      <c r="F27" s="21">
        <v>2063.2328000000002</v>
      </c>
      <c r="G27" s="22">
        <v>2.2499999999999999E-2</v>
      </c>
      <c r="H27" s="40"/>
      <c r="I27" s="24"/>
      <c r="J27" s="5"/>
    </row>
    <row r="28" spans="1:10" ht="13.05" customHeight="1">
      <c r="A28" s="18" t="s">
        <v>293</v>
      </c>
      <c r="B28" s="19" t="s">
        <v>294</v>
      </c>
      <c r="C28" s="15" t="s">
        <v>295</v>
      </c>
      <c r="D28" s="15" t="s">
        <v>296</v>
      </c>
      <c r="E28" s="20">
        <v>56996</v>
      </c>
      <c r="F28" s="21">
        <v>1987.5645</v>
      </c>
      <c r="G28" s="22">
        <v>2.1600000000000001E-2</v>
      </c>
      <c r="H28" s="40"/>
      <c r="I28" s="24"/>
      <c r="J28" s="5"/>
    </row>
    <row r="29" spans="1:10" ht="13.05" customHeight="1">
      <c r="A29" s="18" t="s">
        <v>568</v>
      </c>
      <c r="B29" s="19" t="s">
        <v>569</v>
      </c>
      <c r="C29" s="15" t="s">
        <v>570</v>
      </c>
      <c r="D29" s="15" t="s">
        <v>257</v>
      </c>
      <c r="E29" s="20">
        <v>1323618</v>
      </c>
      <c r="F29" s="21">
        <v>1813.2243000000001</v>
      </c>
      <c r="G29" s="22">
        <v>1.9699999999999999E-2</v>
      </c>
      <c r="H29" s="40"/>
      <c r="I29" s="24"/>
      <c r="J29" s="5"/>
    </row>
    <row r="30" spans="1:10" ht="13.05" customHeight="1">
      <c r="A30" s="18" t="s">
        <v>571</v>
      </c>
      <c r="B30" s="19" t="s">
        <v>572</v>
      </c>
      <c r="C30" s="15" t="s">
        <v>573</v>
      </c>
      <c r="D30" s="15" t="s">
        <v>261</v>
      </c>
      <c r="E30" s="20">
        <v>330183</v>
      </c>
      <c r="F30" s="21">
        <v>1571.6711</v>
      </c>
      <c r="G30" s="22">
        <v>1.7100000000000001E-2</v>
      </c>
      <c r="H30" s="40"/>
      <c r="I30" s="24"/>
      <c r="J30" s="5"/>
    </row>
    <row r="31" spans="1:10" ht="13.05" customHeight="1">
      <c r="A31" s="18" t="s">
        <v>402</v>
      </c>
      <c r="B31" s="19" t="s">
        <v>403</v>
      </c>
      <c r="C31" s="15" t="s">
        <v>404</v>
      </c>
      <c r="D31" s="15" t="s">
        <v>405</v>
      </c>
      <c r="E31" s="20">
        <v>76192</v>
      </c>
      <c r="F31" s="21">
        <v>1490.0869</v>
      </c>
      <c r="G31" s="22">
        <v>1.6199999999999999E-2</v>
      </c>
      <c r="H31" s="40"/>
      <c r="I31" s="24"/>
      <c r="J31" s="5"/>
    </row>
    <row r="32" spans="1:10" ht="13.05" customHeight="1">
      <c r="A32" s="18" t="s">
        <v>258</v>
      </c>
      <c r="B32" s="19" t="s">
        <v>259</v>
      </c>
      <c r="C32" s="15" t="s">
        <v>260</v>
      </c>
      <c r="D32" s="15" t="s">
        <v>261</v>
      </c>
      <c r="E32" s="20">
        <v>86636</v>
      </c>
      <c r="F32" s="21">
        <v>1287.7574999999999</v>
      </c>
      <c r="G32" s="22">
        <v>1.4E-2</v>
      </c>
      <c r="H32" s="40"/>
      <c r="I32" s="24"/>
      <c r="J32" s="5"/>
    </row>
    <row r="33" spans="1:10" ht="13.05" customHeight="1">
      <c r="A33" s="18" t="s">
        <v>326</v>
      </c>
      <c r="B33" s="19" t="s">
        <v>327</v>
      </c>
      <c r="C33" s="15" t="s">
        <v>328</v>
      </c>
      <c r="D33" s="15" t="s">
        <v>329</v>
      </c>
      <c r="E33" s="20">
        <v>257357</v>
      </c>
      <c r="F33" s="21">
        <v>1096.5981999999999</v>
      </c>
      <c r="G33" s="22">
        <v>1.1900000000000001E-2</v>
      </c>
      <c r="H33" s="40"/>
      <c r="I33" s="24"/>
      <c r="J33" s="5"/>
    </row>
    <row r="34" spans="1:10" ht="13.05" customHeight="1">
      <c r="A34" s="18" t="s">
        <v>1141</v>
      </c>
      <c r="B34" s="19" t="s">
        <v>1142</v>
      </c>
      <c r="C34" s="15" t="s">
        <v>1143</v>
      </c>
      <c r="D34" s="15" t="s">
        <v>314</v>
      </c>
      <c r="E34" s="20">
        <v>38786</v>
      </c>
      <c r="F34" s="21">
        <v>1015.6502</v>
      </c>
      <c r="G34" s="22">
        <v>1.11E-2</v>
      </c>
      <c r="H34" s="40"/>
      <c r="I34" s="24"/>
      <c r="J34" s="5"/>
    </row>
    <row r="35" spans="1:10" ht="13.05" customHeight="1">
      <c r="A35" s="18" t="s">
        <v>308</v>
      </c>
      <c r="B35" s="19" t="s">
        <v>309</v>
      </c>
      <c r="C35" s="15" t="s">
        <v>310</v>
      </c>
      <c r="D35" s="15" t="s">
        <v>296</v>
      </c>
      <c r="E35" s="20">
        <v>6090</v>
      </c>
      <c r="F35" s="21">
        <v>985.72739999999999</v>
      </c>
      <c r="G35" s="22">
        <v>1.0699999999999999E-2</v>
      </c>
      <c r="H35" s="40"/>
      <c r="I35" s="24"/>
      <c r="J35" s="5"/>
    </row>
    <row r="36" spans="1:10" ht="13.05" customHeight="1">
      <c r="A36" s="18" t="s">
        <v>429</v>
      </c>
      <c r="B36" s="19" t="s">
        <v>430</v>
      </c>
      <c r="C36" s="15" t="s">
        <v>431</v>
      </c>
      <c r="D36" s="15" t="s">
        <v>415</v>
      </c>
      <c r="E36" s="20">
        <v>12585</v>
      </c>
      <c r="F36" s="21">
        <v>966.65390000000002</v>
      </c>
      <c r="G36" s="22">
        <v>1.0500000000000001E-2</v>
      </c>
      <c r="H36" s="40"/>
      <c r="I36" s="24"/>
      <c r="J36" s="5"/>
    </row>
    <row r="37" spans="1:10" ht="13.05" customHeight="1">
      <c r="A37" s="18" t="s">
        <v>952</v>
      </c>
      <c r="B37" s="19" t="s">
        <v>953</v>
      </c>
      <c r="C37" s="15" t="s">
        <v>954</v>
      </c>
      <c r="D37" s="15" t="s">
        <v>314</v>
      </c>
      <c r="E37" s="20">
        <v>3077</v>
      </c>
      <c r="F37" s="21">
        <v>892.17619999999999</v>
      </c>
      <c r="G37" s="22">
        <v>9.7000000000000003E-3</v>
      </c>
      <c r="H37" s="40"/>
      <c r="I37" s="24"/>
      <c r="J37" s="5"/>
    </row>
    <row r="38" spans="1:10" ht="13.05" customHeight="1">
      <c r="A38" s="18" t="s">
        <v>392</v>
      </c>
      <c r="B38" s="19" t="s">
        <v>393</v>
      </c>
      <c r="C38" s="15" t="s">
        <v>394</v>
      </c>
      <c r="D38" s="15" t="s">
        <v>272</v>
      </c>
      <c r="E38" s="20">
        <v>57776</v>
      </c>
      <c r="F38" s="21">
        <v>822.96130000000005</v>
      </c>
      <c r="G38" s="22">
        <v>8.9999999999999993E-3</v>
      </c>
      <c r="H38" s="40"/>
      <c r="I38" s="24"/>
      <c r="J38" s="5"/>
    </row>
    <row r="39" spans="1:10" ht="13.05" customHeight="1">
      <c r="A39" s="18" t="s">
        <v>934</v>
      </c>
      <c r="B39" s="19" t="s">
        <v>935</v>
      </c>
      <c r="C39" s="15" t="s">
        <v>936</v>
      </c>
      <c r="D39" s="15" t="s">
        <v>257</v>
      </c>
      <c r="E39" s="20">
        <v>349353</v>
      </c>
      <c r="F39" s="21">
        <v>798.8655</v>
      </c>
      <c r="G39" s="22">
        <v>8.6999999999999994E-3</v>
      </c>
      <c r="H39" s="40"/>
      <c r="I39" s="24"/>
      <c r="J39" s="5"/>
    </row>
    <row r="40" spans="1:10" ht="13.05" customHeight="1">
      <c r="A40" s="18" t="s">
        <v>3526</v>
      </c>
      <c r="B40" s="19" t="s">
        <v>3527</v>
      </c>
      <c r="C40" s="15" t="s">
        <v>3528</v>
      </c>
      <c r="D40" s="15" t="s">
        <v>541</v>
      </c>
      <c r="E40" s="20">
        <v>148318</v>
      </c>
      <c r="F40" s="21">
        <v>636.21010000000001</v>
      </c>
      <c r="G40" s="22">
        <v>6.8999999999999999E-3</v>
      </c>
      <c r="H40" s="40"/>
      <c r="I40" s="24"/>
      <c r="J40" s="5"/>
    </row>
    <row r="41" spans="1:10" ht="13.05" customHeight="1">
      <c r="A41" s="18" t="s">
        <v>439</v>
      </c>
      <c r="B41" s="19" t="s">
        <v>440</v>
      </c>
      <c r="C41" s="15" t="s">
        <v>441</v>
      </c>
      <c r="D41" s="15" t="s">
        <v>296</v>
      </c>
      <c r="E41" s="20">
        <v>11161</v>
      </c>
      <c r="F41" s="21">
        <v>618.76580000000001</v>
      </c>
      <c r="G41" s="22">
        <v>6.7000000000000002E-3</v>
      </c>
      <c r="H41" s="40"/>
      <c r="I41" s="24"/>
      <c r="J41" s="5"/>
    </row>
    <row r="42" spans="1:10" ht="13.05" customHeight="1">
      <c r="A42" s="18" t="s">
        <v>4667</v>
      </c>
      <c r="B42" s="19" t="s">
        <v>4668</v>
      </c>
      <c r="C42" s="15" t="s">
        <v>4669</v>
      </c>
      <c r="D42" s="15" t="s">
        <v>304</v>
      </c>
      <c r="E42" s="20">
        <v>64208</v>
      </c>
      <c r="F42" s="21">
        <v>489.8107</v>
      </c>
      <c r="G42" s="22">
        <v>5.3E-3</v>
      </c>
      <c r="H42" s="40"/>
      <c r="I42" s="24"/>
      <c r="J42" s="5"/>
    </row>
    <row r="43" spans="1:10" ht="13.05" customHeight="1">
      <c r="A43" s="18" t="s">
        <v>4670</v>
      </c>
      <c r="B43" s="19" t="s">
        <v>4671</v>
      </c>
      <c r="C43" s="15" t="s">
        <v>4672</v>
      </c>
      <c r="D43" s="15" t="s">
        <v>272</v>
      </c>
      <c r="E43" s="20">
        <v>468</v>
      </c>
      <c r="F43" s="21">
        <v>2.9870000000000001</v>
      </c>
      <c r="G43" s="40" t="s">
        <v>1809</v>
      </c>
      <c r="H43" s="40"/>
      <c r="I43" s="24"/>
      <c r="J43" s="5"/>
    </row>
    <row r="44" spans="1:10" ht="13.05" customHeight="1">
      <c r="A44" s="5"/>
      <c r="B44" s="14" t="s">
        <v>192</v>
      </c>
      <c r="C44" s="15"/>
      <c r="D44" s="15"/>
      <c r="E44" s="15"/>
      <c r="F44" s="25">
        <v>90055.254300000001</v>
      </c>
      <c r="G44" s="26">
        <v>0.98070000000000002</v>
      </c>
      <c r="H44" s="27"/>
      <c r="I44" s="28"/>
      <c r="J44" s="5"/>
    </row>
    <row r="45" spans="1:10" ht="13.05" customHeight="1">
      <c r="A45" s="5"/>
      <c r="B45" s="29" t="s">
        <v>1812</v>
      </c>
      <c r="C45" s="2"/>
      <c r="D45" s="2"/>
      <c r="E45" s="2"/>
      <c r="F45" s="27" t="s">
        <v>194</v>
      </c>
      <c r="G45" s="27" t="s">
        <v>194</v>
      </c>
      <c r="H45" s="27"/>
      <c r="I45" s="28"/>
      <c r="J45" s="5"/>
    </row>
    <row r="46" spans="1:10" ht="13.05" customHeight="1">
      <c r="A46" s="5"/>
      <c r="B46" s="29" t="s">
        <v>192</v>
      </c>
      <c r="C46" s="2"/>
      <c r="D46" s="2"/>
      <c r="E46" s="2"/>
      <c r="F46" s="27" t="s">
        <v>194</v>
      </c>
      <c r="G46" s="27" t="s">
        <v>194</v>
      </c>
      <c r="H46" s="27"/>
      <c r="I46" s="28"/>
      <c r="J46" s="5"/>
    </row>
    <row r="47" spans="1:10" ht="13.05" customHeight="1">
      <c r="A47" s="5"/>
      <c r="B47" s="14" t="s">
        <v>1813</v>
      </c>
      <c r="C47" s="15"/>
      <c r="D47" s="15"/>
      <c r="E47" s="15"/>
      <c r="F47" s="5"/>
      <c r="G47" s="16"/>
      <c r="H47" s="16"/>
      <c r="I47" s="17"/>
      <c r="J47" s="5"/>
    </row>
    <row r="48" spans="1:10" ht="13.05" customHeight="1">
      <c r="A48" s="18" t="s">
        <v>1814</v>
      </c>
      <c r="B48" s="19" t="s">
        <v>5526</v>
      </c>
      <c r="C48" s="15" t="s">
        <v>1815</v>
      </c>
      <c r="D48" s="15" t="s">
        <v>296</v>
      </c>
      <c r="E48" s="20">
        <v>243784</v>
      </c>
      <c r="F48" s="21">
        <v>24.601500000000001</v>
      </c>
      <c r="G48" s="22">
        <v>2.9999999999999997E-4</v>
      </c>
      <c r="H48" s="40"/>
      <c r="I48" s="24"/>
      <c r="J48" s="5"/>
    </row>
    <row r="49" spans="1:10" ht="13.05" customHeight="1">
      <c r="A49" s="5"/>
      <c r="B49" s="14" t="s">
        <v>192</v>
      </c>
      <c r="C49" s="15"/>
      <c r="D49" s="15"/>
      <c r="E49" s="15"/>
      <c r="F49" s="25">
        <v>24.601500000000001</v>
      </c>
      <c r="G49" s="26">
        <v>2.9999999999999997E-4</v>
      </c>
      <c r="H49" s="27"/>
      <c r="I49" s="28"/>
      <c r="J49" s="5"/>
    </row>
    <row r="50" spans="1:10" ht="13.05" customHeight="1">
      <c r="A50" s="5"/>
      <c r="B50" s="29" t="s">
        <v>195</v>
      </c>
      <c r="C50" s="30"/>
      <c r="D50" s="2"/>
      <c r="E50" s="30"/>
      <c r="F50" s="25">
        <v>90079.8557</v>
      </c>
      <c r="G50" s="26">
        <v>0.98099999999999998</v>
      </c>
      <c r="H50" s="27"/>
      <c r="I50" s="28"/>
      <c r="J50" s="5"/>
    </row>
    <row r="51" spans="1:10" ht="13.05" customHeight="1">
      <c r="A51" s="5"/>
      <c r="B51" s="14" t="s">
        <v>196</v>
      </c>
      <c r="C51" s="15"/>
      <c r="D51" s="15"/>
      <c r="E51" s="15"/>
      <c r="F51" s="15"/>
      <c r="G51" s="15"/>
      <c r="H51" s="16"/>
      <c r="I51" s="17"/>
      <c r="J51" s="5"/>
    </row>
    <row r="52" spans="1:10" ht="13.05" customHeight="1">
      <c r="A52" s="18" t="s">
        <v>197</v>
      </c>
      <c r="B52" s="19" t="s">
        <v>198</v>
      </c>
      <c r="C52" s="15"/>
      <c r="D52" s="15"/>
      <c r="E52" s="20"/>
      <c r="F52" s="21">
        <v>1987.4947999999999</v>
      </c>
      <c r="G52" s="22">
        <v>2.1600000000000001E-2</v>
      </c>
      <c r="H52" s="23">
        <v>5.5573613358271927E-2</v>
      </c>
      <c r="I52" s="24"/>
      <c r="J52" s="5"/>
    </row>
    <row r="53" spans="1:10" ht="13.05" customHeight="1">
      <c r="A53" s="5"/>
      <c r="B53" s="14" t="s">
        <v>192</v>
      </c>
      <c r="C53" s="15"/>
      <c r="D53" s="15"/>
      <c r="E53" s="15"/>
      <c r="F53" s="25">
        <v>1987.4947999999999</v>
      </c>
      <c r="G53" s="26">
        <v>2.1600000000000001E-2</v>
      </c>
      <c r="H53" s="27"/>
      <c r="I53" s="28"/>
      <c r="J53" s="5"/>
    </row>
    <row r="54" spans="1:10" ht="13.05" customHeight="1">
      <c r="A54" s="5"/>
      <c r="B54" s="29" t="s">
        <v>195</v>
      </c>
      <c r="C54" s="30"/>
      <c r="D54" s="2"/>
      <c r="E54" s="30"/>
      <c r="F54" s="25">
        <v>1987.4947999999999</v>
      </c>
      <c r="G54" s="26">
        <v>2.1600000000000001E-2</v>
      </c>
      <c r="H54" s="27"/>
      <c r="I54" s="28"/>
      <c r="J54" s="5"/>
    </row>
    <row r="55" spans="1:10" ht="13.05" customHeight="1">
      <c r="A55" s="5"/>
      <c r="B55" s="29" t="s">
        <v>199</v>
      </c>
      <c r="C55" s="15"/>
      <c r="D55" s="2"/>
      <c r="E55" s="15"/>
      <c r="F55" s="31">
        <v>-241.3305</v>
      </c>
      <c r="G55" s="26">
        <v>-2.5999999999999999E-3</v>
      </c>
      <c r="H55" s="27"/>
      <c r="I55" s="28"/>
      <c r="J55" s="5"/>
    </row>
    <row r="56" spans="1:10" ht="13.05" customHeight="1">
      <c r="A56" s="5"/>
      <c r="B56" s="32" t="s">
        <v>200</v>
      </c>
      <c r="C56" s="33"/>
      <c r="D56" s="33"/>
      <c r="E56" s="33"/>
      <c r="F56" s="34">
        <v>91826.02</v>
      </c>
      <c r="G56" s="35">
        <v>1</v>
      </c>
      <c r="H56" s="36"/>
      <c r="I56" s="37"/>
      <c r="J56" s="5"/>
    </row>
    <row r="57" spans="1:10" ht="13.05" customHeight="1">
      <c r="A57" s="5"/>
      <c r="B57" s="7"/>
      <c r="C57" s="5"/>
      <c r="D57" s="5"/>
      <c r="E57" s="5"/>
      <c r="F57" s="5"/>
      <c r="G57" s="5"/>
      <c r="H57" s="5"/>
      <c r="I57" s="5"/>
      <c r="J57" s="5"/>
    </row>
    <row r="58" spans="1:10" ht="13.05" customHeight="1">
      <c r="A58" s="5"/>
      <c r="B58" s="4" t="s">
        <v>250</v>
      </c>
      <c r="C58" s="5"/>
      <c r="D58" s="5"/>
      <c r="E58" s="5"/>
      <c r="F58" s="5"/>
      <c r="G58" s="5"/>
      <c r="H58" s="5"/>
      <c r="I58" s="5"/>
      <c r="J58" s="5"/>
    </row>
    <row r="59" spans="1:10" ht="13.05" customHeight="1">
      <c r="A59" s="5"/>
      <c r="B59" s="4" t="s">
        <v>1816</v>
      </c>
      <c r="C59" s="5"/>
      <c r="D59" s="5"/>
      <c r="E59" s="5"/>
      <c r="F59" s="5"/>
      <c r="G59" s="5"/>
      <c r="H59" s="5"/>
      <c r="I59" s="5"/>
      <c r="J59" s="5"/>
    </row>
    <row r="60" spans="1:10" ht="13.05" customHeight="1">
      <c r="A60" s="5"/>
      <c r="B60" s="4" t="s">
        <v>201</v>
      </c>
      <c r="C60" s="5"/>
      <c r="D60" s="5"/>
      <c r="E60" s="5"/>
      <c r="F60" s="5"/>
      <c r="G60" s="5"/>
      <c r="H60" s="5"/>
      <c r="I60" s="5"/>
      <c r="J60" s="5"/>
    </row>
    <row r="61" spans="1:10" ht="25.95" customHeight="1">
      <c r="A61" s="5"/>
      <c r="B61" s="103" t="s">
        <v>202</v>
      </c>
      <c r="C61" s="103"/>
      <c r="D61" s="103"/>
      <c r="E61" s="103"/>
      <c r="F61" s="103"/>
      <c r="G61" s="103"/>
      <c r="H61" s="103"/>
      <c r="I61" s="103"/>
      <c r="J61" s="5"/>
    </row>
    <row r="62" spans="1:10" ht="13.05" customHeight="1">
      <c r="A62" s="5"/>
      <c r="B62" s="103" t="s">
        <v>203</v>
      </c>
      <c r="C62" s="103"/>
      <c r="D62" s="103"/>
      <c r="E62" s="103"/>
      <c r="F62" s="103"/>
      <c r="G62" s="103"/>
      <c r="H62" s="103"/>
      <c r="I62" s="103"/>
      <c r="J62" s="5"/>
    </row>
    <row r="63" spans="1:10" ht="13.05" customHeight="1">
      <c r="A63" s="5"/>
      <c r="B63" s="103"/>
      <c r="C63" s="103"/>
      <c r="D63" s="103"/>
      <c r="E63" s="103"/>
      <c r="F63" s="103"/>
      <c r="G63" s="103"/>
      <c r="H63" s="103"/>
      <c r="I63" s="103"/>
      <c r="J63" s="5"/>
    </row>
    <row r="64" spans="1:10" ht="13.05" customHeight="1">
      <c r="A64" s="5"/>
      <c r="B64" s="103"/>
      <c r="C64" s="103"/>
      <c r="D64" s="103"/>
      <c r="E64" s="103"/>
      <c r="F64" s="103"/>
      <c r="G64" s="103"/>
      <c r="H64" s="103"/>
      <c r="I64" s="103"/>
      <c r="J64" s="5"/>
    </row>
    <row r="65" spans="1:10" ht="13.05" customHeight="1">
      <c r="A65" s="5"/>
      <c r="B65" s="103"/>
      <c r="C65" s="103"/>
      <c r="D65" s="103"/>
      <c r="E65" s="103"/>
      <c r="F65" s="103"/>
      <c r="G65" s="103"/>
      <c r="H65" s="103"/>
      <c r="I65" s="103"/>
      <c r="J65" s="5"/>
    </row>
    <row r="66" spans="1:10" ht="13.05" customHeight="1">
      <c r="A66" s="5"/>
      <c r="B66" s="103"/>
      <c r="C66" s="103"/>
      <c r="D66" s="103"/>
      <c r="E66" s="103"/>
      <c r="F66" s="103"/>
      <c r="G66" s="103"/>
      <c r="H66" s="103"/>
      <c r="I66" s="103"/>
      <c r="J66" s="5"/>
    </row>
    <row r="67" spans="1:10" ht="13.05" customHeight="1">
      <c r="A67" s="5"/>
      <c r="B67" s="5"/>
      <c r="C67" s="104" t="s">
        <v>4673</v>
      </c>
      <c r="D67" s="104"/>
      <c r="E67" s="104"/>
      <c r="F67" s="104"/>
      <c r="G67" s="5"/>
      <c r="H67" s="5"/>
      <c r="I67" s="5"/>
      <c r="J67" s="5"/>
    </row>
    <row r="68" spans="1:10" ht="13.05" customHeight="1">
      <c r="A68" s="5"/>
      <c r="B68" s="38" t="s">
        <v>207</v>
      </c>
      <c r="C68" s="104" t="s">
        <v>208</v>
      </c>
      <c r="D68" s="104"/>
      <c r="E68" s="104"/>
      <c r="F68" s="104"/>
      <c r="G68" s="5"/>
      <c r="H68" s="5"/>
      <c r="I68" s="5"/>
      <c r="J68" s="5"/>
    </row>
    <row r="69" spans="1:10" ht="135" customHeight="1">
      <c r="A69" s="5"/>
      <c r="B69" s="39"/>
      <c r="C69" s="105"/>
      <c r="D69" s="105"/>
      <c r="E69" s="5"/>
      <c r="F69" s="5"/>
      <c r="G69" s="5"/>
      <c r="H69" s="5"/>
      <c r="I69" s="5"/>
      <c r="J69" s="5"/>
    </row>
  </sheetData>
  <mergeCells count="9">
    <mergeCell ref="B66:I66"/>
    <mergeCell ref="C67:F67"/>
    <mergeCell ref="C68:F68"/>
    <mergeCell ref="C69:D69"/>
    <mergeCell ref="B61:I61"/>
    <mergeCell ref="B62:I62"/>
    <mergeCell ref="B63:I63"/>
    <mergeCell ref="B64:I64"/>
    <mergeCell ref="B65:I65"/>
  </mergeCells>
  <hyperlinks>
    <hyperlink ref="A1" location="AxisQuantFund" display="AXISQUA" xr:uid="{00000000-0004-0000-4000-000000000000}"/>
    <hyperlink ref="B1" location="AxisQuantFund" display="Axis Quant Fund" xr:uid="{00000000-0004-0000-40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outlinePr summaryBelow="0"/>
  </sheetPr>
  <dimension ref="A1:J129"/>
  <sheetViews>
    <sheetView topLeftCell="A72" workbookViewId="0">
      <selection activeCell="C85" sqref="C85"/>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132</v>
      </c>
      <c r="B1" s="4" t="s">
        <v>133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465080</v>
      </c>
      <c r="F7" s="21">
        <v>4591.7348000000002</v>
      </c>
      <c r="G7" s="22">
        <v>5.8999999999999997E-2</v>
      </c>
      <c r="H7" s="40"/>
      <c r="I7" s="24"/>
      <c r="J7" s="5"/>
    </row>
    <row r="8" spans="1:10" ht="13.05" customHeight="1">
      <c r="A8" s="18" t="s">
        <v>258</v>
      </c>
      <c r="B8" s="19" t="s">
        <v>259</v>
      </c>
      <c r="C8" s="15" t="s">
        <v>260</v>
      </c>
      <c r="D8" s="15" t="s">
        <v>261</v>
      </c>
      <c r="E8" s="20">
        <v>288000</v>
      </c>
      <c r="F8" s="21">
        <v>4280.8320000000003</v>
      </c>
      <c r="G8" s="22">
        <v>5.5E-2</v>
      </c>
      <c r="H8" s="40"/>
      <c r="I8" s="24"/>
      <c r="J8" s="5"/>
    </row>
    <row r="9" spans="1:10" ht="13.05" customHeight="1">
      <c r="A9" s="18" t="s">
        <v>262</v>
      </c>
      <c r="B9" s="19" t="s">
        <v>263</v>
      </c>
      <c r="C9" s="15" t="s">
        <v>264</v>
      </c>
      <c r="D9" s="15" t="s">
        <v>257</v>
      </c>
      <c r="E9" s="20">
        <v>253316</v>
      </c>
      <c r="F9" s="21">
        <v>3407.8600999999999</v>
      </c>
      <c r="G9" s="22">
        <v>4.3799999999999999E-2</v>
      </c>
      <c r="H9" s="40"/>
      <c r="I9" s="24"/>
      <c r="J9" s="5"/>
    </row>
    <row r="10" spans="1:10" ht="13.05" customHeight="1">
      <c r="A10" s="18" t="s">
        <v>269</v>
      </c>
      <c r="B10" s="19" t="s">
        <v>270</v>
      </c>
      <c r="C10" s="15" t="s">
        <v>271</v>
      </c>
      <c r="D10" s="15" t="s">
        <v>272</v>
      </c>
      <c r="E10" s="20">
        <v>193892</v>
      </c>
      <c r="F10" s="21">
        <v>2874.0610999999999</v>
      </c>
      <c r="G10" s="22">
        <v>3.6900000000000002E-2</v>
      </c>
      <c r="H10" s="40"/>
      <c r="I10" s="24"/>
      <c r="J10" s="5"/>
    </row>
    <row r="11" spans="1:10" ht="13.05" customHeight="1">
      <c r="A11" s="18" t="s">
        <v>265</v>
      </c>
      <c r="B11" s="19" t="s">
        <v>266</v>
      </c>
      <c r="C11" s="15" t="s">
        <v>267</v>
      </c>
      <c r="D11" s="15" t="s">
        <v>268</v>
      </c>
      <c r="E11" s="20">
        <v>105391</v>
      </c>
      <c r="F11" s="21">
        <v>2165.2581</v>
      </c>
      <c r="G11" s="22">
        <v>2.7799999999999998E-2</v>
      </c>
      <c r="H11" s="40"/>
      <c r="I11" s="24"/>
      <c r="J11" s="5"/>
    </row>
    <row r="12" spans="1:10" ht="13.05" customHeight="1">
      <c r="A12" s="18" t="s">
        <v>273</v>
      </c>
      <c r="B12" s="19" t="s">
        <v>274</v>
      </c>
      <c r="C12" s="15" t="s">
        <v>275</v>
      </c>
      <c r="D12" s="15" t="s">
        <v>276</v>
      </c>
      <c r="E12" s="20">
        <v>53626</v>
      </c>
      <c r="F12" s="21">
        <v>2161.6104</v>
      </c>
      <c r="G12" s="22">
        <v>2.7799999999999998E-2</v>
      </c>
      <c r="H12" s="40"/>
      <c r="I12" s="24"/>
      <c r="J12" s="5"/>
    </row>
    <row r="13" spans="1:10" ht="13.05" customHeight="1">
      <c r="A13" s="18" t="s">
        <v>281</v>
      </c>
      <c r="B13" s="19" t="s">
        <v>282</v>
      </c>
      <c r="C13" s="15" t="s">
        <v>283</v>
      </c>
      <c r="D13" s="15" t="s">
        <v>257</v>
      </c>
      <c r="E13" s="20">
        <v>226249</v>
      </c>
      <c r="F13" s="21">
        <v>2119.9531000000002</v>
      </c>
      <c r="G13" s="22">
        <v>2.7199999999999998E-2</v>
      </c>
      <c r="H13" s="40"/>
      <c r="I13" s="24"/>
      <c r="J13" s="5"/>
    </row>
    <row r="14" spans="1:10" ht="13.05" customHeight="1">
      <c r="A14" s="18" t="s">
        <v>293</v>
      </c>
      <c r="B14" s="19" t="s">
        <v>294</v>
      </c>
      <c r="C14" s="15" t="s">
        <v>295</v>
      </c>
      <c r="D14" s="15" t="s">
        <v>296</v>
      </c>
      <c r="E14" s="20">
        <v>51675</v>
      </c>
      <c r="F14" s="21">
        <v>1802.0106000000001</v>
      </c>
      <c r="G14" s="22">
        <v>2.3199999999999998E-2</v>
      </c>
      <c r="H14" s="40"/>
      <c r="I14" s="24"/>
      <c r="J14" s="5"/>
    </row>
    <row r="15" spans="1:10" ht="13.05" customHeight="1">
      <c r="A15" s="18" t="s">
        <v>297</v>
      </c>
      <c r="B15" s="19" t="s">
        <v>298</v>
      </c>
      <c r="C15" s="15" t="s">
        <v>299</v>
      </c>
      <c r="D15" s="15" t="s">
        <v>300</v>
      </c>
      <c r="E15" s="20">
        <v>172395</v>
      </c>
      <c r="F15" s="21">
        <v>1797.7351000000001</v>
      </c>
      <c r="G15" s="22">
        <v>2.3099999999999999E-2</v>
      </c>
      <c r="H15" s="40"/>
      <c r="I15" s="24"/>
      <c r="J15" s="5"/>
    </row>
    <row r="16" spans="1:10" ht="13.05" customHeight="1">
      <c r="A16" s="18" t="s">
        <v>406</v>
      </c>
      <c r="B16" s="19" t="s">
        <v>407</v>
      </c>
      <c r="C16" s="15" t="s">
        <v>408</v>
      </c>
      <c r="D16" s="15" t="s">
        <v>314</v>
      </c>
      <c r="E16" s="20">
        <v>24573</v>
      </c>
      <c r="F16" s="21">
        <v>1655.7286999999999</v>
      </c>
      <c r="G16" s="22">
        <v>2.1299999999999999E-2</v>
      </c>
      <c r="H16" s="40"/>
      <c r="I16" s="24"/>
      <c r="J16" s="5"/>
    </row>
    <row r="17" spans="1:10" ht="13.05" customHeight="1">
      <c r="A17" s="18" t="s">
        <v>649</v>
      </c>
      <c r="B17" s="19" t="s">
        <v>650</v>
      </c>
      <c r="C17" s="15" t="s">
        <v>651</v>
      </c>
      <c r="D17" s="15" t="s">
        <v>581</v>
      </c>
      <c r="E17" s="20">
        <v>10025</v>
      </c>
      <c r="F17" s="21">
        <v>1391.2695000000001</v>
      </c>
      <c r="G17" s="22">
        <v>1.7899999999999999E-2</v>
      </c>
      <c r="H17" s="40"/>
      <c r="I17" s="24"/>
      <c r="J17" s="5"/>
    </row>
    <row r="18" spans="1:10" ht="13.05" customHeight="1">
      <c r="A18" s="18" t="s">
        <v>578</v>
      </c>
      <c r="B18" s="19" t="s">
        <v>579</v>
      </c>
      <c r="C18" s="15" t="s">
        <v>580</v>
      </c>
      <c r="D18" s="15" t="s">
        <v>581</v>
      </c>
      <c r="E18" s="20">
        <v>93072</v>
      </c>
      <c r="F18" s="21">
        <v>1344.5181</v>
      </c>
      <c r="G18" s="22">
        <v>1.7299999999999999E-2</v>
      </c>
      <c r="H18" s="40"/>
      <c r="I18" s="24"/>
      <c r="J18" s="5"/>
    </row>
    <row r="19" spans="1:10" ht="13.05" customHeight="1">
      <c r="A19" s="18" t="s">
        <v>514</v>
      </c>
      <c r="B19" s="19" t="s">
        <v>515</v>
      </c>
      <c r="C19" s="15" t="s">
        <v>516</v>
      </c>
      <c r="D19" s="15" t="s">
        <v>415</v>
      </c>
      <c r="E19" s="20">
        <v>110052</v>
      </c>
      <c r="F19" s="21">
        <v>1125.8869999999999</v>
      </c>
      <c r="G19" s="22">
        <v>1.4500000000000001E-2</v>
      </c>
      <c r="H19" s="40"/>
      <c r="I19" s="24"/>
      <c r="J19" s="5"/>
    </row>
    <row r="20" spans="1:10" ht="13.05" customHeight="1">
      <c r="A20" s="18" t="s">
        <v>318</v>
      </c>
      <c r="B20" s="19" t="s">
        <v>319</v>
      </c>
      <c r="C20" s="15" t="s">
        <v>320</v>
      </c>
      <c r="D20" s="15" t="s">
        <v>321</v>
      </c>
      <c r="E20" s="20">
        <v>291435</v>
      </c>
      <c r="F20" s="21">
        <v>981.99019999999996</v>
      </c>
      <c r="G20" s="22">
        <v>1.26E-2</v>
      </c>
      <c r="H20" s="40"/>
      <c r="I20" s="24"/>
      <c r="J20" s="5"/>
    </row>
    <row r="21" spans="1:10" ht="13.05" customHeight="1">
      <c r="A21" s="18" t="s">
        <v>712</v>
      </c>
      <c r="B21" s="19" t="s">
        <v>713</v>
      </c>
      <c r="C21" s="15" t="s">
        <v>714</v>
      </c>
      <c r="D21" s="15" t="s">
        <v>603</v>
      </c>
      <c r="E21" s="20">
        <v>27046</v>
      </c>
      <c r="F21" s="21">
        <v>967.54359999999997</v>
      </c>
      <c r="G21" s="22">
        <v>1.24E-2</v>
      </c>
      <c r="H21" s="40"/>
      <c r="I21" s="24"/>
      <c r="J21" s="5"/>
    </row>
    <row r="22" spans="1:10" ht="13.05" customHeight="1">
      <c r="A22" s="18" t="s">
        <v>290</v>
      </c>
      <c r="B22" s="19" t="s">
        <v>291</v>
      </c>
      <c r="C22" s="15" t="s">
        <v>292</v>
      </c>
      <c r="D22" s="15" t="s">
        <v>257</v>
      </c>
      <c r="E22" s="20">
        <v>39900</v>
      </c>
      <c r="F22" s="21">
        <v>838.77779999999996</v>
      </c>
      <c r="G22" s="22">
        <v>1.0800000000000001E-2</v>
      </c>
      <c r="H22" s="40"/>
      <c r="I22" s="24"/>
      <c r="J22" s="5"/>
    </row>
    <row r="23" spans="1:10" ht="13.05" customHeight="1">
      <c r="A23" s="18" t="s">
        <v>416</v>
      </c>
      <c r="B23" s="19" t="s">
        <v>417</v>
      </c>
      <c r="C23" s="15" t="s">
        <v>418</v>
      </c>
      <c r="D23" s="15" t="s">
        <v>314</v>
      </c>
      <c r="E23" s="20">
        <v>51880</v>
      </c>
      <c r="F23" s="21">
        <v>778.87440000000004</v>
      </c>
      <c r="G23" s="22">
        <v>0.01</v>
      </c>
      <c r="H23" s="40"/>
      <c r="I23" s="24"/>
      <c r="J23" s="5"/>
    </row>
    <row r="24" spans="1:10" ht="13.05" customHeight="1">
      <c r="A24" s="18" t="s">
        <v>287</v>
      </c>
      <c r="B24" s="19" t="s">
        <v>288</v>
      </c>
      <c r="C24" s="15" t="s">
        <v>289</v>
      </c>
      <c r="D24" s="15" t="s">
        <v>272</v>
      </c>
      <c r="E24" s="20">
        <v>25235</v>
      </c>
      <c r="F24" s="21">
        <v>771.68629999999996</v>
      </c>
      <c r="G24" s="22">
        <v>9.9000000000000008E-3</v>
      </c>
      <c r="H24" s="40"/>
      <c r="I24" s="24"/>
      <c r="J24" s="5"/>
    </row>
    <row r="25" spans="1:10" ht="13.05" customHeight="1">
      <c r="A25" s="18" t="s">
        <v>1638</v>
      </c>
      <c r="B25" s="19" t="s">
        <v>1639</v>
      </c>
      <c r="C25" s="15" t="s">
        <v>1640</v>
      </c>
      <c r="D25" s="15" t="s">
        <v>567</v>
      </c>
      <c r="E25" s="20">
        <v>133409</v>
      </c>
      <c r="F25" s="21">
        <v>752.02650000000006</v>
      </c>
      <c r="G25" s="22">
        <v>9.7000000000000003E-3</v>
      </c>
      <c r="H25" s="40"/>
      <c r="I25" s="24"/>
      <c r="J25" s="5"/>
    </row>
    <row r="26" spans="1:10" ht="13.05" customHeight="1">
      <c r="A26" s="18" t="s">
        <v>301</v>
      </c>
      <c r="B26" s="19" t="s">
        <v>302</v>
      </c>
      <c r="C26" s="15" t="s">
        <v>303</v>
      </c>
      <c r="D26" s="15" t="s">
        <v>304</v>
      </c>
      <c r="E26" s="20">
        <v>231343</v>
      </c>
      <c r="F26" s="21">
        <v>735.0924</v>
      </c>
      <c r="G26" s="22">
        <v>9.4000000000000004E-3</v>
      </c>
      <c r="H26" s="40"/>
      <c r="I26" s="24"/>
      <c r="J26" s="5"/>
    </row>
    <row r="27" spans="1:10" ht="13.05" customHeight="1">
      <c r="A27" s="18" t="s">
        <v>426</v>
      </c>
      <c r="B27" s="19" t="s">
        <v>427</v>
      </c>
      <c r="C27" s="15" t="s">
        <v>428</v>
      </c>
      <c r="D27" s="15" t="s">
        <v>405</v>
      </c>
      <c r="E27" s="20">
        <v>98241</v>
      </c>
      <c r="F27" s="21">
        <v>718.97680000000003</v>
      </c>
      <c r="G27" s="22">
        <v>9.1999999999999998E-3</v>
      </c>
      <c r="H27" s="40"/>
      <c r="I27" s="24"/>
      <c r="J27" s="5"/>
    </row>
    <row r="28" spans="1:10" ht="13.05" customHeight="1">
      <c r="A28" s="18" t="s">
        <v>919</v>
      </c>
      <c r="B28" s="19" t="s">
        <v>920</v>
      </c>
      <c r="C28" s="15" t="s">
        <v>921</v>
      </c>
      <c r="D28" s="15" t="s">
        <v>300</v>
      </c>
      <c r="E28" s="20">
        <v>77061</v>
      </c>
      <c r="F28" s="21">
        <v>715.66549999999995</v>
      </c>
      <c r="G28" s="22">
        <v>9.1999999999999998E-3</v>
      </c>
      <c r="H28" s="40"/>
      <c r="I28" s="24"/>
      <c r="J28" s="5"/>
    </row>
    <row r="29" spans="1:10" ht="13.05" customHeight="1">
      <c r="A29" s="18" t="s">
        <v>616</v>
      </c>
      <c r="B29" s="19" t="s">
        <v>617</v>
      </c>
      <c r="C29" s="15" t="s">
        <v>618</v>
      </c>
      <c r="D29" s="15" t="s">
        <v>445</v>
      </c>
      <c r="E29" s="20">
        <v>22646</v>
      </c>
      <c r="F29" s="21">
        <v>687.84960000000001</v>
      </c>
      <c r="G29" s="22">
        <v>8.8000000000000005E-3</v>
      </c>
      <c r="H29" s="40"/>
      <c r="I29" s="24"/>
      <c r="J29" s="5"/>
    </row>
    <row r="30" spans="1:10" ht="13.05" customHeight="1">
      <c r="A30" s="18" t="s">
        <v>311</v>
      </c>
      <c r="B30" s="19" t="s">
        <v>312</v>
      </c>
      <c r="C30" s="15" t="s">
        <v>313</v>
      </c>
      <c r="D30" s="15" t="s">
        <v>314</v>
      </c>
      <c r="E30" s="20">
        <v>40337</v>
      </c>
      <c r="F30" s="21">
        <v>681.97770000000003</v>
      </c>
      <c r="G30" s="22">
        <v>8.8000000000000005E-3</v>
      </c>
      <c r="H30" s="40"/>
      <c r="I30" s="24"/>
      <c r="J30" s="5"/>
    </row>
    <row r="31" spans="1:10" ht="13.05" customHeight="1">
      <c r="A31" s="18" t="s">
        <v>429</v>
      </c>
      <c r="B31" s="19" t="s">
        <v>430</v>
      </c>
      <c r="C31" s="15" t="s">
        <v>431</v>
      </c>
      <c r="D31" s="15" t="s">
        <v>415</v>
      </c>
      <c r="E31" s="20">
        <v>8693</v>
      </c>
      <c r="F31" s="21">
        <v>667.70929999999998</v>
      </c>
      <c r="G31" s="22">
        <v>8.6E-3</v>
      </c>
      <c r="H31" s="40"/>
      <c r="I31" s="24"/>
      <c r="J31" s="5"/>
    </row>
    <row r="32" spans="1:10" ht="13.05" customHeight="1">
      <c r="A32" s="18" t="s">
        <v>1052</v>
      </c>
      <c r="B32" s="19" t="s">
        <v>1053</v>
      </c>
      <c r="C32" s="15" t="s">
        <v>1054</v>
      </c>
      <c r="D32" s="15" t="s">
        <v>445</v>
      </c>
      <c r="E32" s="20">
        <v>60186</v>
      </c>
      <c r="F32" s="21">
        <v>657.95339999999999</v>
      </c>
      <c r="G32" s="22">
        <v>8.5000000000000006E-3</v>
      </c>
      <c r="H32" s="40"/>
      <c r="I32" s="24"/>
      <c r="J32" s="5"/>
    </row>
    <row r="33" spans="1:10" ht="13.05" customHeight="1">
      <c r="A33" s="18" t="s">
        <v>843</v>
      </c>
      <c r="B33" s="19" t="s">
        <v>844</v>
      </c>
      <c r="C33" s="15" t="s">
        <v>845</v>
      </c>
      <c r="D33" s="15" t="s">
        <v>846</v>
      </c>
      <c r="E33" s="20">
        <v>9705</v>
      </c>
      <c r="F33" s="21">
        <v>650.67169999999999</v>
      </c>
      <c r="G33" s="22">
        <v>8.3999999999999995E-3</v>
      </c>
      <c r="H33" s="40"/>
      <c r="I33" s="24"/>
      <c r="J33" s="5"/>
    </row>
    <row r="34" spans="1:10" ht="13.05" customHeight="1">
      <c r="A34" s="18" t="s">
        <v>739</v>
      </c>
      <c r="B34" s="19" t="s">
        <v>740</v>
      </c>
      <c r="C34" s="15" t="s">
        <v>741</v>
      </c>
      <c r="D34" s="15" t="s">
        <v>314</v>
      </c>
      <c r="E34" s="20">
        <v>26673</v>
      </c>
      <c r="F34" s="21">
        <v>635.88430000000005</v>
      </c>
      <c r="G34" s="22">
        <v>8.2000000000000007E-3</v>
      </c>
      <c r="H34" s="40"/>
      <c r="I34" s="24"/>
      <c r="J34" s="5"/>
    </row>
    <row r="35" spans="1:10" ht="13.05" customHeight="1">
      <c r="A35" s="18" t="s">
        <v>326</v>
      </c>
      <c r="B35" s="19" t="s">
        <v>327</v>
      </c>
      <c r="C35" s="15" t="s">
        <v>328</v>
      </c>
      <c r="D35" s="15" t="s">
        <v>329</v>
      </c>
      <c r="E35" s="20">
        <v>148579</v>
      </c>
      <c r="F35" s="21">
        <v>633.0951</v>
      </c>
      <c r="G35" s="22">
        <v>8.0999999999999996E-3</v>
      </c>
      <c r="H35" s="40"/>
      <c r="I35" s="24"/>
      <c r="J35" s="5"/>
    </row>
    <row r="36" spans="1:10" ht="13.05" customHeight="1">
      <c r="A36" s="18" t="s">
        <v>762</v>
      </c>
      <c r="B36" s="19" t="s">
        <v>763</v>
      </c>
      <c r="C36" s="15" t="s">
        <v>764</v>
      </c>
      <c r="D36" s="15" t="s">
        <v>321</v>
      </c>
      <c r="E36" s="20">
        <v>46217</v>
      </c>
      <c r="F36" s="21">
        <v>608.44680000000005</v>
      </c>
      <c r="G36" s="22">
        <v>7.7999999999999996E-3</v>
      </c>
      <c r="H36" s="40"/>
      <c r="I36" s="24"/>
      <c r="J36" s="5"/>
    </row>
    <row r="37" spans="1:10" ht="13.05" customHeight="1">
      <c r="A37" s="18" t="s">
        <v>1186</v>
      </c>
      <c r="B37" s="19" t="s">
        <v>1187</v>
      </c>
      <c r="C37" s="15" t="s">
        <v>1188</v>
      </c>
      <c r="D37" s="15" t="s">
        <v>970</v>
      </c>
      <c r="E37" s="20">
        <v>12859</v>
      </c>
      <c r="F37" s="21">
        <v>607.9221</v>
      </c>
      <c r="G37" s="22">
        <v>7.7999999999999996E-3</v>
      </c>
      <c r="H37" s="40"/>
      <c r="I37" s="24"/>
      <c r="J37" s="5"/>
    </row>
    <row r="38" spans="1:10" ht="13.05" customHeight="1">
      <c r="A38" s="18" t="s">
        <v>2426</v>
      </c>
      <c r="B38" s="19" t="s">
        <v>2427</v>
      </c>
      <c r="C38" s="15" t="s">
        <v>2428</v>
      </c>
      <c r="D38" s="15" t="s">
        <v>970</v>
      </c>
      <c r="E38" s="20">
        <v>95614</v>
      </c>
      <c r="F38" s="21">
        <v>573.77959999999996</v>
      </c>
      <c r="G38" s="22">
        <v>7.4000000000000003E-3</v>
      </c>
      <c r="H38" s="40"/>
      <c r="I38" s="24"/>
      <c r="J38" s="5"/>
    </row>
    <row r="39" spans="1:10" ht="13.05" customHeight="1">
      <c r="A39" s="18" t="s">
        <v>322</v>
      </c>
      <c r="B39" s="19" t="s">
        <v>323</v>
      </c>
      <c r="C39" s="15" t="s">
        <v>324</v>
      </c>
      <c r="D39" s="15" t="s">
        <v>325</v>
      </c>
      <c r="E39" s="20">
        <v>15300</v>
      </c>
      <c r="F39" s="21">
        <v>573.24509999999998</v>
      </c>
      <c r="G39" s="22">
        <v>7.4000000000000003E-3</v>
      </c>
      <c r="H39" s="40"/>
      <c r="I39" s="24"/>
      <c r="J39" s="5"/>
    </row>
    <row r="40" spans="1:10" ht="13.05" customHeight="1">
      <c r="A40" s="18" t="s">
        <v>694</v>
      </c>
      <c r="B40" s="19" t="s">
        <v>695</v>
      </c>
      <c r="C40" s="15" t="s">
        <v>696</v>
      </c>
      <c r="D40" s="15" t="s">
        <v>541</v>
      </c>
      <c r="E40" s="20">
        <v>34000</v>
      </c>
      <c r="F40" s="21">
        <v>572.08399999999995</v>
      </c>
      <c r="G40" s="22">
        <v>7.4000000000000003E-3</v>
      </c>
      <c r="H40" s="40"/>
      <c r="I40" s="24"/>
      <c r="J40" s="5"/>
    </row>
    <row r="41" spans="1:10" ht="13.05" customHeight="1">
      <c r="A41" s="18" t="s">
        <v>472</v>
      </c>
      <c r="B41" s="19" t="s">
        <v>473</v>
      </c>
      <c r="C41" s="15" t="s">
        <v>474</v>
      </c>
      <c r="D41" s="15" t="s">
        <v>475</v>
      </c>
      <c r="E41" s="20">
        <v>119741</v>
      </c>
      <c r="F41" s="21">
        <v>562.36360000000002</v>
      </c>
      <c r="G41" s="22">
        <v>7.1999999999999998E-3</v>
      </c>
      <c r="H41" s="40"/>
      <c r="I41" s="24"/>
      <c r="J41" s="5"/>
    </row>
    <row r="42" spans="1:10" ht="13.05" customHeight="1">
      <c r="A42" s="18" t="s">
        <v>532</v>
      </c>
      <c r="B42" s="19" t="s">
        <v>533</v>
      </c>
      <c r="C42" s="15" t="s">
        <v>534</v>
      </c>
      <c r="D42" s="15" t="s">
        <v>445</v>
      </c>
      <c r="E42" s="20">
        <v>74166</v>
      </c>
      <c r="F42" s="21">
        <v>546.34379999999999</v>
      </c>
      <c r="G42" s="22">
        <v>7.0000000000000001E-3</v>
      </c>
      <c r="H42" s="40"/>
      <c r="I42" s="24"/>
      <c r="J42" s="5"/>
    </row>
    <row r="43" spans="1:10" ht="13.05" customHeight="1">
      <c r="A43" s="18" t="s">
        <v>1613</v>
      </c>
      <c r="B43" s="19" t="s">
        <v>1614</v>
      </c>
      <c r="C43" s="15" t="s">
        <v>1615</v>
      </c>
      <c r="D43" s="15" t="s">
        <v>1616</v>
      </c>
      <c r="E43" s="20">
        <v>21179</v>
      </c>
      <c r="F43" s="21">
        <v>544.74509999999998</v>
      </c>
      <c r="G43" s="22">
        <v>7.0000000000000001E-3</v>
      </c>
      <c r="H43" s="40"/>
      <c r="I43" s="24"/>
      <c r="J43" s="5"/>
    </row>
    <row r="44" spans="1:10" ht="13.05" customHeight="1">
      <c r="A44" s="18" t="s">
        <v>591</v>
      </c>
      <c r="B44" s="19" t="s">
        <v>592</v>
      </c>
      <c r="C44" s="15" t="s">
        <v>593</v>
      </c>
      <c r="D44" s="15" t="s">
        <v>475</v>
      </c>
      <c r="E44" s="20">
        <v>36658</v>
      </c>
      <c r="F44" s="21">
        <v>524.72260000000006</v>
      </c>
      <c r="G44" s="22">
        <v>6.7000000000000002E-3</v>
      </c>
      <c r="H44" s="40"/>
      <c r="I44" s="24"/>
      <c r="J44" s="5"/>
    </row>
    <row r="45" spans="1:10" ht="13.05" customHeight="1">
      <c r="A45" s="18" t="s">
        <v>682</v>
      </c>
      <c r="B45" s="19" t="s">
        <v>683</v>
      </c>
      <c r="C45" s="15" t="s">
        <v>684</v>
      </c>
      <c r="D45" s="15" t="s">
        <v>300</v>
      </c>
      <c r="E45" s="20">
        <v>11144</v>
      </c>
      <c r="F45" s="21">
        <v>512.01110000000006</v>
      </c>
      <c r="G45" s="22">
        <v>6.6E-3</v>
      </c>
      <c r="H45" s="40"/>
      <c r="I45" s="24"/>
      <c r="J45" s="5"/>
    </row>
    <row r="46" spans="1:10" ht="13.05" customHeight="1">
      <c r="A46" s="18" t="s">
        <v>442</v>
      </c>
      <c r="B46" s="19" t="s">
        <v>443</v>
      </c>
      <c r="C46" s="15" t="s">
        <v>444</v>
      </c>
      <c r="D46" s="15" t="s">
        <v>445</v>
      </c>
      <c r="E46" s="20">
        <v>858662</v>
      </c>
      <c r="F46" s="21">
        <v>509.1866</v>
      </c>
      <c r="G46" s="22">
        <v>6.4999999999999997E-3</v>
      </c>
      <c r="H46" s="40"/>
      <c r="I46" s="24"/>
      <c r="J46" s="5"/>
    </row>
    <row r="47" spans="1:10" ht="13.05" customHeight="1">
      <c r="A47" s="18" t="s">
        <v>1028</v>
      </c>
      <c r="B47" s="19" t="s">
        <v>1029</v>
      </c>
      <c r="C47" s="15" t="s">
        <v>1030</v>
      </c>
      <c r="D47" s="15" t="s">
        <v>581</v>
      </c>
      <c r="E47" s="20">
        <v>8314</v>
      </c>
      <c r="F47" s="21">
        <v>499.9624</v>
      </c>
      <c r="G47" s="22">
        <v>6.4000000000000003E-3</v>
      </c>
      <c r="H47" s="40"/>
      <c r="I47" s="24"/>
      <c r="J47" s="5"/>
    </row>
    <row r="48" spans="1:10" ht="13.05" customHeight="1">
      <c r="A48" s="18" t="s">
        <v>476</v>
      </c>
      <c r="B48" s="19" t="s">
        <v>477</v>
      </c>
      <c r="C48" s="15" t="s">
        <v>478</v>
      </c>
      <c r="D48" s="15" t="s">
        <v>325</v>
      </c>
      <c r="E48" s="20">
        <v>3187</v>
      </c>
      <c r="F48" s="21">
        <v>493.79379999999998</v>
      </c>
      <c r="G48" s="22">
        <v>6.3E-3</v>
      </c>
      <c r="H48" s="40"/>
      <c r="I48" s="24"/>
      <c r="J48" s="5"/>
    </row>
    <row r="49" spans="1:10" ht="13.05" customHeight="1">
      <c r="A49" s="18" t="s">
        <v>1370</v>
      </c>
      <c r="B49" s="19" t="s">
        <v>1371</v>
      </c>
      <c r="C49" s="15" t="s">
        <v>1372</v>
      </c>
      <c r="D49" s="15" t="s">
        <v>846</v>
      </c>
      <c r="E49" s="20">
        <v>54779</v>
      </c>
      <c r="F49" s="21">
        <v>473.29059999999998</v>
      </c>
      <c r="G49" s="22">
        <v>6.1000000000000004E-3</v>
      </c>
      <c r="H49" s="40"/>
      <c r="I49" s="24"/>
      <c r="J49" s="5"/>
    </row>
    <row r="50" spans="1:10" ht="13.05" customHeight="1">
      <c r="A50" s="18" t="s">
        <v>1848</v>
      </c>
      <c r="B50" s="19" t="s">
        <v>1849</v>
      </c>
      <c r="C50" s="15" t="s">
        <v>1850</v>
      </c>
      <c r="D50" s="15" t="s">
        <v>304</v>
      </c>
      <c r="E50" s="20">
        <v>93877</v>
      </c>
      <c r="F50" s="21">
        <v>472.06049999999999</v>
      </c>
      <c r="G50" s="22">
        <v>6.1000000000000004E-3</v>
      </c>
      <c r="H50" s="40"/>
      <c r="I50" s="24"/>
      <c r="J50" s="5"/>
    </row>
    <row r="51" spans="1:10" ht="13.05" customHeight="1">
      <c r="A51" s="18" t="s">
        <v>330</v>
      </c>
      <c r="B51" s="19" t="s">
        <v>331</v>
      </c>
      <c r="C51" s="15" t="s">
        <v>332</v>
      </c>
      <c r="D51" s="15" t="s">
        <v>333</v>
      </c>
      <c r="E51" s="20">
        <v>253427</v>
      </c>
      <c r="F51" s="21">
        <v>463.36590000000001</v>
      </c>
      <c r="G51" s="22">
        <v>6.0000000000000001E-3</v>
      </c>
      <c r="H51" s="40"/>
      <c r="I51" s="24"/>
      <c r="J51" s="5"/>
    </row>
    <row r="52" spans="1:10" ht="13.05" customHeight="1">
      <c r="A52" s="18" t="s">
        <v>446</v>
      </c>
      <c r="B52" s="19" t="s">
        <v>447</v>
      </c>
      <c r="C52" s="15" t="s">
        <v>448</v>
      </c>
      <c r="D52" s="15" t="s">
        <v>300</v>
      </c>
      <c r="E52" s="20">
        <v>27152</v>
      </c>
      <c r="F52" s="21">
        <v>460.71510000000001</v>
      </c>
      <c r="G52" s="22">
        <v>5.8999999999999999E-3</v>
      </c>
      <c r="H52" s="40"/>
      <c r="I52" s="24"/>
      <c r="J52" s="5"/>
    </row>
    <row r="53" spans="1:10" ht="13.05" customHeight="1">
      <c r="A53" s="18" t="s">
        <v>458</v>
      </c>
      <c r="B53" s="19" t="s">
        <v>459</v>
      </c>
      <c r="C53" s="15" t="s">
        <v>460</v>
      </c>
      <c r="D53" s="15" t="s">
        <v>321</v>
      </c>
      <c r="E53" s="20">
        <v>113516</v>
      </c>
      <c r="F53" s="21">
        <v>459.62630000000001</v>
      </c>
      <c r="G53" s="22">
        <v>5.8999999999999999E-3</v>
      </c>
      <c r="H53" s="40"/>
      <c r="I53" s="24"/>
      <c r="J53" s="5"/>
    </row>
    <row r="54" spans="1:10" ht="13.05" customHeight="1">
      <c r="A54" s="18" t="s">
        <v>341</v>
      </c>
      <c r="B54" s="19" t="s">
        <v>342</v>
      </c>
      <c r="C54" s="15" t="s">
        <v>343</v>
      </c>
      <c r="D54" s="15" t="s">
        <v>344</v>
      </c>
      <c r="E54" s="20">
        <v>54163</v>
      </c>
      <c r="F54" s="21">
        <v>459.221</v>
      </c>
      <c r="G54" s="22">
        <v>5.8999999999999999E-3</v>
      </c>
      <c r="H54" s="40"/>
      <c r="I54" s="24"/>
      <c r="J54" s="5"/>
    </row>
    <row r="55" spans="1:10" ht="13.05" customHeight="1">
      <c r="A55" s="18" t="s">
        <v>700</v>
      </c>
      <c r="B55" s="19" t="s">
        <v>701</v>
      </c>
      <c r="C55" s="15" t="s">
        <v>702</v>
      </c>
      <c r="D55" s="15" t="s">
        <v>257</v>
      </c>
      <c r="E55" s="20">
        <v>51033</v>
      </c>
      <c r="F55" s="21">
        <v>438.22039999999998</v>
      </c>
      <c r="G55" s="22">
        <v>5.5999999999999999E-3</v>
      </c>
      <c r="H55" s="40"/>
      <c r="I55" s="24"/>
      <c r="J55" s="5"/>
    </row>
    <row r="56" spans="1:10" ht="13.05" customHeight="1">
      <c r="A56" s="18" t="s">
        <v>564</v>
      </c>
      <c r="B56" s="19" t="s">
        <v>565</v>
      </c>
      <c r="C56" s="15" t="s">
        <v>566</v>
      </c>
      <c r="D56" s="15" t="s">
        <v>567</v>
      </c>
      <c r="E56" s="20">
        <v>412657</v>
      </c>
      <c r="F56" s="21">
        <v>434.89920000000001</v>
      </c>
      <c r="G56" s="22">
        <v>5.5999999999999999E-3</v>
      </c>
      <c r="H56" s="40"/>
      <c r="I56" s="24"/>
      <c r="J56" s="5"/>
    </row>
    <row r="57" spans="1:10" ht="13.05" customHeight="1">
      <c r="A57" s="18" t="s">
        <v>989</v>
      </c>
      <c r="B57" s="19" t="s">
        <v>990</v>
      </c>
      <c r="C57" s="15" t="s">
        <v>991</v>
      </c>
      <c r="D57" s="15" t="s">
        <v>541</v>
      </c>
      <c r="E57" s="20">
        <v>41892</v>
      </c>
      <c r="F57" s="21">
        <v>434.7133</v>
      </c>
      <c r="G57" s="22">
        <v>5.5999999999999999E-3</v>
      </c>
      <c r="H57" s="40"/>
      <c r="I57" s="24"/>
      <c r="J57" s="5"/>
    </row>
    <row r="58" spans="1:10" ht="13.05" customHeight="1">
      <c r="A58" s="18" t="s">
        <v>485</v>
      </c>
      <c r="B58" s="19" t="s">
        <v>486</v>
      </c>
      <c r="C58" s="15" t="s">
        <v>487</v>
      </c>
      <c r="D58" s="15" t="s">
        <v>304</v>
      </c>
      <c r="E58" s="20">
        <v>10424</v>
      </c>
      <c r="F58" s="21">
        <v>432.96080000000001</v>
      </c>
      <c r="G58" s="22">
        <v>5.5999999999999999E-3</v>
      </c>
      <c r="H58" s="40"/>
      <c r="I58" s="24"/>
      <c r="J58" s="5"/>
    </row>
    <row r="59" spans="1:10" ht="13.05" customHeight="1">
      <c r="A59" s="18" t="s">
        <v>392</v>
      </c>
      <c r="B59" s="19" t="s">
        <v>393</v>
      </c>
      <c r="C59" s="15" t="s">
        <v>394</v>
      </c>
      <c r="D59" s="15" t="s">
        <v>272</v>
      </c>
      <c r="E59" s="20">
        <v>29994</v>
      </c>
      <c r="F59" s="21">
        <v>427.23450000000003</v>
      </c>
      <c r="G59" s="22">
        <v>5.4999999999999997E-3</v>
      </c>
      <c r="H59" s="40"/>
      <c r="I59" s="24"/>
      <c r="J59" s="5"/>
    </row>
    <row r="60" spans="1:10" ht="13.05" customHeight="1">
      <c r="A60" s="18" t="s">
        <v>452</v>
      </c>
      <c r="B60" s="19" t="s">
        <v>453</v>
      </c>
      <c r="C60" s="15" t="s">
        <v>454</v>
      </c>
      <c r="D60" s="15" t="s">
        <v>391</v>
      </c>
      <c r="E60" s="20">
        <v>7292</v>
      </c>
      <c r="F60" s="21">
        <v>425.5976</v>
      </c>
      <c r="G60" s="22">
        <v>5.4999999999999997E-3</v>
      </c>
      <c r="H60" s="40"/>
      <c r="I60" s="24"/>
      <c r="J60" s="5"/>
    </row>
    <row r="61" spans="1:10" ht="13.05" customHeight="1">
      <c r="A61" s="18" t="s">
        <v>395</v>
      </c>
      <c r="B61" s="19" t="s">
        <v>396</v>
      </c>
      <c r="C61" s="15" t="s">
        <v>397</v>
      </c>
      <c r="D61" s="15" t="s">
        <v>329</v>
      </c>
      <c r="E61" s="20">
        <v>8823</v>
      </c>
      <c r="F61" s="21">
        <v>412.89879999999999</v>
      </c>
      <c r="G61" s="22">
        <v>5.3E-3</v>
      </c>
      <c r="H61" s="40"/>
      <c r="I61" s="24"/>
      <c r="J61" s="5"/>
    </row>
    <row r="62" spans="1:10" ht="13.05" customHeight="1">
      <c r="A62" s="18" t="s">
        <v>345</v>
      </c>
      <c r="B62" s="19" t="s">
        <v>346</v>
      </c>
      <c r="C62" s="15" t="s">
        <v>347</v>
      </c>
      <c r="D62" s="15" t="s">
        <v>348</v>
      </c>
      <c r="E62" s="20">
        <v>7249</v>
      </c>
      <c r="F62" s="21">
        <v>407.75630000000001</v>
      </c>
      <c r="G62" s="22">
        <v>5.1999999999999998E-3</v>
      </c>
      <c r="H62" s="40"/>
      <c r="I62" s="24"/>
      <c r="J62" s="5"/>
    </row>
    <row r="63" spans="1:10" ht="13.05" customHeight="1">
      <c r="A63" s="18" t="s">
        <v>1299</v>
      </c>
      <c r="B63" s="19" t="s">
        <v>1300</v>
      </c>
      <c r="C63" s="15" t="s">
        <v>1301</v>
      </c>
      <c r="D63" s="15" t="s">
        <v>325</v>
      </c>
      <c r="E63" s="20">
        <v>71153</v>
      </c>
      <c r="F63" s="21">
        <v>406.24810000000002</v>
      </c>
      <c r="G63" s="22">
        <v>5.1999999999999998E-3</v>
      </c>
      <c r="H63" s="40"/>
      <c r="I63" s="24"/>
      <c r="J63" s="5"/>
    </row>
    <row r="64" spans="1:10" ht="13.05" customHeight="1">
      <c r="A64" s="18" t="s">
        <v>2429</v>
      </c>
      <c r="B64" s="19" t="s">
        <v>2430</v>
      </c>
      <c r="C64" s="15" t="s">
        <v>2431</v>
      </c>
      <c r="D64" s="15" t="s">
        <v>364</v>
      </c>
      <c r="E64" s="20">
        <v>330025</v>
      </c>
      <c r="F64" s="21">
        <v>394.90789999999998</v>
      </c>
      <c r="G64" s="22">
        <v>5.1000000000000004E-3</v>
      </c>
      <c r="H64" s="40"/>
      <c r="I64" s="24"/>
      <c r="J64" s="5"/>
    </row>
    <row r="65" spans="1:10" ht="13.05" customHeight="1">
      <c r="A65" s="18" t="s">
        <v>449</v>
      </c>
      <c r="B65" s="19" t="s">
        <v>450</v>
      </c>
      <c r="C65" s="15" t="s">
        <v>451</v>
      </c>
      <c r="D65" s="15" t="s">
        <v>261</v>
      </c>
      <c r="E65" s="20">
        <v>110108</v>
      </c>
      <c r="F65" s="21">
        <v>392.86529999999999</v>
      </c>
      <c r="G65" s="22">
        <v>5.0000000000000001E-3</v>
      </c>
      <c r="H65" s="40"/>
      <c r="I65" s="24"/>
      <c r="J65" s="5"/>
    </row>
    <row r="66" spans="1:10" ht="13.05" customHeight="1">
      <c r="A66" s="18" t="s">
        <v>305</v>
      </c>
      <c r="B66" s="19" t="s">
        <v>306</v>
      </c>
      <c r="C66" s="15" t="s">
        <v>307</v>
      </c>
      <c r="D66" s="15" t="s">
        <v>280</v>
      </c>
      <c r="E66" s="20">
        <v>14493</v>
      </c>
      <c r="F66" s="21">
        <v>357.32490000000001</v>
      </c>
      <c r="G66" s="22">
        <v>4.5999999999999999E-3</v>
      </c>
      <c r="H66" s="40"/>
      <c r="I66" s="24"/>
      <c r="J66" s="5"/>
    </row>
    <row r="67" spans="1:10" ht="13.05" customHeight="1">
      <c r="A67" s="18" t="s">
        <v>529</v>
      </c>
      <c r="B67" s="19" t="s">
        <v>530</v>
      </c>
      <c r="C67" s="15" t="s">
        <v>531</v>
      </c>
      <c r="D67" s="15" t="s">
        <v>257</v>
      </c>
      <c r="E67" s="20">
        <v>123935</v>
      </c>
      <c r="F67" s="21">
        <v>345.03500000000003</v>
      </c>
      <c r="G67" s="22">
        <v>4.4000000000000003E-3</v>
      </c>
      <c r="H67" s="40"/>
      <c r="I67" s="24"/>
      <c r="J67" s="5"/>
    </row>
    <row r="68" spans="1:10" ht="13.05" customHeight="1">
      <c r="A68" s="18" t="s">
        <v>561</v>
      </c>
      <c r="B68" s="19" t="s">
        <v>562</v>
      </c>
      <c r="C68" s="15" t="s">
        <v>563</v>
      </c>
      <c r="D68" s="15" t="s">
        <v>300</v>
      </c>
      <c r="E68" s="20">
        <v>91798</v>
      </c>
      <c r="F68" s="21">
        <v>344.10480000000001</v>
      </c>
      <c r="G68" s="22">
        <v>4.4000000000000003E-3</v>
      </c>
      <c r="H68" s="40"/>
      <c r="I68" s="24"/>
      <c r="J68" s="5"/>
    </row>
    <row r="69" spans="1:10" ht="13.05" customHeight="1">
      <c r="A69" s="18" t="s">
        <v>365</v>
      </c>
      <c r="B69" s="19" t="s">
        <v>366</v>
      </c>
      <c r="C69" s="15" t="s">
        <v>367</v>
      </c>
      <c r="D69" s="15" t="s">
        <v>300</v>
      </c>
      <c r="E69" s="20">
        <v>42582</v>
      </c>
      <c r="F69" s="21">
        <v>318.89659999999998</v>
      </c>
      <c r="G69" s="22">
        <v>4.1000000000000003E-3</v>
      </c>
      <c r="H69" s="40"/>
      <c r="I69" s="24"/>
      <c r="J69" s="5"/>
    </row>
    <row r="70" spans="1:10" ht="13.05" customHeight="1">
      <c r="A70" s="18" t="s">
        <v>1214</v>
      </c>
      <c r="B70" s="19" t="s">
        <v>1215</v>
      </c>
      <c r="C70" s="15" t="s">
        <v>1216</v>
      </c>
      <c r="D70" s="15" t="s">
        <v>314</v>
      </c>
      <c r="E70" s="20">
        <v>41134</v>
      </c>
      <c r="F70" s="21">
        <v>309.90359999999998</v>
      </c>
      <c r="G70" s="22">
        <v>4.0000000000000001E-3</v>
      </c>
      <c r="H70" s="40"/>
      <c r="I70" s="24"/>
      <c r="J70" s="5"/>
    </row>
    <row r="71" spans="1:10" ht="13.05" customHeight="1">
      <c r="A71" s="18" t="s">
        <v>777</v>
      </c>
      <c r="B71" s="19" t="s">
        <v>778</v>
      </c>
      <c r="C71" s="15" t="s">
        <v>779</v>
      </c>
      <c r="D71" s="15" t="s">
        <v>314</v>
      </c>
      <c r="E71" s="20">
        <v>30105</v>
      </c>
      <c r="F71" s="21">
        <v>293.35820000000001</v>
      </c>
      <c r="G71" s="22">
        <v>3.8E-3</v>
      </c>
      <c r="H71" s="40"/>
      <c r="I71" s="24"/>
      <c r="J71" s="5"/>
    </row>
    <row r="72" spans="1:10" ht="13.05" customHeight="1">
      <c r="A72" s="18" t="s">
        <v>423</v>
      </c>
      <c r="B72" s="19" t="s">
        <v>424</v>
      </c>
      <c r="C72" s="15" t="s">
        <v>425</v>
      </c>
      <c r="D72" s="15" t="s">
        <v>296</v>
      </c>
      <c r="E72" s="20">
        <v>7460</v>
      </c>
      <c r="F72" s="21">
        <v>261.74900000000002</v>
      </c>
      <c r="G72" s="22">
        <v>3.3999999999999998E-3</v>
      </c>
      <c r="H72" s="40"/>
      <c r="I72" s="24"/>
      <c r="J72" s="5"/>
    </row>
    <row r="73" spans="1:10" ht="13.05" customHeight="1">
      <c r="A73" s="18" t="s">
        <v>488</v>
      </c>
      <c r="B73" s="19" t="s">
        <v>489</v>
      </c>
      <c r="C73" s="15" t="s">
        <v>490</v>
      </c>
      <c r="D73" s="15" t="s">
        <v>272</v>
      </c>
      <c r="E73" s="20">
        <v>14379</v>
      </c>
      <c r="F73" s="21">
        <v>255.673</v>
      </c>
      <c r="G73" s="22">
        <v>3.3E-3</v>
      </c>
      <c r="H73" s="40"/>
      <c r="I73" s="24"/>
      <c r="J73" s="5"/>
    </row>
    <row r="74" spans="1:10" ht="13.05" customHeight="1">
      <c r="A74" s="18" t="s">
        <v>495</v>
      </c>
      <c r="B74" s="19" t="s">
        <v>496</v>
      </c>
      <c r="C74" s="15" t="s">
        <v>497</v>
      </c>
      <c r="D74" s="15" t="s">
        <v>257</v>
      </c>
      <c r="E74" s="20">
        <v>107870</v>
      </c>
      <c r="F74" s="21">
        <v>255.2312</v>
      </c>
      <c r="G74" s="22">
        <v>3.3E-3</v>
      </c>
      <c r="H74" s="40"/>
      <c r="I74" s="24"/>
      <c r="J74" s="5"/>
    </row>
    <row r="75" spans="1:10" ht="13.05" customHeight="1">
      <c r="A75" s="18" t="s">
        <v>640</v>
      </c>
      <c r="B75" s="19" t="s">
        <v>641</v>
      </c>
      <c r="C75" s="15" t="s">
        <v>642</v>
      </c>
      <c r="D75" s="15" t="s">
        <v>296</v>
      </c>
      <c r="E75" s="20">
        <v>10376</v>
      </c>
      <c r="F75" s="21">
        <v>253.0395</v>
      </c>
      <c r="G75" s="22">
        <v>3.3E-3</v>
      </c>
      <c r="H75" s="40"/>
      <c r="I75" s="24"/>
      <c r="J75" s="5"/>
    </row>
    <row r="76" spans="1:10" ht="13.05" customHeight="1">
      <c r="A76" s="18" t="s">
        <v>685</v>
      </c>
      <c r="B76" s="19" t="s">
        <v>686</v>
      </c>
      <c r="C76" s="15" t="s">
        <v>687</v>
      </c>
      <c r="D76" s="15" t="s">
        <v>272</v>
      </c>
      <c r="E76" s="20">
        <v>8655</v>
      </c>
      <c r="F76" s="21">
        <v>239.25880000000001</v>
      </c>
      <c r="G76" s="22">
        <v>3.0999999999999999E-3</v>
      </c>
      <c r="H76" s="40"/>
      <c r="I76" s="24"/>
      <c r="J76" s="5"/>
    </row>
    <row r="77" spans="1:10" ht="13.05" customHeight="1">
      <c r="A77" s="18" t="s">
        <v>940</v>
      </c>
      <c r="B77" s="19" t="s">
        <v>941</v>
      </c>
      <c r="C77" s="15" t="s">
        <v>942</v>
      </c>
      <c r="D77" s="15" t="s">
        <v>567</v>
      </c>
      <c r="E77" s="20">
        <v>4870</v>
      </c>
      <c r="F77" s="21">
        <v>195.84219999999999</v>
      </c>
      <c r="G77" s="22">
        <v>2.5000000000000001E-3</v>
      </c>
      <c r="H77" s="40"/>
      <c r="I77" s="24"/>
      <c r="J77" s="5"/>
    </row>
    <row r="78" spans="1:10" ht="13.05" customHeight="1">
      <c r="A78" s="18" t="s">
        <v>828</v>
      </c>
      <c r="B78" s="19" t="s">
        <v>829</v>
      </c>
      <c r="C78" s="15" t="s">
        <v>830</v>
      </c>
      <c r="D78" s="15" t="s">
        <v>567</v>
      </c>
      <c r="E78" s="20">
        <v>37293</v>
      </c>
      <c r="F78" s="21">
        <v>176.30269999999999</v>
      </c>
      <c r="G78" s="22">
        <v>2.3E-3</v>
      </c>
      <c r="H78" s="40"/>
      <c r="I78" s="24"/>
      <c r="J78" s="5"/>
    </row>
    <row r="79" spans="1:10" ht="13.05" customHeight="1">
      <c r="A79" s="18" t="s">
        <v>277</v>
      </c>
      <c r="B79" s="19" t="s">
        <v>278</v>
      </c>
      <c r="C79" s="15" t="s">
        <v>279</v>
      </c>
      <c r="D79" s="15" t="s">
        <v>280</v>
      </c>
      <c r="E79" s="20">
        <v>36822</v>
      </c>
      <c r="F79" s="21">
        <v>154.78129999999999</v>
      </c>
      <c r="G79" s="22">
        <v>2E-3</v>
      </c>
      <c r="H79" s="40"/>
      <c r="I79" s="24"/>
      <c r="J79" s="5"/>
    </row>
    <row r="80" spans="1:10" ht="13.05" customHeight="1">
      <c r="A80" s="18" t="s">
        <v>810</v>
      </c>
      <c r="B80" s="19" t="s">
        <v>811</v>
      </c>
      <c r="C80" s="15" t="s">
        <v>812</v>
      </c>
      <c r="D80" s="15" t="s">
        <v>567</v>
      </c>
      <c r="E80" s="20">
        <v>11628</v>
      </c>
      <c r="F80" s="21">
        <v>143.62909999999999</v>
      </c>
      <c r="G80" s="22">
        <v>1.8E-3</v>
      </c>
      <c r="H80" s="40"/>
      <c r="I80" s="24"/>
      <c r="J80" s="5"/>
    </row>
    <row r="81" spans="1:10" ht="13.05" customHeight="1">
      <c r="A81" s="18" t="s">
        <v>1761</v>
      </c>
      <c r="B81" s="19" t="s">
        <v>1762</v>
      </c>
      <c r="C81" s="15" t="s">
        <v>1763</v>
      </c>
      <c r="D81" s="15" t="s">
        <v>501</v>
      </c>
      <c r="E81" s="20">
        <v>17986</v>
      </c>
      <c r="F81" s="21">
        <v>85.757199999999997</v>
      </c>
      <c r="G81" s="22">
        <v>1.1000000000000001E-3</v>
      </c>
      <c r="H81" s="40"/>
      <c r="I81" s="24"/>
      <c r="J81" s="5"/>
    </row>
    <row r="82" spans="1:10" ht="13.05" customHeight="1">
      <c r="A82" s="18" t="s">
        <v>1388</v>
      </c>
      <c r="B82" s="19" t="s">
        <v>1389</v>
      </c>
      <c r="C82" s="15" t="s">
        <v>1390</v>
      </c>
      <c r="D82" s="15" t="s">
        <v>846</v>
      </c>
      <c r="E82" s="20">
        <v>9587</v>
      </c>
      <c r="F82" s="21">
        <v>84.8018</v>
      </c>
      <c r="G82" s="22">
        <v>1.1000000000000001E-3</v>
      </c>
      <c r="H82" s="40"/>
      <c r="I82" s="24"/>
      <c r="J82" s="5"/>
    </row>
    <row r="83" spans="1:10" ht="13.05" customHeight="1">
      <c r="A83" s="18" t="s">
        <v>409</v>
      </c>
      <c r="B83" s="19" t="s">
        <v>410</v>
      </c>
      <c r="C83" s="15" t="s">
        <v>411</v>
      </c>
      <c r="D83" s="15" t="s">
        <v>296</v>
      </c>
      <c r="E83" s="20">
        <v>16700</v>
      </c>
      <c r="F83" s="21">
        <v>68.47</v>
      </c>
      <c r="G83" s="22">
        <v>8.9999999999999998E-4</v>
      </c>
      <c r="H83" s="40"/>
      <c r="I83" s="24"/>
      <c r="J83" s="5"/>
    </row>
    <row r="84" spans="1:10" ht="13.05" customHeight="1">
      <c r="A84" s="18" t="s">
        <v>378</v>
      </c>
      <c r="B84" s="19" t="s">
        <v>379</v>
      </c>
      <c r="C84" s="15" t="s">
        <v>380</v>
      </c>
      <c r="D84" s="15" t="s">
        <v>381</v>
      </c>
      <c r="E84" s="20">
        <v>17297</v>
      </c>
      <c r="F84" s="21">
        <v>44.171300000000002</v>
      </c>
      <c r="G84" s="22">
        <v>5.9999999999999995E-4</v>
      </c>
      <c r="H84" s="40"/>
      <c r="I84" s="24"/>
      <c r="J84" s="5"/>
    </row>
    <row r="85" spans="1:10" ht="13.05" customHeight="1">
      <c r="A85" s="18" t="s">
        <v>505</v>
      </c>
      <c r="B85" s="19" t="s">
        <v>2339</v>
      </c>
      <c r="C85" s="15" t="s">
        <v>506</v>
      </c>
      <c r="D85" s="15" t="s">
        <v>507</v>
      </c>
      <c r="E85" s="20">
        <v>16700</v>
      </c>
      <c r="F85" s="21">
        <v>43.545299999999997</v>
      </c>
      <c r="G85" s="22">
        <v>5.9999999999999995E-4</v>
      </c>
      <c r="H85" s="40"/>
      <c r="I85" s="24"/>
      <c r="J85" s="5"/>
    </row>
    <row r="86" spans="1:10" ht="13.05" customHeight="1">
      <c r="A86" s="18" t="s">
        <v>398</v>
      </c>
      <c r="B86" s="19" t="s">
        <v>399</v>
      </c>
      <c r="C86" s="15" t="s">
        <v>400</v>
      </c>
      <c r="D86" s="15" t="s">
        <v>401</v>
      </c>
      <c r="E86" s="20">
        <v>10954</v>
      </c>
      <c r="F86" s="21">
        <v>42.572699999999998</v>
      </c>
      <c r="G86" s="22">
        <v>5.0000000000000001E-4</v>
      </c>
      <c r="H86" s="40"/>
      <c r="I86" s="24"/>
      <c r="J86" s="5"/>
    </row>
    <row r="87" spans="1:10" ht="13.05" customHeight="1">
      <c r="A87" s="18" t="s">
        <v>338</v>
      </c>
      <c r="B87" s="19" t="s">
        <v>339</v>
      </c>
      <c r="C87" s="15" t="s">
        <v>340</v>
      </c>
      <c r="D87" s="15" t="s">
        <v>321</v>
      </c>
      <c r="E87" s="20">
        <v>13915</v>
      </c>
      <c r="F87" s="21">
        <v>40.0961</v>
      </c>
      <c r="G87" s="22">
        <v>5.0000000000000001E-4</v>
      </c>
      <c r="H87" s="40"/>
      <c r="I87" s="24"/>
      <c r="J87" s="5"/>
    </row>
    <row r="88" spans="1:10" ht="13.05" customHeight="1">
      <c r="A88" s="18" t="s">
        <v>388</v>
      </c>
      <c r="B88" s="19" t="s">
        <v>389</v>
      </c>
      <c r="C88" s="15" t="s">
        <v>390</v>
      </c>
      <c r="D88" s="15" t="s">
        <v>391</v>
      </c>
      <c r="E88" s="20">
        <v>3112</v>
      </c>
      <c r="F88" s="21">
        <v>39.572200000000002</v>
      </c>
      <c r="G88" s="22">
        <v>5.0000000000000001E-4</v>
      </c>
      <c r="H88" s="40"/>
      <c r="I88" s="24"/>
      <c r="J88" s="5"/>
    </row>
    <row r="89" spans="1:10" ht="13.05" customHeight="1">
      <c r="A89" s="18" t="s">
        <v>718</v>
      </c>
      <c r="B89" s="19" t="s">
        <v>719</v>
      </c>
      <c r="C89" s="15" t="s">
        <v>720</v>
      </c>
      <c r="D89" s="15" t="s">
        <v>257</v>
      </c>
      <c r="E89" s="20">
        <v>24923</v>
      </c>
      <c r="F89" s="21">
        <v>37.052999999999997</v>
      </c>
      <c r="G89" s="22">
        <v>5.0000000000000001E-4</v>
      </c>
      <c r="H89" s="40"/>
      <c r="I89" s="24"/>
      <c r="J89" s="5"/>
    </row>
    <row r="90" spans="1:10" ht="13.05" customHeight="1">
      <c r="A90" s="5"/>
      <c r="B90" s="14" t="s">
        <v>192</v>
      </c>
      <c r="C90" s="15"/>
      <c r="D90" s="15"/>
      <c r="E90" s="15"/>
      <c r="F90" s="25">
        <v>61509.591</v>
      </c>
      <c r="G90" s="26">
        <v>0.79049999999999998</v>
      </c>
      <c r="H90" s="27"/>
      <c r="I90" s="28"/>
      <c r="J90" s="5"/>
    </row>
    <row r="91" spans="1:10" ht="13.05" customHeight="1">
      <c r="A91" s="5"/>
      <c r="B91" s="29" t="s">
        <v>1812</v>
      </c>
      <c r="C91" s="2"/>
      <c r="D91" s="2"/>
      <c r="E91" s="2"/>
      <c r="F91" s="27" t="s">
        <v>194</v>
      </c>
      <c r="G91" s="27" t="s">
        <v>194</v>
      </c>
      <c r="H91" s="27"/>
      <c r="I91" s="28"/>
      <c r="J91" s="5"/>
    </row>
    <row r="92" spans="1:10" ht="13.05" customHeight="1">
      <c r="A92" s="5"/>
      <c r="B92" s="29" t="s">
        <v>192</v>
      </c>
      <c r="C92" s="2"/>
      <c r="D92" s="2"/>
      <c r="E92" s="2"/>
      <c r="F92" s="27" t="s">
        <v>194</v>
      </c>
      <c r="G92" s="27" t="s">
        <v>194</v>
      </c>
      <c r="H92" s="27"/>
      <c r="I92" s="28"/>
      <c r="J92" s="5"/>
    </row>
    <row r="93" spans="1:10" ht="13.05" customHeight="1">
      <c r="A93" s="5"/>
      <c r="B93" s="14" t="s">
        <v>1813</v>
      </c>
      <c r="C93" s="15"/>
      <c r="D93" s="15"/>
      <c r="E93" s="15"/>
      <c r="F93" s="5"/>
      <c r="G93" s="16"/>
      <c r="H93" s="16"/>
      <c r="I93" s="17"/>
      <c r="J93" s="5"/>
    </row>
    <row r="94" spans="1:10" ht="13.05" customHeight="1">
      <c r="A94" s="18" t="s">
        <v>1814</v>
      </c>
      <c r="B94" s="19" t="s">
        <v>5526</v>
      </c>
      <c r="C94" s="15" t="s">
        <v>1815</v>
      </c>
      <c r="D94" s="15" t="s">
        <v>296</v>
      </c>
      <c r="E94" s="20">
        <v>29840</v>
      </c>
      <c r="F94" s="21">
        <v>3.0112999999999999</v>
      </c>
      <c r="G94" s="40" t="s">
        <v>1809</v>
      </c>
      <c r="H94" s="40"/>
      <c r="I94" s="24"/>
      <c r="J94" s="5"/>
    </row>
    <row r="95" spans="1:10" ht="13.05" customHeight="1">
      <c r="A95" s="5"/>
      <c r="B95" s="14" t="s">
        <v>192</v>
      </c>
      <c r="C95" s="15"/>
      <c r="D95" s="15"/>
      <c r="E95" s="15"/>
      <c r="F95" s="25">
        <v>3.0112999999999999</v>
      </c>
      <c r="G95" s="27" t="s">
        <v>1809</v>
      </c>
      <c r="H95" s="27"/>
      <c r="I95" s="28"/>
      <c r="J95" s="5"/>
    </row>
    <row r="96" spans="1:10" ht="13.05" customHeight="1">
      <c r="A96" s="5"/>
      <c r="B96" s="29" t="s">
        <v>195</v>
      </c>
      <c r="C96" s="30"/>
      <c r="D96" s="2"/>
      <c r="E96" s="30"/>
      <c r="F96" s="25">
        <v>61512.602299999999</v>
      </c>
      <c r="G96" s="26">
        <v>0.79049999999999998</v>
      </c>
      <c r="H96" s="27"/>
      <c r="I96" s="28"/>
      <c r="J96" s="5"/>
    </row>
    <row r="97" spans="1:10" ht="13.05" customHeight="1">
      <c r="A97" s="5"/>
      <c r="B97" s="14" t="s">
        <v>183</v>
      </c>
      <c r="C97" s="15"/>
      <c r="D97" s="15"/>
      <c r="E97" s="15"/>
      <c r="F97" s="15"/>
      <c r="G97" s="15"/>
      <c r="H97" s="16"/>
      <c r="I97" s="17"/>
      <c r="J97" s="5"/>
    </row>
    <row r="98" spans="1:10" ht="13.05" customHeight="1">
      <c r="A98" s="5"/>
      <c r="B98" s="14" t="s">
        <v>184</v>
      </c>
      <c r="C98" s="15"/>
      <c r="D98" s="15"/>
      <c r="E98" s="15"/>
      <c r="F98" s="5"/>
      <c r="G98" s="16"/>
      <c r="H98" s="16"/>
      <c r="I98" s="17"/>
      <c r="J98" s="5"/>
    </row>
    <row r="99" spans="1:10" ht="13.05" customHeight="1">
      <c r="A99" s="18" t="s">
        <v>2441</v>
      </c>
      <c r="B99" s="19" t="s">
        <v>2442</v>
      </c>
      <c r="C99" s="15" t="s">
        <v>2443</v>
      </c>
      <c r="D99" s="15" t="s">
        <v>188</v>
      </c>
      <c r="E99" s="20">
        <v>4250000</v>
      </c>
      <c r="F99" s="21">
        <v>4386.8797999999997</v>
      </c>
      <c r="G99" s="22">
        <v>5.6399999999999999E-2</v>
      </c>
      <c r="H99" s="23">
        <v>6.7038E-2</v>
      </c>
      <c r="I99" s="24"/>
      <c r="J99" s="5"/>
    </row>
    <row r="100" spans="1:10" ht="13.05" customHeight="1">
      <c r="A100" s="18" t="s">
        <v>1881</v>
      </c>
      <c r="B100" s="19" t="s">
        <v>1882</v>
      </c>
      <c r="C100" s="15" t="s">
        <v>1883</v>
      </c>
      <c r="D100" s="15" t="s">
        <v>188</v>
      </c>
      <c r="E100" s="20">
        <v>3500000</v>
      </c>
      <c r="F100" s="21">
        <v>3547.5124999999998</v>
      </c>
      <c r="G100" s="22">
        <v>4.5600000000000002E-2</v>
      </c>
      <c r="H100" s="23">
        <v>6.694E-2</v>
      </c>
      <c r="I100" s="24"/>
      <c r="J100" s="5"/>
    </row>
    <row r="101" spans="1:10" ht="13.05" customHeight="1">
      <c r="A101" s="18" t="s">
        <v>2731</v>
      </c>
      <c r="B101" s="19" t="s">
        <v>2732</v>
      </c>
      <c r="C101" s="15" t="s">
        <v>2733</v>
      </c>
      <c r="D101" s="15" t="s">
        <v>188</v>
      </c>
      <c r="E101" s="20">
        <v>2491800</v>
      </c>
      <c r="F101" s="21">
        <v>2467.7741000000001</v>
      </c>
      <c r="G101" s="22">
        <v>3.1699999999999999E-2</v>
      </c>
      <c r="H101" s="23">
        <v>7.4589000000000003E-2</v>
      </c>
      <c r="I101" s="24"/>
      <c r="J101" s="5"/>
    </row>
    <row r="102" spans="1:10" ht="13.05" customHeight="1">
      <c r="A102" s="18" t="s">
        <v>2719</v>
      </c>
      <c r="B102" s="19" t="s">
        <v>2720</v>
      </c>
      <c r="C102" s="15" t="s">
        <v>2721</v>
      </c>
      <c r="D102" s="15" t="s">
        <v>188</v>
      </c>
      <c r="E102" s="20">
        <v>2000000</v>
      </c>
      <c r="F102" s="21">
        <v>2052.7460000000001</v>
      </c>
      <c r="G102" s="22">
        <v>2.64E-2</v>
      </c>
      <c r="H102" s="23">
        <v>6.9646E-2</v>
      </c>
      <c r="I102" s="24"/>
      <c r="J102" s="5"/>
    </row>
    <row r="103" spans="1:10" ht="13.05" customHeight="1">
      <c r="A103" s="18" t="s">
        <v>2480</v>
      </c>
      <c r="B103" s="19" t="s">
        <v>2481</v>
      </c>
      <c r="C103" s="15" t="s">
        <v>2482</v>
      </c>
      <c r="D103" s="15" t="s">
        <v>188</v>
      </c>
      <c r="E103" s="20">
        <v>900000</v>
      </c>
      <c r="F103" s="21">
        <v>952.12980000000005</v>
      </c>
      <c r="G103" s="22">
        <v>1.2200000000000001E-2</v>
      </c>
      <c r="H103" s="23">
        <v>6.6983000000000001E-2</v>
      </c>
      <c r="I103" s="24"/>
      <c r="J103" s="5"/>
    </row>
    <row r="104" spans="1:10" ht="13.05" customHeight="1">
      <c r="A104" s="18" t="s">
        <v>3595</v>
      </c>
      <c r="B104" s="19" t="s">
        <v>3596</v>
      </c>
      <c r="C104" s="15" t="s">
        <v>3597</v>
      </c>
      <c r="D104" s="15" t="s">
        <v>2447</v>
      </c>
      <c r="E104" s="20">
        <v>500</v>
      </c>
      <c r="F104" s="21">
        <v>509.483</v>
      </c>
      <c r="G104" s="22">
        <v>6.4999999999999997E-3</v>
      </c>
      <c r="H104" s="23">
        <v>7.7399999999999997E-2</v>
      </c>
      <c r="I104" s="24"/>
      <c r="J104" s="5"/>
    </row>
    <row r="105" spans="1:10" ht="13.05" customHeight="1">
      <c r="A105" s="5"/>
      <c r="B105" s="14" t="s">
        <v>192</v>
      </c>
      <c r="C105" s="15"/>
      <c r="D105" s="15"/>
      <c r="E105" s="15"/>
      <c r="F105" s="25">
        <v>13916.525100000001</v>
      </c>
      <c r="G105" s="26">
        <v>0.17879999999999999</v>
      </c>
      <c r="H105" s="27"/>
      <c r="I105" s="28"/>
      <c r="J105" s="5"/>
    </row>
    <row r="106" spans="1:10" ht="13.05" customHeight="1">
      <c r="A106" s="5"/>
      <c r="B106" s="29" t="s">
        <v>193</v>
      </c>
      <c r="C106" s="2"/>
      <c r="D106" s="2"/>
      <c r="E106" s="2"/>
      <c r="F106" s="27" t="s">
        <v>194</v>
      </c>
      <c r="G106" s="27" t="s">
        <v>194</v>
      </c>
      <c r="H106" s="27"/>
      <c r="I106" s="28"/>
      <c r="J106" s="5"/>
    </row>
    <row r="107" spans="1:10" ht="13.05" customHeight="1">
      <c r="A107" s="5"/>
      <c r="B107" s="29" t="s">
        <v>192</v>
      </c>
      <c r="C107" s="2"/>
      <c r="D107" s="2"/>
      <c r="E107" s="2"/>
      <c r="F107" s="27" t="s">
        <v>194</v>
      </c>
      <c r="G107" s="27" t="s">
        <v>194</v>
      </c>
      <c r="H107" s="27"/>
      <c r="I107" s="28"/>
      <c r="J107" s="5"/>
    </row>
    <row r="108" spans="1:10" ht="13.05" customHeight="1">
      <c r="A108" s="5"/>
      <c r="B108" s="29" t="s">
        <v>195</v>
      </c>
      <c r="C108" s="30"/>
      <c r="D108" s="2"/>
      <c r="E108" s="30"/>
      <c r="F108" s="25">
        <v>13916.525100000001</v>
      </c>
      <c r="G108" s="26">
        <v>0.17879999999999999</v>
      </c>
      <c r="H108" s="27"/>
      <c r="I108" s="28"/>
      <c r="J108" s="5"/>
    </row>
    <row r="109" spans="1:10" ht="13.05" customHeight="1">
      <c r="A109" s="5"/>
      <c r="B109" s="14" t="s">
        <v>196</v>
      </c>
      <c r="C109" s="15"/>
      <c r="D109" s="15"/>
      <c r="E109" s="15"/>
      <c r="F109" s="15"/>
      <c r="G109" s="15"/>
      <c r="H109" s="16"/>
      <c r="I109" s="17"/>
      <c r="J109" s="5"/>
    </row>
    <row r="110" spans="1:10" ht="13.05" customHeight="1">
      <c r="A110" s="18" t="s">
        <v>197</v>
      </c>
      <c r="B110" s="19" t="s">
        <v>198</v>
      </c>
      <c r="C110" s="15"/>
      <c r="D110" s="15"/>
      <c r="E110" s="20"/>
      <c r="F110" s="21">
        <v>2113.8263000000002</v>
      </c>
      <c r="G110" s="22">
        <v>2.7199999999999998E-2</v>
      </c>
      <c r="H110" s="23">
        <v>5.5573615184383571E-2</v>
      </c>
      <c r="I110" s="24"/>
      <c r="J110" s="5"/>
    </row>
    <row r="111" spans="1:10" ht="13.05" customHeight="1">
      <c r="A111" s="5"/>
      <c r="B111" s="14" t="s">
        <v>192</v>
      </c>
      <c r="C111" s="15"/>
      <c r="D111" s="15"/>
      <c r="E111" s="15"/>
      <c r="F111" s="25">
        <v>2113.8263000000002</v>
      </c>
      <c r="G111" s="26">
        <v>2.7199999999999998E-2</v>
      </c>
      <c r="H111" s="27"/>
      <c r="I111" s="28"/>
      <c r="J111" s="5"/>
    </row>
    <row r="112" spans="1:10" ht="13.05" customHeight="1">
      <c r="A112" s="5"/>
      <c r="B112" s="29" t="s">
        <v>193</v>
      </c>
      <c r="C112" s="2"/>
      <c r="D112" s="2"/>
      <c r="E112" s="2"/>
      <c r="F112" s="27" t="s">
        <v>194</v>
      </c>
      <c r="G112" s="27" t="s">
        <v>194</v>
      </c>
      <c r="H112" s="27"/>
      <c r="I112" s="28"/>
      <c r="J112" s="5"/>
    </row>
    <row r="113" spans="1:10" ht="13.05" customHeight="1">
      <c r="A113" s="5"/>
      <c r="B113" s="29" t="s">
        <v>192</v>
      </c>
      <c r="C113" s="2"/>
      <c r="D113" s="2"/>
      <c r="E113" s="2"/>
      <c r="F113" s="27" t="s">
        <v>194</v>
      </c>
      <c r="G113" s="27" t="s">
        <v>194</v>
      </c>
      <c r="H113" s="27"/>
      <c r="I113" s="28"/>
      <c r="J113" s="5"/>
    </row>
    <row r="114" spans="1:10" ht="13.05" customHeight="1">
      <c r="A114" s="5"/>
      <c r="B114" s="29" t="s">
        <v>195</v>
      </c>
      <c r="C114" s="30"/>
      <c r="D114" s="2"/>
      <c r="E114" s="30"/>
      <c r="F114" s="25">
        <v>2113.8263000000002</v>
      </c>
      <c r="G114" s="26">
        <v>2.7199999999999998E-2</v>
      </c>
      <c r="H114" s="27"/>
      <c r="I114" s="28"/>
      <c r="J114" s="5"/>
    </row>
    <row r="115" spans="1:10" ht="13.05" customHeight="1">
      <c r="A115" s="5"/>
      <c r="B115" s="29" t="s">
        <v>199</v>
      </c>
      <c r="C115" s="15"/>
      <c r="D115" s="2"/>
      <c r="E115" s="15"/>
      <c r="F115" s="31">
        <v>269.93630000000002</v>
      </c>
      <c r="G115" s="26">
        <v>3.5000000000000001E-3</v>
      </c>
      <c r="H115" s="27"/>
      <c r="I115" s="28"/>
      <c r="J115" s="5"/>
    </row>
    <row r="116" spans="1:10" ht="13.05" customHeight="1">
      <c r="A116" s="5"/>
      <c r="B116" s="32" t="s">
        <v>200</v>
      </c>
      <c r="C116" s="33"/>
      <c r="D116" s="33"/>
      <c r="E116" s="33"/>
      <c r="F116" s="34">
        <v>77812.89</v>
      </c>
      <c r="G116" s="35">
        <v>1</v>
      </c>
      <c r="H116" s="36"/>
      <c r="I116" s="37"/>
      <c r="J116" s="5"/>
    </row>
    <row r="117" spans="1:10" ht="13.05" customHeight="1">
      <c r="A117" s="5"/>
      <c r="B117" s="7"/>
      <c r="C117" s="5"/>
      <c r="D117" s="5"/>
      <c r="E117" s="5"/>
      <c r="F117" s="5"/>
      <c r="G117" s="5"/>
      <c r="H117" s="5"/>
      <c r="I117" s="5"/>
      <c r="J117" s="5"/>
    </row>
    <row r="118" spans="1:10" ht="13.05" customHeight="1">
      <c r="A118" s="5"/>
      <c r="B118" s="4" t="s">
        <v>250</v>
      </c>
      <c r="C118" s="5"/>
      <c r="D118" s="5"/>
      <c r="E118" s="5"/>
      <c r="F118" s="5"/>
      <c r="G118" s="5"/>
      <c r="H118" s="5"/>
      <c r="I118" s="5"/>
      <c r="J118" s="5"/>
    </row>
    <row r="119" spans="1:10" ht="13.05" customHeight="1">
      <c r="A119" s="5"/>
      <c r="B119" s="4" t="s">
        <v>1816</v>
      </c>
      <c r="C119" s="5"/>
      <c r="D119" s="5"/>
      <c r="E119" s="5"/>
      <c r="F119" s="5"/>
      <c r="G119" s="5"/>
      <c r="H119" s="5"/>
      <c r="I119" s="5"/>
      <c r="J119" s="5"/>
    </row>
    <row r="120" spans="1:10" ht="13.05" customHeight="1">
      <c r="A120" s="5"/>
      <c r="B120" s="4" t="s">
        <v>201</v>
      </c>
      <c r="C120" s="5"/>
      <c r="D120" s="5"/>
      <c r="E120" s="5"/>
      <c r="F120" s="5"/>
      <c r="G120" s="5"/>
      <c r="H120" s="5"/>
      <c r="I120" s="5"/>
      <c r="J120" s="5"/>
    </row>
    <row r="121" spans="1:10" ht="25.95" customHeight="1">
      <c r="A121" s="5"/>
      <c r="B121" s="103" t="s">
        <v>202</v>
      </c>
      <c r="C121" s="103"/>
      <c r="D121" s="103"/>
      <c r="E121" s="103"/>
      <c r="F121" s="103"/>
      <c r="G121" s="103"/>
      <c r="H121" s="103"/>
      <c r="I121" s="103"/>
      <c r="J121" s="5"/>
    </row>
    <row r="122" spans="1:10" ht="13.05" customHeight="1">
      <c r="A122" s="5"/>
      <c r="B122" s="103" t="s">
        <v>203</v>
      </c>
      <c r="C122" s="103"/>
      <c r="D122" s="103"/>
      <c r="E122" s="103"/>
      <c r="F122" s="103"/>
      <c r="G122" s="103"/>
      <c r="H122" s="103"/>
      <c r="I122" s="103"/>
      <c r="J122" s="5"/>
    </row>
    <row r="123" spans="1:10" ht="13.05" customHeight="1">
      <c r="A123" s="5"/>
      <c r="B123" s="103"/>
      <c r="C123" s="103"/>
      <c r="D123" s="103"/>
      <c r="E123" s="103"/>
      <c r="F123" s="103"/>
      <c r="G123" s="103"/>
      <c r="H123" s="103"/>
      <c r="I123" s="103"/>
      <c r="J123" s="5"/>
    </row>
    <row r="124" spans="1:10" ht="13.05" customHeight="1">
      <c r="A124" s="5"/>
      <c r="B124" s="103"/>
      <c r="C124" s="103"/>
      <c r="D124" s="103"/>
      <c r="E124" s="103"/>
      <c r="F124" s="103"/>
      <c r="G124" s="103"/>
      <c r="H124" s="103"/>
      <c r="I124" s="103"/>
      <c r="J124" s="5"/>
    </row>
    <row r="125" spans="1:10" ht="13.05" customHeight="1">
      <c r="A125" s="5"/>
      <c r="B125" s="103"/>
      <c r="C125" s="103"/>
      <c r="D125" s="103"/>
      <c r="E125" s="103"/>
      <c r="F125" s="103"/>
      <c r="G125" s="103"/>
      <c r="H125" s="103"/>
      <c r="I125" s="103"/>
      <c r="J125" s="5"/>
    </row>
    <row r="126" spans="1:10" ht="13.05" customHeight="1">
      <c r="A126" s="5"/>
      <c r="B126" s="103"/>
      <c r="C126" s="103"/>
      <c r="D126" s="103"/>
      <c r="E126" s="103"/>
      <c r="F126" s="103"/>
      <c r="G126" s="103"/>
      <c r="H126" s="103"/>
      <c r="I126" s="103"/>
      <c r="J126" s="5"/>
    </row>
    <row r="127" spans="1:10" ht="13.05" customHeight="1">
      <c r="A127" s="5"/>
      <c r="B127" s="5"/>
      <c r="C127" s="104" t="s">
        <v>4674</v>
      </c>
      <c r="D127" s="104"/>
      <c r="E127" s="104"/>
      <c r="F127" s="104"/>
      <c r="G127" s="5"/>
      <c r="H127" s="5"/>
      <c r="I127" s="5"/>
      <c r="J127" s="5"/>
    </row>
    <row r="128" spans="1:10" ht="13.05" customHeight="1">
      <c r="A128" s="5"/>
      <c r="B128" s="38" t="s">
        <v>207</v>
      </c>
      <c r="C128" s="104" t="s">
        <v>208</v>
      </c>
      <c r="D128" s="104"/>
      <c r="E128" s="104"/>
      <c r="F128" s="104"/>
      <c r="G128" s="5"/>
      <c r="H128" s="5"/>
      <c r="I128" s="5"/>
      <c r="J128" s="5"/>
    </row>
    <row r="129" spans="1:10" ht="135" customHeight="1">
      <c r="A129" s="5"/>
      <c r="B129" s="39"/>
      <c r="C129" s="105"/>
      <c r="D129" s="105"/>
      <c r="E129" s="5"/>
      <c r="F129" s="5"/>
      <c r="G129" s="5"/>
      <c r="H129" s="5"/>
      <c r="I129" s="5"/>
      <c r="J129" s="5"/>
    </row>
  </sheetData>
  <mergeCells count="9">
    <mergeCell ref="B126:I126"/>
    <mergeCell ref="C127:F127"/>
    <mergeCell ref="C128:F128"/>
    <mergeCell ref="C129:D129"/>
    <mergeCell ref="B121:I121"/>
    <mergeCell ref="B122:I122"/>
    <mergeCell ref="B123:I123"/>
    <mergeCell ref="B124:I124"/>
    <mergeCell ref="B125:I125"/>
  </mergeCells>
  <hyperlinks>
    <hyperlink ref="A1" location="AxisRetirementFundAggressivePlan" display="AXISRAP" xr:uid="{00000000-0004-0000-4100-000000000000}"/>
    <hyperlink ref="B1" location="AxisRetirementFundAggressivePlan" display="Axis Retirement Fund - Aggressive Plan" xr:uid="{00000000-0004-0000-4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outlinePr summaryBelow="0"/>
  </sheetPr>
  <dimension ref="A1:J70"/>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134</v>
      </c>
      <c r="B1" s="4" t="s">
        <v>135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258</v>
      </c>
      <c r="B7" s="19" t="s">
        <v>259</v>
      </c>
      <c r="C7" s="15" t="s">
        <v>260</v>
      </c>
      <c r="D7" s="15" t="s">
        <v>261</v>
      </c>
      <c r="E7" s="20">
        <v>16918</v>
      </c>
      <c r="F7" s="21">
        <v>251.4692</v>
      </c>
      <c r="G7" s="22">
        <v>4.5999999999999999E-2</v>
      </c>
      <c r="H7" s="40"/>
      <c r="I7" s="24"/>
      <c r="J7" s="5"/>
    </row>
    <row r="8" spans="1:10" ht="13.05" customHeight="1">
      <c r="A8" s="18" t="s">
        <v>281</v>
      </c>
      <c r="B8" s="19" t="s">
        <v>282</v>
      </c>
      <c r="C8" s="15" t="s">
        <v>283</v>
      </c>
      <c r="D8" s="15" t="s">
        <v>257</v>
      </c>
      <c r="E8" s="20">
        <v>18381</v>
      </c>
      <c r="F8" s="21">
        <v>172.23</v>
      </c>
      <c r="G8" s="22">
        <v>3.15E-2</v>
      </c>
      <c r="H8" s="40"/>
      <c r="I8" s="24"/>
      <c r="J8" s="5"/>
    </row>
    <row r="9" spans="1:10" ht="13.05" customHeight="1">
      <c r="A9" s="18" t="s">
        <v>269</v>
      </c>
      <c r="B9" s="19" t="s">
        <v>270</v>
      </c>
      <c r="C9" s="15" t="s">
        <v>271</v>
      </c>
      <c r="D9" s="15" t="s">
        <v>272</v>
      </c>
      <c r="E9" s="20">
        <v>9800</v>
      </c>
      <c r="F9" s="21">
        <v>145.2654</v>
      </c>
      <c r="G9" s="22">
        <v>2.6599999999999999E-2</v>
      </c>
      <c r="H9" s="40"/>
      <c r="I9" s="24"/>
      <c r="J9" s="5"/>
    </row>
    <row r="10" spans="1:10" ht="13.05" customHeight="1">
      <c r="A10" s="18" t="s">
        <v>439</v>
      </c>
      <c r="B10" s="19" t="s">
        <v>440</v>
      </c>
      <c r="C10" s="15" t="s">
        <v>441</v>
      </c>
      <c r="D10" s="15" t="s">
        <v>296</v>
      </c>
      <c r="E10" s="20">
        <v>2194</v>
      </c>
      <c r="F10" s="21">
        <v>121.6354</v>
      </c>
      <c r="G10" s="22">
        <v>2.23E-2</v>
      </c>
      <c r="H10" s="40"/>
      <c r="I10" s="24"/>
      <c r="J10" s="5"/>
    </row>
    <row r="11" spans="1:10" ht="13.05" customHeight="1">
      <c r="A11" s="18" t="s">
        <v>254</v>
      </c>
      <c r="B11" s="19" t="s">
        <v>255</v>
      </c>
      <c r="C11" s="15" t="s">
        <v>256</v>
      </c>
      <c r="D11" s="15" t="s">
        <v>257</v>
      </c>
      <c r="E11" s="20">
        <v>12296</v>
      </c>
      <c r="F11" s="21">
        <v>121.3984</v>
      </c>
      <c r="G11" s="22">
        <v>2.2200000000000001E-2</v>
      </c>
      <c r="H11" s="40"/>
      <c r="I11" s="24"/>
      <c r="J11" s="5"/>
    </row>
    <row r="12" spans="1:10" ht="13.05" customHeight="1">
      <c r="A12" s="18" t="s">
        <v>265</v>
      </c>
      <c r="B12" s="19" t="s">
        <v>266</v>
      </c>
      <c r="C12" s="15" t="s">
        <v>267</v>
      </c>
      <c r="D12" s="15" t="s">
        <v>268</v>
      </c>
      <c r="E12" s="20">
        <v>5836</v>
      </c>
      <c r="F12" s="21">
        <v>119.9006</v>
      </c>
      <c r="G12" s="22">
        <v>2.1999999999999999E-2</v>
      </c>
      <c r="H12" s="40"/>
      <c r="I12" s="24"/>
      <c r="J12" s="5"/>
    </row>
    <row r="13" spans="1:10" ht="13.05" customHeight="1">
      <c r="A13" s="18" t="s">
        <v>429</v>
      </c>
      <c r="B13" s="19" t="s">
        <v>430</v>
      </c>
      <c r="C13" s="15" t="s">
        <v>431</v>
      </c>
      <c r="D13" s="15" t="s">
        <v>415</v>
      </c>
      <c r="E13" s="20">
        <v>1434</v>
      </c>
      <c r="F13" s="21">
        <v>110.1455</v>
      </c>
      <c r="G13" s="22">
        <v>2.0199999999999999E-2</v>
      </c>
      <c r="H13" s="40"/>
      <c r="I13" s="24"/>
      <c r="J13" s="5"/>
    </row>
    <row r="14" spans="1:10" ht="13.05" customHeight="1">
      <c r="A14" s="18" t="s">
        <v>277</v>
      </c>
      <c r="B14" s="19" t="s">
        <v>278</v>
      </c>
      <c r="C14" s="15" t="s">
        <v>279</v>
      </c>
      <c r="D14" s="15" t="s">
        <v>280</v>
      </c>
      <c r="E14" s="20">
        <v>22681</v>
      </c>
      <c r="F14" s="21">
        <v>95.339600000000004</v>
      </c>
      <c r="G14" s="22">
        <v>1.7500000000000002E-2</v>
      </c>
      <c r="H14" s="40"/>
      <c r="I14" s="24"/>
      <c r="J14" s="5"/>
    </row>
    <row r="15" spans="1:10" ht="13.05" customHeight="1">
      <c r="A15" s="18" t="s">
        <v>859</v>
      </c>
      <c r="B15" s="19" t="s">
        <v>860</v>
      </c>
      <c r="C15" s="15" t="s">
        <v>861</v>
      </c>
      <c r="D15" s="15" t="s">
        <v>405</v>
      </c>
      <c r="E15" s="20">
        <v>9861</v>
      </c>
      <c r="F15" s="21">
        <v>88.226399999999998</v>
      </c>
      <c r="G15" s="22">
        <v>1.6199999999999999E-2</v>
      </c>
      <c r="H15" s="40"/>
      <c r="I15" s="24"/>
      <c r="J15" s="5"/>
    </row>
    <row r="16" spans="1:10" ht="13.05" customHeight="1">
      <c r="A16" s="18" t="s">
        <v>273</v>
      </c>
      <c r="B16" s="19" t="s">
        <v>274</v>
      </c>
      <c r="C16" s="15" t="s">
        <v>275</v>
      </c>
      <c r="D16" s="15" t="s">
        <v>276</v>
      </c>
      <c r="E16" s="20">
        <v>2123</v>
      </c>
      <c r="F16" s="21">
        <v>85.575999999999993</v>
      </c>
      <c r="G16" s="22">
        <v>1.5699999999999999E-2</v>
      </c>
      <c r="H16" s="40"/>
      <c r="I16" s="24"/>
      <c r="J16" s="5"/>
    </row>
    <row r="17" spans="1:10" ht="13.05" customHeight="1">
      <c r="A17" s="18" t="s">
        <v>262</v>
      </c>
      <c r="B17" s="19" t="s">
        <v>263</v>
      </c>
      <c r="C17" s="15" t="s">
        <v>264</v>
      </c>
      <c r="D17" s="15" t="s">
        <v>257</v>
      </c>
      <c r="E17" s="20">
        <v>5993</v>
      </c>
      <c r="F17" s="21">
        <v>80.623800000000003</v>
      </c>
      <c r="G17" s="22">
        <v>1.4800000000000001E-2</v>
      </c>
      <c r="H17" s="40"/>
      <c r="I17" s="24"/>
      <c r="J17" s="5"/>
    </row>
    <row r="18" spans="1:10" ht="13.05" customHeight="1">
      <c r="A18" s="18" t="s">
        <v>2429</v>
      </c>
      <c r="B18" s="19" t="s">
        <v>2430</v>
      </c>
      <c r="C18" s="15" t="s">
        <v>2431</v>
      </c>
      <c r="D18" s="15" t="s">
        <v>364</v>
      </c>
      <c r="E18" s="20">
        <v>66005</v>
      </c>
      <c r="F18" s="21">
        <v>78.9816</v>
      </c>
      <c r="G18" s="22">
        <v>1.4500000000000001E-2</v>
      </c>
      <c r="H18" s="40"/>
      <c r="I18" s="24"/>
      <c r="J18" s="5"/>
    </row>
    <row r="19" spans="1:10" ht="13.05" customHeight="1">
      <c r="A19" s="18" t="s">
        <v>315</v>
      </c>
      <c r="B19" s="19" t="s">
        <v>316</v>
      </c>
      <c r="C19" s="15" t="s">
        <v>317</v>
      </c>
      <c r="D19" s="15" t="s">
        <v>272</v>
      </c>
      <c r="E19" s="20">
        <v>4986</v>
      </c>
      <c r="F19" s="21">
        <v>76.859200000000001</v>
      </c>
      <c r="G19" s="22">
        <v>1.41E-2</v>
      </c>
      <c r="H19" s="40"/>
      <c r="I19" s="24"/>
      <c r="J19" s="5"/>
    </row>
    <row r="20" spans="1:10" ht="13.05" customHeight="1">
      <c r="A20" s="18" t="s">
        <v>529</v>
      </c>
      <c r="B20" s="19" t="s">
        <v>530</v>
      </c>
      <c r="C20" s="15" t="s">
        <v>531</v>
      </c>
      <c r="D20" s="15" t="s">
        <v>257</v>
      </c>
      <c r="E20" s="20">
        <v>25424</v>
      </c>
      <c r="F20" s="21">
        <v>70.7804</v>
      </c>
      <c r="G20" s="22">
        <v>1.2999999999999999E-2</v>
      </c>
      <c r="H20" s="40"/>
      <c r="I20" s="24"/>
      <c r="J20" s="5"/>
    </row>
    <row r="21" spans="1:10" ht="13.05" customHeight="1">
      <c r="A21" s="18" t="s">
        <v>293</v>
      </c>
      <c r="B21" s="19" t="s">
        <v>294</v>
      </c>
      <c r="C21" s="15" t="s">
        <v>295</v>
      </c>
      <c r="D21" s="15" t="s">
        <v>296</v>
      </c>
      <c r="E21" s="20">
        <v>2003</v>
      </c>
      <c r="F21" s="21">
        <v>69.848600000000005</v>
      </c>
      <c r="G21" s="22">
        <v>1.2800000000000001E-2</v>
      </c>
      <c r="H21" s="40"/>
      <c r="I21" s="24"/>
      <c r="J21" s="5"/>
    </row>
    <row r="22" spans="1:10" ht="13.05" customHeight="1">
      <c r="A22" s="18" t="s">
        <v>318</v>
      </c>
      <c r="B22" s="19" t="s">
        <v>319</v>
      </c>
      <c r="C22" s="15" t="s">
        <v>320</v>
      </c>
      <c r="D22" s="15" t="s">
        <v>321</v>
      </c>
      <c r="E22" s="20">
        <v>14662</v>
      </c>
      <c r="F22" s="21">
        <v>49.403599999999997</v>
      </c>
      <c r="G22" s="22">
        <v>8.9999999999999993E-3</v>
      </c>
      <c r="H22" s="40"/>
      <c r="I22" s="24"/>
      <c r="J22" s="5"/>
    </row>
    <row r="23" spans="1:10" ht="13.05" customHeight="1">
      <c r="A23" s="18" t="s">
        <v>472</v>
      </c>
      <c r="B23" s="19" t="s">
        <v>473</v>
      </c>
      <c r="C23" s="15" t="s">
        <v>474</v>
      </c>
      <c r="D23" s="15" t="s">
        <v>475</v>
      </c>
      <c r="E23" s="20">
        <v>9750</v>
      </c>
      <c r="F23" s="21">
        <v>45.790900000000001</v>
      </c>
      <c r="G23" s="22">
        <v>8.3999999999999995E-3</v>
      </c>
      <c r="H23" s="40"/>
      <c r="I23" s="24"/>
      <c r="J23" s="5"/>
    </row>
    <row r="24" spans="1:10" ht="13.05" customHeight="1">
      <c r="A24" s="18" t="s">
        <v>311</v>
      </c>
      <c r="B24" s="19" t="s">
        <v>312</v>
      </c>
      <c r="C24" s="15" t="s">
        <v>313</v>
      </c>
      <c r="D24" s="15" t="s">
        <v>314</v>
      </c>
      <c r="E24" s="20">
        <v>2606</v>
      </c>
      <c r="F24" s="21">
        <v>44.059600000000003</v>
      </c>
      <c r="G24" s="22">
        <v>8.0999999999999996E-3</v>
      </c>
      <c r="H24" s="40"/>
      <c r="I24" s="24"/>
      <c r="J24" s="5"/>
    </row>
    <row r="25" spans="1:10" ht="13.05" customHeight="1">
      <c r="A25" s="18" t="s">
        <v>416</v>
      </c>
      <c r="B25" s="19" t="s">
        <v>417</v>
      </c>
      <c r="C25" s="15" t="s">
        <v>418</v>
      </c>
      <c r="D25" s="15" t="s">
        <v>314</v>
      </c>
      <c r="E25" s="20">
        <v>2837</v>
      </c>
      <c r="F25" s="21">
        <v>42.591900000000003</v>
      </c>
      <c r="G25" s="22">
        <v>7.7999999999999996E-3</v>
      </c>
      <c r="H25" s="40"/>
      <c r="I25" s="24"/>
      <c r="J25" s="5"/>
    </row>
    <row r="26" spans="1:10" ht="13.05" customHeight="1">
      <c r="A26" s="18" t="s">
        <v>290</v>
      </c>
      <c r="B26" s="19" t="s">
        <v>291</v>
      </c>
      <c r="C26" s="15" t="s">
        <v>292</v>
      </c>
      <c r="D26" s="15" t="s">
        <v>257</v>
      </c>
      <c r="E26" s="20">
        <v>1995</v>
      </c>
      <c r="F26" s="21">
        <v>41.938899999999997</v>
      </c>
      <c r="G26" s="22">
        <v>7.7000000000000002E-3</v>
      </c>
      <c r="H26" s="40"/>
      <c r="I26" s="24"/>
      <c r="J26" s="5"/>
    </row>
    <row r="27" spans="1:10" ht="13.05" customHeight="1">
      <c r="A27" s="18" t="s">
        <v>739</v>
      </c>
      <c r="B27" s="19" t="s">
        <v>740</v>
      </c>
      <c r="C27" s="15" t="s">
        <v>741</v>
      </c>
      <c r="D27" s="15" t="s">
        <v>314</v>
      </c>
      <c r="E27" s="20">
        <v>1688</v>
      </c>
      <c r="F27" s="21">
        <v>40.241900000000001</v>
      </c>
      <c r="G27" s="22">
        <v>7.4000000000000003E-3</v>
      </c>
      <c r="H27" s="40"/>
      <c r="I27" s="24"/>
      <c r="J27" s="5"/>
    </row>
    <row r="28" spans="1:10" ht="13.05" customHeight="1">
      <c r="A28" s="18" t="s">
        <v>1013</v>
      </c>
      <c r="B28" s="19" t="s">
        <v>1014</v>
      </c>
      <c r="C28" s="15" t="s">
        <v>1015</v>
      </c>
      <c r="D28" s="15" t="s">
        <v>314</v>
      </c>
      <c r="E28" s="20">
        <v>2375</v>
      </c>
      <c r="F28" s="21">
        <v>39.954599999999999</v>
      </c>
      <c r="G28" s="22">
        <v>7.3000000000000001E-3</v>
      </c>
      <c r="H28" s="40"/>
      <c r="I28" s="24"/>
      <c r="J28" s="5"/>
    </row>
    <row r="29" spans="1:10" ht="13.05" customHeight="1">
      <c r="A29" s="18" t="s">
        <v>452</v>
      </c>
      <c r="B29" s="19" t="s">
        <v>453</v>
      </c>
      <c r="C29" s="15" t="s">
        <v>454</v>
      </c>
      <c r="D29" s="15" t="s">
        <v>391</v>
      </c>
      <c r="E29" s="20">
        <v>608</v>
      </c>
      <c r="F29" s="21">
        <v>35.485900000000001</v>
      </c>
      <c r="G29" s="22">
        <v>6.4999999999999997E-3</v>
      </c>
      <c r="H29" s="40"/>
      <c r="I29" s="24"/>
      <c r="J29" s="5"/>
    </row>
    <row r="30" spans="1:10" ht="13.05" customHeight="1">
      <c r="A30" s="18" t="s">
        <v>392</v>
      </c>
      <c r="B30" s="19" t="s">
        <v>393</v>
      </c>
      <c r="C30" s="15" t="s">
        <v>394</v>
      </c>
      <c r="D30" s="15" t="s">
        <v>272</v>
      </c>
      <c r="E30" s="20">
        <v>2177</v>
      </c>
      <c r="F30" s="21">
        <v>31.0092</v>
      </c>
      <c r="G30" s="22">
        <v>5.7000000000000002E-3</v>
      </c>
      <c r="H30" s="40"/>
      <c r="I30" s="24"/>
      <c r="J30" s="5"/>
    </row>
    <row r="31" spans="1:10" ht="13.05" customHeight="1">
      <c r="A31" s="18" t="s">
        <v>682</v>
      </c>
      <c r="B31" s="19" t="s">
        <v>683</v>
      </c>
      <c r="C31" s="15" t="s">
        <v>684</v>
      </c>
      <c r="D31" s="15" t="s">
        <v>300</v>
      </c>
      <c r="E31" s="20">
        <v>674</v>
      </c>
      <c r="F31" s="21">
        <v>30.966899999999999</v>
      </c>
      <c r="G31" s="22">
        <v>5.7000000000000002E-3</v>
      </c>
      <c r="H31" s="40"/>
      <c r="I31" s="24"/>
      <c r="J31" s="5"/>
    </row>
    <row r="32" spans="1:10" ht="13.05" customHeight="1">
      <c r="A32" s="18" t="s">
        <v>426</v>
      </c>
      <c r="B32" s="19" t="s">
        <v>427</v>
      </c>
      <c r="C32" s="15" t="s">
        <v>428</v>
      </c>
      <c r="D32" s="15" t="s">
        <v>405</v>
      </c>
      <c r="E32" s="20">
        <v>4174</v>
      </c>
      <c r="F32" s="21">
        <v>30.5474</v>
      </c>
      <c r="G32" s="22">
        <v>5.5999999999999999E-3</v>
      </c>
      <c r="H32" s="40"/>
      <c r="I32" s="24"/>
      <c r="J32" s="5"/>
    </row>
    <row r="33" spans="1:10" ht="13.05" customHeight="1">
      <c r="A33" s="18" t="s">
        <v>287</v>
      </c>
      <c r="B33" s="19" t="s">
        <v>288</v>
      </c>
      <c r="C33" s="15" t="s">
        <v>289</v>
      </c>
      <c r="D33" s="15" t="s">
        <v>272</v>
      </c>
      <c r="E33" s="20">
        <v>958</v>
      </c>
      <c r="F33" s="21">
        <v>29.2956</v>
      </c>
      <c r="G33" s="22">
        <v>5.4000000000000003E-3</v>
      </c>
      <c r="H33" s="40"/>
      <c r="I33" s="24"/>
      <c r="J33" s="5"/>
    </row>
    <row r="34" spans="1:10" ht="13.05" customHeight="1">
      <c r="A34" s="18" t="s">
        <v>449</v>
      </c>
      <c r="B34" s="19" t="s">
        <v>450</v>
      </c>
      <c r="C34" s="15" t="s">
        <v>451</v>
      </c>
      <c r="D34" s="15" t="s">
        <v>261</v>
      </c>
      <c r="E34" s="20">
        <v>6755</v>
      </c>
      <c r="F34" s="21">
        <v>24.101800000000001</v>
      </c>
      <c r="G34" s="22">
        <v>4.4000000000000003E-3</v>
      </c>
      <c r="H34" s="40"/>
      <c r="I34" s="24"/>
      <c r="J34" s="5"/>
    </row>
    <row r="35" spans="1:10" ht="13.05" customHeight="1">
      <c r="A35" s="18" t="s">
        <v>305</v>
      </c>
      <c r="B35" s="19" t="s">
        <v>306</v>
      </c>
      <c r="C35" s="15" t="s">
        <v>307</v>
      </c>
      <c r="D35" s="15" t="s">
        <v>280</v>
      </c>
      <c r="E35" s="20">
        <v>485</v>
      </c>
      <c r="F35" s="21">
        <v>11.957700000000001</v>
      </c>
      <c r="G35" s="22">
        <v>2.2000000000000001E-3</v>
      </c>
      <c r="H35" s="40"/>
      <c r="I35" s="24"/>
      <c r="J35" s="5"/>
    </row>
    <row r="36" spans="1:10" ht="13.05" customHeight="1">
      <c r="A36" s="18" t="s">
        <v>297</v>
      </c>
      <c r="B36" s="19" t="s">
        <v>298</v>
      </c>
      <c r="C36" s="15" t="s">
        <v>299</v>
      </c>
      <c r="D36" s="15" t="s">
        <v>300</v>
      </c>
      <c r="E36" s="20">
        <v>894</v>
      </c>
      <c r="F36" s="21">
        <v>9.3225999999999996</v>
      </c>
      <c r="G36" s="22">
        <v>1.6999999999999999E-3</v>
      </c>
      <c r="H36" s="40"/>
      <c r="I36" s="24"/>
      <c r="J36" s="5"/>
    </row>
    <row r="37" spans="1:10" ht="13.05" customHeight="1">
      <c r="A37" s="18" t="s">
        <v>880</v>
      </c>
      <c r="B37" s="19" t="s">
        <v>881</v>
      </c>
      <c r="C37" s="15" t="s">
        <v>882</v>
      </c>
      <c r="D37" s="15" t="s">
        <v>464</v>
      </c>
      <c r="E37" s="20">
        <v>2268</v>
      </c>
      <c r="F37" s="21">
        <v>4.9188000000000001</v>
      </c>
      <c r="G37" s="22">
        <v>8.9999999999999998E-4</v>
      </c>
      <c r="H37" s="40"/>
      <c r="I37" s="24"/>
      <c r="J37" s="5"/>
    </row>
    <row r="38" spans="1:10" ht="13.05" customHeight="1">
      <c r="A38" s="18" t="s">
        <v>388</v>
      </c>
      <c r="B38" s="19" t="s">
        <v>389</v>
      </c>
      <c r="C38" s="15" t="s">
        <v>390</v>
      </c>
      <c r="D38" s="15" t="s">
        <v>391</v>
      </c>
      <c r="E38" s="20">
        <v>232</v>
      </c>
      <c r="F38" s="21">
        <v>2.9500999999999999</v>
      </c>
      <c r="G38" s="22">
        <v>5.0000000000000001E-4</v>
      </c>
      <c r="H38" s="40"/>
      <c r="I38" s="24"/>
      <c r="J38" s="5"/>
    </row>
    <row r="39" spans="1:10" ht="13.05" customHeight="1">
      <c r="A39" s="5"/>
      <c r="B39" s="14" t="s">
        <v>192</v>
      </c>
      <c r="C39" s="15"/>
      <c r="D39" s="15"/>
      <c r="E39" s="15"/>
      <c r="F39" s="25">
        <v>2202.8177000000001</v>
      </c>
      <c r="G39" s="26">
        <v>0.40329999999999999</v>
      </c>
      <c r="H39" s="27"/>
      <c r="I39" s="28"/>
      <c r="J39" s="5"/>
    </row>
    <row r="40" spans="1:10" ht="13.05" customHeight="1">
      <c r="A40" s="5"/>
      <c r="B40" s="29" t="s">
        <v>1812</v>
      </c>
      <c r="C40" s="2"/>
      <c r="D40" s="2"/>
      <c r="E40" s="2"/>
      <c r="F40" s="27" t="s">
        <v>194</v>
      </c>
      <c r="G40" s="27" t="s">
        <v>194</v>
      </c>
      <c r="H40" s="27"/>
      <c r="I40" s="28"/>
      <c r="J40" s="5"/>
    </row>
    <row r="41" spans="1:10" ht="13.05" customHeight="1">
      <c r="A41" s="5"/>
      <c r="B41" s="29" t="s">
        <v>192</v>
      </c>
      <c r="C41" s="2"/>
      <c r="D41" s="2"/>
      <c r="E41" s="2"/>
      <c r="F41" s="27" t="s">
        <v>194</v>
      </c>
      <c r="G41" s="27" t="s">
        <v>194</v>
      </c>
      <c r="H41" s="27"/>
      <c r="I41" s="28"/>
      <c r="J41" s="5"/>
    </row>
    <row r="42" spans="1:10" ht="13.05" customHeight="1">
      <c r="A42" s="5"/>
      <c r="B42" s="29" t="s">
        <v>195</v>
      </c>
      <c r="C42" s="30"/>
      <c r="D42" s="2"/>
      <c r="E42" s="30"/>
      <c r="F42" s="25">
        <v>2202.8177000000001</v>
      </c>
      <c r="G42" s="26">
        <v>0.40329999999999999</v>
      </c>
      <c r="H42" s="27"/>
      <c r="I42" s="28"/>
      <c r="J42" s="5"/>
    </row>
    <row r="43" spans="1:10" ht="13.05" customHeight="1">
      <c r="A43" s="5"/>
      <c r="B43" s="14" t="s">
        <v>183</v>
      </c>
      <c r="C43" s="15"/>
      <c r="D43" s="15"/>
      <c r="E43" s="15"/>
      <c r="F43" s="15"/>
      <c r="G43" s="15"/>
      <c r="H43" s="16"/>
      <c r="I43" s="17"/>
      <c r="J43" s="5"/>
    </row>
    <row r="44" spans="1:10" ht="13.05" customHeight="1">
      <c r="A44" s="5"/>
      <c r="B44" s="14" t="s">
        <v>184</v>
      </c>
      <c r="C44" s="15"/>
      <c r="D44" s="15"/>
      <c r="E44" s="15"/>
      <c r="F44" s="5"/>
      <c r="G44" s="16"/>
      <c r="H44" s="16"/>
      <c r="I44" s="17"/>
      <c r="J44" s="5"/>
    </row>
    <row r="45" spans="1:10" ht="13.05" customHeight="1">
      <c r="A45" s="18" t="s">
        <v>2719</v>
      </c>
      <c r="B45" s="19" t="s">
        <v>2720</v>
      </c>
      <c r="C45" s="15" t="s">
        <v>2721</v>
      </c>
      <c r="D45" s="15" t="s">
        <v>188</v>
      </c>
      <c r="E45" s="20">
        <v>1800000</v>
      </c>
      <c r="F45" s="21">
        <v>1847.4713999999999</v>
      </c>
      <c r="G45" s="22">
        <v>0.3382</v>
      </c>
      <c r="H45" s="23">
        <v>6.9646E-2</v>
      </c>
      <c r="I45" s="24"/>
      <c r="J45" s="5"/>
    </row>
    <row r="46" spans="1:10" ht="13.05" customHeight="1">
      <c r="A46" s="18" t="s">
        <v>2876</v>
      </c>
      <c r="B46" s="19" t="s">
        <v>2877</v>
      </c>
      <c r="C46" s="15" t="s">
        <v>2878</v>
      </c>
      <c r="D46" s="15" t="s">
        <v>188</v>
      </c>
      <c r="E46" s="20">
        <v>800000</v>
      </c>
      <c r="F46" s="21">
        <v>802.34479999999996</v>
      </c>
      <c r="G46" s="22">
        <v>0.1469</v>
      </c>
      <c r="H46" s="23">
        <v>7.4507000000000004E-2</v>
      </c>
      <c r="I46" s="24"/>
      <c r="J46" s="5"/>
    </row>
    <row r="47" spans="1:10" ht="13.05" customHeight="1">
      <c r="A47" s="18" t="s">
        <v>2441</v>
      </c>
      <c r="B47" s="19" t="s">
        <v>2442</v>
      </c>
      <c r="C47" s="15" t="s">
        <v>2443</v>
      </c>
      <c r="D47" s="15" t="s">
        <v>188</v>
      </c>
      <c r="E47" s="20">
        <v>500000</v>
      </c>
      <c r="F47" s="21">
        <v>516.10350000000005</v>
      </c>
      <c r="G47" s="22">
        <v>9.4500000000000001E-2</v>
      </c>
      <c r="H47" s="23">
        <v>6.7038E-2</v>
      </c>
      <c r="I47" s="24"/>
      <c r="J47" s="5"/>
    </row>
    <row r="48" spans="1:10" ht="13.05" customHeight="1">
      <c r="A48" s="5"/>
      <c r="B48" s="14" t="s">
        <v>192</v>
      </c>
      <c r="C48" s="15"/>
      <c r="D48" s="15"/>
      <c r="E48" s="15"/>
      <c r="F48" s="25">
        <v>3165.9196999999999</v>
      </c>
      <c r="G48" s="26">
        <v>0.5796</v>
      </c>
      <c r="H48" s="27"/>
      <c r="I48" s="28"/>
      <c r="J48" s="5"/>
    </row>
    <row r="49" spans="1:10" ht="13.05" customHeight="1">
      <c r="A49" s="5"/>
      <c r="B49" s="29" t="s">
        <v>193</v>
      </c>
      <c r="C49" s="2"/>
      <c r="D49" s="2"/>
      <c r="E49" s="2"/>
      <c r="F49" s="27" t="s">
        <v>194</v>
      </c>
      <c r="G49" s="27" t="s">
        <v>194</v>
      </c>
      <c r="H49" s="27"/>
      <c r="I49" s="28"/>
      <c r="J49" s="5"/>
    </row>
    <row r="50" spans="1:10" ht="13.05" customHeight="1">
      <c r="A50" s="5"/>
      <c r="B50" s="29" t="s">
        <v>192</v>
      </c>
      <c r="C50" s="2"/>
      <c r="D50" s="2"/>
      <c r="E50" s="2"/>
      <c r="F50" s="27" t="s">
        <v>194</v>
      </c>
      <c r="G50" s="27" t="s">
        <v>194</v>
      </c>
      <c r="H50" s="27"/>
      <c r="I50" s="28"/>
      <c r="J50" s="5"/>
    </row>
    <row r="51" spans="1:10" ht="13.05" customHeight="1">
      <c r="A51" s="5"/>
      <c r="B51" s="29" t="s">
        <v>195</v>
      </c>
      <c r="C51" s="30"/>
      <c r="D51" s="2"/>
      <c r="E51" s="30"/>
      <c r="F51" s="25">
        <v>3165.9196999999999</v>
      </c>
      <c r="G51" s="26">
        <v>0.5796</v>
      </c>
      <c r="H51" s="27"/>
      <c r="I51" s="28"/>
      <c r="J51" s="5"/>
    </row>
    <row r="52" spans="1:10" ht="13.05" customHeight="1">
      <c r="A52" s="5"/>
      <c r="B52" s="14" t="s">
        <v>196</v>
      </c>
      <c r="C52" s="15"/>
      <c r="D52" s="15"/>
      <c r="E52" s="15"/>
      <c r="F52" s="15"/>
      <c r="G52" s="15"/>
      <c r="H52" s="16"/>
      <c r="I52" s="17"/>
      <c r="J52" s="5"/>
    </row>
    <row r="53" spans="1:10" ht="13.05" customHeight="1">
      <c r="A53" s="18" t="s">
        <v>197</v>
      </c>
      <c r="B53" s="19" t="s">
        <v>198</v>
      </c>
      <c r="C53" s="15"/>
      <c r="D53" s="15"/>
      <c r="E53" s="20"/>
      <c r="F53" s="21">
        <v>49.924799999999998</v>
      </c>
      <c r="G53" s="22">
        <v>9.1000000000000004E-3</v>
      </c>
      <c r="H53" s="23">
        <v>5.557343987766615E-2</v>
      </c>
      <c r="I53" s="24"/>
      <c r="J53" s="5"/>
    </row>
    <row r="54" spans="1:10" ht="13.05" customHeight="1">
      <c r="A54" s="5"/>
      <c r="B54" s="14" t="s">
        <v>192</v>
      </c>
      <c r="C54" s="15"/>
      <c r="D54" s="15"/>
      <c r="E54" s="15"/>
      <c r="F54" s="25">
        <v>49.924799999999998</v>
      </c>
      <c r="G54" s="26">
        <v>9.1000000000000004E-3</v>
      </c>
      <c r="H54" s="27"/>
      <c r="I54" s="28"/>
      <c r="J54" s="5"/>
    </row>
    <row r="55" spans="1:10" ht="13.05" customHeight="1">
      <c r="A55" s="5"/>
      <c r="B55" s="29" t="s">
        <v>193</v>
      </c>
      <c r="C55" s="2"/>
      <c r="D55" s="2"/>
      <c r="E55" s="2"/>
      <c r="F55" s="27" t="s">
        <v>194</v>
      </c>
      <c r="G55" s="27" t="s">
        <v>194</v>
      </c>
      <c r="H55" s="27"/>
      <c r="I55" s="28"/>
      <c r="J55" s="5"/>
    </row>
    <row r="56" spans="1:10" ht="13.05" customHeight="1">
      <c r="A56" s="5"/>
      <c r="B56" s="29" t="s">
        <v>192</v>
      </c>
      <c r="C56" s="2"/>
      <c r="D56" s="2"/>
      <c r="E56" s="2"/>
      <c r="F56" s="27" t="s">
        <v>194</v>
      </c>
      <c r="G56" s="27" t="s">
        <v>194</v>
      </c>
      <c r="H56" s="27"/>
      <c r="I56" s="28"/>
      <c r="J56" s="5"/>
    </row>
    <row r="57" spans="1:10" ht="13.05" customHeight="1">
      <c r="A57" s="5"/>
      <c r="B57" s="29" t="s">
        <v>195</v>
      </c>
      <c r="C57" s="30"/>
      <c r="D57" s="2"/>
      <c r="E57" s="30"/>
      <c r="F57" s="25">
        <v>49.924799999999998</v>
      </c>
      <c r="G57" s="26">
        <v>9.1000000000000004E-3</v>
      </c>
      <c r="H57" s="27"/>
      <c r="I57" s="28"/>
      <c r="J57" s="5"/>
    </row>
    <row r="58" spans="1:10" ht="13.05" customHeight="1">
      <c r="A58" s="5"/>
      <c r="B58" s="29" t="s">
        <v>199</v>
      </c>
      <c r="C58" s="15"/>
      <c r="D58" s="2"/>
      <c r="E58" s="15"/>
      <c r="F58" s="31">
        <v>43.4878</v>
      </c>
      <c r="G58" s="26">
        <v>8.0000000000000002E-3</v>
      </c>
      <c r="H58" s="27"/>
      <c r="I58" s="28"/>
      <c r="J58" s="5"/>
    </row>
    <row r="59" spans="1:10" ht="13.05" customHeight="1">
      <c r="A59" s="5"/>
      <c r="B59" s="32" t="s">
        <v>200</v>
      </c>
      <c r="C59" s="33"/>
      <c r="D59" s="33"/>
      <c r="E59" s="33"/>
      <c r="F59" s="34">
        <v>5462.15</v>
      </c>
      <c r="G59" s="35">
        <v>1</v>
      </c>
      <c r="H59" s="36"/>
      <c r="I59" s="37"/>
      <c r="J59" s="5"/>
    </row>
    <row r="60" spans="1:10" ht="13.05" customHeight="1">
      <c r="A60" s="5"/>
      <c r="B60" s="7"/>
      <c r="C60" s="5"/>
      <c r="D60" s="5"/>
      <c r="E60" s="5"/>
      <c r="F60" s="5"/>
      <c r="G60" s="5"/>
      <c r="H60" s="5"/>
      <c r="I60" s="5"/>
      <c r="J60" s="5"/>
    </row>
    <row r="61" spans="1:10" ht="13.05" customHeight="1">
      <c r="A61" s="5"/>
      <c r="B61" s="4" t="s">
        <v>201</v>
      </c>
      <c r="C61" s="5"/>
      <c r="D61" s="5"/>
      <c r="E61" s="5"/>
      <c r="F61" s="5"/>
      <c r="G61" s="5"/>
      <c r="H61" s="5"/>
      <c r="I61" s="5"/>
      <c r="J61" s="5"/>
    </row>
    <row r="62" spans="1:10" ht="25.95" customHeight="1">
      <c r="A62" s="5"/>
      <c r="B62" s="103" t="s">
        <v>202</v>
      </c>
      <c r="C62" s="103"/>
      <c r="D62" s="103"/>
      <c r="E62" s="103"/>
      <c r="F62" s="103"/>
      <c r="G62" s="103"/>
      <c r="H62" s="103"/>
      <c r="I62" s="103"/>
      <c r="J62" s="5"/>
    </row>
    <row r="63" spans="1:10" ht="13.05" customHeight="1">
      <c r="A63" s="5"/>
      <c r="B63" s="103" t="s">
        <v>203</v>
      </c>
      <c r="C63" s="103"/>
      <c r="D63" s="103"/>
      <c r="E63" s="103"/>
      <c r="F63" s="103"/>
      <c r="G63" s="103"/>
      <c r="H63" s="103"/>
      <c r="I63" s="103"/>
      <c r="J63" s="5"/>
    </row>
    <row r="64" spans="1:10" ht="13.05" customHeight="1">
      <c r="A64" s="5"/>
      <c r="B64" s="103"/>
      <c r="C64" s="103"/>
      <c r="D64" s="103"/>
      <c r="E64" s="103"/>
      <c r="F64" s="103"/>
      <c r="G64" s="103"/>
      <c r="H64" s="103"/>
      <c r="I64" s="103"/>
      <c r="J64" s="5"/>
    </row>
    <row r="65" spans="1:10" ht="13.05" customHeight="1">
      <c r="A65" s="5"/>
      <c r="B65" s="103"/>
      <c r="C65" s="103"/>
      <c r="D65" s="103"/>
      <c r="E65" s="103"/>
      <c r="F65" s="103"/>
      <c r="G65" s="103"/>
      <c r="H65" s="103"/>
      <c r="I65" s="103"/>
      <c r="J65" s="5"/>
    </row>
    <row r="66" spans="1:10" ht="13.05" customHeight="1">
      <c r="A66" s="5"/>
      <c r="B66" s="103"/>
      <c r="C66" s="103"/>
      <c r="D66" s="103"/>
      <c r="E66" s="103"/>
      <c r="F66" s="103"/>
      <c r="G66" s="103"/>
      <c r="H66" s="103"/>
      <c r="I66" s="103"/>
      <c r="J66" s="5"/>
    </row>
    <row r="67" spans="1:10" ht="13.05" customHeight="1">
      <c r="A67" s="5"/>
      <c r="B67" s="103"/>
      <c r="C67" s="103"/>
      <c r="D67" s="103"/>
      <c r="E67" s="103"/>
      <c r="F67" s="103"/>
      <c r="G67" s="103"/>
      <c r="H67" s="103"/>
      <c r="I67" s="103"/>
      <c r="J67" s="5"/>
    </row>
    <row r="68" spans="1:10" ht="13.05" customHeight="1">
      <c r="A68" s="5"/>
      <c r="B68" s="5"/>
      <c r="C68" s="104" t="s">
        <v>4675</v>
      </c>
      <c r="D68" s="104"/>
      <c r="E68" s="104"/>
      <c r="F68" s="104"/>
      <c r="G68" s="5"/>
      <c r="H68" s="5"/>
      <c r="I68" s="5"/>
      <c r="J68" s="5"/>
    </row>
    <row r="69" spans="1:10" ht="13.05" customHeight="1">
      <c r="A69" s="5"/>
      <c r="B69" s="38" t="s">
        <v>207</v>
      </c>
      <c r="C69" s="104" t="s">
        <v>208</v>
      </c>
      <c r="D69" s="104"/>
      <c r="E69" s="104"/>
      <c r="F69" s="104"/>
      <c r="G69" s="5"/>
      <c r="H69" s="5"/>
      <c r="I69" s="5"/>
      <c r="J69" s="5"/>
    </row>
    <row r="70" spans="1:10" ht="135" customHeight="1">
      <c r="A70" s="5"/>
      <c r="B70" s="39"/>
      <c r="C70" s="105"/>
      <c r="D70" s="105"/>
      <c r="E70" s="5"/>
      <c r="F70" s="5"/>
      <c r="G70" s="5"/>
      <c r="H70" s="5"/>
      <c r="I70" s="5"/>
      <c r="J70" s="5"/>
    </row>
  </sheetData>
  <mergeCells count="9">
    <mergeCell ref="B67:I67"/>
    <mergeCell ref="C68:F68"/>
    <mergeCell ref="C69:F69"/>
    <mergeCell ref="C70:D70"/>
    <mergeCell ref="B62:I62"/>
    <mergeCell ref="B63:I63"/>
    <mergeCell ref="B64:I64"/>
    <mergeCell ref="B65:I65"/>
    <mergeCell ref="B66:I66"/>
  </mergeCells>
  <hyperlinks>
    <hyperlink ref="A1" location="AxisRetirementFundConservativePlan" display="AXISRCP" xr:uid="{00000000-0004-0000-4200-000000000000}"/>
    <hyperlink ref="B1" location="AxisRetirementFundConservativePlan" display="Axis Retirement Fund - Conservative Plan" xr:uid="{00000000-0004-0000-4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outlinePr summaryBelow="0"/>
  </sheetPr>
  <dimension ref="A1:J129"/>
  <sheetViews>
    <sheetView topLeftCell="A84" workbookViewId="0">
      <selection activeCell="B118" sqref="B118"/>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136</v>
      </c>
      <c r="B1" s="4" t="s">
        <v>137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207090</v>
      </c>
      <c r="F7" s="21">
        <v>2044.5996</v>
      </c>
      <c r="G7" s="22">
        <v>6.4600000000000005E-2</v>
      </c>
      <c r="H7" s="40"/>
      <c r="I7" s="24"/>
      <c r="J7" s="5"/>
    </row>
    <row r="8" spans="1:10" ht="13.05" customHeight="1">
      <c r="A8" s="18" t="s">
        <v>258</v>
      </c>
      <c r="B8" s="19" t="s">
        <v>259</v>
      </c>
      <c r="C8" s="15" t="s">
        <v>260</v>
      </c>
      <c r="D8" s="15" t="s">
        <v>261</v>
      </c>
      <c r="E8" s="20">
        <v>116000</v>
      </c>
      <c r="F8" s="21">
        <v>1724.2239999999999</v>
      </c>
      <c r="G8" s="22">
        <v>5.45E-2</v>
      </c>
      <c r="H8" s="40"/>
      <c r="I8" s="24"/>
      <c r="J8" s="5"/>
    </row>
    <row r="9" spans="1:10" ht="13.05" customHeight="1">
      <c r="A9" s="18" t="s">
        <v>262</v>
      </c>
      <c r="B9" s="19" t="s">
        <v>263</v>
      </c>
      <c r="C9" s="15" t="s">
        <v>264</v>
      </c>
      <c r="D9" s="15" t="s">
        <v>257</v>
      </c>
      <c r="E9" s="20">
        <v>126889</v>
      </c>
      <c r="F9" s="21">
        <v>1707.0377000000001</v>
      </c>
      <c r="G9" s="22">
        <v>5.3900000000000003E-2</v>
      </c>
      <c r="H9" s="40"/>
      <c r="I9" s="24"/>
      <c r="J9" s="5"/>
    </row>
    <row r="10" spans="1:10" ht="13.05" customHeight="1">
      <c r="A10" s="18" t="s">
        <v>269</v>
      </c>
      <c r="B10" s="19" t="s">
        <v>270</v>
      </c>
      <c r="C10" s="15" t="s">
        <v>271</v>
      </c>
      <c r="D10" s="15" t="s">
        <v>272</v>
      </c>
      <c r="E10" s="20">
        <v>80722</v>
      </c>
      <c r="F10" s="21">
        <v>1196.5422000000001</v>
      </c>
      <c r="G10" s="22">
        <v>3.78E-2</v>
      </c>
      <c r="H10" s="40"/>
      <c r="I10" s="24"/>
      <c r="J10" s="5"/>
    </row>
    <row r="11" spans="1:10" ht="13.05" customHeight="1">
      <c r="A11" s="18" t="s">
        <v>273</v>
      </c>
      <c r="B11" s="19" t="s">
        <v>274</v>
      </c>
      <c r="C11" s="15" t="s">
        <v>275</v>
      </c>
      <c r="D11" s="15" t="s">
        <v>276</v>
      </c>
      <c r="E11" s="20">
        <v>24882</v>
      </c>
      <c r="F11" s="21">
        <v>1002.9684999999999</v>
      </c>
      <c r="G11" s="22">
        <v>3.1699999999999999E-2</v>
      </c>
      <c r="H11" s="40"/>
      <c r="I11" s="24"/>
      <c r="J11" s="5"/>
    </row>
    <row r="12" spans="1:10" ht="13.05" customHeight="1">
      <c r="A12" s="18" t="s">
        <v>281</v>
      </c>
      <c r="B12" s="19" t="s">
        <v>282</v>
      </c>
      <c r="C12" s="15" t="s">
        <v>283</v>
      </c>
      <c r="D12" s="15" t="s">
        <v>257</v>
      </c>
      <c r="E12" s="20">
        <v>106464</v>
      </c>
      <c r="F12" s="21">
        <v>997.56769999999995</v>
      </c>
      <c r="G12" s="22">
        <v>3.15E-2</v>
      </c>
      <c r="H12" s="40"/>
      <c r="I12" s="24"/>
      <c r="J12" s="5"/>
    </row>
    <row r="13" spans="1:10" ht="13.05" customHeight="1">
      <c r="A13" s="18" t="s">
        <v>265</v>
      </c>
      <c r="B13" s="19" t="s">
        <v>266</v>
      </c>
      <c r="C13" s="15" t="s">
        <v>267</v>
      </c>
      <c r="D13" s="15" t="s">
        <v>268</v>
      </c>
      <c r="E13" s="20">
        <v>44557</v>
      </c>
      <c r="F13" s="21">
        <v>915.42359999999996</v>
      </c>
      <c r="G13" s="22">
        <v>2.8899999999999999E-2</v>
      </c>
      <c r="H13" s="40"/>
      <c r="I13" s="24"/>
      <c r="J13" s="5"/>
    </row>
    <row r="14" spans="1:10" ht="13.05" customHeight="1">
      <c r="A14" s="18" t="s">
        <v>293</v>
      </c>
      <c r="B14" s="19" t="s">
        <v>294</v>
      </c>
      <c r="C14" s="15" t="s">
        <v>295</v>
      </c>
      <c r="D14" s="15" t="s">
        <v>296</v>
      </c>
      <c r="E14" s="20">
        <v>21265</v>
      </c>
      <c r="F14" s="21">
        <v>741.55309999999997</v>
      </c>
      <c r="G14" s="22">
        <v>2.3400000000000001E-2</v>
      </c>
      <c r="H14" s="40"/>
      <c r="I14" s="24"/>
      <c r="J14" s="5"/>
    </row>
    <row r="15" spans="1:10" ht="13.05" customHeight="1">
      <c r="A15" s="18" t="s">
        <v>297</v>
      </c>
      <c r="B15" s="19" t="s">
        <v>298</v>
      </c>
      <c r="C15" s="15" t="s">
        <v>299</v>
      </c>
      <c r="D15" s="15" t="s">
        <v>300</v>
      </c>
      <c r="E15" s="20">
        <v>70120</v>
      </c>
      <c r="F15" s="21">
        <v>731.21140000000003</v>
      </c>
      <c r="G15" s="22">
        <v>2.3099999999999999E-2</v>
      </c>
      <c r="H15" s="40"/>
      <c r="I15" s="24"/>
      <c r="J15" s="5"/>
    </row>
    <row r="16" spans="1:10" ht="13.05" customHeight="1">
      <c r="A16" s="18" t="s">
        <v>578</v>
      </c>
      <c r="B16" s="19" t="s">
        <v>579</v>
      </c>
      <c r="C16" s="15" t="s">
        <v>580</v>
      </c>
      <c r="D16" s="15" t="s">
        <v>581</v>
      </c>
      <c r="E16" s="20">
        <v>45142</v>
      </c>
      <c r="F16" s="21">
        <v>652.12130000000002</v>
      </c>
      <c r="G16" s="22">
        <v>2.06E-2</v>
      </c>
      <c r="H16" s="40"/>
      <c r="I16" s="24"/>
      <c r="J16" s="5"/>
    </row>
    <row r="17" spans="1:10" ht="13.05" customHeight="1">
      <c r="A17" s="18" t="s">
        <v>514</v>
      </c>
      <c r="B17" s="19" t="s">
        <v>515</v>
      </c>
      <c r="C17" s="15" t="s">
        <v>516</v>
      </c>
      <c r="D17" s="15" t="s">
        <v>415</v>
      </c>
      <c r="E17" s="20">
        <v>46586</v>
      </c>
      <c r="F17" s="21">
        <v>476.59809999999999</v>
      </c>
      <c r="G17" s="22">
        <v>1.5100000000000001E-2</v>
      </c>
      <c r="H17" s="40"/>
      <c r="I17" s="24"/>
      <c r="J17" s="5"/>
    </row>
    <row r="18" spans="1:10" ht="13.05" customHeight="1">
      <c r="A18" s="18" t="s">
        <v>1626</v>
      </c>
      <c r="B18" s="19" t="s">
        <v>1627</v>
      </c>
      <c r="C18" s="15" t="s">
        <v>1628</v>
      </c>
      <c r="D18" s="15" t="s">
        <v>415</v>
      </c>
      <c r="E18" s="20">
        <v>46168</v>
      </c>
      <c r="F18" s="21">
        <v>456.43990000000002</v>
      </c>
      <c r="G18" s="22">
        <v>1.44E-2</v>
      </c>
      <c r="H18" s="40"/>
      <c r="I18" s="24"/>
      <c r="J18" s="5"/>
    </row>
    <row r="19" spans="1:10" ht="13.05" customHeight="1">
      <c r="A19" s="18" t="s">
        <v>406</v>
      </c>
      <c r="B19" s="19" t="s">
        <v>407</v>
      </c>
      <c r="C19" s="15" t="s">
        <v>408</v>
      </c>
      <c r="D19" s="15" t="s">
        <v>314</v>
      </c>
      <c r="E19" s="20">
        <v>6412</v>
      </c>
      <c r="F19" s="21">
        <v>432.04059999999998</v>
      </c>
      <c r="G19" s="22">
        <v>1.37E-2</v>
      </c>
      <c r="H19" s="40"/>
      <c r="I19" s="24"/>
      <c r="J19" s="5"/>
    </row>
    <row r="20" spans="1:10" ht="13.05" customHeight="1">
      <c r="A20" s="18" t="s">
        <v>616</v>
      </c>
      <c r="B20" s="19" t="s">
        <v>617</v>
      </c>
      <c r="C20" s="15" t="s">
        <v>618</v>
      </c>
      <c r="D20" s="15" t="s">
        <v>445</v>
      </c>
      <c r="E20" s="20">
        <v>12477</v>
      </c>
      <c r="F20" s="21">
        <v>378.97640000000001</v>
      </c>
      <c r="G20" s="22">
        <v>1.2E-2</v>
      </c>
      <c r="H20" s="40"/>
      <c r="I20" s="24"/>
      <c r="J20" s="5"/>
    </row>
    <row r="21" spans="1:10" ht="13.05" customHeight="1">
      <c r="A21" s="18" t="s">
        <v>1186</v>
      </c>
      <c r="B21" s="19" t="s">
        <v>1187</v>
      </c>
      <c r="C21" s="15" t="s">
        <v>1188</v>
      </c>
      <c r="D21" s="15" t="s">
        <v>970</v>
      </c>
      <c r="E21" s="20">
        <v>7805</v>
      </c>
      <c r="F21" s="21">
        <v>368.98919999999998</v>
      </c>
      <c r="G21" s="22">
        <v>1.17E-2</v>
      </c>
      <c r="H21" s="40"/>
      <c r="I21" s="24"/>
      <c r="J21" s="5"/>
    </row>
    <row r="22" spans="1:10" ht="13.05" customHeight="1">
      <c r="A22" s="18" t="s">
        <v>290</v>
      </c>
      <c r="B22" s="19" t="s">
        <v>291</v>
      </c>
      <c r="C22" s="15" t="s">
        <v>292</v>
      </c>
      <c r="D22" s="15" t="s">
        <v>257</v>
      </c>
      <c r="E22" s="20">
        <v>17029</v>
      </c>
      <c r="F22" s="21">
        <v>357.98360000000002</v>
      </c>
      <c r="G22" s="22">
        <v>1.1299999999999999E-2</v>
      </c>
      <c r="H22" s="40"/>
      <c r="I22" s="24"/>
      <c r="J22" s="5"/>
    </row>
    <row r="23" spans="1:10" ht="13.05" customHeight="1">
      <c r="A23" s="18" t="s">
        <v>1638</v>
      </c>
      <c r="B23" s="19" t="s">
        <v>1639</v>
      </c>
      <c r="C23" s="15" t="s">
        <v>1640</v>
      </c>
      <c r="D23" s="15" t="s">
        <v>567</v>
      </c>
      <c r="E23" s="20">
        <v>63314</v>
      </c>
      <c r="F23" s="21">
        <v>356.90100000000001</v>
      </c>
      <c r="G23" s="22">
        <v>1.1299999999999999E-2</v>
      </c>
      <c r="H23" s="40"/>
      <c r="I23" s="24"/>
      <c r="J23" s="5"/>
    </row>
    <row r="24" spans="1:10" ht="13.05" customHeight="1">
      <c r="A24" s="18" t="s">
        <v>416</v>
      </c>
      <c r="B24" s="19" t="s">
        <v>417</v>
      </c>
      <c r="C24" s="15" t="s">
        <v>418</v>
      </c>
      <c r="D24" s="15" t="s">
        <v>314</v>
      </c>
      <c r="E24" s="20">
        <v>23656</v>
      </c>
      <c r="F24" s="21">
        <v>355.14749999999998</v>
      </c>
      <c r="G24" s="22">
        <v>1.12E-2</v>
      </c>
      <c r="H24" s="40"/>
      <c r="I24" s="24"/>
      <c r="J24" s="5"/>
    </row>
    <row r="25" spans="1:10" ht="13.05" customHeight="1">
      <c r="A25" s="18" t="s">
        <v>843</v>
      </c>
      <c r="B25" s="19" t="s">
        <v>844</v>
      </c>
      <c r="C25" s="15" t="s">
        <v>845</v>
      </c>
      <c r="D25" s="15" t="s">
        <v>846</v>
      </c>
      <c r="E25" s="20">
        <v>5296</v>
      </c>
      <c r="F25" s="21">
        <v>355.07029999999997</v>
      </c>
      <c r="G25" s="22">
        <v>1.12E-2</v>
      </c>
      <c r="H25" s="40"/>
      <c r="I25" s="24"/>
      <c r="J25" s="5"/>
    </row>
    <row r="26" spans="1:10" ht="13.05" customHeight="1">
      <c r="A26" s="18" t="s">
        <v>287</v>
      </c>
      <c r="B26" s="19" t="s">
        <v>288</v>
      </c>
      <c r="C26" s="15" t="s">
        <v>289</v>
      </c>
      <c r="D26" s="15" t="s">
        <v>272</v>
      </c>
      <c r="E26" s="20">
        <v>11253</v>
      </c>
      <c r="F26" s="21">
        <v>344.11669999999998</v>
      </c>
      <c r="G26" s="22">
        <v>1.09E-2</v>
      </c>
      <c r="H26" s="40"/>
      <c r="I26" s="24"/>
      <c r="J26" s="5"/>
    </row>
    <row r="27" spans="1:10" ht="13.05" customHeight="1">
      <c r="A27" s="18" t="s">
        <v>326</v>
      </c>
      <c r="B27" s="19" t="s">
        <v>327</v>
      </c>
      <c r="C27" s="15" t="s">
        <v>328</v>
      </c>
      <c r="D27" s="15" t="s">
        <v>329</v>
      </c>
      <c r="E27" s="20">
        <v>78419</v>
      </c>
      <c r="F27" s="21">
        <v>334.14339999999999</v>
      </c>
      <c r="G27" s="22">
        <v>1.06E-2</v>
      </c>
      <c r="H27" s="40"/>
      <c r="I27" s="24"/>
      <c r="J27" s="5"/>
    </row>
    <row r="28" spans="1:10" ht="13.05" customHeight="1">
      <c r="A28" s="18" t="s">
        <v>986</v>
      </c>
      <c r="B28" s="19" t="s">
        <v>987</v>
      </c>
      <c r="C28" s="15" t="s">
        <v>988</v>
      </c>
      <c r="D28" s="15" t="s">
        <v>445</v>
      </c>
      <c r="E28" s="20">
        <v>3694</v>
      </c>
      <c r="F28" s="21">
        <v>320.30669999999998</v>
      </c>
      <c r="G28" s="22">
        <v>1.01E-2</v>
      </c>
      <c r="H28" s="40"/>
      <c r="I28" s="24"/>
      <c r="J28" s="5"/>
    </row>
    <row r="29" spans="1:10" ht="13.05" customHeight="1">
      <c r="A29" s="18" t="s">
        <v>429</v>
      </c>
      <c r="B29" s="19" t="s">
        <v>430</v>
      </c>
      <c r="C29" s="15" t="s">
        <v>431</v>
      </c>
      <c r="D29" s="15" t="s">
        <v>415</v>
      </c>
      <c r="E29" s="20">
        <v>3960</v>
      </c>
      <c r="F29" s="21">
        <v>304.16759999999999</v>
      </c>
      <c r="G29" s="22">
        <v>9.5999999999999992E-3</v>
      </c>
      <c r="H29" s="40"/>
      <c r="I29" s="24"/>
      <c r="J29" s="5"/>
    </row>
    <row r="30" spans="1:10" ht="13.05" customHeight="1">
      <c r="A30" s="18" t="s">
        <v>919</v>
      </c>
      <c r="B30" s="19" t="s">
        <v>920</v>
      </c>
      <c r="C30" s="15" t="s">
        <v>921</v>
      </c>
      <c r="D30" s="15" t="s">
        <v>300</v>
      </c>
      <c r="E30" s="20">
        <v>32598</v>
      </c>
      <c r="F30" s="21">
        <v>302.73759999999999</v>
      </c>
      <c r="G30" s="22">
        <v>9.5999999999999992E-3</v>
      </c>
      <c r="H30" s="40"/>
      <c r="I30" s="24"/>
      <c r="J30" s="5"/>
    </row>
    <row r="31" spans="1:10" ht="13.05" customHeight="1">
      <c r="A31" s="18" t="s">
        <v>426</v>
      </c>
      <c r="B31" s="19" t="s">
        <v>427</v>
      </c>
      <c r="C31" s="15" t="s">
        <v>428</v>
      </c>
      <c r="D31" s="15" t="s">
        <v>405</v>
      </c>
      <c r="E31" s="20">
        <v>40960</v>
      </c>
      <c r="F31" s="21">
        <v>299.76580000000001</v>
      </c>
      <c r="G31" s="22">
        <v>9.4999999999999998E-3</v>
      </c>
      <c r="H31" s="40"/>
      <c r="I31" s="24"/>
      <c r="J31" s="5"/>
    </row>
    <row r="32" spans="1:10" ht="13.05" customHeight="1">
      <c r="A32" s="18" t="s">
        <v>532</v>
      </c>
      <c r="B32" s="19" t="s">
        <v>533</v>
      </c>
      <c r="C32" s="15" t="s">
        <v>534</v>
      </c>
      <c r="D32" s="15" t="s">
        <v>445</v>
      </c>
      <c r="E32" s="20">
        <v>40337</v>
      </c>
      <c r="F32" s="21">
        <v>297.14249999999998</v>
      </c>
      <c r="G32" s="22">
        <v>9.4000000000000004E-3</v>
      </c>
      <c r="H32" s="40"/>
      <c r="I32" s="24"/>
      <c r="J32" s="5"/>
    </row>
    <row r="33" spans="1:10" ht="13.05" customHeight="1">
      <c r="A33" s="18" t="s">
        <v>301</v>
      </c>
      <c r="B33" s="19" t="s">
        <v>302</v>
      </c>
      <c r="C33" s="15" t="s">
        <v>303</v>
      </c>
      <c r="D33" s="15" t="s">
        <v>304</v>
      </c>
      <c r="E33" s="20">
        <v>89401</v>
      </c>
      <c r="F33" s="21">
        <v>284.07170000000002</v>
      </c>
      <c r="G33" s="22">
        <v>8.9999999999999993E-3</v>
      </c>
      <c r="H33" s="40"/>
      <c r="I33" s="24"/>
      <c r="J33" s="5"/>
    </row>
    <row r="34" spans="1:10" ht="13.05" customHeight="1">
      <c r="A34" s="18" t="s">
        <v>739</v>
      </c>
      <c r="B34" s="19" t="s">
        <v>740</v>
      </c>
      <c r="C34" s="15" t="s">
        <v>741</v>
      </c>
      <c r="D34" s="15" t="s">
        <v>314</v>
      </c>
      <c r="E34" s="20">
        <v>11897</v>
      </c>
      <c r="F34" s="21">
        <v>283.62450000000001</v>
      </c>
      <c r="G34" s="22">
        <v>8.9999999999999993E-3</v>
      </c>
      <c r="H34" s="40"/>
      <c r="I34" s="24"/>
      <c r="J34" s="5"/>
    </row>
    <row r="35" spans="1:10" ht="13.05" customHeight="1">
      <c r="A35" s="18" t="s">
        <v>2426</v>
      </c>
      <c r="B35" s="19" t="s">
        <v>2427</v>
      </c>
      <c r="C35" s="15" t="s">
        <v>2428</v>
      </c>
      <c r="D35" s="15" t="s">
        <v>970</v>
      </c>
      <c r="E35" s="20">
        <v>46957</v>
      </c>
      <c r="F35" s="21">
        <v>281.78899999999999</v>
      </c>
      <c r="G35" s="22">
        <v>8.8999999999999999E-3</v>
      </c>
      <c r="H35" s="40"/>
      <c r="I35" s="24"/>
      <c r="J35" s="5"/>
    </row>
    <row r="36" spans="1:10" ht="13.05" customHeight="1">
      <c r="A36" s="18" t="s">
        <v>752</v>
      </c>
      <c r="B36" s="19" t="s">
        <v>753</v>
      </c>
      <c r="C36" s="15" t="s">
        <v>754</v>
      </c>
      <c r="D36" s="15" t="s">
        <v>337</v>
      </c>
      <c r="E36" s="20">
        <v>4496</v>
      </c>
      <c r="F36" s="21">
        <v>279.38139999999999</v>
      </c>
      <c r="G36" s="22">
        <v>8.8000000000000005E-3</v>
      </c>
      <c r="H36" s="40"/>
      <c r="I36" s="24"/>
      <c r="J36" s="5"/>
    </row>
    <row r="37" spans="1:10" ht="13.05" customHeight="1">
      <c r="A37" s="18" t="s">
        <v>311</v>
      </c>
      <c r="B37" s="19" t="s">
        <v>312</v>
      </c>
      <c r="C37" s="15" t="s">
        <v>313</v>
      </c>
      <c r="D37" s="15" t="s">
        <v>314</v>
      </c>
      <c r="E37" s="20">
        <v>16440</v>
      </c>
      <c r="F37" s="21">
        <v>277.9511</v>
      </c>
      <c r="G37" s="22">
        <v>8.8000000000000005E-3</v>
      </c>
      <c r="H37" s="40"/>
      <c r="I37" s="24"/>
      <c r="J37" s="5"/>
    </row>
    <row r="38" spans="1:10" ht="13.05" customHeight="1">
      <c r="A38" s="18" t="s">
        <v>712</v>
      </c>
      <c r="B38" s="19" t="s">
        <v>713</v>
      </c>
      <c r="C38" s="15" t="s">
        <v>714</v>
      </c>
      <c r="D38" s="15" t="s">
        <v>603</v>
      </c>
      <c r="E38" s="20">
        <v>7440</v>
      </c>
      <c r="F38" s="21">
        <v>266.15859999999998</v>
      </c>
      <c r="G38" s="22">
        <v>8.3999999999999995E-3</v>
      </c>
      <c r="H38" s="40"/>
      <c r="I38" s="24"/>
      <c r="J38" s="5"/>
    </row>
    <row r="39" spans="1:10" ht="13.05" customHeight="1">
      <c r="A39" s="18" t="s">
        <v>402</v>
      </c>
      <c r="B39" s="19" t="s">
        <v>403</v>
      </c>
      <c r="C39" s="15" t="s">
        <v>404</v>
      </c>
      <c r="D39" s="15" t="s">
        <v>405</v>
      </c>
      <c r="E39" s="20">
        <v>13493</v>
      </c>
      <c r="F39" s="21">
        <v>263.88260000000002</v>
      </c>
      <c r="G39" s="22">
        <v>8.3000000000000001E-3</v>
      </c>
      <c r="H39" s="40"/>
      <c r="I39" s="24"/>
      <c r="J39" s="5"/>
    </row>
    <row r="40" spans="1:10" ht="13.05" customHeight="1">
      <c r="A40" s="18" t="s">
        <v>1263</v>
      </c>
      <c r="B40" s="19" t="s">
        <v>1264</v>
      </c>
      <c r="C40" s="15" t="s">
        <v>1265</v>
      </c>
      <c r="D40" s="15" t="s">
        <v>541</v>
      </c>
      <c r="E40" s="20">
        <v>40370</v>
      </c>
      <c r="F40" s="21">
        <v>260.14429999999999</v>
      </c>
      <c r="G40" s="22">
        <v>8.2000000000000007E-3</v>
      </c>
      <c r="H40" s="40"/>
      <c r="I40" s="24"/>
      <c r="J40" s="5"/>
    </row>
    <row r="41" spans="1:10" ht="13.05" customHeight="1">
      <c r="A41" s="18" t="s">
        <v>472</v>
      </c>
      <c r="B41" s="19" t="s">
        <v>473</v>
      </c>
      <c r="C41" s="15" t="s">
        <v>474</v>
      </c>
      <c r="D41" s="15" t="s">
        <v>475</v>
      </c>
      <c r="E41" s="20">
        <v>54412</v>
      </c>
      <c r="F41" s="21">
        <v>255.54599999999999</v>
      </c>
      <c r="G41" s="22">
        <v>8.0999999999999996E-3</v>
      </c>
      <c r="H41" s="40"/>
      <c r="I41" s="24"/>
      <c r="J41" s="5"/>
    </row>
    <row r="42" spans="1:10" ht="13.05" customHeight="1">
      <c r="A42" s="18" t="s">
        <v>1052</v>
      </c>
      <c r="B42" s="19" t="s">
        <v>1053</v>
      </c>
      <c r="C42" s="15" t="s">
        <v>1054</v>
      </c>
      <c r="D42" s="15" t="s">
        <v>445</v>
      </c>
      <c r="E42" s="20">
        <v>23287</v>
      </c>
      <c r="F42" s="21">
        <v>254.5735</v>
      </c>
      <c r="G42" s="22">
        <v>8.0000000000000002E-3</v>
      </c>
      <c r="H42" s="40"/>
      <c r="I42" s="24"/>
      <c r="J42" s="5"/>
    </row>
    <row r="43" spans="1:10" ht="13.05" customHeight="1">
      <c r="A43" s="18" t="s">
        <v>529</v>
      </c>
      <c r="B43" s="19" t="s">
        <v>530</v>
      </c>
      <c r="C43" s="15" t="s">
        <v>531</v>
      </c>
      <c r="D43" s="15" t="s">
        <v>257</v>
      </c>
      <c r="E43" s="20">
        <v>86139</v>
      </c>
      <c r="F43" s="21">
        <v>239.81100000000001</v>
      </c>
      <c r="G43" s="22">
        <v>7.6E-3</v>
      </c>
      <c r="H43" s="40"/>
      <c r="I43" s="24"/>
      <c r="J43" s="5"/>
    </row>
    <row r="44" spans="1:10" ht="13.05" customHeight="1">
      <c r="A44" s="18" t="s">
        <v>322</v>
      </c>
      <c r="B44" s="19" t="s">
        <v>323</v>
      </c>
      <c r="C44" s="15" t="s">
        <v>324</v>
      </c>
      <c r="D44" s="15" t="s">
        <v>325</v>
      </c>
      <c r="E44" s="20">
        <v>6364</v>
      </c>
      <c r="F44" s="21">
        <v>238.44</v>
      </c>
      <c r="G44" s="22">
        <v>7.4999999999999997E-3</v>
      </c>
      <c r="H44" s="40"/>
      <c r="I44" s="24"/>
      <c r="J44" s="5"/>
    </row>
    <row r="45" spans="1:10" ht="13.05" customHeight="1">
      <c r="A45" s="18" t="s">
        <v>591</v>
      </c>
      <c r="B45" s="19" t="s">
        <v>592</v>
      </c>
      <c r="C45" s="15" t="s">
        <v>593</v>
      </c>
      <c r="D45" s="15" t="s">
        <v>475</v>
      </c>
      <c r="E45" s="20">
        <v>16645</v>
      </c>
      <c r="F45" s="21">
        <v>238.25649999999999</v>
      </c>
      <c r="G45" s="22">
        <v>7.4999999999999997E-3</v>
      </c>
      <c r="H45" s="40"/>
      <c r="I45" s="24"/>
      <c r="J45" s="5"/>
    </row>
    <row r="46" spans="1:10" ht="13.05" customHeight="1">
      <c r="A46" s="18" t="s">
        <v>694</v>
      </c>
      <c r="B46" s="19" t="s">
        <v>695</v>
      </c>
      <c r="C46" s="15" t="s">
        <v>696</v>
      </c>
      <c r="D46" s="15" t="s">
        <v>541</v>
      </c>
      <c r="E46" s="20">
        <v>13847</v>
      </c>
      <c r="F46" s="21">
        <v>232.9896</v>
      </c>
      <c r="G46" s="22">
        <v>7.4000000000000003E-3</v>
      </c>
      <c r="H46" s="40"/>
      <c r="I46" s="24"/>
      <c r="J46" s="5"/>
    </row>
    <row r="47" spans="1:10" ht="13.05" customHeight="1">
      <c r="A47" s="18" t="s">
        <v>762</v>
      </c>
      <c r="B47" s="19" t="s">
        <v>763</v>
      </c>
      <c r="C47" s="15" t="s">
        <v>764</v>
      </c>
      <c r="D47" s="15" t="s">
        <v>321</v>
      </c>
      <c r="E47" s="20">
        <v>17609</v>
      </c>
      <c r="F47" s="21">
        <v>231.82249999999999</v>
      </c>
      <c r="G47" s="22">
        <v>7.3000000000000001E-3</v>
      </c>
      <c r="H47" s="40"/>
      <c r="I47" s="24"/>
      <c r="J47" s="5"/>
    </row>
    <row r="48" spans="1:10" ht="13.05" customHeight="1">
      <c r="A48" s="18" t="s">
        <v>476</v>
      </c>
      <c r="B48" s="19" t="s">
        <v>477</v>
      </c>
      <c r="C48" s="15" t="s">
        <v>478</v>
      </c>
      <c r="D48" s="15" t="s">
        <v>325</v>
      </c>
      <c r="E48" s="20">
        <v>1468</v>
      </c>
      <c r="F48" s="21">
        <v>227.45189999999999</v>
      </c>
      <c r="G48" s="22">
        <v>7.1999999999999998E-3</v>
      </c>
      <c r="H48" s="40"/>
      <c r="I48" s="24"/>
      <c r="J48" s="5"/>
    </row>
    <row r="49" spans="1:10" ht="13.05" customHeight="1">
      <c r="A49" s="18" t="s">
        <v>1613</v>
      </c>
      <c r="B49" s="19" t="s">
        <v>1614</v>
      </c>
      <c r="C49" s="15" t="s">
        <v>1615</v>
      </c>
      <c r="D49" s="15" t="s">
        <v>1616</v>
      </c>
      <c r="E49" s="20">
        <v>8768</v>
      </c>
      <c r="F49" s="21">
        <v>225.52170000000001</v>
      </c>
      <c r="G49" s="22">
        <v>7.1000000000000004E-3</v>
      </c>
      <c r="H49" s="40"/>
      <c r="I49" s="24"/>
      <c r="J49" s="5"/>
    </row>
    <row r="50" spans="1:10" ht="13.05" customHeight="1">
      <c r="A50" s="18" t="s">
        <v>952</v>
      </c>
      <c r="B50" s="19" t="s">
        <v>953</v>
      </c>
      <c r="C50" s="15" t="s">
        <v>954</v>
      </c>
      <c r="D50" s="15" t="s">
        <v>314</v>
      </c>
      <c r="E50" s="20">
        <v>768</v>
      </c>
      <c r="F50" s="21">
        <v>222.6816</v>
      </c>
      <c r="G50" s="22">
        <v>7.0000000000000001E-3</v>
      </c>
      <c r="H50" s="40"/>
      <c r="I50" s="24"/>
      <c r="J50" s="5"/>
    </row>
    <row r="51" spans="1:10" ht="13.05" customHeight="1">
      <c r="A51" s="18" t="s">
        <v>1848</v>
      </c>
      <c r="B51" s="19" t="s">
        <v>1849</v>
      </c>
      <c r="C51" s="15" t="s">
        <v>1850</v>
      </c>
      <c r="D51" s="15" t="s">
        <v>304</v>
      </c>
      <c r="E51" s="20">
        <v>42824</v>
      </c>
      <c r="F51" s="21">
        <v>215.34049999999999</v>
      </c>
      <c r="G51" s="22">
        <v>6.7999999999999996E-3</v>
      </c>
      <c r="H51" s="40"/>
      <c r="I51" s="24"/>
      <c r="J51" s="5"/>
    </row>
    <row r="52" spans="1:10" ht="13.05" customHeight="1">
      <c r="A52" s="18" t="s">
        <v>682</v>
      </c>
      <c r="B52" s="19" t="s">
        <v>683</v>
      </c>
      <c r="C52" s="15" t="s">
        <v>684</v>
      </c>
      <c r="D52" s="15" t="s">
        <v>300</v>
      </c>
      <c r="E52" s="20">
        <v>4631</v>
      </c>
      <c r="F52" s="21">
        <v>212.7713</v>
      </c>
      <c r="G52" s="22">
        <v>6.7000000000000002E-3</v>
      </c>
      <c r="H52" s="40"/>
      <c r="I52" s="24"/>
      <c r="J52" s="5"/>
    </row>
    <row r="53" spans="1:10" ht="13.05" customHeight="1">
      <c r="A53" s="18" t="s">
        <v>485</v>
      </c>
      <c r="B53" s="19" t="s">
        <v>486</v>
      </c>
      <c r="C53" s="15" t="s">
        <v>487</v>
      </c>
      <c r="D53" s="15" t="s">
        <v>304</v>
      </c>
      <c r="E53" s="20">
        <v>5069</v>
      </c>
      <c r="F53" s="21">
        <v>210.54089999999999</v>
      </c>
      <c r="G53" s="22">
        <v>6.7000000000000002E-3</v>
      </c>
      <c r="H53" s="40"/>
      <c r="I53" s="24"/>
      <c r="J53" s="5"/>
    </row>
    <row r="54" spans="1:10" ht="13.05" customHeight="1">
      <c r="A54" s="18" t="s">
        <v>449</v>
      </c>
      <c r="B54" s="19" t="s">
        <v>450</v>
      </c>
      <c r="C54" s="15" t="s">
        <v>451</v>
      </c>
      <c r="D54" s="15" t="s">
        <v>261</v>
      </c>
      <c r="E54" s="20">
        <v>58873</v>
      </c>
      <c r="F54" s="21">
        <v>210.05889999999999</v>
      </c>
      <c r="G54" s="22">
        <v>6.6E-3</v>
      </c>
      <c r="H54" s="40"/>
      <c r="I54" s="24"/>
      <c r="J54" s="5"/>
    </row>
    <row r="55" spans="1:10" ht="13.05" customHeight="1">
      <c r="A55" s="18" t="s">
        <v>442</v>
      </c>
      <c r="B55" s="19" t="s">
        <v>443</v>
      </c>
      <c r="C55" s="15" t="s">
        <v>444</v>
      </c>
      <c r="D55" s="15" t="s">
        <v>445</v>
      </c>
      <c r="E55" s="20">
        <v>352390</v>
      </c>
      <c r="F55" s="21">
        <v>208.96729999999999</v>
      </c>
      <c r="G55" s="22">
        <v>6.6E-3</v>
      </c>
      <c r="H55" s="40"/>
      <c r="I55" s="24"/>
      <c r="J55" s="5"/>
    </row>
    <row r="56" spans="1:10" ht="13.05" customHeight="1">
      <c r="A56" s="18" t="s">
        <v>1370</v>
      </c>
      <c r="B56" s="19" t="s">
        <v>1371</v>
      </c>
      <c r="C56" s="15" t="s">
        <v>1372</v>
      </c>
      <c r="D56" s="15" t="s">
        <v>846</v>
      </c>
      <c r="E56" s="20">
        <v>23572</v>
      </c>
      <c r="F56" s="21">
        <v>203.66210000000001</v>
      </c>
      <c r="G56" s="22">
        <v>6.4000000000000003E-3</v>
      </c>
      <c r="H56" s="40"/>
      <c r="I56" s="24"/>
      <c r="J56" s="5"/>
    </row>
    <row r="57" spans="1:10" ht="13.05" customHeight="1">
      <c r="A57" s="18" t="s">
        <v>564</v>
      </c>
      <c r="B57" s="19" t="s">
        <v>565</v>
      </c>
      <c r="C57" s="15" t="s">
        <v>566</v>
      </c>
      <c r="D57" s="15" t="s">
        <v>567</v>
      </c>
      <c r="E57" s="20">
        <v>189235</v>
      </c>
      <c r="F57" s="21">
        <v>199.4348</v>
      </c>
      <c r="G57" s="22">
        <v>6.3E-3</v>
      </c>
      <c r="H57" s="40"/>
      <c r="I57" s="24"/>
      <c r="J57" s="5"/>
    </row>
    <row r="58" spans="1:10" ht="13.05" customHeight="1">
      <c r="A58" s="18" t="s">
        <v>700</v>
      </c>
      <c r="B58" s="19" t="s">
        <v>701</v>
      </c>
      <c r="C58" s="15" t="s">
        <v>702</v>
      </c>
      <c r="D58" s="15" t="s">
        <v>257</v>
      </c>
      <c r="E58" s="20">
        <v>23224</v>
      </c>
      <c r="F58" s="21">
        <v>199.42449999999999</v>
      </c>
      <c r="G58" s="22">
        <v>6.3E-3</v>
      </c>
      <c r="H58" s="40"/>
      <c r="I58" s="24"/>
      <c r="J58" s="5"/>
    </row>
    <row r="59" spans="1:10" ht="13.05" customHeight="1">
      <c r="A59" s="18" t="s">
        <v>330</v>
      </c>
      <c r="B59" s="19" t="s">
        <v>331</v>
      </c>
      <c r="C59" s="15" t="s">
        <v>332</v>
      </c>
      <c r="D59" s="15" t="s">
        <v>333</v>
      </c>
      <c r="E59" s="20">
        <v>105724</v>
      </c>
      <c r="F59" s="21">
        <v>193.3058</v>
      </c>
      <c r="G59" s="22">
        <v>6.1000000000000004E-3</v>
      </c>
      <c r="H59" s="40"/>
      <c r="I59" s="24"/>
      <c r="J59" s="5"/>
    </row>
    <row r="60" spans="1:10" ht="13.05" customHeight="1">
      <c r="A60" s="18" t="s">
        <v>2435</v>
      </c>
      <c r="B60" s="19" t="s">
        <v>2436</v>
      </c>
      <c r="C60" s="15" t="s">
        <v>2437</v>
      </c>
      <c r="D60" s="15" t="s">
        <v>567</v>
      </c>
      <c r="E60" s="20">
        <v>12446</v>
      </c>
      <c r="F60" s="21">
        <v>188.39510000000001</v>
      </c>
      <c r="G60" s="22">
        <v>6.0000000000000001E-3</v>
      </c>
      <c r="H60" s="40"/>
      <c r="I60" s="24"/>
      <c r="J60" s="5"/>
    </row>
    <row r="61" spans="1:10" ht="13.05" customHeight="1">
      <c r="A61" s="18" t="s">
        <v>458</v>
      </c>
      <c r="B61" s="19" t="s">
        <v>459</v>
      </c>
      <c r="C61" s="15" t="s">
        <v>460</v>
      </c>
      <c r="D61" s="15" t="s">
        <v>321</v>
      </c>
      <c r="E61" s="20">
        <v>46468</v>
      </c>
      <c r="F61" s="21">
        <v>188.1489</v>
      </c>
      <c r="G61" s="22">
        <v>5.8999999999999999E-3</v>
      </c>
      <c r="H61" s="40"/>
      <c r="I61" s="24"/>
      <c r="J61" s="5"/>
    </row>
    <row r="62" spans="1:10" ht="13.05" customHeight="1">
      <c r="A62" s="18" t="s">
        <v>341</v>
      </c>
      <c r="B62" s="19" t="s">
        <v>342</v>
      </c>
      <c r="C62" s="15" t="s">
        <v>343</v>
      </c>
      <c r="D62" s="15" t="s">
        <v>344</v>
      </c>
      <c r="E62" s="20">
        <v>22152</v>
      </c>
      <c r="F62" s="21">
        <v>187.81569999999999</v>
      </c>
      <c r="G62" s="22">
        <v>5.8999999999999999E-3</v>
      </c>
      <c r="H62" s="40"/>
      <c r="I62" s="24"/>
      <c r="J62" s="5"/>
    </row>
    <row r="63" spans="1:10" ht="13.05" customHeight="1">
      <c r="A63" s="18" t="s">
        <v>446</v>
      </c>
      <c r="B63" s="19" t="s">
        <v>447</v>
      </c>
      <c r="C63" s="15" t="s">
        <v>448</v>
      </c>
      <c r="D63" s="15" t="s">
        <v>300</v>
      </c>
      <c r="E63" s="20">
        <v>10751</v>
      </c>
      <c r="F63" s="21">
        <v>182.423</v>
      </c>
      <c r="G63" s="22">
        <v>5.7999999999999996E-3</v>
      </c>
      <c r="H63" s="40"/>
      <c r="I63" s="24"/>
      <c r="J63" s="5"/>
    </row>
    <row r="64" spans="1:10" ht="13.05" customHeight="1">
      <c r="A64" s="18" t="s">
        <v>989</v>
      </c>
      <c r="B64" s="19" t="s">
        <v>990</v>
      </c>
      <c r="C64" s="15" t="s">
        <v>991</v>
      </c>
      <c r="D64" s="15" t="s">
        <v>541</v>
      </c>
      <c r="E64" s="20">
        <v>17473</v>
      </c>
      <c r="F64" s="21">
        <v>181.31729999999999</v>
      </c>
      <c r="G64" s="22">
        <v>5.7000000000000002E-3</v>
      </c>
      <c r="H64" s="40"/>
      <c r="I64" s="24"/>
      <c r="J64" s="5"/>
    </row>
    <row r="65" spans="1:10" ht="13.05" customHeight="1">
      <c r="A65" s="18" t="s">
        <v>1299</v>
      </c>
      <c r="B65" s="19" t="s">
        <v>1300</v>
      </c>
      <c r="C65" s="15" t="s">
        <v>1301</v>
      </c>
      <c r="D65" s="15" t="s">
        <v>325</v>
      </c>
      <c r="E65" s="20">
        <v>30980</v>
      </c>
      <c r="F65" s="21">
        <v>176.88030000000001</v>
      </c>
      <c r="G65" s="22">
        <v>5.5999999999999999E-3</v>
      </c>
      <c r="H65" s="40"/>
      <c r="I65" s="24"/>
      <c r="J65" s="5"/>
    </row>
    <row r="66" spans="1:10" ht="13.05" customHeight="1">
      <c r="A66" s="18" t="s">
        <v>318</v>
      </c>
      <c r="B66" s="19" t="s">
        <v>319</v>
      </c>
      <c r="C66" s="15" t="s">
        <v>320</v>
      </c>
      <c r="D66" s="15" t="s">
        <v>321</v>
      </c>
      <c r="E66" s="20">
        <v>51937</v>
      </c>
      <c r="F66" s="21">
        <v>175.0017</v>
      </c>
      <c r="G66" s="22">
        <v>5.4999999999999997E-3</v>
      </c>
      <c r="H66" s="40"/>
      <c r="I66" s="24"/>
      <c r="J66" s="5"/>
    </row>
    <row r="67" spans="1:10" ht="13.05" customHeight="1">
      <c r="A67" s="18" t="s">
        <v>395</v>
      </c>
      <c r="B67" s="19" t="s">
        <v>396</v>
      </c>
      <c r="C67" s="15" t="s">
        <v>397</v>
      </c>
      <c r="D67" s="15" t="s">
        <v>329</v>
      </c>
      <c r="E67" s="20">
        <v>3582</v>
      </c>
      <c r="F67" s="21">
        <v>167.63040000000001</v>
      </c>
      <c r="G67" s="22">
        <v>5.3E-3</v>
      </c>
      <c r="H67" s="40"/>
      <c r="I67" s="24"/>
      <c r="J67" s="5"/>
    </row>
    <row r="68" spans="1:10" ht="13.05" customHeight="1">
      <c r="A68" s="18" t="s">
        <v>345</v>
      </c>
      <c r="B68" s="19" t="s">
        <v>346</v>
      </c>
      <c r="C68" s="15" t="s">
        <v>347</v>
      </c>
      <c r="D68" s="15" t="s">
        <v>348</v>
      </c>
      <c r="E68" s="20">
        <v>2859</v>
      </c>
      <c r="F68" s="21">
        <v>160.81880000000001</v>
      </c>
      <c r="G68" s="22">
        <v>5.1000000000000004E-3</v>
      </c>
      <c r="H68" s="40"/>
      <c r="I68" s="24"/>
      <c r="J68" s="5"/>
    </row>
    <row r="69" spans="1:10" ht="13.05" customHeight="1">
      <c r="A69" s="18" t="s">
        <v>685</v>
      </c>
      <c r="B69" s="19" t="s">
        <v>686</v>
      </c>
      <c r="C69" s="15" t="s">
        <v>687</v>
      </c>
      <c r="D69" s="15" t="s">
        <v>272</v>
      </c>
      <c r="E69" s="20">
        <v>5686</v>
      </c>
      <c r="F69" s="21">
        <v>157.18379999999999</v>
      </c>
      <c r="G69" s="22">
        <v>5.0000000000000001E-3</v>
      </c>
      <c r="H69" s="40"/>
      <c r="I69" s="24"/>
      <c r="J69" s="5"/>
    </row>
    <row r="70" spans="1:10" ht="13.05" customHeight="1">
      <c r="A70" s="18" t="s">
        <v>305</v>
      </c>
      <c r="B70" s="19" t="s">
        <v>306</v>
      </c>
      <c r="C70" s="15" t="s">
        <v>307</v>
      </c>
      <c r="D70" s="15" t="s">
        <v>280</v>
      </c>
      <c r="E70" s="20">
        <v>6337</v>
      </c>
      <c r="F70" s="21">
        <v>156.23869999999999</v>
      </c>
      <c r="G70" s="22">
        <v>4.8999999999999998E-3</v>
      </c>
      <c r="H70" s="40"/>
      <c r="I70" s="24"/>
      <c r="J70" s="5"/>
    </row>
    <row r="71" spans="1:10" ht="13.05" customHeight="1">
      <c r="A71" s="18" t="s">
        <v>1214</v>
      </c>
      <c r="B71" s="19" t="s">
        <v>1215</v>
      </c>
      <c r="C71" s="15" t="s">
        <v>1216</v>
      </c>
      <c r="D71" s="15" t="s">
        <v>314</v>
      </c>
      <c r="E71" s="20">
        <v>20566</v>
      </c>
      <c r="F71" s="21">
        <v>154.9442</v>
      </c>
      <c r="G71" s="22">
        <v>4.8999999999999998E-3</v>
      </c>
      <c r="H71" s="40"/>
      <c r="I71" s="24"/>
      <c r="J71" s="5"/>
    </row>
    <row r="72" spans="1:10" ht="13.05" customHeight="1">
      <c r="A72" s="18" t="s">
        <v>452</v>
      </c>
      <c r="B72" s="19" t="s">
        <v>453</v>
      </c>
      <c r="C72" s="15" t="s">
        <v>454</v>
      </c>
      <c r="D72" s="15" t="s">
        <v>391</v>
      </c>
      <c r="E72" s="20">
        <v>2648</v>
      </c>
      <c r="F72" s="21">
        <v>154.5505</v>
      </c>
      <c r="G72" s="22">
        <v>4.8999999999999998E-3</v>
      </c>
      <c r="H72" s="40"/>
      <c r="I72" s="24"/>
      <c r="J72" s="5"/>
    </row>
    <row r="73" spans="1:10" ht="13.05" customHeight="1">
      <c r="A73" s="18" t="s">
        <v>561</v>
      </c>
      <c r="B73" s="19" t="s">
        <v>562</v>
      </c>
      <c r="C73" s="15" t="s">
        <v>563</v>
      </c>
      <c r="D73" s="15" t="s">
        <v>300</v>
      </c>
      <c r="E73" s="20">
        <v>39714</v>
      </c>
      <c r="F73" s="21">
        <v>148.86789999999999</v>
      </c>
      <c r="G73" s="22">
        <v>4.7000000000000002E-3</v>
      </c>
      <c r="H73" s="40"/>
      <c r="I73" s="24"/>
      <c r="J73" s="5"/>
    </row>
    <row r="74" spans="1:10" ht="13.05" customHeight="1">
      <c r="A74" s="18" t="s">
        <v>365</v>
      </c>
      <c r="B74" s="19" t="s">
        <v>366</v>
      </c>
      <c r="C74" s="15" t="s">
        <v>367</v>
      </c>
      <c r="D74" s="15" t="s">
        <v>300</v>
      </c>
      <c r="E74" s="20">
        <v>17517</v>
      </c>
      <c r="F74" s="21">
        <v>131.1848</v>
      </c>
      <c r="G74" s="22">
        <v>4.1000000000000003E-3</v>
      </c>
      <c r="H74" s="40"/>
      <c r="I74" s="24"/>
      <c r="J74" s="5"/>
    </row>
    <row r="75" spans="1:10" ht="13.05" customHeight="1">
      <c r="A75" s="18" t="s">
        <v>1662</v>
      </c>
      <c r="B75" s="19" t="s">
        <v>1663</v>
      </c>
      <c r="C75" s="15" t="s">
        <v>1664</v>
      </c>
      <c r="D75" s="15" t="s">
        <v>1616</v>
      </c>
      <c r="E75" s="20">
        <v>39562</v>
      </c>
      <c r="F75" s="21">
        <v>124.4225</v>
      </c>
      <c r="G75" s="22">
        <v>3.8999999999999998E-3</v>
      </c>
      <c r="H75" s="40"/>
      <c r="I75" s="24"/>
      <c r="J75" s="5"/>
    </row>
    <row r="76" spans="1:10" ht="13.05" customHeight="1">
      <c r="A76" s="18" t="s">
        <v>777</v>
      </c>
      <c r="B76" s="19" t="s">
        <v>778</v>
      </c>
      <c r="C76" s="15" t="s">
        <v>779</v>
      </c>
      <c r="D76" s="15" t="s">
        <v>314</v>
      </c>
      <c r="E76" s="20">
        <v>12327</v>
      </c>
      <c r="F76" s="21">
        <v>120.12050000000001</v>
      </c>
      <c r="G76" s="22">
        <v>3.8E-3</v>
      </c>
      <c r="H76" s="40"/>
      <c r="I76" s="24"/>
      <c r="J76" s="5"/>
    </row>
    <row r="77" spans="1:10" ht="13.05" customHeight="1">
      <c r="A77" s="18" t="s">
        <v>488</v>
      </c>
      <c r="B77" s="19" t="s">
        <v>489</v>
      </c>
      <c r="C77" s="15" t="s">
        <v>490</v>
      </c>
      <c r="D77" s="15" t="s">
        <v>272</v>
      </c>
      <c r="E77" s="20">
        <v>5937</v>
      </c>
      <c r="F77" s="21">
        <v>105.5658</v>
      </c>
      <c r="G77" s="22">
        <v>3.3E-3</v>
      </c>
      <c r="H77" s="40"/>
      <c r="I77" s="24"/>
      <c r="J77" s="5"/>
    </row>
    <row r="78" spans="1:10" ht="13.05" customHeight="1">
      <c r="A78" s="18" t="s">
        <v>640</v>
      </c>
      <c r="B78" s="19" t="s">
        <v>641</v>
      </c>
      <c r="C78" s="15" t="s">
        <v>642</v>
      </c>
      <c r="D78" s="15" t="s">
        <v>296</v>
      </c>
      <c r="E78" s="20">
        <v>4132</v>
      </c>
      <c r="F78" s="21">
        <v>100.7671</v>
      </c>
      <c r="G78" s="22">
        <v>3.2000000000000002E-3</v>
      </c>
      <c r="H78" s="40"/>
      <c r="I78" s="24"/>
      <c r="J78" s="5"/>
    </row>
    <row r="79" spans="1:10" ht="13.05" customHeight="1">
      <c r="A79" s="18" t="s">
        <v>828</v>
      </c>
      <c r="B79" s="19" t="s">
        <v>829</v>
      </c>
      <c r="C79" s="15" t="s">
        <v>830</v>
      </c>
      <c r="D79" s="15" t="s">
        <v>567</v>
      </c>
      <c r="E79" s="20">
        <v>19396</v>
      </c>
      <c r="F79" s="21">
        <v>91.694599999999994</v>
      </c>
      <c r="G79" s="22">
        <v>2.8999999999999998E-3</v>
      </c>
      <c r="H79" s="40"/>
      <c r="I79" s="24"/>
      <c r="J79" s="5"/>
    </row>
    <row r="80" spans="1:10" ht="13.05" customHeight="1">
      <c r="A80" s="18" t="s">
        <v>798</v>
      </c>
      <c r="B80" s="19" t="s">
        <v>799</v>
      </c>
      <c r="C80" s="15" t="s">
        <v>800</v>
      </c>
      <c r="D80" s="15" t="s">
        <v>405</v>
      </c>
      <c r="E80" s="20">
        <v>14742</v>
      </c>
      <c r="F80" s="21">
        <v>87.147300000000001</v>
      </c>
      <c r="G80" s="22">
        <v>2.8E-3</v>
      </c>
      <c r="H80" s="40"/>
      <c r="I80" s="24"/>
      <c r="J80" s="5"/>
    </row>
    <row r="81" spans="1:10" ht="13.05" customHeight="1">
      <c r="A81" s="18" t="s">
        <v>940</v>
      </c>
      <c r="B81" s="19" t="s">
        <v>941</v>
      </c>
      <c r="C81" s="15" t="s">
        <v>942</v>
      </c>
      <c r="D81" s="15" t="s">
        <v>567</v>
      </c>
      <c r="E81" s="20">
        <v>1997</v>
      </c>
      <c r="F81" s="21">
        <v>80.307400000000001</v>
      </c>
      <c r="G81" s="22">
        <v>2.5000000000000001E-3</v>
      </c>
      <c r="H81" s="40"/>
      <c r="I81" s="24"/>
      <c r="J81" s="5"/>
    </row>
    <row r="82" spans="1:10" ht="13.05" customHeight="1">
      <c r="A82" s="18" t="s">
        <v>2438</v>
      </c>
      <c r="B82" s="19" t="s">
        <v>2439</v>
      </c>
      <c r="C82" s="15" t="s">
        <v>2440</v>
      </c>
      <c r="D82" s="15" t="s">
        <v>445</v>
      </c>
      <c r="E82" s="20">
        <v>1040</v>
      </c>
      <c r="F82" s="21">
        <v>76.996399999999994</v>
      </c>
      <c r="G82" s="22">
        <v>2.3999999999999998E-3</v>
      </c>
      <c r="H82" s="40"/>
      <c r="I82" s="24"/>
      <c r="J82" s="5"/>
    </row>
    <row r="83" spans="1:10" ht="13.05" customHeight="1">
      <c r="A83" s="18" t="s">
        <v>277</v>
      </c>
      <c r="B83" s="19" t="s">
        <v>278</v>
      </c>
      <c r="C83" s="15" t="s">
        <v>279</v>
      </c>
      <c r="D83" s="15" t="s">
        <v>280</v>
      </c>
      <c r="E83" s="20">
        <v>17991</v>
      </c>
      <c r="F83" s="21">
        <v>75.625200000000007</v>
      </c>
      <c r="G83" s="22">
        <v>2.3999999999999998E-3</v>
      </c>
      <c r="H83" s="40"/>
      <c r="I83" s="24"/>
      <c r="J83" s="5"/>
    </row>
    <row r="84" spans="1:10" ht="13.05" customHeight="1">
      <c r="A84" s="18" t="s">
        <v>1761</v>
      </c>
      <c r="B84" s="19" t="s">
        <v>1762</v>
      </c>
      <c r="C84" s="15" t="s">
        <v>1763</v>
      </c>
      <c r="D84" s="15" t="s">
        <v>501</v>
      </c>
      <c r="E84" s="20">
        <v>14869</v>
      </c>
      <c r="F84" s="21">
        <v>70.895399999999995</v>
      </c>
      <c r="G84" s="22">
        <v>2.2000000000000001E-3</v>
      </c>
      <c r="H84" s="40"/>
      <c r="I84" s="24"/>
      <c r="J84" s="5"/>
    </row>
    <row r="85" spans="1:10" ht="13.05" customHeight="1">
      <c r="A85" s="18" t="s">
        <v>810</v>
      </c>
      <c r="B85" s="19" t="s">
        <v>811</v>
      </c>
      <c r="C85" s="15" t="s">
        <v>812</v>
      </c>
      <c r="D85" s="15" t="s">
        <v>567</v>
      </c>
      <c r="E85" s="20">
        <v>5488</v>
      </c>
      <c r="F85" s="21">
        <v>67.787800000000004</v>
      </c>
      <c r="G85" s="22">
        <v>2.0999999999999999E-3</v>
      </c>
      <c r="H85" s="40"/>
      <c r="I85" s="24"/>
      <c r="J85" s="5"/>
    </row>
    <row r="86" spans="1:10" ht="13.05" customHeight="1">
      <c r="A86" s="18" t="s">
        <v>1424</v>
      </c>
      <c r="B86" s="19" t="s">
        <v>1425</v>
      </c>
      <c r="C86" s="15" t="s">
        <v>1426</v>
      </c>
      <c r="D86" s="15" t="s">
        <v>300</v>
      </c>
      <c r="E86" s="20">
        <v>4188</v>
      </c>
      <c r="F86" s="21">
        <v>36.347700000000003</v>
      </c>
      <c r="G86" s="22">
        <v>1.1000000000000001E-3</v>
      </c>
      <c r="H86" s="40"/>
      <c r="I86" s="24"/>
      <c r="J86" s="5"/>
    </row>
    <row r="87" spans="1:10" ht="13.05" customHeight="1">
      <c r="A87" s="18" t="s">
        <v>1388</v>
      </c>
      <c r="B87" s="19" t="s">
        <v>1389</v>
      </c>
      <c r="C87" s="15" t="s">
        <v>1390</v>
      </c>
      <c r="D87" s="15" t="s">
        <v>846</v>
      </c>
      <c r="E87" s="20">
        <v>3895</v>
      </c>
      <c r="F87" s="21">
        <v>34.453200000000002</v>
      </c>
      <c r="G87" s="22">
        <v>1.1000000000000001E-3</v>
      </c>
      <c r="H87" s="40"/>
      <c r="I87" s="24"/>
      <c r="J87" s="5"/>
    </row>
    <row r="88" spans="1:10" ht="13.05" customHeight="1">
      <c r="A88" s="18" t="s">
        <v>378</v>
      </c>
      <c r="B88" s="19" t="s">
        <v>379</v>
      </c>
      <c r="C88" s="15" t="s">
        <v>380</v>
      </c>
      <c r="D88" s="15" t="s">
        <v>381</v>
      </c>
      <c r="E88" s="20">
        <v>12069</v>
      </c>
      <c r="F88" s="21">
        <v>30.820599999999999</v>
      </c>
      <c r="G88" s="22">
        <v>1E-3</v>
      </c>
      <c r="H88" s="40"/>
      <c r="I88" s="24"/>
      <c r="J88" s="5"/>
    </row>
    <row r="89" spans="1:10" ht="13.05" customHeight="1">
      <c r="A89" s="18" t="s">
        <v>409</v>
      </c>
      <c r="B89" s="19" t="s">
        <v>410</v>
      </c>
      <c r="C89" s="15" t="s">
        <v>411</v>
      </c>
      <c r="D89" s="15" t="s">
        <v>296</v>
      </c>
      <c r="E89" s="20">
        <v>6637</v>
      </c>
      <c r="F89" s="21">
        <v>27.2117</v>
      </c>
      <c r="G89" s="22">
        <v>8.9999999999999998E-4</v>
      </c>
      <c r="H89" s="40"/>
      <c r="I89" s="24"/>
      <c r="J89" s="5"/>
    </row>
    <row r="90" spans="1:10" ht="13.05" customHeight="1">
      <c r="A90" s="18" t="s">
        <v>398</v>
      </c>
      <c r="B90" s="19" t="s">
        <v>399</v>
      </c>
      <c r="C90" s="15" t="s">
        <v>400</v>
      </c>
      <c r="D90" s="15" t="s">
        <v>401</v>
      </c>
      <c r="E90" s="20">
        <v>5368</v>
      </c>
      <c r="F90" s="21">
        <v>20.8627</v>
      </c>
      <c r="G90" s="22">
        <v>6.9999999999999999E-4</v>
      </c>
      <c r="H90" s="40"/>
      <c r="I90" s="24"/>
      <c r="J90" s="5"/>
    </row>
    <row r="91" spans="1:10" ht="13.05" customHeight="1">
      <c r="A91" s="18" t="s">
        <v>505</v>
      </c>
      <c r="B91" s="19" t="s">
        <v>2339</v>
      </c>
      <c r="C91" s="15" t="s">
        <v>506</v>
      </c>
      <c r="D91" s="15" t="s">
        <v>507</v>
      </c>
      <c r="E91" s="20">
        <v>6637</v>
      </c>
      <c r="F91" s="21">
        <v>17.306000000000001</v>
      </c>
      <c r="G91" s="22">
        <v>5.0000000000000001E-4</v>
      </c>
      <c r="H91" s="40"/>
      <c r="I91" s="24"/>
      <c r="J91" s="5"/>
    </row>
    <row r="92" spans="1:10" ht="13.05" customHeight="1">
      <c r="A92" s="18" t="s">
        <v>388</v>
      </c>
      <c r="B92" s="19" t="s">
        <v>389</v>
      </c>
      <c r="C92" s="15" t="s">
        <v>390</v>
      </c>
      <c r="D92" s="15" t="s">
        <v>391</v>
      </c>
      <c r="E92" s="20">
        <v>1090</v>
      </c>
      <c r="F92" s="21">
        <v>13.8604</v>
      </c>
      <c r="G92" s="22">
        <v>4.0000000000000002E-4</v>
      </c>
      <c r="H92" s="40"/>
      <c r="I92" s="24"/>
      <c r="J92" s="5"/>
    </row>
    <row r="93" spans="1:10" ht="13.05" customHeight="1">
      <c r="A93" s="18" t="s">
        <v>338</v>
      </c>
      <c r="B93" s="19" t="s">
        <v>339</v>
      </c>
      <c r="C93" s="15" t="s">
        <v>340</v>
      </c>
      <c r="D93" s="15" t="s">
        <v>321</v>
      </c>
      <c r="E93" s="20">
        <v>904</v>
      </c>
      <c r="F93" s="21">
        <v>2.6049000000000002</v>
      </c>
      <c r="G93" s="22">
        <v>1E-4</v>
      </c>
      <c r="H93" s="40"/>
      <c r="I93" s="24"/>
      <c r="J93" s="5"/>
    </row>
    <row r="94" spans="1:10" ht="13.05" customHeight="1">
      <c r="A94" s="18" t="s">
        <v>1725</v>
      </c>
      <c r="B94" s="19" t="s">
        <v>1726</v>
      </c>
      <c r="C94" s="15" t="s">
        <v>1727</v>
      </c>
      <c r="D94" s="15" t="s">
        <v>276</v>
      </c>
      <c r="E94" s="20">
        <v>170</v>
      </c>
      <c r="F94" s="21">
        <v>0.4173</v>
      </c>
      <c r="G94" s="40" t="s">
        <v>1809</v>
      </c>
      <c r="H94" s="40"/>
      <c r="I94" s="24"/>
      <c r="J94" s="5"/>
    </row>
    <row r="95" spans="1:10" ht="13.05" customHeight="1">
      <c r="A95" s="5"/>
      <c r="B95" s="14" t="s">
        <v>192</v>
      </c>
      <c r="C95" s="15"/>
      <c r="D95" s="15"/>
      <c r="E95" s="15"/>
      <c r="F95" s="25">
        <v>27567.994999999999</v>
      </c>
      <c r="G95" s="26">
        <v>0.87119999999999997</v>
      </c>
      <c r="H95" s="27"/>
      <c r="I95" s="28"/>
      <c r="J95" s="5"/>
    </row>
    <row r="96" spans="1:10" ht="13.05" customHeight="1">
      <c r="A96" s="5"/>
      <c r="B96" s="29" t="s">
        <v>1812</v>
      </c>
      <c r="C96" s="2"/>
      <c r="D96" s="2"/>
      <c r="E96" s="2"/>
      <c r="F96" s="27" t="s">
        <v>194</v>
      </c>
      <c r="G96" s="27" t="s">
        <v>194</v>
      </c>
      <c r="H96" s="27"/>
      <c r="I96" s="28"/>
      <c r="J96" s="5"/>
    </row>
    <row r="97" spans="1:10" ht="13.05" customHeight="1">
      <c r="A97" s="5"/>
      <c r="B97" s="29" t="s">
        <v>192</v>
      </c>
      <c r="C97" s="2"/>
      <c r="D97" s="2"/>
      <c r="E97" s="2"/>
      <c r="F97" s="27" t="s">
        <v>194</v>
      </c>
      <c r="G97" s="27" t="s">
        <v>194</v>
      </c>
      <c r="H97" s="27"/>
      <c r="I97" s="28"/>
      <c r="J97" s="5"/>
    </row>
    <row r="98" spans="1:10" ht="13.05" customHeight="1">
      <c r="A98" s="5"/>
      <c r="B98" s="29" t="s">
        <v>195</v>
      </c>
      <c r="C98" s="30"/>
      <c r="D98" s="2"/>
      <c r="E98" s="30"/>
      <c r="F98" s="25">
        <v>27567.994999999999</v>
      </c>
      <c r="G98" s="26">
        <v>0.87119999999999997</v>
      </c>
      <c r="H98" s="27"/>
      <c r="I98" s="28"/>
      <c r="J98" s="5"/>
    </row>
    <row r="99" spans="1:10" ht="13.05" customHeight="1">
      <c r="A99" s="5"/>
      <c r="B99" s="14" t="s">
        <v>183</v>
      </c>
      <c r="C99" s="15"/>
      <c r="D99" s="15"/>
      <c r="E99" s="15"/>
      <c r="F99" s="15"/>
      <c r="G99" s="15"/>
      <c r="H99" s="16"/>
      <c r="I99" s="17"/>
      <c r="J99" s="5"/>
    </row>
    <row r="100" spans="1:10" ht="13.05" customHeight="1">
      <c r="A100" s="5"/>
      <c r="B100" s="14" t="s">
        <v>184</v>
      </c>
      <c r="C100" s="15"/>
      <c r="D100" s="15"/>
      <c r="E100" s="15"/>
      <c r="F100" s="5"/>
      <c r="G100" s="16"/>
      <c r="H100" s="16"/>
      <c r="I100" s="17"/>
      <c r="J100" s="5"/>
    </row>
    <row r="101" spans="1:10" ht="13.05" customHeight="1">
      <c r="A101" s="18" t="s">
        <v>2870</v>
      </c>
      <c r="B101" s="19" t="s">
        <v>2871</v>
      </c>
      <c r="C101" s="15" t="s">
        <v>2872</v>
      </c>
      <c r="D101" s="15" t="s">
        <v>188</v>
      </c>
      <c r="E101" s="20">
        <v>1500000</v>
      </c>
      <c r="F101" s="21">
        <v>1514.9880000000001</v>
      </c>
      <c r="G101" s="22">
        <v>4.7899999999999998E-2</v>
      </c>
      <c r="H101" s="23">
        <v>7.3451000000000002E-2</v>
      </c>
      <c r="I101" s="24"/>
      <c r="J101" s="5"/>
    </row>
    <row r="102" spans="1:10" ht="13.05" customHeight="1">
      <c r="A102" s="18" t="s">
        <v>2731</v>
      </c>
      <c r="B102" s="19" t="s">
        <v>2732</v>
      </c>
      <c r="C102" s="15" t="s">
        <v>2733</v>
      </c>
      <c r="D102" s="15" t="s">
        <v>188</v>
      </c>
      <c r="E102" s="20">
        <v>800000</v>
      </c>
      <c r="F102" s="21">
        <v>792.28639999999996</v>
      </c>
      <c r="G102" s="22">
        <v>2.5000000000000001E-2</v>
      </c>
      <c r="H102" s="23">
        <v>7.4589000000000003E-2</v>
      </c>
      <c r="I102" s="24"/>
      <c r="J102" s="5"/>
    </row>
    <row r="103" spans="1:10" ht="13.05" customHeight="1">
      <c r="A103" s="18" t="s">
        <v>2719</v>
      </c>
      <c r="B103" s="19" t="s">
        <v>2720</v>
      </c>
      <c r="C103" s="15" t="s">
        <v>2721</v>
      </c>
      <c r="D103" s="15" t="s">
        <v>188</v>
      </c>
      <c r="E103" s="20">
        <v>500000</v>
      </c>
      <c r="F103" s="21">
        <v>513.18650000000002</v>
      </c>
      <c r="G103" s="22">
        <v>1.6199999999999999E-2</v>
      </c>
      <c r="H103" s="23">
        <v>6.9646E-2</v>
      </c>
      <c r="I103" s="24"/>
      <c r="J103" s="5"/>
    </row>
    <row r="104" spans="1:10" ht="13.05" customHeight="1">
      <c r="A104" s="18" t="s">
        <v>2441</v>
      </c>
      <c r="B104" s="19" t="s">
        <v>2442</v>
      </c>
      <c r="C104" s="15" t="s">
        <v>2443</v>
      </c>
      <c r="D104" s="15" t="s">
        <v>188</v>
      </c>
      <c r="E104" s="20">
        <v>250000</v>
      </c>
      <c r="F104" s="21">
        <v>258.05180000000001</v>
      </c>
      <c r="G104" s="22">
        <v>8.2000000000000007E-3</v>
      </c>
      <c r="H104" s="23">
        <v>6.7038E-2</v>
      </c>
      <c r="I104" s="24"/>
      <c r="J104" s="5"/>
    </row>
    <row r="105" spans="1:10" ht="13.05" customHeight="1">
      <c r="A105" s="5"/>
      <c r="B105" s="14" t="s">
        <v>192</v>
      </c>
      <c r="C105" s="15"/>
      <c r="D105" s="15"/>
      <c r="E105" s="15"/>
      <c r="F105" s="25">
        <v>3078.5127000000002</v>
      </c>
      <c r="G105" s="26">
        <v>9.7299999999999998E-2</v>
      </c>
      <c r="H105" s="27"/>
      <c r="I105" s="28"/>
      <c r="J105" s="5"/>
    </row>
    <row r="106" spans="1:10" ht="13.05" customHeight="1">
      <c r="A106" s="5"/>
      <c r="B106" s="29" t="s">
        <v>193</v>
      </c>
      <c r="C106" s="2"/>
      <c r="D106" s="2"/>
      <c r="E106" s="2"/>
      <c r="F106" s="27" t="s">
        <v>194</v>
      </c>
      <c r="G106" s="27" t="s">
        <v>194</v>
      </c>
      <c r="H106" s="27"/>
      <c r="I106" s="28"/>
      <c r="J106" s="5"/>
    </row>
    <row r="107" spans="1:10" ht="13.05" customHeight="1">
      <c r="A107" s="5"/>
      <c r="B107" s="29" t="s">
        <v>192</v>
      </c>
      <c r="C107" s="2"/>
      <c r="D107" s="2"/>
      <c r="E107" s="2"/>
      <c r="F107" s="27" t="s">
        <v>194</v>
      </c>
      <c r="G107" s="27" t="s">
        <v>194</v>
      </c>
      <c r="H107" s="27"/>
      <c r="I107" s="28"/>
      <c r="J107" s="5"/>
    </row>
    <row r="108" spans="1:10" ht="13.05" customHeight="1">
      <c r="A108" s="5"/>
      <c r="B108" s="29" t="s">
        <v>195</v>
      </c>
      <c r="C108" s="30"/>
      <c r="D108" s="2"/>
      <c r="E108" s="30"/>
      <c r="F108" s="25">
        <v>3078.5127000000002</v>
      </c>
      <c r="G108" s="26">
        <v>9.7299999999999998E-2</v>
      </c>
      <c r="H108" s="27"/>
      <c r="I108" s="28"/>
      <c r="J108" s="5"/>
    </row>
    <row r="109" spans="1:10" ht="13.05" customHeight="1">
      <c r="A109" s="5"/>
      <c r="B109" s="14" t="s">
        <v>196</v>
      </c>
      <c r="C109" s="15"/>
      <c r="D109" s="15"/>
      <c r="E109" s="15"/>
      <c r="F109" s="15"/>
      <c r="G109" s="15"/>
      <c r="H109" s="16"/>
      <c r="I109" s="17"/>
      <c r="J109" s="5"/>
    </row>
    <row r="110" spans="1:10" ht="13.05" customHeight="1">
      <c r="A110" s="18" t="s">
        <v>197</v>
      </c>
      <c r="B110" s="19" t="s">
        <v>198</v>
      </c>
      <c r="C110" s="15"/>
      <c r="D110" s="15"/>
      <c r="E110" s="20"/>
      <c r="F110" s="21">
        <v>889.92899999999997</v>
      </c>
      <c r="G110" s="22">
        <v>2.81E-2</v>
      </c>
      <c r="H110" s="23">
        <v>5.557361153216029E-2</v>
      </c>
      <c r="I110" s="24"/>
      <c r="J110" s="5"/>
    </row>
    <row r="111" spans="1:10" ht="13.05" customHeight="1">
      <c r="A111" s="5"/>
      <c r="B111" s="14" t="s">
        <v>192</v>
      </c>
      <c r="C111" s="15"/>
      <c r="D111" s="15"/>
      <c r="E111" s="15"/>
      <c r="F111" s="25">
        <v>889.92899999999997</v>
      </c>
      <c r="G111" s="26">
        <v>2.81E-2</v>
      </c>
      <c r="H111" s="27"/>
      <c r="I111" s="28"/>
      <c r="J111" s="5"/>
    </row>
    <row r="112" spans="1:10" ht="13.05" customHeight="1">
      <c r="A112" s="5"/>
      <c r="B112" s="29" t="s">
        <v>193</v>
      </c>
      <c r="C112" s="2"/>
      <c r="D112" s="2"/>
      <c r="E112" s="2"/>
      <c r="F112" s="27" t="s">
        <v>194</v>
      </c>
      <c r="G112" s="27" t="s">
        <v>194</v>
      </c>
      <c r="H112" s="27"/>
      <c r="I112" s="28"/>
      <c r="J112" s="5"/>
    </row>
    <row r="113" spans="1:10" ht="13.05" customHeight="1">
      <c r="A113" s="5"/>
      <c r="B113" s="29" t="s">
        <v>192</v>
      </c>
      <c r="C113" s="2"/>
      <c r="D113" s="2"/>
      <c r="E113" s="2"/>
      <c r="F113" s="27" t="s">
        <v>194</v>
      </c>
      <c r="G113" s="27" t="s">
        <v>194</v>
      </c>
      <c r="H113" s="27"/>
      <c r="I113" s="28"/>
      <c r="J113" s="5"/>
    </row>
    <row r="114" spans="1:10" ht="13.05" customHeight="1">
      <c r="A114" s="5"/>
      <c r="B114" s="29" t="s">
        <v>195</v>
      </c>
      <c r="C114" s="30"/>
      <c r="D114" s="2"/>
      <c r="E114" s="30"/>
      <c r="F114" s="25">
        <v>889.92899999999997</v>
      </c>
      <c r="G114" s="26">
        <v>2.81E-2</v>
      </c>
      <c r="H114" s="27"/>
      <c r="I114" s="28"/>
      <c r="J114" s="5"/>
    </row>
    <row r="115" spans="1:10" ht="13.05" customHeight="1">
      <c r="A115" s="5"/>
      <c r="B115" s="29" t="s">
        <v>199</v>
      </c>
      <c r="C115" s="15"/>
      <c r="D115" s="2"/>
      <c r="E115" s="15"/>
      <c r="F115" s="31">
        <v>106.4033</v>
      </c>
      <c r="G115" s="26">
        <v>3.3999999999999998E-3</v>
      </c>
      <c r="H115" s="27"/>
      <c r="I115" s="28"/>
      <c r="J115" s="5"/>
    </row>
    <row r="116" spans="1:10" ht="13.05" customHeight="1">
      <c r="A116" s="5"/>
      <c r="B116" s="32" t="s">
        <v>200</v>
      </c>
      <c r="C116" s="33"/>
      <c r="D116" s="33"/>
      <c r="E116" s="33"/>
      <c r="F116" s="34">
        <v>31642.84</v>
      </c>
      <c r="G116" s="35">
        <v>1</v>
      </c>
      <c r="H116" s="36"/>
      <c r="I116" s="37"/>
      <c r="J116" s="5"/>
    </row>
    <row r="117" spans="1:10" ht="13.05" customHeight="1">
      <c r="A117" s="5"/>
      <c r="B117" s="7"/>
      <c r="C117" s="5"/>
      <c r="D117" s="5"/>
      <c r="E117" s="5"/>
      <c r="F117" s="5"/>
      <c r="G117" s="5"/>
      <c r="H117" s="5"/>
      <c r="I117" s="5"/>
      <c r="J117" s="5"/>
    </row>
    <row r="118" spans="1:10" ht="13.05" customHeight="1">
      <c r="A118" s="5"/>
      <c r="B118" s="4"/>
      <c r="C118" s="5"/>
      <c r="D118" s="5"/>
      <c r="E118" s="5"/>
      <c r="F118" s="5"/>
      <c r="G118" s="5"/>
      <c r="H118" s="5"/>
      <c r="I118" s="5"/>
      <c r="J118" s="5"/>
    </row>
    <row r="119" spans="1:10" ht="13.05" customHeight="1">
      <c r="A119" s="5"/>
      <c r="B119" s="4" t="s">
        <v>1816</v>
      </c>
      <c r="C119" s="5"/>
      <c r="D119" s="5"/>
      <c r="E119" s="5"/>
      <c r="F119" s="5"/>
      <c r="G119" s="5"/>
      <c r="H119" s="5"/>
      <c r="I119" s="5"/>
      <c r="J119" s="5"/>
    </row>
    <row r="120" spans="1:10" ht="13.05" customHeight="1">
      <c r="A120" s="5"/>
      <c r="B120" s="4" t="s">
        <v>201</v>
      </c>
      <c r="C120" s="5"/>
      <c r="D120" s="5"/>
      <c r="E120" s="5"/>
      <c r="F120" s="5"/>
      <c r="G120" s="5"/>
      <c r="H120" s="5"/>
      <c r="I120" s="5"/>
      <c r="J120" s="5"/>
    </row>
    <row r="121" spans="1:10" ht="25.95" customHeight="1">
      <c r="A121" s="5"/>
      <c r="B121" s="103" t="s">
        <v>202</v>
      </c>
      <c r="C121" s="103"/>
      <c r="D121" s="103"/>
      <c r="E121" s="103"/>
      <c r="F121" s="103"/>
      <c r="G121" s="103"/>
      <c r="H121" s="103"/>
      <c r="I121" s="103"/>
      <c r="J121" s="5"/>
    </row>
    <row r="122" spans="1:10" ht="13.05" customHeight="1">
      <c r="A122" s="5"/>
      <c r="B122" s="103" t="s">
        <v>203</v>
      </c>
      <c r="C122" s="103"/>
      <c r="D122" s="103"/>
      <c r="E122" s="103"/>
      <c r="F122" s="103"/>
      <c r="G122" s="103"/>
      <c r="H122" s="103"/>
      <c r="I122" s="103"/>
      <c r="J122" s="5"/>
    </row>
    <row r="123" spans="1:10" ht="13.05" customHeight="1">
      <c r="A123" s="5"/>
      <c r="B123" s="103"/>
      <c r="C123" s="103"/>
      <c r="D123" s="103"/>
      <c r="E123" s="103"/>
      <c r="F123" s="103"/>
      <c r="G123" s="103"/>
      <c r="H123" s="103"/>
      <c r="I123" s="103"/>
      <c r="J123" s="5"/>
    </row>
    <row r="124" spans="1:10" ht="13.05" customHeight="1">
      <c r="A124" s="5"/>
      <c r="B124" s="103"/>
      <c r="C124" s="103"/>
      <c r="D124" s="103"/>
      <c r="E124" s="103"/>
      <c r="F124" s="103"/>
      <c r="G124" s="103"/>
      <c r="H124" s="103"/>
      <c r="I124" s="103"/>
      <c r="J124" s="5"/>
    </row>
    <row r="125" spans="1:10" ht="13.05" customHeight="1">
      <c r="A125" s="5"/>
      <c r="B125" s="103"/>
      <c r="C125" s="103"/>
      <c r="D125" s="103"/>
      <c r="E125" s="103"/>
      <c r="F125" s="103"/>
      <c r="G125" s="103"/>
      <c r="H125" s="103"/>
      <c r="I125" s="103"/>
      <c r="J125" s="5"/>
    </row>
    <row r="126" spans="1:10" ht="13.05" customHeight="1">
      <c r="A126" s="5"/>
      <c r="B126" s="103"/>
      <c r="C126" s="103"/>
      <c r="D126" s="103"/>
      <c r="E126" s="103"/>
      <c r="F126" s="103"/>
      <c r="G126" s="103"/>
      <c r="H126" s="103"/>
      <c r="I126" s="103"/>
      <c r="J126" s="5"/>
    </row>
    <row r="127" spans="1:10" ht="13.05" customHeight="1">
      <c r="A127" s="5"/>
      <c r="B127" s="5"/>
      <c r="C127" s="104" t="s">
        <v>3574</v>
      </c>
      <c r="D127" s="104"/>
      <c r="E127" s="104"/>
      <c r="F127" s="104"/>
      <c r="G127" s="5"/>
      <c r="H127" s="5"/>
      <c r="I127" s="5"/>
      <c r="J127" s="5"/>
    </row>
    <row r="128" spans="1:10" ht="13.05" customHeight="1">
      <c r="A128" s="5"/>
      <c r="B128" s="38" t="s">
        <v>207</v>
      </c>
      <c r="C128" s="104" t="s">
        <v>208</v>
      </c>
      <c r="D128" s="104"/>
      <c r="E128" s="104"/>
      <c r="F128" s="104"/>
      <c r="G128" s="5"/>
      <c r="H128" s="5"/>
      <c r="I128" s="5"/>
      <c r="J128" s="5"/>
    </row>
    <row r="129" spans="1:10" ht="135" customHeight="1">
      <c r="A129" s="5"/>
      <c r="B129" s="39"/>
      <c r="C129" s="105"/>
      <c r="D129" s="105"/>
      <c r="E129" s="5"/>
      <c r="F129" s="5"/>
      <c r="G129" s="5"/>
      <c r="H129" s="5"/>
      <c r="I129" s="5"/>
      <c r="J129" s="5"/>
    </row>
  </sheetData>
  <mergeCells count="9">
    <mergeCell ref="B126:I126"/>
    <mergeCell ref="C127:F127"/>
    <mergeCell ref="C128:F128"/>
    <mergeCell ref="C129:D129"/>
    <mergeCell ref="B121:I121"/>
    <mergeCell ref="B122:I122"/>
    <mergeCell ref="B123:I123"/>
    <mergeCell ref="B124:I124"/>
    <mergeCell ref="B125:I125"/>
  </mergeCells>
  <hyperlinks>
    <hyperlink ref="A1" location="AxisRetirementFundDynamicPlan" display="AXISRDP" xr:uid="{00000000-0004-0000-4300-000000000000}"/>
    <hyperlink ref="B1" location="AxisRetirementFundDynamicPlan" display="Axis Retirement Fund - Dynamic Plan" xr:uid="{00000000-0004-0000-4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outlinePr summaryBelow="0"/>
  </sheetPr>
  <dimension ref="A1:J178"/>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138</v>
      </c>
      <c r="B1" s="4" t="s">
        <v>139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907</v>
      </c>
      <c r="B7" s="19" t="s">
        <v>908</v>
      </c>
      <c r="C7" s="15" t="s">
        <v>909</v>
      </c>
      <c r="D7" s="15" t="s">
        <v>415</v>
      </c>
      <c r="E7" s="20">
        <v>10645743</v>
      </c>
      <c r="F7" s="21">
        <v>76761.1299</v>
      </c>
      <c r="G7" s="22">
        <v>2.8400000000000002E-2</v>
      </c>
      <c r="H7" s="40"/>
      <c r="I7" s="24"/>
      <c r="J7" s="5"/>
    </row>
    <row r="8" spans="1:10" ht="13.05" customHeight="1">
      <c r="A8" s="18" t="s">
        <v>989</v>
      </c>
      <c r="B8" s="19" t="s">
        <v>990</v>
      </c>
      <c r="C8" s="15" t="s">
        <v>991</v>
      </c>
      <c r="D8" s="15" t="s">
        <v>541</v>
      </c>
      <c r="E8" s="20">
        <v>6154986</v>
      </c>
      <c r="F8" s="21">
        <v>63870.289700000001</v>
      </c>
      <c r="G8" s="22">
        <v>2.3599999999999999E-2</v>
      </c>
      <c r="H8" s="40"/>
      <c r="I8" s="24"/>
      <c r="J8" s="5"/>
    </row>
    <row r="9" spans="1:10" ht="13.05" customHeight="1">
      <c r="A9" s="18" t="s">
        <v>558</v>
      </c>
      <c r="B9" s="19" t="s">
        <v>559</v>
      </c>
      <c r="C9" s="15" t="s">
        <v>560</v>
      </c>
      <c r="D9" s="15" t="s">
        <v>374</v>
      </c>
      <c r="E9" s="20">
        <v>660372</v>
      </c>
      <c r="F9" s="21">
        <v>61041.485800000002</v>
      </c>
      <c r="G9" s="22">
        <v>2.2599999999999999E-2</v>
      </c>
      <c r="H9" s="40"/>
      <c r="I9" s="24"/>
      <c r="J9" s="5"/>
    </row>
    <row r="10" spans="1:10" ht="13.05" customHeight="1">
      <c r="A10" s="18" t="s">
        <v>1504</v>
      </c>
      <c r="B10" s="19" t="s">
        <v>1505</v>
      </c>
      <c r="C10" s="15" t="s">
        <v>1506</v>
      </c>
      <c r="D10" s="15" t="s">
        <v>435</v>
      </c>
      <c r="E10" s="20">
        <v>6944251</v>
      </c>
      <c r="F10" s="21">
        <v>59703.197999999997</v>
      </c>
      <c r="G10" s="22">
        <v>2.2100000000000002E-2</v>
      </c>
      <c r="H10" s="40"/>
      <c r="I10" s="24"/>
      <c r="J10" s="5"/>
    </row>
    <row r="11" spans="1:10" ht="13.05" customHeight="1">
      <c r="A11" s="18" t="s">
        <v>843</v>
      </c>
      <c r="B11" s="19" t="s">
        <v>844</v>
      </c>
      <c r="C11" s="15" t="s">
        <v>845</v>
      </c>
      <c r="D11" s="15" t="s">
        <v>846</v>
      </c>
      <c r="E11" s="20">
        <v>812899</v>
      </c>
      <c r="F11" s="21">
        <v>54500.813499999997</v>
      </c>
      <c r="G11" s="22">
        <v>2.01E-2</v>
      </c>
      <c r="H11" s="40"/>
      <c r="I11" s="24"/>
      <c r="J11" s="5"/>
    </row>
    <row r="12" spans="1:10" ht="13.05" customHeight="1">
      <c r="A12" s="18" t="s">
        <v>877</v>
      </c>
      <c r="B12" s="19" t="s">
        <v>878</v>
      </c>
      <c r="C12" s="15" t="s">
        <v>879</v>
      </c>
      <c r="D12" s="15" t="s">
        <v>300</v>
      </c>
      <c r="E12" s="20">
        <v>2768484</v>
      </c>
      <c r="F12" s="21">
        <v>52950.025000000001</v>
      </c>
      <c r="G12" s="22">
        <v>1.9599999999999999E-2</v>
      </c>
      <c r="H12" s="40"/>
      <c r="I12" s="24"/>
      <c r="J12" s="5"/>
    </row>
    <row r="13" spans="1:10" ht="13.05" customHeight="1">
      <c r="A13" s="18" t="s">
        <v>765</v>
      </c>
      <c r="B13" s="19" t="s">
        <v>766</v>
      </c>
      <c r="C13" s="15" t="s">
        <v>767</v>
      </c>
      <c r="D13" s="15" t="s">
        <v>325</v>
      </c>
      <c r="E13" s="20">
        <v>2603151</v>
      </c>
      <c r="F13" s="21">
        <v>50433.447500000002</v>
      </c>
      <c r="G13" s="22">
        <v>1.8599999999999998E-2</v>
      </c>
      <c r="H13" s="40"/>
      <c r="I13" s="24"/>
      <c r="J13" s="5"/>
    </row>
    <row r="14" spans="1:10" ht="13.05" customHeight="1">
      <c r="A14" s="18" t="s">
        <v>1013</v>
      </c>
      <c r="B14" s="19" t="s">
        <v>1014</v>
      </c>
      <c r="C14" s="15" t="s">
        <v>1015</v>
      </c>
      <c r="D14" s="15" t="s">
        <v>314</v>
      </c>
      <c r="E14" s="20">
        <v>2984782</v>
      </c>
      <c r="F14" s="21">
        <v>50212.9876</v>
      </c>
      <c r="G14" s="22">
        <v>1.8599999999999998E-2</v>
      </c>
      <c r="H14" s="40"/>
      <c r="I14" s="24"/>
      <c r="J14" s="5"/>
    </row>
    <row r="15" spans="1:10" ht="13.05" customHeight="1">
      <c r="A15" s="18" t="s">
        <v>934</v>
      </c>
      <c r="B15" s="19" t="s">
        <v>935</v>
      </c>
      <c r="C15" s="15" t="s">
        <v>936</v>
      </c>
      <c r="D15" s="15" t="s">
        <v>257</v>
      </c>
      <c r="E15" s="20">
        <v>19699201</v>
      </c>
      <c r="F15" s="21">
        <v>45046.162900000003</v>
      </c>
      <c r="G15" s="22">
        <v>1.66E-2</v>
      </c>
      <c r="H15" s="40"/>
      <c r="I15" s="24"/>
      <c r="J15" s="5"/>
    </row>
    <row r="16" spans="1:10" ht="13.05" customHeight="1">
      <c r="A16" s="18" t="s">
        <v>491</v>
      </c>
      <c r="B16" s="19" t="s">
        <v>492</v>
      </c>
      <c r="C16" s="15" t="s">
        <v>493</v>
      </c>
      <c r="D16" s="15" t="s">
        <v>494</v>
      </c>
      <c r="E16" s="20">
        <v>2276818</v>
      </c>
      <c r="F16" s="21">
        <v>40650.308599999997</v>
      </c>
      <c r="G16" s="22">
        <v>1.4999999999999999E-2</v>
      </c>
      <c r="H16" s="40"/>
      <c r="I16" s="24"/>
      <c r="J16" s="5"/>
    </row>
    <row r="17" spans="1:10" ht="13.05" customHeight="1">
      <c r="A17" s="18" t="s">
        <v>254</v>
      </c>
      <c r="B17" s="19" t="s">
        <v>255</v>
      </c>
      <c r="C17" s="15" t="s">
        <v>256</v>
      </c>
      <c r="D17" s="15" t="s">
        <v>257</v>
      </c>
      <c r="E17" s="20">
        <v>4067560</v>
      </c>
      <c r="F17" s="21">
        <v>40159.019899999999</v>
      </c>
      <c r="G17" s="22">
        <v>1.4800000000000001E-2</v>
      </c>
      <c r="H17" s="40"/>
      <c r="I17" s="24"/>
      <c r="J17" s="5"/>
    </row>
    <row r="18" spans="1:10" ht="13.05" customHeight="1">
      <c r="A18" s="18" t="s">
        <v>4676</v>
      </c>
      <c r="B18" s="19" t="s">
        <v>4677</v>
      </c>
      <c r="C18" s="15" t="s">
        <v>4678</v>
      </c>
      <c r="D18" s="15" t="s">
        <v>337</v>
      </c>
      <c r="E18" s="20">
        <v>4300757</v>
      </c>
      <c r="F18" s="21">
        <v>37412.285100000001</v>
      </c>
      <c r="G18" s="22">
        <v>1.38E-2</v>
      </c>
      <c r="H18" s="40"/>
      <c r="I18" s="24"/>
      <c r="J18" s="5"/>
    </row>
    <row r="19" spans="1:10" ht="13.05" customHeight="1">
      <c r="A19" s="18" t="s">
        <v>1424</v>
      </c>
      <c r="B19" s="19" t="s">
        <v>1425</v>
      </c>
      <c r="C19" s="15" t="s">
        <v>1426</v>
      </c>
      <c r="D19" s="15" t="s">
        <v>300</v>
      </c>
      <c r="E19" s="20">
        <v>4272355</v>
      </c>
      <c r="F19" s="21">
        <v>37079.769</v>
      </c>
      <c r="G19" s="22">
        <v>1.37E-2</v>
      </c>
      <c r="H19" s="40"/>
      <c r="I19" s="24"/>
      <c r="J19" s="5"/>
    </row>
    <row r="20" spans="1:10" ht="13.05" customHeight="1">
      <c r="A20" s="18" t="s">
        <v>1248</v>
      </c>
      <c r="B20" s="19" t="s">
        <v>1249</v>
      </c>
      <c r="C20" s="15" t="s">
        <v>1250</v>
      </c>
      <c r="D20" s="15" t="s">
        <v>314</v>
      </c>
      <c r="E20" s="20">
        <v>3771187</v>
      </c>
      <c r="F20" s="21">
        <v>34627.038999999997</v>
      </c>
      <c r="G20" s="22">
        <v>1.2800000000000001E-2</v>
      </c>
      <c r="H20" s="40"/>
      <c r="I20" s="24"/>
      <c r="J20" s="5"/>
    </row>
    <row r="21" spans="1:10" ht="13.05" customHeight="1">
      <c r="A21" s="18" t="s">
        <v>4679</v>
      </c>
      <c r="B21" s="19" t="s">
        <v>4680</v>
      </c>
      <c r="C21" s="15" t="s">
        <v>4681</v>
      </c>
      <c r="D21" s="15" t="s">
        <v>501</v>
      </c>
      <c r="E21" s="20">
        <v>6902100</v>
      </c>
      <c r="F21" s="21">
        <v>34051.510399999999</v>
      </c>
      <c r="G21" s="22">
        <v>1.26E-2</v>
      </c>
      <c r="H21" s="40"/>
      <c r="I21" s="24"/>
      <c r="J21" s="5"/>
    </row>
    <row r="22" spans="1:10" ht="13.05" customHeight="1">
      <c r="A22" s="18" t="s">
        <v>1638</v>
      </c>
      <c r="B22" s="19" t="s">
        <v>1639</v>
      </c>
      <c r="C22" s="15" t="s">
        <v>1640</v>
      </c>
      <c r="D22" s="15" t="s">
        <v>567</v>
      </c>
      <c r="E22" s="20">
        <v>5769277</v>
      </c>
      <c r="F22" s="21">
        <v>32521.414400000001</v>
      </c>
      <c r="G22" s="22">
        <v>1.2E-2</v>
      </c>
      <c r="H22" s="40"/>
      <c r="I22" s="24"/>
      <c r="J22" s="5"/>
    </row>
    <row r="23" spans="1:10" ht="13.05" customHeight="1">
      <c r="A23" s="18" t="s">
        <v>4285</v>
      </c>
      <c r="B23" s="19" t="s">
        <v>4286</v>
      </c>
      <c r="C23" s="15" t="s">
        <v>4287</v>
      </c>
      <c r="D23" s="15" t="s">
        <v>581</v>
      </c>
      <c r="E23" s="20">
        <v>1406032</v>
      </c>
      <c r="F23" s="21">
        <v>31361.543799999999</v>
      </c>
      <c r="G23" s="22">
        <v>1.1599999999999999E-2</v>
      </c>
      <c r="H23" s="40"/>
      <c r="I23" s="24"/>
      <c r="J23" s="5"/>
    </row>
    <row r="24" spans="1:10" ht="13.05" customHeight="1">
      <c r="A24" s="18" t="s">
        <v>4682</v>
      </c>
      <c r="B24" s="19" t="s">
        <v>4683</v>
      </c>
      <c r="C24" s="15" t="s">
        <v>4684</v>
      </c>
      <c r="D24" s="15" t="s">
        <v>276</v>
      </c>
      <c r="E24" s="20">
        <v>3220147</v>
      </c>
      <c r="F24" s="21">
        <v>30609.1073</v>
      </c>
      <c r="G24" s="22">
        <v>1.1299999999999999E-2</v>
      </c>
      <c r="H24" s="40"/>
      <c r="I24" s="24"/>
      <c r="J24" s="5"/>
    </row>
    <row r="25" spans="1:10" ht="13.05" customHeight="1">
      <c r="A25" s="18" t="s">
        <v>1352</v>
      </c>
      <c r="B25" s="19" t="s">
        <v>1353</v>
      </c>
      <c r="C25" s="15" t="s">
        <v>1354</v>
      </c>
      <c r="D25" s="15" t="s">
        <v>567</v>
      </c>
      <c r="E25" s="20">
        <v>448509</v>
      </c>
      <c r="F25" s="21">
        <v>29960.4012</v>
      </c>
      <c r="G25" s="22">
        <v>1.11E-2</v>
      </c>
      <c r="H25" s="40"/>
      <c r="I25" s="24"/>
      <c r="J25" s="5"/>
    </row>
    <row r="26" spans="1:10" ht="13.05" customHeight="1">
      <c r="A26" s="18" t="s">
        <v>862</v>
      </c>
      <c r="B26" s="19" t="s">
        <v>863</v>
      </c>
      <c r="C26" s="15" t="s">
        <v>864</v>
      </c>
      <c r="D26" s="15" t="s">
        <v>581</v>
      </c>
      <c r="E26" s="20">
        <v>522648</v>
      </c>
      <c r="F26" s="21">
        <v>29725.082399999999</v>
      </c>
      <c r="G26" s="22">
        <v>1.0999999999999999E-2</v>
      </c>
      <c r="H26" s="40"/>
      <c r="I26" s="24"/>
      <c r="J26" s="5"/>
    </row>
    <row r="27" spans="1:10" ht="13.05" customHeight="1">
      <c r="A27" s="18" t="s">
        <v>801</v>
      </c>
      <c r="B27" s="19" t="s">
        <v>802</v>
      </c>
      <c r="C27" s="15" t="s">
        <v>803</v>
      </c>
      <c r="D27" s="15" t="s">
        <v>257</v>
      </c>
      <c r="E27" s="20">
        <v>12132840</v>
      </c>
      <c r="F27" s="21">
        <v>29501.000499999998</v>
      </c>
      <c r="G27" s="22">
        <v>1.09E-2</v>
      </c>
      <c r="H27" s="40"/>
      <c r="I27" s="24"/>
      <c r="J27" s="5"/>
    </row>
    <row r="28" spans="1:10" ht="13.05" customHeight="1">
      <c r="A28" s="18" t="s">
        <v>1090</v>
      </c>
      <c r="B28" s="19" t="s">
        <v>1091</v>
      </c>
      <c r="C28" s="15" t="s">
        <v>1092</v>
      </c>
      <c r="D28" s="15" t="s">
        <v>415</v>
      </c>
      <c r="E28" s="20">
        <v>1663780</v>
      </c>
      <c r="F28" s="21">
        <v>29239.269700000001</v>
      </c>
      <c r="G28" s="22">
        <v>1.0800000000000001E-2</v>
      </c>
      <c r="H28" s="40"/>
      <c r="I28" s="24"/>
      <c r="J28" s="5"/>
    </row>
    <row r="29" spans="1:10" ht="13.05" customHeight="1">
      <c r="A29" s="18" t="s">
        <v>694</v>
      </c>
      <c r="B29" s="19" t="s">
        <v>695</v>
      </c>
      <c r="C29" s="15" t="s">
        <v>696</v>
      </c>
      <c r="D29" s="15" t="s">
        <v>541</v>
      </c>
      <c r="E29" s="20">
        <v>1681118</v>
      </c>
      <c r="F29" s="21">
        <v>28286.4915</v>
      </c>
      <c r="G29" s="22">
        <v>1.0500000000000001E-2</v>
      </c>
      <c r="H29" s="40"/>
      <c r="I29" s="24"/>
      <c r="J29" s="5"/>
    </row>
    <row r="30" spans="1:10" ht="13.05" customHeight="1">
      <c r="A30" s="18" t="s">
        <v>4281</v>
      </c>
      <c r="B30" s="19" t="s">
        <v>4282</v>
      </c>
      <c r="C30" s="15" t="s">
        <v>4283</v>
      </c>
      <c r="D30" s="15" t="s">
        <v>581</v>
      </c>
      <c r="E30" s="20">
        <v>633550</v>
      </c>
      <c r="F30" s="21">
        <v>28111.8806</v>
      </c>
      <c r="G30" s="22">
        <v>1.04E-2</v>
      </c>
      <c r="H30" s="40"/>
      <c r="I30" s="24"/>
      <c r="J30" s="5"/>
    </row>
    <row r="31" spans="1:10" ht="13.05" customHeight="1">
      <c r="A31" s="18" t="s">
        <v>4292</v>
      </c>
      <c r="B31" s="19" t="s">
        <v>4293</v>
      </c>
      <c r="C31" s="15" t="s">
        <v>4294</v>
      </c>
      <c r="D31" s="15" t="s">
        <v>391</v>
      </c>
      <c r="E31" s="20">
        <v>2022118</v>
      </c>
      <c r="F31" s="21">
        <v>27086.2706</v>
      </c>
      <c r="G31" s="22">
        <v>0.01</v>
      </c>
      <c r="H31" s="40"/>
      <c r="I31" s="24"/>
      <c r="J31" s="5"/>
    </row>
    <row r="32" spans="1:10" ht="13.05" customHeight="1">
      <c r="A32" s="18" t="s">
        <v>992</v>
      </c>
      <c r="B32" s="19" t="s">
        <v>993</v>
      </c>
      <c r="C32" s="15" t="s">
        <v>994</v>
      </c>
      <c r="D32" s="15" t="s">
        <v>374</v>
      </c>
      <c r="E32" s="20">
        <v>2412549</v>
      </c>
      <c r="F32" s="21">
        <v>26492.2006</v>
      </c>
      <c r="G32" s="22">
        <v>9.7999999999999997E-3</v>
      </c>
      <c r="H32" s="40"/>
      <c r="I32" s="24"/>
      <c r="J32" s="5"/>
    </row>
    <row r="33" spans="1:10" ht="13.05" customHeight="1">
      <c r="A33" s="18" t="s">
        <v>3930</v>
      </c>
      <c r="B33" s="19" t="s">
        <v>3931</v>
      </c>
      <c r="C33" s="15" t="s">
        <v>3932</v>
      </c>
      <c r="D33" s="15" t="s">
        <v>445</v>
      </c>
      <c r="E33" s="20">
        <v>2018325</v>
      </c>
      <c r="F33" s="21">
        <v>24032.195800000001</v>
      </c>
      <c r="G33" s="22">
        <v>8.8999999999999999E-3</v>
      </c>
      <c r="H33" s="40"/>
      <c r="I33" s="24"/>
      <c r="J33" s="5"/>
    </row>
    <row r="34" spans="1:10" ht="13.05" customHeight="1">
      <c r="A34" s="18" t="s">
        <v>1065</v>
      </c>
      <c r="B34" s="19" t="s">
        <v>1066</v>
      </c>
      <c r="C34" s="15" t="s">
        <v>1067</v>
      </c>
      <c r="D34" s="15" t="s">
        <v>1068</v>
      </c>
      <c r="E34" s="20">
        <v>1214969</v>
      </c>
      <c r="F34" s="21">
        <v>23456.191500000001</v>
      </c>
      <c r="G34" s="22">
        <v>8.6999999999999994E-3</v>
      </c>
      <c r="H34" s="40"/>
      <c r="I34" s="24"/>
      <c r="J34" s="5"/>
    </row>
    <row r="35" spans="1:10" ht="13.05" customHeight="1">
      <c r="A35" s="18" t="s">
        <v>4685</v>
      </c>
      <c r="B35" s="19" t="s">
        <v>4686</v>
      </c>
      <c r="C35" s="15" t="s">
        <v>4687</v>
      </c>
      <c r="D35" s="15" t="s">
        <v>581</v>
      </c>
      <c r="E35" s="20">
        <v>5799329</v>
      </c>
      <c r="F35" s="21">
        <v>23130.6237</v>
      </c>
      <c r="G35" s="22">
        <v>8.5000000000000006E-3</v>
      </c>
      <c r="H35" s="40"/>
      <c r="I35" s="24"/>
      <c r="J35" s="5"/>
    </row>
    <row r="36" spans="1:10" ht="13.05" customHeight="1">
      <c r="A36" s="18" t="s">
        <v>1613</v>
      </c>
      <c r="B36" s="19" t="s">
        <v>1614</v>
      </c>
      <c r="C36" s="15" t="s">
        <v>1615</v>
      </c>
      <c r="D36" s="15" t="s">
        <v>1616</v>
      </c>
      <c r="E36" s="20">
        <v>890292</v>
      </c>
      <c r="F36" s="21">
        <v>22899.200499999999</v>
      </c>
      <c r="G36" s="22">
        <v>8.5000000000000006E-3</v>
      </c>
      <c r="H36" s="40"/>
      <c r="I36" s="24"/>
      <c r="J36" s="5"/>
    </row>
    <row r="37" spans="1:10" ht="13.05" customHeight="1">
      <c r="A37" s="18" t="s">
        <v>1842</v>
      </c>
      <c r="B37" s="19" t="s">
        <v>1843</v>
      </c>
      <c r="C37" s="15" t="s">
        <v>1844</v>
      </c>
      <c r="D37" s="15" t="s">
        <v>581</v>
      </c>
      <c r="E37" s="20">
        <v>1945414</v>
      </c>
      <c r="F37" s="21">
        <v>22368.370200000001</v>
      </c>
      <c r="G37" s="22">
        <v>8.3000000000000001E-3</v>
      </c>
      <c r="H37" s="40"/>
      <c r="I37" s="24"/>
      <c r="J37" s="5"/>
    </row>
    <row r="38" spans="1:10" ht="13.05" customHeight="1">
      <c r="A38" s="18" t="s">
        <v>998</v>
      </c>
      <c r="B38" s="19" t="s">
        <v>999</v>
      </c>
      <c r="C38" s="15" t="s">
        <v>1000</v>
      </c>
      <c r="D38" s="15" t="s">
        <v>276</v>
      </c>
      <c r="E38" s="20">
        <v>1774516</v>
      </c>
      <c r="F38" s="21">
        <v>22295.019</v>
      </c>
      <c r="G38" s="22">
        <v>8.2000000000000007E-3</v>
      </c>
      <c r="H38" s="40"/>
      <c r="I38" s="24"/>
      <c r="J38" s="5"/>
    </row>
    <row r="39" spans="1:10" ht="13.05" customHeight="1">
      <c r="A39" s="18" t="s">
        <v>3578</v>
      </c>
      <c r="B39" s="19" t="s">
        <v>3579</v>
      </c>
      <c r="C39" s="15" t="s">
        <v>3580</v>
      </c>
      <c r="D39" s="15" t="s">
        <v>567</v>
      </c>
      <c r="E39" s="20">
        <v>1377351</v>
      </c>
      <c r="F39" s="21">
        <v>22237.331900000001</v>
      </c>
      <c r="G39" s="22">
        <v>8.2000000000000007E-3</v>
      </c>
      <c r="H39" s="40"/>
      <c r="I39" s="24"/>
      <c r="J39" s="5"/>
    </row>
    <row r="40" spans="1:10" ht="13.05" customHeight="1">
      <c r="A40" s="18" t="s">
        <v>1346</v>
      </c>
      <c r="B40" s="19" t="s">
        <v>1347</v>
      </c>
      <c r="C40" s="15" t="s">
        <v>1348</v>
      </c>
      <c r="D40" s="15" t="s">
        <v>300</v>
      </c>
      <c r="E40" s="20">
        <v>1532673</v>
      </c>
      <c r="F40" s="21">
        <v>21819.132799999999</v>
      </c>
      <c r="G40" s="22">
        <v>8.0999999999999996E-3</v>
      </c>
      <c r="H40" s="40"/>
      <c r="I40" s="24"/>
      <c r="J40" s="5"/>
    </row>
    <row r="41" spans="1:10" ht="13.05" customHeight="1">
      <c r="A41" s="18" t="s">
        <v>4688</v>
      </c>
      <c r="B41" s="19" t="s">
        <v>4689</v>
      </c>
      <c r="C41" s="15" t="s">
        <v>4690</v>
      </c>
      <c r="D41" s="15" t="s">
        <v>300</v>
      </c>
      <c r="E41" s="20">
        <v>2391697</v>
      </c>
      <c r="F41" s="21">
        <v>21139.013900000002</v>
      </c>
      <c r="G41" s="22">
        <v>7.7999999999999996E-3</v>
      </c>
      <c r="H41" s="40"/>
      <c r="I41" s="24"/>
      <c r="J41" s="5"/>
    </row>
    <row r="42" spans="1:10" ht="13.05" customHeight="1">
      <c r="A42" s="18" t="s">
        <v>886</v>
      </c>
      <c r="B42" s="19" t="s">
        <v>887</v>
      </c>
      <c r="C42" s="15" t="s">
        <v>888</v>
      </c>
      <c r="D42" s="15" t="s">
        <v>374</v>
      </c>
      <c r="E42" s="20">
        <v>531022</v>
      </c>
      <c r="F42" s="21">
        <v>20929.170099999999</v>
      </c>
      <c r="G42" s="22">
        <v>7.7000000000000002E-3</v>
      </c>
      <c r="H42" s="40"/>
      <c r="I42" s="24"/>
      <c r="J42" s="5"/>
    </row>
    <row r="43" spans="1:10" ht="13.05" customHeight="1">
      <c r="A43" s="18" t="s">
        <v>724</v>
      </c>
      <c r="B43" s="19" t="s">
        <v>725</v>
      </c>
      <c r="C43" s="15" t="s">
        <v>726</v>
      </c>
      <c r="D43" s="15" t="s">
        <v>374</v>
      </c>
      <c r="E43" s="20">
        <v>1309794</v>
      </c>
      <c r="F43" s="21">
        <v>20789.0504</v>
      </c>
      <c r="G43" s="22">
        <v>7.7000000000000002E-3</v>
      </c>
      <c r="H43" s="40"/>
      <c r="I43" s="24"/>
      <c r="J43" s="5"/>
    </row>
    <row r="44" spans="1:10" ht="13.05" customHeight="1">
      <c r="A44" s="18" t="s">
        <v>1761</v>
      </c>
      <c r="B44" s="19" t="s">
        <v>1762</v>
      </c>
      <c r="C44" s="15" t="s">
        <v>1763</v>
      </c>
      <c r="D44" s="15" t="s">
        <v>501</v>
      </c>
      <c r="E44" s="20">
        <v>4353959</v>
      </c>
      <c r="F44" s="21">
        <v>20759.676500000001</v>
      </c>
      <c r="G44" s="22">
        <v>7.7000000000000002E-3</v>
      </c>
      <c r="H44" s="40"/>
      <c r="I44" s="24"/>
      <c r="J44" s="5"/>
    </row>
    <row r="45" spans="1:10" ht="13.05" customHeight="1">
      <c r="A45" s="18" t="s">
        <v>1453</v>
      </c>
      <c r="B45" s="19" t="s">
        <v>1454</v>
      </c>
      <c r="C45" s="15" t="s">
        <v>1455</v>
      </c>
      <c r="D45" s="15" t="s">
        <v>846</v>
      </c>
      <c r="E45" s="20">
        <v>2484070</v>
      </c>
      <c r="F45" s="21">
        <v>20215.361700000001</v>
      </c>
      <c r="G45" s="22">
        <v>7.4999999999999997E-3</v>
      </c>
      <c r="H45" s="40"/>
      <c r="I45" s="24"/>
      <c r="J45" s="5"/>
    </row>
    <row r="46" spans="1:10" ht="13.05" customHeight="1">
      <c r="A46" s="18" t="s">
        <v>622</v>
      </c>
      <c r="B46" s="19" t="s">
        <v>623</v>
      </c>
      <c r="C46" s="15" t="s">
        <v>624</v>
      </c>
      <c r="D46" s="15" t="s">
        <v>314</v>
      </c>
      <c r="E46" s="20">
        <v>2117487</v>
      </c>
      <c r="F46" s="21">
        <v>20193.414799999999</v>
      </c>
      <c r="G46" s="22">
        <v>7.4999999999999997E-3</v>
      </c>
      <c r="H46" s="40"/>
      <c r="I46" s="24"/>
      <c r="J46" s="5"/>
    </row>
    <row r="47" spans="1:10" ht="13.05" customHeight="1">
      <c r="A47" s="18" t="s">
        <v>488</v>
      </c>
      <c r="B47" s="19" t="s">
        <v>489</v>
      </c>
      <c r="C47" s="15" t="s">
        <v>490</v>
      </c>
      <c r="D47" s="15" t="s">
        <v>272</v>
      </c>
      <c r="E47" s="20">
        <v>1129938</v>
      </c>
      <c r="F47" s="21">
        <v>20091.427599999999</v>
      </c>
      <c r="G47" s="22">
        <v>7.4000000000000003E-3</v>
      </c>
      <c r="H47" s="40"/>
      <c r="I47" s="24"/>
      <c r="J47" s="5"/>
    </row>
    <row r="48" spans="1:10" ht="13.05" customHeight="1">
      <c r="A48" s="18" t="s">
        <v>898</v>
      </c>
      <c r="B48" s="19" t="s">
        <v>899</v>
      </c>
      <c r="C48" s="15" t="s">
        <v>900</v>
      </c>
      <c r="D48" s="15" t="s">
        <v>325</v>
      </c>
      <c r="E48" s="20">
        <v>7011705</v>
      </c>
      <c r="F48" s="21">
        <v>19822.09</v>
      </c>
      <c r="G48" s="22">
        <v>7.3000000000000001E-3</v>
      </c>
      <c r="H48" s="40"/>
      <c r="I48" s="24"/>
      <c r="J48" s="5"/>
    </row>
    <row r="49" spans="1:10" ht="13.05" customHeight="1">
      <c r="A49" s="18" t="s">
        <v>1211</v>
      </c>
      <c r="B49" s="19" t="s">
        <v>1212</v>
      </c>
      <c r="C49" s="15" t="s">
        <v>1213</v>
      </c>
      <c r="D49" s="15" t="s">
        <v>314</v>
      </c>
      <c r="E49" s="20">
        <v>1066196</v>
      </c>
      <c r="F49" s="21">
        <v>19768.34</v>
      </c>
      <c r="G49" s="22">
        <v>7.3000000000000001E-3</v>
      </c>
      <c r="H49" s="40"/>
      <c r="I49" s="24"/>
      <c r="J49" s="5"/>
    </row>
    <row r="50" spans="1:10" ht="13.05" customHeight="1">
      <c r="A50" s="18" t="s">
        <v>1626</v>
      </c>
      <c r="B50" s="19" t="s">
        <v>1627</v>
      </c>
      <c r="C50" s="15" t="s">
        <v>1628</v>
      </c>
      <c r="D50" s="15" t="s">
        <v>415</v>
      </c>
      <c r="E50" s="20">
        <v>1967924</v>
      </c>
      <c r="F50" s="21">
        <v>19455.8806</v>
      </c>
      <c r="G50" s="22">
        <v>7.1999999999999998E-3</v>
      </c>
      <c r="H50" s="40"/>
      <c r="I50" s="24"/>
      <c r="J50" s="5"/>
    </row>
    <row r="51" spans="1:10" ht="13.05" customHeight="1">
      <c r="A51" s="18" t="s">
        <v>1373</v>
      </c>
      <c r="B51" s="19" t="s">
        <v>1374</v>
      </c>
      <c r="C51" s="15" t="s">
        <v>1375</v>
      </c>
      <c r="D51" s="15" t="s">
        <v>329</v>
      </c>
      <c r="E51" s="20">
        <v>705963</v>
      </c>
      <c r="F51" s="21">
        <v>19371.6247</v>
      </c>
      <c r="G51" s="22">
        <v>7.1999999999999998E-3</v>
      </c>
      <c r="H51" s="40"/>
      <c r="I51" s="24"/>
      <c r="J51" s="5"/>
    </row>
    <row r="52" spans="1:10" ht="13.05" customHeight="1">
      <c r="A52" s="18" t="s">
        <v>1214</v>
      </c>
      <c r="B52" s="19" t="s">
        <v>1215</v>
      </c>
      <c r="C52" s="15" t="s">
        <v>1216</v>
      </c>
      <c r="D52" s="15" t="s">
        <v>314</v>
      </c>
      <c r="E52" s="20">
        <v>2540619</v>
      </c>
      <c r="F52" s="21">
        <v>19141.023499999999</v>
      </c>
      <c r="G52" s="22">
        <v>7.1000000000000004E-3</v>
      </c>
      <c r="H52" s="40"/>
      <c r="I52" s="24"/>
      <c r="J52" s="5"/>
    </row>
    <row r="53" spans="1:10" ht="13.05" customHeight="1">
      <c r="A53" s="18" t="s">
        <v>1418</v>
      </c>
      <c r="B53" s="19" t="s">
        <v>1419</v>
      </c>
      <c r="C53" s="15" t="s">
        <v>1420</v>
      </c>
      <c r="D53" s="15" t="s">
        <v>464</v>
      </c>
      <c r="E53" s="20">
        <v>11311741</v>
      </c>
      <c r="F53" s="21">
        <v>18302.3969</v>
      </c>
      <c r="G53" s="22">
        <v>6.7999999999999996E-3</v>
      </c>
      <c r="H53" s="40"/>
      <c r="I53" s="24"/>
      <c r="J53" s="5"/>
    </row>
    <row r="54" spans="1:10" ht="13.05" customHeight="1">
      <c r="A54" s="18" t="s">
        <v>822</v>
      </c>
      <c r="B54" s="19" t="s">
        <v>823</v>
      </c>
      <c r="C54" s="15" t="s">
        <v>824</v>
      </c>
      <c r="D54" s="15" t="s">
        <v>300</v>
      </c>
      <c r="E54" s="20">
        <v>6720084</v>
      </c>
      <c r="F54" s="21">
        <v>18177.155200000001</v>
      </c>
      <c r="G54" s="22">
        <v>6.7000000000000002E-3</v>
      </c>
      <c r="H54" s="40"/>
      <c r="I54" s="24"/>
      <c r="J54" s="5"/>
    </row>
    <row r="55" spans="1:10" ht="13.05" customHeight="1">
      <c r="A55" s="18" t="s">
        <v>1287</v>
      </c>
      <c r="B55" s="19" t="s">
        <v>1288</v>
      </c>
      <c r="C55" s="15" t="s">
        <v>1289</v>
      </c>
      <c r="D55" s="15" t="s">
        <v>300</v>
      </c>
      <c r="E55" s="20">
        <v>5603959</v>
      </c>
      <c r="F55" s="21">
        <v>17798.1738</v>
      </c>
      <c r="G55" s="22">
        <v>6.6E-3</v>
      </c>
      <c r="H55" s="40"/>
      <c r="I55" s="24"/>
      <c r="J55" s="5"/>
    </row>
    <row r="56" spans="1:10" ht="13.05" customHeight="1">
      <c r="A56" s="18" t="s">
        <v>1486</v>
      </c>
      <c r="B56" s="19" t="s">
        <v>1487</v>
      </c>
      <c r="C56" s="15" t="s">
        <v>1488</v>
      </c>
      <c r="D56" s="15" t="s">
        <v>581</v>
      </c>
      <c r="E56" s="20">
        <v>2578209</v>
      </c>
      <c r="F56" s="21">
        <v>17788.352999999999</v>
      </c>
      <c r="G56" s="22">
        <v>6.6E-3</v>
      </c>
      <c r="H56" s="40"/>
      <c r="I56" s="24"/>
      <c r="J56" s="5"/>
    </row>
    <row r="57" spans="1:10" ht="13.05" customHeight="1">
      <c r="A57" s="18" t="s">
        <v>2432</v>
      </c>
      <c r="B57" s="19" t="s">
        <v>2433</v>
      </c>
      <c r="C57" s="15" t="s">
        <v>2434</v>
      </c>
      <c r="D57" s="15" t="s">
        <v>581</v>
      </c>
      <c r="E57" s="20">
        <v>1217809</v>
      </c>
      <c r="F57" s="21">
        <v>17568.1126</v>
      </c>
      <c r="G57" s="22">
        <v>6.4999999999999997E-3</v>
      </c>
      <c r="H57" s="40"/>
      <c r="I57" s="24"/>
      <c r="J57" s="5"/>
    </row>
    <row r="58" spans="1:10" ht="13.05" customHeight="1">
      <c r="A58" s="18" t="s">
        <v>961</v>
      </c>
      <c r="B58" s="19" t="s">
        <v>962</v>
      </c>
      <c r="C58" s="15" t="s">
        <v>963</v>
      </c>
      <c r="D58" s="15" t="s">
        <v>581</v>
      </c>
      <c r="E58" s="20">
        <v>464211</v>
      </c>
      <c r="F58" s="21">
        <v>17378.203000000001</v>
      </c>
      <c r="G58" s="22">
        <v>6.4000000000000003E-3</v>
      </c>
      <c r="H58" s="40"/>
      <c r="I58" s="24"/>
      <c r="J58" s="5"/>
    </row>
    <row r="59" spans="1:10" ht="13.05" customHeight="1">
      <c r="A59" s="18" t="s">
        <v>774</v>
      </c>
      <c r="B59" s="19" t="s">
        <v>775</v>
      </c>
      <c r="C59" s="15" t="s">
        <v>776</v>
      </c>
      <c r="D59" s="15" t="s">
        <v>475</v>
      </c>
      <c r="E59" s="20">
        <v>554354</v>
      </c>
      <c r="F59" s="21">
        <v>17359.595499999999</v>
      </c>
      <c r="G59" s="22">
        <v>6.4000000000000003E-3</v>
      </c>
      <c r="H59" s="40"/>
      <c r="I59" s="24"/>
      <c r="J59" s="5"/>
    </row>
    <row r="60" spans="1:10" ht="13.05" customHeight="1">
      <c r="A60" s="18" t="s">
        <v>1296</v>
      </c>
      <c r="B60" s="19" t="s">
        <v>1297</v>
      </c>
      <c r="C60" s="15" t="s">
        <v>1298</v>
      </c>
      <c r="D60" s="15" t="s">
        <v>501</v>
      </c>
      <c r="E60" s="20">
        <v>1722073</v>
      </c>
      <c r="F60" s="21">
        <v>17219.007900000001</v>
      </c>
      <c r="G60" s="22">
        <v>6.4000000000000003E-3</v>
      </c>
      <c r="H60" s="40"/>
      <c r="I60" s="24"/>
      <c r="J60" s="5"/>
    </row>
    <row r="61" spans="1:10" ht="13.05" customHeight="1">
      <c r="A61" s="18" t="s">
        <v>4301</v>
      </c>
      <c r="B61" s="19" t="s">
        <v>4302</v>
      </c>
      <c r="C61" s="15" t="s">
        <v>4303</v>
      </c>
      <c r="D61" s="15" t="s">
        <v>758</v>
      </c>
      <c r="E61" s="20">
        <v>2037712</v>
      </c>
      <c r="F61" s="21">
        <v>17083.158599999999</v>
      </c>
      <c r="G61" s="22">
        <v>6.3E-3</v>
      </c>
      <c r="H61" s="40"/>
      <c r="I61" s="24"/>
      <c r="J61" s="5"/>
    </row>
    <row r="62" spans="1:10" ht="13.05" customHeight="1">
      <c r="A62" s="18" t="s">
        <v>986</v>
      </c>
      <c r="B62" s="19" t="s">
        <v>987</v>
      </c>
      <c r="C62" s="15" t="s">
        <v>988</v>
      </c>
      <c r="D62" s="15" t="s">
        <v>445</v>
      </c>
      <c r="E62" s="20">
        <v>194983</v>
      </c>
      <c r="F62" s="21">
        <v>16906.975900000001</v>
      </c>
      <c r="G62" s="22">
        <v>6.1999999999999998E-3</v>
      </c>
      <c r="H62" s="40"/>
      <c r="I62" s="24"/>
      <c r="J62" s="5"/>
    </row>
    <row r="63" spans="1:10" ht="13.05" customHeight="1">
      <c r="A63" s="18" t="s">
        <v>1034</v>
      </c>
      <c r="B63" s="19" t="s">
        <v>1035</v>
      </c>
      <c r="C63" s="15" t="s">
        <v>1036</v>
      </c>
      <c r="D63" s="15" t="s">
        <v>501</v>
      </c>
      <c r="E63" s="20">
        <v>1707646</v>
      </c>
      <c r="F63" s="21">
        <v>16491.591199999999</v>
      </c>
      <c r="G63" s="22">
        <v>6.1000000000000004E-3</v>
      </c>
      <c r="H63" s="40"/>
      <c r="I63" s="24"/>
      <c r="J63" s="5"/>
    </row>
    <row r="64" spans="1:10" ht="13.05" customHeight="1">
      <c r="A64" s="18" t="s">
        <v>1263</v>
      </c>
      <c r="B64" s="19" t="s">
        <v>1264</v>
      </c>
      <c r="C64" s="15" t="s">
        <v>1265</v>
      </c>
      <c r="D64" s="15" t="s">
        <v>541</v>
      </c>
      <c r="E64" s="20">
        <v>2538132</v>
      </c>
      <c r="F64" s="21">
        <v>16355.722599999999</v>
      </c>
      <c r="G64" s="22">
        <v>6.0000000000000001E-3</v>
      </c>
      <c r="H64" s="40"/>
      <c r="I64" s="24"/>
      <c r="J64" s="5"/>
    </row>
    <row r="65" spans="1:10" ht="13.05" customHeight="1">
      <c r="A65" s="18" t="s">
        <v>371</v>
      </c>
      <c r="B65" s="19" t="s">
        <v>372</v>
      </c>
      <c r="C65" s="15" t="s">
        <v>373</v>
      </c>
      <c r="D65" s="15" t="s">
        <v>374</v>
      </c>
      <c r="E65" s="20">
        <v>659598</v>
      </c>
      <c r="F65" s="21">
        <v>16351.4344</v>
      </c>
      <c r="G65" s="22">
        <v>6.0000000000000001E-3</v>
      </c>
      <c r="H65" s="40"/>
      <c r="I65" s="24"/>
      <c r="J65" s="5"/>
    </row>
    <row r="66" spans="1:10" ht="13.05" customHeight="1">
      <c r="A66" s="18" t="s">
        <v>1195</v>
      </c>
      <c r="B66" s="19" t="s">
        <v>1196</v>
      </c>
      <c r="C66" s="15" t="s">
        <v>1197</v>
      </c>
      <c r="D66" s="15" t="s">
        <v>581</v>
      </c>
      <c r="E66" s="20">
        <v>1078851</v>
      </c>
      <c r="F66" s="21">
        <v>16092.1415</v>
      </c>
      <c r="G66" s="22">
        <v>5.8999999999999999E-3</v>
      </c>
      <c r="H66" s="40"/>
      <c r="I66" s="24"/>
      <c r="J66" s="5"/>
    </row>
    <row r="67" spans="1:10" ht="13.05" customHeight="1">
      <c r="A67" s="18" t="s">
        <v>718</v>
      </c>
      <c r="B67" s="19" t="s">
        <v>719</v>
      </c>
      <c r="C67" s="15" t="s">
        <v>720</v>
      </c>
      <c r="D67" s="15" t="s">
        <v>257</v>
      </c>
      <c r="E67" s="20">
        <v>10743897</v>
      </c>
      <c r="F67" s="21">
        <v>15972.9517</v>
      </c>
      <c r="G67" s="22">
        <v>5.8999999999999999E-3</v>
      </c>
      <c r="H67" s="40"/>
      <c r="I67" s="24"/>
      <c r="J67" s="5"/>
    </row>
    <row r="68" spans="1:10" ht="13.05" customHeight="1">
      <c r="A68" s="18" t="s">
        <v>1001</v>
      </c>
      <c r="B68" s="19" t="s">
        <v>1002</v>
      </c>
      <c r="C68" s="15" t="s">
        <v>1003</v>
      </c>
      <c r="D68" s="15" t="s">
        <v>329</v>
      </c>
      <c r="E68" s="20">
        <v>1040464</v>
      </c>
      <c r="F68" s="21">
        <v>15918.0587</v>
      </c>
      <c r="G68" s="22">
        <v>5.8999999999999999E-3</v>
      </c>
      <c r="H68" s="40"/>
      <c r="I68" s="24"/>
      <c r="J68" s="5"/>
    </row>
    <row r="69" spans="1:10" ht="13.05" customHeight="1">
      <c r="A69" s="18" t="s">
        <v>2435</v>
      </c>
      <c r="B69" s="19" t="s">
        <v>2436</v>
      </c>
      <c r="C69" s="15" t="s">
        <v>2437</v>
      </c>
      <c r="D69" s="15" t="s">
        <v>567</v>
      </c>
      <c r="E69" s="20">
        <v>1006025</v>
      </c>
      <c r="F69" s="21">
        <v>15228.2004</v>
      </c>
      <c r="G69" s="22">
        <v>5.5999999999999999E-3</v>
      </c>
      <c r="H69" s="40"/>
      <c r="I69" s="24"/>
      <c r="J69" s="5"/>
    </row>
    <row r="70" spans="1:10" ht="13.05" customHeight="1">
      <c r="A70" s="18" t="s">
        <v>4691</v>
      </c>
      <c r="B70" s="19" t="s">
        <v>4692</v>
      </c>
      <c r="C70" s="15" t="s">
        <v>4693</v>
      </c>
      <c r="D70" s="15" t="s">
        <v>567</v>
      </c>
      <c r="E70" s="20">
        <v>3505127</v>
      </c>
      <c r="F70" s="21">
        <v>15149.1589</v>
      </c>
      <c r="G70" s="22">
        <v>5.5999999999999999E-3</v>
      </c>
      <c r="H70" s="40"/>
      <c r="I70" s="24"/>
      <c r="J70" s="5"/>
    </row>
    <row r="71" spans="1:10" ht="13.05" customHeight="1">
      <c r="A71" s="18" t="s">
        <v>3933</v>
      </c>
      <c r="B71" s="19" t="s">
        <v>3934</v>
      </c>
      <c r="C71" s="15" t="s">
        <v>3935</v>
      </c>
      <c r="D71" s="15" t="s">
        <v>501</v>
      </c>
      <c r="E71" s="20">
        <v>895775</v>
      </c>
      <c r="F71" s="21">
        <v>15130.5355</v>
      </c>
      <c r="G71" s="22">
        <v>5.5999999999999999E-3</v>
      </c>
      <c r="H71" s="40"/>
      <c r="I71" s="24"/>
      <c r="J71" s="5"/>
    </row>
    <row r="72" spans="1:10" ht="13.05" customHeight="1">
      <c r="A72" s="18" t="s">
        <v>1376</v>
      </c>
      <c r="B72" s="19" t="s">
        <v>1377</v>
      </c>
      <c r="C72" s="15" t="s">
        <v>1378</v>
      </c>
      <c r="D72" s="15" t="s">
        <v>545</v>
      </c>
      <c r="E72" s="20">
        <v>1157462</v>
      </c>
      <c r="F72" s="21">
        <v>14779.632299999999</v>
      </c>
      <c r="G72" s="22">
        <v>5.4999999999999997E-3</v>
      </c>
      <c r="H72" s="40"/>
      <c r="I72" s="24"/>
      <c r="J72" s="5"/>
    </row>
    <row r="73" spans="1:10" ht="13.05" customHeight="1">
      <c r="A73" s="18" t="s">
        <v>1848</v>
      </c>
      <c r="B73" s="19" t="s">
        <v>1849</v>
      </c>
      <c r="C73" s="15" t="s">
        <v>1850</v>
      </c>
      <c r="D73" s="15" t="s">
        <v>304</v>
      </c>
      <c r="E73" s="20">
        <v>2914727</v>
      </c>
      <c r="F73" s="21">
        <v>14656.7047</v>
      </c>
      <c r="G73" s="22">
        <v>5.4000000000000003E-3</v>
      </c>
      <c r="H73" s="40"/>
      <c r="I73" s="24"/>
      <c r="J73" s="5"/>
    </row>
    <row r="74" spans="1:10" ht="13.05" customHeight="1">
      <c r="A74" s="18" t="s">
        <v>1409</v>
      </c>
      <c r="B74" s="19" t="s">
        <v>1410</v>
      </c>
      <c r="C74" s="15" t="s">
        <v>1411</v>
      </c>
      <c r="D74" s="15" t="s">
        <v>464</v>
      </c>
      <c r="E74" s="20">
        <v>1533836</v>
      </c>
      <c r="F74" s="21">
        <v>14567.607400000001</v>
      </c>
      <c r="G74" s="22">
        <v>5.4000000000000003E-3</v>
      </c>
      <c r="H74" s="40"/>
      <c r="I74" s="24"/>
      <c r="J74" s="5"/>
    </row>
    <row r="75" spans="1:10" ht="13.05" customHeight="1">
      <c r="A75" s="18" t="s">
        <v>1543</v>
      </c>
      <c r="B75" s="19" t="s">
        <v>1544</v>
      </c>
      <c r="C75" s="15" t="s">
        <v>1545</v>
      </c>
      <c r="D75" s="15" t="s">
        <v>464</v>
      </c>
      <c r="E75" s="20">
        <v>978007</v>
      </c>
      <c r="F75" s="21">
        <v>14505.799800000001</v>
      </c>
      <c r="G75" s="22">
        <v>5.4000000000000003E-3</v>
      </c>
      <c r="H75" s="40"/>
      <c r="I75" s="24"/>
      <c r="J75" s="5"/>
    </row>
    <row r="76" spans="1:10" ht="13.05" customHeight="1">
      <c r="A76" s="18" t="s">
        <v>1052</v>
      </c>
      <c r="B76" s="19" t="s">
        <v>1053</v>
      </c>
      <c r="C76" s="15" t="s">
        <v>1054</v>
      </c>
      <c r="D76" s="15" t="s">
        <v>445</v>
      </c>
      <c r="E76" s="20">
        <v>1322455</v>
      </c>
      <c r="F76" s="21">
        <v>14457.078100000001</v>
      </c>
      <c r="G76" s="22">
        <v>5.3E-3</v>
      </c>
      <c r="H76" s="40"/>
      <c r="I76" s="24"/>
      <c r="J76" s="5"/>
    </row>
    <row r="77" spans="1:10" ht="13.05" customHeight="1">
      <c r="A77" s="18" t="s">
        <v>4694</v>
      </c>
      <c r="B77" s="19" t="s">
        <v>4695</v>
      </c>
      <c r="C77" s="15" t="s">
        <v>4696</v>
      </c>
      <c r="D77" s="15" t="s">
        <v>325</v>
      </c>
      <c r="E77" s="20">
        <v>6742466</v>
      </c>
      <c r="F77" s="21">
        <v>14082.3145</v>
      </c>
      <c r="G77" s="22">
        <v>5.1999999999999998E-3</v>
      </c>
      <c r="H77" s="40"/>
      <c r="I77" s="24"/>
      <c r="J77" s="5"/>
    </row>
    <row r="78" spans="1:10" ht="13.05" customHeight="1">
      <c r="A78" s="18" t="s">
        <v>1174</v>
      </c>
      <c r="B78" s="19" t="s">
        <v>1175</v>
      </c>
      <c r="C78" s="15" t="s">
        <v>1176</v>
      </c>
      <c r="D78" s="15" t="s">
        <v>501</v>
      </c>
      <c r="E78" s="20">
        <v>1560588</v>
      </c>
      <c r="F78" s="21">
        <v>14053.0949</v>
      </c>
      <c r="G78" s="22">
        <v>5.1999999999999998E-3</v>
      </c>
      <c r="H78" s="40"/>
      <c r="I78" s="24"/>
      <c r="J78" s="5"/>
    </row>
    <row r="79" spans="1:10" ht="13.05" customHeight="1">
      <c r="A79" s="18" t="s">
        <v>1349</v>
      </c>
      <c r="B79" s="19" t="s">
        <v>1350</v>
      </c>
      <c r="C79" s="15" t="s">
        <v>1351</v>
      </c>
      <c r="D79" s="15" t="s">
        <v>1068</v>
      </c>
      <c r="E79" s="20">
        <v>849601</v>
      </c>
      <c r="F79" s="21">
        <v>13983.582899999999</v>
      </c>
      <c r="G79" s="22">
        <v>5.1999999999999998E-3</v>
      </c>
      <c r="H79" s="40"/>
      <c r="I79" s="24"/>
      <c r="J79" s="5"/>
    </row>
    <row r="80" spans="1:10" ht="13.05" customHeight="1">
      <c r="A80" s="18" t="s">
        <v>931</v>
      </c>
      <c r="B80" s="19" t="s">
        <v>932</v>
      </c>
      <c r="C80" s="15" t="s">
        <v>933</v>
      </c>
      <c r="D80" s="15" t="s">
        <v>325</v>
      </c>
      <c r="E80" s="20">
        <v>172996</v>
      </c>
      <c r="F80" s="21">
        <v>13902.8235</v>
      </c>
      <c r="G80" s="22">
        <v>5.1000000000000004E-3</v>
      </c>
      <c r="H80" s="40"/>
      <c r="I80" s="24"/>
      <c r="J80" s="5"/>
    </row>
    <row r="81" spans="1:10" ht="13.05" customHeight="1">
      <c r="A81" s="18" t="s">
        <v>287</v>
      </c>
      <c r="B81" s="19" t="s">
        <v>288</v>
      </c>
      <c r="C81" s="15" t="s">
        <v>289</v>
      </c>
      <c r="D81" s="15" t="s">
        <v>272</v>
      </c>
      <c r="E81" s="20">
        <v>437254</v>
      </c>
      <c r="F81" s="21">
        <v>13371.2273</v>
      </c>
      <c r="G81" s="22">
        <v>4.8999999999999998E-3</v>
      </c>
      <c r="H81" s="40"/>
      <c r="I81" s="24"/>
      <c r="J81" s="5"/>
    </row>
    <row r="82" spans="1:10" ht="13.05" customHeight="1">
      <c r="A82" s="18" t="s">
        <v>4670</v>
      </c>
      <c r="B82" s="19" t="s">
        <v>4671</v>
      </c>
      <c r="C82" s="15" t="s">
        <v>4672</v>
      </c>
      <c r="D82" s="15" t="s">
        <v>272</v>
      </c>
      <c r="E82" s="20">
        <v>2090422</v>
      </c>
      <c r="F82" s="21">
        <v>13342.118399999999</v>
      </c>
      <c r="G82" s="22">
        <v>4.8999999999999998E-3</v>
      </c>
      <c r="H82" s="40"/>
      <c r="I82" s="24"/>
      <c r="J82" s="5"/>
    </row>
    <row r="83" spans="1:10" ht="13.05" customHeight="1">
      <c r="A83" s="18" t="s">
        <v>1594</v>
      </c>
      <c r="B83" s="19" t="s">
        <v>1595</v>
      </c>
      <c r="C83" s="15" t="s">
        <v>1596</v>
      </c>
      <c r="D83" s="15" t="s">
        <v>501</v>
      </c>
      <c r="E83" s="20">
        <v>941352</v>
      </c>
      <c r="F83" s="21">
        <v>13291.8902</v>
      </c>
      <c r="G83" s="22">
        <v>4.8999999999999998E-3</v>
      </c>
      <c r="H83" s="40"/>
      <c r="I83" s="24"/>
      <c r="J83" s="5"/>
    </row>
    <row r="84" spans="1:10" ht="13.05" customHeight="1">
      <c r="A84" s="18" t="s">
        <v>1585</v>
      </c>
      <c r="B84" s="19" t="s">
        <v>1586</v>
      </c>
      <c r="C84" s="15" t="s">
        <v>1587</v>
      </c>
      <c r="D84" s="15" t="s">
        <v>314</v>
      </c>
      <c r="E84" s="20">
        <v>1455416</v>
      </c>
      <c r="F84" s="21">
        <v>13060.903200000001</v>
      </c>
      <c r="G84" s="22">
        <v>4.7999999999999996E-3</v>
      </c>
      <c r="H84" s="40"/>
      <c r="I84" s="24"/>
      <c r="J84" s="5"/>
    </row>
    <row r="85" spans="1:10" ht="13.05" customHeight="1">
      <c r="A85" s="18" t="s">
        <v>432</v>
      </c>
      <c r="B85" s="19" t="s">
        <v>433</v>
      </c>
      <c r="C85" s="15" t="s">
        <v>434</v>
      </c>
      <c r="D85" s="15" t="s">
        <v>435</v>
      </c>
      <c r="E85" s="20">
        <v>1102866</v>
      </c>
      <c r="F85" s="21">
        <v>12848.3889</v>
      </c>
      <c r="G85" s="22">
        <v>4.7000000000000002E-3</v>
      </c>
      <c r="H85" s="40"/>
      <c r="I85" s="24"/>
      <c r="J85" s="5"/>
    </row>
    <row r="86" spans="1:10" ht="13.05" customHeight="1">
      <c r="A86" s="18" t="s">
        <v>3620</v>
      </c>
      <c r="B86" s="19" t="s">
        <v>3621</v>
      </c>
      <c r="C86" s="15" t="s">
        <v>3622</v>
      </c>
      <c r="D86" s="15" t="s">
        <v>304</v>
      </c>
      <c r="E86" s="20">
        <v>2210874</v>
      </c>
      <c r="F86" s="21">
        <v>12691.522199999999</v>
      </c>
      <c r="G86" s="22">
        <v>4.7000000000000002E-3</v>
      </c>
      <c r="H86" s="40"/>
      <c r="I86" s="24"/>
      <c r="J86" s="5"/>
    </row>
    <row r="87" spans="1:10" ht="13.05" customHeight="1">
      <c r="A87" s="18" t="s">
        <v>3581</v>
      </c>
      <c r="B87" s="19" t="s">
        <v>3582</v>
      </c>
      <c r="C87" s="15" t="s">
        <v>3583</v>
      </c>
      <c r="D87" s="15" t="s">
        <v>415</v>
      </c>
      <c r="E87" s="20">
        <v>1690271</v>
      </c>
      <c r="F87" s="21">
        <v>12628.8598</v>
      </c>
      <c r="G87" s="22">
        <v>4.7000000000000002E-3</v>
      </c>
      <c r="H87" s="40"/>
      <c r="I87" s="24"/>
      <c r="J87" s="5"/>
    </row>
    <row r="88" spans="1:10" ht="13.05" customHeight="1">
      <c r="A88" s="18" t="s">
        <v>4697</v>
      </c>
      <c r="B88" s="19" t="s">
        <v>4698</v>
      </c>
      <c r="C88" s="15" t="s">
        <v>4699</v>
      </c>
      <c r="D88" s="15" t="s">
        <v>541</v>
      </c>
      <c r="E88" s="20">
        <v>3229065</v>
      </c>
      <c r="F88" s="21">
        <v>12457.7328</v>
      </c>
      <c r="G88" s="22">
        <v>4.5999999999999999E-3</v>
      </c>
      <c r="H88" s="40"/>
      <c r="I88" s="24"/>
      <c r="J88" s="5"/>
    </row>
    <row r="89" spans="1:10" ht="13.05" customHeight="1">
      <c r="A89" s="18" t="s">
        <v>392</v>
      </c>
      <c r="B89" s="19" t="s">
        <v>393</v>
      </c>
      <c r="C89" s="15" t="s">
        <v>394</v>
      </c>
      <c r="D89" s="15" t="s">
        <v>272</v>
      </c>
      <c r="E89" s="20">
        <v>868319</v>
      </c>
      <c r="F89" s="21">
        <v>12368.335800000001</v>
      </c>
      <c r="G89" s="22">
        <v>4.5999999999999999E-3</v>
      </c>
      <c r="H89" s="40"/>
      <c r="I89" s="24"/>
      <c r="J89" s="5"/>
    </row>
    <row r="90" spans="1:10" ht="13.05" customHeight="1">
      <c r="A90" s="18" t="s">
        <v>341</v>
      </c>
      <c r="B90" s="19" t="s">
        <v>342</v>
      </c>
      <c r="C90" s="15" t="s">
        <v>343</v>
      </c>
      <c r="D90" s="15" t="s">
        <v>344</v>
      </c>
      <c r="E90" s="20">
        <v>1430102</v>
      </c>
      <c r="F90" s="21">
        <v>12125.1198</v>
      </c>
      <c r="G90" s="22">
        <v>4.4999999999999997E-3</v>
      </c>
      <c r="H90" s="40"/>
      <c r="I90" s="24"/>
      <c r="J90" s="5"/>
    </row>
    <row r="91" spans="1:10" ht="13.05" customHeight="1">
      <c r="A91" s="18" t="s">
        <v>810</v>
      </c>
      <c r="B91" s="19" t="s">
        <v>811</v>
      </c>
      <c r="C91" s="15" t="s">
        <v>812</v>
      </c>
      <c r="D91" s="15" t="s">
        <v>567</v>
      </c>
      <c r="E91" s="20">
        <v>976563</v>
      </c>
      <c r="F91" s="21">
        <v>12062.5062</v>
      </c>
      <c r="G91" s="22">
        <v>4.4999999999999997E-3</v>
      </c>
      <c r="H91" s="40"/>
      <c r="I91" s="24"/>
      <c r="J91" s="5"/>
    </row>
    <row r="92" spans="1:10" ht="13.05" customHeight="1">
      <c r="A92" s="18" t="s">
        <v>3936</v>
      </c>
      <c r="B92" s="19" t="s">
        <v>3937</v>
      </c>
      <c r="C92" s="15" t="s">
        <v>3938</v>
      </c>
      <c r="D92" s="15" t="s">
        <v>567</v>
      </c>
      <c r="E92" s="20">
        <v>9812900</v>
      </c>
      <c r="F92" s="21">
        <v>11971.737999999999</v>
      </c>
      <c r="G92" s="22">
        <v>4.4000000000000003E-3</v>
      </c>
      <c r="H92" s="40"/>
      <c r="I92" s="24"/>
      <c r="J92" s="5"/>
    </row>
    <row r="93" spans="1:10" ht="13.05" customHeight="1">
      <c r="A93" s="18" t="s">
        <v>258</v>
      </c>
      <c r="B93" s="19" t="s">
        <v>259</v>
      </c>
      <c r="C93" s="15" t="s">
        <v>260</v>
      </c>
      <c r="D93" s="15" t="s">
        <v>261</v>
      </c>
      <c r="E93" s="20">
        <v>794177</v>
      </c>
      <c r="F93" s="21">
        <v>11804.6469</v>
      </c>
      <c r="G93" s="22">
        <v>4.4000000000000003E-3</v>
      </c>
      <c r="H93" s="40"/>
      <c r="I93" s="24"/>
      <c r="J93" s="5"/>
    </row>
    <row r="94" spans="1:10" ht="13.05" customHeight="1">
      <c r="A94" s="18" t="s">
        <v>1558</v>
      </c>
      <c r="B94" s="19" t="s">
        <v>1559</v>
      </c>
      <c r="C94" s="15" t="s">
        <v>1560</v>
      </c>
      <c r="D94" s="15" t="s">
        <v>435</v>
      </c>
      <c r="E94" s="20">
        <v>2571523</v>
      </c>
      <c r="F94" s="21">
        <v>11802.004800000001</v>
      </c>
      <c r="G94" s="22">
        <v>4.4000000000000003E-3</v>
      </c>
      <c r="H94" s="40"/>
      <c r="I94" s="24"/>
      <c r="J94" s="5"/>
    </row>
    <row r="95" spans="1:10" ht="13.05" customHeight="1">
      <c r="A95" s="18" t="s">
        <v>1400</v>
      </c>
      <c r="B95" s="19" t="s">
        <v>1401</v>
      </c>
      <c r="C95" s="15" t="s">
        <v>1402</v>
      </c>
      <c r="D95" s="15" t="s">
        <v>415</v>
      </c>
      <c r="E95" s="20">
        <v>853305</v>
      </c>
      <c r="F95" s="21">
        <v>11685.1587</v>
      </c>
      <c r="G95" s="22">
        <v>4.3E-3</v>
      </c>
      <c r="H95" s="40"/>
      <c r="I95" s="24"/>
      <c r="J95" s="5"/>
    </row>
    <row r="96" spans="1:10" ht="13.05" customHeight="1">
      <c r="A96" s="18" t="s">
        <v>4700</v>
      </c>
      <c r="B96" s="19" t="s">
        <v>4701</v>
      </c>
      <c r="C96" s="15" t="s">
        <v>4702</v>
      </c>
      <c r="D96" s="15" t="s">
        <v>581</v>
      </c>
      <c r="E96" s="20">
        <v>2344809</v>
      </c>
      <c r="F96" s="21">
        <v>10856.465700000001</v>
      </c>
      <c r="G96" s="22">
        <v>4.0000000000000001E-3</v>
      </c>
      <c r="H96" s="40"/>
      <c r="I96" s="24"/>
      <c r="J96" s="5"/>
    </row>
    <row r="97" spans="1:10" ht="13.05" customHeight="1">
      <c r="A97" s="18" t="s">
        <v>4703</v>
      </c>
      <c r="B97" s="19" t="s">
        <v>4704</v>
      </c>
      <c r="C97" s="15" t="s">
        <v>4705</v>
      </c>
      <c r="D97" s="15" t="s">
        <v>276</v>
      </c>
      <c r="E97" s="20">
        <v>3805180</v>
      </c>
      <c r="F97" s="21">
        <v>10671.6273</v>
      </c>
      <c r="G97" s="22">
        <v>3.8999999999999998E-3</v>
      </c>
      <c r="H97" s="40"/>
      <c r="I97" s="24"/>
      <c r="J97" s="5"/>
    </row>
    <row r="98" spans="1:10" ht="13.05" customHeight="1">
      <c r="A98" s="18" t="s">
        <v>1561</v>
      </c>
      <c r="B98" s="19" t="s">
        <v>1562</v>
      </c>
      <c r="C98" s="15" t="s">
        <v>1563</v>
      </c>
      <c r="D98" s="15" t="s">
        <v>405</v>
      </c>
      <c r="E98" s="20">
        <v>13847059</v>
      </c>
      <c r="F98" s="21">
        <v>10393.602500000001</v>
      </c>
      <c r="G98" s="22">
        <v>3.8E-3</v>
      </c>
      <c r="H98" s="40"/>
      <c r="I98" s="24"/>
      <c r="J98" s="5"/>
    </row>
    <row r="99" spans="1:10" ht="13.05" customHeight="1">
      <c r="A99" s="18" t="s">
        <v>4706</v>
      </c>
      <c r="B99" s="19" t="s">
        <v>4707</v>
      </c>
      <c r="C99" s="15" t="s">
        <v>4708</v>
      </c>
      <c r="D99" s="15" t="s">
        <v>257</v>
      </c>
      <c r="E99" s="20">
        <v>19971447</v>
      </c>
      <c r="F99" s="21">
        <v>10353.1981</v>
      </c>
      <c r="G99" s="22">
        <v>3.8E-3</v>
      </c>
      <c r="H99" s="40"/>
      <c r="I99" s="24"/>
      <c r="J99" s="5"/>
    </row>
    <row r="100" spans="1:10" ht="13.05" customHeight="1">
      <c r="A100" s="18" t="s">
        <v>1126</v>
      </c>
      <c r="B100" s="19" t="s">
        <v>1127</v>
      </c>
      <c r="C100" s="15" t="s">
        <v>1128</v>
      </c>
      <c r="D100" s="15" t="s">
        <v>501</v>
      </c>
      <c r="E100" s="20">
        <v>328425</v>
      </c>
      <c r="F100" s="21">
        <v>10325.682000000001</v>
      </c>
      <c r="G100" s="22">
        <v>3.8E-3</v>
      </c>
      <c r="H100" s="40"/>
      <c r="I100" s="24"/>
      <c r="J100" s="5"/>
    </row>
    <row r="101" spans="1:10" ht="13.05" customHeight="1">
      <c r="A101" s="18" t="s">
        <v>4709</v>
      </c>
      <c r="B101" s="19" t="s">
        <v>4710</v>
      </c>
      <c r="C101" s="15" t="s">
        <v>4711</v>
      </c>
      <c r="D101" s="15" t="s">
        <v>337</v>
      </c>
      <c r="E101" s="20">
        <v>5040690</v>
      </c>
      <c r="F101" s="21">
        <v>9902.9395999999997</v>
      </c>
      <c r="G101" s="22">
        <v>3.7000000000000002E-3</v>
      </c>
      <c r="H101" s="40"/>
      <c r="I101" s="24"/>
      <c r="J101" s="5"/>
    </row>
    <row r="102" spans="1:10" ht="13.05" customHeight="1">
      <c r="A102" s="18" t="s">
        <v>1450</v>
      </c>
      <c r="B102" s="19" t="s">
        <v>1451</v>
      </c>
      <c r="C102" s="15" t="s">
        <v>1452</v>
      </c>
      <c r="D102" s="15" t="s">
        <v>272</v>
      </c>
      <c r="E102" s="20">
        <v>2663979</v>
      </c>
      <c r="F102" s="21">
        <v>9899.3459999999995</v>
      </c>
      <c r="G102" s="22">
        <v>3.7000000000000002E-3</v>
      </c>
      <c r="H102" s="40"/>
      <c r="I102" s="24"/>
      <c r="J102" s="5"/>
    </row>
    <row r="103" spans="1:10" ht="13.05" customHeight="1">
      <c r="A103" s="18" t="s">
        <v>919</v>
      </c>
      <c r="B103" s="19" t="s">
        <v>920</v>
      </c>
      <c r="C103" s="15" t="s">
        <v>921</v>
      </c>
      <c r="D103" s="15" t="s">
        <v>300</v>
      </c>
      <c r="E103" s="20">
        <v>1059900</v>
      </c>
      <c r="F103" s="21">
        <v>9843.2913000000008</v>
      </c>
      <c r="G103" s="22">
        <v>3.5999999999999999E-3</v>
      </c>
      <c r="H103" s="40"/>
      <c r="I103" s="24"/>
      <c r="J103" s="5"/>
    </row>
    <row r="104" spans="1:10" ht="13.05" customHeight="1">
      <c r="A104" s="18" t="s">
        <v>1266</v>
      </c>
      <c r="B104" s="19" t="s">
        <v>1267</v>
      </c>
      <c r="C104" s="15" t="s">
        <v>1268</v>
      </c>
      <c r="D104" s="15" t="s">
        <v>325</v>
      </c>
      <c r="E104" s="20">
        <v>694567</v>
      </c>
      <c r="F104" s="21">
        <v>9717.6869000000006</v>
      </c>
      <c r="G104" s="22">
        <v>3.5999999999999999E-3</v>
      </c>
      <c r="H104" s="40"/>
      <c r="I104" s="24"/>
      <c r="J104" s="5"/>
    </row>
    <row r="105" spans="1:10" ht="13.05" customHeight="1">
      <c r="A105" s="18" t="s">
        <v>1370</v>
      </c>
      <c r="B105" s="19" t="s">
        <v>1371</v>
      </c>
      <c r="C105" s="15" t="s">
        <v>1372</v>
      </c>
      <c r="D105" s="15" t="s">
        <v>846</v>
      </c>
      <c r="E105" s="20">
        <v>1106869</v>
      </c>
      <c r="F105" s="21">
        <v>9563.3482000000004</v>
      </c>
      <c r="G105" s="22">
        <v>3.5000000000000001E-3</v>
      </c>
      <c r="H105" s="40"/>
      <c r="I105" s="24"/>
      <c r="J105" s="5"/>
    </row>
    <row r="106" spans="1:10" ht="13.05" customHeight="1">
      <c r="A106" s="18" t="s">
        <v>619</v>
      </c>
      <c r="B106" s="19" t="s">
        <v>620</v>
      </c>
      <c r="C106" s="15" t="s">
        <v>621</v>
      </c>
      <c r="D106" s="15" t="s">
        <v>325</v>
      </c>
      <c r="E106" s="20">
        <v>635613</v>
      </c>
      <c r="F106" s="21">
        <v>9495.4225999999999</v>
      </c>
      <c r="G106" s="22">
        <v>3.5000000000000001E-3</v>
      </c>
      <c r="H106" s="40"/>
      <c r="I106" s="24"/>
      <c r="J106" s="5"/>
    </row>
    <row r="107" spans="1:10" ht="13.05" customHeight="1">
      <c r="A107" s="18" t="s">
        <v>4712</v>
      </c>
      <c r="B107" s="19" t="s">
        <v>4713</v>
      </c>
      <c r="C107" s="15" t="s">
        <v>4714</v>
      </c>
      <c r="D107" s="15" t="s">
        <v>422</v>
      </c>
      <c r="E107" s="20">
        <v>2456262</v>
      </c>
      <c r="F107" s="21">
        <v>9482.3994999999995</v>
      </c>
      <c r="G107" s="22">
        <v>3.5000000000000001E-3</v>
      </c>
      <c r="H107" s="40"/>
      <c r="I107" s="24"/>
      <c r="J107" s="5"/>
    </row>
    <row r="108" spans="1:10" ht="13.05" customHeight="1">
      <c r="A108" s="18" t="s">
        <v>4715</v>
      </c>
      <c r="B108" s="19" t="s">
        <v>4716</v>
      </c>
      <c r="C108" s="15" t="s">
        <v>4717</v>
      </c>
      <c r="D108" s="15" t="s">
        <v>567</v>
      </c>
      <c r="E108" s="20">
        <v>1011361</v>
      </c>
      <c r="F108" s="21">
        <v>9392.5095999999994</v>
      </c>
      <c r="G108" s="22">
        <v>3.5000000000000001E-3</v>
      </c>
      <c r="H108" s="40"/>
      <c r="I108" s="24"/>
      <c r="J108" s="5"/>
    </row>
    <row r="109" spans="1:10" ht="13.05" customHeight="1">
      <c r="A109" s="18" t="s">
        <v>1326</v>
      </c>
      <c r="B109" s="19" t="s">
        <v>1327</v>
      </c>
      <c r="C109" s="15" t="s">
        <v>1328</v>
      </c>
      <c r="D109" s="15" t="s">
        <v>1068</v>
      </c>
      <c r="E109" s="20">
        <v>17433080</v>
      </c>
      <c r="F109" s="21">
        <v>9159.3402000000006</v>
      </c>
      <c r="G109" s="22">
        <v>3.3999999999999998E-3</v>
      </c>
      <c r="H109" s="40"/>
      <c r="I109" s="24"/>
      <c r="J109" s="5"/>
    </row>
    <row r="110" spans="1:10" ht="13.05" customHeight="1">
      <c r="A110" s="18" t="s">
        <v>616</v>
      </c>
      <c r="B110" s="19" t="s">
        <v>617</v>
      </c>
      <c r="C110" s="15" t="s">
        <v>618</v>
      </c>
      <c r="D110" s="15" t="s">
        <v>445</v>
      </c>
      <c r="E110" s="20">
        <v>296226</v>
      </c>
      <c r="F110" s="21">
        <v>8997.5684999999994</v>
      </c>
      <c r="G110" s="22">
        <v>3.3E-3</v>
      </c>
      <c r="H110" s="40"/>
      <c r="I110" s="24"/>
      <c r="J110" s="5"/>
    </row>
    <row r="111" spans="1:10" ht="13.05" customHeight="1">
      <c r="A111" s="18" t="s">
        <v>949</v>
      </c>
      <c r="B111" s="19" t="s">
        <v>950</v>
      </c>
      <c r="C111" s="15" t="s">
        <v>951</v>
      </c>
      <c r="D111" s="15" t="s">
        <v>314</v>
      </c>
      <c r="E111" s="20">
        <v>458035</v>
      </c>
      <c r="F111" s="21">
        <v>8835.0370999999996</v>
      </c>
      <c r="G111" s="22">
        <v>3.3E-3</v>
      </c>
      <c r="H111" s="40"/>
      <c r="I111" s="24"/>
      <c r="J111" s="5"/>
    </row>
    <row r="112" spans="1:10" ht="13.05" customHeight="1">
      <c r="A112" s="18" t="s">
        <v>1662</v>
      </c>
      <c r="B112" s="19" t="s">
        <v>1663</v>
      </c>
      <c r="C112" s="15" t="s">
        <v>1664</v>
      </c>
      <c r="D112" s="15" t="s">
        <v>1616</v>
      </c>
      <c r="E112" s="20">
        <v>2803873</v>
      </c>
      <c r="F112" s="21">
        <v>8818.1805999999997</v>
      </c>
      <c r="G112" s="22">
        <v>3.3E-3</v>
      </c>
      <c r="H112" s="40"/>
      <c r="I112" s="24"/>
      <c r="J112" s="5"/>
    </row>
    <row r="113" spans="1:10" ht="13.05" customHeight="1">
      <c r="A113" s="18" t="s">
        <v>1114</v>
      </c>
      <c r="B113" s="19" t="s">
        <v>1115</v>
      </c>
      <c r="C113" s="15" t="s">
        <v>1116</v>
      </c>
      <c r="D113" s="15" t="s">
        <v>321</v>
      </c>
      <c r="E113" s="20">
        <v>4813264</v>
      </c>
      <c r="F113" s="21">
        <v>8661.9498999999996</v>
      </c>
      <c r="G113" s="22">
        <v>3.2000000000000002E-3</v>
      </c>
      <c r="H113" s="40"/>
      <c r="I113" s="24"/>
      <c r="J113" s="5"/>
    </row>
    <row r="114" spans="1:10" ht="13.05" customHeight="1">
      <c r="A114" s="18" t="s">
        <v>1388</v>
      </c>
      <c r="B114" s="19" t="s">
        <v>1389</v>
      </c>
      <c r="C114" s="15" t="s">
        <v>1390</v>
      </c>
      <c r="D114" s="15" t="s">
        <v>846</v>
      </c>
      <c r="E114" s="20">
        <v>932832</v>
      </c>
      <c r="F114" s="21">
        <v>8251.3654999999999</v>
      </c>
      <c r="G114" s="22">
        <v>3.0000000000000001E-3</v>
      </c>
      <c r="H114" s="40"/>
      <c r="I114" s="24"/>
      <c r="J114" s="5"/>
    </row>
    <row r="115" spans="1:10" ht="13.05" customHeight="1">
      <c r="A115" s="18" t="s">
        <v>1474</v>
      </c>
      <c r="B115" s="19" t="s">
        <v>1475</v>
      </c>
      <c r="C115" s="15" t="s">
        <v>1476</v>
      </c>
      <c r="D115" s="15" t="s">
        <v>300</v>
      </c>
      <c r="E115" s="20">
        <v>4765585</v>
      </c>
      <c r="F115" s="21">
        <v>7816.5124999999998</v>
      </c>
      <c r="G115" s="22">
        <v>2.8999999999999998E-3</v>
      </c>
      <c r="H115" s="40"/>
      <c r="I115" s="24"/>
      <c r="J115" s="5"/>
    </row>
    <row r="116" spans="1:10" ht="13.05" customHeight="1">
      <c r="A116" s="18" t="s">
        <v>1120</v>
      </c>
      <c r="B116" s="19" t="s">
        <v>1121</v>
      </c>
      <c r="C116" s="15" t="s">
        <v>1122</v>
      </c>
      <c r="D116" s="15" t="s">
        <v>970</v>
      </c>
      <c r="E116" s="20">
        <v>2205999</v>
      </c>
      <c r="F116" s="21">
        <v>7807.0304999999998</v>
      </c>
      <c r="G116" s="22">
        <v>2.8999999999999998E-3</v>
      </c>
      <c r="H116" s="40"/>
      <c r="I116" s="24"/>
      <c r="J116" s="5"/>
    </row>
    <row r="117" spans="1:10" ht="13.05" customHeight="1">
      <c r="A117" s="18" t="s">
        <v>1656</v>
      </c>
      <c r="B117" s="19" t="s">
        <v>1657</v>
      </c>
      <c r="C117" s="15" t="s">
        <v>1658</v>
      </c>
      <c r="D117" s="15" t="s">
        <v>300</v>
      </c>
      <c r="E117" s="20">
        <v>6390734</v>
      </c>
      <c r="F117" s="21">
        <v>7290.5492999999997</v>
      </c>
      <c r="G117" s="22">
        <v>2.7000000000000001E-3</v>
      </c>
      <c r="H117" s="40"/>
      <c r="I117" s="24"/>
      <c r="J117" s="5"/>
    </row>
    <row r="118" spans="1:10" ht="13.05" customHeight="1">
      <c r="A118" s="18" t="s">
        <v>1299</v>
      </c>
      <c r="B118" s="19" t="s">
        <v>1300</v>
      </c>
      <c r="C118" s="15" t="s">
        <v>1301</v>
      </c>
      <c r="D118" s="15" t="s">
        <v>325</v>
      </c>
      <c r="E118" s="20">
        <v>1241883</v>
      </c>
      <c r="F118" s="21">
        <v>7090.5309999999999</v>
      </c>
      <c r="G118" s="22">
        <v>2.5999999999999999E-3</v>
      </c>
      <c r="H118" s="40"/>
      <c r="I118" s="24"/>
      <c r="J118" s="5"/>
    </row>
    <row r="119" spans="1:10" ht="13.05" customHeight="1">
      <c r="A119" s="18" t="s">
        <v>4718</v>
      </c>
      <c r="B119" s="19" t="s">
        <v>4719</v>
      </c>
      <c r="C119" s="15" t="s">
        <v>4720</v>
      </c>
      <c r="D119" s="15" t="s">
        <v>276</v>
      </c>
      <c r="E119" s="20">
        <v>3873356</v>
      </c>
      <c r="F119" s="21">
        <v>7019.6831000000002</v>
      </c>
      <c r="G119" s="22">
        <v>2.5999999999999999E-3</v>
      </c>
      <c r="H119" s="40"/>
      <c r="I119" s="24"/>
      <c r="J119" s="5"/>
    </row>
    <row r="120" spans="1:10" ht="13.05" customHeight="1">
      <c r="A120" s="18" t="s">
        <v>789</v>
      </c>
      <c r="B120" s="19" t="s">
        <v>790</v>
      </c>
      <c r="C120" s="15" t="s">
        <v>791</v>
      </c>
      <c r="D120" s="15" t="s">
        <v>348</v>
      </c>
      <c r="E120" s="20">
        <v>1495630</v>
      </c>
      <c r="F120" s="21">
        <v>6968.8879999999999</v>
      </c>
      <c r="G120" s="22">
        <v>2.5999999999999999E-3</v>
      </c>
      <c r="H120" s="40"/>
      <c r="I120" s="24"/>
      <c r="J120" s="5"/>
    </row>
    <row r="121" spans="1:10" ht="13.05" customHeight="1">
      <c r="A121" s="18" t="s">
        <v>4298</v>
      </c>
      <c r="B121" s="19" t="s">
        <v>4299</v>
      </c>
      <c r="C121" s="15" t="s">
        <v>4300</v>
      </c>
      <c r="D121" s="15" t="s">
        <v>314</v>
      </c>
      <c r="E121" s="20">
        <v>735028</v>
      </c>
      <c r="F121" s="21">
        <v>6870.3067000000001</v>
      </c>
      <c r="G121" s="22">
        <v>2.5000000000000001E-3</v>
      </c>
      <c r="H121" s="40"/>
      <c r="I121" s="24"/>
      <c r="J121" s="5"/>
    </row>
    <row r="122" spans="1:10" ht="13.05" customHeight="1">
      <c r="A122" s="18" t="s">
        <v>514</v>
      </c>
      <c r="B122" s="19" t="s">
        <v>515</v>
      </c>
      <c r="C122" s="15" t="s">
        <v>516</v>
      </c>
      <c r="D122" s="15" t="s">
        <v>415</v>
      </c>
      <c r="E122" s="20">
        <v>645944</v>
      </c>
      <c r="F122" s="21">
        <v>6608.3301000000001</v>
      </c>
      <c r="G122" s="22">
        <v>2.3999999999999998E-3</v>
      </c>
      <c r="H122" s="40"/>
      <c r="I122" s="24"/>
      <c r="J122" s="5"/>
    </row>
    <row r="123" spans="1:10" ht="13.05" customHeight="1">
      <c r="A123" s="18" t="s">
        <v>532</v>
      </c>
      <c r="B123" s="19" t="s">
        <v>533</v>
      </c>
      <c r="C123" s="15" t="s">
        <v>534</v>
      </c>
      <c r="D123" s="15" t="s">
        <v>445</v>
      </c>
      <c r="E123" s="20">
        <v>859225</v>
      </c>
      <c r="F123" s="21">
        <v>6329.4809999999998</v>
      </c>
      <c r="G123" s="22">
        <v>2.3E-3</v>
      </c>
      <c r="H123" s="40"/>
      <c r="I123" s="24"/>
      <c r="J123" s="5"/>
    </row>
    <row r="124" spans="1:10" ht="13.05" customHeight="1">
      <c r="A124" s="18" t="s">
        <v>1519</v>
      </c>
      <c r="B124" s="19" t="s">
        <v>1520</v>
      </c>
      <c r="C124" s="15" t="s">
        <v>1521</v>
      </c>
      <c r="D124" s="15" t="s">
        <v>300</v>
      </c>
      <c r="E124" s="20">
        <v>1121827</v>
      </c>
      <c r="F124" s="21">
        <v>5719.6350000000002</v>
      </c>
      <c r="G124" s="22">
        <v>2.0999999999999999E-3</v>
      </c>
      <c r="H124" s="40"/>
      <c r="I124" s="24"/>
      <c r="J124" s="5"/>
    </row>
    <row r="125" spans="1:10" ht="13.05" customHeight="1">
      <c r="A125" s="18" t="s">
        <v>4721</v>
      </c>
      <c r="B125" s="19" t="s">
        <v>4722</v>
      </c>
      <c r="C125" s="15" t="s">
        <v>4723</v>
      </c>
      <c r="D125" s="15" t="s">
        <v>567</v>
      </c>
      <c r="E125" s="20">
        <v>516620</v>
      </c>
      <c r="F125" s="21">
        <v>5341.8508000000002</v>
      </c>
      <c r="G125" s="22">
        <v>2E-3</v>
      </c>
      <c r="H125" s="40"/>
      <c r="I125" s="24"/>
      <c r="J125" s="5"/>
    </row>
    <row r="126" spans="1:10" ht="13.05" customHeight="1">
      <c r="A126" s="18" t="s">
        <v>768</v>
      </c>
      <c r="B126" s="19" t="s">
        <v>769</v>
      </c>
      <c r="C126" s="15" t="s">
        <v>770</v>
      </c>
      <c r="D126" s="15" t="s">
        <v>501</v>
      </c>
      <c r="E126" s="20">
        <v>129909</v>
      </c>
      <c r="F126" s="21">
        <v>5237.9309000000003</v>
      </c>
      <c r="G126" s="22">
        <v>1.9E-3</v>
      </c>
      <c r="H126" s="40"/>
      <c r="I126" s="24"/>
      <c r="J126" s="5"/>
    </row>
    <row r="127" spans="1:10" ht="13.05" customHeight="1">
      <c r="A127" s="18" t="s">
        <v>4724</v>
      </c>
      <c r="B127" s="19" t="s">
        <v>4725</v>
      </c>
      <c r="C127" s="15" t="s">
        <v>4726</v>
      </c>
      <c r="D127" s="15" t="s">
        <v>758</v>
      </c>
      <c r="E127" s="20">
        <v>1399254</v>
      </c>
      <c r="F127" s="21">
        <v>5180.7379000000001</v>
      </c>
      <c r="G127" s="22">
        <v>1.9E-3</v>
      </c>
      <c r="H127" s="40"/>
      <c r="I127" s="24"/>
      <c r="J127" s="5"/>
    </row>
    <row r="128" spans="1:10" ht="13.05" customHeight="1">
      <c r="A128" s="18" t="s">
        <v>4727</v>
      </c>
      <c r="B128" s="19" t="s">
        <v>4728</v>
      </c>
      <c r="C128" s="15" t="s">
        <v>4729</v>
      </c>
      <c r="D128" s="15" t="s">
        <v>567</v>
      </c>
      <c r="E128" s="20">
        <v>1126315</v>
      </c>
      <c r="F128" s="21">
        <v>5029.5595999999996</v>
      </c>
      <c r="G128" s="22">
        <v>1.9E-3</v>
      </c>
      <c r="H128" s="40"/>
      <c r="I128" s="24"/>
      <c r="J128" s="5"/>
    </row>
    <row r="129" spans="1:10" ht="13.05" customHeight="1">
      <c r="A129" s="18" t="s">
        <v>889</v>
      </c>
      <c r="B129" s="19" t="s">
        <v>890</v>
      </c>
      <c r="C129" s="15" t="s">
        <v>891</v>
      </c>
      <c r="D129" s="15" t="s">
        <v>348</v>
      </c>
      <c r="E129" s="20">
        <v>840528</v>
      </c>
      <c r="F129" s="21">
        <v>4582.9789000000001</v>
      </c>
      <c r="G129" s="22">
        <v>1.6999999999999999E-3</v>
      </c>
      <c r="H129" s="40"/>
      <c r="I129" s="24"/>
      <c r="J129" s="5"/>
    </row>
    <row r="130" spans="1:10" ht="13.05" customHeight="1">
      <c r="A130" s="18" t="s">
        <v>3584</v>
      </c>
      <c r="B130" s="19" t="s">
        <v>3585</v>
      </c>
      <c r="C130" s="15" t="s">
        <v>3586</v>
      </c>
      <c r="D130" s="15" t="s">
        <v>970</v>
      </c>
      <c r="E130" s="20">
        <v>271086</v>
      </c>
      <c r="F130" s="21">
        <v>4552.0761000000002</v>
      </c>
      <c r="G130" s="22">
        <v>1.6999999999999999E-3</v>
      </c>
      <c r="H130" s="40"/>
      <c r="I130" s="24"/>
      <c r="J130" s="5"/>
    </row>
    <row r="131" spans="1:10" ht="13.05" customHeight="1">
      <c r="A131" s="18" t="s">
        <v>4730</v>
      </c>
      <c r="B131" s="19" t="s">
        <v>4731</v>
      </c>
      <c r="C131" s="15" t="s">
        <v>4732</v>
      </c>
      <c r="D131" s="15" t="s">
        <v>445</v>
      </c>
      <c r="E131" s="20">
        <v>264476</v>
      </c>
      <c r="F131" s="21">
        <v>4487.0998</v>
      </c>
      <c r="G131" s="22">
        <v>1.6999999999999999E-3</v>
      </c>
      <c r="H131" s="40"/>
      <c r="I131" s="24"/>
      <c r="J131" s="5"/>
    </row>
    <row r="132" spans="1:10" ht="13.05" customHeight="1">
      <c r="A132" s="18" t="s">
        <v>1207</v>
      </c>
      <c r="B132" s="19" t="s">
        <v>1208</v>
      </c>
      <c r="C132" s="15" t="s">
        <v>1209</v>
      </c>
      <c r="D132" s="15" t="s">
        <v>1210</v>
      </c>
      <c r="E132" s="20">
        <v>231613</v>
      </c>
      <c r="F132" s="21">
        <v>4346.6812</v>
      </c>
      <c r="G132" s="22">
        <v>1.6000000000000001E-3</v>
      </c>
      <c r="H132" s="40"/>
      <c r="I132" s="24"/>
      <c r="J132" s="5"/>
    </row>
    <row r="133" spans="1:10" ht="13.05" customHeight="1">
      <c r="A133" s="18" t="s">
        <v>4733</v>
      </c>
      <c r="B133" s="19" t="s">
        <v>4734</v>
      </c>
      <c r="C133" s="15" t="s">
        <v>4735</v>
      </c>
      <c r="D133" s="15" t="s">
        <v>501</v>
      </c>
      <c r="E133" s="20">
        <v>2004932</v>
      </c>
      <c r="F133" s="21">
        <v>4316.4180999999999</v>
      </c>
      <c r="G133" s="22">
        <v>1.6000000000000001E-3</v>
      </c>
      <c r="H133" s="40"/>
      <c r="I133" s="24"/>
      <c r="J133" s="5"/>
    </row>
    <row r="134" spans="1:10" ht="13.05" customHeight="1">
      <c r="A134" s="18" t="s">
        <v>4736</v>
      </c>
      <c r="B134" s="19" t="s">
        <v>4737</v>
      </c>
      <c r="C134" s="15" t="s">
        <v>4738</v>
      </c>
      <c r="D134" s="15" t="s">
        <v>325</v>
      </c>
      <c r="E134" s="20">
        <v>359459</v>
      </c>
      <c r="F134" s="21">
        <v>4138.0919999999996</v>
      </c>
      <c r="G134" s="22">
        <v>1.5E-3</v>
      </c>
      <c r="H134" s="40"/>
      <c r="I134" s="24"/>
      <c r="J134" s="5"/>
    </row>
    <row r="135" spans="1:10" ht="13.05" customHeight="1">
      <c r="A135" s="18" t="s">
        <v>1534</v>
      </c>
      <c r="B135" s="19" t="s">
        <v>1535</v>
      </c>
      <c r="C135" s="15" t="s">
        <v>1536</v>
      </c>
      <c r="D135" s="15" t="s">
        <v>276</v>
      </c>
      <c r="E135" s="20">
        <v>2035883</v>
      </c>
      <c r="F135" s="21">
        <v>4116.1481999999996</v>
      </c>
      <c r="G135" s="22">
        <v>1.5E-3</v>
      </c>
      <c r="H135" s="40"/>
      <c r="I135" s="24"/>
      <c r="J135" s="5"/>
    </row>
    <row r="136" spans="1:10" ht="13.05" customHeight="1">
      <c r="A136" s="18" t="s">
        <v>4739</v>
      </c>
      <c r="B136" s="19" t="s">
        <v>4740</v>
      </c>
      <c r="C136" s="15" t="s">
        <v>4741</v>
      </c>
      <c r="D136" s="15" t="s">
        <v>304</v>
      </c>
      <c r="E136" s="20">
        <v>2580746</v>
      </c>
      <c r="F136" s="21">
        <v>3898.4749000000002</v>
      </c>
      <c r="G136" s="22">
        <v>1.4E-3</v>
      </c>
      <c r="H136" s="40"/>
      <c r="I136" s="24"/>
      <c r="J136" s="5"/>
    </row>
    <row r="137" spans="1:10" ht="13.05" customHeight="1">
      <c r="A137" s="18" t="s">
        <v>1857</v>
      </c>
      <c r="B137" s="19" t="s">
        <v>1858</v>
      </c>
      <c r="C137" s="15" t="s">
        <v>1859</v>
      </c>
      <c r="D137" s="15" t="s">
        <v>325</v>
      </c>
      <c r="E137" s="20">
        <v>223812</v>
      </c>
      <c r="F137" s="21">
        <v>3723.3364000000001</v>
      </c>
      <c r="G137" s="22">
        <v>1.4E-3</v>
      </c>
      <c r="H137" s="40"/>
      <c r="I137" s="24"/>
      <c r="J137" s="5"/>
    </row>
    <row r="138" spans="1:10" ht="13.05" customHeight="1">
      <c r="A138" s="18" t="s">
        <v>4742</v>
      </c>
      <c r="B138" s="19" t="s">
        <v>4743</v>
      </c>
      <c r="C138" s="15" t="s">
        <v>4744</v>
      </c>
      <c r="D138" s="15" t="s">
        <v>374</v>
      </c>
      <c r="E138" s="20">
        <v>1128792</v>
      </c>
      <c r="F138" s="21">
        <v>3576.5774999999999</v>
      </c>
      <c r="G138" s="22">
        <v>1.2999999999999999E-3</v>
      </c>
      <c r="H138" s="40"/>
      <c r="I138" s="24"/>
      <c r="J138" s="5"/>
    </row>
    <row r="139" spans="1:10" ht="13.05" customHeight="1">
      <c r="A139" s="18" t="s">
        <v>4745</v>
      </c>
      <c r="B139" s="19" t="s">
        <v>4746</v>
      </c>
      <c r="C139" s="15" t="s">
        <v>4747</v>
      </c>
      <c r="D139" s="15" t="s">
        <v>374</v>
      </c>
      <c r="E139" s="20">
        <v>125000</v>
      </c>
      <c r="F139" s="21">
        <v>3194.375</v>
      </c>
      <c r="G139" s="22">
        <v>1.1999999999999999E-3</v>
      </c>
      <c r="H139" s="40"/>
      <c r="I139" s="24"/>
      <c r="J139" s="5"/>
    </row>
    <row r="140" spans="1:10" ht="13.05" customHeight="1">
      <c r="A140" s="18" t="s">
        <v>1332</v>
      </c>
      <c r="B140" s="19" t="s">
        <v>1333</v>
      </c>
      <c r="C140" s="15" t="s">
        <v>1334</v>
      </c>
      <c r="D140" s="15" t="s">
        <v>581</v>
      </c>
      <c r="E140" s="20">
        <v>785001</v>
      </c>
      <c r="F140" s="21">
        <v>2982.6113</v>
      </c>
      <c r="G140" s="22">
        <v>1.1000000000000001E-3</v>
      </c>
      <c r="H140" s="40"/>
      <c r="I140" s="24"/>
      <c r="J140" s="5"/>
    </row>
    <row r="141" spans="1:10" ht="13.05" customHeight="1">
      <c r="A141" s="18" t="s">
        <v>3927</v>
      </c>
      <c r="B141" s="19" t="s">
        <v>3928</v>
      </c>
      <c r="C141" s="15" t="s">
        <v>3929</v>
      </c>
      <c r="D141" s="15" t="s">
        <v>501</v>
      </c>
      <c r="E141" s="20">
        <v>275287</v>
      </c>
      <c r="F141" s="21">
        <v>2810.9555999999998</v>
      </c>
      <c r="G141" s="22">
        <v>1E-3</v>
      </c>
      <c r="H141" s="40"/>
      <c r="I141" s="24"/>
      <c r="J141" s="5"/>
    </row>
    <row r="142" spans="1:10" ht="13.05" customHeight="1">
      <c r="A142" s="18" t="s">
        <v>4748</v>
      </c>
      <c r="B142" s="19" t="s">
        <v>4749</v>
      </c>
      <c r="C142" s="15" t="s">
        <v>4750</v>
      </c>
      <c r="D142" s="15" t="s">
        <v>501</v>
      </c>
      <c r="E142" s="20">
        <v>1140614</v>
      </c>
      <c r="F142" s="21">
        <v>2298.4513000000002</v>
      </c>
      <c r="G142" s="22">
        <v>8.0000000000000004E-4</v>
      </c>
      <c r="H142" s="40"/>
      <c r="I142" s="24"/>
      <c r="J142" s="5"/>
    </row>
    <row r="143" spans="1:10" ht="13.05" customHeight="1">
      <c r="A143" s="18" t="s">
        <v>4751</v>
      </c>
      <c r="B143" s="19" t="s">
        <v>4752</v>
      </c>
      <c r="C143" s="15" t="s">
        <v>4753</v>
      </c>
      <c r="D143" s="15" t="s">
        <v>445</v>
      </c>
      <c r="E143" s="20">
        <v>229387</v>
      </c>
      <c r="F143" s="21">
        <v>2260.6089000000002</v>
      </c>
      <c r="G143" s="22">
        <v>8.0000000000000004E-4</v>
      </c>
      <c r="H143" s="40"/>
      <c r="I143" s="24"/>
      <c r="J143" s="5"/>
    </row>
    <row r="144" spans="1:10" ht="13.05" customHeight="1">
      <c r="A144" s="18" t="s">
        <v>2994</v>
      </c>
      <c r="B144" s="19" t="s">
        <v>2995</v>
      </c>
      <c r="C144" s="15" t="s">
        <v>2996</v>
      </c>
      <c r="D144" s="15" t="s">
        <v>846</v>
      </c>
      <c r="E144" s="20">
        <v>75204</v>
      </c>
      <c r="F144" s="21">
        <v>988.18060000000003</v>
      </c>
      <c r="G144" s="22">
        <v>4.0000000000000002E-4</v>
      </c>
      <c r="H144" s="40"/>
      <c r="I144" s="24"/>
      <c r="J144" s="5"/>
    </row>
    <row r="145" spans="1:10" ht="13.05" customHeight="1">
      <c r="A145" s="18" t="s">
        <v>4754</v>
      </c>
      <c r="B145" s="19" t="s">
        <v>4755</v>
      </c>
      <c r="C145" s="15" t="s">
        <v>4756</v>
      </c>
      <c r="D145" s="15" t="s">
        <v>507</v>
      </c>
      <c r="E145" s="20">
        <v>86969</v>
      </c>
      <c r="F145" s="21">
        <v>533.5548</v>
      </c>
      <c r="G145" s="22">
        <v>2.0000000000000001E-4</v>
      </c>
      <c r="H145" s="40"/>
      <c r="I145" s="24"/>
      <c r="J145" s="5"/>
    </row>
    <row r="146" spans="1:10" ht="13.05" customHeight="1">
      <c r="A146" s="18" t="s">
        <v>4757</v>
      </c>
      <c r="B146" s="19" t="s">
        <v>4758</v>
      </c>
      <c r="C146" s="15" t="s">
        <v>4759</v>
      </c>
      <c r="D146" s="15" t="s">
        <v>1064</v>
      </c>
      <c r="E146" s="20">
        <v>198326</v>
      </c>
      <c r="F146" s="21">
        <v>518.12670000000003</v>
      </c>
      <c r="G146" s="22">
        <v>2.0000000000000001E-4</v>
      </c>
      <c r="H146" s="40"/>
      <c r="I146" s="24"/>
      <c r="J146" s="5"/>
    </row>
    <row r="147" spans="1:10" ht="13.05" customHeight="1">
      <c r="A147" s="18" t="s">
        <v>4760</v>
      </c>
      <c r="B147" s="19" t="s">
        <v>4761</v>
      </c>
      <c r="C147" s="15" t="s">
        <v>4762</v>
      </c>
      <c r="D147" s="15" t="s">
        <v>501</v>
      </c>
      <c r="E147" s="20">
        <v>288791</v>
      </c>
      <c r="F147" s="21">
        <v>331.01220000000001</v>
      </c>
      <c r="G147" s="22">
        <v>1E-4</v>
      </c>
      <c r="H147" s="40"/>
      <c r="I147" s="24"/>
      <c r="J147" s="5"/>
    </row>
    <row r="148" spans="1:10" ht="13.05" customHeight="1">
      <c r="A148" s="5"/>
      <c r="B148" s="14" t="s">
        <v>192</v>
      </c>
      <c r="C148" s="15"/>
      <c r="D148" s="15"/>
      <c r="E148" s="15"/>
      <c r="F148" s="25">
        <v>2450667.7390999999</v>
      </c>
      <c r="G148" s="26">
        <v>0.90539999999999998</v>
      </c>
      <c r="H148" s="27"/>
      <c r="I148" s="28"/>
      <c r="J148" s="5"/>
    </row>
    <row r="149" spans="1:10" ht="13.05" customHeight="1">
      <c r="A149" s="5"/>
      <c r="B149" s="29" t="s">
        <v>1812</v>
      </c>
      <c r="C149" s="2"/>
      <c r="D149" s="2"/>
      <c r="E149" s="2"/>
      <c r="F149" s="27" t="s">
        <v>194</v>
      </c>
      <c r="G149" s="27" t="s">
        <v>194</v>
      </c>
      <c r="H149" s="27"/>
      <c r="I149" s="28"/>
      <c r="J149" s="5"/>
    </row>
    <row r="150" spans="1:10" ht="13.05" customHeight="1">
      <c r="A150" s="5"/>
      <c r="B150" s="29" t="s">
        <v>192</v>
      </c>
      <c r="C150" s="2"/>
      <c r="D150" s="2"/>
      <c r="E150" s="2"/>
      <c r="F150" s="27" t="s">
        <v>194</v>
      </c>
      <c r="G150" s="27" t="s">
        <v>194</v>
      </c>
      <c r="H150" s="27"/>
      <c r="I150" s="28"/>
      <c r="J150" s="5"/>
    </row>
    <row r="151" spans="1:10" ht="13.05" customHeight="1">
      <c r="A151" s="5"/>
      <c r="B151" s="29" t="s">
        <v>195</v>
      </c>
      <c r="C151" s="30"/>
      <c r="D151" s="2"/>
      <c r="E151" s="30"/>
      <c r="F151" s="25">
        <v>2450667.7390999999</v>
      </c>
      <c r="G151" s="26">
        <v>0.90539999999999998</v>
      </c>
      <c r="H151" s="27"/>
      <c r="I151" s="28"/>
      <c r="J151" s="5"/>
    </row>
    <row r="152" spans="1:10" ht="13.05" customHeight="1">
      <c r="A152" s="5"/>
      <c r="B152" s="14" t="s">
        <v>1871</v>
      </c>
      <c r="C152" s="15"/>
      <c r="D152" s="15"/>
      <c r="E152" s="15"/>
      <c r="F152" s="15"/>
      <c r="G152" s="15"/>
      <c r="H152" s="16"/>
      <c r="I152" s="17"/>
      <c r="J152" s="5"/>
    </row>
    <row r="153" spans="1:10" ht="13.05" customHeight="1">
      <c r="A153" s="5"/>
      <c r="B153" s="14" t="s">
        <v>2997</v>
      </c>
      <c r="C153" s="15"/>
      <c r="D153" s="15"/>
      <c r="E153" s="15"/>
      <c r="F153" s="5"/>
      <c r="G153" s="16"/>
      <c r="H153" s="16"/>
      <c r="I153" s="17"/>
      <c r="J153" s="5"/>
    </row>
    <row r="154" spans="1:10" ht="13.05" customHeight="1">
      <c r="A154" s="18" t="s">
        <v>4763</v>
      </c>
      <c r="B154" s="19" t="s">
        <v>4764</v>
      </c>
      <c r="C154" s="15"/>
      <c r="D154" s="15"/>
      <c r="E154" s="20">
        <v>250425</v>
      </c>
      <c r="F154" s="21">
        <v>64873.848400000003</v>
      </c>
      <c r="G154" s="22">
        <v>2.4E-2</v>
      </c>
      <c r="H154" s="40"/>
      <c r="I154" s="24"/>
      <c r="J154" s="5"/>
    </row>
    <row r="155" spans="1:10" ht="13.05" customHeight="1">
      <c r="A155" s="5"/>
      <c r="B155" s="14" t="s">
        <v>192</v>
      </c>
      <c r="C155" s="15"/>
      <c r="D155" s="15"/>
      <c r="E155" s="15"/>
      <c r="F155" s="25">
        <v>64873.848400000003</v>
      </c>
      <c r="G155" s="26">
        <v>2.4E-2</v>
      </c>
      <c r="H155" s="27"/>
      <c r="I155" s="28"/>
      <c r="J155" s="5"/>
    </row>
    <row r="156" spans="1:10" ht="13.05" customHeight="1">
      <c r="A156" s="5"/>
      <c r="B156" s="29" t="s">
        <v>195</v>
      </c>
      <c r="C156" s="30"/>
      <c r="D156" s="2"/>
      <c r="E156" s="30"/>
      <c r="F156" s="25">
        <v>64873.848400000003</v>
      </c>
      <c r="G156" s="26">
        <v>2.4E-2</v>
      </c>
      <c r="H156" s="27"/>
      <c r="I156" s="28"/>
      <c r="J156" s="5"/>
    </row>
    <row r="157" spans="1:10" ht="13.05" customHeight="1">
      <c r="A157" s="5"/>
      <c r="B157" s="14" t="s">
        <v>1866</v>
      </c>
      <c r="C157" s="15"/>
      <c r="D157" s="15"/>
      <c r="E157" s="15"/>
      <c r="F157" s="15"/>
      <c r="G157" s="15"/>
      <c r="H157" s="16"/>
      <c r="I157" s="17"/>
      <c r="J157" s="5"/>
    </row>
    <row r="158" spans="1:10" ht="13.05" customHeight="1">
      <c r="A158" s="5"/>
      <c r="B158" s="14" t="s">
        <v>1867</v>
      </c>
      <c r="C158" s="15"/>
      <c r="D158" s="15"/>
      <c r="E158" s="15"/>
      <c r="F158" s="5"/>
      <c r="G158" s="16"/>
      <c r="H158" s="16"/>
      <c r="I158" s="17"/>
      <c r="J158" s="5"/>
    </row>
    <row r="159" spans="1:10" ht="13.05" customHeight="1">
      <c r="A159" s="18" t="s">
        <v>1868</v>
      </c>
      <c r="B159" s="19" t="s">
        <v>1869</v>
      </c>
      <c r="C159" s="15" t="s">
        <v>1870</v>
      </c>
      <c r="D159" s="15" t="s">
        <v>188</v>
      </c>
      <c r="E159" s="20">
        <v>16000000</v>
      </c>
      <c r="F159" s="21">
        <v>15889.168</v>
      </c>
      <c r="G159" s="22">
        <v>5.8999999999999999E-3</v>
      </c>
      <c r="H159" s="23">
        <v>5.4174E-2</v>
      </c>
      <c r="I159" s="24"/>
      <c r="J159" s="5"/>
    </row>
    <row r="160" spans="1:10" ht="13.05" customHeight="1">
      <c r="A160" s="5"/>
      <c r="B160" s="14" t="s">
        <v>192</v>
      </c>
      <c r="C160" s="15"/>
      <c r="D160" s="15"/>
      <c r="E160" s="15"/>
      <c r="F160" s="25">
        <v>15889.168</v>
      </c>
      <c r="G160" s="26">
        <v>5.8999999999999999E-3</v>
      </c>
      <c r="H160" s="27"/>
      <c r="I160" s="28"/>
      <c r="J160" s="5"/>
    </row>
    <row r="161" spans="1:10" ht="13.05" customHeight="1">
      <c r="A161" s="5"/>
      <c r="B161" s="29" t="s">
        <v>195</v>
      </c>
      <c r="C161" s="30"/>
      <c r="D161" s="2"/>
      <c r="E161" s="30"/>
      <c r="F161" s="25">
        <v>15889.168</v>
      </c>
      <c r="G161" s="26">
        <v>5.8999999999999999E-3</v>
      </c>
      <c r="H161" s="27"/>
      <c r="I161" s="28"/>
      <c r="J161" s="5"/>
    </row>
    <row r="162" spans="1:10" ht="13.05" customHeight="1">
      <c r="A162" s="5"/>
      <c r="B162" s="14" t="s">
        <v>196</v>
      </c>
      <c r="C162" s="15"/>
      <c r="D162" s="15"/>
      <c r="E162" s="15"/>
      <c r="F162" s="15"/>
      <c r="G162" s="15"/>
      <c r="H162" s="16"/>
      <c r="I162" s="17"/>
      <c r="J162" s="5"/>
    </row>
    <row r="163" spans="1:10" ht="13.05" customHeight="1">
      <c r="A163" s="18" t="s">
        <v>197</v>
      </c>
      <c r="B163" s="19" t="s">
        <v>198</v>
      </c>
      <c r="C163" s="15"/>
      <c r="D163" s="15"/>
      <c r="E163" s="20"/>
      <c r="F163" s="21">
        <v>235029.6704</v>
      </c>
      <c r="G163" s="22">
        <v>8.6800000000000002E-2</v>
      </c>
      <c r="H163" s="23">
        <v>5.5573617010495215E-2</v>
      </c>
      <c r="I163" s="24"/>
      <c r="J163" s="5"/>
    </row>
    <row r="164" spans="1:10" ht="13.05" customHeight="1">
      <c r="A164" s="5"/>
      <c r="B164" s="14" t="s">
        <v>192</v>
      </c>
      <c r="C164" s="15"/>
      <c r="D164" s="15"/>
      <c r="E164" s="15"/>
      <c r="F164" s="25">
        <v>235029.6704</v>
      </c>
      <c r="G164" s="26">
        <v>8.6800000000000002E-2</v>
      </c>
      <c r="H164" s="27"/>
      <c r="I164" s="28"/>
      <c r="J164" s="5"/>
    </row>
    <row r="165" spans="1:10" ht="13.05" customHeight="1">
      <c r="A165" s="5"/>
      <c r="B165" s="29" t="s">
        <v>195</v>
      </c>
      <c r="C165" s="30"/>
      <c r="D165" s="2"/>
      <c r="E165" s="30"/>
      <c r="F165" s="25">
        <v>235029.6704</v>
      </c>
      <c r="G165" s="26">
        <v>8.6800000000000002E-2</v>
      </c>
      <c r="H165" s="27"/>
      <c r="I165" s="28"/>
      <c r="J165" s="5"/>
    </row>
    <row r="166" spans="1:10" ht="13.05" customHeight="1">
      <c r="A166" s="5"/>
      <c r="B166" s="29" t="s">
        <v>199</v>
      </c>
      <c r="C166" s="15"/>
      <c r="D166" s="2"/>
      <c r="E166" s="15"/>
      <c r="F166" s="31">
        <v>-59876.515899999999</v>
      </c>
      <c r="G166" s="26">
        <v>-2.2100000000000002E-2</v>
      </c>
      <c r="H166" s="27"/>
      <c r="I166" s="28"/>
      <c r="J166" s="5"/>
    </row>
    <row r="167" spans="1:10" ht="13.05" customHeight="1">
      <c r="A167" s="5"/>
      <c r="B167" s="32" t="s">
        <v>200</v>
      </c>
      <c r="C167" s="33"/>
      <c r="D167" s="33"/>
      <c r="E167" s="33"/>
      <c r="F167" s="34">
        <v>2706583.91</v>
      </c>
      <c r="G167" s="35">
        <v>1</v>
      </c>
      <c r="H167" s="36"/>
      <c r="I167" s="37"/>
      <c r="J167" s="5"/>
    </row>
    <row r="168" spans="1:10" ht="13.05" customHeight="1">
      <c r="A168" s="5"/>
      <c r="B168" s="7"/>
      <c r="C168" s="5"/>
      <c r="D168" s="5"/>
      <c r="E168" s="5"/>
      <c r="F168" s="5"/>
      <c r="G168" s="5"/>
      <c r="H168" s="5"/>
      <c r="I168" s="5"/>
      <c r="J168" s="5"/>
    </row>
    <row r="169" spans="1:10" ht="13.05" customHeight="1">
      <c r="A169" s="5"/>
      <c r="B169" s="4" t="s">
        <v>201</v>
      </c>
      <c r="C169" s="5"/>
      <c r="D169" s="5"/>
      <c r="E169" s="5"/>
      <c r="F169" s="5"/>
      <c r="G169" s="5"/>
      <c r="H169" s="5"/>
      <c r="I169" s="5"/>
      <c r="J169" s="5"/>
    </row>
    <row r="170" spans="1:10" ht="25.95" customHeight="1">
      <c r="A170" s="5"/>
      <c r="B170" s="103" t="s">
        <v>202</v>
      </c>
      <c r="C170" s="103"/>
      <c r="D170" s="103"/>
      <c r="E170" s="103"/>
      <c r="F170" s="103"/>
      <c r="G170" s="103"/>
      <c r="H170" s="103"/>
      <c r="I170" s="103"/>
      <c r="J170" s="5"/>
    </row>
    <row r="171" spans="1:10" ht="13.05" customHeight="1">
      <c r="A171" s="5"/>
      <c r="B171" s="103" t="s">
        <v>203</v>
      </c>
      <c r="C171" s="103"/>
      <c r="D171" s="103"/>
      <c r="E171" s="103"/>
      <c r="F171" s="103"/>
      <c r="G171" s="103"/>
      <c r="H171" s="103"/>
      <c r="I171" s="103"/>
      <c r="J171" s="5"/>
    </row>
    <row r="172" spans="1:10" ht="13.05" customHeight="1">
      <c r="A172" s="5"/>
      <c r="B172" s="103"/>
      <c r="C172" s="103"/>
      <c r="D172" s="103"/>
      <c r="E172" s="103"/>
      <c r="F172" s="103"/>
      <c r="G172" s="103"/>
      <c r="H172" s="103"/>
      <c r="I172" s="103"/>
      <c r="J172" s="5"/>
    </row>
    <row r="173" spans="1:10" ht="13.05" customHeight="1">
      <c r="A173" s="5"/>
      <c r="B173" s="103"/>
      <c r="C173" s="103"/>
      <c r="D173" s="103"/>
      <c r="E173" s="103"/>
      <c r="F173" s="103"/>
      <c r="G173" s="103"/>
      <c r="H173" s="103"/>
      <c r="I173" s="103"/>
      <c r="J173" s="5"/>
    </row>
    <row r="174" spans="1:10" ht="13.05" customHeight="1">
      <c r="A174" s="5"/>
      <c r="B174" s="103"/>
      <c r="C174" s="103"/>
      <c r="D174" s="103"/>
      <c r="E174" s="103"/>
      <c r="F174" s="103"/>
      <c r="G174" s="103"/>
      <c r="H174" s="103"/>
      <c r="I174" s="103"/>
      <c r="J174" s="5"/>
    </row>
    <row r="175" spans="1:10" ht="13.05" customHeight="1">
      <c r="A175" s="5"/>
      <c r="B175" s="103"/>
      <c r="C175" s="103"/>
      <c r="D175" s="103"/>
      <c r="E175" s="103"/>
      <c r="F175" s="103"/>
      <c r="G175" s="103"/>
      <c r="H175" s="103"/>
      <c r="I175" s="103"/>
      <c r="J175" s="5"/>
    </row>
    <row r="176" spans="1:10" ht="13.05" customHeight="1">
      <c r="A176" s="5"/>
      <c r="B176" s="5"/>
      <c r="C176" s="104" t="s">
        <v>4765</v>
      </c>
      <c r="D176" s="104"/>
      <c r="E176" s="104"/>
      <c r="F176" s="104"/>
      <c r="G176" s="5"/>
      <c r="H176" s="5"/>
      <c r="I176" s="5"/>
      <c r="J176" s="5"/>
    </row>
    <row r="177" spans="1:10" ht="13.05" customHeight="1">
      <c r="A177" s="5"/>
      <c r="B177" s="38" t="s">
        <v>207</v>
      </c>
      <c r="C177" s="104" t="s">
        <v>208</v>
      </c>
      <c r="D177" s="104"/>
      <c r="E177" s="104"/>
      <c r="F177" s="104"/>
      <c r="G177" s="5"/>
      <c r="H177" s="5"/>
      <c r="I177" s="5"/>
      <c r="J177" s="5"/>
    </row>
    <row r="178" spans="1:10" ht="135" customHeight="1">
      <c r="A178" s="5"/>
      <c r="B178" s="39"/>
      <c r="C178" s="105"/>
      <c r="D178" s="105"/>
      <c r="E178" s="5"/>
      <c r="F178" s="5"/>
      <c r="G178" s="5"/>
      <c r="H178" s="5"/>
      <c r="I178" s="5"/>
      <c r="J178" s="5"/>
    </row>
  </sheetData>
  <mergeCells count="9">
    <mergeCell ref="B175:I175"/>
    <mergeCell ref="C176:F176"/>
    <mergeCell ref="C177:F177"/>
    <mergeCell ref="C178:D178"/>
    <mergeCell ref="B170:I170"/>
    <mergeCell ref="B171:I171"/>
    <mergeCell ref="B172:I172"/>
    <mergeCell ref="B173:I173"/>
    <mergeCell ref="B174:I174"/>
  </mergeCells>
  <hyperlinks>
    <hyperlink ref="A1" location="AxisSmallCapFund" display="AXISSCF" xr:uid="{00000000-0004-0000-4400-000000000000}"/>
    <hyperlink ref="B1" location="AxisSmallCapFund" display="Axis Small Cap Fund" xr:uid="{00000000-0004-0000-44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outlinePr summaryBelow="0"/>
  </sheetPr>
  <dimension ref="A1:J38"/>
  <sheetViews>
    <sheetView topLeftCell="A19" workbookViewId="0">
      <selection activeCell="B33" sqref="B33:F33"/>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140</v>
      </c>
      <c r="B1" s="4" t="s">
        <v>141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4766</v>
      </c>
      <c r="B7" s="19" t="s">
        <v>4767</v>
      </c>
      <c r="C7" s="15" t="s">
        <v>4768</v>
      </c>
      <c r="D7" s="15" t="s">
        <v>188</v>
      </c>
      <c r="E7" s="20">
        <v>4000000</v>
      </c>
      <c r="F7" s="21">
        <v>4052.6080000000002</v>
      </c>
      <c r="G7" s="22">
        <v>0.50670000000000004</v>
      </c>
      <c r="H7" s="23">
        <v>5.8789000000000001E-2</v>
      </c>
      <c r="I7" s="24"/>
      <c r="J7" s="5"/>
    </row>
    <row r="8" spans="1:10" ht="13.05" customHeight="1">
      <c r="A8" s="18" t="s">
        <v>4769</v>
      </c>
      <c r="B8" s="19" t="s">
        <v>4770</v>
      </c>
      <c r="C8" s="15" t="s">
        <v>4771</v>
      </c>
      <c r="D8" s="15" t="s">
        <v>188</v>
      </c>
      <c r="E8" s="20">
        <v>794300</v>
      </c>
      <c r="F8" s="21">
        <v>805.25980000000004</v>
      </c>
      <c r="G8" s="22">
        <v>0.1007</v>
      </c>
      <c r="H8" s="23">
        <v>5.8120999999999999E-2</v>
      </c>
      <c r="I8" s="24"/>
      <c r="J8" s="5"/>
    </row>
    <row r="9" spans="1:10" ht="13.05" customHeight="1">
      <c r="A9" s="18" t="s">
        <v>3173</v>
      </c>
      <c r="B9" s="19" t="s">
        <v>3174</v>
      </c>
      <c r="C9" s="15" t="s">
        <v>3175</v>
      </c>
      <c r="D9" s="15" t="s">
        <v>188</v>
      </c>
      <c r="E9" s="20">
        <v>800000</v>
      </c>
      <c r="F9" s="21">
        <v>803.09439999999995</v>
      </c>
      <c r="G9" s="22">
        <v>0.1004</v>
      </c>
      <c r="H9" s="23">
        <v>5.7915000000000001E-2</v>
      </c>
      <c r="I9" s="24"/>
      <c r="J9" s="5"/>
    </row>
    <row r="10" spans="1:10" ht="13.05" customHeight="1">
      <c r="A10" s="18" t="s">
        <v>4772</v>
      </c>
      <c r="B10" s="19" t="s">
        <v>4773</v>
      </c>
      <c r="C10" s="15" t="s">
        <v>4774</v>
      </c>
      <c r="D10" s="15" t="s">
        <v>188</v>
      </c>
      <c r="E10" s="20">
        <v>500000</v>
      </c>
      <c r="F10" s="21">
        <v>506.84800000000001</v>
      </c>
      <c r="G10" s="22">
        <v>6.3399999999999998E-2</v>
      </c>
      <c r="H10" s="23">
        <v>5.8361999999999997E-2</v>
      </c>
      <c r="I10" s="24"/>
      <c r="J10" s="5"/>
    </row>
    <row r="11" spans="1:10" ht="13.05" customHeight="1">
      <c r="A11" s="18" t="s">
        <v>4775</v>
      </c>
      <c r="B11" s="19" t="s">
        <v>4776</v>
      </c>
      <c r="C11" s="15" t="s">
        <v>4777</v>
      </c>
      <c r="D11" s="15" t="s">
        <v>188</v>
      </c>
      <c r="E11" s="20">
        <v>500000</v>
      </c>
      <c r="F11" s="21">
        <v>505.96100000000001</v>
      </c>
      <c r="G11" s="22">
        <v>6.3299999999999995E-2</v>
      </c>
      <c r="H11" s="23">
        <v>5.8789000000000001E-2</v>
      </c>
      <c r="I11" s="24"/>
      <c r="J11" s="5"/>
    </row>
    <row r="12" spans="1:10" ht="13.05" customHeight="1">
      <c r="A12" s="18" t="s">
        <v>2282</v>
      </c>
      <c r="B12" s="19" t="s">
        <v>2283</v>
      </c>
      <c r="C12" s="15" t="s">
        <v>2284</v>
      </c>
      <c r="D12" s="15" t="s">
        <v>188</v>
      </c>
      <c r="E12" s="20">
        <v>405000</v>
      </c>
      <c r="F12" s="21">
        <v>415.10230000000001</v>
      </c>
      <c r="G12" s="22">
        <v>5.1900000000000002E-2</v>
      </c>
      <c r="H12" s="23">
        <v>5.8532000000000001E-2</v>
      </c>
      <c r="I12" s="24"/>
      <c r="J12" s="5"/>
    </row>
    <row r="13" spans="1:10" ht="13.05" customHeight="1">
      <c r="A13" s="18" t="s">
        <v>4778</v>
      </c>
      <c r="B13" s="19" t="s">
        <v>4779</v>
      </c>
      <c r="C13" s="15" t="s">
        <v>4780</v>
      </c>
      <c r="D13" s="15" t="s">
        <v>188</v>
      </c>
      <c r="E13" s="20">
        <v>200000</v>
      </c>
      <c r="F13" s="21">
        <v>202.8768</v>
      </c>
      <c r="G13" s="22">
        <v>2.5399999999999999E-2</v>
      </c>
      <c r="H13" s="23">
        <v>5.8120999999999999E-2</v>
      </c>
      <c r="I13" s="24"/>
      <c r="J13" s="5"/>
    </row>
    <row r="14" spans="1:10" ht="13.05" customHeight="1">
      <c r="A14" s="18" t="s">
        <v>4781</v>
      </c>
      <c r="B14" s="19" t="s">
        <v>4782</v>
      </c>
      <c r="C14" s="15" t="s">
        <v>4783</v>
      </c>
      <c r="D14" s="15" t="s">
        <v>188</v>
      </c>
      <c r="E14" s="20">
        <v>165300</v>
      </c>
      <c r="F14" s="21">
        <v>167.32919999999999</v>
      </c>
      <c r="G14" s="22">
        <v>2.0899999999999998E-2</v>
      </c>
      <c r="H14" s="23">
        <v>5.8275E-2</v>
      </c>
      <c r="I14" s="24"/>
      <c r="J14" s="5"/>
    </row>
    <row r="15" spans="1:10" ht="13.05" customHeight="1">
      <c r="A15" s="18" t="s">
        <v>4784</v>
      </c>
      <c r="B15" s="19" t="s">
        <v>4785</v>
      </c>
      <c r="C15" s="15" t="s">
        <v>4786</v>
      </c>
      <c r="D15" s="15" t="s">
        <v>188</v>
      </c>
      <c r="E15" s="20">
        <v>150000</v>
      </c>
      <c r="F15" s="21">
        <v>152.02379999999999</v>
      </c>
      <c r="G15" s="22">
        <v>1.9E-2</v>
      </c>
      <c r="H15" s="23">
        <v>5.8275E-2</v>
      </c>
      <c r="I15" s="24"/>
      <c r="J15" s="5"/>
    </row>
    <row r="16" spans="1:10" ht="13.05" customHeight="1">
      <c r="A16" s="18" t="s">
        <v>4787</v>
      </c>
      <c r="B16" s="19" t="s">
        <v>4788</v>
      </c>
      <c r="C16" s="15" t="s">
        <v>4789</v>
      </c>
      <c r="D16" s="15" t="s">
        <v>188</v>
      </c>
      <c r="E16" s="20">
        <v>100000</v>
      </c>
      <c r="F16" s="21">
        <v>101.4276</v>
      </c>
      <c r="G16" s="22">
        <v>1.2699999999999999E-2</v>
      </c>
      <c r="H16" s="23">
        <v>5.8361999999999997E-2</v>
      </c>
      <c r="I16" s="24"/>
      <c r="J16" s="5"/>
    </row>
    <row r="17" spans="1:10" ht="13.05" customHeight="1">
      <c r="A17" s="5"/>
      <c r="B17" s="14" t="s">
        <v>192</v>
      </c>
      <c r="C17" s="15"/>
      <c r="D17" s="15"/>
      <c r="E17" s="15"/>
      <c r="F17" s="25">
        <v>7712.5308999999997</v>
      </c>
      <c r="G17" s="26">
        <v>0.96430000000000005</v>
      </c>
      <c r="H17" s="27"/>
      <c r="I17" s="28"/>
      <c r="J17" s="5"/>
    </row>
    <row r="18" spans="1:10" ht="13.05" customHeight="1">
      <c r="A18" s="5"/>
      <c r="B18" s="29" t="s">
        <v>193</v>
      </c>
      <c r="C18" s="2"/>
      <c r="D18" s="2"/>
      <c r="E18" s="2"/>
      <c r="F18" s="27" t="s">
        <v>194</v>
      </c>
      <c r="G18" s="27" t="s">
        <v>194</v>
      </c>
      <c r="H18" s="27"/>
      <c r="I18" s="28"/>
      <c r="J18" s="5"/>
    </row>
    <row r="19" spans="1:10" ht="13.05" customHeight="1">
      <c r="A19" s="5"/>
      <c r="B19" s="29" t="s">
        <v>192</v>
      </c>
      <c r="C19" s="2"/>
      <c r="D19" s="2"/>
      <c r="E19" s="2"/>
      <c r="F19" s="27" t="s">
        <v>194</v>
      </c>
      <c r="G19" s="27" t="s">
        <v>194</v>
      </c>
      <c r="H19" s="27"/>
      <c r="I19" s="28"/>
      <c r="J19" s="5"/>
    </row>
    <row r="20" spans="1:10" ht="13.05" customHeight="1">
      <c r="A20" s="5"/>
      <c r="B20" s="29" t="s">
        <v>195</v>
      </c>
      <c r="C20" s="30"/>
      <c r="D20" s="2"/>
      <c r="E20" s="30"/>
      <c r="F20" s="25">
        <v>7712.5308999999997</v>
      </c>
      <c r="G20" s="26">
        <v>0.96430000000000005</v>
      </c>
      <c r="H20" s="27"/>
      <c r="I20" s="28"/>
      <c r="J20" s="5"/>
    </row>
    <row r="21" spans="1:10" ht="13.05" customHeight="1">
      <c r="A21" s="5"/>
      <c r="B21" s="14" t="s">
        <v>196</v>
      </c>
      <c r="C21" s="15"/>
      <c r="D21" s="15"/>
      <c r="E21" s="15"/>
      <c r="F21" s="15"/>
      <c r="G21" s="15"/>
      <c r="H21" s="16"/>
      <c r="I21" s="17"/>
      <c r="J21" s="5"/>
    </row>
    <row r="22" spans="1:10" ht="13.05" customHeight="1">
      <c r="A22" s="18" t="s">
        <v>197</v>
      </c>
      <c r="B22" s="19" t="s">
        <v>198</v>
      </c>
      <c r="C22" s="15"/>
      <c r="D22" s="15"/>
      <c r="E22" s="20"/>
      <c r="F22" s="21">
        <v>174.9367</v>
      </c>
      <c r="G22" s="22">
        <v>2.1899999999999999E-2</v>
      </c>
      <c r="H22" s="23">
        <v>5.5573613358271927E-2</v>
      </c>
      <c r="I22" s="24"/>
      <c r="J22" s="5"/>
    </row>
    <row r="23" spans="1:10" ht="13.05" customHeight="1">
      <c r="A23" s="5"/>
      <c r="B23" s="14" t="s">
        <v>192</v>
      </c>
      <c r="C23" s="15"/>
      <c r="D23" s="15"/>
      <c r="E23" s="15"/>
      <c r="F23" s="25">
        <v>174.9367</v>
      </c>
      <c r="G23" s="26">
        <v>2.1899999999999999E-2</v>
      </c>
      <c r="H23" s="27"/>
      <c r="I23" s="28"/>
      <c r="J23" s="5"/>
    </row>
    <row r="24" spans="1:10" ht="13.05" customHeight="1">
      <c r="A24" s="5"/>
      <c r="B24" s="29" t="s">
        <v>193</v>
      </c>
      <c r="C24" s="2"/>
      <c r="D24" s="2"/>
      <c r="E24" s="2"/>
      <c r="F24" s="27" t="s">
        <v>194</v>
      </c>
      <c r="G24" s="27" t="s">
        <v>194</v>
      </c>
      <c r="H24" s="27"/>
      <c r="I24" s="28"/>
      <c r="J24" s="5"/>
    </row>
    <row r="25" spans="1:10" ht="13.05" customHeight="1">
      <c r="A25" s="5"/>
      <c r="B25" s="29" t="s">
        <v>192</v>
      </c>
      <c r="C25" s="2"/>
      <c r="D25" s="2"/>
      <c r="E25" s="2"/>
      <c r="F25" s="27" t="s">
        <v>194</v>
      </c>
      <c r="G25" s="27" t="s">
        <v>194</v>
      </c>
      <c r="H25" s="27"/>
      <c r="I25" s="28"/>
      <c r="J25" s="5"/>
    </row>
    <row r="26" spans="1:10" ht="13.05" customHeight="1">
      <c r="A26" s="5"/>
      <c r="B26" s="29" t="s">
        <v>195</v>
      </c>
      <c r="C26" s="30"/>
      <c r="D26" s="2"/>
      <c r="E26" s="30"/>
      <c r="F26" s="25">
        <v>174.9367</v>
      </c>
      <c r="G26" s="26">
        <v>2.1899999999999999E-2</v>
      </c>
      <c r="H26" s="27"/>
      <c r="I26" s="28"/>
      <c r="J26" s="5"/>
    </row>
    <row r="27" spans="1:10" ht="13.05" customHeight="1">
      <c r="A27" s="5"/>
      <c r="B27" s="29" t="s">
        <v>199</v>
      </c>
      <c r="C27" s="15"/>
      <c r="D27" s="2"/>
      <c r="E27" s="15"/>
      <c r="F27" s="31">
        <v>110.4324</v>
      </c>
      <c r="G27" s="26">
        <v>1.38E-2</v>
      </c>
      <c r="H27" s="27"/>
      <c r="I27" s="28"/>
      <c r="J27" s="5"/>
    </row>
    <row r="28" spans="1:10" ht="13.05" customHeight="1">
      <c r="A28" s="5"/>
      <c r="B28" s="32" t="s">
        <v>200</v>
      </c>
      <c r="C28" s="33"/>
      <c r="D28" s="33"/>
      <c r="E28" s="33"/>
      <c r="F28" s="34">
        <v>7997.9</v>
      </c>
      <c r="G28" s="35">
        <v>1</v>
      </c>
      <c r="H28" s="36"/>
      <c r="I28" s="37"/>
      <c r="J28" s="5"/>
    </row>
    <row r="29" spans="1:10" ht="13.05" customHeight="1">
      <c r="A29" s="5"/>
      <c r="B29" s="7"/>
      <c r="C29" s="5"/>
      <c r="D29" s="5"/>
      <c r="E29" s="5"/>
      <c r="F29" s="5"/>
      <c r="G29" s="5"/>
      <c r="H29" s="5"/>
      <c r="I29" s="5"/>
      <c r="J29" s="5"/>
    </row>
    <row r="30" spans="1:10" ht="13.05" customHeight="1">
      <c r="A30" s="5"/>
      <c r="B30" s="4" t="s">
        <v>201</v>
      </c>
      <c r="C30" s="5"/>
      <c r="D30" s="5"/>
      <c r="E30" s="5"/>
      <c r="F30" s="5"/>
      <c r="G30" s="5"/>
      <c r="H30" s="5"/>
      <c r="I30" s="5"/>
      <c r="J30" s="5"/>
    </row>
    <row r="31" spans="1:10" ht="25.95" customHeight="1">
      <c r="A31" s="5"/>
      <c r="B31" s="103" t="s">
        <v>202</v>
      </c>
      <c r="C31" s="103"/>
      <c r="D31" s="103"/>
      <c r="E31" s="103"/>
      <c r="F31" s="103"/>
      <c r="G31" s="103"/>
      <c r="H31" s="103"/>
      <c r="I31" s="103"/>
      <c r="J31" s="5"/>
    </row>
    <row r="32" spans="1:10" ht="13.05" customHeight="1">
      <c r="A32" s="5"/>
      <c r="B32" s="103" t="s">
        <v>203</v>
      </c>
      <c r="C32" s="103"/>
      <c r="D32" s="103"/>
      <c r="E32" s="103"/>
      <c r="F32" s="103"/>
      <c r="G32" s="103"/>
      <c r="H32" s="103"/>
      <c r="I32" s="103"/>
      <c r="J32" s="5"/>
    </row>
    <row r="33" spans="1:10" ht="13.05" customHeight="1">
      <c r="A33" s="5"/>
      <c r="B33" s="103" t="s">
        <v>4790</v>
      </c>
      <c r="C33" s="103"/>
      <c r="D33" s="103"/>
      <c r="E33" s="103"/>
      <c r="F33" s="103"/>
      <c r="G33" s="5"/>
      <c r="H33" s="5"/>
      <c r="I33" s="5"/>
      <c r="J33" s="5"/>
    </row>
    <row r="34" spans="1:10" ht="13.05" customHeight="1">
      <c r="A34" s="5"/>
      <c r="B34" s="103"/>
      <c r="C34" s="103"/>
      <c r="D34" s="103"/>
      <c r="E34" s="103"/>
      <c r="F34" s="103"/>
      <c r="G34" s="103"/>
      <c r="H34" s="103"/>
      <c r="I34" s="103"/>
      <c r="J34" s="5"/>
    </row>
    <row r="35" spans="1:10" ht="13.05" customHeight="1">
      <c r="A35" s="5"/>
      <c r="B35" s="103"/>
      <c r="C35" s="103"/>
      <c r="D35" s="103"/>
      <c r="E35" s="103"/>
      <c r="F35" s="103"/>
      <c r="G35" s="103"/>
      <c r="H35" s="103"/>
      <c r="I35" s="103"/>
      <c r="J35" s="5"/>
    </row>
    <row r="36" spans="1:10" ht="13.05" customHeight="1">
      <c r="A36" s="5"/>
      <c r="B36" s="5"/>
      <c r="C36" s="104" t="s">
        <v>4791</v>
      </c>
      <c r="D36" s="104"/>
      <c r="E36" s="104"/>
      <c r="F36" s="104"/>
      <c r="G36" s="5"/>
      <c r="H36" s="5"/>
      <c r="I36" s="5"/>
      <c r="J36" s="5"/>
    </row>
    <row r="37" spans="1:10" ht="13.05" customHeight="1">
      <c r="A37" s="5"/>
      <c r="B37" s="38" t="s">
        <v>207</v>
      </c>
      <c r="C37" s="104" t="s">
        <v>208</v>
      </c>
      <c r="D37" s="104"/>
      <c r="E37" s="104"/>
      <c r="F37" s="104"/>
      <c r="G37" s="5"/>
      <c r="H37" s="5"/>
      <c r="I37" s="5"/>
      <c r="J37" s="5"/>
    </row>
    <row r="38" spans="1:10" ht="135" customHeight="1">
      <c r="A38" s="5"/>
      <c r="B38" s="39"/>
      <c r="C38" s="105"/>
      <c r="D38" s="105"/>
      <c r="E38" s="5"/>
      <c r="F38" s="5"/>
      <c r="G38" s="5"/>
      <c r="H38" s="5"/>
      <c r="I38" s="5"/>
      <c r="J38" s="5"/>
    </row>
  </sheetData>
  <mergeCells count="8">
    <mergeCell ref="C36:F36"/>
    <mergeCell ref="C37:F37"/>
    <mergeCell ref="C38:D38"/>
    <mergeCell ref="B31:I31"/>
    <mergeCell ref="B32:I32"/>
    <mergeCell ref="B33:F33"/>
    <mergeCell ref="B34:I34"/>
    <mergeCell ref="B35:I35"/>
  </mergeCells>
  <hyperlinks>
    <hyperlink ref="A1" location="AxisNIFTYSDLSeptember2026DebtIndexFund" display="AXISSDI" xr:uid="{00000000-0004-0000-4500-000000000000}"/>
    <hyperlink ref="B1" location="AxisNIFTYSDLSeptember2026DebtIndexFund" display="Axis NIFTY SDL September 2026 Debt Index Fund" xr:uid="{00000000-0004-0000-45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outlinePr summaryBelow="0"/>
  </sheetPr>
  <dimension ref="A1:J26"/>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142</v>
      </c>
      <c r="B1" s="4" t="s">
        <v>143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1818</v>
      </c>
      <c r="C5" s="15"/>
      <c r="D5" s="15"/>
      <c r="E5" s="15"/>
      <c r="F5" s="15"/>
      <c r="G5" s="15"/>
      <c r="H5" s="16"/>
      <c r="I5" s="17"/>
      <c r="J5" s="5"/>
    </row>
    <row r="6" spans="1:10" ht="13.05" customHeight="1">
      <c r="A6" s="5"/>
      <c r="B6" s="14" t="s">
        <v>3514</v>
      </c>
      <c r="C6" s="15"/>
      <c r="D6" s="15"/>
      <c r="E6" s="15"/>
      <c r="F6" s="5"/>
      <c r="G6" s="16"/>
      <c r="H6" s="16"/>
      <c r="I6" s="17"/>
      <c r="J6" s="5"/>
    </row>
    <row r="7" spans="1:10" ht="13.05" customHeight="1">
      <c r="A7" s="18" t="s">
        <v>4792</v>
      </c>
      <c r="B7" s="19" t="s">
        <v>4793</v>
      </c>
      <c r="C7" s="15" t="s">
        <v>4794</v>
      </c>
      <c r="D7" s="15"/>
      <c r="E7" s="20">
        <v>186531394</v>
      </c>
      <c r="F7" s="21">
        <v>24249.081200000001</v>
      </c>
      <c r="G7" s="22">
        <v>0.99350000000000005</v>
      </c>
      <c r="H7" s="40"/>
      <c r="I7" s="24"/>
      <c r="J7" s="5"/>
    </row>
    <row r="8" spans="1:10" ht="13.05" customHeight="1">
      <c r="A8" s="5"/>
      <c r="B8" s="14" t="s">
        <v>192</v>
      </c>
      <c r="C8" s="15"/>
      <c r="D8" s="15"/>
      <c r="E8" s="15"/>
      <c r="F8" s="25">
        <v>24249.081200000001</v>
      </c>
      <c r="G8" s="26">
        <v>0.99350000000000005</v>
      </c>
      <c r="H8" s="27"/>
      <c r="I8" s="28"/>
      <c r="J8" s="5"/>
    </row>
    <row r="9" spans="1:10" ht="13.05" customHeight="1">
      <c r="A9" s="5"/>
      <c r="B9" s="29" t="s">
        <v>195</v>
      </c>
      <c r="C9" s="30"/>
      <c r="D9" s="2"/>
      <c r="E9" s="30"/>
      <c r="F9" s="25">
        <v>24249.081200000001</v>
      </c>
      <c r="G9" s="26">
        <v>0.99350000000000005</v>
      </c>
      <c r="H9" s="27"/>
      <c r="I9" s="28"/>
      <c r="J9" s="5"/>
    </row>
    <row r="10" spans="1:10" ht="13.05" customHeight="1">
      <c r="A10" s="5"/>
      <c r="B10" s="14" t="s">
        <v>196</v>
      </c>
      <c r="C10" s="15"/>
      <c r="D10" s="15"/>
      <c r="E10" s="15"/>
      <c r="F10" s="15"/>
      <c r="G10" s="15"/>
      <c r="H10" s="16"/>
      <c r="I10" s="17"/>
      <c r="J10" s="5"/>
    </row>
    <row r="11" spans="1:10" ht="13.05" customHeight="1">
      <c r="A11" s="18" t="s">
        <v>197</v>
      </c>
      <c r="B11" s="19" t="s">
        <v>198</v>
      </c>
      <c r="C11" s="15"/>
      <c r="D11" s="15"/>
      <c r="E11" s="20"/>
      <c r="F11" s="21">
        <v>164.53989999999999</v>
      </c>
      <c r="G11" s="22">
        <v>6.7000000000000002E-3</v>
      </c>
      <c r="H11" s="23">
        <v>5.5573580488262386E-2</v>
      </c>
      <c r="I11" s="24"/>
      <c r="J11" s="5"/>
    </row>
    <row r="12" spans="1:10" ht="13.05" customHeight="1">
      <c r="A12" s="5"/>
      <c r="B12" s="14" t="s">
        <v>192</v>
      </c>
      <c r="C12" s="15"/>
      <c r="D12" s="15"/>
      <c r="E12" s="15"/>
      <c r="F12" s="25">
        <v>164.53989999999999</v>
      </c>
      <c r="G12" s="26">
        <v>6.7000000000000002E-3</v>
      </c>
      <c r="H12" s="27"/>
      <c r="I12" s="28"/>
      <c r="J12" s="5"/>
    </row>
    <row r="13" spans="1:10" ht="13.05" customHeight="1">
      <c r="A13" s="5"/>
      <c r="B13" s="29" t="s">
        <v>195</v>
      </c>
      <c r="C13" s="30"/>
      <c r="D13" s="2"/>
      <c r="E13" s="30"/>
      <c r="F13" s="25">
        <v>164.53989999999999</v>
      </c>
      <c r="G13" s="26">
        <v>6.7000000000000002E-3</v>
      </c>
      <c r="H13" s="27"/>
      <c r="I13" s="28"/>
      <c r="J13" s="5"/>
    </row>
    <row r="14" spans="1:10" ht="13.05" customHeight="1">
      <c r="A14" s="5"/>
      <c r="B14" s="29" t="s">
        <v>199</v>
      </c>
      <c r="C14" s="15"/>
      <c r="D14" s="2"/>
      <c r="E14" s="15"/>
      <c r="F14" s="31">
        <v>-6.3411</v>
      </c>
      <c r="G14" s="26">
        <v>-2.0000000000000001E-4</v>
      </c>
      <c r="H14" s="27"/>
      <c r="I14" s="28"/>
      <c r="J14" s="5"/>
    </row>
    <row r="15" spans="1:10" ht="13.05" customHeight="1">
      <c r="A15" s="5"/>
      <c r="B15" s="32" t="s">
        <v>200</v>
      </c>
      <c r="C15" s="33"/>
      <c r="D15" s="33"/>
      <c r="E15" s="33"/>
      <c r="F15" s="34">
        <v>24407.279999999999</v>
      </c>
      <c r="G15" s="35">
        <v>1</v>
      </c>
      <c r="H15" s="36"/>
      <c r="I15" s="37"/>
      <c r="J15" s="5"/>
    </row>
    <row r="16" spans="1:10" ht="13.05" customHeight="1">
      <c r="A16" s="5"/>
      <c r="B16" s="7"/>
      <c r="C16" s="5"/>
      <c r="D16" s="5"/>
      <c r="E16" s="5"/>
      <c r="F16" s="5"/>
      <c r="G16" s="5"/>
      <c r="H16" s="5"/>
      <c r="I16" s="5"/>
      <c r="J16" s="5"/>
    </row>
    <row r="17" spans="1:10" ht="13.05" customHeight="1">
      <c r="A17" s="5"/>
      <c r="B17" s="4" t="s">
        <v>201</v>
      </c>
      <c r="C17" s="5"/>
      <c r="D17" s="5"/>
      <c r="E17" s="5"/>
      <c r="F17" s="5"/>
      <c r="G17" s="5"/>
      <c r="H17" s="5"/>
      <c r="I17" s="5"/>
      <c r="J17" s="5"/>
    </row>
    <row r="18" spans="1:10" ht="25.95" customHeight="1">
      <c r="A18" s="5"/>
      <c r="B18" s="103" t="s">
        <v>202</v>
      </c>
      <c r="C18" s="103"/>
      <c r="D18" s="103"/>
      <c r="E18" s="103"/>
      <c r="F18" s="103"/>
      <c r="G18" s="103"/>
      <c r="H18" s="103"/>
      <c r="I18" s="103"/>
      <c r="J18" s="5"/>
    </row>
    <row r="19" spans="1:10" ht="13.05" customHeight="1">
      <c r="A19" s="5"/>
      <c r="B19" s="103" t="s">
        <v>203</v>
      </c>
      <c r="C19" s="103"/>
      <c r="D19" s="103"/>
      <c r="E19" s="103"/>
      <c r="F19" s="103"/>
      <c r="G19" s="103"/>
      <c r="H19" s="103"/>
      <c r="I19" s="103"/>
      <c r="J19" s="5"/>
    </row>
    <row r="20" spans="1:10" ht="13.05" customHeight="1">
      <c r="A20" s="5"/>
      <c r="B20" s="103"/>
      <c r="C20" s="103"/>
      <c r="D20" s="103"/>
      <c r="E20" s="103"/>
      <c r="F20" s="103"/>
      <c r="G20" s="103"/>
      <c r="H20" s="103"/>
      <c r="I20" s="103"/>
      <c r="J20" s="5"/>
    </row>
    <row r="21" spans="1:10" ht="13.05" customHeight="1">
      <c r="A21" s="5"/>
      <c r="B21" s="103"/>
      <c r="C21" s="103"/>
      <c r="D21" s="103"/>
      <c r="E21" s="103"/>
      <c r="F21" s="103"/>
      <c r="G21" s="103"/>
      <c r="H21" s="103"/>
      <c r="I21" s="103"/>
      <c r="J21" s="5"/>
    </row>
    <row r="22" spans="1:10" ht="13.05" customHeight="1">
      <c r="A22" s="5"/>
      <c r="B22" s="103"/>
      <c r="C22" s="103"/>
      <c r="D22" s="103"/>
      <c r="E22" s="103"/>
      <c r="F22" s="103"/>
      <c r="G22" s="103"/>
      <c r="H22" s="103"/>
      <c r="I22" s="103"/>
      <c r="J22" s="5"/>
    </row>
    <row r="23" spans="1:10" ht="13.05" customHeight="1">
      <c r="A23" s="5"/>
      <c r="B23" s="103"/>
      <c r="C23" s="103"/>
      <c r="D23" s="103"/>
      <c r="E23" s="103"/>
      <c r="F23" s="103"/>
      <c r="G23" s="103"/>
      <c r="H23" s="103"/>
      <c r="I23" s="103"/>
      <c r="J23" s="5"/>
    </row>
    <row r="24" spans="1:10" ht="13.05" customHeight="1">
      <c r="A24" s="5"/>
      <c r="B24" s="5"/>
      <c r="C24" s="104" t="s">
        <v>4795</v>
      </c>
      <c r="D24" s="104"/>
      <c r="E24" s="104"/>
      <c r="F24" s="104"/>
      <c r="G24" s="5"/>
      <c r="H24" s="5"/>
      <c r="I24" s="5"/>
      <c r="J24" s="5"/>
    </row>
    <row r="25" spans="1:10" ht="13.05" customHeight="1">
      <c r="A25" s="5"/>
      <c r="B25" s="38" t="s">
        <v>207</v>
      </c>
      <c r="C25" s="104" t="s">
        <v>208</v>
      </c>
      <c r="D25" s="104"/>
      <c r="E25" s="104"/>
      <c r="F25" s="104"/>
      <c r="G25" s="5"/>
      <c r="H25" s="5"/>
      <c r="I25" s="5"/>
      <c r="J25" s="5"/>
    </row>
    <row r="26" spans="1:10" ht="135" customHeight="1">
      <c r="A26" s="5"/>
      <c r="B26" s="39"/>
      <c r="C26" s="105"/>
      <c r="D26" s="105"/>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NiftyAAABondPlusSDLApr20265050ETFFOF" display="AXISSDL" xr:uid="{00000000-0004-0000-4600-000000000000}"/>
    <hyperlink ref="B1" location="AxisNiftyAAABondPlusSDLApr20265050ETFFOF" display="Axis Nifty AAA Bond Plus SDL Apr 2026 50:50 ETF FOF" xr:uid="{00000000-0004-0000-46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outlinePr summaryBelow="0"/>
  </sheetPr>
  <dimension ref="A1:J59"/>
  <sheetViews>
    <sheetView topLeftCell="A39" workbookViewId="0">
      <selection activeCell="B55" sqref="B55:E55"/>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144</v>
      </c>
      <c r="B1" s="4" t="s">
        <v>145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v>
      </c>
    </row>
    <row r="5" spans="1:10" ht="13.05" customHeight="1">
      <c r="A5" s="5"/>
      <c r="B5" s="14" t="s">
        <v>183</v>
      </c>
      <c r="C5" s="15"/>
      <c r="D5" s="15"/>
      <c r="E5" s="15"/>
      <c r="F5" s="15"/>
      <c r="G5" s="15"/>
      <c r="H5" s="16"/>
      <c r="I5" s="17"/>
      <c r="J5" s="5"/>
    </row>
    <row r="6" spans="1:10" ht="13.05" customHeight="1">
      <c r="A6" s="5"/>
      <c r="B6" s="14" t="s">
        <v>184</v>
      </c>
      <c r="C6" s="15"/>
      <c r="D6" s="15"/>
      <c r="E6" s="15"/>
      <c r="F6" s="5"/>
      <c r="G6" s="16"/>
      <c r="H6" s="16"/>
      <c r="I6" s="17"/>
      <c r="J6" s="5"/>
    </row>
    <row r="7" spans="1:10" ht="13.05" customHeight="1">
      <c r="A7" s="18" t="s">
        <v>4796</v>
      </c>
      <c r="B7" s="19" t="s">
        <v>4797</v>
      </c>
      <c r="C7" s="15" t="s">
        <v>4798</v>
      </c>
      <c r="D7" s="15" t="s">
        <v>188</v>
      </c>
      <c r="E7" s="20">
        <v>12500000</v>
      </c>
      <c r="F7" s="21">
        <v>12527.05</v>
      </c>
      <c r="G7" s="22">
        <v>0.1142</v>
      </c>
      <c r="H7" s="23">
        <v>5.6349999999999997E-2</v>
      </c>
      <c r="I7" s="24"/>
      <c r="J7" s="5"/>
    </row>
    <row r="8" spans="1:10" ht="13.05" customHeight="1">
      <c r="A8" s="18" t="s">
        <v>3908</v>
      </c>
      <c r="B8" s="19" t="s">
        <v>3909</v>
      </c>
      <c r="C8" s="15" t="s">
        <v>3910</v>
      </c>
      <c r="D8" s="15" t="s">
        <v>213</v>
      </c>
      <c r="E8" s="20">
        <v>1175</v>
      </c>
      <c r="F8" s="21">
        <v>11741.258</v>
      </c>
      <c r="G8" s="22">
        <v>0.1071</v>
      </c>
      <c r="H8" s="23">
        <v>6.0997999999999997E-2</v>
      </c>
      <c r="I8" s="24"/>
      <c r="J8" s="5"/>
    </row>
    <row r="9" spans="1:10" ht="13.05" customHeight="1">
      <c r="A9" s="18" t="s">
        <v>241</v>
      </c>
      <c r="B9" s="19" t="s">
        <v>242</v>
      </c>
      <c r="C9" s="15" t="s">
        <v>243</v>
      </c>
      <c r="D9" s="15" t="s">
        <v>213</v>
      </c>
      <c r="E9" s="20">
        <v>10000</v>
      </c>
      <c r="F9" s="21">
        <v>10033.200000000001</v>
      </c>
      <c r="G9" s="22">
        <v>9.1499999999999998E-2</v>
      </c>
      <c r="H9" s="23">
        <v>6.3500000000000001E-2</v>
      </c>
      <c r="I9" s="24"/>
      <c r="J9" s="5"/>
    </row>
    <row r="10" spans="1:10" ht="13.05" customHeight="1">
      <c r="A10" s="18" t="s">
        <v>4799</v>
      </c>
      <c r="B10" s="19" t="s">
        <v>4800</v>
      </c>
      <c r="C10" s="15" t="s">
        <v>4801</v>
      </c>
      <c r="D10" s="15" t="s">
        <v>213</v>
      </c>
      <c r="E10" s="20">
        <v>800</v>
      </c>
      <c r="F10" s="21">
        <v>8019.48</v>
      </c>
      <c r="G10" s="22">
        <v>7.3099999999999998E-2</v>
      </c>
      <c r="H10" s="23">
        <v>6.2548999999999993E-2</v>
      </c>
      <c r="I10" s="24"/>
      <c r="J10" s="5"/>
    </row>
    <row r="11" spans="1:10" ht="13.05" customHeight="1">
      <c r="A11" s="18" t="s">
        <v>1884</v>
      </c>
      <c r="B11" s="19" t="s">
        <v>1885</v>
      </c>
      <c r="C11" s="15" t="s">
        <v>1886</v>
      </c>
      <c r="D11" s="15" t="s">
        <v>213</v>
      </c>
      <c r="E11" s="20">
        <v>700</v>
      </c>
      <c r="F11" s="21">
        <v>7021.5879999999997</v>
      </c>
      <c r="G11" s="22">
        <v>6.4000000000000001E-2</v>
      </c>
      <c r="H11" s="23">
        <v>6.1600000000000002E-2</v>
      </c>
      <c r="I11" s="24"/>
      <c r="J11" s="5"/>
    </row>
    <row r="12" spans="1:10" ht="13.05" customHeight="1">
      <c r="A12" s="18" t="s">
        <v>4802</v>
      </c>
      <c r="B12" s="19" t="s">
        <v>4803</v>
      </c>
      <c r="C12" s="15" t="s">
        <v>4804</v>
      </c>
      <c r="D12" s="15" t="s">
        <v>188</v>
      </c>
      <c r="E12" s="20">
        <v>6715000</v>
      </c>
      <c r="F12" s="21">
        <v>6778.6581999999999</v>
      </c>
      <c r="G12" s="22">
        <v>6.1800000000000001E-2</v>
      </c>
      <c r="H12" s="23">
        <v>5.6901E-2</v>
      </c>
      <c r="I12" s="24"/>
      <c r="J12" s="5"/>
    </row>
    <row r="13" spans="1:10" ht="13.05" customHeight="1">
      <c r="A13" s="18" t="s">
        <v>4328</v>
      </c>
      <c r="B13" s="19" t="s">
        <v>4329</v>
      </c>
      <c r="C13" s="15" t="s">
        <v>4330</v>
      </c>
      <c r="D13" s="15" t="s">
        <v>188</v>
      </c>
      <c r="E13" s="20">
        <v>5600000</v>
      </c>
      <c r="F13" s="21">
        <v>5652.2312000000002</v>
      </c>
      <c r="G13" s="22">
        <v>5.1499999999999997E-2</v>
      </c>
      <c r="H13" s="23">
        <v>5.6899999999999999E-2</v>
      </c>
      <c r="I13" s="24"/>
      <c r="J13" s="5"/>
    </row>
    <row r="14" spans="1:10" ht="13.05" customHeight="1">
      <c r="A14" s="18" t="s">
        <v>2210</v>
      </c>
      <c r="B14" s="19" t="s">
        <v>2211</v>
      </c>
      <c r="C14" s="15" t="s">
        <v>2212</v>
      </c>
      <c r="D14" s="15" t="s">
        <v>213</v>
      </c>
      <c r="E14" s="20">
        <v>550</v>
      </c>
      <c r="F14" s="21">
        <v>5508.7340000000004</v>
      </c>
      <c r="G14" s="22">
        <v>5.0200000000000002E-2</v>
      </c>
      <c r="H14" s="23">
        <v>6.1098E-2</v>
      </c>
      <c r="I14" s="24"/>
      <c r="J14" s="5"/>
    </row>
    <row r="15" spans="1:10" ht="13.05" customHeight="1">
      <c r="A15" s="18" t="s">
        <v>4805</v>
      </c>
      <c r="B15" s="19" t="s">
        <v>4806</v>
      </c>
      <c r="C15" s="15" t="s">
        <v>4807</v>
      </c>
      <c r="D15" s="15" t="s">
        <v>188</v>
      </c>
      <c r="E15" s="20">
        <v>5000000</v>
      </c>
      <c r="F15" s="21">
        <v>5049.75</v>
      </c>
      <c r="G15" s="22">
        <v>4.5999999999999999E-2</v>
      </c>
      <c r="H15" s="23">
        <v>5.6649999999999999E-2</v>
      </c>
      <c r="I15" s="24"/>
      <c r="J15" s="5"/>
    </row>
    <row r="16" spans="1:10" ht="13.05" customHeight="1">
      <c r="A16" s="18" t="s">
        <v>4808</v>
      </c>
      <c r="B16" s="19" t="s">
        <v>4809</v>
      </c>
      <c r="C16" s="15" t="s">
        <v>4810</v>
      </c>
      <c r="D16" s="15" t="s">
        <v>188</v>
      </c>
      <c r="E16" s="20">
        <v>4219500</v>
      </c>
      <c r="F16" s="21">
        <v>4264.5769</v>
      </c>
      <c r="G16" s="22">
        <v>3.8899999999999997E-2</v>
      </c>
      <c r="H16" s="23">
        <v>5.6950000000000001E-2</v>
      </c>
      <c r="I16" s="24"/>
      <c r="J16" s="5"/>
    </row>
    <row r="17" spans="1:10" ht="13.05" customHeight="1">
      <c r="A17" s="18" t="s">
        <v>4811</v>
      </c>
      <c r="B17" s="19" t="s">
        <v>4812</v>
      </c>
      <c r="C17" s="15" t="s">
        <v>4813</v>
      </c>
      <c r="D17" s="15" t="s">
        <v>213</v>
      </c>
      <c r="E17" s="20">
        <v>400</v>
      </c>
      <c r="F17" s="21">
        <v>4008.2440000000001</v>
      </c>
      <c r="G17" s="22">
        <v>3.6600000000000001E-2</v>
      </c>
      <c r="H17" s="23">
        <v>6.0337000000000002E-2</v>
      </c>
      <c r="I17" s="24"/>
      <c r="J17" s="5"/>
    </row>
    <row r="18" spans="1:10" ht="13.05" customHeight="1">
      <c r="A18" s="18" t="s">
        <v>4814</v>
      </c>
      <c r="B18" s="19" t="s">
        <v>4815</v>
      </c>
      <c r="C18" s="15" t="s">
        <v>4816</v>
      </c>
      <c r="D18" s="15" t="s">
        <v>188</v>
      </c>
      <c r="E18" s="20">
        <v>3150000</v>
      </c>
      <c r="F18" s="21">
        <v>3178.1327000000001</v>
      </c>
      <c r="G18" s="22">
        <v>2.9000000000000001E-2</v>
      </c>
      <c r="H18" s="23">
        <v>5.6649999999999999E-2</v>
      </c>
      <c r="I18" s="24"/>
      <c r="J18" s="5"/>
    </row>
    <row r="19" spans="1:10" ht="13.05" customHeight="1">
      <c r="A19" s="18" t="s">
        <v>4817</v>
      </c>
      <c r="B19" s="19" t="s">
        <v>4818</v>
      </c>
      <c r="C19" s="15" t="s">
        <v>4819</v>
      </c>
      <c r="D19" s="15" t="s">
        <v>188</v>
      </c>
      <c r="E19" s="20">
        <v>2737500</v>
      </c>
      <c r="F19" s="21">
        <v>2739.6516999999999</v>
      </c>
      <c r="G19" s="22">
        <v>2.5000000000000001E-2</v>
      </c>
      <c r="H19" s="23">
        <v>5.6550999999999997E-2</v>
      </c>
      <c r="I19" s="24"/>
      <c r="J19" s="5"/>
    </row>
    <row r="20" spans="1:10" ht="13.05" customHeight="1">
      <c r="A20" s="18" t="s">
        <v>4820</v>
      </c>
      <c r="B20" s="19" t="s">
        <v>4821</v>
      </c>
      <c r="C20" s="15" t="s">
        <v>4822</v>
      </c>
      <c r="D20" s="15" t="s">
        <v>188</v>
      </c>
      <c r="E20" s="20">
        <v>2545000</v>
      </c>
      <c r="F20" s="21">
        <v>2567.8184999999999</v>
      </c>
      <c r="G20" s="22">
        <v>2.3400000000000001E-2</v>
      </c>
      <c r="H20" s="23">
        <v>5.6500000000000002E-2</v>
      </c>
      <c r="I20" s="24"/>
      <c r="J20" s="5"/>
    </row>
    <row r="21" spans="1:10" ht="13.05" customHeight="1">
      <c r="A21" s="18" t="s">
        <v>4823</v>
      </c>
      <c r="B21" s="19" t="s">
        <v>4824</v>
      </c>
      <c r="C21" s="15" t="s">
        <v>4825</v>
      </c>
      <c r="D21" s="15" t="s">
        <v>188</v>
      </c>
      <c r="E21" s="20">
        <v>2500000</v>
      </c>
      <c r="F21" s="21">
        <v>2526.4775</v>
      </c>
      <c r="G21" s="22">
        <v>2.3E-2</v>
      </c>
      <c r="H21" s="23">
        <v>5.7349999999999998E-2</v>
      </c>
      <c r="I21" s="24"/>
      <c r="J21" s="5"/>
    </row>
    <row r="22" spans="1:10" ht="13.05" customHeight="1">
      <c r="A22" s="18" t="s">
        <v>4826</v>
      </c>
      <c r="B22" s="19" t="s">
        <v>4827</v>
      </c>
      <c r="C22" s="15" t="s">
        <v>4828</v>
      </c>
      <c r="D22" s="15" t="s">
        <v>188</v>
      </c>
      <c r="E22" s="20">
        <v>2200000</v>
      </c>
      <c r="F22" s="21">
        <v>2202.761</v>
      </c>
      <c r="G22" s="22">
        <v>2.01E-2</v>
      </c>
      <c r="H22" s="23">
        <v>5.5549000000000001E-2</v>
      </c>
      <c r="I22" s="24"/>
      <c r="J22" s="5"/>
    </row>
    <row r="23" spans="1:10" ht="13.05" customHeight="1">
      <c r="A23" s="18" t="s">
        <v>4829</v>
      </c>
      <c r="B23" s="19" t="s">
        <v>4830</v>
      </c>
      <c r="C23" s="15" t="s">
        <v>4831</v>
      </c>
      <c r="D23" s="15" t="s">
        <v>188</v>
      </c>
      <c r="E23" s="20">
        <v>1955000</v>
      </c>
      <c r="F23" s="21">
        <v>1965.0643</v>
      </c>
      <c r="G23" s="22">
        <v>1.7899999999999999E-2</v>
      </c>
      <c r="H23" s="23">
        <v>5.5973000000000002E-2</v>
      </c>
      <c r="I23" s="24"/>
      <c r="J23" s="5"/>
    </row>
    <row r="24" spans="1:10" ht="13.05" customHeight="1">
      <c r="A24" s="18" t="s">
        <v>4832</v>
      </c>
      <c r="B24" s="19" t="s">
        <v>4833</v>
      </c>
      <c r="C24" s="15" t="s">
        <v>4834</v>
      </c>
      <c r="D24" s="15" t="s">
        <v>188</v>
      </c>
      <c r="E24" s="20">
        <v>1500000</v>
      </c>
      <c r="F24" s="21">
        <v>1505.595</v>
      </c>
      <c r="G24" s="22">
        <v>1.37E-2</v>
      </c>
      <c r="H24" s="23">
        <v>5.5724999999999997E-2</v>
      </c>
      <c r="I24" s="24"/>
      <c r="J24" s="5"/>
    </row>
    <row r="25" spans="1:10" ht="13.05" customHeight="1">
      <c r="A25" s="18" t="s">
        <v>4835</v>
      </c>
      <c r="B25" s="19" t="s">
        <v>4836</v>
      </c>
      <c r="C25" s="15" t="s">
        <v>4837</v>
      </c>
      <c r="D25" s="15" t="s">
        <v>188</v>
      </c>
      <c r="E25" s="20">
        <v>1000000</v>
      </c>
      <c r="F25" s="21">
        <v>1006.3440000000001</v>
      </c>
      <c r="G25" s="22">
        <v>9.1999999999999998E-3</v>
      </c>
      <c r="H25" s="23">
        <v>5.5799000000000001E-2</v>
      </c>
      <c r="I25" s="24"/>
      <c r="J25" s="5"/>
    </row>
    <row r="26" spans="1:10" ht="13.05" customHeight="1">
      <c r="A26" s="18" t="s">
        <v>4838</v>
      </c>
      <c r="B26" s="19" t="s">
        <v>4839</v>
      </c>
      <c r="C26" s="15" t="s">
        <v>4840</v>
      </c>
      <c r="D26" s="15" t="s">
        <v>188</v>
      </c>
      <c r="E26" s="20">
        <v>1000000</v>
      </c>
      <c r="F26" s="21">
        <v>1005.047</v>
      </c>
      <c r="G26" s="22">
        <v>9.1999999999999998E-3</v>
      </c>
      <c r="H26" s="23">
        <v>5.5799000000000001E-2</v>
      </c>
      <c r="I26" s="24"/>
      <c r="J26" s="5"/>
    </row>
    <row r="27" spans="1:10" ht="13.05" customHeight="1">
      <c r="A27" s="18" t="s">
        <v>2258</v>
      </c>
      <c r="B27" s="19" t="s">
        <v>2259</v>
      </c>
      <c r="C27" s="15" t="s">
        <v>2260</v>
      </c>
      <c r="D27" s="15" t="s">
        <v>188</v>
      </c>
      <c r="E27" s="20">
        <v>1000000</v>
      </c>
      <c r="F27" s="21">
        <v>1002.672</v>
      </c>
      <c r="G27" s="22">
        <v>9.1000000000000004E-3</v>
      </c>
      <c r="H27" s="23">
        <v>5.5724999999999997E-2</v>
      </c>
      <c r="I27" s="24"/>
      <c r="J27" s="5"/>
    </row>
    <row r="28" spans="1:10" ht="13.05" customHeight="1">
      <c r="A28" s="18" t="s">
        <v>4841</v>
      </c>
      <c r="B28" s="19" t="s">
        <v>4842</v>
      </c>
      <c r="C28" s="15" t="s">
        <v>4843</v>
      </c>
      <c r="D28" s="15" t="s">
        <v>188</v>
      </c>
      <c r="E28" s="20">
        <v>500000</v>
      </c>
      <c r="F28" s="21">
        <v>505.36399999999998</v>
      </c>
      <c r="G28" s="22">
        <v>4.5999999999999999E-3</v>
      </c>
      <c r="H28" s="23">
        <v>5.6950000000000001E-2</v>
      </c>
      <c r="I28" s="24"/>
      <c r="J28" s="5"/>
    </row>
    <row r="29" spans="1:10" ht="13.05" customHeight="1">
      <c r="A29" s="18" t="s">
        <v>4844</v>
      </c>
      <c r="B29" s="19" t="s">
        <v>4845</v>
      </c>
      <c r="C29" s="15" t="s">
        <v>4846</v>
      </c>
      <c r="D29" s="15" t="s">
        <v>188</v>
      </c>
      <c r="E29" s="20">
        <v>500000</v>
      </c>
      <c r="F29" s="21">
        <v>503.65050000000002</v>
      </c>
      <c r="G29" s="22">
        <v>4.5999999999999999E-3</v>
      </c>
      <c r="H29" s="23">
        <v>5.6500000000000002E-2</v>
      </c>
      <c r="I29" s="24"/>
      <c r="J29" s="5"/>
    </row>
    <row r="30" spans="1:10" ht="13.05" customHeight="1">
      <c r="A30" s="18" t="s">
        <v>4847</v>
      </c>
      <c r="B30" s="19" t="s">
        <v>4848</v>
      </c>
      <c r="C30" s="15" t="s">
        <v>4849</v>
      </c>
      <c r="D30" s="15" t="s">
        <v>188</v>
      </c>
      <c r="E30" s="20">
        <v>500000</v>
      </c>
      <c r="F30" s="21">
        <v>503.64800000000002</v>
      </c>
      <c r="G30" s="22">
        <v>4.5999999999999999E-3</v>
      </c>
      <c r="H30" s="23">
        <v>5.6899999999999999E-2</v>
      </c>
      <c r="I30" s="24"/>
      <c r="J30" s="5"/>
    </row>
    <row r="31" spans="1:10" ht="13.05" customHeight="1">
      <c r="A31" s="18" t="s">
        <v>4850</v>
      </c>
      <c r="B31" s="19" t="s">
        <v>4851</v>
      </c>
      <c r="C31" s="15" t="s">
        <v>4852</v>
      </c>
      <c r="D31" s="15" t="s">
        <v>188</v>
      </c>
      <c r="E31" s="20">
        <v>500000</v>
      </c>
      <c r="F31" s="21">
        <v>503.14699999999999</v>
      </c>
      <c r="G31" s="22">
        <v>4.5999999999999999E-3</v>
      </c>
      <c r="H31" s="23">
        <v>5.62E-2</v>
      </c>
      <c r="I31" s="24"/>
      <c r="J31" s="5"/>
    </row>
    <row r="32" spans="1:10" ht="13.05" customHeight="1">
      <c r="A32" s="18" t="s">
        <v>4337</v>
      </c>
      <c r="B32" s="19" t="s">
        <v>4338</v>
      </c>
      <c r="C32" s="15" t="s">
        <v>4339</v>
      </c>
      <c r="D32" s="15" t="s">
        <v>188</v>
      </c>
      <c r="E32" s="20">
        <v>500000</v>
      </c>
      <c r="F32" s="21">
        <v>502.52350000000001</v>
      </c>
      <c r="G32" s="22">
        <v>4.5999999999999999E-3</v>
      </c>
      <c r="H32" s="23">
        <v>5.5799000000000001E-2</v>
      </c>
      <c r="I32" s="24"/>
      <c r="J32" s="5"/>
    </row>
    <row r="33" spans="1:10" ht="13.05" customHeight="1">
      <c r="A33" s="18" t="s">
        <v>3445</v>
      </c>
      <c r="B33" s="19" t="s">
        <v>3446</v>
      </c>
      <c r="C33" s="15" t="s">
        <v>3447</v>
      </c>
      <c r="D33" s="15" t="s">
        <v>213</v>
      </c>
      <c r="E33" s="20">
        <v>500</v>
      </c>
      <c r="F33" s="21">
        <v>502.01350000000002</v>
      </c>
      <c r="G33" s="22">
        <v>4.5999999999999999E-3</v>
      </c>
      <c r="H33" s="23">
        <v>6.4350000000000004E-2</v>
      </c>
      <c r="I33" s="24"/>
      <c r="J33" s="5"/>
    </row>
    <row r="34" spans="1:10" ht="13.05" customHeight="1">
      <c r="A34" s="18" t="s">
        <v>4853</v>
      </c>
      <c r="B34" s="19" t="s">
        <v>4854</v>
      </c>
      <c r="C34" s="15" t="s">
        <v>4855</v>
      </c>
      <c r="D34" s="15" t="s">
        <v>188</v>
      </c>
      <c r="E34" s="20">
        <v>262500</v>
      </c>
      <c r="F34" s="21">
        <v>264.9665</v>
      </c>
      <c r="G34" s="22">
        <v>2.3999999999999998E-3</v>
      </c>
      <c r="H34" s="23">
        <v>5.6951000000000002E-2</v>
      </c>
      <c r="I34" s="24"/>
      <c r="J34" s="5"/>
    </row>
    <row r="35" spans="1:10" ht="13.05" customHeight="1">
      <c r="A35" s="18" t="s">
        <v>4322</v>
      </c>
      <c r="B35" s="19" t="s">
        <v>4323</v>
      </c>
      <c r="C35" s="15" t="s">
        <v>4324</v>
      </c>
      <c r="D35" s="15" t="s">
        <v>188</v>
      </c>
      <c r="E35" s="20">
        <v>120000</v>
      </c>
      <c r="F35" s="21">
        <v>121.08320000000001</v>
      </c>
      <c r="G35" s="22">
        <v>1.1000000000000001E-3</v>
      </c>
      <c r="H35" s="23">
        <v>5.6500000000000002E-2</v>
      </c>
      <c r="I35" s="24"/>
      <c r="J35" s="5"/>
    </row>
    <row r="36" spans="1:10" ht="13.05" customHeight="1">
      <c r="A36" s="5"/>
      <c r="B36" s="14" t="s">
        <v>192</v>
      </c>
      <c r="C36" s="15"/>
      <c r="D36" s="15"/>
      <c r="E36" s="15"/>
      <c r="F36" s="25">
        <v>103710.7301</v>
      </c>
      <c r="G36" s="26">
        <v>0.94569999999999999</v>
      </c>
      <c r="H36" s="27"/>
      <c r="I36" s="28"/>
      <c r="J36" s="5"/>
    </row>
    <row r="37" spans="1:10" ht="13.05" customHeight="1">
      <c r="A37" s="5"/>
      <c r="B37" s="29" t="s">
        <v>193</v>
      </c>
      <c r="C37" s="2"/>
      <c r="D37" s="2"/>
      <c r="E37" s="2"/>
      <c r="F37" s="27" t="s">
        <v>194</v>
      </c>
      <c r="G37" s="27" t="s">
        <v>194</v>
      </c>
      <c r="H37" s="27"/>
      <c r="I37" s="28"/>
      <c r="J37" s="5"/>
    </row>
    <row r="38" spans="1:10" ht="13.05" customHeight="1">
      <c r="A38" s="5"/>
      <c r="B38" s="29" t="s">
        <v>192</v>
      </c>
      <c r="C38" s="2"/>
      <c r="D38" s="2"/>
      <c r="E38" s="2"/>
      <c r="F38" s="27" t="s">
        <v>194</v>
      </c>
      <c r="G38" s="27" t="s">
        <v>194</v>
      </c>
      <c r="H38" s="27"/>
      <c r="I38" s="28"/>
      <c r="J38" s="5"/>
    </row>
    <row r="39" spans="1:10" ht="13.05" customHeight="1">
      <c r="A39" s="5"/>
      <c r="B39" s="29" t="s">
        <v>195</v>
      </c>
      <c r="C39" s="30"/>
      <c r="D39" s="2"/>
      <c r="E39" s="30"/>
      <c r="F39" s="25">
        <v>103710.7301</v>
      </c>
      <c r="G39" s="26">
        <v>0.94569999999999999</v>
      </c>
      <c r="H39" s="27"/>
      <c r="I39" s="28"/>
      <c r="J39" s="5"/>
    </row>
    <row r="40" spans="1:10" ht="13.05" customHeight="1">
      <c r="A40" s="5"/>
      <c r="B40" s="14" t="s">
        <v>196</v>
      </c>
      <c r="C40" s="15"/>
      <c r="D40" s="15"/>
      <c r="E40" s="15"/>
      <c r="F40" s="15"/>
      <c r="G40" s="15"/>
      <c r="H40" s="16"/>
      <c r="I40" s="17"/>
      <c r="J40" s="5"/>
    </row>
    <row r="41" spans="1:10" ht="13.05" customHeight="1">
      <c r="A41" s="18" t="s">
        <v>197</v>
      </c>
      <c r="B41" s="19" t="s">
        <v>198</v>
      </c>
      <c r="C41" s="15"/>
      <c r="D41" s="15"/>
      <c r="E41" s="20"/>
      <c r="F41" s="21">
        <v>2692.3002000000001</v>
      </c>
      <c r="G41" s="22">
        <v>2.46E-2</v>
      </c>
      <c r="H41" s="23">
        <v>5.5573615184383571E-2</v>
      </c>
      <c r="I41" s="24"/>
      <c r="J41" s="5"/>
    </row>
    <row r="42" spans="1:10" ht="13.05" customHeight="1">
      <c r="A42" s="5"/>
      <c r="B42" s="14" t="s">
        <v>192</v>
      </c>
      <c r="C42" s="15"/>
      <c r="D42" s="15"/>
      <c r="E42" s="15"/>
      <c r="F42" s="25">
        <v>2692.3002000000001</v>
      </c>
      <c r="G42" s="26">
        <v>2.46E-2</v>
      </c>
      <c r="H42" s="27"/>
      <c r="I42" s="28"/>
      <c r="J42" s="5"/>
    </row>
    <row r="43" spans="1:10" ht="13.05" customHeight="1">
      <c r="A43" s="5"/>
      <c r="B43" s="29" t="s">
        <v>193</v>
      </c>
      <c r="C43" s="2"/>
      <c r="D43" s="2"/>
      <c r="E43" s="2"/>
      <c r="F43" s="27" t="s">
        <v>194</v>
      </c>
      <c r="G43" s="27" t="s">
        <v>194</v>
      </c>
      <c r="H43" s="27"/>
      <c r="I43" s="28"/>
      <c r="J43" s="5"/>
    </row>
    <row r="44" spans="1:10" ht="13.05" customHeight="1">
      <c r="A44" s="5"/>
      <c r="B44" s="29" t="s">
        <v>192</v>
      </c>
      <c r="C44" s="2"/>
      <c r="D44" s="2"/>
      <c r="E44" s="2"/>
      <c r="F44" s="27" t="s">
        <v>194</v>
      </c>
      <c r="G44" s="27" t="s">
        <v>194</v>
      </c>
      <c r="H44" s="27"/>
      <c r="I44" s="28"/>
      <c r="J44" s="5"/>
    </row>
    <row r="45" spans="1:10" ht="13.05" customHeight="1">
      <c r="A45" s="5"/>
      <c r="B45" s="29" t="s">
        <v>195</v>
      </c>
      <c r="C45" s="30"/>
      <c r="D45" s="2"/>
      <c r="E45" s="30"/>
      <c r="F45" s="25">
        <v>2692.3002000000001</v>
      </c>
      <c r="G45" s="26">
        <v>2.46E-2</v>
      </c>
      <c r="H45" s="27"/>
      <c r="I45" s="28"/>
      <c r="J45" s="5"/>
    </row>
    <row r="46" spans="1:10" ht="13.05" customHeight="1">
      <c r="A46" s="5"/>
      <c r="B46" s="29" t="s">
        <v>199</v>
      </c>
      <c r="C46" s="15"/>
      <c r="D46" s="2"/>
      <c r="E46" s="15"/>
      <c r="F46" s="31">
        <v>3259.5297</v>
      </c>
      <c r="G46" s="26">
        <v>2.9700000000000001E-2</v>
      </c>
      <c r="H46" s="27"/>
      <c r="I46" s="28"/>
      <c r="J46" s="5"/>
    </row>
    <row r="47" spans="1:10" ht="13.05" customHeight="1">
      <c r="A47" s="5"/>
      <c r="B47" s="32" t="s">
        <v>200</v>
      </c>
      <c r="C47" s="33"/>
      <c r="D47" s="33"/>
      <c r="E47" s="33"/>
      <c r="F47" s="34">
        <v>109662.56</v>
      </c>
      <c r="G47" s="35">
        <v>1</v>
      </c>
      <c r="H47" s="36"/>
      <c r="I47" s="37"/>
      <c r="J47" s="5"/>
    </row>
    <row r="48" spans="1:10" ht="13.05" customHeight="1">
      <c r="A48" s="5"/>
      <c r="B48" s="7"/>
      <c r="C48" s="5"/>
      <c r="D48" s="5"/>
      <c r="E48" s="5"/>
      <c r="F48" s="5"/>
      <c r="G48" s="5"/>
      <c r="H48" s="5"/>
      <c r="I48" s="5"/>
      <c r="J48" s="5"/>
    </row>
    <row r="49" spans="1:10" ht="13.05" customHeight="1">
      <c r="A49" s="5"/>
      <c r="B49" s="4" t="s">
        <v>250</v>
      </c>
      <c r="C49" s="5"/>
      <c r="D49" s="5"/>
      <c r="E49" s="5"/>
      <c r="F49" s="5"/>
      <c r="G49" s="5"/>
      <c r="H49" s="5"/>
      <c r="I49" s="5"/>
      <c r="J49" s="5"/>
    </row>
    <row r="50" spans="1:10" ht="13.05" customHeight="1">
      <c r="A50" s="5"/>
      <c r="B50" s="4" t="s">
        <v>201</v>
      </c>
      <c r="C50" s="5"/>
      <c r="D50" s="5"/>
      <c r="E50" s="5"/>
      <c r="F50" s="5"/>
      <c r="G50" s="5"/>
      <c r="H50" s="5"/>
      <c r="I50" s="5"/>
      <c r="J50" s="5"/>
    </row>
    <row r="51" spans="1:10" ht="25.95" customHeight="1">
      <c r="A51" s="5"/>
      <c r="B51" s="103" t="s">
        <v>202</v>
      </c>
      <c r="C51" s="103"/>
      <c r="D51" s="103"/>
      <c r="E51" s="103"/>
      <c r="F51" s="103"/>
      <c r="G51" s="103"/>
      <c r="H51" s="103"/>
      <c r="I51" s="103"/>
      <c r="J51" s="5"/>
    </row>
    <row r="52" spans="1:10" ht="13.05" customHeight="1">
      <c r="A52" s="5"/>
      <c r="B52" s="103" t="s">
        <v>203</v>
      </c>
      <c r="C52" s="103"/>
      <c r="D52" s="103"/>
      <c r="E52" s="103"/>
      <c r="F52" s="103"/>
      <c r="G52" s="103"/>
      <c r="H52" s="103"/>
      <c r="I52" s="103"/>
      <c r="J52" s="5"/>
    </row>
    <row r="53" spans="1:10" ht="13.05" customHeight="1">
      <c r="A53" s="5"/>
      <c r="B53" s="103" t="s">
        <v>4856</v>
      </c>
      <c r="C53" s="103"/>
      <c r="D53" s="103"/>
      <c r="E53" s="103"/>
      <c r="F53" s="103"/>
      <c r="G53" s="5"/>
      <c r="H53" s="5"/>
      <c r="I53" s="5"/>
      <c r="J53" s="5"/>
    </row>
    <row r="54" spans="1:10" ht="13.05" customHeight="1">
      <c r="A54" s="5"/>
      <c r="B54" s="103"/>
      <c r="C54" s="103"/>
      <c r="D54" s="103"/>
      <c r="E54" s="103"/>
      <c r="F54" s="103"/>
      <c r="G54" s="103"/>
      <c r="H54" s="103"/>
      <c r="I54" s="103"/>
      <c r="J54" s="5"/>
    </row>
    <row r="55" spans="1:10" ht="13.05" customHeight="1">
      <c r="A55" s="5"/>
      <c r="B55" s="109" t="s">
        <v>4857</v>
      </c>
      <c r="C55" s="109"/>
      <c r="D55" s="109"/>
      <c r="E55" s="109"/>
      <c r="F55" s="5"/>
      <c r="G55" s="5"/>
      <c r="H55" s="5"/>
      <c r="I55" s="5"/>
      <c r="J55" s="5"/>
    </row>
    <row r="56" spans="1:10" ht="13.05" customHeight="1">
      <c r="A56" s="5"/>
      <c r="B56" s="103"/>
      <c r="C56" s="103"/>
      <c r="D56" s="103"/>
      <c r="E56" s="103"/>
      <c r="F56" s="103"/>
      <c r="G56" s="103"/>
      <c r="H56" s="103"/>
      <c r="I56" s="103"/>
      <c r="J56" s="5"/>
    </row>
    <row r="57" spans="1:10" ht="13.05" customHeight="1">
      <c r="A57" s="5"/>
      <c r="B57" s="5"/>
      <c r="C57" s="104" t="s">
        <v>4795</v>
      </c>
      <c r="D57" s="104"/>
      <c r="E57" s="104"/>
      <c r="F57" s="104"/>
      <c r="G57" s="5"/>
      <c r="H57" s="5"/>
      <c r="I57" s="5"/>
      <c r="J57" s="5"/>
    </row>
    <row r="58" spans="1:10" ht="13.05" customHeight="1">
      <c r="A58" s="5"/>
      <c r="B58" s="38" t="s">
        <v>207</v>
      </c>
      <c r="C58" s="104" t="s">
        <v>208</v>
      </c>
      <c r="D58" s="104"/>
      <c r="E58" s="104"/>
      <c r="F58" s="104"/>
      <c r="G58" s="5"/>
      <c r="H58" s="5"/>
      <c r="I58" s="5"/>
      <c r="J58" s="5"/>
    </row>
    <row r="59" spans="1:10" ht="135" customHeight="1">
      <c r="A59" s="5"/>
      <c r="B59" s="39"/>
      <c r="C59" s="105"/>
      <c r="D59" s="105"/>
      <c r="E59" s="5"/>
      <c r="F59" s="5"/>
      <c r="G59" s="5"/>
      <c r="H59" s="5"/>
      <c r="I59" s="5"/>
      <c r="J59" s="5"/>
    </row>
  </sheetData>
  <mergeCells count="9">
    <mergeCell ref="B51:I51"/>
    <mergeCell ref="B52:I52"/>
    <mergeCell ref="B53:F53"/>
    <mergeCell ref="C59:D59"/>
    <mergeCell ref="B54:I54"/>
    <mergeCell ref="B55:E55"/>
    <mergeCell ref="B56:I56"/>
    <mergeCell ref="C57:F57"/>
    <mergeCell ref="C58:F58"/>
  </mergeCells>
  <hyperlinks>
    <hyperlink ref="A1" location="AxisNiftyAAABondPlusSDLApr20265050ETF" display="AXISSETF" xr:uid="{00000000-0004-0000-4700-000000000000}"/>
    <hyperlink ref="B1" location="AxisNiftyAAABondPlusSDLApr20265050ETF" display="Axis Nifty AAA Bond Plus SDL Apr 2026 50:50 ETF" xr:uid="{00000000-0004-0000-47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outlinePr summaryBelow="0"/>
  </sheetPr>
  <dimension ref="A1:J58"/>
  <sheetViews>
    <sheetView topLeftCell="A19" workbookViewId="0">
      <selection activeCell="C37" sqref="C37"/>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146</v>
      </c>
      <c r="B1" s="4" t="s">
        <v>147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72000</v>
      </c>
      <c r="F7" s="21">
        <v>711.10799999999995</v>
      </c>
      <c r="G7" s="22">
        <v>0.15060000000000001</v>
      </c>
      <c r="H7" s="40"/>
      <c r="I7" s="24"/>
      <c r="J7" s="5"/>
    </row>
    <row r="8" spans="1:10" ht="13.05" customHeight="1">
      <c r="A8" s="18" t="s">
        <v>258</v>
      </c>
      <c r="B8" s="19" t="s">
        <v>259</v>
      </c>
      <c r="C8" s="15" t="s">
        <v>260</v>
      </c>
      <c r="D8" s="15" t="s">
        <v>261</v>
      </c>
      <c r="E8" s="20">
        <v>32129</v>
      </c>
      <c r="F8" s="21">
        <v>477.5976</v>
      </c>
      <c r="G8" s="22">
        <v>0.1011</v>
      </c>
      <c r="H8" s="40"/>
      <c r="I8" s="24"/>
      <c r="J8" s="5"/>
    </row>
    <row r="9" spans="1:10" ht="13.05" customHeight="1">
      <c r="A9" s="18" t="s">
        <v>262</v>
      </c>
      <c r="B9" s="19" t="s">
        <v>263</v>
      </c>
      <c r="C9" s="15" t="s">
        <v>264</v>
      </c>
      <c r="D9" s="15" t="s">
        <v>257</v>
      </c>
      <c r="E9" s="20">
        <v>33903</v>
      </c>
      <c r="F9" s="21">
        <v>456.01229999999998</v>
      </c>
      <c r="G9" s="22">
        <v>9.6600000000000005E-2</v>
      </c>
      <c r="H9" s="40"/>
      <c r="I9" s="24"/>
      <c r="J9" s="5"/>
    </row>
    <row r="10" spans="1:10" ht="13.05" customHeight="1">
      <c r="A10" s="18" t="s">
        <v>265</v>
      </c>
      <c r="B10" s="19" t="s">
        <v>266</v>
      </c>
      <c r="C10" s="15" t="s">
        <v>267</v>
      </c>
      <c r="D10" s="15" t="s">
        <v>268</v>
      </c>
      <c r="E10" s="20">
        <v>12995</v>
      </c>
      <c r="F10" s="21">
        <v>266.99529999999999</v>
      </c>
      <c r="G10" s="22">
        <v>5.6500000000000002E-2</v>
      </c>
      <c r="H10" s="40"/>
      <c r="I10" s="24"/>
      <c r="J10" s="5"/>
    </row>
    <row r="11" spans="1:10" ht="13.05" customHeight="1">
      <c r="A11" s="18" t="s">
        <v>269</v>
      </c>
      <c r="B11" s="19" t="s">
        <v>270</v>
      </c>
      <c r="C11" s="15" t="s">
        <v>271</v>
      </c>
      <c r="D11" s="15" t="s">
        <v>272</v>
      </c>
      <c r="E11" s="20">
        <v>16964</v>
      </c>
      <c r="F11" s="21">
        <v>251.4913</v>
      </c>
      <c r="G11" s="22">
        <v>5.3199999999999997E-2</v>
      </c>
      <c r="H11" s="40"/>
      <c r="I11" s="24"/>
      <c r="J11" s="5"/>
    </row>
    <row r="12" spans="1:10" ht="13.05" customHeight="1">
      <c r="A12" s="18" t="s">
        <v>273</v>
      </c>
      <c r="B12" s="19" t="s">
        <v>274</v>
      </c>
      <c r="C12" s="15" t="s">
        <v>275</v>
      </c>
      <c r="D12" s="15" t="s">
        <v>276</v>
      </c>
      <c r="E12" s="20">
        <v>5552</v>
      </c>
      <c r="F12" s="21">
        <v>223.81219999999999</v>
      </c>
      <c r="G12" s="22">
        <v>4.7399999999999998E-2</v>
      </c>
      <c r="H12" s="40"/>
      <c r="I12" s="24"/>
      <c r="J12" s="5"/>
    </row>
    <row r="13" spans="1:10" ht="13.05" customHeight="1">
      <c r="A13" s="18" t="s">
        <v>277</v>
      </c>
      <c r="B13" s="19" t="s">
        <v>278</v>
      </c>
      <c r="C13" s="15" t="s">
        <v>279</v>
      </c>
      <c r="D13" s="15" t="s">
        <v>280</v>
      </c>
      <c r="E13" s="20">
        <v>45797</v>
      </c>
      <c r="F13" s="21">
        <v>192.46190000000001</v>
      </c>
      <c r="G13" s="22">
        <v>4.0800000000000003E-2</v>
      </c>
      <c r="H13" s="40"/>
      <c r="I13" s="24"/>
      <c r="J13" s="5"/>
    </row>
    <row r="14" spans="1:10" ht="13.05" customHeight="1">
      <c r="A14" s="18" t="s">
        <v>281</v>
      </c>
      <c r="B14" s="19" t="s">
        <v>282</v>
      </c>
      <c r="C14" s="15" t="s">
        <v>283</v>
      </c>
      <c r="D14" s="15" t="s">
        <v>257</v>
      </c>
      <c r="E14" s="20">
        <v>19722</v>
      </c>
      <c r="F14" s="21">
        <v>184.79509999999999</v>
      </c>
      <c r="G14" s="22">
        <v>3.9100000000000003E-2</v>
      </c>
      <c r="H14" s="40"/>
      <c r="I14" s="24"/>
      <c r="J14" s="5"/>
    </row>
    <row r="15" spans="1:10" ht="13.05" customHeight="1">
      <c r="A15" s="18" t="s">
        <v>284</v>
      </c>
      <c r="B15" s="19" t="s">
        <v>285</v>
      </c>
      <c r="C15" s="15" t="s">
        <v>286</v>
      </c>
      <c r="D15" s="15" t="s">
        <v>257</v>
      </c>
      <c r="E15" s="20">
        <v>13518</v>
      </c>
      <c r="F15" s="21">
        <v>166.67689999999999</v>
      </c>
      <c r="G15" s="22">
        <v>3.5299999999999998E-2</v>
      </c>
      <c r="H15" s="40"/>
      <c r="I15" s="24"/>
      <c r="J15" s="5"/>
    </row>
    <row r="16" spans="1:10" ht="13.05" customHeight="1">
      <c r="A16" s="18" t="s">
        <v>287</v>
      </c>
      <c r="B16" s="19" t="s">
        <v>288</v>
      </c>
      <c r="C16" s="15" t="s">
        <v>289</v>
      </c>
      <c r="D16" s="15" t="s">
        <v>272</v>
      </c>
      <c r="E16" s="20">
        <v>4797</v>
      </c>
      <c r="F16" s="21">
        <v>146.68270000000001</v>
      </c>
      <c r="G16" s="22">
        <v>3.1099999999999999E-2</v>
      </c>
      <c r="H16" s="40"/>
      <c r="I16" s="24"/>
      <c r="J16" s="5"/>
    </row>
    <row r="17" spans="1:10" ht="13.05" customHeight="1">
      <c r="A17" s="18" t="s">
        <v>290</v>
      </c>
      <c r="B17" s="19" t="s">
        <v>291</v>
      </c>
      <c r="C17" s="15" t="s">
        <v>292</v>
      </c>
      <c r="D17" s="15" t="s">
        <v>257</v>
      </c>
      <c r="E17" s="20">
        <v>6969</v>
      </c>
      <c r="F17" s="21">
        <v>146.48490000000001</v>
      </c>
      <c r="G17" s="22">
        <v>3.1E-2</v>
      </c>
      <c r="H17" s="40"/>
      <c r="I17" s="24"/>
      <c r="J17" s="5"/>
    </row>
    <row r="18" spans="1:10" ht="13.05" customHeight="1">
      <c r="A18" s="18" t="s">
        <v>293</v>
      </c>
      <c r="B18" s="19" t="s">
        <v>294</v>
      </c>
      <c r="C18" s="15" t="s">
        <v>295</v>
      </c>
      <c r="D18" s="15" t="s">
        <v>296</v>
      </c>
      <c r="E18" s="20">
        <v>4182</v>
      </c>
      <c r="F18" s="21">
        <v>145.79920000000001</v>
      </c>
      <c r="G18" s="22">
        <v>3.09E-2</v>
      </c>
      <c r="H18" s="40"/>
      <c r="I18" s="24"/>
      <c r="J18" s="5"/>
    </row>
    <row r="19" spans="1:10" ht="13.05" customHeight="1">
      <c r="A19" s="18" t="s">
        <v>297</v>
      </c>
      <c r="B19" s="19" t="s">
        <v>298</v>
      </c>
      <c r="C19" s="15" t="s">
        <v>299</v>
      </c>
      <c r="D19" s="15" t="s">
        <v>300</v>
      </c>
      <c r="E19" s="20">
        <v>12358</v>
      </c>
      <c r="F19" s="21">
        <v>128.84450000000001</v>
      </c>
      <c r="G19" s="22">
        <v>2.7300000000000001E-2</v>
      </c>
      <c r="H19" s="40"/>
      <c r="I19" s="24"/>
      <c r="J19" s="5"/>
    </row>
    <row r="20" spans="1:10" ht="13.05" customHeight="1">
      <c r="A20" s="18" t="s">
        <v>305</v>
      </c>
      <c r="B20" s="19" t="s">
        <v>306</v>
      </c>
      <c r="C20" s="15" t="s">
        <v>307</v>
      </c>
      <c r="D20" s="15" t="s">
        <v>280</v>
      </c>
      <c r="E20" s="20">
        <v>4239</v>
      </c>
      <c r="F20" s="21">
        <v>104.5613</v>
      </c>
      <c r="G20" s="22">
        <v>2.2100000000000002E-2</v>
      </c>
      <c r="H20" s="40"/>
      <c r="I20" s="24"/>
      <c r="J20" s="5"/>
    </row>
    <row r="21" spans="1:10" ht="13.05" customHeight="1">
      <c r="A21" s="18" t="s">
        <v>301</v>
      </c>
      <c r="B21" s="19" t="s">
        <v>302</v>
      </c>
      <c r="C21" s="15" t="s">
        <v>303</v>
      </c>
      <c r="D21" s="15" t="s">
        <v>304</v>
      </c>
      <c r="E21" s="20">
        <v>32902</v>
      </c>
      <c r="F21" s="21">
        <v>104.5461</v>
      </c>
      <c r="G21" s="22">
        <v>2.2100000000000002E-2</v>
      </c>
      <c r="H21" s="40"/>
      <c r="I21" s="24"/>
      <c r="J21" s="5"/>
    </row>
    <row r="22" spans="1:10" ht="13.05" customHeight="1">
      <c r="A22" s="18" t="s">
        <v>308</v>
      </c>
      <c r="B22" s="19" t="s">
        <v>309</v>
      </c>
      <c r="C22" s="15" t="s">
        <v>310</v>
      </c>
      <c r="D22" s="15" t="s">
        <v>296</v>
      </c>
      <c r="E22" s="20">
        <v>627</v>
      </c>
      <c r="F22" s="21">
        <v>101.5232</v>
      </c>
      <c r="G22" s="22">
        <v>2.1499999999999998E-2</v>
      </c>
      <c r="H22" s="40"/>
      <c r="I22" s="24"/>
      <c r="J22" s="5"/>
    </row>
    <row r="23" spans="1:10" ht="13.05" customHeight="1">
      <c r="A23" s="18" t="s">
        <v>311</v>
      </c>
      <c r="B23" s="19" t="s">
        <v>312</v>
      </c>
      <c r="C23" s="15" t="s">
        <v>313</v>
      </c>
      <c r="D23" s="15" t="s">
        <v>314</v>
      </c>
      <c r="E23" s="20">
        <v>5013</v>
      </c>
      <c r="F23" s="21">
        <v>84.712199999999996</v>
      </c>
      <c r="G23" s="22">
        <v>1.7899999999999999E-2</v>
      </c>
      <c r="H23" s="40"/>
      <c r="I23" s="24"/>
      <c r="J23" s="5"/>
    </row>
    <row r="24" spans="1:10" ht="13.05" customHeight="1">
      <c r="A24" s="18" t="s">
        <v>315</v>
      </c>
      <c r="B24" s="19" t="s">
        <v>316</v>
      </c>
      <c r="C24" s="15" t="s">
        <v>317</v>
      </c>
      <c r="D24" s="15" t="s">
        <v>272</v>
      </c>
      <c r="E24" s="20">
        <v>4994</v>
      </c>
      <c r="F24" s="21">
        <v>76.977500000000006</v>
      </c>
      <c r="G24" s="22">
        <v>1.6299999999999999E-2</v>
      </c>
      <c r="H24" s="40"/>
      <c r="I24" s="24"/>
      <c r="J24" s="5"/>
    </row>
    <row r="25" spans="1:10" ht="13.05" customHeight="1">
      <c r="A25" s="18" t="s">
        <v>318</v>
      </c>
      <c r="B25" s="19" t="s">
        <v>319</v>
      </c>
      <c r="C25" s="15" t="s">
        <v>320</v>
      </c>
      <c r="D25" s="15" t="s">
        <v>321</v>
      </c>
      <c r="E25" s="20">
        <v>22564</v>
      </c>
      <c r="F25" s="21">
        <v>76.006799999999998</v>
      </c>
      <c r="G25" s="22">
        <v>1.61E-2</v>
      </c>
      <c r="H25" s="40"/>
      <c r="I25" s="24"/>
      <c r="J25" s="5"/>
    </row>
    <row r="26" spans="1:10" ht="13.05" customHeight="1">
      <c r="A26" s="18" t="s">
        <v>322</v>
      </c>
      <c r="B26" s="19" t="s">
        <v>323</v>
      </c>
      <c r="C26" s="15" t="s">
        <v>324</v>
      </c>
      <c r="D26" s="15" t="s">
        <v>325</v>
      </c>
      <c r="E26" s="20">
        <v>1938</v>
      </c>
      <c r="F26" s="21">
        <v>72.581999999999994</v>
      </c>
      <c r="G26" s="22">
        <v>1.54E-2</v>
      </c>
      <c r="H26" s="40"/>
      <c r="I26" s="24"/>
      <c r="J26" s="5"/>
    </row>
    <row r="27" spans="1:10" ht="13.05" customHeight="1">
      <c r="A27" s="18" t="s">
        <v>326</v>
      </c>
      <c r="B27" s="19" t="s">
        <v>327</v>
      </c>
      <c r="C27" s="15" t="s">
        <v>328</v>
      </c>
      <c r="D27" s="15" t="s">
        <v>329</v>
      </c>
      <c r="E27" s="20">
        <v>16969</v>
      </c>
      <c r="F27" s="21">
        <v>72.313400000000001</v>
      </c>
      <c r="G27" s="22">
        <v>1.5299999999999999E-2</v>
      </c>
      <c r="H27" s="40"/>
      <c r="I27" s="24"/>
      <c r="J27" s="5"/>
    </row>
    <row r="28" spans="1:10" ht="13.05" customHeight="1">
      <c r="A28" s="18" t="s">
        <v>330</v>
      </c>
      <c r="B28" s="19" t="s">
        <v>331</v>
      </c>
      <c r="C28" s="15" t="s">
        <v>332</v>
      </c>
      <c r="D28" s="15" t="s">
        <v>333</v>
      </c>
      <c r="E28" s="20">
        <v>38857</v>
      </c>
      <c r="F28" s="21">
        <v>71.088899999999995</v>
      </c>
      <c r="G28" s="22">
        <v>1.5100000000000001E-2</v>
      </c>
      <c r="H28" s="40"/>
      <c r="I28" s="24"/>
      <c r="J28" s="5"/>
    </row>
    <row r="29" spans="1:10" ht="13.05" customHeight="1">
      <c r="A29" s="18" t="s">
        <v>334</v>
      </c>
      <c r="B29" s="19" t="s">
        <v>335</v>
      </c>
      <c r="C29" s="15" t="s">
        <v>336</v>
      </c>
      <c r="D29" s="15" t="s">
        <v>337</v>
      </c>
      <c r="E29" s="20">
        <v>558</v>
      </c>
      <c r="F29" s="21">
        <v>66.6631</v>
      </c>
      <c r="G29" s="22">
        <v>1.41E-2</v>
      </c>
      <c r="H29" s="40"/>
      <c r="I29" s="24"/>
      <c r="J29" s="5"/>
    </row>
    <row r="30" spans="1:10" ht="13.05" customHeight="1">
      <c r="A30" s="18" t="s">
        <v>338</v>
      </c>
      <c r="B30" s="19" t="s">
        <v>339</v>
      </c>
      <c r="C30" s="15" t="s">
        <v>340</v>
      </c>
      <c r="D30" s="15" t="s">
        <v>321</v>
      </c>
      <c r="E30" s="20">
        <v>21645</v>
      </c>
      <c r="F30" s="21">
        <v>62.370100000000001</v>
      </c>
      <c r="G30" s="22">
        <v>1.32E-2</v>
      </c>
      <c r="H30" s="40"/>
      <c r="I30" s="24"/>
      <c r="J30" s="5"/>
    </row>
    <row r="31" spans="1:10" ht="13.05" customHeight="1">
      <c r="A31" s="18" t="s">
        <v>349</v>
      </c>
      <c r="B31" s="19" t="s">
        <v>350</v>
      </c>
      <c r="C31" s="15" t="s">
        <v>351</v>
      </c>
      <c r="D31" s="15" t="s">
        <v>300</v>
      </c>
      <c r="E31" s="20">
        <v>2713</v>
      </c>
      <c r="F31" s="21">
        <v>56.652900000000002</v>
      </c>
      <c r="G31" s="22">
        <v>1.2E-2</v>
      </c>
      <c r="H31" s="40"/>
      <c r="I31" s="24"/>
      <c r="J31" s="5"/>
    </row>
    <row r="32" spans="1:10" ht="13.05" customHeight="1">
      <c r="A32" s="18" t="s">
        <v>352</v>
      </c>
      <c r="B32" s="19" t="s">
        <v>353</v>
      </c>
      <c r="C32" s="15" t="s">
        <v>354</v>
      </c>
      <c r="D32" s="15" t="s">
        <v>325</v>
      </c>
      <c r="E32" s="20">
        <v>2135</v>
      </c>
      <c r="F32" s="21">
        <v>53.588500000000003</v>
      </c>
      <c r="G32" s="22">
        <v>1.1299999999999999E-2</v>
      </c>
      <c r="H32" s="40"/>
      <c r="I32" s="24"/>
      <c r="J32" s="5"/>
    </row>
    <row r="33" spans="1:10" ht="13.05" customHeight="1">
      <c r="A33" s="18" t="s">
        <v>361</v>
      </c>
      <c r="B33" s="19" t="s">
        <v>362</v>
      </c>
      <c r="C33" s="15" t="s">
        <v>363</v>
      </c>
      <c r="D33" s="15" t="s">
        <v>364</v>
      </c>
      <c r="E33" s="20">
        <v>3476</v>
      </c>
      <c r="F33" s="21">
        <v>50.452399999999997</v>
      </c>
      <c r="G33" s="22">
        <v>1.0699999999999999E-2</v>
      </c>
      <c r="H33" s="40"/>
      <c r="I33" s="24"/>
      <c r="J33" s="5"/>
    </row>
    <row r="34" spans="1:10" ht="13.05" customHeight="1">
      <c r="A34" s="18" t="s">
        <v>368</v>
      </c>
      <c r="B34" s="19" t="s">
        <v>369</v>
      </c>
      <c r="C34" s="15" t="s">
        <v>370</v>
      </c>
      <c r="D34" s="15" t="s">
        <v>304</v>
      </c>
      <c r="E34" s="20">
        <v>1047</v>
      </c>
      <c r="F34" s="21">
        <v>49.142000000000003</v>
      </c>
      <c r="G34" s="22">
        <v>1.04E-2</v>
      </c>
      <c r="H34" s="40"/>
      <c r="I34" s="24"/>
      <c r="J34" s="5"/>
    </row>
    <row r="35" spans="1:10" ht="13.05" customHeight="1">
      <c r="A35" s="18" t="s">
        <v>392</v>
      </c>
      <c r="B35" s="19" t="s">
        <v>393</v>
      </c>
      <c r="C35" s="15" t="s">
        <v>394</v>
      </c>
      <c r="D35" s="15" t="s">
        <v>272</v>
      </c>
      <c r="E35" s="20">
        <v>3021</v>
      </c>
      <c r="F35" s="21">
        <v>43.043199999999999</v>
      </c>
      <c r="G35" s="22">
        <v>9.1000000000000004E-3</v>
      </c>
      <c r="H35" s="40"/>
      <c r="I35" s="24"/>
      <c r="J35" s="5"/>
    </row>
    <row r="36" spans="1:10" ht="13.05" customHeight="1">
      <c r="A36" s="18" t="s">
        <v>409</v>
      </c>
      <c r="B36" s="19" t="s">
        <v>410</v>
      </c>
      <c r="C36" s="15" t="s">
        <v>411</v>
      </c>
      <c r="D36" s="15" t="s">
        <v>296</v>
      </c>
      <c r="E36" s="20">
        <v>9903</v>
      </c>
      <c r="F36" s="21">
        <v>40.612200000000001</v>
      </c>
      <c r="G36" s="22">
        <v>8.6E-3</v>
      </c>
      <c r="H36" s="40"/>
      <c r="I36" s="24"/>
      <c r="J36" s="5"/>
    </row>
    <row r="37" spans="1:10" ht="13.05" customHeight="1">
      <c r="A37" s="18" t="s">
        <v>505</v>
      </c>
      <c r="B37" s="19" t="s">
        <v>2339</v>
      </c>
      <c r="C37" s="15" t="s">
        <v>506</v>
      </c>
      <c r="D37" s="15" t="s">
        <v>507</v>
      </c>
      <c r="E37" s="20">
        <v>10572</v>
      </c>
      <c r="F37" s="21">
        <v>27.688099999999999</v>
      </c>
      <c r="G37" s="22">
        <v>5.8999999999999999E-3</v>
      </c>
      <c r="H37" s="40"/>
      <c r="I37" s="24"/>
      <c r="J37" s="5"/>
    </row>
    <row r="38" spans="1:10" ht="13.05" customHeight="1">
      <c r="A38" s="5"/>
      <c r="B38" s="14" t="s">
        <v>192</v>
      </c>
      <c r="C38" s="15"/>
      <c r="D38" s="15"/>
      <c r="E38" s="15"/>
      <c r="F38" s="25">
        <v>4713.2857000000004</v>
      </c>
      <c r="G38" s="26">
        <v>0.99790000000000001</v>
      </c>
      <c r="H38" s="27"/>
      <c r="I38" s="28"/>
      <c r="J38" s="5"/>
    </row>
    <row r="39" spans="1:10" ht="13.05" customHeight="1">
      <c r="A39" s="5"/>
      <c r="B39" s="29" t="s">
        <v>1812</v>
      </c>
      <c r="C39" s="2"/>
      <c r="D39" s="2"/>
      <c r="E39" s="2"/>
      <c r="F39" s="27" t="s">
        <v>194</v>
      </c>
      <c r="G39" s="27" t="s">
        <v>194</v>
      </c>
      <c r="H39" s="27"/>
      <c r="I39" s="28"/>
      <c r="J39" s="5"/>
    </row>
    <row r="40" spans="1:10" ht="13.05" customHeight="1">
      <c r="A40" s="5"/>
      <c r="B40" s="29" t="s">
        <v>192</v>
      </c>
      <c r="C40" s="2"/>
      <c r="D40" s="2"/>
      <c r="E40" s="2"/>
      <c r="F40" s="27" t="s">
        <v>194</v>
      </c>
      <c r="G40" s="27" t="s">
        <v>194</v>
      </c>
      <c r="H40" s="27"/>
      <c r="I40" s="28"/>
      <c r="J40" s="5"/>
    </row>
    <row r="41" spans="1:10" ht="13.05" customHeight="1">
      <c r="A41" s="5"/>
      <c r="B41" s="29" t="s">
        <v>195</v>
      </c>
      <c r="C41" s="30"/>
      <c r="D41" s="2"/>
      <c r="E41" s="30"/>
      <c r="F41" s="25">
        <v>4713.2857000000004</v>
      </c>
      <c r="G41" s="26">
        <v>0.99790000000000001</v>
      </c>
      <c r="H41" s="27"/>
      <c r="I41" s="28"/>
      <c r="J41" s="5"/>
    </row>
    <row r="42" spans="1:10" ht="13.05" customHeight="1">
      <c r="A42" s="5"/>
      <c r="B42" s="14" t="s">
        <v>196</v>
      </c>
      <c r="C42" s="15"/>
      <c r="D42" s="15"/>
      <c r="E42" s="15"/>
      <c r="F42" s="15"/>
      <c r="G42" s="15"/>
      <c r="H42" s="16"/>
      <c r="I42" s="17"/>
      <c r="J42" s="5"/>
    </row>
    <row r="43" spans="1:10" ht="13.05" customHeight="1">
      <c r="A43" s="18" t="s">
        <v>197</v>
      </c>
      <c r="B43" s="19" t="s">
        <v>198</v>
      </c>
      <c r="C43" s="15"/>
      <c r="D43" s="15"/>
      <c r="E43" s="20"/>
      <c r="F43" s="21">
        <v>32.460099999999997</v>
      </c>
      <c r="G43" s="22">
        <v>6.8999999999999999E-3</v>
      </c>
      <c r="H43" s="23">
        <v>5.5573469095452362E-2</v>
      </c>
      <c r="I43" s="24"/>
      <c r="J43" s="5"/>
    </row>
    <row r="44" spans="1:10" ht="13.05" customHeight="1">
      <c r="A44" s="5"/>
      <c r="B44" s="14" t="s">
        <v>192</v>
      </c>
      <c r="C44" s="15"/>
      <c r="D44" s="15"/>
      <c r="E44" s="15"/>
      <c r="F44" s="25">
        <v>32.460099999999997</v>
      </c>
      <c r="G44" s="26">
        <v>6.8999999999999999E-3</v>
      </c>
      <c r="H44" s="27"/>
      <c r="I44" s="28"/>
      <c r="J44" s="5"/>
    </row>
    <row r="45" spans="1:10" ht="13.05" customHeight="1">
      <c r="A45" s="5"/>
      <c r="B45" s="29" t="s">
        <v>195</v>
      </c>
      <c r="C45" s="30"/>
      <c r="D45" s="2"/>
      <c r="E45" s="30"/>
      <c r="F45" s="25">
        <v>32.460099999999997</v>
      </c>
      <c r="G45" s="26">
        <v>6.8999999999999999E-3</v>
      </c>
      <c r="H45" s="27"/>
      <c r="I45" s="28"/>
      <c r="J45" s="5"/>
    </row>
    <row r="46" spans="1:10" ht="13.05" customHeight="1">
      <c r="A46" s="5"/>
      <c r="B46" s="29" t="s">
        <v>199</v>
      </c>
      <c r="C46" s="15"/>
      <c r="D46" s="2"/>
      <c r="E46" s="15"/>
      <c r="F46" s="31">
        <v>-22.7758</v>
      </c>
      <c r="G46" s="26">
        <v>-4.7999999999999996E-3</v>
      </c>
      <c r="H46" s="27"/>
      <c r="I46" s="28"/>
      <c r="J46" s="5"/>
    </row>
    <row r="47" spans="1:10" ht="13.05" customHeight="1">
      <c r="A47" s="5"/>
      <c r="B47" s="32" t="s">
        <v>200</v>
      </c>
      <c r="C47" s="33"/>
      <c r="D47" s="33"/>
      <c r="E47" s="33"/>
      <c r="F47" s="34">
        <v>4722.97</v>
      </c>
      <c r="G47" s="35">
        <v>1</v>
      </c>
      <c r="H47" s="36"/>
      <c r="I47" s="37"/>
      <c r="J47" s="5"/>
    </row>
    <row r="48" spans="1:10" ht="13.05" customHeight="1">
      <c r="A48" s="5"/>
      <c r="B48" s="7"/>
      <c r="C48" s="5"/>
      <c r="D48" s="5"/>
      <c r="E48" s="5"/>
      <c r="F48" s="5"/>
      <c r="G48" s="5"/>
      <c r="H48" s="5"/>
      <c r="I48" s="5"/>
      <c r="J48" s="5"/>
    </row>
    <row r="49" spans="1:10" ht="13.05" customHeight="1">
      <c r="A49" s="5"/>
      <c r="B49" s="4" t="s">
        <v>201</v>
      </c>
      <c r="C49" s="5"/>
      <c r="D49" s="5"/>
      <c r="E49" s="5"/>
      <c r="F49" s="5"/>
      <c r="G49" s="5"/>
      <c r="H49" s="5"/>
      <c r="I49" s="5"/>
      <c r="J49" s="5"/>
    </row>
    <row r="50" spans="1:10" ht="25.95" customHeight="1">
      <c r="A50" s="5"/>
      <c r="B50" s="103" t="s">
        <v>202</v>
      </c>
      <c r="C50" s="103"/>
      <c r="D50" s="103"/>
      <c r="E50" s="103"/>
      <c r="F50" s="103"/>
      <c r="G50" s="103"/>
      <c r="H50" s="103"/>
      <c r="I50" s="103"/>
      <c r="J50" s="5"/>
    </row>
    <row r="51" spans="1:10" ht="13.05" customHeight="1">
      <c r="A51" s="5"/>
      <c r="B51" s="103" t="s">
        <v>203</v>
      </c>
      <c r="C51" s="103"/>
      <c r="D51" s="103"/>
      <c r="E51" s="103"/>
      <c r="F51" s="103"/>
      <c r="G51" s="103"/>
      <c r="H51" s="103"/>
      <c r="I51" s="103"/>
      <c r="J51" s="5"/>
    </row>
    <row r="52" spans="1:10" ht="13.05" customHeight="1">
      <c r="A52" s="5"/>
      <c r="B52" s="103"/>
      <c r="C52" s="103"/>
      <c r="D52" s="103"/>
      <c r="E52" s="103"/>
      <c r="F52" s="103"/>
      <c r="G52" s="103"/>
      <c r="H52" s="103"/>
      <c r="I52" s="103"/>
      <c r="J52" s="5"/>
    </row>
    <row r="53" spans="1:10" ht="13.05" customHeight="1">
      <c r="A53" s="5"/>
      <c r="B53" s="103"/>
      <c r="C53" s="103"/>
      <c r="D53" s="103"/>
      <c r="E53" s="103"/>
      <c r="F53" s="103"/>
      <c r="G53" s="103"/>
      <c r="H53" s="103"/>
      <c r="I53" s="103"/>
      <c r="J53" s="5"/>
    </row>
    <row r="54" spans="1:10" ht="13.05" customHeight="1">
      <c r="A54" s="5"/>
      <c r="B54" s="103"/>
      <c r="C54" s="103"/>
      <c r="D54" s="103"/>
      <c r="E54" s="103"/>
      <c r="F54" s="103"/>
      <c r="G54" s="103"/>
      <c r="H54" s="103"/>
      <c r="I54" s="103"/>
      <c r="J54" s="5"/>
    </row>
    <row r="55" spans="1:10" ht="13.05" customHeight="1">
      <c r="A55" s="5"/>
      <c r="B55" s="103"/>
      <c r="C55" s="103"/>
      <c r="D55" s="103"/>
      <c r="E55" s="103"/>
      <c r="F55" s="103"/>
      <c r="G55" s="103"/>
      <c r="H55" s="103"/>
      <c r="I55" s="103"/>
      <c r="J55" s="5"/>
    </row>
    <row r="56" spans="1:10" ht="13.05" customHeight="1">
      <c r="A56" s="5"/>
      <c r="B56" s="5"/>
      <c r="C56" s="104" t="s">
        <v>2340</v>
      </c>
      <c r="D56" s="104"/>
      <c r="E56" s="104"/>
      <c r="F56" s="104"/>
      <c r="G56" s="5"/>
      <c r="H56" s="5"/>
      <c r="I56" s="5"/>
      <c r="J56" s="5"/>
    </row>
    <row r="57" spans="1:10" ht="13.05" customHeight="1">
      <c r="A57" s="5"/>
      <c r="B57" s="38" t="s">
        <v>207</v>
      </c>
      <c r="C57" s="104" t="s">
        <v>208</v>
      </c>
      <c r="D57" s="104"/>
      <c r="E57" s="104"/>
      <c r="F57" s="104"/>
      <c r="G57" s="5"/>
      <c r="H57" s="5"/>
      <c r="I57" s="5"/>
      <c r="J57" s="5"/>
    </row>
    <row r="58" spans="1:10" ht="135" customHeight="1">
      <c r="A58" s="5"/>
      <c r="B58" s="39"/>
      <c r="C58" s="105"/>
      <c r="D58" s="105"/>
      <c r="E58" s="5"/>
      <c r="F58" s="5"/>
      <c r="G58" s="5"/>
      <c r="H58" s="5"/>
      <c r="I58" s="5"/>
      <c r="J58" s="5"/>
    </row>
  </sheetData>
  <mergeCells count="9">
    <mergeCell ref="B55:I55"/>
    <mergeCell ref="C56:F56"/>
    <mergeCell ref="C57:F57"/>
    <mergeCell ref="C58:D58"/>
    <mergeCell ref="B50:I50"/>
    <mergeCell ref="B51:I51"/>
    <mergeCell ref="B52:I52"/>
    <mergeCell ref="B53:I53"/>
    <mergeCell ref="B54:I54"/>
  </mergeCells>
  <hyperlinks>
    <hyperlink ref="A1" location="AxisBSESensexIndexFund" display="AXISSIF" xr:uid="{00000000-0004-0000-4800-000000000000}"/>
    <hyperlink ref="B1" location="AxisBSESensexIndexFund" display="Axis BSE Sensex Index Fund" xr:uid="{00000000-0004-0000-48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outlinePr summaryBelow="0"/>
  </sheetPr>
  <dimension ref="A1:J26"/>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148</v>
      </c>
      <c r="B1" s="4" t="s">
        <v>149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1818</v>
      </c>
      <c r="C5" s="15"/>
      <c r="D5" s="15"/>
      <c r="E5" s="15"/>
      <c r="F5" s="15"/>
      <c r="G5" s="15"/>
      <c r="H5" s="16"/>
      <c r="I5" s="17"/>
      <c r="J5" s="5"/>
    </row>
    <row r="6" spans="1:10" ht="13.05" customHeight="1">
      <c r="A6" s="5"/>
      <c r="B6" s="14" t="s">
        <v>3514</v>
      </c>
      <c r="C6" s="15"/>
      <c r="D6" s="15"/>
      <c r="E6" s="15"/>
      <c r="F6" s="5"/>
      <c r="G6" s="16"/>
      <c r="H6" s="16"/>
      <c r="I6" s="17"/>
      <c r="J6" s="5"/>
    </row>
    <row r="7" spans="1:10" ht="13.05" customHeight="1">
      <c r="A7" s="18" t="s">
        <v>4858</v>
      </c>
      <c r="B7" s="19" t="s">
        <v>58</v>
      </c>
      <c r="C7" s="15" t="s">
        <v>4859</v>
      </c>
      <c r="D7" s="15"/>
      <c r="E7" s="20">
        <v>28176291</v>
      </c>
      <c r="F7" s="21">
        <v>41740.357499999998</v>
      </c>
      <c r="G7" s="22">
        <v>0.99219999999999997</v>
      </c>
      <c r="H7" s="40"/>
      <c r="I7" s="24"/>
      <c r="J7" s="5"/>
    </row>
    <row r="8" spans="1:10" ht="13.05" customHeight="1">
      <c r="A8" s="5"/>
      <c r="B8" s="14" t="s">
        <v>192</v>
      </c>
      <c r="C8" s="15"/>
      <c r="D8" s="15"/>
      <c r="E8" s="15"/>
      <c r="F8" s="25">
        <v>41740.357499999998</v>
      </c>
      <c r="G8" s="26">
        <v>0.99219999999999997</v>
      </c>
      <c r="H8" s="27"/>
      <c r="I8" s="28"/>
      <c r="J8" s="5"/>
    </row>
    <row r="9" spans="1:10" ht="13.05" customHeight="1">
      <c r="A9" s="5"/>
      <c r="B9" s="29" t="s">
        <v>195</v>
      </c>
      <c r="C9" s="30"/>
      <c r="D9" s="2"/>
      <c r="E9" s="30"/>
      <c r="F9" s="25">
        <v>41740.357499999998</v>
      </c>
      <c r="G9" s="26">
        <v>0.99219999999999997</v>
      </c>
      <c r="H9" s="27"/>
      <c r="I9" s="28"/>
      <c r="J9" s="5"/>
    </row>
    <row r="10" spans="1:10" ht="13.05" customHeight="1">
      <c r="A10" s="5"/>
      <c r="B10" s="14" t="s">
        <v>196</v>
      </c>
      <c r="C10" s="15"/>
      <c r="D10" s="15"/>
      <c r="E10" s="15"/>
      <c r="F10" s="15"/>
      <c r="G10" s="15"/>
      <c r="H10" s="16"/>
      <c r="I10" s="17"/>
      <c r="J10" s="5"/>
    </row>
    <row r="11" spans="1:10" ht="13.05" customHeight="1">
      <c r="A11" s="18" t="s">
        <v>197</v>
      </c>
      <c r="B11" s="19" t="s">
        <v>198</v>
      </c>
      <c r="C11" s="15"/>
      <c r="D11" s="15"/>
      <c r="E11" s="20"/>
      <c r="F11" s="21">
        <v>703.05589999999995</v>
      </c>
      <c r="G11" s="22">
        <v>1.67E-2</v>
      </c>
      <c r="H11" s="23">
        <v>5.5573631619388345E-2</v>
      </c>
      <c r="I11" s="24"/>
      <c r="J11" s="5"/>
    </row>
    <row r="12" spans="1:10" ht="13.05" customHeight="1">
      <c r="A12" s="5"/>
      <c r="B12" s="14" t="s">
        <v>192</v>
      </c>
      <c r="C12" s="15"/>
      <c r="D12" s="15"/>
      <c r="E12" s="15"/>
      <c r="F12" s="25">
        <v>703.05589999999995</v>
      </c>
      <c r="G12" s="26">
        <v>1.67E-2</v>
      </c>
      <c r="H12" s="27"/>
      <c r="I12" s="28"/>
      <c r="J12" s="5"/>
    </row>
    <row r="13" spans="1:10" ht="13.05" customHeight="1">
      <c r="A13" s="5"/>
      <c r="B13" s="29" t="s">
        <v>195</v>
      </c>
      <c r="C13" s="30"/>
      <c r="D13" s="2"/>
      <c r="E13" s="30"/>
      <c r="F13" s="25">
        <v>703.05589999999995</v>
      </c>
      <c r="G13" s="26">
        <v>1.67E-2</v>
      </c>
      <c r="H13" s="27"/>
      <c r="I13" s="28"/>
      <c r="J13" s="5"/>
    </row>
    <row r="14" spans="1:10" ht="13.05" customHeight="1">
      <c r="A14" s="5"/>
      <c r="B14" s="29" t="s">
        <v>199</v>
      </c>
      <c r="C14" s="15"/>
      <c r="D14" s="2"/>
      <c r="E14" s="15"/>
      <c r="F14" s="31">
        <v>-374.96339999999998</v>
      </c>
      <c r="G14" s="26">
        <v>-8.8999999999999999E-3</v>
      </c>
      <c r="H14" s="27"/>
      <c r="I14" s="28"/>
      <c r="J14" s="5"/>
    </row>
    <row r="15" spans="1:10" ht="13.05" customHeight="1">
      <c r="A15" s="5"/>
      <c r="B15" s="32" t="s">
        <v>200</v>
      </c>
      <c r="C15" s="33"/>
      <c r="D15" s="33"/>
      <c r="E15" s="33"/>
      <c r="F15" s="34">
        <v>42068.45</v>
      </c>
      <c r="G15" s="35">
        <v>1</v>
      </c>
      <c r="H15" s="36"/>
      <c r="I15" s="37"/>
      <c r="J15" s="5"/>
    </row>
    <row r="16" spans="1:10" ht="13.05" customHeight="1">
      <c r="A16" s="5"/>
      <c r="B16" s="7"/>
      <c r="C16" s="5"/>
      <c r="D16" s="5"/>
      <c r="E16" s="5"/>
      <c r="F16" s="5"/>
      <c r="G16" s="5"/>
      <c r="H16" s="5"/>
      <c r="I16" s="5"/>
      <c r="J16" s="5"/>
    </row>
    <row r="17" spans="1:10" ht="13.05" customHeight="1">
      <c r="A17" s="5"/>
      <c r="B17" s="4" t="s">
        <v>201</v>
      </c>
      <c r="C17" s="5"/>
      <c r="D17" s="5"/>
      <c r="E17" s="5"/>
      <c r="F17" s="5"/>
      <c r="G17" s="5"/>
      <c r="H17" s="5"/>
      <c r="I17" s="5"/>
      <c r="J17" s="5"/>
    </row>
    <row r="18" spans="1:10" ht="25.95" customHeight="1">
      <c r="A18" s="5"/>
      <c r="B18" s="103" t="s">
        <v>202</v>
      </c>
      <c r="C18" s="103"/>
      <c r="D18" s="103"/>
      <c r="E18" s="103"/>
      <c r="F18" s="103"/>
      <c r="G18" s="103"/>
      <c r="H18" s="103"/>
      <c r="I18" s="103"/>
      <c r="J18" s="5"/>
    </row>
    <row r="19" spans="1:10" ht="13.05" customHeight="1">
      <c r="A19" s="5"/>
      <c r="B19" s="103" t="s">
        <v>203</v>
      </c>
      <c r="C19" s="103"/>
      <c r="D19" s="103"/>
      <c r="E19" s="103"/>
      <c r="F19" s="103"/>
      <c r="G19" s="103"/>
      <c r="H19" s="103"/>
      <c r="I19" s="103"/>
      <c r="J19" s="5"/>
    </row>
    <row r="20" spans="1:10" ht="13.05" customHeight="1">
      <c r="A20" s="5"/>
      <c r="B20" s="103"/>
      <c r="C20" s="103"/>
      <c r="D20" s="103"/>
      <c r="E20" s="103"/>
      <c r="F20" s="103"/>
      <c r="G20" s="103"/>
      <c r="H20" s="103"/>
      <c r="I20" s="103"/>
      <c r="J20" s="5"/>
    </row>
    <row r="21" spans="1:10" ht="13.05" customHeight="1">
      <c r="A21" s="5"/>
      <c r="B21" s="103"/>
      <c r="C21" s="103"/>
      <c r="D21" s="103"/>
      <c r="E21" s="103"/>
      <c r="F21" s="103"/>
      <c r="G21" s="103"/>
      <c r="H21" s="103"/>
      <c r="I21" s="103"/>
      <c r="J21" s="5"/>
    </row>
    <row r="22" spans="1:10" ht="13.05" customHeight="1">
      <c r="A22" s="5"/>
      <c r="B22" s="103"/>
      <c r="C22" s="103"/>
      <c r="D22" s="103"/>
      <c r="E22" s="103"/>
      <c r="F22" s="103"/>
      <c r="G22" s="103"/>
      <c r="H22" s="103"/>
      <c r="I22" s="103"/>
      <c r="J22" s="5"/>
    </row>
    <row r="23" spans="1:10" ht="13.05" customHeight="1">
      <c r="A23" s="5"/>
      <c r="B23" s="103"/>
      <c r="C23" s="103"/>
      <c r="D23" s="103"/>
      <c r="E23" s="103"/>
      <c r="F23" s="103"/>
      <c r="G23" s="103"/>
      <c r="H23" s="103"/>
      <c r="I23" s="103"/>
      <c r="J23" s="5"/>
    </row>
    <row r="24" spans="1:10" ht="13.05" customHeight="1">
      <c r="A24" s="5"/>
      <c r="B24" s="5"/>
      <c r="C24" s="104" t="s">
        <v>3634</v>
      </c>
      <c r="D24" s="104"/>
      <c r="E24" s="104"/>
      <c r="F24" s="104"/>
      <c r="G24" s="5"/>
      <c r="H24" s="5"/>
      <c r="I24" s="5"/>
      <c r="J24" s="5"/>
    </row>
    <row r="25" spans="1:10" ht="13.05" customHeight="1">
      <c r="A25" s="5"/>
      <c r="B25" s="38" t="s">
        <v>207</v>
      </c>
      <c r="C25" s="104" t="s">
        <v>208</v>
      </c>
      <c r="D25" s="104"/>
      <c r="E25" s="104"/>
      <c r="F25" s="104"/>
      <c r="G25" s="5"/>
      <c r="H25" s="5"/>
      <c r="I25" s="5"/>
      <c r="J25" s="5"/>
    </row>
    <row r="26" spans="1:10" ht="135" customHeight="1">
      <c r="A26" s="5"/>
      <c r="B26" s="39"/>
      <c r="C26" s="105"/>
      <c r="D26" s="105"/>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SilverFundofFund" display="AXISSIL" xr:uid="{00000000-0004-0000-4900-000000000000}"/>
    <hyperlink ref="B1" location="AxisSilverFundofFund" display="Axis Silver Fund of Fund" xr:uid="{00000000-0004-0000-49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outlinePr summaryBelow="0"/>
  </sheetPr>
  <dimension ref="A1:J62"/>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150</v>
      </c>
      <c r="B1" s="4" t="s">
        <v>151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1711000</v>
      </c>
      <c r="F7" s="21">
        <v>16892.703000000001</v>
      </c>
      <c r="G7" s="22">
        <v>8.3699999999999997E-2</v>
      </c>
      <c r="H7" s="40"/>
      <c r="I7" s="24"/>
      <c r="J7" s="5"/>
    </row>
    <row r="8" spans="1:10" ht="13.05" customHeight="1">
      <c r="A8" s="18" t="s">
        <v>262</v>
      </c>
      <c r="B8" s="19" t="s">
        <v>263</v>
      </c>
      <c r="C8" s="15" t="s">
        <v>264</v>
      </c>
      <c r="D8" s="15" t="s">
        <v>257</v>
      </c>
      <c r="E8" s="20">
        <v>1168600</v>
      </c>
      <c r="F8" s="21">
        <v>15721.175800000001</v>
      </c>
      <c r="G8" s="22">
        <v>7.7899999999999997E-2</v>
      </c>
      <c r="H8" s="40"/>
      <c r="I8" s="24"/>
      <c r="J8" s="5"/>
    </row>
    <row r="9" spans="1:10" ht="13.05" customHeight="1">
      <c r="A9" s="18" t="s">
        <v>265</v>
      </c>
      <c r="B9" s="19" t="s">
        <v>266</v>
      </c>
      <c r="C9" s="15" t="s">
        <v>267</v>
      </c>
      <c r="D9" s="15" t="s">
        <v>268</v>
      </c>
      <c r="E9" s="20">
        <v>726397</v>
      </c>
      <c r="F9" s="21">
        <v>14923.8264</v>
      </c>
      <c r="G9" s="22">
        <v>7.3999999999999996E-2</v>
      </c>
      <c r="H9" s="40"/>
      <c r="I9" s="24"/>
      <c r="J9" s="5"/>
    </row>
    <row r="10" spans="1:10" ht="13.05" customHeight="1">
      <c r="A10" s="18" t="s">
        <v>301</v>
      </c>
      <c r="B10" s="19" t="s">
        <v>302</v>
      </c>
      <c r="C10" s="15" t="s">
        <v>303</v>
      </c>
      <c r="D10" s="15" t="s">
        <v>304</v>
      </c>
      <c r="E10" s="20">
        <v>4323164</v>
      </c>
      <c r="F10" s="21">
        <v>13736.8536</v>
      </c>
      <c r="G10" s="22">
        <v>6.8099999999999994E-2</v>
      </c>
      <c r="H10" s="40"/>
      <c r="I10" s="24"/>
      <c r="J10" s="5"/>
    </row>
    <row r="11" spans="1:10" ht="13.05" customHeight="1">
      <c r="A11" s="18" t="s">
        <v>297</v>
      </c>
      <c r="B11" s="19" t="s">
        <v>298</v>
      </c>
      <c r="C11" s="15" t="s">
        <v>299</v>
      </c>
      <c r="D11" s="15" t="s">
        <v>300</v>
      </c>
      <c r="E11" s="20">
        <v>943678</v>
      </c>
      <c r="F11" s="21">
        <v>9840.6741999999995</v>
      </c>
      <c r="G11" s="22">
        <v>4.8800000000000003E-2</v>
      </c>
      <c r="H11" s="40"/>
      <c r="I11" s="24"/>
      <c r="J11" s="5"/>
    </row>
    <row r="12" spans="1:10" ht="13.05" customHeight="1">
      <c r="A12" s="18" t="s">
        <v>514</v>
      </c>
      <c r="B12" s="19" t="s">
        <v>515</v>
      </c>
      <c r="C12" s="15" t="s">
        <v>516</v>
      </c>
      <c r="D12" s="15" t="s">
        <v>415</v>
      </c>
      <c r="E12" s="20">
        <v>805229</v>
      </c>
      <c r="F12" s="21">
        <v>8237.8953000000001</v>
      </c>
      <c r="G12" s="22">
        <v>4.0800000000000003E-2</v>
      </c>
      <c r="H12" s="40"/>
      <c r="I12" s="24"/>
      <c r="J12" s="5"/>
    </row>
    <row r="13" spans="1:10" ht="13.05" customHeight="1">
      <c r="A13" s="18" t="s">
        <v>345</v>
      </c>
      <c r="B13" s="19" t="s">
        <v>346</v>
      </c>
      <c r="C13" s="15" t="s">
        <v>347</v>
      </c>
      <c r="D13" s="15" t="s">
        <v>348</v>
      </c>
      <c r="E13" s="20">
        <v>145800</v>
      </c>
      <c r="F13" s="21">
        <v>8201.25</v>
      </c>
      <c r="G13" s="22">
        <v>4.07E-2</v>
      </c>
      <c r="H13" s="40"/>
      <c r="I13" s="24"/>
      <c r="J13" s="5"/>
    </row>
    <row r="14" spans="1:10" ht="13.05" customHeight="1">
      <c r="A14" s="18" t="s">
        <v>491</v>
      </c>
      <c r="B14" s="19" t="s">
        <v>492</v>
      </c>
      <c r="C14" s="15" t="s">
        <v>493</v>
      </c>
      <c r="D14" s="15" t="s">
        <v>494</v>
      </c>
      <c r="E14" s="20">
        <v>400788</v>
      </c>
      <c r="F14" s="21">
        <v>7155.6689999999999</v>
      </c>
      <c r="G14" s="22">
        <v>3.5499999999999997E-2</v>
      </c>
      <c r="H14" s="40"/>
      <c r="I14" s="24"/>
      <c r="J14" s="5"/>
    </row>
    <row r="15" spans="1:10" ht="13.05" customHeight="1">
      <c r="A15" s="18" t="s">
        <v>371</v>
      </c>
      <c r="B15" s="19" t="s">
        <v>372</v>
      </c>
      <c r="C15" s="15" t="s">
        <v>373</v>
      </c>
      <c r="D15" s="15" t="s">
        <v>374</v>
      </c>
      <c r="E15" s="20">
        <v>272000</v>
      </c>
      <c r="F15" s="21">
        <v>6742.88</v>
      </c>
      <c r="G15" s="22">
        <v>3.3399999999999999E-2</v>
      </c>
      <c r="H15" s="40"/>
      <c r="I15" s="24"/>
      <c r="J15" s="5"/>
    </row>
    <row r="16" spans="1:10" ht="13.05" customHeight="1">
      <c r="A16" s="18" t="s">
        <v>429</v>
      </c>
      <c r="B16" s="19" t="s">
        <v>430</v>
      </c>
      <c r="C16" s="15" t="s">
        <v>431</v>
      </c>
      <c r="D16" s="15" t="s">
        <v>415</v>
      </c>
      <c r="E16" s="20">
        <v>87737</v>
      </c>
      <c r="F16" s="21">
        <v>6739.0789999999997</v>
      </c>
      <c r="G16" s="22">
        <v>3.3399999999999999E-2</v>
      </c>
      <c r="H16" s="40"/>
      <c r="I16" s="24"/>
      <c r="J16" s="5"/>
    </row>
    <row r="17" spans="1:10" ht="13.05" customHeight="1">
      <c r="A17" s="18" t="s">
        <v>269</v>
      </c>
      <c r="B17" s="19" t="s">
        <v>270</v>
      </c>
      <c r="C17" s="15" t="s">
        <v>271</v>
      </c>
      <c r="D17" s="15" t="s">
        <v>272</v>
      </c>
      <c r="E17" s="20">
        <v>448900</v>
      </c>
      <c r="F17" s="21">
        <v>6654.0447000000004</v>
      </c>
      <c r="G17" s="22">
        <v>3.3000000000000002E-2</v>
      </c>
      <c r="H17" s="40"/>
      <c r="I17" s="24"/>
      <c r="J17" s="5"/>
    </row>
    <row r="18" spans="1:10" ht="13.05" customHeight="1">
      <c r="A18" s="18" t="s">
        <v>461</v>
      </c>
      <c r="B18" s="19" t="s">
        <v>462</v>
      </c>
      <c r="C18" s="15" t="s">
        <v>463</v>
      </c>
      <c r="D18" s="15" t="s">
        <v>464</v>
      </c>
      <c r="E18" s="20">
        <v>849754</v>
      </c>
      <c r="F18" s="21">
        <v>6303.4751999999999</v>
      </c>
      <c r="G18" s="22">
        <v>3.1199999999999999E-2</v>
      </c>
      <c r="H18" s="40"/>
      <c r="I18" s="24"/>
      <c r="J18" s="5"/>
    </row>
    <row r="19" spans="1:10" ht="13.05" customHeight="1">
      <c r="A19" s="18" t="s">
        <v>907</v>
      </c>
      <c r="B19" s="19" t="s">
        <v>908</v>
      </c>
      <c r="C19" s="15" t="s">
        <v>909</v>
      </c>
      <c r="D19" s="15" t="s">
        <v>415</v>
      </c>
      <c r="E19" s="20">
        <v>755292</v>
      </c>
      <c r="F19" s="21">
        <v>5446.0330000000004</v>
      </c>
      <c r="G19" s="22">
        <v>2.7E-2</v>
      </c>
      <c r="H19" s="40"/>
      <c r="I19" s="24"/>
      <c r="J19" s="5"/>
    </row>
    <row r="20" spans="1:10" ht="13.05" customHeight="1">
      <c r="A20" s="18" t="s">
        <v>446</v>
      </c>
      <c r="B20" s="19" t="s">
        <v>447</v>
      </c>
      <c r="C20" s="15" t="s">
        <v>448</v>
      </c>
      <c r="D20" s="15" t="s">
        <v>300</v>
      </c>
      <c r="E20" s="20">
        <v>317806</v>
      </c>
      <c r="F20" s="21">
        <v>5392.5321999999996</v>
      </c>
      <c r="G20" s="22">
        <v>2.6700000000000002E-2</v>
      </c>
      <c r="H20" s="40"/>
      <c r="I20" s="24"/>
      <c r="J20" s="5"/>
    </row>
    <row r="21" spans="1:10" ht="13.05" customHeight="1">
      <c r="A21" s="18" t="s">
        <v>508</v>
      </c>
      <c r="B21" s="19" t="s">
        <v>509</v>
      </c>
      <c r="C21" s="15" t="s">
        <v>510</v>
      </c>
      <c r="D21" s="15" t="s">
        <v>374</v>
      </c>
      <c r="E21" s="20">
        <v>86900</v>
      </c>
      <c r="F21" s="21">
        <v>4674.3509999999997</v>
      </c>
      <c r="G21" s="22">
        <v>2.3199999999999998E-2</v>
      </c>
      <c r="H21" s="40"/>
      <c r="I21" s="24"/>
      <c r="J21" s="5"/>
    </row>
    <row r="22" spans="1:10" ht="13.05" customHeight="1">
      <c r="A22" s="18" t="s">
        <v>1317</v>
      </c>
      <c r="B22" s="19" t="s">
        <v>1318</v>
      </c>
      <c r="C22" s="15" t="s">
        <v>1319</v>
      </c>
      <c r="D22" s="15" t="s">
        <v>405</v>
      </c>
      <c r="E22" s="20">
        <v>1251692</v>
      </c>
      <c r="F22" s="21">
        <v>4489.1934000000001</v>
      </c>
      <c r="G22" s="22">
        <v>2.23E-2</v>
      </c>
      <c r="H22" s="40"/>
      <c r="I22" s="24"/>
      <c r="J22" s="5"/>
    </row>
    <row r="23" spans="1:10" ht="13.05" customHeight="1">
      <c r="A23" s="18" t="s">
        <v>822</v>
      </c>
      <c r="B23" s="19" t="s">
        <v>823</v>
      </c>
      <c r="C23" s="15" t="s">
        <v>824</v>
      </c>
      <c r="D23" s="15" t="s">
        <v>300</v>
      </c>
      <c r="E23" s="20">
        <v>1642005</v>
      </c>
      <c r="F23" s="21">
        <v>4441.4593000000004</v>
      </c>
      <c r="G23" s="22">
        <v>2.1999999999999999E-2</v>
      </c>
      <c r="H23" s="40"/>
      <c r="I23" s="24"/>
      <c r="J23" s="5"/>
    </row>
    <row r="24" spans="1:10" ht="13.05" customHeight="1">
      <c r="A24" s="18" t="s">
        <v>664</v>
      </c>
      <c r="B24" s="19" t="s">
        <v>665</v>
      </c>
      <c r="C24" s="15" t="s">
        <v>666</v>
      </c>
      <c r="D24" s="15" t="s">
        <v>304</v>
      </c>
      <c r="E24" s="20">
        <v>1033105</v>
      </c>
      <c r="F24" s="21">
        <v>4235.2138999999997</v>
      </c>
      <c r="G24" s="22">
        <v>2.1000000000000001E-2</v>
      </c>
      <c r="H24" s="40"/>
      <c r="I24" s="24"/>
      <c r="J24" s="5"/>
    </row>
    <row r="25" spans="1:10" ht="13.05" customHeight="1">
      <c r="A25" s="18" t="s">
        <v>523</v>
      </c>
      <c r="B25" s="19" t="s">
        <v>524</v>
      </c>
      <c r="C25" s="15" t="s">
        <v>525</v>
      </c>
      <c r="D25" s="15" t="s">
        <v>304</v>
      </c>
      <c r="E25" s="20">
        <v>283106</v>
      </c>
      <c r="F25" s="21">
        <v>3902.05</v>
      </c>
      <c r="G25" s="22">
        <v>1.9300000000000001E-2</v>
      </c>
      <c r="H25" s="40"/>
      <c r="I25" s="24"/>
      <c r="J25" s="5"/>
    </row>
    <row r="26" spans="1:10" ht="13.05" customHeight="1">
      <c r="A26" s="18" t="s">
        <v>495</v>
      </c>
      <c r="B26" s="19" t="s">
        <v>496</v>
      </c>
      <c r="C26" s="15" t="s">
        <v>497</v>
      </c>
      <c r="D26" s="15" t="s">
        <v>257</v>
      </c>
      <c r="E26" s="20">
        <v>1503100</v>
      </c>
      <c r="F26" s="21">
        <v>3556.4848999999999</v>
      </c>
      <c r="G26" s="22">
        <v>1.7600000000000001E-2</v>
      </c>
      <c r="H26" s="40"/>
      <c r="I26" s="24"/>
      <c r="J26" s="5"/>
    </row>
    <row r="27" spans="1:10" ht="13.05" customHeight="1">
      <c r="A27" s="18" t="s">
        <v>1409</v>
      </c>
      <c r="B27" s="19" t="s">
        <v>1410</v>
      </c>
      <c r="C27" s="15" t="s">
        <v>1411</v>
      </c>
      <c r="D27" s="15" t="s">
        <v>464</v>
      </c>
      <c r="E27" s="20">
        <v>365179</v>
      </c>
      <c r="F27" s="21">
        <v>3468.2876000000001</v>
      </c>
      <c r="G27" s="22">
        <v>1.72E-2</v>
      </c>
      <c r="H27" s="40"/>
      <c r="I27" s="24"/>
      <c r="J27" s="5"/>
    </row>
    <row r="28" spans="1:10" ht="13.05" customHeight="1">
      <c r="A28" s="18" t="s">
        <v>546</v>
      </c>
      <c r="B28" s="19" t="s">
        <v>547</v>
      </c>
      <c r="C28" s="15" t="s">
        <v>548</v>
      </c>
      <c r="D28" s="15" t="s">
        <v>405</v>
      </c>
      <c r="E28" s="20">
        <v>168177</v>
      </c>
      <c r="F28" s="21">
        <v>3352.9448000000002</v>
      </c>
      <c r="G28" s="22">
        <v>1.66E-2</v>
      </c>
      <c r="H28" s="40"/>
      <c r="I28" s="24"/>
      <c r="J28" s="5"/>
    </row>
    <row r="29" spans="1:10" ht="13.05" customHeight="1">
      <c r="A29" s="18" t="s">
        <v>1349</v>
      </c>
      <c r="B29" s="19" t="s">
        <v>1350</v>
      </c>
      <c r="C29" s="15" t="s">
        <v>1351</v>
      </c>
      <c r="D29" s="15" t="s">
        <v>1068</v>
      </c>
      <c r="E29" s="20">
        <v>193648</v>
      </c>
      <c r="F29" s="21">
        <v>3187.2523999999999</v>
      </c>
      <c r="G29" s="22">
        <v>1.5800000000000002E-2</v>
      </c>
      <c r="H29" s="40"/>
      <c r="I29" s="24"/>
      <c r="J29" s="5"/>
    </row>
    <row r="30" spans="1:10" ht="13.05" customHeight="1">
      <c r="A30" s="18" t="s">
        <v>412</v>
      </c>
      <c r="B30" s="19" t="s">
        <v>413</v>
      </c>
      <c r="C30" s="15" t="s">
        <v>414</v>
      </c>
      <c r="D30" s="15" t="s">
        <v>415</v>
      </c>
      <c r="E30" s="20">
        <v>264442</v>
      </c>
      <c r="F30" s="21">
        <v>3035.2653</v>
      </c>
      <c r="G30" s="22">
        <v>1.4999999999999999E-2</v>
      </c>
      <c r="H30" s="40"/>
      <c r="I30" s="24"/>
      <c r="J30" s="5"/>
    </row>
    <row r="31" spans="1:10" ht="13.05" customHeight="1">
      <c r="A31" s="18" t="s">
        <v>485</v>
      </c>
      <c r="B31" s="19" t="s">
        <v>486</v>
      </c>
      <c r="C31" s="15" t="s">
        <v>487</v>
      </c>
      <c r="D31" s="15" t="s">
        <v>304</v>
      </c>
      <c r="E31" s="20">
        <v>60775</v>
      </c>
      <c r="F31" s="21">
        <v>2524.2896000000001</v>
      </c>
      <c r="G31" s="22">
        <v>1.2500000000000001E-2</v>
      </c>
      <c r="H31" s="40"/>
      <c r="I31" s="24"/>
      <c r="J31" s="5"/>
    </row>
    <row r="32" spans="1:10" ht="13.05" customHeight="1">
      <c r="A32" s="18" t="s">
        <v>652</v>
      </c>
      <c r="B32" s="19" t="s">
        <v>653</v>
      </c>
      <c r="C32" s="15" t="s">
        <v>654</v>
      </c>
      <c r="D32" s="15" t="s">
        <v>304</v>
      </c>
      <c r="E32" s="20">
        <v>907800</v>
      </c>
      <c r="F32" s="21">
        <v>2250.7993000000001</v>
      </c>
      <c r="G32" s="22">
        <v>1.12E-2</v>
      </c>
      <c r="H32" s="40"/>
      <c r="I32" s="24"/>
      <c r="J32" s="5"/>
    </row>
    <row r="33" spans="1:10" ht="13.05" customHeight="1">
      <c r="A33" s="18" t="s">
        <v>555</v>
      </c>
      <c r="B33" s="19" t="s">
        <v>556</v>
      </c>
      <c r="C33" s="15" t="s">
        <v>557</v>
      </c>
      <c r="D33" s="15" t="s">
        <v>494</v>
      </c>
      <c r="E33" s="20">
        <v>160700</v>
      </c>
      <c r="F33" s="21">
        <v>2094.2424000000001</v>
      </c>
      <c r="G33" s="22">
        <v>1.04E-2</v>
      </c>
      <c r="H33" s="40"/>
      <c r="I33" s="24"/>
      <c r="J33" s="5"/>
    </row>
    <row r="34" spans="1:10" ht="13.05" customHeight="1">
      <c r="A34" s="18" t="s">
        <v>724</v>
      </c>
      <c r="B34" s="19" t="s">
        <v>725</v>
      </c>
      <c r="C34" s="15" t="s">
        <v>726</v>
      </c>
      <c r="D34" s="15" t="s">
        <v>374</v>
      </c>
      <c r="E34" s="20">
        <v>131507</v>
      </c>
      <c r="F34" s="21">
        <v>2087.2791000000002</v>
      </c>
      <c r="G34" s="22">
        <v>1.03E-2</v>
      </c>
      <c r="H34" s="40"/>
      <c r="I34" s="24"/>
      <c r="J34" s="5"/>
    </row>
    <row r="35" spans="1:10" ht="13.05" customHeight="1">
      <c r="A35" s="18" t="s">
        <v>1400</v>
      </c>
      <c r="B35" s="19" t="s">
        <v>1401</v>
      </c>
      <c r="C35" s="15" t="s">
        <v>1402</v>
      </c>
      <c r="D35" s="15" t="s">
        <v>415</v>
      </c>
      <c r="E35" s="20">
        <v>142662</v>
      </c>
      <c r="F35" s="21">
        <v>1953.6134</v>
      </c>
      <c r="G35" s="22">
        <v>9.7000000000000003E-3</v>
      </c>
      <c r="H35" s="40"/>
      <c r="I35" s="24"/>
      <c r="J35" s="5"/>
    </row>
    <row r="36" spans="1:10" ht="13.05" customHeight="1">
      <c r="A36" s="18" t="s">
        <v>1543</v>
      </c>
      <c r="B36" s="19" t="s">
        <v>1544</v>
      </c>
      <c r="C36" s="15" t="s">
        <v>1545</v>
      </c>
      <c r="D36" s="15" t="s">
        <v>464</v>
      </c>
      <c r="E36" s="20">
        <v>129187</v>
      </c>
      <c r="F36" s="21">
        <v>1916.1016</v>
      </c>
      <c r="G36" s="22">
        <v>9.4999999999999998E-3</v>
      </c>
      <c r="H36" s="40"/>
      <c r="I36" s="24"/>
      <c r="J36" s="5"/>
    </row>
    <row r="37" spans="1:10" ht="13.05" customHeight="1">
      <c r="A37" s="18" t="s">
        <v>1120</v>
      </c>
      <c r="B37" s="19" t="s">
        <v>1121</v>
      </c>
      <c r="C37" s="15" t="s">
        <v>1122</v>
      </c>
      <c r="D37" s="15" t="s">
        <v>970</v>
      </c>
      <c r="E37" s="20">
        <v>475230</v>
      </c>
      <c r="F37" s="21">
        <v>1681.8389999999999</v>
      </c>
      <c r="G37" s="22">
        <v>8.3000000000000001E-3</v>
      </c>
      <c r="H37" s="40"/>
      <c r="I37" s="24"/>
      <c r="J37" s="5"/>
    </row>
    <row r="38" spans="1:10" ht="13.05" customHeight="1">
      <c r="A38" s="18" t="s">
        <v>709</v>
      </c>
      <c r="B38" s="19" t="s">
        <v>710</v>
      </c>
      <c r="C38" s="15" t="s">
        <v>711</v>
      </c>
      <c r="D38" s="15" t="s">
        <v>304</v>
      </c>
      <c r="E38" s="20">
        <v>949390</v>
      </c>
      <c r="F38" s="21">
        <v>1373.6723999999999</v>
      </c>
      <c r="G38" s="22">
        <v>6.7999999999999996E-3</v>
      </c>
      <c r="H38" s="40"/>
      <c r="I38" s="24"/>
      <c r="J38" s="5"/>
    </row>
    <row r="39" spans="1:10" ht="13.05" customHeight="1">
      <c r="A39" s="18" t="s">
        <v>1132</v>
      </c>
      <c r="B39" s="19" t="s">
        <v>1133</v>
      </c>
      <c r="C39" s="15" t="s">
        <v>1134</v>
      </c>
      <c r="D39" s="15" t="s">
        <v>415</v>
      </c>
      <c r="E39" s="20">
        <v>96064</v>
      </c>
      <c r="F39" s="21">
        <v>1259.8794</v>
      </c>
      <c r="G39" s="22">
        <v>6.1999999999999998E-3</v>
      </c>
      <c r="H39" s="40"/>
      <c r="I39" s="24"/>
      <c r="J39" s="5"/>
    </row>
    <row r="40" spans="1:10" ht="13.05" customHeight="1">
      <c r="A40" s="18" t="s">
        <v>1561</v>
      </c>
      <c r="B40" s="19" t="s">
        <v>1562</v>
      </c>
      <c r="C40" s="15" t="s">
        <v>1563</v>
      </c>
      <c r="D40" s="15" t="s">
        <v>405</v>
      </c>
      <c r="E40" s="20">
        <v>1216510</v>
      </c>
      <c r="F40" s="21">
        <v>913.11239999999998</v>
      </c>
      <c r="G40" s="22">
        <v>4.4999999999999997E-3</v>
      </c>
      <c r="H40" s="40"/>
      <c r="I40" s="24"/>
      <c r="J40" s="5"/>
    </row>
    <row r="41" spans="1:10" ht="13.05" customHeight="1">
      <c r="A41" s="18" t="s">
        <v>3581</v>
      </c>
      <c r="B41" s="19" t="s">
        <v>3582</v>
      </c>
      <c r="C41" s="15" t="s">
        <v>3583</v>
      </c>
      <c r="D41" s="15" t="s">
        <v>415</v>
      </c>
      <c r="E41" s="20">
        <v>80600</v>
      </c>
      <c r="F41" s="21">
        <v>602.2029</v>
      </c>
      <c r="G41" s="22">
        <v>3.0000000000000001E-3</v>
      </c>
      <c r="H41" s="40"/>
      <c r="I41" s="24"/>
      <c r="J41" s="5"/>
    </row>
    <row r="42" spans="1:10" ht="13.05" customHeight="1">
      <c r="A42" s="5"/>
      <c r="B42" s="14" t="s">
        <v>192</v>
      </c>
      <c r="C42" s="15"/>
      <c r="D42" s="15"/>
      <c r="E42" s="15"/>
      <c r="F42" s="25">
        <v>188987.62530000001</v>
      </c>
      <c r="G42" s="26">
        <v>0.93679999999999997</v>
      </c>
      <c r="H42" s="27"/>
      <c r="I42" s="28"/>
      <c r="J42" s="5"/>
    </row>
    <row r="43" spans="1:10" ht="13.05" customHeight="1">
      <c r="A43" s="5"/>
      <c r="B43" s="29" t="s">
        <v>1812</v>
      </c>
      <c r="C43" s="2"/>
      <c r="D43" s="2"/>
      <c r="E43" s="2"/>
      <c r="F43" s="27" t="s">
        <v>194</v>
      </c>
      <c r="G43" s="27" t="s">
        <v>194</v>
      </c>
      <c r="H43" s="27"/>
      <c r="I43" s="28"/>
      <c r="J43" s="5"/>
    </row>
    <row r="44" spans="1:10" ht="13.05" customHeight="1">
      <c r="A44" s="5"/>
      <c r="B44" s="29" t="s">
        <v>192</v>
      </c>
      <c r="C44" s="2"/>
      <c r="D44" s="2"/>
      <c r="E44" s="2"/>
      <c r="F44" s="27" t="s">
        <v>194</v>
      </c>
      <c r="G44" s="27" t="s">
        <v>194</v>
      </c>
      <c r="H44" s="27"/>
      <c r="I44" s="28"/>
      <c r="J44" s="5"/>
    </row>
    <row r="45" spans="1:10" ht="13.05" customHeight="1">
      <c r="A45" s="5"/>
      <c r="B45" s="29" t="s">
        <v>195</v>
      </c>
      <c r="C45" s="30"/>
      <c r="D45" s="2"/>
      <c r="E45" s="30"/>
      <c r="F45" s="25">
        <v>188987.62530000001</v>
      </c>
      <c r="G45" s="26">
        <v>0.93679999999999997</v>
      </c>
      <c r="H45" s="27"/>
      <c r="I45" s="28"/>
      <c r="J45" s="5"/>
    </row>
    <row r="46" spans="1:10" ht="13.05" customHeight="1">
      <c r="A46" s="5"/>
      <c r="B46" s="14" t="s">
        <v>196</v>
      </c>
      <c r="C46" s="15"/>
      <c r="D46" s="15"/>
      <c r="E46" s="15"/>
      <c r="F46" s="15"/>
      <c r="G46" s="15"/>
      <c r="H46" s="16"/>
      <c r="I46" s="17"/>
      <c r="J46" s="5"/>
    </row>
    <row r="47" spans="1:10" ht="13.05" customHeight="1">
      <c r="A47" s="18" t="s">
        <v>197</v>
      </c>
      <c r="B47" s="19" t="s">
        <v>198</v>
      </c>
      <c r="C47" s="15"/>
      <c r="D47" s="15"/>
      <c r="E47" s="20"/>
      <c r="F47" s="21">
        <v>13134.9802</v>
      </c>
      <c r="G47" s="22">
        <v>6.5100000000000005E-2</v>
      </c>
      <c r="H47" s="23">
        <v>5.5573617010495215E-2</v>
      </c>
      <c r="I47" s="24"/>
      <c r="J47" s="5"/>
    </row>
    <row r="48" spans="1:10" ht="13.05" customHeight="1">
      <c r="A48" s="5"/>
      <c r="B48" s="14" t="s">
        <v>192</v>
      </c>
      <c r="C48" s="15"/>
      <c r="D48" s="15"/>
      <c r="E48" s="15"/>
      <c r="F48" s="25">
        <v>13134.9802</v>
      </c>
      <c r="G48" s="26">
        <v>6.5100000000000005E-2</v>
      </c>
      <c r="H48" s="27"/>
      <c r="I48" s="28"/>
      <c r="J48" s="5"/>
    </row>
    <row r="49" spans="1:10" ht="13.05" customHeight="1">
      <c r="A49" s="5"/>
      <c r="B49" s="29" t="s">
        <v>195</v>
      </c>
      <c r="C49" s="30"/>
      <c r="D49" s="2"/>
      <c r="E49" s="30"/>
      <c r="F49" s="25">
        <v>13134.9802</v>
      </c>
      <c r="G49" s="26">
        <v>6.5100000000000005E-2</v>
      </c>
      <c r="H49" s="27"/>
      <c r="I49" s="28"/>
      <c r="J49" s="5"/>
    </row>
    <row r="50" spans="1:10" ht="13.05" customHeight="1">
      <c r="A50" s="5"/>
      <c r="B50" s="29" t="s">
        <v>199</v>
      </c>
      <c r="C50" s="15"/>
      <c r="D50" s="2"/>
      <c r="E50" s="15"/>
      <c r="F50" s="31">
        <v>-378.30549999999999</v>
      </c>
      <c r="G50" s="26">
        <v>-1.9E-3</v>
      </c>
      <c r="H50" s="27"/>
      <c r="I50" s="28"/>
      <c r="J50" s="5"/>
    </row>
    <row r="51" spans="1:10" ht="13.05" customHeight="1">
      <c r="A51" s="5"/>
      <c r="B51" s="32" t="s">
        <v>200</v>
      </c>
      <c r="C51" s="33"/>
      <c r="D51" s="33"/>
      <c r="E51" s="33"/>
      <c r="F51" s="34">
        <v>201744.3</v>
      </c>
      <c r="G51" s="35">
        <v>1</v>
      </c>
      <c r="H51" s="36"/>
      <c r="I51" s="37"/>
      <c r="J51" s="5"/>
    </row>
    <row r="52" spans="1:10" ht="13.05" customHeight="1">
      <c r="A52" s="5"/>
      <c r="B52" s="7"/>
      <c r="C52" s="5"/>
      <c r="D52" s="5"/>
      <c r="E52" s="5"/>
      <c r="F52" s="5"/>
      <c r="G52" s="5"/>
      <c r="H52" s="5"/>
      <c r="I52" s="5"/>
      <c r="J52" s="5"/>
    </row>
    <row r="53" spans="1:10" ht="13.05" customHeight="1">
      <c r="A53" s="5"/>
      <c r="B53" s="4" t="s">
        <v>201</v>
      </c>
      <c r="C53" s="5"/>
      <c r="D53" s="5"/>
      <c r="E53" s="5"/>
      <c r="F53" s="5"/>
      <c r="G53" s="5"/>
      <c r="H53" s="5"/>
      <c r="I53" s="5"/>
      <c r="J53" s="5"/>
    </row>
    <row r="54" spans="1:10" ht="25.95" customHeight="1">
      <c r="A54" s="5"/>
      <c r="B54" s="103" t="s">
        <v>202</v>
      </c>
      <c r="C54" s="103"/>
      <c r="D54" s="103"/>
      <c r="E54" s="103"/>
      <c r="F54" s="103"/>
      <c r="G54" s="103"/>
      <c r="H54" s="103"/>
      <c r="I54" s="103"/>
      <c r="J54" s="5"/>
    </row>
    <row r="55" spans="1:10" ht="13.05" customHeight="1">
      <c r="A55" s="5"/>
      <c r="B55" s="103" t="s">
        <v>203</v>
      </c>
      <c r="C55" s="103"/>
      <c r="D55" s="103"/>
      <c r="E55" s="103"/>
      <c r="F55" s="103"/>
      <c r="G55" s="103"/>
      <c r="H55" s="103"/>
      <c r="I55" s="103"/>
      <c r="J55" s="5"/>
    </row>
    <row r="56" spans="1:10" ht="13.05" customHeight="1">
      <c r="A56" s="5"/>
      <c r="B56" s="103"/>
      <c r="C56" s="103"/>
      <c r="D56" s="103"/>
      <c r="E56" s="103"/>
      <c r="F56" s="103"/>
      <c r="G56" s="103"/>
      <c r="H56" s="103"/>
      <c r="I56" s="103"/>
      <c r="J56" s="5"/>
    </row>
    <row r="57" spans="1:10" ht="13.05" customHeight="1">
      <c r="A57" s="5"/>
      <c r="B57" s="103"/>
      <c r="C57" s="103"/>
      <c r="D57" s="103"/>
      <c r="E57" s="103"/>
      <c r="F57" s="103"/>
      <c r="G57" s="103"/>
      <c r="H57" s="103"/>
      <c r="I57" s="103"/>
      <c r="J57" s="5"/>
    </row>
    <row r="58" spans="1:10" ht="13.05" customHeight="1">
      <c r="A58" s="5"/>
      <c r="B58" s="103"/>
      <c r="C58" s="103"/>
      <c r="D58" s="103"/>
      <c r="E58" s="103"/>
      <c r="F58" s="103"/>
      <c r="G58" s="103"/>
      <c r="H58" s="103"/>
      <c r="I58" s="103"/>
      <c r="J58" s="5"/>
    </row>
    <row r="59" spans="1:10" ht="13.05" customHeight="1">
      <c r="A59" s="5"/>
      <c r="B59" s="103"/>
      <c r="C59" s="103"/>
      <c r="D59" s="103"/>
      <c r="E59" s="103"/>
      <c r="F59" s="103"/>
      <c r="G59" s="103"/>
      <c r="H59" s="103"/>
      <c r="I59" s="103"/>
      <c r="J59" s="5"/>
    </row>
    <row r="60" spans="1:10" ht="13.05" customHeight="1">
      <c r="A60" s="5"/>
      <c r="B60" s="5"/>
      <c r="C60" s="104" t="s">
        <v>4860</v>
      </c>
      <c r="D60" s="104"/>
      <c r="E60" s="104"/>
      <c r="F60" s="104"/>
      <c r="G60" s="5"/>
      <c r="H60" s="5"/>
      <c r="I60" s="5"/>
      <c r="J60" s="5"/>
    </row>
    <row r="61" spans="1:10" ht="13.05" customHeight="1">
      <c r="A61" s="5"/>
      <c r="B61" s="38" t="s">
        <v>207</v>
      </c>
      <c r="C61" s="104" t="s">
        <v>208</v>
      </c>
      <c r="D61" s="104"/>
      <c r="E61" s="104"/>
      <c r="F61" s="104"/>
      <c r="G61" s="5"/>
      <c r="H61" s="5"/>
      <c r="I61" s="5"/>
      <c r="J61" s="5"/>
    </row>
    <row r="62" spans="1:10" ht="135" customHeight="1">
      <c r="A62" s="5"/>
      <c r="B62" s="39"/>
      <c r="C62" s="105"/>
      <c r="D62" s="105"/>
      <c r="E62" s="5"/>
      <c r="F62" s="5"/>
      <c r="G62" s="5"/>
      <c r="H62" s="5"/>
      <c r="I62" s="5"/>
      <c r="J62" s="5"/>
    </row>
  </sheetData>
  <mergeCells count="9">
    <mergeCell ref="B59:I59"/>
    <mergeCell ref="C60:F60"/>
    <mergeCell ref="C61:F61"/>
    <mergeCell ref="C62:D62"/>
    <mergeCell ref="B54:I54"/>
    <mergeCell ref="B55:I55"/>
    <mergeCell ref="B56:I56"/>
    <mergeCell ref="B57:I57"/>
    <mergeCell ref="B58:I58"/>
  </mergeCells>
  <hyperlinks>
    <hyperlink ref="A1" location="AxisServicesOpportunitiesFund" display="AXISSOF" xr:uid="{00000000-0004-0000-4A00-000000000000}"/>
    <hyperlink ref="B1" location="AxisServicesOpportunitiesFund" display="Axis Services Opportunities Fund" xr:uid="{00000000-0004-0000-4A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outlinePr summaryBelow="0"/>
  </sheetPr>
  <dimension ref="A1:J147"/>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152</v>
      </c>
      <c r="B1" s="4" t="s">
        <v>153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523</v>
      </c>
      <c r="B7" s="19" t="s">
        <v>524</v>
      </c>
      <c r="C7" s="15" t="s">
        <v>525</v>
      </c>
      <c r="D7" s="15" t="s">
        <v>304</v>
      </c>
      <c r="E7" s="20">
        <v>337031</v>
      </c>
      <c r="F7" s="21">
        <v>4645.2983000000004</v>
      </c>
      <c r="G7" s="22">
        <v>3.85E-2</v>
      </c>
      <c r="H7" s="40"/>
      <c r="I7" s="24"/>
      <c r="J7" s="5"/>
    </row>
    <row r="8" spans="1:10" ht="13.05" customHeight="1">
      <c r="A8" s="18" t="s">
        <v>301</v>
      </c>
      <c r="B8" s="19" t="s">
        <v>302</v>
      </c>
      <c r="C8" s="15" t="s">
        <v>303</v>
      </c>
      <c r="D8" s="15" t="s">
        <v>304</v>
      </c>
      <c r="E8" s="20">
        <v>970428</v>
      </c>
      <c r="F8" s="21">
        <v>3083.5349999999999</v>
      </c>
      <c r="G8" s="22">
        <v>2.5600000000000001E-2</v>
      </c>
      <c r="H8" s="40"/>
      <c r="I8" s="24"/>
      <c r="J8" s="5"/>
    </row>
    <row r="9" spans="1:10" ht="13.05" customHeight="1">
      <c r="A9" s="18" t="s">
        <v>262</v>
      </c>
      <c r="B9" s="19" t="s">
        <v>263</v>
      </c>
      <c r="C9" s="15" t="s">
        <v>264</v>
      </c>
      <c r="D9" s="15" t="s">
        <v>257</v>
      </c>
      <c r="E9" s="20">
        <v>210095</v>
      </c>
      <c r="F9" s="21">
        <v>2826.4079999999999</v>
      </c>
      <c r="G9" s="22">
        <v>2.3400000000000001E-2</v>
      </c>
      <c r="H9" s="40"/>
      <c r="I9" s="24"/>
      <c r="J9" s="5"/>
    </row>
    <row r="10" spans="1:10" ht="13.05" customHeight="1">
      <c r="A10" s="18" t="s">
        <v>640</v>
      </c>
      <c r="B10" s="19" t="s">
        <v>641</v>
      </c>
      <c r="C10" s="15" t="s">
        <v>642</v>
      </c>
      <c r="D10" s="15" t="s">
        <v>296</v>
      </c>
      <c r="E10" s="20">
        <v>109144</v>
      </c>
      <c r="F10" s="21">
        <v>2661.6947</v>
      </c>
      <c r="G10" s="22">
        <v>2.2100000000000002E-2</v>
      </c>
      <c r="H10" s="40"/>
      <c r="I10" s="24"/>
      <c r="J10" s="5"/>
    </row>
    <row r="11" spans="1:10" ht="13.05" customHeight="1">
      <c r="A11" s="18" t="s">
        <v>578</v>
      </c>
      <c r="B11" s="19" t="s">
        <v>579</v>
      </c>
      <c r="C11" s="15" t="s">
        <v>580</v>
      </c>
      <c r="D11" s="15" t="s">
        <v>581</v>
      </c>
      <c r="E11" s="20">
        <v>180923</v>
      </c>
      <c r="F11" s="21">
        <v>2613.6136999999999</v>
      </c>
      <c r="G11" s="22">
        <v>2.1700000000000001E-2</v>
      </c>
      <c r="H11" s="40"/>
      <c r="I11" s="24"/>
      <c r="J11" s="5"/>
    </row>
    <row r="12" spans="1:10" ht="13.05" customHeight="1">
      <c r="A12" s="18" t="s">
        <v>293</v>
      </c>
      <c r="B12" s="19" t="s">
        <v>294</v>
      </c>
      <c r="C12" s="15" t="s">
        <v>295</v>
      </c>
      <c r="D12" s="15" t="s">
        <v>296</v>
      </c>
      <c r="E12" s="20">
        <v>71210</v>
      </c>
      <c r="F12" s="21">
        <v>2483.2350999999999</v>
      </c>
      <c r="G12" s="22">
        <v>2.06E-2</v>
      </c>
      <c r="H12" s="40"/>
      <c r="I12" s="24"/>
      <c r="J12" s="5"/>
    </row>
    <row r="13" spans="1:10" ht="13.05" customHeight="1">
      <c r="A13" s="18" t="s">
        <v>1028</v>
      </c>
      <c r="B13" s="19" t="s">
        <v>1029</v>
      </c>
      <c r="C13" s="15" t="s">
        <v>1030</v>
      </c>
      <c r="D13" s="15" t="s">
        <v>581</v>
      </c>
      <c r="E13" s="20">
        <v>40214</v>
      </c>
      <c r="F13" s="21">
        <v>2418.2689</v>
      </c>
      <c r="G13" s="22">
        <v>2.01E-2</v>
      </c>
      <c r="H13" s="40"/>
      <c r="I13" s="24"/>
      <c r="J13" s="5"/>
    </row>
    <row r="14" spans="1:10" ht="13.05" customHeight="1">
      <c r="A14" s="18" t="s">
        <v>254</v>
      </c>
      <c r="B14" s="19" t="s">
        <v>255</v>
      </c>
      <c r="C14" s="15" t="s">
        <v>256</v>
      </c>
      <c r="D14" s="15" t="s">
        <v>257</v>
      </c>
      <c r="E14" s="20">
        <v>243339</v>
      </c>
      <c r="F14" s="21">
        <v>2402.4859000000001</v>
      </c>
      <c r="G14" s="22">
        <v>1.9900000000000001E-2</v>
      </c>
      <c r="H14" s="40"/>
      <c r="I14" s="24"/>
      <c r="J14" s="5"/>
    </row>
    <row r="15" spans="1:10" ht="13.05" customHeight="1">
      <c r="A15" s="18" t="s">
        <v>491</v>
      </c>
      <c r="B15" s="19" t="s">
        <v>492</v>
      </c>
      <c r="C15" s="15" t="s">
        <v>493</v>
      </c>
      <c r="D15" s="15" t="s">
        <v>494</v>
      </c>
      <c r="E15" s="20">
        <v>131110</v>
      </c>
      <c r="F15" s="21">
        <v>2340.8379</v>
      </c>
      <c r="G15" s="22">
        <v>1.9400000000000001E-2</v>
      </c>
      <c r="H15" s="40"/>
      <c r="I15" s="24"/>
      <c r="J15" s="5"/>
    </row>
    <row r="16" spans="1:10" ht="13.05" customHeight="1">
      <c r="A16" s="18" t="s">
        <v>1162</v>
      </c>
      <c r="B16" s="19" t="s">
        <v>1163</v>
      </c>
      <c r="C16" s="15" t="s">
        <v>1164</v>
      </c>
      <c r="D16" s="15" t="s">
        <v>501</v>
      </c>
      <c r="E16" s="20">
        <v>13508</v>
      </c>
      <c r="F16" s="21">
        <v>2334.5875999999998</v>
      </c>
      <c r="G16" s="22">
        <v>1.9400000000000001E-2</v>
      </c>
      <c r="H16" s="40"/>
      <c r="I16" s="24"/>
      <c r="J16" s="5"/>
    </row>
    <row r="17" spans="1:10" ht="13.05" customHeight="1">
      <c r="A17" s="18" t="s">
        <v>4688</v>
      </c>
      <c r="B17" s="19" t="s">
        <v>4689</v>
      </c>
      <c r="C17" s="15" t="s">
        <v>4690</v>
      </c>
      <c r="D17" s="15" t="s">
        <v>300</v>
      </c>
      <c r="E17" s="20">
        <v>258209</v>
      </c>
      <c r="F17" s="21">
        <v>2282.1801999999998</v>
      </c>
      <c r="G17" s="22">
        <v>1.89E-2</v>
      </c>
      <c r="H17" s="40"/>
      <c r="I17" s="24"/>
      <c r="J17" s="5"/>
    </row>
    <row r="18" spans="1:10" ht="13.05" customHeight="1">
      <c r="A18" s="18" t="s">
        <v>4712</v>
      </c>
      <c r="B18" s="19" t="s">
        <v>4713</v>
      </c>
      <c r="C18" s="15" t="s">
        <v>4714</v>
      </c>
      <c r="D18" s="15" t="s">
        <v>422</v>
      </c>
      <c r="E18" s="20">
        <v>584675</v>
      </c>
      <c r="F18" s="21">
        <v>2257.1378</v>
      </c>
      <c r="G18" s="22">
        <v>1.8700000000000001E-2</v>
      </c>
      <c r="H18" s="40"/>
      <c r="I18" s="24"/>
      <c r="J18" s="5"/>
    </row>
    <row r="19" spans="1:10" ht="13.05" customHeight="1">
      <c r="A19" s="18" t="s">
        <v>265</v>
      </c>
      <c r="B19" s="19" t="s">
        <v>266</v>
      </c>
      <c r="C19" s="15" t="s">
        <v>267</v>
      </c>
      <c r="D19" s="15" t="s">
        <v>268</v>
      </c>
      <c r="E19" s="20">
        <v>109830</v>
      </c>
      <c r="F19" s="21">
        <v>2256.4573999999998</v>
      </c>
      <c r="G19" s="22">
        <v>1.8700000000000001E-2</v>
      </c>
      <c r="H19" s="40"/>
      <c r="I19" s="24"/>
      <c r="J19" s="5"/>
    </row>
    <row r="20" spans="1:10" ht="13.05" customHeight="1">
      <c r="A20" s="18" t="s">
        <v>1367</v>
      </c>
      <c r="B20" s="19" t="s">
        <v>1368</v>
      </c>
      <c r="C20" s="15" t="s">
        <v>1369</v>
      </c>
      <c r="D20" s="15" t="s">
        <v>296</v>
      </c>
      <c r="E20" s="20">
        <v>309748</v>
      </c>
      <c r="F20" s="21">
        <v>2143.3013000000001</v>
      </c>
      <c r="G20" s="22">
        <v>1.78E-2</v>
      </c>
      <c r="H20" s="40"/>
      <c r="I20" s="24"/>
      <c r="J20" s="5"/>
    </row>
    <row r="21" spans="1:10" ht="13.05" customHeight="1">
      <c r="A21" s="18" t="s">
        <v>1248</v>
      </c>
      <c r="B21" s="19" t="s">
        <v>1249</v>
      </c>
      <c r="C21" s="15" t="s">
        <v>1250</v>
      </c>
      <c r="D21" s="15" t="s">
        <v>314</v>
      </c>
      <c r="E21" s="20">
        <v>233233</v>
      </c>
      <c r="F21" s="21">
        <v>2141.5454</v>
      </c>
      <c r="G21" s="22">
        <v>1.78E-2</v>
      </c>
      <c r="H21" s="40"/>
      <c r="I21" s="24"/>
      <c r="J21" s="5"/>
    </row>
    <row r="22" spans="1:10" ht="13.05" customHeight="1">
      <c r="A22" s="18" t="s">
        <v>789</v>
      </c>
      <c r="B22" s="19" t="s">
        <v>790</v>
      </c>
      <c r="C22" s="15" t="s">
        <v>791</v>
      </c>
      <c r="D22" s="15" t="s">
        <v>348</v>
      </c>
      <c r="E22" s="20">
        <v>457064</v>
      </c>
      <c r="F22" s="21">
        <v>2129.6896999999999</v>
      </c>
      <c r="G22" s="22">
        <v>1.77E-2</v>
      </c>
      <c r="H22" s="40"/>
      <c r="I22" s="24"/>
      <c r="J22" s="5"/>
    </row>
    <row r="23" spans="1:10" ht="13.05" customHeight="1">
      <c r="A23" s="18" t="s">
        <v>616</v>
      </c>
      <c r="B23" s="19" t="s">
        <v>617</v>
      </c>
      <c r="C23" s="15" t="s">
        <v>618</v>
      </c>
      <c r="D23" s="15" t="s">
        <v>445</v>
      </c>
      <c r="E23" s="20">
        <v>70000</v>
      </c>
      <c r="F23" s="21">
        <v>2126.1799999999998</v>
      </c>
      <c r="G23" s="22">
        <v>1.7600000000000001E-2</v>
      </c>
      <c r="H23" s="40"/>
      <c r="I23" s="24"/>
      <c r="J23" s="5"/>
    </row>
    <row r="24" spans="1:10" ht="13.05" customHeight="1">
      <c r="A24" s="18" t="s">
        <v>349</v>
      </c>
      <c r="B24" s="19" t="s">
        <v>350</v>
      </c>
      <c r="C24" s="15" t="s">
        <v>351</v>
      </c>
      <c r="D24" s="15" t="s">
        <v>300</v>
      </c>
      <c r="E24" s="20">
        <v>98582</v>
      </c>
      <c r="F24" s="21">
        <v>2058.6878999999999</v>
      </c>
      <c r="G24" s="22">
        <v>1.7100000000000001E-2</v>
      </c>
      <c r="H24" s="40"/>
      <c r="I24" s="24"/>
      <c r="J24" s="5"/>
    </row>
    <row r="25" spans="1:10" ht="13.05" customHeight="1">
      <c r="A25" s="18" t="s">
        <v>1839</v>
      </c>
      <c r="B25" s="19" t="s">
        <v>1840</v>
      </c>
      <c r="C25" s="15" t="s">
        <v>1841</v>
      </c>
      <c r="D25" s="15" t="s">
        <v>581</v>
      </c>
      <c r="E25" s="20">
        <v>272148</v>
      </c>
      <c r="F25" s="21">
        <v>2051.1795000000002</v>
      </c>
      <c r="G25" s="22">
        <v>1.7000000000000001E-2</v>
      </c>
      <c r="H25" s="40"/>
      <c r="I25" s="24"/>
      <c r="J25" s="5"/>
    </row>
    <row r="26" spans="1:10" ht="13.05" customHeight="1">
      <c r="A26" s="18" t="s">
        <v>762</v>
      </c>
      <c r="B26" s="19" t="s">
        <v>763</v>
      </c>
      <c r="C26" s="15" t="s">
        <v>764</v>
      </c>
      <c r="D26" s="15" t="s">
        <v>321</v>
      </c>
      <c r="E26" s="20">
        <v>152068</v>
      </c>
      <c r="F26" s="21">
        <v>2001.9752000000001</v>
      </c>
      <c r="G26" s="22">
        <v>1.66E-2</v>
      </c>
      <c r="H26" s="40"/>
      <c r="I26" s="24"/>
      <c r="J26" s="5"/>
    </row>
    <row r="27" spans="1:10" ht="13.05" customHeight="1">
      <c r="A27" s="18" t="s">
        <v>326</v>
      </c>
      <c r="B27" s="19" t="s">
        <v>327</v>
      </c>
      <c r="C27" s="15" t="s">
        <v>328</v>
      </c>
      <c r="D27" s="15" t="s">
        <v>329</v>
      </c>
      <c r="E27" s="20">
        <v>462608</v>
      </c>
      <c r="F27" s="21">
        <v>1971.1727000000001</v>
      </c>
      <c r="G27" s="22">
        <v>1.6299999999999999E-2</v>
      </c>
      <c r="H27" s="40"/>
      <c r="I27" s="24"/>
      <c r="J27" s="5"/>
    </row>
    <row r="28" spans="1:10" ht="13.05" customHeight="1">
      <c r="A28" s="18" t="s">
        <v>476</v>
      </c>
      <c r="B28" s="19" t="s">
        <v>477</v>
      </c>
      <c r="C28" s="15" t="s">
        <v>478</v>
      </c>
      <c r="D28" s="15" t="s">
        <v>325</v>
      </c>
      <c r="E28" s="20">
        <v>12500</v>
      </c>
      <c r="F28" s="21">
        <v>1936.75</v>
      </c>
      <c r="G28" s="22">
        <v>1.61E-2</v>
      </c>
      <c r="H28" s="40"/>
      <c r="I28" s="24"/>
      <c r="J28" s="5"/>
    </row>
    <row r="29" spans="1:10" ht="13.05" customHeight="1">
      <c r="A29" s="18" t="s">
        <v>1065</v>
      </c>
      <c r="B29" s="19" t="s">
        <v>1066</v>
      </c>
      <c r="C29" s="15" t="s">
        <v>1067</v>
      </c>
      <c r="D29" s="15" t="s">
        <v>1068</v>
      </c>
      <c r="E29" s="20">
        <v>100000</v>
      </c>
      <c r="F29" s="21">
        <v>1930.6</v>
      </c>
      <c r="G29" s="22">
        <v>1.6E-2</v>
      </c>
      <c r="H29" s="40"/>
      <c r="I29" s="24"/>
      <c r="J29" s="5"/>
    </row>
    <row r="30" spans="1:10" ht="13.05" customHeight="1">
      <c r="A30" s="18" t="s">
        <v>258</v>
      </c>
      <c r="B30" s="19" t="s">
        <v>259</v>
      </c>
      <c r="C30" s="15" t="s">
        <v>260</v>
      </c>
      <c r="D30" s="15" t="s">
        <v>261</v>
      </c>
      <c r="E30" s="20">
        <v>127344</v>
      </c>
      <c r="F30" s="21">
        <v>1892.8412000000001</v>
      </c>
      <c r="G30" s="22">
        <v>1.5699999999999999E-2</v>
      </c>
      <c r="H30" s="40"/>
      <c r="I30" s="24"/>
      <c r="J30" s="5"/>
    </row>
    <row r="31" spans="1:10" ht="13.05" customHeight="1">
      <c r="A31" s="18" t="s">
        <v>652</v>
      </c>
      <c r="B31" s="19" t="s">
        <v>653</v>
      </c>
      <c r="C31" s="15" t="s">
        <v>654</v>
      </c>
      <c r="D31" s="15" t="s">
        <v>304</v>
      </c>
      <c r="E31" s="20">
        <v>753996</v>
      </c>
      <c r="F31" s="21">
        <v>1869.4576999999999</v>
      </c>
      <c r="G31" s="22">
        <v>1.55E-2</v>
      </c>
      <c r="H31" s="40"/>
      <c r="I31" s="24"/>
      <c r="J31" s="5"/>
    </row>
    <row r="32" spans="1:10" ht="13.05" customHeight="1">
      <c r="A32" s="18" t="s">
        <v>458</v>
      </c>
      <c r="B32" s="19" t="s">
        <v>459</v>
      </c>
      <c r="C32" s="15" t="s">
        <v>460</v>
      </c>
      <c r="D32" s="15" t="s">
        <v>321</v>
      </c>
      <c r="E32" s="20">
        <v>447344</v>
      </c>
      <c r="F32" s="21">
        <v>1811.2959000000001</v>
      </c>
      <c r="G32" s="22">
        <v>1.4999999999999999E-2</v>
      </c>
      <c r="H32" s="40"/>
      <c r="I32" s="24"/>
      <c r="J32" s="5"/>
    </row>
    <row r="33" spans="1:10" ht="13.05" customHeight="1">
      <c r="A33" s="18" t="s">
        <v>828</v>
      </c>
      <c r="B33" s="19" t="s">
        <v>829</v>
      </c>
      <c r="C33" s="15" t="s">
        <v>830</v>
      </c>
      <c r="D33" s="15" t="s">
        <v>567</v>
      </c>
      <c r="E33" s="20">
        <v>380066</v>
      </c>
      <c r="F33" s="21">
        <v>1796.7619999999999</v>
      </c>
      <c r="G33" s="22">
        <v>1.49E-2</v>
      </c>
      <c r="H33" s="40"/>
      <c r="I33" s="24"/>
      <c r="J33" s="5"/>
    </row>
    <row r="34" spans="1:10" ht="13.05" customHeight="1">
      <c r="A34" s="18" t="s">
        <v>406</v>
      </c>
      <c r="B34" s="19" t="s">
        <v>407</v>
      </c>
      <c r="C34" s="15" t="s">
        <v>408</v>
      </c>
      <c r="D34" s="15" t="s">
        <v>314</v>
      </c>
      <c r="E34" s="20">
        <v>25870</v>
      </c>
      <c r="F34" s="21">
        <v>1743.1206</v>
      </c>
      <c r="G34" s="22">
        <v>1.4500000000000001E-2</v>
      </c>
      <c r="H34" s="40"/>
      <c r="I34" s="24"/>
      <c r="J34" s="5"/>
    </row>
    <row r="35" spans="1:10" ht="13.05" customHeight="1">
      <c r="A35" s="18" t="s">
        <v>2432</v>
      </c>
      <c r="B35" s="19" t="s">
        <v>2433</v>
      </c>
      <c r="C35" s="15" t="s">
        <v>2434</v>
      </c>
      <c r="D35" s="15" t="s">
        <v>581</v>
      </c>
      <c r="E35" s="20">
        <v>118806</v>
      </c>
      <c r="F35" s="21">
        <v>1713.8954000000001</v>
      </c>
      <c r="G35" s="22">
        <v>1.4200000000000001E-2</v>
      </c>
      <c r="H35" s="40"/>
      <c r="I35" s="24"/>
      <c r="J35" s="5"/>
    </row>
    <row r="36" spans="1:10" ht="13.05" customHeight="1">
      <c r="A36" s="18" t="s">
        <v>733</v>
      </c>
      <c r="B36" s="19" t="s">
        <v>734</v>
      </c>
      <c r="C36" s="15" t="s">
        <v>735</v>
      </c>
      <c r="D36" s="15" t="s">
        <v>445</v>
      </c>
      <c r="E36" s="20">
        <v>53299</v>
      </c>
      <c r="F36" s="21">
        <v>1650.2969000000001</v>
      </c>
      <c r="G36" s="22">
        <v>1.37E-2</v>
      </c>
      <c r="H36" s="40"/>
      <c r="I36" s="24"/>
      <c r="J36" s="5"/>
    </row>
    <row r="37" spans="1:10" ht="13.05" customHeight="1">
      <c r="A37" s="18" t="s">
        <v>1370</v>
      </c>
      <c r="B37" s="19" t="s">
        <v>1371</v>
      </c>
      <c r="C37" s="15" t="s">
        <v>1372</v>
      </c>
      <c r="D37" s="15" t="s">
        <v>846</v>
      </c>
      <c r="E37" s="20">
        <v>184593</v>
      </c>
      <c r="F37" s="21">
        <v>1594.8834999999999</v>
      </c>
      <c r="G37" s="22">
        <v>1.32E-2</v>
      </c>
      <c r="H37" s="40"/>
      <c r="I37" s="24"/>
      <c r="J37" s="5"/>
    </row>
    <row r="38" spans="1:10" ht="13.05" customHeight="1">
      <c r="A38" s="18" t="s">
        <v>311</v>
      </c>
      <c r="B38" s="19" t="s">
        <v>312</v>
      </c>
      <c r="C38" s="15" t="s">
        <v>313</v>
      </c>
      <c r="D38" s="15" t="s">
        <v>314</v>
      </c>
      <c r="E38" s="20">
        <v>92329</v>
      </c>
      <c r="F38" s="21">
        <v>1561.0064</v>
      </c>
      <c r="G38" s="22">
        <v>1.29E-2</v>
      </c>
      <c r="H38" s="40"/>
      <c r="I38" s="24"/>
      <c r="J38" s="5"/>
    </row>
    <row r="39" spans="1:10" ht="13.05" customHeight="1">
      <c r="A39" s="18" t="s">
        <v>1052</v>
      </c>
      <c r="B39" s="19" t="s">
        <v>1053</v>
      </c>
      <c r="C39" s="15" t="s">
        <v>1054</v>
      </c>
      <c r="D39" s="15" t="s">
        <v>445</v>
      </c>
      <c r="E39" s="20">
        <v>138413</v>
      </c>
      <c r="F39" s="21">
        <v>1513.1309000000001</v>
      </c>
      <c r="G39" s="22">
        <v>1.2500000000000001E-2</v>
      </c>
      <c r="H39" s="40"/>
      <c r="I39" s="24"/>
      <c r="J39" s="5"/>
    </row>
    <row r="40" spans="1:10" ht="13.05" customHeight="1">
      <c r="A40" s="18" t="s">
        <v>564</v>
      </c>
      <c r="B40" s="19" t="s">
        <v>565</v>
      </c>
      <c r="C40" s="15" t="s">
        <v>566</v>
      </c>
      <c r="D40" s="15" t="s">
        <v>567</v>
      </c>
      <c r="E40" s="20">
        <v>1431154</v>
      </c>
      <c r="F40" s="21">
        <v>1508.2932000000001</v>
      </c>
      <c r="G40" s="22">
        <v>1.2500000000000001E-2</v>
      </c>
      <c r="H40" s="40"/>
      <c r="I40" s="24"/>
      <c r="J40" s="5"/>
    </row>
    <row r="41" spans="1:10" ht="13.05" customHeight="1">
      <c r="A41" s="18" t="s">
        <v>297</v>
      </c>
      <c r="B41" s="19" t="s">
        <v>298</v>
      </c>
      <c r="C41" s="15" t="s">
        <v>299</v>
      </c>
      <c r="D41" s="15" t="s">
        <v>300</v>
      </c>
      <c r="E41" s="20">
        <v>144274</v>
      </c>
      <c r="F41" s="21">
        <v>1504.4893</v>
      </c>
      <c r="G41" s="22">
        <v>1.2500000000000001E-2</v>
      </c>
      <c r="H41" s="40"/>
      <c r="I41" s="24"/>
      <c r="J41" s="5"/>
    </row>
    <row r="42" spans="1:10" ht="13.05" customHeight="1">
      <c r="A42" s="18" t="s">
        <v>664</v>
      </c>
      <c r="B42" s="19" t="s">
        <v>665</v>
      </c>
      <c r="C42" s="15" t="s">
        <v>666</v>
      </c>
      <c r="D42" s="15" t="s">
        <v>304</v>
      </c>
      <c r="E42" s="20">
        <v>362699</v>
      </c>
      <c r="F42" s="21">
        <v>1486.8846000000001</v>
      </c>
      <c r="G42" s="22">
        <v>1.23E-2</v>
      </c>
      <c r="H42" s="40"/>
      <c r="I42" s="24"/>
      <c r="J42" s="5"/>
    </row>
    <row r="43" spans="1:10" ht="13.05" customHeight="1">
      <c r="A43" s="18" t="s">
        <v>2789</v>
      </c>
      <c r="B43" s="19" t="s">
        <v>2790</v>
      </c>
      <c r="C43" s="15" t="s">
        <v>2791</v>
      </c>
      <c r="D43" s="15" t="s">
        <v>304</v>
      </c>
      <c r="E43" s="20">
        <v>369741</v>
      </c>
      <c r="F43" s="21">
        <v>1486.3588</v>
      </c>
      <c r="G43" s="22">
        <v>1.23E-2</v>
      </c>
      <c r="H43" s="40"/>
      <c r="I43" s="24"/>
      <c r="J43" s="5"/>
    </row>
    <row r="44" spans="1:10" ht="13.05" customHeight="1">
      <c r="A44" s="18" t="s">
        <v>730</v>
      </c>
      <c r="B44" s="19" t="s">
        <v>731</v>
      </c>
      <c r="C44" s="15" t="s">
        <v>732</v>
      </c>
      <c r="D44" s="15" t="s">
        <v>445</v>
      </c>
      <c r="E44" s="20">
        <v>44951</v>
      </c>
      <c r="F44" s="21">
        <v>1431.9591</v>
      </c>
      <c r="G44" s="22">
        <v>1.1900000000000001E-2</v>
      </c>
      <c r="H44" s="40"/>
      <c r="I44" s="24"/>
      <c r="J44" s="5"/>
    </row>
    <row r="45" spans="1:10" ht="13.05" customHeight="1">
      <c r="A45" s="18" t="s">
        <v>1543</v>
      </c>
      <c r="B45" s="19" t="s">
        <v>1544</v>
      </c>
      <c r="C45" s="15" t="s">
        <v>1545</v>
      </c>
      <c r="D45" s="15" t="s">
        <v>464</v>
      </c>
      <c r="E45" s="20">
        <v>95056</v>
      </c>
      <c r="F45" s="21">
        <v>1409.8706</v>
      </c>
      <c r="G45" s="22">
        <v>1.17E-2</v>
      </c>
      <c r="H45" s="40"/>
      <c r="I45" s="24"/>
      <c r="J45" s="5"/>
    </row>
    <row r="46" spans="1:10" ht="13.05" customHeight="1">
      <c r="A46" s="18" t="s">
        <v>1317</v>
      </c>
      <c r="B46" s="19" t="s">
        <v>1318</v>
      </c>
      <c r="C46" s="15" t="s">
        <v>1319</v>
      </c>
      <c r="D46" s="15" t="s">
        <v>405</v>
      </c>
      <c r="E46" s="20">
        <v>374158</v>
      </c>
      <c r="F46" s="21">
        <v>1341.9177</v>
      </c>
      <c r="G46" s="22">
        <v>1.11E-2</v>
      </c>
      <c r="H46" s="40"/>
      <c r="I46" s="24"/>
      <c r="J46" s="5"/>
    </row>
    <row r="47" spans="1:10" ht="13.05" customHeight="1">
      <c r="A47" s="18" t="s">
        <v>4700</v>
      </c>
      <c r="B47" s="19" t="s">
        <v>4701</v>
      </c>
      <c r="C47" s="15" t="s">
        <v>4702</v>
      </c>
      <c r="D47" s="15" t="s">
        <v>581</v>
      </c>
      <c r="E47" s="20">
        <v>270448</v>
      </c>
      <c r="F47" s="21">
        <v>1252.1741999999999</v>
      </c>
      <c r="G47" s="22">
        <v>1.04E-2</v>
      </c>
      <c r="H47" s="40"/>
      <c r="I47" s="24"/>
      <c r="J47" s="5"/>
    </row>
    <row r="48" spans="1:10" ht="13.05" customHeight="1">
      <c r="A48" s="18" t="s">
        <v>1214</v>
      </c>
      <c r="B48" s="19" t="s">
        <v>1215</v>
      </c>
      <c r="C48" s="15" t="s">
        <v>1216</v>
      </c>
      <c r="D48" s="15" t="s">
        <v>314</v>
      </c>
      <c r="E48" s="20">
        <v>162733</v>
      </c>
      <c r="F48" s="21">
        <v>1226.0304000000001</v>
      </c>
      <c r="G48" s="22">
        <v>1.0200000000000001E-2</v>
      </c>
      <c r="H48" s="40"/>
      <c r="I48" s="24"/>
      <c r="J48" s="5"/>
    </row>
    <row r="49" spans="1:10" ht="13.05" customHeight="1">
      <c r="A49" s="18" t="s">
        <v>368</v>
      </c>
      <c r="B49" s="19" t="s">
        <v>369</v>
      </c>
      <c r="C49" s="15" t="s">
        <v>370</v>
      </c>
      <c r="D49" s="15" t="s">
        <v>304</v>
      </c>
      <c r="E49" s="20">
        <v>25715</v>
      </c>
      <c r="F49" s="21">
        <v>1207.1392000000001</v>
      </c>
      <c r="G49" s="22">
        <v>0.01</v>
      </c>
      <c r="H49" s="40"/>
      <c r="I49" s="24"/>
      <c r="J49" s="5"/>
    </row>
    <row r="50" spans="1:10" ht="13.05" customHeight="1">
      <c r="A50" s="18" t="s">
        <v>1320</v>
      </c>
      <c r="B50" s="19" t="s">
        <v>1321</v>
      </c>
      <c r="C50" s="15" t="s">
        <v>1322</v>
      </c>
      <c r="D50" s="15" t="s">
        <v>846</v>
      </c>
      <c r="E50" s="20">
        <v>3286</v>
      </c>
      <c r="F50" s="21">
        <v>1199.2257</v>
      </c>
      <c r="G50" s="22">
        <v>9.9000000000000008E-3</v>
      </c>
      <c r="H50" s="40"/>
      <c r="I50" s="24"/>
      <c r="J50" s="5"/>
    </row>
    <row r="51" spans="1:10" ht="13.05" customHeight="1">
      <c r="A51" s="18" t="s">
        <v>736</v>
      </c>
      <c r="B51" s="19" t="s">
        <v>737</v>
      </c>
      <c r="C51" s="15" t="s">
        <v>738</v>
      </c>
      <c r="D51" s="15" t="s">
        <v>445</v>
      </c>
      <c r="E51" s="20">
        <v>18988</v>
      </c>
      <c r="F51" s="21">
        <v>991.17359999999996</v>
      </c>
      <c r="G51" s="22">
        <v>8.2000000000000007E-3</v>
      </c>
      <c r="H51" s="40"/>
      <c r="I51" s="24"/>
      <c r="J51" s="5"/>
    </row>
    <row r="52" spans="1:10" ht="13.05" customHeight="1">
      <c r="A52" s="18" t="s">
        <v>1263</v>
      </c>
      <c r="B52" s="19" t="s">
        <v>1264</v>
      </c>
      <c r="C52" s="15" t="s">
        <v>1265</v>
      </c>
      <c r="D52" s="15" t="s">
        <v>541</v>
      </c>
      <c r="E52" s="20">
        <v>151057</v>
      </c>
      <c r="F52" s="21">
        <v>973.41129999999998</v>
      </c>
      <c r="G52" s="22">
        <v>8.0999999999999996E-3</v>
      </c>
      <c r="H52" s="40"/>
      <c r="I52" s="24"/>
      <c r="J52" s="5"/>
    </row>
    <row r="53" spans="1:10" ht="13.05" customHeight="1">
      <c r="A53" s="18" t="s">
        <v>273</v>
      </c>
      <c r="B53" s="19" t="s">
        <v>274</v>
      </c>
      <c r="C53" s="15" t="s">
        <v>275</v>
      </c>
      <c r="D53" s="15" t="s">
        <v>276</v>
      </c>
      <c r="E53" s="20">
        <v>23433</v>
      </c>
      <c r="F53" s="21">
        <v>944.56079999999997</v>
      </c>
      <c r="G53" s="22">
        <v>7.7999999999999996E-3</v>
      </c>
      <c r="H53" s="40"/>
      <c r="I53" s="24"/>
      <c r="J53" s="5"/>
    </row>
    <row r="54" spans="1:10" ht="13.05" customHeight="1">
      <c r="A54" s="18" t="s">
        <v>385</v>
      </c>
      <c r="B54" s="19" t="s">
        <v>386</v>
      </c>
      <c r="C54" s="15" t="s">
        <v>387</v>
      </c>
      <c r="D54" s="15" t="s">
        <v>296</v>
      </c>
      <c r="E54" s="20">
        <v>13475</v>
      </c>
      <c r="F54" s="21">
        <v>944.19330000000002</v>
      </c>
      <c r="G54" s="22">
        <v>7.7999999999999996E-3</v>
      </c>
      <c r="H54" s="40"/>
      <c r="I54" s="24"/>
      <c r="J54" s="5"/>
    </row>
    <row r="55" spans="1:10" ht="13.05" customHeight="1">
      <c r="A55" s="18" t="s">
        <v>1111</v>
      </c>
      <c r="B55" s="19" t="s">
        <v>1112</v>
      </c>
      <c r="C55" s="15" t="s">
        <v>1113</v>
      </c>
      <c r="D55" s="15" t="s">
        <v>1068</v>
      </c>
      <c r="E55" s="20">
        <v>21344</v>
      </c>
      <c r="F55" s="21">
        <v>879.11670000000004</v>
      </c>
      <c r="G55" s="22">
        <v>7.3000000000000001E-3</v>
      </c>
      <c r="H55" s="40"/>
      <c r="I55" s="24"/>
      <c r="J55" s="5"/>
    </row>
    <row r="56" spans="1:10" ht="13.05" customHeight="1">
      <c r="A56" s="18" t="s">
        <v>3933</v>
      </c>
      <c r="B56" s="19" t="s">
        <v>3934</v>
      </c>
      <c r="C56" s="15" t="s">
        <v>3935</v>
      </c>
      <c r="D56" s="15" t="s">
        <v>501</v>
      </c>
      <c r="E56" s="20">
        <v>51047</v>
      </c>
      <c r="F56" s="21">
        <v>862.23490000000004</v>
      </c>
      <c r="G56" s="22">
        <v>7.1999999999999998E-3</v>
      </c>
      <c r="H56" s="40"/>
      <c r="I56" s="24"/>
      <c r="J56" s="5"/>
    </row>
    <row r="57" spans="1:10" ht="13.05" customHeight="1">
      <c r="A57" s="18" t="s">
        <v>883</v>
      </c>
      <c r="B57" s="19" t="s">
        <v>884</v>
      </c>
      <c r="C57" s="15" t="s">
        <v>885</v>
      </c>
      <c r="D57" s="15" t="s">
        <v>272</v>
      </c>
      <c r="E57" s="20">
        <v>15770</v>
      </c>
      <c r="F57" s="21">
        <v>860.17470000000003</v>
      </c>
      <c r="G57" s="22">
        <v>7.1000000000000004E-3</v>
      </c>
      <c r="H57" s="40"/>
      <c r="I57" s="24"/>
      <c r="J57" s="5"/>
    </row>
    <row r="58" spans="1:10" ht="13.05" customHeight="1">
      <c r="A58" s="18" t="s">
        <v>2780</v>
      </c>
      <c r="B58" s="19" t="s">
        <v>2781</v>
      </c>
      <c r="C58" s="15" t="s">
        <v>2782</v>
      </c>
      <c r="D58" s="15" t="s">
        <v>970</v>
      </c>
      <c r="E58" s="20">
        <v>131976</v>
      </c>
      <c r="F58" s="21">
        <v>851.90509999999995</v>
      </c>
      <c r="G58" s="22">
        <v>7.1000000000000004E-3</v>
      </c>
      <c r="H58" s="40"/>
      <c r="I58" s="24"/>
      <c r="J58" s="5"/>
    </row>
    <row r="59" spans="1:10" ht="13.05" customHeight="1">
      <c r="A59" s="18" t="s">
        <v>308</v>
      </c>
      <c r="B59" s="19" t="s">
        <v>309</v>
      </c>
      <c r="C59" s="15" t="s">
        <v>310</v>
      </c>
      <c r="D59" s="15" t="s">
        <v>296</v>
      </c>
      <c r="E59" s="20">
        <v>4523</v>
      </c>
      <c r="F59" s="21">
        <v>732.09280000000001</v>
      </c>
      <c r="G59" s="22">
        <v>6.1000000000000004E-3</v>
      </c>
      <c r="H59" s="40"/>
      <c r="I59" s="24"/>
      <c r="J59" s="5"/>
    </row>
    <row r="60" spans="1:10" ht="13.05" customHeight="1">
      <c r="A60" s="18" t="s">
        <v>1144</v>
      </c>
      <c r="B60" s="19" t="s">
        <v>1145</v>
      </c>
      <c r="C60" s="15" t="s">
        <v>1146</v>
      </c>
      <c r="D60" s="15" t="s">
        <v>1068</v>
      </c>
      <c r="E60" s="20">
        <v>104385</v>
      </c>
      <c r="F60" s="21">
        <v>722.60519999999997</v>
      </c>
      <c r="G60" s="22">
        <v>6.0000000000000001E-3</v>
      </c>
      <c r="H60" s="40"/>
      <c r="I60" s="24"/>
      <c r="J60" s="5"/>
    </row>
    <row r="61" spans="1:10" ht="13.05" customHeight="1">
      <c r="A61" s="18" t="s">
        <v>1695</v>
      </c>
      <c r="B61" s="19" t="s">
        <v>1696</v>
      </c>
      <c r="C61" s="15" t="s">
        <v>1697</v>
      </c>
      <c r="D61" s="15" t="s">
        <v>577</v>
      </c>
      <c r="E61" s="20">
        <v>212398</v>
      </c>
      <c r="F61" s="21">
        <v>603.84749999999997</v>
      </c>
      <c r="G61" s="22">
        <v>5.0000000000000001E-3</v>
      </c>
      <c r="H61" s="40"/>
      <c r="I61" s="24"/>
      <c r="J61" s="5"/>
    </row>
    <row r="62" spans="1:10" ht="13.05" customHeight="1">
      <c r="A62" s="18" t="s">
        <v>4861</v>
      </c>
      <c r="B62" s="19" t="s">
        <v>4862</v>
      </c>
      <c r="C62" s="15" t="s">
        <v>4863</v>
      </c>
      <c r="D62" s="15" t="s">
        <v>329</v>
      </c>
      <c r="E62" s="20">
        <v>122077</v>
      </c>
      <c r="F62" s="21">
        <v>589.26570000000004</v>
      </c>
      <c r="G62" s="22">
        <v>4.8999999999999998E-3</v>
      </c>
      <c r="H62" s="40"/>
      <c r="I62" s="24"/>
      <c r="J62" s="5"/>
    </row>
    <row r="63" spans="1:10" ht="13.05" customHeight="1">
      <c r="A63" s="18" t="s">
        <v>1326</v>
      </c>
      <c r="B63" s="19" t="s">
        <v>1327</v>
      </c>
      <c r="C63" s="15" t="s">
        <v>1328</v>
      </c>
      <c r="D63" s="15" t="s">
        <v>1068</v>
      </c>
      <c r="E63" s="20">
        <v>1079044</v>
      </c>
      <c r="F63" s="21">
        <v>566.92970000000003</v>
      </c>
      <c r="G63" s="22">
        <v>4.7000000000000002E-3</v>
      </c>
      <c r="H63" s="40"/>
      <c r="I63" s="24"/>
      <c r="J63" s="5"/>
    </row>
    <row r="64" spans="1:10" ht="13.05" customHeight="1">
      <c r="A64" s="18" t="s">
        <v>1174</v>
      </c>
      <c r="B64" s="19" t="s">
        <v>1175</v>
      </c>
      <c r="C64" s="15" t="s">
        <v>1176</v>
      </c>
      <c r="D64" s="15" t="s">
        <v>501</v>
      </c>
      <c r="E64" s="20">
        <v>56152</v>
      </c>
      <c r="F64" s="21">
        <v>505.64879999999999</v>
      </c>
      <c r="G64" s="22">
        <v>4.1999999999999997E-3</v>
      </c>
      <c r="H64" s="40"/>
      <c r="I64" s="24"/>
      <c r="J64" s="5"/>
    </row>
    <row r="65" spans="1:10" ht="13.05" customHeight="1">
      <c r="A65" s="18" t="s">
        <v>1701</v>
      </c>
      <c r="B65" s="19" t="s">
        <v>1702</v>
      </c>
      <c r="C65" s="15" t="s">
        <v>1703</v>
      </c>
      <c r="D65" s="15" t="s">
        <v>348</v>
      </c>
      <c r="E65" s="20">
        <v>4286</v>
      </c>
      <c r="F65" s="21">
        <v>281.67590000000001</v>
      </c>
      <c r="G65" s="22">
        <v>2.3E-3</v>
      </c>
      <c r="H65" s="40"/>
      <c r="I65" s="24"/>
      <c r="J65" s="5"/>
    </row>
    <row r="66" spans="1:10" ht="13.05" customHeight="1">
      <c r="A66" s="18" t="s">
        <v>1421</v>
      </c>
      <c r="B66" s="19" t="s">
        <v>1422</v>
      </c>
      <c r="C66" s="15" t="s">
        <v>1423</v>
      </c>
      <c r="D66" s="15" t="s">
        <v>276</v>
      </c>
      <c r="E66" s="20">
        <v>20187</v>
      </c>
      <c r="F66" s="21">
        <v>266.2867</v>
      </c>
      <c r="G66" s="22">
        <v>2.2000000000000001E-3</v>
      </c>
      <c r="H66" s="40"/>
      <c r="I66" s="24"/>
      <c r="J66" s="5"/>
    </row>
    <row r="67" spans="1:10" ht="13.05" customHeight="1">
      <c r="A67" s="18" t="s">
        <v>382</v>
      </c>
      <c r="B67" s="19" t="s">
        <v>383</v>
      </c>
      <c r="C67" s="15" t="s">
        <v>384</v>
      </c>
      <c r="D67" s="15" t="s">
        <v>296</v>
      </c>
      <c r="E67" s="20">
        <v>1742</v>
      </c>
      <c r="F67" s="21">
        <v>154.9074</v>
      </c>
      <c r="G67" s="22">
        <v>1.2999999999999999E-3</v>
      </c>
      <c r="H67" s="40"/>
      <c r="I67" s="24"/>
      <c r="J67" s="5"/>
    </row>
    <row r="68" spans="1:10" ht="13.05" customHeight="1">
      <c r="A68" s="18" t="s">
        <v>1358</v>
      </c>
      <c r="B68" s="19" t="s">
        <v>1359</v>
      </c>
      <c r="C68" s="15" t="s">
        <v>1360</v>
      </c>
      <c r="D68" s="15" t="s">
        <v>304</v>
      </c>
      <c r="E68" s="20">
        <v>3951</v>
      </c>
      <c r="F68" s="21">
        <v>97.111599999999996</v>
      </c>
      <c r="G68" s="22">
        <v>8.0000000000000004E-4</v>
      </c>
      <c r="H68" s="40"/>
      <c r="I68" s="24"/>
      <c r="J68" s="5"/>
    </row>
    <row r="69" spans="1:10" ht="13.05" customHeight="1">
      <c r="A69" s="18" t="s">
        <v>874</v>
      </c>
      <c r="B69" s="19" t="s">
        <v>875</v>
      </c>
      <c r="C69" s="15" t="s">
        <v>876</v>
      </c>
      <c r="D69" s="15" t="s">
        <v>272</v>
      </c>
      <c r="E69" s="20">
        <v>5945</v>
      </c>
      <c r="F69" s="21">
        <v>69.360299999999995</v>
      </c>
      <c r="G69" s="22">
        <v>5.9999999999999995E-4</v>
      </c>
      <c r="H69" s="40"/>
      <c r="I69" s="24"/>
      <c r="J69" s="5"/>
    </row>
    <row r="70" spans="1:10" ht="13.05" customHeight="1">
      <c r="A70" s="18" t="s">
        <v>1857</v>
      </c>
      <c r="B70" s="19" t="s">
        <v>1858</v>
      </c>
      <c r="C70" s="15" t="s">
        <v>1859</v>
      </c>
      <c r="D70" s="15" t="s">
        <v>325</v>
      </c>
      <c r="E70" s="20">
        <v>2994</v>
      </c>
      <c r="F70" s="21">
        <v>49.808199999999999</v>
      </c>
      <c r="G70" s="22">
        <v>4.0000000000000002E-4</v>
      </c>
      <c r="H70" s="40"/>
      <c r="I70" s="24"/>
      <c r="J70" s="5"/>
    </row>
    <row r="71" spans="1:10" ht="13.05" customHeight="1">
      <c r="A71" s="5"/>
      <c r="B71" s="14" t="s">
        <v>192</v>
      </c>
      <c r="C71" s="15"/>
      <c r="D71" s="15"/>
      <c r="E71" s="15"/>
      <c r="F71" s="25">
        <v>99244.165599999993</v>
      </c>
      <c r="G71" s="26">
        <v>0.82310000000000005</v>
      </c>
      <c r="H71" s="27"/>
      <c r="I71" s="28"/>
      <c r="J71" s="5"/>
    </row>
    <row r="72" spans="1:10" ht="13.05" customHeight="1">
      <c r="A72" s="5"/>
      <c r="B72" s="29" t="s">
        <v>1812</v>
      </c>
      <c r="C72" s="2"/>
      <c r="D72" s="2"/>
      <c r="E72" s="2"/>
      <c r="F72" s="27" t="s">
        <v>194</v>
      </c>
      <c r="G72" s="27" t="s">
        <v>194</v>
      </c>
      <c r="H72" s="27"/>
      <c r="I72" s="28"/>
      <c r="J72" s="5"/>
    </row>
    <row r="73" spans="1:10" ht="13.05" customHeight="1">
      <c r="A73" s="5"/>
      <c r="B73" s="29" t="s">
        <v>192</v>
      </c>
      <c r="C73" s="2"/>
      <c r="D73" s="2"/>
      <c r="E73" s="2"/>
      <c r="F73" s="27" t="s">
        <v>194</v>
      </c>
      <c r="G73" s="27" t="s">
        <v>194</v>
      </c>
      <c r="H73" s="27"/>
      <c r="I73" s="28"/>
      <c r="J73" s="5"/>
    </row>
    <row r="74" spans="1:10" ht="13.05" customHeight="1">
      <c r="A74" s="5"/>
      <c r="B74" s="29" t="s">
        <v>195</v>
      </c>
      <c r="C74" s="30"/>
      <c r="D74" s="2"/>
      <c r="E74" s="30"/>
      <c r="F74" s="25">
        <v>99244.165599999993</v>
      </c>
      <c r="G74" s="26">
        <v>0.82310000000000005</v>
      </c>
      <c r="H74" s="27"/>
      <c r="I74" s="28"/>
      <c r="J74" s="5"/>
    </row>
    <row r="75" spans="1:10" ht="13.05" customHeight="1">
      <c r="A75" s="5"/>
      <c r="B75" s="14" t="s">
        <v>3746</v>
      </c>
      <c r="C75" s="15"/>
      <c r="D75" s="15"/>
      <c r="E75" s="15"/>
      <c r="F75" s="15"/>
      <c r="G75" s="15"/>
      <c r="H75" s="16"/>
      <c r="I75" s="17"/>
      <c r="J75" s="5"/>
    </row>
    <row r="76" spans="1:10" ht="13.05" customHeight="1">
      <c r="A76" s="5"/>
      <c r="B76" s="14" t="s">
        <v>253</v>
      </c>
      <c r="C76" s="15"/>
      <c r="D76" s="15"/>
      <c r="E76" s="15"/>
      <c r="F76" s="5"/>
      <c r="G76" s="16"/>
      <c r="H76" s="16"/>
      <c r="I76" s="17"/>
      <c r="J76" s="5"/>
    </row>
    <row r="77" spans="1:10" ht="13.05" customHeight="1">
      <c r="A77" s="18" t="s">
        <v>3763</v>
      </c>
      <c r="B77" s="19" t="s">
        <v>3764</v>
      </c>
      <c r="C77" s="15" t="s">
        <v>3765</v>
      </c>
      <c r="D77" s="15" t="s">
        <v>3766</v>
      </c>
      <c r="E77" s="20">
        <v>2843</v>
      </c>
      <c r="F77" s="21">
        <v>1306.1375</v>
      </c>
      <c r="G77" s="22">
        <v>1.0800000000000001E-2</v>
      </c>
      <c r="H77" s="40"/>
      <c r="I77" s="24"/>
      <c r="J77" s="5"/>
    </row>
    <row r="78" spans="1:10" ht="13.05" customHeight="1">
      <c r="A78" s="18" t="s">
        <v>4864</v>
      </c>
      <c r="B78" s="19" t="s">
        <v>4865</v>
      </c>
      <c r="C78" s="15" t="s">
        <v>4866</v>
      </c>
      <c r="D78" s="15" t="s">
        <v>3754</v>
      </c>
      <c r="E78" s="20">
        <v>3177</v>
      </c>
      <c r="F78" s="21">
        <v>1041.9000000000001</v>
      </c>
      <c r="G78" s="22">
        <v>8.6E-3</v>
      </c>
      <c r="H78" s="40"/>
      <c r="I78" s="24"/>
      <c r="J78" s="5"/>
    </row>
    <row r="79" spans="1:10" ht="13.05" customHeight="1">
      <c r="A79" s="18" t="s">
        <v>3751</v>
      </c>
      <c r="B79" s="19" t="s">
        <v>3752</v>
      </c>
      <c r="C79" s="15" t="s">
        <v>3753</v>
      </c>
      <c r="D79" s="15" t="s">
        <v>3754</v>
      </c>
      <c r="E79" s="20">
        <v>3882</v>
      </c>
      <c r="F79" s="21">
        <v>1034.7619</v>
      </c>
      <c r="G79" s="22">
        <v>8.6E-3</v>
      </c>
      <c r="H79" s="40"/>
      <c r="I79" s="24"/>
      <c r="J79" s="5"/>
    </row>
    <row r="80" spans="1:10" ht="13.05" customHeight="1">
      <c r="A80" s="18" t="s">
        <v>4867</v>
      </c>
      <c r="B80" s="19" t="s">
        <v>4868</v>
      </c>
      <c r="C80" s="15" t="s">
        <v>4869</v>
      </c>
      <c r="D80" s="15" t="s">
        <v>4870</v>
      </c>
      <c r="E80" s="20">
        <v>4550</v>
      </c>
      <c r="F80" s="21">
        <v>985.90309999999999</v>
      </c>
      <c r="G80" s="22">
        <v>8.2000000000000007E-3</v>
      </c>
      <c r="H80" s="40"/>
      <c r="I80" s="24"/>
      <c r="J80" s="5"/>
    </row>
    <row r="81" spans="1:10" ht="13.05" customHeight="1">
      <c r="A81" s="18" t="s">
        <v>3747</v>
      </c>
      <c r="B81" s="19" t="s">
        <v>3748</v>
      </c>
      <c r="C81" s="15" t="s">
        <v>3749</v>
      </c>
      <c r="D81" s="15" t="s">
        <v>3750</v>
      </c>
      <c r="E81" s="20">
        <v>3778</v>
      </c>
      <c r="F81" s="21">
        <v>942.54790000000003</v>
      </c>
      <c r="G81" s="22">
        <v>7.7999999999999996E-3</v>
      </c>
      <c r="H81" s="40"/>
      <c r="I81" s="24"/>
      <c r="J81" s="5"/>
    </row>
    <row r="82" spans="1:10" ht="13.05" customHeight="1">
      <c r="A82" s="18" t="s">
        <v>4871</v>
      </c>
      <c r="B82" s="19" t="s">
        <v>4872</v>
      </c>
      <c r="C82" s="15" t="s">
        <v>4873</v>
      </c>
      <c r="D82" s="15" t="s">
        <v>3754</v>
      </c>
      <c r="E82" s="20">
        <v>5088</v>
      </c>
      <c r="F82" s="21">
        <v>914.09699999999998</v>
      </c>
      <c r="G82" s="22">
        <v>7.6E-3</v>
      </c>
      <c r="H82" s="40"/>
      <c r="I82" s="24"/>
      <c r="J82" s="5"/>
    </row>
    <row r="83" spans="1:10" ht="13.05" customHeight="1">
      <c r="A83" s="18" t="s">
        <v>3787</v>
      </c>
      <c r="B83" s="19" t="s">
        <v>3788</v>
      </c>
      <c r="C83" s="15" t="s">
        <v>3789</v>
      </c>
      <c r="D83" s="15" t="s">
        <v>3750</v>
      </c>
      <c r="E83" s="20">
        <v>1129</v>
      </c>
      <c r="F83" s="21">
        <v>649.44899999999996</v>
      </c>
      <c r="G83" s="22">
        <v>5.4000000000000003E-3</v>
      </c>
      <c r="H83" s="40"/>
      <c r="I83" s="24"/>
      <c r="J83" s="5"/>
    </row>
    <row r="84" spans="1:10" ht="13.05" customHeight="1">
      <c r="A84" s="18" t="s">
        <v>4874</v>
      </c>
      <c r="B84" s="19" t="s">
        <v>4875</v>
      </c>
      <c r="C84" s="15" t="s">
        <v>4876</v>
      </c>
      <c r="D84" s="15" t="s">
        <v>3754</v>
      </c>
      <c r="E84" s="20">
        <v>2717</v>
      </c>
      <c r="F84" s="21">
        <v>617.41150000000005</v>
      </c>
      <c r="G84" s="22">
        <v>5.1000000000000004E-3</v>
      </c>
      <c r="H84" s="40"/>
      <c r="I84" s="24"/>
      <c r="J84" s="5"/>
    </row>
    <row r="85" spans="1:10" ht="13.05" customHeight="1">
      <c r="A85" s="18" t="s">
        <v>4877</v>
      </c>
      <c r="B85" s="19" t="s">
        <v>4878</v>
      </c>
      <c r="C85" s="15" t="s">
        <v>4879</v>
      </c>
      <c r="D85" s="15" t="s">
        <v>4880</v>
      </c>
      <c r="E85" s="20">
        <v>637</v>
      </c>
      <c r="F85" s="21">
        <v>598.64769999999999</v>
      </c>
      <c r="G85" s="22">
        <v>5.0000000000000001E-3</v>
      </c>
      <c r="H85" s="40"/>
      <c r="I85" s="24"/>
      <c r="J85" s="5"/>
    </row>
    <row r="86" spans="1:10" ht="13.05" customHeight="1">
      <c r="A86" s="18" t="s">
        <v>3783</v>
      </c>
      <c r="B86" s="19" t="s">
        <v>3784</v>
      </c>
      <c r="C86" s="15" t="s">
        <v>3785</v>
      </c>
      <c r="D86" s="15" t="s">
        <v>3786</v>
      </c>
      <c r="E86" s="20">
        <v>1938</v>
      </c>
      <c r="F86" s="21">
        <v>585.89319999999998</v>
      </c>
      <c r="G86" s="22">
        <v>4.8999999999999998E-3</v>
      </c>
      <c r="H86" s="40"/>
      <c r="I86" s="24"/>
      <c r="J86" s="5"/>
    </row>
    <row r="87" spans="1:10" ht="13.05" customHeight="1">
      <c r="A87" s="18" t="s">
        <v>3779</v>
      </c>
      <c r="B87" s="19" t="s">
        <v>3780</v>
      </c>
      <c r="C87" s="15" t="s">
        <v>3781</v>
      </c>
      <c r="D87" s="15" t="s">
        <v>3782</v>
      </c>
      <c r="E87" s="20">
        <v>524</v>
      </c>
      <c r="F87" s="21">
        <v>520.17399999999998</v>
      </c>
      <c r="G87" s="22">
        <v>4.3E-3</v>
      </c>
      <c r="H87" s="40"/>
      <c r="I87" s="24"/>
      <c r="J87" s="5"/>
    </row>
    <row r="88" spans="1:10" ht="13.05" customHeight="1">
      <c r="A88" s="18" t="s">
        <v>3759</v>
      </c>
      <c r="B88" s="19" t="s">
        <v>3760</v>
      </c>
      <c r="C88" s="15" t="s">
        <v>3761</v>
      </c>
      <c r="D88" s="15" t="s">
        <v>3762</v>
      </c>
      <c r="E88" s="20">
        <v>4884</v>
      </c>
      <c r="F88" s="21">
        <v>436.44850000000002</v>
      </c>
      <c r="G88" s="22">
        <v>3.5999999999999999E-3</v>
      </c>
      <c r="H88" s="40"/>
      <c r="I88" s="24"/>
      <c r="J88" s="5"/>
    </row>
    <row r="89" spans="1:10" ht="13.05" customHeight="1">
      <c r="A89" s="18" t="s">
        <v>4881</v>
      </c>
      <c r="B89" s="19" t="s">
        <v>4882</v>
      </c>
      <c r="C89" s="15" t="s">
        <v>4883</v>
      </c>
      <c r="D89" s="15" t="s">
        <v>4884</v>
      </c>
      <c r="E89" s="20">
        <v>494</v>
      </c>
      <c r="F89" s="21">
        <v>378.18900000000002</v>
      </c>
      <c r="G89" s="22">
        <v>3.0999999999999999E-3</v>
      </c>
      <c r="H89" s="40"/>
      <c r="I89" s="24"/>
      <c r="J89" s="5"/>
    </row>
    <row r="90" spans="1:10" ht="13.05" customHeight="1">
      <c r="A90" s="18" t="s">
        <v>4885</v>
      </c>
      <c r="B90" s="19" t="s">
        <v>4886</v>
      </c>
      <c r="C90" s="15" t="s">
        <v>4887</v>
      </c>
      <c r="D90" s="15" t="s">
        <v>4888</v>
      </c>
      <c r="E90" s="20">
        <v>748</v>
      </c>
      <c r="F90" s="21">
        <v>376.55189999999999</v>
      </c>
      <c r="G90" s="22">
        <v>3.0999999999999999E-3</v>
      </c>
      <c r="H90" s="40"/>
      <c r="I90" s="24"/>
      <c r="J90" s="5"/>
    </row>
    <row r="91" spans="1:10" ht="13.05" customHeight="1">
      <c r="A91" s="18" t="s">
        <v>3755</v>
      </c>
      <c r="B91" s="19" t="s">
        <v>3756</v>
      </c>
      <c r="C91" s="15" t="s">
        <v>3757</v>
      </c>
      <c r="D91" s="15" t="s">
        <v>3758</v>
      </c>
      <c r="E91" s="20">
        <v>83</v>
      </c>
      <c r="F91" s="21">
        <v>373.92989999999998</v>
      </c>
      <c r="G91" s="22">
        <v>3.0999999999999999E-3</v>
      </c>
      <c r="H91" s="40"/>
      <c r="I91" s="24"/>
      <c r="J91" s="5"/>
    </row>
    <row r="92" spans="1:10" ht="13.05" customHeight="1">
      <c r="A92" s="18" t="s">
        <v>4889</v>
      </c>
      <c r="B92" s="19" t="s">
        <v>4890</v>
      </c>
      <c r="C92" s="15" t="s">
        <v>4891</v>
      </c>
      <c r="D92" s="15" t="s">
        <v>4892</v>
      </c>
      <c r="E92" s="20">
        <v>2611</v>
      </c>
      <c r="F92" s="21">
        <v>365.30250000000001</v>
      </c>
      <c r="G92" s="22">
        <v>3.0000000000000001E-3</v>
      </c>
      <c r="H92" s="40"/>
      <c r="I92" s="24"/>
      <c r="J92" s="5"/>
    </row>
    <row r="93" spans="1:10" ht="13.05" customHeight="1">
      <c r="A93" s="18" t="s">
        <v>4893</v>
      </c>
      <c r="B93" s="19" t="s">
        <v>4894</v>
      </c>
      <c r="C93" s="15" t="s">
        <v>4895</v>
      </c>
      <c r="D93" s="15" t="s">
        <v>4896</v>
      </c>
      <c r="E93" s="20">
        <v>852</v>
      </c>
      <c r="F93" s="21">
        <v>363.0729</v>
      </c>
      <c r="G93" s="22">
        <v>3.0000000000000001E-3</v>
      </c>
      <c r="H93" s="40"/>
      <c r="I93" s="24"/>
      <c r="J93" s="5"/>
    </row>
    <row r="94" spans="1:10" ht="13.05" customHeight="1">
      <c r="A94" s="18" t="s">
        <v>3802</v>
      </c>
      <c r="B94" s="19" t="s">
        <v>3803</v>
      </c>
      <c r="C94" s="15" t="s">
        <v>3804</v>
      </c>
      <c r="D94" s="15" t="s">
        <v>3782</v>
      </c>
      <c r="E94" s="20">
        <v>613</v>
      </c>
      <c r="F94" s="21">
        <v>356.41460000000001</v>
      </c>
      <c r="G94" s="22">
        <v>3.0000000000000001E-3</v>
      </c>
      <c r="H94" s="40"/>
      <c r="I94" s="24"/>
      <c r="J94" s="5"/>
    </row>
    <row r="95" spans="1:10" ht="13.05" customHeight="1">
      <c r="A95" s="18" t="s">
        <v>4897</v>
      </c>
      <c r="B95" s="19" t="s">
        <v>4898</v>
      </c>
      <c r="C95" s="15" t="s">
        <v>4899</v>
      </c>
      <c r="D95" s="15" t="s">
        <v>4870</v>
      </c>
      <c r="E95" s="20">
        <v>152</v>
      </c>
      <c r="F95" s="21">
        <v>313.85579999999999</v>
      </c>
      <c r="G95" s="22">
        <v>2.5999999999999999E-3</v>
      </c>
      <c r="H95" s="40"/>
      <c r="I95" s="24"/>
      <c r="J95" s="5"/>
    </row>
    <row r="96" spans="1:10" ht="13.05" customHeight="1">
      <c r="A96" s="18" t="s">
        <v>4900</v>
      </c>
      <c r="B96" s="19" t="s">
        <v>4901</v>
      </c>
      <c r="C96" s="15" t="s">
        <v>4902</v>
      </c>
      <c r="D96" s="15" t="s">
        <v>4892</v>
      </c>
      <c r="E96" s="20">
        <v>848</v>
      </c>
      <c r="F96" s="21">
        <v>306.00060000000002</v>
      </c>
      <c r="G96" s="22">
        <v>2.5000000000000001E-3</v>
      </c>
      <c r="H96" s="40"/>
      <c r="I96" s="24"/>
      <c r="J96" s="5"/>
    </row>
    <row r="97" spans="1:10" ht="13.05" customHeight="1">
      <c r="A97" s="18" t="s">
        <v>4903</v>
      </c>
      <c r="B97" s="19" t="s">
        <v>4904</v>
      </c>
      <c r="C97" s="15" t="s">
        <v>4905</v>
      </c>
      <c r="D97" s="15" t="s">
        <v>4906</v>
      </c>
      <c r="E97" s="20">
        <v>12307</v>
      </c>
      <c r="F97" s="21">
        <v>304.53859999999997</v>
      </c>
      <c r="G97" s="22">
        <v>2.5000000000000001E-3</v>
      </c>
      <c r="H97" s="40"/>
      <c r="I97" s="24"/>
      <c r="J97" s="5"/>
    </row>
    <row r="98" spans="1:10" ht="13.05" customHeight="1">
      <c r="A98" s="18" t="s">
        <v>3767</v>
      </c>
      <c r="B98" s="19" t="s">
        <v>3768</v>
      </c>
      <c r="C98" s="15" t="s">
        <v>3769</v>
      </c>
      <c r="D98" s="15" t="s">
        <v>3770</v>
      </c>
      <c r="E98" s="20">
        <v>2269</v>
      </c>
      <c r="F98" s="21">
        <v>282.12279999999998</v>
      </c>
      <c r="G98" s="22">
        <v>2.3E-3</v>
      </c>
      <c r="H98" s="40"/>
      <c r="I98" s="24"/>
      <c r="J98" s="5"/>
    </row>
    <row r="99" spans="1:10" ht="13.05" customHeight="1">
      <c r="A99" s="18" t="s">
        <v>4907</v>
      </c>
      <c r="B99" s="19" t="s">
        <v>4908</v>
      </c>
      <c r="C99" s="15" t="s">
        <v>4909</v>
      </c>
      <c r="D99" s="15" t="s">
        <v>4870</v>
      </c>
      <c r="E99" s="20">
        <v>3903</v>
      </c>
      <c r="F99" s="21">
        <v>281.56849999999997</v>
      </c>
      <c r="G99" s="22">
        <v>2.3E-3</v>
      </c>
      <c r="H99" s="40"/>
      <c r="I99" s="24"/>
      <c r="J99" s="5"/>
    </row>
    <row r="100" spans="1:10" ht="13.05" customHeight="1">
      <c r="A100" s="18" t="s">
        <v>4910</v>
      </c>
      <c r="B100" s="19" t="s">
        <v>4911</v>
      </c>
      <c r="C100" s="15" t="s">
        <v>4912</v>
      </c>
      <c r="D100" s="15" t="s">
        <v>3778</v>
      </c>
      <c r="E100" s="20">
        <v>1186</v>
      </c>
      <c r="F100" s="21">
        <v>274.02109999999999</v>
      </c>
      <c r="G100" s="22">
        <v>2.3E-3</v>
      </c>
      <c r="H100" s="40"/>
      <c r="I100" s="24"/>
      <c r="J100" s="5"/>
    </row>
    <row r="101" spans="1:10" ht="13.05" customHeight="1">
      <c r="A101" s="18" t="s">
        <v>4913</v>
      </c>
      <c r="B101" s="19" t="s">
        <v>4914</v>
      </c>
      <c r="C101" s="15" t="s">
        <v>4915</v>
      </c>
      <c r="D101" s="15" t="s">
        <v>4916</v>
      </c>
      <c r="E101" s="20">
        <v>3507</v>
      </c>
      <c r="F101" s="21">
        <v>266.03789999999998</v>
      </c>
      <c r="G101" s="22">
        <v>2.2000000000000001E-3</v>
      </c>
      <c r="H101" s="40"/>
      <c r="I101" s="24"/>
      <c r="J101" s="5"/>
    </row>
    <row r="102" spans="1:10" ht="13.05" customHeight="1">
      <c r="A102" s="18" t="s">
        <v>4917</v>
      </c>
      <c r="B102" s="19" t="s">
        <v>4918</v>
      </c>
      <c r="C102" s="15" t="s">
        <v>4919</v>
      </c>
      <c r="D102" s="15" t="s">
        <v>4884</v>
      </c>
      <c r="E102" s="20">
        <v>5887</v>
      </c>
      <c r="F102" s="21">
        <v>258.33890000000002</v>
      </c>
      <c r="G102" s="22">
        <v>2.0999999999999999E-3</v>
      </c>
      <c r="H102" s="40"/>
      <c r="I102" s="24"/>
      <c r="J102" s="5"/>
    </row>
    <row r="103" spans="1:10" ht="13.05" customHeight="1">
      <c r="A103" s="18" t="s">
        <v>4920</v>
      </c>
      <c r="B103" s="19" t="s">
        <v>4921</v>
      </c>
      <c r="C103" s="15" t="s">
        <v>4922</v>
      </c>
      <c r="D103" s="15" t="s">
        <v>3778</v>
      </c>
      <c r="E103" s="20">
        <v>837</v>
      </c>
      <c r="F103" s="21">
        <v>251.51820000000001</v>
      </c>
      <c r="G103" s="22">
        <v>2.0999999999999999E-3</v>
      </c>
      <c r="H103" s="40"/>
      <c r="I103" s="24"/>
      <c r="J103" s="5"/>
    </row>
    <row r="104" spans="1:10" ht="13.05" customHeight="1">
      <c r="A104" s="18" t="s">
        <v>4923</v>
      </c>
      <c r="B104" s="19" t="s">
        <v>4924</v>
      </c>
      <c r="C104" s="15" t="s">
        <v>4925</v>
      </c>
      <c r="D104" s="15" t="s">
        <v>4926</v>
      </c>
      <c r="E104" s="20">
        <v>1130</v>
      </c>
      <c r="F104" s="21">
        <v>248.9813</v>
      </c>
      <c r="G104" s="22">
        <v>2.0999999999999999E-3</v>
      </c>
      <c r="H104" s="40"/>
      <c r="I104" s="24"/>
      <c r="J104" s="5"/>
    </row>
    <row r="105" spans="1:10" ht="13.05" customHeight="1">
      <c r="A105" s="18" t="s">
        <v>4927</v>
      </c>
      <c r="B105" s="19" t="s">
        <v>4928</v>
      </c>
      <c r="C105" s="15" t="s">
        <v>4929</v>
      </c>
      <c r="D105" s="15" t="s">
        <v>4930</v>
      </c>
      <c r="E105" s="20">
        <v>6064</v>
      </c>
      <c r="F105" s="21">
        <v>237.55359999999999</v>
      </c>
      <c r="G105" s="22">
        <v>2E-3</v>
      </c>
      <c r="H105" s="40"/>
      <c r="I105" s="24"/>
      <c r="J105" s="5"/>
    </row>
    <row r="106" spans="1:10" ht="13.05" customHeight="1">
      <c r="A106" s="18" t="s">
        <v>4931</v>
      </c>
      <c r="B106" s="19" t="s">
        <v>4932</v>
      </c>
      <c r="C106" s="15" t="s">
        <v>4933</v>
      </c>
      <c r="D106" s="15" t="s">
        <v>4934</v>
      </c>
      <c r="E106" s="20">
        <v>3138</v>
      </c>
      <c r="F106" s="21">
        <v>226.63079999999999</v>
      </c>
      <c r="G106" s="22">
        <v>1.9E-3</v>
      </c>
      <c r="H106" s="40"/>
      <c r="I106" s="24"/>
      <c r="J106" s="5"/>
    </row>
    <row r="107" spans="1:10" ht="13.05" customHeight="1">
      <c r="A107" s="18" t="s">
        <v>4935</v>
      </c>
      <c r="B107" s="19" t="s">
        <v>4936</v>
      </c>
      <c r="C107" s="15" t="s">
        <v>4937</v>
      </c>
      <c r="D107" s="15" t="s">
        <v>3766</v>
      </c>
      <c r="E107" s="20">
        <v>265</v>
      </c>
      <c r="F107" s="21">
        <v>216.14009999999999</v>
      </c>
      <c r="G107" s="22">
        <v>1.8E-3</v>
      </c>
      <c r="H107" s="40"/>
      <c r="I107" s="24"/>
      <c r="J107" s="5"/>
    </row>
    <row r="108" spans="1:10" ht="13.05" customHeight="1">
      <c r="A108" s="18" t="s">
        <v>4938</v>
      </c>
      <c r="B108" s="19" t="s">
        <v>4939</v>
      </c>
      <c r="C108" s="15" t="s">
        <v>4940</v>
      </c>
      <c r="D108" s="15" t="s">
        <v>4941</v>
      </c>
      <c r="E108" s="20">
        <v>260</v>
      </c>
      <c r="F108" s="21">
        <v>210.25569999999999</v>
      </c>
      <c r="G108" s="22">
        <v>1.6999999999999999E-3</v>
      </c>
      <c r="H108" s="40"/>
      <c r="I108" s="24"/>
      <c r="J108" s="5"/>
    </row>
    <row r="109" spans="1:10" ht="13.05" customHeight="1">
      <c r="A109" s="18" t="s">
        <v>4942</v>
      </c>
      <c r="B109" s="19" t="s">
        <v>4943</v>
      </c>
      <c r="C109" s="15" t="s">
        <v>4944</v>
      </c>
      <c r="D109" s="15" t="s">
        <v>4945</v>
      </c>
      <c r="E109" s="20">
        <v>2149</v>
      </c>
      <c r="F109" s="21">
        <v>209.39169999999999</v>
      </c>
      <c r="G109" s="22">
        <v>1.6999999999999999E-3</v>
      </c>
      <c r="H109" s="40"/>
      <c r="I109" s="24"/>
      <c r="J109" s="5"/>
    </row>
    <row r="110" spans="1:10" ht="13.05" customHeight="1">
      <c r="A110" s="18" t="s">
        <v>4946</v>
      </c>
      <c r="B110" s="19" t="s">
        <v>4947</v>
      </c>
      <c r="C110" s="15" t="s">
        <v>4948</v>
      </c>
      <c r="D110" s="15" t="s">
        <v>4949</v>
      </c>
      <c r="E110" s="20">
        <v>500</v>
      </c>
      <c r="F110" s="21">
        <v>208.5016</v>
      </c>
      <c r="G110" s="22">
        <v>1.6999999999999999E-3</v>
      </c>
      <c r="H110" s="40"/>
      <c r="I110" s="24"/>
      <c r="J110" s="5"/>
    </row>
    <row r="111" spans="1:10" ht="13.05" customHeight="1">
      <c r="A111" s="18" t="s">
        <v>4950</v>
      </c>
      <c r="B111" s="19" t="s">
        <v>4951</v>
      </c>
      <c r="C111" s="15" t="s">
        <v>4952</v>
      </c>
      <c r="D111" s="15" t="s">
        <v>4945</v>
      </c>
      <c r="E111" s="20">
        <v>7476</v>
      </c>
      <c r="F111" s="21">
        <v>207.149</v>
      </c>
      <c r="G111" s="22">
        <v>1.6999999999999999E-3</v>
      </c>
      <c r="H111" s="40"/>
      <c r="I111" s="24"/>
      <c r="J111" s="5"/>
    </row>
    <row r="112" spans="1:10" ht="13.05" customHeight="1">
      <c r="A112" s="18" t="s">
        <v>4953</v>
      </c>
      <c r="B112" s="19" t="s">
        <v>4954</v>
      </c>
      <c r="C112" s="15" t="s">
        <v>4955</v>
      </c>
      <c r="D112" s="15" t="s">
        <v>3778</v>
      </c>
      <c r="E112" s="20">
        <v>657</v>
      </c>
      <c r="F112" s="21">
        <v>198.37260000000001</v>
      </c>
      <c r="G112" s="22">
        <v>1.6000000000000001E-3</v>
      </c>
      <c r="H112" s="40"/>
      <c r="I112" s="24"/>
      <c r="J112" s="5"/>
    </row>
    <row r="113" spans="1:10" ht="13.05" customHeight="1">
      <c r="A113" s="18" t="s">
        <v>4956</v>
      </c>
      <c r="B113" s="19" t="s">
        <v>4957</v>
      </c>
      <c r="C113" s="15" t="s">
        <v>4958</v>
      </c>
      <c r="D113" s="15" t="s">
        <v>3766</v>
      </c>
      <c r="E113" s="20">
        <v>777</v>
      </c>
      <c r="F113" s="21">
        <v>134.8991</v>
      </c>
      <c r="G113" s="22">
        <v>1.1000000000000001E-3</v>
      </c>
      <c r="H113" s="40"/>
      <c r="I113" s="24"/>
      <c r="J113" s="5"/>
    </row>
    <row r="114" spans="1:10" ht="13.05" customHeight="1">
      <c r="A114" s="18" t="s">
        <v>4959</v>
      </c>
      <c r="B114" s="19" t="s">
        <v>4960</v>
      </c>
      <c r="C114" s="15" t="s">
        <v>4961</v>
      </c>
      <c r="D114" s="15" t="s">
        <v>4870</v>
      </c>
      <c r="E114" s="20">
        <v>950</v>
      </c>
      <c r="F114" s="21">
        <v>131.69980000000001</v>
      </c>
      <c r="G114" s="22">
        <v>1.1000000000000001E-3</v>
      </c>
      <c r="H114" s="40"/>
      <c r="I114" s="24"/>
      <c r="J114" s="5"/>
    </row>
    <row r="115" spans="1:10" ht="13.05" customHeight="1">
      <c r="A115" s="18" t="s">
        <v>4962</v>
      </c>
      <c r="B115" s="19" t="s">
        <v>4963</v>
      </c>
      <c r="C115" s="15" t="s">
        <v>4964</v>
      </c>
      <c r="D115" s="15" t="s">
        <v>4965</v>
      </c>
      <c r="E115" s="20">
        <v>3189</v>
      </c>
      <c r="F115" s="21">
        <v>14.062200000000001</v>
      </c>
      <c r="G115" s="22">
        <v>1E-4</v>
      </c>
      <c r="H115" s="40"/>
      <c r="I115" s="24"/>
      <c r="J115" s="5"/>
    </row>
    <row r="116" spans="1:10" ht="13.05" customHeight="1">
      <c r="A116" s="5"/>
      <c r="B116" s="14" t="s">
        <v>192</v>
      </c>
      <c r="C116" s="15"/>
      <c r="D116" s="15"/>
      <c r="E116" s="15"/>
      <c r="F116" s="25">
        <v>16628.472000000002</v>
      </c>
      <c r="G116" s="26">
        <v>0.13789999999999999</v>
      </c>
      <c r="H116" s="27"/>
      <c r="I116" s="28"/>
      <c r="J116" s="5"/>
    </row>
    <row r="117" spans="1:10" ht="13.05" customHeight="1">
      <c r="A117" s="5"/>
      <c r="B117" s="29" t="s">
        <v>1812</v>
      </c>
      <c r="C117" s="2"/>
      <c r="D117" s="2"/>
      <c r="E117" s="2"/>
      <c r="F117" s="27" t="s">
        <v>194</v>
      </c>
      <c r="G117" s="27" t="s">
        <v>194</v>
      </c>
      <c r="H117" s="27"/>
      <c r="I117" s="28"/>
      <c r="J117" s="5"/>
    </row>
    <row r="118" spans="1:10" ht="13.05" customHeight="1">
      <c r="A118" s="5"/>
      <c r="B118" s="29" t="s">
        <v>192</v>
      </c>
      <c r="C118" s="2"/>
      <c r="D118" s="2"/>
      <c r="E118" s="2"/>
      <c r="F118" s="27" t="s">
        <v>194</v>
      </c>
      <c r="G118" s="27" t="s">
        <v>194</v>
      </c>
      <c r="H118" s="27"/>
      <c r="I118" s="28"/>
      <c r="J118" s="5"/>
    </row>
    <row r="119" spans="1:10" ht="13.05" customHeight="1">
      <c r="A119" s="5"/>
      <c r="B119" s="29" t="s">
        <v>195</v>
      </c>
      <c r="C119" s="30"/>
      <c r="D119" s="2"/>
      <c r="E119" s="30"/>
      <c r="F119" s="25">
        <v>16628.472000000002</v>
      </c>
      <c r="G119" s="26">
        <v>0.13789999999999999</v>
      </c>
      <c r="H119" s="27"/>
      <c r="I119" s="28"/>
      <c r="J119" s="5"/>
    </row>
    <row r="120" spans="1:10" ht="13.05" customHeight="1">
      <c r="A120" s="5"/>
      <c r="B120" s="14" t="s">
        <v>1871</v>
      </c>
      <c r="C120" s="15"/>
      <c r="D120" s="15"/>
      <c r="E120" s="15"/>
      <c r="F120" s="15"/>
      <c r="G120" s="15"/>
      <c r="H120" s="16"/>
      <c r="I120" s="17"/>
      <c r="J120" s="5"/>
    </row>
    <row r="121" spans="1:10" ht="13.05" customHeight="1">
      <c r="A121" s="5"/>
      <c r="B121" s="14" t="s">
        <v>2997</v>
      </c>
      <c r="C121" s="15"/>
      <c r="D121" s="15"/>
      <c r="E121" s="15"/>
      <c r="F121" s="5"/>
      <c r="G121" s="16"/>
      <c r="H121" s="16"/>
      <c r="I121" s="17"/>
      <c r="J121" s="5"/>
    </row>
    <row r="122" spans="1:10" ht="13.05" customHeight="1">
      <c r="A122" s="18" t="s">
        <v>2998</v>
      </c>
      <c r="B122" s="19" t="s">
        <v>2999</v>
      </c>
      <c r="C122" s="15"/>
      <c r="D122" s="15"/>
      <c r="E122" s="20">
        <v>5180</v>
      </c>
      <c r="F122" s="21">
        <v>3013.9623000000001</v>
      </c>
      <c r="G122" s="22">
        <v>2.5000000000000001E-2</v>
      </c>
      <c r="H122" s="40"/>
      <c r="I122" s="24"/>
      <c r="J122" s="5"/>
    </row>
    <row r="123" spans="1:10" ht="13.05" customHeight="1">
      <c r="A123" s="5"/>
      <c r="B123" s="14" t="s">
        <v>192</v>
      </c>
      <c r="C123" s="15"/>
      <c r="D123" s="15"/>
      <c r="E123" s="15"/>
      <c r="F123" s="25">
        <v>3013.9623000000001</v>
      </c>
      <c r="G123" s="26">
        <v>2.5000000000000001E-2</v>
      </c>
      <c r="H123" s="27"/>
      <c r="I123" s="28"/>
      <c r="J123" s="5"/>
    </row>
    <row r="124" spans="1:10" ht="13.05" customHeight="1">
      <c r="A124" s="5"/>
      <c r="B124" s="29" t="s">
        <v>195</v>
      </c>
      <c r="C124" s="30"/>
      <c r="D124" s="2"/>
      <c r="E124" s="30"/>
      <c r="F124" s="25">
        <v>3013.9623000000001</v>
      </c>
      <c r="G124" s="26">
        <v>2.5000000000000001E-2</v>
      </c>
      <c r="H124" s="27"/>
      <c r="I124" s="28"/>
      <c r="J124" s="5"/>
    </row>
    <row r="125" spans="1:10" ht="13.05" customHeight="1">
      <c r="A125" s="5"/>
      <c r="B125" s="14" t="s">
        <v>1866</v>
      </c>
      <c r="C125" s="15"/>
      <c r="D125" s="15"/>
      <c r="E125" s="15"/>
      <c r="F125" s="15"/>
      <c r="G125" s="15"/>
      <c r="H125" s="16"/>
      <c r="I125" s="17"/>
      <c r="J125" s="5"/>
    </row>
    <row r="126" spans="1:10" ht="13.05" customHeight="1">
      <c r="A126" s="5"/>
      <c r="B126" s="14" t="s">
        <v>1867</v>
      </c>
      <c r="C126" s="15"/>
      <c r="D126" s="15"/>
      <c r="E126" s="15"/>
      <c r="F126" s="5"/>
      <c r="G126" s="16"/>
      <c r="H126" s="16"/>
      <c r="I126" s="17"/>
      <c r="J126" s="5"/>
    </row>
    <row r="127" spans="1:10" ht="13.05" customHeight="1">
      <c r="A127" s="18" t="s">
        <v>4966</v>
      </c>
      <c r="B127" s="19" t="s">
        <v>4967</v>
      </c>
      <c r="C127" s="15" t="s">
        <v>4968</v>
      </c>
      <c r="D127" s="15" t="s">
        <v>188</v>
      </c>
      <c r="E127" s="20">
        <v>500000</v>
      </c>
      <c r="F127" s="21">
        <v>496.53649999999999</v>
      </c>
      <c r="G127" s="22">
        <v>4.1000000000000003E-3</v>
      </c>
      <c r="H127" s="23">
        <v>5.4174E-2</v>
      </c>
      <c r="I127" s="24"/>
      <c r="J127" s="5"/>
    </row>
    <row r="128" spans="1:10" ht="13.05" customHeight="1">
      <c r="A128" s="18" t="s">
        <v>1868</v>
      </c>
      <c r="B128" s="19" t="s">
        <v>1869</v>
      </c>
      <c r="C128" s="15" t="s">
        <v>1870</v>
      </c>
      <c r="D128" s="15" t="s">
        <v>188</v>
      </c>
      <c r="E128" s="20">
        <v>500000</v>
      </c>
      <c r="F128" s="21">
        <v>496.53649999999999</v>
      </c>
      <c r="G128" s="22">
        <v>4.1000000000000003E-3</v>
      </c>
      <c r="H128" s="23">
        <v>5.4174E-2</v>
      </c>
      <c r="I128" s="24"/>
      <c r="J128" s="5"/>
    </row>
    <row r="129" spans="1:10" ht="13.05" customHeight="1">
      <c r="A129" s="5"/>
      <c r="B129" s="14" t="s">
        <v>192</v>
      </c>
      <c r="C129" s="15"/>
      <c r="D129" s="15"/>
      <c r="E129" s="15"/>
      <c r="F129" s="25">
        <v>993.07299999999998</v>
      </c>
      <c r="G129" s="26">
        <v>8.2000000000000007E-3</v>
      </c>
      <c r="H129" s="27"/>
      <c r="I129" s="28"/>
      <c r="J129" s="5"/>
    </row>
    <row r="130" spans="1:10" ht="13.05" customHeight="1">
      <c r="A130" s="5"/>
      <c r="B130" s="29" t="s">
        <v>195</v>
      </c>
      <c r="C130" s="30"/>
      <c r="D130" s="2"/>
      <c r="E130" s="30"/>
      <c r="F130" s="25">
        <v>993.07299999999998</v>
      </c>
      <c r="G130" s="26">
        <v>8.2000000000000007E-3</v>
      </c>
      <c r="H130" s="27"/>
      <c r="I130" s="28"/>
      <c r="J130" s="5"/>
    </row>
    <row r="131" spans="1:10" ht="13.05" customHeight="1">
      <c r="A131" s="5"/>
      <c r="B131" s="14" t="s">
        <v>196</v>
      </c>
      <c r="C131" s="15"/>
      <c r="D131" s="15"/>
      <c r="E131" s="15"/>
      <c r="F131" s="15"/>
      <c r="G131" s="15"/>
      <c r="H131" s="16"/>
      <c r="I131" s="17"/>
      <c r="J131" s="5"/>
    </row>
    <row r="132" spans="1:10" ht="13.05" customHeight="1">
      <c r="A132" s="18" t="s">
        <v>197</v>
      </c>
      <c r="B132" s="19" t="s">
        <v>198</v>
      </c>
      <c r="C132" s="15"/>
      <c r="D132" s="15"/>
      <c r="E132" s="20"/>
      <c r="F132" s="21">
        <v>3788.5763000000002</v>
      </c>
      <c r="G132" s="22">
        <v>3.1399999999999997E-2</v>
      </c>
      <c r="H132" s="23">
        <v>5.5573615184383571E-2</v>
      </c>
      <c r="I132" s="24"/>
      <c r="J132" s="5"/>
    </row>
    <row r="133" spans="1:10" ht="13.05" customHeight="1">
      <c r="A133" s="5"/>
      <c r="B133" s="14" t="s">
        <v>192</v>
      </c>
      <c r="C133" s="15"/>
      <c r="D133" s="15"/>
      <c r="E133" s="15"/>
      <c r="F133" s="25">
        <v>3788.5763000000002</v>
      </c>
      <c r="G133" s="26">
        <v>3.1399999999999997E-2</v>
      </c>
      <c r="H133" s="27"/>
      <c r="I133" s="28"/>
      <c r="J133" s="5"/>
    </row>
    <row r="134" spans="1:10" ht="13.05" customHeight="1">
      <c r="A134" s="5"/>
      <c r="B134" s="29" t="s">
        <v>195</v>
      </c>
      <c r="C134" s="30"/>
      <c r="D134" s="2"/>
      <c r="E134" s="30"/>
      <c r="F134" s="25">
        <v>3788.5763000000002</v>
      </c>
      <c r="G134" s="26">
        <v>3.1399999999999997E-2</v>
      </c>
      <c r="H134" s="27"/>
      <c r="I134" s="28"/>
      <c r="J134" s="5"/>
    </row>
    <row r="135" spans="1:10" ht="13.05" customHeight="1">
      <c r="A135" s="5"/>
      <c r="B135" s="29" t="s">
        <v>199</v>
      </c>
      <c r="C135" s="15"/>
      <c r="D135" s="2"/>
      <c r="E135" s="15"/>
      <c r="F135" s="31">
        <v>-3091.9191999999998</v>
      </c>
      <c r="G135" s="26">
        <v>-2.5600000000000001E-2</v>
      </c>
      <c r="H135" s="27"/>
      <c r="I135" s="28"/>
      <c r="J135" s="5"/>
    </row>
    <row r="136" spans="1:10" ht="13.05" customHeight="1">
      <c r="A136" s="5"/>
      <c r="B136" s="32" t="s">
        <v>200</v>
      </c>
      <c r="C136" s="33"/>
      <c r="D136" s="33"/>
      <c r="E136" s="33"/>
      <c r="F136" s="34">
        <v>120576.33</v>
      </c>
      <c r="G136" s="35">
        <v>1</v>
      </c>
      <c r="H136" s="36"/>
      <c r="I136" s="37"/>
      <c r="J136" s="5"/>
    </row>
    <row r="137" spans="1:10" ht="13.05" customHeight="1">
      <c r="A137" s="5"/>
      <c r="B137" s="7"/>
      <c r="C137" s="5"/>
      <c r="D137" s="5"/>
      <c r="E137" s="5"/>
      <c r="F137" s="5"/>
      <c r="G137" s="5"/>
      <c r="H137" s="5"/>
      <c r="I137" s="5"/>
      <c r="J137" s="5"/>
    </row>
    <row r="138" spans="1:10" ht="13.05" customHeight="1">
      <c r="A138" s="5"/>
      <c r="B138" s="4" t="s">
        <v>201</v>
      </c>
      <c r="C138" s="5"/>
      <c r="D138" s="5"/>
      <c r="E138" s="5"/>
      <c r="F138" s="5"/>
      <c r="G138" s="5"/>
      <c r="H138" s="5"/>
      <c r="I138" s="5"/>
      <c r="J138" s="5"/>
    </row>
    <row r="139" spans="1:10" ht="25.95" customHeight="1">
      <c r="A139" s="5"/>
      <c r="B139" s="103" t="s">
        <v>202</v>
      </c>
      <c r="C139" s="103"/>
      <c r="D139" s="103"/>
      <c r="E139" s="103"/>
      <c r="F139" s="103"/>
      <c r="G139" s="103"/>
      <c r="H139" s="103"/>
      <c r="I139" s="103"/>
      <c r="J139" s="5"/>
    </row>
    <row r="140" spans="1:10" ht="13.05" customHeight="1">
      <c r="A140" s="5"/>
      <c r="B140" s="103" t="s">
        <v>203</v>
      </c>
      <c r="C140" s="103"/>
      <c r="D140" s="103"/>
      <c r="E140" s="103"/>
      <c r="F140" s="103"/>
      <c r="G140" s="103"/>
      <c r="H140" s="103"/>
      <c r="I140" s="103"/>
      <c r="J140" s="5"/>
    </row>
    <row r="141" spans="1:10" ht="13.05" customHeight="1">
      <c r="A141" s="5"/>
      <c r="B141" s="103"/>
      <c r="C141" s="103"/>
      <c r="D141" s="103"/>
      <c r="E141" s="103"/>
      <c r="F141" s="103"/>
      <c r="G141" s="103"/>
      <c r="H141" s="103"/>
      <c r="I141" s="103"/>
      <c r="J141" s="5"/>
    </row>
    <row r="142" spans="1:10" ht="13.05" customHeight="1">
      <c r="A142" s="5"/>
      <c r="B142" s="103"/>
      <c r="C142" s="103"/>
      <c r="D142" s="103"/>
      <c r="E142" s="103"/>
      <c r="F142" s="103"/>
      <c r="G142" s="103"/>
      <c r="H142" s="103"/>
      <c r="I142" s="103"/>
      <c r="J142" s="5"/>
    </row>
    <row r="143" spans="1:10" ht="13.05" customHeight="1">
      <c r="A143" s="5"/>
      <c r="B143" s="103"/>
      <c r="C143" s="103"/>
      <c r="D143" s="103"/>
      <c r="E143" s="103"/>
      <c r="F143" s="103"/>
      <c r="G143" s="103"/>
      <c r="H143" s="103"/>
      <c r="I143" s="103"/>
      <c r="J143" s="5"/>
    </row>
    <row r="144" spans="1:10" ht="13.05" customHeight="1">
      <c r="A144" s="5"/>
      <c r="B144" s="103"/>
      <c r="C144" s="103"/>
      <c r="D144" s="103"/>
      <c r="E144" s="103"/>
      <c r="F144" s="103"/>
      <c r="G144" s="103"/>
      <c r="H144" s="103"/>
      <c r="I144" s="103"/>
      <c r="J144" s="5"/>
    </row>
    <row r="145" spans="1:10" ht="13.05" customHeight="1">
      <c r="A145" s="5"/>
      <c r="B145" s="5"/>
      <c r="C145" s="104" t="s">
        <v>1817</v>
      </c>
      <c r="D145" s="104"/>
      <c r="E145" s="104"/>
      <c r="F145" s="104"/>
      <c r="G145" s="5"/>
      <c r="H145" s="5"/>
      <c r="I145" s="5"/>
      <c r="J145" s="5"/>
    </row>
    <row r="146" spans="1:10" ht="13.05" customHeight="1">
      <c r="A146" s="5"/>
      <c r="B146" s="38" t="s">
        <v>207</v>
      </c>
      <c r="C146" s="104" t="s">
        <v>208</v>
      </c>
      <c r="D146" s="104"/>
      <c r="E146" s="104"/>
      <c r="F146" s="104"/>
      <c r="G146" s="5"/>
      <c r="H146" s="5"/>
      <c r="I146" s="5"/>
      <c r="J146" s="5"/>
    </row>
    <row r="147" spans="1:10" ht="135" customHeight="1">
      <c r="A147" s="5"/>
      <c r="B147" s="39"/>
      <c r="C147" s="105"/>
      <c r="D147" s="105"/>
      <c r="E147" s="5"/>
      <c r="F147" s="5"/>
      <c r="G147" s="5"/>
      <c r="H147" s="5"/>
      <c r="I147" s="5"/>
      <c r="J147" s="5"/>
    </row>
  </sheetData>
  <mergeCells count="9">
    <mergeCell ref="B144:I144"/>
    <mergeCell ref="C145:F145"/>
    <mergeCell ref="C146:F146"/>
    <mergeCell ref="C147:D147"/>
    <mergeCell ref="B139:I139"/>
    <mergeCell ref="B140:I140"/>
    <mergeCell ref="B141:I141"/>
    <mergeCell ref="B142:I142"/>
    <mergeCell ref="B143:I143"/>
  </mergeCells>
  <hyperlinks>
    <hyperlink ref="A1" location="AxisInnovationFund" display="AXISSSF" xr:uid="{00000000-0004-0000-4B00-000000000000}"/>
    <hyperlink ref="B1" location="AxisInnovationFund" display="Axis Innovation Fund" xr:uid="{00000000-0004-0000-4B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outlinePr summaryBelow="0"/>
  </sheetPr>
  <dimension ref="A1:J262"/>
  <sheetViews>
    <sheetView workbookViewId="0">
      <selection activeCell="B1" sqref="B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154</v>
      </c>
      <c r="B1" s="4" t="s">
        <v>155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1871</v>
      </c>
      <c r="C5" s="15"/>
      <c r="D5" s="15"/>
      <c r="E5" s="15"/>
      <c r="F5" s="15"/>
      <c r="G5" s="15"/>
      <c r="H5" s="16"/>
      <c r="I5" s="17"/>
      <c r="J5" s="5"/>
    </row>
    <row r="6" spans="1:10" ht="13.05" customHeight="1">
      <c r="A6" s="5"/>
      <c r="B6" s="14" t="s">
        <v>1872</v>
      </c>
      <c r="C6" s="15"/>
      <c r="D6" s="15"/>
      <c r="E6" s="15"/>
      <c r="F6" s="5"/>
      <c r="G6" s="16"/>
      <c r="H6" s="16"/>
      <c r="I6" s="17"/>
      <c r="J6" s="5"/>
    </row>
    <row r="7" spans="1:10" ht="13.05" customHeight="1">
      <c r="A7" s="18" t="s">
        <v>4969</v>
      </c>
      <c r="B7" s="19" t="s">
        <v>4970</v>
      </c>
      <c r="C7" s="15"/>
      <c r="D7" s="15"/>
      <c r="E7" s="41"/>
      <c r="F7" s="21">
        <v>-4.21</v>
      </c>
      <c r="G7" s="40" t="s">
        <v>1809</v>
      </c>
      <c r="H7" s="40"/>
      <c r="I7" s="24"/>
      <c r="J7" s="5"/>
    </row>
    <row r="8" spans="1:10" ht="13.05" customHeight="1">
      <c r="A8" s="5"/>
      <c r="B8" s="14" t="s">
        <v>192</v>
      </c>
      <c r="C8" s="15"/>
      <c r="D8" s="15"/>
      <c r="E8" s="15"/>
      <c r="F8" s="25">
        <v>-4.21</v>
      </c>
      <c r="G8" s="27" t="s">
        <v>1809</v>
      </c>
      <c r="H8" s="27"/>
      <c r="I8" s="28"/>
      <c r="J8" s="5"/>
    </row>
    <row r="9" spans="1:10" ht="13.05" customHeight="1">
      <c r="A9" s="5"/>
      <c r="B9" s="29" t="s">
        <v>195</v>
      </c>
      <c r="C9" s="30"/>
      <c r="D9" s="2"/>
      <c r="E9" s="30"/>
      <c r="F9" s="25">
        <v>-4.21</v>
      </c>
      <c r="G9" s="27" t="s">
        <v>1809</v>
      </c>
      <c r="H9" s="27"/>
      <c r="I9" s="28"/>
      <c r="J9" s="5"/>
    </row>
    <row r="10" spans="1:10" ht="13.05" customHeight="1">
      <c r="A10" s="5"/>
      <c r="B10" s="14" t="s">
        <v>183</v>
      </c>
      <c r="C10" s="15"/>
      <c r="D10" s="15"/>
      <c r="E10" s="15"/>
      <c r="F10" s="15"/>
      <c r="G10" s="15"/>
      <c r="H10" s="16"/>
      <c r="I10" s="17"/>
      <c r="J10" s="5"/>
    </row>
    <row r="11" spans="1:10" ht="13.05" customHeight="1">
      <c r="A11" s="5"/>
      <c r="B11" s="14" t="s">
        <v>184</v>
      </c>
      <c r="C11" s="15"/>
      <c r="D11" s="15"/>
      <c r="E11" s="15"/>
      <c r="F11" s="5"/>
      <c r="G11" s="16"/>
      <c r="H11" s="16"/>
      <c r="I11" s="17"/>
      <c r="J11" s="5"/>
    </row>
    <row r="12" spans="1:10" ht="13.05" customHeight="1">
      <c r="A12" s="18" t="s">
        <v>1890</v>
      </c>
      <c r="B12" s="19" t="s">
        <v>1891</v>
      </c>
      <c r="C12" s="15" t="s">
        <v>1892</v>
      </c>
      <c r="D12" s="15" t="s">
        <v>188</v>
      </c>
      <c r="E12" s="20">
        <v>38500000</v>
      </c>
      <c r="F12" s="21">
        <v>39919.417999999998</v>
      </c>
      <c r="G12" s="22">
        <v>3.2300000000000002E-2</v>
      </c>
      <c r="H12" s="23">
        <v>6.6730999999999999E-2</v>
      </c>
      <c r="I12" s="24"/>
      <c r="J12" s="5"/>
    </row>
    <row r="13" spans="1:10" ht="13.05" customHeight="1">
      <c r="A13" s="18" t="s">
        <v>2108</v>
      </c>
      <c r="B13" s="19" t="s">
        <v>2109</v>
      </c>
      <c r="C13" s="15" t="s">
        <v>2110</v>
      </c>
      <c r="D13" s="15" t="s">
        <v>213</v>
      </c>
      <c r="E13" s="20">
        <v>25000</v>
      </c>
      <c r="F13" s="21">
        <v>24935.974999999999</v>
      </c>
      <c r="G13" s="22">
        <v>2.0199999999999999E-2</v>
      </c>
      <c r="H13" s="23">
        <v>6.7041000000000003E-2</v>
      </c>
      <c r="I13" s="24"/>
      <c r="J13" s="5"/>
    </row>
    <row r="14" spans="1:10" ht="13.05" customHeight="1">
      <c r="A14" s="18" t="s">
        <v>1881</v>
      </c>
      <c r="B14" s="19" t="s">
        <v>1882</v>
      </c>
      <c r="C14" s="15" t="s">
        <v>1883</v>
      </c>
      <c r="D14" s="15" t="s">
        <v>188</v>
      </c>
      <c r="E14" s="20">
        <v>22626700</v>
      </c>
      <c r="F14" s="21">
        <v>22933.857499999998</v>
      </c>
      <c r="G14" s="22">
        <v>1.8599999999999998E-2</v>
      </c>
      <c r="H14" s="23">
        <v>6.694E-2</v>
      </c>
      <c r="I14" s="24"/>
      <c r="J14" s="5"/>
    </row>
    <row r="15" spans="1:10" ht="13.05" customHeight="1">
      <c r="A15" s="18" t="s">
        <v>2243</v>
      </c>
      <c r="B15" s="19" t="s">
        <v>2244</v>
      </c>
      <c r="C15" s="15" t="s">
        <v>2245</v>
      </c>
      <c r="D15" s="15" t="s">
        <v>188</v>
      </c>
      <c r="E15" s="20">
        <v>21000000</v>
      </c>
      <c r="F15" s="21">
        <v>21414.33</v>
      </c>
      <c r="G15" s="22">
        <v>1.7299999999999999E-2</v>
      </c>
      <c r="H15" s="23">
        <v>7.3334999999999997E-2</v>
      </c>
      <c r="I15" s="24"/>
      <c r="J15" s="5"/>
    </row>
    <row r="16" spans="1:10" ht="13.05" customHeight="1">
      <c r="A16" s="18" t="s">
        <v>2535</v>
      </c>
      <c r="B16" s="19" t="s">
        <v>2536</v>
      </c>
      <c r="C16" s="15" t="s">
        <v>2537</v>
      </c>
      <c r="D16" s="15" t="s">
        <v>213</v>
      </c>
      <c r="E16" s="20">
        <v>19000</v>
      </c>
      <c r="F16" s="21">
        <v>19248.444</v>
      </c>
      <c r="G16" s="22">
        <v>1.5599999999999999E-2</v>
      </c>
      <c r="H16" s="23">
        <v>6.9983000000000004E-2</v>
      </c>
      <c r="I16" s="24"/>
      <c r="J16" s="5"/>
    </row>
    <row r="17" spans="1:10" ht="13.05" customHeight="1">
      <c r="A17" s="18" t="s">
        <v>1939</v>
      </c>
      <c r="B17" s="19" t="s">
        <v>1940</v>
      </c>
      <c r="C17" s="15" t="s">
        <v>1941</v>
      </c>
      <c r="D17" s="15" t="s">
        <v>1923</v>
      </c>
      <c r="E17" s="20">
        <v>18000</v>
      </c>
      <c r="F17" s="21">
        <v>18333.468000000001</v>
      </c>
      <c r="G17" s="22">
        <v>1.4800000000000001E-2</v>
      </c>
      <c r="H17" s="23">
        <v>6.6400000000000001E-2</v>
      </c>
      <c r="I17" s="24"/>
      <c r="J17" s="5"/>
    </row>
    <row r="18" spans="1:10" ht="13.05" customHeight="1">
      <c r="A18" s="18" t="s">
        <v>1961</v>
      </c>
      <c r="B18" s="19" t="s">
        <v>1962</v>
      </c>
      <c r="C18" s="15" t="s">
        <v>1963</v>
      </c>
      <c r="D18" s="15" t="s">
        <v>188</v>
      </c>
      <c r="E18" s="20">
        <v>16000000</v>
      </c>
      <c r="F18" s="21">
        <v>16918.608</v>
      </c>
      <c r="G18" s="22">
        <v>1.37E-2</v>
      </c>
      <c r="H18" s="23">
        <v>6.8839999999999998E-2</v>
      </c>
      <c r="I18" s="24"/>
      <c r="J18" s="5"/>
    </row>
    <row r="19" spans="1:10" ht="13.05" customHeight="1">
      <c r="A19" s="18" t="s">
        <v>3657</v>
      </c>
      <c r="B19" s="19" t="s">
        <v>3658</v>
      </c>
      <c r="C19" s="15" t="s">
        <v>3659</v>
      </c>
      <c r="D19" s="15" t="s">
        <v>3656</v>
      </c>
      <c r="E19" s="20">
        <v>15750</v>
      </c>
      <c r="F19" s="21">
        <v>16681.533800000001</v>
      </c>
      <c r="G19" s="22">
        <v>1.35E-2</v>
      </c>
      <c r="H19" s="23">
        <v>8.0699999999999994E-2</v>
      </c>
      <c r="I19" s="24"/>
      <c r="J19" s="5"/>
    </row>
    <row r="20" spans="1:10" ht="13.05" customHeight="1">
      <c r="A20" s="18" t="s">
        <v>4971</v>
      </c>
      <c r="B20" s="19" t="s">
        <v>4972</v>
      </c>
      <c r="C20" s="15" t="s">
        <v>4973</v>
      </c>
      <c r="D20" s="15" t="s">
        <v>213</v>
      </c>
      <c r="E20" s="20">
        <v>15000</v>
      </c>
      <c r="F20" s="21">
        <v>15137.385</v>
      </c>
      <c r="G20" s="22">
        <v>1.23E-2</v>
      </c>
      <c r="H20" s="23">
        <v>6.5699999999999995E-2</v>
      </c>
      <c r="I20" s="24"/>
      <c r="J20" s="5"/>
    </row>
    <row r="21" spans="1:10" ht="13.05" customHeight="1">
      <c r="A21" s="18" t="s">
        <v>2021</v>
      </c>
      <c r="B21" s="19" t="s">
        <v>2022</v>
      </c>
      <c r="C21" s="15" t="s">
        <v>2023</v>
      </c>
      <c r="D21" s="15" t="s">
        <v>213</v>
      </c>
      <c r="E21" s="20">
        <v>15000</v>
      </c>
      <c r="F21" s="21">
        <v>15041.76</v>
      </c>
      <c r="G21" s="22">
        <v>1.2200000000000001E-2</v>
      </c>
      <c r="H21" s="23">
        <v>6.9150000000000003E-2</v>
      </c>
      <c r="I21" s="24"/>
      <c r="J21" s="5"/>
    </row>
    <row r="22" spans="1:10" ht="13.05" customHeight="1">
      <c r="A22" s="18" t="s">
        <v>2096</v>
      </c>
      <c r="B22" s="19" t="s">
        <v>2097</v>
      </c>
      <c r="C22" s="15" t="s">
        <v>2098</v>
      </c>
      <c r="D22" s="15" t="s">
        <v>213</v>
      </c>
      <c r="E22" s="20">
        <v>14500</v>
      </c>
      <c r="F22" s="21">
        <v>14562.843000000001</v>
      </c>
      <c r="G22" s="22">
        <v>1.18E-2</v>
      </c>
      <c r="H22" s="23">
        <v>7.1150000000000005E-2</v>
      </c>
      <c r="I22" s="24"/>
      <c r="J22" s="5"/>
    </row>
    <row r="23" spans="1:10" ht="13.05" customHeight="1">
      <c r="A23" s="18" t="s">
        <v>2135</v>
      </c>
      <c r="B23" s="19" t="s">
        <v>2136</v>
      </c>
      <c r="C23" s="15" t="s">
        <v>2137</v>
      </c>
      <c r="D23" s="15" t="s">
        <v>213</v>
      </c>
      <c r="E23" s="20">
        <v>12500</v>
      </c>
      <c r="F23" s="21">
        <v>12881.2125</v>
      </c>
      <c r="G23" s="22">
        <v>1.04E-2</v>
      </c>
      <c r="H23" s="23">
        <v>7.0699999999999999E-2</v>
      </c>
      <c r="I23" s="24"/>
      <c r="J23" s="5"/>
    </row>
    <row r="24" spans="1:10" ht="13.05" customHeight="1">
      <c r="A24" s="18" t="s">
        <v>3872</v>
      </c>
      <c r="B24" s="19" t="s">
        <v>3873</v>
      </c>
      <c r="C24" s="15" t="s">
        <v>3874</v>
      </c>
      <c r="D24" s="15" t="s">
        <v>213</v>
      </c>
      <c r="E24" s="20">
        <v>12500</v>
      </c>
      <c r="F24" s="21">
        <v>12766.4625</v>
      </c>
      <c r="G24" s="22">
        <v>1.03E-2</v>
      </c>
      <c r="H24" s="23">
        <v>7.3200000000000001E-2</v>
      </c>
      <c r="I24" s="24"/>
      <c r="J24" s="5"/>
    </row>
    <row r="25" spans="1:10" ht="13.05" customHeight="1">
      <c r="A25" s="18" t="s">
        <v>1902</v>
      </c>
      <c r="B25" s="19" t="s">
        <v>1903</v>
      </c>
      <c r="C25" s="15" t="s">
        <v>1904</v>
      </c>
      <c r="D25" s="15" t="s">
        <v>213</v>
      </c>
      <c r="E25" s="20">
        <v>12500</v>
      </c>
      <c r="F25" s="21">
        <v>12729.975</v>
      </c>
      <c r="G25" s="22">
        <v>1.03E-2</v>
      </c>
      <c r="H25" s="23">
        <v>6.7432000000000006E-2</v>
      </c>
      <c r="I25" s="24"/>
      <c r="J25" s="5"/>
    </row>
    <row r="26" spans="1:10" ht="13.05" customHeight="1">
      <c r="A26" s="18" t="s">
        <v>4974</v>
      </c>
      <c r="B26" s="19" t="s">
        <v>4975</v>
      </c>
      <c r="C26" s="15" t="s">
        <v>4976</v>
      </c>
      <c r="D26" s="15" t="s">
        <v>213</v>
      </c>
      <c r="E26" s="20">
        <v>12500</v>
      </c>
      <c r="F26" s="21">
        <v>12723.125</v>
      </c>
      <c r="G26" s="22">
        <v>1.03E-2</v>
      </c>
      <c r="H26" s="23">
        <v>7.1650000000000005E-2</v>
      </c>
      <c r="I26" s="24"/>
      <c r="J26" s="5"/>
    </row>
    <row r="27" spans="1:10" ht="13.05" customHeight="1">
      <c r="A27" s="18" t="s">
        <v>2617</v>
      </c>
      <c r="B27" s="19" t="s">
        <v>2618</v>
      </c>
      <c r="C27" s="15" t="s">
        <v>2619</v>
      </c>
      <c r="D27" s="15" t="s">
        <v>213</v>
      </c>
      <c r="E27" s="20">
        <v>1250</v>
      </c>
      <c r="F27" s="21">
        <v>12648.15</v>
      </c>
      <c r="G27" s="22">
        <v>1.0200000000000001E-2</v>
      </c>
      <c r="H27" s="23">
        <v>7.1050000000000002E-2</v>
      </c>
      <c r="I27" s="24"/>
      <c r="J27" s="5"/>
    </row>
    <row r="28" spans="1:10" ht="13.05" customHeight="1">
      <c r="A28" s="18" t="s">
        <v>2568</v>
      </c>
      <c r="B28" s="19" t="s">
        <v>2569</v>
      </c>
      <c r="C28" s="15" t="s">
        <v>2570</v>
      </c>
      <c r="D28" s="15" t="s">
        <v>2571</v>
      </c>
      <c r="E28" s="20">
        <v>12500</v>
      </c>
      <c r="F28" s="21">
        <v>12530.2875</v>
      </c>
      <c r="G28" s="22">
        <v>1.01E-2</v>
      </c>
      <c r="H28" s="23">
        <v>7.5047500000000003E-2</v>
      </c>
      <c r="I28" s="24"/>
      <c r="J28" s="5"/>
    </row>
    <row r="29" spans="1:10" ht="13.05" customHeight="1">
      <c r="A29" s="18" t="s">
        <v>2647</v>
      </c>
      <c r="B29" s="19" t="s">
        <v>2648</v>
      </c>
      <c r="C29" s="15" t="s">
        <v>2649</v>
      </c>
      <c r="D29" s="15" t="s">
        <v>213</v>
      </c>
      <c r="E29" s="20">
        <v>12500</v>
      </c>
      <c r="F29" s="21">
        <v>12514.5875</v>
      </c>
      <c r="G29" s="22">
        <v>1.01E-2</v>
      </c>
      <c r="H29" s="23">
        <v>7.2774000000000005E-2</v>
      </c>
      <c r="I29" s="24"/>
      <c r="J29" s="5"/>
    </row>
    <row r="30" spans="1:10" ht="13.05" customHeight="1">
      <c r="A30" s="18" t="s">
        <v>1951</v>
      </c>
      <c r="B30" s="19" t="s">
        <v>1952</v>
      </c>
      <c r="C30" s="15" t="s">
        <v>1953</v>
      </c>
      <c r="D30" s="15" t="s">
        <v>1923</v>
      </c>
      <c r="E30" s="20">
        <v>12500</v>
      </c>
      <c r="F30" s="21">
        <v>12499.387500000001</v>
      </c>
      <c r="G30" s="22">
        <v>1.01E-2</v>
      </c>
      <c r="H30" s="23">
        <v>6.5699999999999995E-2</v>
      </c>
      <c r="I30" s="24"/>
      <c r="J30" s="5"/>
    </row>
    <row r="31" spans="1:10" ht="13.05" customHeight="1">
      <c r="A31" s="18" t="s">
        <v>2644</v>
      </c>
      <c r="B31" s="19" t="s">
        <v>2645</v>
      </c>
      <c r="C31" s="15" t="s">
        <v>2646</v>
      </c>
      <c r="D31" s="15" t="s">
        <v>213</v>
      </c>
      <c r="E31" s="20">
        <v>11500</v>
      </c>
      <c r="F31" s="21">
        <v>11671.1775</v>
      </c>
      <c r="G31" s="22">
        <v>9.4999999999999998E-3</v>
      </c>
      <c r="H31" s="23">
        <v>6.8199999999999997E-2</v>
      </c>
      <c r="I31" s="24"/>
      <c r="J31" s="5"/>
    </row>
    <row r="32" spans="1:10" ht="13.05" customHeight="1">
      <c r="A32" s="18" t="s">
        <v>4977</v>
      </c>
      <c r="B32" s="19" t="s">
        <v>4978</v>
      </c>
      <c r="C32" s="15" t="s">
        <v>4979</v>
      </c>
      <c r="D32" s="15" t="s">
        <v>1923</v>
      </c>
      <c r="E32" s="20">
        <v>11500</v>
      </c>
      <c r="F32" s="21">
        <v>11662.3225</v>
      </c>
      <c r="G32" s="22">
        <v>9.4000000000000004E-3</v>
      </c>
      <c r="H32" s="23">
        <v>6.6400000000000001E-2</v>
      </c>
      <c r="I32" s="24"/>
      <c r="J32" s="5"/>
    </row>
    <row r="33" spans="1:10" ht="13.05" customHeight="1">
      <c r="A33" s="18" t="s">
        <v>3469</v>
      </c>
      <c r="B33" s="19" t="s">
        <v>3470</v>
      </c>
      <c r="C33" s="15" t="s">
        <v>3471</v>
      </c>
      <c r="D33" s="15" t="s">
        <v>213</v>
      </c>
      <c r="E33" s="20">
        <v>10500</v>
      </c>
      <c r="F33" s="21">
        <v>10562.055</v>
      </c>
      <c r="G33" s="22">
        <v>8.6E-3</v>
      </c>
      <c r="H33" s="23">
        <v>6.6199999999999995E-2</v>
      </c>
      <c r="I33" s="24"/>
      <c r="J33" s="5"/>
    </row>
    <row r="34" spans="1:10" ht="13.05" customHeight="1">
      <c r="A34" s="18" t="s">
        <v>2168</v>
      </c>
      <c r="B34" s="19" t="s">
        <v>2169</v>
      </c>
      <c r="C34" s="15" t="s">
        <v>2170</v>
      </c>
      <c r="D34" s="15" t="s">
        <v>213</v>
      </c>
      <c r="E34" s="20">
        <v>10300</v>
      </c>
      <c r="F34" s="21">
        <v>10472.112999999999</v>
      </c>
      <c r="G34" s="22">
        <v>8.5000000000000006E-3</v>
      </c>
      <c r="H34" s="23">
        <v>6.6449999999999995E-2</v>
      </c>
      <c r="I34" s="24"/>
      <c r="J34" s="5"/>
    </row>
    <row r="35" spans="1:10" ht="13.05" customHeight="1">
      <c r="A35" s="18" t="s">
        <v>1936</v>
      </c>
      <c r="B35" s="19" t="s">
        <v>1937</v>
      </c>
      <c r="C35" s="15" t="s">
        <v>1938</v>
      </c>
      <c r="D35" s="15" t="s">
        <v>213</v>
      </c>
      <c r="E35" s="20">
        <v>10000</v>
      </c>
      <c r="F35" s="21">
        <v>10197.370000000001</v>
      </c>
      <c r="G35" s="22">
        <v>8.3000000000000001E-3</v>
      </c>
      <c r="H35" s="23">
        <v>6.6767000000000007E-2</v>
      </c>
      <c r="I35" s="24"/>
      <c r="J35" s="5"/>
    </row>
    <row r="36" spans="1:10" ht="13.05" customHeight="1">
      <c r="A36" s="18" t="s">
        <v>1979</v>
      </c>
      <c r="B36" s="19" t="s">
        <v>1980</v>
      </c>
      <c r="C36" s="15" t="s">
        <v>1981</v>
      </c>
      <c r="D36" s="15" t="s">
        <v>213</v>
      </c>
      <c r="E36" s="20">
        <v>10000</v>
      </c>
      <c r="F36" s="21">
        <v>10164.27</v>
      </c>
      <c r="G36" s="22">
        <v>8.2000000000000007E-3</v>
      </c>
      <c r="H36" s="23">
        <v>6.6449999999999995E-2</v>
      </c>
      <c r="I36" s="24"/>
      <c r="J36" s="5"/>
    </row>
    <row r="37" spans="1:10" ht="13.05" customHeight="1">
      <c r="A37" s="18" t="s">
        <v>4980</v>
      </c>
      <c r="B37" s="19" t="s">
        <v>4981</v>
      </c>
      <c r="C37" s="15" t="s">
        <v>4982</v>
      </c>
      <c r="D37" s="15" t="s">
        <v>213</v>
      </c>
      <c r="E37" s="20">
        <v>10000</v>
      </c>
      <c r="F37" s="21">
        <v>10159.64</v>
      </c>
      <c r="G37" s="22">
        <v>8.2000000000000007E-3</v>
      </c>
      <c r="H37" s="23">
        <v>6.6449999999999995E-2</v>
      </c>
      <c r="I37" s="24"/>
      <c r="J37" s="5"/>
    </row>
    <row r="38" spans="1:10" ht="13.05" customHeight="1">
      <c r="A38" s="18" t="s">
        <v>1899</v>
      </c>
      <c r="B38" s="19" t="s">
        <v>1900</v>
      </c>
      <c r="C38" s="15" t="s">
        <v>1901</v>
      </c>
      <c r="D38" s="15" t="s">
        <v>213</v>
      </c>
      <c r="E38" s="20">
        <v>10000</v>
      </c>
      <c r="F38" s="21">
        <v>10158.42</v>
      </c>
      <c r="G38" s="22">
        <v>8.2000000000000007E-3</v>
      </c>
      <c r="H38" s="23">
        <v>6.8000000000000005E-2</v>
      </c>
      <c r="I38" s="24"/>
      <c r="J38" s="5"/>
    </row>
    <row r="39" spans="1:10" ht="13.05" customHeight="1">
      <c r="A39" s="18" t="s">
        <v>3663</v>
      </c>
      <c r="B39" s="19" t="s">
        <v>3664</v>
      </c>
      <c r="C39" s="15" t="s">
        <v>3665</v>
      </c>
      <c r="D39" s="15" t="s">
        <v>2447</v>
      </c>
      <c r="E39" s="20">
        <v>10000</v>
      </c>
      <c r="F39" s="21">
        <v>10142.459999999999</v>
      </c>
      <c r="G39" s="22">
        <v>8.2000000000000007E-3</v>
      </c>
      <c r="H39" s="23">
        <v>7.85E-2</v>
      </c>
      <c r="I39" s="24"/>
      <c r="J39" s="5"/>
    </row>
    <row r="40" spans="1:10" ht="13.05" customHeight="1">
      <c r="A40" s="18" t="s">
        <v>3115</v>
      </c>
      <c r="B40" s="19" t="s">
        <v>3116</v>
      </c>
      <c r="C40" s="15" t="s">
        <v>3117</v>
      </c>
      <c r="D40" s="15" t="s">
        <v>2447</v>
      </c>
      <c r="E40" s="20">
        <v>10000</v>
      </c>
      <c r="F40" s="21">
        <v>10133.120000000001</v>
      </c>
      <c r="G40" s="22">
        <v>8.2000000000000007E-3</v>
      </c>
      <c r="H40" s="23">
        <v>7.8600000000000003E-2</v>
      </c>
      <c r="I40" s="24"/>
      <c r="J40" s="5"/>
    </row>
    <row r="41" spans="1:10" ht="13.05" customHeight="1">
      <c r="A41" s="18" t="s">
        <v>2467</v>
      </c>
      <c r="B41" s="19" t="s">
        <v>2468</v>
      </c>
      <c r="C41" s="15" t="s">
        <v>2469</v>
      </c>
      <c r="D41" s="15" t="s">
        <v>2447</v>
      </c>
      <c r="E41" s="20">
        <v>10000</v>
      </c>
      <c r="F41" s="21">
        <v>10115.41</v>
      </c>
      <c r="G41" s="22">
        <v>8.2000000000000007E-3</v>
      </c>
      <c r="H41" s="23">
        <v>7.7998999999999999E-2</v>
      </c>
      <c r="I41" s="24"/>
      <c r="J41" s="5"/>
    </row>
    <row r="42" spans="1:10" ht="13.05" customHeight="1">
      <c r="A42" s="18" t="s">
        <v>4983</v>
      </c>
      <c r="B42" s="19" t="s">
        <v>4984</v>
      </c>
      <c r="C42" s="15" t="s">
        <v>4985</v>
      </c>
      <c r="D42" s="15" t="s">
        <v>3656</v>
      </c>
      <c r="E42" s="20">
        <v>10000</v>
      </c>
      <c r="F42" s="21">
        <v>10086.780000000001</v>
      </c>
      <c r="G42" s="22">
        <v>8.2000000000000007E-3</v>
      </c>
      <c r="H42" s="23">
        <v>7.6799999999999993E-2</v>
      </c>
      <c r="I42" s="24"/>
      <c r="J42" s="5"/>
    </row>
    <row r="43" spans="1:10" ht="13.05" customHeight="1">
      <c r="A43" s="18" t="s">
        <v>4986</v>
      </c>
      <c r="B43" s="19" t="s">
        <v>4987</v>
      </c>
      <c r="C43" s="15" t="s">
        <v>4988</v>
      </c>
      <c r="D43" s="15" t="s">
        <v>213</v>
      </c>
      <c r="E43" s="20">
        <v>10000</v>
      </c>
      <c r="F43" s="21">
        <v>10073.59</v>
      </c>
      <c r="G43" s="22">
        <v>8.2000000000000007E-3</v>
      </c>
      <c r="H43" s="23">
        <v>6.6199999999999995E-2</v>
      </c>
      <c r="I43" s="24"/>
      <c r="J43" s="5"/>
    </row>
    <row r="44" spans="1:10" ht="13.05" customHeight="1">
      <c r="A44" s="18" t="s">
        <v>4989</v>
      </c>
      <c r="B44" s="19" t="s">
        <v>4990</v>
      </c>
      <c r="C44" s="15" t="s">
        <v>4991</v>
      </c>
      <c r="D44" s="15" t="s">
        <v>3656</v>
      </c>
      <c r="E44" s="20">
        <v>10000</v>
      </c>
      <c r="F44" s="21">
        <v>10056.629999999999</v>
      </c>
      <c r="G44" s="22">
        <v>8.0999999999999996E-3</v>
      </c>
      <c r="H44" s="23">
        <v>7.8099000000000002E-2</v>
      </c>
      <c r="I44" s="24"/>
      <c r="J44" s="5"/>
    </row>
    <row r="45" spans="1:10" ht="13.05" customHeight="1">
      <c r="A45" s="18" t="s">
        <v>4992</v>
      </c>
      <c r="B45" s="19" t="s">
        <v>4993</v>
      </c>
      <c r="C45" s="15" t="s">
        <v>4994</v>
      </c>
      <c r="D45" s="15" t="s">
        <v>1923</v>
      </c>
      <c r="E45" s="20">
        <v>10000</v>
      </c>
      <c r="F45" s="21">
        <v>10030.64</v>
      </c>
      <c r="G45" s="22">
        <v>8.0999999999999996E-3</v>
      </c>
      <c r="H45" s="23">
        <v>7.1099999999999997E-2</v>
      </c>
      <c r="I45" s="24"/>
      <c r="J45" s="5"/>
    </row>
    <row r="46" spans="1:10" ht="13.05" customHeight="1">
      <c r="A46" s="18" t="s">
        <v>2547</v>
      </c>
      <c r="B46" s="19" t="s">
        <v>2548</v>
      </c>
      <c r="C46" s="15" t="s">
        <v>2549</v>
      </c>
      <c r="D46" s="15" t="s">
        <v>213</v>
      </c>
      <c r="E46" s="20">
        <v>10000</v>
      </c>
      <c r="F46" s="21">
        <v>10025.719999999999</v>
      </c>
      <c r="G46" s="22">
        <v>8.0999999999999996E-3</v>
      </c>
      <c r="H46" s="23">
        <v>6.5799999999999997E-2</v>
      </c>
      <c r="I46" s="24"/>
      <c r="J46" s="5"/>
    </row>
    <row r="47" spans="1:10" ht="13.05" customHeight="1">
      <c r="A47" s="18" t="s">
        <v>2048</v>
      </c>
      <c r="B47" s="19" t="s">
        <v>2049</v>
      </c>
      <c r="C47" s="15" t="s">
        <v>2050</v>
      </c>
      <c r="D47" s="15" t="s">
        <v>213</v>
      </c>
      <c r="E47" s="20">
        <v>10000</v>
      </c>
      <c r="F47" s="21">
        <v>10007.870000000001</v>
      </c>
      <c r="G47" s="22">
        <v>8.0999999999999996E-3</v>
      </c>
      <c r="H47" s="23">
        <v>6.9599999999999995E-2</v>
      </c>
      <c r="I47" s="24"/>
      <c r="J47" s="5"/>
    </row>
    <row r="48" spans="1:10" ht="13.05" customHeight="1">
      <c r="A48" s="18" t="s">
        <v>4995</v>
      </c>
      <c r="B48" s="19" t="s">
        <v>4996</v>
      </c>
      <c r="C48" s="15" t="s">
        <v>4997</v>
      </c>
      <c r="D48" s="15" t="s">
        <v>213</v>
      </c>
      <c r="E48" s="20">
        <v>10000</v>
      </c>
      <c r="F48" s="21">
        <v>9992.2199999999993</v>
      </c>
      <c r="G48" s="22">
        <v>8.0999999999999996E-3</v>
      </c>
      <c r="H48" s="23">
        <v>7.1199999999999999E-2</v>
      </c>
      <c r="I48" s="24"/>
      <c r="J48" s="5"/>
    </row>
    <row r="49" spans="1:10" ht="13.05" customHeight="1">
      <c r="A49" s="18" t="s">
        <v>1985</v>
      </c>
      <c r="B49" s="19" t="s">
        <v>1986</v>
      </c>
      <c r="C49" s="15" t="s">
        <v>1987</v>
      </c>
      <c r="D49" s="15" t="s">
        <v>213</v>
      </c>
      <c r="E49" s="20">
        <v>10000</v>
      </c>
      <c r="F49" s="21">
        <v>9987.73</v>
      </c>
      <c r="G49" s="22">
        <v>8.0999999999999996E-3</v>
      </c>
      <c r="H49" s="23">
        <v>6.7032999999999995E-2</v>
      </c>
      <c r="I49" s="24"/>
      <c r="J49" s="5"/>
    </row>
    <row r="50" spans="1:10" ht="13.05" customHeight="1">
      <c r="A50" s="18" t="s">
        <v>2105</v>
      </c>
      <c r="B50" s="19" t="s">
        <v>2106</v>
      </c>
      <c r="C50" s="15" t="s">
        <v>2107</v>
      </c>
      <c r="D50" s="15" t="s">
        <v>1923</v>
      </c>
      <c r="E50" s="20">
        <v>10000</v>
      </c>
      <c r="F50" s="21">
        <v>9978.14</v>
      </c>
      <c r="G50" s="22">
        <v>8.0999999999999996E-3</v>
      </c>
      <c r="H50" s="23">
        <v>6.7400000000000002E-2</v>
      </c>
      <c r="I50" s="24"/>
      <c r="J50" s="5"/>
    </row>
    <row r="51" spans="1:10" ht="13.05" customHeight="1">
      <c r="A51" s="18" t="s">
        <v>4998</v>
      </c>
      <c r="B51" s="19" t="s">
        <v>4999</v>
      </c>
      <c r="C51" s="15" t="s">
        <v>5000</v>
      </c>
      <c r="D51" s="15" t="s">
        <v>213</v>
      </c>
      <c r="E51" s="20">
        <v>10000</v>
      </c>
      <c r="F51" s="21">
        <v>9948.34</v>
      </c>
      <c r="G51" s="22">
        <v>8.0999999999999996E-3</v>
      </c>
      <c r="H51" s="23">
        <v>6.5799999999999997E-2</v>
      </c>
      <c r="I51" s="24"/>
      <c r="J51" s="5"/>
    </row>
    <row r="52" spans="1:10" ht="13.05" customHeight="1">
      <c r="A52" s="18" t="s">
        <v>3866</v>
      </c>
      <c r="B52" s="19" t="s">
        <v>3867</v>
      </c>
      <c r="C52" s="15" t="s">
        <v>3868</v>
      </c>
      <c r="D52" s="15" t="s">
        <v>2447</v>
      </c>
      <c r="E52" s="20">
        <v>9500</v>
      </c>
      <c r="F52" s="21">
        <v>9656.5220000000008</v>
      </c>
      <c r="G52" s="22">
        <v>7.7999999999999996E-3</v>
      </c>
      <c r="H52" s="23">
        <v>7.6575000000000004E-2</v>
      </c>
      <c r="I52" s="24"/>
      <c r="J52" s="5"/>
    </row>
    <row r="53" spans="1:10" ht="13.05" customHeight="1">
      <c r="A53" s="18" t="s">
        <v>2578</v>
      </c>
      <c r="B53" s="19" t="s">
        <v>2579</v>
      </c>
      <c r="C53" s="15" t="s">
        <v>2580</v>
      </c>
      <c r="D53" s="15" t="s">
        <v>213</v>
      </c>
      <c r="E53" s="20">
        <v>9500</v>
      </c>
      <c r="F53" s="21">
        <v>9635.3654999999999</v>
      </c>
      <c r="G53" s="22">
        <v>7.7999999999999996E-3</v>
      </c>
      <c r="H53" s="23">
        <v>7.2099999999999997E-2</v>
      </c>
      <c r="I53" s="24"/>
      <c r="J53" s="5"/>
    </row>
    <row r="54" spans="1:10" ht="13.05" customHeight="1">
      <c r="A54" s="18" t="s">
        <v>3896</v>
      </c>
      <c r="B54" s="19" t="s">
        <v>3897</v>
      </c>
      <c r="C54" s="15" t="s">
        <v>3898</v>
      </c>
      <c r="D54" s="15" t="s">
        <v>213</v>
      </c>
      <c r="E54" s="20">
        <v>9500</v>
      </c>
      <c r="F54" s="21">
        <v>9514.5254999999997</v>
      </c>
      <c r="G54" s="22">
        <v>7.7000000000000002E-3</v>
      </c>
      <c r="H54" s="23">
        <v>6.5648999999999999E-2</v>
      </c>
      <c r="I54" s="24"/>
      <c r="J54" s="5"/>
    </row>
    <row r="55" spans="1:10" ht="13.05" customHeight="1">
      <c r="A55" s="18" t="s">
        <v>3653</v>
      </c>
      <c r="B55" s="19" t="s">
        <v>3654</v>
      </c>
      <c r="C55" s="15" t="s">
        <v>3655</v>
      </c>
      <c r="D55" s="15" t="s">
        <v>3656</v>
      </c>
      <c r="E55" s="20">
        <v>7750</v>
      </c>
      <c r="F55" s="21">
        <v>8229.4228000000003</v>
      </c>
      <c r="G55" s="22">
        <v>6.7000000000000002E-3</v>
      </c>
      <c r="H55" s="23">
        <v>8.1367999999999996E-2</v>
      </c>
      <c r="I55" s="24"/>
      <c r="J55" s="5"/>
    </row>
    <row r="56" spans="1:10" ht="13.05" customHeight="1">
      <c r="A56" s="18" t="s">
        <v>2042</v>
      </c>
      <c r="B56" s="19" t="s">
        <v>2043</v>
      </c>
      <c r="C56" s="15" t="s">
        <v>2044</v>
      </c>
      <c r="D56" s="15" t="s">
        <v>1923</v>
      </c>
      <c r="E56" s="20">
        <v>7954</v>
      </c>
      <c r="F56" s="21">
        <v>8083.0775000000003</v>
      </c>
      <c r="G56" s="22">
        <v>6.4999999999999997E-3</v>
      </c>
      <c r="H56" s="23">
        <v>6.5699999999999995E-2</v>
      </c>
      <c r="I56" s="24"/>
      <c r="J56" s="5"/>
    </row>
    <row r="57" spans="1:10" ht="13.05" customHeight="1">
      <c r="A57" s="18" t="s">
        <v>2216</v>
      </c>
      <c r="B57" s="19" t="s">
        <v>2217</v>
      </c>
      <c r="C57" s="15" t="s">
        <v>2218</v>
      </c>
      <c r="D57" s="15" t="s">
        <v>213</v>
      </c>
      <c r="E57" s="20">
        <v>7500</v>
      </c>
      <c r="F57" s="21">
        <v>7677.2924999999996</v>
      </c>
      <c r="G57" s="22">
        <v>6.1999999999999998E-3</v>
      </c>
      <c r="H57" s="23">
        <v>7.1349999999999997E-2</v>
      </c>
      <c r="I57" s="24"/>
      <c r="J57" s="5"/>
    </row>
    <row r="58" spans="1:10" ht="13.05" customHeight="1">
      <c r="A58" s="18" t="s">
        <v>5001</v>
      </c>
      <c r="B58" s="19" t="s">
        <v>5002</v>
      </c>
      <c r="C58" s="15" t="s">
        <v>5003</v>
      </c>
      <c r="D58" s="15" t="s">
        <v>2447</v>
      </c>
      <c r="E58" s="20">
        <v>7500</v>
      </c>
      <c r="F58" s="21">
        <v>7669.665</v>
      </c>
      <c r="G58" s="22">
        <v>6.1999999999999998E-3</v>
      </c>
      <c r="H58" s="23">
        <v>7.6110999999999998E-2</v>
      </c>
      <c r="I58" s="24"/>
      <c r="J58" s="5"/>
    </row>
    <row r="59" spans="1:10" ht="13.05" customHeight="1">
      <c r="A59" s="18" t="s">
        <v>5004</v>
      </c>
      <c r="B59" s="19" t="s">
        <v>5005</v>
      </c>
      <c r="C59" s="15" t="s">
        <v>5006</v>
      </c>
      <c r="D59" s="15" t="s">
        <v>3130</v>
      </c>
      <c r="E59" s="20">
        <v>7500</v>
      </c>
      <c r="F59" s="21">
        <v>7641.4125000000004</v>
      </c>
      <c r="G59" s="22">
        <v>6.1999999999999998E-3</v>
      </c>
      <c r="H59" s="23">
        <v>7.4553999999999995E-2</v>
      </c>
      <c r="I59" s="24"/>
      <c r="J59" s="5"/>
    </row>
    <row r="60" spans="1:10" ht="13.05" customHeight="1">
      <c r="A60" s="18" t="s">
        <v>1964</v>
      </c>
      <c r="B60" s="19" t="s">
        <v>1965</v>
      </c>
      <c r="C60" s="15" t="s">
        <v>1966</v>
      </c>
      <c r="D60" s="15" t="s">
        <v>1923</v>
      </c>
      <c r="E60" s="20">
        <v>7500</v>
      </c>
      <c r="F60" s="21">
        <v>7637.0325000000003</v>
      </c>
      <c r="G60" s="22">
        <v>6.1999999999999998E-3</v>
      </c>
      <c r="H60" s="23">
        <v>6.6400000000000001E-2</v>
      </c>
      <c r="I60" s="24"/>
      <c r="J60" s="5"/>
    </row>
    <row r="61" spans="1:10" ht="13.05" customHeight="1">
      <c r="A61" s="18" t="s">
        <v>5007</v>
      </c>
      <c r="B61" s="19" t="s">
        <v>5008</v>
      </c>
      <c r="C61" s="15" t="s">
        <v>5009</v>
      </c>
      <c r="D61" s="15" t="s">
        <v>213</v>
      </c>
      <c r="E61" s="20">
        <v>7500</v>
      </c>
      <c r="F61" s="21">
        <v>7635.9825000000001</v>
      </c>
      <c r="G61" s="22">
        <v>6.1999999999999998E-3</v>
      </c>
      <c r="H61" s="23">
        <v>7.0576E-2</v>
      </c>
      <c r="I61" s="24"/>
      <c r="J61" s="5"/>
    </row>
    <row r="62" spans="1:10" ht="13.05" customHeight="1">
      <c r="A62" s="18" t="s">
        <v>2608</v>
      </c>
      <c r="B62" s="19" t="s">
        <v>2609</v>
      </c>
      <c r="C62" s="15" t="s">
        <v>2610</v>
      </c>
      <c r="D62" s="15" t="s">
        <v>213</v>
      </c>
      <c r="E62" s="20">
        <v>7500</v>
      </c>
      <c r="F62" s="21">
        <v>7633.2674999999999</v>
      </c>
      <c r="G62" s="22">
        <v>6.1999999999999998E-3</v>
      </c>
      <c r="H62" s="23">
        <v>6.7041000000000003E-2</v>
      </c>
      <c r="I62" s="24"/>
      <c r="J62" s="5"/>
    </row>
    <row r="63" spans="1:10" ht="13.05" customHeight="1">
      <c r="A63" s="18" t="s">
        <v>5010</v>
      </c>
      <c r="B63" s="19" t="s">
        <v>5011</v>
      </c>
      <c r="C63" s="15" t="s">
        <v>5012</v>
      </c>
      <c r="D63" s="15" t="s">
        <v>3146</v>
      </c>
      <c r="E63" s="20">
        <v>7500</v>
      </c>
      <c r="F63" s="21">
        <v>7619.2349999999997</v>
      </c>
      <c r="G63" s="22">
        <v>6.1999999999999998E-3</v>
      </c>
      <c r="H63" s="23">
        <v>7.6799999999999993E-2</v>
      </c>
      <c r="I63" s="24"/>
      <c r="J63" s="5"/>
    </row>
    <row r="64" spans="1:10" ht="13.05" customHeight="1">
      <c r="A64" s="18" t="s">
        <v>3137</v>
      </c>
      <c r="B64" s="19" t="s">
        <v>3138</v>
      </c>
      <c r="C64" s="15" t="s">
        <v>3139</v>
      </c>
      <c r="D64" s="15" t="s">
        <v>2447</v>
      </c>
      <c r="E64" s="20">
        <v>7500</v>
      </c>
      <c r="F64" s="21">
        <v>7616.31</v>
      </c>
      <c r="G64" s="22">
        <v>6.1999999999999998E-3</v>
      </c>
      <c r="H64" s="23">
        <v>7.3800000000000004E-2</v>
      </c>
      <c r="I64" s="24"/>
      <c r="J64" s="5"/>
    </row>
    <row r="65" spans="1:10" ht="13.05" customHeight="1">
      <c r="A65" s="18" t="s">
        <v>5013</v>
      </c>
      <c r="B65" s="19" t="s">
        <v>5014</v>
      </c>
      <c r="C65" s="15" t="s">
        <v>5015</v>
      </c>
      <c r="D65" s="15" t="s">
        <v>213</v>
      </c>
      <c r="E65" s="20">
        <v>7500</v>
      </c>
      <c r="F65" s="21">
        <v>7605.4125000000004</v>
      </c>
      <c r="G65" s="22">
        <v>6.1999999999999998E-3</v>
      </c>
      <c r="H65" s="23">
        <v>6.9150000000000003E-2</v>
      </c>
      <c r="I65" s="24"/>
      <c r="J65" s="5"/>
    </row>
    <row r="66" spans="1:10" ht="13.05" customHeight="1">
      <c r="A66" s="18" t="s">
        <v>2033</v>
      </c>
      <c r="B66" s="19" t="s">
        <v>2034</v>
      </c>
      <c r="C66" s="15" t="s">
        <v>2035</v>
      </c>
      <c r="D66" s="15" t="s">
        <v>213</v>
      </c>
      <c r="E66" s="20">
        <v>750</v>
      </c>
      <c r="F66" s="21">
        <v>7602.9449999999997</v>
      </c>
      <c r="G66" s="22">
        <v>6.1999999999999998E-3</v>
      </c>
      <c r="H66" s="23">
        <v>6.9150000000000003E-2</v>
      </c>
      <c r="I66" s="24"/>
      <c r="J66" s="5"/>
    </row>
    <row r="67" spans="1:10" ht="13.05" customHeight="1">
      <c r="A67" s="18" t="s">
        <v>2015</v>
      </c>
      <c r="B67" s="19" t="s">
        <v>2016</v>
      </c>
      <c r="C67" s="15" t="s">
        <v>2017</v>
      </c>
      <c r="D67" s="15" t="s">
        <v>213</v>
      </c>
      <c r="E67" s="20">
        <v>7500</v>
      </c>
      <c r="F67" s="21">
        <v>7564.875</v>
      </c>
      <c r="G67" s="22">
        <v>6.1000000000000004E-3</v>
      </c>
      <c r="H67" s="23">
        <v>7.0249000000000006E-2</v>
      </c>
      <c r="I67" s="24"/>
      <c r="J67" s="5"/>
    </row>
    <row r="68" spans="1:10" ht="13.05" customHeight="1">
      <c r="A68" s="18" t="s">
        <v>3460</v>
      </c>
      <c r="B68" s="19" t="s">
        <v>3461</v>
      </c>
      <c r="C68" s="15" t="s">
        <v>3462</v>
      </c>
      <c r="D68" s="15" t="s">
        <v>213</v>
      </c>
      <c r="E68" s="20">
        <v>7500</v>
      </c>
      <c r="F68" s="21">
        <v>7542.87</v>
      </c>
      <c r="G68" s="22">
        <v>6.1000000000000004E-3</v>
      </c>
      <c r="H68" s="23">
        <v>6.6199999999999995E-2</v>
      </c>
      <c r="I68" s="24"/>
      <c r="J68" s="5"/>
    </row>
    <row r="69" spans="1:10" ht="13.05" customHeight="1">
      <c r="A69" s="18" t="s">
        <v>1930</v>
      </c>
      <c r="B69" s="19" t="s">
        <v>1931</v>
      </c>
      <c r="C69" s="15" t="s">
        <v>1932</v>
      </c>
      <c r="D69" s="15" t="s">
        <v>213</v>
      </c>
      <c r="E69" s="20">
        <v>7500</v>
      </c>
      <c r="F69" s="21">
        <v>7536.915</v>
      </c>
      <c r="G69" s="22">
        <v>6.1000000000000004E-3</v>
      </c>
      <c r="H69" s="23">
        <v>7.1150000000000005E-2</v>
      </c>
      <c r="I69" s="24"/>
      <c r="J69" s="5"/>
    </row>
    <row r="70" spans="1:10" ht="13.05" customHeight="1">
      <c r="A70" s="18" t="s">
        <v>3854</v>
      </c>
      <c r="B70" s="19" t="s">
        <v>3855</v>
      </c>
      <c r="C70" s="15" t="s">
        <v>3856</v>
      </c>
      <c r="D70" s="15" t="s">
        <v>213</v>
      </c>
      <c r="E70" s="20">
        <v>7000</v>
      </c>
      <c r="F70" s="21">
        <v>7200.1859999999997</v>
      </c>
      <c r="G70" s="22">
        <v>5.7999999999999996E-3</v>
      </c>
      <c r="H70" s="23">
        <v>7.2548000000000001E-2</v>
      </c>
      <c r="I70" s="24"/>
      <c r="J70" s="5"/>
    </row>
    <row r="71" spans="1:10" ht="13.05" customHeight="1">
      <c r="A71" s="18" t="s">
        <v>2171</v>
      </c>
      <c r="B71" s="19" t="s">
        <v>2172</v>
      </c>
      <c r="C71" s="15" t="s">
        <v>2173</v>
      </c>
      <c r="D71" s="15" t="s">
        <v>213</v>
      </c>
      <c r="E71" s="20">
        <v>7000</v>
      </c>
      <c r="F71" s="21">
        <v>7108.4089999999997</v>
      </c>
      <c r="G71" s="22">
        <v>5.7999999999999996E-3</v>
      </c>
      <c r="H71" s="23">
        <v>7.1050000000000002E-2</v>
      </c>
      <c r="I71" s="24"/>
      <c r="J71" s="5"/>
    </row>
    <row r="72" spans="1:10" ht="13.05" customHeight="1">
      <c r="A72" s="18" t="s">
        <v>2565</v>
      </c>
      <c r="B72" s="19" t="s">
        <v>2566</v>
      </c>
      <c r="C72" s="15" t="s">
        <v>2567</v>
      </c>
      <c r="D72" s="15" t="s">
        <v>213</v>
      </c>
      <c r="E72" s="20">
        <v>7000</v>
      </c>
      <c r="F72" s="21">
        <v>7017.3180000000002</v>
      </c>
      <c r="G72" s="22">
        <v>5.7000000000000002E-3</v>
      </c>
      <c r="H72" s="23">
        <v>7.3675000000000004E-2</v>
      </c>
      <c r="I72" s="24"/>
      <c r="J72" s="5"/>
    </row>
    <row r="73" spans="1:10" ht="13.05" customHeight="1">
      <c r="A73" s="18" t="s">
        <v>3828</v>
      </c>
      <c r="B73" s="19" t="s">
        <v>3829</v>
      </c>
      <c r="C73" s="15" t="s">
        <v>3830</v>
      </c>
      <c r="D73" s="15" t="s">
        <v>1923</v>
      </c>
      <c r="E73" s="20">
        <v>6400</v>
      </c>
      <c r="F73" s="21">
        <v>6509.7664000000004</v>
      </c>
      <c r="G73" s="22">
        <v>5.3E-3</v>
      </c>
      <c r="H73" s="23">
        <v>7.0399000000000003E-2</v>
      </c>
      <c r="I73" s="24"/>
      <c r="J73" s="5"/>
    </row>
    <row r="74" spans="1:10" ht="13.05" customHeight="1">
      <c r="A74" s="18" t="s">
        <v>5016</v>
      </c>
      <c r="B74" s="19" t="s">
        <v>5017</v>
      </c>
      <c r="C74" s="15" t="s">
        <v>5018</v>
      </c>
      <c r="D74" s="15" t="s">
        <v>213</v>
      </c>
      <c r="E74" s="20">
        <v>5500</v>
      </c>
      <c r="F74" s="21">
        <v>5536.4759999999997</v>
      </c>
      <c r="G74" s="22">
        <v>4.4999999999999997E-3</v>
      </c>
      <c r="H74" s="23">
        <v>6.88E-2</v>
      </c>
      <c r="I74" s="24"/>
      <c r="J74" s="5"/>
    </row>
    <row r="75" spans="1:10" ht="13.05" customHeight="1">
      <c r="A75" s="18" t="s">
        <v>2156</v>
      </c>
      <c r="B75" s="19" t="s">
        <v>2157</v>
      </c>
      <c r="C75" s="15" t="s">
        <v>2158</v>
      </c>
      <c r="D75" s="15" t="s">
        <v>213</v>
      </c>
      <c r="E75" s="20">
        <v>5200</v>
      </c>
      <c r="F75" s="21">
        <v>5300.7395999999999</v>
      </c>
      <c r="G75" s="22">
        <v>4.3E-3</v>
      </c>
      <c r="H75" s="23">
        <v>6.6400000000000001E-2</v>
      </c>
      <c r="I75" s="24"/>
      <c r="J75" s="5"/>
    </row>
    <row r="76" spans="1:10" ht="13.05" customHeight="1">
      <c r="A76" s="18" t="s">
        <v>2544</v>
      </c>
      <c r="B76" s="19" t="s">
        <v>2545</v>
      </c>
      <c r="C76" s="15" t="s">
        <v>2546</v>
      </c>
      <c r="D76" s="15" t="s">
        <v>213</v>
      </c>
      <c r="E76" s="20">
        <v>5000</v>
      </c>
      <c r="F76" s="21">
        <v>5118.0749999999998</v>
      </c>
      <c r="G76" s="22">
        <v>4.1000000000000003E-3</v>
      </c>
      <c r="H76" s="23">
        <v>7.2700000000000001E-2</v>
      </c>
      <c r="I76" s="24"/>
      <c r="J76" s="5"/>
    </row>
    <row r="77" spans="1:10" ht="13.05" customHeight="1">
      <c r="A77" s="18" t="s">
        <v>2066</v>
      </c>
      <c r="B77" s="19" t="s">
        <v>2067</v>
      </c>
      <c r="C77" s="15" t="s">
        <v>2068</v>
      </c>
      <c r="D77" s="15" t="s">
        <v>213</v>
      </c>
      <c r="E77" s="20">
        <v>500</v>
      </c>
      <c r="F77" s="21">
        <v>5109.1750000000002</v>
      </c>
      <c r="G77" s="22">
        <v>4.1000000000000003E-3</v>
      </c>
      <c r="H77" s="23">
        <v>7.3497000000000007E-2</v>
      </c>
      <c r="I77" s="24"/>
      <c r="J77" s="5"/>
    </row>
    <row r="78" spans="1:10" ht="13.05" customHeight="1">
      <c r="A78" s="18" t="s">
        <v>2153</v>
      </c>
      <c r="B78" s="19" t="s">
        <v>2154</v>
      </c>
      <c r="C78" s="15" t="s">
        <v>2155</v>
      </c>
      <c r="D78" s="15" t="s">
        <v>213</v>
      </c>
      <c r="E78" s="20">
        <v>5000</v>
      </c>
      <c r="F78" s="21">
        <v>5097.67</v>
      </c>
      <c r="G78" s="22">
        <v>4.1000000000000003E-3</v>
      </c>
      <c r="H78" s="23">
        <v>7.0791999999999994E-2</v>
      </c>
      <c r="I78" s="24"/>
      <c r="J78" s="5"/>
    </row>
    <row r="79" spans="1:10" ht="13.05" customHeight="1">
      <c r="A79" s="18" t="s">
        <v>3841</v>
      </c>
      <c r="B79" s="19" t="s">
        <v>3842</v>
      </c>
      <c r="C79" s="15" t="s">
        <v>3843</v>
      </c>
      <c r="D79" s="15" t="s">
        <v>3656</v>
      </c>
      <c r="E79" s="20">
        <v>5000</v>
      </c>
      <c r="F79" s="21">
        <v>5095.51</v>
      </c>
      <c r="G79" s="22">
        <v>4.1000000000000003E-3</v>
      </c>
      <c r="H79" s="23">
        <v>8.0699999999999994E-2</v>
      </c>
      <c r="I79" s="24"/>
      <c r="J79" s="5"/>
    </row>
    <row r="80" spans="1:10" ht="13.05" customHeight="1">
      <c r="A80" s="18" t="s">
        <v>5019</v>
      </c>
      <c r="B80" s="19" t="s">
        <v>5020</v>
      </c>
      <c r="C80" s="15" t="s">
        <v>5021</v>
      </c>
      <c r="D80" s="15" t="s">
        <v>213</v>
      </c>
      <c r="E80" s="20">
        <v>500</v>
      </c>
      <c r="F80" s="21">
        <v>5084.4849999999997</v>
      </c>
      <c r="G80" s="22">
        <v>4.1000000000000003E-3</v>
      </c>
      <c r="H80" s="23">
        <v>6.5699999999999995E-2</v>
      </c>
      <c r="I80" s="24"/>
      <c r="J80" s="5"/>
    </row>
    <row r="81" spans="1:10" ht="13.05" customHeight="1">
      <c r="A81" s="18" t="s">
        <v>5022</v>
      </c>
      <c r="B81" s="19" t="s">
        <v>5023</v>
      </c>
      <c r="C81" s="15" t="s">
        <v>5024</v>
      </c>
      <c r="D81" s="15" t="s">
        <v>213</v>
      </c>
      <c r="E81" s="20">
        <v>5000</v>
      </c>
      <c r="F81" s="21">
        <v>5083.7849999999999</v>
      </c>
      <c r="G81" s="22">
        <v>4.1000000000000003E-3</v>
      </c>
      <c r="H81" s="23">
        <v>6.8000000000000005E-2</v>
      </c>
      <c r="I81" s="24"/>
      <c r="J81" s="5"/>
    </row>
    <row r="82" spans="1:10" ht="13.05" customHeight="1">
      <c r="A82" s="18" t="s">
        <v>5025</v>
      </c>
      <c r="B82" s="19" t="s">
        <v>5026</v>
      </c>
      <c r="C82" s="15" t="s">
        <v>5027</v>
      </c>
      <c r="D82" s="15" t="s">
        <v>213</v>
      </c>
      <c r="E82" s="20">
        <v>500</v>
      </c>
      <c r="F82" s="21">
        <v>5083.71</v>
      </c>
      <c r="G82" s="22">
        <v>4.1000000000000003E-3</v>
      </c>
      <c r="H82" s="23">
        <v>6.5549999999999997E-2</v>
      </c>
      <c r="I82" s="24"/>
      <c r="J82" s="5"/>
    </row>
    <row r="83" spans="1:10" ht="13.05" customHeight="1">
      <c r="A83" s="18" t="s">
        <v>5028</v>
      </c>
      <c r="B83" s="19" t="s">
        <v>5029</v>
      </c>
      <c r="C83" s="15" t="s">
        <v>5030</v>
      </c>
      <c r="D83" s="15" t="s">
        <v>2447</v>
      </c>
      <c r="E83" s="20">
        <v>5000</v>
      </c>
      <c r="F83" s="21">
        <v>5078.0950000000003</v>
      </c>
      <c r="G83" s="22">
        <v>4.1000000000000003E-3</v>
      </c>
      <c r="H83" s="23">
        <v>7.8350000000000003E-2</v>
      </c>
      <c r="I83" s="24"/>
      <c r="J83" s="5"/>
    </row>
    <row r="84" spans="1:10" ht="13.05" customHeight="1">
      <c r="A84" s="18" t="s">
        <v>5031</v>
      </c>
      <c r="B84" s="19" t="s">
        <v>5032</v>
      </c>
      <c r="C84" s="15" t="s">
        <v>5033</v>
      </c>
      <c r="D84" s="15" t="s">
        <v>2447</v>
      </c>
      <c r="E84" s="20">
        <v>5000</v>
      </c>
      <c r="F84" s="21">
        <v>5075.5</v>
      </c>
      <c r="G84" s="22">
        <v>4.1000000000000003E-3</v>
      </c>
      <c r="H84" s="23">
        <v>7.8350000000000003E-2</v>
      </c>
      <c r="I84" s="24"/>
      <c r="J84" s="5"/>
    </row>
    <row r="85" spans="1:10" ht="13.05" customHeight="1">
      <c r="A85" s="18" t="s">
        <v>1887</v>
      </c>
      <c r="B85" s="19" t="s">
        <v>1888</v>
      </c>
      <c r="C85" s="15" t="s">
        <v>1889</v>
      </c>
      <c r="D85" s="15" t="s">
        <v>213</v>
      </c>
      <c r="E85" s="20">
        <v>5000</v>
      </c>
      <c r="F85" s="21">
        <v>5071.2250000000004</v>
      </c>
      <c r="G85" s="22">
        <v>4.1000000000000003E-3</v>
      </c>
      <c r="H85" s="23">
        <v>6.5699999999999995E-2</v>
      </c>
      <c r="I85" s="24"/>
      <c r="J85" s="5"/>
    </row>
    <row r="86" spans="1:10" ht="13.05" customHeight="1">
      <c r="A86" s="18" t="s">
        <v>2614</v>
      </c>
      <c r="B86" s="19" t="s">
        <v>2615</v>
      </c>
      <c r="C86" s="15" t="s">
        <v>2616</v>
      </c>
      <c r="D86" s="15" t="s">
        <v>213</v>
      </c>
      <c r="E86" s="20">
        <v>500</v>
      </c>
      <c r="F86" s="21">
        <v>5068.5150000000003</v>
      </c>
      <c r="G86" s="22">
        <v>4.1000000000000003E-3</v>
      </c>
      <c r="H86" s="23">
        <v>6.5799999999999997E-2</v>
      </c>
      <c r="I86" s="24"/>
      <c r="J86" s="5"/>
    </row>
    <row r="87" spans="1:10" ht="13.05" customHeight="1">
      <c r="A87" s="18" t="s">
        <v>2087</v>
      </c>
      <c r="B87" s="19" t="s">
        <v>2088</v>
      </c>
      <c r="C87" s="15" t="s">
        <v>2089</v>
      </c>
      <c r="D87" s="15" t="s">
        <v>213</v>
      </c>
      <c r="E87" s="20">
        <v>5000</v>
      </c>
      <c r="F87" s="21">
        <v>5067.28</v>
      </c>
      <c r="G87" s="22">
        <v>4.1000000000000003E-3</v>
      </c>
      <c r="H87" s="23">
        <v>6.5699999999999995E-2</v>
      </c>
      <c r="I87" s="24"/>
      <c r="J87" s="5"/>
    </row>
    <row r="88" spans="1:10" ht="13.05" customHeight="1">
      <c r="A88" s="18" t="s">
        <v>5034</v>
      </c>
      <c r="B88" s="19" t="s">
        <v>5035</v>
      </c>
      <c r="C88" s="15" t="s">
        <v>5036</v>
      </c>
      <c r="D88" s="15" t="s">
        <v>213</v>
      </c>
      <c r="E88" s="20">
        <v>500</v>
      </c>
      <c r="F88" s="21">
        <v>5056.1450000000004</v>
      </c>
      <c r="G88" s="22">
        <v>4.1000000000000003E-3</v>
      </c>
      <c r="H88" s="23">
        <v>6.5799999999999997E-2</v>
      </c>
      <c r="I88" s="24"/>
      <c r="J88" s="5"/>
    </row>
    <row r="89" spans="1:10" ht="13.05" customHeight="1">
      <c r="A89" s="18" t="s">
        <v>3131</v>
      </c>
      <c r="B89" s="19" t="s">
        <v>3132</v>
      </c>
      <c r="C89" s="15" t="s">
        <v>3133</v>
      </c>
      <c r="D89" s="15" t="s">
        <v>2447</v>
      </c>
      <c r="E89" s="20">
        <v>5000</v>
      </c>
      <c r="F89" s="21">
        <v>5051.8599999999997</v>
      </c>
      <c r="G89" s="22">
        <v>4.1000000000000003E-3</v>
      </c>
      <c r="H89" s="23">
        <v>7.4999999999999997E-2</v>
      </c>
      <c r="I89" s="24"/>
      <c r="J89" s="5"/>
    </row>
    <row r="90" spans="1:10" ht="13.05" customHeight="1">
      <c r="A90" s="18" t="s">
        <v>5037</v>
      </c>
      <c r="B90" s="19" t="s">
        <v>5038</v>
      </c>
      <c r="C90" s="15" t="s">
        <v>5039</v>
      </c>
      <c r="D90" s="15" t="s">
        <v>213</v>
      </c>
      <c r="E90" s="20">
        <v>500</v>
      </c>
      <c r="F90" s="21">
        <v>5039.96</v>
      </c>
      <c r="G90" s="22">
        <v>4.1000000000000003E-3</v>
      </c>
      <c r="H90" s="23">
        <v>6.5799999999999997E-2</v>
      </c>
      <c r="I90" s="24"/>
      <c r="J90" s="5"/>
    </row>
    <row r="91" spans="1:10" ht="13.05" customHeight="1">
      <c r="A91" s="18" t="s">
        <v>1948</v>
      </c>
      <c r="B91" s="19" t="s">
        <v>1949</v>
      </c>
      <c r="C91" s="15" t="s">
        <v>1950</v>
      </c>
      <c r="D91" s="15" t="s">
        <v>213</v>
      </c>
      <c r="E91" s="20">
        <v>5000</v>
      </c>
      <c r="F91" s="21">
        <v>5029.0649999999996</v>
      </c>
      <c r="G91" s="22">
        <v>4.1000000000000003E-3</v>
      </c>
      <c r="H91" s="23">
        <v>6.9900000000000004E-2</v>
      </c>
      <c r="I91" s="24"/>
      <c r="J91" s="5"/>
    </row>
    <row r="92" spans="1:10" ht="13.05" customHeight="1">
      <c r="A92" s="18" t="s">
        <v>2620</v>
      </c>
      <c r="B92" s="19" t="s">
        <v>2621</v>
      </c>
      <c r="C92" s="15" t="s">
        <v>2622</v>
      </c>
      <c r="D92" s="15" t="s">
        <v>213</v>
      </c>
      <c r="E92" s="20">
        <v>5000</v>
      </c>
      <c r="F92" s="21">
        <v>5027.0749999999998</v>
      </c>
      <c r="G92" s="22">
        <v>4.1000000000000003E-3</v>
      </c>
      <c r="H92" s="23">
        <v>7.0087999999999998E-2</v>
      </c>
      <c r="I92" s="24"/>
      <c r="J92" s="5"/>
    </row>
    <row r="93" spans="1:10" ht="13.05" customHeight="1">
      <c r="A93" s="18" t="s">
        <v>5040</v>
      </c>
      <c r="B93" s="19" t="s">
        <v>5041</v>
      </c>
      <c r="C93" s="15" t="s">
        <v>5042</v>
      </c>
      <c r="D93" s="15" t="s">
        <v>2447</v>
      </c>
      <c r="E93" s="20">
        <v>5000</v>
      </c>
      <c r="F93" s="21">
        <v>5023.25</v>
      </c>
      <c r="G93" s="22">
        <v>4.1000000000000003E-3</v>
      </c>
      <c r="H93" s="23">
        <v>7.8E-2</v>
      </c>
      <c r="I93" s="24"/>
      <c r="J93" s="5"/>
    </row>
    <row r="94" spans="1:10" ht="13.05" customHeight="1">
      <c r="A94" s="18" t="s">
        <v>2452</v>
      </c>
      <c r="B94" s="19" t="s">
        <v>2453</v>
      </c>
      <c r="C94" s="15" t="s">
        <v>2454</v>
      </c>
      <c r="D94" s="15" t="s">
        <v>1923</v>
      </c>
      <c r="E94" s="20">
        <v>5000</v>
      </c>
      <c r="F94" s="21">
        <v>5023.0150000000003</v>
      </c>
      <c r="G94" s="22">
        <v>4.1000000000000003E-3</v>
      </c>
      <c r="H94" s="23">
        <v>6.7299999999999999E-2</v>
      </c>
      <c r="I94" s="24"/>
      <c r="J94" s="5"/>
    </row>
    <row r="95" spans="1:10" ht="13.05" customHeight="1">
      <c r="A95" s="18" t="s">
        <v>2581</v>
      </c>
      <c r="B95" s="19" t="s">
        <v>2582</v>
      </c>
      <c r="C95" s="15" t="s">
        <v>2583</v>
      </c>
      <c r="D95" s="15" t="s">
        <v>213</v>
      </c>
      <c r="E95" s="20">
        <v>5000</v>
      </c>
      <c r="F95" s="21">
        <v>5016.3500000000004</v>
      </c>
      <c r="G95" s="22">
        <v>4.1000000000000003E-3</v>
      </c>
      <c r="H95" s="23">
        <v>6.9699999999999998E-2</v>
      </c>
      <c r="I95" s="24"/>
      <c r="J95" s="5"/>
    </row>
    <row r="96" spans="1:10" ht="13.05" customHeight="1">
      <c r="A96" s="18" t="s">
        <v>5043</v>
      </c>
      <c r="B96" s="19" t="s">
        <v>5044</v>
      </c>
      <c r="C96" s="15" t="s">
        <v>5045</v>
      </c>
      <c r="D96" s="15" t="s">
        <v>213</v>
      </c>
      <c r="E96" s="20">
        <v>5000</v>
      </c>
      <c r="F96" s="21">
        <v>5008.6099999999997</v>
      </c>
      <c r="G96" s="22">
        <v>4.1000000000000003E-3</v>
      </c>
      <c r="H96" s="23">
        <v>6.7849999999999994E-2</v>
      </c>
      <c r="I96" s="24"/>
      <c r="J96" s="5"/>
    </row>
    <row r="97" spans="1:10" ht="13.05" customHeight="1">
      <c r="A97" s="18" t="s">
        <v>3134</v>
      </c>
      <c r="B97" s="19" t="s">
        <v>3135</v>
      </c>
      <c r="C97" s="15" t="s">
        <v>3136</v>
      </c>
      <c r="D97" s="15" t="s">
        <v>213</v>
      </c>
      <c r="E97" s="20">
        <v>5000</v>
      </c>
      <c r="F97" s="21">
        <v>4990.25</v>
      </c>
      <c r="G97" s="22">
        <v>4.0000000000000001E-3</v>
      </c>
      <c r="H97" s="23">
        <v>7.6883000000000007E-2</v>
      </c>
      <c r="I97" s="24"/>
      <c r="J97" s="5"/>
    </row>
    <row r="98" spans="1:10" ht="13.05" customHeight="1">
      <c r="A98" s="18" t="s">
        <v>5046</v>
      </c>
      <c r="B98" s="19" t="s">
        <v>5047</v>
      </c>
      <c r="C98" s="15" t="s">
        <v>5048</v>
      </c>
      <c r="D98" s="15" t="s">
        <v>213</v>
      </c>
      <c r="E98" s="20">
        <v>5000</v>
      </c>
      <c r="F98" s="21">
        <v>4969.4549999999999</v>
      </c>
      <c r="G98" s="22">
        <v>4.0000000000000001E-3</v>
      </c>
      <c r="H98" s="23">
        <v>6.7875000000000005E-2</v>
      </c>
      <c r="I98" s="24"/>
      <c r="J98" s="5"/>
    </row>
    <row r="99" spans="1:10" ht="13.05" customHeight="1">
      <c r="A99" s="18" t="s">
        <v>5049</v>
      </c>
      <c r="B99" s="19" t="s">
        <v>5050</v>
      </c>
      <c r="C99" s="15" t="s">
        <v>5051</v>
      </c>
      <c r="D99" s="15" t="s">
        <v>213</v>
      </c>
      <c r="E99" s="20">
        <v>450</v>
      </c>
      <c r="F99" s="21">
        <v>4586.8320000000003</v>
      </c>
      <c r="G99" s="22">
        <v>3.7000000000000002E-3</v>
      </c>
      <c r="H99" s="23">
        <v>6.93E-2</v>
      </c>
      <c r="I99" s="24"/>
      <c r="J99" s="5"/>
    </row>
    <row r="100" spans="1:10" ht="13.05" customHeight="1">
      <c r="A100" s="18" t="s">
        <v>3164</v>
      </c>
      <c r="B100" s="19" t="s">
        <v>3165</v>
      </c>
      <c r="C100" s="15" t="s">
        <v>3166</v>
      </c>
      <c r="D100" s="15" t="s">
        <v>3130</v>
      </c>
      <c r="E100" s="20">
        <v>4500</v>
      </c>
      <c r="F100" s="21">
        <v>4524.5564999999997</v>
      </c>
      <c r="G100" s="22">
        <v>3.7000000000000002E-3</v>
      </c>
      <c r="H100" s="23">
        <v>7.1029999999999996E-2</v>
      </c>
      <c r="I100" s="24"/>
      <c r="J100" s="5"/>
    </row>
    <row r="101" spans="1:10" ht="13.05" customHeight="1">
      <c r="A101" s="18" t="s">
        <v>2596</v>
      </c>
      <c r="B101" s="19" t="s">
        <v>2597</v>
      </c>
      <c r="C101" s="15" t="s">
        <v>2598</v>
      </c>
      <c r="D101" s="15" t="s">
        <v>1923</v>
      </c>
      <c r="E101" s="20">
        <v>4500</v>
      </c>
      <c r="F101" s="21">
        <v>4508.2619999999997</v>
      </c>
      <c r="G101" s="22">
        <v>3.7000000000000002E-3</v>
      </c>
      <c r="H101" s="23">
        <v>7.0416000000000006E-2</v>
      </c>
      <c r="I101" s="24"/>
      <c r="J101" s="5"/>
    </row>
    <row r="102" spans="1:10" ht="13.05" customHeight="1">
      <c r="A102" s="18" t="s">
        <v>5052</v>
      </c>
      <c r="B102" s="19" t="s">
        <v>5053</v>
      </c>
      <c r="C102" s="15" t="s">
        <v>5054</v>
      </c>
      <c r="D102" s="15" t="s">
        <v>188</v>
      </c>
      <c r="E102" s="20">
        <v>3999500</v>
      </c>
      <c r="F102" s="21">
        <v>4097.7037</v>
      </c>
      <c r="G102" s="22">
        <v>3.3E-3</v>
      </c>
      <c r="H102" s="23">
        <v>6.8501999999999993E-2</v>
      </c>
      <c r="I102" s="24"/>
      <c r="J102" s="5"/>
    </row>
    <row r="103" spans="1:10" ht="13.05" customHeight="1">
      <c r="A103" s="18" t="s">
        <v>5055</v>
      </c>
      <c r="B103" s="19" t="s">
        <v>5056</v>
      </c>
      <c r="C103" s="15" t="s">
        <v>5057</v>
      </c>
      <c r="D103" s="15" t="s">
        <v>2447</v>
      </c>
      <c r="E103" s="20">
        <v>4000</v>
      </c>
      <c r="F103" s="21">
        <v>4066.4760000000001</v>
      </c>
      <c r="G103" s="22">
        <v>3.3E-3</v>
      </c>
      <c r="H103" s="23">
        <v>7.2249999999999995E-2</v>
      </c>
      <c r="I103" s="24"/>
      <c r="J103" s="5"/>
    </row>
    <row r="104" spans="1:10" ht="13.05" customHeight="1">
      <c r="A104" s="18" t="s">
        <v>5058</v>
      </c>
      <c r="B104" s="19" t="s">
        <v>5059</v>
      </c>
      <c r="C104" s="15" t="s">
        <v>5060</v>
      </c>
      <c r="D104" s="15" t="s">
        <v>213</v>
      </c>
      <c r="E104" s="20">
        <v>4000</v>
      </c>
      <c r="F104" s="21">
        <v>3995.3319999999999</v>
      </c>
      <c r="G104" s="22">
        <v>3.2000000000000002E-3</v>
      </c>
      <c r="H104" s="23">
        <v>7.1499999999999994E-2</v>
      </c>
      <c r="I104" s="24"/>
      <c r="J104" s="5"/>
    </row>
    <row r="105" spans="1:10" ht="13.05" customHeight="1">
      <c r="A105" s="18" t="s">
        <v>1896</v>
      </c>
      <c r="B105" s="19" t="s">
        <v>1897</v>
      </c>
      <c r="C105" s="15" t="s">
        <v>1898</v>
      </c>
      <c r="D105" s="15" t="s">
        <v>213</v>
      </c>
      <c r="E105" s="20">
        <v>3500</v>
      </c>
      <c r="F105" s="21">
        <v>3556.5005000000001</v>
      </c>
      <c r="G105" s="22">
        <v>2.8999999999999998E-3</v>
      </c>
      <c r="H105" s="23">
        <v>6.6400000000000001E-2</v>
      </c>
      <c r="I105" s="24"/>
      <c r="J105" s="5"/>
    </row>
    <row r="106" spans="1:10" ht="13.05" customHeight="1">
      <c r="A106" s="18" t="s">
        <v>2698</v>
      </c>
      <c r="B106" s="19" t="s">
        <v>2699</v>
      </c>
      <c r="C106" s="15" t="s">
        <v>2700</v>
      </c>
      <c r="D106" s="15" t="s">
        <v>213</v>
      </c>
      <c r="E106" s="20">
        <v>3500</v>
      </c>
      <c r="F106" s="21">
        <v>3513.09</v>
      </c>
      <c r="G106" s="22">
        <v>2.8E-3</v>
      </c>
      <c r="H106" s="23">
        <v>7.2150000000000006E-2</v>
      </c>
      <c r="I106" s="24"/>
      <c r="J106" s="5"/>
    </row>
    <row r="107" spans="1:10" ht="13.05" customHeight="1">
      <c r="A107" s="18" t="s">
        <v>5061</v>
      </c>
      <c r="B107" s="19" t="s">
        <v>5062</v>
      </c>
      <c r="C107" s="15" t="s">
        <v>5063</v>
      </c>
      <c r="D107" s="15" t="s">
        <v>2447</v>
      </c>
      <c r="E107" s="20">
        <v>3200</v>
      </c>
      <c r="F107" s="21">
        <v>3251.8719999999998</v>
      </c>
      <c r="G107" s="22">
        <v>2.5999999999999999E-3</v>
      </c>
      <c r="H107" s="23">
        <v>7.7049999999999993E-2</v>
      </c>
      <c r="I107" s="24"/>
      <c r="J107" s="5"/>
    </row>
    <row r="108" spans="1:10" ht="13.05" customHeight="1">
      <c r="A108" s="18" t="s">
        <v>5064</v>
      </c>
      <c r="B108" s="19" t="s">
        <v>5065</v>
      </c>
      <c r="C108" s="15" t="s">
        <v>5066</v>
      </c>
      <c r="D108" s="15" t="s">
        <v>188</v>
      </c>
      <c r="E108" s="20">
        <v>3000000</v>
      </c>
      <c r="F108" s="21">
        <v>3097.509</v>
      </c>
      <c r="G108" s="22">
        <v>2.5000000000000001E-3</v>
      </c>
      <c r="H108" s="23">
        <v>6.7081000000000002E-2</v>
      </c>
      <c r="I108" s="24"/>
      <c r="J108" s="5"/>
    </row>
    <row r="109" spans="1:10" ht="13.05" customHeight="1">
      <c r="A109" s="18" t="s">
        <v>2279</v>
      </c>
      <c r="B109" s="19" t="s">
        <v>2280</v>
      </c>
      <c r="C109" s="15" t="s">
        <v>2281</v>
      </c>
      <c r="D109" s="15" t="s">
        <v>188</v>
      </c>
      <c r="E109" s="20">
        <v>3000000</v>
      </c>
      <c r="F109" s="21">
        <v>3057.03</v>
      </c>
      <c r="G109" s="22">
        <v>2.5000000000000001E-3</v>
      </c>
      <c r="H109" s="23">
        <v>6.5121999999999999E-2</v>
      </c>
      <c r="I109" s="24"/>
      <c r="J109" s="5"/>
    </row>
    <row r="110" spans="1:10" ht="13.05" customHeight="1">
      <c r="A110" s="18" t="s">
        <v>2093</v>
      </c>
      <c r="B110" s="19" t="s">
        <v>2094</v>
      </c>
      <c r="C110" s="15" t="s">
        <v>2095</v>
      </c>
      <c r="D110" s="15" t="s">
        <v>213</v>
      </c>
      <c r="E110" s="20">
        <v>3000</v>
      </c>
      <c r="F110" s="21">
        <v>3014.0279999999998</v>
      </c>
      <c r="G110" s="22">
        <v>2.3999999999999998E-3</v>
      </c>
      <c r="H110" s="23">
        <v>7.0299E-2</v>
      </c>
      <c r="I110" s="24"/>
      <c r="J110" s="5"/>
    </row>
    <row r="111" spans="1:10" ht="13.05" customHeight="1">
      <c r="A111" s="18" t="s">
        <v>2228</v>
      </c>
      <c r="B111" s="19" t="s">
        <v>2229</v>
      </c>
      <c r="C111" s="15" t="s">
        <v>2230</v>
      </c>
      <c r="D111" s="15" t="s">
        <v>213</v>
      </c>
      <c r="E111" s="20">
        <v>270</v>
      </c>
      <c r="F111" s="21">
        <v>2732.8724999999999</v>
      </c>
      <c r="G111" s="22">
        <v>2.2000000000000001E-3</v>
      </c>
      <c r="H111" s="23">
        <v>6.5799999999999997E-2</v>
      </c>
      <c r="I111" s="24"/>
      <c r="J111" s="5"/>
    </row>
    <row r="112" spans="1:10" ht="13.05" customHeight="1">
      <c r="A112" s="18" t="s">
        <v>2590</v>
      </c>
      <c r="B112" s="19" t="s">
        <v>2591</v>
      </c>
      <c r="C112" s="15" t="s">
        <v>2592</v>
      </c>
      <c r="D112" s="15" t="s">
        <v>213</v>
      </c>
      <c r="E112" s="20">
        <v>250</v>
      </c>
      <c r="F112" s="21">
        <v>2592.5425</v>
      </c>
      <c r="G112" s="22">
        <v>2.0999999999999999E-3</v>
      </c>
      <c r="H112" s="23">
        <v>6.7724999999999994E-2</v>
      </c>
      <c r="I112" s="24"/>
      <c r="J112" s="5"/>
    </row>
    <row r="113" spans="1:10" ht="13.05" customHeight="1">
      <c r="A113" s="18" t="s">
        <v>5067</v>
      </c>
      <c r="B113" s="19" t="s">
        <v>5068</v>
      </c>
      <c r="C113" s="15" t="s">
        <v>5069</v>
      </c>
      <c r="D113" s="15" t="s">
        <v>188</v>
      </c>
      <c r="E113" s="20">
        <v>2500000</v>
      </c>
      <c r="F113" s="21">
        <v>2573.5549999999998</v>
      </c>
      <c r="G113" s="22">
        <v>2.0999999999999999E-3</v>
      </c>
      <c r="H113" s="23">
        <v>6.7344000000000001E-2</v>
      </c>
      <c r="I113" s="24"/>
      <c r="J113" s="5"/>
    </row>
    <row r="114" spans="1:10" ht="13.05" customHeight="1">
      <c r="A114" s="18" t="s">
        <v>2060</v>
      </c>
      <c r="B114" s="19" t="s">
        <v>2061</v>
      </c>
      <c r="C114" s="15" t="s">
        <v>2062</v>
      </c>
      <c r="D114" s="15" t="s">
        <v>213</v>
      </c>
      <c r="E114" s="20">
        <v>2500</v>
      </c>
      <c r="F114" s="21">
        <v>2562.11</v>
      </c>
      <c r="G114" s="22">
        <v>2.0999999999999999E-3</v>
      </c>
      <c r="H114" s="23">
        <v>6.7825999999999997E-2</v>
      </c>
      <c r="I114" s="24"/>
      <c r="J114" s="5"/>
    </row>
    <row r="115" spans="1:10" ht="13.05" customHeight="1">
      <c r="A115" s="18" t="s">
        <v>5070</v>
      </c>
      <c r="B115" s="19" t="s">
        <v>5071</v>
      </c>
      <c r="C115" s="15" t="s">
        <v>5072</v>
      </c>
      <c r="D115" s="15" t="s">
        <v>2447</v>
      </c>
      <c r="E115" s="20">
        <v>2500</v>
      </c>
      <c r="F115" s="21">
        <v>2560.8775000000001</v>
      </c>
      <c r="G115" s="22">
        <v>2.0999999999999999E-3</v>
      </c>
      <c r="H115" s="23">
        <v>7.5261999999999996E-2</v>
      </c>
      <c r="I115" s="24"/>
      <c r="J115" s="5"/>
    </row>
    <row r="116" spans="1:10" ht="13.05" customHeight="1">
      <c r="A116" s="18" t="s">
        <v>2464</v>
      </c>
      <c r="B116" s="19" t="s">
        <v>2465</v>
      </c>
      <c r="C116" s="15" t="s">
        <v>2466</v>
      </c>
      <c r="D116" s="15" t="s">
        <v>213</v>
      </c>
      <c r="E116" s="20">
        <v>2500</v>
      </c>
      <c r="F116" s="21">
        <v>2558.5149999999999</v>
      </c>
      <c r="G116" s="22">
        <v>2.0999999999999999E-3</v>
      </c>
      <c r="H116" s="23">
        <v>6.7724999999999994E-2</v>
      </c>
      <c r="I116" s="24"/>
      <c r="J116" s="5"/>
    </row>
    <row r="117" spans="1:10" ht="13.05" customHeight="1">
      <c r="A117" s="18" t="s">
        <v>1973</v>
      </c>
      <c r="B117" s="19" t="s">
        <v>1974</v>
      </c>
      <c r="C117" s="15" t="s">
        <v>1975</v>
      </c>
      <c r="D117" s="15" t="s">
        <v>213</v>
      </c>
      <c r="E117" s="20">
        <v>2500</v>
      </c>
      <c r="F117" s="21">
        <v>2551.8024999999998</v>
      </c>
      <c r="G117" s="22">
        <v>2.0999999999999999E-3</v>
      </c>
      <c r="H117" s="23">
        <v>6.7738000000000007E-2</v>
      </c>
      <c r="I117" s="24"/>
      <c r="J117" s="5"/>
    </row>
    <row r="118" spans="1:10" ht="13.05" customHeight="1">
      <c r="A118" s="18" t="s">
        <v>2075</v>
      </c>
      <c r="B118" s="19" t="s">
        <v>2076</v>
      </c>
      <c r="C118" s="15" t="s">
        <v>2077</v>
      </c>
      <c r="D118" s="15" t="s">
        <v>213</v>
      </c>
      <c r="E118" s="20">
        <v>2500</v>
      </c>
      <c r="F118" s="21">
        <v>2549.92</v>
      </c>
      <c r="G118" s="22">
        <v>2.0999999999999999E-3</v>
      </c>
      <c r="H118" s="23">
        <v>6.9650000000000004E-2</v>
      </c>
      <c r="I118" s="24"/>
      <c r="J118" s="5"/>
    </row>
    <row r="119" spans="1:10" ht="13.05" customHeight="1">
      <c r="A119" s="18" t="s">
        <v>2201</v>
      </c>
      <c r="B119" s="19" t="s">
        <v>2202</v>
      </c>
      <c r="C119" s="15" t="s">
        <v>2203</v>
      </c>
      <c r="D119" s="15" t="s">
        <v>213</v>
      </c>
      <c r="E119" s="20">
        <v>2500</v>
      </c>
      <c r="F119" s="21">
        <v>2545.2925</v>
      </c>
      <c r="G119" s="22">
        <v>2.0999999999999999E-3</v>
      </c>
      <c r="H119" s="23">
        <v>6.8849999999999995E-2</v>
      </c>
      <c r="I119" s="24"/>
      <c r="J119" s="5"/>
    </row>
    <row r="120" spans="1:10" ht="13.05" customHeight="1">
      <c r="A120" s="18" t="s">
        <v>5073</v>
      </c>
      <c r="B120" s="19" t="s">
        <v>5074</v>
      </c>
      <c r="C120" s="15" t="s">
        <v>5075</v>
      </c>
      <c r="D120" s="15" t="s">
        <v>213</v>
      </c>
      <c r="E120" s="20">
        <v>250</v>
      </c>
      <c r="F120" s="21">
        <v>2543.9074999999998</v>
      </c>
      <c r="G120" s="22">
        <v>2.0999999999999999E-3</v>
      </c>
      <c r="H120" s="23">
        <v>6.8000000000000005E-2</v>
      </c>
      <c r="I120" s="24"/>
      <c r="J120" s="5"/>
    </row>
    <row r="121" spans="1:10" ht="13.05" customHeight="1">
      <c r="A121" s="18" t="s">
        <v>2641</v>
      </c>
      <c r="B121" s="19" t="s">
        <v>2642</v>
      </c>
      <c r="C121" s="15" t="s">
        <v>2643</v>
      </c>
      <c r="D121" s="15" t="s">
        <v>213</v>
      </c>
      <c r="E121" s="20">
        <v>2500</v>
      </c>
      <c r="F121" s="21">
        <v>2543.36</v>
      </c>
      <c r="G121" s="22">
        <v>2.0999999999999999E-3</v>
      </c>
      <c r="H121" s="23">
        <v>6.6449999999999995E-2</v>
      </c>
      <c r="I121" s="24"/>
      <c r="J121" s="5"/>
    </row>
    <row r="122" spans="1:10" ht="13.05" customHeight="1">
      <c r="A122" s="18" t="s">
        <v>5076</v>
      </c>
      <c r="B122" s="19" t="s">
        <v>5077</v>
      </c>
      <c r="C122" s="15" t="s">
        <v>5078</v>
      </c>
      <c r="D122" s="15" t="s">
        <v>3130</v>
      </c>
      <c r="E122" s="20">
        <v>2500</v>
      </c>
      <c r="F122" s="21">
        <v>2532.29</v>
      </c>
      <c r="G122" s="22">
        <v>2.0999999999999999E-3</v>
      </c>
      <c r="H122" s="23">
        <v>7.3099999999999998E-2</v>
      </c>
      <c r="I122" s="24"/>
      <c r="J122" s="5"/>
    </row>
    <row r="123" spans="1:10" ht="13.05" customHeight="1">
      <c r="A123" s="18" t="s">
        <v>5079</v>
      </c>
      <c r="B123" s="19" t="s">
        <v>5080</v>
      </c>
      <c r="C123" s="15" t="s">
        <v>5081</v>
      </c>
      <c r="D123" s="15" t="s">
        <v>1923</v>
      </c>
      <c r="E123" s="20">
        <v>2500</v>
      </c>
      <c r="F123" s="21">
        <v>2521.2525000000001</v>
      </c>
      <c r="G123" s="22">
        <v>2E-3</v>
      </c>
      <c r="H123" s="23">
        <v>6.5350000000000005E-2</v>
      </c>
      <c r="I123" s="24"/>
      <c r="J123" s="5"/>
    </row>
    <row r="124" spans="1:10" ht="13.05" customHeight="1">
      <c r="A124" s="18" t="s">
        <v>1911</v>
      </c>
      <c r="B124" s="19" t="s">
        <v>1912</v>
      </c>
      <c r="C124" s="15" t="s">
        <v>1913</v>
      </c>
      <c r="D124" s="15" t="s">
        <v>213</v>
      </c>
      <c r="E124" s="20">
        <v>2500</v>
      </c>
      <c r="F124" s="21">
        <v>2521.2150000000001</v>
      </c>
      <c r="G124" s="22">
        <v>2E-3</v>
      </c>
      <c r="H124" s="23">
        <v>6.9900000000000004E-2</v>
      </c>
      <c r="I124" s="24"/>
      <c r="J124" s="5"/>
    </row>
    <row r="125" spans="1:10" ht="13.05" customHeight="1">
      <c r="A125" s="18" t="s">
        <v>5082</v>
      </c>
      <c r="B125" s="19" t="s">
        <v>5083</v>
      </c>
      <c r="C125" s="15" t="s">
        <v>5084</v>
      </c>
      <c r="D125" s="15" t="s">
        <v>213</v>
      </c>
      <c r="E125" s="20">
        <v>2500</v>
      </c>
      <c r="F125" s="21">
        <v>2520.6624999999999</v>
      </c>
      <c r="G125" s="22">
        <v>2E-3</v>
      </c>
      <c r="H125" s="23">
        <v>6.5199999999999994E-2</v>
      </c>
      <c r="I125" s="24"/>
      <c r="J125" s="5"/>
    </row>
    <row r="126" spans="1:10" ht="13.05" customHeight="1">
      <c r="A126" s="18" t="s">
        <v>4337</v>
      </c>
      <c r="B126" s="19" t="s">
        <v>4338</v>
      </c>
      <c r="C126" s="15" t="s">
        <v>4339</v>
      </c>
      <c r="D126" s="15" t="s">
        <v>188</v>
      </c>
      <c r="E126" s="20">
        <v>2500000</v>
      </c>
      <c r="F126" s="21">
        <v>2512.6174999999998</v>
      </c>
      <c r="G126" s="22">
        <v>2E-3</v>
      </c>
      <c r="H126" s="23">
        <v>5.5799000000000001E-2</v>
      </c>
      <c r="I126" s="24"/>
      <c r="J126" s="5"/>
    </row>
    <row r="127" spans="1:10" ht="13.05" customHeight="1">
      <c r="A127" s="18" t="s">
        <v>5085</v>
      </c>
      <c r="B127" s="19" t="s">
        <v>5086</v>
      </c>
      <c r="C127" s="15" t="s">
        <v>5087</v>
      </c>
      <c r="D127" s="15" t="s">
        <v>213</v>
      </c>
      <c r="E127" s="20">
        <v>2500</v>
      </c>
      <c r="F127" s="21">
        <v>2508.5250000000001</v>
      </c>
      <c r="G127" s="22">
        <v>2E-3</v>
      </c>
      <c r="H127" s="23">
        <v>7.1224999999999997E-2</v>
      </c>
      <c r="I127" s="24"/>
      <c r="J127" s="5"/>
    </row>
    <row r="128" spans="1:10" ht="13.05" customHeight="1">
      <c r="A128" s="18" t="s">
        <v>2388</v>
      </c>
      <c r="B128" s="19" t="s">
        <v>2389</v>
      </c>
      <c r="C128" s="15" t="s">
        <v>2390</v>
      </c>
      <c r="D128" s="15" t="s">
        <v>213</v>
      </c>
      <c r="E128" s="20">
        <v>2500</v>
      </c>
      <c r="F128" s="21">
        <v>2507.4949999999999</v>
      </c>
      <c r="G128" s="22">
        <v>2E-3</v>
      </c>
      <c r="H128" s="23">
        <v>6.9650000000000004E-2</v>
      </c>
      <c r="I128" s="24"/>
      <c r="J128" s="5"/>
    </row>
    <row r="129" spans="1:10" ht="13.05" customHeight="1">
      <c r="A129" s="18" t="s">
        <v>5088</v>
      </c>
      <c r="B129" s="19" t="s">
        <v>5089</v>
      </c>
      <c r="C129" s="15" t="s">
        <v>5090</v>
      </c>
      <c r="D129" s="15" t="s">
        <v>188</v>
      </c>
      <c r="E129" s="20">
        <v>2500000</v>
      </c>
      <c r="F129" s="21">
        <v>2474.08</v>
      </c>
      <c r="G129" s="22">
        <v>2E-3</v>
      </c>
      <c r="H129" s="23">
        <v>6.9001000000000007E-2</v>
      </c>
      <c r="I129" s="24"/>
      <c r="J129" s="5"/>
    </row>
    <row r="130" spans="1:10" ht="13.05" customHeight="1">
      <c r="A130" s="18" t="s">
        <v>2692</v>
      </c>
      <c r="B130" s="19" t="s">
        <v>2693</v>
      </c>
      <c r="C130" s="15" t="s">
        <v>2694</v>
      </c>
      <c r="D130" s="15" t="s">
        <v>1923</v>
      </c>
      <c r="E130" s="20">
        <v>2500</v>
      </c>
      <c r="F130" s="21">
        <v>2439.38</v>
      </c>
      <c r="G130" s="22">
        <v>2E-3</v>
      </c>
      <c r="H130" s="23">
        <v>7.1400000000000005E-2</v>
      </c>
      <c r="I130" s="24"/>
      <c r="J130" s="5"/>
    </row>
    <row r="131" spans="1:10" ht="13.05" customHeight="1">
      <c r="A131" s="18" t="s">
        <v>5091</v>
      </c>
      <c r="B131" s="19" t="s">
        <v>5092</v>
      </c>
      <c r="C131" s="15" t="s">
        <v>5093</v>
      </c>
      <c r="D131" s="15" t="s">
        <v>213</v>
      </c>
      <c r="E131" s="20">
        <v>2000</v>
      </c>
      <c r="F131" s="21">
        <v>2149.0079999999998</v>
      </c>
      <c r="G131" s="22">
        <v>1.6999999999999999E-3</v>
      </c>
      <c r="H131" s="23">
        <v>7.7249999999999999E-2</v>
      </c>
      <c r="I131" s="24"/>
      <c r="J131" s="5"/>
    </row>
    <row r="132" spans="1:10" ht="13.05" customHeight="1">
      <c r="A132" s="18" t="s">
        <v>2584</v>
      </c>
      <c r="B132" s="19" t="s">
        <v>2585</v>
      </c>
      <c r="C132" s="15" t="s">
        <v>2586</v>
      </c>
      <c r="D132" s="15" t="s">
        <v>213</v>
      </c>
      <c r="E132" s="20">
        <v>2000</v>
      </c>
      <c r="F132" s="21">
        <v>2032.0619999999999</v>
      </c>
      <c r="G132" s="22">
        <v>1.6000000000000001E-3</v>
      </c>
      <c r="H132" s="23">
        <v>6.6449999999999995E-2</v>
      </c>
      <c r="I132" s="24"/>
      <c r="J132" s="5"/>
    </row>
    <row r="133" spans="1:10" ht="13.05" customHeight="1">
      <c r="A133" s="18" t="s">
        <v>5094</v>
      </c>
      <c r="B133" s="19" t="s">
        <v>5095</v>
      </c>
      <c r="C133" s="15" t="s">
        <v>5096</v>
      </c>
      <c r="D133" s="15" t="s">
        <v>2447</v>
      </c>
      <c r="E133" s="20">
        <v>2000</v>
      </c>
      <c r="F133" s="21">
        <v>2027.8720000000001</v>
      </c>
      <c r="G133" s="22">
        <v>1.6000000000000001E-3</v>
      </c>
      <c r="H133" s="23">
        <v>7.1599999999999997E-2</v>
      </c>
      <c r="I133" s="24"/>
      <c r="J133" s="5"/>
    </row>
    <row r="134" spans="1:10" ht="13.05" customHeight="1">
      <c r="A134" s="18" t="s">
        <v>2826</v>
      </c>
      <c r="B134" s="19" t="s">
        <v>2827</v>
      </c>
      <c r="C134" s="15" t="s">
        <v>2828</v>
      </c>
      <c r="D134" s="15" t="s">
        <v>188</v>
      </c>
      <c r="E134" s="20">
        <v>2000000</v>
      </c>
      <c r="F134" s="21">
        <v>2015.768</v>
      </c>
      <c r="G134" s="22">
        <v>1.6000000000000001E-3</v>
      </c>
      <c r="H134" s="23">
        <v>6.0746000000000001E-2</v>
      </c>
      <c r="I134" s="24"/>
      <c r="J134" s="5"/>
    </row>
    <row r="135" spans="1:10" ht="13.05" customHeight="1">
      <c r="A135" s="18" t="s">
        <v>5097</v>
      </c>
      <c r="B135" s="19" t="s">
        <v>5098</v>
      </c>
      <c r="C135" s="15" t="s">
        <v>5099</v>
      </c>
      <c r="D135" s="15" t="s">
        <v>213</v>
      </c>
      <c r="E135" s="20">
        <v>200</v>
      </c>
      <c r="F135" s="21">
        <v>2015.0260000000001</v>
      </c>
      <c r="G135" s="22">
        <v>1.6000000000000001E-3</v>
      </c>
      <c r="H135" s="23">
        <v>6.5173999999999996E-2</v>
      </c>
      <c r="I135" s="24"/>
      <c r="J135" s="5"/>
    </row>
    <row r="136" spans="1:10" ht="13.05" customHeight="1">
      <c r="A136" s="18" t="s">
        <v>5100</v>
      </c>
      <c r="B136" s="19" t="s">
        <v>5101</v>
      </c>
      <c r="C136" s="15" t="s">
        <v>5102</v>
      </c>
      <c r="D136" s="15" t="s">
        <v>3656</v>
      </c>
      <c r="E136" s="20">
        <v>2000</v>
      </c>
      <c r="F136" s="21">
        <v>2001.52</v>
      </c>
      <c r="G136" s="22">
        <v>1.6000000000000001E-3</v>
      </c>
      <c r="H136" s="23">
        <v>7.6450000000000004E-2</v>
      </c>
      <c r="I136" s="24"/>
      <c r="J136" s="5"/>
    </row>
    <row r="137" spans="1:10" ht="13.05" customHeight="1">
      <c r="A137" s="18" t="s">
        <v>5103</v>
      </c>
      <c r="B137" s="19" t="s">
        <v>5104</v>
      </c>
      <c r="C137" s="15" t="s">
        <v>5105</v>
      </c>
      <c r="D137" s="15" t="s">
        <v>3656</v>
      </c>
      <c r="E137" s="20">
        <v>2000</v>
      </c>
      <c r="F137" s="21">
        <v>2000.7</v>
      </c>
      <c r="G137" s="22">
        <v>1.6000000000000001E-3</v>
      </c>
      <c r="H137" s="23">
        <v>7.6600000000000001E-2</v>
      </c>
      <c r="I137" s="24"/>
      <c r="J137" s="5"/>
    </row>
    <row r="138" spans="1:10" ht="13.05" customHeight="1">
      <c r="A138" s="18" t="s">
        <v>5106</v>
      </c>
      <c r="B138" s="19" t="s">
        <v>5107</v>
      </c>
      <c r="C138" s="15" t="s">
        <v>5108</v>
      </c>
      <c r="D138" s="15" t="s">
        <v>3130</v>
      </c>
      <c r="E138" s="20">
        <v>2000</v>
      </c>
      <c r="F138" s="21">
        <v>2000.1959999999999</v>
      </c>
      <c r="G138" s="22">
        <v>1.6000000000000001E-3</v>
      </c>
      <c r="H138" s="23">
        <v>6.1677999999999997E-2</v>
      </c>
      <c r="I138" s="24"/>
      <c r="J138" s="5"/>
    </row>
    <row r="139" spans="1:10" ht="13.05" customHeight="1">
      <c r="A139" s="18" t="s">
        <v>5109</v>
      </c>
      <c r="B139" s="19" t="s">
        <v>5110</v>
      </c>
      <c r="C139" s="15" t="s">
        <v>5111</v>
      </c>
      <c r="D139" s="15" t="s">
        <v>3656</v>
      </c>
      <c r="E139" s="20">
        <v>2000</v>
      </c>
      <c r="F139" s="21">
        <v>1999.674</v>
      </c>
      <c r="G139" s="22">
        <v>1.6000000000000001E-3</v>
      </c>
      <c r="H139" s="23">
        <v>7.6815999999999995E-2</v>
      </c>
      <c r="I139" s="24"/>
      <c r="J139" s="5"/>
    </row>
    <row r="140" spans="1:10" ht="13.05" customHeight="1">
      <c r="A140" s="18" t="s">
        <v>5112</v>
      </c>
      <c r="B140" s="19" t="s">
        <v>5113</v>
      </c>
      <c r="C140" s="15" t="s">
        <v>5114</v>
      </c>
      <c r="D140" s="15" t="s">
        <v>3656</v>
      </c>
      <c r="E140" s="20">
        <v>2000</v>
      </c>
      <c r="F140" s="21">
        <v>1998.9459999999999</v>
      </c>
      <c r="G140" s="22">
        <v>1.6000000000000001E-3</v>
      </c>
      <c r="H140" s="23">
        <v>7.6799999999999993E-2</v>
      </c>
      <c r="I140" s="24"/>
      <c r="J140" s="5"/>
    </row>
    <row r="141" spans="1:10" ht="13.05" customHeight="1">
      <c r="A141" s="18" t="s">
        <v>3150</v>
      </c>
      <c r="B141" s="19" t="s">
        <v>3151</v>
      </c>
      <c r="C141" s="15" t="s">
        <v>3152</v>
      </c>
      <c r="D141" s="15" t="s">
        <v>213</v>
      </c>
      <c r="E141" s="20">
        <v>1900</v>
      </c>
      <c r="F141" s="21">
        <v>1917.6871000000001</v>
      </c>
      <c r="G141" s="22">
        <v>1.6000000000000001E-3</v>
      </c>
      <c r="H141" s="23">
        <v>6.7500000000000004E-2</v>
      </c>
      <c r="I141" s="24"/>
      <c r="J141" s="5"/>
    </row>
    <row r="142" spans="1:10" ht="13.05" customHeight="1">
      <c r="A142" s="18" t="s">
        <v>5115</v>
      </c>
      <c r="B142" s="19" t="s">
        <v>5116</v>
      </c>
      <c r="C142" s="15" t="s">
        <v>5117</v>
      </c>
      <c r="D142" s="15" t="s">
        <v>188</v>
      </c>
      <c r="E142" s="20">
        <v>2552400</v>
      </c>
      <c r="F142" s="21">
        <v>1624.1125</v>
      </c>
      <c r="G142" s="22">
        <v>1.2999999999999999E-3</v>
      </c>
      <c r="H142" s="23">
        <v>6.9158999999999998E-2</v>
      </c>
      <c r="I142" s="24"/>
      <c r="J142" s="5"/>
    </row>
    <row r="143" spans="1:10" ht="13.05" customHeight="1">
      <c r="A143" s="18" t="s">
        <v>5118</v>
      </c>
      <c r="B143" s="19" t="s">
        <v>5119</v>
      </c>
      <c r="C143" s="15" t="s">
        <v>5120</v>
      </c>
      <c r="D143" s="15" t="s">
        <v>188</v>
      </c>
      <c r="E143" s="20">
        <v>2518500</v>
      </c>
      <c r="F143" s="21">
        <v>1580.1949999999999</v>
      </c>
      <c r="G143" s="22">
        <v>1.2999999999999999E-3</v>
      </c>
      <c r="H143" s="23">
        <v>6.9317000000000004E-2</v>
      </c>
      <c r="I143" s="24"/>
      <c r="J143" s="5"/>
    </row>
    <row r="144" spans="1:10" ht="13.05" customHeight="1">
      <c r="A144" s="18" t="s">
        <v>5121</v>
      </c>
      <c r="B144" s="19" t="s">
        <v>5122</v>
      </c>
      <c r="C144" s="15" t="s">
        <v>5123</v>
      </c>
      <c r="D144" s="15" t="s">
        <v>213</v>
      </c>
      <c r="E144" s="20">
        <v>1500</v>
      </c>
      <c r="F144" s="21">
        <v>1526.0715</v>
      </c>
      <c r="G144" s="22">
        <v>1.1999999999999999E-3</v>
      </c>
      <c r="H144" s="23">
        <v>7.1599999999999997E-2</v>
      </c>
      <c r="I144" s="24"/>
      <c r="J144" s="5"/>
    </row>
    <row r="145" spans="1:10" ht="13.05" customHeight="1">
      <c r="A145" s="18" t="s">
        <v>5124</v>
      </c>
      <c r="B145" s="19" t="s">
        <v>5125</v>
      </c>
      <c r="C145" s="15" t="s">
        <v>5126</v>
      </c>
      <c r="D145" s="15" t="s">
        <v>188</v>
      </c>
      <c r="E145" s="20">
        <v>1690000</v>
      </c>
      <c r="F145" s="21">
        <v>1521.7148999999999</v>
      </c>
      <c r="G145" s="22">
        <v>1.1999999999999999E-3</v>
      </c>
      <c r="H145" s="23">
        <v>5.9725E-2</v>
      </c>
      <c r="I145" s="24"/>
      <c r="J145" s="5"/>
    </row>
    <row r="146" spans="1:10" ht="13.05" customHeight="1">
      <c r="A146" s="18" t="s">
        <v>2538</v>
      </c>
      <c r="B146" s="19" t="s">
        <v>2539</v>
      </c>
      <c r="C146" s="15" t="s">
        <v>2540</v>
      </c>
      <c r="D146" s="15" t="s">
        <v>213</v>
      </c>
      <c r="E146" s="20">
        <v>1500</v>
      </c>
      <c r="F146" s="21">
        <v>1515.6120000000001</v>
      </c>
      <c r="G146" s="22">
        <v>1.1999999999999999E-3</v>
      </c>
      <c r="H146" s="23">
        <v>7.1099999999999997E-2</v>
      </c>
      <c r="I146" s="24"/>
      <c r="J146" s="5"/>
    </row>
    <row r="147" spans="1:10" ht="13.05" customHeight="1">
      <c r="A147" s="18" t="s">
        <v>5127</v>
      </c>
      <c r="B147" s="19" t="s">
        <v>5128</v>
      </c>
      <c r="C147" s="15" t="s">
        <v>5129</v>
      </c>
      <c r="D147" s="15" t="s">
        <v>188</v>
      </c>
      <c r="E147" s="20">
        <v>1541400</v>
      </c>
      <c r="F147" s="21">
        <v>1289.2193</v>
      </c>
      <c r="G147" s="22">
        <v>1E-3</v>
      </c>
      <c r="H147" s="23">
        <v>6.1911000000000001E-2</v>
      </c>
      <c r="I147" s="24"/>
      <c r="J147" s="5"/>
    </row>
    <row r="148" spans="1:10" ht="13.05" customHeight="1">
      <c r="A148" s="18" t="s">
        <v>5130</v>
      </c>
      <c r="B148" s="19" t="s">
        <v>5131</v>
      </c>
      <c r="C148" s="15" t="s">
        <v>5132</v>
      </c>
      <c r="D148" s="15" t="s">
        <v>188</v>
      </c>
      <c r="E148" s="20">
        <v>1162000</v>
      </c>
      <c r="F148" s="21">
        <v>1203.1533999999999</v>
      </c>
      <c r="G148" s="22">
        <v>1E-3</v>
      </c>
      <c r="H148" s="23"/>
      <c r="I148" s="24"/>
      <c r="J148" s="5"/>
    </row>
    <row r="149" spans="1:10" ht="13.05" customHeight="1">
      <c r="A149" s="18" t="s">
        <v>3908</v>
      </c>
      <c r="B149" s="19" t="s">
        <v>3909</v>
      </c>
      <c r="C149" s="15" t="s">
        <v>3910</v>
      </c>
      <c r="D149" s="15" t="s">
        <v>213</v>
      </c>
      <c r="E149" s="20">
        <v>119</v>
      </c>
      <c r="F149" s="21">
        <v>1189.1146000000001</v>
      </c>
      <c r="G149" s="22">
        <v>1E-3</v>
      </c>
      <c r="H149" s="23">
        <v>6.0997999999999997E-2</v>
      </c>
      <c r="I149" s="24"/>
      <c r="J149" s="5"/>
    </row>
    <row r="150" spans="1:10" ht="13.05" customHeight="1">
      <c r="A150" s="18" t="s">
        <v>5133</v>
      </c>
      <c r="B150" s="19" t="s">
        <v>5134</v>
      </c>
      <c r="C150" s="15" t="s">
        <v>5135</v>
      </c>
      <c r="D150" s="15" t="s">
        <v>188</v>
      </c>
      <c r="E150" s="20">
        <v>1000000</v>
      </c>
      <c r="F150" s="21">
        <v>1026.559</v>
      </c>
      <c r="G150" s="22">
        <v>8.0000000000000004E-4</v>
      </c>
      <c r="H150" s="23">
        <v>6.7081000000000002E-2</v>
      </c>
      <c r="I150" s="24"/>
      <c r="J150" s="5"/>
    </row>
    <row r="151" spans="1:10" ht="13.05" customHeight="1">
      <c r="A151" s="18" t="s">
        <v>1997</v>
      </c>
      <c r="B151" s="19" t="s">
        <v>1998</v>
      </c>
      <c r="C151" s="15" t="s">
        <v>1999</v>
      </c>
      <c r="D151" s="15" t="s">
        <v>213</v>
      </c>
      <c r="E151" s="20">
        <v>1000</v>
      </c>
      <c r="F151" s="21">
        <v>1021.008</v>
      </c>
      <c r="G151" s="22">
        <v>8.0000000000000004E-4</v>
      </c>
      <c r="H151" s="23">
        <v>6.4898999999999998E-2</v>
      </c>
      <c r="I151" s="24"/>
      <c r="J151" s="5"/>
    </row>
    <row r="152" spans="1:10" ht="13.05" customHeight="1">
      <c r="A152" s="18" t="s">
        <v>5136</v>
      </c>
      <c r="B152" s="19" t="s">
        <v>5137</v>
      </c>
      <c r="C152" s="15" t="s">
        <v>5138</v>
      </c>
      <c r="D152" s="15" t="s">
        <v>2447</v>
      </c>
      <c r="E152" s="20">
        <v>1000</v>
      </c>
      <c r="F152" s="21">
        <v>1006.276</v>
      </c>
      <c r="G152" s="22">
        <v>8.0000000000000004E-4</v>
      </c>
      <c r="H152" s="23">
        <v>7.1800000000000003E-2</v>
      </c>
      <c r="I152" s="24"/>
      <c r="J152" s="5"/>
    </row>
    <row r="153" spans="1:10" ht="13.05" customHeight="1">
      <c r="A153" s="18" t="s">
        <v>5139</v>
      </c>
      <c r="B153" s="19" t="s">
        <v>5140</v>
      </c>
      <c r="C153" s="15" t="s">
        <v>5141</v>
      </c>
      <c r="D153" s="15" t="s">
        <v>213</v>
      </c>
      <c r="E153" s="20">
        <v>100</v>
      </c>
      <c r="F153" s="21">
        <v>996.09799999999996</v>
      </c>
      <c r="G153" s="22">
        <v>8.0000000000000004E-4</v>
      </c>
      <c r="H153" s="23">
        <v>6.5199999999999994E-2</v>
      </c>
      <c r="I153" s="24"/>
      <c r="J153" s="5"/>
    </row>
    <row r="154" spans="1:10" ht="13.05" customHeight="1">
      <c r="A154" s="18" t="s">
        <v>5142</v>
      </c>
      <c r="B154" s="19" t="s">
        <v>5143</v>
      </c>
      <c r="C154" s="15" t="s">
        <v>5144</v>
      </c>
      <c r="D154" s="15" t="s">
        <v>188</v>
      </c>
      <c r="E154" s="20">
        <v>1063500</v>
      </c>
      <c r="F154" s="21">
        <v>989.11770000000001</v>
      </c>
      <c r="G154" s="22">
        <v>8.0000000000000004E-4</v>
      </c>
      <c r="H154" s="23">
        <v>5.9186000000000002E-2</v>
      </c>
      <c r="I154" s="24"/>
      <c r="J154" s="5"/>
    </row>
    <row r="155" spans="1:10" ht="13.05" customHeight="1">
      <c r="A155" s="18" t="s">
        <v>5145</v>
      </c>
      <c r="B155" s="19" t="s">
        <v>5146</v>
      </c>
      <c r="C155" s="15" t="s">
        <v>5147</v>
      </c>
      <c r="D155" s="15" t="s">
        <v>188</v>
      </c>
      <c r="E155" s="20">
        <v>1063500</v>
      </c>
      <c r="F155" s="21">
        <v>931.57920000000001</v>
      </c>
      <c r="G155" s="22">
        <v>8.0000000000000004E-4</v>
      </c>
      <c r="H155" s="23">
        <v>6.0329000000000001E-2</v>
      </c>
      <c r="I155" s="24"/>
      <c r="J155" s="5"/>
    </row>
    <row r="156" spans="1:10" ht="13.05" customHeight="1">
      <c r="A156" s="18" t="s">
        <v>2210</v>
      </c>
      <c r="B156" s="19" t="s">
        <v>2211</v>
      </c>
      <c r="C156" s="15" t="s">
        <v>2212</v>
      </c>
      <c r="D156" s="15" t="s">
        <v>213</v>
      </c>
      <c r="E156" s="20">
        <v>70</v>
      </c>
      <c r="F156" s="21">
        <v>701.11159999999995</v>
      </c>
      <c r="G156" s="22">
        <v>5.9999999999999995E-4</v>
      </c>
      <c r="H156" s="23">
        <v>6.1098E-2</v>
      </c>
      <c r="I156" s="24"/>
      <c r="J156" s="5"/>
    </row>
    <row r="157" spans="1:10" ht="13.05" customHeight="1">
      <c r="A157" s="18" t="s">
        <v>5148</v>
      </c>
      <c r="B157" s="19" t="s">
        <v>5149</v>
      </c>
      <c r="C157" s="15" t="s">
        <v>5150</v>
      </c>
      <c r="D157" s="15" t="s">
        <v>188</v>
      </c>
      <c r="E157" s="20">
        <v>500000</v>
      </c>
      <c r="F157" s="21">
        <v>560.84699999999998</v>
      </c>
      <c r="G157" s="22">
        <v>5.0000000000000001E-4</v>
      </c>
      <c r="H157" s="23">
        <v>6.3795000000000004E-2</v>
      </c>
      <c r="I157" s="24"/>
      <c r="J157" s="5"/>
    </row>
    <row r="158" spans="1:10" ht="13.05" customHeight="1">
      <c r="A158" s="18" t="s">
        <v>2737</v>
      </c>
      <c r="B158" s="19" t="s">
        <v>2738</v>
      </c>
      <c r="C158" s="15" t="s">
        <v>2739</v>
      </c>
      <c r="D158" s="15" t="s">
        <v>188</v>
      </c>
      <c r="E158" s="20">
        <v>500000</v>
      </c>
      <c r="F158" s="21">
        <v>523.56949999999995</v>
      </c>
      <c r="G158" s="22">
        <v>4.0000000000000002E-4</v>
      </c>
      <c r="H158" s="23">
        <v>6.3106999999999996E-2</v>
      </c>
      <c r="I158" s="24"/>
      <c r="J158" s="5"/>
    </row>
    <row r="159" spans="1:10" ht="13.05" customHeight="1">
      <c r="A159" s="18" t="s">
        <v>2716</v>
      </c>
      <c r="B159" s="19" t="s">
        <v>2717</v>
      </c>
      <c r="C159" s="15" t="s">
        <v>2718</v>
      </c>
      <c r="D159" s="15" t="s">
        <v>213</v>
      </c>
      <c r="E159" s="20">
        <v>50</v>
      </c>
      <c r="F159" s="21">
        <v>521.99850000000004</v>
      </c>
      <c r="G159" s="22">
        <v>4.0000000000000002E-4</v>
      </c>
      <c r="H159" s="23">
        <v>6.83E-2</v>
      </c>
      <c r="I159" s="24"/>
      <c r="J159" s="5"/>
    </row>
    <row r="160" spans="1:10" ht="13.05" customHeight="1">
      <c r="A160" s="18" t="s">
        <v>5151</v>
      </c>
      <c r="B160" s="19" t="s">
        <v>5152</v>
      </c>
      <c r="C160" s="15" t="s">
        <v>5153</v>
      </c>
      <c r="D160" s="15" t="s">
        <v>213</v>
      </c>
      <c r="E160" s="20">
        <v>50</v>
      </c>
      <c r="F160" s="21">
        <v>521.98599999999999</v>
      </c>
      <c r="G160" s="22">
        <v>4.0000000000000002E-4</v>
      </c>
      <c r="H160" s="23">
        <v>6.7400000000000002E-2</v>
      </c>
      <c r="I160" s="24"/>
      <c r="J160" s="5"/>
    </row>
    <row r="161" spans="1:10" ht="13.05" customHeight="1">
      <c r="A161" s="18" t="s">
        <v>5154</v>
      </c>
      <c r="B161" s="19" t="s">
        <v>5155</v>
      </c>
      <c r="C161" s="15" t="s">
        <v>5156</v>
      </c>
      <c r="D161" s="15" t="s">
        <v>213</v>
      </c>
      <c r="E161" s="20">
        <v>50</v>
      </c>
      <c r="F161" s="21">
        <v>515.42999999999995</v>
      </c>
      <c r="G161" s="22">
        <v>4.0000000000000002E-4</v>
      </c>
      <c r="H161" s="23">
        <v>6.9949999999999998E-2</v>
      </c>
      <c r="I161" s="24"/>
      <c r="J161" s="5"/>
    </row>
    <row r="162" spans="1:10" ht="13.05" customHeight="1">
      <c r="A162" s="18" t="s">
        <v>4630</v>
      </c>
      <c r="B162" s="19" t="s">
        <v>4631</v>
      </c>
      <c r="C162" s="15" t="s">
        <v>4632</v>
      </c>
      <c r="D162" s="15" t="s">
        <v>213</v>
      </c>
      <c r="E162" s="20">
        <v>500</v>
      </c>
      <c r="F162" s="21">
        <v>507.18599999999998</v>
      </c>
      <c r="G162" s="22">
        <v>4.0000000000000002E-4</v>
      </c>
      <c r="H162" s="23">
        <v>6.7650000000000002E-2</v>
      </c>
      <c r="I162" s="24"/>
      <c r="J162" s="5"/>
    </row>
    <row r="163" spans="1:10" ht="13.05" customHeight="1">
      <c r="A163" s="18" t="s">
        <v>2039</v>
      </c>
      <c r="B163" s="19" t="s">
        <v>2040</v>
      </c>
      <c r="C163" s="15" t="s">
        <v>2041</v>
      </c>
      <c r="D163" s="15" t="s">
        <v>213</v>
      </c>
      <c r="E163" s="20">
        <v>500</v>
      </c>
      <c r="F163" s="21">
        <v>506.84199999999998</v>
      </c>
      <c r="G163" s="22">
        <v>4.0000000000000002E-4</v>
      </c>
      <c r="H163" s="23">
        <v>7.0599999999999996E-2</v>
      </c>
      <c r="I163" s="24"/>
      <c r="J163" s="5"/>
    </row>
    <row r="164" spans="1:10" ht="13.05" customHeight="1">
      <c r="A164" s="18" t="s">
        <v>238</v>
      </c>
      <c r="B164" s="19" t="s">
        <v>239</v>
      </c>
      <c r="C164" s="15" t="s">
        <v>240</v>
      </c>
      <c r="D164" s="15" t="s">
        <v>213</v>
      </c>
      <c r="E164" s="20">
        <v>50</v>
      </c>
      <c r="F164" s="21">
        <v>502.32</v>
      </c>
      <c r="G164" s="22">
        <v>4.0000000000000002E-4</v>
      </c>
      <c r="H164" s="23">
        <v>6.3242000000000007E-2</v>
      </c>
      <c r="I164" s="24"/>
      <c r="J164" s="5"/>
    </row>
    <row r="165" spans="1:10" ht="13.05" customHeight="1">
      <c r="A165" s="18" t="s">
        <v>5157</v>
      </c>
      <c r="B165" s="19" t="s">
        <v>5158</v>
      </c>
      <c r="C165" s="15" t="s">
        <v>5159</v>
      </c>
      <c r="D165" s="15" t="s">
        <v>188</v>
      </c>
      <c r="E165" s="20">
        <v>500000</v>
      </c>
      <c r="F165" s="21">
        <v>499.95499999999998</v>
      </c>
      <c r="G165" s="22">
        <v>4.0000000000000002E-4</v>
      </c>
      <c r="H165" s="23">
        <v>6.8018999999999996E-2</v>
      </c>
      <c r="I165" s="24"/>
      <c r="J165" s="5"/>
    </row>
    <row r="166" spans="1:10" ht="13.05" customHeight="1">
      <c r="A166" s="18" t="s">
        <v>5160</v>
      </c>
      <c r="B166" s="19" t="s">
        <v>5161</v>
      </c>
      <c r="C166" s="15" t="s">
        <v>5162</v>
      </c>
      <c r="D166" s="15" t="s">
        <v>213</v>
      </c>
      <c r="E166" s="20">
        <v>50</v>
      </c>
      <c r="F166" s="21">
        <v>499.1105</v>
      </c>
      <c r="G166" s="22">
        <v>4.0000000000000002E-4</v>
      </c>
      <c r="H166" s="23">
        <v>6.6350000000000006E-2</v>
      </c>
      <c r="I166" s="24"/>
      <c r="J166" s="5"/>
    </row>
    <row r="167" spans="1:10" ht="13.05" customHeight="1">
      <c r="A167" s="18" t="s">
        <v>2512</v>
      </c>
      <c r="B167" s="19" t="s">
        <v>2513</v>
      </c>
      <c r="C167" s="15" t="s">
        <v>2514</v>
      </c>
      <c r="D167" s="15" t="s">
        <v>188</v>
      </c>
      <c r="E167" s="20">
        <v>484600</v>
      </c>
      <c r="F167" s="21">
        <v>496.99610000000001</v>
      </c>
      <c r="G167" s="22">
        <v>4.0000000000000002E-4</v>
      </c>
      <c r="H167" s="23">
        <v>5.7950000000000002E-2</v>
      </c>
      <c r="I167" s="24"/>
      <c r="J167" s="5"/>
    </row>
    <row r="168" spans="1:10" ht="13.05" customHeight="1">
      <c r="A168" s="18" t="s">
        <v>3549</v>
      </c>
      <c r="B168" s="19" t="s">
        <v>3550</v>
      </c>
      <c r="C168" s="15" t="s">
        <v>3551</v>
      </c>
      <c r="D168" s="15" t="s">
        <v>188</v>
      </c>
      <c r="E168" s="20">
        <v>479400</v>
      </c>
      <c r="F168" s="21">
        <v>494.6651</v>
      </c>
      <c r="G168" s="22">
        <v>4.0000000000000002E-4</v>
      </c>
      <c r="H168" s="23">
        <v>6.1286E-2</v>
      </c>
      <c r="I168" s="24"/>
      <c r="J168" s="5"/>
    </row>
    <row r="169" spans="1:10" ht="13.05" customHeight="1">
      <c r="A169" s="18" t="s">
        <v>2483</v>
      </c>
      <c r="B169" s="19" t="s">
        <v>2484</v>
      </c>
      <c r="C169" s="15" t="s">
        <v>2485</v>
      </c>
      <c r="D169" s="15" t="s">
        <v>188</v>
      </c>
      <c r="E169" s="20">
        <v>455600</v>
      </c>
      <c r="F169" s="21">
        <v>457.27249999999998</v>
      </c>
      <c r="G169" s="22">
        <v>4.0000000000000002E-4</v>
      </c>
      <c r="H169" s="23">
        <v>5.5509000000000003E-2</v>
      </c>
      <c r="I169" s="24"/>
      <c r="J169" s="5"/>
    </row>
    <row r="170" spans="1:10" ht="13.05" customHeight="1">
      <c r="A170" s="18" t="s">
        <v>5163</v>
      </c>
      <c r="B170" s="19" t="s">
        <v>5164</v>
      </c>
      <c r="C170" s="15" t="s">
        <v>5165</v>
      </c>
      <c r="D170" s="15" t="s">
        <v>188</v>
      </c>
      <c r="E170" s="20">
        <v>452300</v>
      </c>
      <c r="F170" s="21">
        <v>452.42169999999999</v>
      </c>
      <c r="G170" s="22">
        <v>4.0000000000000002E-4</v>
      </c>
      <c r="H170" s="23">
        <v>6.7760000000000001E-2</v>
      </c>
      <c r="I170" s="24"/>
      <c r="J170" s="5"/>
    </row>
    <row r="171" spans="1:10" ht="13.05" customHeight="1">
      <c r="A171" s="18" t="s">
        <v>5166</v>
      </c>
      <c r="B171" s="19" t="s">
        <v>5167</v>
      </c>
      <c r="C171" s="15" t="s">
        <v>5168</v>
      </c>
      <c r="D171" s="15" t="s">
        <v>188</v>
      </c>
      <c r="E171" s="20">
        <v>410900</v>
      </c>
      <c r="F171" s="21">
        <v>410.58940000000001</v>
      </c>
      <c r="G171" s="22">
        <v>2.9999999999999997E-4</v>
      </c>
      <c r="H171" s="23">
        <v>6.7598000000000005E-2</v>
      </c>
      <c r="I171" s="24"/>
      <c r="J171" s="5"/>
    </row>
    <row r="172" spans="1:10" ht="13.05" customHeight="1">
      <c r="A172" s="18" t="s">
        <v>2575</v>
      </c>
      <c r="B172" s="19" t="s">
        <v>2576</v>
      </c>
      <c r="C172" s="15" t="s">
        <v>2577</v>
      </c>
      <c r="D172" s="15" t="s">
        <v>188</v>
      </c>
      <c r="E172" s="20">
        <v>418400</v>
      </c>
      <c r="F172" s="21">
        <v>410.20769999999999</v>
      </c>
      <c r="G172" s="22">
        <v>2.9999999999999997E-4</v>
      </c>
      <c r="H172" s="23">
        <v>7.0114999999999997E-2</v>
      </c>
      <c r="I172" s="24"/>
      <c r="J172" s="5"/>
    </row>
    <row r="173" spans="1:10" ht="13.05" customHeight="1">
      <c r="A173" s="18" t="s">
        <v>5169</v>
      </c>
      <c r="B173" s="19" t="s">
        <v>5170</v>
      </c>
      <c r="C173" s="15" t="s">
        <v>5171</v>
      </c>
      <c r="D173" s="15" t="s">
        <v>3130</v>
      </c>
      <c r="E173" s="20">
        <v>39254</v>
      </c>
      <c r="F173" s="21">
        <v>398.07049999999998</v>
      </c>
      <c r="G173" s="22">
        <v>2.9999999999999997E-4</v>
      </c>
      <c r="H173" s="23">
        <v>7.2300000000000003E-2</v>
      </c>
      <c r="I173" s="24"/>
      <c r="J173" s="5"/>
    </row>
    <row r="174" spans="1:10" ht="13.05" customHeight="1">
      <c r="A174" s="18" t="s">
        <v>2749</v>
      </c>
      <c r="B174" s="19" t="s">
        <v>2750</v>
      </c>
      <c r="C174" s="15" t="s">
        <v>2751</v>
      </c>
      <c r="D174" s="15" t="s">
        <v>188</v>
      </c>
      <c r="E174" s="20">
        <v>359600</v>
      </c>
      <c r="F174" s="21">
        <v>373.88619999999997</v>
      </c>
      <c r="G174" s="22">
        <v>2.9999999999999997E-4</v>
      </c>
      <c r="H174" s="23">
        <v>5.9818999999999997E-2</v>
      </c>
      <c r="I174" s="24"/>
      <c r="J174" s="5"/>
    </row>
    <row r="175" spans="1:10" ht="13.05" customHeight="1">
      <c r="A175" s="18" t="s">
        <v>2728</v>
      </c>
      <c r="B175" s="19" t="s">
        <v>2729</v>
      </c>
      <c r="C175" s="15" t="s">
        <v>2730</v>
      </c>
      <c r="D175" s="15" t="s">
        <v>188</v>
      </c>
      <c r="E175" s="20">
        <v>339100</v>
      </c>
      <c r="F175" s="21">
        <v>351.32249999999999</v>
      </c>
      <c r="G175" s="22">
        <v>2.9999999999999997E-4</v>
      </c>
      <c r="H175" s="23">
        <v>6.3281000000000004E-2</v>
      </c>
      <c r="I175" s="24"/>
      <c r="J175" s="5"/>
    </row>
    <row r="176" spans="1:10" ht="13.05" customHeight="1">
      <c r="A176" s="18" t="s">
        <v>5172</v>
      </c>
      <c r="B176" s="19" t="s">
        <v>5173</v>
      </c>
      <c r="C176" s="15" t="s">
        <v>5174</v>
      </c>
      <c r="D176" s="15" t="s">
        <v>188</v>
      </c>
      <c r="E176" s="20">
        <v>333600</v>
      </c>
      <c r="F176" s="21">
        <v>341.05599999999998</v>
      </c>
      <c r="G176" s="22">
        <v>2.9999999999999997E-4</v>
      </c>
      <c r="H176" s="23">
        <v>6.2222E-2</v>
      </c>
      <c r="I176" s="24"/>
      <c r="J176" s="5"/>
    </row>
    <row r="177" spans="1:10" ht="13.05" customHeight="1">
      <c r="A177" s="18" t="s">
        <v>2876</v>
      </c>
      <c r="B177" s="19" t="s">
        <v>2877</v>
      </c>
      <c r="C177" s="15" t="s">
        <v>2878</v>
      </c>
      <c r="D177" s="15" t="s">
        <v>188</v>
      </c>
      <c r="E177" s="20">
        <v>297600</v>
      </c>
      <c r="F177" s="21">
        <v>298.47230000000002</v>
      </c>
      <c r="G177" s="22">
        <v>2.0000000000000001E-4</v>
      </c>
      <c r="H177" s="23">
        <v>7.4507000000000004E-2</v>
      </c>
      <c r="I177" s="24"/>
      <c r="J177" s="5"/>
    </row>
    <row r="178" spans="1:10" ht="13.05" customHeight="1">
      <c r="A178" s="18" t="s">
        <v>2870</v>
      </c>
      <c r="B178" s="19" t="s">
        <v>2871</v>
      </c>
      <c r="C178" s="15" t="s">
        <v>2872</v>
      </c>
      <c r="D178" s="15" t="s">
        <v>188</v>
      </c>
      <c r="E178" s="20">
        <v>251700</v>
      </c>
      <c r="F178" s="21">
        <v>254.215</v>
      </c>
      <c r="G178" s="22">
        <v>2.0000000000000001E-4</v>
      </c>
      <c r="H178" s="23">
        <v>7.3451000000000002E-2</v>
      </c>
      <c r="I178" s="24"/>
      <c r="J178" s="5"/>
    </row>
    <row r="179" spans="1:10" ht="13.05" customHeight="1">
      <c r="A179" s="18" t="s">
        <v>5175</v>
      </c>
      <c r="B179" s="19" t="s">
        <v>5176</v>
      </c>
      <c r="C179" s="15" t="s">
        <v>5177</v>
      </c>
      <c r="D179" s="15" t="s">
        <v>188</v>
      </c>
      <c r="E179" s="20">
        <v>244400</v>
      </c>
      <c r="F179" s="21">
        <v>245.6987</v>
      </c>
      <c r="G179" s="22">
        <v>2.0000000000000001E-4</v>
      </c>
      <c r="H179" s="23">
        <v>7.1865999999999999E-2</v>
      </c>
      <c r="I179" s="24"/>
      <c r="J179" s="5"/>
    </row>
    <row r="180" spans="1:10" ht="13.05" customHeight="1">
      <c r="A180" s="18" t="s">
        <v>5178</v>
      </c>
      <c r="B180" s="19" t="s">
        <v>5179</v>
      </c>
      <c r="C180" s="15" t="s">
        <v>5180</v>
      </c>
      <c r="D180" s="15" t="s">
        <v>188</v>
      </c>
      <c r="E180" s="20">
        <v>240400</v>
      </c>
      <c r="F180" s="21">
        <v>244.1387</v>
      </c>
      <c r="G180" s="22">
        <v>2.0000000000000001E-4</v>
      </c>
      <c r="H180" s="23">
        <v>5.7993000000000003E-2</v>
      </c>
      <c r="I180" s="24"/>
      <c r="J180" s="5"/>
    </row>
    <row r="181" spans="1:10" ht="13.05" customHeight="1">
      <c r="A181" s="18" t="s">
        <v>2743</v>
      </c>
      <c r="B181" s="19" t="s">
        <v>2744</v>
      </c>
      <c r="C181" s="15" t="s">
        <v>2745</v>
      </c>
      <c r="D181" s="15" t="s">
        <v>188</v>
      </c>
      <c r="E181" s="20">
        <v>237200</v>
      </c>
      <c r="F181" s="21">
        <v>235.3005</v>
      </c>
      <c r="G181" s="22">
        <v>2.0000000000000001E-4</v>
      </c>
      <c r="H181" s="23">
        <v>6.5299999999999997E-2</v>
      </c>
      <c r="I181" s="24"/>
      <c r="J181" s="5"/>
    </row>
    <row r="182" spans="1:10" ht="13.05" customHeight="1">
      <c r="A182" s="18" t="s">
        <v>3647</v>
      </c>
      <c r="B182" s="19" t="s">
        <v>3648</v>
      </c>
      <c r="C182" s="15" t="s">
        <v>3649</v>
      </c>
      <c r="D182" s="15" t="s">
        <v>188</v>
      </c>
      <c r="E182" s="20">
        <v>223500</v>
      </c>
      <c r="F182" s="21">
        <v>220.3227</v>
      </c>
      <c r="G182" s="22">
        <v>2.0000000000000001E-4</v>
      </c>
      <c r="H182" s="23">
        <v>6.6395999999999997E-2</v>
      </c>
      <c r="I182" s="24"/>
      <c r="J182" s="5"/>
    </row>
    <row r="183" spans="1:10" ht="13.05" customHeight="1">
      <c r="A183" s="18" t="s">
        <v>3917</v>
      </c>
      <c r="B183" s="19" t="s">
        <v>3918</v>
      </c>
      <c r="C183" s="15" t="s">
        <v>3919</v>
      </c>
      <c r="D183" s="15" t="s">
        <v>188</v>
      </c>
      <c r="E183" s="20">
        <v>210000</v>
      </c>
      <c r="F183" s="21">
        <v>215.1431</v>
      </c>
      <c r="G183" s="22">
        <v>2.0000000000000001E-4</v>
      </c>
      <c r="H183" s="23">
        <v>5.8201000000000003E-2</v>
      </c>
      <c r="I183" s="24"/>
      <c r="J183" s="5"/>
    </row>
    <row r="184" spans="1:10" ht="13.05" customHeight="1">
      <c r="A184" s="18" t="s">
        <v>3911</v>
      </c>
      <c r="B184" s="19" t="s">
        <v>3912</v>
      </c>
      <c r="C184" s="15" t="s">
        <v>3913</v>
      </c>
      <c r="D184" s="15" t="s">
        <v>188</v>
      </c>
      <c r="E184" s="20">
        <v>200000</v>
      </c>
      <c r="F184" s="21">
        <v>207.6918</v>
      </c>
      <c r="G184" s="22">
        <v>2.0000000000000001E-4</v>
      </c>
      <c r="H184" s="23">
        <v>6.0073000000000001E-2</v>
      </c>
      <c r="I184" s="24"/>
      <c r="J184" s="5"/>
    </row>
    <row r="185" spans="1:10" ht="13.05" customHeight="1">
      <c r="A185" s="18" t="s">
        <v>2802</v>
      </c>
      <c r="B185" s="19" t="s">
        <v>2803</v>
      </c>
      <c r="C185" s="15" t="s">
        <v>2804</v>
      </c>
      <c r="D185" s="15" t="s">
        <v>188</v>
      </c>
      <c r="E185" s="20">
        <v>200000</v>
      </c>
      <c r="F185" s="21">
        <v>204.4016</v>
      </c>
      <c r="G185" s="22">
        <v>2.0000000000000001E-4</v>
      </c>
      <c r="H185" s="23">
        <v>6.1209E-2</v>
      </c>
      <c r="I185" s="24"/>
      <c r="J185" s="5"/>
    </row>
    <row r="186" spans="1:10" ht="13.05" customHeight="1">
      <c r="A186" s="18" t="s">
        <v>2814</v>
      </c>
      <c r="B186" s="19" t="s">
        <v>2815</v>
      </c>
      <c r="C186" s="15" t="s">
        <v>2816</v>
      </c>
      <c r="D186" s="15" t="s">
        <v>188</v>
      </c>
      <c r="E186" s="20">
        <v>200000</v>
      </c>
      <c r="F186" s="21">
        <v>204.30840000000001</v>
      </c>
      <c r="G186" s="22">
        <v>2.0000000000000001E-4</v>
      </c>
      <c r="H186" s="23">
        <v>6.1428999999999997E-2</v>
      </c>
      <c r="I186" s="24"/>
      <c r="J186" s="5"/>
    </row>
    <row r="187" spans="1:10" ht="13.05" customHeight="1">
      <c r="A187" s="18" t="s">
        <v>2474</v>
      </c>
      <c r="B187" s="19" t="s">
        <v>2475</v>
      </c>
      <c r="C187" s="15" t="s">
        <v>2476</v>
      </c>
      <c r="D187" s="15" t="s">
        <v>188</v>
      </c>
      <c r="E187" s="20">
        <v>200000</v>
      </c>
      <c r="F187" s="21">
        <v>197.35120000000001</v>
      </c>
      <c r="G187" s="22">
        <v>2.0000000000000001E-4</v>
      </c>
      <c r="H187" s="23">
        <v>6.4801999999999998E-2</v>
      </c>
      <c r="I187" s="24"/>
      <c r="J187" s="5"/>
    </row>
    <row r="188" spans="1:10" ht="13.05" customHeight="1">
      <c r="A188" s="18" t="s">
        <v>1958</v>
      </c>
      <c r="B188" s="19" t="s">
        <v>1959</v>
      </c>
      <c r="C188" s="15" t="s">
        <v>1960</v>
      </c>
      <c r="D188" s="15" t="s">
        <v>188</v>
      </c>
      <c r="E188" s="20">
        <v>150000</v>
      </c>
      <c r="F188" s="21">
        <v>155.77879999999999</v>
      </c>
      <c r="G188" s="22">
        <v>1E-4</v>
      </c>
      <c r="H188" s="23">
        <v>6.6900000000000001E-2</v>
      </c>
      <c r="I188" s="24"/>
      <c r="J188" s="5"/>
    </row>
    <row r="189" spans="1:10" ht="13.05" customHeight="1">
      <c r="A189" s="18" t="s">
        <v>2441</v>
      </c>
      <c r="B189" s="19" t="s">
        <v>2442</v>
      </c>
      <c r="C189" s="15" t="s">
        <v>2443</v>
      </c>
      <c r="D189" s="15" t="s">
        <v>188</v>
      </c>
      <c r="E189" s="20">
        <v>125200</v>
      </c>
      <c r="F189" s="21">
        <v>129.23230000000001</v>
      </c>
      <c r="G189" s="22">
        <v>1E-4</v>
      </c>
      <c r="H189" s="23">
        <v>6.7038E-2</v>
      </c>
      <c r="I189" s="24"/>
      <c r="J189" s="5"/>
    </row>
    <row r="190" spans="1:10" ht="13.05" customHeight="1">
      <c r="A190" s="18" t="s">
        <v>2270</v>
      </c>
      <c r="B190" s="19" t="s">
        <v>2271</v>
      </c>
      <c r="C190" s="15" t="s">
        <v>2272</v>
      </c>
      <c r="D190" s="15" t="s">
        <v>188</v>
      </c>
      <c r="E190" s="20">
        <v>127200</v>
      </c>
      <c r="F190" s="21">
        <v>127.4567</v>
      </c>
      <c r="G190" s="22">
        <v>1E-4</v>
      </c>
      <c r="H190" s="23">
        <v>7.0156999999999997E-2</v>
      </c>
      <c r="I190" s="24"/>
      <c r="J190" s="5"/>
    </row>
    <row r="191" spans="1:10" ht="13.05" customHeight="1">
      <c r="A191" s="18" t="s">
        <v>5181</v>
      </c>
      <c r="B191" s="19" t="s">
        <v>5182</v>
      </c>
      <c r="C191" s="15" t="s">
        <v>5183</v>
      </c>
      <c r="D191" s="15" t="s">
        <v>2571</v>
      </c>
      <c r="E191" s="20">
        <v>10</v>
      </c>
      <c r="F191" s="21">
        <v>102.4949</v>
      </c>
      <c r="G191" s="22">
        <v>1E-4</v>
      </c>
      <c r="H191" s="23">
        <v>6.9150000000000003E-2</v>
      </c>
      <c r="I191" s="24"/>
      <c r="J191" s="5"/>
    </row>
    <row r="192" spans="1:10" ht="13.05" customHeight="1">
      <c r="A192" s="18" t="s">
        <v>2367</v>
      </c>
      <c r="B192" s="19" t="s">
        <v>2368</v>
      </c>
      <c r="C192" s="15" t="s">
        <v>2369</v>
      </c>
      <c r="D192" s="15" t="s">
        <v>213</v>
      </c>
      <c r="E192" s="20">
        <v>100</v>
      </c>
      <c r="F192" s="21">
        <v>101.5625</v>
      </c>
      <c r="G192" s="22">
        <v>1E-4</v>
      </c>
      <c r="H192" s="23">
        <v>7.1599999999999997E-2</v>
      </c>
      <c r="I192" s="24"/>
      <c r="J192" s="5"/>
    </row>
    <row r="193" spans="1:10" ht="13.05" customHeight="1">
      <c r="A193" s="18" t="s">
        <v>5184</v>
      </c>
      <c r="B193" s="19" t="s">
        <v>5185</v>
      </c>
      <c r="C193" s="15" t="s">
        <v>5186</v>
      </c>
      <c r="D193" s="15" t="s">
        <v>188</v>
      </c>
      <c r="E193" s="20">
        <v>68700</v>
      </c>
      <c r="F193" s="21">
        <v>70.3005</v>
      </c>
      <c r="G193" s="22">
        <v>1E-4</v>
      </c>
      <c r="H193" s="23">
        <v>6.2371999999999997E-2</v>
      </c>
      <c r="I193" s="24"/>
      <c r="J193" s="5"/>
    </row>
    <row r="194" spans="1:10" ht="13.05" customHeight="1">
      <c r="A194" s="18" t="s">
        <v>5187</v>
      </c>
      <c r="B194" s="19" t="s">
        <v>5188</v>
      </c>
      <c r="C194" s="15" t="s">
        <v>5189</v>
      </c>
      <c r="D194" s="15" t="s">
        <v>213</v>
      </c>
      <c r="E194" s="20">
        <v>5</v>
      </c>
      <c r="F194" s="21">
        <v>51.007599999999996</v>
      </c>
      <c r="G194" s="40" t="s">
        <v>1809</v>
      </c>
      <c r="H194" s="23">
        <v>6.9599999999999995E-2</v>
      </c>
      <c r="I194" s="24"/>
      <c r="J194" s="5"/>
    </row>
    <row r="195" spans="1:10" ht="13.05" customHeight="1">
      <c r="A195" s="18" t="s">
        <v>2518</v>
      </c>
      <c r="B195" s="19" t="s">
        <v>2519</v>
      </c>
      <c r="C195" s="15" t="s">
        <v>2520</v>
      </c>
      <c r="D195" s="15" t="s">
        <v>188</v>
      </c>
      <c r="E195" s="20">
        <v>50000</v>
      </c>
      <c r="F195" s="21">
        <v>50.927100000000003</v>
      </c>
      <c r="G195" s="40" t="s">
        <v>1809</v>
      </c>
      <c r="H195" s="23">
        <v>6.0951999999999999E-2</v>
      </c>
      <c r="I195" s="24"/>
      <c r="J195" s="5"/>
    </row>
    <row r="196" spans="1:10" ht="13.05" customHeight="1">
      <c r="A196" s="18" t="s">
        <v>5190</v>
      </c>
      <c r="B196" s="19" t="s">
        <v>5191</v>
      </c>
      <c r="C196" s="15" t="s">
        <v>5192</v>
      </c>
      <c r="D196" s="15" t="s">
        <v>213</v>
      </c>
      <c r="E196" s="20">
        <v>50</v>
      </c>
      <c r="F196" s="21">
        <v>50.239699999999999</v>
      </c>
      <c r="G196" s="40" t="s">
        <v>1809</v>
      </c>
      <c r="H196" s="23">
        <v>7.0300000000000001E-2</v>
      </c>
      <c r="I196" s="24"/>
      <c r="J196" s="5"/>
    </row>
    <row r="197" spans="1:10" ht="13.05" customHeight="1">
      <c r="A197" s="18" t="s">
        <v>2987</v>
      </c>
      <c r="B197" s="19" t="s">
        <v>2988</v>
      </c>
      <c r="C197" s="15" t="s">
        <v>2989</v>
      </c>
      <c r="D197" s="15" t="s">
        <v>188</v>
      </c>
      <c r="E197" s="20">
        <v>35000</v>
      </c>
      <c r="F197" s="21">
        <v>37.296100000000003</v>
      </c>
      <c r="G197" s="40" t="s">
        <v>1809</v>
      </c>
      <c r="H197" s="23">
        <v>5.9117999999999997E-2</v>
      </c>
      <c r="I197" s="24"/>
      <c r="J197" s="5"/>
    </row>
    <row r="198" spans="1:10" ht="13.05" customHeight="1">
      <c r="A198" s="18" t="s">
        <v>3943</v>
      </c>
      <c r="B198" s="19" t="s">
        <v>3944</v>
      </c>
      <c r="C198" s="15" t="s">
        <v>3945</v>
      </c>
      <c r="D198" s="15" t="s">
        <v>188</v>
      </c>
      <c r="E198" s="20">
        <v>33900</v>
      </c>
      <c r="F198" s="21">
        <v>33.926699999999997</v>
      </c>
      <c r="G198" s="40" t="s">
        <v>1809</v>
      </c>
      <c r="H198" s="23">
        <v>6.5728999999999996E-2</v>
      </c>
      <c r="I198" s="24"/>
      <c r="J198" s="5"/>
    </row>
    <row r="199" spans="1:10" ht="13.05" customHeight="1">
      <c r="A199" s="18" t="s">
        <v>2719</v>
      </c>
      <c r="B199" s="19" t="s">
        <v>2720</v>
      </c>
      <c r="C199" s="15" t="s">
        <v>2721</v>
      </c>
      <c r="D199" s="15" t="s">
        <v>188</v>
      </c>
      <c r="E199" s="20">
        <v>31100</v>
      </c>
      <c r="F199" s="21">
        <v>31.920200000000001</v>
      </c>
      <c r="G199" s="40" t="s">
        <v>1809</v>
      </c>
      <c r="H199" s="23">
        <v>6.9646E-2</v>
      </c>
      <c r="I199" s="24"/>
      <c r="J199" s="5"/>
    </row>
    <row r="200" spans="1:10" ht="13.05" customHeight="1">
      <c r="A200" s="18" t="s">
        <v>3920</v>
      </c>
      <c r="B200" s="19" t="s">
        <v>3921</v>
      </c>
      <c r="C200" s="15" t="s">
        <v>3922</v>
      </c>
      <c r="D200" s="15" t="s">
        <v>188</v>
      </c>
      <c r="E200" s="20">
        <v>20800</v>
      </c>
      <c r="F200" s="21">
        <v>21.826599999999999</v>
      </c>
      <c r="G200" s="40" t="s">
        <v>1809</v>
      </c>
      <c r="H200" s="23">
        <v>6.0444999999999999E-2</v>
      </c>
      <c r="I200" s="24"/>
      <c r="J200" s="5"/>
    </row>
    <row r="201" spans="1:10" ht="13.05" customHeight="1">
      <c r="A201" s="18" t="s">
        <v>5193</v>
      </c>
      <c r="B201" s="19" t="s">
        <v>5194</v>
      </c>
      <c r="C201" s="15" t="s">
        <v>5195</v>
      </c>
      <c r="D201" s="15" t="s">
        <v>188</v>
      </c>
      <c r="E201" s="20">
        <v>17200</v>
      </c>
      <c r="F201" s="21">
        <v>17.495899999999999</v>
      </c>
      <c r="G201" s="40" t="s">
        <v>1809</v>
      </c>
      <c r="H201" s="23">
        <v>6.7680000000000004E-2</v>
      </c>
      <c r="I201" s="24"/>
      <c r="J201" s="5"/>
    </row>
    <row r="202" spans="1:10" ht="13.05" customHeight="1">
      <c r="A202" s="18" t="s">
        <v>5196</v>
      </c>
      <c r="B202" s="19" t="s">
        <v>5197</v>
      </c>
      <c r="C202" s="15" t="s">
        <v>5198</v>
      </c>
      <c r="D202" s="15" t="s">
        <v>188</v>
      </c>
      <c r="E202" s="20">
        <v>14000</v>
      </c>
      <c r="F202" s="21">
        <v>14.010999999999999</v>
      </c>
      <c r="G202" s="40" t="s">
        <v>1809</v>
      </c>
      <c r="H202" s="23">
        <v>5.6149999999999999E-2</v>
      </c>
      <c r="I202" s="24"/>
      <c r="J202" s="5"/>
    </row>
    <row r="203" spans="1:10" ht="13.05" customHeight="1">
      <c r="A203" s="18" t="s">
        <v>5199</v>
      </c>
      <c r="B203" s="19" t="s">
        <v>5200</v>
      </c>
      <c r="C203" s="15" t="s">
        <v>5201</v>
      </c>
      <c r="D203" s="15" t="s">
        <v>188</v>
      </c>
      <c r="E203" s="20">
        <v>9000</v>
      </c>
      <c r="F203" s="21">
        <v>10.0314</v>
      </c>
      <c r="G203" s="40" t="s">
        <v>1809</v>
      </c>
      <c r="H203" s="23">
        <v>6.4019000000000006E-2</v>
      </c>
      <c r="I203" s="24"/>
      <c r="J203" s="5"/>
    </row>
    <row r="204" spans="1:10" ht="13.05" customHeight="1">
      <c r="A204" s="18" t="s">
        <v>5202</v>
      </c>
      <c r="B204" s="19" t="s">
        <v>5203</v>
      </c>
      <c r="C204" s="15" t="s">
        <v>5204</v>
      </c>
      <c r="D204" s="15" t="s">
        <v>188</v>
      </c>
      <c r="E204" s="20">
        <v>7600</v>
      </c>
      <c r="F204" s="21">
        <v>7.7239000000000004</v>
      </c>
      <c r="G204" s="40" t="s">
        <v>1809</v>
      </c>
      <c r="H204" s="23">
        <v>7.3252999999999999E-2</v>
      </c>
      <c r="I204" s="24"/>
      <c r="J204" s="5"/>
    </row>
    <row r="205" spans="1:10" ht="13.05" customHeight="1">
      <c r="A205" s="18" t="s">
        <v>2264</v>
      </c>
      <c r="B205" s="19" t="s">
        <v>2265</v>
      </c>
      <c r="C205" s="15" t="s">
        <v>2266</v>
      </c>
      <c r="D205" s="15" t="s">
        <v>188</v>
      </c>
      <c r="E205" s="20">
        <v>6600</v>
      </c>
      <c r="F205" s="21">
        <v>6.4919000000000002</v>
      </c>
      <c r="G205" s="40" t="s">
        <v>1809</v>
      </c>
      <c r="H205" s="23">
        <v>6.3063999999999995E-2</v>
      </c>
      <c r="I205" s="24"/>
      <c r="J205" s="5"/>
    </row>
    <row r="206" spans="1:10" ht="13.05" customHeight="1">
      <c r="A206" s="18" t="s">
        <v>3902</v>
      </c>
      <c r="B206" s="19" t="s">
        <v>3903</v>
      </c>
      <c r="C206" s="15" t="s">
        <v>3904</v>
      </c>
      <c r="D206" s="15" t="s">
        <v>188</v>
      </c>
      <c r="E206" s="20">
        <v>200</v>
      </c>
      <c r="F206" s="21">
        <v>0.21249999999999999</v>
      </c>
      <c r="G206" s="40" t="s">
        <v>1809</v>
      </c>
      <c r="H206" s="23">
        <v>6.3278000000000001E-2</v>
      </c>
      <c r="I206" s="24"/>
      <c r="J206" s="5"/>
    </row>
    <row r="207" spans="1:10" ht="13.05" customHeight="1">
      <c r="A207" s="5"/>
      <c r="B207" s="14" t="s">
        <v>192</v>
      </c>
      <c r="C207" s="15"/>
      <c r="D207" s="15"/>
      <c r="E207" s="15"/>
      <c r="F207" s="25">
        <v>990383.48930000002</v>
      </c>
      <c r="G207" s="26">
        <v>0.80220000000000002</v>
      </c>
      <c r="H207" s="27"/>
      <c r="I207" s="28"/>
      <c r="J207" s="5"/>
    </row>
    <row r="208" spans="1:10" ht="13.05" customHeight="1">
      <c r="A208" s="5"/>
      <c r="B208" s="14" t="s">
        <v>193</v>
      </c>
      <c r="C208" s="15"/>
      <c r="D208" s="15"/>
      <c r="E208" s="15"/>
      <c r="F208" s="5"/>
      <c r="G208" s="16"/>
      <c r="H208" s="16"/>
      <c r="I208" s="17"/>
      <c r="J208" s="5"/>
    </row>
    <row r="209" spans="1:10" ht="13.05" customHeight="1">
      <c r="A209" s="18" t="s">
        <v>5205</v>
      </c>
      <c r="B209" s="19" t="s">
        <v>5206</v>
      </c>
      <c r="C209" s="15" t="s">
        <v>5207</v>
      </c>
      <c r="D209" s="15" t="s">
        <v>1957</v>
      </c>
      <c r="E209" s="20">
        <v>750</v>
      </c>
      <c r="F209" s="21">
        <v>7598.25</v>
      </c>
      <c r="G209" s="22">
        <v>6.1999999999999998E-3</v>
      </c>
      <c r="H209" s="23">
        <v>7.3296E-2</v>
      </c>
      <c r="I209" s="24"/>
      <c r="J209" s="5"/>
    </row>
    <row r="210" spans="1:10" ht="13.05" customHeight="1">
      <c r="A210" s="5"/>
      <c r="B210" s="14" t="s">
        <v>192</v>
      </c>
      <c r="C210" s="15"/>
      <c r="D210" s="15"/>
      <c r="E210" s="15"/>
      <c r="F210" s="25">
        <v>7598.25</v>
      </c>
      <c r="G210" s="26">
        <v>6.1999999999999998E-3</v>
      </c>
      <c r="H210" s="27"/>
      <c r="I210" s="28"/>
      <c r="J210" s="5"/>
    </row>
    <row r="211" spans="1:10" ht="13.05" customHeight="1">
      <c r="A211" s="5"/>
      <c r="B211" s="14" t="s">
        <v>2297</v>
      </c>
      <c r="C211" s="15"/>
      <c r="D211" s="15"/>
      <c r="E211" s="15"/>
      <c r="F211" s="5"/>
      <c r="G211" s="16"/>
      <c r="H211" s="16"/>
      <c r="I211" s="17"/>
      <c r="J211" s="5"/>
    </row>
    <row r="212" spans="1:10" ht="13.05" customHeight="1">
      <c r="A212" s="18" t="s">
        <v>2302</v>
      </c>
      <c r="B212" s="19" t="s">
        <v>2303</v>
      </c>
      <c r="C212" s="15" t="s">
        <v>2304</v>
      </c>
      <c r="D212" s="15" t="s">
        <v>2301</v>
      </c>
      <c r="E212" s="20">
        <v>213</v>
      </c>
      <c r="F212" s="21">
        <v>21588.982899999999</v>
      </c>
      <c r="G212" s="22">
        <v>1.7500000000000002E-2</v>
      </c>
      <c r="H212" s="23">
        <v>7.4237999999999998E-2</v>
      </c>
      <c r="I212" s="24"/>
      <c r="J212" s="5"/>
    </row>
    <row r="213" spans="1:10" ht="13.05" customHeight="1">
      <c r="A213" s="18" t="s">
        <v>2755</v>
      </c>
      <c r="B213" s="19" t="s">
        <v>2756</v>
      </c>
      <c r="C213" s="15" t="s">
        <v>2757</v>
      </c>
      <c r="D213" s="15" t="s">
        <v>5584</v>
      </c>
      <c r="E213" s="20">
        <v>128</v>
      </c>
      <c r="F213" s="21">
        <v>11987.709199999999</v>
      </c>
      <c r="G213" s="22">
        <v>9.7000000000000003E-3</v>
      </c>
      <c r="H213" s="23">
        <v>7.8599000000000002E-2</v>
      </c>
      <c r="I213" s="24"/>
      <c r="J213" s="5"/>
    </row>
    <row r="214" spans="1:10" ht="13.05" customHeight="1">
      <c r="A214" s="18" t="s">
        <v>2298</v>
      </c>
      <c r="B214" s="19" t="s">
        <v>2299</v>
      </c>
      <c r="C214" s="15" t="s">
        <v>2300</v>
      </c>
      <c r="D214" s="15" t="s">
        <v>2301</v>
      </c>
      <c r="E214" s="20">
        <v>118</v>
      </c>
      <c r="F214" s="21">
        <v>11945.25</v>
      </c>
      <c r="G214" s="22">
        <v>9.7000000000000003E-3</v>
      </c>
      <c r="H214" s="23">
        <v>7.3218000000000005E-2</v>
      </c>
      <c r="I214" s="24"/>
      <c r="J214" s="5"/>
    </row>
    <row r="215" spans="1:10" ht="13.05" customHeight="1">
      <c r="A215" s="18" t="s">
        <v>2305</v>
      </c>
      <c r="B215" s="19" t="s">
        <v>2306</v>
      </c>
      <c r="C215" s="15" t="s">
        <v>2307</v>
      </c>
      <c r="D215" s="15" t="s">
        <v>2301</v>
      </c>
      <c r="E215" s="20">
        <v>74</v>
      </c>
      <c r="F215" s="21">
        <v>7475.0960999999998</v>
      </c>
      <c r="G215" s="22">
        <v>6.1000000000000004E-3</v>
      </c>
      <c r="H215" s="23">
        <v>7.2300000000000003E-2</v>
      </c>
      <c r="I215" s="24"/>
      <c r="J215" s="5"/>
    </row>
    <row r="216" spans="1:10" ht="13.05" customHeight="1">
      <c r="A216" s="18" t="s">
        <v>5208</v>
      </c>
      <c r="B216" s="19" t="s">
        <v>5209</v>
      </c>
      <c r="C216" s="15" t="s">
        <v>5210</v>
      </c>
      <c r="D216" s="15" t="s">
        <v>2301</v>
      </c>
      <c r="E216" s="20">
        <v>500000000</v>
      </c>
      <c r="F216" s="21">
        <v>5012</v>
      </c>
      <c r="G216" s="22">
        <v>4.1000000000000003E-3</v>
      </c>
      <c r="H216" s="23">
        <v>8.6483500000000005E-2</v>
      </c>
      <c r="I216" s="24"/>
      <c r="J216" s="5"/>
    </row>
    <row r="217" spans="1:10" ht="13.05" customHeight="1">
      <c r="A217" s="18" t="s">
        <v>2758</v>
      </c>
      <c r="B217" s="19" t="s">
        <v>2759</v>
      </c>
      <c r="C217" s="15" t="s">
        <v>2760</v>
      </c>
      <c r="D217" s="15" t="s">
        <v>2301</v>
      </c>
      <c r="E217" s="20">
        <v>51</v>
      </c>
      <c r="F217" s="21">
        <v>4940.7902999999997</v>
      </c>
      <c r="G217" s="22">
        <v>4.0000000000000001E-3</v>
      </c>
      <c r="H217" s="23">
        <v>7.8599000000000002E-2</v>
      </c>
      <c r="I217" s="24"/>
      <c r="J217" s="5"/>
    </row>
    <row r="218" spans="1:10" ht="13.05" customHeight="1">
      <c r="A218" s="18" t="s">
        <v>5211</v>
      </c>
      <c r="B218" s="19" t="s">
        <v>5212</v>
      </c>
      <c r="C218" s="15" t="s">
        <v>5213</v>
      </c>
      <c r="D218" s="15" t="s">
        <v>2301</v>
      </c>
      <c r="E218" s="20">
        <v>1000000000</v>
      </c>
      <c r="F218" s="21">
        <v>4660</v>
      </c>
      <c r="G218" s="22">
        <v>3.8E-3</v>
      </c>
      <c r="H218" s="23">
        <v>8.46335E-2</v>
      </c>
      <c r="I218" s="24"/>
      <c r="J218" s="5"/>
    </row>
    <row r="219" spans="1:10" ht="13.05" customHeight="1">
      <c r="A219" s="18" t="s">
        <v>2764</v>
      </c>
      <c r="B219" s="19" t="s">
        <v>2765</v>
      </c>
      <c r="C219" s="15" t="s">
        <v>2766</v>
      </c>
      <c r="D219" s="15" t="s">
        <v>2301</v>
      </c>
      <c r="E219" s="20">
        <v>48</v>
      </c>
      <c r="F219" s="21">
        <v>3774.6005</v>
      </c>
      <c r="G219" s="22">
        <v>3.0999999999999999E-3</v>
      </c>
      <c r="H219" s="23">
        <v>7.6550000000000007E-2</v>
      </c>
      <c r="I219" s="24"/>
      <c r="J219" s="5"/>
    </row>
    <row r="220" spans="1:10" ht="13.05" customHeight="1">
      <c r="A220" s="18" t="s">
        <v>2761</v>
      </c>
      <c r="B220" s="19" t="s">
        <v>2762</v>
      </c>
      <c r="C220" s="15" t="s">
        <v>2763</v>
      </c>
      <c r="D220" s="15" t="s">
        <v>5584</v>
      </c>
      <c r="E220" s="20">
        <v>34</v>
      </c>
      <c r="F220" s="21">
        <v>2889.5830000000001</v>
      </c>
      <c r="G220" s="22">
        <v>2.3E-3</v>
      </c>
      <c r="H220" s="23">
        <v>7.46E-2</v>
      </c>
      <c r="I220" s="24"/>
      <c r="J220" s="5"/>
    </row>
    <row r="221" spans="1:10" ht="13.05" customHeight="1">
      <c r="A221" s="18" t="s">
        <v>5214</v>
      </c>
      <c r="B221" s="19" t="s">
        <v>5215</v>
      </c>
      <c r="C221" s="15" t="s">
        <v>5216</v>
      </c>
      <c r="D221" s="15" t="s">
        <v>2301</v>
      </c>
      <c r="E221" s="20">
        <v>450000000</v>
      </c>
      <c r="F221" s="21">
        <v>1686.15</v>
      </c>
      <c r="G221" s="22">
        <v>1.4E-3</v>
      </c>
      <c r="H221" s="23">
        <v>8.4433499999999995E-2</v>
      </c>
      <c r="I221" s="24"/>
      <c r="J221" s="5"/>
    </row>
    <row r="222" spans="1:10" ht="13.05" customHeight="1">
      <c r="A222" s="18" t="s">
        <v>5217</v>
      </c>
      <c r="B222" s="19" t="s">
        <v>5218</v>
      </c>
      <c r="C222" s="15" t="s">
        <v>5219</v>
      </c>
      <c r="D222" s="15" t="s">
        <v>5584</v>
      </c>
      <c r="E222" s="20">
        <v>12</v>
      </c>
      <c r="F222" s="21">
        <v>422.75839999999999</v>
      </c>
      <c r="G222" s="22">
        <v>2.9999999999999997E-4</v>
      </c>
      <c r="H222" s="23">
        <v>7.3050000000000004E-2</v>
      </c>
      <c r="I222" s="24"/>
      <c r="J222" s="5"/>
    </row>
    <row r="223" spans="1:10" ht="13.05" customHeight="1">
      <c r="A223" s="5"/>
      <c r="B223" s="14" t="s">
        <v>192</v>
      </c>
      <c r="C223" s="15"/>
      <c r="D223" s="15"/>
      <c r="E223" s="15"/>
      <c r="F223" s="25">
        <v>76382.920599999998</v>
      </c>
      <c r="G223" s="26">
        <v>6.1899999999999997E-2</v>
      </c>
      <c r="H223" s="27"/>
      <c r="I223" s="28"/>
      <c r="J223" s="5"/>
    </row>
    <row r="224" spans="1:10" ht="13.05" customHeight="1">
      <c r="A224" s="5"/>
      <c r="B224" s="29" t="s">
        <v>195</v>
      </c>
      <c r="C224" s="30"/>
      <c r="D224" s="2"/>
      <c r="E224" s="30"/>
      <c r="F224" s="25">
        <v>1074364.6599000001</v>
      </c>
      <c r="G224" s="26">
        <v>0.87019999999999997</v>
      </c>
      <c r="H224" s="27"/>
      <c r="I224" s="28"/>
      <c r="J224" s="5"/>
    </row>
    <row r="225" spans="1:10" ht="13.05" customHeight="1">
      <c r="A225" s="5"/>
      <c r="B225" s="14" t="s">
        <v>1866</v>
      </c>
      <c r="C225" s="15"/>
      <c r="D225" s="15"/>
      <c r="E225" s="15"/>
      <c r="F225" s="15"/>
      <c r="G225" s="15"/>
      <c r="H225" s="16"/>
      <c r="I225" s="17"/>
      <c r="J225" s="5"/>
    </row>
    <row r="226" spans="1:10" ht="13.05" customHeight="1">
      <c r="A226" s="5"/>
      <c r="B226" s="14" t="s">
        <v>2308</v>
      </c>
      <c r="C226" s="15"/>
      <c r="D226" s="15"/>
      <c r="E226" s="15"/>
      <c r="F226" s="5"/>
      <c r="G226" s="16"/>
      <c r="H226" s="16"/>
      <c r="I226" s="17"/>
      <c r="J226" s="5"/>
    </row>
    <row r="227" spans="1:10" ht="13.05" customHeight="1">
      <c r="A227" s="18" t="s">
        <v>4466</v>
      </c>
      <c r="B227" s="19" t="s">
        <v>4467</v>
      </c>
      <c r="C227" s="15" t="s">
        <v>4468</v>
      </c>
      <c r="D227" s="15" t="s">
        <v>2331</v>
      </c>
      <c r="E227" s="20">
        <v>5500</v>
      </c>
      <c r="F227" s="21">
        <v>26987.51</v>
      </c>
      <c r="G227" s="22">
        <v>2.1899999999999999E-2</v>
      </c>
      <c r="H227" s="23">
        <v>6.08E-2</v>
      </c>
      <c r="I227" s="24"/>
      <c r="J227" s="5"/>
    </row>
    <row r="228" spans="1:10" ht="13.05" customHeight="1">
      <c r="A228" s="18" t="s">
        <v>3691</v>
      </c>
      <c r="B228" s="19" t="s">
        <v>3692</v>
      </c>
      <c r="C228" s="15" t="s">
        <v>3693</v>
      </c>
      <c r="D228" s="15" t="s">
        <v>3478</v>
      </c>
      <c r="E228" s="20">
        <v>2700</v>
      </c>
      <c r="F228" s="21">
        <v>13238.923500000001</v>
      </c>
      <c r="G228" s="22">
        <v>1.0699999999999999E-2</v>
      </c>
      <c r="H228" s="23">
        <v>6.0998999999999998E-2</v>
      </c>
      <c r="I228" s="24"/>
      <c r="J228" s="5"/>
    </row>
    <row r="229" spans="1:10" ht="13.05" customHeight="1">
      <c r="A229" s="18" t="s">
        <v>4388</v>
      </c>
      <c r="B229" s="19" t="s">
        <v>4389</v>
      </c>
      <c r="C229" s="15" t="s">
        <v>4390</v>
      </c>
      <c r="D229" s="15" t="s">
        <v>2312</v>
      </c>
      <c r="E229" s="20">
        <v>2000</v>
      </c>
      <c r="F229" s="21">
        <v>9800.49</v>
      </c>
      <c r="G229" s="22">
        <v>7.9000000000000008E-3</v>
      </c>
      <c r="H229" s="23">
        <v>6.2970999999999999E-2</v>
      </c>
      <c r="I229" s="24"/>
      <c r="J229" s="5"/>
    </row>
    <row r="230" spans="1:10" ht="13.05" customHeight="1">
      <c r="A230" s="18" t="s">
        <v>5220</v>
      </c>
      <c r="B230" s="19" t="s">
        <v>5221</v>
      </c>
      <c r="C230" s="15" t="s">
        <v>5222</v>
      </c>
      <c r="D230" s="15" t="s">
        <v>3478</v>
      </c>
      <c r="E230" s="20">
        <v>2000</v>
      </c>
      <c r="F230" s="21">
        <v>9404.69</v>
      </c>
      <c r="G230" s="22">
        <v>7.6E-3</v>
      </c>
      <c r="H230" s="23">
        <v>6.4899999999999999E-2</v>
      </c>
      <c r="I230" s="24"/>
      <c r="J230" s="5"/>
    </row>
    <row r="231" spans="1:10" ht="13.05" customHeight="1">
      <c r="A231" s="18" t="s">
        <v>4463</v>
      </c>
      <c r="B231" s="19" t="s">
        <v>4464</v>
      </c>
      <c r="C231" s="15" t="s">
        <v>4465</v>
      </c>
      <c r="D231" s="15" t="s">
        <v>2774</v>
      </c>
      <c r="E231" s="20">
        <v>1000</v>
      </c>
      <c r="F231" s="21">
        <v>4922.7700000000004</v>
      </c>
      <c r="G231" s="22">
        <v>4.0000000000000001E-3</v>
      </c>
      <c r="H231" s="23">
        <v>6.0919000000000001E-2</v>
      </c>
      <c r="I231" s="24"/>
      <c r="J231" s="5"/>
    </row>
    <row r="232" spans="1:10" ht="13.05" customHeight="1">
      <c r="A232" s="18" t="s">
        <v>5223</v>
      </c>
      <c r="B232" s="19" t="s">
        <v>5224</v>
      </c>
      <c r="C232" s="15" t="s">
        <v>5225</v>
      </c>
      <c r="D232" s="15" t="s">
        <v>3478</v>
      </c>
      <c r="E232" s="20">
        <v>1000</v>
      </c>
      <c r="F232" s="21">
        <v>4738.6899999999996</v>
      </c>
      <c r="G232" s="22">
        <v>3.8E-3</v>
      </c>
      <c r="H232" s="23">
        <v>6.4100000000000004E-2</v>
      </c>
      <c r="I232" s="24"/>
      <c r="J232" s="5"/>
    </row>
    <row r="233" spans="1:10" ht="13.05" customHeight="1">
      <c r="A233" s="18" t="s">
        <v>4421</v>
      </c>
      <c r="B233" s="19" t="s">
        <v>4422</v>
      </c>
      <c r="C233" s="15" t="s">
        <v>4423</v>
      </c>
      <c r="D233" s="15" t="s">
        <v>3478</v>
      </c>
      <c r="E233" s="20">
        <v>1000</v>
      </c>
      <c r="F233" s="21">
        <v>4699.2</v>
      </c>
      <c r="G233" s="22">
        <v>3.8E-3</v>
      </c>
      <c r="H233" s="23">
        <v>6.4899999999999999E-2</v>
      </c>
      <c r="I233" s="24"/>
      <c r="J233" s="5"/>
    </row>
    <row r="234" spans="1:10" ht="13.05" customHeight="1">
      <c r="A234" s="18" t="s">
        <v>4394</v>
      </c>
      <c r="B234" s="19" t="s">
        <v>4395</v>
      </c>
      <c r="C234" s="15" t="s">
        <v>4396</v>
      </c>
      <c r="D234" s="15" t="s">
        <v>2312</v>
      </c>
      <c r="E234" s="20">
        <v>200</v>
      </c>
      <c r="F234" s="21">
        <v>976.697</v>
      </c>
      <c r="G234" s="22">
        <v>8.0000000000000004E-4</v>
      </c>
      <c r="H234" s="23">
        <v>6.0899000000000002E-2</v>
      </c>
      <c r="I234" s="24"/>
      <c r="J234" s="5"/>
    </row>
    <row r="235" spans="1:10" ht="13.05" customHeight="1">
      <c r="A235" s="5"/>
      <c r="B235" s="14" t="s">
        <v>192</v>
      </c>
      <c r="C235" s="15"/>
      <c r="D235" s="15"/>
      <c r="E235" s="15"/>
      <c r="F235" s="25">
        <v>74768.970499999996</v>
      </c>
      <c r="G235" s="26">
        <v>6.0600000000000001E-2</v>
      </c>
      <c r="H235" s="27"/>
      <c r="I235" s="28"/>
      <c r="J235" s="5"/>
    </row>
    <row r="236" spans="1:10" ht="13.05" customHeight="1">
      <c r="A236" s="5"/>
      <c r="B236" s="29" t="s">
        <v>195</v>
      </c>
      <c r="C236" s="30"/>
      <c r="D236" s="2"/>
      <c r="E236" s="30"/>
      <c r="F236" s="25">
        <v>74768.970499999996</v>
      </c>
      <c r="G236" s="26">
        <v>6.0600000000000001E-2</v>
      </c>
      <c r="H236" s="27"/>
      <c r="I236" s="28"/>
      <c r="J236" s="5"/>
    </row>
    <row r="237" spans="1:10" ht="13.05" customHeight="1">
      <c r="A237" s="5"/>
      <c r="B237" s="14" t="s">
        <v>1818</v>
      </c>
      <c r="C237" s="15"/>
      <c r="D237" s="15"/>
      <c r="E237" s="15"/>
      <c r="F237" s="15"/>
      <c r="G237" s="15"/>
      <c r="H237" s="16"/>
      <c r="I237" s="17"/>
      <c r="J237" s="5"/>
    </row>
    <row r="238" spans="1:10" ht="13.05" customHeight="1">
      <c r="A238" s="5"/>
      <c r="B238" s="14" t="s">
        <v>2332</v>
      </c>
      <c r="C238" s="15"/>
      <c r="D238" s="15"/>
      <c r="E238" s="15"/>
      <c r="F238" s="5"/>
      <c r="G238" s="16"/>
      <c r="H238" s="16"/>
      <c r="I238" s="17"/>
      <c r="J238" s="5"/>
    </row>
    <row r="239" spans="1:10" ht="13.05" customHeight="1">
      <c r="A239" s="18" t="s">
        <v>2333</v>
      </c>
      <c r="B239" s="19" t="s">
        <v>2334</v>
      </c>
      <c r="C239" s="15" t="s">
        <v>2335</v>
      </c>
      <c r="D239" s="15"/>
      <c r="E239" s="20">
        <v>27480.142</v>
      </c>
      <c r="F239" s="21">
        <v>3143.9638</v>
      </c>
      <c r="G239" s="22">
        <v>2.5000000000000001E-3</v>
      </c>
      <c r="H239" s="23"/>
      <c r="I239" s="24"/>
      <c r="J239" s="5"/>
    </row>
    <row r="240" spans="1:10" ht="13.05" customHeight="1">
      <c r="A240" s="5"/>
      <c r="B240" s="14" t="s">
        <v>192</v>
      </c>
      <c r="C240" s="15"/>
      <c r="D240" s="15"/>
      <c r="E240" s="15"/>
      <c r="F240" s="25">
        <v>3143.9638</v>
      </c>
      <c r="G240" s="26">
        <v>2.5000000000000001E-3</v>
      </c>
      <c r="H240" s="27"/>
      <c r="I240" s="28"/>
      <c r="J240" s="5"/>
    </row>
    <row r="241" spans="1:10" ht="13.05" customHeight="1">
      <c r="A241" s="5"/>
      <c r="B241" s="29" t="s">
        <v>195</v>
      </c>
      <c r="C241" s="30"/>
      <c r="D241" s="2"/>
      <c r="E241" s="30"/>
      <c r="F241" s="25">
        <v>3143.9638</v>
      </c>
      <c r="G241" s="26">
        <v>2.5000000000000001E-3</v>
      </c>
      <c r="H241" s="27"/>
      <c r="I241" s="28"/>
      <c r="J241" s="5"/>
    </row>
    <row r="242" spans="1:10" ht="13.05" customHeight="1">
      <c r="A242" s="5"/>
      <c r="B242" s="14" t="s">
        <v>196</v>
      </c>
      <c r="C242" s="15"/>
      <c r="D242" s="15"/>
      <c r="E242" s="15"/>
      <c r="F242" s="15"/>
      <c r="G242" s="15"/>
      <c r="H242" s="16"/>
      <c r="I242" s="17"/>
      <c r="J242" s="5"/>
    </row>
    <row r="243" spans="1:10" ht="13.05" customHeight="1">
      <c r="A243" s="18" t="s">
        <v>197</v>
      </c>
      <c r="B243" s="19" t="s">
        <v>198</v>
      </c>
      <c r="C243" s="15"/>
      <c r="D243" s="15"/>
      <c r="E243" s="20"/>
      <c r="F243" s="21">
        <v>42273.177300000003</v>
      </c>
      <c r="G243" s="22">
        <v>3.4200000000000001E-2</v>
      </c>
      <c r="H243" s="23">
        <v>5.5573617010495215E-2</v>
      </c>
      <c r="I243" s="24"/>
      <c r="J243" s="5"/>
    </row>
    <row r="244" spans="1:10" ht="13.05" customHeight="1">
      <c r="A244" s="5"/>
      <c r="B244" s="14" t="s">
        <v>192</v>
      </c>
      <c r="C244" s="15"/>
      <c r="D244" s="15"/>
      <c r="E244" s="15"/>
      <c r="F244" s="25">
        <v>42273.177300000003</v>
      </c>
      <c r="G244" s="26">
        <v>3.4200000000000001E-2</v>
      </c>
      <c r="H244" s="27"/>
      <c r="I244" s="28"/>
      <c r="J244" s="5"/>
    </row>
    <row r="245" spans="1:10" ht="13.05" customHeight="1">
      <c r="A245" s="5"/>
      <c r="B245" s="29" t="s">
        <v>195</v>
      </c>
      <c r="C245" s="30"/>
      <c r="D245" s="2"/>
      <c r="E245" s="30"/>
      <c r="F245" s="25">
        <v>42273.177300000003</v>
      </c>
      <c r="G245" s="26">
        <v>3.4200000000000001E-2</v>
      </c>
      <c r="H245" s="27"/>
      <c r="I245" s="28"/>
      <c r="J245" s="5"/>
    </row>
    <row r="246" spans="1:10" ht="13.05" customHeight="1">
      <c r="A246" s="5"/>
      <c r="B246" s="29" t="s">
        <v>199</v>
      </c>
      <c r="C246" s="15"/>
      <c r="D246" s="2"/>
      <c r="E246" s="15"/>
      <c r="F246" s="31">
        <v>40036.358500000002</v>
      </c>
      <c r="G246" s="26">
        <v>3.2500000000000001E-2</v>
      </c>
      <c r="H246" s="27"/>
      <c r="I246" s="28"/>
      <c r="J246" s="5"/>
    </row>
    <row r="247" spans="1:10" ht="13.05" customHeight="1">
      <c r="A247" s="5"/>
      <c r="B247" s="32" t="s">
        <v>200</v>
      </c>
      <c r="C247" s="33"/>
      <c r="D247" s="33"/>
      <c r="E247" s="33"/>
      <c r="F247" s="34">
        <v>1234582.92</v>
      </c>
      <c r="G247" s="35">
        <v>1</v>
      </c>
      <c r="H247" s="36"/>
      <c r="I247" s="37"/>
      <c r="J247" s="5"/>
    </row>
    <row r="248" spans="1:10" ht="13.05" customHeight="1">
      <c r="A248" s="5"/>
      <c r="B248" s="7"/>
      <c r="C248" s="5"/>
      <c r="D248" s="5"/>
      <c r="E248" s="5"/>
      <c r="F248" s="5"/>
      <c r="G248" s="5"/>
      <c r="H248" s="5"/>
      <c r="I248" s="5"/>
      <c r="J248" s="5"/>
    </row>
    <row r="249" spans="1:10" ht="13.05" customHeight="1">
      <c r="A249" s="5"/>
      <c r="B249" s="4" t="s">
        <v>5226</v>
      </c>
      <c r="C249" s="5"/>
      <c r="D249" s="5"/>
      <c r="E249" s="5"/>
      <c r="F249" s="5"/>
      <c r="G249" s="5"/>
      <c r="H249" s="5"/>
      <c r="I249" s="5"/>
      <c r="J249" s="5"/>
    </row>
    <row r="250" spans="1:10" ht="13.05" customHeight="1">
      <c r="A250" s="5"/>
      <c r="B250" s="4" t="s">
        <v>5227</v>
      </c>
      <c r="C250" s="5"/>
      <c r="D250" s="5"/>
      <c r="E250" s="5"/>
      <c r="F250" s="5"/>
      <c r="G250" s="5"/>
      <c r="H250" s="5"/>
      <c r="I250" s="5"/>
      <c r="J250" s="5"/>
    </row>
    <row r="251" spans="1:10" ht="13.05" customHeight="1">
      <c r="A251" s="5"/>
      <c r="B251" s="4" t="s">
        <v>250</v>
      </c>
      <c r="C251" s="5"/>
      <c r="D251" s="5"/>
      <c r="E251" s="5"/>
      <c r="F251" s="5"/>
      <c r="G251" s="5"/>
      <c r="H251" s="5"/>
      <c r="I251" s="5"/>
      <c r="J251" s="5"/>
    </row>
    <row r="252" spans="1:10" ht="13.05" customHeight="1">
      <c r="A252" s="5"/>
      <c r="B252" s="4" t="s">
        <v>1816</v>
      </c>
      <c r="C252" s="5"/>
      <c r="D252" s="5"/>
      <c r="E252" s="5"/>
      <c r="F252" s="5"/>
      <c r="G252" s="5"/>
      <c r="H252" s="5"/>
      <c r="I252" s="5"/>
      <c r="J252" s="5"/>
    </row>
    <row r="253" spans="1:10" ht="13.05" customHeight="1">
      <c r="A253" s="5"/>
      <c r="B253" s="4" t="s">
        <v>201</v>
      </c>
      <c r="C253" s="5"/>
      <c r="D253" s="5"/>
      <c r="E253" s="5"/>
      <c r="F253" s="5"/>
      <c r="G253" s="5"/>
      <c r="H253" s="5"/>
      <c r="I253" s="5"/>
      <c r="J253" s="5"/>
    </row>
    <row r="254" spans="1:10" ht="25.95" customHeight="1">
      <c r="A254" s="5"/>
      <c r="B254" s="103" t="s">
        <v>202</v>
      </c>
      <c r="C254" s="103"/>
      <c r="D254" s="103"/>
      <c r="E254" s="103"/>
      <c r="F254" s="103"/>
      <c r="G254" s="103"/>
      <c r="H254" s="103"/>
      <c r="I254" s="103"/>
      <c r="J254" s="5"/>
    </row>
    <row r="255" spans="1:10" ht="13.05" customHeight="1">
      <c r="A255" s="5"/>
      <c r="B255" s="103" t="s">
        <v>203</v>
      </c>
      <c r="C255" s="103"/>
      <c r="D255" s="103"/>
      <c r="E255" s="103"/>
      <c r="F255" s="103"/>
      <c r="G255" s="103"/>
      <c r="H255" s="103"/>
      <c r="I255" s="103"/>
      <c r="J255" s="5"/>
    </row>
    <row r="256" spans="1:10" ht="13.05" customHeight="1">
      <c r="A256" s="5"/>
      <c r="B256" s="103"/>
      <c r="C256" s="103"/>
      <c r="D256" s="103"/>
      <c r="E256" s="103"/>
      <c r="F256" s="103"/>
      <c r="G256" s="103"/>
      <c r="H256" s="103"/>
      <c r="I256" s="103"/>
      <c r="J256" s="5"/>
    </row>
    <row r="257" spans="1:10" ht="13.05" customHeight="1">
      <c r="A257" s="5"/>
      <c r="B257" s="103"/>
      <c r="C257" s="103"/>
      <c r="D257" s="103"/>
      <c r="E257" s="103"/>
      <c r="F257" s="103"/>
      <c r="G257" s="103"/>
      <c r="H257" s="103"/>
      <c r="I257" s="103"/>
      <c r="J257" s="5"/>
    </row>
    <row r="258" spans="1:10" ht="13.05" customHeight="1">
      <c r="A258" s="5"/>
      <c r="B258" s="103"/>
      <c r="C258" s="103"/>
      <c r="D258" s="103"/>
      <c r="E258" s="103"/>
      <c r="F258" s="103"/>
      <c r="G258" s="103"/>
      <c r="H258" s="103"/>
      <c r="I258" s="103"/>
      <c r="J258" s="5"/>
    </row>
    <row r="259" spans="1:10" ht="13.05" customHeight="1">
      <c r="A259" s="5"/>
      <c r="B259" s="103"/>
      <c r="C259" s="103"/>
      <c r="D259" s="103"/>
      <c r="E259" s="103"/>
      <c r="F259" s="103"/>
      <c r="G259" s="103"/>
      <c r="H259" s="103"/>
      <c r="I259" s="103"/>
      <c r="J259" s="5"/>
    </row>
    <row r="260" spans="1:10" ht="13.05" customHeight="1">
      <c r="A260" s="5"/>
      <c r="B260" s="5"/>
      <c r="C260" s="104" t="s">
        <v>5228</v>
      </c>
      <c r="D260" s="104"/>
      <c r="E260" s="104"/>
      <c r="F260" s="104"/>
      <c r="G260" s="5"/>
      <c r="H260" s="5"/>
      <c r="I260" s="5"/>
      <c r="J260" s="5"/>
    </row>
    <row r="261" spans="1:10" ht="13.05" customHeight="1">
      <c r="A261" s="5"/>
      <c r="B261" s="38" t="s">
        <v>207</v>
      </c>
      <c r="C261" s="104" t="s">
        <v>208</v>
      </c>
      <c r="D261" s="104"/>
      <c r="E261" s="104"/>
      <c r="F261" s="104"/>
      <c r="G261" s="5"/>
      <c r="H261" s="5"/>
      <c r="I261" s="5"/>
      <c r="J261" s="5"/>
    </row>
    <row r="262" spans="1:10" ht="135" customHeight="1">
      <c r="A262" s="5"/>
      <c r="B262" s="39"/>
      <c r="C262" s="105"/>
      <c r="D262" s="105"/>
      <c r="E262" s="5"/>
      <c r="F262" s="5"/>
      <c r="G262" s="5"/>
      <c r="H262" s="5"/>
      <c r="I262" s="5"/>
      <c r="J262" s="5"/>
    </row>
  </sheetData>
  <mergeCells count="9">
    <mergeCell ref="B259:I259"/>
    <mergeCell ref="C260:F260"/>
    <mergeCell ref="C261:F261"/>
    <mergeCell ref="C262:D262"/>
    <mergeCell ref="B254:I254"/>
    <mergeCell ref="B255:I255"/>
    <mergeCell ref="B256:I256"/>
    <mergeCell ref="B257:I257"/>
    <mergeCell ref="B258:I258"/>
  </mergeCells>
  <hyperlinks>
    <hyperlink ref="A1" location="AxisShortDurationFund" display="AXISSTF" xr:uid="{00000000-0004-0000-4C00-000000000000}"/>
    <hyperlink ref="B1" location="AxisShortDurationFund" display="Axis Short Duration Fund" xr:uid="{00000000-0004-0000-4C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outlinePr summaryBelow="0"/>
  </sheetPr>
  <dimension ref="A1:J191"/>
  <sheetViews>
    <sheetView workbookViewId="0">
      <selection activeCell="C24" sqref="C24"/>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156</v>
      </c>
      <c r="B1" s="4" t="s">
        <v>157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1871</v>
      </c>
      <c r="C5" s="15"/>
      <c r="D5" s="15"/>
      <c r="E5" s="15"/>
      <c r="F5" s="15"/>
      <c r="G5" s="15"/>
      <c r="H5" s="16"/>
      <c r="I5" s="17"/>
      <c r="J5" s="5"/>
    </row>
    <row r="6" spans="1:10" ht="13.05" customHeight="1">
      <c r="A6" s="5"/>
      <c r="B6" s="14" t="s">
        <v>1872</v>
      </c>
      <c r="C6" s="15"/>
      <c r="D6" s="15"/>
      <c r="E6" s="15"/>
      <c r="F6" s="5"/>
      <c r="G6" s="16"/>
      <c r="H6" s="16"/>
      <c r="I6" s="17"/>
      <c r="J6" s="5"/>
    </row>
    <row r="7" spans="1:10" ht="13.05" customHeight="1">
      <c r="A7" s="18" t="s">
        <v>5229</v>
      </c>
      <c r="B7" s="19" t="s">
        <v>5230</v>
      </c>
      <c r="C7" s="15"/>
      <c r="D7" s="15"/>
      <c r="E7" s="41"/>
      <c r="F7" s="21">
        <v>-0.99750000000000005</v>
      </c>
      <c r="G7" s="40" t="s">
        <v>1809</v>
      </c>
      <c r="H7" s="40"/>
      <c r="I7" s="24"/>
      <c r="J7" s="5"/>
    </row>
    <row r="8" spans="1:10" ht="13.05" customHeight="1">
      <c r="A8" s="18" t="s">
        <v>5231</v>
      </c>
      <c r="B8" s="19" t="s">
        <v>5232</v>
      </c>
      <c r="C8" s="15"/>
      <c r="D8" s="15"/>
      <c r="E8" s="41"/>
      <c r="F8" s="21">
        <v>-2.6</v>
      </c>
      <c r="G8" s="40" t="s">
        <v>1809</v>
      </c>
      <c r="H8" s="40"/>
      <c r="I8" s="24"/>
      <c r="J8" s="5"/>
    </row>
    <row r="9" spans="1:10" ht="13.05" customHeight="1">
      <c r="A9" s="18" t="s">
        <v>5233</v>
      </c>
      <c r="B9" s="19" t="s">
        <v>3818</v>
      </c>
      <c r="C9" s="15"/>
      <c r="D9" s="15"/>
      <c r="E9" s="41"/>
      <c r="F9" s="21">
        <v>-7.3150000000000004</v>
      </c>
      <c r="G9" s="40" t="s">
        <v>1809</v>
      </c>
      <c r="H9" s="40"/>
      <c r="I9" s="24"/>
      <c r="J9" s="5"/>
    </row>
    <row r="10" spans="1:10" ht="13.05" customHeight="1">
      <c r="A10" s="18" t="s">
        <v>5234</v>
      </c>
      <c r="B10" s="19" t="s">
        <v>5235</v>
      </c>
      <c r="C10" s="15"/>
      <c r="D10" s="15"/>
      <c r="E10" s="41"/>
      <c r="F10" s="21">
        <v>-8.25</v>
      </c>
      <c r="G10" s="40" t="s">
        <v>1809</v>
      </c>
      <c r="H10" s="40"/>
      <c r="I10" s="24"/>
      <c r="J10" s="5"/>
    </row>
    <row r="11" spans="1:10" ht="13.05" customHeight="1">
      <c r="A11" s="18" t="s">
        <v>5236</v>
      </c>
      <c r="B11" s="19" t="s">
        <v>5237</v>
      </c>
      <c r="C11" s="15"/>
      <c r="D11" s="15"/>
      <c r="E11" s="41"/>
      <c r="F11" s="21">
        <v>-8.6750000000000007</v>
      </c>
      <c r="G11" s="40" t="s">
        <v>1809</v>
      </c>
      <c r="H11" s="40"/>
      <c r="I11" s="24"/>
      <c r="J11" s="5"/>
    </row>
    <row r="12" spans="1:10" ht="13.05" customHeight="1">
      <c r="A12" s="18" t="s">
        <v>5238</v>
      </c>
      <c r="B12" s="19" t="s">
        <v>5239</v>
      </c>
      <c r="C12" s="15"/>
      <c r="D12" s="15"/>
      <c r="E12" s="41"/>
      <c r="F12" s="21">
        <v>-8.98</v>
      </c>
      <c r="G12" s="40" t="s">
        <v>1809</v>
      </c>
      <c r="H12" s="40"/>
      <c r="I12" s="24"/>
      <c r="J12" s="5"/>
    </row>
    <row r="13" spans="1:10" ht="13.05" customHeight="1">
      <c r="A13" s="18" t="s">
        <v>5240</v>
      </c>
      <c r="B13" s="19" t="s">
        <v>5241</v>
      </c>
      <c r="C13" s="15"/>
      <c r="D13" s="15"/>
      <c r="E13" s="41"/>
      <c r="F13" s="21">
        <v>-12.1625</v>
      </c>
      <c r="G13" s="40" t="s">
        <v>1809</v>
      </c>
      <c r="H13" s="40"/>
      <c r="I13" s="24"/>
      <c r="J13" s="5"/>
    </row>
    <row r="14" spans="1:10" ht="13.05" customHeight="1">
      <c r="A14" s="18" t="s">
        <v>5242</v>
      </c>
      <c r="B14" s="19" t="s">
        <v>5243</v>
      </c>
      <c r="C14" s="15"/>
      <c r="D14" s="15"/>
      <c r="E14" s="41"/>
      <c r="F14" s="21">
        <v>-16.03</v>
      </c>
      <c r="G14" s="40" t="s">
        <v>1809</v>
      </c>
      <c r="H14" s="40"/>
      <c r="I14" s="24"/>
      <c r="J14" s="5"/>
    </row>
    <row r="15" spans="1:10" ht="13.05" customHeight="1">
      <c r="A15" s="18" t="s">
        <v>5244</v>
      </c>
      <c r="B15" s="19" t="s">
        <v>5245</v>
      </c>
      <c r="C15" s="15"/>
      <c r="D15" s="15"/>
      <c r="E15" s="41"/>
      <c r="F15" s="21">
        <v>-17.190000000000001</v>
      </c>
      <c r="G15" s="40" t="s">
        <v>1809</v>
      </c>
      <c r="H15" s="40"/>
      <c r="I15" s="24"/>
      <c r="J15" s="5"/>
    </row>
    <row r="16" spans="1:10" ht="13.05" customHeight="1">
      <c r="A16" s="18" t="s">
        <v>5246</v>
      </c>
      <c r="B16" s="19" t="s">
        <v>5247</v>
      </c>
      <c r="C16" s="15"/>
      <c r="D16" s="15"/>
      <c r="E16" s="41"/>
      <c r="F16" s="21">
        <v>-19.434999999999999</v>
      </c>
      <c r="G16" s="40" t="s">
        <v>1809</v>
      </c>
      <c r="H16" s="40"/>
      <c r="I16" s="24"/>
      <c r="J16" s="5"/>
    </row>
    <row r="17" spans="1:10" ht="13.05" customHeight="1">
      <c r="A17" s="5"/>
      <c r="B17" s="14" t="s">
        <v>192</v>
      </c>
      <c r="C17" s="15"/>
      <c r="D17" s="15"/>
      <c r="E17" s="15"/>
      <c r="F17" s="25">
        <v>-101.63500000000001</v>
      </c>
      <c r="G17" s="26">
        <v>-1E-4</v>
      </c>
      <c r="H17" s="27"/>
      <c r="I17" s="28"/>
      <c r="J17" s="5"/>
    </row>
    <row r="18" spans="1:10" ht="13.05" customHeight="1">
      <c r="A18" s="5"/>
      <c r="B18" s="29" t="s">
        <v>195</v>
      </c>
      <c r="C18" s="30"/>
      <c r="D18" s="2"/>
      <c r="E18" s="30"/>
      <c r="F18" s="25">
        <v>-101.63500000000001</v>
      </c>
      <c r="G18" s="26">
        <v>-1E-4</v>
      </c>
      <c r="H18" s="27"/>
      <c r="I18" s="28"/>
      <c r="J18" s="5"/>
    </row>
    <row r="19" spans="1:10" ht="13.05" customHeight="1">
      <c r="A19" s="5"/>
      <c r="B19" s="14" t="s">
        <v>183</v>
      </c>
      <c r="C19" s="15"/>
      <c r="D19" s="15"/>
      <c r="E19" s="15"/>
      <c r="F19" s="15"/>
      <c r="G19" s="15"/>
      <c r="H19" s="16"/>
      <c r="I19" s="17"/>
      <c r="J19" s="5"/>
    </row>
    <row r="20" spans="1:10" ht="13.05" customHeight="1">
      <c r="A20" s="5"/>
      <c r="B20" s="14" t="s">
        <v>184</v>
      </c>
      <c r="C20" s="15"/>
      <c r="D20" s="15"/>
      <c r="E20" s="15"/>
      <c r="F20" s="5"/>
      <c r="G20" s="16"/>
      <c r="H20" s="16"/>
      <c r="I20" s="17"/>
      <c r="J20" s="5"/>
    </row>
    <row r="21" spans="1:10" ht="13.05" customHeight="1">
      <c r="A21" s="18" t="s">
        <v>3460</v>
      </c>
      <c r="B21" s="19" t="s">
        <v>3461</v>
      </c>
      <c r="C21" s="15" t="s">
        <v>3462</v>
      </c>
      <c r="D21" s="15" t="s">
        <v>213</v>
      </c>
      <c r="E21" s="20">
        <v>30500</v>
      </c>
      <c r="F21" s="21">
        <v>30674.338</v>
      </c>
      <c r="G21" s="22">
        <v>3.9E-2</v>
      </c>
      <c r="H21" s="23">
        <v>6.6199999999999995E-2</v>
      </c>
      <c r="I21" s="24"/>
      <c r="J21" s="5"/>
    </row>
    <row r="22" spans="1:10" ht="13.05" customHeight="1">
      <c r="A22" s="18" t="s">
        <v>3469</v>
      </c>
      <c r="B22" s="19" t="s">
        <v>3470</v>
      </c>
      <c r="C22" s="15" t="s">
        <v>3471</v>
      </c>
      <c r="D22" s="15" t="s">
        <v>213</v>
      </c>
      <c r="E22" s="20">
        <v>24960</v>
      </c>
      <c r="F22" s="21">
        <v>25107.513599999998</v>
      </c>
      <c r="G22" s="22">
        <v>3.2000000000000001E-2</v>
      </c>
      <c r="H22" s="23">
        <v>6.6199999999999995E-2</v>
      </c>
      <c r="I22" s="24"/>
      <c r="J22" s="5"/>
    </row>
    <row r="23" spans="1:10" ht="13.05" customHeight="1">
      <c r="A23" s="18" t="s">
        <v>3457</v>
      </c>
      <c r="B23" s="19" t="s">
        <v>3458</v>
      </c>
      <c r="C23" s="15" t="s">
        <v>3459</v>
      </c>
      <c r="D23" s="15" t="s">
        <v>213</v>
      </c>
      <c r="E23" s="20">
        <v>21500</v>
      </c>
      <c r="F23" s="21">
        <v>21631.1715</v>
      </c>
      <c r="G23" s="22">
        <v>2.75E-2</v>
      </c>
      <c r="H23" s="23">
        <v>6.6400000000000001E-2</v>
      </c>
      <c r="I23" s="24"/>
      <c r="J23" s="5"/>
    </row>
    <row r="24" spans="1:10" ht="13.05" customHeight="1">
      <c r="A24" s="18" t="s">
        <v>3568</v>
      </c>
      <c r="B24" s="19" t="s">
        <v>3569</v>
      </c>
      <c r="C24" s="15" t="s">
        <v>3570</v>
      </c>
      <c r="D24" s="15" t="s">
        <v>188</v>
      </c>
      <c r="E24" s="20">
        <v>17425000</v>
      </c>
      <c r="F24" s="21">
        <v>17590.920900000001</v>
      </c>
      <c r="G24" s="22">
        <v>2.24E-2</v>
      </c>
      <c r="H24" s="23"/>
      <c r="I24" s="24"/>
      <c r="J24" s="5"/>
    </row>
    <row r="25" spans="1:10" ht="13.05" customHeight="1">
      <c r="A25" s="18" t="s">
        <v>4977</v>
      </c>
      <c r="B25" s="19" t="s">
        <v>4978</v>
      </c>
      <c r="C25" s="15" t="s">
        <v>4979</v>
      </c>
      <c r="D25" s="15" t="s">
        <v>1923</v>
      </c>
      <c r="E25" s="20">
        <v>15000</v>
      </c>
      <c r="F25" s="21">
        <v>15211.725</v>
      </c>
      <c r="G25" s="22">
        <v>1.9400000000000001E-2</v>
      </c>
      <c r="H25" s="23">
        <v>6.6400000000000001E-2</v>
      </c>
      <c r="I25" s="24"/>
      <c r="J25" s="5"/>
    </row>
    <row r="26" spans="1:10" ht="13.05" customHeight="1">
      <c r="A26" s="18" t="s">
        <v>3896</v>
      </c>
      <c r="B26" s="19" t="s">
        <v>3897</v>
      </c>
      <c r="C26" s="15" t="s">
        <v>3898</v>
      </c>
      <c r="D26" s="15" t="s">
        <v>213</v>
      </c>
      <c r="E26" s="20">
        <v>15000</v>
      </c>
      <c r="F26" s="21">
        <v>15022.934999999999</v>
      </c>
      <c r="G26" s="22">
        <v>1.9099999999999999E-2</v>
      </c>
      <c r="H26" s="23">
        <v>6.5648999999999999E-2</v>
      </c>
      <c r="I26" s="24"/>
      <c r="J26" s="5"/>
    </row>
    <row r="27" spans="1:10" ht="13.05" customHeight="1">
      <c r="A27" s="18" t="s">
        <v>5248</v>
      </c>
      <c r="B27" s="19" t="s">
        <v>5249</v>
      </c>
      <c r="C27" s="15" t="s">
        <v>5250</v>
      </c>
      <c r="D27" s="15" t="s">
        <v>213</v>
      </c>
      <c r="E27" s="20">
        <v>14000</v>
      </c>
      <c r="F27" s="21">
        <v>13988.24</v>
      </c>
      <c r="G27" s="22">
        <v>1.78E-2</v>
      </c>
      <c r="H27" s="23">
        <v>7.6583999999999999E-2</v>
      </c>
      <c r="I27" s="24"/>
      <c r="J27" s="5"/>
    </row>
    <row r="28" spans="1:10" ht="13.05" customHeight="1">
      <c r="A28" s="18" t="s">
        <v>3666</v>
      </c>
      <c r="B28" s="19" t="s">
        <v>3667</v>
      </c>
      <c r="C28" s="15" t="s">
        <v>3668</v>
      </c>
      <c r="D28" s="15" t="s">
        <v>3130</v>
      </c>
      <c r="E28" s="20">
        <v>13500</v>
      </c>
      <c r="F28" s="21">
        <v>13535.032499999999</v>
      </c>
      <c r="G28" s="22">
        <v>1.72E-2</v>
      </c>
      <c r="H28" s="23">
        <v>8.6021E-2</v>
      </c>
      <c r="I28" s="24"/>
      <c r="J28" s="5"/>
    </row>
    <row r="29" spans="1:10" ht="13.05" customHeight="1">
      <c r="A29" s="18" t="s">
        <v>3164</v>
      </c>
      <c r="B29" s="19" t="s">
        <v>3165</v>
      </c>
      <c r="C29" s="15" t="s">
        <v>3166</v>
      </c>
      <c r="D29" s="15" t="s">
        <v>3130</v>
      </c>
      <c r="E29" s="20">
        <v>13000</v>
      </c>
      <c r="F29" s="21">
        <v>13070.941000000001</v>
      </c>
      <c r="G29" s="22">
        <v>1.66E-2</v>
      </c>
      <c r="H29" s="23">
        <v>7.1029999999999996E-2</v>
      </c>
      <c r="I29" s="24"/>
      <c r="J29" s="5"/>
    </row>
    <row r="30" spans="1:10" ht="13.05" customHeight="1">
      <c r="A30" s="18" t="s">
        <v>5251</v>
      </c>
      <c r="B30" s="19" t="s">
        <v>5252</v>
      </c>
      <c r="C30" s="15" t="s">
        <v>5253</v>
      </c>
      <c r="D30" s="15" t="s">
        <v>3548</v>
      </c>
      <c r="E30" s="20">
        <v>12500</v>
      </c>
      <c r="F30" s="21">
        <v>12571.6</v>
      </c>
      <c r="G30" s="22">
        <v>1.6E-2</v>
      </c>
      <c r="H30" s="23">
        <v>8.5826E-2</v>
      </c>
      <c r="I30" s="24"/>
      <c r="J30" s="5"/>
    </row>
    <row r="31" spans="1:10" ht="13.05" customHeight="1">
      <c r="A31" s="18" t="s">
        <v>2647</v>
      </c>
      <c r="B31" s="19" t="s">
        <v>2648</v>
      </c>
      <c r="C31" s="15" t="s">
        <v>2649</v>
      </c>
      <c r="D31" s="15" t="s">
        <v>213</v>
      </c>
      <c r="E31" s="20">
        <v>12000</v>
      </c>
      <c r="F31" s="21">
        <v>12014.004000000001</v>
      </c>
      <c r="G31" s="22">
        <v>1.5299999999999999E-2</v>
      </c>
      <c r="H31" s="23">
        <v>7.2774000000000005E-2</v>
      </c>
      <c r="I31" s="24"/>
      <c r="J31" s="5"/>
    </row>
    <row r="32" spans="1:10" ht="13.05" customHeight="1">
      <c r="A32" s="18" t="s">
        <v>1902</v>
      </c>
      <c r="B32" s="19" t="s">
        <v>1903</v>
      </c>
      <c r="C32" s="15" t="s">
        <v>1904</v>
      </c>
      <c r="D32" s="15" t="s">
        <v>213</v>
      </c>
      <c r="E32" s="20">
        <v>10000</v>
      </c>
      <c r="F32" s="21">
        <v>10183.98</v>
      </c>
      <c r="G32" s="22">
        <v>1.2999999999999999E-2</v>
      </c>
      <c r="H32" s="23">
        <v>6.7432000000000006E-2</v>
      </c>
      <c r="I32" s="24"/>
      <c r="J32" s="5"/>
    </row>
    <row r="33" spans="1:10" ht="13.05" customHeight="1">
      <c r="A33" s="18" t="s">
        <v>1887</v>
      </c>
      <c r="B33" s="19" t="s">
        <v>1888</v>
      </c>
      <c r="C33" s="15" t="s">
        <v>1889</v>
      </c>
      <c r="D33" s="15" t="s">
        <v>213</v>
      </c>
      <c r="E33" s="20">
        <v>10000</v>
      </c>
      <c r="F33" s="21">
        <v>10142.450000000001</v>
      </c>
      <c r="G33" s="22">
        <v>1.29E-2</v>
      </c>
      <c r="H33" s="23">
        <v>6.5699999999999995E-2</v>
      </c>
      <c r="I33" s="24"/>
      <c r="J33" s="5"/>
    </row>
    <row r="34" spans="1:10" ht="13.05" customHeight="1">
      <c r="A34" s="18" t="s">
        <v>3134</v>
      </c>
      <c r="B34" s="19" t="s">
        <v>3135</v>
      </c>
      <c r="C34" s="15" t="s">
        <v>3136</v>
      </c>
      <c r="D34" s="15" t="s">
        <v>213</v>
      </c>
      <c r="E34" s="20">
        <v>10000</v>
      </c>
      <c r="F34" s="21">
        <v>9980.5</v>
      </c>
      <c r="G34" s="22">
        <v>1.2699999999999999E-2</v>
      </c>
      <c r="H34" s="23">
        <v>7.6883000000000007E-2</v>
      </c>
      <c r="I34" s="24"/>
      <c r="J34" s="5"/>
    </row>
    <row r="35" spans="1:10" ht="13.05" customHeight="1">
      <c r="A35" s="18" t="s">
        <v>5079</v>
      </c>
      <c r="B35" s="19" t="s">
        <v>5080</v>
      </c>
      <c r="C35" s="15" t="s">
        <v>5081</v>
      </c>
      <c r="D35" s="15" t="s">
        <v>1923</v>
      </c>
      <c r="E35" s="20">
        <v>9000</v>
      </c>
      <c r="F35" s="21">
        <v>9076.509</v>
      </c>
      <c r="G35" s="22">
        <v>1.1599999999999999E-2</v>
      </c>
      <c r="H35" s="23">
        <v>6.5350000000000005E-2</v>
      </c>
      <c r="I35" s="24"/>
      <c r="J35" s="5"/>
    </row>
    <row r="36" spans="1:10" ht="13.05" customHeight="1">
      <c r="A36" s="18" t="s">
        <v>1964</v>
      </c>
      <c r="B36" s="19" t="s">
        <v>1965</v>
      </c>
      <c r="C36" s="15" t="s">
        <v>1966</v>
      </c>
      <c r="D36" s="15" t="s">
        <v>1923</v>
      </c>
      <c r="E36" s="20">
        <v>8500</v>
      </c>
      <c r="F36" s="21">
        <v>8655.3035</v>
      </c>
      <c r="G36" s="22">
        <v>1.0999999999999999E-2</v>
      </c>
      <c r="H36" s="23">
        <v>6.6400000000000001E-2</v>
      </c>
      <c r="I36" s="24"/>
      <c r="J36" s="5"/>
    </row>
    <row r="37" spans="1:10" ht="13.05" customHeight="1">
      <c r="A37" s="18" t="s">
        <v>3841</v>
      </c>
      <c r="B37" s="19" t="s">
        <v>3842</v>
      </c>
      <c r="C37" s="15" t="s">
        <v>3843</v>
      </c>
      <c r="D37" s="15" t="s">
        <v>3656</v>
      </c>
      <c r="E37" s="20">
        <v>7500</v>
      </c>
      <c r="F37" s="21">
        <v>7643.2650000000003</v>
      </c>
      <c r="G37" s="22">
        <v>9.7000000000000003E-3</v>
      </c>
      <c r="H37" s="23">
        <v>8.0699999999999994E-2</v>
      </c>
      <c r="I37" s="24"/>
      <c r="J37" s="5"/>
    </row>
    <row r="38" spans="1:10" ht="13.05" customHeight="1">
      <c r="A38" s="18" t="s">
        <v>4337</v>
      </c>
      <c r="B38" s="19" t="s">
        <v>4338</v>
      </c>
      <c r="C38" s="15" t="s">
        <v>4339</v>
      </c>
      <c r="D38" s="15" t="s">
        <v>188</v>
      </c>
      <c r="E38" s="20">
        <v>7500000</v>
      </c>
      <c r="F38" s="21">
        <v>7537.8525</v>
      </c>
      <c r="G38" s="22">
        <v>9.5999999999999992E-3</v>
      </c>
      <c r="H38" s="23">
        <v>5.5799000000000001E-2</v>
      </c>
      <c r="I38" s="24"/>
      <c r="J38" s="5"/>
    </row>
    <row r="39" spans="1:10" ht="13.05" customHeight="1">
      <c r="A39" s="18" t="s">
        <v>5254</v>
      </c>
      <c r="B39" s="19" t="s">
        <v>5255</v>
      </c>
      <c r="C39" s="15" t="s">
        <v>5256</v>
      </c>
      <c r="D39" s="15" t="s">
        <v>213</v>
      </c>
      <c r="E39" s="20">
        <v>750</v>
      </c>
      <c r="F39" s="21">
        <v>7521.5024999999996</v>
      </c>
      <c r="G39" s="22">
        <v>9.5999999999999992E-3</v>
      </c>
      <c r="H39" s="23">
        <v>6.3351000000000005E-2</v>
      </c>
      <c r="I39" s="24"/>
      <c r="J39" s="5"/>
    </row>
    <row r="40" spans="1:10" ht="13.05" customHeight="1">
      <c r="A40" s="18" t="s">
        <v>2547</v>
      </c>
      <c r="B40" s="19" t="s">
        <v>2548</v>
      </c>
      <c r="C40" s="15" t="s">
        <v>2549</v>
      </c>
      <c r="D40" s="15" t="s">
        <v>213</v>
      </c>
      <c r="E40" s="20">
        <v>7500</v>
      </c>
      <c r="F40" s="21">
        <v>7519.29</v>
      </c>
      <c r="G40" s="22">
        <v>9.5999999999999992E-3</v>
      </c>
      <c r="H40" s="23">
        <v>6.5799999999999997E-2</v>
      </c>
      <c r="I40" s="24"/>
      <c r="J40" s="5"/>
    </row>
    <row r="41" spans="1:10" ht="13.05" customHeight="1">
      <c r="A41" s="18" t="s">
        <v>3131</v>
      </c>
      <c r="B41" s="19" t="s">
        <v>3132</v>
      </c>
      <c r="C41" s="15" t="s">
        <v>3133</v>
      </c>
      <c r="D41" s="15" t="s">
        <v>2447</v>
      </c>
      <c r="E41" s="20">
        <v>7050</v>
      </c>
      <c r="F41" s="21">
        <v>7123.1225999999997</v>
      </c>
      <c r="G41" s="22">
        <v>9.1000000000000004E-3</v>
      </c>
      <c r="H41" s="23">
        <v>7.4999999999999997E-2</v>
      </c>
      <c r="I41" s="24"/>
      <c r="J41" s="5"/>
    </row>
    <row r="42" spans="1:10" ht="13.05" customHeight="1">
      <c r="A42" s="18" t="s">
        <v>3657</v>
      </c>
      <c r="B42" s="19" t="s">
        <v>3658</v>
      </c>
      <c r="C42" s="15" t="s">
        <v>3659</v>
      </c>
      <c r="D42" s="15" t="s">
        <v>3656</v>
      </c>
      <c r="E42" s="20">
        <v>6500</v>
      </c>
      <c r="F42" s="21">
        <v>6884.4425000000001</v>
      </c>
      <c r="G42" s="22">
        <v>8.8000000000000005E-3</v>
      </c>
      <c r="H42" s="23">
        <v>8.0699999999999994E-2</v>
      </c>
      <c r="I42" s="24"/>
      <c r="J42" s="5"/>
    </row>
    <row r="43" spans="1:10" ht="13.05" customHeight="1">
      <c r="A43" s="18" t="s">
        <v>1939</v>
      </c>
      <c r="B43" s="19" t="s">
        <v>1940</v>
      </c>
      <c r="C43" s="15" t="s">
        <v>1941</v>
      </c>
      <c r="D43" s="15" t="s">
        <v>1923</v>
      </c>
      <c r="E43" s="20">
        <v>6500</v>
      </c>
      <c r="F43" s="21">
        <v>6620.4189999999999</v>
      </c>
      <c r="G43" s="22">
        <v>8.3999999999999995E-3</v>
      </c>
      <c r="H43" s="23">
        <v>6.6400000000000001E-2</v>
      </c>
      <c r="I43" s="24"/>
      <c r="J43" s="5"/>
    </row>
    <row r="44" spans="1:10" ht="13.05" customHeight="1">
      <c r="A44" s="18" t="s">
        <v>4986</v>
      </c>
      <c r="B44" s="19" t="s">
        <v>4987</v>
      </c>
      <c r="C44" s="15" t="s">
        <v>4988</v>
      </c>
      <c r="D44" s="15" t="s">
        <v>213</v>
      </c>
      <c r="E44" s="20">
        <v>6500</v>
      </c>
      <c r="F44" s="21">
        <v>6547.8334999999997</v>
      </c>
      <c r="G44" s="22">
        <v>8.3000000000000001E-3</v>
      </c>
      <c r="H44" s="23">
        <v>6.6199999999999995E-2</v>
      </c>
      <c r="I44" s="24"/>
      <c r="J44" s="5"/>
    </row>
    <row r="45" spans="1:10" ht="13.05" customHeight="1">
      <c r="A45" s="18" t="s">
        <v>3828</v>
      </c>
      <c r="B45" s="19" t="s">
        <v>3829</v>
      </c>
      <c r="C45" s="15" t="s">
        <v>3830</v>
      </c>
      <c r="D45" s="15" t="s">
        <v>1923</v>
      </c>
      <c r="E45" s="20">
        <v>5200</v>
      </c>
      <c r="F45" s="21">
        <v>5289.1851999999999</v>
      </c>
      <c r="G45" s="22">
        <v>6.7000000000000002E-3</v>
      </c>
      <c r="H45" s="23">
        <v>7.0399000000000003E-2</v>
      </c>
      <c r="I45" s="24"/>
      <c r="J45" s="5"/>
    </row>
    <row r="46" spans="1:10" ht="13.05" customHeight="1">
      <c r="A46" s="18" t="s">
        <v>3124</v>
      </c>
      <c r="B46" s="19" t="s">
        <v>3125</v>
      </c>
      <c r="C46" s="15" t="s">
        <v>3126</v>
      </c>
      <c r="D46" s="15" t="s">
        <v>213</v>
      </c>
      <c r="E46" s="20">
        <v>5000</v>
      </c>
      <c r="F46" s="21">
        <v>5124.0749999999998</v>
      </c>
      <c r="G46" s="22">
        <v>6.4999999999999997E-3</v>
      </c>
      <c r="H46" s="23">
        <v>7.2774000000000005E-2</v>
      </c>
      <c r="I46" s="24"/>
      <c r="J46" s="5"/>
    </row>
    <row r="47" spans="1:10" ht="13.05" customHeight="1">
      <c r="A47" s="18" t="s">
        <v>2817</v>
      </c>
      <c r="B47" s="19" t="s">
        <v>2818</v>
      </c>
      <c r="C47" s="15" t="s">
        <v>2819</v>
      </c>
      <c r="D47" s="15" t="s">
        <v>188</v>
      </c>
      <c r="E47" s="20">
        <v>5000000</v>
      </c>
      <c r="F47" s="21">
        <v>5105.3050000000003</v>
      </c>
      <c r="G47" s="22">
        <v>6.4999999999999997E-3</v>
      </c>
      <c r="H47" s="23">
        <v>6.0951999999999999E-2</v>
      </c>
      <c r="I47" s="24"/>
      <c r="J47" s="5"/>
    </row>
    <row r="48" spans="1:10" ht="13.05" customHeight="1">
      <c r="A48" s="18" t="s">
        <v>1942</v>
      </c>
      <c r="B48" s="19" t="s">
        <v>1943</v>
      </c>
      <c r="C48" s="15" t="s">
        <v>1944</v>
      </c>
      <c r="D48" s="15" t="s">
        <v>213</v>
      </c>
      <c r="E48" s="20">
        <v>5000</v>
      </c>
      <c r="F48" s="21">
        <v>5082.0249999999996</v>
      </c>
      <c r="G48" s="22">
        <v>6.4999999999999997E-3</v>
      </c>
      <c r="H48" s="23">
        <v>6.6449999999999995E-2</v>
      </c>
      <c r="I48" s="24"/>
      <c r="J48" s="5"/>
    </row>
    <row r="49" spans="1:10" ht="13.05" customHeight="1">
      <c r="A49" s="18" t="s">
        <v>3137</v>
      </c>
      <c r="B49" s="19" t="s">
        <v>3138</v>
      </c>
      <c r="C49" s="15" t="s">
        <v>3139</v>
      </c>
      <c r="D49" s="15" t="s">
        <v>2447</v>
      </c>
      <c r="E49" s="20">
        <v>5000</v>
      </c>
      <c r="F49" s="21">
        <v>5077.54</v>
      </c>
      <c r="G49" s="22">
        <v>6.4999999999999997E-3</v>
      </c>
      <c r="H49" s="23">
        <v>7.3800000000000004E-2</v>
      </c>
      <c r="I49" s="24"/>
      <c r="J49" s="5"/>
    </row>
    <row r="50" spans="1:10" ht="13.05" customHeight="1">
      <c r="A50" s="18" t="s">
        <v>2171</v>
      </c>
      <c r="B50" s="19" t="s">
        <v>2172</v>
      </c>
      <c r="C50" s="15" t="s">
        <v>2173</v>
      </c>
      <c r="D50" s="15" t="s">
        <v>213</v>
      </c>
      <c r="E50" s="20">
        <v>5000</v>
      </c>
      <c r="F50" s="21">
        <v>5077.4350000000004</v>
      </c>
      <c r="G50" s="22">
        <v>6.4999999999999997E-3</v>
      </c>
      <c r="H50" s="23">
        <v>7.1050000000000002E-2</v>
      </c>
      <c r="I50" s="24"/>
      <c r="J50" s="5"/>
    </row>
    <row r="51" spans="1:10" ht="13.05" customHeight="1">
      <c r="A51" s="18" t="s">
        <v>5031</v>
      </c>
      <c r="B51" s="19" t="s">
        <v>5032</v>
      </c>
      <c r="C51" s="15" t="s">
        <v>5033</v>
      </c>
      <c r="D51" s="15" t="s">
        <v>2447</v>
      </c>
      <c r="E51" s="20">
        <v>5000</v>
      </c>
      <c r="F51" s="21">
        <v>5075.5</v>
      </c>
      <c r="G51" s="22">
        <v>6.4999999999999997E-3</v>
      </c>
      <c r="H51" s="23">
        <v>7.8350000000000003E-2</v>
      </c>
      <c r="I51" s="24"/>
      <c r="J51" s="5"/>
    </row>
    <row r="52" spans="1:10" ht="13.05" customHeight="1">
      <c r="A52" s="18" t="s">
        <v>5257</v>
      </c>
      <c r="B52" s="19" t="s">
        <v>5258</v>
      </c>
      <c r="C52" s="15" t="s">
        <v>5259</v>
      </c>
      <c r="D52" s="15" t="s">
        <v>5585</v>
      </c>
      <c r="E52" s="20">
        <v>5000</v>
      </c>
      <c r="F52" s="21">
        <v>5070.75</v>
      </c>
      <c r="G52" s="22">
        <v>6.4999999999999997E-3</v>
      </c>
      <c r="H52" s="23">
        <v>7.3400000000000007E-2</v>
      </c>
      <c r="I52" s="24"/>
      <c r="J52" s="5"/>
    </row>
    <row r="53" spans="1:10" ht="13.05" customHeight="1">
      <c r="A53" s="18" t="s">
        <v>5260</v>
      </c>
      <c r="B53" s="19" t="s">
        <v>5261</v>
      </c>
      <c r="C53" s="15" t="s">
        <v>5262</v>
      </c>
      <c r="D53" s="15" t="s">
        <v>188</v>
      </c>
      <c r="E53" s="20">
        <v>5000000</v>
      </c>
      <c r="F53" s="21">
        <v>5069.0249999999996</v>
      </c>
      <c r="G53" s="22">
        <v>6.4999999999999997E-3</v>
      </c>
      <c r="H53" s="23">
        <v>5.9561000000000003E-2</v>
      </c>
      <c r="I53" s="24"/>
      <c r="J53" s="5"/>
    </row>
    <row r="54" spans="1:10" ht="13.05" customHeight="1">
      <c r="A54" s="18" t="s">
        <v>3115</v>
      </c>
      <c r="B54" s="19" t="s">
        <v>3116</v>
      </c>
      <c r="C54" s="15" t="s">
        <v>3117</v>
      </c>
      <c r="D54" s="15" t="s">
        <v>2447</v>
      </c>
      <c r="E54" s="20">
        <v>5000</v>
      </c>
      <c r="F54" s="21">
        <v>5066.5600000000004</v>
      </c>
      <c r="G54" s="22">
        <v>6.4000000000000003E-3</v>
      </c>
      <c r="H54" s="23">
        <v>7.8600000000000003E-2</v>
      </c>
      <c r="I54" s="24"/>
      <c r="J54" s="5"/>
    </row>
    <row r="55" spans="1:10" ht="13.05" customHeight="1">
      <c r="A55" s="18" t="s">
        <v>5097</v>
      </c>
      <c r="B55" s="19" t="s">
        <v>5098</v>
      </c>
      <c r="C55" s="15" t="s">
        <v>5099</v>
      </c>
      <c r="D55" s="15" t="s">
        <v>213</v>
      </c>
      <c r="E55" s="20">
        <v>500</v>
      </c>
      <c r="F55" s="21">
        <v>5037.5649999999996</v>
      </c>
      <c r="G55" s="22">
        <v>6.4000000000000003E-3</v>
      </c>
      <c r="H55" s="23">
        <v>6.5173999999999996E-2</v>
      </c>
      <c r="I55" s="24"/>
      <c r="J55" s="5"/>
    </row>
    <row r="56" spans="1:10" ht="13.05" customHeight="1">
      <c r="A56" s="18" t="s">
        <v>5263</v>
      </c>
      <c r="B56" s="19" t="s">
        <v>5264</v>
      </c>
      <c r="C56" s="15" t="s">
        <v>5265</v>
      </c>
      <c r="D56" s="15" t="s">
        <v>5583</v>
      </c>
      <c r="E56" s="20">
        <v>5000</v>
      </c>
      <c r="F56" s="21">
        <v>5030.4799999999996</v>
      </c>
      <c r="G56" s="22">
        <v>6.4000000000000003E-3</v>
      </c>
      <c r="H56" s="23">
        <v>7.2300000000000003E-2</v>
      </c>
      <c r="I56" s="24"/>
      <c r="J56" s="5"/>
    </row>
    <row r="57" spans="1:10" ht="13.05" customHeight="1">
      <c r="A57" s="18" t="s">
        <v>4992</v>
      </c>
      <c r="B57" s="19" t="s">
        <v>4993</v>
      </c>
      <c r="C57" s="15" t="s">
        <v>4994</v>
      </c>
      <c r="D57" s="15" t="s">
        <v>1923</v>
      </c>
      <c r="E57" s="20">
        <v>5000</v>
      </c>
      <c r="F57" s="21">
        <v>5015.32</v>
      </c>
      <c r="G57" s="22">
        <v>6.4000000000000003E-3</v>
      </c>
      <c r="H57" s="23">
        <v>7.1099999999999997E-2</v>
      </c>
      <c r="I57" s="24"/>
      <c r="J57" s="5"/>
    </row>
    <row r="58" spans="1:10" ht="13.05" customHeight="1">
      <c r="A58" s="18" t="s">
        <v>1951</v>
      </c>
      <c r="B58" s="19" t="s">
        <v>1952</v>
      </c>
      <c r="C58" s="15" t="s">
        <v>1953</v>
      </c>
      <c r="D58" s="15" t="s">
        <v>1923</v>
      </c>
      <c r="E58" s="20">
        <v>5000</v>
      </c>
      <c r="F58" s="21">
        <v>4999.7550000000001</v>
      </c>
      <c r="G58" s="22">
        <v>6.4000000000000003E-3</v>
      </c>
      <c r="H58" s="23">
        <v>6.5699999999999995E-2</v>
      </c>
      <c r="I58" s="24"/>
      <c r="J58" s="5"/>
    </row>
    <row r="59" spans="1:10" ht="13.05" customHeight="1">
      <c r="A59" s="18" t="s">
        <v>5266</v>
      </c>
      <c r="B59" s="19" t="s">
        <v>5267</v>
      </c>
      <c r="C59" s="15" t="s">
        <v>5268</v>
      </c>
      <c r="D59" s="15" t="s">
        <v>2447</v>
      </c>
      <c r="E59" s="20">
        <v>4500</v>
      </c>
      <c r="F59" s="21">
        <v>4674.924</v>
      </c>
      <c r="G59" s="22">
        <v>6.0000000000000001E-3</v>
      </c>
      <c r="H59" s="23">
        <v>7.8600000000000003E-2</v>
      </c>
      <c r="I59" s="24"/>
      <c r="J59" s="5"/>
    </row>
    <row r="60" spans="1:10" ht="13.05" customHeight="1">
      <c r="A60" s="18" t="s">
        <v>5269</v>
      </c>
      <c r="B60" s="19" t="s">
        <v>5270</v>
      </c>
      <c r="C60" s="15" t="s">
        <v>5271</v>
      </c>
      <c r="D60" s="15" t="s">
        <v>188</v>
      </c>
      <c r="E60" s="20">
        <v>4500000</v>
      </c>
      <c r="F60" s="21">
        <v>4586.5934999999999</v>
      </c>
      <c r="G60" s="22">
        <v>5.7999999999999996E-3</v>
      </c>
      <c r="H60" s="23">
        <v>6.0951999999999999E-2</v>
      </c>
      <c r="I60" s="24"/>
      <c r="J60" s="5"/>
    </row>
    <row r="61" spans="1:10" ht="13.05" customHeight="1">
      <c r="A61" s="18" t="s">
        <v>3663</v>
      </c>
      <c r="B61" s="19" t="s">
        <v>3664</v>
      </c>
      <c r="C61" s="15" t="s">
        <v>3665</v>
      </c>
      <c r="D61" s="15" t="s">
        <v>2447</v>
      </c>
      <c r="E61" s="20">
        <v>4500</v>
      </c>
      <c r="F61" s="21">
        <v>4564.107</v>
      </c>
      <c r="G61" s="22">
        <v>5.7999999999999996E-3</v>
      </c>
      <c r="H61" s="23">
        <v>7.85E-2</v>
      </c>
      <c r="I61" s="24"/>
      <c r="J61" s="5"/>
    </row>
    <row r="62" spans="1:10" ht="13.05" customHeight="1">
      <c r="A62" s="18" t="s">
        <v>3669</v>
      </c>
      <c r="B62" s="19" t="s">
        <v>3670</v>
      </c>
      <c r="C62" s="15" t="s">
        <v>3671</v>
      </c>
      <c r="D62" s="15" t="s">
        <v>3146</v>
      </c>
      <c r="E62" s="20">
        <v>4500</v>
      </c>
      <c r="F62" s="21">
        <v>4508.451</v>
      </c>
      <c r="G62" s="22">
        <v>5.7000000000000002E-3</v>
      </c>
      <c r="H62" s="23">
        <v>8.6098999999999995E-2</v>
      </c>
      <c r="I62" s="24"/>
      <c r="J62" s="5"/>
    </row>
    <row r="63" spans="1:10" ht="13.05" customHeight="1">
      <c r="A63" s="18" t="s">
        <v>2805</v>
      </c>
      <c r="B63" s="19" t="s">
        <v>2806</v>
      </c>
      <c r="C63" s="15" t="s">
        <v>2807</v>
      </c>
      <c r="D63" s="15" t="s">
        <v>188</v>
      </c>
      <c r="E63" s="20">
        <v>4000000</v>
      </c>
      <c r="F63" s="21">
        <v>4095.9160000000002</v>
      </c>
      <c r="G63" s="22">
        <v>5.1999999999999998E-3</v>
      </c>
      <c r="H63" s="23">
        <v>6.0951999999999999E-2</v>
      </c>
      <c r="I63" s="24"/>
      <c r="J63" s="5"/>
    </row>
    <row r="64" spans="1:10" ht="13.05" customHeight="1">
      <c r="A64" s="18" t="s">
        <v>5040</v>
      </c>
      <c r="B64" s="19" t="s">
        <v>5041</v>
      </c>
      <c r="C64" s="15" t="s">
        <v>5042</v>
      </c>
      <c r="D64" s="15" t="s">
        <v>2447</v>
      </c>
      <c r="E64" s="20">
        <v>4000</v>
      </c>
      <c r="F64" s="21">
        <v>4018.6</v>
      </c>
      <c r="G64" s="22">
        <v>5.1000000000000004E-3</v>
      </c>
      <c r="H64" s="23">
        <v>7.8E-2</v>
      </c>
      <c r="I64" s="24"/>
      <c r="J64" s="5"/>
    </row>
    <row r="65" spans="1:10" ht="13.05" customHeight="1">
      <c r="A65" s="18" t="s">
        <v>5196</v>
      </c>
      <c r="B65" s="19" t="s">
        <v>5197</v>
      </c>
      <c r="C65" s="15" t="s">
        <v>5198</v>
      </c>
      <c r="D65" s="15" t="s">
        <v>188</v>
      </c>
      <c r="E65" s="20">
        <v>4000000</v>
      </c>
      <c r="F65" s="21">
        <v>4003.1559999999999</v>
      </c>
      <c r="G65" s="22">
        <v>5.1000000000000004E-3</v>
      </c>
      <c r="H65" s="23">
        <v>5.6149999999999999E-2</v>
      </c>
      <c r="I65" s="24"/>
      <c r="J65" s="5"/>
    </row>
    <row r="66" spans="1:10" ht="13.05" customHeight="1">
      <c r="A66" s="18" t="s">
        <v>5272</v>
      </c>
      <c r="B66" s="19" t="s">
        <v>5273</v>
      </c>
      <c r="C66" s="15" t="s">
        <v>5274</v>
      </c>
      <c r="D66" s="15" t="s">
        <v>188</v>
      </c>
      <c r="E66" s="20">
        <v>3500000</v>
      </c>
      <c r="F66" s="21">
        <v>3509.4569999999999</v>
      </c>
      <c r="G66" s="22">
        <v>4.4999999999999997E-3</v>
      </c>
      <c r="H66" s="23">
        <v>5.5925000000000002E-2</v>
      </c>
      <c r="I66" s="24"/>
      <c r="J66" s="5"/>
    </row>
    <row r="67" spans="1:10" ht="13.05" customHeight="1">
      <c r="A67" s="18" t="s">
        <v>5058</v>
      </c>
      <c r="B67" s="19" t="s">
        <v>5059</v>
      </c>
      <c r="C67" s="15" t="s">
        <v>5060</v>
      </c>
      <c r="D67" s="15" t="s">
        <v>213</v>
      </c>
      <c r="E67" s="20">
        <v>3500</v>
      </c>
      <c r="F67" s="21">
        <v>3495.9155000000001</v>
      </c>
      <c r="G67" s="22">
        <v>4.4000000000000003E-3</v>
      </c>
      <c r="H67" s="23">
        <v>7.1499999999999994E-2</v>
      </c>
      <c r="I67" s="24"/>
      <c r="J67" s="5"/>
    </row>
    <row r="68" spans="1:10" ht="13.05" customHeight="1">
      <c r="A68" s="18" t="s">
        <v>3653</v>
      </c>
      <c r="B68" s="19" t="s">
        <v>3654</v>
      </c>
      <c r="C68" s="15" t="s">
        <v>3655</v>
      </c>
      <c r="D68" s="15" t="s">
        <v>3656</v>
      </c>
      <c r="E68" s="20">
        <v>3000</v>
      </c>
      <c r="F68" s="21">
        <v>3185.5830000000001</v>
      </c>
      <c r="G68" s="22">
        <v>4.1000000000000003E-3</v>
      </c>
      <c r="H68" s="23">
        <v>8.1367999999999996E-2</v>
      </c>
      <c r="I68" s="24"/>
      <c r="J68" s="5"/>
    </row>
    <row r="69" spans="1:10" ht="13.05" customHeight="1">
      <c r="A69" s="18" t="s">
        <v>3831</v>
      </c>
      <c r="B69" s="19" t="s">
        <v>3832</v>
      </c>
      <c r="C69" s="15" t="s">
        <v>3833</v>
      </c>
      <c r="D69" s="15" t="s">
        <v>3146</v>
      </c>
      <c r="E69" s="20">
        <v>3000</v>
      </c>
      <c r="F69" s="21">
        <v>3050.0369999999998</v>
      </c>
      <c r="G69" s="22">
        <v>3.8999999999999998E-3</v>
      </c>
      <c r="H69" s="23">
        <v>7.6249999999999998E-2</v>
      </c>
      <c r="I69" s="24"/>
      <c r="J69" s="5"/>
    </row>
    <row r="70" spans="1:10" ht="13.05" customHeight="1">
      <c r="A70" s="18" t="s">
        <v>5275</v>
      </c>
      <c r="B70" s="19" t="s">
        <v>5276</v>
      </c>
      <c r="C70" s="15" t="s">
        <v>5277</v>
      </c>
      <c r="D70" s="15" t="s">
        <v>188</v>
      </c>
      <c r="E70" s="20">
        <v>3000000</v>
      </c>
      <c r="F70" s="21">
        <v>3021.6509999999998</v>
      </c>
      <c r="G70" s="22">
        <v>3.8E-3</v>
      </c>
      <c r="H70" s="23">
        <v>5.6800000000000003E-2</v>
      </c>
      <c r="I70" s="24"/>
      <c r="J70" s="5"/>
    </row>
    <row r="71" spans="1:10" ht="13.05" customHeight="1">
      <c r="A71" s="18" t="s">
        <v>2135</v>
      </c>
      <c r="B71" s="19" t="s">
        <v>2136</v>
      </c>
      <c r="C71" s="15" t="s">
        <v>2137</v>
      </c>
      <c r="D71" s="15" t="s">
        <v>213</v>
      </c>
      <c r="E71" s="20">
        <v>2500</v>
      </c>
      <c r="F71" s="21">
        <v>2576.2424999999998</v>
      </c>
      <c r="G71" s="22">
        <v>3.3E-3</v>
      </c>
      <c r="H71" s="23">
        <v>7.0699999999999999E-2</v>
      </c>
      <c r="I71" s="24"/>
      <c r="J71" s="5"/>
    </row>
    <row r="72" spans="1:10" ht="13.05" customHeight="1">
      <c r="A72" s="18" t="s">
        <v>2279</v>
      </c>
      <c r="B72" s="19" t="s">
        <v>2280</v>
      </c>
      <c r="C72" s="15" t="s">
        <v>2281</v>
      </c>
      <c r="D72" s="15" t="s">
        <v>188</v>
      </c>
      <c r="E72" s="20">
        <v>2500000</v>
      </c>
      <c r="F72" s="21">
        <v>2547.5250000000001</v>
      </c>
      <c r="G72" s="22">
        <v>3.2000000000000002E-3</v>
      </c>
      <c r="H72" s="23">
        <v>6.5121999999999999E-2</v>
      </c>
      <c r="I72" s="24"/>
      <c r="J72" s="5"/>
    </row>
    <row r="73" spans="1:10" ht="13.05" customHeight="1">
      <c r="A73" s="18" t="s">
        <v>5019</v>
      </c>
      <c r="B73" s="19" t="s">
        <v>5020</v>
      </c>
      <c r="C73" s="15" t="s">
        <v>5021</v>
      </c>
      <c r="D73" s="15" t="s">
        <v>213</v>
      </c>
      <c r="E73" s="20">
        <v>250</v>
      </c>
      <c r="F73" s="21">
        <v>2542.2424999999998</v>
      </c>
      <c r="G73" s="22">
        <v>3.2000000000000002E-3</v>
      </c>
      <c r="H73" s="23">
        <v>6.5699999999999995E-2</v>
      </c>
      <c r="I73" s="24"/>
      <c r="J73" s="5"/>
    </row>
    <row r="74" spans="1:10" ht="13.05" customHeight="1">
      <c r="A74" s="18" t="s">
        <v>2168</v>
      </c>
      <c r="B74" s="19" t="s">
        <v>2169</v>
      </c>
      <c r="C74" s="15" t="s">
        <v>2170</v>
      </c>
      <c r="D74" s="15" t="s">
        <v>213</v>
      </c>
      <c r="E74" s="20">
        <v>2500</v>
      </c>
      <c r="F74" s="21">
        <v>2541.7750000000001</v>
      </c>
      <c r="G74" s="22">
        <v>3.2000000000000002E-3</v>
      </c>
      <c r="H74" s="23">
        <v>6.6449999999999995E-2</v>
      </c>
      <c r="I74" s="24"/>
      <c r="J74" s="5"/>
    </row>
    <row r="75" spans="1:10" ht="13.05" customHeight="1">
      <c r="A75" s="18" t="s">
        <v>4980</v>
      </c>
      <c r="B75" s="19" t="s">
        <v>4981</v>
      </c>
      <c r="C75" s="15" t="s">
        <v>4982</v>
      </c>
      <c r="D75" s="15" t="s">
        <v>213</v>
      </c>
      <c r="E75" s="20">
        <v>2500</v>
      </c>
      <c r="F75" s="21">
        <v>2539.91</v>
      </c>
      <c r="G75" s="22">
        <v>3.2000000000000002E-3</v>
      </c>
      <c r="H75" s="23">
        <v>6.6449999999999995E-2</v>
      </c>
      <c r="I75" s="24"/>
      <c r="J75" s="5"/>
    </row>
    <row r="76" spans="1:10" ht="13.05" customHeight="1">
      <c r="A76" s="18" t="s">
        <v>3844</v>
      </c>
      <c r="B76" s="19" t="s">
        <v>3845</v>
      </c>
      <c r="C76" s="15" t="s">
        <v>3846</v>
      </c>
      <c r="D76" s="15" t="s">
        <v>3656</v>
      </c>
      <c r="E76" s="20">
        <v>2500</v>
      </c>
      <c r="F76" s="21">
        <v>2538.8975</v>
      </c>
      <c r="G76" s="22">
        <v>3.2000000000000002E-3</v>
      </c>
      <c r="H76" s="23">
        <v>7.6700000000000004E-2</v>
      </c>
      <c r="I76" s="24"/>
      <c r="J76" s="5"/>
    </row>
    <row r="77" spans="1:10" ht="13.05" customHeight="1">
      <c r="A77" s="18" t="s">
        <v>5278</v>
      </c>
      <c r="B77" s="19" t="s">
        <v>5279</v>
      </c>
      <c r="C77" s="15" t="s">
        <v>5280</v>
      </c>
      <c r="D77" s="15" t="s">
        <v>188</v>
      </c>
      <c r="E77" s="20">
        <v>2500000</v>
      </c>
      <c r="F77" s="21">
        <v>2534.5349999999999</v>
      </c>
      <c r="G77" s="22">
        <v>3.2000000000000002E-3</v>
      </c>
      <c r="H77" s="23">
        <v>6.0900000000000003E-2</v>
      </c>
      <c r="I77" s="24"/>
      <c r="J77" s="5"/>
    </row>
    <row r="78" spans="1:10" ht="13.05" customHeight="1">
      <c r="A78" s="18" t="s">
        <v>4847</v>
      </c>
      <c r="B78" s="19" t="s">
        <v>4848</v>
      </c>
      <c r="C78" s="15" t="s">
        <v>4849</v>
      </c>
      <c r="D78" s="15" t="s">
        <v>188</v>
      </c>
      <c r="E78" s="20">
        <v>2500000</v>
      </c>
      <c r="F78" s="21">
        <v>2518.2399999999998</v>
      </c>
      <c r="G78" s="22">
        <v>3.2000000000000002E-3</v>
      </c>
      <c r="H78" s="23">
        <v>5.6899999999999999E-2</v>
      </c>
      <c r="I78" s="24"/>
      <c r="J78" s="5"/>
    </row>
    <row r="79" spans="1:10" ht="13.05" customHeight="1">
      <c r="A79" s="18" t="s">
        <v>2021</v>
      </c>
      <c r="B79" s="19" t="s">
        <v>2022</v>
      </c>
      <c r="C79" s="15" t="s">
        <v>2023</v>
      </c>
      <c r="D79" s="15" t="s">
        <v>213</v>
      </c>
      <c r="E79" s="20">
        <v>2500</v>
      </c>
      <c r="F79" s="21">
        <v>2506.96</v>
      </c>
      <c r="G79" s="22">
        <v>3.2000000000000002E-3</v>
      </c>
      <c r="H79" s="23">
        <v>6.9150000000000003E-2</v>
      </c>
      <c r="I79" s="24"/>
      <c r="J79" s="5"/>
    </row>
    <row r="80" spans="1:10" ht="13.05" customHeight="1">
      <c r="A80" s="18" t="s">
        <v>5043</v>
      </c>
      <c r="B80" s="19" t="s">
        <v>5044</v>
      </c>
      <c r="C80" s="15" t="s">
        <v>5045</v>
      </c>
      <c r="D80" s="15" t="s">
        <v>213</v>
      </c>
      <c r="E80" s="20">
        <v>2500</v>
      </c>
      <c r="F80" s="21">
        <v>2504.3049999999998</v>
      </c>
      <c r="G80" s="22">
        <v>3.2000000000000002E-3</v>
      </c>
      <c r="H80" s="23">
        <v>6.7849999999999994E-2</v>
      </c>
      <c r="I80" s="24"/>
      <c r="J80" s="5"/>
    </row>
    <row r="81" spans="1:10" ht="13.05" customHeight="1">
      <c r="A81" s="18" t="s">
        <v>5281</v>
      </c>
      <c r="B81" s="19" t="s">
        <v>5282</v>
      </c>
      <c r="C81" s="15" t="s">
        <v>5283</v>
      </c>
      <c r="D81" s="15" t="s">
        <v>213</v>
      </c>
      <c r="E81" s="20">
        <v>2500</v>
      </c>
      <c r="F81" s="21">
        <v>2374.0500000000002</v>
      </c>
      <c r="G81" s="22">
        <v>3.0000000000000001E-3</v>
      </c>
      <c r="H81" s="23">
        <v>6.5199999999999994E-2</v>
      </c>
      <c r="I81" s="24"/>
      <c r="J81" s="5"/>
    </row>
    <row r="82" spans="1:10" ht="13.05" customHeight="1">
      <c r="A82" s="18" t="s">
        <v>5284</v>
      </c>
      <c r="B82" s="19" t="s">
        <v>5285</v>
      </c>
      <c r="C82" s="15" t="s">
        <v>5286</v>
      </c>
      <c r="D82" s="15" t="s">
        <v>213</v>
      </c>
      <c r="E82" s="20">
        <v>2000</v>
      </c>
      <c r="F82" s="21">
        <v>2025.106</v>
      </c>
      <c r="G82" s="22">
        <v>2.5999999999999999E-3</v>
      </c>
      <c r="H82" s="23">
        <v>6.6400000000000001E-2</v>
      </c>
      <c r="I82" s="24"/>
      <c r="J82" s="5"/>
    </row>
    <row r="83" spans="1:10" ht="13.05" customHeight="1">
      <c r="A83" s="18" t="s">
        <v>5287</v>
      </c>
      <c r="B83" s="19" t="s">
        <v>5288</v>
      </c>
      <c r="C83" s="15" t="s">
        <v>5289</v>
      </c>
      <c r="D83" s="15" t="s">
        <v>213</v>
      </c>
      <c r="E83" s="20">
        <v>2000</v>
      </c>
      <c r="F83" s="21">
        <v>2007.558</v>
      </c>
      <c r="G83" s="22">
        <v>2.5999999999999999E-3</v>
      </c>
      <c r="H83" s="23">
        <v>7.2450000000000001E-2</v>
      </c>
      <c r="I83" s="24"/>
      <c r="J83" s="5"/>
    </row>
    <row r="84" spans="1:10" ht="13.05" customHeight="1">
      <c r="A84" s="18" t="s">
        <v>5290</v>
      </c>
      <c r="B84" s="19" t="s">
        <v>5291</v>
      </c>
      <c r="C84" s="15" t="s">
        <v>5292</v>
      </c>
      <c r="D84" s="15" t="s">
        <v>213</v>
      </c>
      <c r="E84" s="20">
        <v>200</v>
      </c>
      <c r="F84" s="21">
        <v>2003.6959999999999</v>
      </c>
      <c r="G84" s="22">
        <v>2.5999999999999999E-3</v>
      </c>
      <c r="H84" s="23">
        <v>6.9089999999999999E-2</v>
      </c>
      <c r="I84" s="24"/>
      <c r="J84" s="5"/>
    </row>
    <row r="85" spans="1:10" ht="13.05" customHeight="1">
      <c r="A85" s="18" t="s">
        <v>5293</v>
      </c>
      <c r="B85" s="19" t="s">
        <v>5294</v>
      </c>
      <c r="C85" s="15" t="s">
        <v>5295</v>
      </c>
      <c r="D85" s="15" t="s">
        <v>188</v>
      </c>
      <c r="E85" s="20">
        <v>1500000</v>
      </c>
      <c r="F85" s="21">
        <v>1505.5709999999999</v>
      </c>
      <c r="G85" s="22">
        <v>1.9E-3</v>
      </c>
      <c r="H85" s="23">
        <v>5.5925000000000002E-2</v>
      </c>
      <c r="I85" s="24"/>
      <c r="J85" s="5"/>
    </row>
    <row r="86" spans="1:10" ht="13.05" customHeight="1">
      <c r="A86" s="18" t="s">
        <v>5106</v>
      </c>
      <c r="B86" s="19" t="s">
        <v>5107</v>
      </c>
      <c r="C86" s="15" t="s">
        <v>5108</v>
      </c>
      <c r="D86" s="15" t="s">
        <v>3130</v>
      </c>
      <c r="E86" s="20">
        <v>1500</v>
      </c>
      <c r="F86" s="21">
        <v>1500.1469999999999</v>
      </c>
      <c r="G86" s="22">
        <v>1.9E-3</v>
      </c>
      <c r="H86" s="23">
        <v>6.1677999999999997E-2</v>
      </c>
      <c r="I86" s="24"/>
      <c r="J86" s="5"/>
    </row>
    <row r="87" spans="1:10" ht="13.05" customHeight="1">
      <c r="A87" s="18" t="s">
        <v>5139</v>
      </c>
      <c r="B87" s="19" t="s">
        <v>5140</v>
      </c>
      <c r="C87" s="15" t="s">
        <v>5141</v>
      </c>
      <c r="D87" s="15" t="s">
        <v>213</v>
      </c>
      <c r="E87" s="20">
        <v>150</v>
      </c>
      <c r="F87" s="21">
        <v>1494.1469999999999</v>
      </c>
      <c r="G87" s="22">
        <v>1.9E-3</v>
      </c>
      <c r="H87" s="23">
        <v>6.5199999999999994E-2</v>
      </c>
      <c r="I87" s="24"/>
      <c r="J87" s="5"/>
    </row>
    <row r="88" spans="1:10" ht="13.05" customHeight="1">
      <c r="A88" s="18" t="s">
        <v>4316</v>
      </c>
      <c r="B88" s="19" t="s">
        <v>4317</v>
      </c>
      <c r="C88" s="15" t="s">
        <v>4318</v>
      </c>
      <c r="D88" s="15" t="s">
        <v>188</v>
      </c>
      <c r="E88" s="20">
        <v>1050000</v>
      </c>
      <c r="F88" s="21">
        <v>1052.2112999999999</v>
      </c>
      <c r="G88" s="22">
        <v>1.2999999999999999E-3</v>
      </c>
      <c r="H88" s="23">
        <v>5.9283000000000002E-2</v>
      </c>
      <c r="I88" s="24"/>
      <c r="J88" s="5"/>
    </row>
    <row r="89" spans="1:10" ht="13.05" customHeight="1">
      <c r="A89" s="18" t="s">
        <v>5061</v>
      </c>
      <c r="B89" s="19" t="s">
        <v>5062</v>
      </c>
      <c r="C89" s="15" t="s">
        <v>5063</v>
      </c>
      <c r="D89" s="15" t="s">
        <v>2447</v>
      </c>
      <c r="E89" s="20">
        <v>1000</v>
      </c>
      <c r="F89" s="21">
        <v>1016.21</v>
      </c>
      <c r="G89" s="22">
        <v>1.2999999999999999E-3</v>
      </c>
      <c r="H89" s="23">
        <v>7.7049999999999993E-2</v>
      </c>
      <c r="I89" s="24"/>
      <c r="J89" s="5"/>
    </row>
    <row r="90" spans="1:10" ht="13.05" customHeight="1">
      <c r="A90" s="18" t="s">
        <v>2081</v>
      </c>
      <c r="B90" s="19" t="s">
        <v>2082</v>
      </c>
      <c r="C90" s="15" t="s">
        <v>2083</v>
      </c>
      <c r="D90" s="15" t="s">
        <v>213</v>
      </c>
      <c r="E90" s="20">
        <v>500</v>
      </c>
      <c r="F90" s="21">
        <v>508.21550000000002</v>
      </c>
      <c r="G90" s="22">
        <v>5.9999999999999995E-4</v>
      </c>
      <c r="H90" s="23">
        <v>7.1150000000000005E-2</v>
      </c>
      <c r="I90" s="24"/>
      <c r="J90" s="5"/>
    </row>
    <row r="91" spans="1:10" ht="13.05" customHeight="1">
      <c r="A91" s="18" t="s">
        <v>5296</v>
      </c>
      <c r="B91" s="19" t="s">
        <v>5297</v>
      </c>
      <c r="C91" s="15" t="s">
        <v>5298</v>
      </c>
      <c r="D91" s="15" t="s">
        <v>213</v>
      </c>
      <c r="E91" s="20">
        <v>500</v>
      </c>
      <c r="F91" s="21">
        <v>502.88200000000001</v>
      </c>
      <c r="G91" s="22">
        <v>5.9999999999999995E-4</v>
      </c>
      <c r="H91" s="23">
        <v>6.6400000000000001E-2</v>
      </c>
      <c r="I91" s="24"/>
      <c r="J91" s="5"/>
    </row>
    <row r="92" spans="1:10" ht="13.05" customHeight="1">
      <c r="A92" s="18" t="s">
        <v>5299</v>
      </c>
      <c r="B92" s="19" t="s">
        <v>5300</v>
      </c>
      <c r="C92" s="15" t="s">
        <v>5301</v>
      </c>
      <c r="D92" s="15" t="s">
        <v>213</v>
      </c>
      <c r="E92" s="20">
        <v>500</v>
      </c>
      <c r="F92" s="21">
        <v>501.73500000000001</v>
      </c>
      <c r="G92" s="22">
        <v>5.9999999999999995E-4</v>
      </c>
      <c r="H92" s="23">
        <v>6.9849999999999995E-2</v>
      </c>
      <c r="I92" s="24"/>
      <c r="J92" s="5"/>
    </row>
    <row r="93" spans="1:10" ht="13.05" customHeight="1">
      <c r="A93" s="18" t="s">
        <v>3952</v>
      </c>
      <c r="B93" s="19" t="s">
        <v>3953</v>
      </c>
      <c r="C93" s="15" t="s">
        <v>3954</v>
      </c>
      <c r="D93" s="15" t="s">
        <v>5583</v>
      </c>
      <c r="E93" s="20">
        <v>500</v>
      </c>
      <c r="F93" s="21">
        <v>501.3365</v>
      </c>
      <c r="G93" s="22">
        <v>5.9999999999999995E-4</v>
      </c>
      <c r="H93" s="23">
        <v>6.5448999999999993E-2</v>
      </c>
      <c r="I93" s="24"/>
      <c r="J93" s="5"/>
    </row>
    <row r="94" spans="1:10" ht="13.05" customHeight="1">
      <c r="A94" s="18" t="s">
        <v>3647</v>
      </c>
      <c r="B94" s="19" t="s">
        <v>3648</v>
      </c>
      <c r="C94" s="15" t="s">
        <v>3649</v>
      </c>
      <c r="D94" s="15" t="s">
        <v>188</v>
      </c>
      <c r="E94" s="20">
        <v>500000</v>
      </c>
      <c r="F94" s="21">
        <v>492.892</v>
      </c>
      <c r="G94" s="22">
        <v>5.9999999999999995E-4</v>
      </c>
      <c r="H94" s="23">
        <v>6.6395999999999997E-2</v>
      </c>
      <c r="I94" s="24"/>
      <c r="J94" s="5"/>
    </row>
    <row r="95" spans="1:10" ht="13.05" customHeight="1">
      <c r="A95" s="18" t="s">
        <v>5302</v>
      </c>
      <c r="B95" s="19" t="s">
        <v>5303</v>
      </c>
      <c r="C95" s="15" t="s">
        <v>5304</v>
      </c>
      <c r="D95" s="15" t="s">
        <v>188</v>
      </c>
      <c r="E95" s="20">
        <v>440000</v>
      </c>
      <c r="F95" s="21">
        <v>443.56049999999999</v>
      </c>
      <c r="G95" s="22">
        <v>5.9999999999999995E-4</v>
      </c>
      <c r="H95" s="23">
        <v>5.9332000000000003E-2</v>
      </c>
      <c r="I95" s="24"/>
      <c r="J95" s="5"/>
    </row>
    <row r="96" spans="1:10" ht="13.05" customHeight="1">
      <c r="A96" s="18" t="s">
        <v>2222</v>
      </c>
      <c r="B96" s="19" t="s">
        <v>2223</v>
      </c>
      <c r="C96" s="15" t="s">
        <v>2224</v>
      </c>
      <c r="D96" s="15" t="s">
        <v>213</v>
      </c>
      <c r="E96" s="20">
        <v>250</v>
      </c>
      <c r="F96" s="21">
        <v>254.30179999999999</v>
      </c>
      <c r="G96" s="22">
        <v>2.9999999999999997E-4</v>
      </c>
      <c r="H96" s="23">
        <v>6.7849999999999994E-2</v>
      </c>
      <c r="I96" s="24"/>
      <c r="J96" s="5"/>
    </row>
    <row r="97" spans="1:10" ht="13.05" customHeight="1">
      <c r="A97" s="18" t="s">
        <v>5305</v>
      </c>
      <c r="B97" s="19" t="s">
        <v>5306</v>
      </c>
      <c r="C97" s="15" t="s">
        <v>5307</v>
      </c>
      <c r="D97" s="15" t="s">
        <v>188</v>
      </c>
      <c r="E97" s="20">
        <v>200000</v>
      </c>
      <c r="F97" s="21">
        <v>201.1568</v>
      </c>
      <c r="G97" s="22">
        <v>2.9999999999999997E-4</v>
      </c>
      <c r="H97" s="23">
        <v>5.8477000000000001E-2</v>
      </c>
      <c r="I97" s="24"/>
      <c r="J97" s="5"/>
    </row>
    <row r="98" spans="1:10" ht="13.05" customHeight="1">
      <c r="A98" s="18" t="s">
        <v>5308</v>
      </c>
      <c r="B98" s="19" t="s">
        <v>5309</v>
      </c>
      <c r="C98" s="15" t="s">
        <v>5310</v>
      </c>
      <c r="D98" s="15" t="s">
        <v>213</v>
      </c>
      <c r="E98" s="20">
        <v>4</v>
      </c>
      <c r="F98" s="21">
        <v>42.935699999999997</v>
      </c>
      <c r="G98" s="22">
        <v>1E-4</v>
      </c>
      <c r="H98" s="23">
        <v>9.2519000000000004E-2</v>
      </c>
      <c r="I98" s="24"/>
      <c r="J98" s="5"/>
    </row>
    <row r="99" spans="1:10" ht="13.05" customHeight="1">
      <c r="A99" s="18" t="s">
        <v>5311</v>
      </c>
      <c r="B99" s="19" t="s">
        <v>5312</v>
      </c>
      <c r="C99" s="15" t="s">
        <v>5313</v>
      </c>
      <c r="D99" s="15" t="s">
        <v>213</v>
      </c>
      <c r="E99" s="20">
        <v>4</v>
      </c>
      <c r="F99" s="21">
        <v>42.4009</v>
      </c>
      <c r="G99" s="22">
        <v>1E-4</v>
      </c>
      <c r="H99" s="23">
        <v>9.2376E-2</v>
      </c>
      <c r="I99" s="24"/>
      <c r="J99" s="5"/>
    </row>
    <row r="100" spans="1:10" ht="13.05" customHeight="1">
      <c r="A100" s="18" t="s">
        <v>5314</v>
      </c>
      <c r="B100" s="19" t="s">
        <v>5315</v>
      </c>
      <c r="C100" s="15" t="s">
        <v>5316</v>
      </c>
      <c r="D100" s="15" t="s">
        <v>213</v>
      </c>
      <c r="E100" s="20">
        <v>4</v>
      </c>
      <c r="F100" s="21">
        <v>42.309199999999997</v>
      </c>
      <c r="G100" s="22">
        <v>1E-4</v>
      </c>
      <c r="H100" s="23">
        <v>9.1337000000000002E-2</v>
      </c>
      <c r="I100" s="24"/>
      <c r="J100" s="5"/>
    </row>
    <row r="101" spans="1:10" ht="13.05" customHeight="1">
      <c r="A101" s="18" t="s">
        <v>5317</v>
      </c>
      <c r="B101" s="19" t="s">
        <v>5318</v>
      </c>
      <c r="C101" s="15" t="s">
        <v>5319</v>
      </c>
      <c r="D101" s="15" t="s">
        <v>213</v>
      </c>
      <c r="E101" s="20">
        <v>4</v>
      </c>
      <c r="F101" s="21">
        <v>42.298900000000003</v>
      </c>
      <c r="G101" s="22">
        <v>1E-4</v>
      </c>
      <c r="H101" s="23">
        <v>8.7254499999999999E-2</v>
      </c>
      <c r="I101" s="24"/>
      <c r="J101" s="5"/>
    </row>
    <row r="102" spans="1:10" ht="13.05" customHeight="1">
      <c r="A102" s="18" t="s">
        <v>5320</v>
      </c>
      <c r="B102" s="19" t="s">
        <v>5321</v>
      </c>
      <c r="C102" s="15" t="s">
        <v>5322</v>
      </c>
      <c r="D102" s="15" t="s">
        <v>213</v>
      </c>
      <c r="E102" s="20">
        <v>4</v>
      </c>
      <c r="F102" s="21">
        <v>42.274799999999999</v>
      </c>
      <c r="G102" s="22">
        <v>1E-4</v>
      </c>
      <c r="H102" s="23">
        <v>9.1001499999999999E-2</v>
      </c>
      <c r="I102" s="24"/>
      <c r="J102" s="5"/>
    </row>
    <row r="103" spans="1:10" ht="13.05" customHeight="1">
      <c r="A103" s="18" t="s">
        <v>5323</v>
      </c>
      <c r="B103" s="19" t="s">
        <v>5324</v>
      </c>
      <c r="C103" s="15" t="s">
        <v>5325</v>
      </c>
      <c r="D103" s="15" t="s">
        <v>213</v>
      </c>
      <c r="E103" s="20">
        <v>4</v>
      </c>
      <c r="F103" s="21">
        <v>42.271000000000001</v>
      </c>
      <c r="G103" s="22">
        <v>1E-4</v>
      </c>
      <c r="H103" s="23">
        <v>8.9701000000000003E-2</v>
      </c>
      <c r="I103" s="24"/>
      <c r="J103" s="5"/>
    </row>
    <row r="104" spans="1:10" ht="13.05" customHeight="1">
      <c r="A104" s="18" t="s">
        <v>5326</v>
      </c>
      <c r="B104" s="19" t="s">
        <v>5327</v>
      </c>
      <c r="C104" s="15" t="s">
        <v>5328</v>
      </c>
      <c r="D104" s="15" t="s">
        <v>213</v>
      </c>
      <c r="E104" s="20">
        <v>4</v>
      </c>
      <c r="F104" s="21">
        <v>42.168300000000002</v>
      </c>
      <c r="G104" s="22">
        <v>1E-4</v>
      </c>
      <c r="H104" s="23">
        <v>8.4751000000000007E-2</v>
      </c>
      <c r="I104" s="24"/>
      <c r="J104" s="5"/>
    </row>
    <row r="105" spans="1:10" ht="13.05" customHeight="1">
      <c r="A105" s="18" t="s">
        <v>5329</v>
      </c>
      <c r="B105" s="19" t="s">
        <v>5330</v>
      </c>
      <c r="C105" s="15" t="s">
        <v>5331</v>
      </c>
      <c r="D105" s="15" t="s">
        <v>213</v>
      </c>
      <c r="E105" s="20">
        <v>4</v>
      </c>
      <c r="F105" s="21">
        <v>41.857100000000003</v>
      </c>
      <c r="G105" s="22">
        <v>1E-4</v>
      </c>
      <c r="H105" s="23">
        <v>8.2586000000000007E-2</v>
      </c>
      <c r="I105" s="24"/>
      <c r="J105" s="5"/>
    </row>
    <row r="106" spans="1:10" ht="13.05" customHeight="1">
      <c r="A106" s="18" t="s">
        <v>5332</v>
      </c>
      <c r="B106" s="19" t="s">
        <v>5333</v>
      </c>
      <c r="C106" s="15" t="s">
        <v>5334</v>
      </c>
      <c r="D106" s="15" t="s">
        <v>213</v>
      </c>
      <c r="E106" s="20">
        <v>4</v>
      </c>
      <c r="F106" s="21">
        <v>41.833599999999997</v>
      </c>
      <c r="G106" s="22">
        <v>1E-4</v>
      </c>
      <c r="H106" s="23">
        <v>7.7542E-2</v>
      </c>
      <c r="I106" s="24"/>
      <c r="J106" s="5"/>
    </row>
    <row r="107" spans="1:10" ht="13.05" customHeight="1">
      <c r="A107" s="18" t="s">
        <v>5335</v>
      </c>
      <c r="B107" s="19" t="s">
        <v>5336</v>
      </c>
      <c r="C107" s="15" t="s">
        <v>5337</v>
      </c>
      <c r="D107" s="15" t="s">
        <v>213</v>
      </c>
      <c r="E107" s="20">
        <v>4</v>
      </c>
      <c r="F107" s="21">
        <v>41.759300000000003</v>
      </c>
      <c r="G107" s="22">
        <v>1E-4</v>
      </c>
      <c r="H107" s="23">
        <v>7.0712499999999998E-2</v>
      </c>
      <c r="I107" s="24"/>
      <c r="J107" s="5"/>
    </row>
    <row r="108" spans="1:10" ht="13.05" customHeight="1">
      <c r="A108" s="5"/>
      <c r="B108" s="14" t="s">
        <v>192</v>
      </c>
      <c r="C108" s="15"/>
      <c r="D108" s="15"/>
      <c r="E108" s="15"/>
      <c r="F108" s="25">
        <v>457847.32040000003</v>
      </c>
      <c r="G108" s="26">
        <v>0.5827</v>
      </c>
      <c r="H108" s="27"/>
      <c r="I108" s="28"/>
      <c r="J108" s="5"/>
    </row>
    <row r="109" spans="1:10" ht="13.05" customHeight="1">
      <c r="A109" s="5"/>
      <c r="B109" s="14" t="s">
        <v>193</v>
      </c>
      <c r="C109" s="15"/>
      <c r="D109" s="15"/>
      <c r="E109" s="15"/>
      <c r="F109" s="5"/>
      <c r="G109" s="16"/>
      <c r="H109" s="16"/>
      <c r="I109" s="17"/>
      <c r="J109" s="5"/>
    </row>
    <row r="110" spans="1:10" ht="13.05" customHeight="1">
      <c r="A110" s="18" t="s">
        <v>5338</v>
      </c>
      <c r="B110" s="19" t="s">
        <v>5339</v>
      </c>
      <c r="C110" s="15" t="s">
        <v>5340</v>
      </c>
      <c r="D110" s="15" t="s">
        <v>1957</v>
      </c>
      <c r="E110" s="20">
        <v>750</v>
      </c>
      <c r="F110" s="21">
        <v>7539.3225000000002</v>
      </c>
      <c r="G110" s="22">
        <v>9.5999999999999992E-3</v>
      </c>
      <c r="H110" s="23">
        <v>6.9694000000000006E-2</v>
      </c>
      <c r="I110" s="24"/>
      <c r="J110" s="5"/>
    </row>
    <row r="111" spans="1:10" ht="13.05" customHeight="1">
      <c r="A111" s="18" t="s">
        <v>5205</v>
      </c>
      <c r="B111" s="19" t="s">
        <v>5206</v>
      </c>
      <c r="C111" s="15" t="s">
        <v>5207</v>
      </c>
      <c r="D111" s="15" t="s">
        <v>1957</v>
      </c>
      <c r="E111" s="20">
        <v>250</v>
      </c>
      <c r="F111" s="21">
        <v>2532.75</v>
      </c>
      <c r="G111" s="22">
        <v>3.2000000000000002E-3</v>
      </c>
      <c r="H111" s="23">
        <v>7.3296E-2</v>
      </c>
      <c r="I111" s="24"/>
      <c r="J111" s="5"/>
    </row>
    <row r="112" spans="1:10" ht="13.05" customHeight="1">
      <c r="A112" s="5"/>
      <c r="B112" s="14" t="s">
        <v>192</v>
      </c>
      <c r="C112" s="15"/>
      <c r="D112" s="15"/>
      <c r="E112" s="15"/>
      <c r="F112" s="25">
        <v>10072.0725</v>
      </c>
      <c r="G112" s="26">
        <v>1.2800000000000001E-2</v>
      </c>
      <c r="H112" s="27"/>
      <c r="I112" s="28"/>
      <c r="J112" s="5"/>
    </row>
    <row r="113" spans="1:10" ht="13.05" customHeight="1">
      <c r="A113" s="5"/>
      <c r="B113" s="14" t="s">
        <v>2297</v>
      </c>
      <c r="C113" s="15"/>
      <c r="D113" s="15"/>
      <c r="E113" s="15"/>
      <c r="F113" s="5"/>
      <c r="G113" s="16"/>
      <c r="H113" s="16"/>
      <c r="I113" s="17"/>
      <c r="J113" s="5"/>
    </row>
    <row r="114" spans="1:10" ht="13.05" customHeight="1">
      <c r="A114" s="18" t="s">
        <v>5341</v>
      </c>
      <c r="B114" s="19" t="s">
        <v>5342</v>
      </c>
      <c r="C114" s="15" t="s">
        <v>5343</v>
      </c>
      <c r="D114" s="15" t="s">
        <v>2301</v>
      </c>
      <c r="E114" s="20">
        <v>100</v>
      </c>
      <c r="F114" s="21">
        <v>9554.4853999999996</v>
      </c>
      <c r="G114" s="22">
        <v>1.2200000000000001E-2</v>
      </c>
      <c r="H114" s="23">
        <v>9.0149999999999994E-2</v>
      </c>
      <c r="I114" s="24"/>
      <c r="J114" s="5"/>
    </row>
    <row r="115" spans="1:10" ht="13.05" customHeight="1">
      <c r="A115" s="18" t="s">
        <v>5208</v>
      </c>
      <c r="B115" s="19" t="s">
        <v>5209</v>
      </c>
      <c r="C115" s="15" t="s">
        <v>5210</v>
      </c>
      <c r="D115" s="15" t="s">
        <v>2301</v>
      </c>
      <c r="E115" s="20">
        <v>500000000</v>
      </c>
      <c r="F115" s="21">
        <v>5012</v>
      </c>
      <c r="G115" s="22">
        <v>6.4000000000000003E-3</v>
      </c>
      <c r="H115" s="23">
        <v>8.6483500000000005E-2</v>
      </c>
      <c r="I115" s="24"/>
      <c r="J115" s="5"/>
    </row>
    <row r="116" spans="1:10" ht="13.05" customHeight="1">
      <c r="A116" s="18" t="s">
        <v>2302</v>
      </c>
      <c r="B116" s="19" t="s">
        <v>2303</v>
      </c>
      <c r="C116" s="15" t="s">
        <v>2304</v>
      </c>
      <c r="D116" s="15" t="s">
        <v>2301</v>
      </c>
      <c r="E116" s="20">
        <v>47</v>
      </c>
      <c r="F116" s="21">
        <v>4763.7662</v>
      </c>
      <c r="G116" s="22">
        <v>6.1000000000000004E-3</v>
      </c>
      <c r="H116" s="23">
        <v>7.4237999999999998E-2</v>
      </c>
      <c r="I116" s="24"/>
      <c r="J116" s="5"/>
    </row>
    <row r="117" spans="1:10" ht="13.05" customHeight="1">
      <c r="A117" s="18" t="s">
        <v>2298</v>
      </c>
      <c r="B117" s="19" t="s">
        <v>2299</v>
      </c>
      <c r="C117" s="15" t="s">
        <v>2300</v>
      </c>
      <c r="D117" s="15" t="s">
        <v>2301</v>
      </c>
      <c r="E117" s="20">
        <v>47</v>
      </c>
      <c r="F117" s="21">
        <v>4757.8537999999999</v>
      </c>
      <c r="G117" s="22">
        <v>6.1000000000000004E-3</v>
      </c>
      <c r="H117" s="23">
        <v>7.3218000000000005E-2</v>
      </c>
      <c r="I117" s="24"/>
      <c r="J117" s="5"/>
    </row>
    <row r="118" spans="1:10" ht="13.05" customHeight="1">
      <c r="A118" s="18" t="s">
        <v>5211</v>
      </c>
      <c r="B118" s="19" t="s">
        <v>5212</v>
      </c>
      <c r="C118" s="15" t="s">
        <v>5213</v>
      </c>
      <c r="D118" s="15" t="s">
        <v>2301</v>
      </c>
      <c r="E118" s="20">
        <v>1000000000</v>
      </c>
      <c r="F118" s="21">
        <v>4660</v>
      </c>
      <c r="G118" s="22">
        <v>5.8999999999999999E-3</v>
      </c>
      <c r="H118" s="23">
        <v>8.46335E-2</v>
      </c>
      <c r="I118" s="24"/>
      <c r="J118" s="5"/>
    </row>
    <row r="119" spans="1:10" ht="13.05" customHeight="1">
      <c r="A119" s="18" t="s">
        <v>2761</v>
      </c>
      <c r="B119" s="19" t="s">
        <v>2762</v>
      </c>
      <c r="C119" s="15" t="s">
        <v>2763</v>
      </c>
      <c r="D119" s="15" t="s">
        <v>5584</v>
      </c>
      <c r="E119" s="20">
        <v>50</v>
      </c>
      <c r="F119" s="21">
        <v>4249.3868000000002</v>
      </c>
      <c r="G119" s="22">
        <v>5.4000000000000003E-3</v>
      </c>
      <c r="H119" s="23">
        <v>7.46E-2</v>
      </c>
      <c r="I119" s="24"/>
      <c r="J119" s="5"/>
    </row>
    <row r="120" spans="1:10" ht="13.05" customHeight="1">
      <c r="A120" s="18" t="s">
        <v>5217</v>
      </c>
      <c r="B120" s="19" t="s">
        <v>5218</v>
      </c>
      <c r="C120" s="15" t="s">
        <v>5219</v>
      </c>
      <c r="D120" s="15" t="s">
        <v>5584</v>
      </c>
      <c r="E120" s="20">
        <v>100</v>
      </c>
      <c r="F120" s="21">
        <v>3522.9868999999999</v>
      </c>
      <c r="G120" s="22">
        <v>4.4999999999999997E-3</v>
      </c>
      <c r="H120" s="23">
        <v>7.3050000000000004E-2</v>
      </c>
      <c r="I120" s="24"/>
      <c r="J120" s="5"/>
    </row>
    <row r="121" spans="1:10" ht="13.05" customHeight="1">
      <c r="A121" s="18" t="s">
        <v>2305</v>
      </c>
      <c r="B121" s="19" t="s">
        <v>2306</v>
      </c>
      <c r="C121" s="15" t="s">
        <v>2307</v>
      </c>
      <c r="D121" s="15" t="s">
        <v>2301</v>
      </c>
      <c r="E121" s="20">
        <v>31</v>
      </c>
      <c r="F121" s="21">
        <v>3131.4591999999998</v>
      </c>
      <c r="G121" s="22">
        <v>4.0000000000000001E-3</v>
      </c>
      <c r="H121" s="23">
        <v>7.2300000000000003E-2</v>
      </c>
      <c r="I121" s="24"/>
      <c r="J121" s="5"/>
    </row>
    <row r="122" spans="1:10" ht="13.05" customHeight="1">
      <c r="A122" s="18" t="s">
        <v>2764</v>
      </c>
      <c r="B122" s="19" t="s">
        <v>2765</v>
      </c>
      <c r="C122" s="15" t="s">
        <v>2766</v>
      </c>
      <c r="D122" s="15" t="s">
        <v>2301</v>
      </c>
      <c r="E122" s="20">
        <v>37</v>
      </c>
      <c r="F122" s="21">
        <v>2909.5879</v>
      </c>
      <c r="G122" s="22">
        <v>3.7000000000000002E-3</v>
      </c>
      <c r="H122" s="23">
        <v>7.6550000000000007E-2</v>
      </c>
      <c r="I122" s="24"/>
      <c r="J122" s="5"/>
    </row>
    <row r="123" spans="1:10" ht="13.05" customHeight="1">
      <c r="A123" s="18" t="s">
        <v>5214</v>
      </c>
      <c r="B123" s="19" t="s">
        <v>5215</v>
      </c>
      <c r="C123" s="15" t="s">
        <v>5216</v>
      </c>
      <c r="D123" s="15" t="s">
        <v>2301</v>
      </c>
      <c r="E123" s="20">
        <v>476900778</v>
      </c>
      <c r="F123" s="21">
        <v>1786.9472000000001</v>
      </c>
      <c r="G123" s="22">
        <v>2.3E-3</v>
      </c>
      <c r="H123" s="23">
        <v>8.4433499999999995E-2</v>
      </c>
      <c r="I123" s="24"/>
      <c r="J123" s="5"/>
    </row>
    <row r="124" spans="1:10" ht="13.05" customHeight="1">
      <c r="A124" s="18" t="s">
        <v>5344</v>
      </c>
      <c r="B124" s="19" t="s">
        <v>5345</v>
      </c>
      <c r="C124" s="15" t="s">
        <v>5346</v>
      </c>
      <c r="D124" s="15" t="s">
        <v>2301</v>
      </c>
      <c r="E124" s="20">
        <v>33</v>
      </c>
      <c r="F124" s="21">
        <v>1500.9305999999999</v>
      </c>
      <c r="G124" s="22">
        <v>1.9E-3</v>
      </c>
      <c r="H124" s="23">
        <v>7.2849999999999998E-2</v>
      </c>
      <c r="I124" s="24"/>
      <c r="J124" s="5"/>
    </row>
    <row r="125" spans="1:10" ht="13.05" customHeight="1">
      <c r="A125" s="5"/>
      <c r="B125" s="14" t="s">
        <v>192</v>
      </c>
      <c r="C125" s="15"/>
      <c r="D125" s="15"/>
      <c r="E125" s="15"/>
      <c r="F125" s="25">
        <v>45849.4041</v>
      </c>
      <c r="G125" s="26">
        <v>5.8400000000000001E-2</v>
      </c>
      <c r="H125" s="27"/>
      <c r="I125" s="28"/>
      <c r="J125" s="5"/>
    </row>
    <row r="126" spans="1:10" ht="13.05" customHeight="1">
      <c r="A126" s="5"/>
      <c r="B126" s="29" t="s">
        <v>195</v>
      </c>
      <c r="C126" s="30"/>
      <c r="D126" s="2"/>
      <c r="E126" s="30"/>
      <c r="F126" s="25">
        <v>513768.79690000002</v>
      </c>
      <c r="G126" s="26">
        <v>0.65390000000000004</v>
      </c>
      <c r="H126" s="27"/>
      <c r="I126" s="28"/>
      <c r="J126" s="5"/>
    </row>
    <row r="127" spans="1:10" ht="13.05" customHeight="1">
      <c r="A127" s="5"/>
      <c r="B127" s="14" t="s">
        <v>1866</v>
      </c>
      <c r="C127" s="15"/>
      <c r="D127" s="15"/>
      <c r="E127" s="15"/>
      <c r="F127" s="15"/>
      <c r="G127" s="15"/>
      <c r="H127" s="16"/>
      <c r="I127" s="17"/>
      <c r="J127" s="5"/>
    </row>
    <row r="128" spans="1:10" ht="13.05" customHeight="1">
      <c r="A128" s="5"/>
      <c r="B128" s="14" t="s">
        <v>2308</v>
      </c>
      <c r="C128" s="15"/>
      <c r="D128" s="15"/>
      <c r="E128" s="15"/>
      <c r="F128" s="5"/>
      <c r="G128" s="16"/>
      <c r="H128" s="16"/>
      <c r="I128" s="17"/>
      <c r="J128" s="5"/>
    </row>
    <row r="129" spans="1:10" ht="13.05" customHeight="1">
      <c r="A129" s="18" t="s">
        <v>5347</v>
      </c>
      <c r="B129" s="19" t="s">
        <v>5348</v>
      </c>
      <c r="C129" s="15" t="s">
        <v>5349</v>
      </c>
      <c r="D129" s="15" t="s">
        <v>2312</v>
      </c>
      <c r="E129" s="20">
        <v>4000</v>
      </c>
      <c r="F129" s="21">
        <v>19717.080000000002</v>
      </c>
      <c r="G129" s="22">
        <v>2.5100000000000001E-2</v>
      </c>
      <c r="H129" s="23">
        <v>6.0199999999999997E-2</v>
      </c>
      <c r="I129" s="24"/>
      <c r="J129" s="5"/>
    </row>
    <row r="130" spans="1:10" ht="13.05" customHeight="1">
      <c r="A130" s="18" t="s">
        <v>4346</v>
      </c>
      <c r="B130" s="19" t="s">
        <v>4347</v>
      </c>
      <c r="C130" s="15" t="s">
        <v>4348</v>
      </c>
      <c r="D130" s="15" t="s">
        <v>3478</v>
      </c>
      <c r="E130" s="20">
        <v>4000</v>
      </c>
      <c r="F130" s="21">
        <v>19339.939999999999</v>
      </c>
      <c r="G130" s="22">
        <v>2.46E-2</v>
      </c>
      <c r="H130" s="23">
        <v>6.2600000000000003E-2</v>
      </c>
      <c r="I130" s="24"/>
      <c r="J130" s="5"/>
    </row>
    <row r="131" spans="1:10" ht="13.05" customHeight="1">
      <c r="A131" s="18" t="s">
        <v>4466</v>
      </c>
      <c r="B131" s="19" t="s">
        <v>4467</v>
      </c>
      <c r="C131" s="15" t="s">
        <v>4468</v>
      </c>
      <c r="D131" s="15" t="s">
        <v>2331</v>
      </c>
      <c r="E131" s="20">
        <v>2500</v>
      </c>
      <c r="F131" s="21">
        <v>12267.05</v>
      </c>
      <c r="G131" s="22">
        <v>1.5599999999999999E-2</v>
      </c>
      <c r="H131" s="23">
        <v>6.08E-2</v>
      </c>
      <c r="I131" s="24"/>
      <c r="J131" s="5"/>
    </row>
    <row r="132" spans="1:10" ht="13.05" customHeight="1">
      <c r="A132" s="18" t="s">
        <v>2313</v>
      </c>
      <c r="B132" s="19" t="s">
        <v>2314</v>
      </c>
      <c r="C132" s="15" t="s">
        <v>2315</v>
      </c>
      <c r="D132" s="15" t="s">
        <v>2312</v>
      </c>
      <c r="E132" s="20">
        <v>2500</v>
      </c>
      <c r="F132" s="21">
        <v>12221.55</v>
      </c>
      <c r="G132" s="22">
        <v>1.5599999999999999E-2</v>
      </c>
      <c r="H132" s="23">
        <v>6.0699999999999997E-2</v>
      </c>
      <c r="I132" s="24"/>
      <c r="J132" s="5"/>
    </row>
    <row r="133" spans="1:10" ht="13.05" customHeight="1">
      <c r="A133" s="18" t="s">
        <v>2322</v>
      </c>
      <c r="B133" s="19" t="s">
        <v>2323</v>
      </c>
      <c r="C133" s="15" t="s">
        <v>2324</v>
      </c>
      <c r="D133" s="15" t="s">
        <v>2312</v>
      </c>
      <c r="E133" s="20">
        <v>2500</v>
      </c>
      <c r="F133" s="21">
        <v>12218.0375</v>
      </c>
      <c r="G133" s="22">
        <v>1.5599999999999999E-2</v>
      </c>
      <c r="H133" s="23">
        <v>6.0600000000000001E-2</v>
      </c>
      <c r="I133" s="24"/>
      <c r="J133" s="5"/>
    </row>
    <row r="134" spans="1:10" ht="13.05" customHeight="1">
      <c r="A134" s="18" t="s">
        <v>3697</v>
      </c>
      <c r="B134" s="19" t="s">
        <v>3698</v>
      </c>
      <c r="C134" s="15" t="s">
        <v>3699</v>
      </c>
      <c r="D134" s="15" t="s">
        <v>2312</v>
      </c>
      <c r="E134" s="20">
        <v>2000</v>
      </c>
      <c r="F134" s="21">
        <v>9844.93</v>
      </c>
      <c r="G134" s="22">
        <v>1.2500000000000001E-2</v>
      </c>
      <c r="H134" s="23">
        <v>6.0519999999999997E-2</v>
      </c>
      <c r="I134" s="24"/>
      <c r="J134" s="5"/>
    </row>
    <row r="135" spans="1:10" ht="13.05" customHeight="1">
      <c r="A135" s="18" t="s">
        <v>5350</v>
      </c>
      <c r="B135" s="19" t="s">
        <v>5351</v>
      </c>
      <c r="C135" s="15" t="s">
        <v>5352</v>
      </c>
      <c r="D135" s="15" t="s">
        <v>2312</v>
      </c>
      <c r="E135" s="20">
        <v>2000</v>
      </c>
      <c r="F135" s="21">
        <v>9839.52</v>
      </c>
      <c r="G135" s="22">
        <v>1.2500000000000001E-2</v>
      </c>
      <c r="H135" s="23">
        <v>6.2010999999999997E-2</v>
      </c>
      <c r="I135" s="24"/>
      <c r="J135" s="5"/>
    </row>
    <row r="136" spans="1:10" ht="13.05" customHeight="1">
      <c r="A136" s="18" t="s">
        <v>5353</v>
      </c>
      <c r="B136" s="19" t="s">
        <v>5354</v>
      </c>
      <c r="C136" s="15" t="s">
        <v>5355</v>
      </c>
      <c r="D136" s="15" t="s">
        <v>2312</v>
      </c>
      <c r="E136" s="20">
        <v>2000</v>
      </c>
      <c r="F136" s="21">
        <v>9810.07</v>
      </c>
      <c r="G136" s="22">
        <v>1.2500000000000001E-2</v>
      </c>
      <c r="H136" s="23">
        <v>6.0920000000000002E-2</v>
      </c>
      <c r="I136" s="24"/>
      <c r="J136" s="5"/>
    </row>
    <row r="137" spans="1:10" ht="13.05" customHeight="1">
      <c r="A137" s="18" t="s">
        <v>4388</v>
      </c>
      <c r="B137" s="19" t="s">
        <v>4389</v>
      </c>
      <c r="C137" s="15" t="s">
        <v>4390</v>
      </c>
      <c r="D137" s="15" t="s">
        <v>2312</v>
      </c>
      <c r="E137" s="20">
        <v>2000</v>
      </c>
      <c r="F137" s="21">
        <v>9800.49</v>
      </c>
      <c r="G137" s="22">
        <v>1.2500000000000001E-2</v>
      </c>
      <c r="H137" s="23">
        <v>6.2970999999999999E-2</v>
      </c>
      <c r="I137" s="24"/>
      <c r="J137" s="5"/>
    </row>
    <row r="138" spans="1:10" ht="13.05" customHeight="1">
      <c r="A138" s="18" t="s">
        <v>5356</v>
      </c>
      <c r="B138" s="19" t="s">
        <v>5357</v>
      </c>
      <c r="C138" s="15" t="s">
        <v>5358</v>
      </c>
      <c r="D138" s="15" t="s">
        <v>3478</v>
      </c>
      <c r="E138" s="20">
        <v>2000</v>
      </c>
      <c r="F138" s="21">
        <v>9790.9</v>
      </c>
      <c r="G138" s="22">
        <v>1.2500000000000001E-2</v>
      </c>
      <c r="H138" s="23">
        <v>6.0900000000000003E-2</v>
      </c>
      <c r="I138" s="24"/>
      <c r="J138" s="5"/>
    </row>
    <row r="139" spans="1:10" ht="13.05" customHeight="1">
      <c r="A139" s="18" t="s">
        <v>3685</v>
      </c>
      <c r="B139" s="19" t="s">
        <v>3686</v>
      </c>
      <c r="C139" s="15" t="s">
        <v>3687</v>
      </c>
      <c r="D139" s="15" t="s">
        <v>3478</v>
      </c>
      <c r="E139" s="20">
        <v>2000</v>
      </c>
      <c r="F139" s="21">
        <v>9776.7099999999991</v>
      </c>
      <c r="G139" s="22">
        <v>1.24E-2</v>
      </c>
      <c r="H139" s="23">
        <v>6.0850000000000001E-2</v>
      </c>
      <c r="I139" s="24"/>
      <c r="J139" s="5"/>
    </row>
    <row r="140" spans="1:10" ht="13.05" customHeight="1">
      <c r="A140" s="18" t="s">
        <v>5359</v>
      </c>
      <c r="B140" s="19" t="s">
        <v>5360</v>
      </c>
      <c r="C140" s="15" t="s">
        <v>5361</v>
      </c>
      <c r="D140" s="15" t="s">
        <v>2312</v>
      </c>
      <c r="E140" s="20">
        <v>2000</v>
      </c>
      <c r="F140" s="21">
        <v>9776.2000000000007</v>
      </c>
      <c r="G140" s="22">
        <v>1.24E-2</v>
      </c>
      <c r="H140" s="23">
        <v>6.4274999999999999E-2</v>
      </c>
      <c r="I140" s="24"/>
      <c r="J140" s="5"/>
    </row>
    <row r="141" spans="1:10" ht="13.05" customHeight="1">
      <c r="A141" s="18" t="s">
        <v>4403</v>
      </c>
      <c r="B141" s="19" t="s">
        <v>4404</v>
      </c>
      <c r="C141" s="15" t="s">
        <v>4405</v>
      </c>
      <c r="D141" s="15" t="s">
        <v>2312</v>
      </c>
      <c r="E141" s="20">
        <v>2000</v>
      </c>
      <c r="F141" s="21">
        <v>9499.64</v>
      </c>
      <c r="G141" s="22">
        <v>1.21E-2</v>
      </c>
      <c r="H141" s="23">
        <v>6.3450000000000006E-2</v>
      </c>
      <c r="I141" s="24"/>
      <c r="J141" s="5"/>
    </row>
    <row r="142" spans="1:10" ht="13.05" customHeight="1">
      <c r="A142" s="18" t="s">
        <v>4400</v>
      </c>
      <c r="B142" s="19" t="s">
        <v>4401</v>
      </c>
      <c r="C142" s="15" t="s">
        <v>4402</v>
      </c>
      <c r="D142" s="15" t="s">
        <v>2312</v>
      </c>
      <c r="E142" s="20">
        <v>1500</v>
      </c>
      <c r="F142" s="21">
        <v>7390.6575000000003</v>
      </c>
      <c r="G142" s="22">
        <v>9.4000000000000004E-3</v>
      </c>
      <c r="H142" s="23">
        <v>5.9999499999999997E-2</v>
      </c>
      <c r="I142" s="24"/>
      <c r="J142" s="5"/>
    </row>
    <row r="143" spans="1:10" ht="13.05" customHeight="1">
      <c r="A143" s="18" t="s">
        <v>5362</v>
      </c>
      <c r="B143" s="19" t="s">
        <v>5363</v>
      </c>
      <c r="C143" s="15" t="s">
        <v>5364</v>
      </c>
      <c r="D143" s="15" t="s">
        <v>2331</v>
      </c>
      <c r="E143" s="20">
        <v>1500</v>
      </c>
      <c r="F143" s="21">
        <v>7380.7425000000003</v>
      </c>
      <c r="G143" s="22">
        <v>9.4000000000000004E-3</v>
      </c>
      <c r="H143" s="23">
        <v>6.0798999999999999E-2</v>
      </c>
      <c r="I143" s="24"/>
      <c r="J143" s="5"/>
    </row>
    <row r="144" spans="1:10" ht="13.05" customHeight="1">
      <c r="A144" s="18" t="s">
        <v>3694</v>
      </c>
      <c r="B144" s="19" t="s">
        <v>3695</v>
      </c>
      <c r="C144" s="15" t="s">
        <v>3696</v>
      </c>
      <c r="D144" s="15" t="s">
        <v>2312</v>
      </c>
      <c r="E144" s="20">
        <v>1100</v>
      </c>
      <c r="F144" s="21">
        <v>5382.7344999999996</v>
      </c>
      <c r="G144" s="22">
        <v>6.8999999999999999E-3</v>
      </c>
      <c r="H144" s="23">
        <v>6.0699999999999997E-2</v>
      </c>
      <c r="I144" s="24"/>
      <c r="J144" s="5"/>
    </row>
    <row r="145" spans="1:10" ht="13.05" customHeight="1">
      <c r="A145" s="18" t="s">
        <v>3993</v>
      </c>
      <c r="B145" s="19" t="s">
        <v>3994</v>
      </c>
      <c r="C145" s="15" t="s">
        <v>3995</v>
      </c>
      <c r="D145" s="15" t="s">
        <v>2331</v>
      </c>
      <c r="E145" s="20">
        <v>1000</v>
      </c>
      <c r="F145" s="21">
        <v>4946.97</v>
      </c>
      <c r="G145" s="22">
        <v>6.3E-3</v>
      </c>
      <c r="H145" s="23">
        <v>6.0198000000000002E-2</v>
      </c>
      <c r="I145" s="24"/>
      <c r="J145" s="5"/>
    </row>
    <row r="146" spans="1:10" ht="13.05" customHeight="1">
      <c r="A146" s="18" t="s">
        <v>5365</v>
      </c>
      <c r="B146" s="19" t="s">
        <v>5366</v>
      </c>
      <c r="C146" s="15" t="s">
        <v>5367</v>
      </c>
      <c r="D146" s="15" t="s">
        <v>2312</v>
      </c>
      <c r="E146" s="20">
        <v>1000</v>
      </c>
      <c r="F146" s="21">
        <v>4929.3850000000002</v>
      </c>
      <c r="G146" s="22">
        <v>6.3E-3</v>
      </c>
      <c r="H146" s="23">
        <v>6.0100000000000001E-2</v>
      </c>
      <c r="I146" s="24"/>
      <c r="J146" s="5"/>
    </row>
    <row r="147" spans="1:10" ht="13.05" customHeight="1">
      <c r="A147" s="18" t="s">
        <v>4367</v>
      </c>
      <c r="B147" s="19" t="s">
        <v>4368</v>
      </c>
      <c r="C147" s="15" t="s">
        <v>4369</v>
      </c>
      <c r="D147" s="15" t="s">
        <v>2312</v>
      </c>
      <c r="E147" s="20">
        <v>1000</v>
      </c>
      <c r="F147" s="21">
        <v>4921.8599999999997</v>
      </c>
      <c r="G147" s="22">
        <v>6.3E-3</v>
      </c>
      <c r="H147" s="23">
        <v>6.0999999999999999E-2</v>
      </c>
      <c r="I147" s="24"/>
      <c r="J147" s="5"/>
    </row>
    <row r="148" spans="1:10" ht="13.05" customHeight="1">
      <c r="A148" s="18" t="s">
        <v>4391</v>
      </c>
      <c r="B148" s="19" t="s">
        <v>4392</v>
      </c>
      <c r="C148" s="15" t="s">
        <v>4393</v>
      </c>
      <c r="D148" s="15" t="s">
        <v>2331</v>
      </c>
      <c r="E148" s="20">
        <v>1000</v>
      </c>
      <c r="F148" s="21">
        <v>4894.0550000000003</v>
      </c>
      <c r="G148" s="22">
        <v>6.1999999999999998E-3</v>
      </c>
      <c r="H148" s="23">
        <v>6.0780000000000001E-2</v>
      </c>
      <c r="I148" s="24"/>
      <c r="J148" s="5"/>
    </row>
    <row r="149" spans="1:10" ht="13.05" customHeight="1">
      <c r="A149" s="18" t="s">
        <v>4062</v>
      </c>
      <c r="B149" s="19" t="s">
        <v>4063</v>
      </c>
      <c r="C149" s="15" t="s">
        <v>4064</v>
      </c>
      <c r="D149" s="15" t="s">
        <v>2312</v>
      </c>
      <c r="E149" s="20">
        <v>500</v>
      </c>
      <c r="F149" s="21">
        <v>2484.02</v>
      </c>
      <c r="G149" s="22">
        <v>3.2000000000000002E-3</v>
      </c>
      <c r="H149" s="23">
        <v>5.8703999999999999E-2</v>
      </c>
      <c r="I149" s="24"/>
      <c r="J149" s="5"/>
    </row>
    <row r="150" spans="1:10" ht="13.05" customHeight="1">
      <c r="A150" s="18" t="s">
        <v>4047</v>
      </c>
      <c r="B150" s="19" t="s">
        <v>4048</v>
      </c>
      <c r="C150" s="15" t="s">
        <v>4049</v>
      </c>
      <c r="D150" s="15" t="s">
        <v>2331</v>
      </c>
      <c r="E150" s="20">
        <v>500</v>
      </c>
      <c r="F150" s="21">
        <v>2481.8775000000001</v>
      </c>
      <c r="G150" s="22">
        <v>3.2000000000000002E-3</v>
      </c>
      <c r="H150" s="23">
        <v>5.9227000000000002E-2</v>
      </c>
      <c r="I150" s="24"/>
      <c r="J150" s="5"/>
    </row>
    <row r="151" spans="1:10" ht="13.05" customHeight="1">
      <c r="A151" s="18" t="s">
        <v>5368</v>
      </c>
      <c r="B151" s="19" t="s">
        <v>5369</v>
      </c>
      <c r="C151" s="15" t="s">
        <v>5370</v>
      </c>
      <c r="D151" s="15" t="s">
        <v>2312</v>
      </c>
      <c r="E151" s="20">
        <v>500</v>
      </c>
      <c r="F151" s="21">
        <v>2463.5925000000002</v>
      </c>
      <c r="G151" s="22">
        <v>3.0999999999999999E-3</v>
      </c>
      <c r="H151" s="23">
        <v>6.1297999999999998E-2</v>
      </c>
      <c r="I151" s="24"/>
      <c r="J151" s="5"/>
    </row>
    <row r="152" spans="1:10" ht="13.05" customHeight="1">
      <c r="A152" s="18" t="s">
        <v>4406</v>
      </c>
      <c r="B152" s="19" t="s">
        <v>4407</v>
      </c>
      <c r="C152" s="15" t="s">
        <v>4408</v>
      </c>
      <c r="D152" s="15" t="s">
        <v>2312</v>
      </c>
      <c r="E152" s="20">
        <v>500</v>
      </c>
      <c r="F152" s="21">
        <v>2460.7024999999999</v>
      </c>
      <c r="G152" s="22">
        <v>3.0999999999999999E-3</v>
      </c>
      <c r="H152" s="23">
        <v>6.2010999999999997E-2</v>
      </c>
      <c r="I152" s="24"/>
      <c r="J152" s="5"/>
    </row>
    <row r="153" spans="1:10" ht="13.05" customHeight="1">
      <c r="A153" s="18" t="s">
        <v>5371</v>
      </c>
      <c r="B153" s="19" t="s">
        <v>5372</v>
      </c>
      <c r="C153" s="15" t="s">
        <v>5373</v>
      </c>
      <c r="D153" s="15" t="s">
        <v>3478</v>
      </c>
      <c r="E153" s="20">
        <v>500</v>
      </c>
      <c r="F153" s="21">
        <v>2460.1725000000001</v>
      </c>
      <c r="G153" s="22">
        <v>3.0999999999999999E-3</v>
      </c>
      <c r="H153" s="23">
        <v>6.0919000000000001E-2</v>
      </c>
      <c r="I153" s="24"/>
      <c r="J153" s="5"/>
    </row>
    <row r="154" spans="1:10" ht="13.05" customHeight="1">
      <c r="A154" s="18" t="s">
        <v>5374</v>
      </c>
      <c r="B154" s="19" t="s">
        <v>5375</v>
      </c>
      <c r="C154" s="15" t="s">
        <v>5376</v>
      </c>
      <c r="D154" s="15" t="s">
        <v>2312</v>
      </c>
      <c r="E154" s="20">
        <v>500</v>
      </c>
      <c r="F154" s="21">
        <v>2454.6374999999998</v>
      </c>
      <c r="G154" s="22">
        <v>3.0999999999999999E-3</v>
      </c>
      <c r="H154" s="23">
        <v>6.0767000000000002E-2</v>
      </c>
      <c r="I154" s="24"/>
      <c r="J154" s="5"/>
    </row>
    <row r="155" spans="1:10" ht="13.05" customHeight="1">
      <c r="A155" s="18" t="s">
        <v>4436</v>
      </c>
      <c r="B155" s="19" t="s">
        <v>4437</v>
      </c>
      <c r="C155" s="15" t="s">
        <v>4438</v>
      </c>
      <c r="D155" s="15" t="s">
        <v>2331</v>
      </c>
      <c r="E155" s="20">
        <v>500</v>
      </c>
      <c r="F155" s="21">
        <v>2446.23</v>
      </c>
      <c r="G155" s="22">
        <v>3.0999999999999999E-3</v>
      </c>
      <c r="H155" s="23">
        <v>6.0780000000000001E-2</v>
      </c>
      <c r="I155" s="24"/>
      <c r="J155" s="5"/>
    </row>
    <row r="156" spans="1:10" ht="13.05" customHeight="1">
      <c r="A156" s="18" t="s">
        <v>4394</v>
      </c>
      <c r="B156" s="19" t="s">
        <v>4395</v>
      </c>
      <c r="C156" s="15" t="s">
        <v>4396</v>
      </c>
      <c r="D156" s="15" t="s">
        <v>2312</v>
      </c>
      <c r="E156" s="20">
        <v>500</v>
      </c>
      <c r="F156" s="21">
        <v>2441.7424999999998</v>
      </c>
      <c r="G156" s="22">
        <v>3.0999999999999999E-3</v>
      </c>
      <c r="H156" s="23">
        <v>6.0899000000000002E-2</v>
      </c>
      <c r="I156" s="24"/>
      <c r="J156" s="5"/>
    </row>
    <row r="157" spans="1:10" ht="13.05" customHeight="1">
      <c r="A157" s="5"/>
      <c r="B157" s="14" t="s">
        <v>192</v>
      </c>
      <c r="C157" s="15"/>
      <c r="D157" s="15"/>
      <c r="E157" s="15"/>
      <c r="F157" s="25">
        <v>213441.497</v>
      </c>
      <c r="G157" s="26">
        <v>0.2717</v>
      </c>
      <c r="H157" s="27"/>
      <c r="I157" s="28"/>
      <c r="J157" s="5"/>
    </row>
    <row r="158" spans="1:10" ht="13.05" customHeight="1">
      <c r="A158" s="5"/>
      <c r="B158" s="14" t="s">
        <v>2770</v>
      </c>
      <c r="C158" s="15"/>
      <c r="D158" s="15"/>
      <c r="E158" s="15"/>
      <c r="F158" s="5"/>
      <c r="G158" s="16"/>
      <c r="H158" s="16"/>
      <c r="I158" s="17"/>
      <c r="J158" s="5"/>
    </row>
    <row r="159" spans="1:10" ht="13.05" customHeight="1">
      <c r="A159" s="18" t="s">
        <v>5377</v>
      </c>
      <c r="B159" s="19" t="s">
        <v>5378</v>
      </c>
      <c r="C159" s="15" t="s">
        <v>5379</v>
      </c>
      <c r="D159" s="15" t="s">
        <v>2312</v>
      </c>
      <c r="E159" s="20">
        <v>500</v>
      </c>
      <c r="F159" s="21">
        <v>2388.9850000000001</v>
      </c>
      <c r="G159" s="22">
        <v>3.0000000000000001E-3</v>
      </c>
      <c r="H159" s="23">
        <v>7.5050000000000006E-2</v>
      </c>
      <c r="I159" s="24"/>
      <c r="J159" s="5"/>
    </row>
    <row r="160" spans="1:10" ht="13.05" customHeight="1">
      <c r="A160" s="5"/>
      <c r="B160" s="14" t="s">
        <v>192</v>
      </c>
      <c r="C160" s="15"/>
      <c r="D160" s="15"/>
      <c r="E160" s="15"/>
      <c r="F160" s="25">
        <v>2388.9850000000001</v>
      </c>
      <c r="G160" s="26">
        <v>3.0000000000000001E-3</v>
      </c>
      <c r="H160" s="27"/>
      <c r="I160" s="28"/>
      <c r="J160" s="5"/>
    </row>
    <row r="161" spans="1:10" ht="13.05" customHeight="1">
      <c r="A161" s="5"/>
      <c r="B161" s="14" t="s">
        <v>1867</v>
      </c>
      <c r="C161" s="15"/>
      <c r="D161" s="15"/>
      <c r="E161" s="15"/>
      <c r="F161" s="5"/>
      <c r="G161" s="16"/>
      <c r="H161" s="16"/>
      <c r="I161" s="17"/>
      <c r="J161" s="5"/>
    </row>
    <row r="162" spans="1:10" ht="13.05" customHeight="1">
      <c r="A162" s="18" t="s">
        <v>3678</v>
      </c>
      <c r="B162" s="19" t="s">
        <v>3679</v>
      </c>
      <c r="C162" s="15" t="s">
        <v>3680</v>
      </c>
      <c r="D162" s="15" t="s">
        <v>188</v>
      </c>
      <c r="E162" s="20">
        <v>25000000</v>
      </c>
      <c r="F162" s="21">
        <v>24330.474999999999</v>
      </c>
      <c r="G162" s="22">
        <v>3.1E-2</v>
      </c>
      <c r="H162" s="23">
        <v>5.5800000000000002E-2</v>
      </c>
      <c r="I162" s="24"/>
      <c r="J162" s="5"/>
    </row>
    <row r="163" spans="1:10" ht="13.05" customHeight="1">
      <c r="A163" s="18" t="s">
        <v>4616</v>
      </c>
      <c r="B163" s="19" t="s">
        <v>4617</v>
      </c>
      <c r="C163" s="15" t="s">
        <v>4618</v>
      </c>
      <c r="D163" s="15" t="s">
        <v>188</v>
      </c>
      <c r="E163" s="20">
        <v>13500000</v>
      </c>
      <c r="F163" s="21">
        <v>13365.297</v>
      </c>
      <c r="G163" s="22">
        <v>1.7000000000000001E-2</v>
      </c>
      <c r="H163" s="23">
        <v>5.4100000000000002E-2</v>
      </c>
      <c r="I163" s="24"/>
      <c r="J163" s="5"/>
    </row>
    <row r="164" spans="1:10" ht="13.05" customHeight="1">
      <c r="A164" s="5"/>
      <c r="B164" s="14" t="s">
        <v>192</v>
      </c>
      <c r="C164" s="15"/>
      <c r="D164" s="15"/>
      <c r="E164" s="15"/>
      <c r="F164" s="25">
        <v>37695.771999999997</v>
      </c>
      <c r="G164" s="26">
        <v>4.8000000000000001E-2</v>
      </c>
      <c r="H164" s="27"/>
      <c r="I164" s="28"/>
      <c r="J164" s="5"/>
    </row>
    <row r="165" spans="1:10" ht="13.05" customHeight="1">
      <c r="A165" s="5"/>
      <c r="B165" s="29" t="s">
        <v>195</v>
      </c>
      <c r="C165" s="30"/>
      <c r="D165" s="2"/>
      <c r="E165" s="30"/>
      <c r="F165" s="25">
        <v>253526.25399999999</v>
      </c>
      <c r="G165" s="26">
        <v>0.32269999999999999</v>
      </c>
      <c r="H165" s="27"/>
      <c r="I165" s="28"/>
      <c r="J165" s="5"/>
    </row>
    <row r="166" spans="1:10" ht="13.05" customHeight="1">
      <c r="A166" s="5"/>
      <c r="B166" s="14" t="s">
        <v>1818</v>
      </c>
      <c r="C166" s="15"/>
      <c r="D166" s="15"/>
      <c r="E166" s="15"/>
      <c r="F166" s="15"/>
      <c r="G166" s="15"/>
      <c r="H166" s="16"/>
      <c r="I166" s="17"/>
      <c r="J166" s="5"/>
    </row>
    <row r="167" spans="1:10" ht="13.05" customHeight="1">
      <c r="A167" s="5"/>
      <c r="B167" s="14" t="s">
        <v>2332</v>
      </c>
      <c r="C167" s="15"/>
      <c r="D167" s="15"/>
      <c r="E167" s="15"/>
      <c r="F167" s="5"/>
      <c r="G167" s="16"/>
      <c r="H167" s="16"/>
      <c r="I167" s="17"/>
      <c r="J167" s="5"/>
    </row>
    <row r="168" spans="1:10" ht="13.05" customHeight="1">
      <c r="A168" s="18" t="s">
        <v>2333</v>
      </c>
      <c r="B168" s="19" t="s">
        <v>2334</v>
      </c>
      <c r="C168" s="15" t="s">
        <v>2335</v>
      </c>
      <c r="D168" s="15"/>
      <c r="E168" s="20">
        <v>14475.826999999999</v>
      </c>
      <c r="F168" s="21">
        <v>1656.1587</v>
      </c>
      <c r="G168" s="22">
        <v>2.0999999999999999E-3</v>
      </c>
      <c r="H168" s="23"/>
      <c r="I168" s="24"/>
      <c r="J168" s="5"/>
    </row>
    <row r="169" spans="1:10" ht="13.05" customHeight="1">
      <c r="A169" s="5"/>
      <c r="B169" s="14" t="s">
        <v>192</v>
      </c>
      <c r="C169" s="15"/>
      <c r="D169" s="15"/>
      <c r="E169" s="15"/>
      <c r="F169" s="25">
        <v>1656.1587</v>
      </c>
      <c r="G169" s="26">
        <v>2.0999999999999999E-3</v>
      </c>
      <c r="H169" s="27"/>
      <c r="I169" s="28"/>
      <c r="J169" s="5"/>
    </row>
    <row r="170" spans="1:10" ht="13.05" customHeight="1">
      <c r="A170" s="5"/>
      <c r="B170" s="29" t="s">
        <v>195</v>
      </c>
      <c r="C170" s="30"/>
      <c r="D170" s="2"/>
      <c r="E170" s="30"/>
      <c r="F170" s="25">
        <v>1656.1587</v>
      </c>
      <c r="G170" s="26">
        <v>2.0999999999999999E-3</v>
      </c>
      <c r="H170" s="27"/>
      <c r="I170" s="28"/>
      <c r="J170" s="5"/>
    </row>
    <row r="171" spans="1:10" ht="13.05" customHeight="1">
      <c r="A171" s="5"/>
      <c r="B171" s="14" t="s">
        <v>196</v>
      </c>
      <c r="C171" s="15"/>
      <c r="D171" s="15"/>
      <c r="E171" s="15"/>
      <c r="F171" s="15"/>
      <c r="G171" s="15"/>
      <c r="H171" s="16"/>
      <c r="I171" s="17"/>
      <c r="J171" s="5"/>
    </row>
    <row r="172" spans="1:10" ht="13.05" customHeight="1">
      <c r="A172" s="18" t="s">
        <v>197</v>
      </c>
      <c r="B172" s="19" t="s">
        <v>198</v>
      </c>
      <c r="C172" s="15"/>
      <c r="D172" s="15"/>
      <c r="E172" s="20"/>
      <c r="F172" s="21">
        <v>10247.259599999999</v>
      </c>
      <c r="G172" s="22">
        <v>1.2999999999999999E-2</v>
      </c>
      <c r="H172" s="23">
        <v>5.5573617010495215E-2</v>
      </c>
      <c r="I172" s="24"/>
      <c r="J172" s="5"/>
    </row>
    <row r="173" spans="1:10" ht="13.05" customHeight="1">
      <c r="A173" s="5"/>
      <c r="B173" s="14" t="s">
        <v>192</v>
      </c>
      <c r="C173" s="15"/>
      <c r="D173" s="15"/>
      <c r="E173" s="15"/>
      <c r="F173" s="25">
        <v>10247.259599999999</v>
      </c>
      <c r="G173" s="26">
        <v>1.2999999999999999E-2</v>
      </c>
      <c r="H173" s="27"/>
      <c r="I173" s="28"/>
      <c r="J173" s="5"/>
    </row>
    <row r="174" spans="1:10" ht="13.05" customHeight="1">
      <c r="A174" s="5"/>
      <c r="B174" s="29" t="s">
        <v>195</v>
      </c>
      <c r="C174" s="30"/>
      <c r="D174" s="2"/>
      <c r="E174" s="30"/>
      <c r="F174" s="25">
        <v>10247.259599999999</v>
      </c>
      <c r="G174" s="26">
        <v>1.2999999999999999E-2</v>
      </c>
      <c r="H174" s="27"/>
      <c r="I174" s="28"/>
      <c r="J174" s="5"/>
    </row>
    <row r="175" spans="1:10" ht="13.05" customHeight="1">
      <c r="A175" s="5"/>
      <c r="B175" s="29" t="s">
        <v>199</v>
      </c>
      <c r="C175" s="15"/>
      <c r="D175" s="2"/>
      <c r="E175" s="15"/>
      <c r="F175" s="31">
        <v>6581.5958000000001</v>
      </c>
      <c r="G175" s="26">
        <v>8.3999999999999995E-3</v>
      </c>
      <c r="H175" s="27"/>
      <c r="I175" s="28"/>
      <c r="J175" s="5"/>
    </row>
    <row r="176" spans="1:10" ht="13.05" customHeight="1">
      <c r="A176" s="5"/>
      <c r="B176" s="32" t="s">
        <v>200</v>
      </c>
      <c r="C176" s="33"/>
      <c r="D176" s="33"/>
      <c r="E176" s="33"/>
      <c r="F176" s="34">
        <v>785678.43</v>
      </c>
      <c r="G176" s="35">
        <v>1</v>
      </c>
      <c r="H176" s="36"/>
      <c r="I176" s="37"/>
      <c r="J176" s="5"/>
    </row>
    <row r="177" spans="1:10" ht="13.05" customHeight="1">
      <c r="A177" s="5"/>
      <c r="B177" s="7"/>
      <c r="C177" s="5"/>
      <c r="D177" s="5"/>
      <c r="E177" s="5"/>
      <c r="F177" s="5"/>
      <c r="G177" s="5"/>
      <c r="H177" s="5"/>
      <c r="I177" s="5"/>
      <c r="J177" s="5"/>
    </row>
    <row r="178" spans="1:10" ht="13.05" customHeight="1">
      <c r="A178" s="5"/>
      <c r="B178" s="4" t="s">
        <v>5226</v>
      </c>
      <c r="C178" s="5"/>
      <c r="D178" s="5"/>
      <c r="E178" s="5"/>
      <c r="F178" s="5"/>
      <c r="G178" s="5"/>
      <c r="H178" s="5"/>
      <c r="I178" s="5"/>
      <c r="J178" s="5"/>
    </row>
    <row r="179" spans="1:10" ht="13.05" customHeight="1">
      <c r="A179" s="5"/>
      <c r="B179" s="4" t="s">
        <v>5227</v>
      </c>
      <c r="C179" s="5"/>
      <c r="D179" s="5"/>
      <c r="E179" s="5"/>
      <c r="F179" s="5"/>
      <c r="G179" s="5"/>
      <c r="H179" s="5"/>
      <c r="I179" s="5"/>
      <c r="J179" s="5"/>
    </row>
    <row r="180" spans="1:10" ht="13.05" customHeight="1">
      <c r="A180" s="5"/>
      <c r="B180" s="4" t="s">
        <v>250</v>
      </c>
      <c r="C180" s="5"/>
      <c r="D180" s="5"/>
      <c r="E180" s="5"/>
      <c r="F180" s="5"/>
      <c r="G180" s="5"/>
      <c r="H180" s="5"/>
      <c r="I180" s="5"/>
      <c r="J180" s="5"/>
    </row>
    <row r="181" spans="1:10" ht="13.05" customHeight="1">
      <c r="A181" s="5"/>
      <c r="B181" s="4" t="s">
        <v>1816</v>
      </c>
      <c r="C181" s="5"/>
      <c r="D181" s="5"/>
      <c r="E181" s="5"/>
      <c r="F181" s="5"/>
      <c r="G181" s="5"/>
      <c r="H181" s="5"/>
      <c r="I181" s="5"/>
      <c r="J181" s="5"/>
    </row>
    <row r="182" spans="1:10" ht="13.05" customHeight="1">
      <c r="A182" s="5"/>
      <c r="B182" s="4" t="s">
        <v>201</v>
      </c>
      <c r="C182" s="5"/>
      <c r="D182" s="5"/>
      <c r="E182" s="5"/>
      <c r="F182" s="5"/>
      <c r="G182" s="5"/>
      <c r="H182" s="5"/>
      <c r="I182" s="5"/>
      <c r="J182" s="5"/>
    </row>
    <row r="183" spans="1:10" ht="25.95" customHeight="1">
      <c r="A183" s="5"/>
      <c r="B183" s="103" t="s">
        <v>202</v>
      </c>
      <c r="C183" s="103"/>
      <c r="D183" s="103"/>
      <c r="E183" s="103"/>
      <c r="F183" s="103"/>
      <c r="G183" s="103"/>
      <c r="H183" s="103"/>
      <c r="I183" s="103"/>
      <c r="J183" s="5"/>
    </row>
    <row r="184" spans="1:10" ht="13.05" customHeight="1">
      <c r="A184" s="5"/>
      <c r="B184" s="103" t="s">
        <v>203</v>
      </c>
      <c r="C184" s="103"/>
      <c r="D184" s="103"/>
      <c r="E184" s="103"/>
      <c r="F184" s="103"/>
      <c r="G184" s="103"/>
      <c r="H184" s="103"/>
      <c r="I184" s="103"/>
      <c r="J184" s="5"/>
    </row>
    <row r="185" spans="1:10" ht="13.05" customHeight="1">
      <c r="A185" s="5"/>
      <c r="B185" s="103"/>
      <c r="C185" s="103"/>
      <c r="D185" s="103"/>
      <c r="E185" s="103"/>
      <c r="F185" s="103"/>
      <c r="G185" s="103"/>
      <c r="H185" s="103"/>
      <c r="I185" s="103"/>
      <c r="J185" s="5"/>
    </row>
    <row r="186" spans="1:10" ht="13.05" customHeight="1">
      <c r="A186" s="5"/>
      <c r="B186" s="103"/>
      <c r="C186" s="103"/>
      <c r="D186" s="103"/>
      <c r="E186" s="103"/>
      <c r="F186" s="103"/>
      <c r="G186" s="103"/>
      <c r="H186" s="103"/>
      <c r="I186" s="103"/>
      <c r="J186" s="5"/>
    </row>
    <row r="187" spans="1:10" ht="13.05" customHeight="1">
      <c r="A187" s="5"/>
      <c r="B187" s="103"/>
      <c r="C187" s="103"/>
      <c r="D187" s="103"/>
      <c r="E187" s="103"/>
      <c r="F187" s="103"/>
      <c r="G187" s="103"/>
      <c r="H187" s="103"/>
      <c r="I187" s="103"/>
      <c r="J187" s="5"/>
    </row>
    <row r="188" spans="1:10" ht="13.05" customHeight="1">
      <c r="A188" s="5"/>
      <c r="B188" s="103"/>
      <c r="C188" s="103"/>
      <c r="D188" s="103"/>
      <c r="E188" s="103"/>
      <c r="F188" s="103"/>
      <c r="G188" s="103"/>
      <c r="H188" s="103"/>
      <c r="I188" s="103"/>
      <c r="J188" s="5"/>
    </row>
    <row r="189" spans="1:10" ht="13.05" customHeight="1">
      <c r="A189" s="5"/>
      <c r="B189" s="5"/>
      <c r="C189" s="104" t="s">
        <v>5380</v>
      </c>
      <c r="D189" s="104"/>
      <c r="E189" s="104"/>
      <c r="F189" s="104"/>
      <c r="G189" s="5"/>
      <c r="H189" s="5"/>
      <c r="I189" s="5"/>
      <c r="J189" s="5"/>
    </row>
    <row r="190" spans="1:10" ht="13.05" customHeight="1">
      <c r="A190" s="5"/>
      <c r="B190" s="38" t="s">
        <v>207</v>
      </c>
      <c r="C190" s="104" t="s">
        <v>208</v>
      </c>
      <c r="D190" s="104"/>
      <c r="E190" s="104"/>
      <c r="F190" s="104"/>
      <c r="G190" s="5"/>
      <c r="H190" s="5"/>
      <c r="I190" s="5"/>
      <c r="J190" s="5"/>
    </row>
    <row r="191" spans="1:10" ht="135" customHeight="1">
      <c r="A191" s="5"/>
      <c r="B191" s="39"/>
      <c r="C191" s="105"/>
      <c r="D191" s="105"/>
      <c r="E191" s="5"/>
      <c r="F191" s="5"/>
      <c r="G191" s="5"/>
      <c r="H191" s="5"/>
      <c r="I191" s="5"/>
      <c r="J191" s="5"/>
    </row>
  </sheetData>
  <mergeCells count="9">
    <mergeCell ref="B188:I188"/>
    <mergeCell ref="C189:F189"/>
    <mergeCell ref="C190:F190"/>
    <mergeCell ref="C191:D191"/>
    <mergeCell ref="B183:I183"/>
    <mergeCell ref="B184:I184"/>
    <mergeCell ref="B185:I185"/>
    <mergeCell ref="B186:I186"/>
    <mergeCell ref="B187:I187"/>
  </mergeCells>
  <hyperlinks>
    <hyperlink ref="A1" location="AxisTreasuryAdvantageFund" display="AXISTAA" xr:uid="{00000000-0004-0000-4D00-000000000000}"/>
    <hyperlink ref="B1" location="AxisTreasuryAdvantageFund" display="Axis Treasury Advantage Fund" xr:uid="{00000000-0004-0000-4D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outlinePr summaryBelow="0"/>
  </sheetPr>
  <dimension ref="A1:J168"/>
  <sheetViews>
    <sheetView topLeftCell="A89" workbookViewId="0">
      <selection activeCell="G121" sqref="G121"/>
    </sheetView>
  </sheetViews>
  <sheetFormatPr defaultRowHeight="14.4"/>
  <cols>
    <col min="1" max="1" width="3.33203125" customWidth="1"/>
    <col min="2" max="2" width="69.21875" customWidth="1"/>
    <col min="3" max="3" width="21.554687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158</v>
      </c>
      <c r="B1" s="4" t="s">
        <v>159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869232</v>
      </c>
      <c r="F7" s="21">
        <v>8581.9274999999998</v>
      </c>
      <c r="G7" s="22">
        <v>5.0299999999999997E-2</v>
      </c>
      <c r="H7" s="40"/>
      <c r="I7" s="24"/>
      <c r="J7" s="5"/>
    </row>
    <row r="8" spans="1:10" ht="13.05" customHeight="1">
      <c r="A8" s="18" t="s">
        <v>262</v>
      </c>
      <c r="B8" s="19" t="s">
        <v>263</v>
      </c>
      <c r="C8" s="15" t="s">
        <v>264</v>
      </c>
      <c r="D8" s="15" t="s">
        <v>257</v>
      </c>
      <c r="E8" s="20">
        <v>370898</v>
      </c>
      <c r="F8" s="21">
        <v>4989.6908000000003</v>
      </c>
      <c r="G8" s="22">
        <v>2.93E-2</v>
      </c>
      <c r="H8" s="40"/>
      <c r="I8" s="24"/>
      <c r="J8" s="5"/>
    </row>
    <row r="9" spans="1:10" ht="13.05" customHeight="1">
      <c r="A9" s="18" t="s">
        <v>269</v>
      </c>
      <c r="B9" s="19" t="s">
        <v>270</v>
      </c>
      <c r="C9" s="15" t="s">
        <v>271</v>
      </c>
      <c r="D9" s="15" t="s">
        <v>272</v>
      </c>
      <c r="E9" s="20">
        <v>283591</v>
      </c>
      <c r="F9" s="21">
        <v>4203.6693999999998</v>
      </c>
      <c r="G9" s="22">
        <v>2.47E-2</v>
      </c>
      <c r="H9" s="40"/>
      <c r="I9" s="24"/>
      <c r="J9" s="5"/>
    </row>
    <row r="10" spans="1:10" ht="13.05" customHeight="1">
      <c r="A10" s="18" t="s">
        <v>265</v>
      </c>
      <c r="B10" s="19" t="s">
        <v>266</v>
      </c>
      <c r="C10" s="15" t="s">
        <v>267</v>
      </c>
      <c r="D10" s="15" t="s">
        <v>268</v>
      </c>
      <c r="E10" s="20">
        <v>202647</v>
      </c>
      <c r="F10" s="21">
        <v>4163.3825999999999</v>
      </c>
      <c r="G10" s="22">
        <v>2.4400000000000002E-2</v>
      </c>
      <c r="H10" s="40"/>
      <c r="I10" s="24"/>
      <c r="J10" s="5"/>
    </row>
    <row r="11" spans="1:10" ht="13.05" customHeight="1">
      <c r="A11" s="18" t="s">
        <v>273</v>
      </c>
      <c r="B11" s="19" t="s">
        <v>274</v>
      </c>
      <c r="C11" s="15" t="s">
        <v>275</v>
      </c>
      <c r="D11" s="15" t="s">
        <v>276</v>
      </c>
      <c r="E11" s="20">
        <v>92027</v>
      </c>
      <c r="F11" s="21">
        <v>3709.5162999999998</v>
      </c>
      <c r="G11" s="22">
        <v>2.18E-2</v>
      </c>
      <c r="H11" s="40"/>
      <c r="I11" s="24"/>
      <c r="J11" s="5"/>
    </row>
    <row r="12" spans="1:10" ht="13.05" customHeight="1">
      <c r="A12" s="18" t="s">
        <v>281</v>
      </c>
      <c r="B12" s="19" t="s">
        <v>282</v>
      </c>
      <c r="C12" s="15" t="s">
        <v>283</v>
      </c>
      <c r="D12" s="15" t="s">
        <v>257</v>
      </c>
      <c r="E12" s="20">
        <v>354810</v>
      </c>
      <c r="F12" s="21">
        <v>3324.5697</v>
      </c>
      <c r="G12" s="22">
        <v>1.95E-2</v>
      </c>
      <c r="H12" s="40"/>
      <c r="I12" s="24"/>
      <c r="J12" s="5"/>
    </row>
    <row r="13" spans="1:10" ht="13.05" customHeight="1">
      <c r="A13" s="18" t="s">
        <v>293</v>
      </c>
      <c r="B13" s="19" t="s">
        <v>294</v>
      </c>
      <c r="C13" s="15" t="s">
        <v>295</v>
      </c>
      <c r="D13" s="15" t="s">
        <v>296</v>
      </c>
      <c r="E13" s="20">
        <v>94556</v>
      </c>
      <c r="F13" s="21">
        <v>3297.3568</v>
      </c>
      <c r="G13" s="22">
        <v>1.9300000000000001E-2</v>
      </c>
      <c r="H13" s="40"/>
      <c r="I13" s="24"/>
      <c r="J13" s="5"/>
    </row>
    <row r="14" spans="1:10" ht="13.05" customHeight="1">
      <c r="A14" s="18" t="s">
        <v>305</v>
      </c>
      <c r="B14" s="19" t="s">
        <v>306</v>
      </c>
      <c r="C14" s="15" t="s">
        <v>307</v>
      </c>
      <c r="D14" s="15" t="s">
        <v>280</v>
      </c>
      <c r="E14" s="20">
        <v>97098</v>
      </c>
      <c r="F14" s="21">
        <v>2393.9512</v>
      </c>
      <c r="G14" s="22">
        <v>1.4E-2</v>
      </c>
      <c r="H14" s="40"/>
      <c r="I14" s="24"/>
      <c r="J14" s="5"/>
    </row>
    <row r="15" spans="1:10" ht="13.05" customHeight="1">
      <c r="A15" s="18" t="s">
        <v>1162</v>
      </c>
      <c r="B15" s="19" t="s">
        <v>1163</v>
      </c>
      <c r="C15" s="15" t="s">
        <v>1164</v>
      </c>
      <c r="D15" s="15" t="s">
        <v>501</v>
      </c>
      <c r="E15" s="20">
        <v>13521</v>
      </c>
      <c r="F15" s="21">
        <v>2336.8344000000002</v>
      </c>
      <c r="G15" s="22">
        <v>1.37E-2</v>
      </c>
      <c r="H15" s="40"/>
      <c r="I15" s="24"/>
      <c r="J15" s="5"/>
    </row>
    <row r="16" spans="1:10" ht="13.05" customHeight="1">
      <c r="A16" s="18" t="s">
        <v>709</v>
      </c>
      <c r="B16" s="19" t="s">
        <v>710</v>
      </c>
      <c r="C16" s="15" t="s">
        <v>711</v>
      </c>
      <c r="D16" s="15" t="s">
        <v>304</v>
      </c>
      <c r="E16" s="20">
        <v>1487169</v>
      </c>
      <c r="F16" s="21">
        <v>2151.7847999999999</v>
      </c>
      <c r="G16" s="22">
        <v>1.26E-2</v>
      </c>
      <c r="H16" s="40"/>
      <c r="I16" s="24"/>
      <c r="J16" s="5"/>
    </row>
    <row r="17" spans="1:10" ht="13.05" customHeight="1">
      <c r="A17" s="18" t="s">
        <v>406</v>
      </c>
      <c r="B17" s="19" t="s">
        <v>407</v>
      </c>
      <c r="C17" s="15" t="s">
        <v>408</v>
      </c>
      <c r="D17" s="15" t="s">
        <v>314</v>
      </c>
      <c r="E17" s="20">
        <v>31167</v>
      </c>
      <c r="F17" s="21">
        <v>2100.0324999999998</v>
      </c>
      <c r="G17" s="22">
        <v>1.23E-2</v>
      </c>
      <c r="H17" s="40"/>
      <c r="I17" s="24"/>
      <c r="J17" s="5"/>
    </row>
    <row r="18" spans="1:10" ht="13.05" customHeight="1">
      <c r="A18" s="18" t="s">
        <v>349</v>
      </c>
      <c r="B18" s="19" t="s">
        <v>350</v>
      </c>
      <c r="C18" s="15" t="s">
        <v>351</v>
      </c>
      <c r="D18" s="15" t="s">
        <v>300</v>
      </c>
      <c r="E18" s="20">
        <v>96642</v>
      </c>
      <c r="F18" s="21">
        <v>2018.1749</v>
      </c>
      <c r="G18" s="22">
        <v>1.18E-2</v>
      </c>
      <c r="H18" s="40"/>
      <c r="I18" s="24"/>
      <c r="J18" s="5"/>
    </row>
    <row r="19" spans="1:10" ht="13.05" customHeight="1">
      <c r="A19" s="18" t="s">
        <v>334</v>
      </c>
      <c r="B19" s="19" t="s">
        <v>335</v>
      </c>
      <c r="C19" s="15" t="s">
        <v>336</v>
      </c>
      <c r="D19" s="15" t="s">
        <v>337</v>
      </c>
      <c r="E19" s="20">
        <v>16644</v>
      </c>
      <c r="F19" s="21">
        <v>1988.4586999999999</v>
      </c>
      <c r="G19" s="22">
        <v>1.17E-2</v>
      </c>
      <c r="H19" s="40"/>
      <c r="I19" s="24"/>
      <c r="J19" s="5"/>
    </row>
    <row r="20" spans="1:10" ht="13.05" customHeight="1">
      <c r="A20" s="18" t="s">
        <v>1367</v>
      </c>
      <c r="B20" s="19" t="s">
        <v>1368</v>
      </c>
      <c r="C20" s="15" t="s">
        <v>1369</v>
      </c>
      <c r="D20" s="15" t="s">
        <v>296</v>
      </c>
      <c r="E20" s="20">
        <v>279709</v>
      </c>
      <c r="F20" s="21">
        <v>1935.4464</v>
      </c>
      <c r="G20" s="22">
        <v>1.14E-2</v>
      </c>
      <c r="H20" s="40"/>
      <c r="I20" s="24"/>
      <c r="J20" s="5"/>
    </row>
    <row r="21" spans="1:10" ht="13.05" customHeight="1">
      <c r="A21" s="18" t="s">
        <v>322</v>
      </c>
      <c r="B21" s="19" t="s">
        <v>323</v>
      </c>
      <c r="C21" s="15" t="s">
        <v>324</v>
      </c>
      <c r="D21" s="15" t="s">
        <v>325</v>
      </c>
      <c r="E21" s="20">
        <v>51062</v>
      </c>
      <c r="F21" s="21">
        <v>1913.14</v>
      </c>
      <c r="G21" s="22">
        <v>1.12E-2</v>
      </c>
      <c r="H21" s="40"/>
      <c r="I21" s="24"/>
      <c r="J21" s="5"/>
    </row>
    <row r="22" spans="1:10" ht="13.05" customHeight="1">
      <c r="A22" s="18" t="s">
        <v>258</v>
      </c>
      <c r="B22" s="19" t="s">
        <v>259</v>
      </c>
      <c r="C22" s="15" t="s">
        <v>260</v>
      </c>
      <c r="D22" s="15" t="s">
        <v>261</v>
      </c>
      <c r="E22" s="20">
        <v>127342</v>
      </c>
      <c r="F22" s="21">
        <v>1892.8115</v>
      </c>
      <c r="G22" s="22">
        <v>1.11E-2</v>
      </c>
      <c r="H22" s="40"/>
      <c r="I22" s="24"/>
      <c r="J22" s="5"/>
    </row>
    <row r="23" spans="1:10" ht="13.05" customHeight="1">
      <c r="A23" s="18" t="s">
        <v>290</v>
      </c>
      <c r="B23" s="19" t="s">
        <v>291</v>
      </c>
      <c r="C23" s="15" t="s">
        <v>292</v>
      </c>
      <c r="D23" s="15" t="s">
        <v>257</v>
      </c>
      <c r="E23" s="20">
        <v>85461</v>
      </c>
      <c r="F23" s="21">
        <v>1796.5610999999999</v>
      </c>
      <c r="G23" s="22">
        <v>1.0500000000000001E-2</v>
      </c>
      <c r="H23" s="40"/>
      <c r="I23" s="24"/>
      <c r="J23" s="5"/>
    </row>
    <row r="24" spans="1:10" ht="13.05" customHeight="1">
      <c r="A24" s="18" t="s">
        <v>395</v>
      </c>
      <c r="B24" s="19" t="s">
        <v>396</v>
      </c>
      <c r="C24" s="15" t="s">
        <v>397</v>
      </c>
      <c r="D24" s="15" t="s">
        <v>329</v>
      </c>
      <c r="E24" s="20">
        <v>38207</v>
      </c>
      <c r="F24" s="21">
        <v>1788.0111999999999</v>
      </c>
      <c r="G24" s="22">
        <v>1.0500000000000001E-2</v>
      </c>
      <c r="H24" s="40"/>
      <c r="I24" s="24"/>
      <c r="J24" s="5"/>
    </row>
    <row r="25" spans="1:10" ht="13.05" customHeight="1">
      <c r="A25" s="18" t="s">
        <v>368</v>
      </c>
      <c r="B25" s="19" t="s">
        <v>369</v>
      </c>
      <c r="C25" s="15" t="s">
        <v>370</v>
      </c>
      <c r="D25" s="15" t="s">
        <v>304</v>
      </c>
      <c r="E25" s="20">
        <v>38042</v>
      </c>
      <c r="F25" s="21">
        <v>1785.8055999999999</v>
      </c>
      <c r="G25" s="22">
        <v>1.0500000000000001E-2</v>
      </c>
      <c r="H25" s="40"/>
      <c r="I25" s="24"/>
      <c r="J25" s="5"/>
    </row>
    <row r="26" spans="1:10" ht="13.05" customHeight="1">
      <c r="A26" s="18" t="s">
        <v>2423</v>
      </c>
      <c r="B26" s="19" t="s">
        <v>2424</v>
      </c>
      <c r="C26" s="15" t="s">
        <v>2425</v>
      </c>
      <c r="D26" s="15" t="s">
        <v>300</v>
      </c>
      <c r="E26" s="20">
        <v>1500</v>
      </c>
      <c r="F26" s="21">
        <v>1784.3398999999999</v>
      </c>
      <c r="G26" s="22">
        <v>1.0500000000000001E-2</v>
      </c>
      <c r="H26" s="23" t="s">
        <v>5522</v>
      </c>
      <c r="I26" s="24"/>
      <c r="J26" s="5"/>
    </row>
    <row r="27" spans="1:10" ht="13.05" customHeight="1">
      <c r="A27" s="18" t="s">
        <v>616</v>
      </c>
      <c r="B27" s="19" t="s">
        <v>617</v>
      </c>
      <c r="C27" s="15" t="s">
        <v>618</v>
      </c>
      <c r="D27" s="15" t="s">
        <v>445</v>
      </c>
      <c r="E27" s="20">
        <v>57644</v>
      </c>
      <c r="F27" s="21">
        <v>1750.8788999999999</v>
      </c>
      <c r="G27" s="22">
        <v>1.03E-2</v>
      </c>
      <c r="H27" s="23"/>
      <c r="I27" s="24"/>
      <c r="J27" s="5"/>
    </row>
    <row r="28" spans="1:10" ht="13.05" customHeight="1">
      <c r="A28" s="18" t="s">
        <v>604</v>
      </c>
      <c r="B28" s="19" t="s">
        <v>605</v>
      </c>
      <c r="C28" s="15" t="s">
        <v>606</v>
      </c>
      <c r="D28" s="15" t="s">
        <v>333</v>
      </c>
      <c r="E28" s="20">
        <v>158435</v>
      </c>
      <c r="F28" s="21">
        <v>1690.1846</v>
      </c>
      <c r="G28" s="22">
        <v>9.9000000000000008E-3</v>
      </c>
      <c r="H28" s="23"/>
      <c r="I28" s="24"/>
      <c r="J28" s="5"/>
    </row>
    <row r="29" spans="1:10" ht="13.05" customHeight="1">
      <c r="A29" s="18" t="s">
        <v>561</v>
      </c>
      <c r="B29" s="19" t="s">
        <v>562</v>
      </c>
      <c r="C29" s="15" t="s">
        <v>563</v>
      </c>
      <c r="D29" s="15" t="s">
        <v>300</v>
      </c>
      <c r="E29" s="20">
        <v>449749</v>
      </c>
      <c r="F29" s="21">
        <v>1685.8841</v>
      </c>
      <c r="G29" s="22">
        <v>9.9000000000000008E-3</v>
      </c>
      <c r="H29" s="23"/>
      <c r="I29" s="24"/>
      <c r="J29" s="5"/>
    </row>
    <row r="30" spans="1:10" ht="13.05" customHeight="1">
      <c r="A30" s="18" t="s">
        <v>640</v>
      </c>
      <c r="B30" s="19" t="s">
        <v>641</v>
      </c>
      <c r="C30" s="15" t="s">
        <v>642</v>
      </c>
      <c r="D30" s="15" t="s">
        <v>296</v>
      </c>
      <c r="E30" s="20">
        <v>69008</v>
      </c>
      <c r="F30" s="21">
        <v>1682.8981000000001</v>
      </c>
      <c r="G30" s="22">
        <v>9.9000000000000008E-3</v>
      </c>
      <c r="H30" s="23"/>
      <c r="I30" s="24"/>
      <c r="J30" s="5"/>
    </row>
    <row r="31" spans="1:10" ht="13.05" customHeight="1">
      <c r="A31" s="18" t="s">
        <v>712</v>
      </c>
      <c r="B31" s="19" t="s">
        <v>713</v>
      </c>
      <c r="C31" s="15" t="s">
        <v>714</v>
      </c>
      <c r="D31" s="15" t="s">
        <v>603</v>
      </c>
      <c r="E31" s="20">
        <v>46938</v>
      </c>
      <c r="F31" s="21">
        <v>1679.16</v>
      </c>
      <c r="G31" s="22">
        <v>9.7999999999999997E-3</v>
      </c>
      <c r="H31" s="23"/>
      <c r="I31" s="24"/>
      <c r="J31" s="5"/>
    </row>
    <row r="32" spans="1:10" ht="13.05" customHeight="1">
      <c r="A32" s="18" t="s">
        <v>810</v>
      </c>
      <c r="B32" s="19" t="s">
        <v>811</v>
      </c>
      <c r="C32" s="15" t="s">
        <v>812</v>
      </c>
      <c r="D32" s="15" t="s">
        <v>567</v>
      </c>
      <c r="E32" s="20">
        <v>132883</v>
      </c>
      <c r="F32" s="21">
        <v>1641.3707999999999</v>
      </c>
      <c r="G32" s="22">
        <v>9.5999999999999992E-3</v>
      </c>
      <c r="H32" s="23"/>
      <c r="I32" s="24"/>
      <c r="J32" s="5"/>
    </row>
    <row r="33" spans="1:10" ht="13.05" customHeight="1">
      <c r="A33" s="18" t="s">
        <v>664</v>
      </c>
      <c r="B33" s="19" t="s">
        <v>665</v>
      </c>
      <c r="C33" s="15" t="s">
        <v>666</v>
      </c>
      <c r="D33" s="15" t="s">
        <v>304</v>
      </c>
      <c r="E33" s="20">
        <v>398950</v>
      </c>
      <c r="F33" s="21">
        <v>1635.4955</v>
      </c>
      <c r="G33" s="22">
        <v>9.5999999999999992E-3</v>
      </c>
      <c r="H33" s="23"/>
      <c r="I33" s="24"/>
      <c r="J33" s="5"/>
    </row>
    <row r="34" spans="1:10" ht="13.05" customHeight="1">
      <c r="A34" s="18" t="s">
        <v>523</v>
      </c>
      <c r="B34" s="19" t="s">
        <v>524</v>
      </c>
      <c r="C34" s="15" t="s">
        <v>525</v>
      </c>
      <c r="D34" s="15" t="s">
        <v>304</v>
      </c>
      <c r="E34" s="20">
        <v>115220</v>
      </c>
      <c r="F34" s="21">
        <v>1588.0772999999999</v>
      </c>
      <c r="G34" s="22">
        <v>9.2999999999999992E-3</v>
      </c>
      <c r="H34" s="23"/>
      <c r="I34" s="24"/>
      <c r="J34" s="5"/>
    </row>
    <row r="35" spans="1:10" ht="13.05" customHeight="1">
      <c r="A35" s="18" t="s">
        <v>532</v>
      </c>
      <c r="B35" s="19" t="s">
        <v>533</v>
      </c>
      <c r="C35" s="15" t="s">
        <v>534</v>
      </c>
      <c r="D35" s="15" t="s">
        <v>445</v>
      </c>
      <c r="E35" s="20">
        <v>209452</v>
      </c>
      <c r="F35" s="21">
        <v>1542.9282000000001</v>
      </c>
      <c r="G35" s="22">
        <v>8.9999999999999993E-3</v>
      </c>
      <c r="H35" s="23"/>
      <c r="I35" s="24"/>
      <c r="J35" s="5"/>
    </row>
    <row r="36" spans="1:10" ht="13.05" customHeight="1">
      <c r="A36" s="18" t="s">
        <v>1263</v>
      </c>
      <c r="B36" s="19" t="s">
        <v>1264</v>
      </c>
      <c r="C36" s="15" t="s">
        <v>1265</v>
      </c>
      <c r="D36" s="15" t="s">
        <v>541</v>
      </c>
      <c r="E36" s="20">
        <v>234847</v>
      </c>
      <c r="F36" s="21">
        <v>1513.3541</v>
      </c>
      <c r="G36" s="22">
        <v>8.8999999999999999E-3</v>
      </c>
      <c r="H36" s="23"/>
      <c r="I36" s="24"/>
      <c r="J36" s="5"/>
    </row>
    <row r="37" spans="1:10" ht="13.05" customHeight="1">
      <c r="A37" s="18" t="s">
        <v>508</v>
      </c>
      <c r="B37" s="19" t="s">
        <v>509</v>
      </c>
      <c r="C37" s="15" t="s">
        <v>510</v>
      </c>
      <c r="D37" s="15" t="s">
        <v>374</v>
      </c>
      <c r="E37" s="20">
        <v>27063</v>
      </c>
      <c r="F37" s="21">
        <v>1455.7188000000001</v>
      </c>
      <c r="G37" s="22">
        <v>8.5000000000000006E-3</v>
      </c>
      <c r="H37" s="23"/>
      <c r="I37" s="24"/>
      <c r="J37" s="5"/>
    </row>
    <row r="38" spans="1:10" ht="13.05" customHeight="1">
      <c r="A38" s="18" t="s">
        <v>625</v>
      </c>
      <c r="B38" s="19" t="s">
        <v>626</v>
      </c>
      <c r="C38" s="15" t="s">
        <v>627</v>
      </c>
      <c r="D38" s="15" t="s">
        <v>314</v>
      </c>
      <c r="E38" s="20">
        <v>40441</v>
      </c>
      <c r="F38" s="21">
        <v>1439.74</v>
      </c>
      <c r="G38" s="22">
        <v>8.3999999999999995E-3</v>
      </c>
      <c r="H38" s="23"/>
      <c r="I38" s="24"/>
      <c r="J38" s="5"/>
    </row>
    <row r="39" spans="1:10" ht="13.05" customHeight="1">
      <c r="A39" s="18" t="s">
        <v>412</v>
      </c>
      <c r="B39" s="19" t="s">
        <v>413</v>
      </c>
      <c r="C39" s="15" t="s">
        <v>414</v>
      </c>
      <c r="D39" s="15" t="s">
        <v>415</v>
      </c>
      <c r="E39" s="20">
        <v>120944</v>
      </c>
      <c r="F39" s="21">
        <v>1388.1952000000001</v>
      </c>
      <c r="G39" s="22">
        <v>8.0999999999999996E-3</v>
      </c>
      <c r="H39" s="23"/>
      <c r="I39" s="24"/>
      <c r="J39" s="5"/>
    </row>
    <row r="40" spans="1:10" ht="13.05" customHeight="1">
      <c r="A40" s="18" t="s">
        <v>1198</v>
      </c>
      <c r="B40" s="19" t="s">
        <v>1199</v>
      </c>
      <c r="C40" s="15" t="s">
        <v>1200</v>
      </c>
      <c r="D40" s="15" t="s">
        <v>567</v>
      </c>
      <c r="E40" s="20">
        <v>48865</v>
      </c>
      <c r="F40" s="21">
        <v>1387.0818999999999</v>
      </c>
      <c r="G40" s="22">
        <v>8.0999999999999996E-3</v>
      </c>
      <c r="H40" s="23"/>
      <c r="I40" s="24"/>
      <c r="J40" s="5"/>
    </row>
    <row r="41" spans="1:10" ht="13.05" customHeight="1">
      <c r="A41" s="18" t="s">
        <v>308</v>
      </c>
      <c r="B41" s="19" t="s">
        <v>309</v>
      </c>
      <c r="C41" s="15" t="s">
        <v>310</v>
      </c>
      <c r="D41" s="15" t="s">
        <v>296</v>
      </c>
      <c r="E41" s="20">
        <v>8173</v>
      </c>
      <c r="F41" s="21">
        <v>1322.8818000000001</v>
      </c>
      <c r="G41" s="22">
        <v>7.7999999999999996E-3</v>
      </c>
      <c r="H41" s="23"/>
      <c r="I41" s="24"/>
      <c r="J41" s="5"/>
    </row>
    <row r="42" spans="1:10" ht="13.05" customHeight="1">
      <c r="A42" s="18" t="s">
        <v>341</v>
      </c>
      <c r="B42" s="19" t="s">
        <v>342</v>
      </c>
      <c r="C42" s="15" t="s">
        <v>343</v>
      </c>
      <c r="D42" s="15" t="s">
        <v>344</v>
      </c>
      <c r="E42" s="20">
        <v>155590</v>
      </c>
      <c r="F42" s="21">
        <v>1319.1697999999999</v>
      </c>
      <c r="G42" s="22">
        <v>7.7000000000000002E-3</v>
      </c>
      <c r="H42" s="23"/>
      <c r="I42" s="24"/>
      <c r="J42" s="5"/>
    </row>
    <row r="43" spans="1:10" ht="13.05" customHeight="1">
      <c r="A43" s="18" t="s">
        <v>345</v>
      </c>
      <c r="B43" s="19" t="s">
        <v>346</v>
      </c>
      <c r="C43" s="15" t="s">
        <v>347</v>
      </c>
      <c r="D43" s="15" t="s">
        <v>348</v>
      </c>
      <c r="E43" s="20">
        <v>22746</v>
      </c>
      <c r="F43" s="21">
        <v>1279.4625000000001</v>
      </c>
      <c r="G43" s="22">
        <v>7.4999999999999997E-3</v>
      </c>
      <c r="H43" s="23"/>
      <c r="I43" s="24"/>
      <c r="J43" s="5"/>
    </row>
    <row r="44" spans="1:10" ht="13.05" customHeight="1">
      <c r="A44" s="18" t="s">
        <v>495</v>
      </c>
      <c r="B44" s="19" t="s">
        <v>496</v>
      </c>
      <c r="C44" s="15" t="s">
        <v>497</v>
      </c>
      <c r="D44" s="15" t="s">
        <v>257</v>
      </c>
      <c r="E44" s="20">
        <v>535363</v>
      </c>
      <c r="F44" s="21">
        <v>1266.7224000000001</v>
      </c>
      <c r="G44" s="22">
        <v>7.4000000000000003E-3</v>
      </c>
      <c r="H44" s="23"/>
      <c r="I44" s="24"/>
      <c r="J44" s="5"/>
    </row>
    <row r="45" spans="1:10" ht="13.05" customHeight="1">
      <c r="A45" s="18" t="s">
        <v>385</v>
      </c>
      <c r="B45" s="19" t="s">
        <v>386</v>
      </c>
      <c r="C45" s="15" t="s">
        <v>387</v>
      </c>
      <c r="D45" s="15" t="s">
        <v>296</v>
      </c>
      <c r="E45" s="20">
        <v>17675</v>
      </c>
      <c r="F45" s="21">
        <v>1238.4873</v>
      </c>
      <c r="G45" s="22">
        <v>7.3000000000000001E-3</v>
      </c>
      <c r="H45" s="23"/>
      <c r="I45" s="24"/>
      <c r="J45" s="5"/>
    </row>
    <row r="46" spans="1:10" ht="13.05" customHeight="1">
      <c r="A46" s="18" t="s">
        <v>2991</v>
      </c>
      <c r="B46" s="19" t="s">
        <v>2992</v>
      </c>
      <c r="C46" s="15" t="s">
        <v>2993</v>
      </c>
      <c r="D46" s="15" t="s">
        <v>541</v>
      </c>
      <c r="E46" s="20">
        <v>1066650</v>
      </c>
      <c r="F46" s="21">
        <v>1232.1940999999999</v>
      </c>
      <c r="G46" s="22">
        <v>7.1999999999999998E-3</v>
      </c>
      <c r="H46" s="23"/>
      <c r="I46" s="24"/>
      <c r="J46" s="5"/>
    </row>
    <row r="47" spans="1:10" ht="13.05" customHeight="1">
      <c r="A47" s="18" t="s">
        <v>828</v>
      </c>
      <c r="B47" s="19" t="s">
        <v>829</v>
      </c>
      <c r="C47" s="15" t="s">
        <v>830</v>
      </c>
      <c r="D47" s="15" t="s">
        <v>567</v>
      </c>
      <c r="E47" s="20">
        <v>257546</v>
      </c>
      <c r="F47" s="21">
        <v>1217.5487000000001</v>
      </c>
      <c r="G47" s="22">
        <v>7.1000000000000004E-3</v>
      </c>
      <c r="H47" s="23"/>
      <c r="I47" s="24"/>
      <c r="J47" s="5"/>
    </row>
    <row r="48" spans="1:10" ht="13.05" customHeight="1">
      <c r="A48" s="18" t="s">
        <v>819</v>
      </c>
      <c r="B48" s="19" t="s">
        <v>820</v>
      </c>
      <c r="C48" s="15" t="s">
        <v>821</v>
      </c>
      <c r="D48" s="15" t="s">
        <v>314</v>
      </c>
      <c r="E48" s="20">
        <v>325481</v>
      </c>
      <c r="F48" s="21">
        <v>1211.1148000000001</v>
      </c>
      <c r="G48" s="22">
        <v>7.1000000000000004E-3</v>
      </c>
      <c r="H48" s="23"/>
      <c r="I48" s="24"/>
      <c r="J48" s="5"/>
    </row>
    <row r="49" spans="1:10" ht="13.05" customHeight="1">
      <c r="A49" s="18" t="s">
        <v>315</v>
      </c>
      <c r="B49" s="19" t="s">
        <v>316</v>
      </c>
      <c r="C49" s="15" t="s">
        <v>317</v>
      </c>
      <c r="D49" s="15" t="s">
        <v>272</v>
      </c>
      <c r="E49" s="20">
        <v>77654</v>
      </c>
      <c r="F49" s="21">
        <v>1197.0364</v>
      </c>
      <c r="G49" s="22">
        <v>7.0000000000000001E-3</v>
      </c>
      <c r="H49" s="23"/>
      <c r="I49" s="24"/>
      <c r="J49" s="5"/>
    </row>
    <row r="50" spans="1:10" ht="13.05" customHeight="1">
      <c r="A50" s="18" t="s">
        <v>423</v>
      </c>
      <c r="B50" s="19" t="s">
        <v>424</v>
      </c>
      <c r="C50" s="15" t="s">
        <v>425</v>
      </c>
      <c r="D50" s="15" t="s">
        <v>296</v>
      </c>
      <c r="E50" s="20">
        <v>33753</v>
      </c>
      <c r="F50" s="21">
        <v>1184.2915</v>
      </c>
      <c r="G50" s="22">
        <v>6.8999999999999999E-3</v>
      </c>
      <c r="H50" s="23"/>
      <c r="I50" s="24"/>
      <c r="J50" s="5"/>
    </row>
    <row r="51" spans="1:10" ht="13.05" customHeight="1">
      <c r="A51" s="18" t="s">
        <v>388</v>
      </c>
      <c r="B51" s="19" t="s">
        <v>389</v>
      </c>
      <c r="C51" s="15" t="s">
        <v>390</v>
      </c>
      <c r="D51" s="15" t="s">
        <v>391</v>
      </c>
      <c r="E51" s="20">
        <v>92705</v>
      </c>
      <c r="F51" s="21">
        <v>1178.8368</v>
      </c>
      <c r="G51" s="22">
        <v>6.8999999999999999E-3</v>
      </c>
      <c r="H51" s="23"/>
      <c r="I51" s="24"/>
      <c r="J51" s="5"/>
    </row>
    <row r="52" spans="1:10" ht="13.05" customHeight="1">
      <c r="A52" s="18" t="s">
        <v>458</v>
      </c>
      <c r="B52" s="19" t="s">
        <v>459</v>
      </c>
      <c r="C52" s="15" t="s">
        <v>460</v>
      </c>
      <c r="D52" s="15" t="s">
        <v>321</v>
      </c>
      <c r="E52" s="20">
        <v>286559</v>
      </c>
      <c r="F52" s="21">
        <v>1160.2773999999999</v>
      </c>
      <c r="G52" s="22">
        <v>6.7999999999999996E-3</v>
      </c>
      <c r="H52" s="23"/>
      <c r="I52" s="24"/>
      <c r="J52" s="5"/>
    </row>
    <row r="53" spans="1:10" ht="13.05" customHeight="1">
      <c r="A53" s="18" t="s">
        <v>574</v>
      </c>
      <c r="B53" s="19" t="s">
        <v>575</v>
      </c>
      <c r="C53" s="15" t="s">
        <v>576</v>
      </c>
      <c r="D53" s="15" t="s">
        <v>577</v>
      </c>
      <c r="E53" s="20">
        <v>102668</v>
      </c>
      <c r="F53" s="21">
        <v>1148.4441999999999</v>
      </c>
      <c r="G53" s="22">
        <v>6.7000000000000002E-3</v>
      </c>
      <c r="H53" s="23"/>
      <c r="I53" s="24"/>
      <c r="J53" s="5"/>
    </row>
    <row r="54" spans="1:10" ht="13.05" customHeight="1">
      <c r="A54" s="18" t="s">
        <v>520</v>
      </c>
      <c r="B54" s="19" t="s">
        <v>521</v>
      </c>
      <c r="C54" s="15" t="s">
        <v>522</v>
      </c>
      <c r="D54" s="15" t="s">
        <v>272</v>
      </c>
      <c r="E54" s="20">
        <v>20000</v>
      </c>
      <c r="F54" s="21">
        <v>1136.9000000000001</v>
      </c>
      <c r="G54" s="22">
        <v>6.7000000000000002E-3</v>
      </c>
      <c r="H54" s="23"/>
      <c r="I54" s="24"/>
      <c r="J54" s="5"/>
    </row>
    <row r="55" spans="1:10" ht="13.05" customHeight="1">
      <c r="A55" s="18" t="s">
        <v>461</v>
      </c>
      <c r="B55" s="19" t="s">
        <v>462</v>
      </c>
      <c r="C55" s="15" t="s">
        <v>463</v>
      </c>
      <c r="D55" s="15" t="s">
        <v>464</v>
      </c>
      <c r="E55" s="20">
        <v>149027</v>
      </c>
      <c r="F55" s="21">
        <v>1105.4822999999999</v>
      </c>
      <c r="G55" s="22">
        <v>6.4999999999999997E-3</v>
      </c>
      <c r="H55" s="23"/>
      <c r="I55" s="24"/>
      <c r="J55" s="5"/>
    </row>
    <row r="56" spans="1:10" ht="13.05" customHeight="1">
      <c r="A56" s="18" t="s">
        <v>426</v>
      </c>
      <c r="B56" s="19" t="s">
        <v>427</v>
      </c>
      <c r="C56" s="15" t="s">
        <v>428</v>
      </c>
      <c r="D56" s="15" t="s">
        <v>405</v>
      </c>
      <c r="E56" s="20">
        <v>147089</v>
      </c>
      <c r="F56" s="21">
        <v>1076.4708000000001</v>
      </c>
      <c r="G56" s="22">
        <v>6.3E-3</v>
      </c>
      <c r="H56" s="23"/>
      <c r="I56" s="24"/>
      <c r="J56" s="5"/>
    </row>
    <row r="57" spans="1:10" ht="13.05" customHeight="1">
      <c r="A57" s="18" t="s">
        <v>2994</v>
      </c>
      <c r="B57" s="19" t="s">
        <v>2995</v>
      </c>
      <c r="C57" s="15" t="s">
        <v>2996</v>
      </c>
      <c r="D57" s="15" t="s">
        <v>846</v>
      </c>
      <c r="E57" s="20">
        <v>78896</v>
      </c>
      <c r="F57" s="21">
        <v>1036.6934000000001</v>
      </c>
      <c r="G57" s="22">
        <v>6.1000000000000004E-3</v>
      </c>
      <c r="H57" s="23"/>
      <c r="I57" s="24"/>
      <c r="J57" s="5"/>
    </row>
    <row r="58" spans="1:10" ht="13.05" customHeight="1">
      <c r="A58" s="18" t="s">
        <v>1013</v>
      </c>
      <c r="B58" s="19" t="s">
        <v>1014</v>
      </c>
      <c r="C58" s="15" t="s">
        <v>1015</v>
      </c>
      <c r="D58" s="15" t="s">
        <v>314</v>
      </c>
      <c r="E58" s="20">
        <v>60394</v>
      </c>
      <c r="F58" s="21">
        <v>1016.0083</v>
      </c>
      <c r="G58" s="22">
        <v>6.0000000000000001E-3</v>
      </c>
      <c r="H58" s="23"/>
      <c r="I58" s="24"/>
      <c r="J58" s="5"/>
    </row>
    <row r="59" spans="1:10" ht="13.05" customHeight="1">
      <c r="A59" s="18" t="s">
        <v>1848</v>
      </c>
      <c r="B59" s="19" t="s">
        <v>1849</v>
      </c>
      <c r="C59" s="15" t="s">
        <v>1850</v>
      </c>
      <c r="D59" s="15" t="s">
        <v>304</v>
      </c>
      <c r="E59" s="20">
        <v>201145</v>
      </c>
      <c r="F59" s="21">
        <v>1011.4576</v>
      </c>
      <c r="G59" s="22">
        <v>5.8999999999999999E-3</v>
      </c>
      <c r="H59" s="23"/>
      <c r="I59" s="24"/>
      <c r="J59" s="5"/>
    </row>
    <row r="60" spans="1:10" ht="13.05" customHeight="1">
      <c r="A60" s="18" t="s">
        <v>1857</v>
      </c>
      <c r="B60" s="19" t="s">
        <v>1858</v>
      </c>
      <c r="C60" s="15" t="s">
        <v>1859</v>
      </c>
      <c r="D60" s="15" t="s">
        <v>325</v>
      </c>
      <c r="E60" s="20">
        <v>58315</v>
      </c>
      <c r="F60" s="21">
        <v>970.12829999999997</v>
      </c>
      <c r="G60" s="22">
        <v>5.7000000000000002E-3</v>
      </c>
      <c r="H60" s="23"/>
      <c r="I60" s="24"/>
      <c r="J60" s="5"/>
    </row>
    <row r="61" spans="1:10" ht="13.05" customHeight="1">
      <c r="A61" s="18" t="s">
        <v>1388</v>
      </c>
      <c r="B61" s="19" t="s">
        <v>1389</v>
      </c>
      <c r="C61" s="15" t="s">
        <v>1390</v>
      </c>
      <c r="D61" s="15" t="s">
        <v>846</v>
      </c>
      <c r="E61" s="20">
        <v>109410</v>
      </c>
      <c r="F61" s="21">
        <v>967.78620000000001</v>
      </c>
      <c r="G61" s="22">
        <v>5.7000000000000002E-3</v>
      </c>
      <c r="H61" s="23"/>
      <c r="I61" s="24"/>
      <c r="J61" s="5"/>
    </row>
    <row r="62" spans="1:10" ht="13.05" customHeight="1">
      <c r="A62" s="18" t="s">
        <v>514</v>
      </c>
      <c r="B62" s="19" t="s">
        <v>515</v>
      </c>
      <c r="C62" s="15" t="s">
        <v>516</v>
      </c>
      <c r="D62" s="15" t="s">
        <v>415</v>
      </c>
      <c r="E62" s="20">
        <v>92187</v>
      </c>
      <c r="F62" s="21">
        <v>943.1191</v>
      </c>
      <c r="G62" s="22">
        <v>5.4999999999999997E-3</v>
      </c>
      <c r="H62" s="23"/>
      <c r="I62" s="24"/>
      <c r="J62" s="5"/>
    </row>
    <row r="63" spans="1:10" ht="13.05" customHeight="1">
      <c r="A63" s="18" t="s">
        <v>1052</v>
      </c>
      <c r="B63" s="19" t="s">
        <v>1053</v>
      </c>
      <c r="C63" s="15" t="s">
        <v>1054</v>
      </c>
      <c r="D63" s="15" t="s">
        <v>445</v>
      </c>
      <c r="E63" s="20">
        <v>79822</v>
      </c>
      <c r="F63" s="21">
        <v>872.61410000000001</v>
      </c>
      <c r="G63" s="22">
        <v>5.1000000000000004E-3</v>
      </c>
      <c r="H63" s="23"/>
      <c r="I63" s="24"/>
      <c r="J63" s="5"/>
    </row>
    <row r="64" spans="1:10" ht="13.05" customHeight="1">
      <c r="A64" s="18" t="s">
        <v>765</v>
      </c>
      <c r="B64" s="19" t="s">
        <v>766</v>
      </c>
      <c r="C64" s="15" t="s">
        <v>767</v>
      </c>
      <c r="D64" s="15" t="s">
        <v>325</v>
      </c>
      <c r="E64" s="20">
        <v>43835</v>
      </c>
      <c r="F64" s="21">
        <v>849.25930000000005</v>
      </c>
      <c r="G64" s="22">
        <v>5.0000000000000001E-3</v>
      </c>
      <c r="H64" s="23"/>
      <c r="I64" s="24"/>
      <c r="J64" s="5"/>
    </row>
    <row r="65" spans="1:10" ht="13.05" customHeight="1">
      <c r="A65" s="18" t="s">
        <v>862</v>
      </c>
      <c r="B65" s="19" t="s">
        <v>863</v>
      </c>
      <c r="C65" s="15" t="s">
        <v>864</v>
      </c>
      <c r="D65" s="15" t="s">
        <v>581</v>
      </c>
      <c r="E65" s="20">
        <v>14781</v>
      </c>
      <c r="F65" s="21">
        <v>840.65459999999996</v>
      </c>
      <c r="G65" s="22">
        <v>4.8999999999999998E-3</v>
      </c>
      <c r="H65" s="23"/>
      <c r="I65" s="24"/>
      <c r="J65" s="5"/>
    </row>
    <row r="66" spans="1:10" ht="13.05" customHeight="1">
      <c r="A66" s="18" t="s">
        <v>301</v>
      </c>
      <c r="B66" s="19" t="s">
        <v>302</v>
      </c>
      <c r="C66" s="15" t="s">
        <v>303</v>
      </c>
      <c r="D66" s="15" t="s">
        <v>304</v>
      </c>
      <c r="E66" s="20">
        <v>252252</v>
      </c>
      <c r="F66" s="21">
        <v>801.53070000000002</v>
      </c>
      <c r="G66" s="22">
        <v>4.7000000000000002E-3</v>
      </c>
      <c r="H66" s="23"/>
      <c r="I66" s="24"/>
      <c r="J66" s="5"/>
    </row>
    <row r="67" spans="1:10" ht="13.05" customHeight="1">
      <c r="A67" s="18" t="s">
        <v>1326</v>
      </c>
      <c r="B67" s="19" t="s">
        <v>1327</v>
      </c>
      <c r="C67" s="15" t="s">
        <v>1328</v>
      </c>
      <c r="D67" s="15" t="s">
        <v>1068</v>
      </c>
      <c r="E67" s="20">
        <v>1492017</v>
      </c>
      <c r="F67" s="21">
        <v>783.90570000000002</v>
      </c>
      <c r="G67" s="22">
        <v>4.5999999999999999E-3</v>
      </c>
      <c r="H67" s="23"/>
      <c r="I67" s="24"/>
      <c r="J67" s="5"/>
    </row>
    <row r="68" spans="1:10" ht="13.05" customHeight="1">
      <c r="A68" s="18" t="s">
        <v>4700</v>
      </c>
      <c r="B68" s="19" t="s">
        <v>4701</v>
      </c>
      <c r="C68" s="15" t="s">
        <v>4702</v>
      </c>
      <c r="D68" s="15" t="s">
        <v>581</v>
      </c>
      <c r="E68" s="20">
        <v>167977</v>
      </c>
      <c r="F68" s="21">
        <v>777.73350000000005</v>
      </c>
      <c r="G68" s="22">
        <v>4.5999999999999999E-3</v>
      </c>
      <c r="H68" s="23"/>
      <c r="I68" s="24"/>
      <c r="J68" s="5"/>
    </row>
    <row r="69" spans="1:10" ht="13.05" customHeight="1">
      <c r="A69" s="18" t="s">
        <v>429</v>
      </c>
      <c r="B69" s="19" t="s">
        <v>430</v>
      </c>
      <c r="C69" s="15" t="s">
        <v>431</v>
      </c>
      <c r="D69" s="15" t="s">
        <v>415</v>
      </c>
      <c r="E69" s="20">
        <v>10095</v>
      </c>
      <c r="F69" s="21">
        <v>775.39700000000005</v>
      </c>
      <c r="G69" s="22">
        <v>4.4999999999999997E-3</v>
      </c>
      <c r="H69" s="23"/>
      <c r="I69" s="24"/>
      <c r="J69" s="5"/>
    </row>
    <row r="70" spans="1:10" ht="13.05" customHeight="1">
      <c r="A70" s="18" t="s">
        <v>1453</v>
      </c>
      <c r="B70" s="19" t="s">
        <v>1454</v>
      </c>
      <c r="C70" s="15" t="s">
        <v>1455</v>
      </c>
      <c r="D70" s="15" t="s">
        <v>846</v>
      </c>
      <c r="E70" s="20">
        <v>94058</v>
      </c>
      <c r="F70" s="21">
        <v>765.44399999999996</v>
      </c>
      <c r="G70" s="22">
        <v>4.4999999999999997E-3</v>
      </c>
      <c r="H70" s="23"/>
      <c r="I70" s="24"/>
      <c r="J70" s="5"/>
    </row>
    <row r="71" spans="1:10" ht="13.05" customHeight="1">
      <c r="A71" s="18" t="s">
        <v>1791</v>
      </c>
      <c r="B71" s="19" t="s">
        <v>1792</v>
      </c>
      <c r="C71" s="15" t="s">
        <v>1793</v>
      </c>
      <c r="D71" s="15" t="s">
        <v>581</v>
      </c>
      <c r="E71" s="20">
        <v>74506</v>
      </c>
      <c r="F71" s="21">
        <v>751.61649999999997</v>
      </c>
      <c r="G71" s="22">
        <v>4.4000000000000003E-3</v>
      </c>
      <c r="H71" s="23"/>
      <c r="I71" s="24"/>
      <c r="J71" s="5"/>
    </row>
    <row r="72" spans="1:10" ht="13.05" customHeight="1">
      <c r="A72" s="18" t="s">
        <v>382</v>
      </c>
      <c r="B72" s="19" t="s">
        <v>383</v>
      </c>
      <c r="C72" s="15" t="s">
        <v>384</v>
      </c>
      <c r="D72" s="15" t="s">
        <v>296</v>
      </c>
      <c r="E72" s="20">
        <v>8408</v>
      </c>
      <c r="F72" s="21">
        <v>747.68140000000005</v>
      </c>
      <c r="G72" s="22">
        <v>4.4000000000000003E-3</v>
      </c>
      <c r="H72" s="23"/>
      <c r="I72" s="24"/>
      <c r="J72" s="5"/>
    </row>
    <row r="73" spans="1:10" ht="13.05" customHeight="1">
      <c r="A73" s="18" t="s">
        <v>297</v>
      </c>
      <c r="B73" s="19" t="s">
        <v>298</v>
      </c>
      <c r="C73" s="15" t="s">
        <v>299</v>
      </c>
      <c r="D73" s="15" t="s">
        <v>300</v>
      </c>
      <c r="E73" s="20">
        <v>70854</v>
      </c>
      <c r="F73" s="21">
        <v>738.8655</v>
      </c>
      <c r="G73" s="22">
        <v>4.3E-3</v>
      </c>
      <c r="H73" s="23"/>
      <c r="I73" s="24"/>
      <c r="J73" s="5"/>
    </row>
    <row r="74" spans="1:10" ht="13.05" customHeight="1">
      <c r="A74" s="18" t="s">
        <v>432</v>
      </c>
      <c r="B74" s="19" t="s">
        <v>433</v>
      </c>
      <c r="C74" s="15" t="s">
        <v>434</v>
      </c>
      <c r="D74" s="15" t="s">
        <v>435</v>
      </c>
      <c r="E74" s="20">
        <v>63344</v>
      </c>
      <c r="F74" s="21">
        <v>737.95759999999996</v>
      </c>
      <c r="G74" s="22">
        <v>4.3E-3</v>
      </c>
      <c r="H74" s="23"/>
      <c r="I74" s="24"/>
      <c r="J74" s="5"/>
    </row>
    <row r="75" spans="1:10" ht="13.05" customHeight="1">
      <c r="A75" s="18" t="s">
        <v>564</v>
      </c>
      <c r="B75" s="19" t="s">
        <v>565</v>
      </c>
      <c r="C75" s="15" t="s">
        <v>566</v>
      </c>
      <c r="D75" s="15" t="s">
        <v>567</v>
      </c>
      <c r="E75" s="20">
        <v>697813</v>
      </c>
      <c r="F75" s="21">
        <v>735.42510000000004</v>
      </c>
      <c r="G75" s="22">
        <v>4.3E-3</v>
      </c>
      <c r="H75" s="23"/>
      <c r="I75" s="24"/>
      <c r="J75" s="5"/>
    </row>
    <row r="76" spans="1:10" ht="13.05" customHeight="1">
      <c r="A76" s="18" t="s">
        <v>1839</v>
      </c>
      <c r="B76" s="19" t="s">
        <v>1840</v>
      </c>
      <c r="C76" s="15" t="s">
        <v>1841</v>
      </c>
      <c r="D76" s="15" t="s">
        <v>581</v>
      </c>
      <c r="E76" s="20">
        <v>89374</v>
      </c>
      <c r="F76" s="21">
        <v>673.61180000000002</v>
      </c>
      <c r="G76" s="22">
        <v>4.0000000000000001E-3</v>
      </c>
      <c r="H76" s="23"/>
      <c r="I76" s="24"/>
      <c r="J76" s="5"/>
    </row>
    <row r="77" spans="1:10" ht="13.05" customHeight="1">
      <c r="A77" s="18" t="s">
        <v>472</v>
      </c>
      <c r="B77" s="19" t="s">
        <v>473</v>
      </c>
      <c r="C77" s="15" t="s">
        <v>474</v>
      </c>
      <c r="D77" s="15" t="s">
        <v>475</v>
      </c>
      <c r="E77" s="20">
        <v>141488</v>
      </c>
      <c r="F77" s="21">
        <v>664.49839999999995</v>
      </c>
      <c r="G77" s="22">
        <v>3.8999999999999998E-3</v>
      </c>
      <c r="H77" s="23"/>
      <c r="I77" s="24"/>
      <c r="J77" s="5"/>
    </row>
    <row r="78" spans="1:10" ht="13.05" customHeight="1">
      <c r="A78" s="18" t="s">
        <v>1424</v>
      </c>
      <c r="B78" s="19" t="s">
        <v>1425</v>
      </c>
      <c r="C78" s="15" t="s">
        <v>1426</v>
      </c>
      <c r="D78" s="15" t="s">
        <v>300</v>
      </c>
      <c r="E78" s="20">
        <v>73647</v>
      </c>
      <c r="F78" s="21">
        <v>639.18230000000005</v>
      </c>
      <c r="G78" s="22">
        <v>3.7000000000000002E-3</v>
      </c>
      <c r="H78" s="23"/>
      <c r="I78" s="24"/>
      <c r="J78" s="5"/>
    </row>
    <row r="79" spans="1:10" ht="13.05" customHeight="1">
      <c r="A79" s="18" t="s">
        <v>3526</v>
      </c>
      <c r="B79" s="19" t="s">
        <v>3527</v>
      </c>
      <c r="C79" s="15" t="s">
        <v>3528</v>
      </c>
      <c r="D79" s="15" t="s">
        <v>541</v>
      </c>
      <c r="E79" s="20">
        <v>144500</v>
      </c>
      <c r="F79" s="21">
        <v>619.83280000000002</v>
      </c>
      <c r="G79" s="22">
        <v>3.5999999999999999E-3</v>
      </c>
      <c r="H79" s="23"/>
      <c r="I79" s="24"/>
      <c r="J79" s="5"/>
    </row>
    <row r="80" spans="1:10" ht="13.05" customHeight="1">
      <c r="A80" s="18" t="s">
        <v>287</v>
      </c>
      <c r="B80" s="19" t="s">
        <v>288</v>
      </c>
      <c r="C80" s="15" t="s">
        <v>289</v>
      </c>
      <c r="D80" s="15" t="s">
        <v>272</v>
      </c>
      <c r="E80" s="20">
        <v>20014</v>
      </c>
      <c r="F80" s="21">
        <v>612.02809999999999</v>
      </c>
      <c r="G80" s="22">
        <v>3.5999999999999999E-3</v>
      </c>
      <c r="H80" s="23"/>
      <c r="I80" s="24"/>
      <c r="J80" s="5"/>
    </row>
    <row r="81" spans="1:10" ht="13.05" customHeight="1">
      <c r="A81" s="18" t="s">
        <v>1370</v>
      </c>
      <c r="B81" s="19" t="s">
        <v>1371</v>
      </c>
      <c r="C81" s="15" t="s">
        <v>1372</v>
      </c>
      <c r="D81" s="15" t="s">
        <v>846</v>
      </c>
      <c r="E81" s="20">
        <v>68537</v>
      </c>
      <c r="F81" s="21">
        <v>592.15970000000004</v>
      </c>
      <c r="G81" s="22">
        <v>3.5000000000000001E-3</v>
      </c>
      <c r="H81" s="23"/>
      <c r="I81" s="24"/>
      <c r="J81" s="5"/>
    </row>
    <row r="82" spans="1:10" ht="13.05" customHeight="1">
      <c r="A82" s="18" t="s">
        <v>646</v>
      </c>
      <c r="B82" s="19" t="s">
        <v>647</v>
      </c>
      <c r="C82" s="15" t="s">
        <v>648</v>
      </c>
      <c r="D82" s="15" t="s">
        <v>445</v>
      </c>
      <c r="E82" s="20">
        <v>209067</v>
      </c>
      <c r="F82" s="21">
        <v>555.05200000000002</v>
      </c>
      <c r="G82" s="22">
        <v>3.3E-3</v>
      </c>
      <c r="H82" s="23"/>
      <c r="I82" s="24"/>
      <c r="J82" s="5"/>
    </row>
    <row r="83" spans="1:10" ht="13.05" customHeight="1">
      <c r="A83" s="18" t="s">
        <v>1662</v>
      </c>
      <c r="B83" s="19" t="s">
        <v>1663</v>
      </c>
      <c r="C83" s="15" t="s">
        <v>1664</v>
      </c>
      <c r="D83" s="15" t="s">
        <v>1616</v>
      </c>
      <c r="E83" s="20">
        <v>175000</v>
      </c>
      <c r="F83" s="21">
        <v>550.375</v>
      </c>
      <c r="G83" s="22">
        <v>3.2000000000000002E-3</v>
      </c>
      <c r="H83" s="23"/>
      <c r="I83" s="24"/>
      <c r="J83" s="5"/>
    </row>
    <row r="84" spans="1:10" ht="13.05" customHeight="1">
      <c r="A84" s="18" t="s">
        <v>1860</v>
      </c>
      <c r="B84" s="19" t="s">
        <v>1861</v>
      </c>
      <c r="C84" s="15" t="s">
        <v>1862</v>
      </c>
      <c r="D84" s="15" t="s">
        <v>325</v>
      </c>
      <c r="E84" s="20">
        <v>80039</v>
      </c>
      <c r="F84" s="21">
        <v>518.4126</v>
      </c>
      <c r="G84" s="22">
        <v>3.0000000000000001E-3</v>
      </c>
      <c r="H84" s="23"/>
      <c r="I84" s="24"/>
      <c r="J84" s="5"/>
    </row>
    <row r="85" spans="1:10" ht="13.05" customHeight="1">
      <c r="A85" s="18" t="s">
        <v>2789</v>
      </c>
      <c r="B85" s="19" t="s">
        <v>2790</v>
      </c>
      <c r="C85" s="15" t="s">
        <v>2791</v>
      </c>
      <c r="D85" s="15" t="s">
        <v>304</v>
      </c>
      <c r="E85" s="20">
        <v>123247</v>
      </c>
      <c r="F85" s="21">
        <v>495.4529</v>
      </c>
      <c r="G85" s="22">
        <v>2.8999999999999998E-3</v>
      </c>
      <c r="H85" s="23"/>
      <c r="I85" s="24"/>
      <c r="J85" s="5"/>
    </row>
    <row r="86" spans="1:10" ht="13.05" customHeight="1">
      <c r="A86" s="18" t="s">
        <v>898</v>
      </c>
      <c r="B86" s="19" t="s">
        <v>899</v>
      </c>
      <c r="C86" s="15" t="s">
        <v>900</v>
      </c>
      <c r="D86" s="15" t="s">
        <v>325</v>
      </c>
      <c r="E86" s="20">
        <v>165968</v>
      </c>
      <c r="F86" s="21">
        <v>469.19150000000002</v>
      </c>
      <c r="G86" s="22">
        <v>2.8E-3</v>
      </c>
      <c r="H86" s="23"/>
      <c r="I86" s="24"/>
      <c r="J86" s="5"/>
    </row>
    <row r="87" spans="1:10" ht="13.05" customHeight="1">
      <c r="A87" s="18" t="s">
        <v>1421</v>
      </c>
      <c r="B87" s="19" t="s">
        <v>1422</v>
      </c>
      <c r="C87" s="15" t="s">
        <v>1423</v>
      </c>
      <c r="D87" s="15" t="s">
        <v>276</v>
      </c>
      <c r="E87" s="20">
        <v>30281</v>
      </c>
      <c r="F87" s="21">
        <v>399.43669999999997</v>
      </c>
      <c r="G87" s="22">
        <v>2.3E-3</v>
      </c>
      <c r="H87" s="23"/>
      <c r="I87" s="24"/>
      <c r="J87" s="5"/>
    </row>
    <row r="88" spans="1:10" ht="13.05" customHeight="1">
      <c r="A88" s="18" t="s">
        <v>2783</v>
      </c>
      <c r="B88" s="19" t="s">
        <v>2784</v>
      </c>
      <c r="C88" s="15" t="s">
        <v>2785</v>
      </c>
      <c r="D88" s="15" t="s">
        <v>304</v>
      </c>
      <c r="E88" s="20">
        <v>40000</v>
      </c>
      <c r="F88" s="21">
        <v>331.78</v>
      </c>
      <c r="G88" s="22">
        <v>1.9E-3</v>
      </c>
      <c r="H88" s="23"/>
      <c r="I88" s="24"/>
      <c r="J88" s="5"/>
    </row>
    <row r="89" spans="1:10" ht="13.05" customHeight="1">
      <c r="A89" s="18" t="s">
        <v>1177</v>
      </c>
      <c r="B89" s="19" t="s">
        <v>1178</v>
      </c>
      <c r="C89" s="15" t="s">
        <v>1179</v>
      </c>
      <c r="D89" s="15" t="s">
        <v>314</v>
      </c>
      <c r="E89" s="20">
        <v>13096</v>
      </c>
      <c r="F89" s="21">
        <v>322.85570000000001</v>
      </c>
      <c r="G89" s="22">
        <v>1.9E-3</v>
      </c>
      <c r="H89" s="23"/>
      <c r="I89" s="24"/>
      <c r="J89" s="5"/>
    </row>
    <row r="90" spans="1:10" ht="13.05" customHeight="1">
      <c r="A90" s="18" t="s">
        <v>449</v>
      </c>
      <c r="B90" s="19" t="s">
        <v>450</v>
      </c>
      <c r="C90" s="15" t="s">
        <v>451</v>
      </c>
      <c r="D90" s="15" t="s">
        <v>261</v>
      </c>
      <c r="E90" s="20">
        <v>77313</v>
      </c>
      <c r="F90" s="21">
        <v>275.8528</v>
      </c>
      <c r="G90" s="22">
        <v>1.6000000000000001E-3</v>
      </c>
      <c r="H90" s="23"/>
      <c r="I90" s="24"/>
      <c r="J90" s="5"/>
    </row>
    <row r="91" spans="1:10" ht="13.05" customHeight="1">
      <c r="A91" s="18" t="s">
        <v>2429</v>
      </c>
      <c r="B91" s="19" t="s">
        <v>2430</v>
      </c>
      <c r="C91" s="15" t="s">
        <v>2431</v>
      </c>
      <c r="D91" s="15" t="s">
        <v>364</v>
      </c>
      <c r="E91" s="20">
        <v>204882</v>
      </c>
      <c r="F91" s="21">
        <v>245.1618</v>
      </c>
      <c r="G91" s="22">
        <v>1.4E-3</v>
      </c>
      <c r="H91" s="23"/>
      <c r="I91" s="24"/>
      <c r="J91" s="5"/>
    </row>
    <row r="92" spans="1:10" ht="13.05" customHeight="1">
      <c r="A92" s="18" t="s">
        <v>416</v>
      </c>
      <c r="B92" s="19" t="s">
        <v>417</v>
      </c>
      <c r="C92" s="15" t="s">
        <v>418</v>
      </c>
      <c r="D92" s="15" t="s">
        <v>314</v>
      </c>
      <c r="E92" s="20">
        <v>6573</v>
      </c>
      <c r="F92" s="21">
        <v>98.680400000000006</v>
      </c>
      <c r="G92" s="22">
        <v>5.9999999999999995E-4</v>
      </c>
      <c r="H92" s="23"/>
      <c r="I92" s="24"/>
      <c r="J92" s="5"/>
    </row>
    <row r="93" spans="1:10" ht="13.05" customHeight="1">
      <c r="A93" s="18" t="s">
        <v>679</v>
      </c>
      <c r="B93" s="19" t="s">
        <v>680</v>
      </c>
      <c r="C93" s="15" t="s">
        <v>681</v>
      </c>
      <c r="D93" s="15" t="s">
        <v>567</v>
      </c>
      <c r="E93" s="20">
        <v>3183</v>
      </c>
      <c r="F93" s="21">
        <v>96.222099999999998</v>
      </c>
      <c r="G93" s="22">
        <v>5.9999999999999995E-4</v>
      </c>
      <c r="H93" s="23"/>
      <c r="I93" s="24"/>
      <c r="J93" s="5"/>
    </row>
    <row r="94" spans="1:10" ht="13.05" customHeight="1">
      <c r="A94" s="18" t="s">
        <v>4736</v>
      </c>
      <c r="B94" s="19" t="s">
        <v>4737</v>
      </c>
      <c r="C94" s="15" t="s">
        <v>4738</v>
      </c>
      <c r="D94" s="15" t="s">
        <v>325</v>
      </c>
      <c r="E94" s="20">
        <v>7458</v>
      </c>
      <c r="F94" s="21">
        <v>85.856499999999997</v>
      </c>
      <c r="G94" s="22">
        <v>5.0000000000000001E-4</v>
      </c>
      <c r="H94" s="23"/>
      <c r="I94" s="24"/>
      <c r="J94" s="5"/>
    </row>
    <row r="95" spans="1:10" ht="13.05" customHeight="1">
      <c r="A95" s="5"/>
      <c r="B95" s="14" t="s">
        <v>192</v>
      </c>
      <c r="C95" s="15"/>
      <c r="D95" s="15"/>
      <c r="E95" s="15"/>
      <c r="F95" s="25">
        <v>123880.67479999999</v>
      </c>
      <c r="G95" s="26">
        <v>0.72660000000000002</v>
      </c>
      <c r="H95" s="27"/>
      <c r="I95" s="28"/>
      <c r="J95" s="5"/>
    </row>
    <row r="96" spans="1:10" ht="13.05" customHeight="1">
      <c r="A96" s="5"/>
      <c r="B96" s="29" t="s">
        <v>1812</v>
      </c>
      <c r="C96" s="2"/>
      <c r="D96" s="2"/>
      <c r="E96" s="2"/>
      <c r="F96" s="27" t="s">
        <v>194</v>
      </c>
      <c r="G96" s="27" t="s">
        <v>194</v>
      </c>
      <c r="H96" s="27"/>
      <c r="I96" s="28"/>
      <c r="J96" s="5"/>
    </row>
    <row r="97" spans="1:10" ht="13.05" customHeight="1">
      <c r="A97" s="5"/>
      <c r="B97" s="29" t="s">
        <v>192</v>
      </c>
      <c r="C97" s="2"/>
      <c r="D97" s="2"/>
      <c r="E97" s="2"/>
      <c r="F97" s="27" t="s">
        <v>194</v>
      </c>
      <c r="G97" s="27" t="s">
        <v>194</v>
      </c>
      <c r="H97" s="27"/>
      <c r="I97" s="28"/>
      <c r="J97" s="5"/>
    </row>
    <row r="98" spans="1:10" ht="13.05" customHeight="1">
      <c r="A98" s="5"/>
      <c r="B98" s="14" t="s">
        <v>1813</v>
      </c>
      <c r="C98" s="15"/>
      <c r="D98" s="15"/>
      <c r="E98" s="15"/>
      <c r="F98" s="5"/>
      <c r="G98" s="16"/>
      <c r="H98" s="16"/>
      <c r="I98" s="17"/>
      <c r="J98" s="5"/>
    </row>
    <row r="99" spans="1:10" ht="13.05" customHeight="1">
      <c r="A99" s="18" t="s">
        <v>1814</v>
      </c>
      <c r="B99" s="19" t="s">
        <v>5526</v>
      </c>
      <c r="C99" s="15" t="s">
        <v>1815</v>
      </c>
      <c r="D99" s="15" t="s">
        <v>296</v>
      </c>
      <c r="E99" s="20">
        <v>135012</v>
      </c>
      <c r="F99" s="21">
        <v>13.624700000000001</v>
      </c>
      <c r="G99" s="22">
        <v>1E-4</v>
      </c>
      <c r="H99" s="23"/>
      <c r="I99" s="24"/>
      <c r="J99" s="5"/>
    </row>
    <row r="100" spans="1:10" ht="13.05" customHeight="1">
      <c r="A100" s="5"/>
      <c r="B100" s="14" t="s">
        <v>192</v>
      </c>
      <c r="C100" s="15"/>
      <c r="D100" s="15"/>
      <c r="E100" s="15"/>
      <c r="F100" s="25">
        <v>13.624700000000001</v>
      </c>
      <c r="G100" s="26">
        <v>1E-4</v>
      </c>
      <c r="H100" s="27"/>
      <c r="I100" s="28"/>
      <c r="J100" s="5"/>
    </row>
    <row r="101" spans="1:10" ht="13.05" customHeight="1">
      <c r="A101" s="5"/>
      <c r="B101" s="29" t="s">
        <v>195</v>
      </c>
      <c r="C101" s="30"/>
      <c r="D101" s="2"/>
      <c r="E101" s="30"/>
      <c r="F101" s="25">
        <v>123894.29949999999</v>
      </c>
      <c r="G101" s="26">
        <v>0.72670000000000001</v>
      </c>
      <c r="H101" s="27"/>
      <c r="I101" s="28"/>
      <c r="J101" s="5"/>
    </row>
    <row r="102" spans="1:10" ht="13.05" customHeight="1">
      <c r="A102" s="5"/>
      <c r="B102" s="14" t="s">
        <v>1871</v>
      </c>
      <c r="C102" s="15"/>
      <c r="D102" s="15"/>
      <c r="E102" s="15"/>
      <c r="F102" s="15"/>
      <c r="G102" s="15"/>
      <c r="H102" s="16"/>
      <c r="I102" s="17"/>
      <c r="J102" s="5"/>
    </row>
    <row r="103" spans="1:10" ht="13.05" customHeight="1">
      <c r="A103" s="5"/>
      <c r="B103" s="14" t="s">
        <v>5580</v>
      </c>
      <c r="C103" s="15"/>
      <c r="D103" s="15"/>
      <c r="E103" s="15"/>
      <c r="F103" s="5"/>
      <c r="G103" s="16"/>
      <c r="H103" s="16"/>
      <c r="I103" s="17"/>
      <c r="J103" s="5"/>
    </row>
    <row r="104" spans="1:10" ht="13.05" customHeight="1">
      <c r="A104" s="18" t="s">
        <v>3106</v>
      </c>
      <c r="B104" s="19" t="s">
        <v>3107</v>
      </c>
      <c r="C104" s="15"/>
      <c r="D104" s="15"/>
      <c r="E104" s="20">
        <v>-19950</v>
      </c>
      <c r="F104" s="21">
        <v>-613.58219999999994</v>
      </c>
      <c r="G104" s="22">
        <v>-3.5999999999999999E-3</v>
      </c>
      <c r="H104" s="23" t="s">
        <v>5579</v>
      </c>
      <c r="I104" s="24"/>
      <c r="J104" s="5"/>
    </row>
    <row r="105" spans="1:10" ht="13.05" customHeight="1">
      <c r="A105" s="18" t="s">
        <v>3084</v>
      </c>
      <c r="B105" s="19" t="s">
        <v>3085</v>
      </c>
      <c r="C105" s="15"/>
      <c r="D105" s="15"/>
      <c r="E105" s="20">
        <v>-402600</v>
      </c>
      <c r="F105" s="90">
        <v>-4001.2401</v>
      </c>
      <c r="G105" s="91">
        <v>-2.35E-2</v>
      </c>
      <c r="H105" s="23"/>
      <c r="I105" s="24"/>
      <c r="J105" s="5"/>
    </row>
    <row r="106" spans="1:10" ht="13.05" customHeight="1">
      <c r="A106" s="89"/>
      <c r="B106" s="14" t="s">
        <v>192</v>
      </c>
      <c r="C106" s="15"/>
      <c r="D106" s="15"/>
      <c r="E106" s="20"/>
      <c r="F106" s="25">
        <v>-4614.8222999999998</v>
      </c>
      <c r="G106" s="26">
        <v>-2.7099999999999999E-2</v>
      </c>
      <c r="H106" s="23"/>
      <c r="I106" s="24"/>
      <c r="J106" s="44"/>
    </row>
    <row r="107" spans="1:10" ht="13.05" customHeight="1">
      <c r="A107" s="89"/>
      <c r="B107" s="14" t="s">
        <v>5587</v>
      </c>
      <c r="C107" s="15"/>
      <c r="D107" s="15"/>
      <c r="E107" s="20"/>
      <c r="F107" s="94"/>
      <c r="G107" s="22"/>
      <c r="H107" s="23"/>
      <c r="I107" s="24"/>
      <c r="J107" s="44"/>
    </row>
    <row r="108" spans="1:10" ht="13.05" customHeight="1">
      <c r="A108" s="89"/>
      <c r="B108" s="19" t="s">
        <v>5581</v>
      </c>
      <c r="C108" s="15"/>
      <c r="D108" s="15"/>
      <c r="E108" s="20">
        <v>1050</v>
      </c>
      <c r="F108" s="95">
        <v>1557.0135</v>
      </c>
      <c r="G108" s="22">
        <v>9.1325715884466065E-3</v>
      </c>
      <c r="H108" s="23"/>
      <c r="I108" s="24"/>
      <c r="J108" s="44"/>
    </row>
    <row r="109" spans="1:10" ht="13.05" customHeight="1">
      <c r="A109" s="89"/>
      <c r="B109" s="19" t="s">
        <v>5582</v>
      </c>
      <c r="C109" s="15"/>
      <c r="D109" s="15"/>
      <c r="E109" s="20">
        <v>2370</v>
      </c>
      <c r="F109" s="95">
        <v>3558.5075999999999</v>
      </c>
      <c r="G109" s="22">
        <v>2.0872218131076779E-2</v>
      </c>
      <c r="H109" s="23"/>
      <c r="I109" s="24"/>
      <c r="J109" s="44"/>
    </row>
    <row r="110" spans="1:10" ht="13.05" customHeight="1">
      <c r="A110" s="5"/>
      <c r="B110" s="14" t="s">
        <v>192</v>
      </c>
      <c r="C110" s="15"/>
      <c r="D110" s="15"/>
      <c r="E110" s="15"/>
      <c r="F110" s="96">
        <v>5115.5210999999999</v>
      </c>
      <c r="G110" s="92">
        <v>3.0004789719523386E-2</v>
      </c>
      <c r="H110" s="27"/>
      <c r="I110" s="28"/>
      <c r="J110" s="5"/>
    </row>
    <row r="111" spans="1:10" ht="13.05" customHeight="1">
      <c r="A111" s="5"/>
      <c r="B111" s="29" t="s">
        <v>195</v>
      </c>
      <c r="C111" s="30"/>
      <c r="D111" s="2"/>
      <c r="E111" s="30"/>
      <c r="F111" s="96">
        <v>500.69880000000012</v>
      </c>
      <c r="G111" s="92">
        <v>2.9047897195233867E-3</v>
      </c>
      <c r="H111" s="27"/>
      <c r="I111" s="28"/>
      <c r="J111" s="5"/>
    </row>
    <row r="112" spans="1:10" ht="13.05" customHeight="1">
      <c r="A112" s="5"/>
      <c r="B112" s="14" t="s">
        <v>183</v>
      </c>
      <c r="C112" s="15"/>
      <c r="D112" s="15"/>
      <c r="E112" s="15"/>
      <c r="F112" s="15"/>
      <c r="G112" s="15"/>
      <c r="H112" s="16"/>
      <c r="I112" s="17"/>
      <c r="J112" s="5"/>
    </row>
    <row r="113" spans="1:10" ht="13.05" customHeight="1">
      <c r="A113" s="5"/>
      <c r="B113" s="14" t="s">
        <v>184</v>
      </c>
      <c r="C113" s="15"/>
      <c r="D113" s="15"/>
      <c r="E113" s="15"/>
      <c r="F113" s="5"/>
      <c r="G113" s="16"/>
      <c r="H113" s="16"/>
      <c r="I113" s="17"/>
      <c r="J113" s="5"/>
    </row>
    <row r="114" spans="1:10" ht="13.05" customHeight="1">
      <c r="A114" s="18" t="s">
        <v>1890</v>
      </c>
      <c r="B114" s="19" t="s">
        <v>1891</v>
      </c>
      <c r="C114" s="15" t="s">
        <v>1892</v>
      </c>
      <c r="D114" s="15" t="s">
        <v>188</v>
      </c>
      <c r="E114" s="20">
        <v>2000000</v>
      </c>
      <c r="F114" s="21">
        <v>2073.7359999999999</v>
      </c>
      <c r="G114" s="22">
        <v>1.2200000000000001E-2</v>
      </c>
      <c r="H114" s="23">
        <v>6.6730999999999999E-2</v>
      </c>
      <c r="I114" s="24"/>
      <c r="J114" s="5"/>
    </row>
    <row r="115" spans="1:10" ht="13.05" customHeight="1">
      <c r="A115" s="18" t="s">
        <v>2441</v>
      </c>
      <c r="B115" s="19" t="s">
        <v>2442</v>
      </c>
      <c r="C115" s="15" t="s">
        <v>2443</v>
      </c>
      <c r="D115" s="15" t="s">
        <v>188</v>
      </c>
      <c r="E115" s="20">
        <v>2000000</v>
      </c>
      <c r="F115" s="21">
        <v>2064.4140000000002</v>
      </c>
      <c r="G115" s="22">
        <v>1.21E-2</v>
      </c>
      <c r="H115" s="23">
        <v>6.7038E-2</v>
      </c>
      <c r="I115" s="24"/>
      <c r="J115" s="5"/>
    </row>
    <row r="116" spans="1:10" ht="13.05" customHeight="1">
      <c r="A116" s="18" t="s">
        <v>2126</v>
      </c>
      <c r="B116" s="19" t="s">
        <v>2127</v>
      </c>
      <c r="C116" s="15" t="s">
        <v>2128</v>
      </c>
      <c r="D116" s="15" t="s">
        <v>213</v>
      </c>
      <c r="E116" s="20">
        <v>1000</v>
      </c>
      <c r="F116" s="21">
        <v>1033.058</v>
      </c>
      <c r="G116" s="22">
        <v>6.1000000000000004E-3</v>
      </c>
      <c r="H116" s="23">
        <v>7.0899000000000004E-2</v>
      </c>
      <c r="I116" s="24"/>
      <c r="J116" s="5"/>
    </row>
    <row r="117" spans="1:10" ht="13.05" customHeight="1">
      <c r="A117" s="18" t="s">
        <v>2464</v>
      </c>
      <c r="B117" s="19" t="s">
        <v>2465</v>
      </c>
      <c r="C117" s="15" t="s">
        <v>2466</v>
      </c>
      <c r="D117" s="15" t="s">
        <v>213</v>
      </c>
      <c r="E117" s="20">
        <v>1000</v>
      </c>
      <c r="F117" s="21">
        <v>1023.4059999999999</v>
      </c>
      <c r="G117" s="22">
        <v>6.0000000000000001E-3</v>
      </c>
      <c r="H117" s="23">
        <v>6.7724999999999994E-2</v>
      </c>
      <c r="I117" s="24"/>
      <c r="J117" s="5"/>
    </row>
    <row r="118" spans="1:10" ht="13.05" customHeight="1">
      <c r="A118" s="18" t="s">
        <v>2448</v>
      </c>
      <c r="B118" s="19" t="s">
        <v>2449</v>
      </c>
      <c r="C118" s="15" t="s">
        <v>2450</v>
      </c>
      <c r="D118" s="15" t="s">
        <v>2451</v>
      </c>
      <c r="E118" s="20">
        <v>1000</v>
      </c>
      <c r="F118" s="21">
        <v>1010.24</v>
      </c>
      <c r="G118" s="22">
        <v>5.8999999999999999E-3</v>
      </c>
      <c r="H118" s="23">
        <v>0.10395</v>
      </c>
      <c r="I118" s="24"/>
      <c r="J118" s="5"/>
    </row>
    <row r="119" spans="1:10" ht="13.05" customHeight="1">
      <c r="A119" s="18" t="s">
        <v>2470</v>
      </c>
      <c r="B119" s="19" t="s">
        <v>2471</v>
      </c>
      <c r="C119" s="15" t="s">
        <v>2472</v>
      </c>
      <c r="D119" s="15" t="s">
        <v>2473</v>
      </c>
      <c r="E119" s="20">
        <v>1000</v>
      </c>
      <c r="F119" s="21">
        <v>1006.145</v>
      </c>
      <c r="G119" s="22">
        <v>5.8999999999999999E-3</v>
      </c>
      <c r="H119" s="23">
        <v>8.3888000000000004E-2</v>
      </c>
      <c r="I119" s="24"/>
      <c r="J119" s="5"/>
    </row>
    <row r="120" spans="1:10" ht="13.05" customHeight="1">
      <c r="A120" s="18" t="s">
        <v>3532</v>
      </c>
      <c r="B120" s="19" t="s">
        <v>3533</v>
      </c>
      <c r="C120" s="15" t="s">
        <v>3534</v>
      </c>
      <c r="D120" s="15" t="s">
        <v>3146</v>
      </c>
      <c r="E120" s="20">
        <v>1000</v>
      </c>
      <c r="F120" s="21">
        <v>1004.811</v>
      </c>
      <c r="G120" s="22">
        <v>5.8999999999999999E-3</v>
      </c>
      <c r="H120" s="23">
        <v>8.9399000000000006E-2</v>
      </c>
      <c r="I120" s="24"/>
      <c r="J120" s="5"/>
    </row>
    <row r="121" spans="1:10" ht="13.05" customHeight="1">
      <c r="A121" s="18" t="s">
        <v>2452</v>
      </c>
      <c r="B121" s="19" t="s">
        <v>2453</v>
      </c>
      <c r="C121" s="15" t="s">
        <v>2454</v>
      </c>
      <c r="D121" s="15" t="s">
        <v>1923</v>
      </c>
      <c r="E121" s="20">
        <v>1000</v>
      </c>
      <c r="F121" s="21">
        <v>1004.603</v>
      </c>
      <c r="G121" s="22">
        <v>5.8999999999999999E-3</v>
      </c>
      <c r="H121" s="23">
        <v>6.7299999999999999E-2</v>
      </c>
      <c r="I121" s="24"/>
      <c r="J121" s="5"/>
    </row>
    <row r="122" spans="1:10" ht="13.05" customHeight="1">
      <c r="A122" s="18" t="s">
        <v>5381</v>
      </c>
      <c r="B122" s="19" t="s">
        <v>5382</v>
      </c>
      <c r="C122" s="15" t="s">
        <v>5383</v>
      </c>
      <c r="D122" s="15" t="s">
        <v>213</v>
      </c>
      <c r="E122" s="20">
        <v>500</v>
      </c>
      <c r="F122" s="21">
        <v>521.70150000000001</v>
      </c>
      <c r="G122" s="22">
        <v>3.0999999999999999E-3</v>
      </c>
      <c r="H122" s="23">
        <v>7.3688000000000003E-2</v>
      </c>
      <c r="I122" s="24"/>
      <c r="J122" s="5"/>
    </row>
    <row r="123" spans="1:10" ht="13.05" customHeight="1">
      <c r="A123" s="18" t="s">
        <v>3592</v>
      </c>
      <c r="B123" s="19" t="s">
        <v>3593</v>
      </c>
      <c r="C123" s="15" t="s">
        <v>3594</v>
      </c>
      <c r="D123" s="15" t="s">
        <v>188</v>
      </c>
      <c r="E123" s="20">
        <v>500000</v>
      </c>
      <c r="F123" s="21">
        <v>510.7355</v>
      </c>
      <c r="G123" s="22">
        <v>3.0000000000000001E-3</v>
      </c>
      <c r="H123" s="23">
        <v>7.3191999999999993E-2</v>
      </c>
      <c r="I123" s="24"/>
      <c r="J123" s="5"/>
    </row>
    <row r="124" spans="1:10" ht="13.05" customHeight="1">
      <c r="A124" s="18" t="s">
        <v>3589</v>
      </c>
      <c r="B124" s="19" t="s">
        <v>3590</v>
      </c>
      <c r="C124" s="15" t="s">
        <v>3591</v>
      </c>
      <c r="D124" s="15" t="s">
        <v>2447</v>
      </c>
      <c r="E124" s="20">
        <v>500</v>
      </c>
      <c r="F124" s="21">
        <v>509.41649999999998</v>
      </c>
      <c r="G124" s="22">
        <v>3.0000000000000001E-3</v>
      </c>
      <c r="H124" s="23">
        <v>7.8E-2</v>
      </c>
      <c r="I124" s="24"/>
      <c r="J124" s="5"/>
    </row>
    <row r="125" spans="1:10" ht="13.05" customHeight="1">
      <c r="A125" s="18" t="s">
        <v>3535</v>
      </c>
      <c r="B125" s="19" t="s">
        <v>3536</v>
      </c>
      <c r="C125" s="15" t="s">
        <v>3537</v>
      </c>
      <c r="D125" s="15" t="s">
        <v>3538</v>
      </c>
      <c r="E125" s="20">
        <v>500</v>
      </c>
      <c r="F125" s="21">
        <v>508.00299999999999</v>
      </c>
      <c r="G125" s="22">
        <v>3.0000000000000001E-3</v>
      </c>
      <c r="H125" s="23">
        <v>9.7694000000000003E-2</v>
      </c>
      <c r="I125" s="24"/>
      <c r="J125" s="5"/>
    </row>
    <row r="126" spans="1:10" ht="13.05" customHeight="1">
      <c r="A126" s="18" t="s">
        <v>2444</v>
      </c>
      <c r="B126" s="19" t="s">
        <v>2445</v>
      </c>
      <c r="C126" s="15" t="s">
        <v>2446</v>
      </c>
      <c r="D126" s="15" t="s">
        <v>2447</v>
      </c>
      <c r="E126" s="20">
        <v>500</v>
      </c>
      <c r="F126" s="21">
        <v>506.99299999999999</v>
      </c>
      <c r="G126" s="22">
        <v>3.0000000000000001E-3</v>
      </c>
      <c r="H126" s="23">
        <v>7.8100000000000003E-2</v>
      </c>
      <c r="I126" s="24"/>
      <c r="J126" s="5"/>
    </row>
    <row r="127" spans="1:10" ht="13.05" customHeight="1">
      <c r="A127" s="18" t="s">
        <v>5384</v>
      </c>
      <c r="B127" s="19" t="s">
        <v>5385</v>
      </c>
      <c r="C127" s="15" t="s">
        <v>5386</v>
      </c>
      <c r="D127" s="15" t="s">
        <v>188</v>
      </c>
      <c r="E127" s="20">
        <v>500000</v>
      </c>
      <c r="F127" s="21">
        <v>504.572</v>
      </c>
      <c r="G127" s="22">
        <v>3.0000000000000001E-3</v>
      </c>
      <c r="H127" s="23">
        <v>5.9262000000000002E-2</v>
      </c>
      <c r="I127" s="24"/>
      <c r="J127" s="5"/>
    </row>
    <row r="128" spans="1:10" ht="13.05" customHeight="1">
      <c r="A128" s="18" t="s">
        <v>2102</v>
      </c>
      <c r="B128" s="19" t="s">
        <v>2103</v>
      </c>
      <c r="C128" s="15" t="s">
        <v>2104</v>
      </c>
      <c r="D128" s="15" t="s">
        <v>213</v>
      </c>
      <c r="E128" s="20">
        <v>500</v>
      </c>
      <c r="F128" s="21">
        <v>499.32</v>
      </c>
      <c r="G128" s="22">
        <v>2.8999999999999998E-3</v>
      </c>
      <c r="H128" s="23">
        <v>7.1611999999999995E-2</v>
      </c>
      <c r="I128" s="24"/>
      <c r="J128" s="5"/>
    </row>
    <row r="129" spans="1:10" ht="13.05" customHeight="1">
      <c r="A129" s="18" t="s">
        <v>3555</v>
      </c>
      <c r="B129" s="19" t="s">
        <v>3556</v>
      </c>
      <c r="C129" s="15" t="s">
        <v>3557</v>
      </c>
      <c r="D129" s="15" t="s">
        <v>3558</v>
      </c>
      <c r="E129" s="20">
        <v>500</v>
      </c>
      <c r="F129" s="21">
        <v>497.93450000000001</v>
      </c>
      <c r="G129" s="22">
        <v>2.8999999999999998E-3</v>
      </c>
      <c r="H129" s="23">
        <v>0.10150000000000001</v>
      </c>
      <c r="I129" s="24"/>
      <c r="J129" s="5"/>
    </row>
    <row r="130" spans="1:10" ht="13.05" customHeight="1">
      <c r="A130" s="18" t="s">
        <v>2477</v>
      </c>
      <c r="B130" s="19" t="s">
        <v>2478</v>
      </c>
      <c r="C130" s="15" t="s">
        <v>2479</v>
      </c>
      <c r="D130" s="15" t="s">
        <v>188</v>
      </c>
      <c r="E130" s="20">
        <v>500000</v>
      </c>
      <c r="F130" s="21">
        <v>486.19450000000001</v>
      </c>
      <c r="G130" s="22">
        <v>2.8999999999999998E-3</v>
      </c>
      <c r="H130" s="23">
        <v>6.7138000000000003E-2</v>
      </c>
      <c r="I130" s="24"/>
      <c r="J130" s="5"/>
    </row>
    <row r="131" spans="1:10" ht="13.05" customHeight="1">
      <c r="A131" s="18" t="s">
        <v>2975</v>
      </c>
      <c r="B131" s="19" t="s">
        <v>2976</v>
      </c>
      <c r="C131" s="15" t="s">
        <v>2977</v>
      </c>
      <c r="D131" s="15" t="s">
        <v>213</v>
      </c>
      <c r="E131" s="20">
        <v>25</v>
      </c>
      <c r="F131" s="21">
        <v>290.9015</v>
      </c>
      <c r="G131" s="22">
        <v>1.6999999999999999E-3</v>
      </c>
      <c r="H131" s="23">
        <v>7.2806999999999997E-2</v>
      </c>
      <c r="I131" s="24"/>
      <c r="J131" s="5"/>
    </row>
    <row r="132" spans="1:10" ht="13.05" customHeight="1">
      <c r="A132" s="5"/>
      <c r="B132" s="14" t="s">
        <v>192</v>
      </c>
      <c r="C132" s="15"/>
      <c r="D132" s="15"/>
      <c r="E132" s="15"/>
      <c r="F132" s="25">
        <v>15056.184999999999</v>
      </c>
      <c r="G132" s="26">
        <v>8.8300000000000003E-2</v>
      </c>
      <c r="H132" s="27"/>
      <c r="I132" s="28"/>
      <c r="J132" s="5"/>
    </row>
    <row r="133" spans="1:10" ht="13.05" customHeight="1">
      <c r="A133" s="5"/>
      <c r="B133" s="29" t="s">
        <v>193</v>
      </c>
      <c r="C133" s="2"/>
      <c r="D133" s="2"/>
      <c r="E133" s="2"/>
      <c r="F133" s="27" t="s">
        <v>194</v>
      </c>
      <c r="G133" s="27" t="s">
        <v>194</v>
      </c>
      <c r="H133" s="27"/>
      <c r="I133" s="28"/>
      <c r="J133" s="5"/>
    </row>
    <row r="134" spans="1:10" ht="13.05" customHeight="1">
      <c r="A134" s="5"/>
      <c r="B134" s="29" t="s">
        <v>192</v>
      </c>
      <c r="C134" s="2"/>
      <c r="D134" s="2"/>
      <c r="E134" s="2"/>
      <c r="F134" s="27" t="s">
        <v>194</v>
      </c>
      <c r="G134" s="27" t="s">
        <v>194</v>
      </c>
      <c r="H134" s="27"/>
      <c r="I134" s="28"/>
      <c r="J134" s="5"/>
    </row>
    <row r="135" spans="1:10" ht="13.05" customHeight="1">
      <c r="A135" s="5"/>
      <c r="B135" s="29" t="s">
        <v>195</v>
      </c>
      <c r="C135" s="30"/>
      <c r="D135" s="2"/>
      <c r="E135" s="30"/>
      <c r="F135" s="25">
        <v>15056.184999999999</v>
      </c>
      <c r="G135" s="26">
        <v>8.8300000000000003E-2</v>
      </c>
      <c r="H135" s="27"/>
      <c r="I135" s="28"/>
      <c r="J135" s="5"/>
    </row>
    <row r="136" spans="1:10" ht="13.05" customHeight="1">
      <c r="A136" s="5"/>
      <c r="B136" s="14" t="s">
        <v>1866</v>
      </c>
      <c r="C136" s="15"/>
      <c r="D136" s="15"/>
      <c r="E136" s="15"/>
      <c r="F136" s="15"/>
      <c r="G136" s="15"/>
      <c r="H136" s="16"/>
      <c r="I136" s="17"/>
      <c r="J136" s="5"/>
    </row>
    <row r="137" spans="1:10" ht="13.05" customHeight="1">
      <c r="A137" s="5"/>
      <c r="B137" s="14" t="s">
        <v>1867</v>
      </c>
      <c r="C137" s="15"/>
      <c r="D137" s="15"/>
      <c r="E137" s="15"/>
      <c r="F137" s="5"/>
      <c r="G137" s="16"/>
      <c r="H137" s="16"/>
      <c r="I137" s="17"/>
      <c r="J137" s="5"/>
    </row>
    <row r="138" spans="1:10" ht="13.05" customHeight="1">
      <c r="A138" s="18" t="s">
        <v>3183</v>
      </c>
      <c r="B138" s="19" t="s">
        <v>3184</v>
      </c>
      <c r="C138" s="15" t="s">
        <v>3185</v>
      </c>
      <c r="D138" s="15" t="s">
        <v>188</v>
      </c>
      <c r="E138" s="20">
        <v>1000000</v>
      </c>
      <c r="F138" s="21">
        <v>999.24400000000003</v>
      </c>
      <c r="G138" s="22">
        <v>5.8999999999999999E-3</v>
      </c>
      <c r="H138" s="23">
        <v>5.5199999999999999E-2</v>
      </c>
      <c r="I138" s="24"/>
      <c r="J138" s="5"/>
    </row>
    <row r="139" spans="1:10" ht="13.05" customHeight="1">
      <c r="A139" s="18" t="s">
        <v>3189</v>
      </c>
      <c r="B139" s="19" t="s">
        <v>3190</v>
      </c>
      <c r="C139" s="15" t="s">
        <v>3191</v>
      </c>
      <c r="D139" s="15" t="s">
        <v>188</v>
      </c>
      <c r="E139" s="20">
        <v>1000000</v>
      </c>
      <c r="F139" s="21">
        <v>986.90899999999999</v>
      </c>
      <c r="G139" s="22">
        <v>5.7999999999999996E-3</v>
      </c>
      <c r="H139" s="23">
        <v>5.4399999999999997E-2</v>
      </c>
      <c r="I139" s="24"/>
      <c r="J139" s="5"/>
    </row>
    <row r="140" spans="1:10" ht="13.05" customHeight="1">
      <c r="A140" s="5"/>
      <c r="B140" s="14" t="s">
        <v>192</v>
      </c>
      <c r="C140" s="15"/>
      <c r="D140" s="15"/>
      <c r="E140" s="15"/>
      <c r="F140" s="25">
        <v>1986.153</v>
      </c>
      <c r="G140" s="26">
        <v>1.1599999999999999E-2</v>
      </c>
      <c r="H140" s="27"/>
      <c r="I140" s="28"/>
      <c r="J140" s="5"/>
    </row>
    <row r="141" spans="1:10" ht="13.05" customHeight="1">
      <c r="A141" s="5"/>
      <c r="B141" s="29" t="s">
        <v>195</v>
      </c>
      <c r="C141" s="30"/>
      <c r="D141" s="2"/>
      <c r="E141" s="30"/>
      <c r="F141" s="25">
        <v>1986.153</v>
      </c>
      <c r="G141" s="26">
        <v>1.1599999999999999E-2</v>
      </c>
      <c r="H141" s="27"/>
      <c r="I141" s="28"/>
      <c r="J141" s="5"/>
    </row>
    <row r="142" spans="1:10" ht="13.05" customHeight="1">
      <c r="A142" s="5"/>
      <c r="B142" s="14" t="s">
        <v>1818</v>
      </c>
      <c r="C142" s="15"/>
      <c r="D142" s="15"/>
      <c r="E142" s="15"/>
      <c r="F142" s="15"/>
      <c r="G142" s="15"/>
      <c r="H142" s="16"/>
      <c r="I142" s="17"/>
      <c r="J142" s="5"/>
    </row>
    <row r="143" spans="1:10" ht="13.05" customHeight="1">
      <c r="A143" s="5"/>
      <c r="B143" s="14" t="s">
        <v>3514</v>
      </c>
      <c r="C143" s="15"/>
      <c r="D143" s="15"/>
      <c r="E143" s="15"/>
      <c r="F143" s="5"/>
      <c r="G143" s="16"/>
      <c r="H143" s="16"/>
      <c r="I143" s="17"/>
      <c r="J143" s="5"/>
    </row>
    <row r="144" spans="1:10" ht="13.05" customHeight="1">
      <c r="A144" s="18" t="s">
        <v>3741</v>
      </c>
      <c r="B144" s="19" t="s">
        <v>69</v>
      </c>
      <c r="C144" s="15" t="s">
        <v>3742</v>
      </c>
      <c r="D144" s="15"/>
      <c r="E144" s="20">
        <v>12518890</v>
      </c>
      <c r="F144" s="21">
        <v>12635.315699999999</v>
      </c>
      <c r="G144" s="22">
        <v>7.4099999999999999E-2</v>
      </c>
      <c r="H144" s="23"/>
      <c r="I144" s="24"/>
      <c r="J144" s="5"/>
    </row>
    <row r="145" spans="1:10" ht="13.05" customHeight="1">
      <c r="A145" s="18" t="s">
        <v>4858</v>
      </c>
      <c r="B145" s="19" t="s">
        <v>58</v>
      </c>
      <c r="C145" s="15" t="s">
        <v>4859</v>
      </c>
      <c r="D145" s="15"/>
      <c r="E145" s="20">
        <v>5017300</v>
      </c>
      <c r="F145" s="21">
        <v>7432.6282000000001</v>
      </c>
      <c r="G145" s="22">
        <v>4.36E-2</v>
      </c>
      <c r="H145" s="23"/>
      <c r="I145" s="24"/>
      <c r="J145" s="5"/>
    </row>
    <row r="146" spans="1:10" ht="13.05" customHeight="1">
      <c r="A146" s="5"/>
      <c r="B146" s="14" t="s">
        <v>192</v>
      </c>
      <c r="C146" s="15"/>
      <c r="D146" s="15"/>
      <c r="E146" s="15"/>
      <c r="F146" s="25">
        <v>20067.943899999998</v>
      </c>
      <c r="G146" s="26">
        <v>0.1177</v>
      </c>
      <c r="H146" s="27"/>
      <c r="I146" s="28"/>
      <c r="J146" s="5"/>
    </row>
    <row r="147" spans="1:10" ht="13.05" customHeight="1">
      <c r="A147" s="5"/>
      <c r="B147" s="29" t="s">
        <v>195</v>
      </c>
      <c r="C147" s="30"/>
      <c r="D147" s="2"/>
      <c r="E147" s="30"/>
      <c r="F147" s="25">
        <v>20067.943899999998</v>
      </c>
      <c r="G147" s="26">
        <v>0.1177</v>
      </c>
      <c r="H147" s="27"/>
      <c r="I147" s="28"/>
      <c r="J147" s="5"/>
    </row>
    <row r="148" spans="1:10" ht="13.05" customHeight="1">
      <c r="A148" s="5"/>
      <c r="B148" s="14" t="s">
        <v>196</v>
      </c>
      <c r="C148" s="15"/>
      <c r="D148" s="15"/>
      <c r="E148" s="15"/>
      <c r="F148" s="15"/>
      <c r="G148" s="15"/>
      <c r="H148" s="16"/>
      <c r="I148" s="17"/>
      <c r="J148" s="5"/>
    </row>
    <row r="149" spans="1:10" ht="13.05" customHeight="1">
      <c r="A149" s="18" t="s">
        <v>197</v>
      </c>
      <c r="B149" s="19" t="s">
        <v>198</v>
      </c>
      <c r="C149" s="15"/>
      <c r="D149" s="15"/>
      <c r="E149" s="20"/>
      <c r="F149" s="21">
        <v>7410.4733999999999</v>
      </c>
      <c r="G149" s="22">
        <v>4.3499999999999997E-2</v>
      </c>
      <c r="H149" s="23">
        <v>5.5573617010495215E-2</v>
      </c>
      <c r="I149" s="24"/>
      <c r="J149" s="5"/>
    </row>
    <row r="150" spans="1:10" ht="13.05" customHeight="1">
      <c r="A150" s="5"/>
      <c r="B150" s="14" t="s">
        <v>192</v>
      </c>
      <c r="C150" s="15"/>
      <c r="D150" s="15"/>
      <c r="E150" s="15"/>
      <c r="F150" s="25">
        <v>7410.4733999999999</v>
      </c>
      <c r="G150" s="26">
        <v>4.3499999999999997E-2</v>
      </c>
      <c r="H150" s="27"/>
      <c r="I150" s="28"/>
      <c r="J150" s="5"/>
    </row>
    <row r="151" spans="1:10" ht="13.05" customHeight="1">
      <c r="A151" s="5"/>
      <c r="B151" s="29" t="s">
        <v>193</v>
      </c>
      <c r="C151" s="2"/>
      <c r="D151" s="2"/>
      <c r="E151" s="2"/>
      <c r="F151" s="27" t="s">
        <v>194</v>
      </c>
      <c r="G151" s="27" t="s">
        <v>194</v>
      </c>
      <c r="H151" s="27"/>
      <c r="I151" s="28"/>
      <c r="J151" s="5"/>
    </row>
    <row r="152" spans="1:10" ht="13.05" customHeight="1">
      <c r="A152" s="5"/>
      <c r="B152" s="29" t="s">
        <v>192</v>
      </c>
      <c r="C152" s="2"/>
      <c r="D152" s="2"/>
      <c r="E152" s="2"/>
      <c r="F152" s="27" t="s">
        <v>194</v>
      </c>
      <c r="G152" s="27" t="s">
        <v>194</v>
      </c>
      <c r="H152" s="27"/>
      <c r="I152" s="28"/>
      <c r="J152" s="5"/>
    </row>
    <row r="153" spans="1:10" ht="13.05" customHeight="1">
      <c r="A153" s="5"/>
      <c r="B153" s="29" t="s">
        <v>195</v>
      </c>
      <c r="C153" s="30"/>
      <c r="D153" s="2"/>
      <c r="E153" s="30"/>
      <c r="F153" s="25">
        <v>7410.4733999999999</v>
      </c>
      <c r="G153" s="26">
        <v>4.3499999999999997E-2</v>
      </c>
      <c r="H153" s="27"/>
      <c r="I153" s="28"/>
      <c r="J153" s="5"/>
    </row>
    <row r="154" spans="1:10" ht="13.05" customHeight="1">
      <c r="A154" s="5"/>
      <c r="B154" s="29" t="s">
        <v>199</v>
      </c>
      <c r="C154" s="15"/>
      <c r="D154" s="2"/>
      <c r="E154" s="15"/>
      <c r="F154" s="31">
        <v>1574.3969634999908</v>
      </c>
      <c r="G154" s="93">
        <v>9.2345332765558057E-3</v>
      </c>
      <c r="H154" s="27"/>
      <c r="I154" s="28"/>
      <c r="J154" s="5"/>
    </row>
    <row r="155" spans="1:10" ht="13.05" customHeight="1">
      <c r="A155" s="5"/>
      <c r="B155" s="32" t="s">
        <v>200</v>
      </c>
      <c r="C155" s="33"/>
      <c r="D155" s="33"/>
      <c r="E155" s="33"/>
      <c r="F155" s="34">
        <v>170490.15</v>
      </c>
      <c r="G155" s="35">
        <v>1</v>
      </c>
      <c r="H155" s="36"/>
      <c r="I155" s="37"/>
      <c r="J155" s="5"/>
    </row>
    <row r="156" spans="1:10" ht="13.05" customHeight="1">
      <c r="A156" s="5"/>
      <c r="B156" s="7"/>
      <c r="C156" s="5"/>
      <c r="D156" s="5"/>
      <c r="E156" s="5"/>
      <c r="F156" s="5"/>
      <c r="G156" s="5"/>
      <c r="H156" s="5"/>
      <c r="I156" s="5"/>
      <c r="J156" s="5"/>
    </row>
    <row r="157" spans="1:10" ht="13.05" customHeight="1">
      <c r="A157" s="5"/>
      <c r="B157" s="4" t="s">
        <v>2486</v>
      </c>
      <c r="C157" s="5"/>
      <c r="D157" s="5"/>
      <c r="E157" s="5"/>
      <c r="F157" s="5"/>
      <c r="G157" s="5"/>
      <c r="H157" s="5"/>
      <c r="I157" s="5"/>
      <c r="J157" s="5"/>
    </row>
    <row r="158" spans="1:10" ht="13.05" customHeight="1">
      <c r="A158" s="5"/>
      <c r="B158" s="4" t="s">
        <v>250</v>
      </c>
      <c r="C158" s="5"/>
      <c r="D158" s="5"/>
      <c r="E158" s="5"/>
      <c r="F158" s="5"/>
      <c r="G158" s="5"/>
      <c r="H158" s="5"/>
      <c r="I158" s="5"/>
      <c r="J158" s="5"/>
    </row>
    <row r="159" spans="1:10" ht="13.05" customHeight="1">
      <c r="A159" s="5"/>
      <c r="B159" s="4" t="s">
        <v>2487</v>
      </c>
      <c r="C159" s="5"/>
      <c r="D159" s="5"/>
      <c r="E159" s="5"/>
      <c r="F159" s="5"/>
      <c r="G159" s="5"/>
      <c r="H159" s="5"/>
      <c r="I159" s="5"/>
      <c r="J159" s="5"/>
    </row>
    <row r="160" spans="1:10" ht="13.05" customHeight="1">
      <c r="A160" s="5"/>
      <c r="B160" s="4" t="s">
        <v>201</v>
      </c>
      <c r="C160" s="5"/>
      <c r="D160" s="5"/>
      <c r="E160" s="5"/>
      <c r="F160" s="5"/>
      <c r="G160" s="5"/>
      <c r="H160" s="5"/>
      <c r="I160" s="5"/>
      <c r="J160" s="5"/>
    </row>
    <row r="161" spans="1:10" ht="25.95" customHeight="1">
      <c r="A161" s="5"/>
      <c r="B161" s="103" t="s">
        <v>202</v>
      </c>
      <c r="C161" s="103"/>
      <c r="D161" s="103"/>
      <c r="E161" s="103"/>
      <c r="F161" s="103"/>
      <c r="G161" s="103"/>
      <c r="H161" s="103"/>
      <c r="I161" s="103"/>
      <c r="J161" s="5"/>
    </row>
    <row r="162" spans="1:10" ht="13.05" customHeight="1">
      <c r="A162" s="5"/>
      <c r="B162" s="103" t="s">
        <v>203</v>
      </c>
      <c r="C162" s="103"/>
      <c r="D162" s="103"/>
      <c r="E162" s="103"/>
      <c r="F162" s="103"/>
      <c r="G162" s="103"/>
      <c r="H162" s="103"/>
      <c r="I162" s="103"/>
      <c r="J162" s="5"/>
    </row>
    <row r="163" spans="1:10" ht="13.05" customHeight="1">
      <c r="A163" s="5"/>
      <c r="B163" s="103"/>
      <c r="C163" s="103"/>
      <c r="D163" s="103"/>
      <c r="E163" s="103"/>
      <c r="F163" s="103"/>
      <c r="G163" s="103"/>
      <c r="H163" s="103"/>
      <c r="I163" s="103"/>
      <c r="J163" s="5"/>
    </row>
    <row r="164" spans="1:10" ht="13.05" customHeight="1">
      <c r="A164" s="5"/>
      <c r="B164" s="103"/>
      <c r="C164" s="103"/>
      <c r="D164" s="103"/>
      <c r="E164" s="103"/>
      <c r="F164" s="103"/>
      <c r="G164" s="103"/>
      <c r="H164" s="103"/>
      <c r="I164" s="103"/>
      <c r="J164" s="5"/>
    </row>
    <row r="165" spans="1:10" ht="13.05" customHeight="1">
      <c r="A165" s="5"/>
      <c r="B165" s="103"/>
      <c r="C165" s="103"/>
      <c r="D165" s="103"/>
      <c r="E165" s="103"/>
      <c r="F165" s="103"/>
      <c r="G165" s="103"/>
      <c r="H165" s="103"/>
      <c r="I165" s="103"/>
      <c r="J165" s="5"/>
    </row>
    <row r="166" spans="1:10" ht="13.05" customHeight="1">
      <c r="A166" s="5"/>
      <c r="B166" s="5"/>
      <c r="C166" s="104" t="s">
        <v>5387</v>
      </c>
      <c r="D166" s="104"/>
      <c r="E166" s="104"/>
      <c r="F166" s="104"/>
      <c r="G166" s="5"/>
      <c r="H166" s="5"/>
      <c r="I166" s="5"/>
      <c r="J166" s="5"/>
    </row>
    <row r="167" spans="1:10" ht="13.05" customHeight="1">
      <c r="A167" s="5"/>
      <c r="B167" s="38" t="s">
        <v>207</v>
      </c>
      <c r="C167" s="104" t="s">
        <v>208</v>
      </c>
      <c r="D167" s="104"/>
      <c r="E167" s="104"/>
      <c r="F167" s="104"/>
      <c r="G167" s="5"/>
      <c r="H167" s="5"/>
      <c r="I167" s="5"/>
      <c r="J167" s="5"/>
    </row>
    <row r="168" spans="1:10" ht="135" customHeight="1">
      <c r="A168" s="5"/>
      <c r="B168" s="39"/>
      <c r="C168" s="105"/>
      <c r="D168" s="105"/>
      <c r="E168" s="5"/>
      <c r="F168" s="5"/>
      <c r="G168" s="5"/>
      <c r="H168" s="5"/>
      <c r="I168" s="5"/>
      <c r="J168" s="5"/>
    </row>
  </sheetData>
  <mergeCells count="8">
    <mergeCell ref="B165:I165"/>
    <mergeCell ref="C166:F166"/>
    <mergeCell ref="C167:F167"/>
    <mergeCell ref="C168:D168"/>
    <mergeCell ref="B161:I161"/>
    <mergeCell ref="B162:I162"/>
    <mergeCell ref="B163:I163"/>
    <mergeCell ref="B164:I164"/>
  </mergeCells>
  <hyperlinks>
    <hyperlink ref="A1" location="AxisMultiAssetAllocationFund" display="AXISTAF" xr:uid="{00000000-0004-0000-4E00-000000000000}"/>
    <hyperlink ref="B1" location="AxisMultiAssetAllocationFund" display="Axis Multi Asset Allocation Fund" xr:uid="{00000000-0004-0000-4E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outlinePr summaryBelow="0"/>
  </sheetPr>
  <dimension ref="A1:J26"/>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160</v>
      </c>
      <c r="B1" s="4" t="s">
        <v>161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176</v>
      </c>
      <c r="E4" s="11" t="s">
        <v>177</v>
      </c>
      <c r="F4" s="11" t="s">
        <v>178</v>
      </c>
      <c r="G4" s="11" t="s">
        <v>179</v>
      </c>
      <c r="H4" s="11" t="s">
        <v>180</v>
      </c>
      <c r="I4" s="12" t="s">
        <v>181</v>
      </c>
      <c r="J4" s="13" t="s">
        <v>182</v>
      </c>
    </row>
    <row r="5" spans="1:10" ht="13.05" customHeight="1">
      <c r="A5" s="5"/>
      <c r="B5" s="14" t="s">
        <v>1818</v>
      </c>
      <c r="C5" s="15"/>
      <c r="D5" s="15"/>
      <c r="E5" s="15"/>
      <c r="F5" s="15"/>
      <c r="G5" s="15"/>
      <c r="H5" s="16"/>
      <c r="I5" s="17"/>
      <c r="J5" s="5"/>
    </row>
    <row r="6" spans="1:10" ht="13.05" customHeight="1">
      <c r="A6" s="5"/>
      <c r="B6" s="14" t="s">
        <v>3808</v>
      </c>
      <c r="C6" s="15"/>
      <c r="D6" s="15"/>
      <c r="E6" s="15"/>
      <c r="F6" s="5"/>
      <c r="G6" s="16"/>
      <c r="H6" s="16"/>
      <c r="I6" s="17"/>
      <c r="J6" s="5"/>
    </row>
    <row r="7" spans="1:10" ht="13.05" customHeight="1">
      <c r="A7" s="18" t="s">
        <v>5388</v>
      </c>
      <c r="B7" s="19" t="s">
        <v>5389</v>
      </c>
      <c r="C7" s="15" t="s">
        <v>5390</v>
      </c>
      <c r="D7" s="15"/>
      <c r="E7" s="20">
        <v>29750</v>
      </c>
      <c r="F7" s="21">
        <v>4066.2143999999998</v>
      </c>
      <c r="G7" s="22">
        <v>0.98309999999999997</v>
      </c>
      <c r="H7" s="40"/>
      <c r="I7" s="24"/>
      <c r="J7" s="5"/>
    </row>
    <row r="8" spans="1:10" ht="13.05" customHeight="1">
      <c r="A8" s="5"/>
      <c r="B8" s="14" t="s">
        <v>192</v>
      </c>
      <c r="C8" s="15"/>
      <c r="D8" s="15"/>
      <c r="E8" s="15"/>
      <c r="F8" s="25">
        <v>4066.2143999999998</v>
      </c>
      <c r="G8" s="26">
        <v>0.98309999999999997</v>
      </c>
      <c r="H8" s="27"/>
      <c r="I8" s="28"/>
      <c r="J8" s="5"/>
    </row>
    <row r="9" spans="1:10" ht="13.05" customHeight="1">
      <c r="A9" s="5"/>
      <c r="B9" s="29" t="s">
        <v>195</v>
      </c>
      <c r="C9" s="30"/>
      <c r="D9" s="2"/>
      <c r="E9" s="30"/>
      <c r="F9" s="25">
        <v>4066.2143999999998</v>
      </c>
      <c r="G9" s="26">
        <v>0.98309999999999997</v>
      </c>
      <c r="H9" s="27"/>
      <c r="I9" s="28"/>
      <c r="J9" s="5"/>
    </row>
    <row r="10" spans="1:10" ht="13.05" customHeight="1">
      <c r="A10" s="5"/>
      <c r="B10" s="14" t="s">
        <v>196</v>
      </c>
      <c r="C10" s="15"/>
      <c r="D10" s="15"/>
      <c r="E10" s="15"/>
      <c r="F10" s="15"/>
      <c r="G10" s="15"/>
      <c r="H10" s="16"/>
      <c r="I10" s="17"/>
      <c r="J10" s="5"/>
    </row>
    <row r="11" spans="1:10" ht="13.05" customHeight="1">
      <c r="A11" s="18" t="s">
        <v>197</v>
      </c>
      <c r="B11" s="19" t="s">
        <v>198</v>
      </c>
      <c r="C11" s="15"/>
      <c r="D11" s="15"/>
      <c r="E11" s="20"/>
      <c r="F11" s="21">
        <v>67.569400000000002</v>
      </c>
      <c r="G11" s="22">
        <v>1.6299999999999999E-2</v>
      </c>
      <c r="H11" s="23">
        <v>5.5573438051554513E-2</v>
      </c>
      <c r="I11" s="24"/>
      <c r="J11" s="5"/>
    </row>
    <row r="12" spans="1:10" ht="13.05" customHeight="1">
      <c r="A12" s="5"/>
      <c r="B12" s="14" t="s">
        <v>192</v>
      </c>
      <c r="C12" s="15"/>
      <c r="D12" s="15"/>
      <c r="E12" s="15"/>
      <c r="F12" s="25">
        <v>67.569400000000002</v>
      </c>
      <c r="G12" s="26">
        <v>1.6299999999999999E-2</v>
      </c>
      <c r="H12" s="27"/>
      <c r="I12" s="28"/>
      <c r="J12" s="5"/>
    </row>
    <row r="13" spans="1:10" ht="13.05" customHeight="1">
      <c r="A13" s="5"/>
      <c r="B13" s="29" t="s">
        <v>195</v>
      </c>
      <c r="C13" s="30"/>
      <c r="D13" s="2"/>
      <c r="E13" s="30"/>
      <c r="F13" s="25">
        <v>67.569400000000002</v>
      </c>
      <c r="G13" s="26">
        <v>1.6299999999999999E-2</v>
      </c>
      <c r="H13" s="27"/>
      <c r="I13" s="28"/>
      <c r="J13" s="5"/>
    </row>
    <row r="14" spans="1:10" ht="13.05" customHeight="1">
      <c r="A14" s="5"/>
      <c r="B14" s="29" t="s">
        <v>199</v>
      </c>
      <c r="C14" s="15"/>
      <c r="D14" s="2"/>
      <c r="E14" s="15"/>
      <c r="F14" s="31">
        <v>2.2662</v>
      </c>
      <c r="G14" s="26">
        <v>5.9999999999999995E-4</v>
      </c>
      <c r="H14" s="27"/>
      <c r="I14" s="28"/>
      <c r="J14" s="5"/>
    </row>
    <row r="15" spans="1:10" ht="13.05" customHeight="1">
      <c r="A15" s="5"/>
      <c r="B15" s="32" t="s">
        <v>200</v>
      </c>
      <c r="C15" s="33"/>
      <c r="D15" s="33"/>
      <c r="E15" s="33"/>
      <c r="F15" s="34">
        <v>4136.05</v>
      </c>
      <c r="G15" s="35">
        <v>1</v>
      </c>
      <c r="H15" s="36"/>
      <c r="I15" s="37"/>
      <c r="J15" s="5"/>
    </row>
    <row r="16" spans="1:10" ht="13.05" customHeight="1">
      <c r="A16" s="5"/>
      <c r="B16" s="7"/>
      <c r="C16" s="5"/>
      <c r="D16" s="5"/>
      <c r="E16" s="5"/>
      <c r="F16" s="5"/>
      <c r="G16" s="5"/>
      <c r="H16" s="5"/>
      <c r="I16" s="5"/>
      <c r="J16" s="5"/>
    </row>
    <row r="17" spans="1:10" ht="13.05" customHeight="1">
      <c r="A17" s="5"/>
      <c r="B17" s="4" t="s">
        <v>201</v>
      </c>
      <c r="C17" s="5"/>
      <c r="D17" s="5"/>
      <c r="E17" s="5"/>
      <c r="F17" s="5"/>
      <c r="G17" s="5"/>
      <c r="H17" s="5"/>
      <c r="I17" s="5"/>
      <c r="J17" s="5"/>
    </row>
    <row r="18" spans="1:10" ht="25.95" customHeight="1">
      <c r="A18" s="5"/>
      <c r="B18" s="103" t="s">
        <v>202</v>
      </c>
      <c r="C18" s="103"/>
      <c r="D18" s="103"/>
      <c r="E18" s="103"/>
      <c r="F18" s="103"/>
      <c r="G18" s="103"/>
      <c r="H18" s="103"/>
      <c r="I18" s="103"/>
      <c r="J18" s="5"/>
    </row>
    <row r="19" spans="1:10" ht="13.05" customHeight="1">
      <c r="A19" s="5"/>
      <c r="B19" s="103" t="s">
        <v>203</v>
      </c>
      <c r="C19" s="103"/>
      <c r="D19" s="103"/>
      <c r="E19" s="103"/>
      <c r="F19" s="103"/>
      <c r="G19" s="103"/>
      <c r="H19" s="103"/>
      <c r="I19" s="103"/>
      <c r="J19" s="5"/>
    </row>
    <row r="20" spans="1:10" ht="13.05" customHeight="1">
      <c r="A20" s="5"/>
      <c r="B20" s="103"/>
      <c r="C20" s="103"/>
      <c r="D20" s="103"/>
      <c r="E20" s="103"/>
      <c r="F20" s="103"/>
      <c r="G20" s="103"/>
      <c r="H20" s="103"/>
      <c r="I20" s="103"/>
      <c r="J20" s="5"/>
    </row>
    <row r="21" spans="1:10" ht="13.05" customHeight="1">
      <c r="A21" s="5"/>
      <c r="B21" s="103"/>
      <c r="C21" s="103"/>
      <c r="D21" s="103"/>
      <c r="E21" s="103"/>
      <c r="F21" s="103"/>
      <c r="G21" s="103"/>
      <c r="H21" s="103"/>
      <c r="I21" s="103"/>
      <c r="J21" s="5"/>
    </row>
    <row r="22" spans="1:10" ht="13.05" customHeight="1">
      <c r="A22" s="5"/>
      <c r="B22" s="103"/>
      <c r="C22" s="103"/>
      <c r="D22" s="103"/>
      <c r="E22" s="103"/>
      <c r="F22" s="103"/>
      <c r="G22" s="103"/>
      <c r="H22" s="103"/>
      <c r="I22" s="103"/>
      <c r="J22" s="5"/>
    </row>
    <row r="23" spans="1:10" ht="13.05" customHeight="1">
      <c r="A23" s="5"/>
      <c r="B23" s="103"/>
      <c r="C23" s="103"/>
      <c r="D23" s="103"/>
      <c r="E23" s="103"/>
      <c r="F23" s="103"/>
      <c r="G23" s="103"/>
      <c r="H23" s="103"/>
      <c r="I23" s="103"/>
      <c r="J23" s="5"/>
    </row>
    <row r="24" spans="1:10" ht="13.05" customHeight="1">
      <c r="A24" s="5"/>
      <c r="B24" s="5"/>
      <c r="C24" s="104" t="s">
        <v>5391</v>
      </c>
      <c r="D24" s="104"/>
      <c r="E24" s="104"/>
      <c r="F24" s="104"/>
      <c r="G24" s="5"/>
      <c r="H24" s="5"/>
      <c r="I24" s="5"/>
      <c r="J24" s="5"/>
    </row>
    <row r="25" spans="1:10" ht="13.05" customHeight="1">
      <c r="A25" s="5"/>
      <c r="B25" s="38" t="s">
        <v>207</v>
      </c>
      <c r="C25" s="104" t="s">
        <v>208</v>
      </c>
      <c r="D25" s="104"/>
      <c r="E25" s="104"/>
      <c r="F25" s="104"/>
      <c r="G25" s="5"/>
      <c r="H25" s="5"/>
      <c r="I25" s="5"/>
      <c r="J25" s="5"/>
    </row>
    <row r="26" spans="1:10" ht="135" customHeight="1">
      <c r="A26" s="5"/>
      <c r="B26" s="39"/>
      <c r="C26" s="105"/>
      <c r="D26" s="105"/>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USSpecificTreasuryDynamicDebtPassiveFOF" display="AXISTDB" xr:uid="{00000000-0004-0000-4F00-000000000000}"/>
    <hyperlink ref="B1" location="AxisUSSpecificTreasuryDynamicDebtPassiveFOF" display="Axis US Specific Treasury Dynamic Debt Passive FOF" xr:uid="{00000000-0004-0000-4F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outlinePr summaryBelow="0"/>
  </sheetPr>
  <dimension ref="A1:J37"/>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162</v>
      </c>
      <c r="B1" s="4" t="s">
        <v>163</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269</v>
      </c>
      <c r="B7" s="19" t="s">
        <v>270</v>
      </c>
      <c r="C7" s="15" t="s">
        <v>271</v>
      </c>
      <c r="D7" s="15" t="s">
        <v>272</v>
      </c>
      <c r="E7" s="20">
        <v>338088</v>
      </c>
      <c r="F7" s="21">
        <v>5011.4784</v>
      </c>
      <c r="G7" s="22">
        <v>0.28060000000000002</v>
      </c>
      <c r="H7" s="40"/>
      <c r="I7" s="24"/>
      <c r="J7" s="5"/>
    </row>
    <row r="8" spans="1:10" ht="13.05" customHeight="1">
      <c r="A8" s="18" t="s">
        <v>287</v>
      </c>
      <c r="B8" s="19" t="s">
        <v>288</v>
      </c>
      <c r="C8" s="15" t="s">
        <v>289</v>
      </c>
      <c r="D8" s="15" t="s">
        <v>272</v>
      </c>
      <c r="E8" s="20">
        <v>126500</v>
      </c>
      <c r="F8" s="21">
        <v>3868.37</v>
      </c>
      <c r="G8" s="22">
        <v>0.21659999999999999</v>
      </c>
      <c r="H8" s="40"/>
      <c r="I8" s="24"/>
      <c r="J8" s="5"/>
    </row>
    <row r="9" spans="1:10" ht="13.05" customHeight="1">
      <c r="A9" s="18" t="s">
        <v>315</v>
      </c>
      <c r="B9" s="19" t="s">
        <v>316</v>
      </c>
      <c r="C9" s="15" t="s">
        <v>317</v>
      </c>
      <c r="D9" s="15" t="s">
        <v>272</v>
      </c>
      <c r="E9" s="20">
        <v>131227</v>
      </c>
      <c r="F9" s="21">
        <v>2022.8642</v>
      </c>
      <c r="G9" s="22">
        <v>0.1133</v>
      </c>
      <c r="H9" s="40"/>
      <c r="I9" s="24"/>
      <c r="J9" s="5"/>
    </row>
    <row r="10" spans="1:10" ht="13.05" customHeight="1">
      <c r="A10" s="18" t="s">
        <v>392</v>
      </c>
      <c r="B10" s="19" t="s">
        <v>393</v>
      </c>
      <c r="C10" s="15" t="s">
        <v>394</v>
      </c>
      <c r="D10" s="15" t="s">
        <v>272</v>
      </c>
      <c r="E10" s="20">
        <v>112103</v>
      </c>
      <c r="F10" s="21">
        <v>1596.7951</v>
      </c>
      <c r="G10" s="22">
        <v>8.9399999999999993E-2</v>
      </c>
      <c r="H10" s="40"/>
      <c r="I10" s="24"/>
      <c r="J10" s="5"/>
    </row>
    <row r="11" spans="1:10" ht="13.05" customHeight="1">
      <c r="A11" s="18" t="s">
        <v>455</v>
      </c>
      <c r="B11" s="19" t="s">
        <v>456</v>
      </c>
      <c r="C11" s="15" t="s">
        <v>457</v>
      </c>
      <c r="D11" s="15" t="s">
        <v>272</v>
      </c>
      <c r="E11" s="20">
        <v>503864</v>
      </c>
      <c r="F11" s="21">
        <v>1212.6495</v>
      </c>
      <c r="G11" s="22">
        <v>6.7900000000000002E-2</v>
      </c>
      <c r="H11" s="40"/>
      <c r="I11" s="24"/>
      <c r="J11" s="5"/>
    </row>
    <row r="12" spans="1:10" ht="13.05" customHeight="1">
      <c r="A12" s="18" t="s">
        <v>469</v>
      </c>
      <c r="B12" s="19" t="s">
        <v>470</v>
      </c>
      <c r="C12" s="15" t="s">
        <v>471</v>
      </c>
      <c r="D12" s="15" t="s">
        <v>272</v>
      </c>
      <c r="E12" s="20">
        <v>18952</v>
      </c>
      <c r="F12" s="21">
        <v>1121.3140000000001</v>
      </c>
      <c r="G12" s="22">
        <v>6.2799999999999995E-2</v>
      </c>
      <c r="H12" s="40"/>
      <c r="I12" s="24"/>
      <c r="J12" s="5"/>
    </row>
    <row r="13" spans="1:10" ht="13.05" customHeight="1">
      <c r="A13" s="18" t="s">
        <v>488</v>
      </c>
      <c r="B13" s="19" t="s">
        <v>489</v>
      </c>
      <c r="C13" s="15" t="s">
        <v>490</v>
      </c>
      <c r="D13" s="15" t="s">
        <v>272</v>
      </c>
      <c r="E13" s="20">
        <v>59023</v>
      </c>
      <c r="F13" s="21">
        <v>1049.4880000000001</v>
      </c>
      <c r="G13" s="22">
        <v>5.8799999999999998E-2</v>
      </c>
      <c r="H13" s="40"/>
      <c r="I13" s="24"/>
      <c r="J13" s="5"/>
    </row>
    <row r="14" spans="1:10" ht="13.05" customHeight="1">
      <c r="A14" s="18" t="s">
        <v>520</v>
      </c>
      <c r="B14" s="19" t="s">
        <v>521</v>
      </c>
      <c r="C14" s="15" t="s">
        <v>522</v>
      </c>
      <c r="D14" s="15" t="s">
        <v>272</v>
      </c>
      <c r="E14" s="20">
        <v>16379</v>
      </c>
      <c r="F14" s="21">
        <v>931.0643</v>
      </c>
      <c r="G14" s="22">
        <v>5.21E-2</v>
      </c>
      <c r="H14" s="40"/>
      <c r="I14" s="24"/>
      <c r="J14" s="5"/>
    </row>
    <row r="15" spans="1:10" ht="13.05" customHeight="1">
      <c r="A15" s="18" t="s">
        <v>685</v>
      </c>
      <c r="B15" s="19" t="s">
        <v>686</v>
      </c>
      <c r="C15" s="15" t="s">
        <v>687</v>
      </c>
      <c r="D15" s="15" t="s">
        <v>272</v>
      </c>
      <c r="E15" s="20">
        <v>20120</v>
      </c>
      <c r="F15" s="21">
        <v>556.19730000000004</v>
      </c>
      <c r="G15" s="22">
        <v>3.1099999999999999E-2</v>
      </c>
      <c r="H15" s="40"/>
      <c r="I15" s="24"/>
      <c r="J15" s="5"/>
    </row>
    <row r="16" spans="1:10" ht="13.05" customHeight="1">
      <c r="A16" s="18" t="s">
        <v>853</v>
      </c>
      <c r="B16" s="19" t="s">
        <v>854</v>
      </c>
      <c r="C16" s="15" t="s">
        <v>855</v>
      </c>
      <c r="D16" s="15" t="s">
        <v>272</v>
      </c>
      <c r="E16" s="20">
        <v>4203</v>
      </c>
      <c r="F16" s="21">
        <v>357.88549999999998</v>
      </c>
      <c r="G16" s="22">
        <v>0.02</v>
      </c>
      <c r="H16" s="40"/>
      <c r="I16" s="24"/>
      <c r="J16" s="5"/>
    </row>
    <row r="17" spans="1:10" ht="13.05" customHeight="1">
      <c r="A17" s="5"/>
      <c r="B17" s="14" t="s">
        <v>192</v>
      </c>
      <c r="C17" s="15"/>
      <c r="D17" s="15"/>
      <c r="E17" s="15"/>
      <c r="F17" s="25">
        <v>17728.106199999998</v>
      </c>
      <c r="G17" s="26">
        <v>0.99280000000000002</v>
      </c>
      <c r="H17" s="27"/>
      <c r="I17" s="28"/>
      <c r="J17" s="5"/>
    </row>
    <row r="18" spans="1:10" ht="13.05" customHeight="1">
      <c r="A18" s="5"/>
      <c r="B18" s="29" t="s">
        <v>1812</v>
      </c>
      <c r="C18" s="2"/>
      <c r="D18" s="2"/>
      <c r="E18" s="2"/>
      <c r="F18" s="27" t="s">
        <v>194</v>
      </c>
      <c r="G18" s="27" t="s">
        <v>194</v>
      </c>
      <c r="H18" s="27"/>
      <c r="I18" s="28"/>
      <c r="J18" s="5"/>
    </row>
    <row r="19" spans="1:10" ht="13.05" customHeight="1">
      <c r="A19" s="5"/>
      <c r="B19" s="29" t="s">
        <v>192</v>
      </c>
      <c r="C19" s="2"/>
      <c r="D19" s="2"/>
      <c r="E19" s="2"/>
      <c r="F19" s="27" t="s">
        <v>194</v>
      </c>
      <c r="G19" s="27" t="s">
        <v>194</v>
      </c>
      <c r="H19" s="27"/>
      <c r="I19" s="28"/>
      <c r="J19" s="5"/>
    </row>
    <row r="20" spans="1:10" ht="13.05" customHeight="1">
      <c r="A20" s="5"/>
      <c r="B20" s="29" t="s">
        <v>195</v>
      </c>
      <c r="C20" s="30"/>
      <c r="D20" s="2"/>
      <c r="E20" s="30"/>
      <c r="F20" s="25">
        <v>17728.106199999998</v>
      </c>
      <c r="G20" s="26">
        <v>0.99280000000000002</v>
      </c>
      <c r="H20" s="27"/>
      <c r="I20" s="28"/>
      <c r="J20" s="5"/>
    </row>
    <row r="21" spans="1:10" ht="13.05" customHeight="1">
      <c r="A21" s="5"/>
      <c r="B21" s="14" t="s">
        <v>196</v>
      </c>
      <c r="C21" s="15"/>
      <c r="D21" s="15"/>
      <c r="E21" s="15"/>
      <c r="F21" s="15"/>
      <c r="G21" s="15"/>
      <c r="H21" s="16"/>
      <c r="I21" s="17"/>
      <c r="J21" s="5"/>
    </row>
    <row r="22" spans="1:10" ht="13.05" customHeight="1">
      <c r="A22" s="18" t="s">
        <v>197</v>
      </c>
      <c r="B22" s="19" t="s">
        <v>198</v>
      </c>
      <c r="C22" s="15"/>
      <c r="D22" s="15"/>
      <c r="E22" s="20"/>
      <c r="F22" s="21">
        <v>18.814299999999999</v>
      </c>
      <c r="G22" s="22">
        <v>1.1000000000000001E-3</v>
      </c>
      <c r="H22" s="23">
        <v>5.5573719272747193E-2</v>
      </c>
      <c r="I22" s="24"/>
      <c r="J22" s="5"/>
    </row>
    <row r="23" spans="1:10" ht="13.05" customHeight="1">
      <c r="A23" s="5"/>
      <c r="B23" s="14" t="s">
        <v>192</v>
      </c>
      <c r="C23" s="15"/>
      <c r="D23" s="15"/>
      <c r="E23" s="15"/>
      <c r="F23" s="25">
        <v>18.814299999999999</v>
      </c>
      <c r="G23" s="26">
        <v>1.1000000000000001E-3</v>
      </c>
      <c r="H23" s="27"/>
      <c r="I23" s="28"/>
      <c r="J23" s="5"/>
    </row>
    <row r="24" spans="1:10" ht="13.05" customHeight="1">
      <c r="A24" s="5"/>
      <c r="B24" s="29" t="s">
        <v>195</v>
      </c>
      <c r="C24" s="30"/>
      <c r="D24" s="2"/>
      <c r="E24" s="30"/>
      <c r="F24" s="25">
        <v>18.814299999999999</v>
      </c>
      <c r="G24" s="26">
        <v>1.1000000000000001E-3</v>
      </c>
      <c r="H24" s="27"/>
      <c r="I24" s="28"/>
      <c r="J24" s="5"/>
    </row>
    <row r="25" spans="1:10" ht="13.05" customHeight="1">
      <c r="A25" s="5"/>
      <c r="B25" s="29" t="s">
        <v>199</v>
      </c>
      <c r="C25" s="15"/>
      <c r="D25" s="2"/>
      <c r="E25" s="15"/>
      <c r="F25" s="31">
        <v>110.20950000000001</v>
      </c>
      <c r="G25" s="26">
        <v>6.1000000000000004E-3</v>
      </c>
      <c r="H25" s="27"/>
      <c r="I25" s="28"/>
      <c r="J25" s="5"/>
    </row>
    <row r="26" spans="1:10" ht="13.05" customHeight="1">
      <c r="A26" s="5"/>
      <c r="B26" s="32" t="s">
        <v>200</v>
      </c>
      <c r="C26" s="33"/>
      <c r="D26" s="33"/>
      <c r="E26" s="33"/>
      <c r="F26" s="34">
        <v>17857.13</v>
      </c>
      <c r="G26" s="35">
        <v>1</v>
      </c>
      <c r="H26" s="36"/>
      <c r="I26" s="37"/>
      <c r="J26" s="5"/>
    </row>
    <row r="27" spans="1:10" ht="13.05" customHeight="1">
      <c r="A27" s="5"/>
      <c r="B27" s="7"/>
      <c r="C27" s="5"/>
      <c r="D27" s="5"/>
      <c r="E27" s="5"/>
      <c r="F27" s="5"/>
      <c r="G27" s="5"/>
      <c r="H27" s="5"/>
      <c r="I27" s="5"/>
      <c r="J27" s="5"/>
    </row>
    <row r="28" spans="1:10" ht="13.05" customHeight="1">
      <c r="A28" s="5"/>
      <c r="B28" s="4" t="s">
        <v>201</v>
      </c>
      <c r="C28" s="5"/>
      <c r="D28" s="5"/>
      <c r="E28" s="5"/>
      <c r="F28" s="5"/>
      <c r="G28" s="5"/>
      <c r="H28" s="5"/>
      <c r="I28" s="5"/>
      <c r="J28" s="5"/>
    </row>
    <row r="29" spans="1:10" ht="25.95" customHeight="1">
      <c r="A29" s="5"/>
      <c r="B29" s="103" t="s">
        <v>202</v>
      </c>
      <c r="C29" s="103"/>
      <c r="D29" s="103"/>
      <c r="E29" s="103"/>
      <c r="F29" s="103"/>
      <c r="G29" s="103"/>
      <c r="H29" s="103"/>
      <c r="I29" s="103"/>
      <c r="J29" s="5"/>
    </row>
    <row r="30" spans="1:10" ht="13.05" customHeight="1">
      <c r="A30" s="5"/>
      <c r="B30" s="103" t="s">
        <v>203</v>
      </c>
      <c r="C30" s="103"/>
      <c r="D30" s="103"/>
      <c r="E30" s="103"/>
      <c r="F30" s="103"/>
      <c r="G30" s="103"/>
      <c r="H30" s="103"/>
      <c r="I30" s="103"/>
      <c r="J30" s="5"/>
    </row>
    <row r="31" spans="1:10" ht="13.05" customHeight="1">
      <c r="A31" s="5"/>
      <c r="B31" s="103"/>
      <c r="C31" s="103"/>
      <c r="D31" s="103"/>
      <c r="E31" s="103"/>
      <c r="F31" s="103"/>
      <c r="G31" s="103"/>
      <c r="H31" s="103"/>
      <c r="I31" s="103"/>
      <c r="J31" s="5"/>
    </row>
    <row r="32" spans="1:10" ht="13.05" customHeight="1">
      <c r="A32" s="5"/>
      <c r="B32" s="103"/>
      <c r="C32" s="103"/>
      <c r="D32" s="103"/>
      <c r="E32" s="103"/>
      <c r="F32" s="103"/>
      <c r="G32" s="103"/>
      <c r="H32" s="103"/>
      <c r="I32" s="103"/>
      <c r="J32" s="5"/>
    </row>
    <row r="33" spans="1:10" ht="13.05" customHeight="1">
      <c r="A33" s="5"/>
      <c r="B33" s="103"/>
      <c r="C33" s="103"/>
      <c r="D33" s="103"/>
      <c r="E33" s="103"/>
      <c r="F33" s="103"/>
      <c r="G33" s="103"/>
      <c r="H33" s="103"/>
      <c r="I33" s="103"/>
      <c r="J33" s="5"/>
    </row>
    <row r="34" spans="1:10" ht="13.05" customHeight="1">
      <c r="A34" s="5"/>
      <c r="B34" s="103"/>
      <c r="C34" s="103"/>
      <c r="D34" s="103"/>
      <c r="E34" s="103"/>
      <c r="F34" s="103"/>
      <c r="G34" s="103"/>
      <c r="H34" s="103"/>
      <c r="I34" s="103"/>
      <c r="J34" s="5"/>
    </row>
    <row r="35" spans="1:10" ht="13.05" customHeight="1">
      <c r="A35" s="5"/>
      <c r="B35" s="5"/>
      <c r="C35" s="104" t="s">
        <v>4645</v>
      </c>
      <c r="D35" s="104"/>
      <c r="E35" s="104"/>
      <c r="F35" s="104"/>
      <c r="G35" s="5"/>
      <c r="H35" s="5"/>
      <c r="I35" s="5"/>
      <c r="J35" s="5"/>
    </row>
    <row r="36" spans="1:10" ht="13.05" customHeight="1">
      <c r="A36" s="5"/>
      <c r="B36" s="38" t="s">
        <v>207</v>
      </c>
      <c r="C36" s="104" t="s">
        <v>208</v>
      </c>
      <c r="D36" s="104"/>
      <c r="E36" s="104"/>
      <c r="F36" s="104"/>
      <c r="G36" s="5"/>
      <c r="H36" s="5"/>
      <c r="I36" s="5"/>
      <c r="J36" s="5"/>
    </row>
    <row r="37" spans="1:10" ht="135" customHeight="1">
      <c r="A37" s="5"/>
      <c r="B37" s="39"/>
      <c r="C37" s="105"/>
      <c r="D37" s="105"/>
      <c r="E37" s="5"/>
      <c r="F37" s="5"/>
      <c r="G37" s="5"/>
      <c r="H37" s="5"/>
      <c r="I37" s="5"/>
      <c r="J37" s="5"/>
    </row>
  </sheetData>
  <mergeCells count="9">
    <mergeCell ref="B34:I34"/>
    <mergeCell ref="C35:F35"/>
    <mergeCell ref="C36:F36"/>
    <mergeCell ref="C37:D37"/>
    <mergeCell ref="B29:I29"/>
    <mergeCell ref="B30:I30"/>
    <mergeCell ref="B31:I31"/>
    <mergeCell ref="B32:I32"/>
    <mergeCell ref="B33:I33"/>
  </mergeCells>
  <hyperlinks>
    <hyperlink ref="A1" location="AxisNIFTYITETF" display="AXISTETF" xr:uid="{00000000-0004-0000-5000-000000000000}"/>
    <hyperlink ref="B1" location="AxisNIFTYITETF" display="Axis NIFTY IT ETF" xr:uid="{00000000-0004-0000-50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outlinePr summaryBelow="0"/>
  </sheetPr>
  <dimension ref="A1:J128"/>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164</v>
      </c>
      <c r="B1" s="4" t="s">
        <v>165</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26906693</v>
      </c>
      <c r="F7" s="21">
        <v>265649.78000000003</v>
      </c>
      <c r="G7" s="22">
        <v>7.5499999999999998E-2</v>
      </c>
      <c r="H7" s="40"/>
      <c r="I7" s="24"/>
      <c r="J7" s="5"/>
    </row>
    <row r="8" spans="1:10" ht="13.05" customHeight="1">
      <c r="A8" s="18" t="s">
        <v>262</v>
      </c>
      <c r="B8" s="19" t="s">
        <v>263</v>
      </c>
      <c r="C8" s="15" t="s">
        <v>264</v>
      </c>
      <c r="D8" s="15" t="s">
        <v>257</v>
      </c>
      <c r="E8" s="20">
        <v>15370693</v>
      </c>
      <c r="F8" s="21">
        <v>206781.93290000001</v>
      </c>
      <c r="G8" s="22">
        <v>5.8799999999999998E-2</v>
      </c>
      <c r="H8" s="40"/>
      <c r="I8" s="24"/>
      <c r="J8" s="5"/>
    </row>
    <row r="9" spans="1:10" ht="13.05" customHeight="1">
      <c r="A9" s="18" t="s">
        <v>265</v>
      </c>
      <c r="B9" s="19" t="s">
        <v>266</v>
      </c>
      <c r="C9" s="15" t="s">
        <v>267</v>
      </c>
      <c r="D9" s="15" t="s">
        <v>268</v>
      </c>
      <c r="E9" s="20">
        <v>8132102</v>
      </c>
      <c r="F9" s="21">
        <v>167074.0356</v>
      </c>
      <c r="G9" s="22">
        <v>4.7500000000000001E-2</v>
      </c>
      <c r="H9" s="40"/>
      <c r="I9" s="24"/>
      <c r="J9" s="5"/>
    </row>
    <row r="10" spans="1:10" ht="13.05" customHeight="1">
      <c r="A10" s="18" t="s">
        <v>297</v>
      </c>
      <c r="B10" s="19" t="s">
        <v>298</v>
      </c>
      <c r="C10" s="15" t="s">
        <v>299</v>
      </c>
      <c r="D10" s="15" t="s">
        <v>300</v>
      </c>
      <c r="E10" s="20">
        <v>14928715</v>
      </c>
      <c r="F10" s="21">
        <v>155676.64000000001</v>
      </c>
      <c r="G10" s="22">
        <v>4.4299999999999999E-2</v>
      </c>
      <c r="H10" s="40"/>
      <c r="I10" s="24"/>
      <c r="J10" s="5"/>
    </row>
    <row r="11" spans="1:10" ht="13.05" customHeight="1">
      <c r="A11" s="18" t="s">
        <v>269</v>
      </c>
      <c r="B11" s="19" t="s">
        <v>270</v>
      </c>
      <c r="C11" s="15" t="s">
        <v>271</v>
      </c>
      <c r="D11" s="15" t="s">
        <v>272</v>
      </c>
      <c r="E11" s="20">
        <v>8450888</v>
      </c>
      <c r="F11" s="21">
        <v>125267.5128</v>
      </c>
      <c r="G11" s="22">
        <v>3.56E-2</v>
      </c>
      <c r="H11" s="40"/>
      <c r="I11" s="24"/>
      <c r="J11" s="5"/>
    </row>
    <row r="12" spans="1:10" ht="13.05" customHeight="1">
      <c r="A12" s="18" t="s">
        <v>273</v>
      </c>
      <c r="B12" s="19" t="s">
        <v>274</v>
      </c>
      <c r="C12" s="15" t="s">
        <v>275</v>
      </c>
      <c r="D12" s="15" t="s">
        <v>276</v>
      </c>
      <c r="E12" s="20">
        <v>2304465</v>
      </c>
      <c r="F12" s="21">
        <v>92890.679699999993</v>
      </c>
      <c r="G12" s="22">
        <v>2.64E-2</v>
      </c>
      <c r="H12" s="40"/>
      <c r="I12" s="24"/>
      <c r="J12" s="5"/>
    </row>
    <row r="13" spans="1:10" ht="13.05" customHeight="1">
      <c r="A13" s="18" t="s">
        <v>301</v>
      </c>
      <c r="B13" s="19" t="s">
        <v>302</v>
      </c>
      <c r="C13" s="15" t="s">
        <v>303</v>
      </c>
      <c r="D13" s="15" t="s">
        <v>304</v>
      </c>
      <c r="E13" s="20">
        <v>28406480</v>
      </c>
      <c r="F13" s="21">
        <v>90261.590200000006</v>
      </c>
      <c r="G13" s="22">
        <v>2.5700000000000001E-2</v>
      </c>
      <c r="H13" s="40"/>
      <c r="I13" s="24"/>
      <c r="J13" s="5"/>
    </row>
    <row r="14" spans="1:10" ht="13.05" customHeight="1">
      <c r="A14" s="18" t="s">
        <v>293</v>
      </c>
      <c r="B14" s="19" t="s">
        <v>294</v>
      </c>
      <c r="C14" s="15" t="s">
        <v>295</v>
      </c>
      <c r="D14" s="15" t="s">
        <v>296</v>
      </c>
      <c r="E14" s="20">
        <v>2565390</v>
      </c>
      <c r="F14" s="21">
        <v>89460.280100000004</v>
      </c>
      <c r="G14" s="22">
        <v>2.5399999999999999E-2</v>
      </c>
      <c r="H14" s="40"/>
      <c r="I14" s="24"/>
      <c r="J14" s="5"/>
    </row>
    <row r="15" spans="1:10" ht="13.05" customHeight="1">
      <c r="A15" s="18" t="s">
        <v>334</v>
      </c>
      <c r="B15" s="19" t="s">
        <v>335</v>
      </c>
      <c r="C15" s="15" t="s">
        <v>336</v>
      </c>
      <c r="D15" s="15" t="s">
        <v>337</v>
      </c>
      <c r="E15" s="20">
        <v>697445</v>
      </c>
      <c r="F15" s="21">
        <v>83323.754199999996</v>
      </c>
      <c r="G15" s="22">
        <v>2.3699999999999999E-2</v>
      </c>
      <c r="H15" s="40"/>
      <c r="I15" s="24"/>
      <c r="J15" s="5"/>
    </row>
    <row r="16" spans="1:10" ht="13.05" customHeight="1">
      <c r="A16" s="18" t="s">
        <v>762</v>
      </c>
      <c r="B16" s="19" t="s">
        <v>763</v>
      </c>
      <c r="C16" s="15" t="s">
        <v>764</v>
      </c>
      <c r="D16" s="15" t="s">
        <v>321</v>
      </c>
      <c r="E16" s="20">
        <v>6009950</v>
      </c>
      <c r="F16" s="21">
        <v>79120.991800000003</v>
      </c>
      <c r="G16" s="22">
        <v>2.2499999999999999E-2</v>
      </c>
      <c r="H16" s="40"/>
      <c r="I16" s="24"/>
      <c r="J16" s="5"/>
    </row>
    <row r="17" spans="1:10" ht="13.05" customHeight="1">
      <c r="A17" s="18" t="s">
        <v>406</v>
      </c>
      <c r="B17" s="19" t="s">
        <v>407</v>
      </c>
      <c r="C17" s="15" t="s">
        <v>408</v>
      </c>
      <c r="D17" s="15" t="s">
        <v>314</v>
      </c>
      <c r="E17" s="20">
        <v>1143834</v>
      </c>
      <c r="F17" s="21">
        <v>77071.534899999999</v>
      </c>
      <c r="G17" s="22">
        <v>2.1899999999999999E-2</v>
      </c>
      <c r="H17" s="40"/>
      <c r="I17" s="24"/>
      <c r="J17" s="5"/>
    </row>
    <row r="18" spans="1:10" ht="13.05" customHeight="1">
      <c r="A18" s="18" t="s">
        <v>287</v>
      </c>
      <c r="B18" s="19" t="s">
        <v>288</v>
      </c>
      <c r="C18" s="15" t="s">
        <v>289</v>
      </c>
      <c r="D18" s="15" t="s">
        <v>272</v>
      </c>
      <c r="E18" s="20">
        <v>2474815</v>
      </c>
      <c r="F18" s="21">
        <v>75679.842699999994</v>
      </c>
      <c r="G18" s="22">
        <v>2.1499999999999998E-2</v>
      </c>
      <c r="H18" s="40"/>
      <c r="I18" s="24"/>
      <c r="J18" s="5"/>
    </row>
    <row r="19" spans="1:10" ht="13.05" customHeight="1">
      <c r="A19" s="18" t="s">
        <v>281</v>
      </c>
      <c r="B19" s="19" t="s">
        <v>282</v>
      </c>
      <c r="C19" s="15" t="s">
        <v>283</v>
      </c>
      <c r="D19" s="15" t="s">
        <v>257</v>
      </c>
      <c r="E19" s="20">
        <v>7828444</v>
      </c>
      <c r="F19" s="21">
        <v>73352.520300000004</v>
      </c>
      <c r="G19" s="22">
        <v>2.0899999999999998E-2</v>
      </c>
      <c r="H19" s="40"/>
      <c r="I19" s="24"/>
      <c r="J19" s="5"/>
    </row>
    <row r="20" spans="1:10" ht="13.05" customHeight="1">
      <c r="A20" s="18" t="s">
        <v>446</v>
      </c>
      <c r="B20" s="19" t="s">
        <v>447</v>
      </c>
      <c r="C20" s="15" t="s">
        <v>448</v>
      </c>
      <c r="D20" s="15" t="s">
        <v>300</v>
      </c>
      <c r="E20" s="20">
        <v>4272945</v>
      </c>
      <c r="F20" s="21">
        <v>72503.330799999996</v>
      </c>
      <c r="G20" s="22">
        <v>2.06E-2</v>
      </c>
      <c r="H20" s="40"/>
      <c r="I20" s="24"/>
      <c r="J20" s="5"/>
    </row>
    <row r="21" spans="1:10" ht="13.05" customHeight="1">
      <c r="A21" s="18" t="s">
        <v>578</v>
      </c>
      <c r="B21" s="19" t="s">
        <v>579</v>
      </c>
      <c r="C21" s="15" t="s">
        <v>580</v>
      </c>
      <c r="D21" s="15" t="s">
        <v>581</v>
      </c>
      <c r="E21" s="20">
        <v>5002712</v>
      </c>
      <c r="F21" s="21">
        <v>72269.177599999995</v>
      </c>
      <c r="G21" s="22">
        <v>2.0500000000000001E-2</v>
      </c>
      <c r="H21" s="40"/>
      <c r="I21" s="24"/>
      <c r="J21" s="5"/>
    </row>
    <row r="22" spans="1:10" ht="13.05" customHeight="1">
      <c r="A22" s="18" t="s">
        <v>345</v>
      </c>
      <c r="B22" s="19" t="s">
        <v>346</v>
      </c>
      <c r="C22" s="15" t="s">
        <v>347</v>
      </c>
      <c r="D22" s="15" t="s">
        <v>348</v>
      </c>
      <c r="E22" s="20">
        <v>1231714</v>
      </c>
      <c r="F22" s="21">
        <v>69283.912500000006</v>
      </c>
      <c r="G22" s="22">
        <v>1.9699999999999999E-2</v>
      </c>
      <c r="H22" s="40"/>
      <c r="I22" s="24"/>
      <c r="J22" s="5"/>
    </row>
    <row r="23" spans="1:10" ht="13.05" customHeight="1">
      <c r="A23" s="18" t="s">
        <v>532</v>
      </c>
      <c r="B23" s="19" t="s">
        <v>533</v>
      </c>
      <c r="C23" s="15" t="s">
        <v>534</v>
      </c>
      <c r="D23" s="15" t="s">
        <v>445</v>
      </c>
      <c r="E23" s="20">
        <v>8444485</v>
      </c>
      <c r="F23" s="21">
        <v>62206.298799999997</v>
      </c>
      <c r="G23" s="22">
        <v>1.77E-2</v>
      </c>
      <c r="H23" s="40"/>
      <c r="I23" s="24"/>
      <c r="J23" s="5"/>
    </row>
    <row r="24" spans="1:10" ht="13.05" customHeight="1">
      <c r="A24" s="18" t="s">
        <v>712</v>
      </c>
      <c r="B24" s="19" t="s">
        <v>713</v>
      </c>
      <c r="C24" s="15" t="s">
        <v>714</v>
      </c>
      <c r="D24" s="15" t="s">
        <v>603</v>
      </c>
      <c r="E24" s="20">
        <v>1722784</v>
      </c>
      <c r="F24" s="21">
        <v>61630.874799999998</v>
      </c>
      <c r="G24" s="22">
        <v>1.7500000000000002E-2</v>
      </c>
      <c r="H24" s="40"/>
      <c r="I24" s="24"/>
      <c r="J24" s="5"/>
    </row>
    <row r="25" spans="1:10" ht="13.05" customHeight="1">
      <c r="A25" s="18" t="s">
        <v>461</v>
      </c>
      <c r="B25" s="19" t="s">
        <v>462</v>
      </c>
      <c r="C25" s="15" t="s">
        <v>463</v>
      </c>
      <c r="D25" s="15" t="s">
        <v>464</v>
      </c>
      <c r="E25" s="20">
        <v>7011391</v>
      </c>
      <c r="F25" s="21">
        <v>52010.498399999997</v>
      </c>
      <c r="G25" s="22">
        <v>1.4800000000000001E-2</v>
      </c>
      <c r="H25" s="40"/>
      <c r="I25" s="24"/>
      <c r="J25" s="5"/>
    </row>
    <row r="26" spans="1:10" ht="13.05" customHeight="1">
      <c r="A26" s="18" t="s">
        <v>258</v>
      </c>
      <c r="B26" s="19" t="s">
        <v>259</v>
      </c>
      <c r="C26" s="15" t="s">
        <v>260</v>
      </c>
      <c r="D26" s="15" t="s">
        <v>261</v>
      </c>
      <c r="E26" s="20">
        <v>3457809</v>
      </c>
      <c r="F26" s="21">
        <v>51396.873</v>
      </c>
      <c r="G26" s="22">
        <v>1.46E-2</v>
      </c>
      <c r="H26" s="40"/>
      <c r="I26" s="24"/>
      <c r="J26" s="5"/>
    </row>
    <row r="27" spans="1:10" ht="13.05" customHeight="1">
      <c r="A27" s="18" t="s">
        <v>709</v>
      </c>
      <c r="B27" s="19" t="s">
        <v>710</v>
      </c>
      <c r="C27" s="15" t="s">
        <v>711</v>
      </c>
      <c r="D27" s="15" t="s">
        <v>304</v>
      </c>
      <c r="E27" s="20">
        <v>35112106</v>
      </c>
      <c r="F27" s="21">
        <v>50803.706200000001</v>
      </c>
      <c r="G27" s="22">
        <v>1.44E-2</v>
      </c>
      <c r="H27" s="40"/>
      <c r="I27" s="24"/>
      <c r="J27" s="5"/>
    </row>
    <row r="28" spans="1:10" ht="13.05" customHeight="1">
      <c r="A28" s="18" t="s">
        <v>311</v>
      </c>
      <c r="B28" s="19" t="s">
        <v>312</v>
      </c>
      <c r="C28" s="15" t="s">
        <v>313</v>
      </c>
      <c r="D28" s="15" t="s">
        <v>314</v>
      </c>
      <c r="E28" s="20">
        <v>2595242</v>
      </c>
      <c r="F28" s="21">
        <v>43877.756500000003</v>
      </c>
      <c r="G28" s="22">
        <v>1.2500000000000001E-2</v>
      </c>
      <c r="H28" s="40"/>
      <c r="I28" s="24"/>
      <c r="J28" s="5"/>
    </row>
    <row r="29" spans="1:10" ht="13.05" customHeight="1">
      <c r="A29" s="18" t="s">
        <v>495</v>
      </c>
      <c r="B29" s="19" t="s">
        <v>496</v>
      </c>
      <c r="C29" s="15" t="s">
        <v>497</v>
      </c>
      <c r="D29" s="15" t="s">
        <v>257</v>
      </c>
      <c r="E29" s="20">
        <v>18357311</v>
      </c>
      <c r="F29" s="21">
        <v>43435.2336</v>
      </c>
      <c r="G29" s="22">
        <v>1.23E-2</v>
      </c>
      <c r="H29" s="40"/>
      <c r="I29" s="24"/>
      <c r="J29" s="5"/>
    </row>
    <row r="30" spans="1:10" ht="13.05" customHeight="1">
      <c r="A30" s="18" t="s">
        <v>423</v>
      </c>
      <c r="B30" s="19" t="s">
        <v>424</v>
      </c>
      <c r="C30" s="15" t="s">
        <v>425</v>
      </c>
      <c r="D30" s="15" t="s">
        <v>296</v>
      </c>
      <c r="E30" s="20">
        <v>1209749</v>
      </c>
      <c r="F30" s="21">
        <v>42446.463199999998</v>
      </c>
      <c r="G30" s="22">
        <v>1.21E-2</v>
      </c>
      <c r="H30" s="40"/>
      <c r="I30" s="24"/>
      <c r="J30" s="5"/>
    </row>
    <row r="31" spans="1:10" ht="13.05" customHeight="1">
      <c r="A31" s="18" t="s">
        <v>290</v>
      </c>
      <c r="B31" s="19" t="s">
        <v>291</v>
      </c>
      <c r="C31" s="15" t="s">
        <v>292</v>
      </c>
      <c r="D31" s="15" t="s">
        <v>257</v>
      </c>
      <c r="E31" s="20">
        <v>1902013</v>
      </c>
      <c r="F31" s="21">
        <v>39984.117299999998</v>
      </c>
      <c r="G31" s="22">
        <v>1.14E-2</v>
      </c>
      <c r="H31" s="40"/>
      <c r="I31" s="24"/>
      <c r="J31" s="5"/>
    </row>
    <row r="32" spans="1:10" ht="13.05" customHeight="1">
      <c r="A32" s="18" t="s">
        <v>305</v>
      </c>
      <c r="B32" s="19" t="s">
        <v>306</v>
      </c>
      <c r="C32" s="15" t="s">
        <v>307</v>
      </c>
      <c r="D32" s="15" t="s">
        <v>280</v>
      </c>
      <c r="E32" s="20">
        <v>1579415</v>
      </c>
      <c r="F32" s="21">
        <v>38940.476799999997</v>
      </c>
      <c r="G32" s="22">
        <v>1.11E-2</v>
      </c>
      <c r="H32" s="40"/>
      <c r="I32" s="24"/>
      <c r="J32" s="5"/>
    </row>
    <row r="33" spans="1:10" ht="13.05" customHeight="1">
      <c r="A33" s="18" t="s">
        <v>429</v>
      </c>
      <c r="B33" s="19" t="s">
        <v>430</v>
      </c>
      <c r="C33" s="15" t="s">
        <v>431</v>
      </c>
      <c r="D33" s="15" t="s">
        <v>415</v>
      </c>
      <c r="E33" s="20">
        <v>493873</v>
      </c>
      <c r="F33" s="21">
        <v>37934.3851</v>
      </c>
      <c r="G33" s="22">
        <v>1.0800000000000001E-2</v>
      </c>
      <c r="H33" s="40"/>
      <c r="I33" s="24"/>
      <c r="J33" s="5"/>
    </row>
    <row r="34" spans="1:10" ht="13.05" customHeight="1">
      <c r="A34" s="18" t="s">
        <v>491</v>
      </c>
      <c r="B34" s="19" t="s">
        <v>492</v>
      </c>
      <c r="C34" s="15" t="s">
        <v>493</v>
      </c>
      <c r="D34" s="15" t="s">
        <v>494</v>
      </c>
      <c r="E34" s="20">
        <v>2120387</v>
      </c>
      <c r="F34" s="21">
        <v>37857.389499999997</v>
      </c>
      <c r="G34" s="22">
        <v>1.0800000000000001E-2</v>
      </c>
      <c r="H34" s="40"/>
      <c r="I34" s="24"/>
      <c r="J34" s="5"/>
    </row>
    <row r="35" spans="1:10" ht="13.05" customHeight="1">
      <c r="A35" s="18" t="s">
        <v>640</v>
      </c>
      <c r="B35" s="19" t="s">
        <v>641</v>
      </c>
      <c r="C35" s="15" t="s">
        <v>642</v>
      </c>
      <c r="D35" s="15" t="s">
        <v>296</v>
      </c>
      <c r="E35" s="20">
        <v>1516327</v>
      </c>
      <c r="F35" s="21">
        <v>36978.666499999999</v>
      </c>
      <c r="G35" s="22">
        <v>1.0500000000000001E-2</v>
      </c>
      <c r="H35" s="40"/>
      <c r="I35" s="24"/>
      <c r="J35" s="5"/>
    </row>
    <row r="36" spans="1:10" ht="13.05" customHeight="1">
      <c r="A36" s="18" t="s">
        <v>322</v>
      </c>
      <c r="B36" s="19" t="s">
        <v>323</v>
      </c>
      <c r="C36" s="15" t="s">
        <v>324</v>
      </c>
      <c r="D36" s="15" t="s">
        <v>325</v>
      </c>
      <c r="E36" s="20">
        <v>967311</v>
      </c>
      <c r="F36" s="21">
        <v>36242.241199999997</v>
      </c>
      <c r="G36" s="22">
        <v>1.03E-2</v>
      </c>
      <c r="H36" s="40"/>
      <c r="I36" s="24"/>
      <c r="J36" s="5"/>
    </row>
    <row r="37" spans="1:10" ht="13.05" customHeight="1">
      <c r="A37" s="18" t="s">
        <v>523</v>
      </c>
      <c r="B37" s="19" t="s">
        <v>524</v>
      </c>
      <c r="C37" s="15" t="s">
        <v>525</v>
      </c>
      <c r="D37" s="15" t="s">
        <v>304</v>
      </c>
      <c r="E37" s="20">
        <v>2582255</v>
      </c>
      <c r="F37" s="21">
        <v>35591.220699999998</v>
      </c>
      <c r="G37" s="22">
        <v>1.01E-2</v>
      </c>
      <c r="H37" s="40"/>
      <c r="I37" s="24"/>
      <c r="J37" s="5"/>
    </row>
    <row r="38" spans="1:10" ht="13.05" customHeight="1">
      <c r="A38" s="18" t="s">
        <v>326</v>
      </c>
      <c r="B38" s="19" t="s">
        <v>327</v>
      </c>
      <c r="C38" s="15" t="s">
        <v>328</v>
      </c>
      <c r="D38" s="15" t="s">
        <v>329</v>
      </c>
      <c r="E38" s="20">
        <v>8147312</v>
      </c>
      <c r="F38" s="21">
        <v>34715.696400000001</v>
      </c>
      <c r="G38" s="22">
        <v>9.9000000000000008E-3</v>
      </c>
      <c r="H38" s="40"/>
      <c r="I38" s="24"/>
      <c r="J38" s="5"/>
    </row>
    <row r="39" spans="1:10" ht="13.05" customHeight="1">
      <c r="A39" s="18" t="s">
        <v>426</v>
      </c>
      <c r="B39" s="19" t="s">
        <v>427</v>
      </c>
      <c r="C39" s="15" t="s">
        <v>428</v>
      </c>
      <c r="D39" s="15" t="s">
        <v>405</v>
      </c>
      <c r="E39" s="20">
        <v>4727026</v>
      </c>
      <c r="F39" s="21">
        <v>34594.739800000003</v>
      </c>
      <c r="G39" s="22">
        <v>9.7999999999999997E-3</v>
      </c>
      <c r="H39" s="40"/>
      <c r="I39" s="24"/>
      <c r="J39" s="5"/>
    </row>
    <row r="40" spans="1:10" ht="13.05" customHeight="1">
      <c r="A40" s="18" t="s">
        <v>739</v>
      </c>
      <c r="B40" s="19" t="s">
        <v>740</v>
      </c>
      <c r="C40" s="15" t="s">
        <v>741</v>
      </c>
      <c r="D40" s="15" t="s">
        <v>314</v>
      </c>
      <c r="E40" s="20">
        <v>1330911</v>
      </c>
      <c r="F40" s="21">
        <v>31728.9182</v>
      </c>
      <c r="G40" s="22">
        <v>8.9999999999999993E-3</v>
      </c>
      <c r="H40" s="40"/>
      <c r="I40" s="24"/>
      <c r="J40" s="5"/>
    </row>
    <row r="41" spans="1:10" ht="13.05" customHeight="1">
      <c r="A41" s="18" t="s">
        <v>514</v>
      </c>
      <c r="B41" s="19" t="s">
        <v>515</v>
      </c>
      <c r="C41" s="15" t="s">
        <v>516</v>
      </c>
      <c r="D41" s="15" t="s">
        <v>415</v>
      </c>
      <c r="E41" s="20">
        <v>3044657</v>
      </c>
      <c r="F41" s="21">
        <v>31148.363399999998</v>
      </c>
      <c r="G41" s="22">
        <v>8.8999999999999999E-3</v>
      </c>
      <c r="H41" s="40"/>
      <c r="I41" s="24"/>
      <c r="J41" s="5"/>
    </row>
    <row r="42" spans="1:10" ht="13.05" customHeight="1">
      <c r="A42" s="18" t="s">
        <v>828</v>
      </c>
      <c r="B42" s="19" t="s">
        <v>829</v>
      </c>
      <c r="C42" s="15" t="s">
        <v>830</v>
      </c>
      <c r="D42" s="15" t="s">
        <v>567</v>
      </c>
      <c r="E42" s="20">
        <v>6411235</v>
      </c>
      <c r="F42" s="21">
        <v>30309.113499999999</v>
      </c>
      <c r="G42" s="22">
        <v>8.6E-3</v>
      </c>
      <c r="H42" s="40"/>
      <c r="I42" s="24"/>
      <c r="J42" s="5"/>
    </row>
    <row r="43" spans="1:10" ht="13.05" customHeight="1">
      <c r="A43" s="18" t="s">
        <v>498</v>
      </c>
      <c r="B43" s="19" t="s">
        <v>499</v>
      </c>
      <c r="C43" s="15" t="s">
        <v>500</v>
      </c>
      <c r="D43" s="15" t="s">
        <v>501</v>
      </c>
      <c r="E43" s="20">
        <v>679166</v>
      </c>
      <c r="F43" s="21">
        <v>29503.6502</v>
      </c>
      <c r="G43" s="22">
        <v>8.3999999999999995E-3</v>
      </c>
      <c r="H43" s="40"/>
      <c r="I43" s="24"/>
      <c r="J43" s="5"/>
    </row>
    <row r="44" spans="1:10" ht="13.05" customHeight="1">
      <c r="A44" s="18" t="s">
        <v>382</v>
      </c>
      <c r="B44" s="19" t="s">
        <v>383</v>
      </c>
      <c r="C44" s="15" t="s">
        <v>384</v>
      </c>
      <c r="D44" s="15" t="s">
        <v>296</v>
      </c>
      <c r="E44" s="20">
        <v>320326</v>
      </c>
      <c r="F44" s="21">
        <v>28484.989600000001</v>
      </c>
      <c r="G44" s="22">
        <v>8.0999999999999996E-3</v>
      </c>
      <c r="H44" s="40"/>
      <c r="I44" s="24"/>
      <c r="J44" s="5"/>
    </row>
    <row r="45" spans="1:10" ht="13.05" customHeight="1">
      <c r="A45" s="18" t="s">
        <v>485</v>
      </c>
      <c r="B45" s="19" t="s">
        <v>486</v>
      </c>
      <c r="C45" s="15" t="s">
        <v>487</v>
      </c>
      <c r="D45" s="15" t="s">
        <v>304</v>
      </c>
      <c r="E45" s="20">
        <v>660897</v>
      </c>
      <c r="F45" s="21">
        <v>27450.356899999999</v>
      </c>
      <c r="G45" s="22">
        <v>7.7999999999999996E-3</v>
      </c>
      <c r="H45" s="40"/>
      <c r="I45" s="24"/>
      <c r="J45" s="5"/>
    </row>
    <row r="46" spans="1:10" ht="13.05" customHeight="1">
      <c r="A46" s="18" t="s">
        <v>368</v>
      </c>
      <c r="B46" s="19" t="s">
        <v>369</v>
      </c>
      <c r="C46" s="15" t="s">
        <v>370</v>
      </c>
      <c r="D46" s="15" t="s">
        <v>304</v>
      </c>
      <c r="E46" s="20">
        <v>543187</v>
      </c>
      <c r="F46" s="21">
        <v>25498.827300000001</v>
      </c>
      <c r="G46" s="22">
        <v>7.1999999999999998E-3</v>
      </c>
      <c r="H46" s="40"/>
      <c r="I46" s="24"/>
      <c r="J46" s="5"/>
    </row>
    <row r="47" spans="1:10" ht="13.05" customHeight="1">
      <c r="A47" s="18" t="s">
        <v>412</v>
      </c>
      <c r="B47" s="19" t="s">
        <v>413</v>
      </c>
      <c r="C47" s="15" t="s">
        <v>414</v>
      </c>
      <c r="D47" s="15" t="s">
        <v>415</v>
      </c>
      <c r="E47" s="20">
        <v>2171577</v>
      </c>
      <c r="F47" s="21">
        <v>24925.360799999999</v>
      </c>
      <c r="G47" s="22">
        <v>7.1000000000000004E-3</v>
      </c>
      <c r="H47" s="40"/>
      <c r="I47" s="24"/>
      <c r="J47" s="5"/>
    </row>
    <row r="48" spans="1:10" ht="13.05" customHeight="1">
      <c r="A48" s="18" t="s">
        <v>801</v>
      </c>
      <c r="B48" s="19" t="s">
        <v>802</v>
      </c>
      <c r="C48" s="15" t="s">
        <v>803</v>
      </c>
      <c r="D48" s="15" t="s">
        <v>257</v>
      </c>
      <c r="E48" s="20">
        <v>9996152</v>
      </c>
      <c r="F48" s="21">
        <v>24305.643599999999</v>
      </c>
      <c r="G48" s="22">
        <v>6.8999999999999999E-3</v>
      </c>
      <c r="H48" s="40"/>
      <c r="I48" s="24"/>
      <c r="J48" s="5"/>
    </row>
    <row r="49" spans="1:10" ht="13.05" customHeight="1">
      <c r="A49" s="18" t="s">
        <v>546</v>
      </c>
      <c r="B49" s="19" t="s">
        <v>547</v>
      </c>
      <c r="C49" s="15" t="s">
        <v>548</v>
      </c>
      <c r="D49" s="15" t="s">
        <v>405</v>
      </c>
      <c r="E49" s="20">
        <v>1159089</v>
      </c>
      <c r="F49" s="21">
        <v>23108.757399999999</v>
      </c>
      <c r="G49" s="22">
        <v>6.6E-3</v>
      </c>
      <c r="H49" s="40"/>
      <c r="I49" s="24"/>
      <c r="J49" s="5"/>
    </row>
    <row r="50" spans="1:10" ht="13.05" customHeight="1">
      <c r="A50" s="18" t="s">
        <v>388</v>
      </c>
      <c r="B50" s="19" t="s">
        <v>389</v>
      </c>
      <c r="C50" s="15" t="s">
        <v>390</v>
      </c>
      <c r="D50" s="15" t="s">
        <v>391</v>
      </c>
      <c r="E50" s="20">
        <v>1717524</v>
      </c>
      <c r="F50" s="21">
        <v>21840.035199999998</v>
      </c>
      <c r="G50" s="22">
        <v>6.1999999999999998E-3</v>
      </c>
      <c r="H50" s="40"/>
      <c r="I50" s="24"/>
      <c r="J50" s="5"/>
    </row>
    <row r="51" spans="1:10" ht="13.05" customHeight="1">
      <c r="A51" s="18" t="s">
        <v>616</v>
      </c>
      <c r="B51" s="19" t="s">
        <v>617</v>
      </c>
      <c r="C51" s="15" t="s">
        <v>618</v>
      </c>
      <c r="D51" s="15" t="s">
        <v>445</v>
      </c>
      <c r="E51" s="20">
        <v>716614</v>
      </c>
      <c r="F51" s="21">
        <v>21766.4336</v>
      </c>
      <c r="G51" s="22">
        <v>6.1999999999999998E-3</v>
      </c>
      <c r="H51" s="40"/>
      <c r="I51" s="24"/>
      <c r="J51" s="5"/>
    </row>
    <row r="52" spans="1:10" ht="13.05" customHeight="1">
      <c r="A52" s="18" t="s">
        <v>472</v>
      </c>
      <c r="B52" s="19" t="s">
        <v>473</v>
      </c>
      <c r="C52" s="15" t="s">
        <v>474</v>
      </c>
      <c r="D52" s="15" t="s">
        <v>475</v>
      </c>
      <c r="E52" s="20">
        <v>4620621</v>
      </c>
      <c r="F52" s="21">
        <v>21700.746500000001</v>
      </c>
      <c r="G52" s="22">
        <v>6.1999999999999998E-3</v>
      </c>
      <c r="H52" s="40"/>
      <c r="I52" s="24"/>
      <c r="J52" s="5"/>
    </row>
    <row r="53" spans="1:10" ht="13.05" customHeight="1">
      <c r="A53" s="18" t="s">
        <v>986</v>
      </c>
      <c r="B53" s="19" t="s">
        <v>987</v>
      </c>
      <c r="C53" s="15" t="s">
        <v>988</v>
      </c>
      <c r="D53" s="15" t="s">
        <v>445</v>
      </c>
      <c r="E53" s="20">
        <v>247495</v>
      </c>
      <c r="F53" s="21">
        <v>21460.291499999999</v>
      </c>
      <c r="G53" s="22">
        <v>6.1000000000000004E-3</v>
      </c>
      <c r="H53" s="40"/>
      <c r="I53" s="24"/>
      <c r="J53" s="5"/>
    </row>
    <row r="54" spans="1:10" ht="13.05" customHeight="1">
      <c r="A54" s="18" t="s">
        <v>862</v>
      </c>
      <c r="B54" s="19" t="s">
        <v>863</v>
      </c>
      <c r="C54" s="15" t="s">
        <v>864</v>
      </c>
      <c r="D54" s="15" t="s">
        <v>581</v>
      </c>
      <c r="E54" s="20">
        <v>376903</v>
      </c>
      <c r="F54" s="21">
        <v>21435.981199999998</v>
      </c>
      <c r="G54" s="22">
        <v>6.1000000000000004E-3</v>
      </c>
      <c r="H54" s="40"/>
      <c r="I54" s="24"/>
      <c r="J54" s="5"/>
    </row>
    <row r="55" spans="1:10" ht="13.05" customHeight="1">
      <c r="A55" s="18" t="s">
        <v>810</v>
      </c>
      <c r="B55" s="19" t="s">
        <v>811</v>
      </c>
      <c r="C55" s="15" t="s">
        <v>812</v>
      </c>
      <c r="D55" s="15" t="s">
        <v>567</v>
      </c>
      <c r="E55" s="20">
        <v>1631577</v>
      </c>
      <c r="F55" s="21">
        <v>20153.239099999999</v>
      </c>
      <c r="G55" s="22">
        <v>5.7000000000000002E-3</v>
      </c>
      <c r="H55" s="40"/>
      <c r="I55" s="24"/>
      <c r="J55" s="5"/>
    </row>
    <row r="56" spans="1:10" ht="13.05" customHeight="1">
      <c r="A56" s="18" t="s">
        <v>395</v>
      </c>
      <c r="B56" s="19" t="s">
        <v>396</v>
      </c>
      <c r="C56" s="15" t="s">
        <v>397</v>
      </c>
      <c r="D56" s="15" t="s">
        <v>329</v>
      </c>
      <c r="E56" s="20">
        <v>403341</v>
      </c>
      <c r="F56" s="21">
        <v>18875.552100000001</v>
      </c>
      <c r="G56" s="22">
        <v>5.4000000000000003E-3</v>
      </c>
      <c r="H56" s="40"/>
      <c r="I56" s="24"/>
      <c r="J56" s="5"/>
    </row>
    <row r="57" spans="1:10" ht="13.05" customHeight="1">
      <c r="A57" s="18" t="s">
        <v>940</v>
      </c>
      <c r="B57" s="19" t="s">
        <v>941</v>
      </c>
      <c r="C57" s="15" t="s">
        <v>942</v>
      </c>
      <c r="D57" s="15" t="s">
        <v>567</v>
      </c>
      <c r="E57" s="20">
        <v>462163</v>
      </c>
      <c r="F57" s="21">
        <v>18585.422900000001</v>
      </c>
      <c r="G57" s="22">
        <v>5.3E-3</v>
      </c>
      <c r="H57" s="40"/>
      <c r="I57" s="24"/>
      <c r="J57" s="5"/>
    </row>
    <row r="58" spans="1:10" ht="13.05" customHeight="1">
      <c r="A58" s="18" t="s">
        <v>1013</v>
      </c>
      <c r="B58" s="19" t="s">
        <v>1014</v>
      </c>
      <c r="C58" s="15" t="s">
        <v>1015</v>
      </c>
      <c r="D58" s="15" t="s">
        <v>314</v>
      </c>
      <c r="E58" s="20">
        <v>1087630</v>
      </c>
      <c r="F58" s="21">
        <v>18297.199499999999</v>
      </c>
      <c r="G58" s="22">
        <v>5.1999999999999998E-3</v>
      </c>
      <c r="H58" s="40"/>
      <c r="I58" s="24"/>
      <c r="J58" s="5"/>
    </row>
    <row r="59" spans="1:10" ht="13.05" customHeight="1">
      <c r="A59" s="18" t="s">
        <v>1052</v>
      </c>
      <c r="B59" s="19" t="s">
        <v>1053</v>
      </c>
      <c r="C59" s="15" t="s">
        <v>1054</v>
      </c>
      <c r="D59" s="15" t="s">
        <v>445</v>
      </c>
      <c r="E59" s="20">
        <v>1641930</v>
      </c>
      <c r="F59" s="21">
        <v>17949.578799999999</v>
      </c>
      <c r="G59" s="22">
        <v>5.1000000000000004E-3</v>
      </c>
      <c r="H59" s="40"/>
      <c r="I59" s="24"/>
      <c r="J59" s="5"/>
    </row>
    <row r="60" spans="1:10" ht="13.05" customHeight="1">
      <c r="A60" s="18" t="s">
        <v>416</v>
      </c>
      <c r="B60" s="19" t="s">
        <v>417</v>
      </c>
      <c r="C60" s="15" t="s">
        <v>418</v>
      </c>
      <c r="D60" s="15" t="s">
        <v>314</v>
      </c>
      <c r="E60" s="20">
        <v>1186051</v>
      </c>
      <c r="F60" s="21">
        <v>17806.183700000001</v>
      </c>
      <c r="G60" s="22">
        <v>5.1000000000000004E-3</v>
      </c>
      <c r="H60" s="40"/>
      <c r="I60" s="24"/>
      <c r="J60" s="5"/>
    </row>
    <row r="61" spans="1:10" ht="13.05" customHeight="1">
      <c r="A61" s="18" t="s">
        <v>308</v>
      </c>
      <c r="B61" s="19" t="s">
        <v>309</v>
      </c>
      <c r="C61" s="15" t="s">
        <v>310</v>
      </c>
      <c r="D61" s="15" t="s">
        <v>296</v>
      </c>
      <c r="E61" s="20">
        <v>109087</v>
      </c>
      <c r="F61" s="21">
        <v>17656.821800000002</v>
      </c>
      <c r="G61" s="22">
        <v>5.0000000000000001E-3</v>
      </c>
      <c r="H61" s="40"/>
      <c r="I61" s="24"/>
      <c r="J61" s="5"/>
    </row>
    <row r="62" spans="1:10" ht="13.05" customHeight="1">
      <c r="A62" s="18" t="s">
        <v>561</v>
      </c>
      <c r="B62" s="19" t="s">
        <v>562</v>
      </c>
      <c r="C62" s="15" t="s">
        <v>563</v>
      </c>
      <c r="D62" s="15" t="s">
        <v>300</v>
      </c>
      <c r="E62" s="20">
        <v>4591995</v>
      </c>
      <c r="F62" s="21">
        <v>17213.0933</v>
      </c>
      <c r="G62" s="22">
        <v>4.8999999999999998E-3</v>
      </c>
      <c r="H62" s="40"/>
      <c r="I62" s="24"/>
      <c r="J62" s="5"/>
    </row>
    <row r="63" spans="1:10" ht="13.05" customHeight="1">
      <c r="A63" s="18" t="s">
        <v>706</v>
      </c>
      <c r="B63" s="19" t="s">
        <v>707</v>
      </c>
      <c r="C63" s="15" t="s">
        <v>708</v>
      </c>
      <c r="D63" s="15" t="s">
        <v>541</v>
      </c>
      <c r="E63" s="20">
        <v>943949</v>
      </c>
      <c r="F63" s="21">
        <v>16469.0782</v>
      </c>
      <c r="G63" s="22">
        <v>4.7000000000000002E-3</v>
      </c>
      <c r="H63" s="40"/>
      <c r="I63" s="24"/>
      <c r="J63" s="5"/>
    </row>
    <row r="64" spans="1:10" ht="13.05" customHeight="1">
      <c r="A64" s="18" t="s">
        <v>765</v>
      </c>
      <c r="B64" s="19" t="s">
        <v>766</v>
      </c>
      <c r="C64" s="15" t="s">
        <v>767</v>
      </c>
      <c r="D64" s="15" t="s">
        <v>325</v>
      </c>
      <c r="E64" s="20">
        <v>849058</v>
      </c>
      <c r="F64" s="21">
        <v>16449.649700000002</v>
      </c>
      <c r="G64" s="22">
        <v>4.7000000000000002E-3</v>
      </c>
      <c r="H64" s="40"/>
      <c r="I64" s="24"/>
      <c r="J64" s="5"/>
    </row>
    <row r="65" spans="1:10" ht="13.05" customHeight="1">
      <c r="A65" s="18" t="s">
        <v>476</v>
      </c>
      <c r="B65" s="19" t="s">
        <v>477</v>
      </c>
      <c r="C65" s="15" t="s">
        <v>478</v>
      </c>
      <c r="D65" s="15" t="s">
        <v>325</v>
      </c>
      <c r="E65" s="20">
        <v>103252</v>
      </c>
      <c r="F65" s="21">
        <v>15997.8649</v>
      </c>
      <c r="G65" s="22">
        <v>4.4999999999999997E-3</v>
      </c>
      <c r="H65" s="40"/>
      <c r="I65" s="24"/>
      <c r="J65" s="5"/>
    </row>
    <row r="66" spans="1:10" ht="13.05" customHeight="1">
      <c r="A66" s="18" t="s">
        <v>682</v>
      </c>
      <c r="B66" s="19" t="s">
        <v>683</v>
      </c>
      <c r="C66" s="15" t="s">
        <v>684</v>
      </c>
      <c r="D66" s="15" t="s">
        <v>300</v>
      </c>
      <c r="E66" s="20">
        <v>329811</v>
      </c>
      <c r="F66" s="21">
        <v>15153.1664</v>
      </c>
      <c r="G66" s="22">
        <v>4.3E-3</v>
      </c>
      <c r="H66" s="40"/>
      <c r="I66" s="24"/>
      <c r="J66" s="5"/>
    </row>
    <row r="67" spans="1:10" ht="13.05" customHeight="1">
      <c r="A67" s="18" t="s">
        <v>649</v>
      </c>
      <c r="B67" s="19" t="s">
        <v>650</v>
      </c>
      <c r="C67" s="15" t="s">
        <v>651</v>
      </c>
      <c r="D67" s="15" t="s">
        <v>581</v>
      </c>
      <c r="E67" s="20">
        <v>107665</v>
      </c>
      <c r="F67" s="21">
        <v>14941.7487</v>
      </c>
      <c r="G67" s="22">
        <v>4.1999999999999997E-3</v>
      </c>
      <c r="H67" s="40"/>
      <c r="I67" s="24"/>
      <c r="J67" s="5"/>
    </row>
    <row r="68" spans="1:10" ht="13.05" customHeight="1">
      <c r="A68" s="18" t="s">
        <v>469</v>
      </c>
      <c r="B68" s="19" t="s">
        <v>470</v>
      </c>
      <c r="C68" s="15" t="s">
        <v>471</v>
      </c>
      <c r="D68" s="15" t="s">
        <v>272</v>
      </c>
      <c r="E68" s="20">
        <v>251573</v>
      </c>
      <c r="F68" s="21">
        <v>14884.5681</v>
      </c>
      <c r="G68" s="22">
        <v>4.1999999999999997E-3</v>
      </c>
      <c r="H68" s="40"/>
      <c r="I68" s="24"/>
      <c r="J68" s="5"/>
    </row>
    <row r="69" spans="1:10" ht="13.05" customHeight="1">
      <c r="A69" s="18" t="s">
        <v>574</v>
      </c>
      <c r="B69" s="19" t="s">
        <v>575</v>
      </c>
      <c r="C69" s="15" t="s">
        <v>576</v>
      </c>
      <c r="D69" s="15" t="s">
        <v>577</v>
      </c>
      <c r="E69" s="20">
        <v>1328430</v>
      </c>
      <c r="F69" s="21">
        <v>14859.817999999999</v>
      </c>
      <c r="G69" s="22">
        <v>4.1999999999999997E-3</v>
      </c>
      <c r="H69" s="40"/>
      <c r="I69" s="24"/>
      <c r="J69" s="5"/>
    </row>
    <row r="70" spans="1:10" ht="13.05" customHeight="1">
      <c r="A70" s="18" t="s">
        <v>907</v>
      </c>
      <c r="B70" s="19" t="s">
        <v>908</v>
      </c>
      <c r="C70" s="15" t="s">
        <v>909</v>
      </c>
      <c r="D70" s="15" t="s">
        <v>415</v>
      </c>
      <c r="E70" s="20">
        <v>1960842</v>
      </c>
      <c r="F70" s="21">
        <v>14138.6512</v>
      </c>
      <c r="G70" s="22">
        <v>4.0000000000000001E-3</v>
      </c>
      <c r="H70" s="40"/>
      <c r="I70" s="24"/>
      <c r="J70" s="5"/>
    </row>
    <row r="71" spans="1:10" ht="13.05" customHeight="1">
      <c r="A71" s="18" t="s">
        <v>385</v>
      </c>
      <c r="B71" s="19" t="s">
        <v>386</v>
      </c>
      <c r="C71" s="15" t="s">
        <v>387</v>
      </c>
      <c r="D71" s="15" t="s">
        <v>296</v>
      </c>
      <c r="E71" s="20">
        <v>200034</v>
      </c>
      <c r="F71" s="21">
        <v>14016.3824</v>
      </c>
      <c r="G71" s="22">
        <v>4.0000000000000001E-3</v>
      </c>
      <c r="H71" s="40"/>
      <c r="I71" s="24"/>
      <c r="J71" s="5"/>
    </row>
    <row r="72" spans="1:10" ht="13.05" customHeight="1">
      <c r="A72" s="18" t="s">
        <v>843</v>
      </c>
      <c r="B72" s="19" t="s">
        <v>844</v>
      </c>
      <c r="C72" s="15" t="s">
        <v>845</v>
      </c>
      <c r="D72" s="15" t="s">
        <v>846</v>
      </c>
      <c r="E72" s="20">
        <v>200473</v>
      </c>
      <c r="F72" s="21">
        <v>13440.712299999999</v>
      </c>
      <c r="G72" s="22">
        <v>3.8E-3</v>
      </c>
      <c r="H72" s="40"/>
      <c r="I72" s="24"/>
      <c r="J72" s="5"/>
    </row>
    <row r="73" spans="1:10" ht="13.05" customHeight="1">
      <c r="A73" s="18" t="s">
        <v>759</v>
      </c>
      <c r="B73" s="19" t="s">
        <v>760</v>
      </c>
      <c r="C73" s="15" t="s">
        <v>761</v>
      </c>
      <c r="D73" s="15" t="s">
        <v>603</v>
      </c>
      <c r="E73" s="20">
        <v>616673</v>
      </c>
      <c r="F73" s="21">
        <v>13101.8346</v>
      </c>
      <c r="G73" s="22">
        <v>3.7000000000000002E-3</v>
      </c>
      <c r="H73" s="40"/>
      <c r="I73" s="24"/>
      <c r="J73" s="5"/>
    </row>
    <row r="74" spans="1:10" ht="13.05" customHeight="1">
      <c r="A74" s="18" t="s">
        <v>730</v>
      </c>
      <c r="B74" s="19" t="s">
        <v>731</v>
      </c>
      <c r="C74" s="15" t="s">
        <v>732</v>
      </c>
      <c r="D74" s="15" t="s">
        <v>445</v>
      </c>
      <c r="E74" s="20">
        <v>396919</v>
      </c>
      <c r="F74" s="21">
        <v>12644.251700000001</v>
      </c>
      <c r="G74" s="22">
        <v>3.5999999999999999E-3</v>
      </c>
      <c r="H74" s="40"/>
      <c r="I74" s="24"/>
      <c r="J74" s="5"/>
    </row>
    <row r="75" spans="1:10" ht="13.05" customHeight="1">
      <c r="A75" s="18" t="s">
        <v>1857</v>
      </c>
      <c r="B75" s="19" t="s">
        <v>1858</v>
      </c>
      <c r="C75" s="15" t="s">
        <v>1859</v>
      </c>
      <c r="D75" s="15" t="s">
        <v>325</v>
      </c>
      <c r="E75" s="20">
        <v>750479</v>
      </c>
      <c r="F75" s="21">
        <v>12484.9686</v>
      </c>
      <c r="G75" s="22">
        <v>3.5000000000000001E-3</v>
      </c>
      <c r="H75" s="40"/>
      <c r="I75" s="24"/>
      <c r="J75" s="5"/>
    </row>
    <row r="76" spans="1:10" ht="13.05" customHeight="1">
      <c r="A76" s="18" t="s">
        <v>341</v>
      </c>
      <c r="B76" s="19" t="s">
        <v>342</v>
      </c>
      <c r="C76" s="15" t="s">
        <v>343</v>
      </c>
      <c r="D76" s="15" t="s">
        <v>344</v>
      </c>
      <c r="E76" s="20">
        <v>1412952</v>
      </c>
      <c r="F76" s="21">
        <v>11979.7135</v>
      </c>
      <c r="G76" s="22">
        <v>3.3999999999999998E-3</v>
      </c>
      <c r="H76" s="40"/>
      <c r="I76" s="24"/>
      <c r="J76" s="5"/>
    </row>
    <row r="77" spans="1:10" ht="13.05" customHeight="1">
      <c r="A77" s="18" t="s">
        <v>604</v>
      </c>
      <c r="B77" s="19" t="s">
        <v>605</v>
      </c>
      <c r="C77" s="15" t="s">
        <v>606</v>
      </c>
      <c r="D77" s="15" t="s">
        <v>333</v>
      </c>
      <c r="E77" s="20">
        <v>1109542</v>
      </c>
      <c r="F77" s="21">
        <v>11836.5941</v>
      </c>
      <c r="G77" s="22">
        <v>3.3999999999999998E-3</v>
      </c>
      <c r="H77" s="40"/>
      <c r="I77" s="24"/>
      <c r="J77" s="5"/>
    </row>
    <row r="78" spans="1:10" ht="13.05" customHeight="1">
      <c r="A78" s="18" t="s">
        <v>625</v>
      </c>
      <c r="B78" s="19" t="s">
        <v>626</v>
      </c>
      <c r="C78" s="15" t="s">
        <v>627</v>
      </c>
      <c r="D78" s="15" t="s">
        <v>314</v>
      </c>
      <c r="E78" s="20">
        <v>330930</v>
      </c>
      <c r="F78" s="21">
        <v>11781.438899999999</v>
      </c>
      <c r="G78" s="22">
        <v>3.3E-3</v>
      </c>
      <c r="H78" s="40"/>
      <c r="I78" s="24"/>
      <c r="J78" s="5"/>
    </row>
    <row r="79" spans="1:10" ht="13.05" customHeight="1">
      <c r="A79" s="18" t="s">
        <v>694</v>
      </c>
      <c r="B79" s="19" t="s">
        <v>695</v>
      </c>
      <c r="C79" s="15" t="s">
        <v>696</v>
      </c>
      <c r="D79" s="15" t="s">
        <v>541</v>
      </c>
      <c r="E79" s="20">
        <v>665979</v>
      </c>
      <c r="F79" s="21">
        <v>11205.762699999999</v>
      </c>
      <c r="G79" s="22">
        <v>3.2000000000000002E-3</v>
      </c>
      <c r="H79" s="40"/>
      <c r="I79" s="24"/>
      <c r="J79" s="5"/>
    </row>
    <row r="80" spans="1:10" ht="13.05" customHeight="1">
      <c r="A80" s="18" t="s">
        <v>1370</v>
      </c>
      <c r="B80" s="19" t="s">
        <v>1371</v>
      </c>
      <c r="C80" s="15" t="s">
        <v>1372</v>
      </c>
      <c r="D80" s="15" t="s">
        <v>846</v>
      </c>
      <c r="E80" s="20">
        <v>1282277</v>
      </c>
      <c r="F80" s="21">
        <v>11078.873299999999</v>
      </c>
      <c r="G80" s="22">
        <v>3.0999999999999999E-3</v>
      </c>
      <c r="H80" s="40"/>
      <c r="I80" s="24"/>
      <c r="J80" s="5"/>
    </row>
    <row r="81" spans="1:10" ht="13.05" customHeight="1">
      <c r="A81" s="18" t="s">
        <v>349</v>
      </c>
      <c r="B81" s="19" t="s">
        <v>350</v>
      </c>
      <c r="C81" s="15" t="s">
        <v>351</v>
      </c>
      <c r="D81" s="15" t="s">
        <v>300</v>
      </c>
      <c r="E81" s="20">
        <v>522971</v>
      </c>
      <c r="F81" s="21">
        <v>10921.2034</v>
      </c>
      <c r="G81" s="22">
        <v>3.0999999999999999E-3</v>
      </c>
      <c r="H81" s="40"/>
      <c r="I81" s="24"/>
      <c r="J81" s="5"/>
    </row>
    <row r="82" spans="1:10" ht="13.05" customHeight="1">
      <c r="A82" s="18" t="s">
        <v>392</v>
      </c>
      <c r="B82" s="19" t="s">
        <v>393</v>
      </c>
      <c r="C82" s="15" t="s">
        <v>394</v>
      </c>
      <c r="D82" s="15" t="s">
        <v>272</v>
      </c>
      <c r="E82" s="20">
        <v>765905</v>
      </c>
      <c r="F82" s="21">
        <v>10909.550800000001</v>
      </c>
      <c r="G82" s="22">
        <v>3.0999999999999999E-3</v>
      </c>
      <c r="H82" s="40"/>
      <c r="I82" s="24"/>
      <c r="J82" s="5"/>
    </row>
    <row r="83" spans="1:10" ht="13.05" customHeight="1">
      <c r="A83" s="18" t="s">
        <v>637</v>
      </c>
      <c r="B83" s="19" t="s">
        <v>638</v>
      </c>
      <c r="C83" s="15" t="s">
        <v>639</v>
      </c>
      <c r="D83" s="15" t="s">
        <v>541</v>
      </c>
      <c r="E83" s="20">
        <v>461860</v>
      </c>
      <c r="F83" s="21">
        <v>10567.3568</v>
      </c>
      <c r="G83" s="22">
        <v>3.0000000000000001E-3</v>
      </c>
      <c r="H83" s="40"/>
      <c r="I83" s="24"/>
      <c r="J83" s="5"/>
    </row>
    <row r="84" spans="1:10" ht="13.05" customHeight="1">
      <c r="A84" s="18" t="s">
        <v>1851</v>
      </c>
      <c r="B84" s="19" t="s">
        <v>1852</v>
      </c>
      <c r="C84" s="15" t="s">
        <v>1853</v>
      </c>
      <c r="D84" s="15" t="s">
        <v>314</v>
      </c>
      <c r="E84" s="20">
        <v>1440566</v>
      </c>
      <c r="F84" s="21">
        <v>10229.459199999999</v>
      </c>
      <c r="G84" s="22">
        <v>2.8999999999999998E-3</v>
      </c>
      <c r="H84" s="40"/>
      <c r="I84" s="24"/>
      <c r="J84" s="5"/>
    </row>
    <row r="85" spans="1:10" ht="13.05" customHeight="1">
      <c r="A85" s="18" t="s">
        <v>564</v>
      </c>
      <c r="B85" s="19" t="s">
        <v>565</v>
      </c>
      <c r="C85" s="15" t="s">
        <v>566</v>
      </c>
      <c r="D85" s="15" t="s">
        <v>567</v>
      </c>
      <c r="E85" s="20">
        <v>9289965</v>
      </c>
      <c r="F85" s="21">
        <v>9790.6941000000006</v>
      </c>
      <c r="G85" s="22">
        <v>2.8E-3</v>
      </c>
      <c r="H85" s="40"/>
      <c r="I85" s="24"/>
      <c r="J85" s="5"/>
    </row>
    <row r="86" spans="1:10" ht="13.05" customHeight="1">
      <c r="A86" s="18" t="s">
        <v>901</v>
      </c>
      <c r="B86" s="19" t="s">
        <v>902</v>
      </c>
      <c r="C86" s="15" t="s">
        <v>903</v>
      </c>
      <c r="D86" s="15" t="s">
        <v>501</v>
      </c>
      <c r="E86" s="20">
        <v>642642</v>
      </c>
      <c r="F86" s="21">
        <v>9318.9516000000003</v>
      </c>
      <c r="G86" s="22">
        <v>2.5999999999999999E-3</v>
      </c>
      <c r="H86" s="40"/>
      <c r="I86" s="24"/>
      <c r="J86" s="5"/>
    </row>
    <row r="87" spans="1:10" ht="13.05" customHeight="1">
      <c r="A87" s="18" t="s">
        <v>816</v>
      </c>
      <c r="B87" s="19" t="s">
        <v>817</v>
      </c>
      <c r="C87" s="15" t="s">
        <v>818</v>
      </c>
      <c r="D87" s="15" t="s">
        <v>268</v>
      </c>
      <c r="E87" s="20">
        <v>445415</v>
      </c>
      <c r="F87" s="21">
        <v>8353.3129000000008</v>
      </c>
      <c r="G87" s="22">
        <v>2.3999999999999998E-3</v>
      </c>
      <c r="H87" s="40"/>
      <c r="I87" s="24"/>
      <c r="J87" s="5"/>
    </row>
    <row r="88" spans="1:10" ht="13.05" customHeight="1">
      <c r="A88" s="18" t="s">
        <v>432</v>
      </c>
      <c r="B88" s="19" t="s">
        <v>433</v>
      </c>
      <c r="C88" s="15" t="s">
        <v>434</v>
      </c>
      <c r="D88" s="15" t="s">
        <v>435</v>
      </c>
      <c r="E88" s="20">
        <v>706432</v>
      </c>
      <c r="F88" s="21">
        <v>8229.9328000000005</v>
      </c>
      <c r="G88" s="22">
        <v>2.3E-3</v>
      </c>
      <c r="H88" s="40"/>
      <c r="I88" s="24"/>
      <c r="J88" s="5"/>
    </row>
    <row r="89" spans="1:10" ht="13.05" customHeight="1">
      <c r="A89" s="18" t="s">
        <v>807</v>
      </c>
      <c r="B89" s="19" t="s">
        <v>808</v>
      </c>
      <c r="C89" s="15" t="s">
        <v>809</v>
      </c>
      <c r="D89" s="15" t="s">
        <v>445</v>
      </c>
      <c r="E89" s="20">
        <v>45810</v>
      </c>
      <c r="F89" s="21">
        <v>8144.1018000000004</v>
      </c>
      <c r="G89" s="22">
        <v>2.3E-3</v>
      </c>
      <c r="H89" s="40"/>
      <c r="I89" s="24"/>
      <c r="J89" s="5"/>
    </row>
    <row r="90" spans="1:10" ht="13.05" customHeight="1">
      <c r="A90" s="18" t="s">
        <v>315</v>
      </c>
      <c r="B90" s="19" t="s">
        <v>316</v>
      </c>
      <c r="C90" s="15" t="s">
        <v>317</v>
      </c>
      <c r="D90" s="15" t="s">
        <v>272</v>
      </c>
      <c r="E90" s="20">
        <v>498479</v>
      </c>
      <c r="F90" s="21">
        <v>7684.0537999999997</v>
      </c>
      <c r="G90" s="22">
        <v>2.2000000000000001E-3</v>
      </c>
      <c r="H90" s="40"/>
      <c r="I90" s="24"/>
      <c r="J90" s="5"/>
    </row>
    <row r="91" spans="1:10" ht="13.05" customHeight="1">
      <c r="A91" s="18" t="s">
        <v>1791</v>
      </c>
      <c r="B91" s="19" t="s">
        <v>1792</v>
      </c>
      <c r="C91" s="15" t="s">
        <v>1793</v>
      </c>
      <c r="D91" s="15" t="s">
        <v>581</v>
      </c>
      <c r="E91" s="20">
        <v>747849</v>
      </c>
      <c r="F91" s="21">
        <v>7544.3006999999998</v>
      </c>
      <c r="G91" s="22">
        <v>2.0999999999999999E-3</v>
      </c>
      <c r="H91" s="40"/>
      <c r="I91" s="24"/>
      <c r="J91" s="5"/>
    </row>
    <row r="92" spans="1:10" ht="13.05" customHeight="1">
      <c r="A92" s="18" t="s">
        <v>508</v>
      </c>
      <c r="B92" s="19" t="s">
        <v>509</v>
      </c>
      <c r="C92" s="15" t="s">
        <v>510</v>
      </c>
      <c r="D92" s="15" t="s">
        <v>374</v>
      </c>
      <c r="E92" s="20">
        <v>137002</v>
      </c>
      <c r="F92" s="21">
        <v>7369.3375999999998</v>
      </c>
      <c r="G92" s="22">
        <v>2.0999999999999999E-3</v>
      </c>
      <c r="H92" s="40"/>
      <c r="I92" s="24"/>
      <c r="J92" s="5"/>
    </row>
    <row r="93" spans="1:10" ht="13.05" customHeight="1">
      <c r="A93" s="18" t="s">
        <v>458</v>
      </c>
      <c r="B93" s="19" t="s">
        <v>459</v>
      </c>
      <c r="C93" s="15" t="s">
        <v>460</v>
      </c>
      <c r="D93" s="15" t="s">
        <v>321</v>
      </c>
      <c r="E93" s="20">
        <v>1390200</v>
      </c>
      <c r="F93" s="21">
        <v>5628.9197999999997</v>
      </c>
      <c r="G93" s="22">
        <v>1.6000000000000001E-3</v>
      </c>
      <c r="H93" s="40"/>
      <c r="I93" s="24"/>
      <c r="J93" s="5"/>
    </row>
    <row r="94" spans="1:10" ht="13.05" customHeight="1">
      <c r="A94" s="18" t="s">
        <v>646</v>
      </c>
      <c r="B94" s="19" t="s">
        <v>647</v>
      </c>
      <c r="C94" s="15" t="s">
        <v>648</v>
      </c>
      <c r="D94" s="15" t="s">
        <v>445</v>
      </c>
      <c r="E94" s="20">
        <v>1762249</v>
      </c>
      <c r="F94" s="21">
        <v>4678.5949000000001</v>
      </c>
      <c r="G94" s="22">
        <v>1.2999999999999999E-3</v>
      </c>
      <c r="H94" s="40"/>
      <c r="I94" s="24"/>
      <c r="J94" s="5"/>
    </row>
    <row r="95" spans="1:10" ht="13.05" customHeight="1">
      <c r="A95" s="18" t="s">
        <v>733</v>
      </c>
      <c r="B95" s="19" t="s">
        <v>734</v>
      </c>
      <c r="C95" s="15" t="s">
        <v>735</v>
      </c>
      <c r="D95" s="15" t="s">
        <v>445</v>
      </c>
      <c r="E95" s="20">
        <v>150489</v>
      </c>
      <c r="F95" s="21">
        <v>4659.5909000000001</v>
      </c>
      <c r="G95" s="22">
        <v>1.2999999999999999E-3</v>
      </c>
      <c r="H95" s="40"/>
      <c r="I95" s="24"/>
      <c r="J95" s="5"/>
    </row>
    <row r="96" spans="1:10" ht="13.05" customHeight="1">
      <c r="A96" s="18" t="s">
        <v>898</v>
      </c>
      <c r="B96" s="19" t="s">
        <v>899</v>
      </c>
      <c r="C96" s="15" t="s">
        <v>900</v>
      </c>
      <c r="D96" s="15" t="s">
        <v>325</v>
      </c>
      <c r="E96" s="20">
        <v>1588083</v>
      </c>
      <c r="F96" s="21">
        <v>4489.5105999999996</v>
      </c>
      <c r="G96" s="22">
        <v>1.2999999999999999E-3</v>
      </c>
      <c r="H96" s="40"/>
      <c r="I96" s="24"/>
      <c r="J96" s="5"/>
    </row>
    <row r="97" spans="1:10" ht="13.05" customHeight="1">
      <c r="A97" s="18" t="s">
        <v>3743</v>
      </c>
      <c r="B97" s="19" t="s">
        <v>3744</v>
      </c>
      <c r="C97" s="15" t="s">
        <v>3745</v>
      </c>
      <c r="D97" s="15" t="s">
        <v>300</v>
      </c>
      <c r="E97" s="20">
        <v>506740</v>
      </c>
      <c r="F97" s="21">
        <v>3705.7896000000001</v>
      </c>
      <c r="G97" s="22">
        <v>1.1000000000000001E-3</v>
      </c>
      <c r="H97" s="40"/>
      <c r="I97" s="24"/>
      <c r="J97" s="5"/>
    </row>
    <row r="98" spans="1:10" ht="13.05" customHeight="1">
      <c r="A98" s="18" t="s">
        <v>619</v>
      </c>
      <c r="B98" s="19" t="s">
        <v>620</v>
      </c>
      <c r="C98" s="15" t="s">
        <v>621</v>
      </c>
      <c r="D98" s="15" t="s">
        <v>325</v>
      </c>
      <c r="E98" s="20">
        <v>242401</v>
      </c>
      <c r="F98" s="21">
        <v>3621.2285000000002</v>
      </c>
      <c r="G98" s="22">
        <v>1E-3</v>
      </c>
      <c r="H98" s="40"/>
      <c r="I98" s="24"/>
      <c r="J98" s="5"/>
    </row>
    <row r="99" spans="1:10" ht="13.05" customHeight="1">
      <c r="A99" s="18" t="s">
        <v>1854</v>
      </c>
      <c r="B99" s="19" t="s">
        <v>1855</v>
      </c>
      <c r="C99" s="15" t="s">
        <v>1856</v>
      </c>
      <c r="D99" s="15" t="s">
        <v>300</v>
      </c>
      <c r="E99" s="20">
        <v>1104003</v>
      </c>
      <c r="F99" s="21">
        <v>3613.4018000000001</v>
      </c>
      <c r="G99" s="22">
        <v>1E-3</v>
      </c>
      <c r="H99" s="40"/>
      <c r="I99" s="24"/>
      <c r="J99" s="5"/>
    </row>
    <row r="100" spans="1:10" ht="13.05" customHeight="1">
      <c r="A100" s="18" t="s">
        <v>798</v>
      </c>
      <c r="B100" s="19" t="s">
        <v>799</v>
      </c>
      <c r="C100" s="15" t="s">
        <v>800</v>
      </c>
      <c r="D100" s="15" t="s">
        <v>405</v>
      </c>
      <c r="E100" s="20">
        <v>484520</v>
      </c>
      <c r="F100" s="21">
        <v>2864.24</v>
      </c>
      <c r="G100" s="22">
        <v>8.0000000000000004E-4</v>
      </c>
      <c r="H100" s="40"/>
      <c r="I100" s="24"/>
      <c r="J100" s="5"/>
    </row>
    <row r="101" spans="1:10" ht="13.05" customHeight="1">
      <c r="A101" s="18" t="s">
        <v>989</v>
      </c>
      <c r="B101" s="19" t="s">
        <v>990</v>
      </c>
      <c r="C101" s="15" t="s">
        <v>991</v>
      </c>
      <c r="D101" s="15" t="s">
        <v>541</v>
      </c>
      <c r="E101" s="20">
        <v>236471</v>
      </c>
      <c r="F101" s="21">
        <v>2453.8595999999998</v>
      </c>
      <c r="G101" s="22">
        <v>6.9999999999999999E-4</v>
      </c>
      <c r="H101" s="40"/>
      <c r="I101" s="24"/>
      <c r="J101" s="5"/>
    </row>
    <row r="102" spans="1:10" ht="13.05" customHeight="1">
      <c r="A102" s="18" t="s">
        <v>449</v>
      </c>
      <c r="B102" s="19" t="s">
        <v>450</v>
      </c>
      <c r="C102" s="15" t="s">
        <v>451</v>
      </c>
      <c r="D102" s="15" t="s">
        <v>261</v>
      </c>
      <c r="E102" s="20">
        <v>652647</v>
      </c>
      <c r="F102" s="21">
        <v>2328.6444999999999</v>
      </c>
      <c r="G102" s="22">
        <v>6.9999999999999999E-4</v>
      </c>
      <c r="H102" s="40"/>
      <c r="I102" s="24"/>
      <c r="J102" s="5"/>
    </row>
    <row r="103" spans="1:10" ht="13.05" customHeight="1">
      <c r="A103" s="18" t="s">
        <v>822</v>
      </c>
      <c r="B103" s="19" t="s">
        <v>823</v>
      </c>
      <c r="C103" s="15" t="s">
        <v>824</v>
      </c>
      <c r="D103" s="15" t="s">
        <v>300</v>
      </c>
      <c r="E103" s="20">
        <v>253168</v>
      </c>
      <c r="F103" s="21">
        <v>684.79409999999996</v>
      </c>
      <c r="G103" s="22">
        <v>2.0000000000000001E-4</v>
      </c>
      <c r="H103" s="40"/>
      <c r="I103" s="24"/>
      <c r="J103" s="5"/>
    </row>
    <row r="104" spans="1:10" ht="13.05" customHeight="1">
      <c r="A104" s="5"/>
      <c r="B104" s="14" t="s">
        <v>192</v>
      </c>
      <c r="C104" s="15"/>
      <c r="D104" s="15"/>
      <c r="E104" s="15"/>
      <c r="F104" s="25">
        <v>3461774.6208000001</v>
      </c>
      <c r="G104" s="26">
        <v>0.98419999999999996</v>
      </c>
      <c r="H104" s="27"/>
      <c r="I104" s="28"/>
      <c r="J104" s="5"/>
    </row>
    <row r="105" spans="1:10" ht="13.05" customHeight="1">
      <c r="A105" s="5"/>
      <c r="B105" s="29" t="s">
        <v>1812</v>
      </c>
      <c r="C105" s="2"/>
      <c r="D105" s="2"/>
      <c r="E105" s="2"/>
      <c r="F105" s="27" t="s">
        <v>194</v>
      </c>
      <c r="G105" s="27" t="s">
        <v>194</v>
      </c>
      <c r="H105" s="27"/>
      <c r="I105" s="28"/>
      <c r="J105" s="5"/>
    </row>
    <row r="106" spans="1:10" ht="13.05" customHeight="1">
      <c r="A106" s="5"/>
      <c r="B106" s="29" t="s">
        <v>192</v>
      </c>
      <c r="C106" s="2"/>
      <c r="D106" s="2"/>
      <c r="E106" s="2"/>
      <c r="F106" s="27" t="s">
        <v>194</v>
      </c>
      <c r="G106" s="27" t="s">
        <v>194</v>
      </c>
      <c r="H106" s="27"/>
      <c r="I106" s="28"/>
      <c r="J106" s="5"/>
    </row>
    <row r="107" spans="1:10" ht="13.05" customHeight="1">
      <c r="A107" s="5"/>
      <c r="B107" s="14" t="s">
        <v>1813</v>
      </c>
      <c r="C107" s="15"/>
      <c r="D107" s="15"/>
      <c r="E107" s="15"/>
      <c r="F107" s="5"/>
      <c r="G107" s="16"/>
      <c r="H107" s="16"/>
      <c r="I107" s="17"/>
      <c r="J107" s="5"/>
    </row>
    <row r="108" spans="1:10" ht="13.05" customHeight="1">
      <c r="A108" s="18" t="s">
        <v>1814</v>
      </c>
      <c r="B108" s="19" t="s">
        <v>5526</v>
      </c>
      <c r="C108" s="15" t="s">
        <v>1815</v>
      </c>
      <c r="D108" s="15" t="s">
        <v>296</v>
      </c>
      <c r="E108" s="20">
        <v>4838996</v>
      </c>
      <c r="F108" s="21">
        <v>488.32729999999998</v>
      </c>
      <c r="G108" s="22">
        <v>1E-4</v>
      </c>
      <c r="H108" s="40"/>
      <c r="I108" s="24"/>
      <c r="J108" s="5"/>
    </row>
    <row r="109" spans="1:10" ht="13.05" customHeight="1">
      <c r="A109" s="5"/>
      <c r="B109" s="14" t="s">
        <v>192</v>
      </c>
      <c r="C109" s="15"/>
      <c r="D109" s="15"/>
      <c r="E109" s="15"/>
      <c r="F109" s="25">
        <v>488.32729999999998</v>
      </c>
      <c r="G109" s="26">
        <v>1E-4</v>
      </c>
      <c r="H109" s="27"/>
      <c r="I109" s="28"/>
      <c r="J109" s="5"/>
    </row>
    <row r="110" spans="1:10" ht="13.05" customHeight="1">
      <c r="A110" s="5"/>
      <c r="B110" s="29" t="s">
        <v>195</v>
      </c>
      <c r="C110" s="30"/>
      <c r="D110" s="2"/>
      <c r="E110" s="30"/>
      <c r="F110" s="25">
        <v>3462262.9481000002</v>
      </c>
      <c r="G110" s="26">
        <v>0.98440000000000005</v>
      </c>
      <c r="H110" s="27"/>
      <c r="I110" s="28"/>
      <c r="J110" s="5"/>
    </row>
    <row r="111" spans="1:10" ht="13.05" customHeight="1">
      <c r="A111" s="5"/>
      <c r="B111" s="14" t="s">
        <v>196</v>
      </c>
      <c r="C111" s="15"/>
      <c r="D111" s="15"/>
      <c r="E111" s="15"/>
      <c r="F111" s="15"/>
      <c r="G111" s="15"/>
      <c r="H111" s="16"/>
      <c r="I111" s="17"/>
      <c r="J111" s="5"/>
    </row>
    <row r="112" spans="1:10" ht="13.05" customHeight="1">
      <c r="A112" s="18" t="s">
        <v>197</v>
      </c>
      <c r="B112" s="19" t="s">
        <v>198</v>
      </c>
      <c r="C112" s="15"/>
      <c r="D112" s="15"/>
      <c r="E112" s="20"/>
      <c r="F112" s="21">
        <v>48816.174800000001</v>
      </c>
      <c r="G112" s="22">
        <v>1.3899999999999999E-2</v>
      </c>
      <c r="H112" s="23">
        <v>5.5573617010495215E-2</v>
      </c>
      <c r="I112" s="24"/>
      <c r="J112" s="5"/>
    </row>
    <row r="113" spans="1:10" ht="13.05" customHeight="1">
      <c r="A113" s="5"/>
      <c r="B113" s="14" t="s">
        <v>192</v>
      </c>
      <c r="C113" s="15"/>
      <c r="D113" s="15"/>
      <c r="E113" s="15"/>
      <c r="F113" s="25">
        <v>48816.174800000001</v>
      </c>
      <c r="G113" s="26">
        <v>1.3899999999999999E-2</v>
      </c>
      <c r="H113" s="27"/>
      <c r="I113" s="28"/>
      <c r="J113" s="5"/>
    </row>
    <row r="114" spans="1:10" ht="13.05" customHeight="1">
      <c r="A114" s="5"/>
      <c r="B114" s="29" t="s">
        <v>195</v>
      </c>
      <c r="C114" s="30"/>
      <c r="D114" s="2"/>
      <c r="E114" s="30"/>
      <c r="F114" s="25">
        <v>48816.174800000001</v>
      </c>
      <c r="G114" s="26">
        <v>1.3899999999999999E-2</v>
      </c>
      <c r="H114" s="27"/>
      <c r="I114" s="28"/>
      <c r="J114" s="5"/>
    </row>
    <row r="115" spans="1:10" ht="13.05" customHeight="1">
      <c r="A115" s="5"/>
      <c r="B115" s="29" t="s">
        <v>199</v>
      </c>
      <c r="C115" s="15"/>
      <c r="D115" s="2"/>
      <c r="E115" s="15"/>
      <c r="F115" s="31">
        <v>6116.3471</v>
      </c>
      <c r="G115" s="26">
        <v>1.6999999999999999E-3</v>
      </c>
      <c r="H115" s="27"/>
      <c r="I115" s="28"/>
      <c r="J115" s="5"/>
    </row>
    <row r="116" spans="1:10" ht="13.05" customHeight="1">
      <c r="A116" s="5"/>
      <c r="B116" s="32" t="s">
        <v>200</v>
      </c>
      <c r="C116" s="33"/>
      <c r="D116" s="33"/>
      <c r="E116" s="33"/>
      <c r="F116" s="34">
        <v>3517195.47</v>
      </c>
      <c r="G116" s="35">
        <v>1</v>
      </c>
      <c r="H116" s="36"/>
      <c r="I116" s="37"/>
      <c r="J116" s="5"/>
    </row>
    <row r="117" spans="1:10" ht="13.05" customHeight="1">
      <c r="A117" s="5"/>
      <c r="B117" s="7"/>
      <c r="C117" s="5"/>
      <c r="D117" s="5"/>
      <c r="E117" s="5"/>
      <c r="F117" s="5"/>
      <c r="G117" s="5"/>
      <c r="H117" s="5"/>
      <c r="I117" s="5"/>
      <c r="J117" s="5"/>
    </row>
    <row r="118" spans="1:10" ht="13.05" customHeight="1">
      <c r="A118" s="5"/>
      <c r="B118" s="4" t="s">
        <v>250</v>
      </c>
      <c r="C118" s="5"/>
      <c r="D118" s="5"/>
      <c r="E118" s="5"/>
      <c r="F118" s="5"/>
      <c r="G118" s="5"/>
      <c r="H118" s="5"/>
      <c r="I118" s="5"/>
      <c r="J118" s="5"/>
    </row>
    <row r="119" spans="1:10" ht="13.05" customHeight="1">
      <c r="A119" s="5"/>
      <c r="B119" s="4" t="s">
        <v>201</v>
      </c>
      <c r="C119" s="5"/>
      <c r="D119" s="5"/>
      <c r="E119" s="5"/>
      <c r="F119" s="5"/>
      <c r="G119" s="5"/>
      <c r="H119" s="5"/>
      <c r="I119" s="5"/>
      <c r="J119" s="5"/>
    </row>
    <row r="120" spans="1:10" ht="25.95" customHeight="1">
      <c r="A120" s="5"/>
      <c r="B120" s="103" t="s">
        <v>202</v>
      </c>
      <c r="C120" s="103"/>
      <c r="D120" s="103"/>
      <c r="E120" s="103"/>
      <c r="F120" s="103"/>
      <c r="G120" s="103"/>
      <c r="H120" s="103"/>
      <c r="I120" s="103"/>
      <c r="J120" s="5"/>
    </row>
    <row r="121" spans="1:10" ht="13.05" customHeight="1">
      <c r="A121" s="5"/>
      <c r="B121" s="103" t="s">
        <v>203</v>
      </c>
      <c r="C121" s="103"/>
      <c r="D121" s="103"/>
      <c r="E121" s="103"/>
      <c r="F121" s="103"/>
      <c r="G121" s="103"/>
      <c r="H121" s="103"/>
      <c r="I121" s="103"/>
      <c r="J121" s="5"/>
    </row>
    <row r="122" spans="1:10" ht="13.05" customHeight="1">
      <c r="A122" s="5"/>
      <c r="B122" s="103"/>
      <c r="C122" s="103"/>
      <c r="D122" s="103"/>
      <c r="E122" s="103"/>
      <c r="F122" s="103"/>
      <c r="G122" s="103"/>
      <c r="H122" s="103"/>
      <c r="I122" s="103"/>
      <c r="J122" s="5"/>
    </row>
    <row r="123" spans="1:10" ht="13.05" customHeight="1">
      <c r="A123" s="5"/>
      <c r="B123" s="103"/>
      <c r="C123" s="103"/>
      <c r="D123" s="103"/>
      <c r="E123" s="103"/>
      <c r="F123" s="103"/>
      <c r="G123" s="103"/>
      <c r="H123" s="103"/>
      <c r="I123" s="103"/>
      <c r="J123" s="5"/>
    </row>
    <row r="124" spans="1:10" ht="13.05" customHeight="1">
      <c r="A124" s="5"/>
      <c r="B124" s="103"/>
      <c r="C124" s="103"/>
      <c r="D124" s="103"/>
      <c r="E124" s="103"/>
      <c r="F124" s="103"/>
      <c r="G124" s="103"/>
      <c r="H124" s="103"/>
      <c r="I124" s="103"/>
      <c r="J124" s="5"/>
    </row>
    <row r="125" spans="1:10" ht="13.05" customHeight="1">
      <c r="A125" s="5"/>
      <c r="B125" s="103"/>
      <c r="C125" s="103"/>
      <c r="D125" s="103"/>
      <c r="E125" s="103"/>
      <c r="F125" s="103"/>
      <c r="G125" s="103"/>
      <c r="H125" s="103"/>
      <c r="I125" s="103"/>
      <c r="J125" s="5"/>
    </row>
    <row r="126" spans="1:10" ht="13.05" customHeight="1">
      <c r="A126" s="5"/>
      <c r="B126" s="5"/>
      <c r="C126" s="104" t="s">
        <v>1817</v>
      </c>
      <c r="D126" s="104"/>
      <c r="E126" s="104"/>
      <c r="F126" s="104"/>
      <c r="G126" s="5"/>
      <c r="H126" s="5"/>
      <c r="I126" s="5"/>
      <c r="J126" s="5"/>
    </row>
    <row r="127" spans="1:10" ht="13.05" customHeight="1">
      <c r="A127" s="5"/>
      <c r="B127" s="38" t="s">
        <v>207</v>
      </c>
      <c r="C127" s="104" t="s">
        <v>208</v>
      </c>
      <c r="D127" s="104"/>
      <c r="E127" s="104"/>
      <c r="F127" s="104"/>
      <c r="G127" s="5"/>
      <c r="H127" s="5"/>
      <c r="I127" s="5"/>
      <c r="J127" s="5"/>
    </row>
    <row r="128" spans="1:10" ht="135" customHeight="1">
      <c r="A128" s="5"/>
      <c r="B128" s="39"/>
      <c r="C128" s="105"/>
      <c r="D128" s="105"/>
      <c r="E128" s="5"/>
      <c r="F128" s="5"/>
      <c r="G128" s="5"/>
      <c r="H128" s="5"/>
      <c r="I128" s="5"/>
      <c r="J128" s="5"/>
    </row>
  </sheetData>
  <mergeCells count="9">
    <mergeCell ref="B125:I125"/>
    <mergeCell ref="C126:F126"/>
    <mergeCell ref="C127:F127"/>
    <mergeCell ref="C128:D128"/>
    <mergeCell ref="B120:I120"/>
    <mergeCell ref="B121:I121"/>
    <mergeCell ref="B122:I122"/>
    <mergeCell ref="B123:I123"/>
    <mergeCell ref="B124:I124"/>
  </mergeCells>
  <hyperlinks>
    <hyperlink ref="A1" location="AxisELSSTaxSaverFund" display="AXISTSF" xr:uid="{00000000-0004-0000-5100-000000000000}"/>
    <hyperlink ref="B1" location="AxisELSSTaxSaverFund" display="Axis ELSS Tax Saver Fund" xr:uid="{00000000-0004-0000-51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outlinePr summaryBelow="0"/>
  </sheetPr>
  <dimension ref="A1:J146"/>
  <sheetViews>
    <sheetView workbookViewId="0"/>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166</v>
      </c>
      <c r="B1" s="4" t="s">
        <v>167</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209</v>
      </c>
      <c r="E4" s="11" t="s">
        <v>177</v>
      </c>
      <c r="F4" s="11" t="s">
        <v>178</v>
      </c>
      <c r="G4" s="11" t="s">
        <v>179</v>
      </c>
      <c r="H4" s="11" t="s">
        <v>180</v>
      </c>
      <c r="I4" s="12" t="s">
        <v>181</v>
      </c>
      <c r="J4" s="13" t="s">
        <v>182</v>
      </c>
    </row>
    <row r="5" spans="1:10" ht="13.05" customHeight="1">
      <c r="A5" s="5"/>
      <c r="B5" s="14" t="s">
        <v>1871</v>
      </c>
      <c r="C5" s="15"/>
      <c r="D5" s="15"/>
      <c r="E5" s="15"/>
      <c r="F5" s="15"/>
      <c r="G5" s="15"/>
      <c r="H5" s="16"/>
      <c r="I5" s="17"/>
      <c r="J5" s="5"/>
    </row>
    <row r="6" spans="1:10" ht="13.05" customHeight="1">
      <c r="A6" s="5"/>
      <c r="B6" s="14" t="s">
        <v>1872</v>
      </c>
      <c r="C6" s="15"/>
      <c r="D6" s="15"/>
      <c r="E6" s="15"/>
      <c r="F6" s="5"/>
      <c r="G6" s="16"/>
      <c r="H6" s="16"/>
      <c r="I6" s="17"/>
      <c r="J6" s="5"/>
    </row>
    <row r="7" spans="1:10" ht="13.05" customHeight="1">
      <c r="A7" s="18" t="s">
        <v>5392</v>
      </c>
      <c r="B7" s="19" t="s">
        <v>5393</v>
      </c>
      <c r="C7" s="15"/>
      <c r="D7" s="15"/>
      <c r="E7" s="41"/>
      <c r="F7" s="21">
        <v>6.12</v>
      </c>
      <c r="G7" s="40" t="s">
        <v>1809</v>
      </c>
      <c r="H7" s="40"/>
      <c r="I7" s="24"/>
      <c r="J7" s="5"/>
    </row>
    <row r="8" spans="1:10" ht="13.05" customHeight="1">
      <c r="A8" s="18" t="s">
        <v>5394</v>
      </c>
      <c r="B8" s="19" t="s">
        <v>5395</v>
      </c>
      <c r="C8" s="15"/>
      <c r="D8" s="15"/>
      <c r="E8" s="41"/>
      <c r="F8" s="21">
        <v>5.625</v>
      </c>
      <c r="G8" s="40" t="s">
        <v>1809</v>
      </c>
      <c r="H8" s="40"/>
      <c r="I8" s="24"/>
      <c r="J8" s="5"/>
    </row>
    <row r="9" spans="1:10" ht="13.05" customHeight="1">
      <c r="A9" s="18" t="s">
        <v>5396</v>
      </c>
      <c r="B9" s="19" t="s">
        <v>5397</v>
      </c>
      <c r="C9" s="15"/>
      <c r="D9" s="15"/>
      <c r="E9" s="41"/>
      <c r="F9" s="21">
        <v>0.72499999999999998</v>
      </c>
      <c r="G9" s="40" t="s">
        <v>1809</v>
      </c>
      <c r="H9" s="40"/>
      <c r="I9" s="24"/>
      <c r="J9" s="5"/>
    </row>
    <row r="10" spans="1:10" ht="13.05" customHeight="1">
      <c r="A10" s="18" t="s">
        <v>5398</v>
      </c>
      <c r="B10" s="19" t="s">
        <v>5399</v>
      </c>
      <c r="C10" s="15"/>
      <c r="D10" s="15"/>
      <c r="E10" s="41"/>
      <c r="F10" s="21">
        <v>0.1</v>
      </c>
      <c r="G10" s="40" t="s">
        <v>1809</v>
      </c>
      <c r="H10" s="40"/>
      <c r="I10" s="24"/>
      <c r="J10" s="5"/>
    </row>
    <row r="11" spans="1:10" ht="13.05" customHeight="1">
      <c r="A11" s="18" t="s">
        <v>5400</v>
      </c>
      <c r="B11" s="19" t="s">
        <v>5401</v>
      </c>
      <c r="C11" s="15"/>
      <c r="D11" s="15"/>
      <c r="E11" s="41"/>
      <c r="F11" s="21">
        <v>-3.25</v>
      </c>
      <c r="G11" s="40" t="s">
        <v>1809</v>
      </c>
      <c r="H11" s="40"/>
      <c r="I11" s="24"/>
      <c r="J11" s="5"/>
    </row>
    <row r="12" spans="1:10" ht="13.05" customHeight="1">
      <c r="A12" s="18" t="s">
        <v>5402</v>
      </c>
      <c r="B12" s="19" t="s">
        <v>5403</v>
      </c>
      <c r="C12" s="15"/>
      <c r="D12" s="15"/>
      <c r="E12" s="41"/>
      <c r="F12" s="21">
        <v>-4.04</v>
      </c>
      <c r="G12" s="40" t="s">
        <v>1809</v>
      </c>
      <c r="H12" s="40"/>
      <c r="I12" s="24"/>
      <c r="J12" s="5"/>
    </row>
    <row r="13" spans="1:10" ht="13.05" customHeight="1">
      <c r="A13" s="18" t="s">
        <v>5404</v>
      </c>
      <c r="B13" s="19" t="s">
        <v>5405</v>
      </c>
      <c r="C13" s="15"/>
      <c r="D13" s="15"/>
      <c r="E13" s="41"/>
      <c r="F13" s="21">
        <v>-11.1225</v>
      </c>
      <c r="G13" s="40" t="s">
        <v>1809</v>
      </c>
      <c r="H13" s="40"/>
      <c r="I13" s="24"/>
      <c r="J13" s="5"/>
    </row>
    <row r="14" spans="1:10" ht="13.05" customHeight="1">
      <c r="A14" s="18" t="s">
        <v>5406</v>
      </c>
      <c r="B14" s="19" t="s">
        <v>5407</v>
      </c>
      <c r="C14" s="15"/>
      <c r="D14" s="15"/>
      <c r="E14" s="41"/>
      <c r="F14" s="21">
        <v>-11.137499999999999</v>
      </c>
      <c r="G14" s="40" t="s">
        <v>1809</v>
      </c>
      <c r="H14" s="40"/>
      <c r="I14" s="24"/>
      <c r="J14" s="5"/>
    </row>
    <row r="15" spans="1:10" ht="13.05" customHeight="1">
      <c r="A15" s="5"/>
      <c r="B15" s="14" t="s">
        <v>192</v>
      </c>
      <c r="C15" s="15"/>
      <c r="D15" s="15"/>
      <c r="E15" s="15"/>
      <c r="F15" s="25">
        <v>-16.98</v>
      </c>
      <c r="G15" s="27" t="s">
        <v>1809</v>
      </c>
      <c r="H15" s="27"/>
      <c r="I15" s="28"/>
      <c r="J15" s="5"/>
    </row>
    <row r="16" spans="1:10" ht="13.05" customHeight="1">
      <c r="A16" s="5"/>
      <c r="B16" s="29" t="s">
        <v>195</v>
      </c>
      <c r="C16" s="30"/>
      <c r="D16" s="2"/>
      <c r="E16" s="30"/>
      <c r="F16" s="25">
        <v>-16.98</v>
      </c>
      <c r="G16" s="27" t="s">
        <v>1809</v>
      </c>
      <c r="H16" s="27"/>
      <c r="I16" s="28"/>
      <c r="J16" s="5"/>
    </row>
    <row r="17" spans="1:10" ht="13.05" customHeight="1">
      <c r="A17" s="5"/>
      <c r="B17" s="14" t="s">
        <v>183</v>
      </c>
      <c r="C17" s="15"/>
      <c r="D17" s="15"/>
      <c r="E17" s="15"/>
      <c r="F17" s="15"/>
      <c r="G17" s="15"/>
      <c r="H17" s="16"/>
      <c r="I17" s="17"/>
      <c r="J17" s="5"/>
    </row>
    <row r="18" spans="1:10" ht="13.05" customHeight="1">
      <c r="A18" s="5"/>
      <c r="B18" s="14" t="s">
        <v>184</v>
      </c>
      <c r="C18" s="15"/>
      <c r="D18" s="15"/>
      <c r="E18" s="15"/>
      <c r="F18" s="5"/>
      <c r="G18" s="16"/>
      <c r="H18" s="16"/>
      <c r="I18" s="17"/>
      <c r="J18" s="5"/>
    </row>
    <row r="19" spans="1:10" ht="13.05" customHeight="1">
      <c r="A19" s="18" t="s">
        <v>3448</v>
      </c>
      <c r="B19" s="19" t="s">
        <v>3449</v>
      </c>
      <c r="C19" s="15" t="s">
        <v>3450</v>
      </c>
      <c r="D19" s="15" t="s">
        <v>213</v>
      </c>
      <c r="E19" s="20">
        <v>1450</v>
      </c>
      <c r="F19" s="21">
        <v>14529.898999999999</v>
      </c>
      <c r="G19" s="22">
        <v>2.2800000000000001E-2</v>
      </c>
      <c r="H19" s="23">
        <v>6.2050000000000001E-2</v>
      </c>
      <c r="I19" s="24"/>
      <c r="J19" s="5"/>
    </row>
    <row r="20" spans="1:10" ht="13.05" customHeight="1">
      <c r="A20" s="18" t="s">
        <v>3164</v>
      </c>
      <c r="B20" s="19" t="s">
        <v>3165</v>
      </c>
      <c r="C20" s="15" t="s">
        <v>3166</v>
      </c>
      <c r="D20" s="15" t="s">
        <v>3130</v>
      </c>
      <c r="E20" s="20">
        <v>14000</v>
      </c>
      <c r="F20" s="21">
        <v>14076.397999999999</v>
      </c>
      <c r="G20" s="22">
        <v>2.1999999999999999E-2</v>
      </c>
      <c r="H20" s="23">
        <v>7.1029999999999996E-2</v>
      </c>
      <c r="I20" s="24"/>
      <c r="J20" s="5"/>
    </row>
    <row r="21" spans="1:10" ht="13.05" customHeight="1">
      <c r="A21" s="18" t="s">
        <v>5408</v>
      </c>
      <c r="B21" s="19" t="s">
        <v>5409</v>
      </c>
      <c r="C21" s="15" t="s">
        <v>5410</v>
      </c>
      <c r="D21" s="15" t="s">
        <v>5585</v>
      </c>
      <c r="E21" s="20">
        <v>12900</v>
      </c>
      <c r="F21" s="21">
        <v>12945.795</v>
      </c>
      <c r="G21" s="22">
        <v>2.0299999999999999E-2</v>
      </c>
      <c r="H21" s="23">
        <v>6.9349999999999995E-2</v>
      </c>
      <c r="I21" s="24"/>
      <c r="J21" s="5"/>
    </row>
    <row r="22" spans="1:10" ht="13.05" customHeight="1">
      <c r="A22" s="18" t="s">
        <v>210</v>
      </c>
      <c r="B22" s="19" t="s">
        <v>211</v>
      </c>
      <c r="C22" s="15" t="s">
        <v>212</v>
      </c>
      <c r="D22" s="15" t="s">
        <v>213</v>
      </c>
      <c r="E22" s="20">
        <v>10500</v>
      </c>
      <c r="F22" s="21">
        <v>10533.904500000001</v>
      </c>
      <c r="G22" s="22">
        <v>1.6500000000000001E-2</v>
      </c>
      <c r="H22" s="23">
        <v>6.2798000000000007E-2</v>
      </c>
      <c r="I22" s="24"/>
      <c r="J22" s="5"/>
    </row>
    <row r="23" spans="1:10" ht="13.05" customHeight="1">
      <c r="A23" s="18" t="s">
        <v>5251</v>
      </c>
      <c r="B23" s="19" t="s">
        <v>5252</v>
      </c>
      <c r="C23" s="15" t="s">
        <v>5253</v>
      </c>
      <c r="D23" s="15" t="s">
        <v>3548</v>
      </c>
      <c r="E23" s="20">
        <v>10000</v>
      </c>
      <c r="F23" s="21">
        <v>10057.280000000001</v>
      </c>
      <c r="G23" s="22">
        <v>1.5699999999999999E-2</v>
      </c>
      <c r="H23" s="23">
        <v>8.5826E-2</v>
      </c>
      <c r="I23" s="24"/>
      <c r="J23" s="5"/>
    </row>
    <row r="24" spans="1:10" ht="13.05" customHeight="1">
      <c r="A24" s="18" t="s">
        <v>5040</v>
      </c>
      <c r="B24" s="19" t="s">
        <v>5041</v>
      </c>
      <c r="C24" s="15" t="s">
        <v>5042</v>
      </c>
      <c r="D24" s="15" t="s">
        <v>2447</v>
      </c>
      <c r="E24" s="20">
        <v>10000</v>
      </c>
      <c r="F24" s="21">
        <v>10046.5</v>
      </c>
      <c r="G24" s="22">
        <v>1.5699999999999999E-2</v>
      </c>
      <c r="H24" s="23">
        <v>7.8E-2</v>
      </c>
      <c r="I24" s="24"/>
      <c r="J24" s="5"/>
    </row>
    <row r="25" spans="1:10" ht="13.05" customHeight="1">
      <c r="A25" s="18" t="s">
        <v>5411</v>
      </c>
      <c r="B25" s="19" t="s">
        <v>5412</v>
      </c>
      <c r="C25" s="15" t="s">
        <v>5413</v>
      </c>
      <c r="D25" s="15" t="s">
        <v>2447</v>
      </c>
      <c r="E25" s="20">
        <v>1000</v>
      </c>
      <c r="F25" s="21">
        <v>10001.08</v>
      </c>
      <c r="G25" s="22">
        <v>1.5699999999999999E-2</v>
      </c>
      <c r="H25" s="23">
        <v>6.7599000000000006E-2</v>
      </c>
      <c r="I25" s="24"/>
      <c r="J25" s="5"/>
    </row>
    <row r="26" spans="1:10" ht="13.05" customHeight="1">
      <c r="A26" s="18" t="s">
        <v>5414</v>
      </c>
      <c r="B26" s="19" t="s">
        <v>5415</v>
      </c>
      <c r="C26" s="15" t="s">
        <v>5416</v>
      </c>
      <c r="D26" s="15" t="s">
        <v>188</v>
      </c>
      <c r="E26" s="20">
        <v>9000000</v>
      </c>
      <c r="F26" s="21">
        <v>9196.11</v>
      </c>
      <c r="G26" s="22">
        <v>1.44E-2</v>
      </c>
      <c r="H26" s="23">
        <v>6.0951999999999999E-2</v>
      </c>
      <c r="I26" s="24"/>
      <c r="J26" s="5"/>
    </row>
    <row r="27" spans="1:10" ht="13.05" customHeight="1">
      <c r="A27" s="18" t="s">
        <v>2805</v>
      </c>
      <c r="B27" s="19" t="s">
        <v>2806</v>
      </c>
      <c r="C27" s="15" t="s">
        <v>2807</v>
      </c>
      <c r="D27" s="15" t="s">
        <v>188</v>
      </c>
      <c r="E27" s="20">
        <v>8000000</v>
      </c>
      <c r="F27" s="21">
        <v>8191.8320000000003</v>
      </c>
      <c r="G27" s="22">
        <v>1.2800000000000001E-2</v>
      </c>
      <c r="H27" s="23">
        <v>6.0951999999999999E-2</v>
      </c>
      <c r="I27" s="24"/>
      <c r="J27" s="5"/>
    </row>
    <row r="28" spans="1:10" ht="13.05" customHeight="1">
      <c r="A28" s="18" t="s">
        <v>3457</v>
      </c>
      <c r="B28" s="19" t="s">
        <v>3458</v>
      </c>
      <c r="C28" s="15" t="s">
        <v>3459</v>
      </c>
      <c r="D28" s="15" t="s">
        <v>213</v>
      </c>
      <c r="E28" s="20">
        <v>7500</v>
      </c>
      <c r="F28" s="21">
        <v>7545.7574999999997</v>
      </c>
      <c r="G28" s="22">
        <v>1.18E-2</v>
      </c>
      <c r="H28" s="23">
        <v>6.6400000000000001E-2</v>
      </c>
      <c r="I28" s="24"/>
      <c r="J28" s="5"/>
    </row>
    <row r="29" spans="1:10" ht="13.05" customHeight="1">
      <c r="A29" s="18" t="s">
        <v>3469</v>
      </c>
      <c r="B29" s="19" t="s">
        <v>3470</v>
      </c>
      <c r="C29" s="15" t="s">
        <v>3471</v>
      </c>
      <c r="D29" s="15" t="s">
        <v>213</v>
      </c>
      <c r="E29" s="20">
        <v>7500</v>
      </c>
      <c r="F29" s="21">
        <v>7544.3249999999998</v>
      </c>
      <c r="G29" s="22">
        <v>1.18E-2</v>
      </c>
      <c r="H29" s="23">
        <v>6.6199999999999995E-2</v>
      </c>
      <c r="I29" s="24"/>
      <c r="J29" s="5"/>
    </row>
    <row r="30" spans="1:10" ht="13.05" customHeight="1">
      <c r="A30" s="18" t="s">
        <v>5417</v>
      </c>
      <c r="B30" s="19" t="s">
        <v>5418</v>
      </c>
      <c r="C30" s="15" t="s">
        <v>5419</v>
      </c>
      <c r="D30" s="15" t="s">
        <v>188</v>
      </c>
      <c r="E30" s="20">
        <v>7000000</v>
      </c>
      <c r="F30" s="21">
        <v>7150.22</v>
      </c>
      <c r="G30" s="22">
        <v>1.12E-2</v>
      </c>
      <c r="H30" s="23">
        <v>6.0951999999999999E-2</v>
      </c>
      <c r="I30" s="24"/>
      <c r="J30" s="5"/>
    </row>
    <row r="31" spans="1:10" ht="13.05" customHeight="1">
      <c r="A31" s="18" t="s">
        <v>5420</v>
      </c>
      <c r="B31" s="19" t="s">
        <v>5421</v>
      </c>
      <c r="C31" s="15" t="s">
        <v>5422</v>
      </c>
      <c r="D31" s="15" t="s">
        <v>188</v>
      </c>
      <c r="E31" s="20">
        <v>7000000</v>
      </c>
      <c r="F31" s="21">
        <v>7089.7960000000003</v>
      </c>
      <c r="G31" s="22">
        <v>1.11E-2</v>
      </c>
      <c r="H31" s="23">
        <v>6.0900000000000003E-2</v>
      </c>
      <c r="I31" s="24"/>
      <c r="J31" s="5"/>
    </row>
    <row r="32" spans="1:10" ht="13.05" customHeight="1">
      <c r="A32" s="18" t="s">
        <v>5423</v>
      </c>
      <c r="B32" s="19" t="s">
        <v>5424</v>
      </c>
      <c r="C32" s="15" t="s">
        <v>5425</v>
      </c>
      <c r="D32" s="15" t="s">
        <v>2447</v>
      </c>
      <c r="E32" s="20">
        <v>7000</v>
      </c>
      <c r="F32" s="21">
        <v>7050.8339999999998</v>
      </c>
      <c r="G32" s="22">
        <v>1.0999999999999999E-2</v>
      </c>
      <c r="H32" s="23">
        <v>7.4774999999999994E-2</v>
      </c>
      <c r="I32" s="24"/>
      <c r="J32" s="5"/>
    </row>
    <row r="33" spans="1:10" ht="13.05" customHeight="1">
      <c r="A33" s="18" t="s">
        <v>1920</v>
      </c>
      <c r="B33" s="19" t="s">
        <v>1921</v>
      </c>
      <c r="C33" s="15" t="s">
        <v>1922</v>
      </c>
      <c r="D33" s="15" t="s">
        <v>1923</v>
      </c>
      <c r="E33" s="20">
        <v>700</v>
      </c>
      <c r="F33" s="21">
        <v>7017.4859999999999</v>
      </c>
      <c r="G33" s="22">
        <v>1.0999999999999999E-2</v>
      </c>
      <c r="H33" s="23">
        <v>6.25E-2</v>
      </c>
      <c r="I33" s="24"/>
      <c r="J33" s="5"/>
    </row>
    <row r="34" spans="1:10" ht="13.05" customHeight="1">
      <c r="A34" s="18" t="s">
        <v>5136</v>
      </c>
      <c r="B34" s="19" t="s">
        <v>5137</v>
      </c>
      <c r="C34" s="15" t="s">
        <v>5138</v>
      </c>
      <c r="D34" s="15" t="s">
        <v>2447</v>
      </c>
      <c r="E34" s="20">
        <v>6000</v>
      </c>
      <c r="F34" s="21">
        <v>6037.6559999999999</v>
      </c>
      <c r="G34" s="22">
        <v>9.4999999999999998E-3</v>
      </c>
      <c r="H34" s="23">
        <v>7.1800000000000003E-2</v>
      </c>
      <c r="I34" s="24"/>
      <c r="J34" s="5"/>
    </row>
    <row r="35" spans="1:10" ht="13.05" customHeight="1">
      <c r="A35" s="18" t="s">
        <v>5426</v>
      </c>
      <c r="B35" s="19" t="s">
        <v>5427</v>
      </c>
      <c r="C35" s="15" t="s">
        <v>5428</v>
      </c>
      <c r="D35" s="15" t="s">
        <v>213</v>
      </c>
      <c r="E35" s="20">
        <v>6000</v>
      </c>
      <c r="F35" s="21">
        <v>6034.2120000000004</v>
      </c>
      <c r="G35" s="22">
        <v>9.4000000000000004E-3</v>
      </c>
      <c r="H35" s="23">
        <v>6.8806999999999993E-2</v>
      </c>
      <c r="I35" s="24"/>
      <c r="J35" s="5"/>
    </row>
    <row r="36" spans="1:10" ht="13.05" customHeight="1">
      <c r="A36" s="18" t="s">
        <v>3875</v>
      </c>
      <c r="B36" s="19" t="s">
        <v>3876</v>
      </c>
      <c r="C36" s="15" t="s">
        <v>3877</v>
      </c>
      <c r="D36" s="15" t="s">
        <v>3850</v>
      </c>
      <c r="E36" s="20">
        <v>5500</v>
      </c>
      <c r="F36" s="21">
        <v>5532.3784999999998</v>
      </c>
      <c r="G36" s="22">
        <v>8.6999999999999994E-3</v>
      </c>
      <c r="H36" s="23">
        <v>8.8050000000000003E-2</v>
      </c>
      <c r="I36" s="24"/>
      <c r="J36" s="5"/>
    </row>
    <row r="37" spans="1:10" ht="13.05" customHeight="1">
      <c r="A37" s="18" t="s">
        <v>3822</v>
      </c>
      <c r="B37" s="19" t="s">
        <v>3823</v>
      </c>
      <c r="C37" s="15" t="s">
        <v>3824</v>
      </c>
      <c r="D37" s="15" t="s">
        <v>3548</v>
      </c>
      <c r="E37" s="20">
        <v>5500</v>
      </c>
      <c r="F37" s="21">
        <v>5532.1419999999998</v>
      </c>
      <c r="G37" s="22">
        <v>8.6999999999999994E-3</v>
      </c>
      <c r="H37" s="23">
        <v>8.2949999999999996E-2</v>
      </c>
      <c r="I37" s="24"/>
      <c r="J37" s="5"/>
    </row>
    <row r="38" spans="1:10" ht="13.05" customHeight="1">
      <c r="A38" s="18" t="s">
        <v>5016</v>
      </c>
      <c r="B38" s="19" t="s">
        <v>5017</v>
      </c>
      <c r="C38" s="15" t="s">
        <v>5018</v>
      </c>
      <c r="D38" s="15" t="s">
        <v>213</v>
      </c>
      <c r="E38" s="20">
        <v>5000</v>
      </c>
      <c r="F38" s="21">
        <v>5033.16</v>
      </c>
      <c r="G38" s="22">
        <v>7.9000000000000008E-3</v>
      </c>
      <c r="H38" s="23">
        <v>6.88E-2</v>
      </c>
      <c r="I38" s="24"/>
      <c r="J38" s="5"/>
    </row>
    <row r="39" spans="1:10" ht="13.05" customHeight="1">
      <c r="A39" s="18" t="s">
        <v>5296</v>
      </c>
      <c r="B39" s="19" t="s">
        <v>5297</v>
      </c>
      <c r="C39" s="15" t="s">
        <v>5298</v>
      </c>
      <c r="D39" s="15" t="s">
        <v>213</v>
      </c>
      <c r="E39" s="20">
        <v>5000</v>
      </c>
      <c r="F39" s="21">
        <v>5028.82</v>
      </c>
      <c r="G39" s="22">
        <v>7.9000000000000008E-3</v>
      </c>
      <c r="H39" s="23">
        <v>6.6400000000000001E-2</v>
      </c>
      <c r="I39" s="24"/>
      <c r="J39" s="5"/>
    </row>
    <row r="40" spans="1:10" ht="13.05" customHeight="1">
      <c r="A40" s="18" t="s">
        <v>3460</v>
      </c>
      <c r="B40" s="19" t="s">
        <v>3461</v>
      </c>
      <c r="C40" s="15" t="s">
        <v>3462</v>
      </c>
      <c r="D40" s="15" t="s">
        <v>213</v>
      </c>
      <c r="E40" s="20">
        <v>5000</v>
      </c>
      <c r="F40" s="21">
        <v>5028.58</v>
      </c>
      <c r="G40" s="22">
        <v>7.9000000000000008E-3</v>
      </c>
      <c r="H40" s="23">
        <v>6.6199999999999995E-2</v>
      </c>
      <c r="I40" s="24"/>
      <c r="J40" s="5"/>
    </row>
    <row r="41" spans="1:10" ht="13.05" customHeight="1">
      <c r="A41" s="18" t="s">
        <v>5429</v>
      </c>
      <c r="B41" s="19" t="s">
        <v>5430</v>
      </c>
      <c r="C41" s="15" t="s">
        <v>5431</v>
      </c>
      <c r="D41" s="15" t="s">
        <v>5432</v>
      </c>
      <c r="E41" s="20">
        <v>5000</v>
      </c>
      <c r="F41" s="21">
        <v>5016.5249999999996</v>
      </c>
      <c r="G41" s="22">
        <v>7.9000000000000008E-3</v>
      </c>
      <c r="H41" s="23">
        <v>9.0510999999999994E-2</v>
      </c>
      <c r="I41" s="24"/>
      <c r="J41" s="5"/>
    </row>
    <row r="42" spans="1:10" ht="13.05" customHeight="1">
      <c r="A42" s="18" t="s">
        <v>5433</v>
      </c>
      <c r="B42" s="19" t="s">
        <v>5434</v>
      </c>
      <c r="C42" s="15" t="s">
        <v>5435</v>
      </c>
      <c r="D42" s="15" t="s">
        <v>1923</v>
      </c>
      <c r="E42" s="20">
        <v>500</v>
      </c>
      <c r="F42" s="21">
        <v>5015.67</v>
      </c>
      <c r="G42" s="22">
        <v>7.9000000000000008E-3</v>
      </c>
      <c r="H42" s="23">
        <v>6.25E-2</v>
      </c>
      <c r="I42" s="24"/>
      <c r="J42" s="5"/>
    </row>
    <row r="43" spans="1:10" ht="13.05" customHeight="1">
      <c r="A43" s="18" t="s">
        <v>3669</v>
      </c>
      <c r="B43" s="19" t="s">
        <v>3670</v>
      </c>
      <c r="C43" s="15" t="s">
        <v>3671</v>
      </c>
      <c r="D43" s="15" t="s">
        <v>3146</v>
      </c>
      <c r="E43" s="20">
        <v>5000</v>
      </c>
      <c r="F43" s="21">
        <v>5009.3900000000003</v>
      </c>
      <c r="G43" s="22">
        <v>7.7999999999999996E-3</v>
      </c>
      <c r="H43" s="23">
        <v>8.6098999999999995E-2</v>
      </c>
      <c r="I43" s="24"/>
      <c r="J43" s="5"/>
    </row>
    <row r="44" spans="1:10" ht="13.05" customHeight="1">
      <c r="A44" s="18" t="s">
        <v>5248</v>
      </c>
      <c r="B44" s="19" t="s">
        <v>5249</v>
      </c>
      <c r="C44" s="15" t="s">
        <v>5250</v>
      </c>
      <c r="D44" s="15" t="s">
        <v>213</v>
      </c>
      <c r="E44" s="20">
        <v>5000</v>
      </c>
      <c r="F44" s="21">
        <v>4995.8</v>
      </c>
      <c r="G44" s="22">
        <v>7.7999999999999996E-3</v>
      </c>
      <c r="H44" s="23">
        <v>7.6583999999999999E-2</v>
      </c>
      <c r="I44" s="24"/>
      <c r="J44" s="5"/>
    </row>
    <row r="45" spans="1:10" ht="13.05" customHeight="1">
      <c r="A45" s="18" t="s">
        <v>5436</v>
      </c>
      <c r="B45" s="19" t="s">
        <v>5437</v>
      </c>
      <c r="C45" s="15" t="s">
        <v>5438</v>
      </c>
      <c r="D45" s="15" t="s">
        <v>2447</v>
      </c>
      <c r="E45" s="20">
        <v>4500</v>
      </c>
      <c r="F45" s="21">
        <v>4508.5050000000001</v>
      </c>
      <c r="G45" s="22">
        <v>7.1000000000000004E-3</v>
      </c>
      <c r="H45" s="23">
        <v>7.2195999999999996E-2</v>
      </c>
      <c r="I45" s="24"/>
      <c r="J45" s="5"/>
    </row>
    <row r="46" spans="1:10" ht="13.05" customHeight="1">
      <c r="A46" s="18" t="s">
        <v>5439</v>
      </c>
      <c r="B46" s="19" t="s">
        <v>5440</v>
      </c>
      <c r="C46" s="15" t="s">
        <v>5441</v>
      </c>
      <c r="D46" s="15" t="s">
        <v>3656</v>
      </c>
      <c r="E46" s="20">
        <v>4500</v>
      </c>
      <c r="F46" s="21">
        <v>4507.866</v>
      </c>
      <c r="G46" s="22">
        <v>7.1000000000000004E-3</v>
      </c>
      <c r="H46" s="23">
        <v>7.2194999999999995E-2</v>
      </c>
      <c r="I46" s="24"/>
      <c r="J46" s="5"/>
    </row>
    <row r="47" spans="1:10" ht="13.05" customHeight="1">
      <c r="A47" s="18" t="s">
        <v>220</v>
      </c>
      <c r="B47" s="19" t="s">
        <v>221</v>
      </c>
      <c r="C47" s="15" t="s">
        <v>222</v>
      </c>
      <c r="D47" s="15" t="s">
        <v>213</v>
      </c>
      <c r="E47" s="20">
        <v>4000</v>
      </c>
      <c r="F47" s="21">
        <v>4014.924</v>
      </c>
      <c r="G47" s="22">
        <v>6.3E-3</v>
      </c>
      <c r="H47" s="23">
        <v>6.2649999999999997E-2</v>
      </c>
      <c r="I47" s="24"/>
      <c r="J47" s="5"/>
    </row>
    <row r="48" spans="1:10" ht="13.05" customHeight="1">
      <c r="A48" s="18" t="s">
        <v>5442</v>
      </c>
      <c r="B48" s="19" t="s">
        <v>5443</v>
      </c>
      <c r="C48" s="15" t="s">
        <v>5444</v>
      </c>
      <c r="D48" s="15" t="s">
        <v>2447</v>
      </c>
      <c r="E48" s="20">
        <v>3500</v>
      </c>
      <c r="F48" s="21">
        <v>3513.6534999999999</v>
      </c>
      <c r="G48" s="22">
        <v>5.4999999999999997E-3</v>
      </c>
      <c r="H48" s="23">
        <v>7.0799000000000001E-2</v>
      </c>
      <c r="I48" s="24"/>
      <c r="J48" s="5"/>
    </row>
    <row r="49" spans="1:10" ht="13.05" customHeight="1">
      <c r="A49" s="18" t="s">
        <v>5254</v>
      </c>
      <c r="B49" s="19" t="s">
        <v>5255</v>
      </c>
      <c r="C49" s="15" t="s">
        <v>5256</v>
      </c>
      <c r="D49" s="15" t="s">
        <v>213</v>
      </c>
      <c r="E49" s="20">
        <v>350</v>
      </c>
      <c r="F49" s="21">
        <v>3510.0345000000002</v>
      </c>
      <c r="G49" s="22">
        <v>5.4999999999999997E-3</v>
      </c>
      <c r="H49" s="23">
        <v>6.3351000000000005E-2</v>
      </c>
      <c r="I49" s="24"/>
      <c r="J49" s="5"/>
    </row>
    <row r="50" spans="1:10" ht="13.05" customHeight="1">
      <c r="A50" s="18" t="s">
        <v>5445</v>
      </c>
      <c r="B50" s="19" t="s">
        <v>5446</v>
      </c>
      <c r="C50" s="15" t="s">
        <v>5447</v>
      </c>
      <c r="D50" s="15" t="s">
        <v>188</v>
      </c>
      <c r="E50" s="20">
        <v>3000000</v>
      </c>
      <c r="F50" s="21">
        <v>3018.9209999999998</v>
      </c>
      <c r="G50" s="22">
        <v>4.7000000000000002E-3</v>
      </c>
      <c r="H50" s="23">
        <v>5.5951000000000001E-2</v>
      </c>
      <c r="I50" s="24"/>
      <c r="J50" s="5"/>
    </row>
    <row r="51" spans="1:10" ht="13.05" customHeight="1">
      <c r="A51" s="18" t="s">
        <v>5448</v>
      </c>
      <c r="B51" s="19" t="s">
        <v>5449</v>
      </c>
      <c r="C51" s="15" t="s">
        <v>5450</v>
      </c>
      <c r="D51" s="15" t="s">
        <v>2447</v>
      </c>
      <c r="E51" s="20">
        <v>2500</v>
      </c>
      <c r="F51" s="21">
        <v>2548.0475000000001</v>
      </c>
      <c r="G51" s="22">
        <v>4.0000000000000001E-3</v>
      </c>
      <c r="H51" s="23">
        <v>7.5262999999999997E-2</v>
      </c>
      <c r="I51" s="24"/>
      <c r="J51" s="5"/>
    </row>
    <row r="52" spans="1:10" ht="13.05" customHeight="1">
      <c r="A52" s="18" t="s">
        <v>5055</v>
      </c>
      <c r="B52" s="19" t="s">
        <v>5056</v>
      </c>
      <c r="C52" s="15" t="s">
        <v>5057</v>
      </c>
      <c r="D52" s="15" t="s">
        <v>2447</v>
      </c>
      <c r="E52" s="20">
        <v>2500</v>
      </c>
      <c r="F52" s="21">
        <v>2541.5475000000001</v>
      </c>
      <c r="G52" s="22">
        <v>4.0000000000000001E-3</v>
      </c>
      <c r="H52" s="23">
        <v>7.2249999999999995E-2</v>
      </c>
      <c r="I52" s="24"/>
      <c r="J52" s="5"/>
    </row>
    <row r="53" spans="1:10" ht="13.05" customHeight="1">
      <c r="A53" s="18" t="s">
        <v>3115</v>
      </c>
      <c r="B53" s="19" t="s">
        <v>3116</v>
      </c>
      <c r="C53" s="15" t="s">
        <v>3117</v>
      </c>
      <c r="D53" s="15" t="s">
        <v>2447</v>
      </c>
      <c r="E53" s="20">
        <v>2500</v>
      </c>
      <c r="F53" s="21">
        <v>2533.2800000000002</v>
      </c>
      <c r="G53" s="22">
        <v>4.0000000000000001E-3</v>
      </c>
      <c r="H53" s="23">
        <v>7.8600000000000003E-2</v>
      </c>
      <c r="I53" s="24"/>
      <c r="J53" s="5"/>
    </row>
    <row r="54" spans="1:10" ht="13.05" customHeight="1">
      <c r="A54" s="18" t="s">
        <v>5451</v>
      </c>
      <c r="B54" s="19" t="s">
        <v>5452</v>
      </c>
      <c r="C54" s="15" t="s">
        <v>5453</v>
      </c>
      <c r="D54" s="15" t="s">
        <v>2447</v>
      </c>
      <c r="E54" s="20">
        <v>2500</v>
      </c>
      <c r="F54" s="21">
        <v>2519.6624999999999</v>
      </c>
      <c r="G54" s="22">
        <v>3.8999999999999998E-3</v>
      </c>
      <c r="H54" s="23">
        <v>7.2400000000000006E-2</v>
      </c>
      <c r="I54" s="24"/>
      <c r="J54" s="5"/>
    </row>
    <row r="55" spans="1:10" ht="13.05" customHeight="1">
      <c r="A55" s="18" t="s">
        <v>3466</v>
      </c>
      <c r="B55" s="19" t="s">
        <v>3467</v>
      </c>
      <c r="C55" s="15" t="s">
        <v>3468</v>
      </c>
      <c r="D55" s="15" t="s">
        <v>213</v>
      </c>
      <c r="E55" s="20">
        <v>2500</v>
      </c>
      <c r="F55" s="21">
        <v>2518.5349999999999</v>
      </c>
      <c r="G55" s="22">
        <v>3.8999999999999998E-3</v>
      </c>
      <c r="H55" s="23">
        <v>6.6400000000000001E-2</v>
      </c>
      <c r="I55" s="24"/>
      <c r="J55" s="5"/>
    </row>
    <row r="56" spans="1:10" ht="13.05" customHeight="1">
      <c r="A56" s="18" t="s">
        <v>5454</v>
      </c>
      <c r="B56" s="19" t="s">
        <v>5455</v>
      </c>
      <c r="C56" s="15" t="s">
        <v>5456</v>
      </c>
      <c r="D56" s="15" t="s">
        <v>188</v>
      </c>
      <c r="E56" s="20">
        <v>2500000</v>
      </c>
      <c r="F56" s="21">
        <v>2515.7424999999998</v>
      </c>
      <c r="G56" s="22">
        <v>3.8999999999999998E-3</v>
      </c>
      <c r="H56" s="23">
        <v>5.5799000000000001E-2</v>
      </c>
      <c r="I56" s="24"/>
      <c r="J56" s="5"/>
    </row>
    <row r="57" spans="1:10" ht="13.05" customHeight="1">
      <c r="A57" s="18" t="s">
        <v>5106</v>
      </c>
      <c r="B57" s="19" t="s">
        <v>5107</v>
      </c>
      <c r="C57" s="15" t="s">
        <v>5108</v>
      </c>
      <c r="D57" s="15" t="s">
        <v>3130</v>
      </c>
      <c r="E57" s="20">
        <v>2500</v>
      </c>
      <c r="F57" s="21">
        <v>2500.2449999999999</v>
      </c>
      <c r="G57" s="22">
        <v>3.8999999999999998E-3</v>
      </c>
      <c r="H57" s="23">
        <v>6.1677999999999997E-2</v>
      </c>
      <c r="I57" s="24"/>
      <c r="J57" s="5"/>
    </row>
    <row r="58" spans="1:10" ht="13.05" customHeight="1">
      <c r="A58" s="18" t="s">
        <v>5457</v>
      </c>
      <c r="B58" s="19" t="s">
        <v>5458</v>
      </c>
      <c r="C58" s="15" t="s">
        <v>5459</v>
      </c>
      <c r="D58" s="15" t="s">
        <v>213</v>
      </c>
      <c r="E58" s="20">
        <v>250</v>
      </c>
      <c r="F58" s="21">
        <v>2498.8449999999998</v>
      </c>
      <c r="G58" s="22">
        <v>3.8999999999999998E-3</v>
      </c>
      <c r="H58" s="23">
        <v>7.034E-2</v>
      </c>
      <c r="I58" s="24"/>
      <c r="J58" s="5"/>
    </row>
    <row r="59" spans="1:10" ht="13.05" customHeight="1">
      <c r="A59" s="18" t="s">
        <v>5094</v>
      </c>
      <c r="B59" s="19" t="s">
        <v>5095</v>
      </c>
      <c r="C59" s="15" t="s">
        <v>5096</v>
      </c>
      <c r="D59" s="15" t="s">
        <v>2447</v>
      </c>
      <c r="E59" s="20">
        <v>2400</v>
      </c>
      <c r="F59" s="21">
        <v>2433.4463999999998</v>
      </c>
      <c r="G59" s="22">
        <v>3.8E-3</v>
      </c>
      <c r="H59" s="23">
        <v>7.1599999999999997E-2</v>
      </c>
      <c r="I59" s="24"/>
      <c r="J59" s="5"/>
    </row>
    <row r="60" spans="1:10" ht="13.05" customHeight="1">
      <c r="A60" s="18" t="s">
        <v>5460</v>
      </c>
      <c r="B60" s="19" t="s">
        <v>5461</v>
      </c>
      <c r="C60" s="15" t="s">
        <v>5462</v>
      </c>
      <c r="D60" s="15" t="s">
        <v>188</v>
      </c>
      <c r="E60" s="20">
        <v>2000000</v>
      </c>
      <c r="F60" s="21">
        <v>2003.3720000000001</v>
      </c>
      <c r="G60" s="22">
        <v>3.0999999999999999E-3</v>
      </c>
      <c r="H60" s="23">
        <v>5.6149999999999999E-2</v>
      </c>
      <c r="I60" s="24"/>
      <c r="J60" s="5"/>
    </row>
    <row r="61" spans="1:10" ht="13.05" customHeight="1">
      <c r="A61" s="18" t="s">
        <v>5463</v>
      </c>
      <c r="B61" s="19" t="s">
        <v>5464</v>
      </c>
      <c r="C61" s="15" t="s">
        <v>5465</v>
      </c>
      <c r="D61" s="15" t="s">
        <v>5585</v>
      </c>
      <c r="E61" s="20">
        <v>1500</v>
      </c>
      <c r="F61" s="21">
        <v>1506.222</v>
      </c>
      <c r="G61" s="22">
        <v>2.3999999999999998E-3</v>
      </c>
      <c r="H61" s="23">
        <v>7.0600999999999997E-2</v>
      </c>
      <c r="I61" s="24"/>
      <c r="J61" s="5"/>
    </row>
    <row r="62" spans="1:10" ht="13.05" customHeight="1">
      <c r="A62" s="18" t="s">
        <v>5466</v>
      </c>
      <c r="B62" s="19" t="s">
        <v>5467</v>
      </c>
      <c r="C62" s="15" t="s">
        <v>5468</v>
      </c>
      <c r="D62" s="15" t="s">
        <v>188</v>
      </c>
      <c r="E62" s="20">
        <v>1000000</v>
      </c>
      <c r="F62" s="21">
        <v>1013.947</v>
      </c>
      <c r="G62" s="22">
        <v>1.6000000000000001E-3</v>
      </c>
      <c r="H62" s="23">
        <v>5.8120999999999999E-2</v>
      </c>
      <c r="I62" s="24"/>
      <c r="J62" s="5"/>
    </row>
    <row r="63" spans="1:10" ht="13.05" customHeight="1">
      <c r="A63" s="18" t="s">
        <v>5469</v>
      </c>
      <c r="B63" s="19" t="s">
        <v>5470</v>
      </c>
      <c r="C63" s="15" t="s">
        <v>5471</v>
      </c>
      <c r="D63" s="15" t="s">
        <v>3656</v>
      </c>
      <c r="E63" s="20">
        <v>1000</v>
      </c>
      <c r="F63" s="21">
        <v>1003.534</v>
      </c>
      <c r="G63" s="22">
        <v>1.6000000000000001E-3</v>
      </c>
      <c r="H63" s="23">
        <v>7.0149000000000003E-2</v>
      </c>
      <c r="I63" s="24"/>
      <c r="J63" s="5"/>
    </row>
    <row r="64" spans="1:10" ht="13.05" customHeight="1">
      <c r="A64" s="18" t="s">
        <v>5472</v>
      </c>
      <c r="B64" s="19" t="s">
        <v>5473</v>
      </c>
      <c r="C64" s="15" t="s">
        <v>5474</v>
      </c>
      <c r="D64" s="15" t="s">
        <v>188</v>
      </c>
      <c r="E64" s="20">
        <v>500000</v>
      </c>
      <c r="F64" s="21">
        <v>506.88650000000001</v>
      </c>
      <c r="G64" s="22">
        <v>8.0000000000000004E-4</v>
      </c>
      <c r="H64" s="23">
        <v>5.8458999999999997E-2</v>
      </c>
      <c r="I64" s="24"/>
      <c r="J64" s="5"/>
    </row>
    <row r="65" spans="1:10" ht="13.05" customHeight="1">
      <c r="A65" s="18" t="s">
        <v>5475</v>
      </c>
      <c r="B65" s="19" t="s">
        <v>5476</v>
      </c>
      <c r="C65" s="15" t="s">
        <v>5477</v>
      </c>
      <c r="D65" s="15" t="s">
        <v>1923</v>
      </c>
      <c r="E65" s="20">
        <v>500</v>
      </c>
      <c r="F65" s="21">
        <v>501.77249999999998</v>
      </c>
      <c r="G65" s="22">
        <v>8.0000000000000004E-4</v>
      </c>
      <c r="H65" s="23">
        <v>6.9799E-2</v>
      </c>
      <c r="I65" s="24"/>
      <c r="J65" s="5"/>
    </row>
    <row r="66" spans="1:10" ht="13.05" customHeight="1">
      <c r="A66" s="18" t="s">
        <v>3847</v>
      </c>
      <c r="B66" s="19" t="s">
        <v>3848</v>
      </c>
      <c r="C66" s="15" t="s">
        <v>3849</v>
      </c>
      <c r="D66" s="15" t="s">
        <v>3850</v>
      </c>
      <c r="E66" s="20">
        <v>500</v>
      </c>
      <c r="F66" s="21">
        <v>501.33300000000003</v>
      </c>
      <c r="G66" s="22">
        <v>8.0000000000000004E-4</v>
      </c>
      <c r="H66" s="23">
        <v>9.1511999999999996E-2</v>
      </c>
      <c r="I66" s="24"/>
      <c r="J66" s="5"/>
    </row>
    <row r="67" spans="1:10" ht="13.05" customHeight="1">
      <c r="A67" s="5"/>
      <c r="B67" s="14" t="s">
        <v>192</v>
      </c>
      <c r="C67" s="15"/>
      <c r="D67" s="15"/>
      <c r="E67" s="15"/>
      <c r="F67" s="25">
        <v>253961.87289999999</v>
      </c>
      <c r="G67" s="26">
        <v>0.3977</v>
      </c>
      <c r="H67" s="27"/>
      <c r="I67" s="28"/>
      <c r="J67" s="5"/>
    </row>
    <row r="68" spans="1:10" ht="13.05" customHeight="1">
      <c r="A68" s="5"/>
      <c r="B68" s="14" t="s">
        <v>193</v>
      </c>
      <c r="C68" s="15"/>
      <c r="D68" s="15"/>
      <c r="E68" s="15"/>
      <c r="F68" s="5"/>
      <c r="G68" s="16"/>
      <c r="H68" s="16"/>
      <c r="I68" s="17"/>
      <c r="J68" s="5"/>
    </row>
    <row r="69" spans="1:10" ht="13.05" customHeight="1">
      <c r="A69" s="18" t="s">
        <v>5478</v>
      </c>
      <c r="B69" s="19" t="s">
        <v>5479</v>
      </c>
      <c r="C69" s="15" t="s">
        <v>5480</v>
      </c>
      <c r="D69" s="15" t="s">
        <v>1957</v>
      </c>
      <c r="E69" s="20">
        <v>500</v>
      </c>
      <c r="F69" s="21">
        <v>5001.9549999999999</v>
      </c>
      <c r="G69" s="22">
        <v>7.7999999999999996E-3</v>
      </c>
      <c r="H69" s="23">
        <v>6.5685999999999994E-2</v>
      </c>
      <c r="I69" s="24"/>
      <c r="J69" s="5"/>
    </row>
    <row r="70" spans="1:10" ht="13.05" customHeight="1">
      <c r="A70" s="18" t="s">
        <v>5338</v>
      </c>
      <c r="B70" s="19" t="s">
        <v>5339</v>
      </c>
      <c r="C70" s="15" t="s">
        <v>5340</v>
      </c>
      <c r="D70" s="15" t="s">
        <v>1957</v>
      </c>
      <c r="E70" s="20">
        <v>250</v>
      </c>
      <c r="F70" s="21">
        <v>2513.1075000000001</v>
      </c>
      <c r="G70" s="22">
        <v>3.8999999999999998E-3</v>
      </c>
      <c r="H70" s="23">
        <v>6.9694000000000006E-2</v>
      </c>
      <c r="I70" s="24"/>
      <c r="J70" s="5"/>
    </row>
    <row r="71" spans="1:10" ht="13.05" customHeight="1">
      <c r="A71" s="5"/>
      <c r="B71" s="14" t="s">
        <v>192</v>
      </c>
      <c r="C71" s="15"/>
      <c r="D71" s="15"/>
      <c r="E71" s="15"/>
      <c r="F71" s="25">
        <v>7515.0625</v>
      </c>
      <c r="G71" s="26">
        <v>1.18E-2</v>
      </c>
      <c r="H71" s="27"/>
      <c r="I71" s="28"/>
      <c r="J71" s="5"/>
    </row>
    <row r="72" spans="1:10" ht="13.05" customHeight="1">
      <c r="A72" s="5"/>
      <c r="B72" s="14" t="s">
        <v>2297</v>
      </c>
      <c r="C72" s="15"/>
      <c r="D72" s="15"/>
      <c r="E72" s="15"/>
      <c r="F72" s="5"/>
      <c r="G72" s="16"/>
      <c r="H72" s="16"/>
      <c r="I72" s="17"/>
      <c r="J72" s="5"/>
    </row>
    <row r="73" spans="1:10" ht="13.05" customHeight="1">
      <c r="A73" s="18" t="s">
        <v>5341</v>
      </c>
      <c r="B73" s="19" t="s">
        <v>5342</v>
      </c>
      <c r="C73" s="15" t="s">
        <v>5343</v>
      </c>
      <c r="D73" s="15" t="s">
        <v>2301</v>
      </c>
      <c r="E73" s="20">
        <v>90</v>
      </c>
      <c r="F73" s="21">
        <v>8599.0368999999992</v>
      </c>
      <c r="G73" s="22">
        <v>1.35E-2</v>
      </c>
      <c r="H73" s="23">
        <v>9.0149999999999994E-2</v>
      </c>
      <c r="I73" s="24"/>
      <c r="J73" s="5"/>
    </row>
    <row r="74" spans="1:10" ht="13.05" customHeight="1">
      <c r="A74" s="18" t="s">
        <v>5481</v>
      </c>
      <c r="B74" s="19" t="s">
        <v>5482</v>
      </c>
      <c r="C74" s="15" t="s">
        <v>5483</v>
      </c>
      <c r="D74" s="15" t="s">
        <v>2301</v>
      </c>
      <c r="E74" s="20">
        <v>1157</v>
      </c>
      <c r="F74" s="21">
        <v>8383.9541000000008</v>
      </c>
      <c r="G74" s="22">
        <v>1.3100000000000001E-2</v>
      </c>
      <c r="H74" s="23">
        <v>0.09</v>
      </c>
      <c r="I74" s="24"/>
      <c r="J74" s="5"/>
    </row>
    <row r="75" spans="1:10" ht="13.05" customHeight="1">
      <c r="A75" s="18" t="s">
        <v>5208</v>
      </c>
      <c r="B75" s="19" t="s">
        <v>5209</v>
      </c>
      <c r="C75" s="15" t="s">
        <v>5210</v>
      </c>
      <c r="D75" s="15" t="s">
        <v>2301</v>
      </c>
      <c r="E75" s="20">
        <v>500000000</v>
      </c>
      <c r="F75" s="21">
        <v>5012</v>
      </c>
      <c r="G75" s="22">
        <v>7.7999999999999996E-3</v>
      </c>
      <c r="H75" s="23">
        <v>8.6483500000000005E-2</v>
      </c>
      <c r="I75" s="24"/>
      <c r="J75" s="5"/>
    </row>
    <row r="76" spans="1:10" ht="13.05" customHeight="1">
      <c r="A76" s="18" t="s">
        <v>5344</v>
      </c>
      <c r="B76" s="19" t="s">
        <v>5345</v>
      </c>
      <c r="C76" s="15" t="s">
        <v>5346</v>
      </c>
      <c r="D76" s="15" t="s">
        <v>2301</v>
      </c>
      <c r="E76" s="20">
        <v>85</v>
      </c>
      <c r="F76" s="21">
        <v>3866.0333999999998</v>
      </c>
      <c r="G76" s="22">
        <v>6.1000000000000004E-3</v>
      </c>
      <c r="H76" s="23">
        <v>7.2849999999999998E-2</v>
      </c>
      <c r="I76" s="24"/>
      <c r="J76" s="5"/>
    </row>
    <row r="77" spans="1:10" ht="13.05" customHeight="1">
      <c r="A77" s="18" t="s">
        <v>5217</v>
      </c>
      <c r="B77" s="19" t="s">
        <v>5218</v>
      </c>
      <c r="C77" s="15" t="s">
        <v>5219</v>
      </c>
      <c r="D77" s="15" t="s">
        <v>5584</v>
      </c>
      <c r="E77" s="20">
        <v>100</v>
      </c>
      <c r="F77" s="21">
        <v>3522.9868999999999</v>
      </c>
      <c r="G77" s="22">
        <v>5.4999999999999997E-3</v>
      </c>
      <c r="H77" s="23">
        <v>7.3050000000000004E-2</v>
      </c>
      <c r="I77" s="24"/>
      <c r="J77" s="5"/>
    </row>
    <row r="78" spans="1:10" ht="13.05" customHeight="1">
      <c r="A78" s="18" t="s">
        <v>5211</v>
      </c>
      <c r="B78" s="19" t="s">
        <v>5212</v>
      </c>
      <c r="C78" s="15" t="s">
        <v>5213</v>
      </c>
      <c r="D78" s="15" t="s">
        <v>2301</v>
      </c>
      <c r="E78" s="20">
        <v>500000000</v>
      </c>
      <c r="F78" s="21">
        <v>2330</v>
      </c>
      <c r="G78" s="22">
        <v>3.5999999999999999E-3</v>
      </c>
      <c r="H78" s="23">
        <v>8.46335E-2</v>
      </c>
      <c r="I78" s="24"/>
      <c r="J78" s="5"/>
    </row>
    <row r="79" spans="1:10" ht="13.05" customHeight="1">
      <c r="A79" s="5"/>
      <c r="B79" s="14" t="s">
        <v>192</v>
      </c>
      <c r="C79" s="15"/>
      <c r="D79" s="15"/>
      <c r="E79" s="15"/>
      <c r="F79" s="25">
        <v>31714.011299999998</v>
      </c>
      <c r="G79" s="26">
        <v>4.9700000000000001E-2</v>
      </c>
      <c r="H79" s="27"/>
      <c r="I79" s="28"/>
      <c r="J79" s="5"/>
    </row>
    <row r="80" spans="1:10" ht="13.05" customHeight="1">
      <c r="A80" s="5"/>
      <c r="B80" s="29" t="s">
        <v>195</v>
      </c>
      <c r="C80" s="30"/>
      <c r="D80" s="2"/>
      <c r="E80" s="30"/>
      <c r="F80" s="25">
        <v>293190.94669999997</v>
      </c>
      <c r="G80" s="26">
        <v>0.45910000000000001</v>
      </c>
      <c r="H80" s="27"/>
      <c r="I80" s="28"/>
      <c r="J80" s="5"/>
    </row>
    <row r="81" spans="1:10" ht="13.05" customHeight="1">
      <c r="A81" s="5"/>
      <c r="B81" s="14" t="s">
        <v>1866</v>
      </c>
      <c r="C81" s="15"/>
      <c r="D81" s="15"/>
      <c r="E81" s="15"/>
      <c r="F81" s="15"/>
      <c r="G81" s="15"/>
      <c r="H81" s="16"/>
      <c r="I81" s="17"/>
      <c r="J81" s="5"/>
    </row>
    <row r="82" spans="1:10" ht="13.05" customHeight="1">
      <c r="A82" s="5"/>
      <c r="B82" s="14" t="s">
        <v>2308</v>
      </c>
      <c r="C82" s="15"/>
      <c r="D82" s="15"/>
      <c r="E82" s="15"/>
      <c r="F82" s="5"/>
      <c r="G82" s="16"/>
      <c r="H82" s="16"/>
      <c r="I82" s="17"/>
      <c r="J82" s="5"/>
    </row>
    <row r="83" spans="1:10" ht="13.05" customHeight="1">
      <c r="A83" s="18" t="s">
        <v>4355</v>
      </c>
      <c r="B83" s="19" t="s">
        <v>4356</v>
      </c>
      <c r="C83" s="15" t="s">
        <v>4357</v>
      </c>
      <c r="D83" s="15" t="s">
        <v>2312</v>
      </c>
      <c r="E83" s="20">
        <v>5000</v>
      </c>
      <c r="F83" s="21">
        <v>24471.55</v>
      </c>
      <c r="G83" s="22">
        <v>3.8300000000000001E-2</v>
      </c>
      <c r="H83" s="23">
        <v>6.1100000000000002E-2</v>
      </c>
      <c r="I83" s="24"/>
      <c r="J83" s="5"/>
    </row>
    <row r="84" spans="1:10" ht="13.05" customHeight="1">
      <c r="A84" s="18" t="s">
        <v>5484</v>
      </c>
      <c r="B84" s="19" t="s">
        <v>5485</v>
      </c>
      <c r="C84" s="15" t="s">
        <v>5486</v>
      </c>
      <c r="D84" s="15" t="s">
        <v>2312</v>
      </c>
      <c r="E84" s="20">
        <v>5000</v>
      </c>
      <c r="F84" s="21">
        <v>24416.474999999999</v>
      </c>
      <c r="G84" s="22">
        <v>3.8199999999999998E-2</v>
      </c>
      <c r="H84" s="23">
        <v>6.0999999999999999E-2</v>
      </c>
      <c r="I84" s="24"/>
      <c r="J84" s="5"/>
    </row>
    <row r="85" spans="1:10" ht="13.05" customHeight="1">
      <c r="A85" s="18" t="s">
        <v>4361</v>
      </c>
      <c r="B85" s="19" t="s">
        <v>4362</v>
      </c>
      <c r="C85" s="15" t="s">
        <v>4363</v>
      </c>
      <c r="D85" s="15" t="s">
        <v>3478</v>
      </c>
      <c r="E85" s="20">
        <v>4000</v>
      </c>
      <c r="F85" s="21">
        <v>19288.740000000002</v>
      </c>
      <c r="G85" s="22">
        <v>3.0200000000000001E-2</v>
      </c>
      <c r="H85" s="23">
        <v>6.2600000000000003E-2</v>
      </c>
      <c r="I85" s="24"/>
      <c r="J85" s="5"/>
    </row>
    <row r="86" spans="1:10" ht="13.05" customHeight="1">
      <c r="A86" s="18" t="s">
        <v>4394</v>
      </c>
      <c r="B86" s="19" t="s">
        <v>4395</v>
      </c>
      <c r="C86" s="15" t="s">
        <v>4396</v>
      </c>
      <c r="D86" s="15" t="s">
        <v>2312</v>
      </c>
      <c r="E86" s="20">
        <v>3300</v>
      </c>
      <c r="F86" s="21">
        <v>16115.5005</v>
      </c>
      <c r="G86" s="22">
        <v>2.52E-2</v>
      </c>
      <c r="H86" s="23">
        <v>6.0899000000000002E-2</v>
      </c>
      <c r="I86" s="24"/>
      <c r="J86" s="5"/>
    </row>
    <row r="87" spans="1:10" ht="13.05" customHeight="1">
      <c r="A87" s="18" t="s">
        <v>4376</v>
      </c>
      <c r="B87" s="19" t="s">
        <v>4377</v>
      </c>
      <c r="C87" s="15" t="s">
        <v>4378</v>
      </c>
      <c r="D87" s="15" t="s">
        <v>2312</v>
      </c>
      <c r="E87" s="20">
        <v>3000</v>
      </c>
      <c r="F87" s="21">
        <v>14793.225</v>
      </c>
      <c r="G87" s="22">
        <v>2.3199999999999998E-2</v>
      </c>
      <c r="H87" s="23">
        <v>6.3772999999999996E-2</v>
      </c>
      <c r="I87" s="24"/>
      <c r="J87" s="5"/>
    </row>
    <row r="88" spans="1:10" ht="13.05" customHeight="1">
      <c r="A88" s="18" t="s">
        <v>5353</v>
      </c>
      <c r="B88" s="19" t="s">
        <v>5354</v>
      </c>
      <c r="C88" s="15" t="s">
        <v>5355</v>
      </c>
      <c r="D88" s="15" t="s">
        <v>2312</v>
      </c>
      <c r="E88" s="20">
        <v>3000</v>
      </c>
      <c r="F88" s="21">
        <v>14715.105</v>
      </c>
      <c r="G88" s="22">
        <v>2.3E-2</v>
      </c>
      <c r="H88" s="23">
        <v>6.0920000000000002E-2</v>
      </c>
      <c r="I88" s="24"/>
      <c r="J88" s="5"/>
    </row>
    <row r="89" spans="1:10" ht="13.05" customHeight="1">
      <c r="A89" s="18" t="s">
        <v>3691</v>
      </c>
      <c r="B89" s="19" t="s">
        <v>3692</v>
      </c>
      <c r="C89" s="15" t="s">
        <v>3693</v>
      </c>
      <c r="D89" s="15" t="s">
        <v>3478</v>
      </c>
      <c r="E89" s="20">
        <v>3000</v>
      </c>
      <c r="F89" s="21">
        <v>14709.915000000001</v>
      </c>
      <c r="G89" s="22">
        <v>2.3E-2</v>
      </c>
      <c r="H89" s="23">
        <v>6.0998999999999998E-2</v>
      </c>
      <c r="I89" s="24"/>
      <c r="J89" s="5"/>
    </row>
    <row r="90" spans="1:10" ht="13.05" customHeight="1">
      <c r="A90" s="18" t="s">
        <v>4379</v>
      </c>
      <c r="B90" s="19" t="s">
        <v>4380</v>
      </c>
      <c r="C90" s="15" t="s">
        <v>4381</v>
      </c>
      <c r="D90" s="15" t="s">
        <v>2312</v>
      </c>
      <c r="E90" s="20">
        <v>3000</v>
      </c>
      <c r="F90" s="21">
        <v>14510.79</v>
      </c>
      <c r="G90" s="22">
        <v>2.2700000000000001E-2</v>
      </c>
      <c r="H90" s="23">
        <v>6.2149999999999997E-2</v>
      </c>
      <c r="I90" s="24"/>
      <c r="J90" s="5"/>
    </row>
    <row r="91" spans="1:10" ht="13.05" customHeight="1">
      <c r="A91" s="18" t="s">
        <v>4403</v>
      </c>
      <c r="B91" s="19" t="s">
        <v>4404</v>
      </c>
      <c r="C91" s="15" t="s">
        <v>4405</v>
      </c>
      <c r="D91" s="15" t="s">
        <v>2312</v>
      </c>
      <c r="E91" s="20">
        <v>3000</v>
      </c>
      <c r="F91" s="21">
        <v>14249.46</v>
      </c>
      <c r="G91" s="22">
        <v>2.23E-2</v>
      </c>
      <c r="H91" s="23">
        <v>6.3450000000000006E-2</v>
      </c>
      <c r="I91" s="24"/>
      <c r="J91" s="5"/>
    </row>
    <row r="92" spans="1:10" ht="13.05" customHeight="1">
      <c r="A92" s="18" t="s">
        <v>3700</v>
      </c>
      <c r="B92" s="19" t="s">
        <v>3701</v>
      </c>
      <c r="C92" s="15" t="s">
        <v>3702</v>
      </c>
      <c r="D92" s="15" t="s">
        <v>2312</v>
      </c>
      <c r="E92" s="20">
        <v>2000</v>
      </c>
      <c r="F92" s="21">
        <v>9822.19</v>
      </c>
      <c r="G92" s="22">
        <v>1.54E-2</v>
      </c>
      <c r="H92" s="23">
        <v>6.062E-2</v>
      </c>
      <c r="I92" s="24"/>
      <c r="J92" s="5"/>
    </row>
    <row r="93" spans="1:10" ht="13.05" customHeight="1">
      <c r="A93" s="18" t="s">
        <v>3694</v>
      </c>
      <c r="B93" s="19" t="s">
        <v>3695</v>
      </c>
      <c r="C93" s="15" t="s">
        <v>3696</v>
      </c>
      <c r="D93" s="15" t="s">
        <v>2312</v>
      </c>
      <c r="E93" s="20">
        <v>2000</v>
      </c>
      <c r="F93" s="21">
        <v>9786.7900000000009</v>
      </c>
      <c r="G93" s="22">
        <v>1.5299999999999999E-2</v>
      </c>
      <c r="H93" s="23">
        <v>6.0699999999999997E-2</v>
      </c>
      <c r="I93" s="24"/>
      <c r="J93" s="5"/>
    </row>
    <row r="94" spans="1:10" ht="13.05" customHeight="1">
      <c r="A94" s="18" t="s">
        <v>5487</v>
      </c>
      <c r="B94" s="19" t="s">
        <v>5488</v>
      </c>
      <c r="C94" s="15" t="s">
        <v>5489</v>
      </c>
      <c r="D94" s="15" t="s">
        <v>2312</v>
      </c>
      <c r="E94" s="20">
        <v>2000</v>
      </c>
      <c r="F94" s="21">
        <v>9774.52</v>
      </c>
      <c r="G94" s="22">
        <v>1.5299999999999999E-2</v>
      </c>
      <c r="H94" s="23">
        <v>6.4273999999999998E-2</v>
      </c>
      <c r="I94" s="24"/>
      <c r="J94" s="5"/>
    </row>
    <row r="95" spans="1:10" ht="13.05" customHeight="1">
      <c r="A95" s="18" t="s">
        <v>5490</v>
      </c>
      <c r="B95" s="19" t="s">
        <v>5491</v>
      </c>
      <c r="C95" s="15" t="s">
        <v>5492</v>
      </c>
      <c r="D95" s="15" t="s">
        <v>2312</v>
      </c>
      <c r="E95" s="20">
        <v>2000</v>
      </c>
      <c r="F95" s="21">
        <v>9773.42</v>
      </c>
      <c r="G95" s="22">
        <v>1.5299999999999999E-2</v>
      </c>
      <c r="H95" s="23">
        <v>6.0877000000000001E-2</v>
      </c>
      <c r="I95" s="24"/>
      <c r="J95" s="5"/>
    </row>
    <row r="96" spans="1:10" ht="13.05" customHeight="1">
      <c r="A96" s="18" t="s">
        <v>5493</v>
      </c>
      <c r="B96" s="19" t="s">
        <v>5494</v>
      </c>
      <c r="C96" s="15" t="s">
        <v>5495</v>
      </c>
      <c r="D96" s="15" t="s">
        <v>2312</v>
      </c>
      <c r="E96" s="20">
        <v>2000</v>
      </c>
      <c r="F96" s="21">
        <v>9765</v>
      </c>
      <c r="G96" s="22">
        <v>1.5299999999999999E-2</v>
      </c>
      <c r="H96" s="23">
        <v>6.0999999999999999E-2</v>
      </c>
      <c r="I96" s="24"/>
      <c r="J96" s="5"/>
    </row>
    <row r="97" spans="1:10" ht="13.05" customHeight="1">
      <c r="A97" s="18" t="s">
        <v>2767</v>
      </c>
      <c r="B97" s="19" t="s">
        <v>2768</v>
      </c>
      <c r="C97" s="15" t="s">
        <v>2769</v>
      </c>
      <c r="D97" s="15" t="s">
        <v>2312</v>
      </c>
      <c r="E97" s="20">
        <v>2000</v>
      </c>
      <c r="F97" s="21">
        <v>9701.4599999999991</v>
      </c>
      <c r="G97" s="22">
        <v>1.52E-2</v>
      </c>
      <c r="H97" s="23">
        <v>6.2399999999999997E-2</v>
      </c>
      <c r="I97" s="24"/>
      <c r="J97" s="5"/>
    </row>
    <row r="98" spans="1:10" ht="13.05" customHeight="1">
      <c r="A98" s="18" t="s">
        <v>4400</v>
      </c>
      <c r="B98" s="19" t="s">
        <v>4401</v>
      </c>
      <c r="C98" s="15" t="s">
        <v>4402</v>
      </c>
      <c r="D98" s="15" t="s">
        <v>2312</v>
      </c>
      <c r="E98" s="20">
        <v>1500</v>
      </c>
      <c r="F98" s="21">
        <v>7390.6575000000003</v>
      </c>
      <c r="G98" s="22">
        <v>1.1599999999999999E-2</v>
      </c>
      <c r="H98" s="23">
        <v>5.9999499999999997E-2</v>
      </c>
      <c r="I98" s="24"/>
      <c r="J98" s="5"/>
    </row>
    <row r="99" spans="1:10" ht="13.05" customHeight="1">
      <c r="A99" s="18" t="s">
        <v>5362</v>
      </c>
      <c r="B99" s="19" t="s">
        <v>5363</v>
      </c>
      <c r="C99" s="15" t="s">
        <v>5364</v>
      </c>
      <c r="D99" s="15" t="s">
        <v>2331</v>
      </c>
      <c r="E99" s="20">
        <v>1500</v>
      </c>
      <c r="F99" s="21">
        <v>7380.7425000000003</v>
      </c>
      <c r="G99" s="22">
        <v>1.1599999999999999E-2</v>
      </c>
      <c r="H99" s="23">
        <v>6.0798999999999999E-2</v>
      </c>
      <c r="I99" s="24"/>
      <c r="J99" s="5"/>
    </row>
    <row r="100" spans="1:10" ht="13.05" customHeight="1">
      <c r="A100" s="18" t="s">
        <v>3685</v>
      </c>
      <c r="B100" s="19" t="s">
        <v>3686</v>
      </c>
      <c r="C100" s="15" t="s">
        <v>3687</v>
      </c>
      <c r="D100" s="15" t="s">
        <v>3478</v>
      </c>
      <c r="E100" s="20">
        <v>1500</v>
      </c>
      <c r="F100" s="21">
        <v>7332.5325000000003</v>
      </c>
      <c r="G100" s="22">
        <v>1.15E-2</v>
      </c>
      <c r="H100" s="23">
        <v>6.0850000000000001E-2</v>
      </c>
      <c r="I100" s="24"/>
      <c r="J100" s="5"/>
    </row>
    <row r="101" spans="1:10" ht="13.05" customHeight="1">
      <c r="A101" s="18" t="s">
        <v>5496</v>
      </c>
      <c r="B101" s="19" t="s">
        <v>5497</v>
      </c>
      <c r="C101" s="15" t="s">
        <v>5498</v>
      </c>
      <c r="D101" s="15" t="s">
        <v>2331</v>
      </c>
      <c r="E101" s="20">
        <v>1000</v>
      </c>
      <c r="F101" s="21">
        <v>4938.1000000000004</v>
      </c>
      <c r="G101" s="22">
        <v>7.7000000000000002E-3</v>
      </c>
      <c r="H101" s="23">
        <v>6.0200499999999997E-2</v>
      </c>
      <c r="I101" s="24"/>
      <c r="J101" s="5"/>
    </row>
    <row r="102" spans="1:10" ht="13.05" customHeight="1">
      <c r="A102" s="18" t="s">
        <v>2313</v>
      </c>
      <c r="B102" s="19" t="s">
        <v>2314</v>
      </c>
      <c r="C102" s="15" t="s">
        <v>2315</v>
      </c>
      <c r="D102" s="15" t="s">
        <v>2312</v>
      </c>
      <c r="E102" s="20">
        <v>1000</v>
      </c>
      <c r="F102" s="21">
        <v>4888.62</v>
      </c>
      <c r="G102" s="22">
        <v>7.7000000000000002E-3</v>
      </c>
      <c r="H102" s="23">
        <v>6.0699999999999997E-2</v>
      </c>
      <c r="I102" s="24"/>
      <c r="J102" s="5"/>
    </row>
    <row r="103" spans="1:10" ht="13.05" customHeight="1">
      <c r="A103" s="18" t="s">
        <v>4349</v>
      </c>
      <c r="B103" s="19" t="s">
        <v>4350</v>
      </c>
      <c r="C103" s="15" t="s">
        <v>4351</v>
      </c>
      <c r="D103" s="15" t="s">
        <v>2312</v>
      </c>
      <c r="E103" s="20">
        <v>900</v>
      </c>
      <c r="F103" s="21">
        <v>4394.4435000000003</v>
      </c>
      <c r="G103" s="22">
        <v>6.8999999999999999E-3</v>
      </c>
      <c r="H103" s="23">
        <v>6.0886000000000003E-2</v>
      </c>
      <c r="I103" s="24"/>
      <c r="J103" s="5"/>
    </row>
    <row r="104" spans="1:10" ht="13.05" customHeight="1">
      <c r="A104" s="18" t="s">
        <v>5371</v>
      </c>
      <c r="B104" s="19" t="s">
        <v>5372</v>
      </c>
      <c r="C104" s="15" t="s">
        <v>5373</v>
      </c>
      <c r="D104" s="15" t="s">
        <v>3478</v>
      </c>
      <c r="E104" s="20">
        <v>500</v>
      </c>
      <c r="F104" s="21">
        <v>2460.1725000000001</v>
      </c>
      <c r="G104" s="22">
        <v>3.8999999999999998E-3</v>
      </c>
      <c r="H104" s="23">
        <v>6.0919000000000001E-2</v>
      </c>
      <c r="I104" s="24"/>
      <c r="J104" s="5"/>
    </row>
    <row r="105" spans="1:10" ht="13.05" customHeight="1">
      <c r="A105" s="18" t="s">
        <v>4436</v>
      </c>
      <c r="B105" s="19" t="s">
        <v>4437</v>
      </c>
      <c r="C105" s="15" t="s">
        <v>4438</v>
      </c>
      <c r="D105" s="15" t="s">
        <v>2331</v>
      </c>
      <c r="E105" s="20">
        <v>500</v>
      </c>
      <c r="F105" s="21">
        <v>2446.23</v>
      </c>
      <c r="G105" s="22">
        <v>3.8E-3</v>
      </c>
      <c r="H105" s="23">
        <v>6.0780000000000001E-2</v>
      </c>
      <c r="I105" s="24"/>
      <c r="J105" s="5"/>
    </row>
    <row r="106" spans="1:10" ht="13.05" customHeight="1">
      <c r="A106" s="18" t="s">
        <v>3709</v>
      </c>
      <c r="B106" s="19" t="s">
        <v>3710</v>
      </c>
      <c r="C106" s="15" t="s">
        <v>3711</v>
      </c>
      <c r="D106" s="15" t="s">
        <v>2331</v>
      </c>
      <c r="E106" s="20">
        <v>400</v>
      </c>
      <c r="F106" s="21">
        <v>1961.3720000000001</v>
      </c>
      <c r="G106" s="22">
        <v>3.0999999999999999E-3</v>
      </c>
      <c r="H106" s="23">
        <v>6.0919000000000001E-2</v>
      </c>
      <c r="I106" s="24"/>
      <c r="J106" s="5"/>
    </row>
    <row r="107" spans="1:10" ht="13.05" customHeight="1">
      <c r="A107" s="5"/>
      <c r="B107" s="14" t="s">
        <v>192</v>
      </c>
      <c r="C107" s="15"/>
      <c r="D107" s="15"/>
      <c r="E107" s="15"/>
      <c r="F107" s="25">
        <v>259087.011</v>
      </c>
      <c r="G107" s="26">
        <v>0.40570000000000001</v>
      </c>
      <c r="H107" s="27"/>
      <c r="I107" s="28"/>
      <c r="J107" s="5"/>
    </row>
    <row r="108" spans="1:10" ht="13.05" customHeight="1">
      <c r="A108" s="5"/>
      <c r="B108" s="14" t="s">
        <v>2770</v>
      </c>
      <c r="C108" s="15"/>
      <c r="D108" s="15"/>
      <c r="E108" s="15"/>
      <c r="F108" s="5"/>
      <c r="G108" s="16"/>
      <c r="H108" s="16"/>
      <c r="I108" s="17"/>
      <c r="J108" s="5"/>
    </row>
    <row r="109" spans="1:10" ht="13.05" customHeight="1">
      <c r="A109" s="18" t="s">
        <v>4182</v>
      </c>
      <c r="B109" s="19" t="s">
        <v>4183</v>
      </c>
      <c r="C109" s="15" t="s">
        <v>4184</v>
      </c>
      <c r="D109" s="15" t="s">
        <v>2312</v>
      </c>
      <c r="E109" s="20">
        <v>2500</v>
      </c>
      <c r="F109" s="21">
        <v>12465.225</v>
      </c>
      <c r="G109" s="22">
        <v>1.95E-2</v>
      </c>
      <c r="H109" s="23">
        <v>6.3653000000000001E-2</v>
      </c>
      <c r="I109" s="24"/>
      <c r="J109" s="5"/>
    </row>
    <row r="110" spans="1:10" ht="13.05" customHeight="1">
      <c r="A110" s="18" t="s">
        <v>5499</v>
      </c>
      <c r="B110" s="19" t="s">
        <v>5500</v>
      </c>
      <c r="C110" s="15" t="s">
        <v>5501</v>
      </c>
      <c r="D110" s="15" t="s">
        <v>2312</v>
      </c>
      <c r="E110" s="20">
        <v>2000</v>
      </c>
      <c r="F110" s="21">
        <v>9970.77</v>
      </c>
      <c r="G110" s="22">
        <v>1.5599999999999999E-2</v>
      </c>
      <c r="H110" s="23">
        <v>6.2942999999999999E-2</v>
      </c>
      <c r="I110" s="24"/>
      <c r="J110" s="5"/>
    </row>
    <row r="111" spans="1:10" ht="13.05" customHeight="1">
      <c r="A111" s="18" t="s">
        <v>5502</v>
      </c>
      <c r="B111" s="19" t="s">
        <v>5503</v>
      </c>
      <c r="C111" s="15" t="s">
        <v>5504</v>
      </c>
      <c r="D111" s="15" t="s">
        <v>2312</v>
      </c>
      <c r="E111" s="20">
        <v>2000</v>
      </c>
      <c r="F111" s="21">
        <v>9823.66</v>
      </c>
      <c r="G111" s="22">
        <v>1.54E-2</v>
      </c>
      <c r="H111" s="23">
        <v>6.3000500000000001E-2</v>
      </c>
      <c r="I111" s="24"/>
      <c r="J111" s="5"/>
    </row>
    <row r="112" spans="1:10" ht="13.05" customHeight="1">
      <c r="A112" s="18" t="s">
        <v>5505</v>
      </c>
      <c r="B112" s="19" t="s">
        <v>5506</v>
      </c>
      <c r="C112" s="15" t="s">
        <v>5507</v>
      </c>
      <c r="D112" s="15" t="s">
        <v>2312</v>
      </c>
      <c r="E112" s="20">
        <v>2000</v>
      </c>
      <c r="F112" s="21">
        <v>9619.11</v>
      </c>
      <c r="G112" s="22">
        <v>1.5100000000000001E-2</v>
      </c>
      <c r="H112" s="23">
        <v>7.1550000000000002E-2</v>
      </c>
      <c r="I112" s="24"/>
      <c r="J112" s="5"/>
    </row>
    <row r="113" spans="1:10" ht="13.05" customHeight="1">
      <c r="A113" s="18" t="s">
        <v>5508</v>
      </c>
      <c r="B113" s="19" t="s">
        <v>5509</v>
      </c>
      <c r="C113" s="15" t="s">
        <v>5510</v>
      </c>
      <c r="D113" s="15" t="s">
        <v>2312</v>
      </c>
      <c r="E113" s="20">
        <v>1500</v>
      </c>
      <c r="F113" s="21">
        <v>7490.9324999999999</v>
      </c>
      <c r="G113" s="22">
        <v>1.17E-2</v>
      </c>
      <c r="H113" s="23">
        <v>7.3636999999999994E-2</v>
      </c>
      <c r="I113" s="24"/>
      <c r="J113" s="5"/>
    </row>
    <row r="114" spans="1:10" ht="13.05" customHeight="1">
      <c r="A114" s="18" t="s">
        <v>5511</v>
      </c>
      <c r="B114" s="19" t="s">
        <v>5512</v>
      </c>
      <c r="C114" s="15" t="s">
        <v>5513</v>
      </c>
      <c r="D114" s="15" t="s">
        <v>2312</v>
      </c>
      <c r="E114" s="20">
        <v>100</v>
      </c>
      <c r="F114" s="21">
        <v>499.65949999999998</v>
      </c>
      <c r="G114" s="22">
        <v>8.0000000000000004E-4</v>
      </c>
      <c r="H114" s="23">
        <v>6.2229E-2</v>
      </c>
      <c r="I114" s="24"/>
      <c r="J114" s="5"/>
    </row>
    <row r="115" spans="1:10" ht="13.05" customHeight="1">
      <c r="A115" s="5"/>
      <c r="B115" s="14" t="s">
        <v>192</v>
      </c>
      <c r="C115" s="15"/>
      <c r="D115" s="15"/>
      <c r="E115" s="15"/>
      <c r="F115" s="25">
        <v>49869.357000000004</v>
      </c>
      <c r="G115" s="26">
        <v>7.8100000000000003E-2</v>
      </c>
      <c r="H115" s="27"/>
      <c r="I115" s="28"/>
      <c r="J115" s="5"/>
    </row>
    <row r="116" spans="1:10" ht="13.05" customHeight="1">
      <c r="A116" s="5"/>
      <c r="B116" s="14" t="s">
        <v>1867</v>
      </c>
      <c r="C116" s="15"/>
      <c r="D116" s="15"/>
      <c r="E116" s="15"/>
      <c r="F116" s="5"/>
      <c r="G116" s="16"/>
      <c r="H116" s="16"/>
      <c r="I116" s="17"/>
      <c r="J116" s="5"/>
    </row>
    <row r="117" spans="1:10" ht="13.05" customHeight="1">
      <c r="A117" s="18" t="s">
        <v>3678</v>
      </c>
      <c r="B117" s="19" t="s">
        <v>3679</v>
      </c>
      <c r="C117" s="15" t="s">
        <v>3680</v>
      </c>
      <c r="D117" s="15" t="s">
        <v>188</v>
      </c>
      <c r="E117" s="20">
        <v>25000000</v>
      </c>
      <c r="F117" s="21">
        <v>24330.474999999999</v>
      </c>
      <c r="G117" s="22">
        <v>3.8100000000000002E-2</v>
      </c>
      <c r="H117" s="23">
        <v>5.5800000000000002E-2</v>
      </c>
      <c r="I117" s="24"/>
      <c r="J117" s="5"/>
    </row>
    <row r="118" spans="1:10" ht="13.05" customHeight="1">
      <c r="A118" s="18" t="s">
        <v>5514</v>
      </c>
      <c r="B118" s="19" t="s">
        <v>5515</v>
      </c>
      <c r="C118" s="15" t="s">
        <v>5516</v>
      </c>
      <c r="D118" s="15" t="s">
        <v>188</v>
      </c>
      <c r="E118" s="20">
        <v>2500000</v>
      </c>
      <c r="F118" s="21">
        <v>2480.1675</v>
      </c>
      <c r="G118" s="22">
        <v>3.8999999999999998E-3</v>
      </c>
      <c r="H118" s="23">
        <v>5.4050000000000001E-2</v>
      </c>
      <c r="I118" s="24"/>
      <c r="J118" s="5"/>
    </row>
    <row r="119" spans="1:10" ht="13.05" customHeight="1">
      <c r="A119" s="18" t="s">
        <v>3503</v>
      </c>
      <c r="B119" s="19" t="s">
        <v>3504</v>
      </c>
      <c r="C119" s="15" t="s">
        <v>3505</v>
      </c>
      <c r="D119" s="15" t="s">
        <v>188</v>
      </c>
      <c r="E119" s="20">
        <v>1500000</v>
      </c>
      <c r="F119" s="21">
        <v>1491.1395</v>
      </c>
      <c r="G119" s="22">
        <v>2.3E-3</v>
      </c>
      <c r="H119" s="23">
        <v>5.4221999999999999E-2</v>
      </c>
      <c r="I119" s="24"/>
      <c r="J119" s="5"/>
    </row>
    <row r="120" spans="1:10" ht="13.05" customHeight="1">
      <c r="A120" s="5"/>
      <c r="B120" s="14" t="s">
        <v>192</v>
      </c>
      <c r="C120" s="15"/>
      <c r="D120" s="15"/>
      <c r="E120" s="15"/>
      <c r="F120" s="25">
        <v>28301.781999999999</v>
      </c>
      <c r="G120" s="26">
        <v>4.4299999999999999E-2</v>
      </c>
      <c r="H120" s="27"/>
      <c r="I120" s="28"/>
      <c r="J120" s="5"/>
    </row>
    <row r="121" spans="1:10" ht="13.05" customHeight="1">
      <c r="A121" s="5"/>
      <c r="B121" s="29" t="s">
        <v>195</v>
      </c>
      <c r="C121" s="30"/>
      <c r="D121" s="2"/>
      <c r="E121" s="30"/>
      <c r="F121" s="25">
        <v>337258.15</v>
      </c>
      <c r="G121" s="26">
        <v>0.52810000000000001</v>
      </c>
      <c r="H121" s="27"/>
      <c r="I121" s="28"/>
      <c r="J121" s="5"/>
    </row>
    <row r="122" spans="1:10" ht="13.05" customHeight="1">
      <c r="A122" s="5"/>
      <c r="B122" s="14" t="s">
        <v>1818</v>
      </c>
      <c r="C122" s="15"/>
      <c r="D122" s="15"/>
      <c r="E122" s="15"/>
      <c r="F122" s="15"/>
      <c r="G122" s="15"/>
      <c r="H122" s="16"/>
      <c r="I122" s="17"/>
      <c r="J122" s="5"/>
    </row>
    <row r="123" spans="1:10" ht="13.05" customHeight="1">
      <c r="A123" s="5"/>
      <c r="B123" s="14" t="s">
        <v>2332</v>
      </c>
      <c r="C123" s="15"/>
      <c r="D123" s="15"/>
      <c r="E123" s="15"/>
      <c r="F123" s="5"/>
      <c r="G123" s="16"/>
      <c r="H123" s="16"/>
      <c r="I123" s="17"/>
      <c r="J123" s="5"/>
    </row>
    <row r="124" spans="1:10" ht="13.05" customHeight="1">
      <c r="A124" s="18" t="s">
        <v>2333</v>
      </c>
      <c r="B124" s="19" t="s">
        <v>2334</v>
      </c>
      <c r="C124" s="15" t="s">
        <v>2335</v>
      </c>
      <c r="D124" s="15"/>
      <c r="E124" s="20">
        <v>15086.78</v>
      </c>
      <c r="F124" s="21">
        <v>1726.0569</v>
      </c>
      <c r="G124" s="22">
        <v>2.7000000000000001E-3</v>
      </c>
      <c r="H124" s="23"/>
      <c r="I124" s="24"/>
      <c r="J124" s="5"/>
    </row>
    <row r="125" spans="1:10" ht="13.05" customHeight="1">
      <c r="A125" s="5"/>
      <c r="B125" s="14" t="s">
        <v>192</v>
      </c>
      <c r="C125" s="15"/>
      <c r="D125" s="15"/>
      <c r="E125" s="15"/>
      <c r="F125" s="25">
        <v>1726.0569</v>
      </c>
      <c r="G125" s="26">
        <v>2.7000000000000001E-3</v>
      </c>
      <c r="H125" s="27"/>
      <c r="I125" s="28"/>
      <c r="J125" s="5"/>
    </row>
    <row r="126" spans="1:10" ht="13.05" customHeight="1">
      <c r="A126" s="5"/>
      <c r="B126" s="29" t="s">
        <v>195</v>
      </c>
      <c r="C126" s="30"/>
      <c r="D126" s="2"/>
      <c r="E126" s="30"/>
      <c r="F126" s="25">
        <v>1726.0569</v>
      </c>
      <c r="G126" s="26">
        <v>2.7000000000000001E-3</v>
      </c>
      <c r="H126" s="27"/>
      <c r="I126" s="28"/>
      <c r="J126" s="5"/>
    </row>
    <row r="127" spans="1:10" ht="13.05" customHeight="1">
      <c r="A127" s="5"/>
      <c r="B127" s="14" t="s">
        <v>196</v>
      </c>
      <c r="C127" s="15"/>
      <c r="D127" s="15"/>
      <c r="E127" s="15"/>
      <c r="F127" s="15"/>
      <c r="G127" s="15"/>
      <c r="H127" s="16"/>
      <c r="I127" s="17"/>
      <c r="J127" s="5"/>
    </row>
    <row r="128" spans="1:10" ht="13.05" customHeight="1">
      <c r="A128" s="18" t="s">
        <v>197</v>
      </c>
      <c r="B128" s="19" t="s">
        <v>198</v>
      </c>
      <c r="C128" s="15"/>
      <c r="D128" s="15"/>
      <c r="E128" s="20"/>
      <c r="F128" s="21">
        <v>15208.108899999999</v>
      </c>
      <c r="G128" s="22">
        <v>2.3800000000000002E-2</v>
      </c>
      <c r="H128" s="23">
        <v>5.5573617010495215E-2</v>
      </c>
      <c r="I128" s="24"/>
      <c r="J128" s="5"/>
    </row>
    <row r="129" spans="1:10" ht="13.05" customHeight="1">
      <c r="A129" s="5"/>
      <c r="B129" s="14" t="s">
        <v>192</v>
      </c>
      <c r="C129" s="15"/>
      <c r="D129" s="15"/>
      <c r="E129" s="15"/>
      <c r="F129" s="25">
        <v>15208.108899999999</v>
      </c>
      <c r="G129" s="26">
        <v>2.3800000000000002E-2</v>
      </c>
      <c r="H129" s="27"/>
      <c r="I129" s="28"/>
      <c r="J129" s="5"/>
    </row>
    <row r="130" spans="1:10" ht="13.05" customHeight="1">
      <c r="A130" s="5"/>
      <c r="B130" s="29" t="s">
        <v>195</v>
      </c>
      <c r="C130" s="30"/>
      <c r="D130" s="2"/>
      <c r="E130" s="30"/>
      <c r="F130" s="25">
        <v>15208.108899999999</v>
      </c>
      <c r="G130" s="26">
        <v>2.3800000000000002E-2</v>
      </c>
      <c r="H130" s="27"/>
      <c r="I130" s="28"/>
      <c r="J130" s="5"/>
    </row>
    <row r="131" spans="1:10" ht="13.05" customHeight="1">
      <c r="A131" s="5"/>
      <c r="B131" s="29" t="s">
        <v>199</v>
      </c>
      <c r="C131" s="15"/>
      <c r="D131" s="2"/>
      <c r="E131" s="15"/>
      <c r="F131" s="31">
        <v>-8719.8325000000004</v>
      </c>
      <c r="G131" s="26">
        <v>-1.37E-2</v>
      </c>
      <c r="H131" s="27"/>
      <c r="I131" s="28"/>
      <c r="J131" s="5"/>
    </row>
    <row r="132" spans="1:10" ht="13.05" customHeight="1">
      <c r="A132" s="5"/>
      <c r="B132" s="32" t="s">
        <v>200</v>
      </c>
      <c r="C132" s="33"/>
      <c r="D132" s="33"/>
      <c r="E132" s="33"/>
      <c r="F132" s="34">
        <v>638646.44999999995</v>
      </c>
      <c r="G132" s="35">
        <v>1</v>
      </c>
      <c r="H132" s="36"/>
      <c r="I132" s="37"/>
      <c r="J132" s="5"/>
    </row>
    <row r="133" spans="1:10" ht="13.05" customHeight="1">
      <c r="A133" s="5"/>
      <c r="B133" s="7"/>
      <c r="C133" s="5"/>
      <c r="D133" s="5"/>
      <c r="E133" s="5"/>
      <c r="F133" s="5"/>
      <c r="G133" s="5"/>
      <c r="H133" s="5"/>
      <c r="I133" s="5"/>
      <c r="J133" s="5"/>
    </row>
    <row r="134" spans="1:10" ht="13.05" customHeight="1">
      <c r="A134" s="5"/>
      <c r="B134" s="4" t="s">
        <v>5226</v>
      </c>
      <c r="C134" s="5"/>
      <c r="D134" s="5"/>
      <c r="E134" s="5"/>
      <c r="F134" s="5"/>
      <c r="G134" s="5"/>
      <c r="H134" s="5"/>
      <c r="I134" s="5"/>
      <c r="J134" s="5"/>
    </row>
    <row r="135" spans="1:10" ht="13.05" customHeight="1">
      <c r="A135" s="5"/>
      <c r="B135" s="4" t="s">
        <v>250</v>
      </c>
      <c r="C135" s="5"/>
      <c r="D135" s="5"/>
      <c r="E135" s="5"/>
      <c r="F135" s="5"/>
      <c r="G135" s="5"/>
      <c r="H135" s="5"/>
      <c r="I135" s="5"/>
      <c r="J135" s="5"/>
    </row>
    <row r="136" spans="1:10" ht="13.05" customHeight="1">
      <c r="A136" s="5"/>
      <c r="B136" s="4" t="s">
        <v>1816</v>
      </c>
      <c r="C136" s="5"/>
      <c r="D136" s="5"/>
      <c r="E136" s="5"/>
      <c r="F136" s="5"/>
      <c r="G136" s="5"/>
      <c r="H136" s="5"/>
      <c r="I136" s="5"/>
      <c r="J136" s="5"/>
    </row>
    <row r="137" spans="1:10" ht="13.05" customHeight="1">
      <c r="A137" s="5"/>
      <c r="B137" s="4" t="s">
        <v>201</v>
      </c>
      <c r="C137" s="5"/>
      <c r="D137" s="5"/>
      <c r="E137" s="5"/>
      <c r="F137" s="5"/>
      <c r="G137" s="5"/>
      <c r="H137" s="5"/>
      <c r="I137" s="5"/>
      <c r="J137" s="5"/>
    </row>
    <row r="138" spans="1:10" ht="25.95" customHeight="1">
      <c r="A138" s="5"/>
      <c r="B138" s="103" t="s">
        <v>202</v>
      </c>
      <c r="C138" s="103"/>
      <c r="D138" s="103"/>
      <c r="E138" s="103"/>
      <c r="F138" s="103"/>
      <c r="G138" s="103"/>
      <c r="H138" s="103"/>
      <c r="I138" s="103"/>
      <c r="J138" s="5"/>
    </row>
    <row r="139" spans="1:10" ht="13.05" customHeight="1">
      <c r="A139" s="5"/>
      <c r="B139" s="103" t="s">
        <v>203</v>
      </c>
      <c r="C139" s="103"/>
      <c r="D139" s="103"/>
      <c r="E139" s="103"/>
      <c r="F139" s="103"/>
      <c r="G139" s="103"/>
      <c r="H139" s="103"/>
      <c r="I139" s="103"/>
      <c r="J139" s="5"/>
    </row>
    <row r="140" spans="1:10" ht="13.05" customHeight="1">
      <c r="A140" s="5"/>
      <c r="B140" s="103"/>
      <c r="C140" s="103"/>
      <c r="D140" s="103"/>
      <c r="E140" s="103"/>
      <c r="F140" s="103"/>
      <c r="G140" s="103"/>
      <c r="H140" s="103"/>
      <c r="I140" s="103"/>
      <c r="J140" s="5"/>
    </row>
    <row r="141" spans="1:10" ht="13.05" customHeight="1">
      <c r="A141" s="5"/>
      <c r="B141" s="103"/>
      <c r="C141" s="103"/>
      <c r="D141" s="103"/>
      <c r="E141" s="103"/>
      <c r="F141" s="103"/>
      <c r="G141" s="103"/>
      <c r="H141" s="103"/>
      <c r="I141" s="103"/>
      <c r="J141" s="5"/>
    </row>
    <row r="142" spans="1:10" ht="13.05" customHeight="1">
      <c r="A142" s="5"/>
      <c r="B142" s="103"/>
      <c r="C142" s="103"/>
      <c r="D142" s="103"/>
      <c r="E142" s="103"/>
      <c r="F142" s="103"/>
      <c r="G142" s="103"/>
      <c r="H142" s="103"/>
      <c r="I142" s="103"/>
      <c r="J142" s="5"/>
    </row>
    <row r="143" spans="1:10" ht="13.05" customHeight="1">
      <c r="A143" s="5"/>
      <c r="B143" s="103"/>
      <c r="C143" s="103"/>
      <c r="D143" s="103"/>
      <c r="E143" s="103"/>
      <c r="F143" s="103"/>
      <c r="G143" s="103"/>
      <c r="H143" s="103"/>
      <c r="I143" s="103"/>
      <c r="J143" s="5"/>
    </row>
    <row r="144" spans="1:10" ht="13.05" customHeight="1">
      <c r="A144" s="5"/>
      <c r="B144" s="5"/>
      <c r="C144" s="104" t="s">
        <v>5517</v>
      </c>
      <c r="D144" s="104"/>
      <c r="E144" s="104"/>
      <c r="F144" s="104"/>
      <c r="G144" s="5"/>
      <c r="H144" s="5"/>
      <c r="I144" s="5"/>
      <c r="J144" s="5"/>
    </row>
    <row r="145" spans="1:10" ht="13.05" customHeight="1">
      <c r="A145" s="5"/>
      <c r="B145" s="38" t="s">
        <v>207</v>
      </c>
      <c r="C145" s="104" t="s">
        <v>208</v>
      </c>
      <c r="D145" s="104"/>
      <c r="E145" s="104"/>
      <c r="F145" s="104"/>
      <c r="G145" s="5"/>
      <c r="H145" s="5"/>
      <c r="I145" s="5"/>
      <c r="J145" s="5"/>
    </row>
    <row r="146" spans="1:10" ht="135" customHeight="1">
      <c r="A146" s="5"/>
      <c r="B146" s="39"/>
      <c r="C146" s="105"/>
      <c r="D146" s="105"/>
      <c r="E146" s="5"/>
      <c r="F146" s="5"/>
      <c r="G146" s="5"/>
      <c r="H146" s="5"/>
      <c r="I146" s="5"/>
      <c r="J146" s="5"/>
    </row>
  </sheetData>
  <mergeCells count="9">
    <mergeCell ref="B143:I143"/>
    <mergeCell ref="C144:F144"/>
    <mergeCell ref="C145:F145"/>
    <mergeCell ref="C146:D146"/>
    <mergeCell ref="B138:I138"/>
    <mergeCell ref="B139:I139"/>
    <mergeCell ref="B140:I140"/>
    <mergeCell ref="B141:I141"/>
    <mergeCell ref="B142:I142"/>
  </mergeCells>
  <hyperlinks>
    <hyperlink ref="A1" location="AxisUltraShortDurationFund" display="AXISUSF" xr:uid="{00000000-0004-0000-5200-000000000000}"/>
    <hyperlink ref="B1" location="AxisUltraShortDurationFund" display="Axis Ultra Short Duration Fund" xr:uid="{00000000-0004-0000-52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outlinePr summaryBelow="0"/>
  </sheetPr>
  <dimension ref="A1:J126"/>
  <sheetViews>
    <sheetView topLeftCell="A91" workbookViewId="0">
      <selection activeCell="C101" sqref="C10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168</v>
      </c>
      <c r="B1" s="4" t="s">
        <v>169</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254</v>
      </c>
      <c r="B7" s="19" t="s">
        <v>255</v>
      </c>
      <c r="C7" s="15" t="s">
        <v>256</v>
      </c>
      <c r="D7" s="15" t="s">
        <v>257</v>
      </c>
      <c r="E7" s="20">
        <v>848416</v>
      </c>
      <c r="F7" s="21">
        <v>8376.4112000000005</v>
      </c>
      <c r="G7" s="22">
        <v>7.2800000000000004E-2</v>
      </c>
      <c r="H7" s="40"/>
      <c r="I7" s="24"/>
      <c r="J7" s="5"/>
    </row>
    <row r="8" spans="1:10" ht="13.05" customHeight="1">
      <c r="A8" s="18" t="s">
        <v>262</v>
      </c>
      <c r="B8" s="19" t="s">
        <v>263</v>
      </c>
      <c r="C8" s="15" t="s">
        <v>264</v>
      </c>
      <c r="D8" s="15" t="s">
        <v>257</v>
      </c>
      <c r="E8" s="20">
        <v>439620</v>
      </c>
      <c r="F8" s="21">
        <v>5914.2079000000003</v>
      </c>
      <c r="G8" s="22">
        <v>5.1400000000000001E-2</v>
      </c>
      <c r="H8" s="40"/>
      <c r="I8" s="24"/>
      <c r="J8" s="5"/>
    </row>
    <row r="9" spans="1:10" ht="13.05" customHeight="1">
      <c r="A9" s="18" t="s">
        <v>258</v>
      </c>
      <c r="B9" s="19" t="s">
        <v>259</v>
      </c>
      <c r="C9" s="15" t="s">
        <v>260</v>
      </c>
      <c r="D9" s="15" t="s">
        <v>261</v>
      </c>
      <c r="E9" s="20">
        <v>382671</v>
      </c>
      <c r="F9" s="21">
        <v>5688.0217000000002</v>
      </c>
      <c r="G9" s="22">
        <v>4.9399999999999999E-2</v>
      </c>
      <c r="H9" s="40"/>
      <c r="I9" s="24"/>
      <c r="J9" s="5"/>
    </row>
    <row r="10" spans="1:10" ht="13.05" customHeight="1">
      <c r="A10" s="18" t="s">
        <v>269</v>
      </c>
      <c r="B10" s="19" t="s">
        <v>270</v>
      </c>
      <c r="C10" s="15" t="s">
        <v>271</v>
      </c>
      <c r="D10" s="15" t="s">
        <v>272</v>
      </c>
      <c r="E10" s="20">
        <v>255758</v>
      </c>
      <c r="F10" s="21">
        <v>3791.1008000000002</v>
      </c>
      <c r="G10" s="22">
        <v>3.2899999999999999E-2</v>
      </c>
      <c r="H10" s="40"/>
      <c r="I10" s="24"/>
      <c r="J10" s="5"/>
    </row>
    <row r="11" spans="1:10" ht="13.05" customHeight="1">
      <c r="A11" s="18" t="s">
        <v>265</v>
      </c>
      <c r="B11" s="19" t="s">
        <v>266</v>
      </c>
      <c r="C11" s="15" t="s">
        <v>267</v>
      </c>
      <c r="D11" s="15" t="s">
        <v>268</v>
      </c>
      <c r="E11" s="20">
        <v>178772</v>
      </c>
      <c r="F11" s="21">
        <v>3672.8706999999999</v>
      </c>
      <c r="G11" s="22">
        <v>3.1899999999999998E-2</v>
      </c>
      <c r="H11" s="40"/>
      <c r="I11" s="24"/>
      <c r="J11" s="5"/>
    </row>
    <row r="12" spans="1:10" ht="13.05" customHeight="1">
      <c r="A12" s="18" t="s">
        <v>281</v>
      </c>
      <c r="B12" s="19" t="s">
        <v>282</v>
      </c>
      <c r="C12" s="15" t="s">
        <v>283</v>
      </c>
      <c r="D12" s="15" t="s">
        <v>257</v>
      </c>
      <c r="E12" s="20">
        <v>375246</v>
      </c>
      <c r="F12" s="21">
        <v>3516.0549999999998</v>
      </c>
      <c r="G12" s="22">
        <v>3.0499999999999999E-2</v>
      </c>
      <c r="H12" s="40"/>
      <c r="I12" s="24"/>
      <c r="J12" s="5"/>
    </row>
    <row r="13" spans="1:10" ht="13.05" customHeight="1">
      <c r="A13" s="18" t="s">
        <v>273</v>
      </c>
      <c r="B13" s="19" t="s">
        <v>274</v>
      </c>
      <c r="C13" s="15" t="s">
        <v>275</v>
      </c>
      <c r="D13" s="15" t="s">
        <v>276</v>
      </c>
      <c r="E13" s="20">
        <v>72455</v>
      </c>
      <c r="F13" s="21">
        <v>2920.5886</v>
      </c>
      <c r="G13" s="22">
        <v>2.5399999999999999E-2</v>
      </c>
      <c r="H13" s="40"/>
      <c r="I13" s="24"/>
      <c r="J13" s="5"/>
    </row>
    <row r="14" spans="1:10" ht="13.05" customHeight="1">
      <c r="A14" s="18" t="s">
        <v>293</v>
      </c>
      <c r="B14" s="19" t="s">
        <v>294</v>
      </c>
      <c r="C14" s="15" t="s">
        <v>295</v>
      </c>
      <c r="D14" s="15" t="s">
        <v>296</v>
      </c>
      <c r="E14" s="20">
        <v>74011</v>
      </c>
      <c r="F14" s="21">
        <v>2580.9115999999999</v>
      </c>
      <c r="G14" s="22">
        <v>2.24E-2</v>
      </c>
      <c r="H14" s="40"/>
      <c r="I14" s="24"/>
      <c r="J14" s="5"/>
    </row>
    <row r="15" spans="1:10" ht="13.05" customHeight="1">
      <c r="A15" s="18" t="s">
        <v>318</v>
      </c>
      <c r="B15" s="19" t="s">
        <v>319</v>
      </c>
      <c r="C15" s="15" t="s">
        <v>320</v>
      </c>
      <c r="D15" s="15" t="s">
        <v>321</v>
      </c>
      <c r="E15" s="20">
        <v>669506</v>
      </c>
      <c r="F15" s="21">
        <v>2255.9005000000002</v>
      </c>
      <c r="G15" s="22">
        <v>1.9599999999999999E-2</v>
      </c>
      <c r="H15" s="40"/>
      <c r="I15" s="24"/>
      <c r="J15" s="5"/>
    </row>
    <row r="16" spans="1:10" ht="13.05" customHeight="1">
      <c r="A16" s="18" t="s">
        <v>326</v>
      </c>
      <c r="B16" s="19" t="s">
        <v>327</v>
      </c>
      <c r="C16" s="15" t="s">
        <v>328</v>
      </c>
      <c r="D16" s="15" t="s">
        <v>329</v>
      </c>
      <c r="E16" s="20">
        <v>488979</v>
      </c>
      <c r="F16" s="21">
        <v>2083.5394999999999</v>
      </c>
      <c r="G16" s="22">
        <v>1.8100000000000002E-2</v>
      </c>
      <c r="H16" s="40"/>
      <c r="I16" s="24"/>
      <c r="J16" s="5"/>
    </row>
    <row r="17" spans="1:10" ht="13.05" customHeight="1">
      <c r="A17" s="18" t="s">
        <v>1052</v>
      </c>
      <c r="B17" s="19" t="s">
        <v>1053</v>
      </c>
      <c r="C17" s="15" t="s">
        <v>1054</v>
      </c>
      <c r="D17" s="15" t="s">
        <v>445</v>
      </c>
      <c r="E17" s="20">
        <v>188729</v>
      </c>
      <c r="F17" s="21">
        <v>2063.1853999999998</v>
      </c>
      <c r="G17" s="22">
        <v>1.7899999999999999E-2</v>
      </c>
      <c r="H17" s="40"/>
      <c r="I17" s="24"/>
      <c r="J17" s="5"/>
    </row>
    <row r="18" spans="1:10" ht="13.05" customHeight="1">
      <c r="A18" s="18" t="s">
        <v>532</v>
      </c>
      <c r="B18" s="19" t="s">
        <v>533</v>
      </c>
      <c r="C18" s="15" t="s">
        <v>534</v>
      </c>
      <c r="D18" s="15" t="s">
        <v>445</v>
      </c>
      <c r="E18" s="20">
        <v>244174</v>
      </c>
      <c r="F18" s="21">
        <v>1798.7077999999999</v>
      </c>
      <c r="G18" s="22">
        <v>1.5599999999999999E-2</v>
      </c>
      <c r="H18" s="40"/>
      <c r="I18" s="24"/>
      <c r="J18" s="5"/>
    </row>
    <row r="19" spans="1:10" ht="13.05" customHeight="1">
      <c r="A19" s="18" t="s">
        <v>514</v>
      </c>
      <c r="B19" s="19" t="s">
        <v>515</v>
      </c>
      <c r="C19" s="15" t="s">
        <v>516</v>
      </c>
      <c r="D19" s="15" t="s">
        <v>415</v>
      </c>
      <c r="E19" s="20">
        <v>174330</v>
      </c>
      <c r="F19" s="21">
        <v>1783.4830999999999</v>
      </c>
      <c r="G19" s="22">
        <v>1.55E-2</v>
      </c>
      <c r="H19" s="40"/>
      <c r="I19" s="24"/>
      <c r="J19" s="5"/>
    </row>
    <row r="20" spans="1:10" ht="13.05" customHeight="1">
      <c r="A20" s="18" t="s">
        <v>392</v>
      </c>
      <c r="B20" s="19" t="s">
        <v>393</v>
      </c>
      <c r="C20" s="15" t="s">
        <v>394</v>
      </c>
      <c r="D20" s="15" t="s">
        <v>272</v>
      </c>
      <c r="E20" s="20">
        <v>123886</v>
      </c>
      <c r="F20" s="21">
        <v>1764.6322</v>
      </c>
      <c r="G20" s="22">
        <v>1.5299999999999999E-2</v>
      </c>
      <c r="H20" s="40"/>
      <c r="I20" s="24"/>
      <c r="J20" s="5"/>
    </row>
    <row r="21" spans="1:10" ht="13.05" customHeight="1">
      <c r="A21" s="18" t="s">
        <v>1638</v>
      </c>
      <c r="B21" s="19" t="s">
        <v>1639</v>
      </c>
      <c r="C21" s="15" t="s">
        <v>1640</v>
      </c>
      <c r="D21" s="15" t="s">
        <v>567</v>
      </c>
      <c r="E21" s="20">
        <v>309571</v>
      </c>
      <c r="F21" s="21">
        <v>1745.0517</v>
      </c>
      <c r="G21" s="22">
        <v>1.52E-2</v>
      </c>
      <c r="H21" s="40"/>
      <c r="I21" s="24"/>
      <c r="J21" s="5"/>
    </row>
    <row r="22" spans="1:10" ht="13.05" customHeight="1">
      <c r="A22" s="18" t="s">
        <v>558</v>
      </c>
      <c r="B22" s="19" t="s">
        <v>559</v>
      </c>
      <c r="C22" s="15" t="s">
        <v>560</v>
      </c>
      <c r="D22" s="15" t="s">
        <v>374</v>
      </c>
      <c r="E22" s="20">
        <v>18179</v>
      </c>
      <c r="F22" s="21">
        <v>1680.3759</v>
      </c>
      <c r="G22" s="22">
        <v>1.46E-2</v>
      </c>
      <c r="H22" s="40"/>
      <c r="I22" s="24"/>
      <c r="J22" s="5"/>
    </row>
    <row r="23" spans="1:10" ht="13.05" customHeight="1">
      <c r="A23" s="18" t="s">
        <v>871</v>
      </c>
      <c r="B23" s="19" t="s">
        <v>872</v>
      </c>
      <c r="C23" s="15" t="s">
        <v>873</v>
      </c>
      <c r="D23" s="15" t="s">
        <v>257</v>
      </c>
      <c r="E23" s="20">
        <v>492424</v>
      </c>
      <c r="F23" s="21">
        <v>1607.0256999999999</v>
      </c>
      <c r="G23" s="22">
        <v>1.4E-2</v>
      </c>
      <c r="H23" s="40"/>
      <c r="I23" s="24"/>
      <c r="J23" s="5"/>
    </row>
    <row r="24" spans="1:10" ht="13.05" customHeight="1">
      <c r="A24" s="18" t="s">
        <v>290</v>
      </c>
      <c r="B24" s="19" t="s">
        <v>291</v>
      </c>
      <c r="C24" s="15" t="s">
        <v>292</v>
      </c>
      <c r="D24" s="15" t="s">
        <v>257</v>
      </c>
      <c r="E24" s="20">
        <v>74944</v>
      </c>
      <c r="F24" s="21">
        <v>1575.4728</v>
      </c>
      <c r="G24" s="22">
        <v>1.37E-2</v>
      </c>
      <c r="H24" s="40"/>
      <c r="I24" s="24"/>
      <c r="J24" s="5"/>
    </row>
    <row r="25" spans="1:10" ht="13.05" customHeight="1">
      <c r="A25" s="18" t="s">
        <v>334</v>
      </c>
      <c r="B25" s="19" t="s">
        <v>335</v>
      </c>
      <c r="C25" s="15" t="s">
        <v>336</v>
      </c>
      <c r="D25" s="15" t="s">
        <v>337</v>
      </c>
      <c r="E25" s="20">
        <v>12986</v>
      </c>
      <c r="F25" s="21">
        <v>1551.4374</v>
      </c>
      <c r="G25" s="22">
        <v>1.35E-2</v>
      </c>
      <c r="H25" s="40"/>
      <c r="I25" s="24"/>
      <c r="J25" s="5"/>
    </row>
    <row r="26" spans="1:10" ht="13.05" customHeight="1">
      <c r="A26" s="18" t="s">
        <v>311</v>
      </c>
      <c r="B26" s="19" t="s">
        <v>312</v>
      </c>
      <c r="C26" s="15" t="s">
        <v>313</v>
      </c>
      <c r="D26" s="15" t="s">
        <v>314</v>
      </c>
      <c r="E26" s="20">
        <v>91612</v>
      </c>
      <c r="F26" s="21">
        <v>1548.8841</v>
      </c>
      <c r="G26" s="22">
        <v>1.35E-2</v>
      </c>
      <c r="H26" s="40"/>
      <c r="I26" s="24"/>
      <c r="J26" s="5"/>
    </row>
    <row r="27" spans="1:10" ht="13.05" customHeight="1">
      <c r="A27" s="18" t="s">
        <v>426</v>
      </c>
      <c r="B27" s="19" t="s">
        <v>427</v>
      </c>
      <c r="C27" s="15" t="s">
        <v>428</v>
      </c>
      <c r="D27" s="15" t="s">
        <v>405</v>
      </c>
      <c r="E27" s="20">
        <v>194909</v>
      </c>
      <c r="F27" s="21">
        <v>1426.4414999999999</v>
      </c>
      <c r="G27" s="22">
        <v>1.24E-2</v>
      </c>
      <c r="H27" s="40"/>
      <c r="I27" s="24"/>
      <c r="J27" s="5"/>
    </row>
    <row r="28" spans="1:10" ht="13.05" customHeight="1">
      <c r="A28" s="18" t="s">
        <v>616</v>
      </c>
      <c r="B28" s="19" t="s">
        <v>617</v>
      </c>
      <c r="C28" s="15" t="s">
        <v>618</v>
      </c>
      <c r="D28" s="15" t="s">
        <v>445</v>
      </c>
      <c r="E28" s="20">
        <v>46854</v>
      </c>
      <c r="F28" s="21">
        <v>1423.1433999999999</v>
      </c>
      <c r="G28" s="22">
        <v>1.24E-2</v>
      </c>
      <c r="H28" s="40"/>
      <c r="I28" s="24"/>
      <c r="J28" s="5"/>
    </row>
    <row r="29" spans="1:10" ht="13.05" customHeight="1">
      <c r="A29" s="18" t="s">
        <v>495</v>
      </c>
      <c r="B29" s="19" t="s">
        <v>496</v>
      </c>
      <c r="C29" s="15" t="s">
        <v>497</v>
      </c>
      <c r="D29" s="15" t="s">
        <v>257</v>
      </c>
      <c r="E29" s="20">
        <v>598721</v>
      </c>
      <c r="F29" s="21">
        <v>1416.6338000000001</v>
      </c>
      <c r="G29" s="22">
        <v>1.23E-2</v>
      </c>
      <c r="H29" s="40"/>
      <c r="I29" s="24"/>
      <c r="J29" s="5"/>
    </row>
    <row r="30" spans="1:10" ht="13.05" customHeight="1">
      <c r="A30" s="18" t="s">
        <v>423</v>
      </c>
      <c r="B30" s="19" t="s">
        <v>424</v>
      </c>
      <c r="C30" s="15" t="s">
        <v>425</v>
      </c>
      <c r="D30" s="15" t="s">
        <v>296</v>
      </c>
      <c r="E30" s="20">
        <v>39535</v>
      </c>
      <c r="F30" s="21">
        <v>1387.1645000000001</v>
      </c>
      <c r="G30" s="22">
        <v>1.21E-2</v>
      </c>
      <c r="H30" s="40"/>
      <c r="I30" s="24"/>
      <c r="J30" s="5"/>
    </row>
    <row r="31" spans="1:10" ht="13.05" customHeight="1">
      <c r="A31" s="18" t="s">
        <v>277</v>
      </c>
      <c r="B31" s="19" t="s">
        <v>278</v>
      </c>
      <c r="C31" s="15" t="s">
        <v>279</v>
      </c>
      <c r="D31" s="15" t="s">
        <v>280</v>
      </c>
      <c r="E31" s="20">
        <v>324288</v>
      </c>
      <c r="F31" s="21">
        <v>1363.1446000000001</v>
      </c>
      <c r="G31" s="22">
        <v>1.18E-2</v>
      </c>
      <c r="H31" s="40"/>
      <c r="I31" s="24"/>
      <c r="J31" s="5"/>
    </row>
    <row r="32" spans="1:10" ht="13.05" customHeight="1">
      <c r="A32" s="18" t="s">
        <v>986</v>
      </c>
      <c r="B32" s="19" t="s">
        <v>987</v>
      </c>
      <c r="C32" s="15" t="s">
        <v>988</v>
      </c>
      <c r="D32" s="15" t="s">
        <v>445</v>
      </c>
      <c r="E32" s="20">
        <v>15319</v>
      </c>
      <c r="F32" s="21">
        <v>1328.3105</v>
      </c>
      <c r="G32" s="22">
        <v>1.15E-2</v>
      </c>
      <c r="H32" s="40"/>
      <c r="I32" s="24"/>
      <c r="J32" s="5"/>
    </row>
    <row r="33" spans="1:10" ht="13.05" customHeight="1">
      <c r="A33" s="18" t="s">
        <v>349</v>
      </c>
      <c r="B33" s="19" t="s">
        <v>350</v>
      </c>
      <c r="C33" s="15" t="s">
        <v>351</v>
      </c>
      <c r="D33" s="15" t="s">
        <v>300</v>
      </c>
      <c r="E33" s="20">
        <v>60928</v>
      </c>
      <c r="F33" s="21">
        <v>1272.3594000000001</v>
      </c>
      <c r="G33" s="22">
        <v>1.11E-2</v>
      </c>
      <c r="H33" s="40"/>
      <c r="I33" s="24"/>
      <c r="J33" s="5"/>
    </row>
    <row r="34" spans="1:10" ht="13.05" customHeight="1">
      <c r="A34" s="18" t="s">
        <v>604</v>
      </c>
      <c r="B34" s="19" t="s">
        <v>605</v>
      </c>
      <c r="C34" s="15" t="s">
        <v>606</v>
      </c>
      <c r="D34" s="15" t="s">
        <v>333</v>
      </c>
      <c r="E34" s="20">
        <v>118794</v>
      </c>
      <c r="F34" s="21">
        <v>1267.2944</v>
      </c>
      <c r="G34" s="22">
        <v>1.0999999999999999E-2</v>
      </c>
      <c r="H34" s="40"/>
      <c r="I34" s="24"/>
      <c r="J34" s="5"/>
    </row>
    <row r="35" spans="1:10" ht="13.05" customHeight="1">
      <c r="A35" s="18" t="s">
        <v>700</v>
      </c>
      <c r="B35" s="19" t="s">
        <v>701</v>
      </c>
      <c r="C35" s="15" t="s">
        <v>702</v>
      </c>
      <c r="D35" s="15" t="s">
        <v>257</v>
      </c>
      <c r="E35" s="20">
        <v>147550</v>
      </c>
      <c r="F35" s="21">
        <v>1267.0119</v>
      </c>
      <c r="G35" s="22">
        <v>1.0999999999999999E-2</v>
      </c>
      <c r="H35" s="40"/>
      <c r="I35" s="24"/>
      <c r="J35" s="5"/>
    </row>
    <row r="36" spans="1:10" ht="13.05" customHeight="1">
      <c r="A36" s="18" t="s">
        <v>488</v>
      </c>
      <c r="B36" s="19" t="s">
        <v>489</v>
      </c>
      <c r="C36" s="15" t="s">
        <v>490</v>
      </c>
      <c r="D36" s="15" t="s">
        <v>272</v>
      </c>
      <c r="E36" s="20">
        <v>68333</v>
      </c>
      <c r="F36" s="21">
        <v>1215.0291</v>
      </c>
      <c r="G36" s="22">
        <v>1.06E-2</v>
      </c>
      <c r="H36" s="40"/>
      <c r="I36" s="24"/>
      <c r="J36" s="5"/>
    </row>
    <row r="37" spans="1:10" ht="13.05" customHeight="1">
      <c r="A37" s="18" t="s">
        <v>472</v>
      </c>
      <c r="B37" s="19" t="s">
        <v>473</v>
      </c>
      <c r="C37" s="15" t="s">
        <v>474</v>
      </c>
      <c r="D37" s="15" t="s">
        <v>475</v>
      </c>
      <c r="E37" s="20">
        <v>258217</v>
      </c>
      <c r="F37" s="21">
        <v>1212.7161000000001</v>
      </c>
      <c r="G37" s="22">
        <v>1.0500000000000001E-2</v>
      </c>
      <c r="H37" s="40"/>
      <c r="I37" s="24"/>
      <c r="J37" s="5"/>
    </row>
    <row r="38" spans="1:10" ht="13.05" customHeight="1">
      <c r="A38" s="18" t="s">
        <v>1302</v>
      </c>
      <c r="B38" s="19" t="s">
        <v>1303</v>
      </c>
      <c r="C38" s="15" t="s">
        <v>1304</v>
      </c>
      <c r="D38" s="15" t="s">
        <v>314</v>
      </c>
      <c r="E38" s="20">
        <v>203827</v>
      </c>
      <c r="F38" s="21">
        <v>1152.8454999999999</v>
      </c>
      <c r="G38" s="22">
        <v>0.01</v>
      </c>
      <c r="H38" s="40"/>
      <c r="I38" s="24"/>
      <c r="J38" s="5"/>
    </row>
    <row r="39" spans="1:10" ht="13.05" customHeight="1">
      <c r="A39" s="18" t="s">
        <v>297</v>
      </c>
      <c r="B39" s="19" t="s">
        <v>298</v>
      </c>
      <c r="C39" s="15" t="s">
        <v>299</v>
      </c>
      <c r="D39" s="15" t="s">
        <v>300</v>
      </c>
      <c r="E39" s="20">
        <v>110338</v>
      </c>
      <c r="F39" s="21">
        <v>1150.6047000000001</v>
      </c>
      <c r="G39" s="22">
        <v>0.01</v>
      </c>
      <c r="H39" s="40"/>
      <c r="I39" s="24"/>
      <c r="J39" s="5"/>
    </row>
    <row r="40" spans="1:10" ht="13.05" customHeight="1">
      <c r="A40" s="18" t="s">
        <v>449</v>
      </c>
      <c r="B40" s="19" t="s">
        <v>450</v>
      </c>
      <c r="C40" s="15" t="s">
        <v>451</v>
      </c>
      <c r="D40" s="15" t="s">
        <v>261</v>
      </c>
      <c r="E40" s="20">
        <v>308492</v>
      </c>
      <c r="F40" s="21">
        <v>1100.6994999999999</v>
      </c>
      <c r="G40" s="22">
        <v>9.5999999999999992E-3</v>
      </c>
      <c r="H40" s="40"/>
      <c r="I40" s="24"/>
      <c r="J40" s="5"/>
    </row>
    <row r="41" spans="1:10" ht="13.05" customHeight="1">
      <c r="A41" s="18" t="s">
        <v>1263</v>
      </c>
      <c r="B41" s="19" t="s">
        <v>1264</v>
      </c>
      <c r="C41" s="15" t="s">
        <v>1265</v>
      </c>
      <c r="D41" s="15" t="s">
        <v>541</v>
      </c>
      <c r="E41" s="20">
        <v>170548</v>
      </c>
      <c r="F41" s="21">
        <v>1099.0112999999999</v>
      </c>
      <c r="G41" s="22">
        <v>9.4999999999999998E-3</v>
      </c>
      <c r="H41" s="40"/>
      <c r="I41" s="24"/>
      <c r="J41" s="5"/>
    </row>
    <row r="42" spans="1:10" ht="13.05" customHeight="1">
      <c r="A42" s="18" t="s">
        <v>2994</v>
      </c>
      <c r="B42" s="19" t="s">
        <v>2995</v>
      </c>
      <c r="C42" s="15" t="s">
        <v>2996</v>
      </c>
      <c r="D42" s="15" t="s">
        <v>846</v>
      </c>
      <c r="E42" s="20">
        <v>75922</v>
      </c>
      <c r="F42" s="21">
        <v>997.61509999999998</v>
      </c>
      <c r="G42" s="22">
        <v>8.6999999999999994E-3</v>
      </c>
      <c r="H42" s="40"/>
      <c r="I42" s="24"/>
      <c r="J42" s="5"/>
    </row>
    <row r="43" spans="1:10" ht="13.05" customHeight="1">
      <c r="A43" s="18" t="s">
        <v>934</v>
      </c>
      <c r="B43" s="19" t="s">
        <v>935</v>
      </c>
      <c r="C43" s="15" t="s">
        <v>936</v>
      </c>
      <c r="D43" s="15" t="s">
        <v>257</v>
      </c>
      <c r="E43" s="20">
        <v>429182</v>
      </c>
      <c r="F43" s="21">
        <v>981.41049999999996</v>
      </c>
      <c r="G43" s="22">
        <v>8.5000000000000006E-3</v>
      </c>
      <c r="H43" s="40"/>
      <c r="I43" s="24"/>
      <c r="J43" s="5"/>
    </row>
    <row r="44" spans="1:10" ht="13.05" customHeight="1">
      <c r="A44" s="18" t="s">
        <v>1013</v>
      </c>
      <c r="B44" s="19" t="s">
        <v>1014</v>
      </c>
      <c r="C44" s="15" t="s">
        <v>1015</v>
      </c>
      <c r="D44" s="15" t="s">
        <v>314</v>
      </c>
      <c r="E44" s="20">
        <v>57844</v>
      </c>
      <c r="F44" s="21">
        <v>973.1096</v>
      </c>
      <c r="G44" s="22">
        <v>8.5000000000000006E-3</v>
      </c>
      <c r="H44" s="40"/>
      <c r="I44" s="24"/>
      <c r="J44" s="5"/>
    </row>
    <row r="45" spans="1:10" ht="13.05" customHeight="1">
      <c r="A45" s="18" t="s">
        <v>416</v>
      </c>
      <c r="B45" s="19" t="s">
        <v>417</v>
      </c>
      <c r="C45" s="15" t="s">
        <v>418</v>
      </c>
      <c r="D45" s="15" t="s">
        <v>314</v>
      </c>
      <c r="E45" s="20">
        <v>61718</v>
      </c>
      <c r="F45" s="21">
        <v>926.57230000000004</v>
      </c>
      <c r="G45" s="22">
        <v>8.0999999999999996E-3</v>
      </c>
      <c r="H45" s="40"/>
      <c r="I45" s="24"/>
      <c r="J45" s="5"/>
    </row>
    <row r="46" spans="1:10" ht="13.05" customHeight="1">
      <c r="A46" s="18" t="s">
        <v>308</v>
      </c>
      <c r="B46" s="19" t="s">
        <v>309</v>
      </c>
      <c r="C46" s="15" t="s">
        <v>310</v>
      </c>
      <c r="D46" s="15" t="s">
        <v>296</v>
      </c>
      <c r="E46" s="20">
        <v>5669</v>
      </c>
      <c r="F46" s="21">
        <v>917.58429999999998</v>
      </c>
      <c r="G46" s="22">
        <v>8.0000000000000002E-3</v>
      </c>
      <c r="H46" s="40"/>
      <c r="I46" s="24"/>
      <c r="J46" s="5"/>
    </row>
    <row r="47" spans="1:10" ht="13.05" customHeight="1">
      <c r="A47" s="18" t="s">
        <v>549</v>
      </c>
      <c r="B47" s="19" t="s">
        <v>550</v>
      </c>
      <c r="C47" s="15" t="s">
        <v>551</v>
      </c>
      <c r="D47" s="15" t="s">
        <v>314</v>
      </c>
      <c r="E47" s="20">
        <v>46510</v>
      </c>
      <c r="F47" s="21">
        <v>913.22389999999996</v>
      </c>
      <c r="G47" s="22">
        <v>7.9000000000000008E-3</v>
      </c>
      <c r="H47" s="40"/>
      <c r="I47" s="24"/>
      <c r="J47" s="5"/>
    </row>
    <row r="48" spans="1:10" ht="13.05" customHeight="1">
      <c r="A48" s="18" t="s">
        <v>429</v>
      </c>
      <c r="B48" s="19" t="s">
        <v>430</v>
      </c>
      <c r="C48" s="15" t="s">
        <v>431</v>
      </c>
      <c r="D48" s="15" t="s">
        <v>415</v>
      </c>
      <c r="E48" s="20">
        <v>11856</v>
      </c>
      <c r="F48" s="21">
        <v>910.65940000000001</v>
      </c>
      <c r="G48" s="22">
        <v>7.9000000000000008E-3</v>
      </c>
      <c r="H48" s="40"/>
      <c r="I48" s="24"/>
      <c r="J48" s="5"/>
    </row>
    <row r="49" spans="1:10" ht="13.05" customHeight="1">
      <c r="A49" s="18" t="s">
        <v>640</v>
      </c>
      <c r="B49" s="19" t="s">
        <v>641</v>
      </c>
      <c r="C49" s="15" t="s">
        <v>642</v>
      </c>
      <c r="D49" s="15" t="s">
        <v>296</v>
      </c>
      <c r="E49" s="20">
        <v>37245</v>
      </c>
      <c r="F49" s="21">
        <v>908.29380000000003</v>
      </c>
      <c r="G49" s="22">
        <v>7.9000000000000008E-3</v>
      </c>
      <c r="H49" s="40"/>
      <c r="I49" s="24"/>
      <c r="J49" s="5"/>
    </row>
    <row r="50" spans="1:10" ht="13.05" customHeight="1">
      <c r="A50" s="18" t="s">
        <v>4688</v>
      </c>
      <c r="B50" s="19" t="s">
        <v>4689</v>
      </c>
      <c r="C50" s="15" t="s">
        <v>4690</v>
      </c>
      <c r="D50" s="15" t="s">
        <v>300</v>
      </c>
      <c r="E50" s="20">
        <v>98454</v>
      </c>
      <c r="F50" s="21">
        <v>870.1857</v>
      </c>
      <c r="G50" s="22">
        <v>7.6E-3</v>
      </c>
      <c r="H50" s="40"/>
      <c r="I50" s="24"/>
      <c r="J50" s="5"/>
    </row>
    <row r="51" spans="1:10" ht="13.05" customHeight="1">
      <c r="A51" s="18" t="s">
        <v>625</v>
      </c>
      <c r="B51" s="19" t="s">
        <v>626</v>
      </c>
      <c r="C51" s="15" t="s">
        <v>627</v>
      </c>
      <c r="D51" s="15" t="s">
        <v>314</v>
      </c>
      <c r="E51" s="20">
        <v>23180</v>
      </c>
      <c r="F51" s="21">
        <v>825.23119999999994</v>
      </c>
      <c r="G51" s="22">
        <v>7.1999999999999998E-3</v>
      </c>
      <c r="H51" s="40"/>
      <c r="I51" s="24"/>
      <c r="J51" s="5"/>
    </row>
    <row r="52" spans="1:10" ht="13.05" customHeight="1">
      <c r="A52" s="18" t="s">
        <v>1034</v>
      </c>
      <c r="B52" s="19" t="s">
        <v>1035</v>
      </c>
      <c r="C52" s="15" t="s">
        <v>1036</v>
      </c>
      <c r="D52" s="15" t="s">
        <v>501</v>
      </c>
      <c r="E52" s="20">
        <v>84081</v>
      </c>
      <c r="F52" s="21">
        <v>812.01229999999998</v>
      </c>
      <c r="G52" s="22">
        <v>7.1000000000000004E-3</v>
      </c>
      <c r="H52" s="40"/>
      <c r="I52" s="24"/>
      <c r="J52" s="5"/>
    </row>
    <row r="53" spans="1:10" ht="13.05" customHeight="1">
      <c r="A53" s="18" t="s">
        <v>880</v>
      </c>
      <c r="B53" s="19" t="s">
        <v>881</v>
      </c>
      <c r="C53" s="15" t="s">
        <v>882</v>
      </c>
      <c r="D53" s="15" t="s">
        <v>464</v>
      </c>
      <c r="E53" s="20">
        <v>369170</v>
      </c>
      <c r="F53" s="21">
        <v>800.65589999999997</v>
      </c>
      <c r="G53" s="22">
        <v>7.0000000000000001E-3</v>
      </c>
      <c r="H53" s="40"/>
      <c r="I53" s="24"/>
      <c r="J53" s="5"/>
    </row>
    <row r="54" spans="1:10" ht="13.05" customHeight="1">
      <c r="A54" s="18" t="s">
        <v>3924</v>
      </c>
      <c r="B54" s="19" t="s">
        <v>3925</v>
      </c>
      <c r="C54" s="15" t="s">
        <v>3926</v>
      </c>
      <c r="D54" s="15" t="s">
        <v>567</v>
      </c>
      <c r="E54" s="20">
        <v>62305</v>
      </c>
      <c r="F54" s="21">
        <v>793.70339999999999</v>
      </c>
      <c r="G54" s="22">
        <v>6.8999999999999999E-3</v>
      </c>
      <c r="H54" s="40"/>
      <c r="I54" s="24"/>
      <c r="J54" s="5"/>
    </row>
    <row r="55" spans="1:10" ht="13.05" customHeight="1">
      <c r="A55" s="18" t="s">
        <v>694</v>
      </c>
      <c r="B55" s="19" t="s">
        <v>695</v>
      </c>
      <c r="C55" s="15" t="s">
        <v>696</v>
      </c>
      <c r="D55" s="15" t="s">
        <v>541</v>
      </c>
      <c r="E55" s="20">
        <v>46852</v>
      </c>
      <c r="F55" s="21">
        <v>788.33180000000004</v>
      </c>
      <c r="G55" s="22">
        <v>6.7999999999999996E-3</v>
      </c>
      <c r="H55" s="40"/>
      <c r="I55" s="24"/>
      <c r="J55" s="5"/>
    </row>
    <row r="56" spans="1:10" ht="13.05" customHeight="1">
      <c r="A56" s="18" t="s">
        <v>1370</v>
      </c>
      <c r="B56" s="19" t="s">
        <v>1371</v>
      </c>
      <c r="C56" s="15" t="s">
        <v>1372</v>
      </c>
      <c r="D56" s="15" t="s">
        <v>846</v>
      </c>
      <c r="E56" s="20">
        <v>89277</v>
      </c>
      <c r="F56" s="21">
        <v>771.35329999999999</v>
      </c>
      <c r="G56" s="22">
        <v>6.7000000000000002E-3</v>
      </c>
      <c r="H56" s="40"/>
      <c r="I56" s="24"/>
      <c r="J56" s="5"/>
    </row>
    <row r="57" spans="1:10" ht="13.05" customHeight="1">
      <c r="A57" s="18" t="s">
        <v>919</v>
      </c>
      <c r="B57" s="19" t="s">
        <v>920</v>
      </c>
      <c r="C57" s="15" t="s">
        <v>921</v>
      </c>
      <c r="D57" s="15" t="s">
        <v>300</v>
      </c>
      <c r="E57" s="20">
        <v>82388</v>
      </c>
      <c r="F57" s="21">
        <v>765.13739999999996</v>
      </c>
      <c r="G57" s="22">
        <v>6.6E-3</v>
      </c>
      <c r="H57" s="40"/>
      <c r="I57" s="24"/>
      <c r="J57" s="5"/>
    </row>
    <row r="58" spans="1:10" ht="13.05" customHeight="1">
      <c r="A58" s="18" t="s">
        <v>801</v>
      </c>
      <c r="B58" s="19" t="s">
        <v>802</v>
      </c>
      <c r="C58" s="15" t="s">
        <v>803</v>
      </c>
      <c r="D58" s="15" t="s">
        <v>257</v>
      </c>
      <c r="E58" s="20">
        <v>312209</v>
      </c>
      <c r="F58" s="21">
        <v>759.13620000000003</v>
      </c>
      <c r="G58" s="22">
        <v>6.6E-3</v>
      </c>
      <c r="H58" s="40"/>
      <c r="I58" s="24"/>
      <c r="J58" s="5"/>
    </row>
    <row r="59" spans="1:10" ht="13.05" customHeight="1">
      <c r="A59" s="18" t="s">
        <v>2426</v>
      </c>
      <c r="B59" s="19" t="s">
        <v>2427</v>
      </c>
      <c r="C59" s="15" t="s">
        <v>2428</v>
      </c>
      <c r="D59" s="15" t="s">
        <v>970</v>
      </c>
      <c r="E59" s="20">
        <v>125698</v>
      </c>
      <c r="F59" s="21">
        <v>754.31370000000004</v>
      </c>
      <c r="G59" s="22">
        <v>6.6E-3</v>
      </c>
      <c r="H59" s="40"/>
      <c r="I59" s="24"/>
      <c r="J59" s="5"/>
    </row>
    <row r="60" spans="1:10" ht="13.05" customHeight="1">
      <c r="A60" s="18" t="s">
        <v>446</v>
      </c>
      <c r="B60" s="19" t="s">
        <v>447</v>
      </c>
      <c r="C60" s="15" t="s">
        <v>448</v>
      </c>
      <c r="D60" s="15" t="s">
        <v>300</v>
      </c>
      <c r="E60" s="20">
        <v>44396</v>
      </c>
      <c r="F60" s="21">
        <v>753.31129999999996</v>
      </c>
      <c r="G60" s="22">
        <v>6.4999999999999997E-3</v>
      </c>
      <c r="H60" s="40"/>
      <c r="I60" s="24"/>
      <c r="J60" s="5"/>
    </row>
    <row r="61" spans="1:10" ht="13.05" customHeight="1">
      <c r="A61" s="18" t="s">
        <v>1626</v>
      </c>
      <c r="B61" s="19" t="s">
        <v>1627</v>
      </c>
      <c r="C61" s="15" t="s">
        <v>1628</v>
      </c>
      <c r="D61" s="15" t="s">
        <v>415</v>
      </c>
      <c r="E61" s="20">
        <v>75784</v>
      </c>
      <c r="F61" s="21">
        <v>749.23850000000004</v>
      </c>
      <c r="G61" s="22">
        <v>6.4999999999999997E-3</v>
      </c>
      <c r="H61" s="40"/>
      <c r="I61" s="24"/>
      <c r="J61" s="5"/>
    </row>
    <row r="62" spans="1:10" ht="13.05" customHeight="1">
      <c r="A62" s="18" t="s">
        <v>330</v>
      </c>
      <c r="B62" s="19" t="s">
        <v>331</v>
      </c>
      <c r="C62" s="15" t="s">
        <v>332</v>
      </c>
      <c r="D62" s="15" t="s">
        <v>333</v>
      </c>
      <c r="E62" s="20">
        <v>401409</v>
      </c>
      <c r="F62" s="21">
        <v>733.93619999999999</v>
      </c>
      <c r="G62" s="22">
        <v>6.4000000000000003E-3</v>
      </c>
      <c r="H62" s="40"/>
      <c r="I62" s="24"/>
      <c r="J62" s="5"/>
    </row>
    <row r="63" spans="1:10" ht="13.05" customHeight="1">
      <c r="A63" s="18" t="s">
        <v>706</v>
      </c>
      <c r="B63" s="19" t="s">
        <v>707</v>
      </c>
      <c r="C63" s="15" t="s">
        <v>708</v>
      </c>
      <c r="D63" s="15" t="s">
        <v>541</v>
      </c>
      <c r="E63" s="20">
        <v>40335</v>
      </c>
      <c r="F63" s="21">
        <v>703.72469999999998</v>
      </c>
      <c r="G63" s="22">
        <v>6.1000000000000004E-3</v>
      </c>
      <c r="H63" s="40"/>
      <c r="I63" s="24"/>
      <c r="J63" s="5"/>
    </row>
    <row r="64" spans="1:10" ht="13.05" customHeight="1">
      <c r="A64" s="18" t="s">
        <v>1186</v>
      </c>
      <c r="B64" s="19" t="s">
        <v>1187</v>
      </c>
      <c r="C64" s="15" t="s">
        <v>1188</v>
      </c>
      <c r="D64" s="15" t="s">
        <v>970</v>
      </c>
      <c r="E64" s="20">
        <v>14798</v>
      </c>
      <c r="F64" s="21">
        <v>699.59019999999998</v>
      </c>
      <c r="G64" s="22">
        <v>6.1000000000000004E-3</v>
      </c>
      <c r="H64" s="40"/>
      <c r="I64" s="24"/>
      <c r="J64" s="5"/>
    </row>
    <row r="65" spans="1:10" ht="13.05" customHeight="1">
      <c r="A65" s="18" t="s">
        <v>476</v>
      </c>
      <c r="B65" s="19" t="s">
        <v>477</v>
      </c>
      <c r="C65" s="15" t="s">
        <v>478</v>
      </c>
      <c r="D65" s="15" t="s">
        <v>325</v>
      </c>
      <c r="E65" s="20">
        <v>4457</v>
      </c>
      <c r="F65" s="21">
        <v>690.56759999999997</v>
      </c>
      <c r="G65" s="22">
        <v>6.0000000000000001E-3</v>
      </c>
      <c r="H65" s="40"/>
      <c r="I65" s="24"/>
      <c r="J65" s="5"/>
    </row>
    <row r="66" spans="1:10" ht="13.05" customHeight="1">
      <c r="A66" s="18" t="s">
        <v>843</v>
      </c>
      <c r="B66" s="19" t="s">
        <v>844</v>
      </c>
      <c r="C66" s="15" t="s">
        <v>845</v>
      </c>
      <c r="D66" s="15" t="s">
        <v>846</v>
      </c>
      <c r="E66" s="20">
        <v>9940</v>
      </c>
      <c r="F66" s="21">
        <v>666.42729999999995</v>
      </c>
      <c r="G66" s="22">
        <v>5.7999999999999996E-3</v>
      </c>
      <c r="H66" s="40"/>
      <c r="I66" s="24"/>
      <c r="J66" s="5"/>
    </row>
    <row r="67" spans="1:10" ht="13.05" customHeight="1">
      <c r="A67" s="18" t="s">
        <v>395</v>
      </c>
      <c r="B67" s="19" t="s">
        <v>396</v>
      </c>
      <c r="C67" s="15" t="s">
        <v>397</v>
      </c>
      <c r="D67" s="15" t="s">
        <v>329</v>
      </c>
      <c r="E67" s="20">
        <v>13721</v>
      </c>
      <c r="F67" s="21">
        <v>642.11540000000002</v>
      </c>
      <c r="G67" s="22">
        <v>5.5999999999999999E-3</v>
      </c>
      <c r="H67" s="40"/>
      <c r="I67" s="24"/>
      <c r="J67" s="5"/>
    </row>
    <row r="68" spans="1:10" ht="13.05" customHeight="1">
      <c r="A68" s="18" t="s">
        <v>365</v>
      </c>
      <c r="B68" s="19" t="s">
        <v>366</v>
      </c>
      <c r="C68" s="15" t="s">
        <v>367</v>
      </c>
      <c r="D68" s="15" t="s">
        <v>300</v>
      </c>
      <c r="E68" s="20">
        <v>83451</v>
      </c>
      <c r="F68" s="21">
        <v>624.96450000000004</v>
      </c>
      <c r="G68" s="22">
        <v>5.4000000000000003E-3</v>
      </c>
      <c r="H68" s="40"/>
      <c r="I68" s="24"/>
      <c r="J68" s="5"/>
    </row>
    <row r="69" spans="1:10" ht="13.05" customHeight="1">
      <c r="A69" s="18" t="s">
        <v>877</v>
      </c>
      <c r="B69" s="19" t="s">
        <v>878</v>
      </c>
      <c r="C69" s="15" t="s">
        <v>879</v>
      </c>
      <c r="D69" s="15" t="s">
        <v>300</v>
      </c>
      <c r="E69" s="20">
        <v>32479</v>
      </c>
      <c r="F69" s="21">
        <v>621.1934</v>
      </c>
      <c r="G69" s="22">
        <v>5.4000000000000003E-3</v>
      </c>
      <c r="H69" s="40"/>
      <c r="I69" s="24"/>
      <c r="J69" s="5"/>
    </row>
    <row r="70" spans="1:10" ht="13.05" customHeight="1">
      <c r="A70" s="18" t="s">
        <v>907</v>
      </c>
      <c r="B70" s="19" t="s">
        <v>908</v>
      </c>
      <c r="C70" s="15" t="s">
        <v>909</v>
      </c>
      <c r="D70" s="15" t="s">
        <v>415</v>
      </c>
      <c r="E70" s="20">
        <v>84750</v>
      </c>
      <c r="F70" s="21">
        <v>611.08989999999994</v>
      </c>
      <c r="G70" s="22">
        <v>5.3E-3</v>
      </c>
      <c r="H70" s="40"/>
      <c r="I70" s="24"/>
      <c r="J70" s="5"/>
    </row>
    <row r="71" spans="1:10" ht="13.05" customHeight="1">
      <c r="A71" s="18" t="s">
        <v>828</v>
      </c>
      <c r="B71" s="19" t="s">
        <v>829</v>
      </c>
      <c r="C71" s="15" t="s">
        <v>830</v>
      </c>
      <c r="D71" s="15" t="s">
        <v>567</v>
      </c>
      <c r="E71" s="20">
        <v>127147</v>
      </c>
      <c r="F71" s="21">
        <v>601.0874</v>
      </c>
      <c r="G71" s="22">
        <v>5.1999999999999998E-3</v>
      </c>
      <c r="H71" s="40"/>
      <c r="I71" s="24"/>
      <c r="J71" s="5"/>
    </row>
    <row r="72" spans="1:10" ht="13.05" customHeight="1">
      <c r="A72" s="18" t="s">
        <v>646</v>
      </c>
      <c r="B72" s="19" t="s">
        <v>647</v>
      </c>
      <c r="C72" s="15" t="s">
        <v>648</v>
      </c>
      <c r="D72" s="15" t="s">
        <v>445</v>
      </c>
      <c r="E72" s="20">
        <v>225314</v>
      </c>
      <c r="F72" s="21">
        <v>598.18610000000001</v>
      </c>
      <c r="G72" s="22">
        <v>5.1999999999999998E-3</v>
      </c>
      <c r="H72" s="40"/>
      <c r="I72" s="24"/>
      <c r="J72" s="5"/>
    </row>
    <row r="73" spans="1:10" ht="13.05" customHeight="1">
      <c r="A73" s="18" t="s">
        <v>402</v>
      </c>
      <c r="B73" s="19" t="s">
        <v>403</v>
      </c>
      <c r="C73" s="15" t="s">
        <v>404</v>
      </c>
      <c r="D73" s="15" t="s">
        <v>405</v>
      </c>
      <c r="E73" s="20">
        <v>30567</v>
      </c>
      <c r="F73" s="21">
        <v>597.79880000000003</v>
      </c>
      <c r="G73" s="22">
        <v>5.1999999999999998E-3</v>
      </c>
      <c r="H73" s="40"/>
      <c r="I73" s="24"/>
      <c r="J73" s="5"/>
    </row>
    <row r="74" spans="1:10" ht="13.05" customHeight="1">
      <c r="A74" s="18" t="s">
        <v>989</v>
      </c>
      <c r="B74" s="19" t="s">
        <v>990</v>
      </c>
      <c r="C74" s="15" t="s">
        <v>991</v>
      </c>
      <c r="D74" s="15" t="s">
        <v>541</v>
      </c>
      <c r="E74" s="20">
        <v>56934</v>
      </c>
      <c r="F74" s="21">
        <v>590.80409999999995</v>
      </c>
      <c r="G74" s="22">
        <v>5.1000000000000004E-3</v>
      </c>
      <c r="H74" s="40"/>
      <c r="I74" s="24"/>
      <c r="J74" s="5"/>
    </row>
    <row r="75" spans="1:10" ht="13.05" customHeight="1">
      <c r="A75" s="18" t="s">
        <v>1120</v>
      </c>
      <c r="B75" s="19" t="s">
        <v>1121</v>
      </c>
      <c r="C75" s="15" t="s">
        <v>1122</v>
      </c>
      <c r="D75" s="15" t="s">
        <v>970</v>
      </c>
      <c r="E75" s="20">
        <v>166467</v>
      </c>
      <c r="F75" s="21">
        <v>589.12670000000003</v>
      </c>
      <c r="G75" s="22">
        <v>5.1000000000000004E-3</v>
      </c>
      <c r="H75" s="40"/>
      <c r="I75" s="24"/>
      <c r="J75" s="5"/>
    </row>
    <row r="76" spans="1:10" ht="13.05" customHeight="1">
      <c r="A76" s="18" t="s">
        <v>3581</v>
      </c>
      <c r="B76" s="19" t="s">
        <v>3582</v>
      </c>
      <c r="C76" s="15" t="s">
        <v>3583</v>
      </c>
      <c r="D76" s="15" t="s">
        <v>415</v>
      </c>
      <c r="E76" s="20">
        <v>78545</v>
      </c>
      <c r="F76" s="21">
        <v>586.84900000000005</v>
      </c>
      <c r="G76" s="22">
        <v>5.1000000000000004E-3</v>
      </c>
      <c r="H76" s="40"/>
      <c r="I76" s="24"/>
      <c r="J76" s="5"/>
    </row>
    <row r="77" spans="1:10" ht="13.05" customHeight="1">
      <c r="A77" s="18" t="s">
        <v>1352</v>
      </c>
      <c r="B77" s="19" t="s">
        <v>1353</v>
      </c>
      <c r="C77" s="15" t="s">
        <v>1354</v>
      </c>
      <c r="D77" s="15" t="s">
        <v>567</v>
      </c>
      <c r="E77" s="20">
        <v>8516</v>
      </c>
      <c r="F77" s="21">
        <v>568.86879999999996</v>
      </c>
      <c r="G77" s="22">
        <v>4.8999999999999998E-3</v>
      </c>
      <c r="H77" s="40"/>
      <c r="I77" s="24"/>
      <c r="J77" s="5"/>
    </row>
    <row r="78" spans="1:10" ht="13.05" customHeight="1">
      <c r="A78" s="18" t="s">
        <v>730</v>
      </c>
      <c r="B78" s="19" t="s">
        <v>731</v>
      </c>
      <c r="C78" s="15" t="s">
        <v>732</v>
      </c>
      <c r="D78" s="15" t="s">
        <v>445</v>
      </c>
      <c r="E78" s="20">
        <v>17824</v>
      </c>
      <c r="F78" s="21">
        <v>567.80129999999997</v>
      </c>
      <c r="G78" s="22">
        <v>4.8999999999999998E-3</v>
      </c>
      <c r="H78" s="40"/>
      <c r="I78" s="24"/>
      <c r="J78" s="5"/>
    </row>
    <row r="79" spans="1:10" ht="13.05" customHeight="1">
      <c r="A79" s="18" t="s">
        <v>341</v>
      </c>
      <c r="B79" s="19" t="s">
        <v>342</v>
      </c>
      <c r="C79" s="15" t="s">
        <v>343</v>
      </c>
      <c r="D79" s="15" t="s">
        <v>344</v>
      </c>
      <c r="E79" s="20">
        <v>66593</v>
      </c>
      <c r="F79" s="21">
        <v>564.60879999999997</v>
      </c>
      <c r="G79" s="22">
        <v>4.8999999999999998E-3</v>
      </c>
      <c r="H79" s="40"/>
      <c r="I79" s="24"/>
      <c r="J79" s="5"/>
    </row>
    <row r="80" spans="1:10" ht="13.05" customHeight="1">
      <c r="A80" s="18" t="s">
        <v>822</v>
      </c>
      <c r="B80" s="19" t="s">
        <v>823</v>
      </c>
      <c r="C80" s="15" t="s">
        <v>824</v>
      </c>
      <c r="D80" s="15" t="s">
        <v>300</v>
      </c>
      <c r="E80" s="20">
        <v>207732</v>
      </c>
      <c r="F80" s="21">
        <v>561.89430000000004</v>
      </c>
      <c r="G80" s="22">
        <v>4.8999999999999998E-3</v>
      </c>
      <c r="H80" s="40"/>
      <c r="I80" s="24"/>
      <c r="J80" s="5"/>
    </row>
    <row r="81" spans="1:10" ht="13.05" customHeight="1">
      <c r="A81" s="18" t="s">
        <v>2780</v>
      </c>
      <c r="B81" s="19" t="s">
        <v>2781</v>
      </c>
      <c r="C81" s="15" t="s">
        <v>2782</v>
      </c>
      <c r="D81" s="15" t="s">
        <v>970</v>
      </c>
      <c r="E81" s="20">
        <v>86953</v>
      </c>
      <c r="F81" s="21">
        <v>561.28160000000003</v>
      </c>
      <c r="G81" s="22">
        <v>4.8999999999999998E-3</v>
      </c>
      <c r="H81" s="40"/>
      <c r="I81" s="24"/>
      <c r="J81" s="5"/>
    </row>
    <row r="82" spans="1:10" ht="13.05" customHeight="1">
      <c r="A82" s="18" t="s">
        <v>382</v>
      </c>
      <c r="B82" s="19" t="s">
        <v>383</v>
      </c>
      <c r="C82" s="15" t="s">
        <v>384</v>
      </c>
      <c r="D82" s="15" t="s">
        <v>296</v>
      </c>
      <c r="E82" s="20">
        <v>6227</v>
      </c>
      <c r="F82" s="21">
        <v>553.73599999999999</v>
      </c>
      <c r="G82" s="22">
        <v>4.7999999999999996E-3</v>
      </c>
      <c r="H82" s="40"/>
      <c r="I82" s="24"/>
      <c r="J82" s="5"/>
    </row>
    <row r="83" spans="1:10" ht="13.05" customHeight="1">
      <c r="A83" s="18" t="s">
        <v>4751</v>
      </c>
      <c r="B83" s="19" t="s">
        <v>4752</v>
      </c>
      <c r="C83" s="15" t="s">
        <v>4753</v>
      </c>
      <c r="D83" s="15" t="s">
        <v>445</v>
      </c>
      <c r="E83" s="20">
        <v>53732</v>
      </c>
      <c r="F83" s="21">
        <v>529.52890000000002</v>
      </c>
      <c r="G83" s="22">
        <v>4.5999999999999999E-3</v>
      </c>
      <c r="H83" s="40"/>
      <c r="I83" s="24"/>
      <c r="J83" s="5"/>
    </row>
    <row r="84" spans="1:10" ht="13.05" customHeight="1">
      <c r="A84" s="18" t="s">
        <v>1211</v>
      </c>
      <c r="B84" s="19" t="s">
        <v>1212</v>
      </c>
      <c r="C84" s="15" t="s">
        <v>1213</v>
      </c>
      <c r="D84" s="15" t="s">
        <v>314</v>
      </c>
      <c r="E84" s="20">
        <v>27974</v>
      </c>
      <c r="F84" s="21">
        <v>518.66589999999997</v>
      </c>
      <c r="G84" s="22">
        <v>4.4999999999999997E-3</v>
      </c>
      <c r="H84" s="40"/>
      <c r="I84" s="24"/>
      <c r="J84" s="5"/>
    </row>
    <row r="85" spans="1:10" ht="13.05" customHeight="1">
      <c r="A85" s="18" t="s">
        <v>5518</v>
      </c>
      <c r="B85" s="19" t="s">
        <v>5519</v>
      </c>
      <c r="C85" s="15" t="s">
        <v>5520</v>
      </c>
      <c r="D85" s="15" t="s">
        <v>846</v>
      </c>
      <c r="E85" s="20">
        <v>26421</v>
      </c>
      <c r="F85" s="21">
        <v>512.32960000000003</v>
      </c>
      <c r="G85" s="22">
        <v>4.4999999999999997E-3</v>
      </c>
      <c r="H85" s="40"/>
      <c r="I85" s="24"/>
      <c r="J85" s="5"/>
    </row>
    <row r="86" spans="1:10" ht="13.05" customHeight="1">
      <c r="A86" s="18" t="s">
        <v>709</v>
      </c>
      <c r="B86" s="19" t="s">
        <v>710</v>
      </c>
      <c r="C86" s="15" t="s">
        <v>711</v>
      </c>
      <c r="D86" s="15" t="s">
        <v>304</v>
      </c>
      <c r="E86" s="20">
        <v>346541</v>
      </c>
      <c r="F86" s="21">
        <v>501.41019999999997</v>
      </c>
      <c r="G86" s="22">
        <v>4.4000000000000003E-3</v>
      </c>
      <c r="H86" s="40"/>
      <c r="I86" s="24"/>
      <c r="J86" s="5"/>
    </row>
    <row r="87" spans="1:10" ht="13.05" customHeight="1">
      <c r="A87" s="18" t="s">
        <v>721</v>
      </c>
      <c r="B87" s="19" t="s">
        <v>722</v>
      </c>
      <c r="C87" s="15" t="s">
        <v>723</v>
      </c>
      <c r="D87" s="15" t="s">
        <v>314</v>
      </c>
      <c r="E87" s="20">
        <v>26102</v>
      </c>
      <c r="F87" s="21">
        <v>493.64100000000002</v>
      </c>
      <c r="G87" s="22">
        <v>4.3E-3</v>
      </c>
      <c r="H87" s="40"/>
      <c r="I87" s="24"/>
      <c r="J87" s="5"/>
    </row>
    <row r="88" spans="1:10" ht="13.05" customHeight="1">
      <c r="A88" s="18" t="s">
        <v>564</v>
      </c>
      <c r="B88" s="19" t="s">
        <v>565</v>
      </c>
      <c r="C88" s="15" t="s">
        <v>566</v>
      </c>
      <c r="D88" s="15" t="s">
        <v>567</v>
      </c>
      <c r="E88" s="20">
        <v>436328</v>
      </c>
      <c r="F88" s="21">
        <v>459.84609999999998</v>
      </c>
      <c r="G88" s="22">
        <v>4.0000000000000001E-3</v>
      </c>
      <c r="H88" s="40"/>
      <c r="I88" s="24"/>
      <c r="J88" s="5"/>
    </row>
    <row r="89" spans="1:10" ht="13.05" customHeight="1">
      <c r="A89" s="18" t="s">
        <v>992</v>
      </c>
      <c r="B89" s="19" t="s">
        <v>993</v>
      </c>
      <c r="C89" s="15" t="s">
        <v>994</v>
      </c>
      <c r="D89" s="15" t="s">
        <v>374</v>
      </c>
      <c r="E89" s="20">
        <v>41513</v>
      </c>
      <c r="F89" s="21">
        <v>455.85430000000002</v>
      </c>
      <c r="G89" s="22">
        <v>4.0000000000000001E-3</v>
      </c>
      <c r="H89" s="40"/>
      <c r="I89" s="24"/>
      <c r="J89" s="5"/>
    </row>
    <row r="90" spans="1:10" ht="13.05" customHeight="1">
      <c r="A90" s="18" t="s">
        <v>1326</v>
      </c>
      <c r="B90" s="19" t="s">
        <v>1327</v>
      </c>
      <c r="C90" s="15" t="s">
        <v>1328</v>
      </c>
      <c r="D90" s="15" t="s">
        <v>1068</v>
      </c>
      <c r="E90" s="20">
        <v>825644</v>
      </c>
      <c r="F90" s="21">
        <v>433.79340000000002</v>
      </c>
      <c r="G90" s="22">
        <v>3.8E-3</v>
      </c>
      <c r="H90" s="40"/>
      <c r="I90" s="24"/>
      <c r="J90" s="5"/>
    </row>
    <row r="91" spans="1:10" ht="13.05" customHeight="1">
      <c r="A91" s="18" t="s">
        <v>338</v>
      </c>
      <c r="B91" s="19" t="s">
        <v>339</v>
      </c>
      <c r="C91" s="15" t="s">
        <v>340</v>
      </c>
      <c r="D91" s="15" t="s">
        <v>321</v>
      </c>
      <c r="E91" s="20">
        <v>141726</v>
      </c>
      <c r="F91" s="21">
        <v>408.38350000000003</v>
      </c>
      <c r="G91" s="22">
        <v>3.5000000000000001E-3</v>
      </c>
      <c r="H91" s="40"/>
      <c r="I91" s="24"/>
      <c r="J91" s="5"/>
    </row>
    <row r="92" spans="1:10" ht="13.05" customHeight="1">
      <c r="A92" s="18" t="s">
        <v>1299</v>
      </c>
      <c r="B92" s="19" t="s">
        <v>1300</v>
      </c>
      <c r="C92" s="15" t="s">
        <v>1301</v>
      </c>
      <c r="D92" s="15" t="s">
        <v>325</v>
      </c>
      <c r="E92" s="20">
        <v>68908</v>
      </c>
      <c r="F92" s="21">
        <v>393.43020000000001</v>
      </c>
      <c r="G92" s="22">
        <v>3.3999999999999998E-3</v>
      </c>
      <c r="H92" s="40"/>
      <c r="I92" s="24"/>
      <c r="J92" s="5"/>
    </row>
    <row r="93" spans="1:10" ht="13.05" customHeight="1">
      <c r="A93" s="18" t="s">
        <v>1099</v>
      </c>
      <c r="B93" s="19" t="s">
        <v>1100</v>
      </c>
      <c r="C93" s="15" t="s">
        <v>1101</v>
      </c>
      <c r="D93" s="15" t="s">
        <v>758</v>
      </c>
      <c r="E93" s="20">
        <v>35105</v>
      </c>
      <c r="F93" s="21">
        <v>375.41289999999998</v>
      </c>
      <c r="G93" s="22">
        <v>3.3E-3</v>
      </c>
      <c r="H93" s="40"/>
      <c r="I93" s="24"/>
      <c r="J93" s="5"/>
    </row>
    <row r="94" spans="1:10" ht="13.05" customHeight="1">
      <c r="A94" s="18" t="s">
        <v>378</v>
      </c>
      <c r="B94" s="19" t="s">
        <v>379</v>
      </c>
      <c r="C94" s="15" t="s">
        <v>380</v>
      </c>
      <c r="D94" s="15" t="s">
        <v>381</v>
      </c>
      <c r="E94" s="20">
        <v>137050</v>
      </c>
      <c r="F94" s="21">
        <v>349.9846</v>
      </c>
      <c r="G94" s="22">
        <v>3.0000000000000001E-3</v>
      </c>
      <c r="H94" s="40"/>
      <c r="I94" s="24"/>
      <c r="J94" s="5"/>
    </row>
    <row r="95" spans="1:10" ht="13.05" customHeight="1">
      <c r="A95" s="18" t="s">
        <v>287</v>
      </c>
      <c r="B95" s="19" t="s">
        <v>288</v>
      </c>
      <c r="C95" s="15" t="s">
        <v>289</v>
      </c>
      <c r="D95" s="15" t="s">
        <v>272</v>
      </c>
      <c r="E95" s="20">
        <v>9936</v>
      </c>
      <c r="F95" s="21">
        <v>303.84289999999999</v>
      </c>
      <c r="G95" s="22">
        <v>2.5999999999999999E-3</v>
      </c>
      <c r="H95" s="40"/>
      <c r="I95" s="24"/>
      <c r="J95" s="5"/>
    </row>
    <row r="96" spans="1:10" ht="13.05" customHeight="1">
      <c r="A96" s="18" t="s">
        <v>2435</v>
      </c>
      <c r="B96" s="19" t="s">
        <v>2436</v>
      </c>
      <c r="C96" s="15" t="s">
        <v>2437</v>
      </c>
      <c r="D96" s="15" t="s">
        <v>567</v>
      </c>
      <c r="E96" s="20">
        <v>15560</v>
      </c>
      <c r="F96" s="21">
        <v>235.5317</v>
      </c>
      <c r="G96" s="22">
        <v>2E-3</v>
      </c>
      <c r="H96" s="40"/>
      <c r="I96" s="24"/>
      <c r="J96" s="5"/>
    </row>
    <row r="97" spans="1:10" ht="13.05" customHeight="1">
      <c r="A97" s="18" t="s">
        <v>810</v>
      </c>
      <c r="B97" s="19" t="s">
        <v>811</v>
      </c>
      <c r="C97" s="15" t="s">
        <v>812</v>
      </c>
      <c r="D97" s="15" t="s">
        <v>567</v>
      </c>
      <c r="E97" s="20">
        <v>18624</v>
      </c>
      <c r="F97" s="21">
        <v>230.0436</v>
      </c>
      <c r="G97" s="22">
        <v>2E-3</v>
      </c>
      <c r="H97" s="40"/>
      <c r="I97" s="24"/>
      <c r="J97" s="5"/>
    </row>
    <row r="98" spans="1:10" ht="13.05" customHeight="1">
      <c r="A98" s="18" t="s">
        <v>1857</v>
      </c>
      <c r="B98" s="19" t="s">
        <v>1858</v>
      </c>
      <c r="C98" s="15" t="s">
        <v>1859</v>
      </c>
      <c r="D98" s="15" t="s">
        <v>325</v>
      </c>
      <c r="E98" s="20">
        <v>13816</v>
      </c>
      <c r="F98" s="21">
        <v>229.84299999999999</v>
      </c>
      <c r="G98" s="22">
        <v>2E-3</v>
      </c>
      <c r="H98" s="40"/>
      <c r="I98" s="24"/>
      <c r="J98" s="5"/>
    </row>
    <row r="99" spans="1:10" ht="13.05" customHeight="1">
      <c r="A99" s="18" t="s">
        <v>455</v>
      </c>
      <c r="B99" s="19" t="s">
        <v>456</v>
      </c>
      <c r="C99" s="15" t="s">
        <v>457</v>
      </c>
      <c r="D99" s="15" t="s">
        <v>272</v>
      </c>
      <c r="E99" s="20">
        <v>83925</v>
      </c>
      <c r="F99" s="21">
        <v>201.98230000000001</v>
      </c>
      <c r="G99" s="22">
        <v>1.8E-3</v>
      </c>
      <c r="H99" s="40"/>
      <c r="I99" s="24"/>
      <c r="J99" s="5"/>
    </row>
    <row r="100" spans="1:10" ht="13.05" customHeight="1">
      <c r="A100" s="18" t="s">
        <v>409</v>
      </c>
      <c r="B100" s="19" t="s">
        <v>410</v>
      </c>
      <c r="C100" s="15" t="s">
        <v>411</v>
      </c>
      <c r="D100" s="15" t="s">
        <v>296</v>
      </c>
      <c r="E100" s="20">
        <v>43034</v>
      </c>
      <c r="F100" s="21">
        <v>176.43940000000001</v>
      </c>
      <c r="G100" s="22">
        <v>1.5E-3</v>
      </c>
      <c r="H100" s="40"/>
      <c r="I100" s="24"/>
      <c r="J100" s="5"/>
    </row>
    <row r="101" spans="1:10" ht="13.05" customHeight="1">
      <c r="A101" s="18" t="s">
        <v>505</v>
      </c>
      <c r="B101" s="19" t="s">
        <v>2339</v>
      </c>
      <c r="C101" s="15" t="s">
        <v>506</v>
      </c>
      <c r="D101" s="15" t="s">
        <v>507</v>
      </c>
      <c r="E101" s="20">
        <v>43034</v>
      </c>
      <c r="F101" s="21">
        <v>112.21120000000001</v>
      </c>
      <c r="G101" s="22">
        <v>1E-3</v>
      </c>
      <c r="H101" s="40"/>
      <c r="I101" s="24"/>
      <c r="J101" s="5"/>
    </row>
    <row r="102" spans="1:10" ht="13.05" customHeight="1">
      <c r="A102" s="5"/>
      <c r="B102" s="14" t="s">
        <v>192</v>
      </c>
      <c r="C102" s="15"/>
      <c r="D102" s="15"/>
      <c r="E102" s="15"/>
      <c r="F102" s="25">
        <v>113829.1798</v>
      </c>
      <c r="G102" s="26">
        <v>0.98899999999999999</v>
      </c>
      <c r="H102" s="27"/>
      <c r="I102" s="28"/>
      <c r="J102" s="5"/>
    </row>
    <row r="103" spans="1:10" ht="13.05" customHeight="1">
      <c r="A103" s="5"/>
      <c r="B103" s="29" t="s">
        <v>1812</v>
      </c>
      <c r="C103" s="2"/>
      <c r="D103" s="2"/>
      <c r="E103" s="2"/>
      <c r="F103" s="27" t="s">
        <v>194</v>
      </c>
      <c r="G103" s="27" t="s">
        <v>194</v>
      </c>
      <c r="H103" s="27"/>
      <c r="I103" s="28"/>
      <c r="J103" s="5"/>
    </row>
    <row r="104" spans="1:10" ht="13.05" customHeight="1">
      <c r="A104" s="5"/>
      <c r="B104" s="29" t="s">
        <v>192</v>
      </c>
      <c r="C104" s="2"/>
      <c r="D104" s="2"/>
      <c r="E104" s="2"/>
      <c r="F104" s="27" t="s">
        <v>194</v>
      </c>
      <c r="G104" s="27" t="s">
        <v>194</v>
      </c>
      <c r="H104" s="27"/>
      <c r="I104" s="28"/>
      <c r="J104" s="5"/>
    </row>
    <row r="105" spans="1:10" ht="13.05" customHeight="1">
      <c r="A105" s="5"/>
      <c r="B105" s="14" t="s">
        <v>1813</v>
      </c>
      <c r="C105" s="15"/>
      <c r="D105" s="15"/>
      <c r="E105" s="15"/>
      <c r="F105" s="5"/>
      <c r="G105" s="16"/>
      <c r="H105" s="16"/>
      <c r="I105" s="17"/>
      <c r="J105" s="5"/>
    </row>
    <row r="106" spans="1:10" ht="13.05" customHeight="1">
      <c r="A106" s="18" t="s">
        <v>1814</v>
      </c>
      <c r="B106" s="19" t="s">
        <v>5526</v>
      </c>
      <c r="C106" s="15" t="s">
        <v>1815</v>
      </c>
      <c r="D106" s="15" t="s">
        <v>296</v>
      </c>
      <c r="E106" s="20">
        <v>128024</v>
      </c>
      <c r="F106" s="21">
        <v>12.919499999999999</v>
      </c>
      <c r="G106" s="22">
        <v>1E-4</v>
      </c>
      <c r="H106" s="40"/>
      <c r="I106" s="24"/>
      <c r="J106" s="5"/>
    </row>
    <row r="107" spans="1:10" ht="13.05" customHeight="1">
      <c r="A107" s="5"/>
      <c r="B107" s="14" t="s">
        <v>192</v>
      </c>
      <c r="C107" s="15"/>
      <c r="D107" s="15"/>
      <c r="E107" s="15"/>
      <c r="F107" s="25">
        <v>12.919499999999999</v>
      </c>
      <c r="G107" s="26">
        <v>1E-4</v>
      </c>
      <c r="H107" s="27"/>
      <c r="I107" s="28"/>
      <c r="J107" s="5"/>
    </row>
    <row r="108" spans="1:10" ht="13.05" customHeight="1">
      <c r="A108" s="5"/>
      <c r="B108" s="29" t="s">
        <v>195</v>
      </c>
      <c r="C108" s="30"/>
      <c r="D108" s="2"/>
      <c r="E108" s="30"/>
      <c r="F108" s="25">
        <v>113842.0993</v>
      </c>
      <c r="G108" s="26">
        <v>0.98909999999999998</v>
      </c>
      <c r="H108" s="27"/>
      <c r="I108" s="28"/>
      <c r="J108" s="5"/>
    </row>
    <row r="109" spans="1:10" ht="13.05" customHeight="1">
      <c r="A109" s="5"/>
      <c r="B109" s="14" t="s">
        <v>196</v>
      </c>
      <c r="C109" s="15"/>
      <c r="D109" s="15"/>
      <c r="E109" s="15"/>
      <c r="F109" s="15"/>
      <c r="G109" s="15"/>
      <c r="H109" s="16"/>
      <c r="I109" s="17"/>
      <c r="J109" s="5"/>
    </row>
    <row r="110" spans="1:10" ht="13.05" customHeight="1">
      <c r="A110" s="18" t="s">
        <v>197</v>
      </c>
      <c r="B110" s="19" t="s">
        <v>198</v>
      </c>
      <c r="C110" s="15"/>
      <c r="D110" s="15"/>
      <c r="E110" s="20"/>
      <c r="F110" s="21">
        <v>959.48779999999999</v>
      </c>
      <c r="G110" s="22">
        <v>8.3000000000000001E-3</v>
      </c>
      <c r="H110" s="23">
        <v>5.5573618836606851E-2</v>
      </c>
      <c r="I110" s="24"/>
      <c r="J110" s="5"/>
    </row>
    <row r="111" spans="1:10" ht="13.05" customHeight="1">
      <c r="A111" s="5"/>
      <c r="B111" s="14" t="s">
        <v>192</v>
      </c>
      <c r="C111" s="15"/>
      <c r="D111" s="15"/>
      <c r="E111" s="15"/>
      <c r="F111" s="25">
        <v>959.48779999999999</v>
      </c>
      <c r="G111" s="26">
        <v>8.3000000000000001E-3</v>
      </c>
      <c r="H111" s="27"/>
      <c r="I111" s="28"/>
      <c r="J111" s="5"/>
    </row>
    <row r="112" spans="1:10" ht="13.05" customHeight="1">
      <c r="A112" s="5"/>
      <c r="B112" s="29" t="s">
        <v>195</v>
      </c>
      <c r="C112" s="30"/>
      <c r="D112" s="2"/>
      <c r="E112" s="30"/>
      <c r="F112" s="25">
        <v>959.48779999999999</v>
      </c>
      <c r="G112" s="26">
        <v>8.3000000000000001E-3</v>
      </c>
      <c r="H112" s="27"/>
      <c r="I112" s="28"/>
      <c r="J112" s="5"/>
    </row>
    <row r="113" spans="1:10" ht="13.05" customHeight="1">
      <c r="A113" s="5"/>
      <c r="B113" s="29" t="s">
        <v>199</v>
      </c>
      <c r="C113" s="15"/>
      <c r="D113" s="2"/>
      <c r="E113" s="15"/>
      <c r="F113" s="31">
        <v>296.2029</v>
      </c>
      <c r="G113" s="26">
        <v>2.5999999999999999E-3</v>
      </c>
      <c r="H113" s="27"/>
      <c r="I113" s="28"/>
      <c r="J113" s="5"/>
    </row>
    <row r="114" spans="1:10" ht="13.05" customHeight="1">
      <c r="A114" s="5"/>
      <c r="B114" s="32" t="s">
        <v>200</v>
      </c>
      <c r="C114" s="33"/>
      <c r="D114" s="33"/>
      <c r="E114" s="33"/>
      <c r="F114" s="34">
        <v>115097.79</v>
      </c>
      <c r="G114" s="35">
        <v>1</v>
      </c>
      <c r="H114" s="36"/>
      <c r="I114" s="37"/>
      <c r="J114" s="5"/>
    </row>
    <row r="115" spans="1:10" ht="13.05" customHeight="1">
      <c r="A115" s="5"/>
      <c r="B115" s="7"/>
      <c r="C115" s="5"/>
      <c r="D115" s="5"/>
      <c r="E115" s="5"/>
      <c r="F115" s="5"/>
      <c r="G115" s="5"/>
      <c r="H115" s="5"/>
      <c r="I115" s="5"/>
      <c r="J115" s="5"/>
    </row>
    <row r="116" spans="1:10" ht="13.05" customHeight="1">
      <c r="A116" s="5"/>
      <c r="B116" s="4" t="s">
        <v>250</v>
      </c>
      <c r="C116" s="5"/>
      <c r="D116" s="5"/>
      <c r="E116" s="5"/>
      <c r="F116" s="5"/>
      <c r="G116" s="5"/>
      <c r="H116" s="5"/>
      <c r="I116" s="5"/>
      <c r="J116" s="5"/>
    </row>
    <row r="117" spans="1:10" ht="13.05" customHeight="1">
      <c r="A117" s="5"/>
      <c r="B117" s="4" t="s">
        <v>201</v>
      </c>
      <c r="C117" s="5"/>
      <c r="D117" s="5"/>
      <c r="E117" s="5"/>
      <c r="F117" s="5"/>
      <c r="G117" s="5"/>
      <c r="H117" s="5"/>
      <c r="I117" s="5"/>
      <c r="J117" s="5"/>
    </row>
    <row r="118" spans="1:10" ht="25.95" customHeight="1">
      <c r="A118" s="5"/>
      <c r="B118" s="103" t="s">
        <v>202</v>
      </c>
      <c r="C118" s="103"/>
      <c r="D118" s="103"/>
      <c r="E118" s="103"/>
      <c r="F118" s="103"/>
      <c r="G118" s="103"/>
      <c r="H118" s="103"/>
      <c r="I118" s="103"/>
      <c r="J118" s="5"/>
    </row>
    <row r="119" spans="1:10" ht="13.05" customHeight="1">
      <c r="A119" s="5"/>
      <c r="B119" s="103" t="s">
        <v>203</v>
      </c>
      <c r="C119" s="103"/>
      <c r="D119" s="103"/>
      <c r="E119" s="103"/>
      <c r="F119" s="103"/>
      <c r="G119" s="103"/>
      <c r="H119" s="103"/>
      <c r="I119" s="103"/>
      <c r="J119" s="5"/>
    </row>
    <row r="120" spans="1:10" ht="13.05" customHeight="1">
      <c r="A120" s="5"/>
      <c r="B120" s="103"/>
      <c r="C120" s="103"/>
      <c r="D120" s="103"/>
      <c r="E120" s="103"/>
      <c r="F120" s="103"/>
      <c r="G120" s="103"/>
      <c r="H120" s="103"/>
      <c r="I120" s="103"/>
      <c r="J120" s="5"/>
    </row>
    <row r="121" spans="1:10" ht="13.05" customHeight="1">
      <c r="A121" s="5"/>
      <c r="B121" s="103"/>
      <c r="C121" s="103"/>
      <c r="D121" s="103"/>
      <c r="E121" s="103"/>
      <c r="F121" s="103"/>
      <c r="G121" s="103"/>
      <c r="H121" s="103"/>
      <c r="I121" s="103"/>
      <c r="J121" s="5"/>
    </row>
    <row r="122" spans="1:10" ht="13.05" customHeight="1">
      <c r="A122" s="5"/>
      <c r="B122" s="103"/>
      <c r="C122" s="103"/>
      <c r="D122" s="103"/>
      <c r="E122" s="103"/>
      <c r="F122" s="103"/>
      <c r="G122" s="103"/>
      <c r="H122" s="103"/>
      <c r="I122" s="103"/>
      <c r="J122" s="5"/>
    </row>
    <row r="123" spans="1:10" ht="13.05" customHeight="1">
      <c r="A123" s="5"/>
      <c r="B123" s="103"/>
      <c r="C123" s="103"/>
      <c r="D123" s="103"/>
      <c r="E123" s="103"/>
      <c r="F123" s="103"/>
      <c r="G123" s="103"/>
      <c r="H123" s="103"/>
      <c r="I123" s="103"/>
      <c r="J123" s="5"/>
    </row>
    <row r="124" spans="1:10" ht="13.05" customHeight="1">
      <c r="A124" s="5"/>
      <c r="B124" s="5"/>
      <c r="C124" s="104" t="s">
        <v>1817</v>
      </c>
      <c r="D124" s="104"/>
      <c r="E124" s="104"/>
      <c r="F124" s="104"/>
      <c r="G124" s="5"/>
      <c r="H124" s="5"/>
      <c r="I124" s="5"/>
      <c r="J124" s="5"/>
    </row>
    <row r="125" spans="1:10" ht="13.05" customHeight="1">
      <c r="A125" s="5"/>
      <c r="B125" s="38" t="s">
        <v>207</v>
      </c>
      <c r="C125" s="104" t="s">
        <v>208</v>
      </c>
      <c r="D125" s="104"/>
      <c r="E125" s="104"/>
      <c r="F125" s="104"/>
      <c r="G125" s="5"/>
      <c r="H125" s="5"/>
      <c r="I125" s="5"/>
      <c r="J125" s="5"/>
    </row>
    <row r="126" spans="1:10" ht="135" customHeight="1">
      <c r="A126" s="5"/>
      <c r="B126" s="39"/>
      <c r="C126" s="105"/>
      <c r="D126" s="105"/>
      <c r="E126" s="5"/>
      <c r="F126" s="5"/>
      <c r="G126" s="5"/>
      <c r="H126" s="5"/>
      <c r="I126" s="5"/>
      <c r="J126" s="5"/>
    </row>
  </sheetData>
  <mergeCells count="9">
    <mergeCell ref="B123:I123"/>
    <mergeCell ref="C124:F124"/>
    <mergeCell ref="C125:F125"/>
    <mergeCell ref="C126:D126"/>
    <mergeCell ref="B118:I118"/>
    <mergeCell ref="B119:I119"/>
    <mergeCell ref="B120:I120"/>
    <mergeCell ref="B121:I121"/>
    <mergeCell ref="B122:I122"/>
  </mergeCells>
  <hyperlinks>
    <hyperlink ref="A1" location="AxisValueFund" display="AXISVAL" xr:uid="{00000000-0004-0000-5300-000000000000}"/>
    <hyperlink ref="B1" location="AxisValueFund" display="Axis Value Fund" xr:uid="{00000000-0004-0000-5300-000001000000}"/>
  </hyperlinks>
  <pageMargins left="0" right="0" top="0" bottom="0" header="0" footer="0"/>
  <pageSetup orientation="landscape"/>
  <headerFooter>
    <oddFooter xml:space="preserve">&amp;C_x000D_&amp;1#&amp;"Calibri"&amp;10&amp;K000000  For internal use only </oddFooter>
  </headerFooter>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outlinePr summaryBelow="0"/>
  </sheetPr>
  <dimension ref="A1:J79"/>
  <sheetViews>
    <sheetView topLeftCell="A45" workbookViewId="0">
      <selection activeCell="D52" sqref="D5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t="s">
        <v>170</v>
      </c>
      <c r="B1" s="4" t="s">
        <v>171</v>
      </c>
      <c r="C1" s="5"/>
      <c r="D1" s="5"/>
      <c r="E1" s="5"/>
      <c r="F1" s="5"/>
      <c r="G1" s="5"/>
      <c r="H1" s="5"/>
      <c r="I1" s="5"/>
      <c r="J1" s="5"/>
    </row>
    <row r="2" spans="1:10" ht="13.05" customHeight="1">
      <c r="A2" s="5"/>
      <c r="B2" s="6"/>
      <c r="C2" s="5"/>
      <c r="D2" s="5"/>
      <c r="E2" s="5"/>
      <c r="F2" s="5"/>
      <c r="G2" s="5"/>
      <c r="H2" s="5"/>
      <c r="I2" s="5"/>
      <c r="J2" s="5"/>
    </row>
    <row r="3" spans="1:10" ht="13.05" customHeight="1">
      <c r="A3" s="7" t="s">
        <v>172</v>
      </c>
      <c r="B3" s="8" t="s">
        <v>173</v>
      </c>
      <c r="C3" s="5"/>
      <c r="D3" s="5"/>
      <c r="E3" s="5"/>
      <c r="F3" s="5"/>
      <c r="G3" s="5"/>
      <c r="H3" s="5"/>
      <c r="I3" s="5"/>
      <c r="J3" s="5"/>
    </row>
    <row r="4" spans="1:10" ht="28.05" customHeight="1">
      <c r="A4" s="5"/>
      <c r="B4" s="9" t="s">
        <v>174</v>
      </c>
      <c r="C4" s="10" t="s">
        <v>175</v>
      </c>
      <c r="D4" s="11" t="s">
        <v>251</v>
      </c>
      <c r="E4" s="11" t="s">
        <v>177</v>
      </c>
      <c r="F4" s="11" t="s">
        <v>178</v>
      </c>
      <c r="G4" s="11" t="s">
        <v>179</v>
      </c>
      <c r="H4" s="11" t="s">
        <v>180</v>
      </c>
      <c r="I4" s="12" t="s">
        <v>181</v>
      </c>
      <c r="J4" s="13" t="s">
        <v>182</v>
      </c>
    </row>
    <row r="5" spans="1:10" ht="13.05" customHeight="1">
      <c r="A5" s="5"/>
      <c r="B5" s="14" t="s">
        <v>252</v>
      </c>
      <c r="C5" s="15"/>
      <c r="D5" s="15"/>
      <c r="E5" s="15"/>
      <c r="F5" s="15"/>
      <c r="G5" s="15"/>
      <c r="H5" s="16"/>
      <c r="I5" s="17"/>
      <c r="J5" s="5"/>
    </row>
    <row r="6" spans="1:10" ht="13.05" customHeight="1">
      <c r="A6" s="5"/>
      <c r="B6" s="14" t="s">
        <v>253</v>
      </c>
      <c r="C6" s="15"/>
      <c r="D6" s="15"/>
      <c r="E6" s="15"/>
      <c r="F6" s="5"/>
      <c r="G6" s="16"/>
      <c r="H6" s="16"/>
      <c r="I6" s="17"/>
      <c r="J6" s="5"/>
    </row>
    <row r="7" spans="1:10" ht="13.05" customHeight="1">
      <c r="A7" s="18" t="s">
        <v>341</v>
      </c>
      <c r="B7" s="19" t="s">
        <v>342</v>
      </c>
      <c r="C7" s="15" t="s">
        <v>343</v>
      </c>
      <c r="D7" s="15" t="s">
        <v>344</v>
      </c>
      <c r="E7" s="20">
        <v>67561</v>
      </c>
      <c r="F7" s="21">
        <v>572.81590000000006</v>
      </c>
      <c r="G7" s="22">
        <v>5.3999999999999999E-2</v>
      </c>
      <c r="H7" s="40"/>
      <c r="I7" s="24"/>
      <c r="J7" s="5"/>
    </row>
    <row r="8" spans="1:10" ht="13.05" customHeight="1">
      <c r="A8" s="18" t="s">
        <v>482</v>
      </c>
      <c r="B8" s="19" t="s">
        <v>483</v>
      </c>
      <c r="C8" s="15" t="s">
        <v>484</v>
      </c>
      <c r="D8" s="15" t="s">
        <v>261</v>
      </c>
      <c r="E8" s="20">
        <v>344414</v>
      </c>
      <c r="F8" s="21">
        <v>571.38279999999997</v>
      </c>
      <c r="G8" s="22">
        <v>5.3800000000000001E-2</v>
      </c>
      <c r="H8" s="40"/>
      <c r="I8" s="24"/>
      <c r="J8" s="5"/>
    </row>
    <row r="9" spans="1:10" ht="13.05" customHeight="1">
      <c r="A9" s="18" t="s">
        <v>281</v>
      </c>
      <c r="B9" s="19" t="s">
        <v>282</v>
      </c>
      <c r="C9" s="15" t="s">
        <v>283</v>
      </c>
      <c r="D9" s="15" t="s">
        <v>257</v>
      </c>
      <c r="E9" s="20">
        <v>59320</v>
      </c>
      <c r="F9" s="21">
        <v>555.82839999999999</v>
      </c>
      <c r="G9" s="22">
        <v>5.2400000000000002E-2</v>
      </c>
      <c r="H9" s="40"/>
      <c r="I9" s="24"/>
      <c r="J9" s="5"/>
    </row>
    <row r="10" spans="1:10" ht="13.05" customHeight="1">
      <c r="A10" s="18" t="s">
        <v>378</v>
      </c>
      <c r="B10" s="19" t="s">
        <v>379</v>
      </c>
      <c r="C10" s="15" t="s">
        <v>380</v>
      </c>
      <c r="D10" s="15" t="s">
        <v>381</v>
      </c>
      <c r="E10" s="20">
        <v>215131</v>
      </c>
      <c r="F10" s="21">
        <v>549.38</v>
      </c>
      <c r="G10" s="22">
        <v>5.1799999999999999E-2</v>
      </c>
      <c r="H10" s="40"/>
      <c r="I10" s="24"/>
      <c r="J10" s="5"/>
    </row>
    <row r="11" spans="1:10" ht="13.05" customHeight="1">
      <c r="A11" s="18" t="s">
        <v>419</v>
      </c>
      <c r="B11" s="19" t="s">
        <v>420</v>
      </c>
      <c r="C11" s="15" t="s">
        <v>421</v>
      </c>
      <c r="D11" s="15" t="s">
        <v>422</v>
      </c>
      <c r="E11" s="20">
        <v>111231</v>
      </c>
      <c r="F11" s="21">
        <v>548.98059999999998</v>
      </c>
      <c r="G11" s="22">
        <v>5.1700000000000003E-2</v>
      </c>
      <c r="H11" s="40"/>
      <c r="I11" s="24"/>
      <c r="J11" s="5"/>
    </row>
    <row r="12" spans="1:10" ht="13.05" customHeight="1">
      <c r="A12" s="18" t="s">
        <v>330</v>
      </c>
      <c r="B12" s="19" t="s">
        <v>331</v>
      </c>
      <c r="C12" s="15" t="s">
        <v>332</v>
      </c>
      <c r="D12" s="15" t="s">
        <v>333</v>
      </c>
      <c r="E12" s="20">
        <v>294588</v>
      </c>
      <c r="F12" s="21">
        <v>538.62469999999996</v>
      </c>
      <c r="G12" s="22">
        <v>5.0799999999999998E-2</v>
      </c>
      <c r="H12" s="40"/>
      <c r="I12" s="24"/>
      <c r="J12" s="5"/>
    </row>
    <row r="13" spans="1:10" ht="13.05" customHeight="1">
      <c r="A13" s="18" t="s">
        <v>358</v>
      </c>
      <c r="B13" s="19" t="s">
        <v>359</v>
      </c>
      <c r="C13" s="15" t="s">
        <v>360</v>
      </c>
      <c r="D13" s="15" t="s">
        <v>337</v>
      </c>
      <c r="E13" s="20">
        <v>17605</v>
      </c>
      <c r="F13" s="21">
        <v>509.0838</v>
      </c>
      <c r="G13" s="22">
        <v>4.8000000000000001E-2</v>
      </c>
      <c r="H13" s="40"/>
      <c r="I13" s="24"/>
      <c r="J13" s="5"/>
    </row>
    <row r="14" spans="1:10" ht="13.05" customHeight="1">
      <c r="A14" s="18" t="s">
        <v>318</v>
      </c>
      <c r="B14" s="19" t="s">
        <v>319</v>
      </c>
      <c r="C14" s="15" t="s">
        <v>320</v>
      </c>
      <c r="D14" s="15" t="s">
        <v>321</v>
      </c>
      <c r="E14" s="20">
        <v>150397</v>
      </c>
      <c r="F14" s="21">
        <v>506.7627</v>
      </c>
      <c r="G14" s="22">
        <v>4.7800000000000002E-2</v>
      </c>
      <c r="H14" s="40"/>
      <c r="I14" s="24"/>
      <c r="J14" s="5"/>
    </row>
    <row r="15" spans="1:10" ht="13.05" customHeight="1">
      <c r="A15" s="18" t="s">
        <v>338</v>
      </c>
      <c r="B15" s="19" t="s">
        <v>339</v>
      </c>
      <c r="C15" s="15" t="s">
        <v>340</v>
      </c>
      <c r="D15" s="15" t="s">
        <v>321</v>
      </c>
      <c r="E15" s="20">
        <v>175307</v>
      </c>
      <c r="F15" s="21">
        <v>505.14710000000002</v>
      </c>
      <c r="G15" s="22">
        <v>4.7600000000000003E-2</v>
      </c>
      <c r="H15" s="40"/>
      <c r="I15" s="24"/>
      <c r="J15" s="5"/>
    </row>
    <row r="16" spans="1:10" ht="13.05" customHeight="1">
      <c r="A16" s="18" t="s">
        <v>398</v>
      </c>
      <c r="B16" s="19" t="s">
        <v>399</v>
      </c>
      <c r="C16" s="15" t="s">
        <v>400</v>
      </c>
      <c r="D16" s="15" t="s">
        <v>401</v>
      </c>
      <c r="E16" s="20">
        <v>128897</v>
      </c>
      <c r="F16" s="21">
        <v>500.95819999999998</v>
      </c>
      <c r="G16" s="22">
        <v>4.7199999999999999E-2</v>
      </c>
      <c r="H16" s="40"/>
      <c r="I16" s="24"/>
      <c r="J16" s="5"/>
    </row>
    <row r="17" spans="1:10" ht="13.05" customHeight="1">
      <c r="A17" s="18" t="s">
        <v>449</v>
      </c>
      <c r="B17" s="19" t="s">
        <v>450</v>
      </c>
      <c r="C17" s="15" t="s">
        <v>451</v>
      </c>
      <c r="D17" s="15" t="s">
        <v>261</v>
      </c>
      <c r="E17" s="20">
        <v>121056</v>
      </c>
      <c r="F17" s="21">
        <v>431.92779999999999</v>
      </c>
      <c r="G17" s="22">
        <v>4.07E-2</v>
      </c>
      <c r="H17" s="40"/>
      <c r="I17" s="24"/>
      <c r="J17" s="5"/>
    </row>
    <row r="18" spans="1:10" ht="13.05" customHeight="1">
      <c r="A18" s="18" t="s">
        <v>571</v>
      </c>
      <c r="B18" s="19" t="s">
        <v>572</v>
      </c>
      <c r="C18" s="15" t="s">
        <v>573</v>
      </c>
      <c r="D18" s="15" t="s">
        <v>261</v>
      </c>
      <c r="E18" s="20">
        <v>66749</v>
      </c>
      <c r="F18" s="21">
        <v>317.72519999999997</v>
      </c>
      <c r="G18" s="22">
        <v>2.9899999999999999E-2</v>
      </c>
      <c r="H18" s="40"/>
      <c r="I18" s="24"/>
      <c r="J18" s="5"/>
    </row>
    <row r="19" spans="1:10" ht="13.05" customHeight="1">
      <c r="A19" s="18" t="s">
        <v>502</v>
      </c>
      <c r="B19" s="19" t="s">
        <v>503</v>
      </c>
      <c r="C19" s="15" t="s">
        <v>504</v>
      </c>
      <c r="D19" s="15" t="s">
        <v>300</v>
      </c>
      <c r="E19" s="20">
        <v>75698</v>
      </c>
      <c r="F19" s="21">
        <v>305.25220000000002</v>
      </c>
      <c r="G19" s="22">
        <v>2.8799999999999999E-2</v>
      </c>
      <c r="H19" s="40"/>
      <c r="I19" s="24"/>
      <c r="J19" s="5"/>
    </row>
    <row r="20" spans="1:10" ht="13.05" customHeight="1">
      <c r="A20" s="18" t="s">
        <v>409</v>
      </c>
      <c r="B20" s="19" t="s">
        <v>410</v>
      </c>
      <c r="C20" s="15" t="s">
        <v>411</v>
      </c>
      <c r="D20" s="15" t="s">
        <v>296</v>
      </c>
      <c r="E20" s="20">
        <v>71264</v>
      </c>
      <c r="F20" s="21">
        <v>292.18239999999997</v>
      </c>
      <c r="G20" s="22">
        <v>2.75E-2</v>
      </c>
      <c r="H20" s="40"/>
      <c r="I20" s="24"/>
      <c r="J20" s="5"/>
    </row>
    <row r="21" spans="1:10" ht="13.05" customHeight="1">
      <c r="A21" s="18" t="s">
        <v>640</v>
      </c>
      <c r="B21" s="19" t="s">
        <v>641</v>
      </c>
      <c r="C21" s="15" t="s">
        <v>642</v>
      </c>
      <c r="D21" s="15" t="s">
        <v>296</v>
      </c>
      <c r="E21" s="20">
        <v>10111</v>
      </c>
      <c r="F21" s="21">
        <v>246.577</v>
      </c>
      <c r="G21" s="22">
        <v>2.3199999999999998E-2</v>
      </c>
      <c r="H21" s="40"/>
      <c r="I21" s="24"/>
      <c r="J21" s="5"/>
    </row>
    <row r="22" spans="1:10" ht="13.05" customHeight="1">
      <c r="A22" s="18" t="s">
        <v>529</v>
      </c>
      <c r="B22" s="19" t="s">
        <v>530</v>
      </c>
      <c r="C22" s="15" t="s">
        <v>531</v>
      </c>
      <c r="D22" s="15" t="s">
        <v>257</v>
      </c>
      <c r="E22" s="20">
        <v>86872</v>
      </c>
      <c r="F22" s="21">
        <v>241.85159999999999</v>
      </c>
      <c r="G22" s="22">
        <v>2.2800000000000001E-2</v>
      </c>
      <c r="H22" s="40"/>
      <c r="I22" s="24"/>
      <c r="J22" s="5"/>
    </row>
    <row r="23" spans="1:10" ht="13.05" customHeight="1">
      <c r="A23" s="18" t="s">
        <v>526</v>
      </c>
      <c r="B23" s="19" t="s">
        <v>527</v>
      </c>
      <c r="C23" s="15" t="s">
        <v>528</v>
      </c>
      <c r="D23" s="15" t="s">
        <v>257</v>
      </c>
      <c r="E23" s="20">
        <v>28434</v>
      </c>
      <c r="F23" s="21">
        <v>225.99340000000001</v>
      </c>
      <c r="G23" s="22">
        <v>2.1299999999999999E-2</v>
      </c>
      <c r="H23" s="40"/>
      <c r="I23" s="24"/>
      <c r="J23" s="5"/>
    </row>
    <row r="24" spans="1:10" ht="13.05" customHeight="1">
      <c r="A24" s="18" t="s">
        <v>568</v>
      </c>
      <c r="B24" s="19" t="s">
        <v>569</v>
      </c>
      <c r="C24" s="15" t="s">
        <v>570</v>
      </c>
      <c r="D24" s="15" t="s">
        <v>257</v>
      </c>
      <c r="E24" s="20">
        <v>160683</v>
      </c>
      <c r="F24" s="21">
        <v>220.11959999999999</v>
      </c>
      <c r="G24" s="22">
        <v>2.07E-2</v>
      </c>
      <c r="H24" s="40"/>
      <c r="I24" s="24"/>
      <c r="J24" s="5"/>
    </row>
    <row r="25" spans="1:10" ht="13.05" customHeight="1">
      <c r="A25" s="18" t="s">
        <v>561</v>
      </c>
      <c r="B25" s="19" t="s">
        <v>562</v>
      </c>
      <c r="C25" s="15" t="s">
        <v>563</v>
      </c>
      <c r="D25" s="15" t="s">
        <v>300</v>
      </c>
      <c r="E25" s="20">
        <v>54790</v>
      </c>
      <c r="F25" s="21">
        <v>205.38030000000001</v>
      </c>
      <c r="G25" s="22">
        <v>1.9400000000000001E-2</v>
      </c>
      <c r="H25" s="40"/>
      <c r="I25" s="24"/>
      <c r="J25" s="5"/>
    </row>
    <row r="26" spans="1:10" ht="13.05" customHeight="1">
      <c r="A26" s="18" t="s">
        <v>505</v>
      </c>
      <c r="B26" s="19" t="s">
        <v>2339</v>
      </c>
      <c r="C26" s="15" t="s">
        <v>506</v>
      </c>
      <c r="D26" s="15" t="s">
        <v>507</v>
      </c>
      <c r="E26" s="20">
        <v>69208</v>
      </c>
      <c r="F26" s="21">
        <v>180.4599</v>
      </c>
      <c r="G26" s="22">
        <v>1.7000000000000001E-2</v>
      </c>
      <c r="H26" s="40"/>
      <c r="I26" s="24"/>
      <c r="J26" s="5"/>
    </row>
    <row r="27" spans="1:10" ht="13.05" customHeight="1">
      <c r="A27" s="18" t="s">
        <v>748</v>
      </c>
      <c r="B27" s="19" t="s">
        <v>749</v>
      </c>
      <c r="C27" s="15" t="s">
        <v>750</v>
      </c>
      <c r="D27" s="15" t="s">
        <v>751</v>
      </c>
      <c r="E27" s="20">
        <v>231962</v>
      </c>
      <c r="F27" s="21">
        <v>175.804</v>
      </c>
      <c r="G27" s="22">
        <v>1.66E-2</v>
      </c>
      <c r="H27" s="40"/>
      <c r="I27" s="24"/>
      <c r="J27" s="5"/>
    </row>
    <row r="28" spans="1:10" ht="13.05" customHeight="1">
      <c r="A28" s="18" t="s">
        <v>542</v>
      </c>
      <c r="B28" s="19" t="s">
        <v>543</v>
      </c>
      <c r="C28" s="15" t="s">
        <v>544</v>
      </c>
      <c r="D28" s="15" t="s">
        <v>545</v>
      </c>
      <c r="E28" s="20">
        <v>93994</v>
      </c>
      <c r="F28" s="21">
        <v>171.7834</v>
      </c>
      <c r="G28" s="22">
        <v>1.6199999999999999E-2</v>
      </c>
      <c r="H28" s="40"/>
      <c r="I28" s="24"/>
      <c r="J28" s="5"/>
    </row>
    <row r="29" spans="1:10" ht="13.05" customHeight="1">
      <c r="A29" s="18" t="s">
        <v>865</v>
      </c>
      <c r="B29" s="19" t="s">
        <v>866</v>
      </c>
      <c r="C29" s="15" t="s">
        <v>867</v>
      </c>
      <c r="D29" s="15" t="s">
        <v>333</v>
      </c>
      <c r="E29" s="20">
        <v>122352</v>
      </c>
      <c r="F29" s="21">
        <v>167.43870000000001</v>
      </c>
      <c r="G29" s="22">
        <v>1.5800000000000002E-2</v>
      </c>
      <c r="H29" s="40"/>
      <c r="I29" s="24"/>
      <c r="J29" s="5"/>
    </row>
    <row r="30" spans="1:10" ht="13.05" customHeight="1">
      <c r="A30" s="18" t="s">
        <v>967</v>
      </c>
      <c r="B30" s="19" t="s">
        <v>968</v>
      </c>
      <c r="C30" s="15" t="s">
        <v>969</v>
      </c>
      <c r="D30" s="15" t="s">
        <v>970</v>
      </c>
      <c r="E30" s="20">
        <v>65716</v>
      </c>
      <c r="F30" s="21">
        <v>166.7544</v>
      </c>
      <c r="G30" s="22">
        <v>1.5699999999999999E-2</v>
      </c>
      <c r="H30" s="40"/>
      <c r="I30" s="24"/>
      <c r="J30" s="5"/>
    </row>
    <row r="31" spans="1:10" ht="13.05" customHeight="1">
      <c r="A31" s="18" t="s">
        <v>600</v>
      </c>
      <c r="B31" s="19" t="s">
        <v>601</v>
      </c>
      <c r="C31" s="15" t="s">
        <v>602</v>
      </c>
      <c r="D31" s="15" t="s">
        <v>603</v>
      </c>
      <c r="E31" s="20">
        <v>20698</v>
      </c>
      <c r="F31" s="21">
        <v>149.0463</v>
      </c>
      <c r="G31" s="22">
        <v>1.4E-2</v>
      </c>
      <c r="H31" s="40"/>
      <c r="I31" s="24"/>
      <c r="J31" s="5"/>
    </row>
    <row r="32" spans="1:10" ht="13.05" customHeight="1">
      <c r="A32" s="18" t="s">
        <v>495</v>
      </c>
      <c r="B32" s="19" t="s">
        <v>496</v>
      </c>
      <c r="C32" s="15" t="s">
        <v>497</v>
      </c>
      <c r="D32" s="15" t="s">
        <v>257</v>
      </c>
      <c r="E32" s="20">
        <v>60023</v>
      </c>
      <c r="F32" s="21">
        <v>142.0204</v>
      </c>
      <c r="G32" s="22">
        <v>1.34E-2</v>
      </c>
      <c r="H32" s="40"/>
      <c r="I32" s="24"/>
      <c r="J32" s="5"/>
    </row>
    <row r="33" spans="1:10" ht="13.05" customHeight="1">
      <c r="A33" s="18" t="s">
        <v>588</v>
      </c>
      <c r="B33" s="19" t="s">
        <v>589</v>
      </c>
      <c r="C33" s="15" t="s">
        <v>590</v>
      </c>
      <c r="D33" s="15" t="s">
        <v>257</v>
      </c>
      <c r="E33" s="20">
        <v>113650</v>
      </c>
      <c r="F33" s="21">
        <v>139.6645</v>
      </c>
      <c r="G33" s="22">
        <v>1.32E-2</v>
      </c>
      <c r="H33" s="40"/>
      <c r="I33" s="24"/>
      <c r="J33" s="5"/>
    </row>
    <row r="34" spans="1:10" ht="13.05" customHeight="1">
      <c r="A34" s="18" t="s">
        <v>718</v>
      </c>
      <c r="B34" s="19" t="s">
        <v>719</v>
      </c>
      <c r="C34" s="15" t="s">
        <v>720</v>
      </c>
      <c r="D34" s="15" t="s">
        <v>257</v>
      </c>
      <c r="E34" s="20">
        <v>87760</v>
      </c>
      <c r="F34" s="21">
        <v>130.47280000000001</v>
      </c>
      <c r="G34" s="22">
        <v>1.23E-2</v>
      </c>
      <c r="H34" s="40"/>
      <c r="I34" s="24"/>
      <c r="J34" s="5"/>
    </row>
    <row r="35" spans="1:10" ht="13.05" customHeight="1">
      <c r="A35" s="18" t="s">
        <v>1138</v>
      </c>
      <c r="B35" s="19" t="s">
        <v>1139</v>
      </c>
      <c r="C35" s="15" t="s">
        <v>1140</v>
      </c>
      <c r="D35" s="15" t="s">
        <v>348</v>
      </c>
      <c r="E35" s="20">
        <v>9551</v>
      </c>
      <c r="F35" s="21">
        <v>105.0228</v>
      </c>
      <c r="G35" s="22">
        <v>9.9000000000000008E-3</v>
      </c>
      <c r="H35" s="40"/>
      <c r="I35" s="24"/>
      <c r="J35" s="5"/>
    </row>
    <row r="36" spans="1:10" ht="13.05" customHeight="1">
      <c r="A36" s="18" t="s">
        <v>837</v>
      </c>
      <c r="B36" s="19" t="s">
        <v>838</v>
      </c>
      <c r="C36" s="15" t="s">
        <v>839</v>
      </c>
      <c r="D36" s="15" t="s">
        <v>344</v>
      </c>
      <c r="E36" s="20">
        <v>43824</v>
      </c>
      <c r="F36" s="21">
        <v>102.6095</v>
      </c>
      <c r="G36" s="22">
        <v>9.7000000000000003E-3</v>
      </c>
      <c r="H36" s="40"/>
      <c r="I36" s="24"/>
      <c r="J36" s="5"/>
    </row>
    <row r="37" spans="1:10" ht="13.05" customHeight="1">
      <c r="A37" s="18" t="s">
        <v>700</v>
      </c>
      <c r="B37" s="19" t="s">
        <v>701</v>
      </c>
      <c r="C37" s="15" t="s">
        <v>702</v>
      </c>
      <c r="D37" s="15" t="s">
        <v>257</v>
      </c>
      <c r="E37" s="20">
        <v>10617</v>
      </c>
      <c r="F37" s="21">
        <v>91.168199999999999</v>
      </c>
      <c r="G37" s="22">
        <v>8.6E-3</v>
      </c>
      <c r="H37" s="40"/>
      <c r="I37" s="24"/>
      <c r="J37" s="5"/>
    </row>
    <row r="38" spans="1:10" ht="13.05" customHeight="1">
      <c r="A38" s="18" t="s">
        <v>795</v>
      </c>
      <c r="B38" s="19" t="s">
        <v>796</v>
      </c>
      <c r="C38" s="15" t="s">
        <v>797</v>
      </c>
      <c r="D38" s="15" t="s">
        <v>381</v>
      </c>
      <c r="E38" s="20">
        <v>19542</v>
      </c>
      <c r="F38" s="21">
        <v>84.685299999999998</v>
      </c>
      <c r="G38" s="22">
        <v>8.0000000000000002E-3</v>
      </c>
      <c r="H38" s="40"/>
      <c r="I38" s="24"/>
      <c r="J38" s="5"/>
    </row>
    <row r="39" spans="1:10" ht="13.05" customHeight="1">
      <c r="A39" s="18" t="s">
        <v>831</v>
      </c>
      <c r="B39" s="19" t="s">
        <v>832</v>
      </c>
      <c r="C39" s="15" t="s">
        <v>833</v>
      </c>
      <c r="D39" s="15" t="s">
        <v>545</v>
      </c>
      <c r="E39" s="20">
        <v>27076</v>
      </c>
      <c r="F39" s="21">
        <v>76.151300000000006</v>
      </c>
      <c r="G39" s="22">
        <v>7.1999999999999998E-3</v>
      </c>
      <c r="H39" s="40"/>
      <c r="I39" s="24"/>
      <c r="J39" s="5"/>
    </row>
    <row r="40" spans="1:10" ht="13.05" customHeight="1">
      <c r="A40" s="18" t="s">
        <v>925</v>
      </c>
      <c r="B40" s="19" t="s">
        <v>926</v>
      </c>
      <c r="C40" s="15" t="s">
        <v>927</v>
      </c>
      <c r="D40" s="15" t="s">
        <v>257</v>
      </c>
      <c r="E40" s="20">
        <v>54361</v>
      </c>
      <c r="F40" s="21">
        <v>76.040199999999999</v>
      </c>
      <c r="G40" s="22">
        <v>7.1999999999999998E-3</v>
      </c>
      <c r="H40" s="40"/>
      <c r="I40" s="24"/>
      <c r="J40" s="5"/>
    </row>
    <row r="41" spans="1:10" ht="13.05" customHeight="1">
      <c r="A41" s="18" t="s">
        <v>1114</v>
      </c>
      <c r="B41" s="19" t="s">
        <v>1115</v>
      </c>
      <c r="C41" s="15" t="s">
        <v>1116</v>
      </c>
      <c r="D41" s="15" t="s">
        <v>321</v>
      </c>
      <c r="E41" s="20">
        <v>42070</v>
      </c>
      <c r="F41" s="21">
        <v>75.709199999999996</v>
      </c>
      <c r="G41" s="22">
        <v>7.1000000000000004E-3</v>
      </c>
      <c r="H41" s="40"/>
      <c r="I41" s="24"/>
      <c r="J41" s="5"/>
    </row>
    <row r="42" spans="1:10" ht="13.05" customHeight="1">
      <c r="A42" s="18" t="s">
        <v>1007</v>
      </c>
      <c r="B42" s="19" t="s">
        <v>1008</v>
      </c>
      <c r="C42" s="15" t="s">
        <v>1009</v>
      </c>
      <c r="D42" s="15" t="s">
        <v>581</v>
      </c>
      <c r="E42" s="20">
        <v>7913</v>
      </c>
      <c r="F42" s="21">
        <v>70.477099999999993</v>
      </c>
      <c r="G42" s="22">
        <v>6.6E-3</v>
      </c>
      <c r="H42" s="40"/>
      <c r="I42" s="24"/>
      <c r="J42" s="5"/>
    </row>
    <row r="43" spans="1:10" ht="13.05" customHeight="1">
      <c r="A43" s="18" t="s">
        <v>916</v>
      </c>
      <c r="B43" s="19" t="s">
        <v>917</v>
      </c>
      <c r="C43" s="15" t="s">
        <v>918</v>
      </c>
      <c r="D43" s="15" t="s">
        <v>300</v>
      </c>
      <c r="E43" s="20">
        <v>12214</v>
      </c>
      <c r="F43" s="21">
        <v>69.735799999999998</v>
      </c>
      <c r="G43" s="22">
        <v>6.6E-3</v>
      </c>
      <c r="H43" s="40"/>
      <c r="I43" s="24"/>
      <c r="J43" s="5"/>
    </row>
    <row r="44" spans="1:10" ht="13.05" customHeight="1">
      <c r="A44" s="18" t="s">
        <v>983</v>
      </c>
      <c r="B44" s="19" t="s">
        <v>984</v>
      </c>
      <c r="C44" s="15" t="s">
        <v>985</v>
      </c>
      <c r="D44" s="15" t="s">
        <v>300</v>
      </c>
      <c r="E44" s="20">
        <v>35606</v>
      </c>
      <c r="F44" s="21">
        <v>67.1494</v>
      </c>
      <c r="G44" s="22">
        <v>6.3E-3</v>
      </c>
      <c r="H44" s="40"/>
      <c r="I44" s="24"/>
      <c r="J44" s="5"/>
    </row>
    <row r="45" spans="1:10" ht="13.05" customHeight="1">
      <c r="A45" s="18" t="s">
        <v>871</v>
      </c>
      <c r="B45" s="19" t="s">
        <v>872</v>
      </c>
      <c r="C45" s="15" t="s">
        <v>873</v>
      </c>
      <c r="D45" s="15" t="s">
        <v>257</v>
      </c>
      <c r="E45" s="20">
        <v>18199</v>
      </c>
      <c r="F45" s="21">
        <v>59.392400000000002</v>
      </c>
      <c r="G45" s="22">
        <v>5.5999999999999999E-3</v>
      </c>
      <c r="H45" s="40"/>
      <c r="I45" s="24"/>
      <c r="J45" s="5"/>
    </row>
    <row r="46" spans="1:10" ht="13.05" customHeight="1">
      <c r="A46" s="18" t="s">
        <v>1323</v>
      </c>
      <c r="B46" s="19" t="s">
        <v>1324</v>
      </c>
      <c r="C46" s="15" t="s">
        <v>1325</v>
      </c>
      <c r="D46" s="15" t="s">
        <v>276</v>
      </c>
      <c r="E46" s="20">
        <v>24273</v>
      </c>
      <c r="F46" s="21">
        <v>51.5486</v>
      </c>
      <c r="G46" s="22">
        <v>4.8999999999999998E-3</v>
      </c>
      <c r="H46" s="40"/>
      <c r="I46" s="24"/>
      <c r="J46" s="5"/>
    </row>
    <row r="47" spans="1:10" ht="13.05" customHeight="1">
      <c r="A47" s="18" t="s">
        <v>801</v>
      </c>
      <c r="B47" s="19" t="s">
        <v>802</v>
      </c>
      <c r="C47" s="15" t="s">
        <v>803</v>
      </c>
      <c r="D47" s="15" t="s">
        <v>257</v>
      </c>
      <c r="E47" s="20">
        <v>20782</v>
      </c>
      <c r="F47" s="21">
        <v>50.531399999999998</v>
      </c>
      <c r="G47" s="22">
        <v>4.7999999999999996E-3</v>
      </c>
      <c r="H47" s="40"/>
      <c r="I47" s="24"/>
      <c r="J47" s="5"/>
    </row>
    <row r="48" spans="1:10" ht="13.05" customHeight="1">
      <c r="A48" s="18" t="s">
        <v>1229</v>
      </c>
      <c r="B48" s="19" t="s">
        <v>1230</v>
      </c>
      <c r="C48" s="15" t="s">
        <v>1231</v>
      </c>
      <c r="D48" s="15" t="s">
        <v>1232</v>
      </c>
      <c r="E48" s="20">
        <v>43017</v>
      </c>
      <c r="F48" s="21">
        <v>43.266500000000001</v>
      </c>
      <c r="G48" s="22">
        <v>4.1000000000000003E-3</v>
      </c>
      <c r="H48" s="40"/>
      <c r="I48" s="24"/>
      <c r="J48" s="5"/>
    </row>
    <row r="49" spans="1:10" ht="13.05" customHeight="1">
      <c r="A49" s="18" t="s">
        <v>1019</v>
      </c>
      <c r="B49" s="19" t="s">
        <v>1020</v>
      </c>
      <c r="C49" s="15" t="s">
        <v>1021</v>
      </c>
      <c r="D49" s="15" t="s">
        <v>257</v>
      </c>
      <c r="E49" s="20">
        <v>25271</v>
      </c>
      <c r="F49" s="21">
        <v>39.564300000000003</v>
      </c>
      <c r="G49" s="22">
        <v>3.7000000000000002E-3</v>
      </c>
      <c r="H49" s="40"/>
      <c r="I49" s="24"/>
      <c r="J49" s="5"/>
    </row>
    <row r="50" spans="1:10" ht="13.05" customHeight="1">
      <c r="A50" s="18" t="s">
        <v>977</v>
      </c>
      <c r="B50" s="19" t="s">
        <v>978</v>
      </c>
      <c r="C50" s="15" t="s">
        <v>979</v>
      </c>
      <c r="D50" s="15" t="s">
        <v>300</v>
      </c>
      <c r="E50" s="20">
        <v>14030</v>
      </c>
      <c r="F50" s="21">
        <v>37.810899999999997</v>
      </c>
      <c r="G50" s="22">
        <v>3.5999999999999999E-3</v>
      </c>
      <c r="H50" s="40"/>
      <c r="I50" s="24"/>
      <c r="J50" s="5"/>
    </row>
    <row r="51" spans="1:10" ht="13.05" customHeight="1">
      <c r="A51" s="18" t="s">
        <v>1465</v>
      </c>
      <c r="B51" s="19" t="s">
        <v>1466</v>
      </c>
      <c r="C51" s="15" t="s">
        <v>1467</v>
      </c>
      <c r="D51" s="15" t="s">
        <v>321</v>
      </c>
      <c r="E51" s="20">
        <v>17420</v>
      </c>
      <c r="F51" s="21">
        <v>37.620199999999997</v>
      </c>
      <c r="G51" s="22">
        <v>3.5000000000000001E-3</v>
      </c>
      <c r="H51" s="40"/>
      <c r="I51" s="24"/>
      <c r="J51" s="5"/>
    </row>
    <row r="52" spans="1:10" ht="13.05" customHeight="1">
      <c r="A52" s="18" t="s">
        <v>934</v>
      </c>
      <c r="B52" s="19" t="s">
        <v>935</v>
      </c>
      <c r="C52" s="15" t="s">
        <v>936</v>
      </c>
      <c r="D52" s="15" t="s">
        <v>257</v>
      </c>
      <c r="E52" s="20">
        <v>15421</v>
      </c>
      <c r="F52" s="21">
        <v>35.263199999999998</v>
      </c>
      <c r="G52" s="22">
        <v>3.3E-3</v>
      </c>
      <c r="H52" s="40"/>
      <c r="I52" s="24"/>
      <c r="J52" s="5"/>
    </row>
    <row r="53" spans="1:10" ht="13.05" customHeight="1">
      <c r="A53" s="18" t="s">
        <v>1046</v>
      </c>
      <c r="B53" s="19" t="s">
        <v>1047</v>
      </c>
      <c r="C53" s="15" t="s">
        <v>1048</v>
      </c>
      <c r="D53" s="15" t="s">
        <v>300</v>
      </c>
      <c r="E53" s="20">
        <v>6537</v>
      </c>
      <c r="F53" s="21">
        <v>34.946800000000003</v>
      </c>
      <c r="G53" s="22">
        <v>3.3E-3</v>
      </c>
      <c r="H53" s="40"/>
      <c r="I53" s="24"/>
      <c r="J53" s="5"/>
    </row>
    <row r="54" spans="1:10" ht="13.05" customHeight="1">
      <c r="A54" s="18" t="s">
        <v>1379</v>
      </c>
      <c r="B54" s="19" t="s">
        <v>1380</v>
      </c>
      <c r="C54" s="15" t="s">
        <v>1381</v>
      </c>
      <c r="D54" s="15" t="s">
        <v>603</v>
      </c>
      <c r="E54" s="20">
        <v>7063</v>
      </c>
      <c r="F54" s="21">
        <v>33.962400000000002</v>
      </c>
      <c r="G54" s="22">
        <v>3.2000000000000002E-3</v>
      </c>
      <c r="H54" s="40"/>
      <c r="I54" s="24"/>
      <c r="J54" s="5"/>
    </row>
    <row r="55" spans="1:10" ht="13.05" customHeight="1">
      <c r="A55" s="18" t="s">
        <v>1653</v>
      </c>
      <c r="B55" s="19" t="s">
        <v>1654</v>
      </c>
      <c r="C55" s="15" t="s">
        <v>1655</v>
      </c>
      <c r="D55" s="15" t="s">
        <v>501</v>
      </c>
      <c r="E55" s="20">
        <v>17122</v>
      </c>
      <c r="F55" s="21">
        <v>30.0063</v>
      </c>
      <c r="G55" s="22">
        <v>2.8E-3</v>
      </c>
      <c r="H55" s="40"/>
      <c r="I55" s="24"/>
      <c r="J55" s="5"/>
    </row>
    <row r="56" spans="1:10" ht="13.05" customHeight="1">
      <c r="A56" s="18" t="s">
        <v>1251</v>
      </c>
      <c r="B56" s="19" t="s">
        <v>1252</v>
      </c>
      <c r="C56" s="15" t="s">
        <v>1253</v>
      </c>
      <c r="D56" s="15" t="s">
        <v>257</v>
      </c>
      <c r="E56" s="20">
        <v>45938</v>
      </c>
      <c r="F56" s="21">
        <v>27.1172</v>
      </c>
      <c r="G56" s="22">
        <v>2.5999999999999999E-3</v>
      </c>
      <c r="H56" s="40"/>
      <c r="I56" s="24"/>
      <c r="J56" s="5"/>
    </row>
    <row r="57" spans="1:10" ht="13.05" customHeight="1">
      <c r="A57" s="18" t="s">
        <v>1376</v>
      </c>
      <c r="B57" s="19" t="s">
        <v>1377</v>
      </c>
      <c r="C57" s="15" t="s">
        <v>1378</v>
      </c>
      <c r="D57" s="15" t="s">
        <v>545</v>
      </c>
      <c r="E57" s="20">
        <v>1552</v>
      </c>
      <c r="F57" s="21">
        <v>19.817499999999999</v>
      </c>
      <c r="G57" s="22">
        <v>1.9E-3</v>
      </c>
      <c r="H57" s="40"/>
      <c r="I57" s="24"/>
      <c r="J57" s="5"/>
    </row>
    <row r="58" spans="1:10" ht="13.05" customHeight="1">
      <c r="A58" s="5"/>
      <c r="B58" s="14" t="s">
        <v>192</v>
      </c>
      <c r="C58" s="15"/>
      <c r="D58" s="15"/>
      <c r="E58" s="15"/>
      <c r="F58" s="25">
        <v>10589.0147</v>
      </c>
      <c r="G58" s="26">
        <v>0.99780000000000002</v>
      </c>
      <c r="H58" s="27"/>
      <c r="I58" s="28"/>
      <c r="J58" s="5"/>
    </row>
    <row r="59" spans="1:10" ht="13.05" customHeight="1">
      <c r="A59" s="5"/>
      <c r="B59" s="29" t="s">
        <v>1812</v>
      </c>
      <c r="C59" s="2"/>
      <c r="D59" s="2"/>
      <c r="E59" s="2"/>
      <c r="F59" s="27" t="s">
        <v>194</v>
      </c>
      <c r="G59" s="27" t="s">
        <v>194</v>
      </c>
      <c r="H59" s="27"/>
      <c r="I59" s="28"/>
      <c r="J59" s="5"/>
    </row>
    <row r="60" spans="1:10" ht="13.05" customHeight="1">
      <c r="A60" s="5"/>
      <c r="B60" s="29" t="s">
        <v>192</v>
      </c>
      <c r="C60" s="2"/>
      <c r="D60" s="2"/>
      <c r="E60" s="2"/>
      <c r="F60" s="27" t="s">
        <v>194</v>
      </c>
      <c r="G60" s="27" t="s">
        <v>194</v>
      </c>
      <c r="H60" s="27"/>
      <c r="I60" s="28"/>
      <c r="J60" s="5"/>
    </row>
    <row r="61" spans="1:10" ht="13.05" customHeight="1">
      <c r="A61" s="5"/>
      <c r="B61" s="29" t="s">
        <v>195</v>
      </c>
      <c r="C61" s="30"/>
      <c r="D61" s="2"/>
      <c r="E61" s="30"/>
      <c r="F61" s="25">
        <v>10589.0147</v>
      </c>
      <c r="G61" s="26">
        <v>0.99780000000000002</v>
      </c>
      <c r="H61" s="27"/>
      <c r="I61" s="28"/>
      <c r="J61" s="5"/>
    </row>
    <row r="62" spans="1:10" ht="13.05" customHeight="1">
      <c r="A62" s="5"/>
      <c r="B62" s="14" t="s">
        <v>196</v>
      </c>
      <c r="C62" s="15"/>
      <c r="D62" s="15"/>
      <c r="E62" s="15"/>
      <c r="F62" s="15"/>
      <c r="G62" s="15"/>
      <c r="H62" s="16"/>
      <c r="I62" s="17"/>
      <c r="J62" s="5"/>
    </row>
    <row r="63" spans="1:10" ht="13.05" customHeight="1">
      <c r="A63" s="18" t="s">
        <v>197</v>
      </c>
      <c r="B63" s="19" t="s">
        <v>198</v>
      </c>
      <c r="C63" s="15"/>
      <c r="D63" s="15"/>
      <c r="E63" s="20"/>
      <c r="F63" s="21">
        <v>62.211100000000002</v>
      </c>
      <c r="G63" s="22">
        <v>5.8999999999999999E-3</v>
      </c>
      <c r="H63" s="23">
        <v>5.557369553329583E-2</v>
      </c>
      <c r="I63" s="24"/>
      <c r="J63" s="5"/>
    </row>
    <row r="64" spans="1:10" ht="13.05" customHeight="1">
      <c r="A64" s="5"/>
      <c r="B64" s="14" t="s">
        <v>192</v>
      </c>
      <c r="C64" s="15"/>
      <c r="D64" s="15"/>
      <c r="E64" s="15"/>
      <c r="F64" s="25">
        <v>62.211100000000002</v>
      </c>
      <c r="G64" s="26">
        <v>5.8999999999999999E-3</v>
      </c>
      <c r="H64" s="27"/>
      <c r="I64" s="28"/>
      <c r="J64" s="5"/>
    </row>
    <row r="65" spans="1:10" ht="13.05" customHeight="1">
      <c r="A65" s="5"/>
      <c r="B65" s="29" t="s">
        <v>195</v>
      </c>
      <c r="C65" s="30"/>
      <c r="D65" s="2"/>
      <c r="E65" s="30"/>
      <c r="F65" s="25">
        <v>62.211100000000002</v>
      </c>
      <c r="G65" s="26">
        <v>5.8999999999999999E-3</v>
      </c>
      <c r="H65" s="27"/>
      <c r="I65" s="28"/>
      <c r="J65" s="5"/>
    </row>
    <row r="66" spans="1:10" ht="13.05" customHeight="1">
      <c r="A66" s="5"/>
      <c r="B66" s="29" t="s">
        <v>199</v>
      </c>
      <c r="C66" s="15"/>
      <c r="D66" s="2"/>
      <c r="E66" s="15"/>
      <c r="F66" s="31">
        <v>-38.4358</v>
      </c>
      <c r="G66" s="26">
        <v>-3.7000000000000002E-3</v>
      </c>
      <c r="H66" s="27"/>
      <c r="I66" s="28"/>
      <c r="J66" s="5"/>
    </row>
    <row r="67" spans="1:10" ht="13.05" customHeight="1">
      <c r="A67" s="5"/>
      <c r="B67" s="32" t="s">
        <v>200</v>
      </c>
      <c r="C67" s="33"/>
      <c r="D67" s="33"/>
      <c r="E67" s="33"/>
      <c r="F67" s="34">
        <v>10612.79</v>
      </c>
      <c r="G67" s="35">
        <v>1</v>
      </c>
      <c r="H67" s="36"/>
      <c r="I67" s="37"/>
      <c r="J67" s="5"/>
    </row>
    <row r="68" spans="1:10" ht="13.05" customHeight="1">
      <c r="A68" s="5"/>
      <c r="B68" s="7"/>
      <c r="C68" s="5"/>
      <c r="D68" s="5"/>
      <c r="E68" s="5"/>
      <c r="F68" s="5"/>
      <c r="G68" s="5"/>
      <c r="H68" s="5"/>
      <c r="I68" s="5"/>
      <c r="J68" s="5"/>
    </row>
    <row r="69" spans="1:10" ht="13.05" customHeight="1">
      <c r="A69" s="5"/>
      <c r="B69" s="4"/>
      <c r="C69" s="5"/>
      <c r="D69" s="5"/>
      <c r="E69" s="5"/>
      <c r="F69" s="5"/>
      <c r="G69" s="5"/>
      <c r="H69" s="5"/>
      <c r="I69" s="5"/>
      <c r="J69" s="5"/>
    </row>
    <row r="70" spans="1:10" ht="13.05" customHeight="1">
      <c r="A70" s="5"/>
      <c r="B70" s="4" t="s">
        <v>201</v>
      </c>
      <c r="C70" s="5"/>
      <c r="D70" s="5"/>
      <c r="E70" s="5"/>
      <c r="F70" s="5"/>
      <c r="G70" s="5"/>
      <c r="H70" s="5"/>
      <c r="I70" s="5"/>
      <c r="J70" s="5"/>
    </row>
    <row r="71" spans="1:10" ht="25.95" customHeight="1">
      <c r="A71" s="5"/>
      <c r="B71" s="103" t="s">
        <v>202</v>
      </c>
      <c r="C71" s="103"/>
      <c r="D71" s="103"/>
      <c r="E71" s="103"/>
      <c r="F71" s="103"/>
      <c r="G71" s="103"/>
      <c r="H71" s="103"/>
      <c r="I71" s="103"/>
      <c r="J71" s="5"/>
    </row>
    <row r="72" spans="1:10" ht="13.05" customHeight="1">
      <c r="A72" s="5"/>
      <c r="B72" s="103" t="s">
        <v>203</v>
      </c>
      <c r="C72" s="103"/>
      <c r="D72" s="103"/>
      <c r="E72" s="103"/>
      <c r="F72" s="103"/>
      <c r="G72" s="103"/>
      <c r="H72" s="103"/>
      <c r="I72" s="103"/>
      <c r="J72" s="5"/>
    </row>
    <row r="73" spans="1:10" ht="13.05" customHeight="1">
      <c r="A73" s="5"/>
      <c r="B73" s="103"/>
      <c r="C73" s="103"/>
      <c r="D73" s="103"/>
      <c r="E73" s="103"/>
      <c r="F73" s="103"/>
      <c r="G73" s="103"/>
      <c r="H73" s="103"/>
      <c r="I73" s="103"/>
      <c r="J73" s="5"/>
    </row>
    <row r="74" spans="1:10" ht="13.05" customHeight="1">
      <c r="A74" s="5"/>
      <c r="B74" s="103"/>
      <c r="C74" s="103"/>
      <c r="D74" s="103"/>
      <c r="E74" s="103"/>
      <c r="F74" s="103"/>
      <c r="G74" s="103"/>
      <c r="H74" s="103"/>
      <c r="I74" s="103"/>
      <c r="J74" s="5"/>
    </row>
    <row r="75" spans="1:10" ht="13.05" customHeight="1">
      <c r="A75" s="5"/>
      <c r="B75" s="103"/>
      <c r="C75" s="103"/>
      <c r="D75" s="103"/>
      <c r="E75" s="103"/>
      <c r="F75" s="103"/>
      <c r="G75" s="103"/>
      <c r="H75" s="103"/>
      <c r="I75" s="103"/>
      <c r="J75" s="5"/>
    </row>
    <row r="76" spans="1:10" ht="13.05" customHeight="1">
      <c r="A76" s="5"/>
      <c r="B76" s="103"/>
      <c r="C76" s="103"/>
      <c r="D76" s="103"/>
      <c r="E76" s="103"/>
      <c r="F76" s="103"/>
      <c r="G76" s="103"/>
      <c r="H76" s="103"/>
      <c r="I76" s="103"/>
      <c r="J76" s="5"/>
    </row>
    <row r="77" spans="1:10" ht="13.05" customHeight="1">
      <c r="A77" s="5"/>
      <c r="B77" s="5"/>
      <c r="C77" s="104" t="s">
        <v>5521</v>
      </c>
      <c r="D77" s="104"/>
      <c r="E77" s="104"/>
      <c r="F77" s="104"/>
      <c r="G77" s="5"/>
      <c r="H77" s="5"/>
      <c r="I77" s="5"/>
      <c r="J77" s="5"/>
    </row>
    <row r="78" spans="1:10" ht="13.05" customHeight="1">
      <c r="A78" s="5"/>
      <c r="B78" s="38" t="s">
        <v>207</v>
      </c>
      <c r="C78" s="104" t="s">
        <v>208</v>
      </c>
      <c r="D78" s="104"/>
      <c r="E78" s="104"/>
      <c r="F78" s="104"/>
      <c r="G78" s="5"/>
      <c r="H78" s="5"/>
      <c r="I78" s="5"/>
      <c r="J78" s="5"/>
    </row>
    <row r="79" spans="1:10" ht="135" customHeight="1">
      <c r="A79" s="5"/>
      <c r="B79" s="39"/>
      <c r="C79" s="105"/>
      <c r="D79" s="105"/>
      <c r="E79" s="5"/>
      <c r="F79" s="5"/>
      <c r="G79" s="5"/>
      <c r="H79" s="5"/>
      <c r="I79" s="5"/>
      <c r="J79" s="5"/>
    </row>
  </sheetData>
  <mergeCells count="9">
    <mergeCell ref="B76:I76"/>
    <mergeCell ref="C77:F77"/>
    <mergeCell ref="C78:F78"/>
    <mergeCell ref="C79:D79"/>
    <mergeCell ref="B71:I71"/>
    <mergeCell ref="B72:I72"/>
    <mergeCell ref="B73:I73"/>
    <mergeCell ref="B74:I74"/>
    <mergeCell ref="B75:I75"/>
  </mergeCells>
  <hyperlinks>
    <hyperlink ref="A1" location="AxisNifty500Value50IndexFund" display="AXISVIF" xr:uid="{00000000-0004-0000-5400-000000000000}"/>
    <hyperlink ref="B1" location="AxisNifty500Value50IndexFund" display="Axis Nifty500 Value 50 Index Fund" xr:uid="{00000000-0004-0000-5400-000001000000}"/>
  </hyperlinks>
  <pageMargins left="0" right="0" top="0" bottom="0" header="0" footer="0"/>
  <pageSetup orientation="landscape"/>
  <headerFooter>
    <oddFooter xml:space="preserve">&amp;C_x000D_&amp;1#&amp;"Calibri"&amp;10&amp;K000000  For internal use only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FE7437C19DBE4190BFF22718C8DF4C" ma:contentTypeVersion="10" ma:contentTypeDescription="Create a new document." ma:contentTypeScope="" ma:versionID="cc513775cd9a39aa37821122116e017b">
  <xsd:schema xmlns:xsd="http://www.w3.org/2001/XMLSchema" xmlns:xs="http://www.w3.org/2001/XMLSchema" xmlns:p="http://schemas.microsoft.com/office/2006/metadata/properties" xmlns:ns2="ffc4132f-2142-4f18-bea6-d4ebc80b3dc9" xmlns:ns3="258a8050-ea21-4376-b9d8-783a4a4ae638" targetNamespace="http://schemas.microsoft.com/office/2006/metadata/properties" ma:root="true" ma:fieldsID="10fa5ffc15ca3a5f08106afb26c780c9" ns2:_="" ns3:_="">
    <xsd:import namespace="ffc4132f-2142-4f18-bea6-d4ebc80b3dc9"/>
    <xsd:import namespace="258a8050-ea21-4376-b9d8-783a4a4ae6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c4132f-2142-4f18-bea6-d4ebc80b3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fc7666e-d55c-42e6-98c7-52deeb412ae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58a8050-ea21-4376-b9d8-783a4a4ae63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b7e92c0-af87-4ab1-b573-98a071ab552d}" ma:internalName="TaxCatchAll" ma:showField="CatchAllData" ma:web="258a8050-ea21-4376-b9d8-783a4a4ae6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58a8050-ea21-4376-b9d8-783a4a4ae638" xsi:nil="true"/>
    <lcf76f155ced4ddcb4097134ff3c332f xmlns="ffc4132f-2142-4f18-bea6-d4ebc80b3dc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5D39E1-D164-4C9C-ACF2-A10B848D36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c4132f-2142-4f18-bea6-d4ebc80b3dc9"/>
    <ds:schemaRef ds:uri="258a8050-ea21-4376-b9d8-783a4a4ae6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C64C80-2CF5-42A5-8E8A-2D0C02C1BB1B}">
  <ds:schemaRefs>
    <ds:schemaRef ds:uri="http://schemas.microsoft.com/sharepoint/v3/contenttype/forms"/>
  </ds:schemaRefs>
</ds:datastoreItem>
</file>

<file path=customXml/itemProps3.xml><?xml version="1.0" encoding="utf-8"?>
<ds:datastoreItem xmlns:ds="http://schemas.openxmlformats.org/officeDocument/2006/customXml" ds:itemID="{423E2ECF-6CE5-4E08-83DF-50AA1CB41B5B}">
  <ds:schemaRefs>
    <ds:schemaRef ds:uri="http://schemas.microsoft.com/office/2006/metadata/properties"/>
    <ds:schemaRef ds:uri="http://schemas.microsoft.com/office/infopath/2007/PartnerControls"/>
    <ds:schemaRef ds:uri="258a8050-ea21-4376-b9d8-783a4a4ae638"/>
    <ds:schemaRef ds:uri="ffc4132f-2142-4f18-bea6-d4ebc80b3dc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85</vt:i4>
      </vt:variant>
      <vt:variant>
        <vt:lpstr>Named Ranges</vt:lpstr>
      </vt:variant>
      <vt:variant>
        <vt:i4>170</vt:i4>
      </vt:variant>
    </vt:vector>
  </HeadingPairs>
  <TitlesOfParts>
    <vt:vector size="255" baseType="lpstr">
      <vt:lpstr>Index</vt:lpstr>
      <vt:lpstr>AXIS112</vt:lpstr>
      <vt:lpstr>AXIS113</vt:lpstr>
      <vt:lpstr>AXIS500</vt:lpstr>
      <vt:lpstr>AXISASD</vt:lpstr>
      <vt:lpstr>AXISBCF</vt:lpstr>
      <vt:lpstr>AXISBDF</vt:lpstr>
      <vt:lpstr>AXISBETF</vt:lpstr>
      <vt:lpstr>AXISBTF</vt:lpstr>
      <vt:lpstr>AXISCBS</vt:lpstr>
      <vt:lpstr>AXISCDL</vt:lpstr>
      <vt:lpstr>AXISCETF</vt:lpstr>
      <vt:lpstr>AXISCFS</vt:lpstr>
      <vt:lpstr>AXISCGF</vt:lpstr>
      <vt:lpstr>AXISCIB</vt:lpstr>
      <vt:lpstr>AXISCIG</vt:lpstr>
      <vt:lpstr>AXISCOF</vt:lpstr>
      <vt:lpstr>AXISCON</vt:lpstr>
      <vt:lpstr>AXISCSDL</vt:lpstr>
      <vt:lpstr>AXISDBF</vt:lpstr>
      <vt:lpstr>AXISDEF</vt:lpstr>
      <vt:lpstr>AXISEAF</vt:lpstr>
      <vt:lpstr>AXISEFOF</vt:lpstr>
      <vt:lpstr>AXISEHF</vt:lpstr>
      <vt:lpstr>AXISEQF</vt:lpstr>
      <vt:lpstr>AXISESF</vt:lpstr>
      <vt:lpstr>AXISESG</vt:lpstr>
      <vt:lpstr>AXISETS</vt:lpstr>
      <vt:lpstr>AXISF25</vt:lpstr>
      <vt:lpstr>AXISFLO</vt:lpstr>
      <vt:lpstr>AXISFSD</vt:lpstr>
      <vt:lpstr>AXISGCE</vt:lpstr>
      <vt:lpstr>AXISGEA</vt:lpstr>
      <vt:lpstr>AXISGETF</vt:lpstr>
      <vt:lpstr>AXISGIF</vt:lpstr>
      <vt:lpstr>AXISGLD</vt:lpstr>
      <vt:lpstr>AXISGOF</vt:lpstr>
      <vt:lpstr>AXISHETF</vt:lpstr>
      <vt:lpstr>AXISIFD</vt:lpstr>
      <vt:lpstr>AXISIMF</vt:lpstr>
      <vt:lpstr>AXISIOF</vt:lpstr>
      <vt:lpstr>AXISISF</vt:lpstr>
      <vt:lpstr>AXISLDF</vt:lpstr>
      <vt:lpstr>AXISLFA</vt:lpstr>
      <vt:lpstr>AXISM10</vt:lpstr>
      <vt:lpstr>AXISMCF</vt:lpstr>
      <vt:lpstr>AXISMIF</vt:lpstr>
      <vt:lpstr>AXISMLC</vt:lpstr>
      <vt:lpstr>AXISMLF</vt:lpstr>
      <vt:lpstr>AXISMMF</vt:lpstr>
      <vt:lpstr>AXISN50</vt:lpstr>
      <vt:lpstr>AXISN500</vt:lpstr>
      <vt:lpstr>AXISNBI</vt:lpstr>
      <vt:lpstr>AXISNETF</vt:lpstr>
      <vt:lpstr>AXISNFOF</vt:lpstr>
      <vt:lpstr>AXISNHS</vt:lpstr>
      <vt:lpstr>AXISNIF</vt:lpstr>
      <vt:lpstr>AXISNIT</vt:lpstr>
      <vt:lpstr>AXISNM50</vt:lpstr>
      <vt:lpstr>AXISNNF</vt:lpstr>
      <vt:lpstr>AXISNS50</vt:lpstr>
      <vt:lpstr>AXISNTF</vt:lpstr>
      <vt:lpstr>AXISONF</vt:lpstr>
      <vt:lpstr>AXISQIF</vt:lpstr>
      <vt:lpstr>AXISQUA</vt:lpstr>
      <vt:lpstr>AXISRAP</vt:lpstr>
      <vt:lpstr>AXISRCP</vt:lpstr>
      <vt:lpstr>AXISRDP</vt:lpstr>
      <vt:lpstr>AXISSCF</vt:lpstr>
      <vt:lpstr>AXISSDI</vt:lpstr>
      <vt:lpstr>AXISSDL</vt:lpstr>
      <vt:lpstr>AXISSETF</vt:lpstr>
      <vt:lpstr>AXISSIF</vt:lpstr>
      <vt:lpstr>AXISSIL</vt:lpstr>
      <vt:lpstr>AXISSOF</vt:lpstr>
      <vt:lpstr>AXISSSF</vt:lpstr>
      <vt:lpstr>AXISSTF</vt:lpstr>
      <vt:lpstr>AXISTAA</vt:lpstr>
      <vt:lpstr>AXISTAF</vt:lpstr>
      <vt:lpstr>AXISTDB</vt:lpstr>
      <vt:lpstr>AXISTETF</vt:lpstr>
      <vt:lpstr>AXISTSF</vt:lpstr>
      <vt:lpstr>AXISUSF</vt:lpstr>
      <vt:lpstr>AXISVAL</vt:lpstr>
      <vt:lpstr>AXISVIF</vt:lpstr>
      <vt:lpstr>AxisAggressiveHybridFund</vt:lpstr>
      <vt:lpstr>AxisArbitrageFund</vt:lpstr>
      <vt:lpstr>AxisBalancedAdvantageFund</vt:lpstr>
      <vt:lpstr>AxisBankingPSUDebtFund</vt:lpstr>
      <vt:lpstr>AxisBSESensexETF</vt:lpstr>
      <vt:lpstr>AxisBSESensexIndexFund</vt:lpstr>
      <vt:lpstr>AxisBusinessCyclesFund</vt:lpstr>
      <vt:lpstr>AxisChildrensFund</vt:lpstr>
      <vt:lpstr>AxisConservativeHybridFund</vt:lpstr>
      <vt:lpstr>AxisConsumptionFund</vt:lpstr>
      <vt:lpstr>AxisCorporateBondFund</vt:lpstr>
      <vt:lpstr>AxisCreditRiskFund</vt:lpstr>
      <vt:lpstr>AxisCRISILIBX5050GiltPlusSDLJune2028IndexFund</vt:lpstr>
      <vt:lpstr>AxisCRISILIBX5050GiltPlusSDLSep2027IndexFund</vt:lpstr>
      <vt:lpstr>AxisCRISILIBXAAABondFinancialServicesSep2027IndexFund</vt:lpstr>
      <vt:lpstr>AxisCRISILIBXAAABondNBFCHFCJun2027IndexFund</vt:lpstr>
      <vt:lpstr>AxisCRISILIBXAAABondNBFCJun2027IndexFund</vt:lpstr>
      <vt:lpstr>AxisCRISILIBXFinSvcs36MonDebtIndexFund</vt:lpstr>
      <vt:lpstr>AxisCRISILIBXSDLJune2034DebtIndexFund</vt:lpstr>
      <vt:lpstr>AxisCRISILIBXSDLMay2027IndexFund</vt:lpstr>
      <vt:lpstr>AxisDynamicBondFund</vt:lpstr>
      <vt:lpstr>AxisELSSTaxSaverFund</vt:lpstr>
      <vt:lpstr>AxisEquitySavingsFund</vt:lpstr>
      <vt:lpstr>AxisESGIntegrationStrategyFund</vt:lpstr>
      <vt:lpstr>AxisFixedTermPlanSeries1121143Days</vt:lpstr>
      <vt:lpstr>AxisFixedTermPlanSeries1131228Days</vt:lpstr>
      <vt:lpstr>AxisFlexiCapFund</vt:lpstr>
      <vt:lpstr>AxisFloaterFund</vt:lpstr>
      <vt:lpstr>AxisFocusedFund</vt:lpstr>
      <vt:lpstr>AxisGiltFund</vt:lpstr>
      <vt:lpstr>AxisGlobalEquityAlphaFundofFund</vt:lpstr>
      <vt:lpstr>AxisGlobalInnovationFundofFund</vt:lpstr>
      <vt:lpstr>AxisGoldETF</vt:lpstr>
      <vt:lpstr>AxisGoldFund</vt:lpstr>
      <vt:lpstr>AxisGreaterChinaEquityFundofFund</vt:lpstr>
      <vt:lpstr>AxisIncomePlusArbitrageActiveFOF</vt:lpstr>
      <vt:lpstr>AxisIndiaManufacturingFund</vt:lpstr>
      <vt:lpstr>AxisInnovationFund</vt:lpstr>
      <vt:lpstr>AxisLargeCapFund</vt:lpstr>
      <vt:lpstr>AxisLargeMidCapFund</vt:lpstr>
      <vt:lpstr>AxisLiquidFund</vt:lpstr>
      <vt:lpstr>AxisLongDurationFund</vt:lpstr>
      <vt:lpstr>AxisMidcapFund</vt:lpstr>
      <vt:lpstr>AxisMomentumFund</vt:lpstr>
      <vt:lpstr>AxisMoneyMarketFund</vt:lpstr>
      <vt:lpstr>AxisMultiAssetAllocationFund</vt:lpstr>
      <vt:lpstr>AxisMulticapFund</vt:lpstr>
      <vt:lpstr>AxisMultiFactorPassiveFoF</vt:lpstr>
      <vt:lpstr>AxisNifty100IndexFund</vt:lpstr>
      <vt:lpstr>AxisNifty500IndexFund</vt:lpstr>
      <vt:lpstr>AxisNifty500Momentum50IndexFund</vt:lpstr>
      <vt:lpstr>AxisNifty500Quality50IndexFund</vt:lpstr>
      <vt:lpstr>AxisNifty500Value50ETF</vt:lpstr>
      <vt:lpstr>AxisNifty500Value50IndexFund</vt:lpstr>
      <vt:lpstr>AxisNIFTY50ETF</vt:lpstr>
      <vt:lpstr>AxisNifty50IndexFund</vt:lpstr>
      <vt:lpstr>AxisNiftyAAABondPlusSDLApr20265050ETF</vt:lpstr>
      <vt:lpstr>AxisNiftyAAABondPlusSDLApr20265050ETFFOF</vt:lpstr>
      <vt:lpstr>AxisNIFTYBankETF</vt:lpstr>
      <vt:lpstr>AxisNiftyBankIndexFund</vt:lpstr>
      <vt:lpstr>AxisNIFTYHealthcareETF</vt:lpstr>
      <vt:lpstr>AxisNIFTYIndiaConsumptionETF</vt:lpstr>
      <vt:lpstr>AxisNIFTYITETF</vt:lpstr>
      <vt:lpstr>AxisNiftyITIndexFund</vt:lpstr>
      <vt:lpstr>AXISNIFTYMIDCAP50INDEXFUND</vt:lpstr>
      <vt:lpstr>AxisNiftyNext50IndexFund</vt:lpstr>
      <vt:lpstr>AxisNIFTYSDLSeptember2026DebtIndexFund</vt:lpstr>
      <vt:lpstr>AXISNIFTYSMALLCAP50INDEXFUND</vt:lpstr>
      <vt:lpstr>AxisOvernightFund</vt:lpstr>
      <vt:lpstr>AxisQuantFund</vt:lpstr>
      <vt:lpstr>AxisRetirementFundAggressivePlan</vt:lpstr>
      <vt:lpstr>AxisRetirementFundConservativePlan</vt:lpstr>
      <vt:lpstr>AxisRetirementFundDynamicPlan</vt:lpstr>
      <vt:lpstr>AxisServicesOpportunitiesFund</vt:lpstr>
      <vt:lpstr>AxisShortDurationFund</vt:lpstr>
      <vt:lpstr>AxisSilverETF</vt:lpstr>
      <vt:lpstr>AxisSilverFundofFund</vt:lpstr>
      <vt:lpstr>AxisSmallCapFund</vt:lpstr>
      <vt:lpstr>AxisStrategicBondFund</vt:lpstr>
      <vt:lpstr>AxisTreasuryAdvantageFund</vt:lpstr>
      <vt:lpstr>AxisUltraShortDurationFund</vt:lpstr>
      <vt:lpstr>AxisUSSpecificEquityPassiveFOF</vt:lpstr>
      <vt:lpstr>AxisUSSpecificTreasuryDynamicDebtPassiveFOF</vt:lpstr>
      <vt:lpstr>AxisValueFund</vt:lpstr>
      <vt:lpstr>Index</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JR_PAGE_ANCHOR_0_28</vt:lpstr>
      <vt:lpstr>JR_PAGE_ANCHOR_0_29</vt:lpstr>
      <vt:lpstr>JR_PAGE_ANCHOR_0_3</vt:lpstr>
      <vt:lpstr>JR_PAGE_ANCHOR_0_30</vt:lpstr>
      <vt:lpstr>JR_PAGE_ANCHOR_0_31</vt:lpstr>
      <vt:lpstr>JR_PAGE_ANCHOR_0_32</vt:lpstr>
      <vt:lpstr>JR_PAGE_ANCHOR_0_33</vt:lpstr>
      <vt:lpstr>JR_PAGE_ANCHOR_0_34</vt:lpstr>
      <vt:lpstr>JR_PAGE_ANCHOR_0_35</vt:lpstr>
      <vt:lpstr>JR_PAGE_ANCHOR_0_36</vt:lpstr>
      <vt:lpstr>JR_PAGE_ANCHOR_0_37</vt:lpstr>
      <vt:lpstr>JR_PAGE_ANCHOR_0_38</vt:lpstr>
      <vt:lpstr>JR_PAGE_ANCHOR_0_39</vt:lpstr>
      <vt:lpstr>JR_PAGE_ANCHOR_0_4</vt:lpstr>
      <vt:lpstr>JR_PAGE_ANCHOR_0_40</vt:lpstr>
      <vt:lpstr>JR_PAGE_ANCHOR_0_41</vt:lpstr>
      <vt:lpstr>JR_PAGE_ANCHOR_0_42</vt:lpstr>
      <vt:lpstr>JR_PAGE_ANCHOR_0_43</vt:lpstr>
      <vt:lpstr>JR_PAGE_ANCHOR_0_44</vt:lpstr>
      <vt:lpstr>JR_PAGE_ANCHOR_0_45</vt:lpstr>
      <vt:lpstr>JR_PAGE_ANCHOR_0_46</vt:lpstr>
      <vt:lpstr>JR_PAGE_ANCHOR_0_47</vt:lpstr>
      <vt:lpstr>JR_PAGE_ANCHOR_0_48</vt:lpstr>
      <vt:lpstr>JR_PAGE_ANCHOR_0_49</vt:lpstr>
      <vt:lpstr>JR_PAGE_ANCHOR_0_5</vt:lpstr>
      <vt:lpstr>JR_PAGE_ANCHOR_0_50</vt:lpstr>
      <vt:lpstr>JR_PAGE_ANCHOR_0_51</vt:lpstr>
      <vt:lpstr>JR_PAGE_ANCHOR_0_52</vt:lpstr>
      <vt:lpstr>JR_PAGE_ANCHOR_0_53</vt:lpstr>
      <vt:lpstr>JR_PAGE_ANCHOR_0_54</vt:lpstr>
      <vt:lpstr>JR_PAGE_ANCHOR_0_55</vt:lpstr>
      <vt:lpstr>JR_PAGE_ANCHOR_0_56</vt:lpstr>
      <vt:lpstr>JR_PAGE_ANCHOR_0_57</vt:lpstr>
      <vt:lpstr>JR_PAGE_ANCHOR_0_58</vt:lpstr>
      <vt:lpstr>JR_PAGE_ANCHOR_0_59</vt:lpstr>
      <vt:lpstr>JR_PAGE_ANCHOR_0_6</vt:lpstr>
      <vt:lpstr>JR_PAGE_ANCHOR_0_60</vt:lpstr>
      <vt:lpstr>JR_PAGE_ANCHOR_0_61</vt:lpstr>
      <vt:lpstr>JR_PAGE_ANCHOR_0_62</vt:lpstr>
      <vt:lpstr>JR_PAGE_ANCHOR_0_63</vt:lpstr>
      <vt:lpstr>JR_PAGE_ANCHOR_0_64</vt:lpstr>
      <vt:lpstr>JR_PAGE_ANCHOR_0_65</vt:lpstr>
      <vt:lpstr>JR_PAGE_ANCHOR_0_66</vt:lpstr>
      <vt:lpstr>JR_PAGE_ANCHOR_0_67</vt:lpstr>
      <vt:lpstr>JR_PAGE_ANCHOR_0_68</vt:lpstr>
      <vt:lpstr>JR_PAGE_ANCHOR_0_69</vt:lpstr>
      <vt:lpstr>JR_PAGE_ANCHOR_0_7</vt:lpstr>
      <vt:lpstr>JR_PAGE_ANCHOR_0_70</vt:lpstr>
      <vt:lpstr>JR_PAGE_ANCHOR_0_71</vt:lpstr>
      <vt:lpstr>JR_PAGE_ANCHOR_0_72</vt:lpstr>
      <vt:lpstr>JR_PAGE_ANCHOR_0_73</vt:lpstr>
      <vt:lpstr>JR_PAGE_ANCHOR_0_74</vt:lpstr>
      <vt:lpstr>JR_PAGE_ANCHOR_0_75</vt:lpstr>
      <vt:lpstr>JR_PAGE_ANCHOR_0_76</vt:lpstr>
      <vt:lpstr>JR_PAGE_ANCHOR_0_77</vt:lpstr>
      <vt:lpstr>JR_PAGE_ANCHOR_0_78</vt:lpstr>
      <vt:lpstr>JR_PAGE_ANCHOR_0_79</vt:lpstr>
      <vt:lpstr>JR_PAGE_ANCHOR_0_8</vt:lpstr>
      <vt:lpstr>JR_PAGE_ANCHOR_0_80</vt:lpstr>
      <vt:lpstr>JR_PAGE_ANCHOR_0_81</vt:lpstr>
      <vt:lpstr>JR_PAGE_ANCHOR_0_82</vt:lpstr>
      <vt:lpstr>JR_PAGE_ANCHOR_0_83</vt:lpstr>
      <vt:lpstr>JR_PAGE_ANCHOR_0_84</vt:lpstr>
      <vt:lpstr>JR_PAGE_ANCHOR_0_85</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2025-11-01T12:23:38Z</dcterms:created>
  <dcterms:modified xsi:type="dcterms:W3CDTF">2025-11-26T11:14:12Z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2025-11-01T12:22:17Z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02bd6264-e877-4d3f-a000-8c0df4ee5721</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y fmtid="{D5CDD505-2E9C-101B-9397-08002B2CF9AE}" pid="10" name="ContentTypeId">
    <vt:lpwstr>0x010100DBFE7437C19DBE4190BFF22718C8DF4C</vt:lpwstr>
  </property>
  <property fmtid="{D5CDD505-2E9C-101B-9397-08002B2CF9AE}" pid="11" name="MediaServiceImageTags">
    <vt:lpwstr/>
  </property>
</Properties>
</file>