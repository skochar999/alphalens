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523C4695-DBDA-4BF4-A57B-F381C40DB867}" xr6:coauthVersionLast="47" xr6:coauthVersionMax="47" xr10:uidLastSave="{00000000-0000-0000-0000-000000000000}"/>
  <bookViews>
    <workbookView xWindow="-120" yWindow="-120" windowWidth="20730" windowHeight="11040" xr2:uid="{C46D3D74-A3E2-47D4-AB75-A5C91A0A7865}"/>
  </bookViews>
  <sheets>
    <sheet name="WODIG" sheetId="1" r:id="rId1"/>
  </sheets>
  <externalReferences>
    <externalReference r:id="rId2"/>
  </externalReferences>
  <definedNames>
    <definedName name="_xlnm._FilterDatabase" localSheetId="0" hidden="1">WODIG!$A$6:$J$189</definedName>
    <definedName name="JR_PAGE_ANCHOR_0_22">#REF!</definedName>
    <definedName name="JR_PAGE_ANCHOR_0_7">#REF!</definedName>
    <definedName name="JR_PAGE_ANCHOR_0_8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</calcChain>
</file>

<file path=xl/sharedStrings.xml><?xml version="1.0" encoding="utf-8"?>
<sst xmlns="http://schemas.openxmlformats.org/spreadsheetml/2006/main" count="252" uniqueCount="196">
  <si>
    <t>WhiteOak Capital Digital Bharat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</si>
  <si>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</si>
  <si>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</si>
  <si>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</si>
  <si>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</si>
  <si>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</si>
  <si>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</si>
  <si>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</si>
  <si>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</si>
  <si>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</si>
  <si>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</si>
  <si>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</si>
  <si>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</si>
  <si>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</si>
  <si>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</si>
  <si>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</si>
  <si>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</si>
  <si>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PSYL02</t>
  </si>
  <si>
    <t>Persistent Systems Limited</t>
  </si>
  <si>
    <t>INE262H01021</t>
  </si>
  <si>
    <t>IT - Software</t>
  </si>
  <si>
    <t>BTVL02</t>
  </si>
  <si>
    <t>Bharti Airtel Limited</t>
  </si>
  <si>
    <t>INE397D01024</t>
  </si>
  <si>
    <t>Telecom - Services</t>
  </si>
  <si>
    <t>IEIN02</t>
  </si>
  <si>
    <t>Info Edge (India) Limited</t>
  </si>
  <si>
    <t>INE663F01032</t>
  </si>
  <si>
    <t>ESMC02</t>
  </si>
  <si>
    <t>PB Fintech Limited</t>
  </si>
  <si>
    <t>INE417T01026</t>
  </si>
  <si>
    <t>Financial Technology (Fintech)</t>
  </si>
  <si>
    <t>BTVL03</t>
  </si>
  <si>
    <t>IN9397D01014</t>
  </si>
  <si>
    <t>TCSL01</t>
  </si>
  <si>
    <t>Tata Consultancy Services Limited</t>
  </si>
  <si>
    <t>INE467B01029</t>
  </si>
  <si>
    <t>INFS02</t>
  </si>
  <si>
    <t>Infosys Limited</t>
  </si>
  <si>
    <t>INE009A01021</t>
  </si>
  <si>
    <t>TEMA02</t>
  </si>
  <si>
    <t>Tech Mahindra Limited</t>
  </si>
  <si>
    <t>INE669C01036</t>
  </si>
  <si>
    <t>CKIL01</t>
  </si>
  <si>
    <t>Cigniti Technologies Limited</t>
  </si>
  <si>
    <t>INE675C01017</t>
  </si>
  <si>
    <t>IT - Services</t>
  </si>
  <si>
    <t>LTIL01</t>
  </si>
  <si>
    <t>LTIMindtree Limited</t>
  </si>
  <si>
    <t>INE214T01019</t>
  </si>
  <si>
    <t>IDAL01</t>
  </si>
  <si>
    <t>Intellect Design Arena Limited</t>
  </si>
  <si>
    <t>INE306R01017</t>
  </si>
  <si>
    <t>TBOT01</t>
  </si>
  <si>
    <t>TBO Tek Limited</t>
  </si>
  <si>
    <t>INE673O01025</t>
  </si>
  <si>
    <t>Leisure Services</t>
  </si>
  <si>
    <t>ECLE01</t>
  </si>
  <si>
    <t>eClerx Services Limited</t>
  </si>
  <si>
    <t>INE738I01010</t>
  </si>
  <si>
    <t>Commercial Services &amp; Supplies</t>
  </si>
  <si>
    <t>CART01</t>
  </si>
  <si>
    <t>Cartrade Tech Limited</t>
  </si>
  <si>
    <t>INE290S01011</t>
  </si>
  <si>
    <t>MCEX02</t>
  </si>
  <si>
    <t>Multi Commodity Exchange of India Limited</t>
  </si>
  <si>
    <t>INE745G01043</t>
  </si>
  <si>
    <t>Capital Markets</t>
  </si>
  <si>
    <t>ICON01</t>
  </si>
  <si>
    <t>Firstsource Solutions Limited</t>
  </si>
  <si>
    <t>INE684F01012</t>
  </si>
  <si>
    <t>LATE01</t>
  </si>
  <si>
    <t>Latent View Analytics Limited</t>
  </si>
  <si>
    <t>INE0I7C01011</t>
  </si>
  <si>
    <t>NITL02</t>
  </si>
  <si>
    <t>Coforge Limited</t>
  </si>
  <si>
    <t>INE591G01025</t>
  </si>
  <si>
    <t>INKN01</t>
  </si>
  <si>
    <t>Inventurus Knowledge Solutions Limited</t>
  </si>
  <si>
    <t>INE115Q01022</t>
  </si>
  <si>
    <t>BHHX01</t>
  </si>
  <si>
    <t>Bharti Hexacom Limited</t>
  </si>
  <si>
    <t>INE343G01021</t>
  </si>
  <si>
    <t>ADTH01</t>
  </si>
  <si>
    <t>Aditya Infotech Limited</t>
  </si>
  <si>
    <t>INE819V01029</t>
  </si>
  <si>
    <t>Industrial Manufacturing</t>
  </si>
  <si>
    <t>NSTL01</t>
  </si>
  <si>
    <t>Newgen Software Technologies Limited</t>
  </si>
  <si>
    <t>INE619B01017</t>
  </si>
  <si>
    <t>MEES01</t>
  </si>
  <si>
    <t>Meesho Ltd</t>
  </si>
  <si>
    <t>INE0VDM01015</t>
  </si>
  <si>
    <t>LETT01</t>
  </si>
  <si>
    <t>Le Travenues Technology Ltd</t>
  </si>
  <si>
    <t>INE0HV901016</t>
  </si>
  <si>
    <t>HONA01</t>
  </si>
  <si>
    <t>Honasa Consumer Limited</t>
  </si>
  <si>
    <t>INE0J5401028</t>
  </si>
  <si>
    <t>Personal Products</t>
  </si>
  <si>
    <t>MTAR01</t>
  </si>
  <si>
    <t>MTAR Technologies Limited</t>
  </si>
  <si>
    <t>INE864I01014</t>
  </si>
  <si>
    <t>Aerospace &amp; Defense</t>
  </si>
  <si>
    <t>SSNL02</t>
  </si>
  <si>
    <t>Delhivery Limited</t>
  </si>
  <si>
    <t>INE148O01028</t>
  </si>
  <si>
    <t>Transport Services</t>
  </si>
  <si>
    <t>FSNE01</t>
  </si>
  <si>
    <t>FSN E-Commerce Ventures Limited</t>
  </si>
  <si>
    <t>INE388Y01029</t>
  </si>
  <si>
    <t>MASL02</t>
  </si>
  <si>
    <t>Mastek Limited</t>
  </si>
  <si>
    <t>INE759A01021</t>
  </si>
  <si>
    <t>LENS01</t>
  </si>
  <si>
    <t>Lenskart Solutions Limited</t>
  </si>
  <si>
    <t>INE956O01016</t>
  </si>
  <si>
    <t>SAGI01</t>
  </si>
  <si>
    <t>Sagility Limited</t>
  </si>
  <si>
    <t>INE0W2G01015</t>
  </si>
  <si>
    <t>WKIP01</t>
  </si>
  <si>
    <t>Wakefit Innovations Limited</t>
  </si>
  <si>
    <t>INE0E7301029</t>
  </si>
  <si>
    <t>Consumer Durables</t>
  </si>
  <si>
    <t>TIPS02</t>
  </si>
  <si>
    <t>Tips Music Limited</t>
  </si>
  <si>
    <t>INE716B01029</t>
  </si>
  <si>
    <t>Entertainment</t>
  </si>
  <si>
    <t>NSEL01</t>
  </si>
  <si>
    <t>Nucleus Software Exports Limited</t>
  </si>
  <si>
    <t>INE096B01018</t>
  </si>
  <si>
    <t>KRNH01</t>
  </si>
  <si>
    <t>KRN Heat Exchanger And Refrigeration Limited</t>
  </si>
  <si>
    <t>INE0Q3J01015</t>
  </si>
  <si>
    <t>Industrial Products</t>
  </si>
  <si>
    <t>EOPR01</t>
  </si>
  <si>
    <t>Embassy Office Parks REIT</t>
  </si>
  <si>
    <t>INE041025011</t>
  </si>
  <si>
    <t>Realty</t>
  </si>
  <si>
    <t>CAIN01</t>
  </si>
  <si>
    <t>CapitalNumbers Infotech Limited</t>
  </si>
  <si>
    <t>INE0WXM01011</t>
  </si>
  <si>
    <t>CAMS02</t>
  </si>
  <si>
    <t>Computer Age Management Services Limited</t>
  </si>
  <si>
    <t>INE596I01020</t>
  </si>
  <si>
    <t>KPEL01</t>
  </si>
  <si>
    <t>KPIT Technologies Limited</t>
  </si>
  <si>
    <t>INE04I401011</t>
  </si>
  <si>
    <t>UCTI01</t>
  </si>
  <si>
    <t>Urban Company Ltd.</t>
  </si>
  <si>
    <t>INE0CAZ01013</t>
  </si>
  <si>
    <t>Sub Total</t>
  </si>
  <si>
    <t>(b) Unlisted</t>
  </si>
  <si>
    <t>NIL</t>
  </si>
  <si>
    <t>Total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</si>
  <si>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</si>
  <si>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</si>
  <si>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</si>
  <si>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</si>
  <si>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</si>
  <si>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</si>
  <si>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TBIL2599</t>
  </si>
  <si>
    <t>91 Days Tbill (MD 12/03/2026)</t>
  </si>
  <si>
    <t>IN002025X372</t>
  </si>
  <si>
    <t>TBIL2552</t>
  </si>
  <si>
    <t>182 Days Tbill (MD 19/02/2026)</t>
  </si>
  <si>
    <t>IN002025Y214</t>
  </si>
  <si>
    <t>TBIL2554</t>
  </si>
  <si>
    <t>182 Days Tbill (MD 27/02/2026)</t>
  </si>
  <si>
    <t>IN002025Y222</t>
  </si>
  <si>
    <t>TBIL2591</t>
  </si>
  <si>
    <t>91 Days Tbill (MD 19/02/2026)</t>
  </si>
  <si>
    <t>IN002025X349</t>
  </si>
  <si>
    <t>TBIL2548</t>
  </si>
  <si>
    <t>182 Days Tbill (MD 12/02/2026)</t>
  </si>
  <si>
    <t>IN002025Y206</t>
  </si>
  <si>
    <t>TBIL2562</t>
  </si>
  <si>
    <t>182 Days Tbill (MD 19/03/2026)</t>
  </si>
  <si>
    <t>IN002025Y255</t>
  </si>
  <si>
    <t>TBIL2589</t>
  </si>
  <si>
    <t>182 Days Tbill (MD 09/04/2026)</t>
  </si>
  <si>
    <t>IN002025Y289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</si>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</sst>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609545" cy="2241176"/>
    <xdr:pic>
      <xdr:nvPicPr>
        <xdr:cNvPr id="2" name="Picture 1">
          <a:extLst>
            <a:ext uri="{FF2B5EF4-FFF2-40B4-BE49-F238E27FC236}">
              <a16:creationId xmlns:a16="http://schemas.microsoft.com/office/drawing/2014/main" id="{BC37C939-FEA6-4FCF-86BE-7A5930BCD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609545" cy="2241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4907-A78D-47F4-8B45-42DD813CFFB4}">
  <sheetPr codeName="Sheet8">
    <outlinePr summaryBelow="0"/>
  </sheetPr>
  <dimension ref="A1:J189"/>
  <sheetViews>
    <sheetView tabSelected="1" workbookViewId="0">
      <selection activeCell="F6" sqref="F6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1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1442378</v>
      </c>
      <c r="G7" s="16">
        <v>3946.35</v>
      </c>
      <c r="H7" s="17">
        <v>8.9700000000000002E-2</v>
      </c>
      <c r="I7" s="18"/>
      <c r="J7" s="1"/>
    </row>
    <row r="8" spans="1:10" ht="13.1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43142</v>
      </c>
      <c r="G8" s="16">
        <v>2603.62</v>
      </c>
      <c r="H8" s="17">
        <v>5.9200000000000003E-2</v>
      </c>
      <c r="I8" s="18"/>
      <c r="J8" s="1"/>
    </row>
    <row r="9" spans="1:10" ht="13.1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116008</v>
      </c>
      <c r="G9" s="16">
        <v>2283.85</v>
      </c>
      <c r="H9" s="17">
        <v>5.1900000000000002E-2</v>
      </c>
      <c r="I9" s="18"/>
      <c r="J9" s="1"/>
    </row>
    <row r="10" spans="1:10" ht="13.15" customHeight="1">
      <c r="A10" s="13" t="s">
        <v>25</v>
      </c>
      <c r="B10" s="14" t="s">
        <v>26</v>
      </c>
      <c r="C10" s="14"/>
      <c r="D10" s="11" t="s">
        <v>27</v>
      </c>
      <c r="E10" s="11" t="s">
        <v>16</v>
      </c>
      <c r="F10" s="15">
        <v>164461</v>
      </c>
      <c r="G10" s="16">
        <v>2054.7800000000002</v>
      </c>
      <c r="H10" s="17">
        <v>4.6699999999999998E-2</v>
      </c>
      <c r="I10" s="18"/>
      <c r="J10" s="1"/>
    </row>
    <row r="11" spans="1:10" ht="13.1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114276</v>
      </c>
      <c r="G11" s="16">
        <v>1890.7</v>
      </c>
      <c r="H11" s="17">
        <v>4.2999999999999997E-2</v>
      </c>
      <c r="I11" s="18"/>
      <c r="J11" s="1"/>
    </row>
    <row r="12" spans="1:10" ht="13.15" customHeight="1">
      <c r="A12" s="13" t="s">
        <v>32</v>
      </c>
      <c r="B12" s="14" t="s">
        <v>22</v>
      </c>
      <c r="C12" s="14"/>
      <c r="D12" s="11" t="s">
        <v>33</v>
      </c>
      <c r="E12" s="11" t="s">
        <v>24</v>
      </c>
      <c r="F12" s="15">
        <v>115502</v>
      </c>
      <c r="G12" s="16">
        <v>1806.57</v>
      </c>
      <c r="H12" s="17">
        <v>4.1099999999999998E-2</v>
      </c>
      <c r="I12" s="18"/>
      <c r="J12" s="1"/>
    </row>
    <row r="13" spans="1:10" ht="13.15" customHeight="1">
      <c r="A13" s="13" t="s">
        <v>34</v>
      </c>
      <c r="B13" s="14" t="s">
        <v>35</v>
      </c>
      <c r="C13" s="14"/>
      <c r="D13" s="11" t="s">
        <v>36</v>
      </c>
      <c r="E13" s="11" t="s">
        <v>20</v>
      </c>
      <c r="F13" s="15">
        <v>57369</v>
      </c>
      <c r="G13" s="16">
        <v>1792.15</v>
      </c>
      <c r="H13" s="17">
        <v>4.07E-2</v>
      </c>
      <c r="I13" s="18"/>
      <c r="J13" s="1"/>
    </row>
    <row r="14" spans="1:10" ht="13.15" customHeight="1">
      <c r="A14" s="13" t="s">
        <v>37</v>
      </c>
      <c r="B14" s="14" t="s">
        <v>38</v>
      </c>
      <c r="C14" s="14"/>
      <c r="D14" s="11" t="s">
        <v>39</v>
      </c>
      <c r="E14" s="11" t="s">
        <v>20</v>
      </c>
      <c r="F14" s="15">
        <v>100772</v>
      </c>
      <c r="G14" s="16">
        <v>1653.67</v>
      </c>
      <c r="H14" s="17">
        <v>3.7600000000000001E-2</v>
      </c>
      <c r="I14" s="18"/>
      <c r="J14" s="1"/>
    </row>
    <row r="15" spans="1:10" ht="13.15" customHeight="1">
      <c r="A15" s="13" t="s">
        <v>40</v>
      </c>
      <c r="B15" s="14" t="s">
        <v>41</v>
      </c>
      <c r="C15" s="14"/>
      <c r="D15" s="11" t="s">
        <v>42</v>
      </c>
      <c r="E15" s="11" t="s">
        <v>20</v>
      </c>
      <c r="F15" s="15">
        <v>90153</v>
      </c>
      <c r="G15" s="16">
        <v>1571.46</v>
      </c>
      <c r="H15" s="17">
        <v>3.5700000000000003E-2</v>
      </c>
      <c r="I15" s="18"/>
      <c r="J15" s="1"/>
    </row>
    <row r="16" spans="1:10" ht="13.15" customHeight="1">
      <c r="A16" s="13" t="s">
        <v>43</v>
      </c>
      <c r="B16" s="14" t="s">
        <v>44</v>
      </c>
      <c r="C16" s="14"/>
      <c r="D16" s="11" t="s">
        <v>45</v>
      </c>
      <c r="E16" s="11" t="s">
        <v>46</v>
      </c>
      <c r="F16" s="15">
        <v>88911</v>
      </c>
      <c r="G16" s="16">
        <v>1438.22</v>
      </c>
      <c r="H16" s="17">
        <v>3.27E-2</v>
      </c>
      <c r="I16" s="18"/>
      <c r="J16" s="1"/>
    </row>
    <row r="17" spans="1:10" ht="13.15" customHeight="1">
      <c r="A17" s="13" t="s">
        <v>47</v>
      </c>
      <c r="B17" s="14" t="s">
        <v>48</v>
      </c>
      <c r="C17" s="14"/>
      <c r="D17" s="11" t="s">
        <v>49</v>
      </c>
      <c r="E17" s="11" t="s">
        <v>20</v>
      </c>
      <c r="F17" s="15">
        <v>23898</v>
      </c>
      <c r="G17" s="16">
        <v>1427.79</v>
      </c>
      <c r="H17" s="17">
        <v>3.2399999999999998E-2</v>
      </c>
      <c r="I17" s="18"/>
      <c r="J17" s="1"/>
    </row>
    <row r="18" spans="1:10" ht="13.15" customHeight="1">
      <c r="A18" s="13" t="s">
        <v>50</v>
      </c>
      <c r="B18" s="14" t="s">
        <v>51</v>
      </c>
      <c r="C18" s="14"/>
      <c r="D18" s="11" t="s">
        <v>52</v>
      </c>
      <c r="E18" s="11" t="s">
        <v>20</v>
      </c>
      <c r="F18" s="15">
        <v>150811</v>
      </c>
      <c r="G18" s="16">
        <v>1377.96</v>
      </c>
      <c r="H18" s="17">
        <v>3.1300000000000001E-2</v>
      </c>
      <c r="I18" s="18"/>
      <c r="J18" s="1"/>
    </row>
    <row r="19" spans="1:10" ht="13.15" customHeight="1">
      <c r="A19" s="13" t="s">
        <v>53</v>
      </c>
      <c r="B19" s="14" t="s">
        <v>54</v>
      </c>
      <c r="C19" s="14"/>
      <c r="D19" s="11" t="s">
        <v>55</v>
      </c>
      <c r="E19" s="11" t="s">
        <v>56</v>
      </c>
      <c r="F19" s="15">
        <v>96980</v>
      </c>
      <c r="G19" s="16">
        <v>1350.16</v>
      </c>
      <c r="H19" s="17">
        <v>3.0700000000000002E-2</v>
      </c>
      <c r="I19" s="18"/>
      <c r="J19" s="1"/>
    </row>
    <row r="20" spans="1:10" ht="13.15" customHeight="1">
      <c r="A20" s="13" t="s">
        <v>57</v>
      </c>
      <c r="B20" s="14" t="s">
        <v>58</v>
      </c>
      <c r="C20" s="14"/>
      <c r="D20" s="11" t="s">
        <v>59</v>
      </c>
      <c r="E20" s="11" t="s">
        <v>60</v>
      </c>
      <c r="F20" s="15">
        <v>28049</v>
      </c>
      <c r="G20" s="16">
        <v>1304.6199999999999</v>
      </c>
      <c r="H20" s="17">
        <v>2.9600000000000001E-2</v>
      </c>
      <c r="I20" s="18"/>
      <c r="J20" s="1"/>
    </row>
    <row r="21" spans="1:10" ht="13.15" customHeight="1">
      <c r="A21" s="13" t="s">
        <v>61</v>
      </c>
      <c r="B21" s="14" t="s">
        <v>62</v>
      </c>
      <c r="C21" s="14"/>
      <c r="D21" s="11" t="s">
        <v>63</v>
      </c>
      <c r="E21" s="11" t="s">
        <v>16</v>
      </c>
      <c r="F21" s="15">
        <v>46301</v>
      </c>
      <c r="G21" s="16">
        <v>1226.6500000000001</v>
      </c>
      <c r="H21" s="17">
        <v>2.7900000000000001E-2</v>
      </c>
      <c r="I21" s="18"/>
      <c r="J21" s="1"/>
    </row>
    <row r="22" spans="1:10" ht="13.15" customHeight="1">
      <c r="A22" s="13" t="s">
        <v>64</v>
      </c>
      <c r="B22" s="14" t="s">
        <v>65</v>
      </c>
      <c r="C22" s="14"/>
      <c r="D22" s="11" t="s">
        <v>66</v>
      </c>
      <c r="E22" s="11" t="s">
        <v>67</v>
      </c>
      <c r="F22" s="15">
        <v>46786</v>
      </c>
      <c r="G22" s="16">
        <v>1182.75</v>
      </c>
      <c r="H22" s="17">
        <v>2.69E-2</v>
      </c>
      <c r="I22" s="18"/>
      <c r="J22" s="1"/>
    </row>
    <row r="23" spans="1:10" ht="13.15" customHeight="1">
      <c r="A23" s="13" t="s">
        <v>68</v>
      </c>
      <c r="B23" s="14" t="s">
        <v>69</v>
      </c>
      <c r="C23" s="14"/>
      <c r="D23" s="11" t="s">
        <v>70</v>
      </c>
      <c r="E23" s="11" t="s">
        <v>60</v>
      </c>
      <c r="F23" s="15">
        <v>366352</v>
      </c>
      <c r="G23" s="16">
        <v>1171.78</v>
      </c>
      <c r="H23" s="17">
        <v>2.6599999999999999E-2</v>
      </c>
      <c r="I23" s="18"/>
      <c r="J23" s="1"/>
    </row>
    <row r="24" spans="1:10" ht="13.15" customHeight="1">
      <c r="A24" s="13" t="s">
        <v>71</v>
      </c>
      <c r="B24" s="14" t="s">
        <v>72</v>
      </c>
      <c r="C24" s="14"/>
      <c r="D24" s="11" t="s">
        <v>73</v>
      </c>
      <c r="E24" s="11" t="s">
        <v>20</v>
      </c>
      <c r="F24" s="15">
        <v>226089</v>
      </c>
      <c r="G24" s="16">
        <v>920.41</v>
      </c>
      <c r="H24" s="17">
        <v>2.0899999999999998E-2</v>
      </c>
      <c r="I24" s="18"/>
      <c r="J24" s="1"/>
    </row>
    <row r="25" spans="1:10" ht="13.15" customHeight="1">
      <c r="A25" s="13" t="s">
        <v>74</v>
      </c>
      <c r="B25" s="14" t="s">
        <v>75</v>
      </c>
      <c r="C25" s="14"/>
      <c r="D25" s="11" t="s">
        <v>76</v>
      </c>
      <c r="E25" s="11" t="s">
        <v>20</v>
      </c>
      <c r="F25" s="15">
        <v>55391</v>
      </c>
      <c r="G25" s="16">
        <v>916.06</v>
      </c>
      <c r="H25" s="17">
        <v>2.0799999999999999E-2</v>
      </c>
      <c r="I25" s="18"/>
      <c r="J25" s="1"/>
    </row>
    <row r="26" spans="1:10" ht="13.15" customHeight="1">
      <c r="A26" s="13" t="s">
        <v>77</v>
      </c>
      <c r="B26" s="14" t="s">
        <v>78</v>
      </c>
      <c r="C26" s="14"/>
      <c r="D26" s="11" t="s">
        <v>79</v>
      </c>
      <c r="E26" s="11" t="s">
        <v>46</v>
      </c>
      <c r="F26" s="15">
        <v>55856</v>
      </c>
      <c r="G26" s="16">
        <v>866.83</v>
      </c>
      <c r="H26" s="17">
        <v>1.9699999999999999E-2</v>
      </c>
      <c r="I26" s="18"/>
      <c r="J26" s="1"/>
    </row>
    <row r="27" spans="1:10" ht="13.15" customHeight="1">
      <c r="A27" s="13" t="s">
        <v>80</v>
      </c>
      <c r="B27" s="14" t="s">
        <v>81</v>
      </c>
      <c r="C27" s="14"/>
      <c r="D27" s="11" t="s">
        <v>82</v>
      </c>
      <c r="E27" s="11" t="s">
        <v>24</v>
      </c>
      <c r="F27" s="15">
        <v>51699</v>
      </c>
      <c r="G27" s="16">
        <v>798.65</v>
      </c>
      <c r="H27" s="17">
        <v>1.8100000000000002E-2</v>
      </c>
      <c r="I27" s="18"/>
      <c r="J27" s="1"/>
    </row>
    <row r="28" spans="1:10" ht="13.15" customHeight="1">
      <c r="A28" s="13" t="s">
        <v>83</v>
      </c>
      <c r="B28" s="14" t="s">
        <v>84</v>
      </c>
      <c r="C28" s="14"/>
      <c r="D28" s="11" t="s">
        <v>85</v>
      </c>
      <c r="E28" s="11" t="s">
        <v>86</v>
      </c>
      <c r="F28" s="15">
        <v>56580</v>
      </c>
      <c r="G28" s="16">
        <v>781.94</v>
      </c>
      <c r="H28" s="17">
        <v>1.78E-2</v>
      </c>
      <c r="I28" s="18"/>
      <c r="J28" s="1"/>
    </row>
    <row r="29" spans="1:10" ht="13.15" customHeight="1">
      <c r="A29" s="13" t="s">
        <v>87</v>
      </c>
      <c r="B29" s="14" t="s">
        <v>88</v>
      </c>
      <c r="C29" s="14"/>
      <c r="D29" s="11" t="s">
        <v>89</v>
      </c>
      <c r="E29" s="11" t="s">
        <v>20</v>
      </c>
      <c r="F29" s="15">
        <v>111487</v>
      </c>
      <c r="G29" s="16">
        <v>648.85</v>
      </c>
      <c r="H29" s="17">
        <v>1.47E-2</v>
      </c>
      <c r="I29" s="18"/>
      <c r="J29" s="1"/>
    </row>
    <row r="30" spans="1:10" ht="13.15" customHeight="1">
      <c r="A30" s="13" t="s">
        <v>90</v>
      </c>
      <c r="B30" s="14" t="s">
        <v>91</v>
      </c>
      <c r="C30" s="14"/>
      <c r="D30" s="11" t="s">
        <v>92</v>
      </c>
      <c r="E30" s="11" t="s">
        <v>16</v>
      </c>
      <c r="F30" s="15">
        <v>360315</v>
      </c>
      <c r="G30" s="16">
        <v>627.49</v>
      </c>
      <c r="H30" s="17">
        <v>1.43E-2</v>
      </c>
      <c r="I30" s="18"/>
      <c r="J30" s="1"/>
    </row>
    <row r="31" spans="1:10" ht="13.15" customHeight="1">
      <c r="A31" s="13" t="s">
        <v>93</v>
      </c>
      <c r="B31" s="14" t="s">
        <v>94</v>
      </c>
      <c r="C31" s="14"/>
      <c r="D31" s="11" t="s">
        <v>95</v>
      </c>
      <c r="E31" s="11" t="s">
        <v>56</v>
      </c>
      <c r="F31" s="15">
        <v>300743</v>
      </c>
      <c r="G31" s="16">
        <v>622.54</v>
      </c>
      <c r="H31" s="17">
        <v>1.41E-2</v>
      </c>
      <c r="I31" s="18"/>
      <c r="J31" s="1"/>
    </row>
    <row r="32" spans="1:10" ht="13.15" customHeight="1">
      <c r="A32" s="13" t="s">
        <v>96</v>
      </c>
      <c r="B32" s="14" t="s">
        <v>97</v>
      </c>
      <c r="C32" s="14"/>
      <c r="D32" s="11" t="s">
        <v>98</v>
      </c>
      <c r="E32" s="11" t="s">
        <v>99</v>
      </c>
      <c r="F32" s="15">
        <v>216887</v>
      </c>
      <c r="G32" s="16">
        <v>599.37</v>
      </c>
      <c r="H32" s="17">
        <v>1.3599999999999999E-2</v>
      </c>
      <c r="I32" s="18"/>
      <c r="J32" s="1"/>
    </row>
    <row r="33" spans="1:10" ht="13.15" customHeight="1">
      <c r="A33" s="13" t="s">
        <v>100</v>
      </c>
      <c r="B33" s="14" t="s">
        <v>101</v>
      </c>
      <c r="C33" s="14"/>
      <c r="D33" s="11" t="s">
        <v>102</v>
      </c>
      <c r="E33" s="11" t="s">
        <v>103</v>
      </c>
      <c r="F33" s="15">
        <v>17911</v>
      </c>
      <c r="G33" s="16">
        <v>525.05999999999995</v>
      </c>
      <c r="H33" s="17">
        <v>1.1900000000000001E-2</v>
      </c>
      <c r="I33" s="18"/>
      <c r="J33" s="1"/>
    </row>
    <row r="34" spans="1:10" ht="13.15" customHeight="1">
      <c r="A34" s="13" t="s">
        <v>104</v>
      </c>
      <c r="B34" s="14" t="s">
        <v>105</v>
      </c>
      <c r="C34" s="14"/>
      <c r="D34" s="11" t="s">
        <v>106</v>
      </c>
      <c r="E34" s="11" t="s">
        <v>107</v>
      </c>
      <c r="F34" s="15">
        <v>119685</v>
      </c>
      <c r="G34" s="16">
        <v>506.21</v>
      </c>
      <c r="H34" s="17">
        <v>1.15E-2</v>
      </c>
      <c r="I34" s="18"/>
      <c r="J34" s="1"/>
    </row>
    <row r="35" spans="1:10" ht="13.15" customHeight="1">
      <c r="A35" s="13" t="s">
        <v>108</v>
      </c>
      <c r="B35" s="14" t="s">
        <v>109</v>
      </c>
      <c r="C35" s="14"/>
      <c r="D35" s="11" t="s">
        <v>110</v>
      </c>
      <c r="E35" s="11" t="s">
        <v>16</v>
      </c>
      <c r="F35" s="15">
        <v>211902</v>
      </c>
      <c r="G35" s="16">
        <v>503.27</v>
      </c>
      <c r="H35" s="17">
        <v>1.14E-2</v>
      </c>
      <c r="I35" s="18"/>
      <c r="J35" s="1"/>
    </row>
    <row r="36" spans="1:10" ht="13.15" customHeight="1">
      <c r="A36" s="13" t="s">
        <v>111</v>
      </c>
      <c r="B36" s="14" t="s">
        <v>112</v>
      </c>
      <c r="C36" s="14"/>
      <c r="D36" s="11" t="s">
        <v>113</v>
      </c>
      <c r="E36" s="11" t="s">
        <v>20</v>
      </c>
      <c r="F36" s="15">
        <v>24350</v>
      </c>
      <c r="G36" s="16">
        <v>499.44</v>
      </c>
      <c r="H36" s="17">
        <v>1.1299999999999999E-2</v>
      </c>
      <c r="I36" s="18"/>
      <c r="J36" s="1"/>
    </row>
    <row r="37" spans="1:10" ht="13.15" customHeight="1">
      <c r="A37" s="13" t="s">
        <v>114</v>
      </c>
      <c r="B37" s="14" t="s">
        <v>115</v>
      </c>
      <c r="C37" s="14"/>
      <c r="D37" s="11" t="s">
        <v>116</v>
      </c>
      <c r="E37" s="11" t="s">
        <v>16</v>
      </c>
      <c r="F37" s="15">
        <v>99493</v>
      </c>
      <c r="G37" s="16">
        <v>455.03</v>
      </c>
      <c r="H37" s="17">
        <v>1.03E-2</v>
      </c>
      <c r="I37" s="18"/>
      <c r="J37" s="1"/>
    </row>
    <row r="38" spans="1:10" ht="13.15" customHeight="1">
      <c r="A38" s="13" t="s">
        <v>117</v>
      </c>
      <c r="B38" s="14" t="s">
        <v>118</v>
      </c>
      <c r="C38" s="14"/>
      <c r="D38" s="11" t="s">
        <v>119</v>
      </c>
      <c r="E38" s="11" t="s">
        <v>46</v>
      </c>
      <c r="F38" s="15">
        <v>679856</v>
      </c>
      <c r="G38" s="16">
        <v>339.45</v>
      </c>
      <c r="H38" s="17">
        <v>7.7000000000000002E-3</v>
      </c>
      <c r="I38" s="18"/>
      <c r="J38" s="1"/>
    </row>
    <row r="39" spans="1:10" ht="13.15" customHeight="1">
      <c r="A39" s="13" t="s">
        <v>120</v>
      </c>
      <c r="B39" s="14" t="s">
        <v>121</v>
      </c>
      <c r="C39" s="14"/>
      <c r="D39" s="11" t="s">
        <v>122</v>
      </c>
      <c r="E39" s="11" t="s">
        <v>123</v>
      </c>
      <c r="F39" s="15">
        <v>174965</v>
      </c>
      <c r="G39" s="16">
        <v>318.87</v>
      </c>
      <c r="H39" s="17">
        <v>7.1999999999999998E-3</v>
      </c>
      <c r="I39" s="18"/>
      <c r="J39" s="1"/>
    </row>
    <row r="40" spans="1:10" ht="13.15" customHeight="1">
      <c r="A40" s="13" t="s">
        <v>124</v>
      </c>
      <c r="B40" s="14" t="s">
        <v>125</v>
      </c>
      <c r="C40" s="14"/>
      <c r="D40" s="11" t="s">
        <v>126</v>
      </c>
      <c r="E40" s="11" t="s">
        <v>127</v>
      </c>
      <c r="F40" s="15">
        <v>44504</v>
      </c>
      <c r="G40" s="16">
        <v>242.04</v>
      </c>
      <c r="H40" s="17">
        <v>5.4999999999999997E-3</v>
      </c>
      <c r="I40" s="18"/>
      <c r="J40" s="1"/>
    </row>
    <row r="41" spans="1:10" ht="13.15" customHeight="1">
      <c r="A41" s="13" t="s">
        <v>128</v>
      </c>
      <c r="B41" s="14" t="s">
        <v>129</v>
      </c>
      <c r="C41" s="14"/>
      <c r="D41" s="11" t="s">
        <v>130</v>
      </c>
      <c r="E41" s="11" t="s">
        <v>20</v>
      </c>
      <c r="F41" s="15">
        <v>26424</v>
      </c>
      <c r="G41" s="16">
        <v>239.56</v>
      </c>
      <c r="H41" s="17">
        <v>5.4000000000000003E-3</v>
      </c>
      <c r="I41" s="18"/>
      <c r="J41" s="1"/>
    </row>
    <row r="42" spans="1:10" ht="13.15" customHeight="1">
      <c r="A42" s="13" t="s">
        <v>131</v>
      </c>
      <c r="B42" s="14" t="s">
        <v>132</v>
      </c>
      <c r="C42" s="14"/>
      <c r="D42" s="11" t="s">
        <v>133</v>
      </c>
      <c r="E42" s="11" t="s">
        <v>134</v>
      </c>
      <c r="F42" s="15">
        <v>32873</v>
      </c>
      <c r="G42" s="16">
        <v>209.84</v>
      </c>
      <c r="H42" s="17">
        <v>4.7999999999999996E-3</v>
      </c>
      <c r="I42" s="18"/>
      <c r="J42" s="1"/>
    </row>
    <row r="43" spans="1:10" ht="13.15" customHeight="1">
      <c r="A43" s="13" t="s">
        <v>135</v>
      </c>
      <c r="B43" s="14" t="s">
        <v>136</v>
      </c>
      <c r="C43" s="14"/>
      <c r="D43" s="11" t="s">
        <v>137</v>
      </c>
      <c r="E43" s="11" t="s">
        <v>138</v>
      </c>
      <c r="F43" s="15">
        <v>22829</v>
      </c>
      <c r="G43" s="16">
        <v>99.14</v>
      </c>
      <c r="H43" s="17">
        <v>2.3E-3</v>
      </c>
      <c r="I43" s="18"/>
      <c r="J43" s="1"/>
    </row>
    <row r="44" spans="1:10" ht="13.15" customHeight="1">
      <c r="A44" s="13" t="s">
        <v>139</v>
      </c>
      <c r="B44" s="14" t="s">
        <v>140</v>
      </c>
      <c r="C44" s="14"/>
      <c r="D44" s="11" t="s">
        <v>141</v>
      </c>
      <c r="E44" s="11" t="s">
        <v>20</v>
      </c>
      <c r="F44" s="15">
        <v>72000</v>
      </c>
      <c r="G44" s="16">
        <v>70.56</v>
      </c>
      <c r="H44" s="17">
        <v>1.6000000000000001E-3</v>
      </c>
      <c r="I44" s="18"/>
      <c r="J44" s="1"/>
    </row>
    <row r="45" spans="1:10" ht="13.15" customHeight="1">
      <c r="A45" s="13" t="s">
        <v>142</v>
      </c>
      <c r="B45" s="14" t="s">
        <v>143</v>
      </c>
      <c r="C45" s="14"/>
      <c r="D45" s="11" t="s">
        <v>144</v>
      </c>
      <c r="E45" s="11" t="s">
        <v>67</v>
      </c>
      <c r="F45" s="15">
        <v>10035</v>
      </c>
      <c r="G45" s="16">
        <v>69.75</v>
      </c>
      <c r="H45" s="17">
        <v>1.6000000000000001E-3</v>
      </c>
      <c r="I45" s="18"/>
      <c r="J45" s="1"/>
    </row>
    <row r="46" spans="1:10" ht="13.15" customHeight="1">
      <c r="A46" s="13" t="s">
        <v>145</v>
      </c>
      <c r="B46" s="14" t="s">
        <v>146</v>
      </c>
      <c r="C46" s="14"/>
      <c r="D46" s="11" t="s">
        <v>147</v>
      </c>
      <c r="E46" s="11" t="s">
        <v>20</v>
      </c>
      <c r="F46" s="15">
        <v>1207</v>
      </c>
      <c r="G46" s="16">
        <v>12.58</v>
      </c>
      <c r="H46" s="17">
        <v>2.9999999999999997E-4</v>
      </c>
      <c r="I46" s="18"/>
      <c r="J46" s="1"/>
    </row>
    <row r="47" spans="1:10" ht="13.15" customHeight="1">
      <c r="A47" s="13" t="s">
        <v>148</v>
      </c>
      <c r="B47" s="14" t="s">
        <v>149</v>
      </c>
      <c r="C47" s="14"/>
      <c r="D47" s="11" t="s">
        <v>150</v>
      </c>
      <c r="E47" s="11" t="s">
        <v>16</v>
      </c>
      <c r="F47" s="15">
        <v>3149</v>
      </c>
      <c r="G47" s="16">
        <v>3.91</v>
      </c>
      <c r="H47" s="17">
        <v>1E-4</v>
      </c>
      <c r="I47" s="18"/>
      <c r="J47" s="1"/>
    </row>
    <row r="48" spans="1:10" ht="13.15" customHeight="1">
      <c r="A48" s="1"/>
      <c r="B48" s="19" t="s">
        <v>151</v>
      </c>
      <c r="C48" s="19"/>
      <c r="D48" s="20"/>
      <c r="E48" s="20"/>
      <c r="F48" s="20"/>
      <c r="G48" s="21">
        <v>40959.93</v>
      </c>
      <c r="H48" s="22">
        <f>SUM(H7:H47)</f>
        <v>0.93059999999999998</v>
      </c>
      <c r="I48" s="23"/>
      <c r="J48" s="1"/>
    </row>
    <row r="49" spans="1:10" ht="13.15" customHeight="1">
      <c r="A49" s="1"/>
      <c r="B49" s="19" t="s">
        <v>152</v>
      </c>
      <c r="C49" s="19"/>
      <c r="D49" s="20"/>
      <c r="E49" s="20"/>
      <c r="F49" s="20"/>
      <c r="G49" s="23" t="s">
        <v>153</v>
      </c>
      <c r="H49" s="23" t="s">
        <v>153</v>
      </c>
      <c r="I49" s="23"/>
      <c r="J49" s="1"/>
    </row>
    <row r="50" spans="1:10" ht="13.15" customHeight="1">
      <c r="A50" s="1"/>
      <c r="B50" s="19" t="s">
        <v>151</v>
      </c>
      <c r="C50" s="19"/>
      <c r="D50" s="20"/>
      <c r="E50" s="20"/>
      <c r="F50" s="20"/>
      <c r="G50" s="23" t="s">
        <v>153</v>
      </c>
      <c r="H50" s="23" t="s">
        <v>153</v>
      </c>
      <c r="I50" s="23"/>
      <c r="J50" s="1"/>
    </row>
    <row r="51" spans="1:10" ht="13.15" customHeight="1">
      <c r="A51" s="1"/>
      <c r="B51" s="19" t="s">
        <v>154</v>
      </c>
      <c r="C51" s="19"/>
      <c r="D51" s="24"/>
      <c r="E51" s="20"/>
      <c r="F51" s="24"/>
      <c r="G51" s="21">
        <v>40959.93</v>
      </c>
      <c r="H51" s="22">
        <v>0.93059999999999998</v>
      </c>
      <c r="I51" s="23"/>
      <c r="J51" s="1"/>
    </row>
    <row r="52" spans="1:10" ht="13.15" customHeight="1">
      <c r="A52" s="1"/>
      <c r="B52" s="10" t="s">
        <v>155</v>
      </c>
      <c r="C52" s="10"/>
      <c r="D52" s="11"/>
      <c r="E52" s="11"/>
      <c r="F52" s="11"/>
      <c r="G52" s="11"/>
      <c r="H52" s="11"/>
      <c r="I52" s="12"/>
      <c r="J52" s="1"/>
    </row>
    <row r="53" spans="1:10" ht="13.15" customHeight="1">
      <c r="A53" s="1"/>
      <c r="B53" s="10" t="s">
        <v>156</v>
      </c>
      <c r="C53" s="10"/>
      <c r="D53" s="11"/>
      <c r="E53" s="11"/>
      <c r="F53" s="11"/>
      <c r="G53" s="1"/>
      <c r="H53" s="12"/>
      <c r="I53" s="12"/>
      <c r="J53" s="1"/>
    </row>
    <row r="54" spans="1:10" ht="13.15" customHeight="1">
      <c r="A54" s="13" t="s">
        <v>157</v>
      </c>
      <c r="B54" s="14" t="s">
        <v>158</v>
      </c>
      <c r="C54" s="14"/>
      <c r="D54" s="11" t="s">
        <v>159</v>
      </c>
      <c r="E54" s="11" t="s">
        <v>160</v>
      </c>
      <c r="F54" s="15">
        <v>500000</v>
      </c>
      <c r="G54" s="16">
        <v>496.71</v>
      </c>
      <c r="H54" s="17">
        <v>1.1299999999999999E-2</v>
      </c>
      <c r="I54" s="25">
        <v>5.2629000000000002E-2</v>
      </c>
      <c r="J54" s="1"/>
    </row>
    <row r="55" spans="1:10" ht="13.15" customHeight="1">
      <c r="A55" s="13" t="s">
        <v>161</v>
      </c>
      <c r="B55" s="14" t="s">
        <v>162</v>
      </c>
      <c r="C55" s="14"/>
      <c r="D55" s="11" t="s">
        <v>163</v>
      </c>
      <c r="E55" s="11" t="s">
        <v>160</v>
      </c>
      <c r="F55" s="15">
        <v>400000</v>
      </c>
      <c r="G55" s="16">
        <v>397.81</v>
      </c>
      <c r="H55" s="17">
        <v>8.9999999999999993E-3</v>
      </c>
      <c r="I55" s="25">
        <v>5.1428000000000001E-2</v>
      </c>
      <c r="J55" s="1"/>
    </row>
    <row r="56" spans="1:10" ht="13.15" customHeight="1">
      <c r="A56" s="13" t="s">
        <v>164</v>
      </c>
      <c r="B56" s="14" t="s">
        <v>165</v>
      </c>
      <c r="C56" s="14"/>
      <c r="D56" s="11" t="s">
        <v>166</v>
      </c>
      <c r="E56" s="11" t="s">
        <v>160</v>
      </c>
      <c r="F56" s="15">
        <v>344000</v>
      </c>
      <c r="G56" s="16">
        <v>343.14</v>
      </c>
      <c r="H56" s="17">
        <v>7.7999999999999996E-3</v>
      </c>
      <c r="I56" s="25">
        <v>5.0999999999999997E-2</v>
      </c>
      <c r="J56" s="1"/>
    </row>
    <row r="57" spans="1:10" ht="13.15" customHeight="1">
      <c r="A57" s="13" t="s">
        <v>167</v>
      </c>
      <c r="B57" s="14" t="s">
        <v>168</v>
      </c>
      <c r="C57" s="14"/>
      <c r="D57" s="11" t="s">
        <v>169</v>
      </c>
      <c r="E57" s="11" t="s">
        <v>160</v>
      </c>
      <c r="F57" s="15">
        <v>200000</v>
      </c>
      <c r="G57" s="16">
        <v>199.28</v>
      </c>
      <c r="H57" s="17">
        <v>4.4999999999999997E-3</v>
      </c>
      <c r="I57" s="25">
        <v>5.0999999999999997E-2</v>
      </c>
      <c r="J57" s="1"/>
    </row>
    <row r="58" spans="1:10" ht="13.15" customHeight="1">
      <c r="A58" s="13" t="s">
        <v>170</v>
      </c>
      <c r="B58" s="14" t="s">
        <v>171</v>
      </c>
      <c r="C58" s="14"/>
      <c r="D58" s="11" t="s">
        <v>172</v>
      </c>
      <c r="E58" s="11" t="s">
        <v>160</v>
      </c>
      <c r="F58" s="15">
        <v>156000</v>
      </c>
      <c r="G58" s="16">
        <v>155.61000000000001</v>
      </c>
      <c r="H58" s="17">
        <v>3.5000000000000001E-3</v>
      </c>
      <c r="I58" s="25">
        <v>5.0999999999999997E-2</v>
      </c>
      <c r="J58" s="1"/>
    </row>
    <row r="59" spans="1:10" ht="13.15" customHeight="1">
      <c r="A59" s="13" t="s">
        <v>173</v>
      </c>
      <c r="B59" s="14" t="s">
        <v>174</v>
      </c>
      <c r="C59" s="14"/>
      <c r="D59" s="11" t="s">
        <v>175</v>
      </c>
      <c r="E59" s="11" t="s">
        <v>160</v>
      </c>
      <c r="F59" s="15">
        <v>100000</v>
      </c>
      <c r="G59" s="16">
        <v>99.85</v>
      </c>
      <c r="H59" s="17">
        <v>2.3E-3</v>
      </c>
      <c r="I59" s="25">
        <v>5.0999999999999997E-2</v>
      </c>
      <c r="J59" s="1"/>
    </row>
    <row r="60" spans="1:10" ht="13.15" customHeight="1">
      <c r="A60" s="13" t="s">
        <v>176</v>
      </c>
      <c r="B60" s="14" t="s">
        <v>177</v>
      </c>
      <c r="C60" s="14"/>
      <c r="D60" s="11" t="s">
        <v>178</v>
      </c>
      <c r="E60" s="11" t="s">
        <v>160</v>
      </c>
      <c r="F60" s="15">
        <v>40000</v>
      </c>
      <c r="G60" s="16">
        <v>39.74</v>
      </c>
      <c r="H60" s="17">
        <v>8.9999999999999998E-4</v>
      </c>
      <c r="I60" s="25">
        <v>5.2629000000000002E-2</v>
      </c>
      <c r="J60" s="1"/>
    </row>
    <row r="61" spans="1:10" ht="13.15" customHeight="1">
      <c r="A61" s="13" t="s">
        <v>179</v>
      </c>
      <c r="B61" s="14" t="s">
        <v>180</v>
      </c>
      <c r="C61" s="14"/>
      <c r="D61" s="11" t="s">
        <v>181</v>
      </c>
      <c r="E61" s="11" t="s">
        <v>160</v>
      </c>
      <c r="F61" s="15">
        <v>30000</v>
      </c>
      <c r="G61" s="16">
        <v>29.7</v>
      </c>
      <c r="H61" s="17">
        <v>6.9999999999999999E-4</v>
      </c>
      <c r="I61" s="25">
        <v>5.4199999999999998E-2</v>
      </c>
      <c r="J61" s="1"/>
    </row>
    <row r="62" spans="1:10" ht="13.15" customHeight="1">
      <c r="A62" s="1"/>
      <c r="B62" s="19" t="s">
        <v>151</v>
      </c>
      <c r="C62" s="19"/>
      <c r="D62" s="20"/>
      <c r="E62" s="20"/>
      <c r="F62" s="20"/>
      <c r="G62" s="21">
        <v>1761.84</v>
      </c>
      <c r="H62" s="22">
        <v>0.04</v>
      </c>
      <c r="I62" s="23"/>
      <c r="J62" s="1"/>
    </row>
    <row r="63" spans="1:10" ht="13.15" customHeight="1">
      <c r="A63" s="1"/>
      <c r="B63" s="19" t="s">
        <v>154</v>
      </c>
      <c r="C63" s="19"/>
      <c r="D63" s="24"/>
      <c r="E63" s="20"/>
      <c r="F63" s="24"/>
      <c r="G63" s="21">
        <v>1761.84</v>
      </c>
      <c r="H63" s="22">
        <v>0.04</v>
      </c>
      <c r="I63" s="23"/>
      <c r="J63" s="1"/>
    </row>
    <row r="64" spans="1:10" ht="13.15" customHeight="1">
      <c r="A64" s="1"/>
      <c r="B64" s="10" t="s">
        <v>182</v>
      </c>
      <c r="C64" s="10"/>
      <c r="D64" s="11"/>
      <c r="E64" s="11"/>
      <c r="F64" s="11"/>
      <c r="G64" s="11"/>
      <c r="H64" s="11"/>
      <c r="I64" s="12"/>
      <c r="J64" s="1"/>
    </row>
    <row r="65" spans="1:10" ht="13.15" customHeight="1">
      <c r="A65" s="13" t="s">
        <v>183</v>
      </c>
      <c r="B65" s="14" t="s">
        <v>184</v>
      </c>
      <c r="C65" s="14"/>
      <c r="D65" s="11"/>
      <c r="E65" s="11" t="s">
        <v>185</v>
      </c>
      <c r="F65" s="15"/>
      <c r="G65" s="16">
        <v>602.14</v>
      </c>
      <c r="H65" s="17">
        <v>1.37E-2</v>
      </c>
      <c r="I65" s="25">
        <v>5.4200272464723344E-2</v>
      </c>
      <c r="J65" s="1"/>
    </row>
    <row r="66" spans="1:10" ht="13.15" customHeight="1">
      <c r="A66" s="1"/>
      <c r="B66" s="19" t="s">
        <v>151</v>
      </c>
      <c r="C66" s="19"/>
      <c r="D66" s="20"/>
      <c r="E66" s="20"/>
      <c r="F66" s="20"/>
      <c r="G66" s="21">
        <v>602.14</v>
      </c>
      <c r="H66" s="22">
        <v>1.37E-2</v>
      </c>
      <c r="I66" s="23"/>
      <c r="J66" s="1"/>
    </row>
    <row r="67" spans="1:10" ht="13.15" customHeight="1">
      <c r="A67" s="1"/>
      <c r="B67" s="19" t="s">
        <v>154</v>
      </c>
      <c r="C67" s="19"/>
      <c r="D67" s="24"/>
      <c r="E67" s="20"/>
      <c r="F67" s="24"/>
      <c r="G67" s="21">
        <v>602.14</v>
      </c>
      <c r="H67" s="22">
        <v>1.37E-2</v>
      </c>
      <c r="I67" s="23"/>
      <c r="J67" s="1"/>
    </row>
    <row r="68" spans="1:10" ht="13.15" customHeight="1">
      <c r="A68" s="1"/>
      <c r="B68" s="19" t="s">
        <v>186</v>
      </c>
      <c r="C68" s="19"/>
      <c r="D68" s="11"/>
      <c r="E68" s="20"/>
      <c r="F68" s="11"/>
      <c r="G68" s="26">
        <v>679.88</v>
      </c>
      <c r="H68" s="22">
        <v>1.5699999999999999E-2</v>
      </c>
      <c r="I68" s="23"/>
      <c r="J68" s="1"/>
    </row>
    <row r="69" spans="1:10" ht="13.15" customHeight="1" thickBot="1">
      <c r="A69" s="1"/>
      <c r="B69" s="27" t="s">
        <v>187</v>
      </c>
      <c r="C69" s="27"/>
      <c r="D69" s="28"/>
      <c r="E69" s="28"/>
      <c r="F69" s="28"/>
      <c r="G69" s="29">
        <v>44003.79</v>
      </c>
      <c r="H69" s="30">
        <v>1</v>
      </c>
      <c r="I69" s="31"/>
      <c r="J69" s="1"/>
    </row>
    <row r="70" spans="1:10" ht="13.15" customHeight="1">
      <c r="A70" s="1"/>
      <c r="B70" s="32"/>
      <c r="C70" s="32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33" t="s">
        <v>188</v>
      </c>
      <c r="C71" s="1"/>
      <c r="D71" s="1"/>
      <c r="E71" s="1"/>
      <c r="F71" s="1"/>
      <c r="G71" s="1"/>
      <c r="H71" s="1"/>
      <c r="I71" s="1"/>
      <c r="J71" s="1"/>
    </row>
    <row r="72" spans="1:10" ht="40.15" customHeight="1">
      <c r="A72" s="1"/>
      <c r="B72" s="34" t="s">
        <v>189</v>
      </c>
      <c r="C72" s="34"/>
      <c r="D72" s="35" t="s">
        <v>3</v>
      </c>
      <c r="E72" s="35" t="s">
        <v>190</v>
      </c>
      <c r="F72" s="35" t="s">
        <v>191</v>
      </c>
      <c r="G72" s="35" t="s">
        <v>192</v>
      </c>
      <c r="H72" s="35" t="s">
        <v>193</v>
      </c>
      <c r="I72" s="1"/>
      <c r="J72" s="1"/>
    </row>
    <row r="73" spans="1:10" ht="13.15" customHeight="1">
      <c r="A73" s="1"/>
      <c r="B73" s="36" t="s">
        <v>194</v>
      </c>
      <c r="C73" s="36"/>
      <c r="D73" s="20" t="s">
        <v>38</v>
      </c>
      <c r="E73" s="20" t="s">
        <v>20</v>
      </c>
      <c r="F73" s="37">
        <v>84800</v>
      </c>
      <c r="G73" s="38">
        <v>1394.8751999999999</v>
      </c>
      <c r="H73" s="39">
        <v>3.1699999999999999E-2</v>
      </c>
      <c r="I73" s="1"/>
      <c r="J73" s="1"/>
    </row>
    <row r="74" spans="1:10" ht="13.15" customHeight="1">
      <c r="A74" s="1"/>
      <c r="B74" s="36" t="s">
        <v>194</v>
      </c>
      <c r="C74" s="36"/>
      <c r="D74" s="20" t="s">
        <v>109</v>
      </c>
      <c r="E74" s="20" t="s">
        <v>16</v>
      </c>
      <c r="F74" s="37">
        <v>321875</v>
      </c>
      <c r="G74" s="38">
        <v>767.671875</v>
      </c>
      <c r="H74" s="39">
        <v>1.7399999999999999E-2</v>
      </c>
      <c r="I74" s="1"/>
      <c r="J74" s="1"/>
    </row>
    <row r="75" spans="1:10" ht="13.15" customHeight="1">
      <c r="A75" s="1"/>
      <c r="B75" s="36" t="s">
        <v>194</v>
      </c>
      <c r="C75" s="36"/>
      <c r="D75" s="20" t="s">
        <v>146</v>
      </c>
      <c r="E75" s="20" t="s">
        <v>20</v>
      </c>
      <c r="F75" s="37">
        <v>32725</v>
      </c>
      <c r="G75" s="38">
        <v>338.57285000000002</v>
      </c>
      <c r="H75" s="39">
        <v>7.7000000000000002E-3</v>
      </c>
      <c r="I75" s="1"/>
      <c r="J75" s="1"/>
    </row>
    <row r="76" spans="1:10" ht="13.15" customHeight="1">
      <c r="A76" s="1"/>
      <c r="B76" s="36" t="s">
        <v>194</v>
      </c>
      <c r="C76" s="36"/>
      <c r="D76" s="20" t="s">
        <v>143</v>
      </c>
      <c r="E76" s="20" t="s">
        <v>67</v>
      </c>
      <c r="F76" s="37">
        <v>21000</v>
      </c>
      <c r="G76" s="38">
        <v>146.58000000000001</v>
      </c>
      <c r="H76" s="39">
        <v>3.3E-3</v>
      </c>
      <c r="I76" s="1"/>
      <c r="J76" s="1"/>
    </row>
    <row r="77" spans="1:10" ht="13.15" customHeight="1">
      <c r="A77" s="1"/>
      <c r="B77" s="36" t="s">
        <v>194</v>
      </c>
      <c r="C77" s="36"/>
      <c r="D77" s="20" t="s">
        <v>14</v>
      </c>
      <c r="E77" s="20" t="s">
        <v>16</v>
      </c>
      <c r="F77" s="37">
        <v>31525</v>
      </c>
      <c r="G77" s="38">
        <v>86.4573125</v>
      </c>
      <c r="H77" s="39">
        <v>2E-3</v>
      </c>
      <c r="I77" s="1"/>
      <c r="J77" s="1"/>
    </row>
    <row r="78" spans="1:10" ht="13.15" customHeight="1">
      <c r="A78" s="1"/>
      <c r="B78" s="2" t="s">
        <v>195</v>
      </c>
      <c r="C78" s="2"/>
      <c r="D78" s="1"/>
      <c r="E78" s="1"/>
      <c r="F78" s="1"/>
      <c r="G78" s="1"/>
      <c r="H78" s="1"/>
      <c r="I78" s="1"/>
      <c r="J78" s="1"/>
    </row>
    <row r="79" spans="1:10">
      <c r="J79" s="1"/>
    </row>
    <row r="80" spans="1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</sheetData>
  <mergeCells count="77"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2:C72"/>
    <mergeCell ref="B73:C73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2B1B489-7D73-41FD-A623-21D751D26364}"/>
</file>

<file path=customXml/itemProps2.xml><?xml version="1.0" encoding="utf-8"?>
<ds:datastoreItem xmlns:ds="http://schemas.openxmlformats.org/officeDocument/2006/customXml" ds:itemID="{09159F14-93A6-4195-8BFC-195FF3F29972}"/>
</file>

<file path=customXml/itemProps3.xml><?xml version="1.0" encoding="utf-8"?>
<ds:datastoreItem xmlns:ds="http://schemas.openxmlformats.org/officeDocument/2006/customXml" ds:itemID="{885A59DE-EE3B-4A58-AD1F-B1263AB657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2026-02-05T08:12:47Z</dcterms:created>
  <dcterms:modified xsi:type="dcterms:W3CDTF">2026-02-05T08:12:48Z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