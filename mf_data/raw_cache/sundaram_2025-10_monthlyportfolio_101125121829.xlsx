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Temp\New folder\"/>
    </mc:Choice>
  </mc:AlternateContent>
  <xr:revisionPtr revIDLastSave="0" documentId="13_ncr:1_{C37E7755-1D63-458C-BEC0-776EC6923B95}" xr6:coauthVersionLast="47" xr6:coauthVersionMax="47" xr10:uidLastSave="{00000000-0000-0000-0000-000000000000}"/>
  <bookViews>
    <workbookView xWindow="-120" yWindow="-120" windowWidth="20730" windowHeight="11040" tabRatio="911" xr2:uid="{37ACC57F-139B-4A2B-A318-9EA1C19880E6}"/>
  </bookViews>
  <sheets>
    <sheet name="Index" sheetId="31" r:id="rId1"/>
    <sheet name="CAPEXG" sheetId="1" r:id="rId2"/>
    <sheet name="GLOB" sheetId="30" r:id="rId3"/>
    <sheet name="MIDCAP" sheetId="2" r:id="rId4"/>
    <sheet name="MULTIP" sheetId="3" r:id="rId5"/>
    <sheet name="SLTADV3" sheetId="4" r:id="rId6"/>
    <sheet name="SLTADV4" sheetId="5" r:id="rId7"/>
    <sheet name="SLTAX2" sheetId="6" r:id="rId8"/>
    <sheet name="SLTAX3" sheetId="7" r:id="rId9"/>
    <sheet name="SLTAX4" sheetId="8" r:id="rId10"/>
    <sheet name="SLTAX5" sheetId="9" r:id="rId11"/>
    <sheet name="SLTAX6" sheetId="10" r:id="rId12"/>
    <sheet name="SMILE" sheetId="11" r:id="rId13"/>
    <sheet name="SPAHF" sheetId="12" r:id="rId14"/>
    <sheet name="SPARF" sheetId="13" r:id="rId15"/>
    <sheet name="SPBAF" sheetId="14" r:id="rId16"/>
    <sheet name="SPDYF" sheetId="15" r:id="rId17"/>
    <sheet name="SPESF" sheetId="16" r:id="rId18"/>
    <sheet name="SPFOCUS" sheetId="17" r:id="rId19"/>
    <sheet name="SPMUCF" sheetId="18" r:id="rId20"/>
    <sheet name="SPSN100" sheetId="19" r:id="rId21"/>
    <sheet name="SPTAX" sheetId="20" r:id="rId22"/>
    <sheet name="SRURAL" sheetId="21" r:id="rId23"/>
    <sheet name="SSFUND" sheetId="22" r:id="rId24"/>
    <sheet name="STAX" sheetId="23" r:id="rId25"/>
    <sheet name="SUNBCF" sheetId="24" r:id="rId26"/>
    <sheet name="SUNCYF" sheetId="25" r:id="rId27"/>
    <sheet name="SUNFCF" sheetId="26" r:id="rId28"/>
    <sheet name="SUNFOP" sheetId="27" r:id="rId29"/>
    <sheet name="SUNMAF" sheetId="28" r:id="rId30"/>
    <sheet name="SUNMFF" sheetId="29" r:id="rId31"/>
    <sheet name="Annexure-A" sheetId="32" r:id="rId32"/>
  </sheets>
  <definedNames>
    <definedName name="_xlnm._FilterDatabase" localSheetId="31" hidden="1">'Annexure-A'!$A$8:$F$100</definedName>
    <definedName name="_xlnm._FilterDatabase" localSheetId="0" hidden="1">Index!$A$1:$C$27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7" i="21" l="1"/>
  <c r="G58" i="21"/>
  <c r="F58" i="21"/>
  <c r="G75" i="21"/>
  <c r="F75" i="21"/>
  <c r="G52" i="17"/>
  <c r="F52" i="17"/>
  <c r="D95" i="30" l="1"/>
  <c r="F143" i="28" l="1"/>
  <c r="G143" i="28" s="1"/>
  <c r="G82" i="28"/>
  <c r="F82" i="28"/>
  <c r="G79" i="28"/>
  <c r="G78" i="28"/>
  <c r="G77" i="28"/>
  <c r="G76" i="28"/>
  <c r="G75" i="28"/>
  <c r="G74" i="28"/>
  <c r="F106" i="28"/>
  <c r="G74" i="24"/>
  <c r="F74" i="24"/>
  <c r="D146" i="22"/>
  <c r="F57" i="20"/>
  <c r="G57" i="20"/>
  <c r="G65" i="20"/>
  <c r="F65" i="20"/>
  <c r="D131" i="20" s="1"/>
  <c r="G142" i="19"/>
  <c r="F142" i="19"/>
  <c r="G71" i="18"/>
  <c r="F71" i="18"/>
  <c r="G85" i="18"/>
  <c r="D151" i="18" s="1"/>
  <c r="F85" i="18"/>
  <c r="G68" i="17"/>
  <c r="G69" i="17"/>
  <c r="F69" i="17"/>
  <c r="F171" i="16"/>
  <c r="F172" i="16" s="1"/>
  <c r="G110" i="16"/>
  <c r="F110" i="16"/>
  <c r="F136" i="16"/>
  <c r="F138" i="16" s="1"/>
  <c r="D137" i="15"/>
  <c r="F61" i="15"/>
  <c r="F82" i="15" s="1"/>
  <c r="F127" i="15" s="1"/>
  <c r="F34" i="15"/>
  <c r="F11" i="15"/>
  <c r="G171" i="16" l="1"/>
  <c r="G98" i="16"/>
  <c r="G86" i="16"/>
  <c r="G97" i="16"/>
  <c r="G85" i="16"/>
  <c r="G96" i="16"/>
  <c r="G107" i="16"/>
  <c r="G95" i="16"/>
  <c r="G106" i="16"/>
  <c r="G94" i="16"/>
  <c r="G105" i="16"/>
  <c r="G93" i="16"/>
  <c r="G104" i="16"/>
  <c r="G92" i="16"/>
  <c r="G103" i="16"/>
  <c r="G91" i="16"/>
  <c r="G102" i="16"/>
  <c r="G101" i="16"/>
  <c r="G89" i="16"/>
  <c r="G100" i="16"/>
  <c r="G99" i="16"/>
  <c r="G136" i="16"/>
  <c r="G138" i="16" s="1"/>
  <c r="G90" i="16"/>
  <c r="G88" i="16"/>
  <c r="G87" i="16"/>
  <c r="G11" i="15"/>
  <c r="G34" i="15"/>
  <c r="G172" i="16" l="1"/>
  <c r="G61" i="15"/>
  <c r="G82" i="15" s="1"/>
  <c r="G127" i="15" s="1"/>
  <c r="F164" i="14" l="1"/>
  <c r="G169" i="13"/>
  <c r="F169" i="13"/>
  <c r="F54" i="13"/>
  <c r="F118" i="13" s="1"/>
  <c r="G54" i="13"/>
  <c r="G118" i="13"/>
  <c r="F82" i="14"/>
  <c r="F53" i="14"/>
  <c r="F67" i="14" s="1"/>
  <c r="F12" i="14"/>
  <c r="I200" i="13"/>
  <c r="F200" i="13"/>
  <c r="G115" i="13"/>
  <c r="G114" i="13"/>
  <c r="G113" i="13"/>
  <c r="G112" i="13"/>
  <c r="G111" i="13"/>
  <c r="G110" i="13"/>
  <c r="G109"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4" i="13"/>
  <c r="G83" i="13"/>
  <c r="G82" i="13"/>
  <c r="G81" i="13"/>
  <c r="G80" i="13"/>
  <c r="G79" i="13"/>
  <c r="G78" i="13"/>
  <c r="G77" i="13"/>
  <c r="G76" i="13"/>
  <c r="G75" i="13"/>
  <c r="G74" i="13"/>
  <c r="G73" i="13"/>
  <c r="G72" i="13"/>
  <c r="G71" i="13"/>
  <c r="G70" i="13"/>
  <c r="G69" i="13"/>
  <c r="G223" i="12"/>
  <c r="I209" i="12"/>
  <c r="F209" i="12"/>
  <c r="F73" i="12"/>
  <c r="G64" i="12"/>
  <c r="F64" i="12"/>
  <c r="D186" i="12" s="1"/>
  <c r="F14" i="12"/>
  <c r="D149" i="11"/>
  <c r="G73" i="11"/>
  <c r="F73" i="11"/>
  <c r="G96" i="2"/>
  <c r="F96" i="2"/>
  <c r="F113" i="2"/>
  <c r="F115" i="2" s="1"/>
  <c r="F146" i="2" s="1"/>
  <c r="G112" i="2" s="1"/>
  <c r="G113" i="2" s="1"/>
  <c r="G115" i="2" s="1"/>
  <c r="G146" i="2" s="1"/>
  <c r="D134" i="1"/>
  <c r="G61" i="1"/>
  <c r="F61" i="1"/>
  <c r="F83" i="14" l="1"/>
  <c r="F101" i="14" s="1"/>
  <c r="F165" i="14" s="1"/>
  <c r="F74" i="12"/>
  <c r="F57" i="12"/>
  <c r="G164" i="14" l="1"/>
  <c r="G93" i="14"/>
  <c r="G90" i="14"/>
  <c r="G92" i="14"/>
  <c r="G95" i="14"/>
  <c r="G91" i="14"/>
  <c r="G89" i="14"/>
  <c r="G98" i="14"/>
  <c r="G96" i="14"/>
  <c r="G88" i="14"/>
  <c r="G87" i="14"/>
  <c r="G94" i="14"/>
  <c r="G86" i="14"/>
  <c r="G82" i="14"/>
  <c r="G83" i="14" s="1"/>
  <c r="G53" i="14"/>
  <c r="G12" i="14"/>
  <c r="G67" i="14" s="1"/>
  <c r="G101" i="14" s="1"/>
  <c r="G97" i="14"/>
  <c r="F79" i="12"/>
  <c r="F176" i="12" s="1"/>
  <c r="G99" i="14" l="1"/>
  <c r="G165" i="14"/>
  <c r="G73" i="12"/>
  <c r="G74" i="12" s="1"/>
  <c r="G14" i="12"/>
  <c r="G57" i="12" s="1"/>
  <c r="G79" i="12" l="1"/>
  <c r="G176" i="12" s="1"/>
</calcChain>
</file>

<file path=xl/sharedStrings.xml><?xml version="1.0" encoding="utf-8"?>
<sst xmlns="http://schemas.openxmlformats.org/spreadsheetml/2006/main" count="12661" uniqueCount="1229">
  <si>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</si>
  <si>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</si>
  <si>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</si>
  <si>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</si>
  <si>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</si>
  <si>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</si>
  <si>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</si>
  <si>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</si>
  <si>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</si>
  <si>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</si>
  <si>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</si>
  <si>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INE397D01024</t>
  </si>
  <si>
    <t>Bharti Airtel Ltd</t>
  </si>
  <si>
    <t>Telecom - Services</t>
  </si>
  <si>
    <t>INE018A01030</t>
  </si>
  <si>
    <t>Larsen &amp; Toubro Ltd</t>
  </si>
  <si>
    <t>Construction</t>
  </si>
  <si>
    <t>INE002A01018</t>
  </si>
  <si>
    <t>Reliance Industries Ltd</t>
  </si>
  <si>
    <t>Petroleum Products</t>
  </si>
  <si>
    <t>INE733E01010</t>
  </si>
  <si>
    <t>NTPC LTD</t>
  </si>
  <si>
    <t>Power</t>
  </si>
  <si>
    <t>INE481G01011</t>
  </si>
  <si>
    <t>Ultratech Cement Ltd</t>
  </si>
  <si>
    <t>Cement &amp; Cement Products</t>
  </si>
  <si>
    <t>INE263A01024</t>
  </si>
  <si>
    <t>Bharat Electronics Ltd</t>
  </si>
  <si>
    <t>Aerospace &amp; Defense</t>
  </si>
  <si>
    <t>INE752E01010</t>
  </si>
  <si>
    <t>Power Grid Corporation of India Ltd</t>
  </si>
  <si>
    <t>INE029A01011</t>
  </si>
  <si>
    <t>Bharat Petroleum Corporation Ltd</t>
  </si>
  <si>
    <t>INE090A01021</t>
  </si>
  <si>
    <t>ICICI Bank Ltd</t>
  </si>
  <si>
    <t>Banks</t>
  </si>
  <si>
    <t>INE284S01014</t>
  </si>
  <si>
    <t>S.J.S. Enterprises Ltd</t>
  </si>
  <si>
    <t>Auto Components</t>
  </si>
  <si>
    <t>INE062A01020</t>
  </si>
  <si>
    <t>State Bank of India</t>
  </si>
  <si>
    <t>INE200A01026</t>
  </si>
  <si>
    <t>GE Vernova T and D India Ltd</t>
  </si>
  <si>
    <t>Electrical Equipment</t>
  </si>
  <si>
    <t>INE220B01022</t>
  </si>
  <si>
    <t>Kalpataru Projects International Ltd</t>
  </si>
  <si>
    <t>INE371P01015</t>
  </si>
  <si>
    <t>Amber Enterprises India Ltd</t>
  </si>
  <si>
    <t>Consumer Durables</t>
  </si>
  <si>
    <t>INE245A01021</t>
  </si>
  <si>
    <t>TATA Power Company Ltd</t>
  </si>
  <si>
    <t>INE040H01021</t>
  </si>
  <si>
    <t>Suzlon Energy Ltd</t>
  </si>
  <si>
    <t>INE742F01042</t>
  </si>
  <si>
    <t>Adani Ports and Special Economic Zone Ltd</t>
  </si>
  <si>
    <t>Transport Infrastructure</t>
  </si>
  <si>
    <t>INE298A01020</t>
  </si>
  <si>
    <t>Cummins India Ltd</t>
  </si>
  <si>
    <t>Industrial Products</t>
  </si>
  <si>
    <t>INE646L01027</t>
  </si>
  <si>
    <t>Interglobe Aviation Ltd</t>
  </si>
  <si>
    <t>Transport Services</t>
  </si>
  <si>
    <t>INE213A01029</t>
  </si>
  <si>
    <t>Oil &amp; Natural Gas Corporation Ltd</t>
  </si>
  <si>
    <t>Oil</t>
  </si>
  <si>
    <t>INE419M01027</t>
  </si>
  <si>
    <t>TD Power Systems Ltd</t>
  </si>
  <si>
    <t>INE07Y701011</t>
  </si>
  <si>
    <t>Hitachi Energy India Ltd</t>
  </si>
  <si>
    <t>INE878B01027</t>
  </si>
  <si>
    <t>KEI Industries Ltd</t>
  </si>
  <si>
    <t>INE791I01019</t>
  </si>
  <si>
    <t>Brigade Enterprises Ltd</t>
  </si>
  <si>
    <t>Realty</t>
  </si>
  <si>
    <t>INE823G01014</t>
  </si>
  <si>
    <t>JK Cement Ltd</t>
  </si>
  <si>
    <t>INE129A01019</t>
  </si>
  <si>
    <t>GAIL (India) Ltd</t>
  </si>
  <si>
    <t>Gas</t>
  </si>
  <si>
    <t>INE284A01012</t>
  </si>
  <si>
    <t>ESAB India Ltd</t>
  </si>
  <si>
    <t>INE999A01023</t>
  </si>
  <si>
    <t>KSB LTD</t>
  </si>
  <si>
    <t>INE148O01028</t>
  </si>
  <si>
    <t>Delhivery Ltd</t>
  </si>
  <si>
    <t>INE343G01021</t>
  </si>
  <si>
    <t>Bharti Hexacom Ltd</t>
  </si>
  <si>
    <t>INE121J01017</t>
  </si>
  <si>
    <t>Indus Towers Ltd (Prev Bharti Infratel Ltd)</t>
  </si>
  <si>
    <t>INE342J01019</t>
  </si>
  <si>
    <t>ZF Commercial Vehicle Control Systems I Ltd</t>
  </si>
  <si>
    <t>INE813H01021</t>
  </si>
  <si>
    <t>Torrent Power Ltd</t>
  </si>
  <si>
    <t>INE146L01010</t>
  </si>
  <si>
    <t>Kirloskar Oil Engines Ltd</t>
  </si>
  <si>
    <t>INE671H01015</t>
  </si>
  <si>
    <t>Sobha Ltd</t>
  </si>
  <si>
    <t>INE00LO01017</t>
  </si>
  <si>
    <t>Craftsman Automation Ltd</t>
  </si>
  <si>
    <t>INE003A01024</t>
  </si>
  <si>
    <t>Siemens Ltd</t>
  </si>
  <si>
    <t>INE513A01022</t>
  </si>
  <si>
    <t>Schaeffler India Ltd</t>
  </si>
  <si>
    <t>INE079A01024</t>
  </si>
  <si>
    <t>Ambuja Cements Ltd</t>
  </si>
  <si>
    <t>INE205B01031</t>
  </si>
  <si>
    <t>Elecon Engineering Company Ltd</t>
  </si>
  <si>
    <t>INE437A01024</t>
  </si>
  <si>
    <t>Apollo Hospitals Enterprise Ltd</t>
  </si>
  <si>
    <t>Healthcare Services</t>
  </si>
  <si>
    <t>INE257A01026</t>
  </si>
  <si>
    <t>Bharat Heavy Electricals Ltd</t>
  </si>
  <si>
    <t>INE152M01016</t>
  </si>
  <si>
    <t>Triveni Turbine Ltd</t>
  </si>
  <si>
    <t>INE117A01022</t>
  </si>
  <si>
    <t>ABB India Ltd</t>
  </si>
  <si>
    <t>INE868B01028</t>
  </si>
  <si>
    <t>NCC Ltd</t>
  </si>
  <si>
    <t>INE811A01020</t>
  </si>
  <si>
    <t>Kirlosakar Pneumatic Company Ltd</t>
  </si>
  <si>
    <t>INE926X01010</t>
  </si>
  <si>
    <t>H.G. Infra Engineering Ltd</t>
  </si>
  <si>
    <t>INE152A01029</t>
  </si>
  <si>
    <t>Thermax Ltd</t>
  </si>
  <si>
    <t>INE935N01020</t>
  </si>
  <si>
    <t>Dixon Technologies (India) Ltd</t>
  </si>
  <si>
    <t>INE111A01025</t>
  </si>
  <si>
    <t>Container Corporation of India Ltd</t>
  </si>
  <si>
    <t>INE1NPP01017</t>
  </si>
  <si>
    <t>Siemens Energy India Limited</t>
  </si>
  <si>
    <t>INE918Z01012</t>
  </si>
  <si>
    <t>Kaynes Technology India Ltd</t>
  </si>
  <si>
    <t>Industrial Manufacturing</t>
  </si>
  <si>
    <t>INE749A01030</t>
  </si>
  <si>
    <t>Jindal Steel &amp; Power Ltd</t>
  </si>
  <si>
    <t>Ferrous Metals</t>
  </si>
  <si>
    <t>INE074A01025</t>
  </si>
  <si>
    <t>Praj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</si>
  <si>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</si>
  <si>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</si>
  <si>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</si>
  <si>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</si>
  <si>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</si>
  <si>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</si>
  <si>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</si>
  <si>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</si>
  <si>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</si>
  <si>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</si>
  <si>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</si>
  <si>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</si>
  <si>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</si>
  <si>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</si>
  <si>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</si>
  <si>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</si>
  <si>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</si>
  <si>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</si>
  <si>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</si>
  <si>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</si>
  <si>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</si>
  <si>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</si>
  <si>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</si>
  <si>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</si>
  <si>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</si>
  <si>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</si>
  <si>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</si>
  <si>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</si>
  <si>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</si>
  <si>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</si>
  <si>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</si>
  <si>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</si>
  <si>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</si>
  <si>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</si>
  <si>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</si>
  <si>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</si>
  <si>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</si>
  <si>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</si>
  <si>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</si>
  <si>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Individual &amp; HUF</t>
  </si>
  <si>
    <t>Others</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</si>
  <si>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</si>
  <si>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</si>
  <si>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</si>
  <si>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</si>
  <si>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</si>
  <si>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INE774D01024</t>
  </si>
  <si>
    <t>Mahindra &amp; Mahindra Financial Services Ltd</t>
  </si>
  <si>
    <t>Finance</t>
  </si>
  <si>
    <t>INE061F01013</t>
  </si>
  <si>
    <t>Fortis Health Care Ltd</t>
  </si>
  <si>
    <t>INE169A01031</t>
  </si>
  <si>
    <t>Coromandel International Ltd</t>
  </si>
  <si>
    <t>Fertilizers &amp; Agrochemicals</t>
  </si>
  <si>
    <t>INE092T01019</t>
  </si>
  <si>
    <t>IDFC First Bank Ltd</t>
  </si>
  <si>
    <t>INE562A01011</t>
  </si>
  <si>
    <t>Indian Bank</t>
  </si>
  <si>
    <t>INE094A01015</t>
  </si>
  <si>
    <t>Hindustan Petroleum Corporation Ltd</t>
  </si>
  <si>
    <t>INE303R01014</t>
  </si>
  <si>
    <t>Kalyan Jewellers India Ltd</t>
  </si>
  <si>
    <t>INE171A01029</t>
  </si>
  <si>
    <t>The Federal Bank Ltd</t>
  </si>
  <si>
    <t>INE591G01025</t>
  </si>
  <si>
    <t>Coforge Ltd</t>
  </si>
  <si>
    <t>It - Software</t>
  </si>
  <si>
    <t>INE196A01026</t>
  </si>
  <si>
    <t>Marico Ltd</t>
  </si>
  <si>
    <t>Agricultural Food &amp; Other Products</t>
  </si>
  <si>
    <t>INE417T01026</t>
  </si>
  <si>
    <t>PB Fintech Ltd</t>
  </si>
  <si>
    <t>Financial Technology (Fintech)</t>
  </si>
  <si>
    <t>INE211B01039</t>
  </si>
  <si>
    <t>The Phoenix Mills Ltd</t>
  </si>
  <si>
    <t>INE118H01025</t>
  </si>
  <si>
    <t>BSE Ltd</t>
  </si>
  <si>
    <t>Capital Markets</t>
  </si>
  <si>
    <t>INE797F01020</t>
  </si>
  <si>
    <t>Jubilant Foodworks Ltd</t>
  </si>
  <si>
    <t>Leisure Services</t>
  </si>
  <si>
    <t>INE262H01021</t>
  </si>
  <si>
    <t>Persistent Systems Ltd</t>
  </si>
  <si>
    <t>INE105A01035</t>
  </si>
  <si>
    <t>TVS Holdings Ltd</t>
  </si>
  <si>
    <t>INE326A01037</t>
  </si>
  <si>
    <t>Lupin Ltd</t>
  </si>
  <si>
    <t>Pharmaceuticals &amp; Biotechnology</t>
  </si>
  <si>
    <t>INE455K01017</t>
  </si>
  <si>
    <t>Polycab India Ltd</t>
  </si>
  <si>
    <t>INE949L01017</t>
  </si>
  <si>
    <t>AU Small Finance Bank Ltd</t>
  </si>
  <si>
    <t>INE686F01025</t>
  </si>
  <si>
    <t>United Breweries Ltd</t>
  </si>
  <si>
    <t>Beverages</t>
  </si>
  <si>
    <t>INE427F01016</t>
  </si>
  <si>
    <t>Chalet Hotels Ltd</t>
  </si>
  <si>
    <t>INE027H01010</t>
  </si>
  <si>
    <t>Max Healthcare Institute Ltd</t>
  </si>
  <si>
    <t>INE438A01022</t>
  </si>
  <si>
    <t>Apollo Tyres Ltd</t>
  </si>
  <si>
    <t>INE494B01023</t>
  </si>
  <si>
    <t>TVS Motor Company Ltd</t>
  </si>
  <si>
    <t>Automobiles</t>
  </si>
  <si>
    <t>INE600L01024</t>
  </si>
  <si>
    <t>Dr Lal Path Labs Ltd</t>
  </si>
  <si>
    <t>INE540L01014</t>
  </si>
  <si>
    <t>Alkem Laboratories Ltd</t>
  </si>
  <si>
    <t>INE115A01026</t>
  </si>
  <si>
    <t>LIC Housing Finance Ltd</t>
  </si>
  <si>
    <t>INE259A01022</t>
  </si>
  <si>
    <t>Colgate Palmolive (India) Ltd</t>
  </si>
  <si>
    <t>Personal Products</t>
  </si>
  <si>
    <t>INE073K01018</t>
  </si>
  <si>
    <t>Sona BLW Precision Forgings Ltd</t>
  </si>
  <si>
    <t>INE338I01027</t>
  </si>
  <si>
    <t>Motilal Oswal Financial Services Ltd</t>
  </si>
  <si>
    <t>INE010V01017</t>
  </si>
  <si>
    <t>L&amp;T Technology Services Ltd</t>
  </si>
  <si>
    <t>It - Services</t>
  </si>
  <si>
    <t>INE466L01038</t>
  </si>
  <si>
    <t>360 ONE WAM Ltd (Prev IIFL Wealth Management Ltd)</t>
  </si>
  <si>
    <t>INE811K01011</t>
  </si>
  <si>
    <t>Prestige Estates Projects Ltd</t>
  </si>
  <si>
    <t>INE195A01028</t>
  </si>
  <si>
    <t>Supreme Industries Ltd</t>
  </si>
  <si>
    <t>INE405E01023</t>
  </si>
  <si>
    <t>UNO Minda Ltd</t>
  </si>
  <si>
    <t>INE634S01028</t>
  </si>
  <si>
    <t>Mankind Pharma Ltd</t>
  </si>
  <si>
    <t>INE179A01014</t>
  </si>
  <si>
    <t>Procter &amp; Gamble Hygiene and Health Care Ltd</t>
  </si>
  <si>
    <t>INE180A01020</t>
  </si>
  <si>
    <t>Max Financial Services Ltd</t>
  </si>
  <si>
    <t>Insurance</t>
  </si>
  <si>
    <t>INE288B01029</t>
  </si>
  <si>
    <t>Deepak Nitrite Ltd</t>
  </si>
  <si>
    <t>Chemicals &amp; Petrochemicals</t>
  </si>
  <si>
    <t>INE388Y01029</t>
  </si>
  <si>
    <t>FSN E–Commerce Ventures Ltd(NYKAA)</t>
  </si>
  <si>
    <t>Retailing</t>
  </si>
  <si>
    <t>INE093I01010</t>
  </si>
  <si>
    <t>Oberoi Realty Ltd</t>
  </si>
  <si>
    <t>INE702C01027</t>
  </si>
  <si>
    <t>APL Apollo Tubes Ltd</t>
  </si>
  <si>
    <t>INE872J01023</t>
  </si>
  <si>
    <t>Devyani international limited</t>
  </si>
  <si>
    <t>INE848E01016</t>
  </si>
  <si>
    <t>NHPC Ltd</t>
  </si>
  <si>
    <t>INE721A01047</t>
  </si>
  <si>
    <t>Shriram Finance Ltd</t>
  </si>
  <si>
    <t>INE603J01030</t>
  </si>
  <si>
    <t>PI Industries Ltd</t>
  </si>
  <si>
    <t>INE548C01032</t>
  </si>
  <si>
    <t>Emami Ltd</t>
  </si>
  <si>
    <t>INE00R701025</t>
  </si>
  <si>
    <t>Dalmia Cement (Bharat) Ltd.</t>
  </si>
  <si>
    <t>INE246F01010</t>
  </si>
  <si>
    <t>Gujarat State Petronet Ltd</t>
  </si>
  <si>
    <t>INE007A01025</t>
  </si>
  <si>
    <t>CRISIL Ltd</t>
  </si>
  <si>
    <t>INE068V01023</t>
  </si>
  <si>
    <t>Gland Pharma Ltd</t>
  </si>
  <si>
    <t>INE536A01023</t>
  </si>
  <si>
    <t>Grindwell Norton Ltd</t>
  </si>
  <si>
    <t>INE065X01017</t>
  </si>
  <si>
    <t>Indegene Limited</t>
  </si>
  <si>
    <t>INE010B01027</t>
  </si>
  <si>
    <t>Zydus Lifesciences Ltd</t>
  </si>
  <si>
    <t>INE2J8701016</t>
  </si>
  <si>
    <t>SKF India (Industrial) Ltd</t>
  </si>
  <si>
    <t>Minerals &amp; Mining</t>
  </si>
  <si>
    <t>INE640A01023</t>
  </si>
  <si>
    <t>SKF India Ltd</t>
  </si>
  <si>
    <t>INE463A01038</t>
  </si>
  <si>
    <t>Berger Paints (I) Ltd</t>
  </si>
  <si>
    <t>INE042A01014</t>
  </si>
  <si>
    <t>Escorts Kubota Ltd</t>
  </si>
  <si>
    <t>Agricultural, Commercial &amp; Construction Vehicles</t>
  </si>
  <si>
    <t>INE494B04019</t>
  </si>
  <si>
    <t>INF173K01GU0</t>
  </si>
  <si>
    <t>Sundaram Large and Mid Cap Fund</t>
  </si>
  <si>
    <t>INE040A01034</t>
  </si>
  <si>
    <t>HDFC Bank Ltd</t>
  </si>
  <si>
    <t>INE238A01034</t>
  </si>
  <si>
    <t>Axis Bank Ltd</t>
  </si>
  <si>
    <t>INE237A01028</t>
  </si>
  <si>
    <t>Kotak Mahindra Bank Ltd</t>
  </si>
  <si>
    <t>INE009A01021</t>
  </si>
  <si>
    <t>Infosys Ltd</t>
  </si>
  <si>
    <t>INE066F01020</t>
  </si>
  <si>
    <t>Hindustan Aeronautics Ltd</t>
  </si>
  <si>
    <t>INE296A01032</t>
  </si>
  <si>
    <t>Bajaj Finance Ltd</t>
  </si>
  <si>
    <t>INE028A01039</t>
  </si>
  <si>
    <t>Bank of Baroda</t>
  </si>
  <si>
    <t>INE101A01026</t>
  </si>
  <si>
    <t>Mahindra &amp; Mahindra Ltd</t>
  </si>
  <si>
    <t>INE745G01035</t>
  </si>
  <si>
    <t>Multi Commodity Exchange of India Ltd</t>
  </si>
  <si>
    <t>INE047A01021</t>
  </si>
  <si>
    <t>Grasim Industries Ltd</t>
  </si>
  <si>
    <t>INE00WC01027</t>
  </si>
  <si>
    <t>Affle (India) Ltd</t>
  </si>
  <si>
    <t>INE758T01015</t>
  </si>
  <si>
    <t>Zomato Ltd</t>
  </si>
  <si>
    <t>INE121A01024</t>
  </si>
  <si>
    <t>Cholamandalam Investment and Finance Company Ltd</t>
  </si>
  <si>
    <t>INE044A01036</t>
  </si>
  <si>
    <t>Sun Pharmaceutical Industries Ltd</t>
  </si>
  <si>
    <t>INE053A01029</t>
  </si>
  <si>
    <t>The Indian Hotels Company Ltd</t>
  </si>
  <si>
    <t>INE880J01026</t>
  </si>
  <si>
    <t>JSW Infrastructure Ltd</t>
  </si>
  <si>
    <t>INE324D01010</t>
  </si>
  <si>
    <t>LG Electronics India Ltd</t>
  </si>
  <si>
    <t>Sundaram Long Term Tax Advantage Fund Series III</t>
  </si>
  <si>
    <t>INE914M01019</t>
  </si>
  <si>
    <t>Aster DM Healthcare Ltd</t>
  </si>
  <si>
    <t>INE551W01018</t>
  </si>
  <si>
    <t>Ujjivan Small Finance Bank Ltd</t>
  </si>
  <si>
    <t>INE679A01013</t>
  </si>
  <si>
    <t>CSB Bank Ltd</t>
  </si>
  <si>
    <t>INE429E01023</t>
  </si>
  <si>
    <t>Safari Industries (India) Ltd</t>
  </si>
  <si>
    <t>INE806T01020</t>
  </si>
  <si>
    <t>Sapphire Foods India Ltd</t>
  </si>
  <si>
    <t>INE08ZM01014</t>
  </si>
  <si>
    <t>Green Panel Industries Ltd</t>
  </si>
  <si>
    <t>INE048G01026</t>
  </si>
  <si>
    <t>Navin Fluorine International Ltd</t>
  </si>
  <si>
    <t>INE199A01012</t>
  </si>
  <si>
    <t>Procter &amp; Gamble Health Ltd</t>
  </si>
  <si>
    <t>INE0CLI01024</t>
  </si>
  <si>
    <t>Rate Gain Travel Technologies Ltd</t>
  </si>
  <si>
    <t>INE732I01013</t>
  </si>
  <si>
    <t>Angel One Ltd</t>
  </si>
  <si>
    <t>INE947Q01028</t>
  </si>
  <si>
    <t>Laurus Labs Ltd</t>
  </si>
  <si>
    <t>INE572A01036</t>
  </si>
  <si>
    <t>JB Chemicals &amp; Pharmaceuticals Ltd</t>
  </si>
  <si>
    <t>INE063P01018</t>
  </si>
  <si>
    <t>Equitas Small Finance Bank Limited</t>
  </si>
  <si>
    <t>INE191H01014</t>
  </si>
  <si>
    <t>PVR INOX Ltd</t>
  </si>
  <si>
    <t>Entertainment</t>
  </si>
  <si>
    <t>INE477A01020</t>
  </si>
  <si>
    <t>Can Fin Homes Ltd</t>
  </si>
  <si>
    <t>INE149A01033</t>
  </si>
  <si>
    <t>Cholamandalam Financial Holdings Ltd</t>
  </si>
  <si>
    <t>INE285J01028</t>
  </si>
  <si>
    <t>SIS Ltd</t>
  </si>
  <si>
    <t>Other Consumer Services</t>
  </si>
  <si>
    <t>INE743M01012</t>
  </si>
  <si>
    <t>RHI Magnesita India Ltd</t>
  </si>
  <si>
    <t>INE572E01012</t>
  </si>
  <si>
    <t>PNB Housing Finance Ltd</t>
  </si>
  <si>
    <t>INE411H01032</t>
  </si>
  <si>
    <t>R Systems International Ltd</t>
  </si>
  <si>
    <t>INE081A01020</t>
  </si>
  <si>
    <t>Tata Steel Ltd</t>
  </si>
  <si>
    <t>INE274F01020</t>
  </si>
  <si>
    <t>Westlife Foodworld Ltd</t>
  </si>
  <si>
    <t>INE987B01026</t>
  </si>
  <si>
    <t>Natco Pharma Ltd</t>
  </si>
  <si>
    <t>INE836A01035</t>
  </si>
  <si>
    <t>Birlasoft Ltd</t>
  </si>
  <si>
    <t>INE348B01021</t>
  </si>
  <si>
    <t>Century Plyboards (India) Ltd</t>
  </si>
  <si>
    <t>INE845D01014</t>
  </si>
  <si>
    <t>Ganesha Ecosphere Ltd</t>
  </si>
  <si>
    <t>Textiles &amp; Apparels</t>
  </si>
  <si>
    <t>INE295F01017</t>
  </si>
  <si>
    <t>Butterfly Gandhimathi Appliances Ltd</t>
  </si>
  <si>
    <t>INE120A01034</t>
  </si>
  <si>
    <t>Carborundum Universal Ltd</t>
  </si>
  <si>
    <t>INE227C01017</t>
  </si>
  <si>
    <t>MM Forgings Ltd</t>
  </si>
  <si>
    <t>Sundaram Long Term Tax Advantage Fund Series IV</t>
  </si>
  <si>
    <t>Sundaram Long Term Tax Advantage Fund Series-II</t>
  </si>
  <si>
    <t>INE280A01028</t>
  </si>
  <si>
    <t>Titan Company Ltd</t>
  </si>
  <si>
    <t>INE154A01025</t>
  </si>
  <si>
    <t>ITC Ltd</t>
  </si>
  <si>
    <t>Diversified Fmcg</t>
  </si>
  <si>
    <t>INE860A01027</t>
  </si>
  <si>
    <t>HCL Technologies Ltd</t>
  </si>
  <si>
    <t>INE038A01020</t>
  </si>
  <si>
    <t>Hindalco Industries Ltd</t>
  </si>
  <si>
    <t>Non - Ferrous Metals</t>
  </si>
  <si>
    <t>INE123W01016</t>
  </si>
  <si>
    <t>SBI Life Insurance Company Ltd</t>
  </si>
  <si>
    <t>INE155A01022</t>
  </si>
  <si>
    <t>Tata Motors Ltd</t>
  </si>
  <si>
    <t>INE467B01029</t>
  </si>
  <si>
    <t>Tata Consultancy Services Ltd</t>
  </si>
  <si>
    <t>INE192A01025</t>
  </si>
  <si>
    <t>TATA Consumer Products Ltd</t>
  </si>
  <si>
    <t>INE059A01026</t>
  </si>
  <si>
    <t>Cipla Ltd</t>
  </si>
  <si>
    <t>INE340A01012</t>
  </si>
  <si>
    <t>Birla Corporation Ltd</t>
  </si>
  <si>
    <t>INE030A01027</t>
  </si>
  <si>
    <t>Hindustan UniLever Ltd</t>
  </si>
  <si>
    <t>INE1TAE01010</t>
  </si>
  <si>
    <t>TML Commercial Vehicles Ltd</t>
  </si>
  <si>
    <t>INE095A01012</t>
  </si>
  <si>
    <t>IndusInd Bank Ltd</t>
  </si>
  <si>
    <t>INE075A01022</t>
  </si>
  <si>
    <t>Wipro Ltd</t>
  </si>
  <si>
    <t>Sundaram Long Term Micro Cap Tax Advantage Fund Series III</t>
  </si>
  <si>
    <t>INE386D01027</t>
  </si>
  <si>
    <t>Shivalik Bimetal Controls Ltd</t>
  </si>
  <si>
    <t>Sundaram Long Term Micro Cap Tax Advantage Fund Series IV</t>
  </si>
  <si>
    <t>Sundaram Long Term Micro Cap Tax Advantage Fund Series V</t>
  </si>
  <si>
    <t>Sundaram Long Term Micro Cap Tax Advantage Fund Series VI</t>
  </si>
  <si>
    <t>Sundaram Small Cap Fund</t>
  </si>
  <si>
    <t>INE864I01014</t>
  </si>
  <si>
    <t>MTAR Technologies Ltd</t>
  </si>
  <si>
    <t>INE126A01031</t>
  </si>
  <si>
    <t>EID Parry India Ltd</t>
  </si>
  <si>
    <t>Food Products</t>
  </si>
  <si>
    <t>INE794A01010</t>
  </si>
  <si>
    <t>Neuland Laboratories Ltd</t>
  </si>
  <si>
    <t>INE503A01015</t>
  </si>
  <si>
    <t>DCB Bank Ltd</t>
  </si>
  <si>
    <t>INE663F01032</t>
  </si>
  <si>
    <t>Info Edge (India) Ltd</t>
  </si>
  <si>
    <t>INE0UOS01011</t>
  </si>
  <si>
    <t>Sanofi Consumer Healthcare India Ltd</t>
  </si>
  <si>
    <t>INE119A01028</t>
  </si>
  <si>
    <t>Balrampur Chini Mills Ltd</t>
  </si>
  <si>
    <t>INE456Z01021</t>
  </si>
  <si>
    <t>Medi Assist Healthcare Services Ltd</t>
  </si>
  <si>
    <t>INE177F01017</t>
  </si>
  <si>
    <t>Kovai Medical Center &amp; Hospital Ltd</t>
  </si>
  <si>
    <t>INE011K01018</t>
  </si>
  <si>
    <t>Tega Industries Ltd</t>
  </si>
  <si>
    <t>INE482A01020</t>
  </si>
  <si>
    <t>Ceat Ltd</t>
  </si>
  <si>
    <t>INE570A01022</t>
  </si>
  <si>
    <t>Ion Exchange (India) Ltd</t>
  </si>
  <si>
    <t>Other Utilities</t>
  </si>
  <si>
    <t>INE136B01020</t>
  </si>
  <si>
    <t>Cyient Ltd</t>
  </si>
  <si>
    <t>INE00F201020</t>
  </si>
  <si>
    <t>Prudent Corporate Advisory Services Ltd</t>
  </si>
  <si>
    <t>INE136S01016</t>
  </si>
  <si>
    <t>Neogen Chemicals Ltd</t>
  </si>
  <si>
    <t>INE142Z01019</t>
  </si>
  <si>
    <t>Orient Electric Ltd</t>
  </si>
  <si>
    <t>INE094J01016</t>
  </si>
  <si>
    <t>UTI Asset Management Co Ltd</t>
  </si>
  <si>
    <t>INE02YR01019</t>
  </si>
  <si>
    <t>Electronics Mart India Ltd</t>
  </si>
  <si>
    <t>INE602W01027</t>
  </si>
  <si>
    <t>Senco Gold Ltd</t>
  </si>
  <si>
    <t>INE930H01031</t>
  </si>
  <si>
    <t>K.P.R. Mill Ltd</t>
  </si>
  <si>
    <t>Stock Future</t>
  </si>
  <si>
    <t>INF903JA1FR6</t>
  </si>
  <si>
    <t>Sundaram Money Market Fund-Direct Plan - Growth</t>
  </si>
  <si>
    <t>Margin Money For Derivatives</t>
  </si>
  <si>
    <t>Sundaram Aggressive Hybrid Fund</t>
  </si>
  <si>
    <t>INE134E01011</t>
  </si>
  <si>
    <t>Power Finance Corporation Ltd</t>
  </si>
  <si>
    <t>INE585B01010</t>
  </si>
  <si>
    <t>Maruti Suzuki India Ltd</t>
  </si>
  <si>
    <t>INE854D01024</t>
  </si>
  <si>
    <t>United Spirits Ltd</t>
  </si>
  <si>
    <t>INE885A01032</t>
  </si>
  <si>
    <t>Amara Raja Energy &amp; Mobility Ltd</t>
  </si>
  <si>
    <t>INE917I01010</t>
  </si>
  <si>
    <t>Bajaj Auto Ltd</t>
  </si>
  <si>
    <t>INE481N01025</t>
  </si>
  <si>
    <t>Home First Finance Company Ltd</t>
  </si>
  <si>
    <t>INE318A01026</t>
  </si>
  <si>
    <t>Pidilite Industries Ltd</t>
  </si>
  <si>
    <t>INE200M01039</t>
  </si>
  <si>
    <t>Varun Beverages Ltd</t>
  </si>
  <si>
    <t>INE669C01036</t>
  </si>
  <si>
    <t>Tech Mahindra Ltd</t>
  </si>
  <si>
    <t>INE852S01026</t>
  </si>
  <si>
    <t>INE261F08EM1</t>
  </si>
  <si>
    <t>National Bank for Agriculture &amp; Rural Development - 7.53% - 24/03/2028</t>
  </si>
  <si>
    <t>ICRA AAA</t>
  </si>
  <si>
    <t>INE261F08EO7</t>
  </si>
  <si>
    <t>National Bank for Agriculture &amp; Rural Development - 7.48% - 15/09/2028</t>
  </si>
  <si>
    <t>CRISIL AAA</t>
  </si>
  <si>
    <t>INE261F08EP4</t>
  </si>
  <si>
    <t>National Bank for Agriculture &amp; Rural Development - 6.66% - 12/10/2028**</t>
  </si>
  <si>
    <t>INE121A07RZ4</t>
  </si>
  <si>
    <t>Cholamandalam Investment and Finance Company Ltd - 8.54% - 12/04/2029**</t>
  </si>
  <si>
    <t>ICRA AA+</t>
  </si>
  <si>
    <t>INE296A07SV1</t>
  </si>
  <si>
    <t>Bajaj Finance Ltd - 7.82% - 31/01/2034**</t>
  </si>
  <si>
    <t>INE134E08MB9</t>
  </si>
  <si>
    <t>Power Finance Corporation Ltd - 7.82% - 06/03/2038**</t>
  </si>
  <si>
    <t>INE115A07QH6</t>
  </si>
  <si>
    <t>LIC Housing Finance Ltd - 8.025% - 23/03/2033**</t>
  </si>
  <si>
    <t>INE134E08MX3</t>
  </si>
  <si>
    <t>Power Finance Corporation Ltd - 7.6% - 13/04/2029**</t>
  </si>
  <si>
    <t>INE556F08KR0</t>
  </si>
  <si>
    <t>Small Industries Development Bank of India - 7.47% - 05/09/2029</t>
  </si>
  <si>
    <t>INE261F08DV4</t>
  </si>
  <si>
    <t>National Bank for Agriculture &amp; Rural Development - 7.62% - 31/01/2028**</t>
  </si>
  <si>
    <t>INE040A08955</t>
  </si>
  <si>
    <t>HDFC Bank Ltd - 7.7% - 16/05/2028**</t>
  </si>
  <si>
    <t>INE556F08KM1</t>
  </si>
  <si>
    <t>Small Industries Development Bank of India - 7.79% - 14/05/2027**</t>
  </si>
  <si>
    <t>INE721A07RH9</t>
  </si>
  <si>
    <t>Shriram Finance Ltd - 8.75% - 15/06/2026**</t>
  </si>
  <si>
    <t>CRISIL AA+</t>
  </si>
  <si>
    <t>INE414G07JQ6</t>
  </si>
  <si>
    <t>Muthoot Finance Ltd - 8.05% - 25/11/2027</t>
  </si>
  <si>
    <t>INE062A08488</t>
  </si>
  <si>
    <t>INE296A07SU3</t>
  </si>
  <si>
    <t>Bajaj Finance Ltd - 7.87% - 08/02/2034**</t>
  </si>
  <si>
    <t>INE020B08FL9</t>
  </si>
  <si>
    <t>REC LTD - 7.34% - 30/04/2030</t>
  </si>
  <si>
    <t>INE020B08FF1</t>
  </si>
  <si>
    <t>REC LTD - 7.56% - 31/08/2027**</t>
  </si>
  <si>
    <t>INE053F08338</t>
  </si>
  <si>
    <t>Indian Railway Finance Corporation Ltd - 7.68% - 24/11/2026**</t>
  </si>
  <si>
    <t>INE053F08296</t>
  </si>
  <si>
    <t>Indian Railway Finance Corporation Ltd - 7.74% - 15/04/2038**</t>
  </si>
  <si>
    <t>INE134E08MJ2</t>
  </si>
  <si>
    <t>Power Finance Corporation Ltd - 7.77% - 15/04/2028**</t>
  </si>
  <si>
    <t>INE752E08734</t>
  </si>
  <si>
    <t>Power Grid Corporation of India Ltd - 7.35% - 12/03/2034**</t>
  </si>
  <si>
    <t>INE556F08KS8</t>
  </si>
  <si>
    <t>Small Industries Development Bank of India - 7.34% - 26/02/2029</t>
  </si>
  <si>
    <t>INE414G07II5</t>
  </si>
  <si>
    <t>Muthoot Finance Ltd - 8.4% - 28/08/2028</t>
  </si>
  <si>
    <t>INE134E08MC7</t>
  </si>
  <si>
    <t>Power Finance Corporation Ltd - 7.77% - 15/07/2026**</t>
  </si>
  <si>
    <t>INE134E08NW3</t>
  </si>
  <si>
    <t>Power Finance Corporation Ltd - 6.73% - 15/10/2027**</t>
  </si>
  <si>
    <t>INE296A07TM8</t>
  </si>
  <si>
    <t>Bajaj Finance Ltd - 7.11% - 10/07/2028**</t>
  </si>
  <si>
    <t>INE115A07PI6</t>
  </si>
  <si>
    <t>LIC Housing Finance Ltd - 6.17% - 03/09/2026**</t>
  </si>
  <si>
    <t>INE556F08KP4</t>
  </si>
  <si>
    <t>Small Industries Development Bank of India - 7.68% - 10/08/2027**</t>
  </si>
  <si>
    <t>INE572E07183</t>
  </si>
  <si>
    <t>PNB Housing Finance Ltd - 8.15% - 29/07/2027**</t>
  </si>
  <si>
    <t>CARE AA+</t>
  </si>
  <si>
    <t>INE477A07415</t>
  </si>
  <si>
    <t>Can Fin Homes Ltd - 8.09% - 04/01/2027**</t>
  </si>
  <si>
    <t>INE020B08EI8</t>
  </si>
  <si>
    <t>REC LTD - 7.51% - 31/07/2026**</t>
  </si>
  <si>
    <t>INE756I07EN4</t>
  </si>
  <si>
    <t>HDB Financial Services Ltd - 7.84% - 14/07/2026</t>
  </si>
  <si>
    <t>INE020B08EL2</t>
  </si>
  <si>
    <t>REC LTD - 7.44% - 30/04/2026**</t>
  </si>
  <si>
    <t>INE756I07FG5</t>
  </si>
  <si>
    <t>HDB Financial Services Ltd - 7.4091% - 05/06/2028**</t>
  </si>
  <si>
    <t>INE121A07SN8</t>
  </si>
  <si>
    <t>Cholamandalam Investment and Finance Company Ltd - 7.38% - 28/05/2027**</t>
  </si>
  <si>
    <t>INE134E08NU7</t>
  </si>
  <si>
    <t>Power Finance Corporation Ltd - 6.59% - 15/10/2030</t>
  </si>
  <si>
    <t>IN0020240019</t>
  </si>
  <si>
    <t>7.10% Central Government Securities 08/04/2034</t>
  </si>
  <si>
    <t>Sovereign</t>
  </si>
  <si>
    <t>IN0020240027</t>
  </si>
  <si>
    <t>IN0020240126</t>
  </si>
  <si>
    <t>6.79% Central Government Securities 07/10/2034</t>
  </si>
  <si>
    <t>IN0020230077</t>
  </si>
  <si>
    <t>7.18%  Government Securities - 24/07/2037</t>
  </si>
  <si>
    <t>IN0020220011</t>
  </si>
  <si>
    <t>IN0020230051</t>
  </si>
  <si>
    <t>7.30% Government Securities - 19/06/2053</t>
  </si>
  <si>
    <t>IN0020240035</t>
  </si>
  <si>
    <t>7.34% Central Government Securities 22/04/2064</t>
  </si>
  <si>
    <t>IN0020240076</t>
  </si>
  <si>
    <t>7.02% Central Government Securities 18/06/2031</t>
  </si>
  <si>
    <t>IN0020210160</t>
  </si>
  <si>
    <t>IN3120230484</t>
  </si>
  <si>
    <t>7.44% Tamil Nadu State Government Securities -20/03/2034</t>
  </si>
  <si>
    <t>IN1920230100</t>
  </si>
  <si>
    <t>7.72% Karnataka State Government Securities - 06/12/2035</t>
  </si>
  <si>
    <t>IN0020250026</t>
  </si>
  <si>
    <t>6.33% Central Government Securities 05/05/2035</t>
  </si>
  <si>
    <t>INE514E16CI1</t>
  </si>
  <si>
    <t>Export Import Bank of India - 30/12/2025</t>
  </si>
  <si>
    <t>CRISIL A1+</t>
  </si>
  <si>
    <t>INE238AD6AM2</t>
  </si>
  <si>
    <t>Axis Bank Ltd - 04/02/2026**</t>
  </si>
  <si>
    <t>Sundaram Arbitrage Fund</t>
  </si>
  <si>
    <t>INE423A01024</t>
  </si>
  <si>
    <t>Adani Enterprises</t>
  </si>
  <si>
    <t>Metals &amp; Minerals Trading</t>
  </si>
  <si>
    <t>INE158A01026</t>
  </si>
  <si>
    <t>Hero MotoCorp Ltd</t>
  </si>
  <si>
    <t>INE139A01034</t>
  </si>
  <si>
    <t>National Aluminium Company Ltd</t>
  </si>
  <si>
    <t>INE171Z01026</t>
  </si>
  <si>
    <t>Bharat Dynamics Ltd</t>
  </si>
  <si>
    <t>INE976G01028</t>
  </si>
  <si>
    <t>RBL Bank Ltd</t>
  </si>
  <si>
    <t>INE020B01018</t>
  </si>
  <si>
    <t>REC Ltd</t>
  </si>
  <si>
    <t>INE335Y01020</t>
  </si>
  <si>
    <t>Indian Railway Catering &amp; Tourism Corporation Ltd</t>
  </si>
  <si>
    <t>INE160A01022</t>
  </si>
  <si>
    <t>Punjab National Bank</t>
  </si>
  <si>
    <t>INE476A01022</t>
  </si>
  <si>
    <t>Canara Bank</t>
  </si>
  <si>
    <t>INE216A01030</t>
  </si>
  <si>
    <t>Britannia Industries Ltd</t>
  </si>
  <si>
    <t>INE148I01020</t>
  </si>
  <si>
    <t>Sammaan Capital Ltd</t>
  </si>
  <si>
    <t>INE121E01018</t>
  </si>
  <si>
    <t>JSW Energy Ltd</t>
  </si>
  <si>
    <t>INE271C01023</t>
  </si>
  <si>
    <t>DLF Ltd</t>
  </si>
  <si>
    <t>INE761H01022</t>
  </si>
  <si>
    <t>Page Industries Ltd</t>
  </si>
  <si>
    <t>INE918I01026</t>
  </si>
  <si>
    <t>Bajaj Finserv Ltd</t>
  </si>
  <si>
    <t>INE361B01024</t>
  </si>
  <si>
    <t>Divis Laboratories Ltd</t>
  </si>
  <si>
    <t>INE239A01024</t>
  </si>
  <si>
    <t>Nestle India Ltd</t>
  </si>
  <si>
    <t>IN0020220037</t>
  </si>
  <si>
    <t>7.38% Central Government Securities 20/06/2027</t>
  </si>
  <si>
    <t>IN002024Z347</t>
  </si>
  <si>
    <t>IN002024Z412</t>
  </si>
  <si>
    <t>IN002024Z438</t>
  </si>
  <si>
    <t>Sundaram Balanced Advantage Fund</t>
  </si>
  <si>
    <t>INE619A01035</t>
  </si>
  <si>
    <t>Patanjali Foods Ltd</t>
  </si>
  <si>
    <t>INE020B08FD6</t>
  </si>
  <si>
    <t>REC LTD - 7.58% - 31/05/2029**</t>
  </si>
  <si>
    <t>INE261F08DX0</t>
  </si>
  <si>
    <t>National Bank for Agriculture &amp; Rural Development - 7.58% - 31/07/2026</t>
  </si>
  <si>
    <t>INE115A07QD5</t>
  </si>
  <si>
    <t>LIC Housing Finance Ltd - 7.82% - 28/11/2025**</t>
  </si>
  <si>
    <t>IN0020230135</t>
  </si>
  <si>
    <t>IN0020230036</t>
  </si>
  <si>
    <t>7.17% Government Securities - 17/04/20230</t>
  </si>
  <si>
    <t>-</t>
  </si>
  <si>
    <t>Sundaram Dividend Yield Fund</t>
  </si>
  <si>
    <t>INE522F01014</t>
  </si>
  <si>
    <t>Coal India Ltd</t>
  </si>
  <si>
    <t>Consumable Fuels</t>
  </si>
  <si>
    <t>INE486A01021</t>
  </si>
  <si>
    <t>CESC Ltd</t>
  </si>
  <si>
    <t>INE172A01027</t>
  </si>
  <si>
    <t>Castrol India Ltd</t>
  </si>
  <si>
    <t>INE242A01010</t>
  </si>
  <si>
    <t>Indian Oil Corporation Ltd</t>
  </si>
  <si>
    <t>INE214T01019</t>
  </si>
  <si>
    <t>LTIMindtree Ltd</t>
  </si>
  <si>
    <t>INE274J01014</t>
  </si>
  <si>
    <t>Oil India Ltd</t>
  </si>
  <si>
    <t>INE356A01018</t>
  </si>
  <si>
    <t>MphasiS Ltd</t>
  </si>
  <si>
    <t>INE127D01025</t>
  </si>
  <si>
    <t>HDFC Asset Management Company Ltd</t>
  </si>
  <si>
    <t>INE102D01028</t>
  </si>
  <si>
    <t>Godrej Consumer Products Ltd</t>
  </si>
  <si>
    <t>INE058A01010</t>
  </si>
  <si>
    <t>Sanofi India Ltd</t>
  </si>
  <si>
    <t>INE021A01026</t>
  </si>
  <si>
    <t>Asian Paints Ltd</t>
  </si>
  <si>
    <t>INE462A01022</t>
  </si>
  <si>
    <t>Bayer Cropscience Ltd</t>
  </si>
  <si>
    <t>IDIA00069477</t>
  </si>
  <si>
    <t>INE02CF01010</t>
  </si>
  <si>
    <t>IDIA00069480</t>
  </si>
  <si>
    <t>INE759J01022</t>
  </si>
  <si>
    <t>Sundaram Equity Savings Fund</t>
  </si>
  <si>
    <t>INE019A01038</t>
  </si>
  <si>
    <t>JSW Steel Ltd</t>
  </si>
  <si>
    <t>INE406A01037</t>
  </si>
  <si>
    <t>Aurobindo Pharma Ltd</t>
  </si>
  <si>
    <t>INE115A07PR7</t>
  </si>
  <si>
    <t>LIC Housing Finance Ltd - 6.65% - 15/02/2027**</t>
  </si>
  <si>
    <t>INE134E08IE1</t>
  </si>
  <si>
    <t>Power Finance Corporation Ltd - 8.03% - 02/05/2026**</t>
  </si>
  <si>
    <t>INE261F08EA6</t>
  </si>
  <si>
    <t>National Bank for Agriculture &amp; Rural Development - 7.5% - 31/08/2026**</t>
  </si>
  <si>
    <t>IN0020230101</t>
  </si>
  <si>
    <t>7.37% Government Securities-23/10/2028</t>
  </si>
  <si>
    <t>IN0020240050</t>
  </si>
  <si>
    <t>7.04% Central Government Securities 03/06/2029</t>
  </si>
  <si>
    <t>INE476A16ZO0</t>
  </si>
  <si>
    <t>Canara Bank - 04/12/2025**</t>
  </si>
  <si>
    <t>IN002024Z362</t>
  </si>
  <si>
    <t>364 Days - T Bill - 18/12/2025</t>
  </si>
  <si>
    <t>Sundaram Focused  Fund</t>
  </si>
  <si>
    <t>INE330T01021</t>
  </si>
  <si>
    <t>Happy Forgings Ltd</t>
  </si>
  <si>
    <t>INE192R01011</t>
  </si>
  <si>
    <t>Avenue Supermarts Ltd</t>
  </si>
  <si>
    <t>INE491A01021</t>
  </si>
  <si>
    <t>City Union Bank Ltd</t>
  </si>
  <si>
    <t>INE03JT01014</t>
  </si>
  <si>
    <t>Go Digit General Insurance Ltd</t>
  </si>
  <si>
    <t>INE849A01020</t>
  </si>
  <si>
    <t>Trent Ltd</t>
  </si>
  <si>
    <t>INE389H01022</t>
  </si>
  <si>
    <t>KEC International Ltd</t>
  </si>
  <si>
    <t>INE089A01031</t>
  </si>
  <si>
    <t>Dr. Reddys Laboratories Ltd</t>
  </si>
  <si>
    <t>INE216P01012</t>
  </si>
  <si>
    <t>Aavas Financiers Ltd</t>
  </si>
  <si>
    <t>Sundaram Multi Cap Fund</t>
  </si>
  <si>
    <t>INE668F01031</t>
  </si>
  <si>
    <t>Jyothy Laboratories Ltd</t>
  </si>
  <si>
    <t>Household Products</t>
  </si>
  <si>
    <t>INE112L01020</t>
  </si>
  <si>
    <t>Metropolis Healthcare Ltd</t>
  </si>
  <si>
    <t>INE472A01039</t>
  </si>
  <si>
    <t>Blue Star Ltd</t>
  </si>
  <si>
    <t>INE04VU01023</t>
  </si>
  <si>
    <t>Seshaasai Technologies Ltd</t>
  </si>
  <si>
    <t>INE0BJS01011</t>
  </si>
  <si>
    <t>Go Fashion (India ) Ltd</t>
  </si>
  <si>
    <t>INE147E01013</t>
  </si>
  <si>
    <t>IDIA00069356</t>
  </si>
  <si>
    <t>INE348C01011</t>
  </si>
  <si>
    <t>Paper, Forest &amp; Jute Products</t>
  </si>
  <si>
    <t>INE431E01011</t>
  </si>
  <si>
    <t>Healthcare Equipment &amp; Supplies</t>
  </si>
  <si>
    <t>INE604A01011</t>
  </si>
  <si>
    <t>IDIA00069359</t>
  </si>
  <si>
    <t>INE406B01019</t>
  </si>
  <si>
    <t>Sundaram Nifty 100 Equal Weight Fund</t>
  </si>
  <si>
    <t>INE931S01010</t>
  </si>
  <si>
    <t>Adani Energy Solutions Ltd</t>
  </si>
  <si>
    <t>INE765G01017</t>
  </si>
  <si>
    <t>ICICI Lombard General Insurance Company Ltd</t>
  </si>
  <si>
    <t>INE205A01025</t>
  </si>
  <si>
    <t>Vedanta Ltd</t>
  </si>
  <si>
    <t>Diversified Metals</t>
  </si>
  <si>
    <t>INE814H01029</t>
  </si>
  <si>
    <t>Adani Power Ltd</t>
  </si>
  <si>
    <t>INE364U01010</t>
  </si>
  <si>
    <t>Adani Green Energy Ltd</t>
  </si>
  <si>
    <t>INE670K01029</t>
  </si>
  <si>
    <t>Macrotech Developers Ltd</t>
  </si>
  <si>
    <t>INE267A01025</t>
  </si>
  <si>
    <t>Hindustan Zinc Ltd</t>
  </si>
  <si>
    <t>INE758E01017</t>
  </si>
  <si>
    <t>Jio Financial Services Ltd</t>
  </si>
  <si>
    <t>INE685A01028</t>
  </si>
  <si>
    <t>Torrent Pharmaceuticals Ltd</t>
  </si>
  <si>
    <t>INE0J1Y01017</t>
  </si>
  <si>
    <t>LIC of India Ltd</t>
  </si>
  <si>
    <t>INE066A01021</t>
  </si>
  <si>
    <t>Eicher Motors Ltd</t>
  </si>
  <si>
    <t>INE775A01035</t>
  </si>
  <si>
    <t>Samvardhana Motherson International Ltd</t>
  </si>
  <si>
    <t>INE053F01010</t>
  </si>
  <si>
    <t>Indian Railway Finance Corporation Ltd</t>
  </si>
  <si>
    <t>INE377Y01014</t>
  </si>
  <si>
    <t>BAJAJ HOUSING FINANCE LTD</t>
  </si>
  <si>
    <t>INE343H01029</t>
  </si>
  <si>
    <t>Solar Industries India Ltd</t>
  </si>
  <si>
    <t>INE067A01029</t>
  </si>
  <si>
    <t>CG Power and Industrial Solutions Ltd</t>
  </si>
  <si>
    <t>INE176B01034</t>
  </si>
  <si>
    <t>Havells India Ltd</t>
  </si>
  <si>
    <t>INE323A01026</t>
  </si>
  <si>
    <t>Bosch Ltd</t>
  </si>
  <si>
    <t>INE118A01012</t>
  </si>
  <si>
    <t>Bajaj Holdings &amp; Investment Ltd</t>
  </si>
  <si>
    <t>INE795G01014</t>
  </si>
  <si>
    <t>HDFC Life Insurance Company Ltd</t>
  </si>
  <si>
    <t>INE070A01015</t>
  </si>
  <si>
    <t>Shree Cement Ltd</t>
  </si>
  <si>
    <t>INE249Z01020</t>
  </si>
  <si>
    <t>Mazagon Dock Shipbuilders Limited</t>
  </si>
  <si>
    <t>INE0V6F01027</t>
  </si>
  <si>
    <t>Hyundai Motor India Ltd</t>
  </si>
  <si>
    <t>Sundaram ELSS Tax Saver Fund</t>
  </si>
  <si>
    <t>INE451A01017</t>
  </si>
  <si>
    <t>Force Motors Ltd</t>
  </si>
  <si>
    <t>INE692A01016</t>
  </si>
  <si>
    <t>Union Bank of India</t>
  </si>
  <si>
    <t>INE00H001014</t>
  </si>
  <si>
    <t>Swiggy Ltd</t>
  </si>
  <si>
    <t>INE628A01036</t>
  </si>
  <si>
    <t>UPL Ltd</t>
  </si>
  <si>
    <t>Sundaram Consumption Fund</t>
  </si>
  <si>
    <t>INE716A01013</t>
  </si>
  <si>
    <t>Whirlpool of India Ltd</t>
  </si>
  <si>
    <t>Sundaram Services Fund</t>
  </si>
  <si>
    <t>INE726G01019</t>
  </si>
  <si>
    <t>ICICI Prudential Life Insurance Company Ltd</t>
  </si>
  <si>
    <t>INE545U01014</t>
  </si>
  <si>
    <t>Bandhan Bank Ltd</t>
  </si>
  <si>
    <t>MU0295S00016</t>
  </si>
  <si>
    <t>CHOLAFINNSENOV2025FUT</t>
  </si>
  <si>
    <t>Sundaram Value Fund</t>
  </si>
  <si>
    <t>INE884B01025</t>
  </si>
  <si>
    <t>Kirloskar Ferrous Ind Ltd</t>
  </si>
  <si>
    <t>INE531A01024</t>
  </si>
  <si>
    <t>Kansai Nerolac Paints Ltd</t>
  </si>
  <si>
    <t>INE002S01010</t>
  </si>
  <si>
    <t>Mahanagar Gas Ltd</t>
  </si>
  <si>
    <t>INE176A01028</t>
  </si>
  <si>
    <t>Bata India Ltd</t>
  </si>
  <si>
    <t>Sundaram Large Cap Fund</t>
  </si>
  <si>
    <t>Sundaram Business Cycle Fund</t>
  </si>
  <si>
    <t>INE410P01011</t>
  </si>
  <si>
    <t>Narayana Hrudayalaya Ltd</t>
  </si>
  <si>
    <t>INE224A01026</t>
  </si>
  <si>
    <t>Greaves Cotton Ltd</t>
  </si>
  <si>
    <t>INE0CAZ01013</t>
  </si>
  <si>
    <t>Urban Company Ltd</t>
  </si>
  <si>
    <t>INE04I401011</t>
  </si>
  <si>
    <t>KPIT Technologies Ltd</t>
  </si>
  <si>
    <t>INE716B01029</t>
  </si>
  <si>
    <t>Tips Music Ltd</t>
  </si>
  <si>
    <t>INE599M01018</t>
  </si>
  <si>
    <t>Just Dial Ltd</t>
  </si>
  <si>
    <t>INE559R01029</t>
  </si>
  <si>
    <t>Landmark Cars Ltd</t>
  </si>
  <si>
    <t>Sundaram Flexi Cap Fund</t>
  </si>
  <si>
    <t>Sundaram Financial Services Opportunities Fund</t>
  </si>
  <si>
    <t>INE756I01012</t>
  </si>
  <si>
    <t>HDB Financial Services Ltd</t>
  </si>
  <si>
    <t>Sundaram Multi Asset Allocation Fund</t>
  </si>
  <si>
    <t>IN0020240183</t>
  </si>
  <si>
    <t>6.75% Central Government Securities 23/12/2029</t>
  </si>
  <si>
    <t>IN0020250067</t>
  </si>
  <si>
    <t>6.01% Central Government Securities 21/07/2030</t>
  </si>
  <si>
    <t>INF200KA16D8</t>
  </si>
  <si>
    <t>SBI-ETF GOLD</t>
  </si>
  <si>
    <t>INF204KB17I5</t>
  </si>
  <si>
    <t>Nippon India ETF Gold Bees</t>
  </si>
  <si>
    <t>INF174KA1HJ8</t>
  </si>
  <si>
    <t>Kotak Mutual Fund - Gold Exchange Traded Fund</t>
  </si>
  <si>
    <t>INF179KC1981</t>
  </si>
  <si>
    <t>HDFC Gold Exchange Traded Fund</t>
  </si>
  <si>
    <t>INF740KA1SW3</t>
  </si>
  <si>
    <t>DSP-GOLD ETF</t>
  </si>
  <si>
    <t>Sundaram Multi-Factor Fund</t>
  </si>
  <si>
    <t>INE159A01016</t>
  </si>
  <si>
    <t>GlaxoSmithKline Pharmaceuticals Ltd</t>
  </si>
  <si>
    <t>INE260B01028</t>
  </si>
  <si>
    <t>Godfrey Phillips India Ltd</t>
  </si>
  <si>
    <t>Cigarettes &amp; Tobacco Products</t>
  </si>
  <si>
    <t>INE084A01016</t>
  </si>
  <si>
    <t>Bank of India</t>
  </si>
  <si>
    <t>INE498L01015</t>
  </si>
  <si>
    <t>L &amp; T Finance Ltd</t>
  </si>
  <si>
    <t>INE347G01014</t>
  </si>
  <si>
    <t>Petronet LNG Ltd</t>
  </si>
  <si>
    <t>INE674K01013</t>
  </si>
  <si>
    <t>Aditya Birla Capital Ltd</t>
  </si>
  <si>
    <t>INE298J01013</t>
  </si>
  <si>
    <t>Nippon Life India Asset Management Ltd</t>
  </si>
  <si>
    <t>INE704P01025</t>
  </si>
  <si>
    <t>Cochin Shipyard Ltd</t>
  </si>
  <si>
    <t>INE935A01035</t>
  </si>
  <si>
    <t>GlenMark Pharmaceuticals Ltd</t>
  </si>
  <si>
    <t>INE944F01028</t>
  </si>
  <si>
    <t>Radico Khaitan Ltd</t>
  </si>
  <si>
    <t>INE414G01012</t>
  </si>
  <si>
    <t>Muthoot Finance Ltd</t>
  </si>
  <si>
    <t>INE031A01017</t>
  </si>
  <si>
    <t>Housing &amp; Urban Development Corporation Ltd</t>
  </si>
  <si>
    <t>INE114A01011</t>
  </si>
  <si>
    <t>Steel Authority of India Ltd</t>
  </si>
  <si>
    <t>INE589A01014</t>
  </si>
  <si>
    <t>Neyveli Lignite Corporation Ltd</t>
  </si>
  <si>
    <t>INE584A01023</t>
  </si>
  <si>
    <t>NMDC Ltd</t>
  </si>
  <si>
    <t>INE571A01038</t>
  </si>
  <si>
    <t>IPCA Laboratories Ltd</t>
  </si>
  <si>
    <t>INE012A01025</t>
  </si>
  <si>
    <t>ACC Ltd</t>
  </si>
  <si>
    <t>YTM (%)</t>
  </si>
  <si>
    <t>Index</t>
  </si>
  <si>
    <t>Monthly Portfolio Statement for the month ended 31 October 2025</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</si>
  <si>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</si>
  <si>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</si>
  <si>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</si>
  <si>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</si>
  <si>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</si>
  <si>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</si>
  <si>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</si>
  <si>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</si>
  <si>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d) IDCW declared during the period (Rupees per unit)</t>
  </si>
  <si>
    <t>Scheme Riskometer :</t>
  </si>
  <si>
    <t>Tier I Benchmark Riskometer :</t>
  </si>
  <si>
    <t xml:space="preserve">                     NIFTY Infrastructure TRI</t>
  </si>
  <si>
    <t>(e) Non-Convertible Preference Shares</t>
  </si>
  <si>
    <t>TVS Motor Company Ltd 6.00% (Preference Share) 01-Sep-2026**</t>
  </si>
  <si>
    <t>Sundaram Liquid Fund - Direct Growth*</t>
  </si>
  <si>
    <t>Tier II Benchmark Riskometer :</t>
  </si>
  <si>
    <t xml:space="preserve">                        Nifty Mid Cap 150 TRI</t>
  </si>
  <si>
    <t xml:space="preserve">                            Nifty Mid Cap 100 TRI</t>
  </si>
  <si>
    <t xml:space="preserve">           Nifty Large Mid Cap 250 TRI</t>
  </si>
  <si>
    <t xml:space="preserve">                           BSE 500 TRI</t>
  </si>
  <si>
    <t xml:space="preserve">                                    BSE 500 TRI</t>
  </si>
  <si>
    <t xml:space="preserve">                    BSE 500 TRI</t>
  </si>
  <si>
    <t xml:space="preserve">                    Nifty Small Cap 100 TRI</t>
  </si>
  <si>
    <t xml:space="preserve">                   Nifty Small Cap 100 TRI</t>
  </si>
  <si>
    <t xml:space="preserve">                      Nifty Small Cap 100 TRI</t>
  </si>
  <si>
    <t xml:space="preserve">                     Nifty Small Cap 100 TRI</t>
  </si>
  <si>
    <t>Amber Enterprises India Ltd NOV-2025</t>
  </si>
  <si>
    <t xml:space="preserve">           Nifty Small Cap 250 TRI</t>
  </si>
  <si>
    <t xml:space="preserve">           Nifty Small Cap 100 TRI</t>
  </si>
  <si>
    <t>INE041025011</t>
  </si>
  <si>
    <t>Embassy Office Parks (REIT)</t>
  </si>
  <si>
    <t>(f) Convertible Debenture</t>
  </si>
  <si>
    <t>INE121A08PJ0</t>
  </si>
  <si>
    <t>7.5% Cholamandalam Investment and Company Ltd - 30/09/2026</t>
  </si>
  <si>
    <t>Unrated</t>
  </si>
  <si>
    <t>g) Derivative</t>
  </si>
  <si>
    <t>7.11% Central Government Securities_Floating Rate Bond - 04/10/2028 ~</t>
  </si>
  <si>
    <t>Cash and Other Net Current Assets^</t>
  </si>
  <si>
    <t>Refer below point i)</t>
  </si>
  <si>
    <t>Annexure-A</t>
  </si>
  <si>
    <t>ISIN</t>
  </si>
  <si>
    <t>NAME OF THE SECURITY</t>
  </si>
  <si>
    <t>TOTAL AMOUNT DUE (Rs. in Lacs)</t>
  </si>
  <si>
    <t>(Rs. in Lacs)</t>
  </si>
  <si>
    <t xml:space="preserve">Total Cost  </t>
  </si>
  <si>
    <t xml:space="preserve">Discounting Charges / Interest accrued till maturity </t>
  </si>
  <si>
    <t>Total CP Outstanding</t>
  </si>
  <si>
    <t>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</si>
  <si>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</si>
  <si>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</si>
  <si>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</si>
  <si>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</si>
  <si>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</si>
  <si>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</si>
  <si>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</si>
  <si>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https://www.sundarammutual.com/pdf2/2025/Rationale_for_Valuation/Update_on_ILFS_Financial_Services_Recovery_06_03_2025.pdf</t>
  </si>
  <si>
    <t>https://www.sundarammutual.com/pdf2/2025/Rationale_for_Valuation/Update_on_Valuation_of_RoadStar_InVIT_Units_V1.pdf</t>
  </si>
  <si>
    <t>https://www.sundarammutual.com/pdf2/2025/Rationale_for_Valuation/Update_on_Valuation_of_RoadStar_InVIT_Units_22_Sep_2025.pdf</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</si>
  <si>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</si>
  <si>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</si>
  <si>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</si>
  <si>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</si>
  <si>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</si>
  <si>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</si>
  <si>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</si>
  <si>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</si>
  <si>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</si>
  <si>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</si>
  <si>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</si>
  <si>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</si>
  <si>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</si>
  <si>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</si>
  <si>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</si>
  <si>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</si>
  <si>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</si>
  <si>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</si>
  <si>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xml:space="preserve">           CRISIL Hybrid 35 Plus 65 - Aggressive Index</t>
  </si>
  <si>
    <t>Nestle India Ltd NOV-2025</t>
  </si>
  <si>
    <t>Divis Labarotories Ltd  NOV-2025</t>
  </si>
  <si>
    <t>Bajaj Finserv Ltd NOV-2025</t>
  </si>
  <si>
    <t>Page Industries Ltd NOV-2025</t>
  </si>
  <si>
    <t>DLF Ltd NOV-2025</t>
  </si>
  <si>
    <t>JSW Energy Ltd NOV-2025</t>
  </si>
  <si>
    <t>Mahindra &amp; Mahindra Ltd NOV-2025</t>
  </si>
  <si>
    <t>PNB Housing Finance Ltd NOV-2025</t>
  </si>
  <si>
    <t>Sammaan Capital Ltd ( Prv Indiabulls Housing Finance Ltd) NOV-2025</t>
  </si>
  <si>
    <t>Britannia Industries Ltd    NOV-2025</t>
  </si>
  <si>
    <t>Tata Consumer Products Limited NOV-2025</t>
  </si>
  <si>
    <t>Eternal Ltd ( Previously named as Zomato Ltd ) NOV-2025</t>
  </si>
  <si>
    <t>Indus Towers Ltd (Prev name Bharti Infratel Ltd) NOV-2025</t>
  </si>
  <si>
    <t>Canara Bank NOV-2025</t>
  </si>
  <si>
    <t>Punjab National Bank NOV-2025</t>
  </si>
  <si>
    <t>Cipla Ltd NOV-2025</t>
  </si>
  <si>
    <t>Tata Steel Ltd NOV-2025</t>
  </si>
  <si>
    <t>Bank of Baroda NOV-2025</t>
  </si>
  <si>
    <t>Hindustan Unilever Ltd NOV-2025</t>
  </si>
  <si>
    <t>Adani Ports &amp; SEZ Ltd NOV-2025</t>
  </si>
  <si>
    <t>Indian Railway Catering &amp; Tourism Corpn Ltd  NOV-2025</t>
  </si>
  <si>
    <t>BSE Ltd NOV-2025</t>
  </si>
  <si>
    <t>IndusInd Bank Ltd NOV-2025</t>
  </si>
  <si>
    <t>Power Grid Corporation of India Ltd NOV-2025</t>
  </si>
  <si>
    <t>REC Ltd (Prev : Rural Electrification Corporation Ltd) NOV-2025</t>
  </si>
  <si>
    <t>Indian Hotels Company Ltd NOV-2025</t>
  </si>
  <si>
    <t>RBL Bank Ltd NOV-2025</t>
  </si>
  <si>
    <t>Max Financial Services Ltd (Prev: Max India Ltd) NOV-2025</t>
  </si>
  <si>
    <t>Hindustan Aeronautics Ltd NOV-2025</t>
  </si>
  <si>
    <t>Kotak Mahindra Bank Ltd NOV-2025</t>
  </si>
  <si>
    <t>Bharat Dynamics Ltd NOV-2025</t>
  </si>
  <si>
    <t>Sun Pharmaceuticals Ltd NOV-2025</t>
  </si>
  <si>
    <t>National Aluminium Company Ltd DEC-2025</t>
  </si>
  <si>
    <t>Hero Motocorp Ltd NOV-2025</t>
  </si>
  <si>
    <t>Gujarat Ambuja Cement Co.Ltd NOV-2025</t>
  </si>
  <si>
    <t>Adani Enterprises Ltd NOV-2025</t>
  </si>
  <si>
    <t>Hindalco Industries Ltd NOV-2025</t>
  </si>
  <si>
    <t>Bharti Airtel Ltd NOV-2025</t>
  </si>
  <si>
    <t>Larsen &amp; Toubro Ltd NOV-2025</t>
  </si>
  <si>
    <t>State Bank Of India Ltd NOV-2025</t>
  </si>
  <si>
    <t>HDFC Bank Ltd NOV-2025</t>
  </si>
  <si>
    <t>Bajaj Finance Ltd NOV-2025</t>
  </si>
  <si>
    <t>Axis Bank Ltd  NOV-2025</t>
  </si>
  <si>
    <t>ITC Ltd NOV-2025</t>
  </si>
  <si>
    <t>ICICI Bank Ltd NOV-2025</t>
  </si>
  <si>
    <t>Reliance Industries Ltd NOV-2025</t>
  </si>
  <si>
    <t xml:space="preserve">           NIFTY 50 Arbitrage INDEX</t>
  </si>
  <si>
    <t>INE0GGX23010</t>
  </si>
  <si>
    <t>Power Grid Infrastructure Investment Trust (InvIT)</t>
  </si>
  <si>
    <t>Patanjali Foods Ltd(Prev Ruchi Soya Industries Ltd) NOV-2025</t>
  </si>
  <si>
    <t>Multi Commodity Exchange of India Limited NOV-2025</t>
  </si>
  <si>
    <t>TATA Consultancy Services Ltd NOV-2025</t>
  </si>
  <si>
    <t xml:space="preserve">           NIFTY 50 Hybrid Composite Debt 50 : 50 INDEX</t>
  </si>
  <si>
    <t>Power Grid Infrastructure Investment Trust(InvIT)</t>
  </si>
  <si>
    <t>Sandur Laminates Ltd @</t>
  </si>
  <si>
    <t>Crystal Cable Industries Ltd @</t>
  </si>
  <si>
    <t>Tirrihannah Company Ltd @</t>
  </si>
  <si>
    <t>Minerava Holdings Ltd @</t>
  </si>
  <si>
    <t>Name of The security</t>
  </si>
  <si>
    <t xml:space="preserve">ISIN </t>
  </si>
  <si>
    <t>Net receivable/Market value  (Rs. Lakh)</t>
  </si>
  <si>
    <t>% to NAV</t>
  </si>
  <si>
    <t>Total Amount(Principal &amp; Interest)  (Rs. Lakh)</t>
  </si>
  <si>
    <t>21.50% Dewan Rubber Ltd</t>
  </si>
  <si>
    <t>Not Available</t>
  </si>
  <si>
    <t>Chemox Chemicals Industries</t>
  </si>
  <si>
    <t xml:space="preserve">                                NIFTY 500 TRI</t>
  </si>
  <si>
    <t xml:space="preserve">           NIFTY Dividend Opportunities 50 TRI</t>
  </si>
  <si>
    <t>NTPC Ltd NOV-2025</t>
  </si>
  <si>
    <t>Aurobindo Pharma Ltd-Equ NOV-2025</t>
  </si>
  <si>
    <t>JSW Steel Ltd NOV-2025</t>
  </si>
  <si>
    <t>Direct Plan - Half Yearly IDCW</t>
  </si>
  <si>
    <t>Regular Plan - Half Yearly IDCW</t>
  </si>
  <si>
    <t xml:space="preserve">                      Nifty Equity Savings TRI</t>
  </si>
  <si>
    <t xml:space="preserve">                              Nifty 500 TRI</t>
  </si>
  <si>
    <t xml:space="preserve">           Nifty Large MID CAP 250 TRI</t>
  </si>
  <si>
    <t>Chennai Super Kings Ltd @</t>
  </si>
  <si>
    <t>Crescent Finstock Ltd @</t>
  </si>
  <si>
    <t>Balmer Lawrie Freight Containers Ltd @</t>
  </si>
  <si>
    <t>Precision Fasteners Ltd @</t>
  </si>
  <si>
    <t>Virtual Dynamics Software Ltd @</t>
  </si>
  <si>
    <t>Noble Brothers Impex Ltd @</t>
  </si>
  <si>
    <t>Sangam Health Care Products Ltd @</t>
  </si>
  <si>
    <t>Mukerian Papers Ltd @</t>
  </si>
  <si>
    <t>15% Premier Vinyl Ltd</t>
  </si>
  <si>
    <t xml:space="preserve">           Nifty 500 MultiCap 50:25:25 TRI</t>
  </si>
  <si>
    <t xml:space="preserve">          Nifty 100 Equal Weighted Index TRI</t>
  </si>
  <si>
    <t>18% Jord Engineering Ltd</t>
  </si>
  <si>
    <t xml:space="preserve">                          NIFTY 500 TRI</t>
  </si>
  <si>
    <t xml:space="preserve">           Nifty India Consumption TRI</t>
  </si>
  <si>
    <t>Make My Trip Ltd (USD)</t>
  </si>
  <si>
    <t xml:space="preserve">           NIFTY Services Sector TRI</t>
  </si>
  <si>
    <t xml:space="preserve">           NIFTY 500 MULTICAP 50:25:25 TRI</t>
  </si>
  <si>
    <t xml:space="preserve">                       NIFTY 500_TRI</t>
  </si>
  <si>
    <t xml:space="preserve">               Nifty 100 TRI</t>
  </si>
  <si>
    <t xml:space="preserve">                      Nifty_500_ TRI</t>
  </si>
  <si>
    <t xml:space="preserve">                  Nifty 500 TRI</t>
  </si>
  <si>
    <t xml:space="preserve">           Nifty Financial Services TRI</t>
  </si>
  <si>
    <t>Ultra Tech Cement Ltd NOV-2025</t>
  </si>
  <si>
    <t>TVS Motor Company Ltd   NOV-2025</t>
  </si>
  <si>
    <t>NIFTY 500 TRI (65%) + NIFTY Short Duration Debt Index (10%) + Domestic Prices of Gold (25%)</t>
  </si>
  <si>
    <t xml:space="preserve">                     BSE 200 TRI</t>
  </si>
  <si>
    <t>Sundaram Global Brand Theme-Equity Active FOF</t>
  </si>
  <si>
    <t>SG9999013908</t>
  </si>
  <si>
    <t>Sundaram Global Brand Fund - Master Class</t>
  </si>
  <si>
    <t xml:space="preserve"> (a) Investments in Foreign Securities - Units of Mutual Funds</t>
  </si>
  <si>
    <t xml:space="preserve">                    MSCI ACWI TRI</t>
  </si>
  <si>
    <t>Direct Plan - IDCW</t>
  </si>
  <si>
    <t>Regular Plan - IDCW</t>
  </si>
  <si>
    <t>Direct Plan - Halfyearly IDCW</t>
  </si>
  <si>
    <t>Regular Plan - Halfyearly IDCW</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</si>
  <si>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</si>
  <si>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</si>
  <si>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</si>
  <si>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</si>
  <si>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</si>
  <si>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</si>
  <si>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</si>
  <si>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</si>
  <si>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</si>
  <si>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</si>
  <si>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</si>
  <si>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</si>
  <si>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</si>
  <si>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</si>
  <si>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</si>
  <si>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</si>
  <si>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</si>
  <si>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</si>
  <si>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</si>
  <si>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</si>
  <si>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</si>
  <si>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</si>
  <si>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</si>
  <si>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</si>
  <si>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</si>
  <si>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</si>
  <si>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</si>
  <si>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</si>
  <si>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</si>
  <si>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</si>
  <si>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</si>
  <si>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</si>
  <si>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</si>
  <si>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</si>
  <si>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</si>
  <si>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</si>
  <si>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</si>
  <si>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</si>
  <si>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SUNCYF</t>
  </si>
  <si>
    <t>SUNMFF</t>
  </si>
  <si>
    <t>Direct Plan - Monthly IDCW</t>
  </si>
  <si>
    <t>Regular Plan - Monthly IDCW</t>
  </si>
  <si>
    <t>Sundaram Money Market Fund-Direct Plan - Growth*</t>
  </si>
  <si>
    <t>7.10% Central Government Securities 18/04/2029*</t>
  </si>
  <si>
    <t>7.23% Central Government Securities 15/04/2039*</t>
  </si>
  <si>
    <t>7.10% Central Government Securities 08/04/2034*</t>
  </si>
  <si>
    <t>7.38% Central Government Securities 20/06/2027*</t>
  </si>
  <si>
    <t>364 Days - T Bill - 04/12/2025*</t>
  </si>
  <si>
    <t>364 Days - T Bill - 22/01/2026*</t>
  </si>
  <si>
    <t>364 Days - T Bill - 05/02/2026*</t>
  </si>
  <si>
    <t>7.32% Government Securities-13/11/2030*</t>
  </si>
  <si>
    <t>7.37% Government Securities-23/10/2028*</t>
  </si>
  <si>
    <t>7.04% Central Government Securities 03/06/2029*</t>
  </si>
  <si>
    <t>i) Exposure to securities classified as below investment grade or default as on 31-Oct-2025</t>
  </si>
  <si>
    <t>% to AUM as on 31-Oct-2025</t>
  </si>
  <si>
    <t>31-Oct-2025</t>
  </si>
  <si>
    <t>State Bank of India - 6.93% - 20/10/2035**</t>
  </si>
  <si>
    <t>DERIVATIVES DISCLOSURE</t>
  </si>
  <si>
    <t>Disclosure regarding Derivative positions pursuant to SEBI Circular no CIR/IMD/DF/11/2010 dated August18,2010</t>
  </si>
  <si>
    <t>DETAILS OF INVESTMENTS IN DERIVATIVE INSTRUMENTS</t>
  </si>
  <si>
    <t>A. Hedging Positions through Futures as on October 31,2025 :</t>
  </si>
  <si>
    <t>Scheme Name</t>
  </si>
  <si>
    <t>Underlying</t>
  </si>
  <si>
    <t>Long/Short</t>
  </si>
  <si>
    <t>Futures Price When Purchased</t>
  </si>
  <si>
    <t>Current Price of the contract</t>
  </si>
  <si>
    <t>Margin maintained in       (Rs in Lakhs)*</t>
  </si>
  <si>
    <t>short</t>
  </si>
  <si>
    <t xml:space="preserve">Total percentage of existing assets hedged through futures as a percentage of net assets </t>
  </si>
  <si>
    <t>%</t>
  </si>
  <si>
    <t>For the period ended October 31,2025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</si>
  <si>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</si>
  <si>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</si>
  <si>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</si>
  <si>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</si>
  <si>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</si>
  <si>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Sundaram Multi Factor Fund</t>
  </si>
  <si>
    <t>B. Other than hedging positions through futures as on October 31,2025 :</t>
  </si>
  <si>
    <t>Cholamandalam Investment &amp; Finance Company Ltd NOV-2025</t>
  </si>
  <si>
    <t>Long</t>
  </si>
  <si>
    <t xml:space="preserve">Total percentage of existing assets other than hedged through futures as a percentage of net assets </t>
  </si>
  <si>
    <t>For the period ended October 31,2025 following were the non-hedging transactions through futures which have been squared off / expired</t>
  </si>
  <si>
    <t>Gross Notional value of contracts where futures were sold      ( Rs. in Lakhs)</t>
  </si>
  <si>
    <t>Net Profit / (Loss) value on all contracts combined      (Rs. in lakhs)</t>
  </si>
  <si>
    <t>C. Hedging Positions through Put Options as on October 31,2025: NIL</t>
  </si>
  <si>
    <t>Call/Put</t>
  </si>
  <si>
    <t>Number of Contracts</t>
  </si>
  <si>
    <t>Option Price when purchased</t>
  </si>
  <si>
    <t>Current Option Price</t>
  </si>
  <si>
    <t>Total % of existing assets hedged through Put Options</t>
  </si>
  <si>
    <t xml:space="preserve"> </t>
  </si>
  <si>
    <t>For the period ended  July 31,2025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</si>
  <si>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</si>
  <si>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</si>
  <si>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</si>
  <si>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</si>
  <si>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October 31,2025 : NIL</t>
  </si>
  <si>
    <t xml:space="preserve">Total Exposure through Options other than hedging as a percentage of net assets </t>
  </si>
  <si>
    <t>For the period ended July 31,2025 , the following non hedging transactions through options which have been already exercised/expired</t>
  </si>
  <si>
    <t>Gross Notional value of contracts  bought(Rs. in Lakhs)</t>
  </si>
  <si>
    <t>Gross Notional value of contracts  sold (Rs. in Lakhs)</t>
  </si>
  <si>
    <t>E. Hedging Positions through Swaps as on October 31,2025:</t>
  </si>
  <si>
    <t>Scheme name</t>
  </si>
  <si>
    <t>Swap Type</t>
  </si>
  <si>
    <t>Underlying Security</t>
  </si>
  <si>
    <t>Long Position</t>
  </si>
  <si>
    <t>Short Position</t>
  </si>
  <si>
    <t>Notional Value (Rs. in lacs.)</t>
  </si>
  <si>
    <t>Maturity date</t>
  </si>
  <si>
    <t>Sundaram Ultra Short Duration  Fund</t>
  </si>
  <si>
    <t>Fixed to Float</t>
  </si>
  <si>
    <t>7.56% REC Ltd NCD MD 30-06-2026</t>
  </si>
  <si>
    <t>Receiving Floating</t>
  </si>
  <si>
    <t>Pay Fixed</t>
  </si>
  <si>
    <t>7.58%  NABARD- NCD-31-07-2026</t>
  </si>
  <si>
    <t>9.20% Shriram Finance Ltd 22 05 2026</t>
  </si>
  <si>
    <t>F. Hedging Positions through Interest Rate Futures as on October 31,2025: NIL</t>
  </si>
  <si>
    <t xml:space="preserve">Futures Price
When Purchased </t>
  </si>
  <si>
    <t>Current Price of
the contract</t>
  </si>
  <si>
    <t>Margin maintained
in (Rs. in Lakhs)</t>
  </si>
  <si>
    <t>Total percentage of existing assets hedged through Interest Rate Futures a Percentage of net assets</t>
  </si>
  <si>
    <t>For the period ended July 31,2025 following were the hedging transactions through Interest Rate Futures which have been squared off/ expired</t>
  </si>
  <si>
    <t>For the period ended July 31,2025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</si>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</sst>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0000;\-#,##0.000000"/>
    <numFmt numFmtId="171" formatCode="[$-1014009]#,##0.00%"/>
    <numFmt numFmtId="172" formatCode="[$-1014009]###0.0000;\(###0.0000\)"/>
    <numFmt numFmtId="173" formatCode="[$-1014009]#,##0.0000;\-#,##0.0000"/>
    <numFmt numFmtId="174" formatCode="_(* #,##0.00_);_(* \(#,##0.00\);_(* &quot;-&quot;??_);_(@_)"/>
    <numFmt numFmtId="175" formatCode="[$-1014009]#,##0.00;\(#,##0.00\)"/>
    <numFmt numFmtId="176" formatCode="_(* #,##0_);_(* \(#,##0\);_(* &quot;-&quot;??_);_(@_)"/>
    <numFmt numFmtId="177" formatCode="#,##0.0000;\(#,##0.0000\)"/>
    <numFmt numFmtId="178" formatCode="_(* #,##0.000_);_(* \(#,##0.000\);_(* &quot;-&quot;??_);_(@_)"/>
  </numFmts>
  <fonts count="32"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sz val="10"/>
      <name val="Arial"/>
      <charset val="1"/>
    </font>
    <font>
      <b/>
      <i/>
      <sz val="10"/>
      <color indexed="8"/>
      <name val="Calibri"/>
      <family val="2"/>
    </font>
    <font>
      <b/>
      <sz val="10"/>
      <name val="Arial"/>
      <family val="2"/>
    </font>
    <font>
      <sz val="10"/>
      <name val="Calibri"/>
      <family val="2"/>
    </font>
    <font>
      <sz val="10"/>
      <color theme="1"/>
      <name val="Calibri"/>
      <family val="2"/>
    </font>
    <font>
      <b/>
      <sz val="10"/>
      <color theme="1"/>
      <name val="Aptos Narrow"/>
      <family val="2"/>
      <scheme val="minor"/>
    </font>
    <font>
      <sz val="10"/>
      <name val="Arial"/>
      <family val="2"/>
    </font>
    <font>
      <sz val="10"/>
      <color theme="1"/>
      <name val="Aptos Narrow"/>
      <family val="2"/>
      <scheme val="minor"/>
    </font>
    <font>
      <sz val="11"/>
      <color indexed="8"/>
      <name val="Calibri"/>
      <family val="2"/>
    </font>
    <font>
      <b/>
      <sz val="10"/>
      <name val="Aptos Narrow"/>
      <family val="2"/>
      <scheme val="minor"/>
    </font>
    <font>
      <b/>
      <sz val="10"/>
      <color theme="1"/>
      <name val="Calibri"/>
      <family val="2"/>
    </font>
    <font>
      <b/>
      <sz val="11"/>
      <name val="Aptos Narrow"/>
      <family val="2"/>
      <scheme val="minor"/>
    </font>
    <font>
      <sz val="11"/>
      <name val="Aptos Narrow"/>
      <family val="2"/>
      <scheme val="minor"/>
    </font>
    <font>
      <b/>
      <sz val="10"/>
      <name val="Calibri"/>
      <family val="2"/>
    </font>
    <font>
      <sz val="10"/>
      <name val="Aptos Narrow"/>
      <family val="2"/>
      <scheme val="minor"/>
    </font>
    <font>
      <u/>
      <sz val="11"/>
      <color theme="10"/>
      <name val="Aptos Narrow"/>
      <family val="2"/>
      <scheme val="minor"/>
    </font>
    <font>
      <b/>
      <sz val="10"/>
      <color theme="1"/>
      <name val="Arial"/>
      <family val="2"/>
    </font>
    <font>
      <b/>
      <sz val="10"/>
      <color theme="1"/>
      <name val="Tahoma"/>
      <family val="2"/>
    </font>
    <font>
      <b/>
      <sz val="10"/>
      <color rgb="FF000000"/>
      <name val="Tahoma"/>
      <family val="2"/>
    </font>
  </fonts>
  <fills count="2">
    <fill>
      <patternFill patternType="none"/>
    </fill>
    <fill>
      <patternFill patternType="gray125"/>
    </fill>
  </fills>
  <borders count="2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28">
    <xf numFmtId="0" fontId="0" fillId="0" borderId="0">
      <alignment wrapText="1"/>
    </xf>
    <xf numFmtId="0" fontId="9" fillId="0" borderId="0" applyNumberFormat="0" applyFill="0" applyBorder="0" applyAlignment="0" applyProtection="0">
      <alignment wrapText="1"/>
    </xf>
    <xf numFmtId="43" fontId="13" fillId="0" borderId="0" applyFont="0" applyFill="0" applyBorder="0" applyAlignment="0" applyProtection="0"/>
    <xf numFmtId="9" fontId="13" fillId="0" borderId="0" applyFont="0" applyFill="0" applyBorder="0" applyAlignment="0" applyProtection="0"/>
    <xf numFmtId="0" fontId="3" fillId="0" borderId="0"/>
    <xf numFmtId="0" fontId="3" fillId="0" borderId="0"/>
    <xf numFmtId="0" fontId="19" fillId="0" borderId="0">
      <alignment wrapText="1"/>
    </xf>
    <xf numFmtId="43" fontId="3" fillId="0" borderId="0" applyFont="0" applyFill="0" applyBorder="0" applyAlignment="0" applyProtection="0"/>
    <xf numFmtId="9" fontId="21" fillId="0" borderId="0" applyFont="0" applyFill="0" applyBorder="0" applyAlignment="0" applyProtection="0"/>
    <xf numFmtId="0" fontId="19" fillId="0" borderId="0">
      <alignment wrapText="1"/>
    </xf>
    <xf numFmtId="0" fontId="19" fillId="0" borderId="0">
      <alignment wrapText="1"/>
    </xf>
    <xf numFmtId="0" fontId="2" fillId="0" borderId="0"/>
    <xf numFmtId="43" fontId="19" fillId="0" borderId="0" applyFont="0" applyFill="0" applyBorder="0" applyAlignment="0" applyProtection="0"/>
    <xf numFmtId="9" fontId="19"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9"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9" fillId="0" borderId="0"/>
    <xf numFmtId="43" fontId="21" fillId="0" borderId="0" applyFont="0" applyFill="0" applyBorder="0" applyAlignment="0" applyProtection="0"/>
    <xf numFmtId="0" fontId="19" fillId="0" borderId="0"/>
    <xf numFmtId="174" fontId="21" fillId="0" borderId="0" applyFont="0" applyFill="0" applyBorder="0" applyAlignment="0" applyProtection="0"/>
  </cellStyleXfs>
  <cellXfs count="243">
    <xf numFmtId="0" fontId="0" fillId="0" borderId="0" xfId="0">
      <alignment wrapText="1"/>
    </xf>
    <xf numFmtId="0" fontId="10" fillId="0" borderId="0" xfId="1" applyFont="1" applyFill="1" applyBorder="1" applyAlignment="1">
      <alignment horizontal="center" vertical="center" wrapText="1"/>
    </xf>
    <xf numFmtId="43" fontId="20" fillId="0" borderId="7" xfId="7" applyFont="1" applyFill="1" applyBorder="1"/>
    <xf numFmtId="4" fontId="20" fillId="0" borderId="7" xfId="8" applyNumberFormat="1" applyFont="1" applyFill="1" applyBorder="1"/>
    <xf numFmtId="0" fontId="9" fillId="0" borderId="0" xfId="1" applyFill="1" applyAlignment="1"/>
    <xf numFmtId="176" fontId="17" fillId="0" borderId="0" xfId="2" applyNumberFormat="1" applyFont="1" applyFill="1"/>
    <xf numFmtId="43" fontId="17" fillId="0" borderId="0" xfId="2" applyFont="1" applyFill="1"/>
    <xf numFmtId="10" fontId="17" fillId="0" borderId="0" xfId="3" applyNumberFormat="1" applyFont="1" applyFill="1" applyBorder="1" applyAlignment="1">
      <alignment vertical="center"/>
    </xf>
    <xf numFmtId="4" fontId="16" fillId="0" borderId="7" xfId="7" applyNumberFormat="1" applyFont="1" applyFill="1" applyBorder="1" applyAlignment="1">
      <alignment horizontal="center" vertical="center"/>
    </xf>
    <xf numFmtId="10" fontId="16" fillId="0" borderId="7" xfId="7" applyNumberFormat="1" applyFont="1" applyFill="1" applyBorder="1" applyAlignment="1">
      <alignment horizontal="center" vertical="center"/>
    </xf>
    <xf numFmtId="4" fontId="27" fillId="0" borderId="7" xfId="7" applyNumberFormat="1" applyFont="1" applyFill="1" applyBorder="1" applyAlignment="1">
      <alignment horizontal="center" vertical="center"/>
    </xf>
    <xf numFmtId="10" fontId="27" fillId="0" borderId="7" xfId="7" applyNumberFormat="1" applyFont="1" applyFill="1" applyBorder="1" applyAlignment="1">
      <alignment horizontal="center" vertical="center"/>
    </xf>
    <xf numFmtId="176" fontId="20" fillId="0" borderId="0" xfId="2" applyNumberFormat="1" applyFont="1" applyFill="1"/>
    <xf numFmtId="43" fontId="20" fillId="0" borderId="0" xfId="2" applyFont="1" applyFill="1"/>
    <xf numFmtId="43" fontId="27" fillId="0" borderId="17" xfId="7" applyFont="1" applyFill="1" applyBorder="1" applyAlignment="1">
      <alignment horizontal="right" vertical="center"/>
    </xf>
    <xf numFmtId="43" fontId="27" fillId="0" borderId="17" xfId="7" applyFont="1" applyFill="1" applyBorder="1" applyAlignment="1">
      <alignment horizontal="center" vertical="center"/>
    </xf>
    <xf numFmtId="0" fontId="24" fillId="0" borderId="7" xfId="11" applyFont="1" applyBorder="1" applyAlignment="1">
      <alignment horizontal="center" vertical="center"/>
    </xf>
    <xf numFmtId="0" fontId="25" fillId="0" borderId="0" xfId="9" applyFont="1">
      <alignment wrapText="1"/>
    </xf>
    <xf numFmtId="0" fontId="25" fillId="0" borderId="7" xfId="9" applyFont="1" applyBorder="1" applyAlignment="1">
      <alignment horizontal="center" wrapText="1"/>
    </xf>
    <xf numFmtId="0" fontId="28" fillId="0" borderId="7" xfId="1" applyFont="1" applyBorder="1" applyAlignment="1"/>
    <xf numFmtId="0" fontId="25" fillId="0" borderId="7" xfId="9" applyFont="1" applyBorder="1" applyAlignment="1"/>
    <xf numFmtId="0" fontId="9" fillId="0" borderId="7" xfId="1" applyBorder="1" applyAlignment="1"/>
    <xf numFmtId="0" fontId="22" fillId="0" borderId="0" xfId="19" applyFont="1"/>
    <xf numFmtId="0" fontId="27" fillId="0" borderId="0" xfId="19" applyFont="1"/>
    <xf numFmtId="0" fontId="22" fillId="0" borderId="19" xfId="19" applyFont="1" applyBorder="1" applyAlignment="1">
      <alignment horizontal="center" vertical="top"/>
    </xf>
    <xf numFmtId="0" fontId="22" fillId="0" borderId="19" xfId="19" applyFont="1" applyBorder="1" applyAlignment="1">
      <alignment horizontal="center" vertical="top" wrapText="1"/>
    </xf>
    <xf numFmtId="0" fontId="27" fillId="0" borderId="19" xfId="19" applyFont="1" applyBorder="1" applyAlignment="1">
      <alignment horizontal="left" vertical="top"/>
    </xf>
    <xf numFmtId="0" fontId="27" fillId="0" borderId="19" xfId="19" applyFont="1" applyBorder="1" applyAlignment="1">
      <alignment horizontal="center" vertical="top"/>
    </xf>
    <xf numFmtId="175" fontId="11" fillId="0" borderId="18" xfId="24" applyNumberFormat="1" applyFont="1" applyBorder="1" applyAlignment="1">
      <alignment horizontal="center" vertical="center" wrapText="1" readingOrder="1"/>
    </xf>
    <xf numFmtId="2" fontId="11" fillId="0" borderId="18" xfId="24" applyNumberFormat="1" applyFont="1" applyBorder="1" applyAlignment="1">
      <alignment horizontal="center" vertical="center" wrapText="1" readingOrder="1"/>
    </xf>
    <xf numFmtId="2" fontId="27" fillId="0" borderId="19" xfId="19" applyNumberFormat="1" applyFont="1" applyBorder="1" applyAlignment="1">
      <alignment horizontal="center" vertical="top" wrapText="1"/>
    </xf>
    <xf numFmtId="2" fontId="27" fillId="0" borderId="0" xfId="19" applyNumberFormat="1" applyFont="1"/>
    <xf numFmtId="175" fontId="27" fillId="0" borderId="0" xfId="19" applyNumberFormat="1" applyFont="1"/>
    <xf numFmtId="0" fontId="22" fillId="0" borderId="19" xfId="19" applyFont="1" applyBorder="1" applyAlignment="1">
      <alignment horizontal="center"/>
    </xf>
    <xf numFmtId="2" fontId="27" fillId="0" borderId="19" xfId="19" applyNumberFormat="1" applyFont="1" applyBorder="1" applyAlignment="1">
      <alignment horizontal="center"/>
    </xf>
    <xf numFmtId="0" fontId="27" fillId="0" borderId="19" xfId="19" applyFont="1" applyBorder="1"/>
    <xf numFmtId="37" fontId="27" fillId="0" borderId="19" xfId="27" applyNumberFormat="1" applyFont="1" applyFill="1" applyBorder="1" applyAlignment="1">
      <alignment horizontal="center"/>
    </xf>
    <xf numFmtId="39" fontId="27" fillId="0" borderId="19" xfId="27" applyNumberFormat="1" applyFont="1" applyFill="1" applyBorder="1" applyAlignment="1">
      <alignment horizontal="center"/>
    </xf>
    <xf numFmtId="174" fontId="27" fillId="0" borderId="0" xfId="27" applyFont="1" applyFill="1" applyBorder="1"/>
    <xf numFmtId="174" fontId="27" fillId="0" borderId="0" xfId="19" applyNumberFormat="1" applyFont="1"/>
    <xf numFmtId="4" fontId="27" fillId="0" borderId="0" xfId="19" applyNumberFormat="1" applyFont="1"/>
    <xf numFmtId="0" fontId="27" fillId="0" borderId="17" xfId="19" applyFont="1" applyBorder="1" applyAlignment="1">
      <alignment horizontal="left" vertical="top"/>
    </xf>
    <xf numFmtId="37" fontId="27" fillId="0" borderId="17" xfId="27" applyNumberFormat="1" applyFont="1" applyFill="1" applyBorder="1" applyAlignment="1">
      <alignment horizontal="center"/>
    </xf>
    <xf numFmtId="39" fontId="27" fillId="0" borderId="17" xfId="27" applyNumberFormat="1" applyFont="1" applyFill="1" applyBorder="1" applyAlignment="1">
      <alignment horizontal="center"/>
    </xf>
    <xf numFmtId="0" fontId="27" fillId="0" borderId="0" xfId="19" applyFont="1" applyAlignment="1">
      <alignment horizontal="left" vertical="top"/>
    </xf>
    <xf numFmtId="175" fontId="11" fillId="0" borderId="0" xfId="19" applyNumberFormat="1" applyFont="1" applyAlignment="1">
      <alignment horizontal="center" vertical="center" wrapText="1" readingOrder="1"/>
    </xf>
    <xf numFmtId="39" fontId="27" fillId="0" borderId="0" xfId="19" applyNumberFormat="1" applyFont="1"/>
    <xf numFmtId="0" fontId="22" fillId="0" borderId="17" xfId="19" applyFont="1" applyBorder="1" applyAlignment="1">
      <alignment horizontal="center" vertical="top"/>
    </xf>
    <xf numFmtId="0" fontId="22" fillId="0" borderId="17" xfId="19" applyFont="1" applyBorder="1" applyAlignment="1">
      <alignment horizontal="center" vertical="top" wrapText="1"/>
    </xf>
    <xf numFmtId="0" fontId="27" fillId="0" borderId="17" xfId="19" applyFont="1" applyBorder="1" applyAlignment="1">
      <alignment horizontal="center" vertical="top"/>
    </xf>
    <xf numFmtId="176" fontId="27" fillId="0" borderId="19" xfId="27" applyNumberFormat="1" applyFont="1" applyFill="1" applyBorder="1" applyAlignment="1">
      <alignment horizontal="left" vertical="top"/>
    </xf>
    <xf numFmtId="0" fontId="27" fillId="0" borderId="19" xfId="19" applyFont="1" applyBorder="1" applyAlignment="1">
      <alignment horizontal="center" vertical="top" wrapText="1"/>
    </xf>
    <xf numFmtId="37" fontId="27" fillId="0" borderId="0" xfId="19" applyNumberFormat="1" applyFont="1"/>
    <xf numFmtId="0" fontId="22" fillId="0" borderId="0" xfId="19" applyFont="1" applyAlignment="1">
      <alignment vertical="top" wrapText="1"/>
    </xf>
    <xf numFmtId="0" fontId="27" fillId="0" borderId="0" xfId="19" applyFont="1" applyAlignment="1">
      <alignment horizontal="center"/>
    </xf>
    <xf numFmtId="2" fontId="27" fillId="0" borderId="0" xfId="19" applyNumberFormat="1" applyFont="1" applyAlignment="1">
      <alignment horizontal="right"/>
    </xf>
    <xf numFmtId="0" fontId="27" fillId="0" borderId="0" xfId="19" applyFont="1" applyAlignment="1">
      <alignment horizontal="right" vertical="top" wrapText="1"/>
    </xf>
    <xf numFmtId="177" fontId="27" fillId="0" borderId="0" xfId="19" applyNumberFormat="1" applyFont="1" applyAlignment="1">
      <alignment horizontal="right" vertical="top" wrapText="1"/>
    </xf>
    <xf numFmtId="2" fontId="27" fillId="0" borderId="0" xfId="19" applyNumberFormat="1" applyFont="1" applyAlignment="1">
      <alignment horizontal="center"/>
    </xf>
    <xf numFmtId="10" fontId="27" fillId="0" borderId="0" xfId="19" applyNumberFormat="1" applyFont="1" applyAlignment="1">
      <alignment horizontal="center"/>
    </xf>
    <xf numFmtId="0" fontId="27" fillId="0" borderId="19" xfId="19" applyFont="1" applyBorder="1" applyAlignment="1">
      <alignment horizontal="left"/>
    </xf>
    <xf numFmtId="174" fontId="27" fillId="0" borderId="19" xfId="27" applyFont="1" applyFill="1" applyBorder="1" applyAlignment="1">
      <alignment horizontal="center" vertical="top" wrapText="1"/>
    </xf>
    <xf numFmtId="0" fontId="27" fillId="0" borderId="0" xfId="19" applyFont="1" applyAlignment="1">
      <alignment horizontal="left"/>
    </xf>
    <xf numFmtId="0" fontId="27" fillId="0" borderId="0" xfId="19" applyFont="1" applyAlignment="1">
      <alignment horizontal="right" vertical="top"/>
    </xf>
    <xf numFmtId="2" fontId="27" fillId="0" borderId="0" xfId="19" applyNumberFormat="1" applyFont="1" applyAlignment="1">
      <alignment horizontal="right" vertical="top"/>
    </xf>
    <xf numFmtId="178" fontId="27" fillId="0" borderId="0" xfId="27" applyNumberFormat="1" applyFont="1" applyFill="1" applyBorder="1" applyAlignment="1">
      <alignment horizontal="center" vertical="top" wrapText="1"/>
    </xf>
    <xf numFmtId="0" fontId="27" fillId="0" borderId="0" xfId="19" applyFont="1" applyAlignment="1" applyProtection="1">
      <alignment horizontal="left"/>
      <protection locked="0"/>
    </xf>
    <xf numFmtId="0" fontId="27" fillId="0" borderId="0" xfId="19" applyFont="1" applyAlignment="1">
      <alignment horizontal="left" vertical="top" wrapText="1"/>
    </xf>
    <xf numFmtId="176" fontId="27" fillId="0" borderId="0" xfId="27" applyNumberFormat="1" applyFont="1" applyFill="1" applyBorder="1" applyAlignment="1">
      <alignment horizontal="right" vertical="top" wrapText="1"/>
    </xf>
    <xf numFmtId="4" fontId="27" fillId="0" borderId="0" xfId="27" applyNumberFormat="1" applyFont="1" applyFill="1" applyBorder="1"/>
    <xf numFmtId="0" fontId="29" fillId="0" borderId="19" xfId="19" applyFont="1" applyBorder="1"/>
    <xf numFmtId="0" fontId="30" fillId="0" borderId="19" xfId="19" applyFont="1" applyBorder="1" applyAlignment="1">
      <alignment horizontal="left" wrapText="1"/>
    </xf>
    <xf numFmtId="0" fontId="31" fillId="0" borderId="19" xfId="19" applyFont="1" applyBorder="1" applyAlignment="1">
      <alignment horizontal="left" wrapText="1"/>
    </xf>
    <xf numFmtId="174" fontId="27" fillId="0" borderId="19" xfId="27" applyFont="1" applyFill="1" applyBorder="1" applyAlignment="1">
      <alignment horizontal="left" vertical="top"/>
    </xf>
    <xf numFmtId="14" fontId="27" fillId="0" borderId="19" xfId="27" applyNumberFormat="1" applyFont="1" applyFill="1" applyBorder="1" applyAlignment="1">
      <alignment horizontal="center" vertical="top"/>
    </xf>
    <xf numFmtId="174" fontId="27" fillId="0" borderId="19" xfId="27" applyFont="1" applyFill="1" applyBorder="1" applyAlignment="1"/>
    <xf numFmtId="0" fontId="27" fillId="0" borderId="19" xfId="19" applyFont="1" applyBorder="1" applyAlignment="1">
      <alignment horizontal="center"/>
    </xf>
    <xf numFmtId="4" fontId="27" fillId="0" borderId="19" xfId="19" applyNumberFormat="1" applyFont="1" applyBorder="1" applyAlignment="1">
      <alignment horizontal="center"/>
    </xf>
    <xf numFmtId="4" fontId="27" fillId="0" borderId="19" xfId="27" applyNumberFormat="1" applyFont="1" applyFill="1" applyBorder="1" applyAlignment="1">
      <alignment horizontal="center"/>
    </xf>
    <xf numFmtId="4" fontId="22" fillId="0" borderId="19" xfId="19" applyNumberFormat="1" applyFont="1" applyBorder="1" applyAlignment="1">
      <alignment horizontal="center" vertical="top" wrapText="1"/>
    </xf>
    <xf numFmtId="4" fontId="27" fillId="0" borderId="19" xfId="19" applyNumberFormat="1" applyFont="1" applyBorder="1" applyAlignment="1">
      <alignment horizontal="center" vertical="top" wrapText="1"/>
    </xf>
    <xf numFmtId="0" fontId="8" fillId="0" borderId="8" xfId="0" applyFont="1" applyBorder="1" applyAlignment="1">
      <alignment horizontal="center" vertical="center" wrapText="1" readingOrder="1"/>
    </xf>
    <xf numFmtId="0" fontId="8" fillId="0" borderId="9" xfId="0" applyFont="1" applyBorder="1" applyAlignment="1">
      <alignment horizontal="center" vertical="center" wrapText="1" readingOrder="1"/>
    </xf>
    <xf numFmtId="0" fontId="0" fillId="0" borderId="0" xfId="0" applyAlignment="1">
      <alignment horizontal="center" vertical="center" wrapText="1"/>
    </xf>
    <xf numFmtId="0" fontId="11" fillId="0" borderId="4" xfId="0" applyFont="1" applyBorder="1" applyAlignment="1">
      <alignment horizontal="right" vertical="top" wrapText="1" readingOrder="1"/>
    </xf>
    <xf numFmtId="0" fontId="12" fillId="0" borderId="4" xfId="0" applyFont="1" applyBorder="1" applyAlignment="1">
      <alignment horizontal="left" vertical="center" wrapText="1" readingOrder="1"/>
    </xf>
    <xf numFmtId="166" fontId="11" fillId="0" borderId="7" xfId="0" applyNumberFormat="1" applyFont="1" applyBorder="1" applyAlignment="1">
      <alignment horizontal="right" vertical="center" wrapText="1" readingOrder="1"/>
    </xf>
    <xf numFmtId="164" fontId="11" fillId="0" borderId="4" xfId="0" applyNumberFormat="1" applyFont="1" applyBorder="1" applyAlignment="1">
      <alignment horizontal="right" vertical="center" wrapText="1" readingOrder="1"/>
    </xf>
    <xf numFmtId="0" fontId="11" fillId="0" borderId="4" xfId="0" applyFont="1" applyBorder="1" applyAlignment="1">
      <alignment horizontal="left" vertical="center" wrapText="1" readingOrder="1"/>
    </xf>
    <xf numFmtId="165" fontId="11" fillId="0" borderId="4" xfId="0" applyNumberFormat="1" applyFont="1" applyBorder="1" applyAlignment="1">
      <alignment horizontal="right" vertical="center" wrapText="1" readingOrder="1"/>
    </xf>
    <xf numFmtId="166" fontId="11" fillId="0" borderId="4" xfId="0" applyNumberFormat="1" applyFont="1" applyBorder="1" applyAlignment="1">
      <alignment horizontal="right" vertical="center" wrapText="1" readingOrder="1"/>
    </xf>
    <xf numFmtId="167" fontId="11" fillId="0" borderId="4" xfId="0" applyNumberFormat="1" applyFont="1" applyBorder="1" applyAlignment="1">
      <alignment horizontal="right" vertical="center" wrapText="1" readingOrder="1"/>
    </xf>
    <xf numFmtId="164"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5" fontId="4" fillId="0" borderId="4" xfId="0" applyNumberFormat="1"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0" fontId="4" fillId="0" borderId="4" xfId="0"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0" fontId="14" fillId="0" borderId="0" xfId="0" applyFont="1" applyAlignment="1">
      <alignment horizontal="left" vertical="center" wrapText="1" readingOrder="1"/>
    </xf>
    <xf numFmtId="0" fontId="12" fillId="0" borderId="0" xfId="0" applyFont="1" applyAlignment="1">
      <alignment horizontal="left" vertical="center" wrapText="1" readingOrder="1"/>
    </xf>
    <xf numFmtId="0" fontId="14" fillId="0" borderId="0" xfId="0" applyFont="1" applyAlignment="1">
      <alignment horizontal="right" vertical="center" wrapText="1" readingOrder="1"/>
    </xf>
    <xf numFmtId="166" fontId="12" fillId="0" borderId="0" xfId="0" applyNumberFormat="1" applyFont="1" applyAlignment="1">
      <alignment horizontal="right" vertical="center" wrapText="1" readingOrder="1"/>
    </xf>
    <xf numFmtId="168" fontId="12" fillId="0" borderId="0" xfId="0" applyNumberFormat="1" applyFont="1" applyAlignment="1">
      <alignment horizontal="right" vertical="center" wrapText="1" readingOrder="1"/>
    </xf>
    <xf numFmtId="166" fontId="11" fillId="0" borderId="0" xfId="0" applyNumberFormat="1" applyFont="1" applyAlignment="1">
      <alignment horizontal="right" vertical="center" wrapText="1" readingOrder="1"/>
    </xf>
    <xf numFmtId="0" fontId="11" fillId="0" borderId="0" xfId="0" applyFont="1" applyAlignment="1">
      <alignment horizontal="left" vertical="center" wrapText="1" readingOrder="1"/>
    </xf>
    <xf numFmtId="0" fontId="15" fillId="0" borderId="0" xfId="0" applyFont="1" applyAlignment="1">
      <alignment horizontal="center" vertical="center" wrapText="1"/>
    </xf>
    <xf numFmtId="0" fontId="14" fillId="0" borderId="0" xfId="4" applyFont="1" applyAlignment="1">
      <alignment horizontal="left" vertical="center" wrapText="1" readingOrder="1"/>
    </xf>
    <xf numFmtId="0" fontId="3" fillId="0" borderId="0" xfId="4" applyAlignment="1">
      <alignment wrapText="1"/>
    </xf>
    <xf numFmtId="0" fontId="14" fillId="0" borderId="6" xfId="0" applyFont="1" applyBorder="1" applyAlignment="1">
      <alignment horizontal="right" vertical="center" wrapText="1" readingOrder="1"/>
    </xf>
    <xf numFmtId="0" fontId="14" fillId="0" borderId="4" xfId="0" applyFont="1" applyBorder="1" applyAlignment="1">
      <alignment horizontal="right" vertical="center" wrapText="1" readingOrder="1"/>
    </xf>
    <xf numFmtId="0" fontId="11" fillId="0" borderId="0" xfId="0" applyFont="1" applyAlignment="1">
      <alignment horizontal="right" vertical="top" wrapText="1" readingOrder="1"/>
    </xf>
    <xf numFmtId="0" fontId="12" fillId="0" borderId="4" xfId="0" applyFont="1" applyBorder="1" applyAlignment="1">
      <alignment horizontal="right" vertical="top" wrapText="1" readingOrder="1"/>
    </xf>
    <xf numFmtId="0" fontId="12" fillId="0" borderId="4" xfId="0" applyFont="1" applyBorder="1" applyAlignment="1">
      <alignment horizontal="center" vertical="top" wrapText="1" readingOrder="1"/>
    </xf>
    <xf numFmtId="15" fontId="12" fillId="0" borderId="4" xfId="0" applyNumberFormat="1" applyFont="1" applyBorder="1" applyAlignment="1">
      <alignment horizontal="right" vertical="top" wrapText="1" readingOrder="1"/>
    </xf>
    <xf numFmtId="0" fontId="4" fillId="0" borderId="0" xfId="0" applyFont="1" applyAlignment="1">
      <alignment horizontal="right" vertical="top" wrapText="1" readingOrder="1"/>
    </xf>
    <xf numFmtId="169"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173" fontId="4"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5" fillId="0" borderId="5" xfId="0" applyFont="1" applyBorder="1" applyAlignment="1">
      <alignment horizontal="left" vertical="center" wrapText="1" readingOrder="1"/>
    </xf>
    <xf numFmtId="0" fontId="11" fillId="0" borderId="6" xfId="0" applyFont="1" applyBorder="1" applyAlignment="1">
      <alignment horizontal="right" vertical="top" wrapText="1" readingOrder="1"/>
    </xf>
    <xf numFmtId="171" fontId="12" fillId="0" borderId="4" xfId="0" applyNumberFormat="1" applyFont="1" applyBorder="1" applyAlignment="1">
      <alignment horizontal="left" vertical="center" wrapText="1" readingOrder="1"/>
    </xf>
    <xf numFmtId="0" fontId="11" fillId="0" borderId="0" xfId="0" applyFont="1" applyAlignment="1">
      <alignment horizontal="right" vertical="center" wrapText="1" readingOrder="1"/>
    </xf>
    <xf numFmtId="0" fontId="15" fillId="0" borderId="0" xfId="0" applyFont="1" applyAlignment="1"/>
    <xf numFmtId="0" fontId="0" fillId="0" borderId="0" xfId="0" applyAlignment="1"/>
    <xf numFmtId="0" fontId="0" fillId="0" borderId="0" xfId="0" applyAlignment="1">
      <alignment horizontal="center" vertical="top" readingOrder="1"/>
    </xf>
    <xf numFmtId="0" fontId="14" fillId="0" borderId="4" xfId="0" applyFont="1" applyBorder="1" applyAlignment="1">
      <alignment horizontal="left" vertical="center" wrapText="1" readingOrder="1"/>
    </xf>
    <xf numFmtId="166" fontId="12" fillId="0" borderId="4" xfId="0" applyNumberFormat="1" applyFont="1" applyBorder="1" applyAlignment="1">
      <alignment horizontal="right" vertical="center" wrapText="1" readingOrder="1"/>
    </xf>
    <xf numFmtId="167" fontId="12" fillId="0" borderId="4" xfId="0" applyNumberFormat="1" applyFont="1" applyBorder="1" applyAlignment="1">
      <alignment horizontal="right" vertical="center" wrapText="1" readingOrder="1"/>
    </xf>
    <xf numFmtId="172" fontId="4" fillId="0" borderId="4" xfId="0" applyNumberFormat="1" applyFont="1" applyBorder="1" applyAlignment="1">
      <alignment horizontal="right" vertical="center" wrapText="1" readingOrder="1"/>
    </xf>
    <xf numFmtId="0" fontId="16" fillId="0" borderId="7" xfId="0" applyFont="1" applyBorder="1" applyAlignment="1">
      <alignment horizontal="center" vertical="center" wrapText="1"/>
    </xf>
    <xf numFmtId="0" fontId="16" fillId="0" borderId="7" xfId="0" applyFont="1" applyBorder="1">
      <alignment wrapText="1"/>
    </xf>
    <xf numFmtId="0" fontId="16" fillId="0" borderId="7" xfId="0" applyFont="1" applyBorder="1" applyAlignment="1">
      <alignment horizontal="justify" vertical="center" wrapText="1"/>
    </xf>
    <xf numFmtId="175" fontId="12" fillId="0" borderId="4" xfId="0" applyNumberFormat="1" applyFont="1" applyBorder="1" applyAlignment="1">
      <alignment horizontal="left" vertical="center" wrapText="1" readingOrder="1"/>
    </xf>
    <xf numFmtId="14" fontId="16" fillId="0" borderId="7" xfId="0" quotePrefix="1" applyNumberFormat="1" applyFont="1" applyBorder="1" applyAlignment="1">
      <alignment horizontal="justify" vertical="center" wrapText="1"/>
    </xf>
    <xf numFmtId="170" fontId="4" fillId="0" borderId="4" xfId="0" applyNumberFormat="1" applyFont="1" applyBorder="1" applyAlignment="1">
      <alignment horizontal="right" vertical="center" wrapText="1" readingOrder="1"/>
    </xf>
    <xf numFmtId="166" fontId="12" fillId="0" borderId="4" xfId="0" applyNumberFormat="1" applyFont="1" applyBorder="1" applyAlignment="1">
      <alignment horizontal="left" vertical="center" wrapText="1" readingOrder="1"/>
    </xf>
    <xf numFmtId="0" fontId="19" fillId="0" borderId="0" xfId="0" applyFont="1" applyAlignment="1"/>
    <xf numFmtId="0" fontId="12" fillId="0" borderId="4" xfId="0" applyFont="1" applyBorder="1" applyAlignment="1">
      <alignment horizontal="right" vertical="center" wrapText="1" readingOrder="1"/>
    </xf>
    <xf numFmtId="0" fontId="16" fillId="0" borderId="0" xfId="0" applyFont="1" applyAlignment="1"/>
    <xf numFmtId="0" fontId="20" fillId="0" borderId="0" xfId="0" applyFont="1" applyAlignment="1"/>
    <xf numFmtId="0" fontId="18" fillId="0" borderId="17" xfId="0" applyFont="1" applyBorder="1" applyAlignment="1">
      <alignment horizontal="center" wrapText="1"/>
    </xf>
    <xf numFmtId="0" fontId="27" fillId="0" borderId="17" xfId="0" applyFont="1" applyBorder="1" applyAlignment="1">
      <alignment horizontal="left" vertical="center"/>
    </xf>
    <xf numFmtId="0" fontId="27" fillId="0" borderId="17" xfId="0" applyFont="1" applyBorder="1" applyAlignment="1">
      <alignment horizontal="center" vertical="center"/>
    </xf>
    <xf numFmtId="4" fontId="27" fillId="0" borderId="17" xfId="0" applyNumberFormat="1" applyFont="1" applyBorder="1" applyAlignment="1">
      <alignment horizontal="right" vertical="center"/>
    </xf>
    <xf numFmtId="0" fontId="18" fillId="0" borderId="7" xfId="0" applyFont="1" applyBorder="1" applyAlignment="1">
      <alignment horizontal="center" vertical="center" wrapText="1"/>
    </xf>
    <xf numFmtId="0" fontId="27" fillId="0" borderId="7" xfId="0" applyFont="1" applyBorder="1" applyAlignment="1">
      <alignment horizontal="left" vertical="center"/>
    </xf>
    <xf numFmtId="0" fontId="27" fillId="0" borderId="7" xfId="0" applyFont="1" applyBorder="1" applyAlignment="1">
      <alignment horizontal="center" vertical="center"/>
    </xf>
    <xf numFmtId="4" fontId="27" fillId="0" borderId="7" xfId="0" applyNumberFormat="1" applyFont="1" applyBorder="1" applyAlignment="1">
      <alignment horizontal="center" vertical="center"/>
    </xf>
    <xf numFmtId="0" fontId="16" fillId="0" borderId="7" xfId="0" applyFont="1" applyBorder="1" applyAlignment="1">
      <alignment horizontal="justify" vertical="center"/>
    </xf>
    <xf numFmtId="167" fontId="16" fillId="0" borderId="4" xfId="0" applyNumberFormat="1" applyFont="1" applyBorder="1" applyAlignment="1">
      <alignment horizontal="right" vertical="center" wrapText="1" readingOrder="1"/>
    </xf>
    <xf numFmtId="0" fontId="16" fillId="0" borderId="0" xfId="0" applyFont="1">
      <alignment wrapText="1"/>
    </xf>
    <xf numFmtId="0" fontId="17" fillId="0" borderId="0" xfId="0" applyFont="1" applyAlignment="1"/>
    <xf numFmtId="0" fontId="23" fillId="0" borderId="7" xfId="0" applyFont="1" applyBorder="1" applyAlignment="1">
      <alignment horizontal="left" wrapText="1"/>
    </xf>
    <xf numFmtId="0" fontId="23" fillId="0" borderId="7" xfId="0" applyFont="1" applyBorder="1" applyAlignment="1">
      <alignment horizontal="center" wrapText="1"/>
    </xf>
    <xf numFmtId="0" fontId="16" fillId="0" borderId="7" xfId="0" applyFont="1" applyBorder="1" applyAlignment="1">
      <alignment horizontal="left" vertical="center" wrapText="1"/>
    </xf>
    <xf numFmtId="0" fontId="16" fillId="0" borderId="7" xfId="0" applyFont="1" applyBorder="1" applyAlignment="1">
      <alignment horizontal="center" vertical="center"/>
    </xf>
    <xf numFmtId="4" fontId="16" fillId="0" borderId="7" xfId="0" applyNumberFormat="1" applyFont="1" applyBorder="1" applyAlignment="1">
      <alignment horizontal="center" vertical="center"/>
    </xf>
    <xf numFmtId="0" fontId="12" fillId="0" borderId="4" xfId="10" applyFont="1" applyBorder="1" applyAlignment="1">
      <alignment horizontal="left" vertical="center" wrapText="1" readingOrder="1"/>
    </xf>
    <xf numFmtId="0" fontId="0" fillId="0" borderId="0" xfId="0" applyAlignment="1">
      <alignment vertical="center" wrapText="1"/>
    </xf>
    <xf numFmtId="0" fontId="19" fillId="0" borderId="0" xfId="6">
      <alignment wrapText="1"/>
    </xf>
    <xf numFmtId="0" fontId="18" fillId="0" borderId="7" xfId="5" applyFont="1" applyBorder="1" applyAlignment="1">
      <alignment horizontal="center" vertical="center" wrapText="1"/>
    </xf>
    <xf numFmtId="0" fontId="20" fillId="0" borderId="7" xfId="5" applyFont="1" applyBorder="1"/>
    <xf numFmtId="0" fontId="20" fillId="0" borderId="7" xfId="5" applyFont="1" applyBorder="1" applyAlignment="1">
      <alignment wrapText="1"/>
    </xf>
    <xf numFmtId="4" fontId="16" fillId="0" borderId="7" xfId="0" applyNumberFormat="1" applyFont="1" applyBorder="1" applyAlignment="1">
      <alignment vertical="center"/>
    </xf>
    <xf numFmtId="174" fontId="20" fillId="0" borderId="7" xfId="5" applyNumberFormat="1" applyFont="1" applyBorder="1"/>
    <xf numFmtId="0" fontId="16" fillId="0" borderId="0" xfId="0" applyFont="1" applyAlignment="1">
      <alignment vertical="center" wrapText="1"/>
    </xf>
    <xf numFmtId="0" fontId="16" fillId="0" borderId="0" xfId="0" applyFont="1" applyAlignment="1">
      <alignment vertical="center"/>
    </xf>
    <xf numFmtId="2" fontId="16" fillId="0" borderId="0" xfId="0" applyNumberFormat="1" applyFont="1" applyAlignment="1">
      <alignment vertical="center"/>
    </xf>
    <xf numFmtId="4" fontId="16" fillId="0" borderId="0" xfId="0" applyNumberFormat="1" applyFont="1" applyAlignment="1">
      <alignment vertical="center"/>
    </xf>
    <xf numFmtId="0" fontId="20" fillId="0" borderId="0" xfId="5" applyFont="1" applyAlignment="1">
      <alignment vertical="center" wrapText="1"/>
    </xf>
    <xf numFmtId="0" fontId="22" fillId="0" borderId="0" xfId="0" applyFont="1" applyAlignment="1"/>
    <xf numFmtId="0" fontId="11" fillId="0" borderId="18" xfId="0" applyFont="1" applyBorder="1" applyAlignment="1">
      <alignment horizontal="left" vertical="center" wrapText="1" readingOrder="1"/>
    </xf>
    <xf numFmtId="0" fontId="17" fillId="0" borderId="0" xfId="0" applyFont="1" applyAlignment="1">
      <alignment vertical="center"/>
    </xf>
    <xf numFmtId="0" fontId="23" fillId="0" borderId="7" xfId="4" applyFont="1" applyBorder="1" applyAlignment="1">
      <alignment horizontal="center" vertical="center"/>
    </xf>
    <xf numFmtId="0" fontId="17" fillId="0" borderId="7" xfId="4" applyFont="1" applyBorder="1" applyAlignment="1">
      <alignment vertical="center"/>
    </xf>
    <xf numFmtId="0" fontId="17" fillId="0" borderId="7" xfId="4" applyFont="1" applyBorder="1" applyAlignment="1">
      <alignment vertical="center" wrapText="1"/>
    </xf>
    <xf numFmtId="0" fontId="23" fillId="0" borderId="7" xfId="4" applyFont="1" applyBorder="1" applyAlignment="1">
      <alignment horizontal="center" vertical="center" wrapText="1"/>
    </xf>
    <xf numFmtId="0" fontId="24" fillId="0" borderId="0" xfId="9" applyFont="1" applyAlignment="1">
      <alignment horizontal="center" vertical="center"/>
    </xf>
    <xf numFmtId="0" fontId="17" fillId="0" borderId="7" xfId="4" applyFont="1" applyBorder="1" applyAlignment="1">
      <alignment horizontal="left" vertical="center"/>
    </xf>
    <xf numFmtId="2" fontId="17" fillId="0" borderId="7" xfId="4" applyNumberFormat="1" applyFont="1" applyBorder="1" applyAlignment="1">
      <alignment horizontal="right" vertical="center" wrapText="1"/>
    </xf>
    <xf numFmtId="4" fontId="17" fillId="0" borderId="7" xfId="4" applyNumberFormat="1" applyFont="1" applyBorder="1" applyAlignment="1">
      <alignment horizontal="right" vertical="center"/>
    </xf>
    <xf numFmtId="10" fontId="17" fillId="0" borderId="7" xfId="3" applyNumberFormat="1" applyFont="1" applyFill="1" applyBorder="1" applyAlignment="1">
      <alignment vertical="center" wrapText="1"/>
    </xf>
    <xf numFmtId="4" fontId="25" fillId="0" borderId="0" xfId="4" applyNumberFormat="1" applyFont="1" applyAlignment="1">
      <alignment vertical="center"/>
    </xf>
    <xf numFmtId="0" fontId="26" fillId="0" borderId="7" xfId="0" applyFont="1" applyBorder="1" applyAlignment="1">
      <alignment horizontal="justify" vertical="center" wrapText="1"/>
    </xf>
    <xf numFmtId="0" fontId="11" fillId="0" borderId="5" xfId="0" applyFont="1" applyBorder="1" applyAlignment="1">
      <alignment horizontal="left" vertical="center" wrapText="1" readingOrder="1"/>
    </xf>
    <xf numFmtId="0" fontId="12" fillId="0" borderId="5" xfId="0" applyFont="1" applyBorder="1" applyAlignment="1">
      <alignment horizontal="left" vertical="center" wrapText="1" readingOrder="1"/>
    </xf>
    <xf numFmtId="0" fontId="19" fillId="0" borderId="0" xfId="9">
      <alignment wrapText="1"/>
    </xf>
    <xf numFmtId="0" fontId="15" fillId="0" borderId="0" xfId="0" applyFont="1" applyAlignment="1">
      <alignment horizontal="left" vertical="top" wrapText="1"/>
    </xf>
    <xf numFmtId="0" fontId="11" fillId="0" borderId="0" xfId="0" applyFont="1" applyAlignment="1">
      <alignment horizontal="left" vertical="center" wrapText="1" readingOrder="1"/>
    </xf>
    <xf numFmtId="0" fontId="11" fillId="0" borderId="0" xfId="0" applyFont="1" applyAlignment="1">
      <alignment horizontal="justify" vertical="top" wrapText="1" readingOrder="1"/>
    </xf>
    <xf numFmtId="0" fontId="12" fillId="0" borderId="1" xfId="0" applyFont="1" applyBorder="1" applyAlignment="1">
      <alignment horizontal="left" vertical="center" wrapText="1" readingOrder="1"/>
    </xf>
    <xf numFmtId="0" fontId="12" fillId="0" borderId="2" xfId="0" applyFont="1" applyBorder="1" applyAlignment="1">
      <alignment horizontal="left" vertical="center" wrapText="1" readingOrder="1"/>
    </xf>
    <xf numFmtId="0" fontId="12" fillId="0" borderId="3" xfId="0" applyFont="1" applyBorder="1" applyAlignment="1">
      <alignment horizontal="left" vertical="center" wrapText="1" readingOrder="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8" fillId="0" borderId="7"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11" fillId="0" borderId="11" xfId="0" applyFont="1" applyBorder="1" applyAlignment="1">
      <alignment horizontal="left" vertical="center" wrapText="1" readingOrder="1"/>
    </xf>
    <xf numFmtId="0" fontId="11" fillId="0" borderId="12" xfId="0" applyFont="1" applyBorder="1" applyAlignment="1">
      <alignment horizontal="left" vertical="center" wrapText="1" readingOrder="1"/>
    </xf>
    <xf numFmtId="0" fontId="11" fillId="0" borderId="13" xfId="0" applyFont="1" applyBorder="1" applyAlignment="1">
      <alignment horizontal="left" vertical="center" wrapText="1" readingOrder="1"/>
    </xf>
    <xf numFmtId="0" fontId="11" fillId="0" borderId="7" xfId="0" applyFont="1" applyBorder="1" applyAlignment="1">
      <alignment horizontal="left" vertical="center" wrapText="1" readingOrder="1"/>
    </xf>
    <xf numFmtId="0" fontId="26" fillId="0" borderId="11" xfId="0" applyFont="1" applyBorder="1" applyAlignment="1">
      <alignment horizontal="center" vertical="center"/>
    </xf>
    <xf numFmtId="0" fontId="26" fillId="0" borderId="12" xfId="0" applyFont="1" applyBorder="1" applyAlignment="1">
      <alignment horizontal="center" vertical="center"/>
    </xf>
    <xf numFmtId="0" fontId="26" fillId="0" borderId="13" xfId="0" applyFont="1" applyBorder="1" applyAlignment="1">
      <alignment horizontal="center" vertical="center"/>
    </xf>
    <xf numFmtId="0" fontId="23" fillId="0" borderId="11" xfId="4" applyFont="1" applyBorder="1" applyAlignment="1">
      <alignment horizontal="center" vertical="center"/>
    </xf>
    <xf numFmtId="0" fontId="23" fillId="0" borderId="12" xfId="4" applyFont="1" applyBorder="1" applyAlignment="1">
      <alignment horizontal="center" vertical="center"/>
    </xf>
    <xf numFmtId="0" fontId="23" fillId="0" borderId="13" xfId="4" applyFont="1" applyBorder="1" applyAlignment="1">
      <alignment horizontal="center" vertical="center"/>
    </xf>
    <xf numFmtId="0" fontId="23" fillId="0" borderId="7" xfId="4" applyFont="1" applyBorder="1" applyAlignment="1">
      <alignment horizontal="center" vertical="center"/>
    </xf>
    <xf numFmtId="0" fontId="17" fillId="0" borderId="11" xfId="4" applyFont="1" applyBorder="1" applyAlignment="1">
      <alignment horizontal="left" vertical="center" wrapText="1"/>
    </xf>
    <xf numFmtId="0" fontId="17" fillId="0" borderId="12" xfId="4" applyFont="1" applyBorder="1" applyAlignment="1">
      <alignment horizontal="left" vertical="center" wrapText="1"/>
    </xf>
    <xf numFmtId="0" fontId="17" fillId="0" borderId="13" xfId="4" applyFont="1" applyBorder="1" applyAlignment="1">
      <alignment horizontal="left" vertical="center" wrapText="1"/>
    </xf>
    <xf numFmtId="0" fontId="20" fillId="0" borderId="0" xfId="5" applyFont="1" applyAlignment="1">
      <alignment horizontal="justify" vertical="center" wrapText="1"/>
    </xf>
    <xf numFmtId="0" fontId="23" fillId="0" borderId="11" xfId="4" applyFont="1" applyBorder="1" applyAlignment="1">
      <alignment horizontal="center" vertical="center" wrapText="1"/>
    </xf>
    <xf numFmtId="0" fontId="23" fillId="0" borderId="13" xfId="4" applyFont="1" applyBorder="1" applyAlignment="1">
      <alignment horizontal="center" vertical="center" wrapText="1"/>
    </xf>
    <xf numFmtId="0" fontId="17" fillId="0" borderId="11" xfId="2" applyNumberFormat="1" applyFont="1" applyFill="1" applyBorder="1" applyAlignment="1">
      <alignment horizontal="center" vertical="center"/>
    </xf>
    <xf numFmtId="0" fontId="17" fillId="0" borderId="13" xfId="2" applyNumberFormat="1" applyFont="1" applyFill="1" applyBorder="1" applyAlignment="1">
      <alignment horizontal="center" vertical="center"/>
    </xf>
    <xf numFmtId="0" fontId="18" fillId="0" borderId="11" xfId="5" applyFont="1" applyBorder="1" applyAlignment="1">
      <alignment horizontal="center" vertical="center" wrapText="1"/>
    </xf>
    <xf numFmtId="0" fontId="18" fillId="0" borderId="12" xfId="5" applyFont="1" applyBorder="1" applyAlignment="1">
      <alignment horizontal="center" vertical="center" wrapText="1"/>
    </xf>
    <xf numFmtId="0" fontId="18" fillId="0" borderId="13" xfId="5" applyFont="1" applyBorder="1" applyAlignment="1">
      <alignment horizontal="center" vertical="center" wrapText="1"/>
    </xf>
    <xf numFmtId="0" fontId="18" fillId="0" borderId="10" xfId="5" applyFont="1" applyBorder="1" applyAlignment="1">
      <alignment horizontal="center" vertical="center" wrapText="1"/>
    </xf>
    <xf numFmtId="0" fontId="18" fillId="0" borderId="9" xfId="5" applyFont="1" applyBorder="1" applyAlignment="1">
      <alignment horizontal="center" vertical="center" wrapText="1"/>
    </xf>
    <xf numFmtId="0" fontId="18" fillId="0" borderId="15" xfId="5" applyFont="1" applyBorder="1" applyAlignment="1">
      <alignment horizontal="center" vertical="center" wrapText="1"/>
    </xf>
    <xf numFmtId="0" fontId="18" fillId="0" borderId="16" xfId="5" applyFont="1" applyBorder="1" applyAlignment="1">
      <alignment horizontal="center" vertical="center" wrapText="1"/>
    </xf>
    <xf numFmtId="0" fontId="18" fillId="0" borderId="10" xfId="5" applyFont="1" applyBorder="1" applyAlignment="1">
      <alignment horizontal="center" vertical="center"/>
    </xf>
    <xf numFmtId="0" fontId="18" fillId="0" borderId="14" xfId="5" applyFont="1" applyBorder="1" applyAlignment="1">
      <alignment horizontal="center" vertical="center"/>
    </xf>
    <xf numFmtId="0" fontId="18" fillId="0" borderId="9" xfId="5" applyFont="1" applyBorder="1" applyAlignment="1">
      <alignment horizontal="center" vertical="center"/>
    </xf>
    <xf numFmtId="0" fontId="18" fillId="0" borderId="11" xfId="5" applyFont="1" applyBorder="1" applyAlignment="1">
      <alignment horizontal="center" vertical="center"/>
    </xf>
    <xf numFmtId="0" fontId="18" fillId="0" borderId="12" xfId="5" applyFont="1" applyBorder="1" applyAlignment="1">
      <alignment horizontal="center" vertical="center"/>
    </xf>
    <xf numFmtId="0" fontId="18" fillId="0" borderId="13" xfId="5" applyFont="1" applyBorder="1" applyAlignment="1">
      <alignment horizontal="center" vertical="center"/>
    </xf>
    <xf numFmtId="0" fontId="22" fillId="0" borderId="0" xfId="19" applyFont="1" applyAlignment="1">
      <alignment horizontal="center"/>
    </xf>
  </cellXfs>
  <cellStyles count="28">
    <cellStyle name="Comma" xfId="2" builtinId="3"/>
    <cellStyle name="Comma 2" xfId="7" xr:uid="{19F644AB-94F2-4E75-BDBE-C16006E02234}"/>
    <cellStyle name="Comma 2 2" xfId="21" xr:uid="{EA22D52D-F838-416C-92D9-F738DB801CA8}"/>
    <cellStyle name="Comma 2 3" xfId="16" xr:uid="{FD365189-5BF3-4BED-8960-DB6FEC3F50FE}"/>
    <cellStyle name="Comma 3" xfId="25" xr:uid="{D60E2F19-38EF-4776-ADA5-A0606FB121BF}"/>
    <cellStyle name="Comma 4" xfId="18" xr:uid="{DD7E8BB4-6D79-4716-8746-3A760FF7AA29}"/>
    <cellStyle name="Comma 5" xfId="12" xr:uid="{DCEFB8A7-8AEA-4B2F-82D8-4A3956A2083B}"/>
    <cellStyle name="Comma 6" xfId="27" xr:uid="{B537D75B-EBA0-4791-AFC4-D4392ED03A5B}"/>
    <cellStyle name="Hyperlink 2" xfId="1" xr:uid="{1EF73B6B-0838-4108-A892-5043048564AA}"/>
    <cellStyle name="Normal" xfId="0" builtinId="0"/>
    <cellStyle name="Normal 2" xfId="9" xr:uid="{230A2DC5-408B-4D75-A62C-D24642A98E97}"/>
    <cellStyle name="Normal 2 2" xfId="10" xr:uid="{98E169ED-2BE9-4096-8123-30B10F04DCF3}"/>
    <cellStyle name="Normal 2 2 2" xfId="5" xr:uid="{6687348D-81C2-4416-9150-AB9317486ED1}"/>
    <cellStyle name="Normal 2 2 2 2" xfId="19" xr:uid="{3D55D720-ADA8-45F6-8692-547BB2324846}"/>
    <cellStyle name="Normal 2 2 2 3" xfId="15" xr:uid="{4209987C-506B-4257-A9B6-ED4242FED0AD}"/>
    <cellStyle name="Normal 2 2 3 2 2 3 2" xfId="17" xr:uid="{23EE8A8E-9C8E-45A7-9C7D-84595F40C818}"/>
    <cellStyle name="Normal 2 2 3 2 2 3 2 2" xfId="4" xr:uid="{F96C9E74-C572-453B-8F34-8A922D323AC5}"/>
    <cellStyle name="Normal 2 2 3 2 2 3 2 2 2" xfId="11" xr:uid="{DB110FED-6EC0-46FC-9D89-77BB67A8C606}"/>
    <cellStyle name="Normal 2 2 3 2 2 3 2 2 2 2" xfId="22" xr:uid="{48A85E3E-A172-436A-A015-81145B1B3503}"/>
    <cellStyle name="Normal 2 2 3 2 2 3 2 2 3" xfId="14" xr:uid="{85B5FC19-8A7F-4236-A847-1879D87B3B8F}"/>
    <cellStyle name="Normal 2 3" xfId="24" xr:uid="{0A036491-ACF0-4574-9C14-930C0E46CB1E}"/>
    <cellStyle name="Normal 2 4" xfId="26" xr:uid="{0C5FEECA-367B-4BA1-B6BB-65B251A20B39}"/>
    <cellStyle name="Normal 3" xfId="6" xr:uid="{CFBD0954-8522-4324-9544-B7FA129A6B72}"/>
    <cellStyle name="Normal 4" xfId="23" xr:uid="{8CE39953-864D-41AA-99E6-0A0EA036B77E}"/>
    <cellStyle name="Normal 5" xfId="20" xr:uid="{720FF2D2-97D4-49A4-AA31-ADF7368851A0}"/>
    <cellStyle name="Percent" xfId="3" builtinId="5"/>
    <cellStyle name="Percent 2" xfId="8" xr:uid="{0BA125FF-8986-4FD5-A8D0-0B90751A26BD}"/>
    <cellStyle name="Percent 3" xfId="13" xr:uid="{68B69559-D7A4-4119-A96B-5947FE9C75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154</xdr:row>
      <xdr:rowOff>0</xdr:rowOff>
    </xdr:from>
    <xdr:to>
      <xdr:col>2</xdr:col>
      <xdr:colOff>1975855</xdr:colOff>
      <xdr:row>155</xdr:row>
      <xdr:rowOff>27375</xdr:rowOff>
    </xdr:to>
    <xdr:pic>
      <xdr:nvPicPr>
        <xdr:cNvPr id="2" name="Picture 1">
          <a:extLst>
            <a:ext uri="{FF2B5EF4-FFF2-40B4-BE49-F238E27FC236}">
              <a16:creationId xmlns:a16="http://schemas.microsoft.com/office/drawing/2014/main" id="{C9455DC9-AA97-4210-8A42-C532A34BD2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58222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159</xdr:row>
      <xdr:rowOff>0</xdr:rowOff>
    </xdr:from>
    <xdr:to>
      <xdr:col>2</xdr:col>
      <xdr:colOff>2033005</xdr:colOff>
      <xdr:row>159</xdr:row>
      <xdr:rowOff>1980000</xdr:rowOff>
    </xdr:to>
    <xdr:pic>
      <xdr:nvPicPr>
        <xdr:cNvPr id="3" name="Picture 2">
          <a:extLst>
            <a:ext uri="{FF2B5EF4-FFF2-40B4-BE49-F238E27FC236}">
              <a16:creationId xmlns:a16="http://schemas.microsoft.com/office/drawing/2014/main" id="{77E9DF93-5E92-48D9-8EEE-4075E77FBDD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422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100</xdr:row>
      <xdr:rowOff>0</xdr:rowOff>
    </xdr:from>
    <xdr:to>
      <xdr:col>2</xdr:col>
      <xdr:colOff>1975855</xdr:colOff>
      <xdr:row>101</xdr:row>
      <xdr:rowOff>27375</xdr:rowOff>
    </xdr:to>
    <xdr:pic>
      <xdr:nvPicPr>
        <xdr:cNvPr id="2" name="Picture 1">
          <a:extLst>
            <a:ext uri="{FF2B5EF4-FFF2-40B4-BE49-F238E27FC236}">
              <a16:creationId xmlns:a16="http://schemas.microsoft.com/office/drawing/2014/main" id="{BC3D72D4-0A16-41A1-AEE7-08C5DBB6B6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68878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105</xdr:row>
      <xdr:rowOff>0</xdr:rowOff>
    </xdr:from>
    <xdr:to>
      <xdr:col>2</xdr:col>
      <xdr:colOff>1975855</xdr:colOff>
      <xdr:row>105</xdr:row>
      <xdr:rowOff>1980000</xdr:rowOff>
    </xdr:to>
    <xdr:pic>
      <xdr:nvPicPr>
        <xdr:cNvPr id="3" name="Picture 2">
          <a:extLst>
            <a:ext uri="{FF2B5EF4-FFF2-40B4-BE49-F238E27FC236}">
              <a16:creationId xmlns:a16="http://schemas.microsoft.com/office/drawing/2014/main" id="{9F0FBEA1-C1D2-461B-A22F-2D3BADE999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194881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178</xdr:row>
      <xdr:rowOff>0</xdr:rowOff>
    </xdr:from>
    <xdr:to>
      <xdr:col>2</xdr:col>
      <xdr:colOff>1975855</xdr:colOff>
      <xdr:row>190</xdr:row>
      <xdr:rowOff>36900</xdr:rowOff>
    </xdr:to>
    <xdr:pic>
      <xdr:nvPicPr>
        <xdr:cNvPr id="2" name="Picture 1">
          <a:extLst>
            <a:ext uri="{FF2B5EF4-FFF2-40B4-BE49-F238E27FC236}">
              <a16:creationId xmlns:a16="http://schemas.microsoft.com/office/drawing/2014/main" id="{1044F957-9DB1-4B5C-8A33-289A7052D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8516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200025</xdr:colOff>
      <xdr:row>178</xdr:row>
      <xdr:rowOff>0</xdr:rowOff>
    </xdr:from>
    <xdr:to>
      <xdr:col>6</xdr:col>
      <xdr:colOff>852000</xdr:colOff>
      <xdr:row>190</xdr:row>
      <xdr:rowOff>36900</xdr:rowOff>
    </xdr:to>
    <xdr:pic>
      <xdr:nvPicPr>
        <xdr:cNvPr id="3" name="Picture 2">
          <a:extLst>
            <a:ext uri="{FF2B5EF4-FFF2-40B4-BE49-F238E27FC236}">
              <a16:creationId xmlns:a16="http://schemas.microsoft.com/office/drawing/2014/main" id="{C7E8963B-4CA1-4610-ADB4-371B9ECD1579}"/>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3550" y="34242375"/>
          <a:ext cx="32904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173</xdr:row>
      <xdr:rowOff>0</xdr:rowOff>
    </xdr:from>
    <xdr:to>
      <xdr:col>2</xdr:col>
      <xdr:colOff>1975855</xdr:colOff>
      <xdr:row>174</xdr:row>
      <xdr:rowOff>27375</xdr:rowOff>
    </xdr:to>
    <xdr:pic>
      <xdr:nvPicPr>
        <xdr:cNvPr id="4" name="Picture 3">
          <a:extLst>
            <a:ext uri="{FF2B5EF4-FFF2-40B4-BE49-F238E27FC236}">
              <a16:creationId xmlns:a16="http://schemas.microsoft.com/office/drawing/2014/main" id="{B339E8E1-9642-43A0-B7EC-1A53A860246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2512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257175</xdr:colOff>
      <xdr:row>184</xdr:row>
      <xdr:rowOff>85725</xdr:rowOff>
    </xdr:from>
    <xdr:to>
      <xdr:col>2</xdr:col>
      <xdr:colOff>1775830</xdr:colOff>
      <xdr:row>196</xdr:row>
      <xdr:rowOff>122625</xdr:rowOff>
    </xdr:to>
    <xdr:pic>
      <xdr:nvPicPr>
        <xdr:cNvPr id="2" name="Picture 1">
          <a:extLst>
            <a:ext uri="{FF2B5EF4-FFF2-40B4-BE49-F238E27FC236}">
              <a16:creationId xmlns:a16="http://schemas.microsoft.com/office/drawing/2014/main" id="{12C4A08B-D720-4796-A7FC-D839A360C0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30108525"/>
          <a:ext cx="322363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169</xdr:row>
      <xdr:rowOff>0</xdr:rowOff>
    </xdr:from>
    <xdr:to>
      <xdr:col>2</xdr:col>
      <xdr:colOff>1975855</xdr:colOff>
      <xdr:row>181</xdr:row>
      <xdr:rowOff>36900</xdr:rowOff>
    </xdr:to>
    <xdr:pic>
      <xdr:nvPicPr>
        <xdr:cNvPr id="3" name="Picture 2">
          <a:extLst>
            <a:ext uri="{FF2B5EF4-FFF2-40B4-BE49-F238E27FC236}">
              <a16:creationId xmlns:a16="http://schemas.microsoft.com/office/drawing/2014/main" id="{79E3621D-858F-4825-A4F4-3C878F649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5939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134</xdr:row>
      <xdr:rowOff>0</xdr:rowOff>
    </xdr:from>
    <xdr:to>
      <xdr:col>2</xdr:col>
      <xdr:colOff>1975855</xdr:colOff>
      <xdr:row>135</xdr:row>
      <xdr:rowOff>27375</xdr:rowOff>
    </xdr:to>
    <xdr:pic>
      <xdr:nvPicPr>
        <xdr:cNvPr id="2" name="Picture 1">
          <a:extLst>
            <a:ext uri="{FF2B5EF4-FFF2-40B4-BE49-F238E27FC236}">
              <a16:creationId xmlns:a16="http://schemas.microsoft.com/office/drawing/2014/main" id="{EEDB18DF-5A5A-4F2D-845D-4AE143E792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5742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139</xdr:row>
      <xdr:rowOff>0</xdr:rowOff>
    </xdr:from>
    <xdr:to>
      <xdr:col>2</xdr:col>
      <xdr:colOff>1975855</xdr:colOff>
      <xdr:row>139</xdr:row>
      <xdr:rowOff>1980000</xdr:rowOff>
    </xdr:to>
    <xdr:pic>
      <xdr:nvPicPr>
        <xdr:cNvPr id="3" name="Picture 2">
          <a:extLst>
            <a:ext uri="{FF2B5EF4-FFF2-40B4-BE49-F238E27FC236}">
              <a16:creationId xmlns:a16="http://schemas.microsoft.com/office/drawing/2014/main" id="{8F2AF364-84C5-4A27-9CBF-20C66E431ED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1745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135</xdr:row>
      <xdr:rowOff>0</xdr:rowOff>
    </xdr:from>
    <xdr:to>
      <xdr:col>2</xdr:col>
      <xdr:colOff>1975855</xdr:colOff>
      <xdr:row>136</xdr:row>
      <xdr:rowOff>27375</xdr:rowOff>
    </xdr:to>
    <xdr:pic>
      <xdr:nvPicPr>
        <xdr:cNvPr id="2" name="Picture 1">
          <a:extLst>
            <a:ext uri="{FF2B5EF4-FFF2-40B4-BE49-F238E27FC236}">
              <a16:creationId xmlns:a16="http://schemas.microsoft.com/office/drawing/2014/main" id="{FE35FBC3-8F0F-4A17-B2CA-B12584E844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7361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140</xdr:row>
      <xdr:rowOff>0</xdr:rowOff>
    </xdr:from>
    <xdr:to>
      <xdr:col>2</xdr:col>
      <xdr:colOff>1975855</xdr:colOff>
      <xdr:row>140</xdr:row>
      <xdr:rowOff>1980000</xdr:rowOff>
    </xdr:to>
    <xdr:pic>
      <xdr:nvPicPr>
        <xdr:cNvPr id="3" name="Picture 2">
          <a:extLst>
            <a:ext uri="{FF2B5EF4-FFF2-40B4-BE49-F238E27FC236}">
              <a16:creationId xmlns:a16="http://schemas.microsoft.com/office/drawing/2014/main" id="{20846144-A023-48C6-AA15-B6DB365CD93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3365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128</xdr:row>
      <xdr:rowOff>0</xdr:rowOff>
    </xdr:from>
    <xdr:to>
      <xdr:col>2</xdr:col>
      <xdr:colOff>1975855</xdr:colOff>
      <xdr:row>129</xdr:row>
      <xdr:rowOff>27375</xdr:rowOff>
    </xdr:to>
    <xdr:pic>
      <xdr:nvPicPr>
        <xdr:cNvPr id="2" name="Picture 1">
          <a:extLst>
            <a:ext uri="{FF2B5EF4-FFF2-40B4-BE49-F238E27FC236}">
              <a16:creationId xmlns:a16="http://schemas.microsoft.com/office/drawing/2014/main" id="{51FBB04C-E834-4863-82DA-B8C9EA0224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4407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133</xdr:row>
      <xdr:rowOff>0</xdr:rowOff>
    </xdr:from>
    <xdr:to>
      <xdr:col>2</xdr:col>
      <xdr:colOff>1975855</xdr:colOff>
      <xdr:row>133</xdr:row>
      <xdr:rowOff>1980000</xdr:rowOff>
    </xdr:to>
    <xdr:pic>
      <xdr:nvPicPr>
        <xdr:cNvPr id="3" name="Picture 2">
          <a:extLst>
            <a:ext uri="{FF2B5EF4-FFF2-40B4-BE49-F238E27FC236}">
              <a16:creationId xmlns:a16="http://schemas.microsoft.com/office/drawing/2014/main" id="{BA653369-9E05-46EB-9186-F30683C060B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0411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132</xdr:row>
      <xdr:rowOff>0</xdr:rowOff>
    </xdr:from>
    <xdr:to>
      <xdr:col>2</xdr:col>
      <xdr:colOff>1975855</xdr:colOff>
      <xdr:row>133</xdr:row>
      <xdr:rowOff>27375</xdr:rowOff>
    </xdr:to>
    <xdr:pic>
      <xdr:nvPicPr>
        <xdr:cNvPr id="2" name="Picture 1">
          <a:extLst>
            <a:ext uri="{FF2B5EF4-FFF2-40B4-BE49-F238E27FC236}">
              <a16:creationId xmlns:a16="http://schemas.microsoft.com/office/drawing/2014/main" id="{2C7008DD-0591-4ACB-8CA2-5BA2CE4E1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2504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137</xdr:row>
      <xdr:rowOff>0</xdr:rowOff>
    </xdr:from>
    <xdr:to>
      <xdr:col>2</xdr:col>
      <xdr:colOff>1975855</xdr:colOff>
      <xdr:row>137</xdr:row>
      <xdr:rowOff>1980000</xdr:rowOff>
    </xdr:to>
    <xdr:pic>
      <xdr:nvPicPr>
        <xdr:cNvPr id="3" name="Picture 2">
          <a:extLst>
            <a:ext uri="{FF2B5EF4-FFF2-40B4-BE49-F238E27FC236}">
              <a16:creationId xmlns:a16="http://schemas.microsoft.com/office/drawing/2014/main" id="{0510C279-7F73-4529-BB7D-867F825D094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8507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132</xdr:row>
      <xdr:rowOff>0</xdr:rowOff>
    </xdr:from>
    <xdr:to>
      <xdr:col>2</xdr:col>
      <xdr:colOff>1975855</xdr:colOff>
      <xdr:row>133</xdr:row>
      <xdr:rowOff>27375</xdr:rowOff>
    </xdr:to>
    <xdr:pic>
      <xdr:nvPicPr>
        <xdr:cNvPr id="2" name="Picture 1">
          <a:extLst>
            <a:ext uri="{FF2B5EF4-FFF2-40B4-BE49-F238E27FC236}">
              <a16:creationId xmlns:a16="http://schemas.microsoft.com/office/drawing/2014/main" id="{EC02CA2D-8EB8-4956-A33A-1CE134CEB1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2504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137</xdr:row>
      <xdr:rowOff>0</xdr:rowOff>
    </xdr:from>
    <xdr:to>
      <xdr:col>2</xdr:col>
      <xdr:colOff>1975855</xdr:colOff>
      <xdr:row>137</xdr:row>
      <xdr:rowOff>1980000</xdr:rowOff>
    </xdr:to>
    <xdr:pic>
      <xdr:nvPicPr>
        <xdr:cNvPr id="3" name="Picture 2">
          <a:extLst>
            <a:ext uri="{FF2B5EF4-FFF2-40B4-BE49-F238E27FC236}">
              <a16:creationId xmlns:a16="http://schemas.microsoft.com/office/drawing/2014/main" id="{621912A0-0874-47DC-8E29-E95C028C2F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8507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134</xdr:row>
      <xdr:rowOff>0</xdr:rowOff>
    </xdr:from>
    <xdr:to>
      <xdr:col>2</xdr:col>
      <xdr:colOff>1975855</xdr:colOff>
      <xdr:row>135</xdr:row>
      <xdr:rowOff>27375</xdr:rowOff>
    </xdr:to>
    <xdr:pic>
      <xdr:nvPicPr>
        <xdr:cNvPr id="2" name="Picture 1">
          <a:extLst>
            <a:ext uri="{FF2B5EF4-FFF2-40B4-BE49-F238E27FC236}">
              <a16:creationId xmlns:a16="http://schemas.microsoft.com/office/drawing/2014/main" id="{C629B35F-6FF1-4667-BBBC-07163FF033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5742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139</xdr:row>
      <xdr:rowOff>0</xdr:rowOff>
    </xdr:from>
    <xdr:to>
      <xdr:col>2</xdr:col>
      <xdr:colOff>1975855</xdr:colOff>
      <xdr:row>139</xdr:row>
      <xdr:rowOff>1980000</xdr:rowOff>
    </xdr:to>
    <xdr:pic>
      <xdr:nvPicPr>
        <xdr:cNvPr id="3" name="Picture 2">
          <a:extLst>
            <a:ext uri="{FF2B5EF4-FFF2-40B4-BE49-F238E27FC236}">
              <a16:creationId xmlns:a16="http://schemas.microsoft.com/office/drawing/2014/main" id="{255542BB-73C8-41F7-9DBF-E66F38F25B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1745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131</xdr:row>
      <xdr:rowOff>0</xdr:rowOff>
    </xdr:from>
    <xdr:to>
      <xdr:col>2</xdr:col>
      <xdr:colOff>1975855</xdr:colOff>
      <xdr:row>132</xdr:row>
      <xdr:rowOff>27375</xdr:rowOff>
    </xdr:to>
    <xdr:pic>
      <xdr:nvPicPr>
        <xdr:cNvPr id="4" name="Picture 3">
          <a:extLst>
            <a:ext uri="{FF2B5EF4-FFF2-40B4-BE49-F238E27FC236}">
              <a16:creationId xmlns:a16="http://schemas.microsoft.com/office/drawing/2014/main" id="{FF0C2ECD-1A21-4943-8FDE-7862583063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0884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136</xdr:row>
      <xdr:rowOff>0</xdr:rowOff>
    </xdr:from>
    <xdr:to>
      <xdr:col>2</xdr:col>
      <xdr:colOff>1975855</xdr:colOff>
      <xdr:row>136</xdr:row>
      <xdr:rowOff>1980000</xdr:rowOff>
    </xdr:to>
    <xdr:pic>
      <xdr:nvPicPr>
        <xdr:cNvPr id="5" name="Picture 4">
          <a:extLst>
            <a:ext uri="{FF2B5EF4-FFF2-40B4-BE49-F238E27FC236}">
              <a16:creationId xmlns:a16="http://schemas.microsoft.com/office/drawing/2014/main" id="{1274852D-5D88-480D-AC73-CF07A8C9593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6888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166</xdr:row>
      <xdr:rowOff>0</xdr:rowOff>
    </xdr:from>
    <xdr:to>
      <xdr:col>2</xdr:col>
      <xdr:colOff>1975855</xdr:colOff>
      <xdr:row>167</xdr:row>
      <xdr:rowOff>27375</xdr:rowOff>
    </xdr:to>
    <xdr:pic>
      <xdr:nvPicPr>
        <xdr:cNvPr id="2" name="Picture 1">
          <a:extLst>
            <a:ext uri="{FF2B5EF4-FFF2-40B4-BE49-F238E27FC236}">
              <a16:creationId xmlns:a16="http://schemas.microsoft.com/office/drawing/2014/main" id="{57E63B84-A914-4A1A-9229-F7653606A8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1082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171</xdr:row>
      <xdr:rowOff>0</xdr:rowOff>
    </xdr:from>
    <xdr:to>
      <xdr:col>2</xdr:col>
      <xdr:colOff>1975855</xdr:colOff>
      <xdr:row>171</xdr:row>
      <xdr:rowOff>1980000</xdr:rowOff>
    </xdr:to>
    <xdr:pic>
      <xdr:nvPicPr>
        <xdr:cNvPr id="3" name="Picture 2">
          <a:extLst>
            <a:ext uri="{FF2B5EF4-FFF2-40B4-BE49-F238E27FC236}">
              <a16:creationId xmlns:a16="http://schemas.microsoft.com/office/drawing/2014/main" id="{736CC04C-EC98-4061-B3CB-86F7B24DAB0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7086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38100</xdr:colOff>
      <xdr:row>170</xdr:row>
      <xdr:rowOff>152401</xdr:rowOff>
    </xdr:from>
    <xdr:to>
      <xdr:col>6</xdr:col>
      <xdr:colOff>295275</xdr:colOff>
      <xdr:row>171</xdr:row>
      <xdr:rowOff>2009776</xdr:rowOff>
    </xdr:to>
    <xdr:pic>
      <xdr:nvPicPr>
        <xdr:cNvPr id="4" name="Picture 3">
          <a:extLst>
            <a:ext uri="{FF2B5EF4-FFF2-40B4-BE49-F238E27FC236}">
              <a16:creationId xmlns:a16="http://schemas.microsoft.com/office/drawing/2014/main" id="{CAA4EEBA-8A54-46E5-8151-D1155997A91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0699076"/>
          <a:ext cx="3171825"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9525</xdr:colOff>
      <xdr:row>239</xdr:row>
      <xdr:rowOff>0</xdr:rowOff>
    </xdr:from>
    <xdr:to>
      <xdr:col>2</xdr:col>
      <xdr:colOff>1986302</xdr:colOff>
      <xdr:row>240</xdr:row>
      <xdr:rowOff>27375</xdr:rowOff>
    </xdr:to>
    <xdr:pic>
      <xdr:nvPicPr>
        <xdr:cNvPr id="2" name="Picture 1">
          <a:extLst>
            <a:ext uri="{FF2B5EF4-FFF2-40B4-BE49-F238E27FC236}">
              <a16:creationId xmlns:a16="http://schemas.microsoft.com/office/drawing/2014/main" id="{D10056F0-FA7D-4035-89DF-C0161A8F09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48025050"/>
          <a:ext cx="371032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244</xdr:row>
      <xdr:rowOff>171450</xdr:rowOff>
    </xdr:from>
    <xdr:to>
      <xdr:col>2</xdr:col>
      <xdr:colOff>1976777</xdr:colOff>
      <xdr:row>245</xdr:row>
      <xdr:rowOff>55950</xdr:rowOff>
    </xdr:to>
    <xdr:pic>
      <xdr:nvPicPr>
        <xdr:cNvPr id="3" name="Picture 2">
          <a:extLst>
            <a:ext uri="{FF2B5EF4-FFF2-40B4-BE49-F238E27FC236}">
              <a16:creationId xmlns:a16="http://schemas.microsoft.com/office/drawing/2014/main" id="{1B98020D-F387-48A0-9805-DA50101BCB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50796825"/>
          <a:ext cx="371032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228</xdr:row>
      <xdr:rowOff>0</xdr:rowOff>
    </xdr:from>
    <xdr:to>
      <xdr:col>2</xdr:col>
      <xdr:colOff>2015039</xdr:colOff>
      <xdr:row>228</xdr:row>
      <xdr:rowOff>1980000</xdr:rowOff>
    </xdr:to>
    <xdr:pic>
      <xdr:nvPicPr>
        <xdr:cNvPr id="2" name="Picture 1">
          <a:extLst>
            <a:ext uri="{FF2B5EF4-FFF2-40B4-BE49-F238E27FC236}">
              <a16:creationId xmlns:a16="http://schemas.microsoft.com/office/drawing/2014/main" id="{C2B5BED5-9BAC-4BC9-927B-221FE408ED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0528875"/>
          <a:ext cx="34247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223</xdr:row>
      <xdr:rowOff>0</xdr:rowOff>
    </xdr:from>
    <xdr:to>
      <xdr:col>2</xdr:col>
      <xdr:colOff>2015039</xdr:colOff>
      <xdr:row>224</xdr:row>
      <xdr:rowOff>27375</xdr:rowOff>
    </xdr:to>
    <xdr:pic>
      <xdr:nvPicPr>
        <xdr:cNvPr id="3" name="Picture 2">
          <a:extLst>
            <a:ext uri="{FF2B5EF4-FFF2-40B4-BE49-F238E27FC236}">
              <a16:creationId xmlns:a16="http://schemas.microsoft.com/office/drawing/2014/main" id="{3D84BCDD-612C-4CE5-9662-AB09C6D16F5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7928550"/>
          <a:ext cx="34247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212</xdr:row>
      <xdr:rowOff>133350</xdr:rowOff>
    </xdr:from>
    <xdr:to>
      <xdr:col>2</xdr:col>
      <xdr:colOff>1504950</xdr:colOff>
      <xdr:row>213</xdr:row>
      <xdr:rowOff>17850</xdr:rowOff>
    </xdr:to>
    <xdr:pic>
      <xdr:nvPicPr>
        <xdr:cNvPr id="2" name="Picture 1">
          <a:extLst>
            <a:ext uri="{FF2B5EF4-FFF2-40B4-BE49-F238E27FC236}">
              <a16:creationId xmlns:a16="http://schemas.microsoft.com/office/drawing/2014/main" id="{7C2DBE11-8C2A-4751-A349-90E7D1C1B6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090850"/>
          <a:ext cx="34575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207</xdr:row>
      <xdr:rowOff>0</xdr:rowOff>
    </xdr:from>
    <xdr:to>
      <xdr:col>2</xdr:col>
      <xdr:colOff>1504950</xdr:colOff>
      <xdr:row>208</xdr:row>
      <xdr:rowOff>27375</xdr:rowOff>
    </xdr:to>
    <xdr:pic>
      <xdr:nvPicPr>
        <xdr:cNvPr id="3" name="Picture 2">
          <a:extLst>
            <a:ext uri="{FF2B5EF4-FFF2-40B4-BE49-F238E27FC236}">
              <a16:creationId xmlns:a16="http://schemas.microsoft.com/office/drawing/2014/main" id="{BA83F4CC-D7D5-4A68-A0A8-C9EBB322459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357175"/>
          <a:ext cx="34575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159</xdr:row>
      <xdr:rowOff>0</xdr:rowOff>
    </xdr:from>
    <xdr:to>
      <xdr:col>2</xdr:col>
      <xdr:colOff>1975855</xdr:colOff>
      <xdr:row>160</xdr:row>
      <xdr:rowOff>27375</xdr:rowOff>
    </xdr:to>
    <xdr:pic>
      <xdr:nvPicPr>
        <xdr:cNvPr id="2" name="Picture 1">
          <a:extLst>
            <a:ext uri="{FF2B5EF4-FFF2-40B4-BE49-F238E27FC236}">
              <a16:creationId xmlns:a16="http://schemas.microsoft.com/office/drawing/2014/main" id="{23EFE2F2-FB64-4864-986D-0A68C8FB97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013025"/>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164</xdr:row>
      <xdr:rowOff>0</xdr:rowOff>
    </xdr:from>
    <xdr:to>
      <xdr:col>2</xdr:col>
      <xdr:colOff>1975855</xdr:colOff>
      <xdr:row>164</xdr:row>
      <xdr:rowOff>1980000</xdr:rowOff>
    </xdr:to>
    <xdr:pic>
      <xdr:nvPicPr>
        <xdr:cNvPr id="3" name="Picture 2">
          <a:extLst>
            <a:ext uri="{FF2B5EF4-FFF2-40B4-BE49-F238E27FC236}">
              <a16:creationId xmlns:a16="http://schemas.microsoft.com/office/drawing/2014/main" id="{B9B9E202-2BC3-4A4E-A156-46E7477CA3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613350"/>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164</xdr:row>
      <xdr:rowOff>0</xdr:rowOff>
    </xdr:from>
    <xdr:to>
      <xdr:col>6</xdr:col>
      <xdr:colOff>909055</xdr:colOff>
      <xdr:row>164</xdr:row>
      <xdr:rowOff>1980000</xdr:rowOff>
    </xdr:to>
    <xdr:pic>
      <xdr:nvPicPr>
        <xdr:cNvPr id="4" name="Picture 3">
          <a:extLst>
            <a:ext uri="{FF2B5EF4-FFF2-40B4-BE49-F238E27FC236}">
              <a16:creationId xmlns:a16="http://schemas.microsoft.com/office/drawing/2014/main" id="{0091702D-CD6F-4F91-9D57-612B42FFF79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0" y="306133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211</xdr:row>
      <xdr:rowOff>0</xdr:rowOff>
    </xdr:from>
    <xdr:to>
      <xdr:col>2</xdr:col>
      <xdr:colOff>2015039</xdr:colOff>
      <xdr:row>212</xdr:row>
      <xdr:rowOff>27375</xdr:rowOff>
    </xdr:to>
    <xdr:pic>
      <xdr:nvPicPr>
        <xdr:cNvPr id="2" name="Picture 1">
          <a:extLst>
            <a:ext uri="{FF2B5EF4-FFF2-40B4-BE49-F238E27FC236}">
              <a16:creationId xmlns:a16="http://schemas.microsoft.com/office/drawing/2014/main" id="{AA61FDF0-8F1C-4F75-A33F-6747D7349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6109275"/>
          <a:ext cx="3662864"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216</xdr:row>
      <xdr:rowOff>57150</xdr:rowOff>
    </xdr:from>
    <xdr:to>
      <xdr:col>2</xdr:col>
      <xdr:colOff>2024564</xdr:colOff>
      <xdr:row>216</xdr:row>
      <xdr:rowOff>2037150</xdr:rowOff>
    </xdr:to>
    <xdr:pic>
      <xdr:nvPicPr>
        <xdr:cNvPr id="3" name="Picture 2">
          <a:extLst>
            <a:ext uri="{FF2B5EF4-FFF2-40B4-BE49-F238E27FC236}">
              <a16:creationId xmlns:a16="http://schemas.microsoft.com/office/drawing/2014/main" id="{4AC2AFDA-E030-476C-9EF6-AF2EEB0006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38766750"/>
          <a:ext cx="3662864"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0</xdr:colOff>
      <xdr:row>128</xdr:row>
      <xdr:rowOff>0</xdr:rowOff>
    </xdr:from>
    <xdr:to>
      <xdr:col>2</xdr:col>
      <xdr:colOff>1975855</xdr:colOff>
      <xdr:row>129</xdr:row>
      <xdr:rowOff>27375</xdr:rowOff>
    </xdr:to>
    <xdr:pic>
      <xdr:nvPicPr>
        <xdr:cNvPr id="2" name="Picture 1">
          <a:extLst>
            <a:ext uri="{FF2B5EF4-FFF2-40B4-BE49-F238E27FC236}">
              <a16:creationId xmlns:a16="http://schemas.microsoft.com/office/drawing/2014/main" id="{EE461117-6868-4CE2-BA96-C977741281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212175"/>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133</xdr:row>
      <xdr:rowOff>0</xdr:rowOff>
    </xdr:from>
    <xdr:to>
      <xdr:col>2</xdr:col>
      <xdr:colOff>1975855</xdr:colOff>
      <xdr:row>133</xdr:row>
      <xdr:rowOff>1980000</xdr:rowOff>
    </xdr:to>
    <xdr:pic>
      <xdr:nvPicPr>
        <xdr:cNvPr id="3" name="Picture 2">
          <a:extLst>
            <a:ext uri="{FF2B5EF4-FFF2-40B4-BE49-F238E27FC236}">
              <a16:creationId xmlns:a16="http://schemas.microsoft.com/office/drawing/2014/main" id="{632EFA7F-D1DB-4FBF-8F5A-9D941F28981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3812500"/>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133</xdr:row>
      <xdr:rowOff>0</xdr:rowOff>
    </xdr:from>
    <xdr:to>
      <xdr:col>6</xdr:col>
      <xdr:colOff>928105</xdr:colOff>
      <xdr:row>133</xdr:row>
      <xdr:rowOff>1980000</xdr:rowOff>
    </xdr:to>
    <xdr:pic>
      <xdr:nvPicPr>
        <xdr:cNvPr id="4" name="Picture 3">
          <a:extLst>
            <a:ext uri="{FF2B5EF4-FFF2-40B4-BE49-F238E27FC236}">
              <a16:creationId xmlns:a16="http://schemas.microsoft.com/office/drawing/2014/main" id="{4BF56FAA-BC6E-4649-B278-4925B50C38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10175" y="23812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0</xdr:colOff>
      <xdr:row>175</xdr:row>
      <xdr:rowOff>0</xdr:rowOff>
    </xdr:from>
    <xdr:to>
      <xdr:col>2</xdr:col>
      <xdr:colOff>1975855</xdr:colOff>
      <xdr:row>176</xdr:row>
      <xdr:rowOff>27375</xdr:rowOff>
    </xdr:to>
    <xdr:pic>
      <xdr:nvPicPr>
        <xdr:cNvPr id="2" name="Picture 1">
          <a:extLst>
            <a:ext uri="{FF2B5EF4-FFF2-40B4-BE49-F238E27FC236}">
              <a16:creationId xmlns:a16="http://schemas.microsoft.com/office/drawing/2014/main" id="{6F619744-47B7-4185-A2D8-1C3E308A89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365575"/>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180</xdr:row>
      <xdr:rowOff>0</xdr:rowOff>
    </xdr:from>
    <xdr:to>
      <xdr:col>2</xdr:col>
      <xdr:colOff>1975855</xdr:colOff>
      <xdr:row>180</xdr:row>
      <xdr:rowOff>1980000</xdr:rowOff>
    </xdr:to>
    <xdr:pic>
      <xdr:nvPicPr>
        <xdr:cNvPr id="3" name="Picture 2">
          <a:extLst>
            <a:ext uri="{FF2B5EF4-FFF2-40B4-BE49-F238E27FC236}">
              <a16:creationId xmlns:a16="http://schemas.microsoft.com/office/drawing/2014/main" id="{547ADF8C-B9AB-412D-BFEB-26286C92AB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965900"/>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205</xdr:row>
      <xdr:rowOff>0</xdr:rowOff>
    </xdr:from>
    <xdr:to>
      <xdr:col>2</xdr:col>
      <xdr:colOff>1975855</xdr:colOff>
      <xdr:row>205</xdr:row>
      <xdr:rowOff>1980000</xdr:rowOff>
    </xdr:to>
    <xdr:pic>
      <xdr:nvPicPr>
        <xdr:cNvPr id="2" name="Picture 1">
          <a:extLst>
            <a:ext uri="{FF2B5EF4-FFF2-40B4-BE49-F238E27FC236}">
              <a16:creationId xmlns:a16="http://schemas.microsoft.com/office/drawing/2014/main" id="{8F387BA7-5DFD-4A22-A9E2-17494A4EF8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6997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28575</xdr:colOff>
      <xdr:row>200</xdr:row>
      <xdr:rowOff>85725</xdr:rowOff>
    </xdr:from>
    <xdr:to>
      <xdr:col>2</xdr:col>
      <xdr:colOff>1994905</xdr:colOff>
      <xdr:row>201</xdr:row>
      <xdr:rowOff>1903800</xdr:rowOff>
    </xdr:to>
    <xdr:pic>
      <xdr:nvPicPr>
        <xdr:cNvPr id="5" name="Picture 4">
          <a:extLst>
            <a:ext uri="{FF2B5EF4-FFF2-40B4-BE49-F238E27FC236}">
              <a16:creationId xmlns:a16="http://schemas.microsoft.com/office/drawing/2014/main" id="{D4B336F5-8A9E-492D-9E13-71A46AD459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9100" y="36242625"/>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76200</xdr:colOff>
      <xdr:row>152</xdr:row>
      <xdr:rowOff>0</xdr:rowOff>
    </xdr:from>
    <xdr:to>
      <xdr:col>2</xdr:col>
      <xdr:colOff>2052055</xdr:colOff>
      <xdr:row>153</xdr:row>
      <xdr:rowOff>27375</xdr:rowOff>
    </xdr:to>
    <xdr:pic>
      <xdr:nvPicPr>
        <xdr:cNvPr id="2" name="Picture 1">
          <a:extLst>
            <a:ext uri="{FF2B5EF4-FFF2-40B4-BE49-F238E27FC236}">
              <a16:creationId xmlns:a16="http://schemas.microsoft.com/office/drawing/2014/main" id="{CFCC657F-8925-4300-BD59-36449E5647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6527125"/>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157</xdr:row>
      <xdr:rowOff>161925</xdr:rowOff>
    </xdr:from>
    <xdr:to>
      <xdr:col>2</xdr:col>
      <xdr:colOff>1975855</xdr:colOff>
      <xdr:row>158</xdr:row>
      <xdr:rowOff>46425</xdr:rowOff>
    </xdr:to>
    <xdr:pic>
      <xdr:nvPicPr>
        <xdr:cNvPr id="3" name="Picture 2">
          <a:extLst>
            <a:ext uri="{FF2B5EF4-FFF2-40B4-BE49-F238E27FC236}">
              <a16:creationId xmlns:a16="http://schemas.microsoft.com/office/drawing/2014/main" id="{3A9F7015-6D2A-48CA-A3A1-172320D7C9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289375"/>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0</xdr:colOff>
      <xdr:row>134</xdr:row>
      <xdr:rowOff>0</xdr:rowOff>
    </xdr:from>
    <xdr:to>
      <xdr:col>2</xdr:col>
      <xdr:colOff>1975855</xdr:colOff>
      <xdr:row>135</xdr:row>
      <xdr:rowOff>27375</xdr:rowOff>
    </xdr:to>
    <xdr:pic>
      <xdr:nvPicPr>
        <xdr:cNvPr id="2" name="Picture 1">
          <a:extLst>
            <a:ext uri="{FF2B5EF4-FFF2-40B4-BE49-F238E27FC236}">
              <a16:creationId xmlns:a16="http://schemas.microsoft.com/office/drawing/2014/main" id="{0C8F8CCB-735E-4462-9471-09479F124D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6695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139</xdr:row>
      <xdr:rowOff>0</xdr:rowOff>
    </xdr:from>
    <xdr:to>
      <xdr:col>2</xdr:col>
      <xdr:colOff>1975855</xdr:colOff>
      <xdr:row>139</xdr:row>
      <xdr:rowOff>1980000</xdr:rowOff>
    </xdr:to>
    <xdr:pic>
      <xdr:nvPicPr>
        <xdr:cNvPr id="3" name="Picture 2">
          <a:extLst>
            <a:ext uri="{FF2B5EF4-FFF2-40B4-BE49-F238E27FC236}">
              <a16:creationId xmlns:a16="http://schemas.microsoft.com/office/drawing/2014/main" id="{8FFF9F9B-DABC-4FE7-AD4D-6D6E1F97E5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2698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0</xdr:colOff>
      <xdr:row>151</xdr:row>
      <xdr:rowOff>0</xdr:rowOff>
    </xdr:from>
    <xdr:to>
      <xdr:col>2</xdr:col>
      <xdr:colOff>1975855</xdr:colOff>
      <xdr:row>152</xdr:row>
      <xdr:rowOff>27375</xdr:rowOff>
    </xdr:to>
    <xdr:pic>
      <xdr:nvPicPr>
        <xdr:cNvPr id="2" name="Picture 1">
          <a:extLst>
            <a:ext uri="{FF2B5EF4-FFF2-40B4-BE49-F238E27FC236}">
              <a16:creationId xmlns:a16="http://schemas.microsoft.com/office/drawing/2014/main" id="{77F7599D-9CFE-4F14-A3E7-2B71B12F92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56222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157</xdr:row>
      <xdr:rowOff>0</xdr:rowOff>
    </xdr:from>
    <xdr:to>
      <xdr:col>2</xdr:col>
      <xdr:colOff>1975855</xdr:colOff>
      <xdr:row>157</xdr:row>
      <xdr:rowOff>2046675</xdr:rowOff>
    </xdr:to>
    <xdr:pic>
      <xdr:nvPicPr>
        <xdr:cNvPr id="3" name="Picture 2">
          <a:extLst>
            <a:ext uri="{FF2B5EF4-FFF2-40B4-BE49-F238E27FC236}">
              <a16:creationId xmlns:a16="http://schemas.microsoft.com/office/drawing/2014/main" id="{EA0FDCF0-E0C0-4D9E-8572-BD42EFB8CB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384500"/>
          <a:ext cx="3290305" cy="2046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157</xdr:row>
      <xdr:rowOff>0</xdr:rowOff>
    </xdr:from>
    <xdr:to>
      <xdr:col>6</xdr:col>
      <xdr:colOff>661405</xdr:colOff>
      <xdr:row>157</xdr:row>
      <xdr:rowOff>1980000</xdr:rowOff>
    </xdr:to>
    <xdr:pic>
      <xdr:nvPicPr>
        <xdr:cNvPr id="4" name="Picture 3">
          <a:extLst>
            <a:ext uri="{FF2B5EF4-FFF2-40B4-BE49-F238E27FC236}">
              <a16:creationId xmlns:a16="http://schemas.microsoft.com/office/drawing/2014/main" id="{EE5420E3-0230-4826-8961-75AAE14537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38700" y="28384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149</xdr:row>
      <xdr:rowOff>0</xdr:rowOff>
    </xdr:from>
    <xdr:to>
      <xdr:col>2</xdr:col>
      <xdr:colOff>1975855</xdr:colOff>
      <xdr:row>149</xdr:row>
      <xdr:rowOff>1980000</xdr:rowOff>
    </xdr:to>
    <xdr:pic>
      <xdr:nvPicPr>
        <xdr:cNvPr id="2" name="Picture 1">
          <a:extLst>
            <a:ext uri="{FF2B5EF4-FFF2-40B4-BE49-F238E27FC236}">
              <a16:creationId xmlns:a16="http://schemas.microsoft.com/office/drawing/2014/main" id="{F2482DC6-8751-4180-B606-B4D2148FB6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4224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144</xdr:row>
      <xdr:rowOff>0</xdr:rowOff>
    </xdr:from>
    <xdr:to>
      <xdr:col>2</xdr:col>
      <xdr:colOff>1975855</xdr:colOff>
      <xdr:row>145</xdr:row>
      <xdr:rowOff>27375</xdr:rowOff>
    </xdr:to>
    <xdr:pic>
      <xdr:nvPicPr>
        <xdr:cNvPr id="3" name="Picture 2">
          <a:extLst>
            <a:ext uri="{FF2B5EF4-FFF2-40B4-BE49-F238E27FC236}">
              <a16:creationId xmlns:a16="http://schemas.microsoft.com/office/drawing/2014/main" id="{577675D0-A286-4984-A91A-0E0633BB93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8221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0</xdr:colOff>
      <xdr:row>136</xdr:row>
      <xdr:rowOff>0</xdr:rowOff>
    </xdr:from>
    <xdr:to>
      <xdr:col>2</xdr:col>
      <xdr:colOff>1975855</xdr:colOff>
      <xdr:row>137</xdr:row>
      <xdr:rowOff>27375</xdr:rowOff>
    </xdr:to>
    <xdr:pic>
      <xdr:nvPicPr>
        <xdr:cNvPr id="2" name="Picture 1">
          <a:extLst>
            <a:ext uri="{FF2B5EF4-FFF2-40B4-BE49-F238E27FC236}">
              <a16:creationId xmlns:a16="http://schemas.microsoft.com/office/drawing/2014/main" id="{10495D83-DBFE-4F82-BD34-3A8351080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0884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141</xdr:row>
      <xdr:rowOff>0</xdr:rowOff>
    </xdr:from>
    <xdr:to>
      <xdr:col>2</xdr:col>
      <xdr:colOff>1975855</xdr:colOff>
      <xdr:row>141</xdr:row>
      <xdr:rowOff>1980000</xdr:rowOff>
    </xdr:to>
    <xdr:pic>
      <xdr:nvPicPr>
        <xdr:cNvPr id="3" name="Picture 2">
          <a:extLst>
            <a:ext uri="{FF2B5EF4-FFF2-40B4-BE49-F238E27FC236}">
              <a16:creationId xmlns:a16="http://schemas.microsoft.com/office/drawing/2014/main" id="{162F27E9-9A6E-4275-BA15-A0850EAD725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6888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28575</xdr:colOff>
      <xdr:row>141</xdr:row>
      <xdr:rowOff>0</xdr:rowOff>
    </xdr:from>
    <xdr:to>
      <xdr:col>2</xdr:col>
      <xdr:colOff>2004430</xdr:colOff>
      <xdr:row>142</xdr:row>
      <xdr:rowOff>27375</xdr:rowOff>
    </xdr:to>
    <xdr:pic>
      <xdr:nvPicPr>
        <xdr:cNvPr id="2" name="Picture 1">
          <a:extLst>
            <a:ext uri="{FF2B5EF4-FFF2-40B4-BE49-F238E27FC236}">
              <a16:creationId xmlns:a16="http://schemas.microsoft.com/office/drawing/2014/main" id="{99E1B6C4-25C6-4FCC-BF31-785D084B1E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238696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146</xdr:row>
      <xdr:rowOff>0</xdr:rowOff>
    </xdr:from>
    <xdr:to>
      <xdr:col>2</xdr:col>
      <xdr:colOff>1975855</xdr:colOff>
      <xdr:row>146</xdr:row>
      <xdr:rowOff>1980000</xdr:rowOff>
    </xdr:to>
    <xdr:pic>
      <xdr:nvPicPr>
        <xdr:cNvPr id="3" name="Picture 2">
          <a:extLst>
            <a:ext uri="{FF2B5EF4-FFF2-40B4-BE49-F238E27FC236}">
              <a16:creationId xmlns:a16="http://schemas.microsoft.com/office/drawing/2014/main" id="{0D5E2E01-53B2-4229-975A-02C69553E4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4699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146</xdr:row>
      <xdr:rowOff>0</xdr:rowOff>
    </xdr:from>
    <xdr:to>
      <xdr:col>2</xdr:col>
      <xdr:colOff>1975855</xdr:colOff>
      <xdr:row>147</xdr:row>
      <xdr:rowOff>27375</xdr:rowOff>
    </xdr:to>
    <xdr:pic>
      <xdr:nvPicPr>
        <xdr:cNvPr id="2" name="Picture 1">
          <a:extLst>
            <a:ext uri="{FF2B5EF4-FFF2-40B4-BE49-F238E27FC236}">
              <a16:creationId xmlns:a16="http://schemas.microsoft.com/office/drawing/2014/main" id="{65912E09-8981-49F4-8D1B-9B351F59B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5003125"/>
          <a:ext cx="33665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151</xdr:row>
      <xdr:rowOff>0</xdr:rowOff>
    </xdr:from>
    <xdr:to>
      <xdr:col>2</xdr:col>
      <xdr:colOff>1975855</xdr:colOff>
      <xdr:row>151</xdr:row>
      <xdr:rowOff>1980000</xdr:rowOff>
    </xdr:to>
    <xdr:pic>
      <xdr:nvPicPr>
        <xdr:cNvPr id="3" name="Picture 2">
          <a:extLst>
            <a:ext uri="{FF2B5EF4-FFF2-40B4-BE49-F238E27FC236}">
              <a16:creationId xmlns:a16="http://schemas.microsoft.com/office/drawing/2014/main" id="{9FAFD0F5-FCC7-4EB7-8D87-65372661B54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7603450"/>
          <a:ext cx="33665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1</xdr:col>
      <xdr:colOff>0</xdr:colOff>
      <xdr:row>123</xdr:row>
      <xdr:rowOff>0</xdr:rowOff>
    </xdr:from>
    <xdr:to>
      <xdr:col>2</xdr:col>
      <xdr:colOff>1975855</xdr:colOff>
      <xdr:row>124</xdr:row>
      <xdr:rowOff>27375</xdr:rowOff>
    </xdr:to>
    <xdr:pic>
      <xdr:nvPicPr>
        <xdr:cNvPr id="2" name="Picture 1">
          <a:extLst>
            <a:ext uri="{FF2B5EF4-FFF2-40B4-BE49-F238E27FC236}">
              <a16:creationId xmlns:a16="http://schemas.microsoft.com/office/drawing/2014/main" id="{CBC17894-2474-4445-998F-A2FDE1EE4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06311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128</xdr:row>
      <xdr:rowOff>0</xdr:rowOff>
    </xdr:from>
    <xdr:to>
      <xdr:col>2</xdr:col>
      <xdr:colOff>1975855</xdr:colOff>
      <xdr:row>128</xdr:row>
      <xdr:rowOff>1980000</xdr:rowOff>
    </xdr:to>
    <xdr:pic>
      <xdr:nvPicPr>
        <xdr:cNvPr id="3" name="Picture 2">
          <a:extLst>
            <a:ext uri="{FF2B5EF4-FFF2-40B4-BE49-F238E27FC236}">
              <a16:creationId xmlns:a16="http://schemas.microsoft.com/office/drawing/2014/main" id="{11AEF702-99CA-494E-A9DA-939CDBB8C9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32314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1</xdr:col>
      <xdr:colOff>0</xdr:colOff>
      <xdr:row>188</xdr:row>
      <xdr:rowOff>152400</xdr:rowOff>
    </xdr:from>
    <xdr:to>
      <xdr:col>2</xdr:col>
      <xdr:colOff>1976777</xdr:colOff>
      <xdr:row>189</xdr:row>
      <xdr:rowOff>36900</xdr:rowOff>
    </xdr:to>
    <xdr:pic>
      <xdr:nvPicPr>
        <xdr:cNvPr id="2" name="Picture 1">
          <a:extLst>
            <a:ext uri="{FF2B5EF4-FFF2-40B4-BE49-F238E27FC236}">
              <a16:creationId xmlns:a16="http://schemas.microsoft.com/office/drawing/2014/main" id="{4DFB7069-EEC0-443C-87A6-9E3043FAB2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4566225"/>
          <a:ext cx="348172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183</xdr:row>
      <xdr:rowOff>0</xdr:rowOff>
    </xdr:from>
    <xdr:to>
      <xdr:col>2</xdr:col>
      <xdr:colOff>1976777</xdr:colOff>
      <xdr:row>184</xdr:row>
      <xdr:rowOff>27375</xdr:rowOff>
    </xdr:to>
    <xdr:pic>
      <xdr:nvPicPr>
        <xdr:cNvPr id="3" name="Picture 2">
          <a:extLst>
            <a:ext uri="{FF2B5EF4-FFF2-40B4-BE49-F238E27FC236}">
              <a16:creationId xmlns:a16="http://schemas.microsoft.com/office/drawing/2014/main" id="{238345E6-181F-4DB4-AC0A-75CAAD2FCD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813500"/>
          <a:ext cx="348172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1</xdr:col>
      <xdr:colOff>0</xdr:colOff>
      <xdr:row>169</xdr:row>
      <xdr:rowOff>0</xdr:rowOff>
    </xdr:from>
    <xdr:to>
      <xdr:col>2</xdr:col>
      <xdr:colOff>1975855</xdr:colOff>
      <xdr:row>169</xdr:row>
      <xdr:rowOff>1980000</xdr:rowOff>
    </xdr:to>
    <xdr:pic>
      <xdr:nvPicPr>
        <xdr:cNvPr id="2" name="Picture 1">
          <a:extLst>
            <a:ext uri="{FF2B5EF4-FFF2-40B4-BE49-F238E27FC236}">
              <a16:creationId xmlns:a16="http://schemas.microsoft.com/office/drawing/2014/main" id="{97FE3829-4F18-4DDF-BD51-33D6A0E988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6895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164</xdr:row>
      <xdr:rowOff>0</xdr:rowOff>
    </xdr:from>
    <xdr:to>
      <xdr:col>2</xdr:col>
      <xdr:colOff>1975855</xdr:colOff>
      <xdr:row>165</xdr:row>
      <xdr:rowOff>27375</xdr:rowOff>
    </xdr:to>
    <xdr:pic>
      <xdr:nvPicPr>
        <xdr:cNvPr id="3" name="Picture 2">
          <a:extLst>
            <a:ext uri="{FF2B5EF4-FFF2-40B4-BE49-F238E27FC236}">
              <a16:creationId xmlns:a16="http://schemas.microsoft.com/office/drawing/2014/main" id="{0E93CB3C-01C1-45F2-ACAF-88BEE359FD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0892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8B2E2-DA1C-4DF0-B96C-5DE7034FD1EA}">
  <dimension ref="A1:C31"/>
  <sheetViews>
    <sheetView tabSelected="1" zoomScale="110" zoomScaleNormal="110" workbookViewId="0">
      <pane ySplit="1" topLeftCell="A2" activePane="bottomLeft" state="frozen"/>
      <selection sqref="A1:H1"/>
      <selection pane="bottomLeft" activeCell="C2" sqref="C2"/>
    </sheetView>
  </sheetViews>
  <sheetFormatPr defaultColWidth="9.140625" defaultRowHeight="15" x14ac:dyDescent="0.25"/>
  <cols>
    <col min="1" max="1" width="6.140625" style="17" bestFit="1" customWidth="1"/>
    <col min="2" max="2" width="10.42578125" style="17" bestFit="1" customWidth="1"/>
    <col min="3" max="3" width="56.140625" style="17" bestFit="1" customWidth="1"/>
    <col min="4" max="16384" width="9.140625" style="17"/>
  </cols>
  <sheetData>
    <row r="1" spans="1:3" x14ac:dyDescent="0.25">
      <c r="A1" s="16" t="s">
        <v>1105</v>
      </c>
      <c r="B1" s="16" t="s">
        <v>1106</v>
      </c>
      <c r="C1" s="16" t="s">
        <v>1107</v>
      </c>
    </row>
    <row r="2" spans="1:3" x14ac:dyDescent="0.25">
      <c r="A2" s="18">
        <v>1</v>
      </c>
      <c r="B2" s="19" t="s">
        <v>1108</v>
      </c>
      <c r="C2" s="20" t="s">
        <v>1</v>
      </c>
    </row>
    <row r="3" spans="1:3" x14ac:dyDescent="0.25">
      <c r="A3" s="18">
        <v>2</v>
      </c>
      <c r="B3" s="19" t="s">
        <v>1109</v>
      </c>
      <c r="C3" s="20" t="s">
        <v>1096</v>
      </c>
    </row>
    <row r="4" spans="1:3" x14ac:dyDescent="0.25">
      <c r="A4" s="18">
        <v>3</v>
      </c>
      <c r="B4" s="19" t="s">
        <v>1110</v>
      </c>
      <c r="C4" s="20" t="s">
        <v>183</v>
      </c>
    </row>
    <row r="5" spans="1:3" x14ac:dyDescent="0.25">
      <c r="A5" s="18">
        <v>4</v>
      </c>
      <c r="B5" s="19" t="s">
        <v>1111</v>
      </c>
      <c r="C5" s="20" t="s">
        <v>1112</v>
      </c>
    </row>
    <row r="6" spans="1:3" x14ac:dyDescent="0.25">
      <c r="A6" s="18">
        <v>5</v>
      </c>
      <c r="B6" s="19" t="s">
        <v>1113</v>
      </c>
      <c r="C6" s="20" t="s">
        <v>1114</v>
      </c>
    </row>
    <row r="7" spans="1:3" x14ac:dyDescent="0.25">
      <c r="A7" s="18">
        <v>6</v>
      </c>
      <c r="B7" s="19" t="s">
        <v>1115</v>
      </c>
      <c r="C7" s="20" t="s">
        <v>1116</v>
      </c>
    </row>
    <row r="8" spans="1:3" x14ac:dyDescent="0.25">
      <c r="A8" s="18">
        <v>7</v>
      </c>
      <c r="B8" s="19" t="s">
        <v>1117</v>
      </c>
      <c r="C8" s="20" t="s">
        <v>1118</v>
      </c>
    </row>
    <row r="9" spans="1:3" x14ac:dyDescent="0.25">
      <c r="A9" s="18">
        <v>8</v>
      </c>
      <c r="B9" s="19" t="s">
        <v>1119</v>
      </c>
      <c r="C9" s="20" t="s">
        <v>448</v>
      </c>
    </row>
    <row r="10" spans="1:3" x14ac:dyDescent="0.25">
      <c r="A10" s="18">
        <v>9</v>
      </c>
      <c r="B10" s="19" t="s">
        <v>1120</v>
      </c>
      <c r="C10" s="20" t="s">
        <v>451</v>
      </c>
    </row>
    <row r="11" spans="1:3" x14ac:dyDescent="0.25">
      <c r="A11" s="18">
        <v>10</v>
      </c>
      <c r="B11" s="19" t="s">
        <v>1121</v>
      </c>
      <c r="C11" s="20" t="s">
        <v>452</v>
      </c>
    </row>
    <row r="12" spans="1:3" x14ac:dyDescent="0.25">
      <c r="A12" s="18">
        <v>11</v>
      </c>
      <c r="B12" s="19" t="s">
        <v>1122</v>
      </c>
      <c r="C12" s="20" t="s">
        <v>453</v>
      </c>
    </row>
    <row r="13" spans="1:3" x14ac:dyDescent="0.25">
      <c r="A13" s="18">
        <v>12</v>
      </c>
      <c r="B13" s="19" t="s">
        <v>1123</v>
      </c>
      <c r="C13" s="20" t="s">
        <v>454</v>
      </c>
    </row>
    <row r="14" spans="1:3" x14ac:dyDescent="0.25">
      <c r="A14" s="18">
        <v>13</v>
      </c>
      <c r="B14" s="19" t="s">
        <v>1124</v>
      </c>
      <c r="C14" s="20" t="s">
        <v>501</v>
      </c>
    </row>
    <row r="15" spans="1:3" x14ac:dyDescent="0.25">
      <c r="A15" s="18">
        <v>14</v>
      </c>
      <c r="B15" s="19" t="s">
        <v>1125</v>
      </c>
      <c r="C15" s="20" t="s">
        <v>1126</v>
      </c>
    </row>
    <row r="16" spans="1:3" x14ac:dyDescent="0.25">
      <c r="A16" s="18">
        <v>15</v>
      </c>
      <c r="B16" s="19" t="s">
        <v>1127</v>
      </c>
      <c r="C16" s="20" t="s">
        <v>667</v>
      </c>
    </row>
    <row r="17" spans="1:3" x14ac:dyDescent="0.25">
      <c r="A17" s="18">
        <v>16</v>
      </c>
      <c r="B17" s="19" t="s">
        <v>1128</v>
      </c>
      <c r="C17" s="20" t="s">
        <v>680</v>
      </c>
    </row>
    <row r="18" spans="1:3" x14ac:dyDescent="0.25">
      <c r="A18" s="18">
        <v>17</v>
      </c>
      <c r="B18" s="19" t="s">
        <v>1129</v>
      </c>
      <c r="C18" s="20" t="s">
        <v>710</v>
      </c>
    </row>
    <row r="19" spans="1:3" x14ac:dyDescent="0.25">
      <c r="A19" s="18">
        <v>18</v>
      </c>
      <c r="B19" s="19" t="s">
        <v>1130</v>
      </c>
      <c r="C19" s="20" t="s">
        <v>1131</v>
      </c>
    </row>
    <row r="20" spans="1:3" x14ac:dyDescent="0.25">
      <c r="A20" s="18">
        <v>19</v>
      </c>
      <c r="B20" s="19" t="s">
        <v>1132</v>
      </c>
      <c r="C20" s="20" t="s">
        <v>746</v>
      </c>
    </row>
    <row r="21" spans="1:3" x14ac:dyDescent="0.25">
      <c r="A21" s="18">
        <v>20</v>
      </c>
      <c r="B21" s="19" t="s">
        <v>1133</v>
      </c>
      <c r="C21" s="20" t="s">
        <v>1134</v>
      </c>
    </row>
    <row r="22" spans="1:3" x14ac:dyDescent="0.25">
      <c r="A22" s="18">
        <v>21</v>
      </c>
      <c r="B22" s="19" t="s">
        <v>1135</v>
      </c>
      <c r="C22" s="20" t="s">
        <v>815</v>
      </c>
    </row>
    <row r="23" spans="1:3" x14ac:dyDescent="0.25">
      <c r="A23" s="18">
        <v>22</v>
      </c>
      <c r="B23" s="19" t="s">
        <v>1136</v>
      </c>
      <c r="C23" s="20" t="s">
        <v>824</v>
      </c>
    </row>
    <row r="24" spans="1:3" x14ac:dyDescent="0.25">
      <c r="A24" s="18">
        <v>23</v>
      </c>
      <c r="B24" s="19" t="s">
        <v>1137</v>
      </c>
      <c r="C24" s="20" t="s">
        <v>827</v>
      </c>
    </row>
    <row r="25" spans="1:3" x14ac:dyDescent="0.25">
      <c r="A25" s="18">
        <v>24</v>
      </c>
      <c r="B25" s="19" t="s">
        <v>1138</v>
      </c>
      <c r="C25" s="20" t="s">
        <v>834</v>
      </c>
    </row>
    <row r="26" spans="1:3" x14ac:dyDescent="0.25">
      <c r="A26" s="18">
        <v>25</v>
      </c>
      <c r="B26" s="19" t="s">
        <v>1139</v>
      </c>
      <c r="C26" s="20" t="s">
        <v>843</v>
      </c>
    </row>
    <row r="27" spans="1:3" x14ac:dyDescent="0.25">
      <c r="A27" s="18">
        <v>26</v>
      </c>
      <c r="B27" s="19" t="s">
        <v>1140</v>
      </c>
      <c r="C27" s="20" t="s">
        <v>859</v>
      </c>
    </row>
    <row r="28" spans="1:3" x14ac:dyDescent="0.25">
      <c r="A28" s="18">
        <v>27</v>
      </c>
      <c r="B28" s="19" t="s">
        <v>1141</v>
      </c>
      <c r="C28" s="20" t="s">
        <v>860</v>
      </c>
    </row>
    <row r="29" spans="1:3" x14ac:dyDescent="0.25">
      <c r="A29" s="18">
        <v>28</v>
      </c>
      <c r="B29" s="19" t="s">
        <v>1142</v>
      </c>
      <c r="C29" s="20" t="s">
        <v>863</v>
      </c>
    </row>
    <row r="30" spans="1:3" x14ac:dyDescent="0.25">
      <c r="A30" s="18">
        <v>29</v>
      </c>
      <c r="B30" s="21" t="s">
        <v>1143</v>
      </c>
      <c r="C30" s="20" t="s">
        <v>844</v>
      </c>
    </row>
    <row r="31" spans="1:3" x14ac:dyDescent="0.25">
      <c r="A31" s="18">
        <v>30</v>
      </c>
      <c r="B31" s="21" t="s">
        <v>1144</v>
      </c>
      <c r="C31" s="20" t="s">
        <v>878</v>
      </c>
    </row>
  </sheetData>
  <hyperlinks>
    <hyperlink ref="B4" location="MIDCAP!A1" display="MIDCAP" xr:uid="{52FCA85A-91F1-4B31-886A-51307AB9466D}"/>
    <hyperlink ref="B5" location="MULTIP!A1" display="MULTIP" xr:uid="{453BD204-E69A-4174-A73E-AA01C0084BC0}"/>
    <hyperlink ref="B6" location="SLTADV3!A1" display="SLTADV3" xr:uid="{3D15BB24-B693-4CB9-B39F-49670B190630}"/>
    <hyperlink ref="B7" location="SLTADV4!A1" display="SLTADV4" xr:uid="{E70602AD-616B-4D0C-94D0-19A675CF5188}"/>
    <hyperlink ref="B8" location="SLTAX2!A1" display="SLTAX2" xr:uid="{490AD949-7731-4D79-9665-121C7581DED4}"/>
    <hyperlink ref="B9" location="SLTAX3!A1" display="SLTAX3" xr:uid="{A7290CC0-714D-4B77-AABF-CD6B5A5B659A}"/>
    <hyperlink ref="B10" location="SLTAX4!A1" display="SLTAX4" xr:uid="{6A288FCB-47F3-4521-9E18-4F4D5BB77F54}"/>
    <hyperlink ref="B11" location="SLTAX5!A1" display="SLTAX5" xr:uid="{A106C6FF-DDD1-4E89-A5DF-9FE534687C2A}"/>
    <hyperlink ref="B12" location="SLTAX6!A1" display="SLTAX6" xr:uid="{01C9B27D-1C73-4F56-A5B1-65CD0CCCBF9F}"/>
    <hyperlink ref="B13" location="SMILE!A1" display="SMILE" xr:uid="{6BCD344D-1FAF-4C29-8BC5-20BBA3793442}"/>
    <hyperlink ref="B14" location="SPAHF!A1" display="SPAHF" xr:uid="{79B251C9-3AA1-46F4-9B07-2B281753A6D1}"/>
    <hyperlink ref="B15" location="SPARF!A1" display="SPARF" xr:uid="{F8B3F742-11A3-488D-A547-D6D816A5CE12}"/>
    <hyperlink ref="B16" location="SPBAF!A1" display="SPBAF" xr:uid="{4959A817-21AA-4754-B968-89EB02F1C3B6}"/>
    <hyperlink ref="B18" location="SPESF!A1" display="SPESF" xr:uid="{94FF79AF-5FD3-4231-AC16-E7B17A3667DE}"/>
    <hyperlink ref="B19" location="SPFOCUS!A1" display="SPFOCUS" xr:uid="{0ADD78EE-491B-40CE-89D5-EAF714B21ECB}"/>
    <hyperlink ref="B20" location="SPMUCF!A1" display="SPMUCF" xr:uid="{7D31EB19-A135-42E3-B729-3458D44E4D21}"/>
    <hyperlink ref="B21" location="SPSN100!A1" display="SPSN100" xr:uid="{284B0B95-347D-42C5-85F3-F0B5E14CE328}"/>
    <hyperlink ref="B22" location="SPTAX!A1" display="SPTAX" xr:uid="{4878DA8A-090F-4291-8992-C78132988519}"/>
    <hyperlink ref="B23" location="SRURAL!A1" display="SRURAL" xr:uid="{65488EFD-8ADD-415B-B458-CC1D692B7898}"/>
    <hyperlink ref="B24" location="SSFUND!A1" display="SSFUND" xr:uid="{AF9DD15D-7ED7-4242-A3C1-E85B664BFA81}"/>
    <hyperlink ref="B25" location="STAX!A1" display="STAX" xr:uid="{1A1FA5F0-D0F8-4721-9F79-C36826AA55C9}"/>
    <hyperlink ref="B26" location="SUNBCF!A1" display="SUNBCF" xr:uid="{AE20B7B9-C3A9-4894-AB0A-6773D7EEF9E3}"/>
    <hyperlink ref="B28" location="SUNFOP!A1" display="SUNFOP" xr:uid="{7CDBBB8D-8C19-4A1E-A742-4DDC9CBA585F}"/>
    <hyperlink ref="B3" location="GLOB!A1" display="GLOB" xr:uid="{D486D2DB-949D-4721-BD37-6131A2C9C3F2}"/>
    <hyperlink ref="B27" location="SUNFCF!A1" display="SUNFCF" xr:uid="{FA9754BE-30E9-4420-B79E-A0DB81DE388F}"/>
    <hyperlink ref="B17" location="SPDYF!A1" display="SPDYF" xr:uid="{F632F6CB-FA78-4720-9529-A4D8CEEC85CC}"/>
    <hyperlink ref="B29" location="SUNMAF!A1" display="SUNMAF" xr:uid="{FDE5C2F5-F1E3-470E-9FD6-7B5D90789035}"/>
    <hyperlink ref="B2" location="CAPEXG!A1" display="CAPEXG" xr:uid="{4597CF81-DA3B-4BE2-BD53-23C08084BFEF}"/>
    <hyperlink ref="B30" location="SUNCYF!A1" display="SUNCYF" xr:uid="{5CFE2284-177B-400B-8A28-82F42717C36E}"/>
    <hyperlink ref="B31" location="SUNMFF!A1" display="SUNMFF" xr:uid="{5503E446-E6D7-4470-9490-A23EB9AEDE96}"/>
  </hyperlinks>
  <pageMargins left="0.7" right="0.7" top="0.75" bottom="0.75" header="0.3" footer="0.3"/>
  <headerFooter>
    <oddHeader>&amp;L&amp;"Calibri"&amp;10&amp;KFF0000 "Sensitivity: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91059-82D0-458F-9018-3B20B5C0EEB4}">
  <sheetPr>
    <outlinePr summaryBelow="0" summaryRight="0"/>
  </sheetPr>
  <dimension ref="A1:Q176"/>
  <sheetViews>
    <sheetView showGridLines="0" workbookViewId="0">
      <selection activeCell="C141" sqref="C141"/>
    </sheetView>
  </sheetViews>
  <sheetFormatPr defaultRowHeight="12.75" x14ac:dyDescent="0.2"/>
  <cols>
    <col min="1" max="1" width="5.85546875" bestFit="1" customWidth="1"/>
    <col min="2" max="2" width="19.7109375" bestFit="1" customWidth="1"/>
    <col min="3" max="3" width="45.85546875" customWidth="1"/>
    <col min="4" max="4" width="17.710937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1</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11</v>
      </c>
      <c r="C7" s="93" t="s">
        <v>12</v>
      </c>
      <c r="D7" s="93" t="s">
        <v>13</v>
      </c>
      <c r="E7" s="94">
        <v>415000</v>
      </c>
      <c r="F7" s="95">
        <v>8526.1749999999993</v>
      </c>
      <c r="G7" s="96">
        <v>8.8101479999999996E-2</v>
      </c>
      <c r="H7" s="86" t="s">
        <v>142</v>
      </c>
    </row>
    <row r="8" spans="1:9" x14ac:dyDescent="0.2">
      <c r="A8" s="92">
        <v>2</v>
      </c>
      <c r="B8" s="93" t="s">
        <v>14</v>
      </c>
      <c r="C8" s="93" t="s">
        <v>15</v>
      </c>
      <c r="D8" s="93" t="s">
        <v>16</v>
      </c>
      <c r="E8" s="94">
        <v>210000</v>
      </c>
      <c r="F8" s="95">
        <v>8464.89</v>
      </c>
      <c r="G8" s="96">
        <v>8.7468219999999999E-2</v>
      </c>
      <c r="H8" s="86" t="s">
        <v>142</v>
      </c>
    </row>
    <row r="9" spans="1:9" x14ac:dyDescent="0.2">
      <c r="A9" s="92">
        <v>3</v>
      </c>
      <c r="B9" s="93" t="s">
        <v>17</v>
      </c>
      <c r="C9" s="93" t="s">
        <v>18</v>
      </c>
      <c r="D9" s="93" t="s">
        <v>19</v>
      </c>
      <c r="E9" s="94">
        <v>510000</v>
      </c>
      <c r="F9" s="95">
        <v>7580.64</v>
      </c>
      <c r="G9" s="96">
        <v>7.8331209999999998E-2</v>
      </c>
      <c r="H9" s="86" t="s">
        <v>142</v>
      </c>
    </row>
    <row r="10" spans="1:9" x14ac:dyDescent="0.2">
      <c r="A10" s="92">
        <v>4</v>
      </c>
      <c r="B10" s="93" t="s">
        <v>20</v>
      </c>
      <c r="C10" s="93" t="s">
        <v>21</v>
      </c>
      <c r="D10" s="93" t="s">
        <v>22</v>
      </c>
      <c r="E10" s="94">
        <v>1340000</v>
      </c>
      <c r="F10" s="95">
        <v>4515.13</v>
      </c>
      <c r="G10" s="96">
        <v>4.665511E-2</v>
      </c>
      <c r="H10" s="86" t="s">
        <v>142</v>
      </c>
    </row>
    <row r="11" spans="1:9" ht="25.5" x14ac:dyDescent="0.2">
      <c r="A11" s="92">
        <v>5</v>
      </c>
      <c r="B11" s="93" t="s">
        <v>23</v>
      </c>
      <c r="C11" s="93" t="s">
        <v>24</v>
      </c>
      <c r="D11" s="93" t="s">
        <v>25</v>
      </c>
      <c r="E11" s="94">
        <v>28000</v>
      </c>
      <c r="F11" s="95">
        <v>3345.16</v>
      </c>
      <c r="G11" s="96">
        <v>3.4565739999999998E-2</v>
      </c>
      <c r="H11" s="86" t="s">
        <v>142</v>
      </c>
    </row>
    <row r="12" spans="1:9" x14ac:dyDescent="0.2">
      <c r="A12" s="92">
        <v>6</v>
      </c>
      <c r="B12" s="93" t="s">
        <v>26</v>
      </c>
      <c r="C12" s="93" t="s">
        <v>27</v>
      </c>
      <c r="D12" s="93" t="s">
        <v>28</v>
      </c>
      <c r="E12" s="94">
        <v>675000</v>
      </c>
      <c r="F12" s="95">
        <v>2876.1750000000002</v>
      </c>
      <c r="G12" s="96">
        <v>2.971969E-2</v>
      </c>
      <c r="H12" s="86" t="s">
        <v>142</v>
      </c>
    </row>
    <row r="13" spans="1:9" x14ac:dyDescent="0.2">
      <c r="A13" s="92">
        <v>7</v>
      </c>
      <c r="B13" s="93" t="s">
        <v>29</v>
      </c>
      <c r="C13" s="93" t="s">
        <v>30</v>
      </c>
      <c r="D13" s="93" t="s">
        <v>22</v>
      </c>
      <c r="E13" s="94">
        <v>800000</v>
      </c>
      <c r="F13" s="95">
        <v>2305.1999999999998</v>
      </c>
      <c r="G13" s="96">
        <v>2.3819770000000001E-2</v>
      </c>
      <c r="H13" s="86" t="s">
        <v>142</v>
      </c>
    </row>
    <row r="14" spans="1:9" x14ac:dyDescent="0.2">
      <c r="A14" s="92">
        <v>8</v>
      </c>
      <c r="B14" s="93" t="s">
        <v>31</v>
      </c>
      <c r="C14" s="93" t="s">
        <v>32</v>
      </c>
      <c r="D14" s="93" t="s">
        <v>19</v>
      </c>
      <c r="E14" s="94">
        <v>575000</v>
      </c>
      <c r="F14" s="95">
        <v>2051.6</v>
      </c>
      <c r="G14" s="96">
        <v>2.1199309999999999E-2</v>
      </c>
      <c r="H14" s="86" t="s">
        <v>142</v>
      </c>
    </row>
    <row r="15" spans="1:9" x14ac:dyDescent="0.2">
      <c r="A15" s="92">
        <v>9</v>
      </c>
      <c r="B15" s="93" t="s">
        <v>33</v>
      </c>
      <c r="C15" s="93" t="s">
        <v>34</v>
      </c>
      <c r="D15" s="93" t="s">
        <v>35</v>
      </c>
      <c r="E15" s="94">
        <v>145000</v>
      </c>
      <c r="F15" s="95">
        <v>1950.6849999999999</v>
      </c>
      <c r="G15" s="96">
        <v>2.0156549999999999E-2</v>
      </c>
      <c r="H15" s="86" t="s">
        <v>142</v>
      </c>
    </row>
    <row r="16" spans="1:9" x14ac:dyDescent="0.2">
      <c r="A16" s="92">
        <v>10</v>
      </c>
      <c r="B16" s="93" t="s">
        <v>36</v>
      </c>
      <c r="C16" s="93" t="s">
        <v>37</v>
      </c>
      <c r="D16" s="93" t="s">
        <v>38</v>
      </c>
      <c r="E16" s="94">
        <v>120000</v>
      </c>
      <c r="F16" s="95">
        <v>1937.4</v>
      </c>
      <c r="G16" s="96">
        <v>2.0019269999999999E-2</v>
      </c>
      <c r="H16" s="86" t="s">
        <v>142</v>
      </c>
    </row>
    <row r="17" spans="1:8" x14ac:dyDescent="0.2">
      <c r="A17" s="92">
        <v>11</v>
      </c>
      <c r="B17" s="93" t="s">
        <v>39</v>
      </c>
      <c r="C17" s="93" t="s">
        <v>40</v>
      </c>
      <c r="D17" s="93" t="s">
        <v>35</v>
      </c>
      <c r="E17" s="94">
        <v>200000</v>
      </c>
      <c r="F17" s="95">
        <v>1874</v>
      </c>
      <c r="G17" s="96">
        <v>1.9364159999999998E-2</v>
      </c>
      <c r="H17" s="86" t="s">
        <v>142</v>
      </c>
    </row>
    <row r="18" spans="1:8" x14ac:dyDescent="0.2">
      <c r="A18" s="92">
        <v>12</v>
      </c>
      <c r="B18" s="93" t="s">
        <v>41</v>
      </c>
      <c r="C18" s="93" t="s">
        <v>42</v>
      </c>
      <c r="D18" s="93" t="s">
        <v>43</v>
      </c>
      <c r="E18" s="94">
        <v>58500</v>
      </c>
      <c r="F18" s="95">
        <v>1776.8789999999999</v>
      </c>
      <c r="G18" s="96">
        <v>1.8360600000000001E-2</v>
      </c>
      <c r="H18" s="86" t="s">
        <v>142</v>
      </c>
    </row>
    <row r="19" spans="1:8" x14ac:dyDescent="0.2">
      <c r="A19" s="92">
        <v>13</v>
      </c>
      <c r="B19" s="93" t="s">
        <v>44</v>
      </c>
      <c r="C19" s="93" t="s">
        <v>45</v>
      </c>
      <c r="D19" s="93" t="s">
        <v>16</v>
      </c>
      <c r="E19" s="94">
        <v>138000</v>
      </c>
      <c r="F19" s="95">
        <v>1733.8320000000001</v>
      </c>
      <c r="G19" s="96">
        <v>1.7915790000000001E-2</v>
      </c>
      <c r="H19" s="86" t="s">
        <v>142</v>
      </c>
    </row>
    <row r="20" spans="1:8" x14ac:dyDescent="0.2">
      <c r="A20" s="92">
        <v>14</v>
      </c>
      <c r="B20" s="93" t="s">
        <v>46</v>
      </c>
      <c r="C20" s="93" t="s">
        <v>47</v>
      </c>
      <c r="D20" s="93" t="s">
        <v>48</v>
      </c>
      <c r="E20" s="94">
        <v>21500</v>
      </c>
      <c r="F20" s="95">
        <v>1727.8475000000001</v>
      </c>
      <c r="G20" s="96">
        <v>1.785395E-2</v>
      </c>
      <c r="H20" s="86" t="s">
        <v>142</v>
      </c>
    </row>
    <row r="21" spans="1:8" x14ac:dyDescent="0.2">
      <c r="A21" s="92">
        <v>15</v>
      </c>
      <c r="B21" s="93" t="s">
        <v>49</v>
      </c>
      <c r="C21" s="93" t="s">
        <v>50</v>
      </c>
      <c r="D21" s="93" t="s">
        <v>22</v>
      </c>
      <c r="E21" s="94">
        <v>415000</v>
      </c>
      <c r="F21" s="95">
        <v>1680.335</v>
      </c>
      <c r="G21" s="96">
        <v>1.7363E-2</v>
      </c>
      <c r="H21" s="86" t="s">
        <v>142</v>
      </c>
    </row>
    <row r="22" spans="1:8" x14ac:dyDescent="0.2">
      <c r="A22" s="92">
        <v>16</v>
      </c>
      <c r="B22" s="93" t="s">
        <v>51</v>
      </c>
      <c r="C22" s="93" t="s">
        <v>52</v>
      </c>
      <c r="D22" s="93" t="s">
        <v>43</v>
      </c>
      <c r="E22" s="94">
        <v>2500000</v>
      </c>
      <c r="F22" s="95">
        <v>1482.5</v>
      </c>
      <c r="G22" s="96">
        <v>1.5318760000000001E-2</v>
      </c>
      <c r="H22" s="86" t="s">
        <v>142</v>
      </c>
    </row>
    <row r="23" spans="1:8" ht="25.5" x14ac:dyDescent="0.2">
      <c r="A23" s="92">
        <v>17</v>
      </c>
      <c r="B23" s="93" t="s">
        <v>53</v>
      </c>
      <c r="C23" s="93" t="s">
        <v>54</v>
      </c>
      <c r="D23" s="93" t="s">
        <v>55</v>
      </c>
      <c r="E23" s="94">
        <v>100000</v>
      </c>
      <c r="F23" s="95">
        <v>1451.5</v>
      </c>
      <c r="G23" s="96">
        <v>1.499844E-2</v>
      </c>
      <c r="H23" s="86" t="s">
        <v>142</v>
      </c>
    </row>
    <row r="24" spans="1:8" x14ac:dyDescent="0.2">
      <c r="A24" s="92">
        <v>18</v>
      </c>
      <c r="B24" s="93" t="s">
        <v>56</v>
      </c>
      <c r="C24" s="93" t="s">
        <v>57</v>
      </c>
      <c r="D24" s="93" t="s">
        <v>58</v>
      </c>
      <c r="E24" s="94">
        <v>33000</v>
      </c>
      <c r="F24" s="95">
        <v>1433.5530000000001</v>
      </c>
      <c r="G24" s="96">
        <v>1.481299E-2</v>
      </c>
      <c r="H24" s="86" t="s">
        <v>142</v>
      </c>
    </row>
    <row r="25" spans="1:8" x14ac:dyDescent="0.2">
      <c r="A25" s="92">
        <v>19</v>
      </c>
      <c r="B25" s="93" t="s">
        <v>59</v>
      </c>
      <c r="C25" s="93" t="s">
        <v>60</v>
      </c>
      <c r="D25" s="93" t="s">
        <v>61</v>
      </c>
      <c r="E25" s="94">
        <v>25000</v>
      </c>
      <c r="F25" s="95">
        <v>1406.25</v>
      </c>
      <c r="G25" s="96">
        <v>1.453087E-2</v>
      </c>
      <c r="H25" s="86" t="s">
        <v>142</v>
      </c>
    </row>
    <row r="26" spans="1:8" x14ac:dyDescent="0.2">
      <c r="A26" s="92">
        <v>20</v>
      </c>
      <c r="B26" s="93" t="s">
        <v>62</v>
      </c>
      <c r="C26" s="93" t="s">
        <v>63</v>
      </c>
      <c r="D26" s="93" t="s">
        <v>64</v>
      </c>
      <c r="E26" s="94">
        <v>550000</v>
      </c>
      <c r="F26" s="95">
        <v>1404.5350000000001</v>
      </c>
      <c r="G26" s="96">
        <v>1.4513150000000001E-2</v>
      </c>
      <c r="H26" s="86" t="s">
        <v>142</v>
      </c>
    </row>
    <row r="27" spans="1:8" x14ac:dyDescent="0.2">
      <c r="A27" s="92">
        <v>21</v>
      </c>
      <c r="B27" s="93" t="s">
        <v>65</v>
      </c>
      <c r="C27" s="93" t="s">
        <v>66</v>
      </c>
      <c r="D27" s="93" t="s">
        <v>43</v>
      </c>
      <c r="E27" s="94">
        <v>175000</v>
      </c>
      <c r="F27" s="95">
        <v>1356.075</v>
      </c>
      <c r="G27" s="96">
        <v>1.4012409999999999E-2</v>
      </c>
      <c r="H27" s="86" t="s">
        <v>142</v>
      </c>
    </row>
    <row r="28" spans="1:8" x14ac:dyDescent="0.2">
      <c r="A28" s="92">
        <v>22</v>
      </c>
      <c r="B28" s="93" t="s">
        <v>67</v>
      </c>
      <c r="C28" s="93" t="s">
        <v>68</v>
      </c>
      <c r="D28" s="93" t="s">
        <v>43</v>
      </c>
      <c r="E28" s="94">
        <v>7500</v>
      </c>
      <c r="F28" s="95">
        <v>1333.35</v>
      </c>
      <c r="G28" s="96">
        <v>1.3777589999999999E-2</v>
      </c>
      <c r="H28" s="86" t="s">
        <v>142</v>
      </c>
    </row>
    <row r="29" spans="1:8" x14ac:dyDescent="0.2">
      <c r="A29" s="92">
        <v>23</v>
      </c>
      <c r="B29" s="93" t="s">
        <v>69</v>
      </c>
      <c r="C29" s="93" t="s">
        <v>70</v>
      </c>
      <c r="D29" s="93" t="s">
        <v>58</v>
      </c>
      <c r="E29" s="94">
        <v>31000</v>
      </c>
      <c r="F29" s="95">
        <v>1249.92</v>
      </c>
      <c r="G29" s="96">
        <v>1.29155E-2</v>
      </c>
      <c r="H29" s="86" t="s">
        <v>142</v>
      </c>
    </row>
    <row r="30" spans="1:8" x14ac:dyDescent="0.2">
      <c r="A30" s="92">
        <v>24</v>
      </c>
      <c r="B30" s="93" t="s">
        <v>71</v>
      </c>
      <c r="C30" s="93" t="s">
        <v>72</v>
      </c>
      <c r="D30" s="93" t="s">
        <v>73</v>
      </c>
      <c r="E30" s="94">
        <v>120000</v>
      </c>
      <c r="F30" s="95">
        <v>1245.24</v>
      </c>
      <c r="G30" s="96">
        <v>1.2867139999999999E-2</v>
      </c>
      <c r="H30" s="86" t="s">
        <v>142</v>
      </c>
    </row>
    <row r="31" spans="1:8" ht="25.5" x14ac:dyDescent="0.2">
      <c r="A31" s="92">
        <v>25</v>
      </c>
      <c r="B31" s="93" t="s">
        <v>74</v>
      </c>
      <c r="C31" s="93" t="s">
        <v>75</v>
      </c>
      <c r="D31" s="93" t="s">
        <v>25</v>
      </c>
      <c r="E31" s="94">
        <v>20000</v>
      </c>
      <c r="F31" s="95">
        <v>1242.8</v>
      </c>
      <c r="G31" s="96">
        <v>1.284193E-2</v>
      </c>
      <c r="H31" s="86" t="s">
        <v>142</v>
      </c>
    </row>
    <row r="32" spans="1:8" x14ac:dyDescent="0.2">
      <c r="A32" s="92">
        <v>26</v>
      </c>
      <c r="B32" s="93" t="s">
        <v>76</v>
      </c>
      <c r="C32" s="93" t="s">
        <v>77</v>
      </c>
      <c r="D32" s="93" t="s">
        <v>78</v>
      </c>
      <c r="E32" s="94">
        <v>675000</v>
      </c>
      <c r="F32" s="95">
        <v>1233.6300000000001</v>
      </c>
      <c r="G32" s="96">
        <v>1.274717E-2</v>
      </c>
      <c r="H32" s="86" t="s">
        <v>142</v>
      </c>
    </row>
    <row r="33" spans="1:8" x14ac:dyDescent="0.2">
      <c r="A33" s="92">
        <v>27</v>
      </c>
      <c r="B33" s="93" t="s">
        <v>79</v>
      </c>
      <c r="C33" s="93" t="s">
        <v>80</v>
      </c>
      <c r="D33" s="93" t="s">
        <v>58</v>
      </c>
      <c r="E33" s="94">
        <v>25000</v>
      </c>
      <c r="F33" s="95">
        <v>1227.6500000000001</v>
      </c>
      <c r="G33" s="96">
        <v>1.268538E-2</v>
      </c>
      <c r="H33" s="86" t="s">
        <v>142</v>
      </c>
    </row>
    <row r="34" spans="1:8" x14ac:dyDescent="0.2">
      <c r="A34" s="92">
        <v>28</v>
      </c>
      <c r="B34" s="93" t="s">
        <v>81</v>
      </c>
      <c r="C34" s="93" t="s">
        <v>82</v>
      </c>
      <c r="D34" s="93" t="s">
        <v>58</v>
      </c>
      <c r="E34" s="94">
        <v>155000</v>
      </c>
      <c r="F34" s="95">
        <v>1225.5074999999999</v>
      </c>
      <c r="G34" s="96">
        <v>1.2663239999999999E-2</v>
      </c>
      <c r="H34" s="86" t="s">
        <v>142</v>
      </c>
    </row>
    <row r="35" spans="1:8" x14ac:dyDescent="0.2">
      <c r="A35" s="92">
        <v>29</v>
      </c>
      <c r="B35" s="93" t="s">
        <v>83</v>
      </c>
      <c r="C35" s="93" t="s">
        <v>84</v>
      </c>
      <c r="D35" s="93" t="s">
        <v>61</v>
      </c>
      <c r="E35" s="94">
        <v>260000</v>
      </c>
      <c r="F35" s="95">
        <v>1211.47</v>
      </c>
      <c r="G35" s="96">
        <v>1.251819E-2</v>
      </c>
      <c r="H35" s="86" t="s">
        <v>142</v>
      </c>
    </row>
    <row r="36" spans="1:8" x14ac:dyDescent="0.2">
      <c r="A36" s="92">
        <v>30</v>
      </c>
      <c r="B36" s="93" t="s">
        <v>85</v>
      </c>
      <c r="C36" s="93" t="s">
        <v>86</v>
      </c>
      <c r="D36" s="93" t="s">
        <v>13</v>
      </c>
      <c r="E36" s="94">
        <v>65000</v>
      </c>
      <c r="F36" s="95">
        <v>1209.52</v>
      </c>
      <c r="G36" s="96">
        <v>1.249804E-2</v>
      </c>
      <c r="H36" s="86" t="s">
        <v>142</v>
      </c>
    </row>
    <row r="37" spans="1:8" x14ac:dyDescent="0.2">
      <c r="A37" s="92">
        <v>31</v>
      </c>
      <c r="B37" s="93" t="s">
        <v>87</v>
      </c>
      <c r="C37" s="93" t="s">
        <v>88</v>
      </c>
      <c r="D37" s="93" t="s">
        <v>13</v>
      </c>
      <c r="E37" s="94">
        <v>325000</v>
      </c>
      <c r="F37" s="95">
        <v>1181.7</v>
      </c>
      <c r="G37" s="96">
        <v>1.221058E-2</v>
      </c>
      <c r="H37" s="86" t="s">
        <v>142</v>
      </c>
    </row>
    <row r="38" spans="1:8" x14ac:dyDescent="0.2">
      <c r="A38" s="92">
        <v>32</v>
      </c>
      <c r="B38" s="93" t="s">
        <v>89</v>
      </c>
      <c r="C38" s="93" t="s">
        <v>90</v>
      </c>
      <c r="D38" s="93" t="s">
        <v>38</v>
      </c>
      <c r="E38" s="94">
        <v>9500</v>
      </c>
      <c r="F38" s="95">
        <v>1180.28</v>
      </c>
      <c r="G38" s="96">
        <v>1.2195910000000001E-2</v>
      </c>
      <c r="H38" s="86" t="s">
        <v>142</v>
      </c>
    </row>
    <row r="39" spans="1:8" x14ac:dyDescent="0.2">
      <c r="A39" s="92">
        <v>33</v>
      </c>
      <c r="B39" s="93" t="s">
        <v>91</v>
      </c>
      <c r="C39" s="93" t="s">
        <v>92</v>
      </c>
      <c r="D39" s="93" t="s">
        <v>22</v>
      </c>
      <c r="E39" s="94">
        <v>88000</v>
      </c>
      <c r="F39" s="95">
        <v>1158.52</v>
      </c>
      <c r="G39" s="96">
        <v>1.197106E-2</v>
      </c>
      <c r="H39" s="86" t="s">
        <v>142</v>
      </c>
    </row>
    <row r="40" spans="1:8" x14ac:dyDescent="0.2">
      <c r="A40" s="92">
        <v>34</v>
      </c>
      <c r="B40" s="93" t="s">
        <v>93</v>
      </c>
      <c r="C40" s="93" t="s">
        <v>94</v>
      </c>
      <c r="D40" s="93" t="s">
        <v>58</v>
      </c>
      <c r="E40" s="94">
        <v>112000</v>
      </c>
      <c r="F40" s="95">
        <v>1119.8879999999999</v>
      </c>
      <c r="G40" s="96">
        <v>1.157187E-2</v>
      </c>
      <c r="H40" s="86" t="s">
        <v>142</v>
      </c>
    </row>
    <row r="41" spans="1:8" x14ac:dyDescent="0.2">
      <c r="A41" s="92">
        <v>35</v>
      </c>
      <c r="B41" s="93" t="s">
        <v>95</v>
      </c>
      <c r="C41" s="93" t="s">
        <v>96</v>
      </c>
      <c r="D41" s="93" t="s">
        <v>73</v>
      </c>
      <c r="E41" s="94">
        <v>67000</v>
      </c>
      <c r="F41" s="95">
        <v>1084.462</v>
      </c>
      <c r="G41" s="96">
        <v>1.120581E-2</v>
      </c>
      <c r="H41" s="86" t="s">
        <v>142</v>
      </c>
    </row>
    <row r="42" spans="1:8" x14ac:dyDescent="0.2">
      <c r="A42" s="92">
        <v>36</v>
      </c>
      <c r="B42" s="93" t="s">
        <v>97</v>
      </c>
      <c r="C42" s="93" t="s">
        <v>98</v>
      </c>
      <c r="D42" s="93" t="s">
        <v>38</v>
      </c>
      <c r="E42" s="94">
        <v>16000</v>
      </c>
      <c r="F42" s="95">
        <v>1068.8</v>
      </c>
      <c r="G42" s="96">
        <v>1.104398E-2</v>
      </c>
      <c r="H42" s="86" t="s">
        <v>142</v>
      </c>
    </row>
    <row r="43" spans="1:8" x14ac:dyDescent="0.2">
      <c r="A43" s="92">
        <v>37</v>
      </c>
      <c r="B43" s="93" t="s">
        <v>99</v>
      </c>
      <c r="C43" s="93" t="s">
        <v>100</v>
      </c>
      <c r="D43" s="93" t="s">
        <v>43</v>
      </c>
      <c r="E43" s="94">
        <v>33000</v>
      </c>
      <c r="F43" s="95">
        <v>1021.779</v>
      </c>
      <c r="G43" s="96">
        <v>1.0558100000000001E-2</v>
      </c>
      <c r="H43" s="86" t="s">
        <v>142</v>
      </c>
    </row>
    <row r="44" spans="1:8" x14ac:dyDescent="0.2">
      <c r="A44" s="92">
        <v>38</v>
      </c>
      <c r="B44" s="93" t="s">
        <v>101</v>
      </c>
      <c r="C44" s="93" t="s">
        <v>102</v>
      </c>
      <c r="D44" s="93" t="s">
        <v>38</v>
      </c>
      <c r="E44" s="94">
        <v>25000</v>
      </c>
      <c r="F44" s="95">
        <v>1005.35</v>
      </c>
      <c r="G44" s="96">
        <v>1.0388339999999999E-2</v>
      </c>
      <c r="H44" s="86" t="s">
        <v>142</v>
      </c>
    </row>
    <row r="45" spans="1:8" ht="25.5" x14ac:dyDescent="0.2">
      <c r="A45" s="92">
        <v>39</v>
      </c>
      <c r="B45" s="93" t="s">
        <v>103</v>
      </c>
      <c r="C45" s="93" t="s">
        <v>104</v>
      </c>
      <c r="D45" s="93" t="s">
        <v>25</v>
      </c>
      <c r="E45" s="94">
        <v>175000</v>
      </c>
      <c r="F45" s="95">
        <v>989.45</v>
      </c>
      <c r="G45" s="96">
        <v>1.022405E-2</v>
      </c>
      <c r="H45" s="86" t="s">
        <v>142</v>
      </c>
    </row>
    <row r="46" spans="1:8" x14ac:dyDescent="0.2">
      <c r="A46" s="92">
        <v>40</v>
      </c>
      <c r="B46" s="93" t="s">
        <v>105</v>
      </c>
      <c r="C46" s="93" t="s">
        <v>106</v>
      </c>
      <c r="D46" s="93" t="s">
        <v>43</v>
      </c>
      <c r="E46" s="94">
        <v>175000</v>
      </c>
      <c r="F46" s="95">
        <v>982.53750000000002</v>
      </c>
      <c r="G46" s="96">
        <v>1.0152619999999999E-2</v>
      </c>
      <c r="H46" s="86" t="s">
        <v>142</v>
      </c>
    </row>
    <row r="47" spans="1:8" x14ac:dyDescent="0.2">
      <c r="A47" s="92">
        <v>41</v>
      </c>
      <c r="B47" s="93" t="s">
        <v>107</v>
      </c>
      <c r="C47" s="93" t="s">
        <v>108</v>
      </c>
      <c r="D47" s="93" t="s">
        <v>109</v>
      </c>
      <c r="E47" s="94">
        <v>12500</v>
      </c>
      <c r="F47" s="95">
        <v>960.125</v>
      </c>
      <c r="G47" s="96">
        <v>9.9210300000000008E-3</v>
      </c>
      <c r="H47" s="86" t="s">
        <v>142</v>
      </c>
    </row>
    <row r="48" spans="1:8" x14ac:dyDescent="0.2">
      <c r="A48" s="92">
        <v>42</v>
      </c>
      <c r="B48" s="93" t="s">
        <v>110</v>
      </c>
      <c r="C48" s="93" t="s">
        <v>111</v>
      </c>
      <c r="D48" s="93" t="s">
        <v>43</v>
      </c>
      <c r="E48" s="94">
        <v>325000</v>
      </c>
      <c r="F48" s="95">
        <v>862.84249999999997</v>
      </c>
      <c r="G48" s="96">
        <v>8.9157999999999998E-3</v>
      </c>
      <c r="H48" s="86" t="s">
        <v>142</v>
      </c>
    </row>
    <row r="49" spans="1:8" x14ac:dyDescent="0.2">
      <c r="A49" s="92">
        <v>43</v>
      </c>
      <c r="B49" s="93" t="s">
        <v>112</v>
      </c>
      <c r="C49" s="93" t="s">
        <v>113</v>
      </c>
      <c r="D49" s="93" t="s">
        <v>43</v>
      </c>
      <c r="E49" s="94">
        <v>160000</v>
      </c>
      <c r="F49" s="95">
        <v>856.48</v>
      </c>
      <c r="G49" s="96">
        <v>8.8500599999999999E-3</v>
      </c>
      <c r="H49" s="86" t="s">
        <v>142</v>
      </c>
    </row>
    <row r="50" spans="1:8" x14ac:dyDescent="0.2">
      <c r="A50" s="92">
        <v>44</v>
      </c>
      <c r="B50" s="93" t="s">
        <v>114</v>
      </c>
      <c r="C50" s="93" t="s">
        <v>115</v>
      </c>
      <c r="D50" s="93" t="s">
        <v>43</v>
      </c>
      <c r="E50" s="94">
        <v>16000</v>
      </c>
      <c r="F50" s="95">
        <v>835.2</v>
      </c>
      <c r="G50" s="96">
        <v>8.6301699999999995E-3</v>
      </c>
      <c r="H50" s="86" t="s">
        <v>142</v>
      </c>
    </row>
    <row r="51" spans="1:8" x14ac:dyDescent="0.2">
      <c r="A51" s="92">
        <v>45</v>
      </c>
      <c r="B51" s="93" t="s">
        <v>116</v>
      </c>
      <c r="C51" s="93" t="s">
        <v>117</v>
      </c>
      <c r="D51" s="93" t="s">
        <v>16</v>
      </c>
      <c r="E51" s="94">
        <v>380000</v>
      </c>
      <c r="F51" s="95">
        <v>807.00599999999997</v>
      </c>
      <c r="G51" s="96">
        <v>8.3388400000000001E-3</v>
      </c>
      <c r="H51" s="86" t="s">
        <v>142</v>
      </c>
    </row>
    <row r="52" spans="1:8" x14ac:dyDescent="0.2">
      <c r="A52" s="92">
        <v>46</v>
      </c>
      <c r="B52" s="93" t="s">
        <v>118</v>
      </c>
      <c r="C52" s="93" t="s">
        <v>119</v>
      </c>
      <c r="D52" s="93" t="s">
        <v>58</v>
      </c>
      <c r="E52" s="94">
        <v>60000</v>
      </c>
      <c r="F52" s="95">
        <v>671.16</v>
      </c>
      <c r="G52" s="96">
        <v>6.9351400000000002E-3</v>
      </c>
      <c r="H52" s="86" t="s">
        <v>142</v>
      </c>
    </row>
    <row r="53" spans="1:8" x14ac:dyDescent="0.2">
      <c r="A53" s="92">
        <v>47</v>
      </c>
      <c r="B53" s="93" t="s">
        <v>120</v>
      </c>
      <c r="C53" s="93" t="s">
        <v>121</v>
      </c>
      <c r="D53" s="93" t="s">
        <v>16</v>
      </c>
      <c r="E53" s="94">
        <v>70000</v>
      </c>
      <c r="F53" s="95">
        <v>645.61</v>
      </c>
      <c r="G53" s="96">
        <v>6.6711299999999999E-3</v>
      </c>
      <c r="H53" s="86" t="s">
        <v>142</v>
      </c>
    </row>
    <row r="54" spans="1:8" x14ac:dyDescent="0.2">
      <c r="A54" s="92">
        <v>48</v>
      </c>
      <c r="B54" s="93" t="s">
        <v>122</v>
      </c>
      <c r="C54" s="93" t="s">
        <v>123</v>
      </c>
      <c r="D54" s="93" t="s">
        <v>43</v>
      </c>
      <c r="E54" s="94">
        <v>20000</v>
      </c>
      <c r="F54" s="95">
        <v>643.76</v>
      </c>
      <c r="G54" s="96">
        <v>6.6520099999999999E-3</v>
      </c>
      <c r="H54" s="86" t="s">
        <v>142</v>
      </c>
    </row>
    <row r="55" spans="1:8" x14ac:dyDescent="0.2">
      <c r="A55" s="92">
        <v>49</v>
      </c>
      <c r="B55" s="93" t="s">
        <v>124</v>
      </c>
      <c r="C55" s="93" t="s">
        <v>125</v>
      </c>
      <c r="D55" s="93" t="s">
        <v>48</v>
      </c>
      <c r="E55" s="94">
        <v>4000</v>
      </c>
      <c r="F55" s="95">
        <v>619.76</v>
      </c>
      <c r="G55" s="96">
        <v>6.4040199999999999E-3</v>
      </c>
      <c r="H55" s="86" t="s">
        <v>142</v>
      </c>
    </row>
    <row r="56" spans="1:8" x14ac:dyDescent="0.2">
      <c r="A56" s="92">
        <v>50</v>
      </c>
      <c r="B56" s="93" t="s">
        <v>126</v>
      </c>
      <c r="C56" s="93" t="s">
        <v>127</v>
      </c>
      <c r="D56" s="93" t="s">
        <v>61</v>
      </c>
      <c r="E56" s="94">
        <v>112500</v>
      </c>
      <c r="F56" s="95">
        <v>613.40625</v>
      </c>
      <c r="G56" s="96">
        <v>6.3383600000000003E-3</v>
      </c>
      <c r="H56" s="86" t="s">
        <v>142</v>
      </c>
    </row>
    <row r="57" spans="1:8" x14ac:dyDescent="0.2">
      <c r="A57" s="92">
        <v>51</v>
      </c>
      <c r="B57" s="93" t="s">
        <v>128</v>
      </c>
      <c r="C57" s="93" t="s">
        <v>129</v>
      </c>
      <c r="D57" s="93" t="s">
        <v>43</v>
      </c>
      <c r="E57" s="94">
        <v>18000</v>
      </c>
      <c r="F57" s="95">
        <v>573.40800000000002</v>
      </c>
      <c r="G57" s="96">
        <v>5.9250600000000002E-3</v>
      </c>
      <c r="H57" s="86" t="s">
        <v>142</v>
      </c>
    </row>
    <row r="58" spans="1:8" ht="25.5" x14ac:dyDescent="0.2">
      <c r="A58" s="92">
        <v>52</v>
      </c>
      <c r="B58" s="93" t="s">
        <v>130</v>
      </c>
      <c r="C58" s="93" t="s">
        <v>131</v>
      </c>
      <c r="D58" s="93" t="s">
        <v>132</v>
      </c>
      <c r="E58" s="94">
        <v>8500</v>
      </c>
      <c r="F58" s="95">
        <v>569.88250000000005</v>
      </c>
      <c r="G58" s="96">
        <v>5.8886299999999997E-3</v>
      </c>
      <c r="H58" s="86" t="s">
        <v>142</v>
      </c>
    </row>
    <row r="59" spans="1:8" x14ac:dyDescent="0.2">
      <c r="A59" s="92">
        <v>53</v>
      </c>
      <c r="B59" s="93" t="s">
        <v>133</v>
      </c>
      <c r="C59" s="93" t="s">
        <v>134</v>
      </c>
      <c r="D59" s="93" t="s">
        <v>135</v>
      </c>
      <c r="E59" s="94">
        <v>50000</v>
      </c>
      <c r="F59" s="95">
        <v>533.4</v>
      </c>
      <c r="G59" s="96">
        <v>5.5116599999999998E-3</v>
      </c>
      <c r="H59" s="86" t="s">
        <v>142</v>
      </c>
    </row>
    <row r="60" spans="1:8" ht="25.5" x14ac:dyDescent="0.2">
      <c r="A60" s="92">
        <v>54</v>
      </c>
      <c r="B60" s="93" t="s">
        <v>136</v>
      </c>
      <c r="C60" s="93" t="s">
        <v>137</v>
      </c>
      <c r="D60" s="93" t="s">
        <v>132</v>
      </c>
      <c r="E60" s="94">
        <v>115000</v>
      </c>
      <c r="F60" s="95">
        <v>388.24</v>
      </c>
      <c r="G60" s="96">
        <v>4.0117099999999999E-3</v>
      </c>
      <c r="H60" s="86" t="s">
        <v>142</v>
      </c>
    </row>
    <row r="61" spans="1:8" x14ac:dyDescent="0.2">
      <c r="A61" s="97"/>
      <c r="B61" s="97"/>
      <c r="C61" s="98" t="s">
        <v>141</v>
      </c>
      <c r="D61" s="97"/>
      <c r="E61" s="97" t="s">
        <v>142</v>
      </c>
      <c r="F61" s="99">
        <f>SUM(F7:F60)</f>
        <v>92432.495750000002</v>
      </c>
      <c r="G61" s="100">
        <f>SUM(G7:G60)</f>
        <v>0.95511058999999965</v>
      </c>
      <c r="H61" s="86" t="s">
        <v>142</v>
      </c>
    </row>
    <row r="62" spans="1:8" x14ac:dyDescent="0.2">
      <c r="A62" s="97"/>
      <c r="B62" s="97"/>
      <c r="C62" s="101"/>
      <c r="D62" s="97"/>
      <c r="E62" s="97"/>
      <c r="F62" s="102"/>
      <c r="G62" s="102"/>
      <c r="H62" s="86" t="s">
        <v>142</v>
      </c>
    </row>
    <row r="63" spans="1:8" x14ac:dyDescent="0.2">
      <c r="A63" s="97"/>
      <c r="B63" s="97"/>
      <c r="C63" s="98" t="s">
        <v>143</v>
      </c>
      <c r="D63" s="97"/>
      <c r="E63" s="97"/>
      <c r="F63" s="97"/>
      <c r="G63" s="97"/>
      <c r="H63" s="86" t="s">
        <v>142</v>
      </c>
    </row>
    <row r="64" spans="1:8" x14ac:dyDescent="0.2">
      <c r="A64" s="97"/>
      <c r="B64" s="97"/>
      <c r="C64" s="98" t="s">
        <v>141</v>
      </c>
      <c r="D64" s="97"/>
      <c r="E64" s="97" t="s">
        <v>142</v>
      </c>
      <c r="F64" s="103" t="s">
        <v>144</v>
      </c>
      <c r="G64" s="100">
        <v>0</v>
      </c>
      <c r="H64" s="86" t="s">
        <v>142</v>
      </c>
    </row>
    <row r="65" spans="1:8" x14ac:dyDescent="0.2">
      <c r="A65" s="97"/>
      <c r="B65" s="97"/>
      <c r="C65" s="101"/>
      <c r="D65" s="97"/>
      <c r="E65" s="97"/>
      <c r="F65" s="102"/>
      <c r="G65" s="102"/>
      <c r="H65" s="86" t="s">
        <v>142</v>
      </c>
    </row>
    <row r="66" spans="1:8" x14ac:dyDescent="0.2">
      <c r="A66" s="97"/>
      <c r="B66" s="97"/>
      <c r="C66" s="98" t="s">
        <v>145</v>
      </c>
      <c r="D66" s="97"/>
      <c r="E66" s="97"/>
      <c r="F66" s="97"/>
      <c r="G66" s="97"/>
      <c r="H66" s="86" t="s">
        <v>142</v>
      </c>
    </row>
    <row r="67" spans="1:8" x14ac:dyDescent="0.2">
      <c r="A67" s="92">
        <v>1</v>
      </c>
      <c r="B67" s="93" t="s">
        <v>138</v>
      </c>
      <c r="C67" s="88" t="s">
        <v>917</v>
      </c>
      <c r="D67" s="93" t="s">
        <v>139</v>
      </c>
      <c r="E67" s="94">
        <v>559425</v>
      </c>
      <c r="F67" s="95">
        <v>1.1189000000000001E-5</v>
      </c>
      <c r="G67" s="104" t="s">
        <v>140</v>
      </c>
      <c r="H67" s="86" t="s">
        <v>142</v>
      </c>
    </row>
    <row r="68" spans="1:8" x14ac:dyDescent="0.2">
      <c r="A68" s="97"/>
      <c r="B68" s="97"/>
      <c r="C68" s="98" t="s">
        <v>141</v>
      </c>
      <c r="D68" s="97"/>
      <c r="E68" s="97" t="s">
        <v>142</v>
      </c>
      <c r="F68" s="103" t="s">
        <v>144</v>
      </c>
      <c r="G68" s="100">
        <v>0</v>
      </c>
      <c r="H68" s="86" t="s">
        <v>142</v>
      </c>
    </row>
    <row r="69" spans="1:8" x14ac:dyDescent="0.2">
      <c r="A69" s="97"/>
      <c r="B69" s="97"/>
      <c r="C69" s="101"/>
      <c r="D69" s="97"/>
      <c r="E69" s="97"/>
      <c r="F69" s="102"/>
      <c r="G69" s="102"/>
      <c r="H69" s="86" t="s">
        <v>142</v>
      </c>
    </row>
    <row r="70" spans="1:8" x14ac:dyDescent="0.2">
      <c r="A70" s="97"/>
      <c r="B70" s="97"/>
      <c r="C70" s="98" t="s">
        <v>146</v>
      </c>
      <c r="D70" s="97"/>
      <c r="E70" s="97"/>
      <c r="F70" s="97"/>
      <c r="G70" s="97"/>
      <c r="H70" s="86" t="s">
        <v>142</v>
      </c>
    </row>
    <row r="71" spans="1:8" x14ac:dyDescent="0.2">
      <c r="A71" s="97"/>
      <c r="B71" s="97"/>
      <c r="C71" s="98" t="s">
        <v>141</v>
      </c>
      <c r="D71" s="97"/>
      <c r="E71" s="97" t="s">
        <v>142</v>
      </c>
      <c r="F71" s="103" t="s">
        <v>144</v>
      </c>
      <c r="G71" s="100">
        <v>0</v>
      </c>
      <c r="H71" s="86" t="s">
        <v>142</v>
      </c>
    </row>
    <row r="72" spans="1:8" x14ac:dyDescent="0.2">
      <c r="A72" s="97"/>
      <c r="B72" s="97"/>
      <c r="C72" s="101"/>
      <c r="D72" s="97"/>
      <c r="E72" s="97"/>
      <c r="F72" s="102"/>
      <c r="G72" s="102"/>
      <c r="H72" s="86" t="s">
        <v>142</v>
      </c>
    </row>
    <row r="73" spans="1:8" x14ac:dyDescent="0.2">
      <c r="A73" s="97"/>
      <c r="B73" s="97"/>
      <c r="C73" s="98" t="s">
        <v>147</v>
      </c>
      <c r="D73" s="97"/>
      <c r="E73" s="97"/>
      <c r="F73" s="102"/>
      <c r="G73" s="102"/>
      <c r="H73" s="86" t="s">
        <v>142</v>
      </c>
    </row>
    <row r="74" spans="1:8" x14ac:dyDescent="0.2">
      <c r="A74" s="97"/>
      <c r="B74" s="97"/>
      <c r="C74" s="98" t="s">
        <v>141</v>
      </c>
      <c r="D74" s="97"/>
      <c r="E74" s="97" t="s">
        <v>142</v>
      </c>
      <c r="F74" s="103" t="s">
        <v>144</v>
      </c>
      <c r="G74" s="100">
        <v>0</v>
      </c>
      <c r="H74" s="86" t="s">
        <v>142</v>
      </c>
    </row>
    <row r="75" spans="1:8" x14ac:dyDescent="0.2">
      <c r="A75" s="97"/>
      <c r="B75" s="97"/>
      <c r="C75" s="101"/>
      <c r="D75" s="97"/>
      <c r="E75" s="97"/>
      <c r="F75" s="102"/>
      <c r="G75" s="102"/>
      <c r="H75" s="86" t="s">
        <v>142</v>
      </c>
    </row>
    <row r="76" spans="1:8" x14ac:dyDescent="0.2">
      <c r="A76" s="97"/>
      <c r="B76" s="97"/>
      <c r="C76" s="98" t="s">
        <v>148</v>
      </c>
      <c r="D76" s="97"/>
      <c r="E76" s="97"/>
      <c r="F76" s="102"/>
      <c r="G76" s="102"/>
      <c r="H76" s="86" t="s">
        <v>142</v>
      </c>
    </row>
    <row r="77" spans="1:8" x14ac:dyDescent="0.2">
      <c r="A77" s="97"/>
      <c r="B77" s="97"/>
      <c r="C77" s="98" t="s">
        <v>141</v>
      </c>
      <c r="D77" s="97"/>
      <c r="E77" s="97" t="s">
        <v>142</v>
      </c>
      <c r="F77" s="103" t="s">
        <v>144</v>
      </c>
      <c r="G77" s="100">
        <v>0</v>
      </c>
      <c r="H77" s="86" t="s">
        <v>142</v>
      </c>
    </row>
    <row r="78" spans="1:8" x14ac:dyDescent="0.2">
      <c r="A78" s="97"/>
      <c r="B78" s="97"/>
      <c r="C78" s="101"/>
      <c r="D78" s="97"/>
      <c r="E78" s="97"/>
      <c r="F78" s="102"/>
      <c r="G78" s="102"/>
      <c r="H78" s="86" t="s">
        <v>142</v>
      </c>
    </row>
    <row r="79" spans="1:8" x14ac:dyDescent="0.2">
      <c r="A79" s="97"/>
      <c r="B79" s="97"/>
      <c r="C79" s="98" t="s">
        <v>149</v>
      </c>
      <c r="D79" s="97"/>
      <c r="E79" s="97"/>
      <c r="F79" s="99">
        <v>92432.495761188999</v>
      </c>
      <c r="G79" s="100">
        <v>0.95511058999999998</v>
      </c>
      <c r="H79" s="86" t="s">
        <v>142</v>
      </c>
    </row>
    <row r="80" spans="1:8" x14ac:dyDescent="0.2">
      <c r="A80" s="97"/>
      <c r="B80" s="97"/>
      <c r="C80" s="101"/>
      <c r="D80" s="97"/>
      <c r="E80" s="97"/>
      <c r="F80" s="102"/>
      <c r="G80" s="102"/>
      <c r="H80" s="86" t="s">
        <v>142</v>
      </c>
    </row>
    <row r="81" spans="1:8" x14ac:dyDescent="0.2">
      <c r="A81" s="97"/>
      <c r="B81" s="97"/>
      <c r="C81" s="98" t="s">
        <v>150</v>
      </c>
      <c r="D81" s="97"/>
      <c r="E81" s="97"/>
      <c r="F81" s="102"/>
      <c r="G81" s="102"/>
      <c r="H81" s="86" t="s">
        <v>142</v>
      </c>
    </row>
    <row r="82" spans="1:8" x14ac:dyDescent="0.2">
      <c r="A82" s="97"/>
      <c r="B82" s="97"/>
      <c r="C82" s="98" t="s">
        <v>10</v>
      </c>
      <c r="D82" s="97"/>
      <c r="E82" s="97"/>
      <c r="F82" s="102"/>
      <c r="G82" s="102"/>
      <c r="H82" s="86" t="s">
        <v>142</v>
      </c>
    </row>
    <row r="83" spans="1:8" x14ac:dyDescent="0.2">
      <c r="A83" s="97"/>
      <c r="B83" s="97"/>
      <c r="C83" s="98" t="s">
        <v>141</v>
      </c>
      <c r="D83" s="97"/>
      <c r="E83" s="97" t="s">
        <v>142</v>
      </c>
      <c r="F83" s="103" t="s">
        <v>144</v>
      </c>
      <c r="G83" s="100">
        <v>0</v>
      </c>
      <c r="H83" s="86" t="s">
        <v>142</v>
      </c>
    </row>
    <row r="84" spans="1:8" x14ac:dyDescent="0.2">
      <c r="A84" s="97"/>
      <c r="B84" s="97"/>
      <c r="C84" s="101"/>
      <c r="D84" s="97"/>
      <c r="E84" s="97"/>
      <c r="F84" s="102"/>
      <c r="G84" s="102"/>
      <c r="H84" s="86" t="s">
        <v>142</v>
      </c>
    </row>
    <row r="85" spans="1:8" x14ac:dyDescent="0.2">
      <c r="A85" s="97"/>
      <c r="B85" s="97"/>
      <c r="C85" s="98" t="s">
        <v>151</v>
      </c>
      <c r="D85" s="97"/>
      <c r="E85" s="97"/>
      <c r="F85" s="97"/>
      <c r="G85" s="97"/>
      <c r="H85" s="86" t="s">
        <v>142</v>
      </c>
    </row>
    <row r="86" spans="1:8" x14ac:dyDescent="0.2">
      <c r="A86" s="97"/>
      <c r="B86" s="97"/>
      <c r="C86" s="98" t="s">
        <v>141</v>
      </c>
      <c r="D86" s="97"/>
      <c r="E86" s="97" t="s">
        <v>142</v>
      </c>
      <c r="F86" s="103" t="s">
        <v>144</v>
      </c>
      <c r="G86" s="100">
        <v>0</v>
      </c>
      <c r="H86" s="86" t="s">
        <v>142</v>
      </c>
    </row>
    <row r="87" spans="1:8" x14ac:dyDescent="0.2">
      <c r="A87" s="97"/>
      <c r="B87" s="97"/>
      <c r="C87" s="101"/>
      <c r="D87" s="97"/>
      <c r="E87" s="97"/>
      <c r="F87" s="102"/>
      <c r="G87" s="102"/>
      <c r="H87" s="86" t="s">
        <v>142</v>
      </c>
    </row>
    <row r="88" spans="1:8" x14ac:dyDescent="0.2">
      <c r="A88" s="97"/>
      <c r="B88" s="97"/>
      <c r="C88" s="98" t="s">
        <v>152</v>
      </c>
      <c r="D88" s="97"/>
      <c r="E88" s="97"/>
      <c r="F88" s="97"/>
      <c r="G88" s="97"/>
      <c r="H88" s="86" t="s">
        <v>142</v>
      </c>
    </row>
    <row r="89" spans="1:8" x14ac:dyDescent="0.2">
      <c r="A89" s="97"/>
      <c r="B89" s="97"/>
      <c r="C89" s="98" t="s">
        <v>141</v>
      </c>
      <c r="D89" s="97"/>
      <c r="E89" s="97" t="s">
        <v>142</v>
      </c>
      <c r="F89" s="103" t="s">
        <v>144</v>
      </c>
      <c r="G89" s="100">
        <v>0</v>
      </c>
      <c r="H89" s="86" t="s">
        <v>142</v>
      </c>
    </row>
    <row r="90" spans="1:8" x14ac:dyDescent="0.2">
      <c r="A90" s="97"/>
      <c r="B90" s="97"/>
      <c r="C90" s="101"/>
      <c r="D90" s="97"/>
      <c r="E90" s="97"/>
      <c r="F90" s="102"/>
      <c r="G90" s="102"/>
      <c r="H90" s="86" t="s">
        <v>142</v>
      </c>
    </row>
    <row r="91" spans="1:8" x14ac:dyDescent="0.2">
      <c r="A91" s="97"/>
      <c r="B91" s="97"/>
      <c r="C91" s="98" t="s">
        <v>153</v>
      </c>
      <c r="D91" s="97"/>
      <c r="E91" s="97"/>
      <c r="F91" s="102"/>
      <c r="G91" s="102"/>
      <c r="H91" s="86" t="s">
        <v>142</v>
      </c>
    </row>
    <row r="92" spans="1:8" x14ac:dyDescent="0.2">
      <c r="A92" s="97"/>
      <c r="B92" s="97"/>
      <c r="C92" s="98" t="s">
        <v>141</v>
      </c>
      <c r="D92" s="97"/>
      <c r="E92" s="97" t="s">
        <v>142</v>
      </c>
      <c r="F92" s="103" t="s">
        <v>144</v>
      </c>
      <c r="G92" s="100">
        <v>0</v>
      </c>
      <c r="H92" s="86" t="s">
        <v>142</v>
      </c>
    </row>
    <row r="93" spans="1:8" x14ac:dyDescent="0.2">
      <c r="A93" s="97"/>
      <c r="B93" s="97"/>
      <c r="C93" s="101"/>
      <c r="D93" s="97"/>
      <c r="E93" s="97"/>
      <c r="F93" s="102"/>
      <c r="G93" s="102"/>
      <c r="H93" s="86" t="s">
        <v>142</v>
      </c>
    </row>
    <row r="94" spans="1:8" x14ac:dyDescent="0.2">
      <c r="A94" s="97"/>
      <c r="B94" s="97"/>
      <c r="C94" s="98" t="s">
        <v>154</v>
      </c>
      <c r="D94" s="97"/>
      <c r="E94" s="97"/>
      <c r="F94" s="99">
        <v>0</v>
      </c>
      <c r="G94" s="100">
        <v>0</v>
      </c>
      <c r="H94" s="86" t="s">
        <v>142</v>
      </c>
    </row>
    <row r="95" spans="1:8" x14ac:dyDescent="0.2">
      <c r="A95" s="97"/>
      <c r="B95" s="97"/>
      <c r="C95" s="101"/>
      <c r="D95" s="97"/>
      <c r="E95" s="97"/>
      <c r="F95" s="102"/>
      <c r="G95" s="102"/>
      <c r="H95" s="86" t="s">
        <v>142</v>
      </c>
    </row>
    <row r="96" spans="1:8" x14ac:dyDescent="0.2">
      <c r="A96" s="97"/>
      <c r="B96" s="97"/>
      <c r="C96" s="98" t="s">
        <v>155</v>
      </c>
      <c r="D96" s="97"/>
      <c r="E96" s="97"/>
      <c r="F96" s="102"/>
      <c r="G96" s="102"/>
      <c r="H96" s="86" t="s">
        <v>142</v>
      </c>
    </row>
    <row r="97" spans="1:8" x14ac:dyDescent="0.2">
      <c r="A97" s="97"/>
      <c r="B97" s="97"/>
      <c r="C97" s="98" t="s">
        <v>156</v>
      </c>
      <c r="D97" s="97"/>
      <c r="E97" s="97"/>
      <c r="F97" s="102"/>
      <c r="G97" s="102"/>
      <c r="H97" s="86" t="s">
        <v>142</v>
      </c>
    </row>
    <row r="98" spans="1:8" x14ac:dyDescent="0.2">
      <c r="A98" s="97"/>
      <c r="B98" s="97"/>
      <c r="C98" s="98" t="s">
        <v>141</v>
      </c>
      <c r="D98" s="97"/>
      <c r="E98" s="97" t="s">
        <v>142</v>
      </c>
      <c r="F98" s="103" t="s">
        <v>144</v>
      </c>
      <c r="G98" s="100">
        <v>0</v>
      </c>
      <c r="H98" s="86" t="s">
        <v>142</v>
      </c>
    </row>
    <row r="99" spans="1:8" x14ac:dyDescent="0.2">
      <c r="A99" s="97"/>
      <c r="B99" s="97"/>
      <c r="C99" s="101"/>
      <c r="D99" s="97"/>
      <c r="E99" s="97"/>
      <c r="F99" s="102"/>
      <c r="G99" s="102"/>
      <c r="H99" s="86" t="s">
        <v>142</v>
      </c>
    </row>
    <row r="100" spans="1:8" x14ac:dyDescent="0.2">
      <c r="A100" s="97"/>
      <c r="B100" s="97"/>
      <c r="C100" s="98" t="s">
        <v>157</v>
      </c>
      <c r="D100" s="97"/>
      <c r="E100" s="97"/>
      <c r="F100" s="102"/>
      <c r="G100" s="102"/>
      <c r="H100" s="86" t="s">
        <v>142</v>
      </c>
    </row>
    <row r="101" spans="1:8" x14ac:dyDescent="0.2">
      <c r="A101" s="97"/>
      <c r="B101" s="97"/>
      <c r="C101" s="98" t="s">
        <v>141</v>
      </c>
      <c r="D101" s="97"/>
      <c r="E101" s="97" t="s">
        <v>142</v>
      </c>
      <c r="F101" s="103" t="s">
        <v>144</v>
      </c>
      <c r="G101" s="100">
        <v>0</v>
      </c>
      <c r="H101" s="86" t="s">
        <v>142</v>
      </c>
    </row>
    <row r="102" spans="1:8" x14ac:dyDescent="0.2">
      <c r="A102" s="97"/>
      <c r="B102" s="97"/>
      <c r="C102" s="101"/>
      <c r="D102" s="97"/>
      <c r="E102" s="97"/>
      <c r="F102" s="102"/>
      <c r="G102" s="102"/>
      <c r="H102" s="86" t="s">
        <v>142</v>
      </c>
    </row>
    <row r="103" spans="1:8" x14ac:dyDescent="0.2">
      <c r="A103" s="97"/>
      <c r="B103" s="97"/>
      <c r="C103" s="98" t="s">
        <v>158</v>
      </c>
      <c r="D103" s="97"/>
      <c r="E103" s="97"/>
      <c r="F103" s="102"/>
      <c r="G103" s="102"/>
      <c r="H103" s="86" t="s">
        <v>142</v>
      </c>
    </row>
    <row r="104" spans="1:8" x14ac:dyDescent="0.2">
      <c r="A104" s="97"/>
      <c r="B104" s="97"/>
      <c r="C104" s="98" t="s">
        <v>141</v>
      </c>
      <c r="D104" s="97"/>
      <c r="E104" s="97" t="s">
        <v>142</v>
      </c>
      <c r="F104" s="103" t="s">
        <v>144</v>
      </c>
      <c r="G104" s="100">
        <v>0</v>
      </c>
      <c r="H104" s="86" t="s">
        <v>142</v>
      </c>
    </row>
    <row r="105" spans="1:8" x14ac:dyDescent="0.2">
      <c r="A105" s="97"/>
      <c r="B105" s="97"/>
      <c r="C105" s="101"/>
      <c r="D105" s="97"/>
      <c r="E105" s="97"/>
      <c r="F105" s="102"/>
      <c r="G105" s="102"/>
      <c r="H105" s="86" t="s">
        <v>142</v>
      </c>
    </row>
    <row r="106" spans="1:8" x14ac:dyDescent="0.2">
      <c r="A106" s="97"/>
      <c r="B106" s="97"/>
      <c r="C106" s="98" t="s">
        <v>159</v>
      </c>
      <c r="D106" s="97"/>
      <c r="E106" s="97"/>
      <c r="F106" s="102"/>
      <c r="G106" s="102"/>
      <c r="H106" s="86" t="s">
        <v>142</v>
      </c>
    </row>
    <row r="107" spans="1:8" x14ac:dyDescent="0.2">
      <c r="A107" s="92">
        <v>1</v>
      </c>
      <c r="B107" s="93"/>
      <c r="C107" s="93" t="s">
        <v>160</v>
      </c>
      <c r="D107" s="93"/>
      <c r="E107" s="104"/>
      <c r="F107" s="95">
        <v>3622.15375391</v>
      </c>
      <c r="G107" s="96">
        <v>3.742794E-2</v>
      </c>
      <c r="H107" s="86">
        <v>5.57</v>
      </c>
    </row>
    <row r="108" spans="1:8" x14ac:dyDescent="0.2">
      <c r="A108" s="97"/>
      <c r="B108" s="97"/>
      <c r="C108" s="98" t="s">
        <v>141</v>
      </c>
      <c r="D108" s="97"/>
      <c r="E108" s="97" t="s">
        <v>142</v>
      </c>
      <c r="F108" s="99">
        <v>3622.15375391</v>
      </c>
      <c r="G108" s="100">
        <v>3.742794E-2</v>
      </c>
      <c r="H108" s="86" t="s">
        <v>142</v>
      </c>
    </row>
    <row r="109" spans="1:8" x14ac:dyDescent="0.2">
      <c r="A109" s="97"/>
      <c r="B109" s="97"/>
      <c r="C109" s="101"/>
      <c r="D109" s="97"/>
      <c r="E109" s="97"/>
      <c r="F109" s="102"/>
      <c r="G109" s="102"/>
      <c r="H109" s="86" t="s">
        <v>142</v>
      </c>
    </row>
    <row r="110" spans="1:8" x14ac:dyDescent="0.2">
      <c r="A110" s="97"/>
      <c r="B110" s="97"/>
      <c r="C110" s="98" t="s">
        <v>161</v>
      </c>
      <c r="D110" s="97"/>
      <c r="E110" s="97"/>
      <c r="F110" s="99">
        <v>3622.15375391</v>
      </c>
      <c r="G110" s="100">
        <v>3.742794E-2</v>
      </c>
      <c r="H110" s="86" t="s">
        <v>142</v>
      </c>
    </row>
    <row r="111" spans="1:8" x14ac:dyDescent="0.2">
      <c r="A111" s="97"/>
      <c r="B111" s="97"/>
      <c r="C111" s="102"/>
      <c r="D111" s="97"/>
      <c r="E111" s="97"/>
      <c r="F111" s="97"/>
      <c r="G111" s="97"/>
      <c r="H111" s="86" t="s">
        <v>142</v>
      </c>
    </row>
    <row r="112" spans="1:8" x14ac:dyDescent="0.2">
      <c r="A112" s="97"/>
      <c r="B112" s="97"/>
      <c r="C112" s="98" t="s">
        <v>162</v>
      </c>
      <c r="D112" s="97"/>
      <c r="E112" s="97"/>
      <c r="F112" s="97"/>
      <c r="G112" s="97"/>
      <c r="H112" s="86" t="s">
        <v>142</v>
      </c>
    </row>
    <row r="113" spans="1:10" x14ac:dyDescent="0.2">
      <c r="A113" s="97"/>
      <c r="B113" s="97"/>
      <c r="C113" s="98" t="s">
        <v>163</v>
      </c>
      <c r="D113" s="97"/>
      <c r="E113" s="97"/>
      <c r="F113" s="97"/>
      <c r="G113" s="97"/>
      <c r="H113" s="86" t="s">
        <v>142</v>
      </c>
    </row>
    <row r="114" spans="1:10" x14ac:dyDescent="0.2">
      <c r="A114" s="97"/>
      <c r="B114" s="97"/>
      <c r="C114" s="98" t="s">
        <v>141</v>
      </c>
      <c r="D114" s="97"/>
      <c r="E114" s="97" t="s">
        <v>142</v>
      </c>
      <c r="F114" s="103" t="s">
        <v>144</v>
      </c>
      <c r="G114" s="100">
        <v>0</v>
      </c>
      <c r="H114" s="86" t="s">
        <v>142</v>
      </c>
    </row>
    <row r="115" spans="1:10" x14ac:dyDescent="0.2">
      <c r="A115" s="97"/>
      <c r="B115" s="97"/>
      <c r="C115" s="101"/>
      <c r="D115" s="97"/>
      <c r="E115" s="97"/>
      <c r="F115" s="102"/>
      <c r="G115" s="102"/>
      <c r="H115" s="86" t="s">
        <v>142</v>
      </c>
    </row>
    <row r="116" spans="1:10" x14ac:dyDescent="0.2">
      <c r="A116" s="97"/>
      <c r="B116" s="97"/>
      <c r="C116" s="98" t="s">
        <v>164</v>
      </c>
      <c r="D116" s="97"/>
      <c r="E116" s="97"/>
      <c r="F116" s="97"/>
      <c r="G116" s="97"/>
      <c r="H116" s="86" t="s">
        <v>142</v>
      </c>
    </row>
    <row r="117" spans="1:10" x14ac:dyDescent="0.2">
      <c r="A117" s="97"/>
      <c r="B117" s="97"/>
      <c r="C117" s="98" t="s">
        <v>165</v>
      </c>
      <c r="D117" s="97"/>
      <c r="E117" s="97"/>
      <c r="F117" s="97"/>
      <c r="G117" s="97"/>
      <c r="H117" s="86" t="s">
        <v>142</v>
      </c>
    </row>
    <row r="118" spans="1:10" x14ac:dyDescent="0.2">
      <c r="A118" s="97"/>
      <c r="B118" s="97"/>
      <c r="C118" s="98" t="s">
        <v>141</v>
      </c>
      <c r="D118" s="97"/>
      <c r="E118" s="97" t="s">
        <v>142</v>
      </c>
      <c r="F118" s="103" t="s">
        <v>144</v>
      </c>
      <c r="G118" s="100">
        <v>0</v>
      </c>
      <c r="H118" s="86" t="s">
        <v>142</v>
      </c>
    </row>
    <row r="119" spans="1:10" x14ac:dyDescent="0.2">
      <c r="A119" s="97"/>
      <c r="B119" s="97"/>
      <c r="C119" s="101"/>
      <c r="D119" s="97"/>
      <c r="E119" s="97"/>
      <c r="F119" s="102"/>
      <c r="G119" s="102"/>
      <c r="H119" s="86" t="s">
        <v>142</v>
      </c>
    </row>
    <row r="120" spans="1:10" x14ac:dyDescent="0.2">
      <c r="A120" s="97"/>
      <c r="B120" s="97"/>
      <c r="C120" s="98" t="s">
        <v>166</v>
      </c>
      <c r="D120" s="97"/>
      <c r="E120" s="97"/>
      <c r="F120" s="102"/>
      <c r="G120" s="102"/>
      <c r="H120" s="86" t="s">
        <v>142</v>
      </c>
    </row>
    <row r="121" spans="1:10" x14ac:dyDescent="0.2">
      <c r="A121" s="97"/>
      <c r="B121" s="97"/>
      <c r="C121" s="98" t="s">
        <v>141</v>
      </c>
      <c r="D121" s="97"/>
      <c r="E121" s="97" t="s">
        <v>142</v>
      </c>
      <c r="F121" s="103" t="s">
        <v>144</v>
      </c>
      <c r="G121" s="100">
        <v>0</v>
      </c>
      <c r="H121" s="86" t="s">
        <v>142</v>
      </c>
    </row>
    <row r="122" spans="1:10" x14ac:dyDescent="0.2">
      <c r="A122" s="97"/>
      <c r="B122" s="97"/>
      <c r="C122" s="101"/>
      <c r="D122" s="97"/>
      <c r="E122" s="97"/>
      <c r="F122" s="102"/>
      <c r="G122" s="102"/>
      <c r="H122" s="86" t="s">
        <v>142</v>
      </c>
    </row>
    <row r="123" spans="1:10" x14ac:dyDescent="0.2">
      <c r="A123" s="104"/>
      <c r="B123" s="93"/>
      <c r="C123" s="93" t="s">
        <v>167</v>
      </c>
      <c r="D123" s="93"/>
      <c r="E123" s="104"/>
      <c r="F123" s="95">
        <v>722.09723856999994</v>
      </c>
      <c r="G123" s="96">
        <v>7.4614800000000004E-3</v>
      </c>
      <c r="H123" s="86" t="s">
        <v>142</v>
      </c>
    </row>
    <row r="124" spans="1:10" x14ac:dyDescent="0.2">
      <c r="A124" s="101"/>
      <c r="B124" s="101"/>
      <c r="C124" s="98" t="s">
        <v>168</v>
      </c>
      <c r="D124" s="102"/>
      <c r="E124" s="102"/>
      <c r="F124" s="99">
        <v>96776.746753668995</v>
      </c>
      <c r="G124" s="105">
        <v>1.0000000099999999</v>
      </c>
      <c r="H124" s="86" t="s">
        <v>142</v>
      </c>
    </row>
    <row r="125" spans="1:10" ht="12.75" customHeight="1" x14ac:dyDescent="0.2">
      <c r="A125" s="106"/>
      <c r="B125" s="106"/>
      <c r="C125" s="107"/>
      <c r="D125" s="108"/>
      <c r="E125" s="108"/>
      <c r="F125" s="109"/>
      <c r="G125" s="110"/>
      <c r="H125" s="111"/>
    </row>
    <row r="126" spans="1:10" x14ac:dyDescent="0.2">
      <c r="A126" s="106"/>
      <c r="B126" s="200" t="s">
        <v>918</v>
      </c>
      <c r="C126" s="200"/>
      <c r="D126" s="200"/>
      <c r="E126" s="200"/>
      <c r="F126" s="200"/>
      <c r="G126" s="200"/>
      <c r="H126" s="200"/>
      <c r="J126" s="113"/>
    </row>
    <row r="127" spans="1:10" x14ac:dyDescent="0.2">
      <c r="A127" s="106"/>
      <c r="B127" s="200" t="s">
        <v>919</v>
      </c>
      <c r="C127" s="200"/>
      <c r="D127" s="200"/>
      <c r="E127" s="200"/>
      <c r="F127" s="200"/>
      <c r="G127" s="200"/>
      <c r="H127" s="200"/>
      <c r="J127" s="113"/>
    </row>
    <row r="128" spans="1:10" x14ac:dyDescent="0.2">
      <c r="A128" s="106"/>
      <c r="B128" s="200" t="s">
        <v>920</v>
      </c>
      <c r="C128" s="200"/>
      <c r="D128" s="200"/>
      <c r="E128" s="200"/>
      <c r="F128" s="200"/>
      <c r="G128" s="200"/>
      <c r="H128" s="200"/>
      <c r="J128" s="113"/>
    </row>
    <row r="129" spans="1:17" s="115" customFormat="1" ht="66.75" customHeight="1" x14ac:dyDescent="0.25">
      <c r="A129" s="114"/>
      <c r="B129" s="201" t="s">
        <v>921</v>
      </c>
      <c r="C129" s="201"/>
      <c r="D129" s="201"/>
      <c r="E129" s="201"/>
      <c r="F129" s="201"/>
      <c r="G129" s="201"/>
      <c r="H129" s="201"/>
      <c r="I129"/>
      <c r="J129" s="113"/>
      <c r="K129"/>
      <c r="L129"/>
      <c r="M129"/>
      <c r="N129"/>
      <c r="O129"/>
      <c r="P129"/>
      <c r="Q129"/>
    </row>
    <row r="130" spans="1:17" x14ac:dyDescent="0.2">
      <c r="A130" s="106"/>
      <c r="B130" s="200" t="s">
        <v>922</v>
      </c>
      <c r="C130" s="200"/>
      <c r="D130" s="200"/>
      <c r="E130" s="200"/>
      <c r="F130" s="200"/>
      <c r="G130" s="200"/>
      <c r="H130" s="200"/>
      <c r="J130" s="113"/>
    </row>
    <row r="131" spans="1:17" x14ac:dyDescent="0.2">
      <c r="A131" s="106"/>
      <c r="B131" s="106"/>
      <c r="C131" s="106"/>
      <c r="D131" s="108"/>
      <c r="E131" s="108"/>
      <c r="F131" s="108"/>
      <c r="G131" s="108"/>
    </row>
    <row r="132" spans="1:17" x14ac:dyDescent="0.2">
      <c r="A132" s="106"/>
      <c r="B132" s="202" t="s">
        <v>169</v>
      </c>
      <c r="C132" s="203"/>
      <c r="D132" s="204"/>
      <c r="E132" s="116"/>
      <c r="F132" s="108"/>
      <c r="G132" s="108"/>
    </row>
    <row r="133" spans="1:17" ht="27.75" customHeight="1" x14ac:dyDescent="0.2">
      <c r="A133" s="106"/>
      <c r="B133" s="205" t="s">
        <v>170</v>
      </c>
      <c r="C133" s="206"/>
      <c r="D133" s="85" t="s">
        <v>171</v>
      </c>
      <c r="E133" s="116"/>
      <c r="F133" s="108"/>
      <c r="G133" s="108"/>
    </row>
    <row r="134" spans="1:17" ht="12.75" customHeight="1" x14ac:dyDescent="0.2">
      <c r="A134" s="106"/>
      <c r="B134" s="205" t="s">
        <v>923</v>
      </c>
      <c r="C134" s="206"/>
      <c r="D134" s="85" t="str">
        <f>"Rs. "&amp;TEXT(F68,"0.00")&amp;" lacs/ "&amp;IF(ROUND((G68*100),2) = 0,"#",(TEXT((G68*100),"0.00")&amp;"%"))</f>
        <v>Rs. 0.00 lacs/ #</v>
      </c>
      <c r="E134" s="116"/>
      <c r="F134" s="108"/>
      <c r="G134" s="108"/>
    </row>
    <row r="135" spans="1:17" x14ac:dyDescent="0.2">
      <c r="A135" s="106"/>
      <c r="B135" s="205" t="s">
        <v>172</v>
      </c>
      <c r="C135" s="206"/>
      <c r="D135" s="117" t="s">
        <v>142</v>
      </c>
      <c r="E135" s="116"/>
      <c r="F135" s="108"/>
      <c r="G135" s="108"/>
    </row>
    <row r="136" spans="1:17" x14ac:dyDescent="0.2">
      <c r="A136" s="118"/>
      <c r="B136" s="119" t="s">
        <v>142</v>
      </c>
      <c r="C136" s="119" t="s">
        <v>924</v>
      </c>
      <c r="D136" s="119" t="s">
        <v>173</v>
      </c>
      <c r="E136" s="118"/>
      <c r="F136" s="118"/>
      <c r="G136" s="118"/>
      <c r="H136" s="118"/>
      <c r="J136" s="113"/>
    </row>
    <row r="137" spans="1:17" x14ac:dyDescent="0.2">
      <c r="A137" s="118"/>
      <c r="B137" s="120" t="s">
        <v>174</v>
      </c>
      <c r="C137" s="121">
        <v>45930</v>
      </c>
      <c r="D137" s="121">
        <v>45961</v>
      </c>
      <c r="E137" s="118"/>
      <c r="F137" s="118"/>
      <c r="G137" s="118"/>
      <c r="J137" s="113"/>
    </row>
    <row r="138" spans="1:17" x14ac:dyDescent="0.2">
      <c r="A138" s="122"/>
      <c r="B138" s="93" t="s">
        <v>175</v>
      </c>
      <c r="C138" s="123">
        <v>100.58369999999999</v>
      </c>
      <c r="D138" s="123">
        <v>104.6926</v>
      </c>
      <c r="E138" s="122"/>
      <c r="F138" s="124"/>
      <c r="G138" s="125"/>
    </row>
    <row r="139" spans="1:17" x14ac:dyDescent="0.2">
      <c r="A139" s="122"/>
      <c r="B139" s="93" t="s">
        <v>1101</v>
      </c>
      <c r="C139" s="123">
        <v>61.973300000000002</v>
      </c>
      <c r="D139" s="123">
        <v>60.279000000000003</v>
      </c>
      <c r="E139" s="122"/>
      <c r="F139" s="124"/>
      <c r="G139" s="125"/>
    </row>
    <row r="140" spans="1:17" x14ac:dyDescent="0.2">
      <c r="A140" s="122"/>
      <c r="B140" s="93" t="s">
        <v>176</v>
      </c>
      <c r="C140" s="123">
        <v>94.030699999999996</v>
      </c>
      <c r="D140" s="123">
        <v>97.828699999999998</v>
      </c>
      <c r="E140" s="122"/>
      <c r="F140" s="124"/>
      <c r="G140" s="125"/>
    </row>
    <row r="141" spans="1:17" x14ac:dyDescent="0.2">
      <c r="A141" s="122"/>
      <c r="B141" s="93" t="s">
        <v>1102</v>
      </c>
      <c r="C141" s="123">
        <v>57.639099999999999</v>
      </c>
      <c r="D141" s="123">
        <v>56.025599999999997</v>
      </c>
      <c r="E141" s="122"/>
      <c r="F141" s="124"/>
      <c r="G141" s="125"/>
    </row>
    <row r="142" spans="1:17" x14ac:dyDescent="0.2">
      <c r="A142" s="122"/>
      <c r="B142" s="122"/>
      <c r="C142" s="122"/>
      <c r="D142" s="122"/>
      <c r="E142" s="122"/>
      <c r="F142" s="122"/>
      <c r="G142" s="122"/>
    </row>
    <row r="143" spans="1:17" x14ac:dyDescent="0.2">
      <c r="A143" s="122"/>
      <c r="B143" s="208" t="s">
        <v>925</v>
      </c>
      <c r="C143" s="209"/>
      <c r="D143" s="98" t="s">
        <v>142</v>
      </c>
      <c r="E143" s="122"/>
      <c r="F143" s="122"/>
      <c r="G143" s="122"/>
    </row>
    <row r="144" spans="1:17" x14ac:dyDescent="0.2">
      <c r="A144" s="122"/>
      <c r="B144" s="126" t="s">
        <v>174</v>
      </c>
      <c r="C144" s="127" t="s">
        <v>177</v>
      </c>
      <c r="D144" s="127" t="s">
        <v>178</v>
      </c>
      <c r="E144" s="122"/>
      <c r="F144" s="122"/>
      <c r="G144" s="122"/>
    </row>
    <row r="145" spans="1:10" x14ac:dyDescent="0.2">
      <c r="A145" s="122"/>
      <c r="B145" s="93" t="s">
        <v>1101</v>
      </c>
      <c r="C145" s="128">
        <v>4.1429999999999998</v>
      </c>
      <c r="D145" s="128">
        <v>4.1429999999999998</v>
      </c>
      <c r="E145" s="122"/>
      <c r="F145" s="124"/>
      <c r="G145" s="125"/>
    </row>
    <row r="146" spans="1:10" x14ac:dyDescent="0.2">
      <c r="A146" s="122"/>
      <c r="B146" s="93" t="s">
        <v>1102</v>
      </c>
      <c r="C146" s="128">
        <v>3.8650000000000002</v>
      </c>
      <c r="D146" s="128">
        <v>3.8650000000000002</v>
      </c>
      <c r="E146" s="122"/>
      <c r="F146" s="124"/>
      <c r="G146" s="125"/>
    </row>
    <row r="147" spans="1:10" x14ac:dyDescent="0.2">
      <c r="A147" s="122"/>
      <c r="B147" s="129"/>
      <c r="C147" s="129"/>
      <c r="D147" s="130"/>
      <c r="E147" s="122"/>
      <c r="F147" s="124"/>
      <c r="G147" s="125"/>
    </row>
    <row r="148" spans="1:10" x14ac:dyDescent="0.2">
      <c r="A148" s="118"/>
      <c r="B148" s="205" t="s">
        <v>179</v>
      </c>
      <c r="C148" s="206"/>
      <c r="D148" s="85" t="s">
        <v>171</v>
      </c>
      <c r="E148" s="131"/>
      <c r="F148" s="118"/>
      <c r="G148" s="118"/>
      <c r="J148" s="113"/>
    </row>
    <row r="149" spans="1:10" x14ac:dyDescent="0.2">
      <c r="A149" s="118"/>
      <c r="B149" s="205" t="s">
        <v>180</v>
      </c>
      <c r="C149" s="206"/>
      <c r="D149" s="85" t="s">
        <v>171</v>
      </c>
      <c r="E149" s="131"/>
      <c r="F149" s="118"/>
      <c r="G149" s="118"/>
      <c r="J149" s="113"/>
    </row>
    <row r="150" spans="1:10" x14ac:dyDescent="0.2">
      <c r="A150" s="118"/>
      <c r="B150" s="205" t="s">
        <v>181</v>
      </c>
      <c r="C150" s="206"/>
      <c r="D150" s="85" t="s">
        <v>171</v>
      </c>
      <c r="E150" s="131"/>
      <c r="F150" s="118"/>
      <c r="G150" s="118"/>
      <c r="J150" s="113"/>
    </row>
    <row r="151" spans="1:10" x14ac:dyDescent="0.2">
      <c r="A151" s="118"/>
      <c r="B151" s="205" t="s">
        <v>182</v>
      </c>
      <c r="C151" s="206"/>
      <c r="D151" s="132">
        <v>0.28381184500760182</v>
      </c>
      <c r="E151" s="118"/>
      <c r="F151" s="112"/>
      <c r="G151" s="133"/>
      <c r="J151" s="113"/>
    </row>
    <row r="152" spans="1:10" x14ac:dyDescent="0.2">
      <c r="J152" s="113"/>
    </row>
    <row r="153" spans="1:10" x14ac:dyDescent="0.2">
      <c r="B153" s="199" t="s">
        <v>926</v>
      </c>
      <c r="C153" s="199"/>
    </row>
    <row r="155" spans="1:10" ht="153.75" customHeight="1" x14ac:dyDescent="0.2"/>
    <row r="158" spans="1:10" x14ac:dyDescent="0.2">
      <c r="B158" s="134" t="s">
        <v>927</v>
      </c>
      <c r="C158" s="135"/>
      <c r="D158" s="134"/>
    </row>
    <row r="159" spans="1:10" x14ac:dyDescent="0.2">
      <c r="B159" s="134" t="s">
        <v>928</v>
      </c>
      <c r="D159" s="134"/>
    </row>
    <row r="160" spans="1:10" ht="165" customHeight="1" x14ac:dyDescent="0.2"/>
    <row r="162" spans="10:10" x14ac:dyDescent="0.2">
      <c r="J162" s="83"/>
    </row>
    <row r="163" spans="10:10" x14ac:dyDescent="0.2">
      <c r="J163" s="83"/>
    </row>
    <row r="164" spans="10:10" x14ac:dyDescent="0.2">
      <c r="J164" s="83"/>
    </row>
    <row r="172" spans="10:10" ht="14.25" customHeight="1" x14ac:dyDescent="0.2"/>
    <row r="173" spans="10:10" ht="14.25" customHeight="1" x14ac:dyDescent="0.2"/>
    <row r="174" spans="10:10" ht="14.25" customHeight="1" x14ac:dyDescent="0.2"/>
    <row r="175" spans="10:10" ht="14.25" customHeight="1" x14ac:dyDescent="0.2"/>
    <row r="176" spans="10:10" ht="12.75" customHeight="1" x14ac:dyDescent="0.2"/>
  </sheetData>
  <mergeCells count="18">
    <mergeCell ref="A1:H1"/>
    <mergeCell ref="A2:H2"/>
    <mergeCell ref="A3:H3"/>
    <mergeCell ref="B143:C143"/>
    <mergeCell ref="B148:C148"/>
    <mergeCell ref="B126:H126"/>
    <mergeCell ref="B127:H127"/>
    <mergeCell ref="B134:C134"/>
    <mergeCell ref="B135:C135"/>
    <mergeCell ref="B153:C153"/>
    <mergeCell ref="B128:H128"/>
    <mergeCell ref="B129:H129"/>
    <mergeCell ref="B130:H130"/>
    <mergeCell ref="B132:D132"/>
    <mergeCell ref="B133:C133"/>
    <mergeCell ref="B151:C151"/>
    <mergeCell ref="B150:C150"/>
    <mergeCell ref="B149:C149"/>
  </mergeCells>
  <hyperlinks>
    <hyperlink ref="I1" location="Index!B2" display="Index" xr:uid="{10938C99-2015-4254-91AF-BAE6182F9277}"/>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52A1A-3834-4640-AFFC-695B22F3A1B9}">
  <sheetPr>
    <outlinePr summaryBelow="0" summaryRight="0"/>
  </sheetPr>
  <dimension ref="A1:Q106"/>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56" customWidth="1"/>
    <col min="4" max="4" width="16.5703125" customWidth="1"/>
    <col min="5" max="5" width="12.42578125" bestFit="1" customWidth="1"/>
    <col min="6" max="6" width="10.140625" bestFit="1" customWidth="1"/>
    <col min="7" max="7" width="14" bestFit="1" customWidth="1"/>
    <col min="257" max="257" width="6.85546875" customWidth="1"/>
    <col min="258" max="258" width="20.5703125" customWidth="1"/>
    <col min="259" max="259" width="34.28515625" customWidth="1"/>
    <col min="260" max="260" width="17.85546875" customWidth="1"/>
    <col min="261" max="262" width="19.140625" customWidth="1"/>
    <col min="263" max="263" width="16.42578125" customWidth="1"/>
    <col min="513" max="513" width="6.85546875" customWidth="1"/>
    <col min="514" max="514" width="20.5703125" customWidth="1"/>
    <col min="515" max="515" width="34.28515625" customWidth="1"/>
    <col min="516" max="516" width="17.85546875" customWidth="1"/>
    <col min="517" max="518" width="19.140625" customWidth="1"/>
    <col min="519" max="519" width="16.42578125" customWidth="1"/>
    <col min="769" max="769" width="6.85546875" customWidth="1"/>
    <col min="770" max="770" width="20.5703125" customWidth="1"/>
    <col min="771" max="771" width="34.28515625" customWidth="1"/>
    <col min="772" max="772" width="17.85546875" customWidth="1"/>
    <col min="773" max="774" width="19.140625" customWidth="1"/>
    <col min="775" max="775" width="16.42578125" customWidth="1"/>
    <col min="1025" max="1025" width="6.85546875" customWidth="1"/>
    <col min="1026" max="1026" width="20.5703125" customWidth="1"/>
    <col min="1027" max="1027" width="34.28515625" customWidth="1"/>
    <col min="1028" max="1028" width="17.85546875" customWidth="1"/>
    <col min="1029" max="1030" width="19.140625" customWidth="1"/>
    <col min="1031" max="1031" width="16.42578125" customWidth="1"/>
    <col min="1281" max="1281" width="6.85546875" customWidth="1"/>
    <col min="1282" max="1282" width="20.5703125" customWidth="1"/>
    <col min="1283" max="1283" width="34.28515625" customWidth="1"/>
    <col min="1284" max="1284" width="17.85546875" customWidth="1"/>
    <col min="1285" max="1286" width="19.140625" customWidth="1"/>
    <col min="1287" max="1287" width="16.42578125" customWidth="1"/>
    <col min="1537" max="1537" width="6.85546875" customWidth="1"/>
    <col min="1538" max="1538" width="20.5703125" customWidth="1"/>
    <col min="1539" max="1539" width="34.28515625" customWidth="1"/>
    <col min="1540" max="1540" width="17.85546875" customWidth="1"/>
    <col min="1541" max="1542" width="19.140625" customWidth="1"/>
    <col min="1543" max="1543" width="16.42578125" customWidth="1"/>
    <col min="1793" max="1793" width="6.85546875" customWidth="1"/>
    <col min="1794" max="1794" width="20.5703125" customWidth="1"/>
    <col min="1795" max="1795" width="34.28515625" customWidth="1"/>
    <col min="1796" max="1796" width="17.85546875" customWidth="1"/>
    <col min="1797" max="1798" width="19.140625" customWidth="1"/>
    <col min="1799" max="1799" width="16.42578125" customWidth="1"/>
    <col min="2049" max="2049" width="6.85546875" customWidth="1"/>
    <col min="2050" max="2050" width="20.5703125" customWidth="1"/>
    <col min="2051" max="2051" width="34.28515625" customWidth="1"/>
    <col min="2052" max="2052" width="17.85546875" customWidth="1"/>
    <col min="2053" max="2054" width="19.140625" customWidth="1"/>
    <col min="2055" max="2055" width="16.42578125" customWidth="1"/>
    <col min="2305" max="2305" width="6.85546875" customWidth="1"/>
    <col min="2306" max="2306" width="20.5703125" customWidth="1"/>
    <col min="2307" max="2307" width="34.28515625" customWidth="1"/>
    <col min="2308" max="2308" width="17.85546875" customWidth="1"/>
    <col min="2309" max="2310" width="19.140625" customWidth="1"/>
    <col min="2311" max="2311" width="16.42578125" customWidth="1"/>
    <col min="2561" max="2561" width="6.85546875" customWidth="1"/>
    <col min="2562" max="2562" width="20.5703125" customWidth="1"/>
    <col min="2563" max="2563" width="34.28515625" customWidth="1"/>
    <col min="2564" max="2564" width="17.85546875" customWidth="1"/>
    <col min="2565" max="2566" width="19.140625" customWidth="1"/>
    <col min="2567" max="2567" width="16.42578125" customWidth="1"/>
    <col min="2817" max="2817" width="6.85546875" customWidth="1"/>
    <col min="2818" max="2818" width="20.5703125" customWidth="1"/>
    <col min="2819" max="2819" width="34.28515625" customWidth="1"/>
    <col min="2820" max="2820" width="17.85546875" customWidth="1"/>
    <col min="2821" max="2822" width="19.140625" customWidth="1"/>
    <col min="2823" max="2823" width="16.42578125" customWidth="1"/>
    <col min="3073" max="3073" width="6.85546875" customWidth="1"/>
    <col min="3074" max="3074" width="20.5703125" customWidth="1"/>
    <col min="3075" max="3075" width="34.28515625" customWidth="1"/>
    <col min="3076" max="3076" width="17.85546875" customWidth="1"/>
    <col min="3077" max="3078" width="19.140625" customWidth="1"/>
    <col min="3079" max="3079" width="16.42578125" customWidth="1"/>
    <col min="3329" max="3329" width="6.85546875" customWidth="1"/>
    <col min="3330" max="3330" width="20.5703125" customWidth="1"/>
    <col min="3331" max="3331" width="34.28515625" customWidth="1"/>
    <col min="3332" max="3332" width="17.85546875" customWidth="1"/>
    <col min="3333" max="3334" width="19.140625" customWidth="1"/>
    <col min="3335" max="3335" width="16.42578125" customWidth="1"/>
    <col min="3585" max="3585" width="6.85546875" customWidth="1"/>
    <col min="3586" max="3586" width="20.5703125" customWidth="1"/>
    <col min="3587" max="3587" width="34.28515625" customWidth="1"/>
    <col min="3588" max="3588" width="17.85546875" customWidth="1"/>
    <col min="3589" max="3590" width="19.140625" customWidth="1"/>
    <col min="3591" max="3591" width="16.42578125" customWidth="1"/>
    <col min="3841" max="3841" width="6.85546875" customWidth="1"/>
    <col min="3842" max="3842" width="20.5703125" customWidth="1"/>
    <col min="3843" max="3843" width="34.28515625" customWidth="1"/>
    <col min="3844" max="3844" width="17.85546875" customWidth="1"/>
    <col min="3845" max="3846" width="19.140625" customWidth="1"/>
    <col min="3847" max="3847" width="16.42578125" customWidth="1"/>
    <col min="4097" max="4097" width="6.85546875" customWidth="1"/>
    <col min="4098" max="4098" width="20.5703125" customWidth="1"/>
    <col min="4099" max="4099" width="34.28515625" customWidth="1"/>
    <col min="4100" max="4100" width="17.85546875" customWidth="1"/>
    <col min="4101" max="4102" width="19.140625" customWidth="1"/>
    <col min="4103" max="4103" width="16.42578125" customWidth="1"/>
    <col min="4353" max="4353" width="6.85546875" customWidth="1"/>
    <col min="4354" max="4354" width="20.5703125" customWidth="1"/>
    <col min="4355" max="4355" width="34.28515625" customWidth="1"/>
    <col min="4356" max="4356" width="17.85546875" customWidth="1"/>
    <col min="4357" max="4358" width="19.140625" customWidth="1"/>
    <col min="4359" max="4359" width="16.42578125" customWidth="1"/>
    <col min="4609" max="4609" width="6.85546875" customWidth="1"/>
    <col min="4610" max="4610" width="20.5703125" customWidth="1"/>
    <col min="4611" max="4611" width="34.28515625" customWidth="1"/>
    <col min="4612" max="4612" width="17.85546875" customWidth="1"/>
    <col min="4613" max="4614" width="19.140625" customWidth="1"/>
    <col min="4615" max="4615" width="16.42578125" customWidth="1"/>
    <col min="4865" max="4865" width="6.85546875" customWidth="1"/>
    <col min="4866" max="4866" width="20.5703125" customWidth="1"/>
    <col min="4867" max="4867" width="34.28515625" customWidth="1"/>
    <col min="4868" max="4868" width="17.85546875" customWidth="1"/>
    <col min="4869" max="4870" width="19.140625" customWidth="1"/>
    <col min="4871" max="4871" width="16.42578125" customWidth="1"/>
    <col min="5121" max="5121" width="6.85546875" customWidth="1"/>
    <col min="5122" max="5122" width="20.5703125" customWidth="1"/>
    <col min="5123" max="5123" width="34.28515625" customWidth="1"/>
    <col min="5124" max="5124" width="17.85546875" customWidth="1"/>
    <col min="5125" max="5126" width="19.140625" customWidth="1"/>
    <col min="5127" max="5127" width="16.42578125" customWidth="1"/>
    <col min="5377" max="5377" width="6.85546875" customWidth="1"/>
    <col min="5378" max="5378" width="20.5703125" customWidth="1"/>
    <col min="5379" max="5379" width="34.28515625" customWidth="1"/>
    <col min="5380" max="5380" width="17.85546875" customWidth="1"/>
    <col min="5381" max="5382" width="19.140625" customWidth="1"/>
    <col min="5383" max="5383" width="16.42578125" customWidth="1"/>
    <col min="5633" max="5633" width="6.85546875" customWidth="1"/>
    <col min="5634" max="5634" width="20.5703125" customWidth="1"/>
    <col min="5635" max="5635" width="34.28515625" customWidth="1"/>
    <col min="5636" max="5636" width="17.85546875" customWidth="1"/>
    <col min="5637" max="5638" width="19.140625" customWidth="1"/>
    <col min="5639" max="5639" width="16.42578125" customWidth="1"/>
    <col min="5889" max="5889" width="6.85546875" customWidth="1"/>
    <col min="5890" max="5890" width="20.5703125" customWidth="1"/>
    <col min="5891" max="5891" width="34.28515625" customWidth="1"/>
    <col min="5892" max="5892" width="17.85546875" customWidth="1"/>
    <col min="5893" max="5894" width="19.140625" customWidth="1"/>
    <col min="5895" max="5895" width="16.42578125" customWidth="1"/>
    <col min="6145" max="6145" width="6.85546875" customWidth="1"/>
    <col min="6146" max="6146" width="20.5703125" customWidth="1"/>
    <col min="6147" max="6147" width="34.28515625" customWidth="1"/>
    <col min="6148" max="6148" width="17.85546875" customWidth="1"/>
    <col min="6149" max="6150" width="19.140625" customWidth="1"/>
    <col min="6151" max="6151" width="16.42578125" customWidth="1"/>
    <col min="6401" max="6401" width="6.85546875" customWidth="1"/>
    <col min="6402" max="6402" width="20.5703125" customWidth="1"/>
    <col min="6403" max="6403" width="34.28515625" customWidth="1"/>
    <col min="6404" max="6404" width="17.85546875" customWidth="1"/>
    <col min="6405" max="6406" width="19.140625" customWidth="1"/>
    <col min="6407" max="6407" width="16.42578125" customWidth="1"/>
    <col min="6657" max="6657" width="6.85546875" customWidth="1"/>
    <col min="6658" max="6658" width="20.5703125" customWidth="1"/>
    <col min="6659" max="6659" width="34.28515625" customWidth="1"/>
    <col min="6660" max="6660" width="17.85546875" customWidth="1"/>
    <col min="6661" max="6662" width="19.140625" customWidth="1"/>
    <col min="6663" max="6663" width="16.42578125" customWidth="1"/>
    <col min="6913" max="6913" width="6.85546875" customWidth="1"/>
    <col min="6914" max="6914" width="20.5703125" customWidth="1"/>
    <col min="6915" max="6915" width="34.28515625" customWidth="1"/>
    <col min="6916" max="6916" width="17.85546875" customWidth="1"/>
    <col min="6917" max="6918" width="19.140625" customWidth="1"/>
    <col min="6919" max="6919" width="16.42578125" customWidth="1"/>
    <col min="7169" max="7169" width="6.85546875" customWidth="1"/>
    <col min="7170" max="7170" width="20.5703125" customWidth="1"/>
    <col min="7171" max="7171" width="34.28515625" customWidth="1"/>
    <col min="7172" max="7172" width="17.85546875" customWidth="1"/>
    <col min="7173" max="7174" width="19.140625" customWidth="1"/>
    <col min="7175" max="7175" width="16.42578125" customWidth="1"/>
    <col min="7425" max="7425" width="6.85546875" customWidth="1"/>
    <col min="7426" max="7426" width="20.5703125" customWidth="1"/>
    <col min="7427" max="7427" width="34.28515625" customWidth="1"/>
    <col min="7428" max="7428" width="17.85546875" customWidth="1"/>
    <col min="7429" max="7430" width="19.140625" customWidth="1"/>
    <col min="7431" max="7431" width="16.42578125" customWidth="1"/>
    <col min="7681" max="7681" width="6.85546875" customWidth="1"/>
    <col min="7682" max="7682" width="20.5703125" customWidth="1"/>
    <col min="7683" max="7683" width="34.28515625" customWidth="1"/>
    <col min="7684" max="7684" width="17.85546875" customWidth="1"/>
    <col min="7685" max="7686" width="19.140625" customWidth="1"/>
    <col min="7687" max="7687" width="16.42578125" customWidth="1"/>
    <col min="7937" max="7937" width="6.85546875" customWidth="1"/>
    <col min="7938" max="7938" width="20.5703125" customWidth="1"/>
    <col min="7939" max="7939" width="34.28515625" customWidth="1"/>
    <col min="7940" max="7940" width="17.85546875" customWidth="1"/>
    <col min="7941" max="7942" width="19.140625" customWidth="1"/>
    <col min="7943" max="7943" width="16.42578125" customWidth="1"/>
    <col min="8193" max="8193" width="6.85546875" customWidth="1"/>
    <col min="8194" max="8194" width="20.5703125" customWidth="1"/>
    <col min="8195" max="8195" width="34.28515625" customWidth="1"/>
    <col min="8196" max="8196" width="17.85546875" customWidth="1"/>
    <col min="8197" max="8198" width="19.140625" customWidth="1"/>
    <col min="8199" max="8199" width="16.42578125" customWidth="1"/>
    <col min="8449" max="8449" width="6.85546875" customWidth="1"/>
    <col min="8450" max="8450" width="20.5703125" customWidth="1"/>
    <col min="8451" max="8451" width="34.28515625" customWidth="1"/>
    <col min="8452" max="8452" width="17.85546875" customWidth="1"/>
    <col min="8453" max="8454" width="19.140625" customWidth="1"/>
    <col min="8455" max="8455" width="16.42578125" customWidth="1"/>
    <col min="8705" max="8705" width="6.85546875" customWidth="1"/>
    <col min="8706" max="8706" width="20.5703125" customWidth="1"/>
    <col min="8707" max="8707" width="34.28515625" customWidth="1"/>
    <col min="8708" max="8708" width="17.85546875" customWidth="1"/>
    <col min="8709" max="8710" width="19.140625" customWidth="1"/>
    <col min="8711" max="8711" width="16.42578125" customWidth="1"/>
    <col min="8961" max="8961" width="6.85546875" customWidth="1"/>
    <col min="8962" max="8962" width="20.5703125" customWidth="1"/>
    <col min="8963" max="8963" width="34.28515625" customWidth="1"/>
    <col min="8964" max="8964" width="17.85546875" customWidth="1"/>
    <col min="8965" max="8966" width="19.140625" customWidth="1"/>
    <col min="8967" max="8967" width="16.42578125" customWidth="1"/>
    <col min="9217" max="9217" width="6.85546875" customWidth="1"/>
    <col min="9218" max="9218" width="20.5703125" customWidth="1"/>
    <col min="9219" max="9219" width="34.28515625" customWidth="1"/>
    <col min="9220" max="9220" width="17.85546875" customWidth="1"/>
    <col min="9221" max="9222" width="19.140625" customWidth="1"/>
    <col min="9223" max="9223" width="16.42578125" customWidth="1"/>
    <col min="9473" max="9473" width="6.85546875" customWidth="1"/>
    <col min="9474" max="9474" width="20.5703125" customWidth="1"/>
    <col min="9475" max="9475" width="34.28515625" customWidth="1"/>
    <col min="9476" max="9476" width="17.85546875" customWidth="1"/>
    <col min="9477" max="9478" width="19.140625" customWidth="1"/>
    <col min="9479" max="9479" width="16.42578125" customWidth="1"/>
    <col min="9729" max="9729" width="6.85546875" customWidth="1"/>
    <col min="9730" max="9730" width="20.5703125" customWidth="1"/>
    <col min="9731" max="9731" width="34.28515625" customWidth="1"/>
    <col min="9732" max="9732" width="17.85546875" customWidth="1"/>
    <col min="9733" max="9734" width="19.140625" customWidth="1"/>
    <col min="9735" max="9735" width="16.42578125" customWidth="1"/>
    <col min="9985" max="9985" width="6.85546875" customWidth="1"/>
    <col min="9986" max="9986" width="20.5703125" customWidth="1"/>
    <col min="9987" max="9987" width="34.28515625" customWidth="1"/>
    <col min="9988" max="9988" width="17.85546875" customWidth="1"/>
    <col min="9989" max="9990" width="19.140625" customWidth="1"/>
    <col min="9991" max="9991" width="16.42578125" customWidth="1"/>
    <col min="10241" max="10241" width="6.85546875" customWidth="1"/>
    <col min="10242" max="10242" width="20.5703125" customWidth="1"/>
    <col min="10243" max="10243" width="34.28515625" customWidth="1"/>
    <col min="10244" max="10244" width="17.85546875" customWidth="1"/>
    <col min="10245" max="10246" width="19.140625" customWidth="1"/>
    <col min="10247" max="10247" width="16.42578125" customWidth="1"/>
    <col min="10497" max="10497" width="6.85546875" customWidth="1"/>
    <col min="10498" max="10498" width="20.5703125" customWidth="1"/>
    <col min="10499" max="10499" width="34.28515625" customWidth="1"/>
    <col min="10500" max="10500" width="17.85546875" customWidth="1"/>
    <col min="10501" max="10502" width="19.140625" customWidth="1"/>
    <col min="10503" max="10503" width="16.42578125" customWidth="1"/>
    <col min="10753" max="10753" width="6.85546875" customWidth="1"/>
    <col min="10754" max="10754" width="20.5703125" customWidth="1"/>
    <col min="10755" max="10755" width="34.28515625" customWidth="1"/>
    <col min="10756" max="10756" width="17.85546875" customWidth="1"/>
    <col min="10757" max="10758" width="19.140625" customWidth="1"/>
    <col min="10759" max="10759" width="16.42578125" customWidth="1"/>
    <col min="11009" max="11009" width="6.85546875" customWidth="1"/>
    <col min="11010" max="11010" width="20.5703125" customWidth="1"/>
    <col min="11011" max="11011" width="34.28515625" customWidth="1"/>
    <col min="11012" max="11012" width="17.85546875" customWidth="1"/>
    <col min="11013" max="11014" width="19.140625" customWidth="1"/>
    <col min="11015" max="11015" width="16.42578125" customWidth="1"/>
    <col min="11265" max="11265" width="6.85546875" customWidth="1"/>
    <col min="11266" max="11266" width="20.5703125" customWidth="1"/>
    <col min="11267" max="11267" width="34.28515625" customWidth="1"/>
    <col min="11268" max="11268" width="17.85546875" customWidth="1"/>
    <col min="11269" max="11270" width="19.140625" customWidth="1"/>
    <col min="11271" max="11271" width="16.42578125" customWidth="1"/>
    <col min="11521" max="11521" width="6.85546875" customWidth="1"/>
    <col min="11522" max="11522" width="20.5703125" customWidth="1"/>
    <col min="11523" max="11523" width="34.28515625" customWidth="1"/>
    <col min="11524" max="11524" width="17.85546875" customWidth="1"/>
    <col min="11525" max="11526" width="19.140625" customWidth="1"/>
    <col min="11527" max="11527" width="16.42578125" customWidth="1"/>
    <col min="11777" max="11777" width="6.85546875" customWidth="1"/>
    <col min="11778" max="11778" width="20.5703125" customWidth="1"/>
    <col min="11779" max="11779" width="34.28515625" customWidth="1"/>
    <col min="11780" max="11780" width="17.85546875" customWidth="1"/>
    <col min="11781" max="11782" width="19.140625" customWidth="1"/>
    <col min="11783" max="11783" width="16.42578125" customWidth="1"/>
    <col min="12033" max="12033" width="6.85546875" customWidth="1"/>
    <col min="12034" max="12034" width="20.5703125" customWidth="1"/>
    <col min="12035" max="12035" width="34.28515625" customWidth="1"/>
    <col min="12036" max="12036" width="17.85546875" customWidth="1"/>
    <col min="12037" max="12038" width="19.140625" customWidth="1"/>
    <col min="12039" max="12039" width="16.42578125" customWidth="1"/>
    <col min="12289" max="12289" width="6.85546875" customWidth="1"/>
    <col min="12290" max="12290" width="20.5703125" customWidth="1"/>
    <col min="12291" max="12291" width="34.28515625" customWidth="1"/>
    <col min="12292" max="12292" width="17.85546875" customWidth="1"/>
    <col min="12293" max="12294" width="19.140625" customWidth="1"/>
    <col min="12295" max="12295" width="16.42578125" customWidth="1"/>
    <col min="12545" max="12545" width="6.85546875" customWidth="1"/>
    <col min="12546" max="12546" width="20.5703125" customWidth="1"/>
    <col min="12547" max="12547" width="34.28515625" customWidth="1"/>
    <col min="12548" max="12548" width="17.85546875" customWidth="1"/>
    <col min="12549" max="12550" width="19.140625" customWidth="1"/>
    <col min="12551" max="12551" width="16.42578125" customWidth="1"/>
    <col min="12801" max="12801" width="6.85546875" customWidth="1"/>
    <col min="12802" max="12802" width="20.5703125" customWidth="1"/>
    <col min="12803" max="12803" width="34.28515625" customWidth="1"/>
    <col min="12804" max="12804" width="17.85546875" customWidth="1"/>
    <col min="12805" max="12806" width="19.140625" customWidth="1"/>
    <col min="12807" max="12807" width="16.42578125" customWidth="1"/>
    <col min="13057" max="13057" width="6.85546875" customWidth="1"/>
    <col min="13058" max="13058" width="20.5703125" customWidth="1"/>
    <col min="13059" max="13059" width="34.28515625" customWidth="1"/>
    <col min="13060" max="13060" width="17.85546875" customWidth="1"/>
    <col min="13061" max="13062" width="19.140625" customWidth="1"/>
    <col min="13063" max="13063" width="16.42578125" customWidth="1"/>
    <col min="13313" max="13313" width="6.85546875" customWidth="1"/>
    <col min="13314" max="13314" width="20.5703125" customWidth="1"/>
    <col min="13315" max="13315" width="34.28515625" customWidth="1"/>
    <col min="13316" max="13316" width="17.85546875" customWidth="1"/>
    <col min="13317" max="13318" width="19.140625" customWidth="1"/>
    <col min="13319" max="13319" width="16.42578125" customWidth="1"/>
    <col min="13569" max="13569" width="6.85546875" customWidth="1"/>
    <col min="13570" max="13570" width="20.5703125" customWidth="1"/>
    <col min="13571" max="13571" width="34.28515625" customWidth="1"/>
    <col min="13572" max="13572" width="17.85546875" customWidth="1"/>
    <col min="13573" max="13574" width="19.140625" customWidth="1"/>
    <col min="13575" max="13575" width="16.42578125" customWidth="1"/>
    <col min="13825" max="13825" width="6.85546875" customWidth="1"/>
    <col min="13826" max="13826" width="20.5703125" customWidth="1"/>
    <col min="13827" max="13827" width="34.28515625" customWidth="1"/>
    <col min="13828" max="13828" width="17.85546875" customWidth="1"/>
    <col min="13829" max="13830" width="19.140625" customWidth="1"/>
    <col min="13831" max="13831" width="16.42578125" customWidth="1"/>
    <col min="14081" max="14081" width="6.85546875" customWidth="1"/>
    <col min="14082" max="14082" width="20.5703125" customWidth="1"/>
    <col min="14083" max="14083" width="34.28515625" customWidth="1"/>
    <col min="14084" max="14084" width="17.85546875" customWidth="1"/>
    <col min="14085" max="14086" width="19.140625" customWidth="1"/>
    <col min="14087" max="14087" width="16.42578125" customWidth="1"/>
    <col min="14337" max="14337" width="6.85546875" customWidth="1"/>
    <col min="14338" max="14338" width="20.5703125" customWidth="1"/>
    <col min="14339" max="14339" width="34.28515625" customWidth="1"/>
    <col min="14340" max="14340" width="17.85546875" customWidth="1"/>
    <col min="14341" max="14342" width="19.140625" customWidth="1"/>
    <col min="14343" max="14343" width="16.42578125" customWidth="1"/>
    <col min="14593" max="14593" width="6.85546875" customWidth="1"/>
    <col min="14594" max="14594" width="20.5703125" customWidth="1"/>
    <col min="14595" max="14595" width="34.28515625" customWidth="1"/>
    <col min="14596" max="14596" width="17.85546875" customWidth="1"/>
    <col min="14597" max="14598" width="19.140625" customWidth="1"/>
    <col min="14599" max="14599" width="16.42578125" customWidth="1"/>
    <col min="14849" max="14849" width="6.85546875" customWidth="1"/>
    <col min="14850" max="14850" width="20.5703125" customWidth="1"/>
    <col min="14851" max="14851" width="34.28515625" customWidth="1"/>
    <col min="14852" max="14852" width="17.85546875" customWidth="1"/>
    <col min="14853" max="14854" width="19.140625" customWidth="1"/>
    <col min="14855" max="14855" width="16.42578125" customWidth="1"/>
    <col min="15105" max="15105" width="6.85546875" customWidth="1"/>
    <col min="15106" max="15106" width="20.5703125" customWidth="1"/>
    <col min="15107" max="15107" width="34.28515625" customWidth="1"/>
    <col min="15108" max="15108" width="17.85546875" customWidth="1"/>
    <col min="15109" max="15110" width="19.140625" customWidth="1"/>
    <col min="15111" max="15111" width="16.42578125" customWidth="1"/>
    <col min="15361" max="15361" width="6.85546875" customWidth="1"/>
    <col min="15362" max="15362" width="20.5703125" customWidth="1"/>
    <col min="15363" max="15363" width="34.28515625" customWidth="1"/>
    <col min="15364" max="15364" width="17.85546875" customWidth="1"/>
    <col min="15365" max="15366" width="19.140625" customWidth="1"/>
    <col min="15367" max="15367" width="16.42578125" customWidth="1"/>
    <col min="15617" max="15617" width="6.85546875" customWidth="1"/>
    <col min="15618" max="15618" width="20.5703125" customWidth="1"/>
    <col min="15619" max="15619" width="34.28515625" customWidth="1"/>
    <col min="15620" max="15620" width="17.85546875" customWidth="1"/>
    <col min="15621" max="15622" width="19.140625" customWidth="1"/>
    <col min="15623" max="15623" width="16.42578125" customWidth="1"/>
    <col min="15873" max="15873" width="6.85546875" customWidth="1"/>
    <col min="15874" max="15874" width="20.5703125" customWidth="1"/>
    <col min="15875" max="15875" width="34.28515625" customWidth="1"/>
    <col min="15876" max="15876" width="17.85546875" customWidth="1"/>
    <col min="15877" max="15878" width="19.140625" customWidth="1"/>
    <col min="15879" max="15879" width="16.42578125" customWidth="1"/>
    <col min="16129" max="16129" width="6.85546875" customWidth="1"/>
    <col min="16130" max="16130" width="20.5703125" customWidth="1"/>
    <col min="16131" max="16131" width="34.28515625" customWidth="1"/>
    <col min="16132" max="16132" width="17.85546875" customWidth="1"/>
    <col min="16133" max="16134" width="19.140625" customWidth="1"/>
    <col min="16135" max="16135" width="16.42578125" customWidth="1"/>
  </cols>
  <sheetData>
    <row r="1" spans="1:9" ht="15" x14ac:dyDescent="0.2">
      <c r="A1" s="207" t="s">
        <v>0</v>
      </c>
      <c r="B1" s="207"/>
      <c r="C1" s="207"/>
      <c r="D1" s="207"/>
      <c r="E1" s="207"/>
      <c r="F1" s="207"/>
      <c r="G1" s="207"/>
      <c r="H1" s="207"/>
      <c r="I1" s="1" t="s">
        <v>915</v>
      </c>
    </row>
    <row r="2" spans="1:9" ht="15" x14ac:dyDescent="0.2">
      <c r="A2" s="207" t="s">
        <v>1096</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row>
    <row r="6" spans="1:9" x14ac:dyDescent="0.2">
      <c r="A6" s="87"/>
      <c r="B6" s="88"/>
      <c r="C6" s="88" t="s">
        <v>10</v>
      </c>
      <c r="D6" s="88"/>
      <c r="E6" s="89"/>
      <c r="F6" s="90"/>
      <c r="G6" s="91"/>
      <c r="H6" s="86"/>
    </row>
    <row r="7" spans="1:9" x14ac:dyDescent="0.2">
      <c r="A7" s="97"/>
      <c r="B7" s="97"/>
      <c r="C7" s="98" t="s">
        <v>141</v>
      </c>
      <c r="D7" s="97"/>
      <c r="E7" s="97" t="s">
        <v>142</v>
      </c>
      <c r="F7" s="103" t="s">
        <v>144</v>
      </c>
      <c r="G7" s="100">
        <v>0</v>
      </c>
      <c r="H7" s="86"/>
    </row>
    <row r="8" spans="1:9" x14ac:dyDescent="0.2">
      <c r="A8" s="97"/>
      <c r="B8" s="97"/>
      <c r="C8" s="101"/>
      <c r="D8" s="97"/>
      <c r="E8" s="97"/>
      <c r="F8" s="102"/>
      <c r="G8" s="102"/>
      <c r="H8" s="86"/>
    </row>
    <row r="9" spans="1:9" x14ac:dyDescent="0.2">
      <c r="A9" s="97"/>
      <c r="B9" s="97"/>
      <c r="C9" s="98" t="s">
        <v>143</v>
      </c>
      <c r="D9" s="97"/>
      <c r="E9" s="97"/>
      <c r="F9" s="97"/>
      <c r="G9" s="97"/>
      <c r="H9" s="86"/>
    </row>
    <row r="10" spans="1:9" x14ac:dyDescent="0.2">
      <c r="A10" s="97"/>
      <c r="B10" s="97"/>
      <c r="C10" s="98" t="s">
        <v>141</v>
      </c>
      <c r="D10" s="97"/>
      <c r="E10" s="97" t="s">
        <v>142</v>
      </c>
      <c r="F10" s="103" t="s">
        <v>144</v>
      </c>
      <c r="G10" s="100">
        <v>0</v>
      </c>
      <c r="H10" s="86"/>
    </row>
    <row r="11" spans="1:9" x14ac:dyDescent="0.2">
      <c r="A11" s="97"/>
      <c r="B11" s="97"/>
      <c r="C11" s="101"/>
      <c r="D11" s="97"/>
      <c r="E11" s="97"/>
      <c r="F11" s="102"/>
      <c r="G11" s="102"/>
      <c r="H11" s="86"/>
    </row>
    <row r="12" spans="1:9" x14ac:dyDescent="0.2">
      <c r="A12" s="97"/>
      <c r="B12" s="97"/>
      <c r="C12" s="98" t="s">
        <v>145</v>
      </c>
      <c r="D12" s="97"/>
      <c r="E12" s="97"/>
      <c r="F12" s="97"/>
      <c r="G12" s="97"/>
      <c r="H12" s="86"/>
    </row>
    <row r="13" spans="1:9" x14ac:dyDescent="0.2">
      <c r="A13" s="97"/>
      <c r="B13" s="97"/>
      <c r="C13" s="98" t="s">
        <v>141</v>
      </c>
      <c r="D13" s="97"/>
      <c r="E13" s="97" t="s">
        <v>142</v>
      </c>
      <c r="F13" s="103" t="s">
        <v>144</v>
      </c>
      <c r="G13" s="100">
        <v>0</v>
      </c>
      <c r="H13" s="86"/>
    </row>
    <row r="14" spans="1:9" x14ac:dyDescent="0.2">
      <c r="A14" s="97"/>
      <c r="B14" s="97"/>
      <c r="C14" s="101"/>
      <c r="D14" s="97"/>
      <c r="E14" s="97"/>
      <c r="F14" s="102"/>
      <c r="G14" s="102"/>
      <c r="H14" s="86"/>
    </row>
    <row r="15" spans="1:9" x14ac:dyDescent="0.2">
      <c r="A15" s="97"/>
      <c r="B15" s="97"/>
      <c r="C15" s="98" t="s">
        <v>146</v>
      </c>
      <c r="D15" s="97"/>
      <c r="E15" s="97"/>
      <c r="F15" s="97"/>
      <c r="G15" s="97"/>
      <c r="H15" s="86"/>
    </row>
    <row r="16" spans="1:9" x14ac:dyDescent="0.2">
      <c r="A16" s="97"/>
      <c r="B16" s="97"/>
      <c r="C16" s="98" t="s">
        <v>141</v>
      </c>
      <c r="D16" s="97"/>
      <c r="E16" s="97" t="s">
        <v>142</v>
      </c>
      <c r="F16" s="103" t="s">
        <v>144</v>
      </c>
      <c r="G16" s="100">
        <v>0</v>
      </c>
      <c r="H16" s="86"/>
    </row>
    <row r="17" spans="1:8" x14ac:dyDescent="0.2">
      <c r="A17" s="97"/>
      <c r="B17" s="97"/>
      <c r="C17" s="101"/>
      <c r="D17" s="97"/>
      <c r="E17" s="97"/>
      <c r="F17" s="102"/>
      <c r="G17" s="102"/>
      <c r="H17" s="86"/>
    </row>
    <row r="18" spans="1:8" x14ac:dyDescent="0.2">
      <c r="A18" s="97"/>
      <c r="B18" s="97"/>
      <c r="C18" s="98" t="s">
        <v>147</v>
      </c>
      <c r="D18" s="97"/>
      <c r="E18" s="97"/>
      <c r="F18" s="102"/>
      <c r="G18" s="102"/>
      <c r="H18" s="86"/>
    </row>
    <row r="19" spans="1:8" x14ac:dyDescent="0.2">
      <c r="A19" s="97"/>
      <c r="B19" s="97"/>
      <c r="C19" s="98" t="s">
        <v>141</v>
      </c>
      <c r="D19" s="97"/>
      <c r="E19" s="97" t="s">
        <v>142</v>
      </c>
      <c r="F19" s="103" t="s">
        <v>144</v>
      </c>
      <c r="G19" s="100">
        <v>0</v>
      </c>
      <c r="H19" s="86"/>
    </row>
    <row r="20" spans="1:8" x14ac:dyDescent="0.2">
      <c r="A20" s="97"/>
      <c r="B20" s="97"/>
      <c r="C20" s="101"/>
      <c r="D20" s="97"/>
      <c r="E20" s="97"/>
      <c r="F20" s="102"/>
      <c r="G20" s="102"/>
      <c r="H20" s="86"/>
    </row>
    <row r="21" spans="1:8" x14ac:dyDescent="0.2">
      <c r="A21" s="97"/>
      <c r="B21" s="97"/>
      <c r="C21" s="98" t="s">
        <v>148</v>
      </c>
      <c r="D21" s="97"/>
      <c r="E21" s="97"/>
      <c r="F21" s="102"/>
      <c r="G21" s="102"/>
      <c r="H21" s="86"/>
    </row>
    <row r="22" spans="1:8" x14ac:dyDescent="0.2">
      <c r="A22" s="97"/>
      <c r="B22" s="97"/>
      <c r="C22" s="98" t="s">
        <v>141</v>
      </c>
      <c r="D22" s="97"/>
      <c r="E22" s="97" t="s">
        <v>142</v>
      </c>
      <c r="F22" s="103" t="s">
        <v>144</v>
      </c>
      <c r="G22" s="100">
        <v>0</v>
      </c>
      <c r="H22" s="86"/>
    </row>
    <row r="23" spans="1:8" x14ac:dyDescent="0.2">
      <c r="A23" s="97"/>
      <c r="B23" s="97"/>
      <c r="C23" s="101"/>
      <c r="D23" s="97"/>
      <c r="E23" s="97"/>
      <c r="F23" s="102"/>
      <c r="G23" s="102"/>
      <c r="H23" s="86"/>
    </row>
    <row r="24" spans="1:8" x14ac:dyDescent="0.2">
      <c r="A24" s="97"/>
      <c r="B24" s="97"/>
      <c r="C24" s="98" t="s">
        <v>149</v>
      </c>
      <c r="D24" s="97"/>
      <c r="E24" s="97"/>
      <c r="F24" s="99">
        <v>0</v>
      </c>
      <c r="G24" s="100">
        <v>0</v>
      </c>
      <c r="H24" s="86"/>
    </row>
    <row r="25" spans="1:8" x14ac:dyDescent="0.2">
      <c r="A25" s="97"/>
      <c r="B25" s="97"/>
      <c r="C25" s="101"/>
      <c r="D25" s="97"/>
      <c r="E25" s="97"/>
      <c r="F25" s="102"/>
      <c r="G25" s="102"/>
      <c r="H25" s="86"/>
    </row>
    <row r="26" spans="1:8" x14ac:dyDescent="0.2">
      <c r="A26" s="97"/>
      <c r="B26" s="97"/>
      <c r="C26" s="98" t="s">
        <v>150</v>
      </c>
      <c r="D26" s="97"/>
      <c r="E26" s="97"/>
      <c r="F26" s="102"/>
      <c r="G26" s="102"/>
      <c r="H26" s="86"/>
    </row>
    <row r="27" spans="1:8" x14ac:dyDescent="0.2">
      <c r="A27" s="97"/>
      <c r="B27" s="97"/>
      <c r="C27" s="98" t="s">
        <v>10</v>
      </c>
      <c r="D27" s="97"/>
      <c r="E27" s="97"/>
      <c r="F27" s="102"/>
      <c r="G27" s="102"/>
      <c r="H27" s="86"/>
    </row>
    <row r="28" spans="1:8" x14ac:dyDescent="0.2">
      <c r="A28" s="97"/>
      <c r="B28" s="97"/>
      <c r="C28" s="98" t="s">
        <v>141</v>
      </c>
      <c r="D28" s="97"/>
      <c r="E28" s="97" t="s">
        <v>142</v>
      </c>
      <c r="F28" s="103" t="s">
        <v>144</v>
      </c>
      <c r="G28" s="100">
        <v>0</v>
      </c>
      <c r="H28" s="86"/>
    </row>
    <row r="29" spans="1:8" x14ac:dyDescent="0.2">
      <c r="A29" s="97"/>
      <c r="B29" s="97"/>
      <c r="C29" s="101"/>
      <c r="D29" s="97"/>
      <c r="E29" s="97"/>
      <c r="F29" s="102"/>
      <c r="G29" s="102"/>
      <c r="H29" s="86"/>
    </row>
    <row r="30" spans="1:8" x14ac:dyDescent="0.2">
      <c r="A30" s="97"/>
      <c r="B30" s="97"/>
      <c r="C30" s="98" t="s">
        <v>151</v>
      </c>
      <c r="D30" s="97"/>
      <c r="E30" s="97"/>
      <c r="F30" s="97"/>
      <c r="G30" s="97"/>
      <c r="H30" s="86"/>
    </row>
    <row r="31" spans="1:8" x14ac:dyDescent="0.2">
      <c r="A31" s="97"/>
      <c r="B31" s="97"/>
      <c r="C31" s="98" t="s">
        <v>141</v>
      </c>
      <c r="D31" s="97"/>
      <c r="E31" s="97" t="s">
        <v>142</v>
      </c>
      <c r="F31" s="103" t="s">
        <v>144</v>
      </c>
      <c r="G31" s="100">
        <v>0</v>
      </c>
      <c r="H31" s="86"/>
    </row>
    <row r="32" spans="1:8" x14ac:dyDescent="0.2">
      <c r="A32" s="97"/>
      <c r="B32" s="97"/>
      <c r="C32" s="101"/>
      <c r="D32" s="97"/>
      <c r="E32" s="97"/>
      <c r="F32" s="102"/>
      <c r="G32" s="102"/>
      <c r="H32" s="86"/>
    </row>
    <row r="33" spans="1:8" x14ac:dyDescent="0.2">
      <c r="A33" s="97"/>
      <c r="B33" s="97"/>
      <c r="C33" s="98" t="s">
        <v>152</v>
      </c>
      <c r="D33" s="97"/>
      <c r="E33" s="97"/>
      <c r="F33" s="97"/>
      <c r="G33" s="97"/>
      <c r="H33" s="86"/>
    </row>
    <row r="34" spans="1:8" x14ac:dyDescent="0.2">
      <c r="A34" s="97"/>
      <c r="B34" s="97"/>
      <c r="C34" s="98" t="s">
        <v>141</v>
      </c>
      <c r="D34" s="97"/>
      <c r="E34" s="97" t="s">
        <v>142</v>
      </c>
      <c r="F34" s="103" t="s">
        <v>144</v>
      </c>
      <c r="G34" s="100">
        <v>0</v>
      </c>
      <c r="H34" s="86"/>
    </row>
    <row r="35" spans="1:8" x14ac:dyDescent="0.2">
      <c r="A35" s="97"/>
      <c r="B35" s="97"/>
      <c r="C35" s="101"/>
      <c r="D35" s="97"/>
      <c r="E35" s="97"/>
      <c r="F35" s="102"/>
      <c r="G35" s="102"/>
      <c r="H35" s="86"/>
    </row>
    <row r="36" spans="1:8" x14ac:dyDescent="0.2">
      <c r="A36" s="97"/>
      <c r="B36" s="97"/>
      <c r="C36" s="98" t="s">
        <v>153</v>
      </c>
      <c r="D36" s="97"/>
      <c r="E36" s="97"/>
      <c r="F36" s="102"/>
      <c r="G36" s="102"/>
      <c r="H36" s="86"/>
    </row>
    <row r="37" spans="1:8" x14ac:dyDescent="0.2">
      <c r="A37" s="97"/>
      <c r="B37" s="97"/>
      <c r="C37" s="98" t="s">
        <v>141</v>
      </c>
      <c r="D37" s="97"/>
      <c r="E37" s="97" t="s">
        <v>142</v>
      </c>
      <c r="F37" s="103" t="s">
        <v>144</v>
      </c>
      <c r="G37" s="100">
        <v>0</v>
      </c>
      <c r="H37" s="86"/>
    </row>
    <row r="38" spans="1:8" x14ac:dyDescent="0.2">
      <c r="A38" s="97"/>
      <c r="B38" s="97"/>
      <c r="C38" s="101"/>
      <c r="D38" s="97"/>
      <c r="E38" s="97"/>
      <c r="F38" s="102"/>
      <c r="G38" s="102"/>
      <c r="H38" s="86"/>
    </row>
    <row r="39" spans="1:8" x14ac:dyDescent="0.2">
      <c r="A39" s="97"/>
      <c r="B39" s="97"/>
      <c r="C39" s="98" t="s">
        <v>154</v>
      </c>
      <c r="D39" s="97"/>
      <c r="E39" s="97"/>
      <c r="F39" s="99">
        <v>0</v>
      </c>
      <c r="G39" s="100">
        <v>0</v>
      </c>
      <c r="H39" s="86"/>
    </row>
    <row r="40" spans="1:8" x14ac:dyDescent="0.2">
      <c r="A40" s="97"/>
      <c r="B40" s="97"/>
      <c r="C40" s="101"/>
      <c r="D40" s="97"/>
      <c r="E40" s="97"/>
      <c r="F40" s="102"/>
      <c r="G40" s="102"/>
      <c r="H40" s="86"/>
    </row>
    <row r="41" spans="1:8" x14ac:dyDescent="0.2">
      <c r="A41" s="97"/>
      <c r="B41" s="97"/>
      <c r="C41" s="98" t="s">
        <v>155</v>
      </c>
      <c r="D41" s="97"/>
      <c r="E41" s="97"/>
      <c r="F41" s="102"/>
      <c r="G41" s="102"/>
      <c r="H41" s="86"/>
    </row>
    <row r="42" spans="1:8" x14ac:dyDescent="0.2">
      <c r="A42" s="97"/>
      <c r="B42" s="97"/>
      <c r="C42" s="98" t="s">
        <v>156</v>
      </c>
      <c r="D42" s="97"/>
      <c r="E42" s="97"/>
      <c r="F42" s="102"/>
      <c r="G42" s="102"/>
      <c r="H42" s="86"/>
    </row>
    <row r="43" spans="1:8" x14ac:dyDescent="0.2">
      <c r="A43" s="97"/>
      <c r="B43" s="97"/>
      <c r="C43" s="98" t="s">
        <v>141</v>
      </c>
      <c r="D43" s="97"/>
      <c r="E43" s="97" t="s">
        <v>142</v>
      </c>
      <c r="F43" s="103" t="s">
        <v>144</v>
      </c>
      <c r="G43" s="100">
        <v>0</v>
      </c>
      <c r="H43" s="86"/>
    </row>
    <row r="44" spans="1:8" x14ac:dyDescent="0.2">
      <c r="A44" s="97"/>
      <c r="B44" s="97"/>
      <c r="C44" s="101"/>
      <c r="D44" s="97"/>
      <c r="E44" s="97"/>
      <c r="F44" s="102"/>
      <c r="G44" s="102"/>
      <c r="H44" s="86"/>
    </row>
    <row r="45" spans="1:8" x14ac:dyDescent="0.2">
      <c r="A45" s="97"/>
      <c r="B45" s="97"/>
      <c r="C45" s="98" t="s">
        <v>157</v>
      </c>
      <c r="D45" s="97"/>
      <c r="E45" s="97"/>
      <c r="F45" s="102"/>
      <c r="G45" s="102"/>
      <c r="H45" s="86"/>
    </row>
    <row r="46" spans="1:8" x14ac:dyDescent="0.2">
      <c r="A46" s="97"/>
      <c r="B46" s="97"/>
      <c r="C46" s="98" t="s">
        <v>141</v>
      </c>
      <c r="D46" s="97"/>
      <c r="E46" s="97" t="s">
        <v>142</v>
      </c>
      <c r="F46" s="103" t="s">
        <v>144</v>
      </c>
      <c r="G46" s="100">
        <v>0</v>
      </c>
      <c r="H46" s="86"/>
    </row>
    <row r="47" spans="1:8" x14ac:dyDescent="0.2">
      <c r="A47" s="97"/>
      <c r="B47" s="97"/>
      <c r="C47" s="101"/>
      <c r="D47" s="97"/>
      <c r="E47" s="97"/>
      <c r="F47" s="102"/>
      <c r="G47" s="102"/>
      <c r="H47" s="86"/>
    </row>
    <row r="48" spans="1:8" x14ac:dyDescent="0.2">
      <c r="A48" s="97"/>
      <c r="B48" s="97"/>
      <c r="C48" s="98" t="s">
        <v>158</v>
      </c>
      <c r="D48" s="97"/>
      <c r="E48" s="97"/>
      <c r="F48" s="102"/>
      <c r="G48" s="102"/>
      <c r="H48" s="86"/>
    </row>
    <row r="49" spans="1:8" x14ac:dyDescent="0.2">
      <c r="A49" s="97"/>
      <c r="B49" s="97"/>
      <c r="C49" s="98" t="s">
        <v>141</v>
      </c>
      <c r="D49" s="97"/>
      <c r="E49" s="97" t="s">
        <v>142</v>
      </c>
      <c r="F49" s="103" t="s">
        <v>144</v>
      </c>
      <c r="G49" s="100">
        <v>0</v>
      </c>
      <c r="H49" s="86"/>
    </row>
    <row r="50" spans="1:8" x14ac:dyDescent="0.2">
      <c r="A50" s="97"/>
      <c r="B50" s="97"/>
      <c r="C50" s="101"/>
      <c r="D50" s="97"/>
      <c r="E50" s="97"/>
      <c r="F50" s="102"/>
      <c r="G50" s="102"/>
      <c r="H50" s="86"/>
    </row>
    <row r="51" spans="1:8" x14ac:dyDescent="0.2">
      <c r="A51" s="97"/>
      <c r="B51" s="97"/>
      <c r="C51" s="98" t="s">
        <v>159</v>
      </c>
      <c r="D51" s="97"/>
      <c r="E51" s="97"/>
      <c r="F51" s="102"/>
      <c r="G51" s="102"/>
      <c r="H51" s="86"/>
    </row>
    <row r="52" spans="1:8" x14ac:dyDescent="0.2">
      <c r="A52" s="92">
        <v>1</v>
      </c>
      <c r="B52" s="93"/>
      <c r="C52" s="93" t="s">
        <v>160</v>
      </c>
      <c r="D52" s="93"/>
      <c r="E52" s="104"/>
      <c r="F52" s="95">
        <v>508.151909698</v>
      </c>
      <c r="G52" s="96">
        <v>3.5039229999999998E-2</v>
      </c>
      <c r="H52" s="86">
        <v>5.57</v>
      </c>
    </row>
    <row r="53" spans="1:8" x14ac:dyDescent="0.2">
      <c r="A53" s="97"/>
      <c r="B53" s="97"/>
      <c r="C53" s="98" t="s">
        <v>141</v>
      </c>
      <c r="D53" s="97"/>
      <c r="E53" s="97" t="s">
        <v>142</v>
      </c>
      <c r="F53" s="99">
        <v>508.151909698</v>
      </c>
      <c r="G53" s="100">
        <v>3.5039229999999998E-2</v>
      </c>
      <c r="H53" s="86"/>
    </row>
    <row r="54" spans="1:8" x14ac:dyDescent="0.2">
      <c r="A54" s="97"/>
      <c r="B54" s="97"/>
      <c r="C54" s="101"/>
      <c r="D54" s="97"/>
      <c r="E54" s="97"/>
      <c r="F54" s="102"/>
      <c r="G54" s="102"/>
      <c r="H54" s="86"/>
    </row>
    <row r="55" spans="1:8" x14ac:dyDescent="0.2">
      <c r="A55" s="97"/>
      <c r="B55" s="97"/>
      <c r="C55" s="98" t="s">
        <v>161</v>
      </c>
      <c r="D55" s="97"/>
      <c r="E55" s="97"/>
      <c r="F55" s="99">
        <v>508.151909698</v>
      </c>
      <c r="G55" s="100">
        <v>3.5039229999999998E-2</v>
      </c>
      <c r="H55" s="86"/>
    </row>
    <row r="56" spans="1:8" x14ac:dyDescent="0.2">
      <c r="A56" s="97"/>
      <c r="B56" s="97"/>
      <c r="C56" s="102"/>
      <c r="D56" s="97"/>
      <c r="E56" s="97"/>
      <c r="F56" s="97"/>
      <c r="G56" s="97"/>
      <c r="H56" s="86"/>
    </row>
    <row r="57" spans="1:8" x14ac:dyDescent="0.2">
      <c r="A57" s="97"/>
      <c r="B57" s="97"/>
      <c r="C57" s="98" t="s">
        <v>162</v>
      </c>
      <c r="D57" s="97"/>
      <c r="E57" s="97"/>
      <c r="F57" s="97"/>
      <c r="G57" s="97"/>
      <c r="H57" s="86"/>
    </row>
    <row r="58" spans="1:8" x14ac:dyDescent="0.2">
      <c r="A58" s="97"/>
      <c r="B58" s="97"/>
      <c r="C58" s="85" t="s">
        <v>1099</v>
      </c>
      <c r="D58" s="97"/>
      <c r="E58" s="97"/>
      <c r="F58" s="97"/>
      <c r="G58" s="97"/>
      <c r="H58" s="86"/>
    </row>
    <row r="59" spans="1:8" x14ac:dyDescent="0.2">
      <c r="A59" s="92">
        <v>1</v>
      </c>
      <c r="B59" s="93" t="s">
        <v>1097</v>
      </c>
      <c r="C59" s="93" t="s">
        <v>1098</v>
      </c>
      <c r="D59" s="93"/>
      <c r="E59" s="140">
        <v>8718569.6000999995</v>
      </c>
      <c r="F59" s="95">
        <v>14124.972621687</v>
      </c>
      <c r="G59" s="96">
        <v>0.97397677999999999</v>
      </c>
      <c r="H59" s="86"/>
    </row>
    <row r="60" spans="1:8" x14ac:dyDescent="0.2">
      <c r="A60" s="97"/>
      <c r="B60" s="97"/>
      <c r="C60" s="98" t="s">
        <v>141</v>
      </c>
      <c r="D60" s="97"/>
      <c r="E60" s="97" t="s">
        <v>142</v>
      </c>
      <c r="F60" s="99">
        <v>14124.972621687</v>
      </c>
      <c r="G60" s="100">
        <v>0.97397677999999999</v>
      </c>
      <c r="H60" s="86"/>
    </row>
    <row r="61" spans="1:8" x14ac:dyDescent="0.2">
      <c r="A61" s="97"/>
      <c r="B61" s="97"/>
      <c r="C61" s="101"/>
      <c r="D61" s="97"/>
      <c r="E61" s="97"/>
      <c r="F61" s="102"/>
      <c r="G61" s="102"/>
      <c r="H61" s="86"/>
    </row>
    <row r="62" spans="1:8" x14ac:dyDescent="0.2">
      <c r="A62" s="97"/>
      <c r="B62" s="97"/>
      <c r="C62" s="98" t="s">
        <v>164</v>
      </c>
      <c r="D62" s="97"/>
      <c r="E62" s="97"/>
      <c r="F62" s="97"/>
      <c r="G62" s="97"/>
      <c r="H62" s="86"/>
    </row>
    <row r="63" spans="1:8" x14ac:dyDescent="0.2">
      <c r="A63" s="97"/>
      <c r="B63" s="97"/>
      <c r="C63" s="98" t="s">
        <v>165</v>
      </c>
      <c r="D63" s="97"/>
      <c r="E63" s="97"/>
      <c r="F63" s="97"/>
      <c r="G63" s="97"/>
      <c r="H63" s="86"/>
    </row>
    <row r="64" spans="1:8" x14ac:dyDescent="0.2">
      <c r="A64" s="97"/>
      <c r="B64" s="97"/>
      <c r="C64" s="98" t="s">
        <v>141</v>
      </c>
      <c r="D64" s="97"/>
      <c r="E64" s="97" t="s">
        <v>142</v>
      </c>
      <c r="F64" s="103" t="s">
        <v>144</v>
      </c>
      <c r="G64" s="100">
        <v>0</v>
      </c>
      <c r="H64" s="86"/>
    </row>
    <row r="65" spans="1:17" x14ac:dyDescent="0.2">
      <c r="A65" s="97"/>
      <c r="B65" s="97"/>
      <c r="C65" s="101"/>
      <c r="D65" s="97"/>
      <c r="E65" s="97"/>
      <c r="F65" s="102"/>
      <c r="G65" s="102"/>
      <c r="H65" s="86"/>
    </row>
    <row r="66" spans="1:17" x14ac:dyDescent="0.2">
      <c r="A66" s="97"/>
      <c r="B66" s="97"/>
      <c r="C66" s="98" t="s">
        <v>166</v>
      </c>
      <c r="D66" s="97"/>
      <c r="E66" s="97"/>
      <c r="F66" s="102"/>
      <c r="G66" s="102"/>
      <c r="H66" s="86"/>
    </row>
    <row r="67" spans="1:17" x14ac:dyDescent="0.2">
      <c r="A67" s="97"/>
      <c r="B67" s="97"/>
      <c r="C67" s="98" t="s">
        <v>141</v>
      </c>
      <c r="D67" s="97"/>
      <c r="E67" s="97" t="s">
        <v>142</v>
      </c>
      <c r="F67" s="103" t="s">
        <v>144</v>
      </c>
      <c r="G67" s="100">
        <v>0</v>
      </c>
      <c r="H67" s="86"/>
    </row>
    <row r="68" spans="1:17" x14ac:dyDescent="0.2">
      <c r="A68" s="97"/>
      <c r="B68" s="97"/>
      <c r="C68" s="101"/>
      <c r="D68" s="97"/>
      <c r="E68" s="97"/>
      <c r="F68" s="102"/>
      <c r="G68" s="102"/>
      <c r="H68" s="86"/>
    </row>
    <row r="69" spans="1:17" x14ac:dyDescent="0.2">
      <c r="A69" s="104"/>
      <c r="B69" s="93"/>
      <c r="C69" s="93" t="s">
        <v>167</v>
      </c>
      <c r="D69" s="93"/>
      <c r="E69" s="104"/>
      <c r="F69" s="95">
        <v>-130.75348726999999</v>
      </c>
      <c r="G69" s="96">
        <v>-9.0160099999999996E-3</v>
      </c>
      <c r="H69" s="86"/>
    </row>
    <row r="70" spans="1:17" x14ac:dyDescent="0.2">
      <c r="A70" s="101"/>
      <c r="B70" s="101"/>
      <c r="C70" s="98" t="s">
        <v>168</v>
      </c>
      <c r="D70" s="102"/>
      <c r="E70" s="102"/>
      <c r="F70" s="99">
        <v>14502.371044115</v>
      </c>
      <c r="G70" s="105">
        <v>1</v>
      </c>
      <c r="H70" s="86"/>
    </row>
    <row r="71" spans="1:17" x14ac:dyDescent="0.2">
      <c r="A71" s="106"/>
      <c r="B71" s="106"/>
      <c r="C71" s="107"/>
      <c r="D71" s="108"/>
      <c r="E71" s="108"/>
      <c r="F71" s="109"/>
      <c r="G71" s="110"/>
      <c r="H71" s="111"/>
    </row>
    <row r="72" spans="1:17" x14ac:dyDescent="0.2">
      <c r="A72" s="106"/>
      <c r="B72" s="200" t="s">
        <v>918</v>
      </c>
      <c r="C72" s="200"/>
      <c r="D72" s="200"/>
      <c r="E72" s="200"/>
      <c r="F72" s="200"/>
      <c r="G72" s="200"/>
      <c r="H72" s="200"/>
      <c r="J72" s="113"/>
    </row>
    <row r="73" spans="1:17" x14ac:dyDescent="0.2">
      <c r="A73" s="106"/>
      <c r="B73" s="200" t="s">
        <v>919</v>
      </c>
      <c r="C73" s="200"/>
      <c r="D73" s="200"/>
      <c r="E73" s="200"/>
      <c r="F73" s="200"/>
      <c r="G73" s="200"/>
      <c r="H73" s="200"/>
      <c r="J73" s="113"/>
    </row>
    <row r="74" spans="1:17" x14ac:dyDescent="0.2">
      <c r="A74" s="106"/>
      <c r="B74" s="200" t="s">
        <v>920</v>
      </c>
      <c r="C74" s="200"/>
      <c r="D74" s="200"/>
      <c r="E74" s="200"/>
      <c r="F74" s="200"/>
      <c r="G74" s="200"/>
      <c r="H74" s="200"/>
      <c r="J74" s="113"/>
    </row>
    <row r="75" spans="1:17" s="115" customFormat="1" ht="69" customHeight="1" x14ac:dyDescent="0.25">
      <c r="A75" s="114"/>
      <c r="B75" s="201" t="s">
        <v>921</v>
      </c>
      <c r="C75" s="201"/>
      <c r="D75" s="201"/>
      <c r="E75" s="201"/>
      <c r="F75" s="201"/>
      <c r="G75" s="201"/>
      <c r="H75" s="201"/>
      <c r="I75"/>
      <c r="J75" s="113"/>
      <c r="K75"/>
      <c r="L75"/>
      <c r="M75"/>
      <c r="N75"/>
      <c r="O75"/>
      <c r="P75"/>
      <c r="Q75"/>
    </row>
    <row r="76" spans="1:17" x14ac:dyDescent="0.2">
      <c r="A76" s="106"/>
      <c r="B76" s="200" t="s">
        <v>922</v>
      </c>
      <c r="C76" s="200"/>
      <c r="D76" s="200"/>
      <c r="E76" s="200"/>
      <c r="F76" s="200"/>
      <c r="G76" s="200"/>
      <c r="H76" s="200"/>
      <c r="J76" s="113"/>
    </row>
    <row r="77" spans="1:17" x14ac:dyDescent="0.2">
      <c r="A77" s="106"/>
      <c r="B77" s="106"/>
      <c r="C77" s="106"/>
      <c r="D77" s="108"/>
      <c r="E77" s="108"/>
      <c r="F77" s="108"/>
      <c r="G77" s="108"/>
    </row>
    <row r="78" spans="1:17" x14ac:dyDescent="0.2">
      <c r="A78" s="106"/>
      <c r="B78" s="202" t="s">
        <v>169</v>
      </c>
      <c r="C78" s="203"/>
      <c r="D78" s="204"/>
      <c r="E78" s="116"/>
      <c r="F78" s="108"/>
      <c r="G78" s="108"/>
    </row>
    <row r="79" spans="1:17" x14ac:dyDescent="0.2">
      <c r="A79" s="106"/>
      <c r="B79" s="205" t="s">
        <v>170</v>
      </c>
      <c r="C79" s="206"/>
      <c r="D79" s="85" t="s">
        <v>171</v>
      </c>
      <c r="E79" s="116"/>
      <c r="F79" s="108"/>
      <c r="G79" s="108"/>
    </row>
    <row r="80" spans="1:17" x14ac:dyDescent="0.2">
      <c r="A80" s="106"/>
      <c r="B80" s="205" t="s">
        <v>923</v>
      </c>
      <c r="C80" s="206"/>
      <c r="D80" s="85" t="s">
        <v>171</v>
      </c>
      <c r="E80" s="116"/>
      <c r="F80" s="108"/>
      <c r="G80" s="108"/>
    </row>
    <row r="81" spans="1:10" x14ac:dyDescent="0.2">
      <c r="A81" s="106"/>
      <c r="B81" s="205" t="s">
        <v>172</v>
      </c>
      <c r="C81" s="206"/>
      <c r="D81" s="117" t="s">
        <v>142</v>
      </c>
      <c r="E81" s="116"/>
      <c r="F81" s="108"/>
      <c r="G81" s="108"/>
    </row>
    <row r="82" spans="1:10" x14ac:dyDescent="0.2">
      <c r="A82" s="118"/>
      <c r="B82" s="119" t="s">
        <v>142</v>
      </c>
      <c r="C82" s="119" t="s">
        <v>924</v>
      </c>
      <c r="D82" s="119" t="s">
        <v>173</v>
      </c>
      <c r="E82" s="118"/>
      <c r="F82" s="118"/>
      <c r="G82" s="118"/>
      <c r="H82" s="118"/>
      <c r="J82" s="113"/>
    </row>
    <row r="83" spans="1:10" x14ac:dyDescent="0.2">
      <c r="A83" s="118"/>
      <c r="B83" s="120" t="s">
        <v>174</v>
      </c>
      <c r="C83" s="121">
        <v>45930</v>
      </c>
      <c r="D83" s="121">
        <v>45961</v>
      </c>
      <c r="E83" s="118"/>
      <c r="F83" s="118"/>
      <c r="G83" s="118"/>
      <c r="J83" s="113"/>
    </row>
    <row r="84" spans="1:10" x14ac:dyDescent="0.2">
      <c r="A84" s="122"/>
      <c r="B84" s="93" t="s">
        <v>175</v>
      </c>
      <c r="C84" s="123">
        <v>41.442900000000002</v>
      </c>
      <c r="D84" s="123">
        <v>42.913499999999999</v>
      </c>
      <c r="E84" s="122"/>
      <c r="F84" s="124"/>
      <c r="G84" s="125"/>
    </row>
    <row r="85" spans="1:10" x14ac:dyDescent="0.2">
      <c r="A85" s="122"/>
      <c r="B85" s="93" t="s">
        <v>1101</v>
      </c>
      <c r="C85" s="123">
        <v>36.856900000000003</v>
      </c>
      <c r="D85" s="123">
        <v>36.014699999999998</v>
      </c>
      <c r="E85" s="122"/>
      <c r="F85" s="124"/>
      <c r="G85" s="125"/>
    </row>
    <row r="86" spans="1:10" x14ac:dyDescent="0.2">
      <c r="A86" s="122"/>
      <c r="B86" s="93" t="s">
        <v>176</v>
      </c>
      <c r="C86" s="123">
        <v>37.777999999999999</v>
      </c>
      <c r="D86" s="123">
        <v>39.088999999999999</v>
      </c>
      <c r="E86" s="122"/>
      <c r="F86" s="124"/>
      <c r="G86" s="125"/>
    </row>
    <row r="87" spans="1:10" x14ac:dyDescent="0.2">
      <c r="A87" s="122"/>
      <c r="B87" s="93" t="s">
        <v>1102</v>
      </c>
      <c r="C87" s="123">
        <v>32.372399999999999</v>
      </c>
      <c r="D87" s="123">
        <v>31.598800000000001</v>
      </c>
      <c r="E87" s="122"/>
      <c r="F87" s="124"/>
      <c r="G87" s="125"/>
    </row>
    <row r="88" spans="1:10" x14ac:dyDescent="0.2">
      <c r="A88" s="122"/>
      <c r="B88" s="122"/>
      <c r="C88" s="122"/>
      <c r="D88" s="122"/>
      <c r="E88" s="122"/>
      <c r="F88" s="122"/>
      <c r="G88" s="122"/>
    </row>
    <row r="89" spans="1:10" x14ac:dyDescent="0.2">
      <c r="A89" s="122"/>
      <c r="B89" s="208" t="s">
        <v>925</v>
      </c>
      <c r="C89" s="209"/>
      <c r="D89" s="98" t="s">
        <v>142</v>
      </c>
      <c r="E89" s="122"/>
      <c r="F89" s="122"/>
      <c r="G89" s="122"/>
    </row>
    <row r="90" spans="1:10" x14ac:dyDescent="0.2">
      <c r="A90" s="122"/>
      <c r="B90" s="126" t="s">
        <v>174</v>
      </c>
      <c r="C90" s="127" t="s">
        <v>177</v>
      </c>
      <c r="D90" s="127" t="s">
        <v>178</v>
      </c>
      <c r="E90" s="122"/>
      <c r="F90" s="122"/>
      <c r="G90" s="122"/>
    </row>
    <row r="91" spans="1:10" x14ac:dyDescent="0.2">
      <c r="A91" s="122"/>
      <c r="B91" s="93" t="s">
        <v>1101</v>
      </c>
      <c r="C91" s="146">
        <v>2.15</v>
      </c>
      <c r="D91" s="104" t="s">
        <v>679</v>
      </c>
      <c r="E91" s="122"/>
      <c r="F91" s="124"/>
      <c r="G91" s="125"/>
    </row>
    <row r="92" spans="1:10" x14ac:dyDescent="0.2">
      <c r="A92" s="122"/>
      <c r="B92" s="93" t="s">
        <v>1102</v>
      </c>
      <c r="C92" s="146">
        <v>1.897</v>
      </c>
      <c r="D92" s="146">
        <v>1.897</v>
      </c>
      <c r="E92" s="122"/>
      <c r="F92" s="124"/>
      <c r="G92" s="125"/>
    </row>
    <row r="93" spans="1:10" x14ac:dyDescent="0.2">
      <c r="A93" s="118"/>
      <c r="B93" s="136"/>
      <c r="C93" s="136"/>
      <c r="D93" s="136"/>
      <c r="E93" s="118"/>
      <c r="F93" s="118"/>
      <c r="G93" s="118"/>
    </row>
    <row r="94" spans="1:10" x14ac:dyDescent="0.2">
      <c r="A94" s="118"/>
      <c r="B94" s="205" t="s">
        <v>179</v>
      </c>
      <c r="C94" s="206"/>
      <c r="D94" s="85" t="s">
        <v>171</v>
      </c>
      <c r="E94" s="131"/>
      <c r="F94" s="118"/>
      <c r="G94" s="118"/>
      <c r="I94" s="198"/>
    </row>
    <row r="95" spans="1:10" x14ac:dyDescent="0.2">
      <c r="A95" s="118"/>
      <c r="B95" s="205" t="s">
        <v>180</v>
      </c>
      <c r="C95" s="206"/>
      <c r="D95" s="85" t="str">
        <f>"Rs. "&amp;TEXT(F60,"0,000.00")&amp;" Lacs"</f>
        <v>Rs. 14,124.97 Lacs</v>
      </c>
      <c r="E95" s="131"/>
      <c r="F95" s="118"/>
      <c r="G95" s="118"/>
      <c r="I95" s="198"/>
    </row>
    <row r="96" spans="1:10" x14ac:dyDescent="0.2">
      <c r="A96" s="118"/>
      <c r="B96" s="205" t="s">
        <v>181</v>
      </c>
      <c r="C96" s="206"/>
      <c r="D96" s="85" t="s">
        <v>171</v>
      </c>
      <c r="E96" s="131"/>
      <c r="F96" s="118"/>
      <c r="G96" s="118"/>
      <c r="I96" s="198"/>
    </row>
    <row r="97" spans="1:9" x14ac:dyDescent="0.2">
      <c r="A97" s="118"/>
      <c r="B97" s="205" t="s">
        <v>182</v>
      </c>
      <c r="C97" s="206"/>
      <c r="D97" s="132">
        <v>0</v>
      </c>
      <c r="E97" s="118"/>
      <c r="F97" s="112"/>
      <c r="G97" s="133"/>
      <c r="I97" s="198"/>
    </row>
    <row r="98" spans="1:9" x14ac:dyDescent="0.2">
      <c r="I98" s="198"/>
    </row>
    <row r="99" spans="1:9" x14ac:dyDescent="0.2">
      <c r="B99" s="199" t="s">
        <v>926</v>
      </c>
      <c r="C99" s="199"/>
    </row>
    <row r="101" spans="1:9" ht="153.75" customHeight="1" x14ac:dyDescent="0.2"/>
    <row r="104" spans="1:9" x14ac:dyDescent="0.2">
      <c r="B104" s="134" t="s">
        <v>927</v>
      </c>
      <c r="C104" s="135"/>
      <c r="D104" s="134"/>
    </row>
    <row r="105" spans="1:9" x14ac:dyDescent="0.2">
      <c r="B105" s="134" t="s">
        <v>1100</v>
      </c>
      <c r="D105" s="134"/>
    </row>
    <row r="106" spans="1:9" ht="165" customHeight="1" x14ac:dyDescent="0.2"/>
  </sheetData>
  <mergeCells count="18">
    <mergeCell ref="B74:H74"/>
    <mergeCell ref="B75:H75"/>
    <mergeCell ref="B76:H76"/>
    <mergeCell ref="B89:C89"/>
    <mergeCell ref="B94:C94"/>
    <mergeCell ref="A1:H1"/>
    <mergeCell ref="A2:H2"/>
    <mergeCell ref="A3:H3"/>
    <mergeCell ref="B72:H72"/>
    <mergeCell ref="B73:H73"/>
    <mergeCell ref="B99:C99"/>
    <mergeCell ref="B78:D78"/>
    <mergeCell ref="B79:C79"/>
    <mergeCell ref="B80:C80"/>
    <mergeCell ref="B81:C81"/>
    <mergeCell ref="B96:C96"/>
    <mergeCell ref="B97:C97"/>
    <mergeCell ref="B95:C95"/>
  </mergeCells>
  <hyperlinks>
    <hyperlink ref="I1" location="Index!B2" display="Index" xr:uid="{43609642-50E5-4C79-A370-B71AFA7B906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C0070-0322-44F3-81DC-7090965EDFCE}">
  <sheetPr>
    <outlinePr summaryBelow="0" summaryRight="0"/>
  </sheetPr>
  <dimension ref="A1:Q200"/>
  <sheetViews>
    <sheetView showGridLines="0" workbookViewId="0">
      <selection activeCell="A173" sqref="A173"/>
    </sheetView>
  </sheetViews>
  <sheetFormatPr defaultRowHeight="12.75" x14ac:dyDescent="0.2"/>
  <cols>
    <col min="1" max="1" width="5.85546875" bestFit="1" customWidth="1"/>
    <col min="2" max="2" width="19.7109375" bestFit="1" customWidth="1"/>
    <col min="3" max="3" width="54.5703125" customWidth="1"/>
    <col min="4" max="4" width="17.7109375" bestFit="1" customWidth="1"/>
    <col min="5" max="5" width="11.42578125" bestFit="1" customWidth="1"/>
    <col min="6" max="6" width="10.425781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183</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56</v>
      </c>
      <c r="C7" s="93" t="s">
        <v>57</v>
      </c>
      <c r="D7" s="93" t="s">
        <v>58</v>
      </c>
      <c r="E7" s="94">
        <v>1273753</v>
      </c>
      <c r="F7" s="95">
        <v>55333.104073000002</v>
      </c>
      <c r="G7" s="96">
        <v>4.1805500000000002E-2</v>
      </c>
      <c r="H7" s="86" t="s">
        <v>142</v>
      </c>
    </row>
    <row r="8" spans="1:9" x14ac:dyDescent="0.2">
      <c r="A8" s="92">
        <v>2</v>
      </c>
      <c r="B8" s="93" t="s">
        <v>184</v>
      </c>
      <c r="C8" s="93" t="s">
        <v>185</v>
      </c>
      <c r="D8" s="93" t="s">
        <v>186</v>
      </c>
      <c r="E8" s="94">
        <v>11920703</v>
      </c>
      <c r="F8" s="95">
        <v>37615.7783165</v>
      </c>
      <c r="G8" s="96">
        <v>2.8419630000000001E-2</v>
      </c>
      <c r="H8" s="86" t="s">
        <v>142</v>
      </c>
    </row>
    <row r="9" spans="1:9" x14ac:dyDescent="0.2">
      <c r="A9" s="92">
        <v>3</v>
      </c>
      <c r="B9" s="93" t="s">
        <v>187</v>
      </c>
      <c r="C9" s="93" t="s">
        <v>188</v>
      </c>
      <c r="D9" s="93" t="s">
        <v>109</v>
      </c>
      <c r="E9" s="94">
        <v>3592166</v>
      </c>
      <c r="F9" s="95">
        <v>36749.654262999997</v>
      </c>
      <c r="G9" s="96">
        <v>2.776526E-2</v>
      </c>
      <c r="H9" s="86" t="s">
        <v>142</v>
      </c>
    </row>
    <row r="10" spans="1:9" ht="25.5" x14ac:dyDescent="0.2">
      <c r="A10" s="92">
        <v>4</v>
      </c>
      <c r="B10" s="93" t="s">
        <v>189</v>
      </c>
      <c r="C10" s="93" t="s">
        <v>190</v>
      </c>
      <c r="D10" s="93" t="s">
        <v>191</v>
      </c>
      <c r="E10" s="94">
        <v>1712601</v>
      </c>
      <c r="F10" s="95">
        <v>36385.920846000001</v>
      </c>
      <c r="G10" s="96">
        <v>2.749045E-2</v>
      </c>
      <c r="H10" s="86" t="s">
        <v>142</v>
      </c>
    </row>
    <row r="11" spans="1:9" x14ac:dyDescent="0.2">
      <c r="A11" s="92">
        <v>5</v>
      </c>
      <c r="B11" s="93" t="s">
        <v>41</v>
      </c>
      <c r="C11" s="93" t="s">
        <v>42</v>
      </c>
      <c r="D11" s="93" t="s">
        <v>43</v>
      </c>
      <c r="E11" s="94">
        <v>1179542</v>
      </c>
      <c r="F11" s="95">
        <v>35827.408708000003</v>
      </c>
      <c r="G11" s="96">
        <v>2.7068479999999999E-2</v>
      </c>
      <c r="H11" s="86" t="s">
        <v>142</v>
      </c>
    </row>
    <row r="12" spans="1:9" x14ac:dyDescent="0.2">
      <c r="A12" s="92">
        <v>6</v>
      </c>
      <c r="B12" s="93" t="s">
        <v>192</v>
      </c>
      <c r="C12" s="93" t="s">
        <v>193</v>
      </c>
      <c r="D12" s="93" t="s">
        <v>35</v>
      </c>
      <c r="E12" s="94">
        <v>37978844</v>
      </c>
      <c r="F12" s="95">
        <v>31055.300738800001</v>
      </c>
      <c r="G12" s="96">
        <v>2.3463029999999999E-2</v>
      </c>
      <c r="H12" s="86" t="s">
        <v>142</v>
      </c>
    </row>
    <row r="13" spans="1:9" x14ac:dyDescent="0.2">
      <c r="A13" s="92">
        <v>7</v>
      </c>
      <c r="B13" s="93" t="s">
        <v>194</v>
      </c>
      <c r="C13" s="93" t="s">
        <v>195</v>
      </c>
      <c r="D13" s="93" t="s">
        <v>35</v>
      </c>
      <c r="E13" s="94">
        <v>3438637</v>
      </c>
      <c r="F13" s="95">
        <v>29527.575918999999</v>
      </c>
      <c r="G13" s="96">
        <v>2.23088E-2</v>
      </c>
      <c r="H13" s="86" t="s">
        <v>142</v>
      </c>
    </row>
    <row r="14" spans="1:9" x14ac:dyDescent="0.2">
      <c r="A14" s="92">
        <v>8</v>
      </c>
      <c r="B14" s="93" t="s">
        <v>196</v>
      </c>
      <c r="C14" s="93" t="s">
        <v>197</v>
      </c>
      <c r="D14" s="93" t="s">
        <v>19</v>
      </c>
      <c r="E14" s="94">
        <v>6144382</v>
      </c>
      <c r="F14" s="95">
        <v>29247.258320000001</v>
      </c>
      <c r="G14" s="96">
        <v>2.209701E-2</v>
      </c>
      <c r="H14" s="86" t="s">
        <v>142</v>
      </c>
    </row>
    <row r="15" spans="1:9" x14ac:dyDescent="0.2">
      <c r="A15" s="92">
        <v>9</v>
      </c>
      <c r="B15" s="93" t="s">
        <v>198</v>
      </c>
      <c r="C15" s="93" t="s">
        <v>199</v>
      </c>
      <c r="D15" s="93" t="s">
        <v>48</v>
      </c>
      <c r="E15" s="94">
        <v>5565334</v>
      </c>
      <c r="F15" s="95">
        <v>28366.507398000002</v>
      </c>
      <c r="G15" s="96">
        <v>2.143159E-2</v>
      </c>
      <c r="H15" s="86" t="s">
        <v>142</v>
      </c>
    </row>
    <row r="16" spans="1:9" x14ac:dyDescent="0.2">
      <c r="A16" s="92">
        <v>10</v>
      </c>
      <c r="B16" s="93" t="s">
        <v>200</v>
      </c>
      <c r="C16" s="93" t="s">
        <v>201</v>
      </c>
      <c r="D16" s="93" t="s">
        <v>35</v>
      </c>
      <c r="E16" s="94">
        <v>11865970</v>
      </c>
      <c r="F16" s="95">
        <v>28076.071617000001</v>
      </c>
      <c r="G16" s="96">
        <v>2.1212149999999999E-2</v>
      </c>
      <c r="H16" s="86" t="s">
        <v>142</v>
      </c>
    </row>
    <row r="17" spans="1:8" x14ac:dyDescent="0.2">
      <c r="A17" s="92">
        <v>11</v>
      </c>
      <c r="B17" s="93" t="s">
        <v>202</v>
      </c>
      <c r="C17" s="93" t="s">
        <v>203</v>
      </c>
      <c r="D17" s="93" t="s">
        <v>204</v>
      </c>
      <c r="E17" s="94">
        <v>1489787</v>
      </c>
      <c r="F17" s="95">
        <v>26489.902646999999</v>
      </c>
      <c r="G17" s="96">
        <v>2.0013759999999998E-2</v>
      </c>
      <c r="H17" s="86" t="s">
        <v>142</v>
      </c>
    </row>
    <row r="18" spans="1:8" ht="25.5" x14ac:dyDescent="0.2">
      <c r="A18" s="92">
        <v>12</v>
      </c>
      <c r="B18" s="93" t="s">
        <v>205</v>
      </c>
      <c r="C18" s="93" t="s">
        <v>206</v>
      </c>
      <c r="D18" s="93" t="s">
        <v>207</v>
      </c>
      <c r="E18" s="94">
        <v>3660354</v>
      </c>
      <c r="F18" s="95">
        <v>26352.718623000001</v>
      </c>
      <c r="G18" s="96">
        <v>1.991012E-2</v>
      </c>
      <c r="H18" s="86" t="s">
        <v>142</v>
      </c>
    </row>
    <row r="19" spans="1:8" ht="25.5" x14ac:dyDescent="0.2">
      <c r="A19" s="92">
        <v>13</v>
      </c>
      <c r="B19" s="93" t="s">
        <v>208</v>
      </c>
      <c r="C19" s="93" t="s">
        <v>209</v>
      </c>
      <c r="D19" s="93" t="s">
        <v>210</v>
      </c>
      <c r="E19" s="94">
        <v>1468580</v>
      </c>
      <c r="F19" s="95">
        <v>26220.027320000001</v>
      </c>
      <c r="G19" s="96">
        <v>1.980987E-2</v>
      </c>
      <c r="H19" s="86" t="s">
        <v>142</v>
      </c>
    </row>
    <row r="20" spans="1:8" x14ac:dyDescent="0.2">
      <c r="A20" s="92">
        <v>14</v>
      </c>
      <c r="B20" s="93" t="s">
        <v>133</v>
      </c>
      <c r="C20" s="93" t="s">
        <v>134</v>
      </c>
      <c r="D20" s="93" t="s">
        <v>135</v>
      </c>
      <c r="E20" s="94">
        <v>2380218</v>
      </c>
      <c r="F20" s="95">
        <v>25392.165624000001</v>
      </c>
      <c r="G20" s="96">
        <v>1.9184400000000001E-2</v>
      </c>
      <c r="H20" s="86" t="s">
        <v>142</v>
      </c>
    </row>
    <row r="21" spans="1:8" x14ac:dyDescent="0.2">
      <c r="A21" s="92">
        <v>15</v>
      </c>
      <c r="B21" s="93" t="s">
        <v>211</v>
      </c>
      <c r="C21" s="93" t="s">
        <v>212</v>
      </c>
      <c r="D21" s="93" t="s">
        <v>73</v>
      </c>
      <c r="E21" s="94">
        <v>1493619</v>
      </c>
      <c r="F21" s="95">
        <v>25131.633293999999</v>
      </c>
      <c r="G21" s="96">
        <v>1.8987560000000001E-2</v>
      </c>
      <c r="H21" s="86" t="s">
        <v>142</v>
      </c>
    </row>
    <row r="22" spans="1:8" x14ac:dyDescent="0.2">
      <c r="A22" s="92">
        <v>16</v>
      </c>
      <c r="B22" s="93" t="s">
        <v>213</v>
      </c>
      <c r="C22" s="93" t="s">
        <v>214</v>
      </c>
      <c r="D22" s="93" t="s">
        <v>215</v>
      </c>
      <c r="E22" s="94">
        <v>992562</v>
      </c>
      <c r="F22" s="95">
        <v>24605.611980000001</v>
      </c>
      <c r="G22" s="96">
        <v>1.8590140000000002E-2</v>
      </c>
      <c r="H22" s="86" t="s">
        <v>142</v>
      </c>
    </row>
    <row r="23" spans="1:8" x14ac:dyDescent="0.2">
      <c r="A23" s="92">
        <v>17</v>
      </c>
      <c r="B23" s="93" t="s">
        <v>216</v>
      </c>
      <c r="C23" s="93" t="s">
        <v>217</v>
      </c>
      <c r="D23" s="93" t="s">
        <v>218</v>
      </c>
      <c r="E23" s="94">
        <v>4105695</v>
      </c>
      <c r="F23" s="95">
        <v>24545.8975575</v>
      </c>
      <c r="G23" s="96">
        <v>1.8545019999999999E-2</v>
      </c>
      <c r="H23" s="86" t="s">
        <v>142</v>
      </c>
    </row>
    <row r="24" spans="1:8" ht="25.5" x14ac:dyDescent="0.2">
      <c r="A24" s="92">
        <v>18</v>
      </c>
      <c r="B24" s="93" t="s">
        <v>74</v>
      </c>
      <c r="C24" s="93" t="s">
        <v>75</v>
      </c>
      <c r="D24" s="93" t="s">
        <v>25</v>
      </c>
      <c r="E24" s="94">
        <v>373091</v>
      </c>
      <c r="F24" s="95">
        <v>23183.874739999999</v>
      </c>
      <c r="G24" s="96">
        <v>1.751598E-2</v>
      </c>
      <c r="H24" s="86" t="s">
        <v>142</v>
      </c>
    </row>
    <row r="25" spans="1:8" x14ac:dyDescent="0.2">
      <c r="A25" s="92">
        <v>19</v>
      </c>
      <c r="B25" s="93" t="s">
        <v>219</v>
      </c>
      <c r="C25" s="93" t="s">
        <v>220</v>
      </c>
      <c r="D25" s="93" t="s">
        <v>204</v>
      </c>
      <c r="E25" s="94">
        <v>386560</v>
      </c>
      <c r="F25" s="95">
        <v>22871.20896</v>
      </c>
      <c r="G25" s="96">
        <v>1.727975E-2</v>
      </c>
      <c r="H25" s="86" t="s">
        <v>142</v>
      </c>
    </row>
    <row r="26" spans="1:8" x14ac:dyDescent="0.2">
      <c r="A26" s="92">
        <v>20</v>
      </c>
      <c r="B26" s="93" t="s">
        <v>221</v>
      </c>
      <c r="C26" s="93" t="s">
        <v>222</v>
      </c>
      <c r="D26" s="93" t="s">
        <v>186</v>
      </c>
      <c r="E26" s="94">
        <v>149775</v>
      </c>
      <c r="F26" s="95">
        <v>22728.356250000001</v>
      </c>
      <c r="G26" s="96">
        <v>1.7171829999999999E-2</v>
      </c>
      <c r="H26" s="86" t="s">
        <v>142</v>
      </c>
    </row>
    <row r="27" spans="1:8" x14ac:dyDescent="0.2">
      <c r="A27" s="92">
        <v>21</v>
      </c>
      <c r="B27" s="93" t="s">
        <v>83</v>
      </c>
      <c r="C27" s="93" t="s">
        <v>84</v>
      </c>
      <c r="D27" s="93" t="s">
        <v>61</v>
      </c>
      <c r="E27" s="94">
        <v>4721909</v>
      </c>
      <c r="F27" s="95">
        <v>22001.734985499999</v>
      </c>
      <c r="G27" s="96">
        <v>1.6622850000000002E-2</v>
      </c>
      <c r="H27" s="86" t="s">
        <v>142</v>
      </c>
    </row>
    <row r="28" spans="1:8" ht="25.5" x14ac:dyDescent="0.2">
      <c r="A28" s="92">
        <v>22</v>
      </c>
      <c r="B28" s="93" t="s">
        <v>223</v>
      </c>
      <c r="C28" s="93" t="s">
        <v>224</v>
      </c>
      <c r="D28" s="93" t="s">
        <v>225</v>
      </c>
      <c r="E28" s="94">
        <v>1096653</v>
      </c>
      <c r="F28" s="95">
        <v>21532.781654999999</v>
      </c>
      <c r="G28" s="96">
        <v>1.6268540000000001E-2</v>
      </c>
      <c r="H28" s="86" t="s">
        <v>142</v>
      </c>
    </row>
    <row r="29" spans="1:8" x14ac:dyDescent="0.2">
      <c r="A29" s="92">
        <v>23</v>
      </c>
      <c r="B29" s="93" t="s">
        <v>26</v>
      </c>
      <c r="C29" s="93" t="s">
        <v>27</v>
      </c>
      <c r="D29" s="93" t="s">
        <v>28</v>
      </c>
      <c r="E29" s="94">
        <v>5030754</v>
      </c>
      <c r="F29" s="95">
        <v>21436.042794000001</v>
      </c>
      <c r="G29" s="96">
        <v>1.619545E-2</v>
      </c>
      <c r="H29" s="86" t="s">
        <v>142</v>
      </c>
    </row>
    <row r="30" spans="1:8" x14ac:dyDescent="0.2">
      <c r="A30" s="92">
        <v>24</v>
      </c>
      <c r="B30" s="93" t="s">
        <v>226</v>
      </c>
      <c r="C30" s="93" t="s">
        <v>227</v>
      </c>
      <c r="D30" s="93" t="s">
        <v>58</v>
      </c>
      <c r="E30" s="94">
        <v>263330</v>
      </c>
      <c r="F30" s="95">
        <v>20286.943200000002</v>
      </c>
      <c r="G30" s="96">
        <v>1.532728E-2</v>
      </c>
      <c r="H30" s="86" t="s">
        <v>142</v>
      </c>
    </row>
    <row r="31" spans="1:8" x14ac:dyDescent="0.2">
      <c r="A31" s="92">
        <v>25</v>
      </c>
      <c r="B31" s="93" t="s">
        <v>228</v>
      </c>
      <c r="C31" s="93" t="s">
        <v>229</v>
      </c>
      <c r="D31" s="93" t="s">
        <v>35</v>
      </c>
      <c r="E31" s="94">
        <v>2127274</v>
      </c>
      <c r="F31" s="95">
        <v>18674.274808999999</v>
      </c>
      <c r="G31" s="96">
        <v>1.4108870000000001E-2</v>
      </c>
      <c r="H31" s="86" t="s">
        <v>142</v>
      </c>
    </row>
    <row r="32" spans="1:8" x14ac:dyDescent="0.2">
      <c r="A32" s="92">
        <v>26</v>
      </c>
      <c r="B32" s="93" t="s">
        <v>87</v>
      </c>
      <c r="C32" s="93" t="s">
        <v>88</v>
      </c>
      <c r="D32" s="93" t="s">
        <v>13</v>
      </c>
      <c r="E32" s="94">
        <v>5069388</v>
      </c>
      <c r="F32" s="95">
        <v>18432.294768</v>
      </c>
      <c r="G32" s="96">
        <v>1.3926050000000001E-2</v>
      </c>
      <c r="H32" s="86" t="s">
        <v>142</v>
      </c>
    </row>
    <row r="33" spans="1:8" x14ac:dyDescent="0.2">
      <c r="A33" s="92">
        <v>27</v>
      </c>
      <c r="B33" s="93" t="s">
        <v>230</v>
      </c>
      <c r="C33" s="93" t="s">
        <v>231</v>
      </c>
      <c r="D33" s="93" t="s">
        <v>232</v>
      </c>
      <c r="E33" s="94">
        <v>1018291</v>
      </c>
      <c r="F33" s="95">
        <v>18302.762434</v>
      </c>
      <c r="G33" s="96">
        <v>1.3828180000000001E-2</v>
      </c>
      <c r="H33" s="86" t="s">
        <v>142</v>
      </c>
    </row>
    <row r="34" spans="1:8" x14ac:dyDescent="0.2">
      <c r="A34" s="92">
        <v>28</v>
      </c>
      <c r="B34" s="93" t="s">
        <v>233</v>
      </c>
      <c r="C34" s="93" t="s">
        <v>234</v>
      </c>
      <c r="D34" s="93" t="s">
        <v>218</v>
      </c>
      <c r="E34" s="94">
        <v>1863350</v>
      </c>
      <c r="F34" s="95">
        <v>17697.166625000002</v>
      </c>
      <c r="G34" s="96">
        <v>1.337064E-2</v>
      </c>
      <c r="H34" s="86" t="s">
        <v>142</v>
      </c>
    </row>
    <row r="35" spans="1:8" x14ac:dyDescent="0.2">
      <c r="A35" s="92">
        <v>29</v>
      </c>
      <c r="B35" s="93" t="s">
        <v>235</v>
      </c>
      <c r="C35" s="93" t="s">
        <v>236</v>
      </c>
      <c r="D35" s="93" t="s">
        <v>109</v>
      </c>
      <c r="E35" s="94">
        <v>1503545</v>
      </c>
      <c r="F35" s="95">
        <v>17257.68951</v>
      </c>
      <c r="G35" s="96">
        <v>1.3038599999999999E-2</v>
      </c>
      <c r="H35" s="86" t="s">
        <v>142</v>
      </c>
    </row>
    <row r="36" spans="1:8" x14ac:dyDescent="0.2">
      <c r="A36" s="92">
        <v>30</v>
      </c>
      <c r="B36" s="93" t="s">
        <v>237</v>
      </c>
      <c r="C36" s="93" t="s">
        <v>238</v>
      </c>
      <c r="D36" s="93" t="s">
        <v>38</v>
      </c>
      <c r="E36" s="94">
        <v>3323313</v>
      </c>
      <c r="F36" s="95">
        <v>16666.414694999999</v>
      </c>
      <c r="G36" s="96">
        <v>1.259188E-2</v>
      </c>
      <c r="H36" s="86" t="s">
        <v>142</v>
      </c>
    </row>
    <row r="37" spans="1:8" x14ac:dyDescent="0.2">
      <c r="A37" s="92">
        <v>31</v>
      </c>
      <c r="B37" s="93" t="s">
        <v>239</v>
      </c>
      <c r="C37" s="93" t="s">
        <v>240</v>
      </c>
      <c r="D37" s="93" t="s">
        <v>241</v>
      </c>
      <c r="E37" s="94">
        <v>465740</v>
      </c>
      <c r="F37" s="95">
        <v>16341.419379999999</v>
      </c>
      <c r="G37" s="96">
        <v>1.2346340000000001E-2</v>
      </c>
      <c r="H37" s="86" t="s">
        <v>142</v>
      </c>
    </row>
    <row r="38" spans="1:8" x14ac:dyDescent="0.2">
      <c r="A38" s="92">
        <v>32</v>
      </c>
      <c r="B38" s="93" t="s">
        <v>242</v>
      </c>
      <c r="C38" s="93" t="s">
        <v>243</v>
      </c>
      <c r="D38" s="93" t="s">
        <v>109</v>
      </c>
      <c r="E38" s="94">
        <v>519351</v>
      </c>
      <c r="F38" s="95">
        <v>16284.250604999999</v>
      </c>
      <c r="G38" s="96">
        <v>1.2303150000000001E-2</v>
      </c>
      <c r="H38" s="86" t="s">
        <v>142</v>
      </c>
    </row>
    <row r="39" spans="1:8" x14ac:dyDescent="0.2">
      <c r="A39" s="92">
        <v>33</v>
      </c>
      <c r="B39" s="93" t="s">
        <v>89</v>
      </c>
      <c r="C39" s="93" t="s">
        <v>90</v>
      </c>
      <c r="D39" s="93" t="s">
        <v>38</v>
      </c>
      <c r="E39" s="94">
        <v>129597</v>
      </c>
      <c r="F39" s="95">
        <v>16101.13128</v>
      </c>
      <c r="G39" s="96">
        <v>1.21648E-2</v>
      </c>
      <c r="H39" s="86" t="s">
        <v>142</v>
      </c>
    </row>
    <row r="40" spans="1:8" ht="25.5" x14ac:dyDescent="0.2">
      <c r="A40" s="92">
        <v>34</v>
      </c>
      <c r="B40" s="93" t="s">
        <v>244</v>
      </c>
      <c r="C40" s="93" t="s">
        <v>245</v>
      </c>
      <c r="D40" s="93" t="s">
        <v>225</v>
      </c>
      <c r="E40" s="94">
        <v>275425</v>
      </c>
      <c r="F40" s="95">
        <v>15166.277625000001</v>
      </c>
      <c r="G40" s="96">
        <v>1.145849E-2</v>
      </c>
      <c r="H40" s="86" t="s">
        <v>142</v>
      </c>
    </row>
    <row r="41" spans="1:8" x14ac:dyDescent="0.2">
      <c r="A41" s="92">
        <v>35</v>
      </c>
      <c r="B41" s="93" t="s">
        <v>246</v>
      </c>
      <c r="C41" s="93" t="s">
        <v>247</v>
      </c>
      <c r="D41" s="93" t="s">
        <v>186</v>
      </c>
      <c r="E41" s="94">
        <v>2651690</v>
      </c>
      <c r="F41" s="95">
        <v>15139.824054999999</v>
      </c>
      <c r="G41" s="96">
        <v>1.1438500000000001E-2</v>
      </c>
      <c r="H41" s="86" t="s">
        <v>142</v>
      </c>
    </row>
    <row r="42" spans="1:8" x14ac:dyDescent="0.2">
      <c r="A42" s="92">
        <v>36</v>
      </c>
      <c r="B42" s="93" t="s">
        <v>248</v>
      </c>
      <c r="C42" s="93" t="s">
        <v>249</v>
      </c>
      <c r="D42" s="93" t="s">
        <v>250</v>
      </c>
      <c r="E42" s="94">
        <v>670277</v>
      </c>
      <c r="F42" s="95">
        <v>15034.313109999999</v>
      </c>
      <c r="G42" s="96">
        <v>1.1358790000000001E-2</v>
      </c>
      <c r="H42" s="86" t="s">
        <v>142</v>
      </c>
    </row>
    <row r="43" spans="1:8" x14ac:dyDescent="0.2">
      <c r="A43" s="92">
        <v>37</v>
      </c>
      <c r="B43" s="93" t="s">
        <v>251</v>
      </c>
      <c r="C43" s="93" t="s">
        <v>252</v>
      </c>
      <c r="D43" s="93" t="s">
        <v>38</v>
      </c>
      <c r="E43" s="94">
        <v>3129017</v>
      </c>
      <c r="F43" s="95">
        <v>14792.427867500001</v>
      </c>
      <c r="G43" s="96">
        <v>1.117604E-2</v>
      </c>
      <c r="H43" s="86" t="s">
        <v>142</v>
      </c>
    </row>
    <row r="44" spans="1:8" x14ac:dyDescent="0.2">
      <c r="A44" s="92">
        <v>38</v>
      </c>
      <c r="B44" s="93" t="s">
        <v>253</v>
      </c>
      <c r="C44" s="93" t="s">
        <v>254</v>
      </c>
      <c r="D44" s="93" t="s">
        <v>215</v>
      </c>
      <c r="E44" s="94">
        <v>1494585</v>
      </c>
      <c r="F44" s="95">
        <v>14617.041300000001</v>
      </c>
      <c r="G44" s="96">
        <v>1.1043529999999999E-2</v>
      </c>
      <c r="H44" s="86" t="s">
        <v>142</v>
      </c>
    </row>
    <row r="45" spans="1:8" x14ac:dyDescent="0.2">
      <c r="A45" s="92">
        <v>39</v>
      </c>
      <c r="B45" s="93" t="s">
        <v>255</v>
      </c>
      <c r="C45" s="93" t="s">
        <v>256</v>
      </c>
      <c r="D45" s="93" t="s">
        <v>257</v>
      </c>
      <c r="E45" s="94">
        <v>351873</v>
      </c>
      <c r="F45" s="95">
        <v>14492.945124</v>
      </c>
      <c r="G45" s="96">
        <v>1.0949769999999999E-2</v>
      </c>
      <c r="H45" s="86" t="s">
        <v>142</v>
      </c>
    </row>
    <row r="46" spans="1:8" x14ac:dyDescent="0.2">
      <c r="A46" s="92">
        <v>40</v>
      </c>
      <c r="B46" s="93" t="s">
        <v>51</v>
      </c>
      <c r="C46" s="93" t="s">
        <v>52</v>
      </c>
      <c r="D46" s="93" t="s">
        <v>43</v>
      </c>
      <c r="E46" s="94">
        <v>23928198</v>
      </c>
      <c r="F46" s="95">
        <v>14189.421414</v>
      </c>
      <c r="G46" s="96">
        <v>1.0720449999999999E-2</v>
      </c>
      <c r="H46" s="86" t="s">
        <v>142</v>
      </c>
    </row>
    <row r="47" spans="1:8" x14ac:dyDescent="0.2">
      <c r="A47" s="92">
        <v>41</v>
      </c>
      <c r="B47" s="93" t="s">
        <v>258</v>
      </c>
      <c r="C47" s="93" t="s">
        <v>259</v>
      </c>
      <c r="D47" s="93" t="s">
        <v>215</v>
      </c>
      <c r="E47" s="94">
        <v>1287297</v>
      </c>
      <c r="F47" s="95">
        <v>13911.818679</v>
      </c>
      <c r="G47" s="96">
        <v>1.0510719999999999E-2</v>
      </c>
      <c r="H47" s="86" t="s">
        <v>142</v>
      </c>
    </row>
    <row r="48" spans="1:8" x14ac:dyDescent="0.2">
      <c r="A48" s="92">
        <v>42</v>
      </c>
      <c r="B48" s="93" t="s">
        <v>91</v>
      </c>
      <c r="C48" s="93" t="s">
        <v>92</v>
      </c>
      <c r="D48" s="93" t="s">
        <v>22</v>
      </c>
      <c r="E48" s="94">
        <v>1031525</v>
      </c>
      <c r="F48" s="95">
        <v>13580.026625</v>
      </c>
      <c r="G48" s="96">
        <v>1.026004E-2</v>
      </c>
      <c r="H48" s="86" t="s">
        <v>142</v>
      </c>
    </row>
    <row r="49" spans="1:8" x14ac:dyDescent="0.2">
      <c r="A49" s="92">
        <v>43</v>
      </c>
      <c r="B49" s="93" t="s">
        <v>260</v>
      </c>
      <c r="C49" s="93" t="s">
        <v>261</v>
      </c>
      <c r="D49" s="93" t="s">
        <v>73</v>
      </c>
      <c r="E49" s="94">
        <v>769848</v>
      </c>
      <c r="F49" s="95">
        <v>13431.538055999999</v>
      </c>
      <c r="G49" s="96">
        <v>1.014785E-2</v>
      </c>
      <c r="H49" s="86" t="s">
        <v>142</v>
      </c>
    </row>
    <row r="50" spans="1:8" x14ac:dyDescent="0.2">
      <c r="A50" s="92">
        <v>44</v>
      </c>
      <c r="B50" s="93" t="s">
        <v>262</v>
      </c>
      <c r="C50" s="93" t="s">
        <v>263</v>
      </c>
      <c r="D50" s="93" t="s">
        <v>58</v>
      </c>
      <c r="E50" s="94">
        <v>347384</v>
      </c>
      <c r="F50" s="95">
        <v>13244.014999999999</v>
      </c>
      <c r="G50" s="96">
        <v>1.000618E-2</v>
      </c>
      <c r="H50" s="86" t="s">
        <v>142</v>
      </c>
    </row>
    <row r="51" spans="1:8" x14ac:dyDescent="0.2">
      <c r="A51" s="92">
        <v>45</v>
      </c>
      <c r="B51" s="93" t="s">
        <v>264</v>
      </c>
      <c r="C51" s="93" t="s">
        <v>265</v>
      </c>
      <c r="D51" s="93" t="s">
        <v>38</v>
      </c>
      <c r="E51" s="94">
        <v>1056387</v>
      </c>
      <c r="F51" s="95">
        <v>13048.492224</v>
      </c>
      <c r="G51" s="96">
        <v>9.8584499999999995E-3</v>
      </c>
      <c r="H51" s="86" t="s">
        <v>142</v>
      </c>
    </row>
    <row r="52" spans="1:8" ht="25.5" x14ac:dyDescent="0.2">
      <c r="A52" s="92">
        <v>46</v>
      </c>
      <c r="B52" s="93" t="s">
        <v>266</v>
      </c>
      <c r="C52" s="93" t="s">
        <v>267</v>
      </c>
      <c r="D52" s="93" t="s">
        <v>225</v>
      </c>
      <c r="E52" s="94">
        <v>515555</v>
      </c>
      <c r="F52" s="95">
        <v>12290.831200000001</v>
      </c>
      <c r="G52" s="96">
        <v>9.2860200000000007E-3</v>
      </c>
      <c r="H52" s="86" t="s">
        <v>142</v>
      </c>
    </row>
    <row r="53" spans="1:8" x14ac:dyDescent="0.2">
      <c r="A53" s="92">
        <v>47</v>
      </c>
      <c r="B53" s="93" t="s">
        <v>268</v>
      </c>
      <c r="C53" s="93" t="s">
        <v>269</v>
      </c>
      <c r="D53" s="93" t="s">
        <v>250</v>
      </c>
      <c r="E53" s="94">
        <v>91606</v>
      </c>
      <c r="F53" s="95">
        <v>12230.317059999999</v>
      </c>
      <c r="G53" s="96">
        <v>9.2402999999999999E-3</v>
      </c>
      <c r="H53" s="86" t="s">
        <v>142</v>
      </c>
    </row>
    <row r="54" spans="1:8" x14ac:dyDescent="0.2">
      <c r="A54" s="92">
        <v>48</v>
      </c>
      <c r="B54" s="93" t="s">
        <v>270</v>
      </c>
      <c r="C54" s="93" t="s">
        <v>271</v>
      </c>
      <c r="D54" s="93" t="s">
        <v>272</v>
      </c>
      <c r="E54" s="94">
        <v>782298</v>
      </c>
      <c r="F54" s="95">
        <v>12098.23857</v>
      </c>
      <c r="G54" s="96">
        <v>9.1405099999999993E-3</v>
      </c>
      <c r="H54" s="86" t="s">
        <v>142</v>
      </c>
    </row>
    <row r="55" spans="1:8" ht="25.5" x14ac:dyDescent="0.2">
      <c r="A55" s="92">
        <v>49</v>
      </c>
      <c r="B55" s="93" t="s">
        <v>273</v>
      </c>
      <c r="C55" s="93" t="s">
        <v>274</v>
      </c>
      <c r="D55" s="93" t="s">
        <v>275</v>
      </c>
      <c r="E55" s="94">
        <v>687834</v>
      </c>
      <c r="F55" s="95">
        <v>11888.522856</v>
      </c>
      <c r="G55" s="96">
        <v>8.98207E-3</v>
      </c>
      <c r="H55" s="86" t="s">
        <v>142</v>
      </c>
    </row>
    <row r="56" spans="1:8" x14ac:dyDescent="0.2">
      <c r="A56" s="92">
        <v>50</v>
      </c>
      <c r="B56" s="93" t="s">
        <v>276</v>
      </c>
      <c r="C56" s="93" t="s">
        <v>277</v>
      </c>
      <c r="D56" s="93" t="s">
        <v>278</v>
      </c>
      <c r="E56" s="94">
        <v>4718876</v>
      </c>
      <c r="F56" s="95">
        <v>11699.9811544</v>
      </c>
      <c r="G56" s="96">
        <v>8.8396199999999994E-3</v>
      </c>
      <c r="H56" s="86" t="s">
        <v>142</v>
      </c>
    </row>
    <row r="57" spans="1:8" x14ac:dyDescent="0.2">
      <c r="A57" s="92">
        <v>51</v>
      </c>
      <c r="B57" s="93" t="s">
        <v>279</v>
      </c>
      <c r="C57" s="93" t="s">
        <v>280</v>
      </c>
      <c r="D57" s="93" t="s">
        <v>73</v>
      </c>
      <c r="E57" s="94">
        <v>644655</v>
      </c>
      <c r="F57" s="95">
        <v>11463.899864999999</v>
      </c>
      <c r="G57" s="96">
        <v>8.6612500000000005E-3</v>
      </c>
      <c r="H57" s="86" t="s">
        <v>142</v>
      </c>
    </row>
    <row r="58" spans="1:8" x14ac:dyDescent="0.2">
      <c r="A58" s="92">
        <v>52</v>
      </c>
      <c r="B58" s="93" t="s">
        <v>124</v>
      </c>
      <c r="C58" s="93" t="s">
        <v>125</v>
      </c>
      <c r="D58" s="93" t="s">
        <v>48</v>
      </c>
      <c r="E58" s="94">
        <v>73672</v>
      </c>
      <c r="F58" s="95">
        <v>11414.739680000001</v>
      </c>
      <c r="G58" s="96">
        <v>8.6241100000000008E-3</v>
      </c>
      <c r="H58" s="86" t="s">
        <v>142</v>
      </c>
    </row>
    <row r="59" spans="1:8" x14ac:dyDescent="0.2">
      <c r="A59" s="92">
        <v>53</v>
      </c>
      <c r="B59" s="93" t="s">
        <v>281</v>
      </c>
      <c r="C59" s="93" t="s">
        <v>282</v>
      </c>
      <c r="D59" s="93" t="s">
        <v>58</v>
      </c>
      <c r="E59" s="94">
        <v>631409</v>
      </c>
      <c r="F59" s="95">
        <v>11311.692235</v>
      </c>
      <c r="G59" s="96">
        <v>8.54626E-3</v>
      </c>
      <c r="H59" s="86" t="s">
        <v>142</v>
      </c>
    </row>
    <row r="60" spans="1:8" x14ac:dyDescent="0.2">
      <c r="A60" s="92">
        <v>54</v>
      </c>
      <c r="B60" s="93" t="s">
        <v>283</v>
      </c>
      <c r="C60" s="93" t="s">
        <v>284</v>
      </c>
      <c r="D60" s="93" t="s">
        <v>218</v>
      </c>
      <c r="E60" s="94">
        <v>6919293</v>
      </c>
      <c r="F60" s="95">
        <v>11195.416074000001</v>
      </c>
      <c r="G60" s="96">
        <v>8.4584099999999995E-3</v>
      </c>
      <c r="H60" s="86" t="s">
        <v>142</v>
      </c>
    </row>
    <row r="61" spans="1:8" x14ac:dyDescent="0.2">
      <c r="A61" s="92">
        <v>55</v>
      </c>
      <c r="B61" s="93" t="s">
        <v>285</v>
      </c>
      <c r="C61" s="93" t="s">
        <v>286</v>
      </c>
      <c r="D61" s="93" t="s">
        <v>22</v>
      </c>
      <c r="E61" s="94">
        <v>13035894</v>
      </c>
      <c r="F61" s="95">
        <v>11059.6524696</v>
      </c>
      <c r="G61" s="96">
        <v>8.3558399999999998E-3</v>
      </c>
      <c r="H61" s="86" t="s">
        <v>142</v>
      </c>
    </row>
    <row r="62" spans="1:8" x14ac:dyDescent="0.2">
      <c r="A62" s="92">
        <v>56</v>
      </c>
      <c r="B62" s="93" t="s">
        <v>85</v>
      </c>
      <c r="C62" s="93" t="s">
        <v>86</v>
      </c>
      <c r="D62" s="93" t="s">
        <v>13</v>
      </c>
      <c r="E62" s="94">
        <v>583736</v>
      </c>
      <c r="F62" s="95">
        <v>10862.159487999999</v>
      </c>
      <c r="G62" s="96">
        <v>8.2066299999999995E-3</v>
      </c>
      <c r="H62" s="86" t="s">
        <v>142</v>
      </c>
    </row>
    <row r="63" spans="1:8" x14ac:dyDescent="0.2">
      <c r="A63" s="92">
        <v>57</v>
      </c>
      <c r="B63" s="93" t="s">
        <v>101</v>
      </c>
      <c r="C63" s="93" t="s">
        <v>102</v>
      </c>
      <c r="D63" s="93" t="s">
        <v>38</v>
      </c>
      <c r="E63" s="94">
        <v>258555</v>
      </c>
      <c r="F63" s="95">
        <v>10397.530769999999</v>
      </c>
      <c r="G63" s="96">
        <v>7.8555900000000008E-3</v>
      </c>
      <c r="H63" s="86" t="s">
        <v>142</v>
      </c>
    </row>
    <row r="64" spans="1:8" x14ac:dyDescent="0.2">
      <c r="A64" s="92">
        <v>58</v>
      </c>
      <c r="B64" s="93" t="s">
        <v>287</v>
      </c>
      <c r="C64" s="93" t="s">
        <v>288</v>
      </c>
      <c r="D64" s="93" t="s">
        <v>186</v>
      </c>
      <c r="E64" s="94">
        <v>1289312</v>
      </c>
      <c r="F64" s="95">
        <v>9655.6575680000005</v>
      </c>
      <c r="G64" s="96">
        <v>7.2950799999999998E-3</v>
      </c>
      <c r="H64" s="86" t="s">
        <v>142</v>
      </c>
    </row>
    <row r="65" spans="1:8" ht="25.5" x14ac:dyDescent="0.2">
      <c r="A65" s="92">
        <v>59</v>
      </c>
      <c r="B65" s="93" t="s">
        <v>289</v>
      </c>
      <c r="C65" s="93" t="s">
        <v>290</v>
      </c>
      <c r="D65" s="93" t="s">
        <v>191</v>
      </c>
      <c r="E65" s="94">
        <v>255227</v>
      </c>
      <c r="F65" s="95">
        <v>9130.4906979999996</v>
      </c>
      <c r="G65" s="96">
        <v>6.8983100000000004E-3</v>
      </c>
      <c r="H65" s="86" t="s">
        <v>142</v>
      </c>
    </row>
    <row r="66" spans="1:8" x14ac:dyDescent="0.2">
      <c r="A66" s="92">
        <v>60</v>
      </c>
      <c r="B66" s="93" t="s">
        <v>46</v>
      </c>
      <c r="C66" s="93" t="s">
        <v>47</v>
      </c>
      <c r="D66" s="93" t="s">
        <v>48</v>
      </c>
      <c r="E66" s="94">
        <v>109788</v>
      </c>
      <c r="F66" s="95">
        <v>8823.1126199999999</v>
      </c>
      <c r="G66" s="96">
        <v>6.6660799999999996E-3</v>
      </c>
      <c r="H66" s="86" t="s">
        <v>142</v>
      </c>
    </row>
    <row r="67" spans="1:8" x14ac:dyDescent="0.2">
      <c r="A67" s="92">
        <v>61</v>
      </c>
      <c r="B67" s="93" t="s">
        <v>291</v>
      </c>
      <c r="C67" s="93" t="s">
        <v>292</v>
      </c>
      <c r="D67" s="93" t="s">
        <v>250</v>
      </c>
      <c r="E67" s="94">
        <v>1611272</v>
      </c>
      <c r="F67" s="95">
        <v>8610.6375680000001</v>
      </c>
      <c r="G67" s="96">
        <v>6.5055499999999997E-3</v>
      </c>
      <c r="H67" s="86" t="s">
        <v>142</v>
      </c>
    </row>
    <row r="68" spans="1:8" ht="25.5" x14ac:dyDescent="0.2">
      <c r="A68" s="92">
        <v>62</v>
      </c>
      <c r="B68" s="93" t="s">
        <v>293</v>
      </c>
      <c r="C68" s="93" t="s">
        <v>294</v>
      </c>
      <c r="D68" s="93" t="s">
        <v>25</v>
      </c>
      <c r="E68" s="94">
        <v>392082</v>
      </c>
      <c r="F68" s="95">
        <v>8221.1753759999992</v>
      </c>
      <c r="G68" s="96">
        <v>6.2113000000000003E-3</v>
      </c>
      <c r="H68" s="86" t="s">
        <v>142</v>
      </c>
    </row>
    <row r="69" spans="1:8" x14ac:dyDescent="0.2">
      <c r="A69" s="92">
        <v>63</v>
      </c>
      <c r="B69" s="93" t="s">
        <v>295</v>
      </c>
      <c r="C69" s="93" t="s">
        <v>296</v>
      </c>
      <c r="D69" s="93" t="s">
        <v>78</v>
      </c>
      <c r="E69" s="94">
        <v>2549078</v>
      </c>
      <c r="F69" s="95">
        <v>7893.2200270000003</v>
      </c>
      <c r="G69" s="96">
        <v>5.9635199999999999E-3</v>
      </c>
      <c r="H69" s="86" t="s">
        <v>142</v>
      </c>
    </row>
    <row r="70" spans="1:8" x14ac:dyDescent="0.2">
      <c r="A70" s="92">
        <v>64</v>
      </c>
      <c r="B70" s="93" t="s">
        <v>297</v>
      </c>
      <c r="C70" s="93" t="s">
        <v>298</v>
      </c>
      <c r="D70" s="93" t="s">
        <v>186</v>
      </c>
      <c r="E70" s="94">
        <v>158014</v>
      </c>
      <c r="F70" s="95">
        <v>7788.8260879999998</v>
      </c>
      <c r="G70" s="96">
        <v>5.88465E-3</v>
      </c>
      <c r="H70" s="86" t="s">
        <v>142</v>
      </c>
    </row>
    <row r="71" spans="1:8" ht="25.5" x14ac:dyDescent="0.2">
      <c r="A71" s="92">
        <v>65</v>
      </c>
      <c r="B71" s="93" t="s">
        <v>299</v>
      </c>
      <c r="C71" s="93" t="s">
        <v>300</v>
      </c>
      <c r="D71" s="93" t="s">
        <v>225</v>
      </c>
      <c r="E71" s="94">
        <v>397602</v>
      </c>
      <c r="F71" s="95">
        <v>7669.3449780000001</v>
      </c>
      <c r="G71" s="96">
        <v>5.79438E-3</v>
      </c>
      <c r="H71" s="86" t="s">
        <v>142</v>
      </c>
    </row>
    <row r="72" spans="1:8" x14ac:dyDescent="0.2">
      <c r="A72" s="92">
        <v>66</v>
      </c>
      <c r="B72" s="93" t="s">
        <v>301</v>
      </c>
      <c r="C72" s="93" t="s">
        <v>302</v>
      </c>
      <c r="D72" s="93" t="s">
        <v>58</v>
      </c>
      <c r="E72" s="94">
        <v>434376</v>
      </c>
      <c r="F72" s="95">
        <v>7337.045016</v>
      </c>
      <c r="G72" s="96">
        <v>5.54332E-3</v>
      </c>
      <c r="H72" s="86" t="s">
        <v>142</v>
      </c>
    </row>
    <row r="73" spans="1:8" x14ac:dyDescent="0.2">
      <c r="A73" s="92">
        <v>67</v>
      </c>
      <c r="B73" s="93" t="s">
        <v>303</v>
      </c>
      <c r="C73" s="93" t="s">
        <v>304</v>
      </c>
      <c r="D73" s="93" t="s">
        <v>109</v>
      </c>
      <c r="E73" s="94">
        <v>1173976</v>
      </c>
      <c r="F73" s="95">
        <v>6332.4265439999999</v>
      </c>
      <c r="G73" s="96">
        <v>4.7843E-3</v>
      </c>
      <c r="H73" s="86" t="s">
        <v>142</v>
      </c>
    </row>
    <row r="74" spans="1:8" ht="25.5" x14ac:dyDescent="0.2">
      <c r="A74" s="92">
        <v>68</v>
      </c>
      <c r="B74" s="93" t="s">
        <v>305</v>
      </c>
      <c r="C74" s="93" t="s">
        <v>306</v>
      </c>
      <c r="D74" s="93" t="s">
        <v>225</v>
      </c>
      <c r="E74" s="94">
        <v>432772</v>
      </c>
      <c r="F74" s="95">
        <v>4217.1467540000003</v>
      </c>
      <c r="G74" s="96">
        <v>3.1861599999999999E-3</v>
      </c>
      <c r="H74" s="86" t="s">
        <v>142</v>
      </c>
    </row>
    <row r="75" spans="1:8" x14ac:dyDescent="0.2">
      <c r="A75" s="92">
        <v>69</v>
      </c>
      <c r="B75" s="93" t="s">
        <v>307</v>
      </c>
      <c r="C75" s="93" t="s">
        <v>308</v>
      </c>
      <c r="D75" s="93" t="s">
        <v>309</v>
      </c>
      <c r="E75" s="94">
        <v>132084</v>
      </c>
      <c r="F75" s="95">
        <v>3577.3630560000001</v>
      </c>
      <c r="G75" s="96">
        <v>2.7027900000000001E-3</v>
      </c>
      <c r="H75" s="86" t="s">
        <v>142</v>
      </c>
    </row>
    <row r="76" spans="1:8" x14ac:dyDescent="0.2">
      <c r="A76" s="92">
        <v>70</v>
      </c>
      <c r="B76" s="93" t="s">
        <v>310</v>
      </c>
      <c r="C76" s="93" t="s">
        <v>311</v>
      </c>
      <c r="D76" s="93" t="s">
        <v>38</v>
      </c>
      <c r="E76" s="94">
        <v>132084</v>
      </c>
      <c r="F76" s="95">
        <v>2827.6542720000002</v>
      </c>
      <c r="G76" s="96">
        <v>2.1363599999999999E-3</v>
      </c>
      <c r="H76" s="86" t="s">
        <v>142</v>
      </c>
    </row>
    <row r="77" spans="1:8" x14ac:dyDescent="0.2">
      <c r="A77" s="92">
        <v>71</v>
      </c>
      <c r="B77" s="93" t="s">
        <v>312</v>
      </c>
      <c r="C77" s="93" t="s">
        <v>313</v>
      </c>
      <c r="D77" s="93" t="s">
        <v>48</v>
      </c>
      <c r="E77" s="94">
        <v>128904</v>
      </c>
      <c r="F77" s="95">
        <v>698.78858400000001</v>
      </c>
      <c r="G77" s="96">
        <v>5.2795000000000001E-4</v>
      </c>
      <c r="H77" s="86" t="s">
        <v>142</v>
      </c>
    </row>
    <row r="78" spans="1:8" ht="51" x14ac:dyDescent="0.2">
      <c r="A78" s="92">
        <v>72</v>
      </c>
      <c r="B78" s="93" t="s">
        <v>314</v>
      </c>
      <c r="C78" s="93" t="s">
        <v>315</v>
      </c>
      <c r="D78" s="93" t="s">
        <v>316</v>
      </c>
      <c r="E78" s="94">
        <v>5542</v>
      </c>
      <c r="F78" s="95">
        <v>209.84782999999999</v>
      </c>
      <c r="G78" s="96">
        <v>1.5855E-4</v>
      </c>
      <c r="H78" s="86" t="s">
        <v>142</v>
      </c>
    </row>
    <row r="79" spans="1:8" x14ac:dyDescent="0.2">
      <c r="A79" s="97"/>
      <c r="B79" s="97"/>
      <c r="C79" s="98" t="s">
        <v>141</v>
      </c>
      <c r="D79" s="97"/>
      <c r="E79" s="97" t="s">
        <v>142</v>
      </c>
      <c r="F79" s="99">
        <v>1238274.7434157999</v>
      </c>
      <c r="G79" s="100">
        <v>0.93554667999999996</v>
      </c>
      <c r="H79" s="86" t="s">
        <v>142</v>
      </c>
    </row>
    <row r="80" spans="1:8" x14ac:dyDescent="0.2">
      <c r="A80" s="97"/>
      <c r="B80" s="97"/>
      <c r="C80" s="101"/>
      <c r="D80" s="97"/>
      <c r="E80" s="97"/>
      <c r="F80" s="102"/>
      <c r="G80" s="102"/>
      <c r="H80" s="86" t="s">
        <v>142</v>
      </c>
    </row>
    <row r="81" spans="1:8" x14ac:dyDescent="0.2">
      <c r="A81" s="97"/>
      <c r="B81" s="97"/>
      <c r="C81" s="98" t="s">
        <v>143</v>
      </c>
      <c r="D81" s="97"/>
      <c r="E81" s="97"/>
      <c r="F81" s="97"/>
      <c r="G81" s="97"/>
      <c r="H81" s="86" t="s">
        <v>142</v>
      </c>
    </row>
    <row r="82" spans="1:8" x14ac:dyDescent="0.2">
      <c r="A82" s="97"/>
      <c r="B82" s="97"/>
      <c r="C82" s="98" t="s">
        <v>141</v>
      </c>
      <c r="D82" s="97"/>
      <c r="E82" s="97" t="s">
        <v>142</v>
      </c>
      <c r="F82" s="103" t="s">
        <v>144</v>
      </c>
      <c r="G82" s="100">
        <v>0</v>
      </c>
      <c r="H82" s="86" t="s">
        <v>142</v>
      </c>
    </row>
    <row r="83" spans="1:8" x14ac:dyDescent="0.2">
      <c r="A83" s="97"/>
      <c r="B83" s="97"/>
      <c r="C83" s="101"/>
      <c r="D83" s="97"/>
      <c r="E83" s="97"/>
      <c r="F83" s="102"/>
      <c r="G83" s="102"/>
      <c r="H83" s="86" t="s">
        <v>142</v>
      </c>
    </row>
    <row r="84" spans="1:8" x14ac:dyDescent="0.2">
      <c r="A84" s="97"/>
      <c r="B84" s="97"/>
      <c r="C84" s="98" t="s">
        <v>145</v>
      </c>
      <c r="D84" s="97"/>
      <c r="E84" s="97"/>
      <c r="F84" s="97"/>
      <c r="G84" s="97"/>
      <c r="H84" s="86" t="s">
        <v>142</v>
      </c>
    </row>
    <row r="85" spans="1:8" x14ac:dyDescent="0.2">
      <c r="A85" s="97"/>
      <c r="B85" s="97"/>
      <c r="C85" s="98" t="s">
        <v>141</v>
      </c>
      <c r="D85" s="97"/>
      <c r="E85" s="97" t="s">
        <v>142</v>
      </c>
      <c r="F85" s="103" t="s">
        <v>144</v>
      </c>
      <c r="G85" s="100">
        <v>0</v>
      </c>
      <c r="H85" s="86" t="s">
        <v>142</v>
      </c>
    </row>
    <row r="86" spans="1:8" x14ac:dyDescent="0.2">
      <c r="A86" s="97"/>
      <c r="B86" s="97"/>
      <c r="C86" s="101"/>
      <c r="D86" s="97"/>
      <c r="E86" s="97"/>
      <c r="F86" s="102"/>
      <c r="G86" s="102"/>
      <c r="H86" s="86" t="s">
        <v>142</v>
      </c>
    </row>
    <row r="87" spans="1:8" x14ac:dyDescent="0.2">
      <c r="A87" s="97"/>
      <c r="B87" s="97"/>
      <c r="C87" s="98" t="s">
        <v>146</v>
      </c>
      <c r="D87" s="97"/>
      <c r="E87" s="97"/>
      <c r="F87" s="97"/>
      <c r="G87" s="97"/>
      <c r="H87" s="86" t="s">
        <v>142</v>
      </c>
    </row>
    <row r="88" spans="1:8" x14ac:dyDescent="0.2">
      <c r="A88" s="97"/>
      <c r="B88" s="97"/>
      <c r="C88" s="98" t="s">
        <v>141</v>
      </c>
      <c r="D88" s="97"/>
      <c r="E88" s="97" t="s">
        <v>142</v>
      </c>
      <c r="F88" s="103" t="s">
        <v>144</v>
      </c>
      <c r="G88" s="100">
        <v>0</v>
      </c>
      <c r="H88" s="86" t="s">
        <v>142</v>
      </c>
    </row>
    <row r="89" spans="1:8" x14ac:dyDescent="0.2">
      <c r="A89" s="97"/>
      <c r="B89" s="97"/>
      <c r="C89" s="101"/>
      <c r="D89" s="97"/>
      <c r="E89" s="97"/>
      <c r="F89" s="102"/>
      <c r="G89" s="102"/>
      <c r="H89" s="86" t="s">
        <v>142</v>
      </c>
    </row>
    <row r="90" spans="1:8" x14ac:dyDescent="0.2">
      <c r="A90" s="97"/>
      <c r="B90" s="97"/>
      <c r="C90" s="98" t="s">
        <v>147</v>
      </c>
      <c r="D90" s="97"/>
      <c r="E90" s="97"/>
      <c r="F90" s="102"/>
      <c r="G90" s="102"/>
      <c r="H90" s="86" t="s">
        <v>142</v>
      </c>
    </row>
    <row r="91" spans="1:8" x14ac:dyDescent="0.2">
      <c r="A91" s="97"/>
      <c r="B91" s="97"/>
      <c r="C91" s="98" t="s">
        <v>141</v>
      </c>
      <c r="D91" s="97"/>
      <c r="E91" s="97" t="s">
        <v>142</v>
      </c>
      <c r="F91" s="103" t="s">
        <v>144</v>
      </c>
      <c r="G91" s="100">
        <v>0</v>
      </c>
      <c r="H91" s="86" t="s">
        <v>142</v>
      </c>
    </row>
    <row r="92" spans="1:8" x14ac:dyDescent="0.2">
      <c r="A92" s="97"/>
      <c r="B92" s="97"/>
      <c r="C92" s="101"/>
      <c r="D92" s="97"/>
      <c r="E92" s="97"/>
      <c r="F92" s="102"/>
      <c r="G92" s="102"/>
      <c r="H92" s="86" t="s">
        <v>142</v>
      </c>
    </row>
    <row r="93" spans="1:8" x14ac:dyDescent="0.2">
      <c r="A93" s="97"/>
      <c r="B93" s="97"/>
      <c r="C93" s="98" t="s">
        <v>148</v>
      </c>
      <c r="D93" s="97"/>
      <c r="E93" s="97"/>
      <c r="F93" s="102"/>
      <c r="G93" s="102"/>
      <c r="H93" s="86" t="s">
        <v>142</v>
      </c>
    </row>
    <row r="94" spans="1:8" x14ac:dyDescent="0.2">
      <c r="A94" s="97"/>
      <c r="B94" s="97"/>
      <c r="C94" s="98" t="s">
        <v>141</v>
      </c>
      <c r="D94" s="97"/>
      <c r="E94" s="97" t="s">
        <v>142</v>
      </c>
      <c r="F94" s="103" t="s">
        <v>144</v>
      </c>
      <c r="G94" s="100">
        <v>0</v>
      </c>
      <c r="H94" s="86" t="s">
        <v>142</v>
      </c>
    </row>
    <row r="95" spans="1:8" x14ac:dyDescent="0.2">
      <c r="A95" s="97"/>
      <c r="B95" s="97"/>
      <c r="C95" s="101"/>
      <c r="D95" s="97"/>
      <c r="E95" s="97"/>
      <c r="F95" s="102"/>
      <c r="G95" s="102"/>
      <c r="H95" s="86" t="s">
        <v>142</v>
      </c>
    </row>
    <row r="96" spans="1:8" x14ac:dyDescent="0.2">
      <c r="A96" s="97"/>
      <c r="B96" s="97"/>
      <c r="C96" s="98" t="s">
        <v>149</v>
      </c>
      <c r="D96" s="97"/>
      <c r="E96" s="97"/>
      <c r="F96" s="99">
        <f>F79</f>
        <v>1238274.7434157999</v>
      </c>
      <c r="G96" s="100">
        <f>G79</f>
        <v>0.93554667999999996</v>
      </c>
      <c r="H96" s="86" t="s">
        <v>142</v>
      </c>
    </row>
    <row r="97" spans="1:8" x14ac:dyDescent="0.2">
      <c r="A97" s="97"/>
      <c r="B97" s="97"/>
      <c r="C97" s="101"/>
      <c r="D97" s="97"/>
      <c r="E97" s="97"/>
      <c r="F97" s="102"/>
      <c r="G97" s="102"/>
      <c r="H97" s="86" t="s">
        <v>142</v>
      </c>
    </row>
    <row r="98" spans="1:8" x14ac:dyDescent="0.2">
      <c r="A98" s="97"/>
      <c r="B98" s="97"/>
      <c r="C98" s="98" t="s">
        <v>150</v>
      </c>
      <c r="D98" s="97"/>
      <c r="E98" s="97"/>
      <c r="F98" s="102"/>
      <c r="G98" s="102"/>
      <c r="H98" s="86" t="s">
        <v>142</v>
      </c>
    </row>
    <row r="99" spans="1:8" x14ac:dyDescent="0.2">
      <c r="A99" s="97"/>
      <c r="B99" s="97"/>
      <c r="C99" s="98" t="s">
        <v>10</v>
      </c>
      <c r="D99" s="97"/>
      <c r="E99" s="97"/>
      <c r="F99" s="102"/>
      <c r="G99" s="102"/>
      <c r="H99" s="86" t="s">
        <v>142</v>
      </c>
    </row>
    <row r="100" spans="1:8" x14ac:dyDescent="0.2">
      <c r="A100" s="97"/>
      <c r="B100" s="97"/>
      <c r="C100" s="98" t="s">
        <v>141</v>
      </c>
      <c r="D100" s="97"/>
      <c r="E100" s="97" t="s">
        <v>142</v>
      </c>
      <c r="F100" s="103" t="s">
        <v>144</v>
      </c>
      <c r="G100" s="100">
        <v>0</v>
      </c>
      <c r="H100" s="86" t="s">
        <v>142</v>
      </c>
    </row>
    <row r="101" spans="1:8" x14ac:dyDescent="0.2">
      <c r="A101" s="97"/>
      <c r="B101" s="97"/>
      <c r="C101" s="101"/>
      <c r="D101" s="97"/>
      <c r="E101" s="97"/>
      <c r="F101" s="102"/>
      <c r="G101" s="102"/>
      <c r="H101" s="86" t="s">
        <v>142</v>
      </c>
    </row>
    <row r="102" spans="1:8" x14ac:dyDescent="0.2">
      <c r="A102" s="97"/>
      <c r="B102" s="97"/>
      <c r="C102" s="98" t="s">
        <v>151</v>
      </c>
      <c r="D102" s="97"/>
      <c r="E102" s="97"/>
      <c r="F102" s="97"/>
      <c r="G102" s="97"/>
      <c r="H102" s="86" t="s">
        <v>142</v>
      </c>
    </row>
    <row r="103" spans="1:8" x14ac:dyDescent="0.2">
      <c r="A103" s="97"/>
      <c r="B103" s="97"/>
      <c r="C103" s="98" t="s">
        <v>141</v>
      </c>
      <c r="D103" s="97"/>
      <c r="E103" s="97" t="s">
        <v>142</v>
      </c>
      <c r="F103" s="103" t="s">
        <v>144</v>
      </c>
      <c r="G103" s="100">
        <v>0</v>
      </c>
      <c r="H103" s="86" t="s">
        <v>142</v>
      </c>
    </row>
    <row r="104" spans="1:8" x14ac:dyDescent="0.2">
      <c r="A104" s="97"/>
      <c r="B104" s="97"/>
      <c r="C104" s="101"/>
      <c r="D104" s="97"/>
      <c r="E104" s="97"/>
      <c r="F104" s="102"/>
      <c r="G104" s="102"/>
      <c r="H104" s="86" t="s">
        <v>142</v>
      </c>
    </row>
    <row r="105" spans="1:8" x14ac:dyDescent="0.2">
      <c r="A105" s="97"/>
      <c r="B105" s="97"/>
      <c r="C105" s="98" t="s">
        <v>152</v>
      </c>
      <c r="D105" s="97"/>
      <c r="E105" s="97"/>
      <c r="F105" s="97"/>
      <c r="G105" s="97"/>
      <c r="H105" s="86" t="s">
        <v>142</v>
      </c>
    </row>
    <row r="106" spans="1:8" x14ac:dyDescent="0.2">
      <c r="A106" s="97"/>
      <c r="B106" s="97"/>
      <c r="C106" s="98" t="s">
        <v>141</v>
      </c>
      <c r="D106" s="97"/>
      <c r="E106" s="97" t="s">
        <v>142</v>
      </c>
      <c r="F106" s="103" t="s">
        <v>144</v>
      </c>
      <c r="G106" s="100">
        <v>0</v>
      </c>
      <c r="H106" s="86" t="s">
        <v>142</v>
      </c>
    </row>
    <row r="107" spans="1:8" x14ac:dyDescent="0.2">
      <c r="A107" s="97"/>
      <c r="B107" s="97"/>
      <c r="C107" s="101"/>
      <c r="D107" s="97"/>
      <c r="E107" s="97"/>
      <c r="F107" s="102"/>
      <c r="G107" s="102"/>
      <c r="H107" s="86" t="s">
        <v>142</v>
      </c>
    </row>
    <row r="108" spans="1:8" x14ac:dyDescent="0.2">
      <c r="A108" s="97"/>
      <c r="B108" s="97"/>
      <c r="C108" s="98" t="s">
        <v>153</v>
      </c>
      <c r="D108" s="97"/>
      <c r="E108" s="97"/>
      <c r="F108" s="102"/>
      <c r="G108" s="102"/>
      <c r="H108" s="86" t="s">
        <v>142</v>
      </c>
    </row>
    <row r="109" spans="1:8" x14ac:dyDescent="0.2">
      <c r="A109" s="97"/>
      <c r="B109" s="97"/>
      <c r="C109" s="98" t="s">
        <v>141</v>
      </c>
      <c r="D109" s="97"/>
      <c r="E109" s="97" t="s">
        <v>142</v>
      </c>
      <c r="F109" s="103" t="s">
        <v>144</v>
      </c>
      <c r="G109" s="100">
        <v>0</v>
      </c>
      <c r="H109" s="86" t="s">
        <v>142</v>
      </c>
    </row>
    <row r="110" spans="1:8" ht="12.75" customHeight="1" x14ac:dyDescent="0.2">
      <c r="A110" s="84"/>
      <c r="B110" s="84"/>
      <c r="C110" s="85"/>
      <c r="D110" s="84"/>
      <c r="E110" s="84"/>
      <c r="F110" s="149"/>
      <c r="G110" s="139"/>
      <c r="H110" s="86"/>
    </row>
    <row r="111" spans="1:8" ht="12.75" customHeight="1" x14ac:dyDescent="0.2">
      <c r="A111" s="84"/>
      <c r="B111" s="84"/>
      <c r="C111" s="85" t="s">
        <v>929</v>
      </c>
      <c r="D111" s="84"/>
      <c r="E111" s="84"/>
      <c r="F111" s="84"/>
      <c r="G111" s="84"/>
      <c r="H111" s="86" t="s">
        <v>142</v>
      </c>
    </row>
    <row r="112" spans="1:8" ht="12.75" customHeight="1" x14ac:dyDescent="0.2">
      <c r="A112" s="87">
        <v>1</v>
      </c>
      <c r="B112" s="88" t="s">
        <v>317</v>
      </c>
      <c r="C112" s="88" t="s">
        <v>930</v>
      </c>
      <c r="D112" s="88" t="s">
        <v>241</v>
      </c>
      <c r="E112" s="89">
        <v>1862960</v>
      </c>
      <c r="F112" s="90">
        <v>188.00060000000002</v>
      </c>
      <c r="G112" s="91">
        <f>F112/F146</f>
        <v>1.420390147351934E-4</v>
      </c>
      <c r="H112" s="86" t="s">
        <v>142</v>
      </c>
    </row>
    <row r="113" spans="1:8" ht="12.75" customHeight="1" x14ac:dyDescent="0.2">
      <c r="A113" s="84"/>
      <c r="B113" s="84"/>
      <c r="C113" s="85" t="s">
        <v>141</v>
      </c>
      <c r="D113" s="84"/>
      <c r="E113" s="84" t="s">
        <v>142</v>
      </c>
      <c r="F113" s="138">
        <f>F112</f>
        <v>188.00060000000002</v>
      </c>
      <c r="G113" s="139">
        <f>G112</f>
        <v>1.420390147351934E-4</v>
      </c>
      <c r="H113" s="86" t="s">
        <v>142</v>
      </c>
    </row>
    <row r="114" spans="1:8" x14ac:dyDescent="0.2">
      <c r="A114" s="97"/>
      <c r="B114" s="97"/>
      <c r="C114" s="101"/>
      <c r="D114" s="97"/>
      <c r="E114" s="97"/>
      <c r="F114" s="102"/>
      <c r="G114" s="102"/>
      <c r="H114" s="86" t="s">
        <v>142</v>
      </c>
    </row>
    <row r="115" spans="1:8" x14ac:dyDescent="0.2">
      <c r="A115" s="97"/>
      <c r="B115" s="97"/>
      <c r="C115" s="98" t="s">
        <v>154</v>
      </c>
      <c r="D115" s="97"/>
      <c r="E115" s="97"/>
      <c r="F115" s="99">
        <f>F113</f>
        <v>188.00060000000002</v>
      </c>
      <c r="G115" s="100">
        <f>G113</f>
        <v>1.420390147351934E-4</v>
      </c>
      <c r="H115" s="86" t="s">
        <v>142</v>
      </c>
    </row>
    <row r="116" spans="1:8" x14ac:dyDescent="0.2">
      <c r="A116" s="97"/>
      <c r="B116" s="97"/>
      <c r="C116" s="101"/>
      <c r="D116" s="97"/>
      <c r="E116" s="97"/>
      <c r="F116" s="102"/>
      <c r="G116" s="102"/>
      <c r="H116" s="86" t="s">
        <v>142</v>
      </c>
    </row>
    <row r="117" spans="1:8" x14ac:dyDescent="0.2">
      <c r="A117" s="97"/>
      <c r="B117" s="97"/>
      <c r="C117" s="98" t="s">
        <v>155</v>
      </c>
      <c r="D117" s="97"/>
      <c r="E117" s="97"/>
      <c r="F117" s="102"/>
      <c r="G117" s="102"/>
      <c r="H117" s="86" t="s">
        <v>142</v>
      </c>
    </row>
    <row r="118" spans="1:8" x14ac:dyDescent="0.2">
      <c r="A118" s="97"/>
      <c r="B118" s="97"/>
      <c r="C118" s="98" t="s">
        <v>156</v>
      </c>
      <c r="D118" s="97"/>
      <c r="E118" s="97"/>
      <c r="F118" s="102"/>
      <c r="G118" s="102"/>
      <c r="H118" s="86" t="s">
        <v>142</v>
      </c>
    </row>
    <row r="119" spans="1:8" x14ac:dyDescent="0.2">
      <c r="A119" s="97"/>
      <c r="B119" s="97"/>
      <c r="C119" s="98" t="s">
        <v>141</v>
      </c>
      <c r="D119" s="97"/>
      <c r="E119" s="97" t="s">
        <v>142</v>
      </c>
      <c r="F119" s="103" t="s">
        <v>144</v>
      </c>
      <c r="G119" s="100">
        <v>0</v>
      </c>
      <c r="H119" s="86" t="s">
        <v>142</v>
      </c>
    </row>
    <row r="120" spans="1:8" x14ac:dyDescent="0.2">
      <c r="A120" s="97"/>
      <c r="B120" s="97"/>
      <c r="C120" s="101"/>
      <c r="D120" s="97"/>
      <c r="E120" s="97"/>
      <c r="F120" s="102"/>
      <c r="G120" s="102"/>
      <c r="H120" s="86" t="s">
        <v>142</v>
      </c>
    </row>
    <row r="121" spans="1:8" x14ac:dyDescent="0.2">
      <c r="A121" s="97"/>
      <c r="B121" s="97"/>
      <c r="C121" s="98" t="s">
        <v>157</v>
      </c>
      <c r="D121" s="97"/>
      <c r="E121" s="97"/>
      <c r="F121" s="102"/>
      <c r="G121" s="102"/>
      <c r="H121" s="86" t="s">
        <v>142</v>
      </c>
    </row>
    <row r="122" spans="1:8" x14ac:dyDescent="0.2">
      <c r="A122" s="97"/>
      <c r="B122" s="97"/>
      <c r="C122" s="98" t="s">
        <v>141</v>
      </c>
      <c r="D122" s="97"/>
      <c r="E122" s="97" t="s">
        <v>142</v>
      </c>
      <c r="F122" s="103" t="s">
        <v>144</v>
      </c>
      <c r="G122" s="100">
        <v>0</v>
      </c>
      <c r="H122" s="86" t="s">
        <v>142</v>
      </c>
    </row>
    <row r="123" spans="1:8" x14ac:dyDescent="0.2">
      <c r="A123" s="97"/>
      <c r="B123" s="97"/>
      <c r="C123" s="101"/>
      <c r="D123" s="97"/>
      <c r="E123" s="97"/>
      <c r="F123" s="102"/>
      <c r="G123" s="102"/>
      <c r="H123" s="86" t="s">
        <v>142</v>
      </c>
    </row>
    <row r="124" spans="1:8" x14ac:dyDescent="0.2">
      <c r="A124" s="97"/>
      <c r="B124" s="97"/>
      <c r="C124" s="98" t="s">
        <v>158</v>
      </c>
      <c r="D124" s="97"/>
      <c r="E124" s="97"/>
      <c r="F124" s="102"/>
      <c r="G124" s="102"/>
      <c r="H124" s="86" t="s">
        <v>142</v>
      </c>
    </row>
    <row r="125" spans="1:8" x14ac:dyDescent="0.2">
      <c r="A125" s="97"/>
      <c r="B125" s="97"/>
      <c r="C125" s="98" t="s">
        <v>141</v>
      </c>
      <c r="D125" s="97"/>
      <c r="E125" s="97" t="s">
        <v>142</v>
      </c>
      <c r="F125" s="103" t="s">
        <v>144</v>
      </c>
      <c r="G125" s="100">
        <v>0</v>
      </c>
      <c r="H125" s="86" t="s">
        <v>142</v>
      </c>
    </row>
    <row r="126" spans="1:8" x14ac:dyDescent="0.2">
      <c r="A126" s="97"/>
      <c r="B126" s="97"/>
      <c r="C126" s="101"/>
      <c r="D126" s="97"/>
      <c r="E126" s="97"/>
      <c r="F126" s="102"/>
      <c r="G126" s="102"/>
      <c r="H126" s="86" t="s">
        <v>142</v>
      </c>
    </row>
    <row r="127" spans="1:8" x14ac:dyDescent="0.2">
      <c r="A127" s="97"/>
      <c r="B127" s="97"/>
      <c r="C127" s="98" t="s">
        <v>159</v>
      </c>
      <c r="D127" s="97"/>
      <c r="E127" s="97"/>
      <c r="F127" s="102"/>
      <c r="G127" s="102"/>
      <c r="H127" s="86" t="s">
        <v>142</v>
      </c>
    </row>
    <row r="128" spans="1:8" x14ac:dyDescent="0.2">
      <c r="A128" s="92">
        <v>1</v>
      </c>
      <c r="B128" s="93"/>
      <c r="C128" s="93" t="s">
        <v>160</v>
      </c>
      <c r="D128" s="93"/>
      <c r="E128" s="104"/>
      <c r="F128" s="95">
        <v>75023.034712299006</v>
      </c>
      <c r="G128" s="96">
        <v>5.6681719999999998E-2</v>
      </c>
      <c r="H128" s="86">
        <v>5.57</v>
      </c>
    </row>
    <row r="129" spans="1:8" x14ac:dyDescent="0.2">
      <c r="A129" s="97"/>
      <c r="B129" s="97"/>
      <c r="C129" s="98" t="s">
        <v>141</v>
      </c>
      <c r="D129" s="97"/>
      <c r="E129" s="97" t="s">
        <v>142</v>
      </c>
      <c r="F129" s="99">
        <v>75023.034712299006</v>
      </c>
      <c r="G129" s="100">
        <v>5.6681719999999998E-2</v>
      </c>
      <c r="H129" s="86" t="s">
        <v>142</v>
      </c>
    </row>
    <row r="130" spans="1:8" x14ac:dyDescent="0.2">
      <c r="A130" s="97"/>
      <c r="B130" s="97"/>
      <c r="C130" s="101"/>
      <c r="D130" s="97"/>
      <c r="E130" s="97"/>
      <c r="F130" s="102"/>
      <c r="G130" s="102"/>
      <c r="H130" s="86" t="s">
        <v>142</v>
      </c>
    </row>
    <row r="131" spans="1:8" x14ac:dyDescent="0.2">
      <c r="A131" s="97"/>
      <c r="B131" s="97"/>
      <c r="C131" s="98" t="s">
        <v>161</v>
      </c>
      <c r="D131" s="97"/>
      <c r="E131" s="97"/>
      <c r="F131" s="99">
        <v>75023.034712299006</v>
      </c>
      <c r="G131" s="100">
        <v>5.6681719999999998E-2</v>
      </c>
      <c r="H131" s="86" t="s">
        <v>142</v>
      </c>
    </row>
    <row r="132" spans="1:8" x14ac:dyDescent="0.2">
      <c r="A132" s="97"/>
      <c r="B132" s="97"/>
      <c r="C132" s="102"/>
      <c r="D132" s="97"/>
      <c r="E132" s="97"/>
      <c r="F132" s="97"/>
      <c r="G132" s="97"/>
      <c r="H132" s="86" t="s">
        <v>142</v>
      </c>
    </row>
    <row r="133" spans="1:8" x14ac:dyDescent="0.2">
      <c r="A133" s="97"/>
      <c r="B133" s="97"/>
      <c r="C133" s="98" t="s">
        <v>162</v>
      </c>
      <c r="D133" s="97"/>
      <c r="E133" s="97"/>
      <c r="F133" s="97"/>
      <c r="G133" s="97"/>
      <c r="H133" s="86" t="s">
        <v>142</v>
      </c>
    </row>
    <row r="134" spans="1:8" x14ac:dyDescent="0.2">
      <c r="A134" s="97"/>
      <c r="B134" s="97"/>
      <c r="C134" s="98" t="s">
        <v>163</v>
      </c>
      <c r="D134" s="97"/>
      <c r="E134" s="97"/>
      <c r="F134" s="97"/>
      <c r="G134" s="97"/>
      <c r="H134" s="86" t="s">
        <v>142</v>
      </c>
    </row>
    <row r="135" spans="1:8" x14ac:dyDescent="0.2">
      <c r="A135" s="92">
        <v>1</v>
      </c>
      <c r="B135" s="93" t="s">
        <v>318</v>
      </c>
      <c r="C135" s="88" t="s">
        <v>931</v>
      </c>
      <c r="D135" s="93"/>
      <c r="E135" s="140">
        <v>231364.02650000001</v>
      </c>
      <c r="F135" s="95">
        <v>5496.010109891</v>
      </c>
      <c r="G135" s="96">
        <v>4.1523699999999998E-3</v>
      </c>
      <c r="H135" s="86" t="s">
        <v>142</v>
      </c>
    </row>
    <row r="136" spans="1:8" x14ac:dyDescent="0.2">
      <c r="A136" s="97"/>
      <c r="B136" s="97"/>
      <c r="C136" s="98" t="s">
        <v>141</v>
      </c>
      <c r="D136" s="97"/>
      <c r="E136" s="97" t="s">
        <v>142</v>
      </c>
      <c r="F136" s="99">
        <v>5496.010109891</v>
      </c>
      <c r="G136" s="100">
        <v>4.1523699999999998E-3</v>
      </c>
      <c r="H136" s="86" t="s">
        <v>142</v>
      </c>
    </row>
    <row r="137" spans="1:8" x14ac:dyDescent="0.2">
      <c r="A137" s="97"/>
      <c r="B137" s="97"/>
      <c r="C137" s="101"/>
      <c r="D137" s="97"/>
      <c r="E137" s="97"/>
      <c r="F137" s="102"/>
      <c r="G137" s="102"/>
      <c r="H137" s="86" t="s">
        <v>142</v>
      </c>
    </row>
    <row r="138" spans="1:8" x14ac:dyDescent="0.2">
      <c r="A138" s="97"/>
      <c r="B138" s="97"/>
      <c r="C138" s="98" t="s">
        <v>164</v>
      </c>
      <c r="D138" s="97"/>
      <c r="E138" s="97"/>
      <c r="F138" s="97"/>
      <c r="G138" s="97"/>
      <c r="H138" s="86" t="s">
        <v>142</v>
      </c>
    </row>
    <row r="139" spans="1:8" x14ac:dyDescent="0.2">
      <c r="A139" s="97"/>
      <c r="B139" s="97"/>
      <c r="C139" s="98" t="s">
        <v>165</v>
      </c>
      <c r="D139" s="97"/>
      <c r="E139" s="97"/>
      <c r="F139" s="97"/>
      <c r="G139" s="97"/>
      <c r="H139" s="86" t="s">
        <v>142</v>
      </c>
    </row>
    <row r="140" spans="1:8" x14ac:dyDescent="0.2">
      <c r="A140" s="97"/>
      <c r="B140" s="97"/>
      <c r="C140" s="98" t="s">
        <v>141</v>
      </c>
      <c r="D140" s="97"/>
      <c r="E140" s="97" t="s">
        <v>142</v>
      </c>
      <c r="F140" s="103" t="s">
        <v>144</v>
      </c>
      <c r="G140" s="100">
        <v>0</v>
      </c>
      <c r="H140" s="86" t="s">
        <v>142</v>
      </c>
    </row>
    <row r="141" spans="1:8" x14ac:dyDescent="0.2">
      <c r="A141" s="97"/>
      <c r="B141" s="97"/>
      <c r="C141" s="101"/>
      <c r="D141" s="97"/>
      <c r="E141" s="97"/>
      <c r="F141" s="102"/>
      <c r="G141" s="102"/>
      <c r="H141" s="86" t="s">
        <v>142</v>
      </c>
    </row>
    <row r="142" spans="1:8" x14ac:dyDescent="0.2">
      <c r="A142" s="97"/>
      <c r="B142" s="97"/>
      <c r="C142" s="98" t="s">
        <v>166</v>
      </c>
      <c r="D142" s="97"/>
      <c r="E142" s="97"/>
      <c r="F142" s="102"/>
      <c r="G142" s="102"/>
      <c r="H142" s="86" t="s">
        <v>142</v>
      </c>
    </row>
    <row r="143" spans="1:8" x14ac:dyDescent="0.2">
      <c r="A143" s="97"/>
      <c r="B143" s="97"/>
      <c r="C143" s="98" t="s">
        <v>141</v>
      </c>
      <c r="D143" s="97"/>
      <c r="E143" s="97" t="s">
        <v>142</v>
      </c>
      <c r="F143" s="103" t="s">
        <v>144</v>
      </c>
      <c r="G143" s="100">
        <v>0</v>
      </c>
      <c r="H143" s="86" t="s">
        <v>142</v>
      </c>
    </row>
    <row r="144" spans="1:8" x14ac:dyDescent="0.2">
      <c r="A144" s="97"/>
      <c r="B144" s="97"/>
      <c r="C144" s="101"/>
      <c r="D144" s="97"/>
      <c r="E144" s="97"/>
      <c r="F144" s="102"/>
      <c r="G144" s="102"/>
      <c r="H144" s="86" t="s">
        <v>142</v>
      </c>
    </row>
    <row r="145" spans="1:17" x14ac:dyDescent="0.2">
      <c r="A145" s="104"/>
      <c r="B145" s="93"/>
      <c r="C145" s="93" t="s">
        <v>167</v>
      </c>
      <c r="D145" s="93"/>
      <c r="E145" s="104"/>
      <c r="F145" s="95">
        <v>4602.4415264199997</v>
      </c>
      <c r="G145" s="96">
        <v>3.4772599999999998E-3</v>
      </c>
      <c r="H145" s="86" t="s">
        <v>142</v>
      </c>
    </row>
    <row r="146" spans="1:17" x14ac:dyDescent="0.2">
      <c r="A146" s="101"/>
      <c r="B146" s="101"/>
      <c r="C146" s="98" t="s">
        <v>168</v>
      </c>
      <c r="D146" s="102"/>
      <c r="E146" s="102"/>
      <c r="F146" s="99">
        <f>F145+F136+F131+F96+F115</f>
        <v>1323584.2303644097</v>
      </c>
      <c r="G146" s="105">
        <f>G145+G136+G131+G96+G115</f>
        <v>1.000000069014735</v>
      </c>
      <c r="H146" s="86" t="s">
        <v>142</v>
      </c>
    </row>
    <row r="147" spans="1:17" ht="12.75" customHeight="1" x14ac:dyDescent="0.2">
      <c r="A147" s="106"/>
      <c r="B147" s="106"/>
      <c r="C147" s="107"/>
      <c r="D147" s="108"/>
      <c r="E147" s="108"/>
      <c r="H147" s="111"/>
    </row>
    <row r="148" spans="1:17" x14ac:dyDescent="0.2">
      <c r="A148" s="106"/>
      <c r="B148" s="200" t="s">
        <v>918</v>
      </c>
      <c r="C148" s="200"/>
      <c r="D148" s="200"/>
      <c r="E148" s="200"/>
      <c r="F148" s="200"/>
      <c r="G148" s="200"/>
      <c r="H148" s="200"/>
      <c r="J148" s="113"/>
    </row>
    <row r="149" spans="1:17" x14ac:dyDescent="0.2">
      <c r="A149" s="106"/>
      <c r="B149" s="200" t="s">
        <v>919</v>
      </c>
      <c r="C149" s="200"/>
      <c r="D149" s="200"/>
      <c r="E149" s="200"/>
      <c r="F149" s="200"/>
      <c r="G149" s="200"/>
      <c r="H149" s="200"/>
      <c r="J149" s="113"/>
    </row>
    <row r="150" spans="1:17" x14ac:dyDescent="0.2">
      <c r="A150" s="106"/>
      <c r="B150" s="200" t="s">
        <v>920</v>
      </c>
      <c r="C150" s="200"/>
      <c r="D150" s="200"/>
      <c r="E150" s="200"/>
      <c r="F150" s="200"/>
      <c r="G150" s="200"/>
      <c r="H150" s="200"/>
      <c r="J150" s="113"/>
    </row>
    <row r="151" spans="1:17" s="115" customFormat="1" ht="66.75" customHeight="1" x14ac:dyDescent="0.25">
      <c r="A151" s="114"/>
      <c r="B151" s="201" t="s">
        <v>921</v>
      </c>
      <c r="C151" s="201"/>
      <c r="D151" s="201"/>
      <c r="E151" s="201"/>
      <c r="F151" s="201"/>
      <c r="G151" s="201"/>
      <c r="H151" s="201"/>
      <c r="I151"/>
      <c r="J151" s="113"/>
      <c r="K151"/>
      <c r="L151"/>
      <c r="M151"/>
      <c r="N151"/>
      <c r="O151"/>
      <c r="P151"/>
      <c r="Q151"/>
    </row>
    <row r="152" spans="1:17" x14ac:dyDescent="0.2">
      <c r="A152" s="106"/>
      <c r="B152" s="200" t="s">
        <v>922</v>
      </c>
      <c r="C152" s="200"/>
      <c r="D152" s="200"/>
      <c r="E152" s="200"/>
      <c r="F152" s="200"/>
      <c r="G152" s="200"/>
      <c r="H152" s="200"/>
      <c r="J152" s="113"/>
    </row>
    <row r="153" spans="1:17" x14ac:dyDescent="0.2">
      <c r="A153" s="106"/>
      <c r="B153" s="106"/>
      <c r="C153" s="106"/>
      <c r="D153" s="108"/>
      <c r="E153" s="108"/>
      <c r="F153" s="108"/>
      <c r="G153" s="108"/>
    </row>
    <row r="154" spans="1:17" x14ac:dyDescent="0.2">
      <c r="A154" s="106"/>
      <c r="B154" s="202" t="s">
        <v>169</v>
      </c>
      <c r="C154" s="203"/>
      <c r="D154" s="204"/>
      <c r="E154" s="116"/>
      <c r="F154" s="108"/>
      <c r="G154" s="108"/>
    </row>
    <row r="155" spans="1:17" ht="27.75" customHeight="1" x14ac:dyDescent="0.2">
      <c r="A155" s="106"/>
      <c r="B155" s="205" t="s">
        <v>170</v>
      </c>
      <c r="C155" s="206"/>
      <c r="D155" s="85" t="s">
        <v>171</v>
      </c>
      <c r="E155" s="116"/>
      <c r="F155" s="108"/>
      <c r="G155" s="108"/>
    </row>
    <row r="156" spans="1:17" ht="12.75" customHeight="1" x14ac:dyDescent="0.2">
      <c r="A156" s="106"/>
      <c r="B156" s="205" t="s">
        <v>923</v>
      </c>
      <c r="C156" s="206"/>
      <c r="D156" s="85" t="s">
        <v>171</v>
      </c>
      <c r="E156" s="116"/>
      <c r="F156" s="108"/>
      <c r="G156" s="108"/>
    </row>
    <row r="157" spans="1:17" x14ac:dyDescent="0.2">
      <c r="A157" s="106"/>
      <c r="B157" s="205" t="s">
        <v>172</v>
      </c>
      <c r="C157" s="206"/>
      <c r="D157" s="117" t="s">
        <v>142</v>
      </c>
      <c r="E157" s="116"/>
      <c r="F157" s="108"/>
      <c r="G157" s="108"/>
    </row>
    <row r="158" spans="1:17" x14ac:dyDescent="0.2">
      <c r="A158" s="118"/>
      <c r="B158" s="119" t="s">
        <v>142</v>
      </c>
      <c r="C158" s="119" t="s">
        <v>924</v>
      </c>
      <c r="D158" s="119" t="s">
        <v>173</v>
      </c>
      <c r="E158" s="118"/>
      <c r="F158" s="118"/>
      <c r="G158" s="118"/>
      <c r="H158" s="118"/>
      <c r="J158" s="113"/>
    </row>
    <row r="159" spans="1:17" x14ac:dyDescent="0.2">
      <c r="A159" s="118"/>
      <c r="B159" s="120" t="s">
        <v>174</v>
      </c>
      <c r="C159" s="121">
        <v>45930</v>
      </c>
      <c r="D159" s="121">
        <v>45961</v>
      </c>
      <c r="E159" s="118"/>
      <c r="F159" s="118"/>
      <c r="G159" s="118"/>
      <c r="J159" s="113"/>
    </row>
    <row r="160" spans="1:17" x14ac:dyDescent="0.2">
      <c r="A160" s="122"/>
      <c r="B160" s="93" t="s">
        <v>175</v>
      </c>
      <c r="C160" s="123">
        <v>1494.5790999999999</v>
      </c>
      <c r="D160" s="123">
        <v>1572.896</v>
      </c>
      <c r="E160" s="122"/>
      <c r="F160" s="124"/>
      <c r="G160" s="125"/>
    </row>
    <row r="161" spans="1:7" x14ac:dyDescent="0.2">
      <c r="A161" s="122"/>
      <c r="B161" s="93" t="s">
        <v>1101</v>
      </c>
      <c r="C161" s="123">
        <v>70.181399999999996</v>
      </c>
      <c r="D161" s="123">
        <v>73.858900000000006</v>
      </c>
      <c r="E161" s="122"/>
      <c r="F161" s="124"/>
      <c r="G161" s="125"/>
    </row>
    <row r="162" spans="1:7" x14ac:dyDescent="0.2">
      <c r="A162" s="122"/>
      <c r="B162" s="93" t="s">
        <v>176</v>
      </c>
      <c r="C162" s="123">
        <v>1366.5328999999999</v>
      </c>
      <c r="D162" s="123">
        <v>1437.1385</v>
      </c>
      <c r="E162" s="122"/>
      <c r="F162" s="124"/>
      <c r="G162" s="125"/>
    </row>
    <row r="163" spans="1:7" x14ac:dyDescent="0.2">
      <c r="A163" s="122"/>
      <c r="B163" s="93" t="s">
        <v>1102</v>
      </c>
      <c r="C163" s="123">
        <v>63.252899999999997</v>
      </c>
      <c r="D163" s="123">
        <v>66.521100000000004</v>
      </c>
      <c r="E163" s="122"/>
      <c r="F163" s="124"/>
      <c r="G163" s="125"/>
    </row>
    <row r="164" spans="1:7" x14ac:dyDescent="0.2">
      <c r="A164" s="122"/>
      <c r="B164" s="122"/>
      <c r="C164" s="122"/>
      <c r="D164" s="122"/>
      <c r="E164" s="122"/>
      <c r="F164" s="122"/>
      <c r="G164" s="122"/>
    </row>
    <row r="165" spans="1:7" ht="14.25" customHeight="1" x14ac:dyDescent="0.2">
      <c r="A165" s="118"/>
      <c r="B165" s="205" t="s">
        <v>925</v>
      </c>
      <c r="C165" s="206"/>
      <c r="D165" s="85" t="s">
        <v>171</v>
      </c>
      <c r="E165" s="118"/>
      <c r="F165" s="118"/>
      <c r="G165" s="118"/>
    </row>
    <row r="166" spans="1:7" x14ac:dyDescent="0.2">
      <c r="A166" s="118"/>
      <c r="B166" s="196"/>
      <c r="C166" s="196"/>
      <c r="D166" s="197"/>
      <c r="E166" s="118"/>
      <c r="F166" s="112"/>
      <c r="G166" s="133"/>
    </row>
    <row r="167" spans="1:7" x14ac:dyDescent="0.2">
      <c r="A167" s="118"/>
      <c r="B167" s="205" t="s">
        <v>179</v>
      </c>
      <c r="C167" s="206"/>
      <c r="D167" s="85" t="s">
        <v>171</v>
      </c>
      <c r="E167" s="136"/>
      <c r="F167" s="136"/>
      <c r="G167" s="136"/>
    </row>
    <row r="168" spans="1:7" x14ac:dyDescent="0.2">
      <c r="A168" s="118"/>
      <c r="B168" s="205" t="s">
        <v>180</v>
      </c>
      <c r="C168" s="206"/>
      <c r="D168" s="85" t="s">
        <v>171</v>
      </c>
      <c r="E168" s="118"/>
      <c r="F168" s="118"/>
      <c r="G168" s="118"/>
    </row>
    <row r="169" spans="1:7" x14ac:dyDescent="0.2">
      <c r="A169" s="118"/>
      <c r="B169" s="205" t="s">
        <v>181</v>
      </c>
      <c r="C169" s="206"/>
      <c r="D169" s="85" t="s">
        <v>171</v>
      </c>
      <c r="E169" s="131"/>
      <c r="F169" s="118"/>
      <c r="G169" s="118"/>
    </row>
    <row r="170" spans="1:7" x14ac:dyDescent="0.2">
      <c r="A170" s="118"/>
      <c r="B170" s="205" t="s">
        <v>182</v>
      </c>
      <c r="C170" s="206"/>
      <c r="D170" s="132">
        <v>0.54154538412462527</v>
      </c>
      <c r="E170" s="131"/>
      <c r="F170" s="118"/>
      <c r="G170" s="118"/>
    </row>
    <row r="172" spans="1:7" x14ac:dyDescent="0.2">
      <c r="B172" s="199" t="s">
        <v>926</v>
      </c>
      <c r="C172" s="199"/>
    </row>
    <row r="174" spans="1:7" ht="153.75" customHeight="1" x14ac:dyDescent="0.2">
      <c r="B174" s="134"/>
      <c r="C174" s="135"/>
      <c r="D174" s="134"/>
    </row>
    <row r="175" spans="1:7" x14ac:dyDescent="0.2">
      <c r="B175" s="134"/>
      <c r="D175" s="134"/>
    </row>
    <row r="176" spans="1:7" x14ac:dyDescent="0.2">
      <c r="B176" s="134" t="s">
        <v>927</v>
      </c>
      <c r="C176" s="135"/>
      <c r="D176" s="134" t="s">
        <v>932</v>
      </c>
    </row>
    <row r="177" spans="2:4" x14ac:dyDescent="0.2">
      <c r="B177" s="134" t="s">
        <v>933</v>
      </c>
      <c r="D177" s="134" t="s">
        <v>934</v>
      </c>
    </row>
    <row r="194" customFormat="1" ht="12.75" customHeight="1" x14ac:dyDescent="0.2"/>
    <row r="195" customFormat="1" ht="12.75" customHeight="1" x14ac:dyDescent="0.2"/>
    <row r="196" customFormat="1" ht="12.75" customHeight="1" x14ac:dyDescent="0.2"/>
    <row r="197" customFormat="1" ht="12.75" customHeight="1" x14ac:dyDescent="0.2"/>
    <row r="198" customFormat="1" ht="12.75" customHeight="1" x14ac:dyDescent="0.2"/>
    <row r="199" customFormat="1" ht="12.75" customHeight="1" x14ac:dyDescent="0.2"/>
    <row r="200" customFormat="1" ht="12.75" customHeight="1" x14ac:dyDescent="0.2"/>
  </sheetData>
  <mergeCells count="18">
    <mergeCell ref="B172:C172"/>
    <mergeCell ref="B170:C170"/>
    <mergeCell ref="A1:H1"/>
    <mergeCell ref="A2:H2"/>
    <mergeCell ref="A3:H3"/>
    <mergeCell ref="B165:C165"/>
    <mergeCell ref="B169:C169"/>
    <mergeCell ref="B148:H148"/>
    <mergeCell ref="B149:H149"/>
    <mergeCell ref="B156:C156"/>
    <mergeCell ref="B157:C157"/>
    <mergeCell ref="B167:C167"/>
    <mergeCell ref="B168:C168"/>
    <mergeCell ref="B150:H150"/>
    <mergeCell ref="B151:H151"/>
    <mergeCell ref="B152:H152"/>
    <mergeCell ref="B154:D154"/>
    <mergeCell ref="B155:C155"/>
  </mergeCells>
  <hyperlinks>
    <hyperlink ref="I1" location="Index!B2" display="Index" xr:uid="{525DEE5A-D817-4B76-8400-96E8D96ED206}"/>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85C7F-D7E1-45B9-89D2-E03716F171D2}">
  <sheetPr>
    <outlinePr summaryBelow="0" summaryRight="0"/>
  </sheetPr>
  <dimension ref="A1:Q206"/>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7.710937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319</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4029925</v>
      </c>
      <c r="F7" s="95">
        <v>39787.449525000004</v>
      </c>
      <c r="G7" s="96">
        <v>5.685776E-2</v>
      </c>
      <c r="H7" s="86" t="s">
        <v>142</v>
      </c>
    </row>
    <row r="8" spans="1:9" x14ac:dyDescent="0.2">
      <c r="A8" s="92">
        <v>2</v>
      </c>
      <c r="B8" s="93" t="s">
        <v>17</v>
      </c>
      <c r="C8" s="93" t="s">
        <v>18</v>
      </c>
      <c r="D8" s="93" t="s">
        <v>19</v>
      </c>
      <c r="E8" s="94">
        <v>2010000</v>
      </c>
      <c r="F8" s="95">
        <v>29876.639999999999</v>
      </c>
      <c r="G8" s="96">
        <v>4.2694839999999998E-2</v>
      </c>
      <c r="H8" s="86" t="s">
        <v>142</v>
      </c>
    </row>
    <row r="9" spans="1:9" x14ac:dyDescent="0.2">
      <c r="A9" s="92">
        <v>3</v>
      </c>
      <c r="B9" s="93" t="s">
        <v>39</v>
      </c>
      <c r="C9" s="93" t="s">
        <v>40</v>
      </c>
      <c r="D9" s="93" t="s">
        <v>35</v>
      </c>
      <c r="E9" s="94">
        <v>2375000</v>
      </c>
      <c r="F9" s="95">
        <v>22253.75</v>
      </c>
      <c r="G9" s="96">
        <v>3.1801450000000002E-2</v>
      </c>
      <c r="H9" s="86" t="s">
        <v>142</v>
      </c>
    </row>
    <row r="10" spans="1:9" x14ac:dyDescent="0.2">
      <c r="A10" s="92">
        <v>4</v>
      </c>
      <c r="B10" s="93" t="s">
        <v>33</v>
      </c>
      <c r="C10" s="93" t="s">
        <v>34</v>
      </c>
      <c r="D10" s="93" t="s">
        <v>35</v>
      </c>
      <c r="E10" s="94">
        <v>1600000</v>
      </c>
      <c r="F10" s="95">
        <v>21524.799999999999</v>
      </c>
      <c r="G10" s="96">
        <v>3.0759749999999999E-2</v>
      </c>
      <c r="H10" s="86" t="s">
        <v>142</v>
      </c>
    </row>
    <row r="11" spans="1:9" x14ac:dyDescent="0.2">
      <c r="A11" s="92">
        <v>5</v>
      </c>
      <c r="B11" s="93" t="s">
        <v>11</v>
      </c>
      <c r="C11" s="93" t="s">
        <v>12</v>
      </c>
      <c r="D11" s="93" t="s">
        <v>13</v>
      </c>
      <c r="E11" s="94">
        <v>900000</v>
      </c>
      <c r="F11" s="95">
        <v>18490.5</v>
      </c>
      <c r="G11" s="96">
        <v>2.6423619999999998E-2</v>
      </c>
      <c r="H11" s="86" t="s">
        <v>142</v>
      </c>
    </row>
    <row r="12" spans="1:9" x14ac:dyDescent="0.2">
      <c r="A12" s="92">
        <v>6</v>
      </c>
      <c r="B12" s="93" t="s">
        <v>46</v>
      </c>
      <c r="C12" s="93" t="s">
        <v>47</v>
      </c>
      <c r="D12" s="93" t="s">
        <v>48</v>
      </c>
      <c r="E12" s="94">
        <v>190000</v>
      </c>
      <c r="F12" s="95">
        <v>15269.35</v>
      </c>
      <c r="G12" s="96">
        <v>2.182048E-2</v>
      </c>
      <c r="H12" s="86" t="s">
        <v>142</v>
      </c>
    </row>
    <row r="13" spans="1:9" x14ac:dyDescent="0.2">
      <c r="A13" s="92">
        <v>7</v>
      </c>
      <c r="B13" s="93" t="s">
        <v>322</v>
      </c>
      <c r="C13" s="93" t="s">
        <v>323</v>
      </c>
      <c r="D13" s="93" t="s">
        <v>35</v>
      </c>
      <c r="E13" s="94">
        <v>1200000</v>
      </c>
      <c r="F13" s="95">
        <v>14793.6</v>
      </c>
      <c r="G13" s="96">
        <v>2.1140610000000001E-2</v>
      </c>
      <c r="H13" s="86" t="s">
        <v>142</v>
      </c>
    </row>
    <row r="14" spans="1:9" x14ac:dyDescent="0.2">
      <c r="A14" s="92">
        <v>8</v>
      </c>
      <c r="B14" s="93" t="s">
        <v>324</v>
      </c>
      <c r="C14" s="93" t="s">
        <v>325</v>
      </c>
      <c r="D14" s="93" t="s">
        <v>35</v>
      </c>
      <c r="E14" s="94">
        <v>700000</v>
      </c>
      <c r="F14" s="95">
        <v>14715.4</v>
      </c>
      <c r="G14" s="96">
        <v>2.102886E-2</v>
      </c>
      <c r="H14" s="86" t="s">
        <v>142</v>
      </c>
    </row>
    <row r="15" spans="1:9" x14ac:dyDescent="0.2">
      <c r="A15" s="92">
        <v>9</v>
      </c>
      <c r="B15" s="93" t="s">
        <v>326</v>
      </c>
      <c r="C15" s="93" t="s">
        <v>327</v>
      </c>
      <c r="D15" s="93" t="s">
        <v>204</v>
      </c>
      <c r="E15" s="94">
        <v>960000</v>
      </c>
      <c r="F15" s="95">
        <v>14230.08</v>
      </c>
      <c r="G15" s="96">
        <v>2.033532E-2</v>
      </c>
      <c r="H15" s="86" t="s">
        <v>142</v>
      </c>
    </row>
    <row r="16" spans="1:9" x14ac:dyDescent="0.2">
      <c r="A16" s="92">
        <v>10</v>
      </c>
      <c r="B16" s="93" t="s">
        <v>14</v>
      </c>
      <c r="C16" s="93" t="s">
        <v>15</v>
      </c>
      <c r="D16" s="93" t="s">
        <v>16</v>
      </c>
      <c r="E16" s="94">
        <v>350000</v>
      </c>
      <c r="F16" s="95">
        <v>14108.15</v>
      </c>
      <c r="G16" s="96">
        <v>2.0161080000000001E-2</v>
      </c>
      <c r="H16" s="86" t="s">
        <v>142</v>
      </c>
    </row>
    <row r="17" spans="1:8" x14ac:dyDescent="0.2">
      <c r="A17" s="92">
        <v>11</v>
      </c>
      <c r="B17" s="93" t="s">
        <v>56</v>
      </c>
      <c r="C17" s="93" t="s">
        <v>57</v>
      </c>
      <c r="D17" s="93" t="s">
        <v>58</v>
      </c>
      <c r="E17" s="94">
        <v>320000</v>
      </c>
      <c r="F17" s="95">
        <v>13901.12</v>
      </c>
      <c r="G17" s="96">
        <v>1.9865219999999999E-2</v>
      </c>
      <c r="H17" s="86" t="s">
        <v>142</v>
      </c>
    </row>
    <row r="18" spans="1:8" x14ac:dyDescent="0.2">
      <c r="A18" s="92">
        <v>12</v>
      </c>
      <c r="B18" s="93" t="s">
        <v>264</v>
      </c>
      <c r="C18" s="93" t="s">
        <v>265</v>
      </c>
      <c r="D18" s="93" t="s">
        <v>38</v>
      </c>
      <c r="E18" s="94">
        <v>1050000</v>
      </c>
      <c r="F18" s="95">
        <v>12969.6</v>
      </c>
      <c r="G18" s="96">
        <v>1.853405E-2</v>
      </c>
      <c r="H18" s="86" t="s">
        <v>142</v>
      </c>
    </row>
    <row r="19" spans="1:8" ht="25.5" x14ac:dyDescent="0.2">
      <c r="A19" s="92">
        <v>13</v>
      </c>
      <c r="B19" s="93" t="s">
        <v>244</v>
      </c>
      <c r="C19" s="93" t="s">
        <v>245</v>
      </c>
      <c r="D19" s="93" t="s">
        <v>225</v>
      </c>
      <c r="E19" s="94">
        <v>232400</v>
      </c>
      <c r="F19" s="95">
        <v>12797.106</v>
      </c>
      <c r="G19" s="96">
        <v>1.828755E-2</v>
      </c>
      <c r="H19" s="86" t="s">
        <v>142</v>
      </c>
    </row>
    <row r="20" spans="1:8" x14ac:dyDescent="0.2">
      <c r="A20" s="92">
        <v>14</v>
      </c>
      <c r="B20" s="93" t="s">
        <v>133</v>
      </c>
      <c r="C20" s="93" t="s">
        <v>134</v>
      </c>
      <c r="D20" s="93" t="s">
        <v>135</v>
      </c>
      <c r="E20" s="94">
        <v>1199300</v>
      </c>
      <c r="F20" s="95">
        <v>12794.1324</v>
      </c>
      <c r="G20" s="96">
        <v>1.8283299999999999E-2</v>
      </c>
      <c r="H20" s="86" t="s">
        <v>142</v>
      </c>
    </row>
    <row r="21" spans="1:8" x14ac:dyDescent="0.2">
      <c r="A21" s="92">
        <v>15</v>
      </c>
      <c r="B21" s="93" t="s">
        <v>184</v>
      </c>
      <c r="C21" s="93" t="s">
        <v>185</v>
      </c>
      <c r="D21" s="93" t="s">
        <v>186</v>
      </c>
      <c r="E21" s="94">
        <v>4000000</v>
      </c>
      <c r="F21" s="95">
        <v>12622</v>
      </c>
      <c r="G21" s="96">
        <v>1.8037310000000001E-2</v>
      </c>
      <c r="H21" s="86" t="s">
        <v>142</v>
      </c>
    </row>
    <row r="22" spans="1:8" x14ac:dyDescent="0.2">
      <c r="A22" s="92">
        <v>16</v>
      </c>
      <c r="B22" s="93" t="s">
        <v>187</v>
      </c>
      <c r="C22" s="93" t="s">
        <v>188</v>
      </c>
      <c r="D22" s="93" t="s">
        <v>109</v>
      </c>
      <c r="E22" s="94">
        <v>1200000</v>
      </c>
      <c r="F22" s="95">
        <v>12276.6</v>
      </c>
      <c r="G22" s="96">
        <v>1.7543719999999999E-2</v>
      </c>
      <c r="H22" s="86" t="s">
        <v>142</v>
      </c>
    </row>
    <row r="23" spans="1:8" ht="25.5" x14ac:dyDescent="0.2">
      <c r="A23" s="92">
        <v>17</v>
      </c>
      <c r="B23" s="93" t="s">
        <v>205</v>
      </c>
      <c r="C23" s="93" t="s">
        <v>206</v>
      </c>
      <c r="D23" s="93" t="s">
        <v>207</v>
      </c>
      <c r="E23" s="94">
        <v>1700000</v>
      </c>
      <c r="F23" s="95">
        <v>12239.15</v>
      </c>
      <c r="G23" s="96">
        <v>1.7490209999999999E-2</v>
      </c>
      <c r="H23" s="86" t="s">
        <v>142</v>
      </c>
    </row>
    <row r="24" spans="1:8" x14ac:dyDescent="0.2">
      <c r="A24" s="92">
        <v>18</v>
      </c>
      <c r="B24" s="93" t="s">
        <v>260</v>
      </c>
      <c r="C24" s="93" t="s">
        <v>261</v>
      </c>
      <c r="D24" s="93" t="s">
        <v>73</v>
      </c>
      <c r="E24" s="94">
        <v>690000</v>
      </c>
      <c r="F24" s="95">
        <v>12038.43</v>
      </c>
      <c r="G24" s="96">
        <v>1.7203369999999999E-2</v>
      </c>
      <c r="H24" s="86" t="s">
        <v>142</v>
      </c>
    </row>
    <row r="25" spans="1:8" x14ac:dyDescent="0.2">
      <c r="A25" s="92">
        <v>19</v>
      </c>
      <c r="B25" s="93" t="s">
        <v>216</v>
      </c>
      <c r="C25" s="93" t="s">
        <v>217</v>
      </c>
      <c r="D25" s="93" t="s">
        <v>218</v>
      </c>
      <c r="E25" s="94">
        <v>2000000</v>
      </c>
      <c r="F25" s="95">
        <v>11957</v>
      </c>
      <c r="G25" s="96">
        <v>1.7087000000000001E-2</v>
      </c>
      <c r="H25" s="86" t="s">
        <v>142</v>
      </c>
    </row>
    <row r="26" spans="1:8" x14ac:dyDescent="0.2">
      <c r="A26" s="92">
        <v>20</v>
      </c>
      <c r="B26" s="93" t="s">
        <v>328</v>
      </c>
      <c r="C26" s="93" t="s">
        <v>329</v>
      </c>
      <c r="D26" s="93" t="s">
        <v>28</v>
      </c>
      <c r="E26" s="94">
        <v>250000</v>
      </c>
      <c r="F26" s="95">
        <v>11699.5</v>
      </c>
      <c r="G26" s="96">
        <v>1.6719029999999999E-2</v>
      </c>
      <c r="H26" s="86" t="s">
        <v>142</v>
      </c>
    </row>
    <row r="27" spans="1:8" x14ac:dyDescent="0.2">
      <c r="A27" s="92">
        <v>21</v>
      </c>
      <c r="B27" s="93" t="s">
        <v>330</v>
      </c>
      <c r="C27" s="93" t="s">
        <v>331</v>
      </c>
      <c r="D27" s="93" t="s">
        <v>186</v>
      </c>
      <c r="E27" s="94">
        <v>1100000</v>
      </c>
      <c r="F27" s="95">
        <v>11470.8</v>
      </c>
      <c r="G27" s="96">
        <v>1.6392210000000001E-2</v>
      </c>
      <c r="H27" s="86" t="s">
        <v>142</v>
      </c>
    </row>
    <row r="28" spans="1:8" x14ac:dyDescent="0.2">
      <c r="A28" s="92">
        <v>22</v>
      </c>
      <c r="B28" s="93" t="s">
        <v>332</v>
      </c>
      <c r="C28" s="93" t="s">
        <v>333</v>
      </c>
      <c r="D28" s="93" t="s">
        <v>35</v>
      </c>
      <c r="E28" s="94">
        <v>4100000</v>
      </c>
      <c r="F28" s="95">
        <v>11414.4</v>
      </c>
      <c r="G28" s="96">
        <v>1.6311610000000001E-2</v>
      </c>
      <c r="H28" s="86" t="s">
        <v>142</v>
      </c>
    </row>
    <row r="29" spans="1:8" x14ac:dyDescent="0.2">
      <c r="A29" s="92">
        <v>23</v>
      </c>
      <c r="B29" s="93" t="s">
        <v>334</v>
      </c>
      <c r="C29" s="93" t="s">
        <v>335</v>
      </c>
      <c r="D29" s="93" t="s">
        <v>241</v>
      </c>
      <c r="E29" s="94">
        <v>325000</v>
      </c>
      <c r="F29" s="95">
        <v>11333.4</v>
      </c>
      <c r="G29" s="96">
        <v>1.6195859999999999E-2</v>
      </c>
      <c r="H29" s="86" t="s">
        <v>142</v>
      </c>
    </row>
    <row r="30" spans="1:8" ht="25.5" x14ac:dyDescent="0.2">
      <c r="A30" s="92">
        <v>24</v>
      </c>
      <c r="B30" s="93" t="s">
        <v>23</v>
      </c>
      <c r="C30" s="93" t="s">
        <v>24</v>
      </c>
      <c r="D30" s="93" t="s">
        <v>25</v>
      </c>
      <c r="E30" s="94">
        <v>92500</v>
      </c>
      <c r="F30" s="95">
        <v>11050.975</v>
      </c>
      <c r="G30" s="96">
        <v>1.5792259999999999E-2</v>
      </c>
      <c r="H30" s="86" t="s">
        <v>142</v>
      </c>
    </row>
    <row r="31" spans="1:8" x14ac:dyDescent="0.2">
      <c r="A31" s="92">
        <v>25</v>
      </c>
      <c r="B31" s="93" t="s">
        <v>196</v>
      </c>
      <c r="C31" s="93" t="s">
        <v>197</v>
      </c>
      <c r="D31" s="93" t="s">
        <v>19</v>
      </c>
      <c r="E31" s="94">
        <v>2302328</v>
      </c>
      <c r="F31" s="95">
        <v>10959.08128</v>
      </c>
      <c r="G31" s="96">
        <v>1.5660940000000002E-2</v>
      </c>
      <c r="H31" s="86" t="s">
        <v>142</v>
      </c>
    </row>
    <row r="32" spans="1:8" x14ac:dyDescent="0.2">
      <c r="A32" s="92">
        <v>26</v>
      </c>
      <c r="B32" s="93" t="s">
        <v>85</v>
      </c>
      <c r="C32" s="93" t="s">
        <v>86</v>
      </c>
      <c r="D32" s="93" t="s">
        <v>13</v>
      </c>
      <c r="E32" s="94">
        <v>575000</v>
      </c>
      <c r="F32" s="95">
        <v>10699.6</v>
      </c>
      <c r="G32" s="96">
        <v>1.5290130000000001E-2</v>
      </c>
      <c r="H32" s="86" t="s">
        <v>142</v>
      </c>
    </row>
    <row r="33" spans="1:8" x14ac:dyDescent="0.2">
      <c r="A33" s="92">
        <v>27</v>
      </c>
      <c r="B33" s="93" t="s">
        <v>336</v>
      </c>
      <c r="C33" s="93" t="s">
        <v>337</v>
      </c>
      <c r="D33" s="93" t="s">
        <v>215</v>
      </c>
      <c r="E33" s="94">
        <v>115000</v>
      </c>
      <c r="F33" s="95">
        <v>10630.025</v>
      </c>
      <c r="G33" s="96">
        <v>1.519071E-2</v>
      </c>
      <c r="H33" s="86" t="s">
        <v>142</v>
      </c>
    </row>
    <row r="34" spans="1:8" x14ac:dyDescent="0.2">
      <c r="A34" s="92">
        <v>28</v>
      </c>
      <c r="B34" s="93" t="s">
        <v>200</v>
      </c>
      <c r="C34" s="93" t="s">
        <v>201</v>
      </c>
      <c r="D34" s="93" t="s">
        <v>35</v>
      </c>
      <c r="E34" s="94">
        <v>4443625</v>
      </c>
      <c r="F34" s="95">
        <v>10514.0611125</v>
      </c>
      <c r="G34" s="96">
        <v>1.502499E-2</v>
      </c>
      <c r="H34" s="86" t="s">
        <v>142</v>
      </c>
    </row>
    <row r="35" spans="1:8" ht="25.5" x14ac:dyDescent="0.2">
      <c r="A35" s="92">
        <v>29</v>
      </c>
      <c r="B35" s="93" t="s">
        <v>74</v>
      </c>
      <c r="C35" s="93" t="s">
        <v>75</v>
      </c>
      <c r="D35" s="93" t="s">
        <v>25</v>
      </c>
      <c r="E35" s="94">
        <v>164457</v>
      </c>
      <c r="F35" s="95">
        <v>10219.357980000001</v>
      </c>
      <c r="G35" s="96">
        <v>1.460385E-2</v>
      </c>
      <c r="H35" s="86" t="s">
        <v>142</v>
      </c>
    </row>
    <row r="36" spans="1:8" x14ac:dyDescent="0.2">
      <c r="A36" s="92">
        <v>30</v>
      </c>
      <c r="B36" s="93" t="s">
        <v>226</v>
      </c>
      <c r="C36" s="93" t="s">
        <v>227</v>
      </c>
      <c r="D36" s="93" t="s">
        <v>58</v>
      </c>
      <c r="E36" s="94">
        <v>125000</v>
      </c>
      <c r="F36" s="95">
        <v>9630</v>
      </c>
      <c r="G36" s="96">
        <v>1.376163E-2</v>
      </c>
      <c r="H36" s="86" t="s">
        <v>142</v>
      </c>
    </row>
    <row r="37" spans="1:8" x14ac:dyDescent="0.2">
      <c r="A37" s="92">
        <v>31</v>
      </c>
      <c r="B37" s="93" t="s">
        <v>276</v>
      </c>
      <c r="C37" s="93" t="s">
        <v>277</v>
      </c>
      <c r="D37" s="93" t="s">
        <v>278</v>
      </c>
      <c r="E37" s="94">
        <v>3806234</v>
      </c>
      <c r="F37" s="95">
        <v>9437.1765796</v>
      </c>
      <c r="G37" s="96">
        <v>1.3486079999999999E-2</v>
      </c>
      <c r="H37" s="86" t="s">
        <v>142</v>
      </c>
    </row>
    <row r="38" spans="1:8" ht="25.5" x14ac:dyDescent="0.2">
      <c r="A38" s="92">
        <v>32</v>
      </c>
      <c r="B38" s="93" t="s">
        <v>338</v>
      </c>
      <c r="C38" s="93" t="s">
        <v>339</v>
      </c>
      <c r="D38" s="93" t="s">
        <v>25</v>
      </c>
      <c r="E38" s="94">
        <v>320000</v>
      </c>
      <c r="F38" s="95">
        <v>9253.44</v>
      </c>
      <c r="G38" s="96">
        <v>1.3223510000000001E-2</v>
      </c>
      <c r="H38" s="86" t="s">
        <v>142</v>
      </c>
    </row>
    <row r="39" spans="1:8" x14ac:dyDescent="0.2">
      <c r="A39" s="92">
        <v>33</v>
      </c>
      <c r="B39" s="93" t="s">
        <v>230</v>
      </c>
      <c r="C39" s="93" t="s">
        <v>231</v>
      </c>
      <c r="D39" s="93" t="s">
        <v>232</v>
      </c>
      <c r="E39" s="94">
        <v>500000</v>
      </c>
      <c r="F39" s="95">
        <v>8987</v>
      </c>
      <c r="G39" s="96">
        <v>1.284276E-2</v>
      </c>
      <c r="H39" s="86" t="s">
        <v>142</v>
      </c>
    </row>
    <row r="40" spans="1:8" ht="25.5" x14ac:dyDescent="0.2">
      <c r="A40" s="92">
        <v>34</v>
      </c>
      <c r="B40" s="93" t="s">
        <v>266</v>
      </c>
      <c r="C40" s="93" t="s">
        <v>267</v>
      </c>
      <c r="D40" s="93" t="s">
        <v>225</v>
      </c>
      <c r="E40" s="94">
        <v>369994</v>
      </c>
      <c r="F40" s="95">
        <v>8820.6569600000003</v>
      </c>
      <c r="G40" s="96">
        <v>1.260505E-2</v>
      </c>
      <c r="H40" s="86" t="s">
        <v>142</v>
      </c>
    </row>
    <row r="41" spans="1:8" x14ac:dyDescent="0.2">
      <c r="A41" s="92">
        <v>35</v>
      </c>
      <c r="B41" s="93" t="s">
        <v>242</v>
      </c>
      <c r="C41" s="93" t="s">
        <v>243</v>
      </c>
      <c r="D41" s="93" t="s">
        <v>109</v>
      </c>
      <c r="E41" s="94">
        <v>280000</v>
      </c>
      <c r="F41" s="95">
        <v>8779.4</v>
      </c>
      <c r="G41" s="96">
        <v>1.2546089999999999E-2</v>
      </c>
      <c r="H41" s="86" t="s">
        <v>142</v>
      </c>
    </row>
    <row r="42" spans="1:8" ht="25.5" x14ac:dyDescent="0.2">
      <c r="A42" s="92">
        <v>36</v>
      </c>
      <c r="B42" s="93" t="s">
        <v>53</v>
      </c>
      <c r="C42" s="93" t="s">
        <v>54</v>
      </c>
      <c r="D42" s="93" t="s">
        <v>55</v>
      </c>
      <c r="E42" s="94">
        <v>600000</v>
      </c>
      <c r="F42" s="95">
        <v>8709</v>
      </c>
      <c r="G42" s="96">
        <v>1.244549E-2</v>
      </c>
      <c r="H42" s="86" t="s">
        <v>142</v>
      </c>
    </row>
    <row r="43" spans="1:8" ht="25.5" x14ac:dyDescent="0.2">
      <c r="A43" s="92">
        <v>37</v>
      </c>
      <c r="B43" s="93" t="s">
        <v>223</v>
      </c>
      <c r="C43" s="93" t="s">
        <v>224</v>
      </c>
      <c r="D43" s="93" t="s">
        <v>225</v>
      </c>
      <c r="E43" s="94">
        <v>430000</v>
      </c>
      <c r="F43" s="95">
        <v>8443.0499999999993</v>
      </c>
      <c r="G43" s="96">
        <v>1.206544E-2</v>
      </c>
      <c r="H43" s="86" t="s">
        <v>142</v>
      </c>
    </row>
    <row r="44" spans="1:8" x14ac:dyDescent="0.2">
      <c r="A44" s="92">
        <v>38</v>
      </c>
      <c r="B44" s="93" t="s">
        <v>340</v>
      </c>
      <c r="C44" s="93" t="s">
        <v>341</v>
      </c>
      <c r="D44" s="93" t="s">
        <v>257</v>
      </c>
      <c r="E44" s="94">
        <v>430000</v>
      </c>
      <c r="F44" s="95">
        <v>8301.58</v>
      </c>
      <c r="G44" s="96">
        <v>1.186327E-2</v>
      </c>
      <c r="H44" s="86" t="s">
        <v>142</v>
      </c>
    </row>
    <row r="45" spans="1:8" ht="25.5" x14ac:dyDescent="0.2">
      <c r="A45" s="92">
        <v>39</v>
      </c>
      <c r="B45" s="93" t="s">
        <v>189</v>
      </c>
      <c r="C45" s="93" t="s">
        <v>190</v>
      </c>
      <c r="D45" s="93" t="s">
        <v>191</v>
      </c>
      <c r="E45" s="94">
        <v>390000</v>
      </c>
      <c r="F45" s="95">
        <v>8285.94</v>
      </c>
      <c r="G45" s="96">
        <v>1.184092E-2</v>
      </c>
      <c r="H45" s="86" t="s">
        <v>142</v>
      </c>
    </row>
    <row r="46" spans="1:8" x14ac:dyDescent="0.2">
      <c r="A46" s="92">
        <v>40</v>
      </c>
      <c r="B46" s="93" t="s">
        <v>270</v>
      </c>
      <c r="C46" s="93" t="s">
        <v>271</v>
      </c>
      <c r="D46" s="93" t="s">
        <v>272</v>
      </c>
      <c r="E46" s="94">
        <v>521344</v>
      </c>
      <c r="F46" s="95">
        <v>8062.5849600000001</v>
      </c>
      <c r="G46" s="96">
        <v>1.1521740000000001E-2</v>
      </c>
      <c r="H46" s="86" t="s">
        <v>142</v>
      </c>
    </row>
    <row r="47" spans="1:8" ht="25.5" x14ac:dyDescent="0.2">
      <c r="A47" s="92">
        <v>41</v>
      </c>
      <c r="B47" s="93" t="s">
        <v>289</v>
      </c>
      <c r="C47" s="93" t="s">
        <v>290</v>
      </c>
      <c r="D47" s="93" t="s">
        <v>191</v>
      </c>
      <c r="E47" s="94">
        <v>225000</v>
      </c>
      <c r="F47" s="95">
        <v>8049.15</v>
      </c>
      <c r="G47" s="96">
        <v>1.150254E-2</v>
      </c>
      <c r="H47" s="86" t="s">
        <v>142</v>
      </c>
    </row>
    <row r="48" spans="1:8" x14ac:dyDescent="0.2">
      <c r="A48" s="92">
        <v>42</v>
      </c>
      <c r="B48" s="93" t="s">
        <v>31</v>
      </c>
      <c r="C48" s="93" t="s">
        <v>32</v>
      </c>
      <c r="D48" s="93" t="s">
        <v>19</v>
      </c>
      <c r="E48" s="94">
        <v>2200000</v>
      </c>
      <c r="F48" s="95">
        <v>7849.6</v>
      </c>
      <c r="G48" s="96">
        <v>1.1217370000000001E-2</v>
      </c>
      <c r="H48" s="86" t="s">
        <v>142</v>
      </c>
    </row>
    <row r="49" spans="1:8" x14ac:dyDescent="0.2">
      <c r="A49" s="92">
        <v>43</v>
      </c>
      <c r="B49" s="93" t="s">
        <v>211</v>
      </c>
      <c r="C49" s="93" t="s">
        <v>212</v>
      </c>
      <c r="D49" s="93" t="s">
        <v>73</v>
      </c>
      <c r="E49" s="94">
        <v>450000</v>
      </c>
      <c r="F49" s="95">
        <v>7571.7</v>
      </c>
      <c r="G49" s="96">
        <v>1.082024E-2</v>
      </c>
      <c r="H49" s="86" t="s">
        <v>142</v>
      </c>
    </row>
    <row r="50" spans="1:8" x14ac:dyDescent="0.2">
      <c r="A50" s="92">
        <v>44</v>
      </c>
      <c r="B50" s="93" t="s">
        <v>342</v>
      </c>
      <c r="C50" s="93" t="s">
        <v>343</v>
      </c>
      <c r="D50" s="93" t="s">
        <v>278</v>
      </c>
      <c r="E50" s="94">
        <v>2350000</v>
      </c>
      <c r="F50" s="95">
        <v>7467.125</v>
      </c>
      <c r="G50" s="96">
        <v>1.0670799999999999E-2</v>
      </c>
      <c r="H50" s="86" t="s">
        <v>142</v>
      </c>
    </row>
    <row r="51" spans="1:8" x14ac:dyDescent="0.2">
      <c r="A51" s="92">
        <v>45</v>
      </c>
      <c r="B51" s="93" t="s">
        <v>344</v>
      </c>
      <c r="C51" s="93" t="s">
        <v>345</v>
      </c>
      <c r="D51" s="93" t="s">
        <v>186</v>
      </c>
      <c r="E51" s="94">
        <v>425000</v>
      </c>
      <c r="F51" s="95">
        <v>7211.4</v>
      </c>
      <c r="G51" s="96">
        <v>1.030536E-2</v>
      </c>
      <c r="H51" s="86" t="s">
        <v>142</v>
      </c>
    </row>
    <row r="52" spans="1:8" x14ac:dyDescent="0.2">
      <c r="A52" s="92">
        <v>46</v>
      </c>
      <c r="B52" s="93" t="s">
        <v>253</v>
      </c>
      <c r="C52" s="93" t="s">
        <v>254</v>
      </c>
      <c r="D52" s="93" t="s">
        <v>215</v>
      </c>
      <c r="E52" s="94">
        <v>730000</v>
      </c>
      <c r="F52" s="95">
        <v>7139.4</v>
      </c>
      <c r="G52" s="96">
        <v>1.020247E-2</v>
      </c>
      <c r="H52" s="86" t="s">
        <v>142</v>
      </c>
    </row>
    <row r="53" spans="1:8" x14ac:dyDescent="0.2">
      <c r="A53" s="92">
        <v>47</v>
      </c>
      <c r="B53" s="93" t="s">
        <v>192</v>
      </c>
      <c r="C53" s="93" t="s">
        <v>193</v>
      </c>
      <c r="D53" s="93" t="s">
        <v>35</v>
      </c>
      <c r="E53" s="94">
        <v>8500000</v>
      </c>
      <c r="F53" s="95">
        <v>6950.45</v>
      </c>
      <c r="G53" s="96">
        <v>9.9324600000000006E-3</v>
      </c>
      <c r="H53" s="86" t="s">
        <v>142</v>
      </c>
    </row>
    <row r="54" spans="1:8" x14ac:dyDescent="0.2">
      <c r="A54" s="92">
        <v>48</v>
      </c>
      <c r="B54" s="93" t="s">
        <v>235</v>
      </c>
      <c r="C54" s="93" t="s">
        <v>236</v>
      </c>
      <c r="D54" s="93" t="s">
        <v>109</v>
      </c>
      <c r="E54" s="94">
        <v>600000</v>
      </c>
      <c r="F54" s="95">
        <v>6886.8</v>
      </c>
      <c r="G54" s="96">
        <v>9.8414999999999996E-3</v>
      </c>
      <c r="H54" s="86" t="s">
        <v>142</v>
      </c>
    </row>
    <row r="55" spans="1:8" ht="25.5" x14ac:dyDescent="0.2">
      <c r="A55" s="92">
        <v>49</v>
      </c>
      <c r="B55" s="93" t="s">
        <v>346</v>
      </c>
      <c r="C55" s="93" t="s">
        <v>347</v>
      </c>
      <c r="D55" s="93" t="s">
        <v>225</v>
      </c>
      <c r="E55" s="94">
        <v>400000</v>
      </c>
      <c r="F55" s="95">
        <v>6762.8</v>
      </c>
      <c r="G55" s="96">
        <v>9.6643000000000007E-3</v>
      </c>
      <c r="H55" s="86" t="s">
        <v>142</v>
      </c>
    </row>
    <row r="56" spans="1:8" x14ac:dyDescent="0.2">
      <c r="A56" s="92">
        <v>50</v>
      </c>
      <c r="B56" s="93" t="s">
        <v>348</v>
      </c>
      <c r="C56" s="93" t="s">
        <v>349</v>
      </c>
      <c r="D56" s="93" t="s">
        <v>218</v>
      </c>
      <c r="E56" s="94">
        <v>900000</v>
      </c>
      <c r="F56" s="95">
        <v>6676.2</v>
      </c>
      <c r="G56" s="96">
        <v>9.5405400000000001E-3</v>
      </c>
      <c r="H56" s="86" t="s">
        <v>142</v>
      </c>
    </row>
    <row r="57" spans="1:8" x14ac:dyDescent="0.2">
      <c r="A57" s="92">
        <v>51</v>
      </c>
      <c r="B57" s="93" t="s">
        <v>101</v>
      </c>
      <c r="C57" s="93" t="s">
        <v>102</v>
      </c>
      <c r="D57" s="93" t="s">
        <v>38</v>
      </c>
      <c r="E57" s="94">
        <v>165000</v>
      </c>
      <c r="F57" s="95">
        <v>6635.31</v>
      </c>
      <c r="G57" s="96">
        <v>9.4821100000000002E-3</v>
      </c>
      <c r="H57" s="86" t="s">
        <v>142</v>
      </c>
    </row>
    <row r="58" spans="1:8" x14ac:dyDescent="0.2">
      <c r="A58" s="92">
        <v>52</v>
      </c>
      <c r="B58" s="93" t="s">
        <v>49</v>
      </c>
      <c r="C58" s="93" t="s">
        <v>50</v>
      </c>
      <c r="D58" s="93" t="s">
        <v>22</v>
      </c>
      <c r="E58" s="94">
        <v>1600000</v>
      </c>
      <c r="F58" s="95">
        <v>6478.4</v>
      </c>
      <c r="G58" s="96">
        <v>9.2578799999999996E-3</v>
      </c>
      <c r="H58" s="86" t="s">
        <v>142</v>
      </c>
    </row>
    <row r="59" spans="1:8" x14ac:dyDescent="0.2">
      <c r="A59" s="92">
        <v>53</v>
      </c>
      <c r="B59" s="93" t="s">
        <v>237</v>
      </c>
      <c r="C59" s="93" t="s">
        <v>238</v>
      </c>
      <c r="D59" s="93" t="s">
        <v>38</v>
      </c>
      <c r="E59" s="94">
        <v>1250000</v>
      </c>
      <c r="F59" s="95">
        <v>6268.75</v>
      </c>
      <c r="G59" s="96">
        <v>8.9582800000000008E-3</v>
      </c>
      <c r="H59" s="86" t="s">
        <v>142</v>
      </c>
    </row>
    <row r="60" spans="1:8" x14ac:dyDescent="0.2">
      <c r="A60" s="92">
        <v>54</v>
      </c>
      <c r="B60" s="93" t="s">
        <v>93</v>
      </c>
      <c r="C60" s="93" t="s">
        <v>94</v>
      </c>
      <c r="D60" s="93" t="s">
        <v>58</v>
      </c>
      <c r="E60" s="94">
        <v>622232</v>
      </c>
      <c r="F60" s="95">
        <v>6221.697768</v>
      </c>
      <c r="G60" s="96">
        <v>8.8910399999999994E-3</v>
      </c>
      <c r="H60" s="86" t="s">
        <v>142</v>
      </c>
    </row>
    <row r="61" spans="1:8" x14ac:dyDescent="0.2">
      <c r="A61" s="92">
        <v>55</v>
      </c>
      <c r="B61" s="93" t="s">
        <v>219</v>
      </c>
      <c r="C61" s="93" t="s">
        <v>220</v>
      </c>
      <c r="D61" s="93" t="s">
        <v>204</v>
      </c>
      <c r="E61" s="94">
        <v>100000</v>
      </c>
      <c r="F61" s="95">
        <v>5916.6</v>
      </c>
      <c r="G61" s="96">
        <v>8.4550400000000005E-3</v>
      </c>
      <c r="H61" s="86" t="s">
        <v>142</v>
      </c>
    </row>
    <row r="62" spans="1:8" x14ac:dyDescent="0.2">
      <c r="A62" s="92">
        <v>56</v>
      </c>
      <c r="B62" s="93" t="s">
        <v>291</v>
      </c>
      <c r="C62" s="93" t="s">
        <v>292</v>
      </c>
      <c r="D62" s="93" t="s">
        <v>250</v>
      </c>
      <c r="E62" s="94">
        <v>1099999</v>
      </c>
      <c r="F62" s="95">
        <v>5878.3946560000004</v>
      </c>
      <c r="G62" s="96">
        <v>8.4004500000000003E-3</v>
      </c>
      <c r="H62" s="86" t="s">
        <v>142</v>
      </c>
    </row>
    <row r="63" spans="1:8" x14ac:dyDescent="0.2">
      <c r="A63" s="92">
        <v>57</v>
      </c>
      <c r="B63" s="93" t="s">
        <v>83</v>
      </c>
      <c r="C63" s="93" t="s">
        <v>84</v>
      </c>
      <c r="D63" s="93" t="s">
        <v>61</v>
      </c>
      <c r="E63" s="94">
        <v>1250000</v>
      </c>
      <c r="F63" s="95">
        <v>5824.375</v>
      </c>
      <c r="G63" s="96">
        <v>8.3232500000000008E-3</v>
      </c>
      <c r="H63" s="86" t="s">
        <v>142</v>
      </c>
    </row>
    <row r="64" spans="1:8" x14ac:dyDescent="0.2">
      <c r="A64" s="92">
        <v>58</v>
      </c>
      <c r="B64" s="93" t="s">
        <v>91</v>
      </c>
      <c r="C64" s="93" t="s">
        <v>92</v>
      </c>
      <c r="D64" s="93" t="s">
        <v>22</v>
      </c>
      <c r="E64" s="94">
        <v>425000</v>
      </c>
      <c r="F64" s="95">
        <v>5595.125</v>
      </c>
      <c r="G64" s="96">
        <v>7.99564E-3</v>
      </c>
      <c r="H64" s="86" t="s">
        <v>142</v>
      </c>
    </row>
    <row r="65" spans="1:8" x14ac:dyDescent="0.2">
      <c r="A65" s="92">
        <v>59</v>
      </c>
      <c r="B65" s="93" t="s">
        <v>202</v>
      </c>
      <c r="C65" s="93" t="s">
        <v>203</v>
      </c>
      <c r="D65" s="93" t="s">
        <v>204</v>
      </c>
      <c r="E65" s="94">
        <v>310000</v>
      </c>
      <c r="F65" s="95">
        <v>5512.11</v>
      </c>
      <c r="G65" s="96">
        <v>7.8770100000000003E-3</v>
      </c>
      <c r="H65" s="86" t="s">
        <v>142</v>
      </c>
    </row>
    <row r="66" spans="1:8" x14ac:dyDescent="0.2">
      <c r="A66" s="92">
        <v>60</v>
      </c>
      <c r="B66" s="93" t="s">
        <v>89</v>
      </c>
      <c r="C66" s="93" t="s">
        <v>90</v>
      </c>
      <c r="D66" s="93" t="s">
        <v>38</v>
      </c>
      <c r="E66" s="94">
        <v>40000</v>
      </c>
      <c r="F66" s="95">
        <v>4969.6000000000004</v>
      </c>
      <c r="G66" s="96">
        <v>7.1017500000000004E-3</v>
      </c>
      <c r="H66" s="86" t="s">
        <v>142</v>
      </c>
    </row>
    <row r="67" spans="1:8" x14ac:dyDescent="0.2">
      <c r="A67" s="92">
        <v>61</v>
      </c>
      <c r="B67" s="93" t="s">
        <v>283</v>
      </c>
      <c r="C67" s="93" t="s">
        <v>284</v>
      </c>
      <c r="D67" s="93" t="s">
        <v>218</v>
      </c>
      <c r="E67" s="94">
        <v>2900000</v>
      </c>
      <c r="F67" s="95">
        <v>4692.2</v>
      </c>
      <c r="G67" s="96">
        <v>6.7053299999999998E-3</v>
      </c>
      <c r="H67" s="86" t="s">
        <v>142</v>
      </c>
    </row>
    <row r="68" spans="1:8" ht="25.5" x14ac:dyDescent="0.2">
      <c r="A68" s="92">
        <v>62</v>
      </c>
      <c r="B68" s="93" t="s">
        <v>350</v>
      </c>
      <c r="C68" s="93" t="s">
        <v>351</v>
      </c>
      <c r="D68" s="93" t="s">
        <v>55</v>
      </c>
      <c r="E68" s="94">
        <v>1614147</v>
      </c>
      <c r="F68" s="95">
        <v>4678.6050795000001</v>
      </c>
      <c r="G68" s="96">
        <v>6.6858999999999998E-3</v>
      </c>
      <c r="H68" s="86" t="s">
        <v>142</v>
      </c>
    </row>
    <row r="69" spans="1:8" x14ac:dyDescent="0.2">
      <c r="A69" s="92">
        <v>63</v>
      </c>
      <c r="B69" s="93" t="s">
        <v>268</v>
      </c>
      <c r="C69" s="93" t="s">
        <v>269</v>
      </c>
      <c r="D69" s="93" t="s">
        <v>250</v>
      </c>
      <c r="E69" s="94">
        <v>34236</v>
      </c>
      <c r="F69" s="95">
        <v>4570.84836</v>
      </c>
      <c r="G69" s="96">
        <v>6.5319100000000001E-3</v>
      </c>
      <c r="H69" s="86" t="s">
        <v>142</v>
      </c>
    </row>
    <row r="70" spans="1:8" ht="25.5" x14ac:dyDescent="0.2">
      <c r="A70" s="92">
        <v>64</v>
      </c>
      <c r="B70" s="93" t="s">
        <v>299</v>
      </c>
      <c r="C70" s="93" t="s">
        <v>300</v>
      </c>
      <c r="D70" s="93" t="s">
        <v>225</v>
      </c>
      <c r="E70" s="94">
        <v>228714</v>
      </c>
      <c r="F70" s="95">
        <v>4411.6643459999996</v>
      </c>
      <c r="G70" s="96">
        <v>6.3044299999999998E-3</v>
      </c>
      <c r="H70" s="86" t="s">
        <v>142</v>
      </c>
    </row>
    <row r="71" spans="1:8" x14ac:dyDescent="0.2">
      <c r="A71" s="92">
        <v>65</v>
      </c>
      <c r="B71" s="93" t="s">
        <v>198</v>
      </c>
      <c r="C71" s="93" t="s">
        <v>199</v>
      </c>
      <c r="D71" s="93" t="s">
        <v>48</v>
      </c>
      <c r="E71" s="94">
        <v>829572</v>
      </c>
      <c r="F71" s="95">
        <v>4228.3284839999997</v>
      </c>
      <c r="G71" s="96">
        <v>6.0424399999999996E-3</v>
      </c>
      <c r="H71" s="86" t="s">
        <v>142</v>
      </c>
    </row>
    <row r="72" spans="1:8" x14ac:dyDescent="0.2">
      <c r="A72" s="92">
        <v>66</v>
      </c>
      <c r="B72" s="93" t="s">
        <v>307</v>
      </c>
      <c r="C72" s="93" t="s">
        <v>308</v>
      </c>
      <c r="D72" s="93" t="s">
        <v>309</v>
      </c>
      <c r="E72" s="94">
        <v>100000</v>
      </c>
      <c r="F72" s="95">
        <v>2708.4</v>
      </c>
      <c r="G72" s="96">
        <v>3.8704099999999999E-3</v>
      </c>
      <c r="H72" s="86" t="s">
        <v>142</v>
      </c>
    </row>
    <row r="73" spans="1:8" x14ac:dyDescent="0.2">
      <c r="A73" s="92">
        <v>67</v>
      </c>
      <c r="B73" s="93" t="s">
        <v>352</v>
      </c>
      <c r="C73" s="93" t="s">
        <v>353</v>
      </c>
      <c r="D73" s="93" t="s">
        <v>48</v>
      </c>
      <c r="E73" s="94">
        <v>140330</v>
      </c>
      <c r="F73" s="95">
        <v>2334.52988</v>
      </c>
      <c r="G73" s="96">
        <v>3.3361300000000001E-3</v>
      </c>
      <c r="H73" s="86" t="s">
        <v>142</v>
      </c>
    </row>
    <row r="74" spans="1:8" x14ac:dyDescent="0.2">
      <c r="A74" s="92">
        <v>68</v>
      </c>
      <c r="B74" s="93" t="s">
        <v>310</v>
      </c>
      <c r="C74" s="93" t="s">
        <v>311</v>
      </c>
      <c r="D74" s="93" t="s">
        <v>38</v>
      </c>
      <c r="E74" s="94">
        <v>100000</v>
      </c>
      <c r="F74" s="95">
        <v>2140.8000000000002</v>
      </c>
      <c r="G74" s="96">
        <v>3.0592800000000002E-3</v>
      </c>
      <c r="H74" s="86" t="s">
        <v>142</v>
      </c>
    </row>
    <row r="75" spans="1:8" x14ac:dyDescent="0.2">
      <c r="A75" s="92">
        <v>69</v>
      </c>
      <c r="B75" s="93" t="s">
        <v>312</v>
      </c>
      <c r="C75" s="93" t="s">
        <v>313</v>
      </c>
      <c r="D75" s="93" t="s">
        <v>48</v>
      </c>
      <c r="E75" s="94">
        <v>266361</v>
      </c>
      <c r="F75" s="95">
        <v>1443.9429809999999</v>
      </c>
      <c r="G75" s="96">
        <v>2.0634500000000001E-3</v>
      </c>
      <c r="H75" s="86" t="s">
        <v>142</v>
      </c>
    </row>
    <row r="76" spans="1:8" ht="51" x14ac:dyDescent="0.2">
      <c r="A76" s="92">
        <v>70</v>
      </c>
      <c r="B76" s="93" t="s">
        <v>314</v>
      </c>
      <c r="C76" s="93" t="s">
        <v>315</v>
      </c>
      <c r="D76" s="93" t="s">
        <v>316</v>
      </c>
      <c r="E76" s="94">
        <v>15970</v>
      </c>
      <c r="F76" s="95">
        <v>604.70405000000005</v>
      </c>
      <c r="G76" s="96">
        <v>8.6415000000000005E-4</v>
      </c>
      <c r="H76" s="86" t="s">
        <v>142</v>
      </c>
    </row>
    <row r="77" spans="1:8" x14ac:dyDescent="0.2">
      <c r="A77" s="97"/>
      <c r="B77" s="97"/>
      <c r="C77" s="98" t="s">
        <v>141</v>
      </c>
      <c r="D77" s="97"/>
      <c r="E77" s="97" t="s">
        <v>142</v>
      </c>
      <c r="F77" s="99">
        <v>689024.89740160003</v>
      </c>
      <c r="G77" s="100">
        <v>0.98464253000000002</v>
      </c>
      <c r="H77" s="86" t="s">
        <v>142</v>
      </c>
    </row>
    <row r="78" spans="1:8" x14ac:dyDescent="0.2">
      <c r="A78" s="97"/>
      <c r="B78" s="97"/>
      <c r="C78" s="101"/>
      <c r="D78" s="97"/>
      <c r="E78" s="97"/>
      <c r="F78" s="102"/>
      <c r="G78" s="102"/>
      <c r="H78" s="86" t="s">
        <v>142</v>
      </c>
    </row>
    <row r="79" spans="1:8" x14ac:dyDescent="0.2">
      <c r="A79" s="97"/>
      <c r="B79" s="97"/>
      <c r="C79" s="98" t="s">
        <v>143</v>
      </c>
      <c r="D79" s="97"/>
      <c r="E79" s="97"/>
      <c r="F79" s="97"/>
      <c r="G79" s="97"/>
      <c r="H79" s="86" t="s">
        <v>142</v>
      </c>
    </row>
    <row r="80" spans="1:8" x14ac:dyDescent="0.2">
      <c r="A80" s="97"/>
      <c r="B80" s="97"/>
      <c r="C80" s="98" t="s">
        <v>141</v>
      </c>
      <c r="D80" s="97"/>
      <c r="E80" s="97" t="s">
        <v>142</v>
      </c>
      <c r="F80" s="103" t="s">
        <v>144</v>
      </c>
      <c r="G80" s="100">
        <v>0</v>
      </c>
      <c r="H80" s="86" t="s">
        <v>142</v>
      </c>
    </row>
    <row r="81" spans="1:8" x14ac:dyDescent="0.2">
      <c r="A81" s="97"/>
      <c r="B81" s="97"/>
      <c r="C81" s="101"/>
      <c r="D81" s="97"/>
      <c r="E81" s="97"/>
      <c r="F81" s="102"/>
      <c r="G81" s="102"/>
      <c r="H81" s="86" t="s">
        <v>142</v>
      </c>
    </row>
    <row r="82" spans="1:8" x14ac:dyDescent="0.2">
      <c r="A82" s="97"/>
      <c r="B82" s="97"/>
      <c r="C82" s="98" t="s">
        <v>145</v>
      </c>
      <c r="D82" s="97"/>
      <c r="E82" s="97"/>
      <c r="F82" s="97"/>
      <c r="G82" s="97"/>
      <c r="H82" s="86" t="s">
        <v>142</v>
      </c>
    </row>
    <row r="83" spans="1:8" x14ac:dyDescent="0.2">
      <c r="A83" s="97"/>
      <c r="B83" s="97"/>
      <c r="C83" s="98" t="s">
        <v>141</v>
      </c>
      <c r="D83" s="97"/>
      <c r="E83" s="97" t="s">
        <v>142</v>
      </c>
      <c r="F83" s="103" t="s">
        <v>144</v>
      </c>
      <c r="G83" s="100">
        <v>0</v>
      </c>
      <c r="H83" s="86" t="s">
        <v>142</v>
      </c>
    </row>
    <row r="84" spans="1:8" x14ac:dyDescent="0.2">
      <c r="A84" s="97"/>
      <c r="B84" s="97"/>
      <c r="C84" s="101"/>
      <c r="D84" s="97"/>
      <c r="E84" s="97"/>
      <c r="F84" s="102"/>
      <c r="G84" s="102"/>
      <c r="H84" s="86" t="s">
        <v>142</v>
      </c>
    </row>
    <row r="85" spans="1:8" x14ac:dyDescent="0.2">
      <c r="A85" s="97"/>
      <c r="B85" s="97"/>
      <c r="C85" s="98" t="s">
        <v>146</v>
      </c>
      <c r="D85" s="97"/>
      <c r="E85" s="97"/>
      <c r="F85" s="97"/>
      <c r="G85" s="97"/>
      <c r="H85" s="86" t="s">
        <v>142</v>
      </c>
    </row>
    <row r="86" spans="1:8" x14ac:dyDescent="0.2">
      <c r="A86" s="97"/>
      <c r="B86" s="97"/>
      <c r="C86" s="98" t="s">
        <v>141</v>
      </c>
      <c r="D86" s="97"/>
      <c r="E86" s="97" t="s">
        <v>142</v>
      </c>
      <c r="F86" s="103" t="s">
        <v>144</v>
      </c>
      <c r="G86" s="100">
        <v>0</v>
      </c>
      <c r="H86" s="86" t="s">
        <v>142</v>
      </c>
    </row>
    <row r="87" spans="1:8" x14ac:dyDescent="0.2">
      <c r="A87" s="97"/>
      <c r="B87" s="97"/>
      <c r="C87" s="101"/>
      <c r="D87" s="97"/>
      <c r="E87" s="97"/>
      <c r="F87" s="102"/>
      <c r="G87" s="102"/>
      <c r="H87" s="86" t="s">
        <v>142</v>
      </c>
    </row>
    <row r="88" spans="1:8" x14ac:dyDescent="0.2">
      <c r="A88" s="97"/>
      <c r="B88" s="97"/>
      <c r="C88" s="98" t="s">
        <v>147</v>
      </c>
      <c r="D88" s="97"/>
      <c r="E88" s="97"/>
      <c r="F88" s="102"/>
      <c r="G88" s="102"/>
      <c r="H88" s="86" t="s">
        <v>142</v>
      </c>
    </row>
    <row r="89" spans="1:8" x14ac:dyDescent="0.2">
      <c r="A89" s="97"/>
      <c r="B89" s="97"/>
      <c r="C89" s="98" t="s">
        <v>141</v>
      </c>
      <c r="D89" s="97"/>
      <c r="E89" s="97" t="s">
        <v>142</v>
      </c>
      <c r="F89" s="103" t="s">
        <v>144</v>
      </c>
      <c r="G89" s="100">
        <v>0</v>
      </c>
      <c r="H89" s="86" t="s">
        <v>142</v>
      </c>
    </row>
    <row r="90" spans="1:8" x14ac:dyDescent="0.2">
      <c r="A90" s="97"/>
      <c r="B90" s="97"/>
      <c r="C90" s="101"/>
      <c r="D90" s="97"/>
      <c r="E90" s="97"/>
      <c r="F90" s="102"/>
      <c r="G90" s="102"/>
      <c r="H90" s="86" t="s">
        <v>142</v>
      </c>
    </row>
    <row r="91" spans="1:8" x14ac:dyDescent="0.2">
      <c r="A91" s="97"/>
      <c r="B91" s="97"/>
      <c r="C91" s="98" t="s">
        <v>148</v>
      </c>
      <c r="D91" s="97"/>
      <c r="E91" s="97"/>
      <c r="F91" s="102"/>
      <c r="G91" s="102"/>
      <c r="H91" s="86" t="s">
        <v>142</v>
      </c>
    </row>
    <row r="92" spans="1:8" x14ac:dyDescent="0.2">
      <c r="A92" s="97"/>
      <c r="B92" s="97"/>
      <c r="C92" s="98" t="s">
        <v>141</v>
      </c>
      <c r="D92" s="97"/>
      <c r="E92" s="97" t="s">
        <v>142</v>
      </c>
      <c r="F92" s="103" t="s">
        <v>144</v>
      </c>
      <c r="G92" s="100">
        <v>0</v>
      </c>
      <c r="H92" s="86" t="s">
        <v>142</v>
      </c>
    </row>
    <row r="93" spans="1:8" x14ac:dyDescent="0.2">
      <c r="A93" s="97"/>
      <c r="B93" s="97"/>
      <c r="C93" s="101"/>
      <c r="D93" s="97"/>
      <c r="E93" s="97"/>
      <c r="F93" s="102"/>
      <c r="G93" s="102"/>
      <c r="H93" s="86" t="s">
        <v>142</v>
      </c>
    </row>
    <row r="94" spans="1:8" x14ac:dyDescent="0.2">
      <c r="A94" s="97"/>
      <c r="B94" s="97"/>
      <c r="C94" s="98" t="s">
        <v>149</v>
      </c>
      <c r="D94" s="97"/>
      <c r="E94" s="97"/>
      <c r="F94" s="99">
        <v>689024.89740160003</v>
      </c>
      <c r="G94" s="100">
        <v>0.98464253000000002</v>
      </c>
      <c r="H94" s="86" t="s">
        <v>142</v>
      </c>
    </row>
    <row r="95" spans="1:8" x14ac:dyDescent="0.2">
      <c r="A95" s="97"/>
      <c r="B95" s="97"/>
      <c r="C95" s="101"/>
      <c r="D95" s="97"/>
      <c r="E95" s="97"/>
      <c r="F95" s="102"/>
      <c r="G95" s="102"/>
      <c r="H95" s="86" t="s">
        <v>142</v>
      </c>
    </row>
    <row r="96" spans="1:8" x14ac:dyDescent="0.2">
      <c r="A96" s="97"/>
      <c r="B96" s="97"/>
      <c r="C96" s="98" t="s">
        <v>150</v>
      </c>
      <c r="D96" s="97"/>
      <c r="E96" s="97"/>
      <c r="F96" s="102"/>
      <c r="G96" s="102"/>
      <c r="H96" s="86" t="s">
        <v>142</v>
      </c>
    </row>
    <row r="97" spans="1:8" x14ac:dyDescent="0.2">
      <c r="A97" s="97"/>
      <c r="B97" s="97"/>
      <c r="C97" s="98" t="s">
        <v>10</v>
      </c>
      <c r="D97" s="97"/>
      <c r="E97" s="97"/>
      <c r="F97" s="102"/>
      <c r="G97" s="102"/>
      <c r="H97" s="86" t="s">
        <v>142</v>
      </c>
    </row>
    <row r="98" spans="1:8" x14ac:dyDescent="0.2">
      <c r="A98" s="97"/>
      <c r="B98" s="97"/>
      <c r="C98" s="98" t="s">
        <v>141</v>
      </c>
      <c r="D98" s="97"/>
      <c r="E98" s="97" t="s">
        <v>142</v>
      </c>
      <c r="F98" s="103" t="s">
        <v>144</v>
      </c>
      <c r="G98" s="100">
        <v>0</v>
      </c>
      <c r="H98" s="86" t="s">
        <v>142</v>
      </c>
    </row>
    <row r="99" spans="1:8" x14ac:dyDescent="0.2">
      <c r="A99" s="97"/>
      <c r="B99" s="97"/>
      <c r="C99" s="101"/>
      <c r="D99" s="97"/>
      <c r="E99" s="97"/>
      <c r="F99" s="102"/>
      <c r="G99" s="102"/>
      <c r="H99" s="86" t="s">
        <v>142</v>
      </c>
    </row>
    <row r="100" spans="1:8" x14ac:dyDescent="0.2">
      <c r="A100" s="97"/>
      <c r="B100" s="97"/>
      <c r="C100" s="98" t="s">
        <v>151</v>
      </c>
      <c r="D100" s="97"/>
      <c r="E100" s="97"/>
      <c r="F100" s="97"/>
      <c r="G100" s="97"/>
      <c r="H100" s="86" t="s">
        <v>142</v>
      </c>
    </row>
    <row r="101" spans="1:8" x14ac:dyDescent="0.2">
      <c r="A101" s="97"/>
      <c r="B101" s="97"/>
      <c r="C101" s="98" t="s">
        <v>141</v>
      </c>
      <c r="D101" s="97"/>
      <c r="E101" s="97" t="s">
        <v>142</v>
      </c>
      <c r="F101" s="103" t="s">
        <v>144</v>
      </c>
      <c r="G101" s="100">
        <v>0</v>
      </c>
      <c r="H101" s="86" t="s">
        <v>142</v>
      </c>
    </row>
    <row r="102" spans="1:8" x14ac:dyDescent="0.2">
      <c r="A102" s="97"/>
      <c r="B102" s="97"/>
      <c r="C102" s="101"/>
      <c r="D102" s="97"/>
      <c r="E102" s="97"/>
      <c r="F102" s="102"/>
      <c r="G102" s="102"/>
      <c r="H102" s="86" t="s">
        <v>142</v>
      </c>
    </row>
    <row r="103" spans="1:8" x14ac:dyDescent="0.2">
      <c r="A103" s="97"/>
      <c r="B103" s="97"/>
      <c r="C103" s="98" t="s">
        <v>152</v>
      </c>
      <c r="D103" s="97"/>
      <c r="E103" s="97"/>
      <c r="F103" s="97"/>
      <c r="G103" s="97"/>
      <c r="H103" s="86" t="s">
        <v>142</v>
      </c>
    </row>
    <row r="104" spans="1:8" x14ac:dyDescent="0.2">
      <c r="A104" s="97"/>
      <c r="B104" s="97"/>
      <c r="C104" s="98" t="s">
        <v>141</v>
      </c>
      <c r="D104" s="97"/>
      <c r="E104" s="97" t="s">
        <v>142</v>
      </c>
      <c r="F104" s="103" t="s">
        <v>144</v>
      </c>
      <c r="G104" s="100">
        <v>0</v>
      </c>
      <c r="H104" s="86" t="s">
        <v>142</v>
      </c>
    </row>
    <row r="105" spans="1:8" x14ac:dyDescent="0.2">
      <c r="A105" s="97"/>
      <c r="B105" s="97"/>
      <c r="C105" s="101"/>
      <c r="D105" s="97"/>
      <c r="E105" s="97"/>
      <c r="F105" s="102"/>
      <c r="G105" s="102"/>
      <c r="H105" s="86" t="s">
        <v>142</v>
      </c>
    </row>
    <row r="106" spans="1:8" x14ac:dyDescent="0.2">
      <c r="A106" s="97"/>
      <c r="B106" s="97"/>
      <c r="C106" s="98" t="s">
        <v>153</v>
      </c>
      <c r="D106" s="97"/>
      <c r="E106" s="97"/>
      <c r="F106" s="102"/>
      <c r="G106" s="102"/>
      <c r="H106" s="86" t="s">
        <v>142</v>
      </c>
    </row>
    <row r="107" spans="1:8" x14ac:dyDescent="0.2">
      <c r="A107" s="97"/>
      <c r="B107" s="97"/>
      <c r="C107" s="98" t="s">
        <v>141</v>
      </c>
      <c r="D107" s="97"/>
      <c r="E107" s="97" t="s">
        <v>142</v>
      </c>
      <c r="F107" s="103" t="s">
        <v>144</v>
      </c>
      <c r="G107" s="100">
        <v>0</v>
      </c>
      <c r="H107" s="86" t="s">
        <v>142</v>
      </c>
    </row>
    <row r="108" spans="1:8" x14ac:dyDescent="0.2">
      <c r="A108" s="97"/>
      <c r="B108" s="97"/>
      <c r="C108" s="101"/>
      <c r="D108" s="97"/>
      <c r="E108" s="97"/>
      <c r="F108" s="102"/>
      <c r="G108" s="102"/>
      <c r="H108" s="86" t="s">
        <v>142</v>
      </c>
    </row>
    <row r="109" spans="1:8" x14ac:dyDescent="0.2">
      <c r="A109" s="97"/>
      <c r="B109" s="97"/>
      <c r="C109" s="98" t="s">
        <v>154</v>
      </c>
      <c r="D109" s="97"/>
      <c r="E109" s="97"/>
      <c r="F109" s="99">
        <v>0</v>
      </c>
      <c r="G109" s="100">
        <v>0</v>
      </c>
      <c r="H109" s="86" t="s">
        <v>142</v>
      </c>
    </row>
    <row r="110" spans="1:8" x14ac:dyDescent="0.2">
      <c r="A110" s="97"/>
      <c r="B110" s="97"/>
      <c r="C110" s="101"/>
      <c r="D110" s="97"/>
      <c r="E110" s="97"/>
      <c r="F110" s="102"/>
      <c r="G110" s="102"/>
      <c r="H110" s="86" t="s">
        <v>142</v>
      </c>
    </row>
    <row r="111" spans="1:8" x14ac:dyDescent="0.2">
      <c r="A111" s="97"/>
      <c r="B111" s="97"/>
      <c r="C111" s="98" t="s">
        <v>155</v>
      </c>
      <c r="D111" s="97"/>
      <c r="E111" s="97"/>
      <c r="F111" s="102"/>
      <c r="G111" s="102"/>
      <c r="H111" s="86" t="s">
        <v>142</v>
      </c>
    </row>
    <row r="112" spans="1:8" x14ac:dyDescent="0.2">
      <c r="A112" s="97"/>
      <c r="B112" s="97"/>
      <c r="C112" s="98" t="s">
        <v>156</v>
      </c>
      <c r="D112" s="97"/>
      <c r="E112" s="97"/>
      <c r="F112" s="102"/>
      <c r="G112" s="102"/>
      <c r="H112" s="86" t="s">
        <v>142</v>
      </c>
    </row>
    <row r="113" spans="1:8" x14ac:dyDescent="0.2">
      <c r="A113" s="97"/>
      <c r="B113" s="97"/>
      <c r="C113" s="98" t="s">
        <v>141</v>
      </c>
      <c r="D113" s="97"/>
      <c r="E113" s="97" t="s">
        <v>142</v>
      </c>
      <c r="F113" s="103" t="s">
        <v>144</v>
      </c>
      <c r="G113" s="100">
        <v>0</v>
      </c>
      <c r="H113" s="86" t="s">
        <v>142</v>
      </c>
    </row>
    <row r="114" spans="1:8" x14ac:dyDescent="0.2">
      <c r="A114" s="97"/>
      <c r="B114" s="97"/>
      <c r="C114" s="101"/>
      <c r="D114" s="97"/>
      <c r="E114" s="97"/>
      <c r="F114" s="102"/>
      <c r="G114" s="102"/>
      <c r="H114" s="86" t="s">
        <v>142</v>
      </c>
    </row>
    <row r="115" spans="1:8" x14ac:dyDescent="0.2">
      <c r="A115" s="97"/>
      <c r="B115" s="97"/>
      <c r="C115" s="98" t="s">
        <v>157</v>
      </c>
      <c r="D115" s="97"/>
      <c r="E115" s="97"/>
      <c r="F115" s="102"/>
      <c r="G115" s="102"/>
      <c r="H115" s="86" t="s">
        <v>142</v>
      </c>
    </row>
    <row r="116" spans="1:8" x14ac:dyDescent="0.2">
      <c r="A116" s="97"/>
      <c r="B116" s="97"/>
      <c r="C116" s="98" t="s">
        <v>141</v>
      </c>
      <c r="D116" s="97"/>
      <c r="E116" s="97" t="s">
        <v>142</v>
      </c>
      <c r="F116" s="103" t="s">
        <v>144</v>
      </c>
      <c r="G116" s="100">
        <v>0</v>
      </c>
      <c r="H116" s="86" t="s">
        <v>142</v>
      </c>
    </row>
    <row r="117" spans="1:8" x14ac:dyDescent="0.2">
      <c r="A117" s="97"/>
      <c r="B117" s="97"/>
      <c r="C117" s="101"/>
      <c r="D117" s="97"/>
      <c r="E117" s="97"/>
      <c r="F117" s="102"/>
      <c r="G117" s="102"/>
      <c r="H117" s="86" t="s">
        <v>142</v>
      </c>
    </row>
    <row r="118" spans="1:8" x14ac:dyDescent="0.2">
      <c r="A118" s="97"/>
      <c r="B118" s="97"/>
      <c r="C118" s="98" t="s">
        <v>158</v>
      </c>
      <c r="D118" s="97"/>
      <c r="E118" s="97"/>
      <c r="F118" s="102"/>
      <c r="G118" s="102"/>
      <c r="H118" s="86" t="s">
        <v>142</v>
      </c>
    </row>
    <row r="119" spans="1:8" x14ac:dyDescent="0.2">
      <c r="A119" s="97"/>
      <c r="B119" s="97"/>
      <c r="C119" s="98" t="s">
        <v>141</v>
      </c>
      <c r="D119" s="97"/>
      <c r="E119" s="97" t="s">
        <v>142</v>
      </c>
      <c r="F119" s="103" t="s">
        <v>144</v>
      </c>
      <c r="G119" s="100">
        <v>0</v>
      </c>
      <c r="H119" s="86" t="s">
        <v>142</v>
      </c>
    </row>
    <row r="120" spans="1:8" x14ac:dyDescent="0.2">
      <c r="A120" s="97"/>
      <c r="B120" s="97"/>
      <c r="C120" s="101"/>
      <c r="D120" s="97"/>
      <c r="E120" s="97"/>
      <c r="F120" s="102"/>
      <c r="G120" s="102"/>
      <c r="H120" s="86" t="s">
        <v>142</v>
      </c>
    </row>
    <row r="121" spans="1:8" x14ac:dyDescent="0.2">
      <c r="A121" s="97"/>
      <c r="B121" s="97"/>
      <c r="C121" s="98" t="s">
        <v>159</v>
      </c>
      <c r="D121" s="97"/>
      <c r="E121" s="97"/>
      <c r="F121" s="102"/>
      <c r="G121" s="102"/>
      <c r="H121" s="86" t="s">
        <v>142</v>
      </c>
    </row>
    <row r="122" spans="1:8" x14ac:dyDescent="0.2">
      <c r="A122" s="92">
        <v>1</v>
      </c>
      <c r="B122" s="93"/>
      <c r="C122" s="93" t="s">
        <v>160</v>
      </c>
      <c r="D122" s="93"/>
      <c r="E122" s="104"/>
      <c r="F122" s="95">
        <v>5004.613157709</v>
      </c>
      <c r="G122" s="96">
        <v>7.1517799999999999E-3</v>
      </c>
      <c r="H122" s="86">
        <v>5.57</v>
      </c>
    </row>
    <row r="123" spans="1:8" x14ac:dyDescent="0.2">
      <c r="A123" s="97"/>
      <c r="B123" s="97"/>
      <c r="C123" s="98" t="s">
        <v>141</v>
      </c>
      <c r="D123" s="97"/>
      <c r="E123" s="97" t="s">
        <v>142</v>
      </c>
      <c r="F123" s="99">
        <v>5004.613157709</v>
      </c>
      <c r="G123" s="100">
        <v>7.1517799999999999E-3</v>
      </c>
      <c r="H123" s="86" t="s">
        <v>142</v>
      </c>
    </row>
    <row r="124" spans="1:8" x14ac:dyDescent="0.2">
      <c r="A124" s="97"/>
      <c r="B124" s="97"/>
      <c r="C124" s="101"/>
      <c r="D124" s="97"/>
      <c r="E124" s="97"/>
      <c r="F124" s="102"/>
      <c r="G124" s="102"/>
      <c r="H124" s="86" t="s">
        <v>142</v>
      </c>
    </row>
    <row r="125" spans="1:8" x14ac:dyDescent="0.2">
      <c r="A125" s="97"/>
      <c r="B125" s="97"/>
      <c r="C125" s="98" t="s">
        <v>161</v>
      </c>
      <c r="D125" s="97"/>
      <c r="E125" s="97"/>
      <c r="F125" s="99">
        <v>5004.613157709</v>
      </c>
      <c r="G125" s="100">
        <v>7.1517799999999999E-3</v>
      </c>
      <c r="H125" s="86" t="s">
        <v>142</v>
      </c>
    </row>
    <row r="126" spans="1:8" x14ac:dyDescent="0.2">
      <c r="A126" s="97"/>
      <c r="B126" s="97"/>
      <c r="C126" s="102"/>
      <c r="D126" s="97"/>
      <c r="E126" s="97"/>
      <c r="F126" s="97"/>
      <c r="G126" s="97"/>
      <c r="H126" s="86" t="s">
        <v>142</v>
      </c>
    </row>
    <row r="127" spans="1:8" x14ac:dyDescent="0.2">
      <c r="A127" s="97"/>
      <c r="B127" s="97"/>
      <c r="C127" s="98" t="s">
        <v>162</v>
      </c>
      <c r="D127" s="97"/>
      <c r="E127" s="97"/>
      <c r="F127" s="97"/>
      <c r="G127" s="97"/>
      <c r="H127" s="86" t="s">
        <v>142</v>
      </c>
    </row>
    <row r="128" spans="1:8" x14ac:dyDescent="0.2">
      <c r="A128" s="97"/>
      <c r="B128" s="97"/>
      <c r="C128" s="98" t="s">
        <v>163</v>
      </c>
      <c r="D128" s="97"/>
      <c r="E128" s="97"/>
      <c r="F128" s="97"/>
      <c r="G128" s="97"/>
      <c r="H128" s="86" t="s">
        <v>142</v>
      </c>
    </row>
    <row r="129" spans="1:17" x14ac:dyDescent="0.2">
      <c r="A129" s="97"/>
      <c r="B129" s="97"/>
      <c r="C129" s="98" t="s">
        <v>141</v>
      </c>
      <c r="D129" s="97"/>
      <c r="E129" s="97" t="s">
        <v>142</v>
      </c>
      <c r="F129" s="103" t="s">
        <v>144</v>
      </c>
      <c r="G129" s="100">
        <v>0</v>
      </c>
      <c r="H129" s="86" t="s">
        <v>142</v>
      </c>
    </row>
    <row r="130" spans="1:17" x14ac:dyDescent="0.2">
      <c r="A130" s="97"/>
      <c r="B130" s="97"/>
      <c r="C130" s="101"/>
      <c r="D130" s="97"/>
      <c r="E130" s="97"/>
      <c r="F130" s="102"/>
      <c r="G130" s="102"/>
      <c r="H130" s="86" t="s">
        <v>142</v>
      </c>
    </row>
    <row r="131" spans="1:17" x14ac:dyDescent="0.2">
      <c r="A131" s="97"/>
      <c r="B131" s="97"/>
      <c r="C131" s="98" t="s">
        <v>164</v>
      </c>
      <c r="D131" s="97"/>
      <c r="E131" s="97"/>
      <c r="F131" s="97"/>
      <c r="G131" s="97"/>
      <c r="H131" s="86" t="s">
        <v>142</v>
      </c>
    </row>
    <row r="132" spans="1:17" x14ac:dyDescent="0.2">
      <c r="A132" s="97"/>
      <c r="B132" s="97"/>
      <c r="C132" s="98" t="s">
        <v>165</v>
      </c>
      <c r="D132" s="97"/>
      <c r="E132" s="97"/>
      <c r="F132" s="97"/>
      <c r="G132" s="97"/>
      <c r="H132" s="86" t="s">
        <v>142</v>
      </c>
    </row>
    <row r="133" spans="1:17" x14ac:dyDescent="0.2">
      <c r="A133" s="97"/>
      <c r="B133" s="97"/>
      <c r="C133" s="98" t="s">
        <v>141</v>
      </c>
      <c r="D133" s="97"/>
      <c r="E133" s="97" t="s">
        <v>142</v>
      </c>
      <c r="F133" s="103" t="s">
        <v>144</v>
      </c>
      <c r="G133" s="100">
        <v>0</v>
      </c>
      <c r="H133" s="86" t="s">
        <v>142</v>
      </c>
    </row>
    <row r="134" spans="1:17" x14ac:dyDescent="0.2">
      <c r="A134" s="97"/>
      <c r="B134" s="97"/>
      <c r="C134" s="101"/>
      <c r="D134" s="97"/>
      <c r="E134" s="97"/>
      <c r="F134" s="102"/>
      <c r="G134" s="102"/>
      <c r="H134" s="86" t="s">
        <v>142</v>
      </c>
    </row>
    <row r="135" spans="1:17" x14ac:dyDescent="0.2">
      <c r="A135" s="97"/>
      <c r="B135" s="97"/>
      <c r="C135" s="98" t="s">
        <v>166</v>
      </c>
      <c r="D135" s="97"/>
      <c r="E135" s="97"/>
      <c r="F135" s="102"/>
      <c r="G135" s="102"/>
      <c r="H135" s="86" t="s">
        <v>142</v>
      </c>
    </row>
    <row r="136" spans="1:17" x14ac:dyDescent="0.2">
      <c r="A136" s="97"/>
      <c r="B136" s="97"/>
      <c r="C136" s="98" t="s">
        <v>141</v>
      </c>
      <c r="D136" s="97"/>
      <c r="E136" s="97" t="s">
        <v>142</v>
      </c>
      <c r="F136" s="103" t="s">
        <v>144</v>
      </c>
      <c r="G136" s="100">
        <v>0</v>
      </c>
      <c r="H136" s="86" t="s">
        <v>142</v>
      </c>
    </row>
    <row r="137" spans="1:17" x14ac:dyDescent="0.2">
      <c r="A137" s="97"/>
      <c r="B137" s="97"/>
      <c r="C137" s="101"/>
      <c r="D137" s="97"/>
      <c r="E137" s="97"/>
      <c r="F137" s="102"/>
      <c r="G137" s="102"/>
      <c r="H137" s="86" t="s">
        <v>142</v>
      </c>
    </row>
    <row r="138" spans="1:17" x14ac:dyDescent="0.2">
      <c r="A138" s="104"/>
      <c r="B138" s="93"/>
      <c r="C138" s="93" t="s">
        <v>167</v>
      </c>
      <c r="D138" s="93"/>
      <c r="E138" s="104"/>
      <c r="F138" s="95">
        <v>5742.1177917000005</v>
      </c>
      <c r="G138" s="96">
        <v>8.2056999999999998E-3</v>
      </c>
      <c r="H138" s="86" t="s">
        <v>142</v>
      </c>
    </row>
    <row r="139" spans="1:17" x14ac:dyDescent="0.2">
      <c r="A139" s="101"/>
      <c r="B139" s="101"/>
      <c r="C139" s="98" t="s">
        <v>168</v>
      </c>
      <c r="D139" s="102"/>
      <c r="E139" s="102"/>
      <c r="F139" s="99">
        <v>699771.62835100899</v>
      </c>
      <c r="G139" s="105">
        <v>1.0000000099999999</v>
      </c>
      <c r="H139" s="86" t="s">
        <v>142</v>
      </c>
    </row>
    <row r="140" spans="1:17" ht="12.75" customHeight="1" x14ac:dyDescent="0.2">
      <c r="A140" s="106"/>
      <c r="B140" s="106"/>
      <c r="C140" s="107"/>
      <c r="D140" s="108"/>
      <c r="E140" s="108"/>
      <c r="F140" s="109"/>
      <c r="G140" s="110"/>
      <c r="H140" s="111"/>
    </row>
    <row r="141" spans="1:17" x14ac:dyDescent="0.2">
      <c r="A141" s="106"/>
      <c r="B141" s="200" t="s">
        <v>918</v>
      </c>
      <c r="C141" s="200"/>
      <c r="D141" s="200"/>
      <c r="E141" s="200"/>
      <c r="F141" s="200"/>
      <c r="G141" s="200"/>
      <c r="H141" s="200"/>
      <c r="J141" s="113"/>
    </row>
    <row r="142" spans="1:17" x14ac:dyDescent="0.2">
      <c r="A142" s="106"/>
      <c r="B142" s="200" t="s">
        <v>919</v>
      </c>
      <c r="C142" s="200"/>
      <c r="D142" s="200"/>
      <c r="E142" s="200"/>
      <c r="F142" s="200"/>
      <c r="G142" s="200"/>
      <c r="H142" s="200"/>
      <c r="J142" s="113"/>
    </row>
    <row r="143" spans="1:17" x14ac:dyDescent="0.2">
      <c r="A143" s="106"/>
      <c r="B143" s="200" t="s">
        <v>920</v>
      </c>
      <c r="C143" s="200"/>
      <c r="D143" s="200"/>
      <c r="E143" s="200"/>
      <c r="F143" s="200"/>
      <c r="G143" s="200"/>
      <c r="H143" s="200"/>
      <c r="J143" s="113"/>
    </row>
    <row r="144" spans="1:17" s="115" customFormat="1" ht="66.75" customHeight="1" x14ac:dyDescent="0.25">
      <c r="A144" s="114"/>
      <c r="B144" s="201" t="s">
        <v>921</v>
      </c>
      <c r="C144" s="201"/>
      <c r="D144" s="201"/>
      <c r="E144" s="201"/>
      <c r="F144" s="201"/>
      <c r="G144" s="201"/>
      <c r="H144" s="201"/>
      <c r="I144"/>
      <c r="J144" s="113"/>
      <c r="K144"/>
      <c r="L144"/>
      <c r="M144"/>
      <c r="N144"/>
      <c r="O144"/>
      <c r="P144"/>
      <c r="Q144"/>
    </row>
    <row r="145" spans="1:10" x14ac:dyDescent="0.2">
      <c r="A145" s="106"/>
      <c r="B145" s="200" t="s">
        <v>922</v>
      </c>
      <c r="C145" s="200"/>
      <c r="D145" s="200"/>
      <c r="E145" s="200"/>
      <c r="F145" s="200"/>
      <c r="G145" s="200"/>
      <c r="H145" s="200"/>
      <c r="J145" s="113"/>
    </row>
    <row r="146" spans="1:10" x14ac:dyDescent="0.2">
      <c r="A146" s="106"/>
      <c r="B146" s="106"/>
      <c r="C146" s="106"/>
      <c r="D146" s="108"/>
      <c r="E146" s="108"/>
      <c r="F146" s="108"/>
      <c r="G146" s="108"/>
    </row>
    <row r="147" spans="1:10" x14ac:dyDescent="0.2">
      <c r="A147" s="106"/>
      <c r="B147" s="202" t="s">
        <v>169</v>
      </c>
      <c r="C147" s="203"/>
      <c r="D147" s="204"/>
      <c r="E147" s="116"/>
      <c r="F147" s="108"/>
      <c r="G147" s="108"/>
    </row>
    <row r="148" spans="1:10" ht="27.75" customHeight="1" x14ac:dyDescent="0.2">
      <c r="A148" s="106"/>
      <c r="B148" s="205" t="s">
        <v>170</v>
      </c>
      <c r="C148" s="206"/>
      <c r="D148" s="85" t="s">
        <v>171</v>
      </c>
      <c r="E148" s="116"/>
      <c r="F148" s="108"/>
      <c r="G148" s="108"/>
    </row>
    <row r="149" spans="1:10" ht="12.75" customHeight="1" x14ac:dyDescent="0.2">
      <c r="A149" s="106"/>
      <c r="B149" s="205" t="s">
        <v>923</v>
      </c>
      <c r="C149" s="206"/>
      <c r="D149" s="85" t="s">
        <v>171</v>
      </c>
      <c r="E149" s="116"/>
      <c r="F149" s="108"/>
      <c r="G149" s="108"/>
    </row>
    <row r="150" spans="1:10" x14ac:dyDescent="0.2">
      <c r="A150" s="106"/>
      <c r="B150" s="205" t="s">
        <v>172</v>
      </c>
      <c r="C150" s="206"/>
      <c r="D150" s="117" t="s">
        <v>142</v>
      </c>
      <c r="E150" s="116"/>
      <c r="F150" s="108"/>
      <c r="G150" s="108"/>
    </row>
    <row r="151" spans="1:10" x14ac:dyDescent="0.2">
      <c r="A151" s="118"/>
      <c r="B151" s="119" t="s">
        <v>142</v>
      </c>
      <c r="C151" s="119" t="s">
        <v>924</v>
      </c>
      <c r="D151" s="119" t="s">
        <v>173</v>
      </c>
      <c r="E151" s="118"/>
      <c r="F151" s="118"/>
      <c r="G151" s="118"/>
      <c r="H151" s="118"/>
      <c r="J151" s="113"/>
    </row>
    <row r="152" spans="1:10" x14ac:dyDescent="0.2">
      <c r="A152" s="118"/>
      <c r="B152" s="120" t="s">
        <v>174</v>
      </c>
      <c r="C152" s="121">
        <v>45930</v>
      </c>
      <c r="D152" s="121">
        <v>45961</v>
      </c>
      <c r="E152" s="118"/>
      <c r="F152" s="118"/>
      <c r="G152" s="118"/>
      <c r="J152" s="113"/>
    </row>
    <row r="153" spans="1:10" x14ac:dyDescent="0.2">
      <c r="A153" s="122"/>
      <c r="B153" s="93" t="s">
        <v>175</v>
      </c>
      <c r="C153" s="123">
        <v>95.143799999999999</v>
      </c>
      <c r="D153" s="123">
        <v>99.301100000000005</v>
      </c>
      <c r="E153" s="122"/>
      <c r="F153" s="124"/>
      <c r="G153" s="125"/>
    </row>
    <row r="154" spans="1:10" x14ac:dyDescent="0.2">
      <c r="A154" s="122"/>
      <c r="B154" s="93" t="s">
        <v>1101</v>
      </c>
      <c r="C154" s="123">
        <v>35.169699999999999</v>
      </c>
      <c r="D154" s="123">
        <v>34.255699999999997</v>
      </c>
      <c r="E154" s="122"/>
      <c r="F154" s="124"/>
      <c r="G154" s="125"/>
    </row>
    <row r="155" spans="1:10" x14ac:dyDescent="0.2">
      <c r="A155" s="122"/>
      <c r="B155" s="93" t="s">
        <v>176</v>
      </c>
      <c r="C155" s="123">
        <v>84.4161</v>
      </c>
      <c r="D155" s="123">
        <v>88.026899999999998</v>
      </c>
      <c r="E155" s="122"/>
      <c r="F155" s="124"/>
      <c r="G155" s="125"/>
    </row>
    <row r="156" spans="1:10" x14ac:dyDescent="0.2">
      <c r="A156" s="122"/>
      <c r="B156" s="93" t="s">
        <v>1102</v>
      </c>
      <c r="C156" s="123">
        <v>30.543900000000001</v>
      </c>
      <c r="D156" s="123">
        <v>29.7087</v>
      </c>
      <c r="E156" s="122"/>
      <c r="F156" s="124"/>
      <c r="G156" s="125"/>
    </row>
    <row r="157" spans="1:10" x14ac:dyDescent="0.2">
      <c r="A157" s="122"/>
      <c r="B157" s="122"/>
      <c r="C157" s="122"/>
      <c r="D157" s="122"/>
      <c r="E157" s="122"/>
      <c r="F157" s="122"/>
      <c r="G157" s="122"/>
    </row>
    <row r="158" spans="1:10" x14ac:dyDescent="0.2">
      <c r="A158" s="122"/>
      <c r="B158" s="208" t="s">
        <v>925</v>
      </c>
      <c r="C158" s="209"/>
      <c r="D158" s="98" t="s">
        <v>142</v>
      </c>
      <c r="E158" s="122"/>
      <c r="F158" s="122"/>
      <c r="G158" s="122"/>
    </row>
    <row r="159" spans="1:10" x14ac:dyDescent="0.2">
      <c r="A159" s="122"/>
      <c r="B159" s="126" t="s">
        <v>174</v>
      </c>
      <c r="C159" s="127" t="s">
        <v>177</v>
      </c>
      <c r="D159" s="127" t="s">
        <v>178</v>
      </c>
      <c r="E159" s="122"/>
      <c r="F159" s="122"/>
      <c r="G159" s="122"/>
    </row>
    <row r="160" spans="1:10" x14ac:dyDescent="0.2">
      <c r="A160" s="122"/>
      <c r="B160" s="93" t="s">
        <v>1101</v>
      </c>
      <c r="C160" s="146">
        <v>2.4510000000000001</v>
      </c>
      <c r="D160" s="146">
        <v>2.4510000000000001</v>
      </c>
      <c r="E160" s="122"/>
      <c r="F160" s="124"/>
      <c r="G160" s="125"/>
    </row>
    <row r="161" spans="1:7" x14ac:dyDescent="0.2">
      <c r="A161" s="122"/>
      <c r="B161" s="93" t="s">
        <v>1102</v>
      </c>
      <c r="C161" s="146">
        <v>2.1419999999999999</v>
      </c>
      <c r="D161" s="146">
        <v>2.1419999999999999</v>
      </c>
      <c r="E161" s="122"/>
      <c r="F161" s="124"/>
      <c r="G161" s="125"/>
    </row>
    <row r="162" spans="1:7" x14ac:dyDescent="0.2">
      <c r="A162" s="122"/>
      <c r="B162" s="129"/>
      <c r="C162" s="129"/>
      <c r="D162" s="130"/>
      <c r="E162" s="122"/>
      <c r="F162" s="124"/>
      <c r="G162" s="125"/>
    </row>
    <row r="163" spans="1:7" x14ac:dyDescent="0.2">
      <c r="A163" s="118"/>
      <c r="B163" s="205" t="s">
        <v>179</v>
      </c>
      <c r="C163" s="206"/>
      <c r="D163" s="85" t="s">
        <v>171</v>
      </c>
      <c r="E163" s="131"/>
      <c r="F163" s="118"/>
      <c r="G163" s="118"/>
    </row>
    <row r="164" spans="1:7" x14ac:dyDescent="0.2">
      <c r="A164" s="118"/>
      <c r="B164" s="205" t="s">
        <v>180</v>
      </c>
      <c r="C164" s="206"/>
      <c r="D164" s="85" t="s">
        <v>171</v>
      </c>
      <c r="E164" s="131"/>
      <c r="F164" s="118"/>
      <c r="G164" s="118"/>
    </row>
    <row r="165" spans="1:7" x14ac:dyDescent="0.2">
      <c r="A165" s="118"/>
      <c r="B165" s="205" t="s">
        <v>181</v>
      </c>
      <c r="C165" s="206"/>
      <c r="D165" s="85" t="s">
        <v>171</v>
      </c>
      <c r="E165" s="131"/>
      <c r="F165" s="118"/>
      <c r="G165" s="118"/>
    </row>
    <row r="166" spans="1:7" x14ac:dyDescent="0.2">
      <c r="A166" s="118"/>
      <c r="B166" s="205" t="s">
        <v>182</v>
      </c>
      <c r="C166" s="206"/>
      <c r="D166" s="132">
        <v>0.5566391395468504</v>
      </c>
      <c r="E166" s="118"/>
      <c r="F166" s="112"/>
      <c r="G166" s="133"/>
    </row>
    <row r="168" spans="1:7" x14ac:dyDescent="0.2">
      <c r="B168" s="199" t="s">
        <v>926</v>
      </c>
      <c r="C168" s="199"/>
    </row>
    <row r="183" spans="2:10" x14ac:dyDescent="0.2">
      <c r="B183" s="134" t="s">
        <v>927</v>
      </c>
      <c r="C183" s="135"/>
      <c r="D183" s="134"/>
    </row>
    <row r="184" spans="2:10" x14ac:dyDescent="0.2">
      <c r="B184" s="134" t="s">
        <v>935</v>
      </c>
      <c r="D184" s="134"/>
    </row>
    <row r="187" spans="2:10" x14ac:dyDescent="0.2">
      <c r="J187" s="83"/>
    </row>
    <row r="199" customFormat="1" ht="12.75" customHeight="1" x14ac:dyDescent="0.2"/>
    <row r="200" customFormat="1" ht="12.75" customHeight="1" x14ac:dyDescent="0.2"/>
    <row r="201" customFormat="1" ht="12.75" customHeight="1" x14ac:dyDescent="0.2"/>
    <row r="202" customFormat="1" ht="12.75" customHeight="1" x14ac:dyDescent="0.2"/>
    <row r="203" customFormat="1" ht="12.75" customHeight="1" x14ac:dyDescent="0.2"/>
    <row r="204" customFormat="1" ht="12.75" customHeight="1" x14ac:dyDescent="0.2"/>
    <row r="205" customFormat="1" ht="12.75" customHeight="1" x14ac:dyDescent="0.2"/>
    <row r="206" customFormat="1" ht="12.75" customHeight="1" x14ac:dyDescent="0.2"/>
  </sheetData>
  <mergeCells count="18">
    <mergeCell ref="A1:H1"/>
    <mergeCell ref="A2:H2"/>
    <mergeCell ref="A3:H3"/>
    <mergeCell ref="B158:C158"/>
    <mergeCell ref="B163:C163"/>
    <mergeCell ref="B141:H141"/>
    <mergeCell ref="B142:H142"/>
    <mergeCell ref="B149:C149"/>
    <mergeCell ref="B150:C150"/>
    <mergeCell ref="B168:C168"/>
    <mergeCell ref="B143:H143"/>
    <mergeCell ref="B144:H144"/>
    <mergeCell ref="B145:H145"/>
    <mergeCell ref="B147:D147"/>
    <mergeCell ref="B148:C148"/>
    <mergeCell ref="B166:C166"/>
    <mergeCell ref="B165:C165"/>
    <mergeCell ref="B164:C164"/>
  </mergeCells>
  <hyperlinks>
    <hyperlink ref="I1" location="Index!B2" display="Index" xr:uid="{FCF42FFE-09FB-4600-8CF4-FBE80FD26DD7}"/>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B05F8-19F0-49DE-BCA1-0E248BDC962B}">
  <sheetPr>
    <outlinePr summaryBelow="0" summaryRight="0"/>
  </sheetPr>
  <dimension ref="A1:Q153"/>
  <sheetViews>
    <sheetView showGridLines="0" workbookViewId="0">
      <selection activeCell="C10" sqref="C10"/>
    </sheetView>
  </sheetViews>
  <sheetFormatPr defaultRowHeight="12.75" x14ac:dyDescent="0.2"/>
  <cols>
    <col min="1" max="1" width="5.85546875" bestFit="1" customWidth="1"/>
    <col min="2" max="2" width="19.7109375" bestFit="1" customWidth="1"/>
    <col min="3" max="3" width="45.85546875" customWidth="1"/>
    <col min="4" max="4" width="16.570312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354</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355</v>
      </c>
      <c r="C7" s="93" t="s">
        <v>356</v>
      </c>
      <c r="D7" s="93" t="s">
        <v>109</v>
      </c>
      <c r="E7" s="94">
        <v>31964</v>
      </c>
      <c r="F7" s="95">
        <v>216.73190199999999</v>
      </c>
      <c r="G7" s="96">
        <v>6.1726749999999997E-2</v>
      </c>
      <c r="H7" s="86" t="s">
        <v>142</v>
      </c>
    </row>
    <row r="8" spans="1:9" x14ac:dyDescent="0.2">
      <c r="A8" s="92">
        <v>2</v>
      </c>
      <c r="B8" s="93" t="s">
        <v>340</v>
      </c>
      <c r="C8" s="93" t="s">
        <v>341</v>
      </c>
      <c r="D8" s="93" t="s">
        <v>257</v>
      </c>
      <c r="E8" s="94">
        <v>9566</v>
      </c>
      <c r="F8" s="95">
        <v>184.681196</v>
      </c>
      <c r="G8" s="96">
        <v>5.2598489999999998E-2</v>
      </c>
      <c r="H8" s="86" t="s">
        <v>142</v>
      </c>
    </row>
    <row r="9" spans="1:9" x14ac:dyDescent="0.2">
      <c r="A9" s="92">
        <v>3</v>
      </c>
      <c r="B9" s="93" t="s">
        <v>221</v>
      </c>
      <c r="C9" s="93" t="s">
        <v>222</v>
      </c>
      <c r="D9" s="93" t="s">
        <v>186</v>
      </c>
      <c r="E9" s="94">
        <v>1151</v>
      </c>
      <c r="F9" s="95">
        <v>174.66425000000001</v>
      </c>
      <c r="G9" s="96">
        <v>4.9745589999999999E-2</v>
      </c>
      <c r="H9" s="86" t="s">
        <v>142</v>
      </c>
    </row>
    <row r="10" spans="1:9" x14ac:dyDescent="0.2">
      <c r="A10" s="92">
        <v>4</v>
      </c>
      <c r="B10" s="93" t="s">
        <v>81</v>
      </c>
      <c r="C10" s="93" t="s">
        <v>82</v>
      </c>
      <c r="D10" s="93" t="s">
        <v>58</v>
      </c>
      <c r="E10" s="94">
        <v>18540</v>
      </c>
      <c r="F10" s="95">
        <v>146.58651</v>
      </c>
      <c r="G10" s="96">
        <v>4.1748859999999999E-2</v>
      </c>
      <c r="H10" s="86" t="s">
        <v>142</v>
      </c>
    </row>
    <row r="11" spans="1:9" x14ac:dyDescent="0.2">
      <c r="A11" s="92">
        <v>5</v>
      </c>
      <c r="B11" s="93" t="s">
        <v>357</v>
      </c>
      <c r="C11" s="93" t="s">
        <v>358</v>
      </c>
      <c r="D11" s="93" t="s">
        <v>35</v>
      </c>
      <c r="E11" s="94">
        <v>268914</v>
      </c>
      <c r="F11" s="95">
        <v>139.40501760000001</v>
      </c>
      <c r="G11" s="96">
        <v>3.9703519999999999E-2</v>
      </c>
      <c r="H11" s="86" t="s">
        <v>142</v>
      </c>
    </row>
    <row r="12" spans="1:9" x14ac:dyDescent="0.2">
      <c r="A12" s="92">
        <v>6</v>
      </c>
      <c r="B12" s="93" t="s">
        <v>359</v>
      </c>
      <c r="C12" s="93" t="s">
        <v>360</v>
      </c>
      <c r="D12" s="93" t="s">
        <v>35</v>
      </c>
      <c r="E12" s="94">
        <v>33313</v>
      </c>
      <c r="F12" s="95">
        <v>137.6992855</v>
      </c>
      <c r="G12" s="96">
        <v>3.9217719999999998E-2</v>
      </c>
      <c r="H12" s="86" t="s">
        <v>142</v>
      </c>
    </row>
    <row r="13" spans="1:9" x14ac:dyDescent="0.2">
      <c r="A13" s="92">
        <v>7</v>
      </c>
      <c r="B13" s="93" t="s">
        <v>361</v>
      </c>
      <c r="C13" s="93" t="s">
        <v>362</v>
      </c>
      <c r="D13" s="93" t="s">
        <v>48</v>
      </c>
      <c r="E13" s="94">
        <v>6144</v>
      </c>
      <c r="F13" s="95">
        <v>131.16211200000001</v>
      </c>
      <c r="G13" s="96">
        <v>3.7355880000000001E-2</v>
      </c>
      <c r="H13" s="86" t="s">
        <v>142</v>
      </c>
    </row>
    <row r="14" spans="1:9" x14ac:dyDescent="0.2">
      <c r="A14" s="92">
        <v>8</v>
      </c>
      <c r="B14" s="93" t="s">
        <v>363</v>
      </c>
      <c r="C14" s="93" t="s">
        <v>364</v>
      </c>
      <c r="D14" s="93" t="s">
        <v>218</v>
      </c>
      <c r="E14" s="94">
        <v>44850</v>
      </c>
      <c r="F14" s="95">
        <v>128.29342500000001</v>
      </c>
      <c r="G14" s="96">
        <v>3.6538859999999999E-2</v>
      </c>
      <c r="H14" s="86" t="s">
        <v>142</v>
      </c>
    </row>
    <row r="15" spans="1:9" x14ac:dyDescent="0.2">
      <c r="A15" s="92">
        <v>9</v>
      </c>
      <c r="B15" s="93" t="s">
        <v>336</v>
      </c>
      <c r="C15" s="93" t="s">
        <v>337</v>
      </c>
      <c r="D15" s="93" t="s">
        <v>215</v>
      </c>
      <c r="E15" s="94">
        <v>1375</v>
      </c>
      <c r="F15" s="95">
        <v>127.098125</v>
      </c>
      <c r="G15" s="96">
        <v>3.6198429999999997E-2</v>
      </c>
      <c r="H15" s="86" t="s">
        <v>142</v>
      </c>
    </row>
    <row r="16" spans="1:9" x14ac:dyDescent="0.2">
      <c r="A16" s="92">
        <v>10</v>
      </c>
      <c r="B16" s="93" t="s">
        <v>365</v>
      </c>
      <c r="C16" s="93" t="s">
        <v>366</v>
      </c>
      <c r="D16" s="93" t="s">
        <v>48</v>
      </c>
      <c r="E16" s="94">
        <v>43192</v>
      </c>
      <c r="F16" s="95">
        <v>123.054008</v>
      </c>
      <c r="G16" s="96">
        <v>3.5046639999999997E-2</v>
      </c>
      <c r="H16" s="86" t="s">
        <v>142</v>
      </c>
    </row>
    <row r="17" spans="1:8" x14ac:dyDescent="0.2">
      <c r="A17" s="92">
        <v>11</v>
      </c>
      <c r="B17" s="93" t="s">
        <v>69</v>
      </c>
      <c r="C17" s="93" t="s">
        <v>70</v>
      </c>
      <c r="D17" s="93" t="s">
        <v>58</v>
      </c>
      <c r="E17" s="94">
        <v>3019</v>
      </c>
      <c r="F17" s="95">
        <v>121.72608</v>
      </c>
      <c r="G17" s="96">
        <v>3.4668440000000002E-2</v>
      </c>
      <c r="H17" s="86" t="s">
        <v>142</v>
      </c>
    </row>
    <row r="18" spans="1:8" ht="25.5" x14ac:dyDescent="0.2">
      <c r="A18" s="92">
        <v>12</v>
      </c>
      <c r="B18" s="93" t="s">
        <v>367</v>
      </c>
      <c r="C18" s="93" t="s">
        <v>368</v>
      </c>
      <c r="D18" s="93" t="s">
        <v>275</v>
      </c>
      <c r="E18" s="94">
        <v>1908</v>
      </c>
      <c r="F18" s="95">
        <v>108.515592</v>
      </c>
      <c r="G18" s="96">
        <v>3.0905999999999999E-2</v>
      </c>
      <c r="H18" s="86" t="s">
        <v>142</v>
      </c>
    </row>
    <row r="19" spans="1:8" ht="25.5" x14ac:dyDescent="0.2">
      <c r="A19" s="92">
        <v>13</v>
      </c>
      <c r="B19" s="93" t="s">
        <v>369</v>
      </c>
      <c r="C19" s="93" t="s">
        <v>370</v>
      </c>
      <c r="D19" s="93" t="s">
        <v>225</v>
      </c>
      <c r="E19" s="94">
        <v>1748</v>
      </c>
      <c r="F19" s="95">
        <v>107.79042</v>
      </c>
      <c r="G19" s="96">
        <v>3.0699460000000001E-2</v>
      </c>
      <c r="H19" s="86" t="s">
        <v>142</v>
      </c>
    </row>
    <row r="20" spans="1:8" x14ac:dyDescent="0.2">
      <c r="A20" s="92">
        <v>14</v>
      </c>
      <c r="B20" s="93" t="s">
        <v>371</v>
      </c>
      <c r="C20" s="93" t="s">
        <v>372</v>
      </c>
      <c r="D20" s="93" t="s">
        <v>204</v>
      </c>
      <c r="E20" s="94">
        <v>14636</v>
      </c>
      <c r="F20" s="95">
        <v>93.414270000000002</v>
      </c>
      <c r="G20" s="96">
        <v>2.6605030000000002E-2</v>
      </c>
      <c r="H20" s="86" t="s">
        <v>142</v>
      </c>
    </row>
    <row r="21" spans="1:8" x14ac:dyDescent="0.2">
      <c r="A21" s="92">
        <v>15</v>
      </c>
      <c r="B21" s="93" t="s">
        <v>373</v>
      </c>
      <c r="C21" s="93" t="s">
        <v>374</v>
      </c>
      <c r="D21" s="93" t="s">
        <v>215</v>
      </c>
      <c r="E21" s="94">
        <v>3672</v>
      </c>
      <c r="F21" s="95">
        <v>91.520927999999998</v>
      </c>
      <c r="G21" s="96">
        <v>2.60658E-2</v>
      </c>
      <c r="H21" s="86" t="s">
        <v>142</v>
      </c>
    </row>
    <row r="22" spans="1:8" ht="25.5" x14ac:dyDescent="0.2">
      <c r="A22" s="92">
        <v>16</v>
      </c>
      <c r="B22" s="93" t="s">
        <v>375</v>
      </c>
      <c r="C22" s="93" t="s">
        <v>376</v>
      </c>
      <c r="D22" s="93" t="s">
        <v>225</v>
      </c>
      <c r="E22" s="94">
        <v>9463</v>
      </c>
      <c r="F22" s="95">
        <v>90.243899499999998</v>
      </c>
      <c r="G22" s="96">
        <v>2.570209E-2</v>
      </c>
      <c r="H22" s="86" t="s">
        <v>142</v>
      </c>
    </row>
    <row r="23" spans="1:8" ht="25.5" x14ac:dyDescent="0.2">
      <c r="A23" s="92">
        <v>17</v>
      </c>
      <c r="B23" s="93" t="s">
        <v>377</v>
      </c>
      <c r="C23" s="93" t="s">
        <v>378</v>
      </c>
      <c r="D23" s="93" t="s">
        <v>225</v>
      </c>
      <c r="E23" s="94">
        <v>5362</v>
      </c>
      <c r="F23" s="95">
        <v>90.204926</v>
      </c>
      <c r="G23" s="96">
        <v>2.569099E-2</v>
      </c>
      <c r="H23" s="86" t="s">
        <v>142</v>
      </c>
    </row>
    <row r="24" spans="1:8" x14ac:dyDescent="0.2">
      <c r="A24" s="92">
        <v>18</v>
      </c>
      <c r="B24" s="93" t="s">
        <v>379</v>
      </c>
      <c r="C24" s="93" t="s">
        <v>380</v>
      </c>
      <c r="D24" s="93" t="s">
        <v>35</v>
      </c>
      <c r="E24" s="94">
        <v>149355</v>
      </c>
      <c r="F24" s="95">
        <v>85.117414499999995</v>
      </c>
      <c r="G24" s="96">
        <v>2.4242030000000001E-2</v>
      </c>
      <c r="H24" s="86" t="s">
        <v>142</v>
      </c>
    </row>
    <row r="25" spans="1:8" ht="25.5" x14ac:dyDescent="0.2">
      <c r="A25" s="92">
        <v>19</v>
      </c>
      <c r="B25" s="93" t="s">
        <v>74</v>
      </c>
      <c r="C25" s="93" t="s">
        <v>75</v>
      </c>
      <c r="D25" s="93" t="s">
        <v>25</v>
      </c>
      <c r="E25" s="94">
        <v>1334</v>
      </c>
      <c r="F25" s="95">
        <v>82.894760000000005</v>
      </c>
      <c r="G25" s="96">
        <v>2.360901E-2</v>
      </c>
      <c r="H25" s="86" t="s">
        <v>142</v>
      </c>
    </row>
    <row r="26" spans="1:8" x14ac:dyDescent="0.2">
      <c r="A26" s="92">
        <v>20</v>
      </c>
      <c r="B26" s="93" t="s">
        <v>381</v>
      </c>
      <c r="C26" s="93" t="s">
        <v>382</v>
      </c>
      <c r="D26" s="93" t="s">
        <v>383</v>
      </c>
      <c r="E26" s="94">
        <v>6861</v>
      </c>
      <c r="F26" s="95">
        <v>82.784825999999995</v>
      </c>
      <c r="G26" s="96">
        <v>2.35777E-2</v>
      </c>
      <c r="H26" s="86" t="s">
        <v>142</v>
      </c>
    </row>
    <row r="27" spans="1:8" x14ac:dyDescent="0.2">
      <c r="A27" s="92">
        <v>21</v>
      </c>
      <c r="B27" s="93" t="s">
        <v>384</v>
      </c>
      <c r="C27" s="93" t="s">
        <v>385</v>
      </c>
      <c r="D27" s="93" t="s">
        <v>186</v>
      </c>
      <c r="E27" s="94">
        <v>9319</v>
      </c>
      <c r="F27" s="95">
        <v>80.879600999999994</v>
      </c>
      <c r="G27" s="96">
        <v>2.3035070000000001E-2</v>
      </c>
      <c r="H27" s="86" t="s">
        <v>142</v>
      </c>
    </row>
    <row r="28" spans="1:8" x14ac:dyDescent="0.2">
      <c r="A28" s="92">
        <v>22</v>
      </c>
      <c r="B28" s="93" t="s">
        <v>386</v>
      </c>
      <c r="C28" s="93" t="s">
        <v>387</v>
      </c>
      <c r="D28" s="93" t="s">
        <v>186</v>
      </c>
      <c r="E28" s="94">
        <v>3675</v>
      </c>
      <c r="F28" s="95">
        <v>70.288049999999998</v>
      </c>
      <c r="G28" s="96">
        <v>2.001853E-2</v>
      </c>
      <c r="H28" s="86" t="s">
        <v>142</v>
      </c>
    </row>
    <row r="29" spans="1:8" ht="25.5" x14ac:dyDescent="0.2">
      <c r="A29" s="92">
        <v>23</v>
      </c>
      <c r="B29" s="93" t="s">
        <v>388</v>
      </c>
      <c r="C29" s="93" t="s">
        <v>389</v>
      </c>
      <c r="D29" s="93" t="s">
        <v>390</v>
      </c>
      <c r="E29" s="94">
        <v>19755</v>
      </c>
      <c r="F29" s="95">
        <v>65.843414999999993</v>
      </c>
      <c r="G29" s="96">
        <v>1.8752660000000001E-2</v>
      </c>
      <c r="H29" s="86" t="s">
        <v>142</v>
      </c>
    </row>
    <row r="30" spans="1:8" x14ac:dyDescent="0.2">
      <c r="A30" s="92">
        <v>24</v>
      </c>
      <c r="B30" s="93" t="s">
        <v>391</v>
      </c>
      <c r="C30" s="93" t="s">
        <v>392</v>
      </c>
      <c r="D30" s="93" t="s">
        <v>58</v>
      </c>
      <c r="E30" s="94">
        <v>12724</v>
      </c>
      <c r="F30" s="95">
        <v>60.668031999999997</v>
      </c>
      <c r="G30" s="96">
        <v>1.7278680000000001E-2</v>
      </c>
      <c r="H30" s="86" t="s">
        <v>142</v>
      </c>
    </row>
    <row r="31" spans="1:8" x14ac:dyDescent="0.2">
      <c r="A31" s="92">
        <v>25</v>
      </c>
      <c r="B31" s="93" t="s">
        <v>393</v>
      </c>
      <c r="C31" s="93" t="s">
        <v>394</v>
      </c>
      <c r="D31" s="93" t="s">
        <v>186</v>
      </c>
      <c r="E31" s="94">
        <v>5806</v>
      </c>
      <c r="F31" s="95">
        <v>53.920321999999999</v>
      </c>
      <c r="G31" s="96">
        <v>1.535688E-2</v>
      </c>
      <c r="H31" s="86" t="s">
        <v>142</v>
      </c>
    </row>
    <row r="32" spans="1:8" x14ac:dyDescent="0.2">
      <c r="A32" s="92">
        <v>26</v>
      </c>
      <c r="B32" s="93" t="s">
        <v>395</v>
      </c>
      <c r="C32" s="93" t="s">
        <v>396</v>
      </c>
      <c r="D32" s="93" t="s">
        <v>257</v>
      </c>
      <c r="E32" s="94">
        <v>11897</v>
      </c>
      <c r="F32" s="95">
        <v>50.859675000000003</v>
      </c>
      <c r="G32" s="96">
        <v>1.448519E-2</v>
      </c>
      <c r="H32" s="86" t="s">
        <v>142</v>
      </c>
    </row>
    <row r="33" spans="1:8" x14ac:dyDescent="0.2">
      <c r="A33" s="92">
        <v>27</v>
      </c>
      <c r="B33" s="93" t="s">
        <v>397</v>
      </c>
      <c r="C33" s="93" t="s">
        <v>398</v>
      </c>
      <c r="D33" s="93" t="s">
        <v>135</v>
      </c>
      <c r="E33" s="94">
        <v>27808</v>
      </c>
      <c r="F33" s="95">
        <v>50.844147200000002</v>
      </c>
      <c r="G33" s="96">
        <v>1.448077E-2</v>
      </c>
      <c r="H33" s="86" t="s">
        <v>142</v>
      </c>
    </row>
    <row r="34" spans="1:8" x14ac:dyDescent="0.2">
      <c r="A34" s="92">
        <v>28</v>
      </c>
      <c r="B34" s="93" t="s">
        <v>399</v>
      </c>
      <c r="C34" s="93" t="s">
        <v>400</v>
      </c>
      <c r="D34" s="93" t="s">
        <v>218</v>
      </c>
      <c r="E34" s="94">
        <v>8151</v>
      </c>
      <c r="F34" s="95">
        <v>48.363958500000003</v>
      </c>
      <c r="G34" s="96">
        <v>1.3774389999999999E-2</v>
      </c>
      <c r="H34" s="86" t="s">
        <v>142</v>
      </c>
    </row>
    <row r="35" spans="1:8" ht="25.5" x14ac:dyDescent="0.2">
      <c r="A35" s="92">
        <v>29</v>
      </c>
      <c r="B35" s="93" t="s">
        <v>401</v>
      </c>
      <c r="C35" s="93" t="s">
        <v>402</v>
      </c>
      <c r="D35" s="93" t="s">
        <v>225</v>
      </c>
      <c r="E35" s="94">
        <v>5676</v>
      </c>
      <c r="F35" s="95">
        <v>46.537523999999998</v>
      </c>
      <c r="G35" s="96">
        <v>1.3254210000000001E-2</v>
      </c>
      <c r="H35" s="86" t="s">
        <v>142</v>
      </c>
    </row>
    <row r="36" spans="1:8" x14ac:dyDescent="0.2">
      <c r="A36" s="92">
        <v>30</v>
      </c>
      <c r="B36" s="93" t="s">
        <v>71</v>
      </c>
      <c r="C36" s="93" t="s">
        <v>72</v>
      </c>
      <c r="D36" s="93" t="s">
        <v>73</v>
      </c>
      <c r="E36" s="94">
        <v>4383</v>
      </c>
      <c r="F36" s="95">
        <v>45.482391</v>
      </c>
      <c r="G36" s="96">
        <v>1.29537E-2</v>
      </c>
      <c r="H36" s="86" t="s">
        <v>142</v>
      </c>
    </row>
    <row r="37" spans="1:8" x14ac:dyDescent="0.2">
      <c r="A37" s="92">
        <v>31</v>
      </c>
      <c r="B37" s="93" t="s">
        <v>403</v>
      </c>
      <c r="C37" s="93" t="s">
        <v>404</v>
      </c>
      <c r="D37" s="93" t="s">
        <v>204</v>
      </c>
      <c r="E37" s="94">
        <v>11397</v>
      </c>
      <c r="F37" s="95">
        <v>42.351252000000002</v>
      </c>
      <c r="G37" s="96">
        <v>1.206193E-2</v>
      </c>
      <c r="H37" s="86" t="s">
        <v>142</v>
      </c>
    </row>
    <row r="38" spans="1:8" x14ac:dyDescent="0.2">
      <c r="A38" s="92">
        <v>32</v>
      </c>
      <c r="B38" s="93" t="s">
        <v>405</v>
      </c>
      <c r="C38" s="93" t="s">
        <v>406</v>
      </c>
      <c r="D38" s="93" t="s">
        <v>48</v>
      </c>
      <c r="E38" s="94">
        <v>5239</v>
      </c>
      <c r="F38" s="95">
        <v>39.5256355</v>
      </c>
      <c r="G38" s="96">
        <v>1.125718E-2</v>
      </c>
      <c r="H38" s="86" t="s">
        <v>142</v>
      </c>
    </row>
    <row r="39" spans="1:8" x14ac:dyDescent="0.2">
      <c r="A39" s="92">
        <v>33</v>
      </c>
      <c r="B39" s="93" t="s">
        <v>407</v>
      </c>
      <c r="C39" s="93" t="s">
        <v>408</v>
      </c>
      <c r="D39" s="93" t="s">
        <v>409</v>
      </c>
      <c r="E39" s="94">
        <v>3092</v>
      </c>
      <c r="F39" s="95">
        <v>37.728583999999998</v>
      </c>
      <c r="G39" s="96">
        <v>1.0745360000000001E-2</v>
      </c>
      <c r="H39" s="86" t="s">
        <v>142</v>
      </c>
    </row>
    <row r="40" spans="1:8" x14ac:dyDescent="0.2">
      <c r="A40" s="92">
        <v>34</v>
      </c>
      <c r="B40" s="93" t="s">
        <v>301</v>
      </c>
      <c r="C40" s="93" t="s">
        <v>302</v>
      </c>
      <c r="D40" s="93" t="s">
        <v>58</v>
      </c>
      <c r="E40" s="94">
        <v>2184</v>
      </c>
      <c r="F40" s="95">
        <v>36.889944</v>
      </c>
      <c r="G40" s="96">
        <v>1.050651E-2</v>
      </c>
      <c r="H40" s="86" t="s">
        <v>142</v>
      </c>
    </row>
    <row r="41" spans="1:8" x14ac:dyDescent="0.2">
      <c r="A41" s="92">
        <v>35</v>
      </c>
      <c r="B41" s="93" t="s">
        <v>211</v>
      </c>
      <c r="C41" s="93" t="s">
        <v>212</v>
      </c>
      <c r="D41" s="93" t="s">
        <v>73</v>
      </c>
      <c r="E41" s="94">
        <v>2178</v>
      </c>
      <c r="F41" s="95">
        <v>36.647027999999999</v>
      </c>
      <c r="G41" s="96">
        <v>1.043733E-2</v>
      </c>
      <c r="H41" s="86" t="s">
        <v>142</v>
      </c>
    </row>
    <row r="42" spans="1:8" x14ac:dyDescent="0.2">
      <c r="A42" s="92">
        <v>36</v>
      </c>
      <c r="B42" s="93" t="s">
        <v>410</v>
      </c>
      <c r="C42" s="93" t="s">
        <v>411</v>
      </c>
      <c r="D42" s="93" t="s">
        <v>48</v>
      </c>
      <c r="E42" s="94">
        <v>4246</v>
      </c>
      <c r="F42" s="95">
        <v>32.050930999999999</v>
      </c>
      <c r="G42" s="96">
        <v>9.1283300000000005E-3</v>
      </c>
      <c r="H42" s="86" t="s">
        <v>142</v>
      </c>
    </row>
    <row r="43" spans="1:8" x14ac:dyDescent="0.2">
      <c r="A43" s="92">
        <v>37</v>
      </c>
      <c r="B43" s="93" t="s">
        <v>412</v>
      </c>
      <c r="C43" s="93" t="s">
        <v>413</v>
      </c>
      <c r="D43" s="93" t="s">
        <v>58</v>
      </c>
      <c r="E43" s="94">
        <v>2283</v>
      </c>
      <c r="F43" s="95">
        <v>20.558415</v>
      </c>
      <c r="G43" s="96">
        <v>5.8551799999999998E-3</v>
      </c>
      <c r="H43" s="86" t="s">
        <v>142</v>
      </c>
    </row>
    <row r="44" spans="1:8" x14ac:dyDescent="0.2">
      <c r="A44" s="92">
        <v>38</v>
      </c>
      <c r="B44" s="93" t="s">
        <v>414</v>
      </c>
      <c r="C44" s="93" t="s">
        <v>415</v>
      </c>
      <c r="D44" s="93" t="s">
        <v>38</v>
      </c>
      <c r="E44" s="94">
        <v>4214</v>
      </c>
      <c r="F44" s="95">
        <v>12.888519000000001</v>
      </c>
      <c r="G44" s="96">
        <v>3.67074E-3</v>
      </c>
      <c r="H44" s="86" t="s">
        <v>142</v>
      </c>
    </row>
    <row r="45" spans="1:8" x14ac:dyDescent="0.2">
      <c r="A45" s="97"/>
      <c r="B45" s="97"/>
      <c r="C45" s="98" t="s">
        <v>141</v>
      </c>
      <c r="D45" s="97"/>
      <c r="E45" s="97" t="s">
        <v>142</v>
      </c>
      <c r="F45" s="99">
        <v>3295.9163712999998</v>
      </c>
      <c r="G45" s="100">
        <v>0.93869992999999996</v>
      </c>
      <c r="H45" s="86" t="s">
        <v>142</v>
      </c>
    </row>
    <row r="46" spans="1:8" x14ac:dyDescent="0.2">
      <c r="A46" s="97"/>
      <c r="B46" s="97"/>
      <c r="C46" s="101"/>
      <c r="D46" s="97"/>
      <c r="E46" s="97"/>
      <c r="F46" s="102"/>
      <c r="G46" s="102"/>
      <c r="H46" s="86" t="s">
        <v>142</v>
      </c>
    </row>
    <row r="47" spans="1:8" x14ac:dyDescent="0.2">
      <c r="A47" s="97"/>
      <c r="B47" s="97"/>
      <c r="C47" s="98" t="s">
        <v>143</v>
      </c>
      <c r="D47" s="97"/>
      <c r="E47" s="97"/>
      <c r="F47" s="97"/>
      <c r="G47" s="97"/>
      <c r="H47" s="86" t="s">
        <v>142</v>
      </c>
    </row>
    <row r="48" spans="1:8" x14ac:dyDescent="0.2">
      <c r="A48" s="97"/>
      <c r="B48" s="97"/>
      <c r="C48" s="98" t="s">
        <v>141</v>
      </c>
      <c r="D48" s="97"/>
      <c r="E48" s="97" t="s">
        <v>142</v>
      </c>
      <c r="F48" s="103" t="s">
        <v>144</v>
      </c>
      <c r="G48" s="100">
        <v>0</v>
      </c>
      <c r="H48" s="86" t="s">
        <v>142</v>
      </c>
    </row>
    <row r="49" spans="1:8" x14ac:dyDescent="0.2">
      <c r="A49" s="97"/>
      <c r="B49" s="97"/>
      <c r="C49" s="101"/>
      <c r="D49" s="97"/>
      <c r="E49" s="97"/>
      <c r="F49" s="102"/>
      <c r="G49" s="102"/>
      <c r="H49" s="86" t="s">
        <v>142</v>
      </c>
    </row>
    <row r="50" spans="1:8" x14ac:dyDescent="0.2">
      <c r="A50" s="97"/>
      <c r="B50" s="97"/>
      <c r="C50" s="98" t="s">
        <v>145</v>
      </c>
      <c r="D50" s="97"/>
      <c r="E50" s="97"/>
      <c r="F50" s="97"/>
      <c r="G50" s="97"/>
      <c r="H50" s="86" t="s">
        <v>142</v>
      </c>
    </row>
    <row r="51" spans="1:8" x14ac:dyDescent="0.2">
      <c r="A51" s="97"/>
      <c r="B51" s="97"/>
      <c r="C51" s="98" t="s">
        <v>141</v>
      </c>
      <c r="D51" s="97"/>
      <c r="E51" s="97" t="s">
        <v>142</v>
      </c>
      <c r="F51" s="103" t="s">
        <v>144</v>
      </c>
      <c r="G51" s="100">
        <v>0</v>
      </c>
      <c r="H51" s="86" t="s">
        <v>142</v>
      </c>
    </row>
    <row r="52" spans="1:8" x14ac:dyDescent="0.2">
      <c r="A52" s="97"/>
      <c r="B52" s="97"/>
      <c r="C52" s="101"/>
      <c r="D52" s="97"/>
      <c r="E52" s="97"/>
      <c r="F52" s="102"/>
      <c r="G52" s="102"/>
      <c r="H52" s="86" t="s">
        <v>142</v>
      </c>
    </row>
    <row r="53" spans="1:8" x14ac:dyDescent="0.2">
      <c r="A53" s="97"/>
      <c r="B53" s="97"/>
      <c r="C53" s="98" t="s">
        <v>146</v>
      </c>
      <c r="D53" s="97"/>
      <c r="E53" s="97"/>
      <c r="F53" s="97"/>
      <c r="G53" s="97"/>
      <c r="H53" s="86" t="s">
        <v>142</v>
      </c>
    </row>
    <row r="54" spans="1:8" x14ac:dyDescent="0.2">
      <c r="A54" s="97"/>
      <c r="B54" s="97"/>
      <c r="C54" s="98" t="s">
        <v>141</v>
      </c>
      <c r="D54" s="97"/>
      <c r="E54" s="97" t="s">
        <v>142</v>
      </c>
      <c r="F54" s="103" t="s">
        <v>144</v>
      </c>
      <c r="G54" s="100">
        <v>0</v>
      </c>
      <c r="H54" s="86" t="s">
        <v>142</v>
      </c>
    </row>
    <row r="55" spans="1:8" x14ac:dyDescent="0.2">
      <c r="A55" s="97"/>
      <c r="B55" s="97"/>
      <c r="C55" s="101"/>
      <c r="D55" s="97"/>
      <c r="E55" s="97"/>
      <c r="F55" s="102"/>
      <c r="G55" s="102"/>
      <c r="H55" s="86" t="s">
        <v>142</v>
      </c>
    </row>
    <row r="56" spans="1:8" x14ac:dyDescent="0.2">
      <c r="A56" s="97"/>
      <c r="B56" s="97"/>
      <c r="C56" s="98" t="s">
        <v>147</v>
      </c>
      <c r="D56" s="97"/>
      <c r="E56" s="97"/>
      <c r="F56" s="102"/>
      <c r="G56" s="102"/>
      <c r="H56" s="86" t="s">
        <v>142</v>
      </c>
    </row>
    <row r="57" spans="1:8" x14ac:dyDescent="0.2">
      <c r="A57" s="97"/>
      <c r="B57" s="97"/>
      <c r="C57" s="98" t="s">
        <v>141</v>
      </c>
      <c r="D57" s="97"/>
      <c r="E57" s="97" t="s">
        <v>142</v>
      </c>
      <c r="F57" s="103" t="s">
        <v>144</v>
      </c>
      <c r="G57" s="100">
        <v>0</v>
      </c>
      <c r="H57" s="86" t="s">
        <v>142</v>
      </c>
    </row>
    <row r="58" spans="1:8" x14ac:dyDescent="0.2">
      <c r="A58" s="97"/>
      <c r="B58" s="97"/>
      <c r="C58" s="101"/>
      <c r="D58" s="97"/>
      <c r="E58" s="97"/>
      <c r="F58" s="102"/>
      <c r="G58" s="102"/>
      <c r="H58" s="86" t="s">
        <v>142</v>
      </c>
    </row>
    <row r="59" spans="1:8" x14ac:dyDescent="0.2">
      <c r="A59" s="97"/>
      <c r="B59" s="97"/>
      <c r="C59" s="98" t="s">
        <v>148</v>
      </c>
      <c r="D59" s="97"/>
      <c r="E59" s="97"/>
      <c r="F59" s="102"/>
      <c r="G59" s="102"/>
      <c r="H59" s="86" t="s">
        <v>142</v>
      </c>
    </row>
    <row r="60" spans="1:8" x14ac:dyDescent="0.2">
      <c r="A60" s="97"/>
      <c r="B60" s="97"/>
      <c r="C60" s="98" t="s">
        <v>141</v>
      </c>
      <c r="D60" s="97"/>
      <c r="E60" s="97" t="s">
        <v>142</v>
      </c>
      <c r="F60" s="103" t="s">
        <v>144</v>
      </c>
      <c r="G60" s="100">
        <v>0</v>
      </c>
      <c r="H60" s="86" t="s">
        <v>142</v>
      </c>
    </row>
    <row r="61" spans="1:8" x14ac:dyDescent="0.2">
      <c r="A61" s="97"/>
      <c r="B61" s="97"/>
      <c r="C61" s="101"/>
      <c r="D61" s="97"/>
      <c r="E61" s="97"/>
      <c r="F61" s="102"/>
      <c r="G61" s="102"/>
      <c r="H61" s="86" t="s">
        <v>142</v>
      </c>
    </row>
    <row r="62" spans="1:8" x14ac:dyDescent="0.2">
      <c r="A62" s="97"/>
      <c r="B62" s="97"/>
      <c r="C62" s="98" t="s">
        <v>149</v>
      </c>
      <c r="D62" s="97"/>
      <c r="E62" s="97"/>
      <c r="F62" s="99">
        <v>3295.9163712999998</v>
      </c>
      <c r="G62" s="100">
        <v>0.93869992999999996</v>
      </c>
      <c r="H62" s="86" t="s">
        <v>142</v>
      </c>
    </row>
    <row r="63" spans="1:8" x14ac:dyDescent="0.2">
      <c r="A63" s="97"/>
      <c r="B63" s="97"/>
      <c r="C63" s="101"/>
      <c r="D63" s="97"/>
      <c r="E63" s="97"/>
      <c r="F63" s="102"/>
      <c r="G63" s="102"/>
      <c r="H63" s="86" t="s">
        <v>142</v>
      </c>
    </row>
    <row r="64" spans="1:8" x14ac:dyDescent="0.2">
      <c r="A64" s="97"/>
      <c r="B64" s="97"/>
      <c r="C64" s="98" t="s">
        <v>150</v>
      </c>
      <c r="D64" s="97"/>
      <c r="E64" s="97"/>
      <c r="F64" s="102"/>
      <c r="G64" s="102"/>
      <c r="H64" s="86" t="s">
        <v>142</v>
      </c>
    </row>
    <row r="65" spans="1:8" x14ac:dyDescent="0.2">
      <c r="A65" s="97"/>
      <c r="B65" s="97"/>
      <c r="C65" s="98" t="s">
        <v>10</v>
      </c>
      <c r="D65" s="97"/>
      <c r="E65" s="97"/>
      <c r="F65" s="102"/>
      <c r="G65" s="102"/>
      <c r="H65" s="86" t="s">
        <v>142</v>
      </c>
    </row>
    <row r="66" spans="1:8" x14ac:dyDescent="0.2">
      <c r="A66" s="97"/>
      <c r="B66" s="97"/>
      <c r="C66" s="98" t="s">
        <v>141</v>
      </c>
      <c r="D66" s="97"/>
      <c r="E66" s="97" t="s">
        <v>142</v>
      </c>
      <c r="F66" s="103" t="s">
        <v>144</v>
      </c>
      <c r="G66" s="100">
        <v>0</v>
      </c>
      <c r="H66" s="86" t="s">
        <v>142</v>
      </c>
    </row>
    <row r="67" spans="1:8" x14ac:dyDescent="0.2">
      <c r="A67" s="97"/>
      <c r="B67" s="97"/>
      <c r="C67" s="101"/>
      <c r="D67" s="97"/>
      <c r="E67" s="97"/>
      <c r="F67" s="102"/>
      <c r="G67" s="102"/>
      <c r="H67" s="86" t="s">
        <v>142</v>
      </c>
    </row>
    <row r="68" spans="1:8" x14ac:dyDescent="0.2">
      <c r="A68" s="97"/>
      <c r="B68" s="97"/>
      <c r="C68" s="98" t="s">
        <v>151</v>
      </c>
      <c r="D68" s="97"/>
      <c r="E68" s="97"/>
      <c r="F68" s="97"/>
      <c r="G68" s="97"/>
      <c r="H68" s="86" t="s">
        <v>142</v>
      </c>
    </row>
    <row r="69" spans="1:8" x14ac:dyDescent="0.2">
      <c r="A69" s="97"/>
      <c r="B69" s="97"/>
      <c r="C69" s="98" t="s">
        <v>141</v>
      </c>
      <c r="D69" s="97"/>
      <c r="E69" s="97" t="s">
        <v>142</v>
      </c>
      <c r="F69" s="103" t="s">
        <v>144</v>
      </c>
      <c r="G69" s="100">
        <v>0</v>
      </c>
      <c r="H69" s="86" t="s">
        <v>142</v>
      </c>
    </row>
    <row r="70" spans="1:8" x14ac:dyDescent="0.2">
      <c r="A70" s="97"/>
      <c r="B70" s="97"/>
      <c r="C70" s="101"/>
      <c r="D70" s="97"/>
      <c r="E70" s="97"/>
      <c r="F70" s="102"/>
      <c r="G70" s="102"/>
      <c r="H70" s="86" t="s">
        <v>142</v>
      </c>
    </row>
    <row r="71" spans="1:8" x14ac:dyDescent="0.2">
      <c r="A71" s="97"/>
      <c r="B71" s="97"/>
      <c r="C71" s="98" t="s">
        <v>152</v>
      </c>
      <c r="D71" s="97"/>
      <c r="E71" s="97"/>
      <c r="F71" s="97"/>
      <c r="G71" s="97"/>
      <c r="H71" s="86" t="s">
        <v>142</v>
      </c>
    </row>
    <row r="72" spans="1:8" x14ac:dyDescent="0.2">
      <c r="A72" s="97"/>
      <c r="B72" s="97"/>
      <c r="C72" s="98" t="s">
        <v>141</v>
      </c>
      <c r="D72" s="97"/>
      <c r="E72" s="97" t="s">
        <v>142</v>
      </c>
      <c r="F72" s="103" t="s">
        <v>144</v>
      </c>
      <c r="G72" s="100">
        <v>0</v>
      </c>
      <c r="H72" s="86" t="s">
        <v>142</v>
      </c>
    </row>
    <row r="73" spans="1:8" x14ac:dyDescent="0.2">
      <c r="A73" s="97"/>
      <c r="B73" s="97"/>
      <c r="C73" s="101"/>
      <c r="D73" s="97"/>
      <c r="E73" s="97"/>
      <c r="F73" s="102"/>
      <c r="G73" s="102"/>
      <c r="H73" s="86" t="s">
        <v>142</v>
      </c>
    </row>
    <row r="74" spans="1:8" x14ac:dyDescent="0.2">
      <c r="A74" s="97"/>
      <c r="B74" s="97"/>
      <c r="C74" s="98" t="s">
        <v>153</v>
      </c>
      <c r="D74" s="97"/>
      <c r="E74" s="97"/>
      <c r="F74" s="102"/>
      <c r="G74" s="102"/>
      <c r="H74" s="86" t="s">
        <v>142</v>
      </c>
    </row>
    <row r="75" spans="1:8" x14ac:dyDescent="0.2">
      <c r="A75" s="97"/>
      <c r="B75" s="97"/>
      <c r="C75" s="98" t="s">
        <v>141</v>
      </c>
      <c r="D75" s="97"/>
      <c r="E75" s="97" t="s">
        <v>142</v>
      </c>
      <c r="F75" s="103" t="s">
        <v>144</v>
      </c>
      <c r="G75" s="100">
        <v>0</v>
      </c>
      <c r="H75" s="86" t="s">
        <v>142</v>
      </c>
    </row>
    <row r="76" spans="1:8" x14ac:dyDescent="0.2">
      <c r="A76" s="97"/>
      <c r="B76" s="97"/>
      <c r="C76" s="101"/>
      <c r="D76" s="97"/>
      <c r="E76" s="97"/>
      <c r="F76" s="102"/>
      <c r="G76" s="102"/>
      <c r="H76" s="86" t="s">
        <v>142</v>
      </c>
    </row>
    <row r="77" spans="1:8" x14ac:dyDescent="0.2">
      <c r="A77" s="97"/>
      <c r="B77" s="97"/>
      <c r="C77" s="98" t="s">
        <v>154</v>
      </c>
      <c r="D77" s="97"/>
      <c r="E77" s="97"/>
      <c r="F77" s="99">
        <v>0</v>
      </c>
      <c r="G77" s="100">
        <v>0</v>
      </c>
      <c r="H77" s="86" t="s">
        <v>142</v>
      </c>
    </row>
    <row r="78" spans="1:8" x14ac:dyDescent="0.2">
      <c r="A78" s="97"/>
      <c r="B78" s="97"/>
      <c r="C78" s="101"/>
      <c r="D78" s="97"/>
      <c r="E78" s="97"/>
      <c r="F78" s="102"/>
      <c r="G78" s="102"/>
      <c r="H78" s="86" t="s">
        <v>142</v>
      </c>
    </row>
    <row r="79" spans="1:8" x14ac:dyDescent="0.2">
      <c r="A79" s="97"/>
      <c r="B79" s="97"/>
      <c r="C79" s="98" t="s">
        <v>155</v>
      </c>
      <c r="D79" s="97"/>
      <c r="E79" s="97"/>
      <c r="F79" s="102"/>
      <c r="G79" s="102"/>
      <c r="H79" s="86" t="s">
        <v>142</v>
      </c>
    </row>
    <row r="80" spans="1:8" x14ac:dyDescent="0.2">
      <c r="A80" s="97"/>
      <c r="B80" s="97"/>
      <c r="C80" s="98" t="s">
        <v>156</v>
      </c>
      <c r="D80" s="97"/>
      <c r="E80" s="97"/>
      <c r="F80" s="102"/>
      <c r="G80" s="102"/>
      <c r="H80" s="86" t="s">
        <v>142</v>
      </c>
    </row>
    <row r="81" spans="1:8" x14ac:dyDescent="0.2">
      <c r="A81" s="97"/>
      <c r="B81" s="97"/>
      <c r="C81" s="98" t="s">
        <v>141</v>
      </c>
      <c r="D81" s="97"/>
      <c r="E81" s="97" t="s">
        <v>142</v>
      </c>
      <c r="F81" s="103" t="s">
        <v>144</v>
      </c>
      <c r="G81" s="100">
        <v>0</v>
      </c>
      <c r="H81" s="86" t="s">
        <v>142</v>
      </c>
    </row>
    <row r="82" spans="1:8" x14ac:dyDescent="0.2">
      <c r="A82" s="97"/>
      <c r="B82" s="97"/>
      <c r="C82" s="101"/>
      <c r="D82" s="97"/>
      <c r="E82" s="97"/>
      <c r="F82" s="102"/>
      <c r="G82" s="102"/>
      <c r="H82" s="86" t="s">
        <v>142</v>
      </c>
    </row>
    <row r="83" spans="1:8" x14ac:dyDescent="0.2">
      <c r="A83" s="97"/>
      <c r="B83" s="97"/>
      <c r="C83" s="98" t="s">
        <v>157</v>
      </c>
      <c r="D83" s="97"/>
      <c r="E83" s="97"/>
      <c r="F83" s="102"/>
      <c r="G83" s="102"/>
      <c r="H83" s="86" t="s">
        <v>142</v>
      </c>
    </row>
    <row r="84" spans="1:8" x14ac:dyDescent="0.2">
      <c r="A84" s="97"/>
      <c r="B84" s="97"/>
      <c r="C84" s="98" t="s">
        <v>141</v>
      </c>
      <c r="D84" s="97"/>
      <c r="E84" s="97" t="s">
        <v>142</v>
      </c>
      <c r="F84" s="103" t="s">
        <v>144</v>
      </c>
      <c r="G84" s="100">
        <v>0</v>
      </c>
      <c r="H84" s="86" t="s">
        <v>142</v>
      </c>
    </row>
    <row r="85" spans="1:8" x14ac:dyDescent="0.2">
      <c r="A85" s="97"/>
      <c r="B85" s="97"/>
      <c r="C85" s="101"/>
      <c r="D85" s="97"/>
      <c r="E85" s="97"/>
      <c r="F85" s="102"/>
      <c r="G85" s="102"/>
      <c r="H85" s="86" t="s">
        <v>142</v>
      </c>
    </row>
    <row r="86" spans="1:8" x14ac:dyDescent="0.2">
      <c r="A86" s="97"/>
      <c r="B86" s="97"/>
      <c r="C86" s="98" t="s">
        <v>158</v>
      </c>
      <c r="D86" s="97"/>
      <c r="E86" s="97"/>
      <c r="F86" s="102"/>
      <c r="G86" s="102"/>
      <c r="H86" s="86" t="s">
        <v>142</v>
      </c>
    </row>
    <row r="87" spans="1:8" x14ac:dyDescent="0.2">
      <c r="A87" s="97"/>
      <c r="B87" s="97"/>
      <c r="C87" s="98" t="s">
        <v>141</v>
      </c>
      <c r="D87" s="97"/>
      <c r="E87" s="97" t="s">
        <v>142</v>
      </c>
      <c r="F87" s="103" t="s">
        <v>144</v>
      </c>
      <c r="G87" s="100">
        <v>0</v>
      </c>
      <c r="H87" s="86" t="s">
        <v>142</v>
      </c>
    </row>
    <row r="88" spans="1:8" x14ac:dyDescent="0.2">
      <c r="A88" s="97"/>
      <c r="B88" s="97"/>
      <c r="C88" s="101"/>
      <c r="D88" s="97"/>
      <c r="E88" s="97"/>
      <c r="F88" s="102"/>
      <c r="G88" s="102"/>
      <c r="H88" s="86" t="s">
        <v>142</v>
      </c>
    </row>
    <row r="89" spans="1:8" x14ac:dyDescent="0.2">
      <c r="A89" s="97"/>
      <c r="B89" s="97"/>
      <c r="C89" s="98" t="s">
        <v>159</v>
      </c>
      <c r="D89" s="97"/>
      <c r="E89" s="97"/>
      <c r="F89" s="102"/>
      <c r="G89" s="102"/>
      <c r="H89" s="86" t="s">
        <v>142</v>
      </c>
    </row>
    <row r="90" spans="1:8" x14ac:dyDescent="0.2">
      <c r="A90" s="92">
        <v>1</v>
      </c>
      <c r="B90" s="93"/>
      <c r="C90" s="93" t="s">
        <v>160</v>
      </c>
      <c r="D90" s="93"/>
      <c r="E90" s="104"/>
      <c r="F90" s="95">
        <v>215.8738128</v>
      </c>
      <c r="G90" s="96">
        <v>6.148236E-2</v>
      </c>
      <c r="H90" s="86">
        <v>5.57</v>
      </c>
    </row>
    <row r="91" spans="1:8" x14ac:dyDescent="0.2">
      <c r="A91" s="97"/>
      <c r="B91" s="97"/>
      <c r="C91" s="98" t="s">
        <v>141</v>
      </c>
      <c r="D91" s="97"/>
      <c r="E91" s="97" t="s">
        <v>142</v>
      </c>
      <c r="F91" s="99">
        <v>215.8738128</v>
      </c>
      <c r="G91" s="100">
        <v>6.148236E-2</v>
      </c>
      <c r="H91" s="86" t="s">
        <v>142</v>
      </c>
    </row>
    <row r="92" spans="1:8" x14ac:dyDescent="0.2">
      <c r="A92" s="97"/>
      <c r="B92" s="97"/>
      <c r="C92" s="101"/>
      <c r="D92" s="97"/>
      <c r="E92" s="97"/>
      <c r="F92" s="102"/>
      <c r="G92" s="102"/>
      <c r="H92" s="86" t="s">
        <v>142</v>
      </c>
    </row>
    <row r="93" spans="1:8" x14ac:dyDescent="0.2">
      <c r="A93" s="97"/>
      <c r="B93" s="97"/>
      <c r="C93" s="98" t="s">
        <v>161</v>
      </c>
      <c r="D93" s="97"/>
      <c r="E93" s="97"/>
      <c r="F93" s="99">
        <v>215.8738128</v>
      </c>
      <c r="G93" s="100">
        <v>6.148236E-2</v>
      </c>
      <c r="H93" s="86" t="s">
        <v>142</v>
      </c>
    </row>
    <row r="94" spans="1:8" x14ac:dyDescent="0.2">
      <c r="A94" s="97"/>
      <c r="B94" s="97"/>
      <c r="C94" s="102"/>
      <c r="D94" s="97"/>
      <c r="E94" s="97"/>
      <c r="F94" s="97"/>
      <c r="G94" s="97"/>
      <c r="H94" s="86" t="s">
        <v>142</v>
      </c>
    </row>
    <row r="95" spans="1:8" x14ac:dyDescent="0.2">
      <c r="A95" s="97"/>
      <c r="B95" s="97"/>
      <c r="C95" s="98" t="s">
        <v>162</v>
      </c>
      <c r="D95" s="97"/>
      <c r="E95" s="97"/>
      <c r="F95" s="97"/>
      <c r="G95" s="97"/>
      <c r="H95" s="86" t="s">
        <v>142</v>
      </c>
    </row>
    <row r="96" spans="1:8" x14ac:dyDescent="0.2">
      <c r="A96" s="97"/>
      <c r="B96" s="97"/>
      <c r="C96" s="98" t="s">
        <v>163</v>
      </c>
      <c r="D96" s="97"/>
      <c r="E96" s="97"/>
      <c r="F96" s="97"/>
      <c r="G96" s="97"/>
      <c r="H96" s="86" t="s">
        <v>142</v>
      </c>
    </row>
    <row r="97" spans="1:17" x14ac:dyDescent="0.2">
      <c r="A97" s="97"/>
      <c r="B97" s="97"/>
      <c r="C97" s="98" t="s">
        <v>141</v>
      </c>
      <c r="D97" s="97"/>
      <c r="E97" s="97" t="s">
        <v>142</v>
      </c>
      <c r="F97" s="103" t="s">
        <v>144</v>
      </c>
      <c r="G97" s="100">
        <v>0</v>
      </c>
      <c r="H97" s="86" t="s">
        <v>142</v>
      </c>
    </row>
    <row r="98" spans="1:17" x14ac:dyDescent="0.2">
      <c r="A98" s="97"/>
      <c r="B98" s="97"/>
      <c r="C98" s="101"/>
      <c r="D98" s="97"/>
      <c r="E98" s="97"/>
      <c r="F98" s="102"/>
      <c r="G98" s="102"/>
      <c r="H98" s="86" t="s">
        <v>142</v>
      </c>
    </row>
    <row r="99" spans="1:17" x14ac:dyDescent="0.2">
      <c r="A99" s="97"/>
      <c r="B99" s="97"/>
      <c r="C99" s="98" t="s">
        <v>164</v>
      </c>
      <c r="D99" s="97"/>
      <c r="E99" s="97"/>
      <c r="F99" s="97"/>
      <c r="G99" s="97"/>
      <c r="H99" s="86" t="s">
        <v>142</v>
      </c>
    </row>
    <row r="100" spans="1:17" x14ac:dyDescent="0.2">
      <c r="A100" s="97"/>
      <c r="B100" s="97"/>
      <c r="C100" s="98" t="s">
        <v>165</v>
      </c>
      <c r="D100" s="97"/>
      <c r="E100" s="97"/>
      <c r="F100" s="97"/>
      <c r="G100" s="97"/>
      <c r="H100" s="86" t="s">
        <v>142</v>
      </c>
    </row>
    <row r="101" spans="1:17" x14ac:dyDescent="0.2">
      <c r="A101" s="97"/>
      <c r="B101" s="97"/>
      <c r="C101" s="98" t="s">
        <v>141</v>
      </c>
      <c r="D101" s="97"/>
      <c r="E101" s="97" t="s">
        <v>142</v>
      </c>
      <c r="F101" s="103" t="s">
        <v>144</v>
      </c>
      <c r="G101" s="100">
        <v>0</v>
      </c>
      <c r="H101" s="86" t="s">
        <v>142</v>
      </c>
    </row>
    <row r="102" spans="1:17" x14ac:dyDescent="0.2">
      <c r="A102" s="97"/>
      <c r="B102" s="97"/>
      <c r="C102" s="101"/>
      <c r="D102" s="97"/>
      <c r="E102" s="97"/>
      <c r="F102" s="102"/>
      <c r="G102" s="102"/>
      <c r="H102" s="86" t="s">
        <v>142</v>
      </c>
    </row>
    <row r="103" spans="1:17" x14ac:dyDescent="0.2">
      <c r="A103" s="97"/>
      <c r="B103" s="97"/>
      <c r="C103" s="98" t="s">
        <v>166</v>
      </c>
      <c r="D103" s="97"/>
      <c r="E103" s="97"/>
      <c r="F103" s="102"/>
      <c r="G103" s="102"/>
      <c r="H103" s="86" t="s">
        <v>142</v>
      </c>
    </row>
    <row r="104" spans="1:17" x14ac:dyDescent="0.2">
      <c r="A104" s="97"/>
      <c r="B104" s="97"/>
      <c r="C104" s="98" t="s">
        <v>141</v>
      </c>
      <c r="D104" s="97"/>
      <c r="E104" s="97" t="s">
        <v>142</v>
      </c>
      <c r="F104" s="103" t="s">
        <v>144</v>
      </c>
      <c r="G104" s="100">
        <v>0</v>
      </c>
      <c r="H104" s="86" t="s">
        <v>142</v>
      </c>
    </row>
    <row r="105" spans="1:17" x14ac:dyDescent="0.2">
      <c r="A105" s="97"/>
      <c r="B105" s="97"/>
      <c r="C105" s="101"/>
      <c r="D105" s="97"/>
      <c r="E105" s="97"/>
      <c r="F105" s="102"/>
      <c r="G105" s="102"/>
      <c r="H105" s="86" t="s">
        <v>142</v>
      </c>
    </row>
    <row r="106" spans="1:17" x14ac:dyDescent="0.2">
      <c r="A106" s="104"/>
      <c r="B106" s="93"/>
      <c r="C106" s="93" t="s">
        <v>167</v>
      </c>
      <c r="D106" s="93"/>
      <c r="E106" s="104"/>
      <c r="F106" s="95">
        <v>-0.64002329000000002</v>
      </c>
      <c r="G106" s="96">
        <v>-1.8228E-4</v>
      </c>
      <c r="H106" s="86" t="s">
        <v>142</v>
      </c>
    </row>
    <row r="107" spans="1:17" x14ac:dyDescent="0.2">
      <c r="A107" s="101"/>
      <c r="B107" s="101"/>
      <c r="C107" s="98" t="s">
        <v>168</v>
      </c>
      <c r="D107" s="102"/>
      <c r="E107" s="102"/>
      <c r="F107" s="99">
        <v>3511.1501608100002</v>
      </c>
      <c r="G107" s="105">
        <v>1.0000000099999999</v>
      </c>
      <c r="H107" s="86" t="s">
        <v>142</v>
      </c>
    </row>
    <row r="108" spans="1:17" ht="12.75" customHeight="1" x14ac:dyDescent="0.2">
      <c r="A108" s="106"/>
      <c r="B108" s="106"/>
      <c r="C108" s="107"/>
      <c r="D108" s="108"/>
      <c r="E108" s="108"/>
      <c r="F108" s="109"/>
      <c r="G108" s="110"/>
      <c r="H108" s="111"/>
    </row>
    <row r="109" spans="1:17" x14ac:dyDescent="0.2">
      <c r="A109" s="106"/>
      <c r="B109" s="200" t="s">
        <v>918</v>
      </c>
      <c r="C109" s="200"/>
      <c r="D109" s="200"/>
      <c r="E109" s="200"/>
      <c r="F109" s="200"/>
      <c r="G109" s="200"/>
      <c r="H109" s="200"/>
      <c r="J109" s="113"/>
    </row>
    <row r="110" spans="1:17" x14ac:dyDescent="0.2">
      <c r="A110" s="106"/>
      <c r="B110" s="200" t="s">
        <v>919</v>
      </c>
      <c r="C110" s="200"/>
      <c r="D110" s="200"/>
      <c r="E110" s="200"/>
      <c r="F110" s="200"/>
      <c r="G110" s="200"/>
      <c r="H110" s="200"/>
      <c r="J110" s="113"/>
    </row>
    <row r="111" spans="1:17" x14ac:dyDescent="0.2">
      <c r="A111" s="106"/>
      <c r="B111" s="200" t="s">
        <v>920</v>
      </c>
      <c r="C111" s="200"/>
      <c r="D111" s="200"/>
      <c r="E111" s="200"/>
      <c r="F111" s="200"/>
      <c r="G111" s="200"/>
      <c r="H111" s="200"/>
      <c r="J111" s="113"/>
    </row>
    <row r="112" spans="1:17" s="115" customFormat="1" ht="66.75" customHeight="1" x14ac:dyDescent="0.25">
      <c r="A112" s="114"/>
      <c r="B112" s="201" t="s">
        <v>921</v>
      </c>
      <c r="C112" s="201"/>
      <c r="D112" s="201"/>
      <c r="E112" s="201"/>
      <c r="F112" s="201"/>
      <c r="G112" s="201"/>
      <c r="H112" s="201"/>
      <c r="I112"/>
      <c r="J112" s="113"/>
      <c r="K112"/>
      <c r="L112"/>
      <c r="M112"/>
      <c r="N112"/>
      <c r="O112"/>
      <c r="P112"/>
      <c r="Q112"/>
    </row>
    <row r="113" spans="1:10" x14ac:dyDescent="0.2">
      <c r="A113" s="106"/>
      <c r="B113" s="200" t="s">
        <v>922</v>
      </c>
      <c r="C113" s="200"/>
      <c r="D113" s="200"/>
      <c r="E113" s="200"/>
      <c r="F113" s="200"/>
      <c r="G113" s="200"/>
      <c r="H113" s="200"/>
      <c r="J113" s="113"/>
    </row>
    <row r="114" spans="1:10" x14ac:dyDescent="0.2">
      <c r="A114" s="106"/>
      <c r="B114" s="106"/>
      <c r="C114" s="106"/>
      <c r="D114" s="108"/>
      <c r="E114" s="108"/>
      <c r="F114" s="108"/>
      <c r="G114" s="108"/>
    </row>
    <row r="115" spans="1:10" x14ac:dyDescent="0.2">
      <c r="A115" s="106"/>
      <c r="B115" s="202" t="s">
        <v>169</v>
      </c>
      <c r="C115" s="203"/>
      <c r="D115" s="204"/>
      <c r="E115" s="116"/>
      <c r="F115" s="108"/>
      <c r="G115" s="108"/>
    </row>
    <row r="116" spans="1:10" ht="27.75" customHeight="1" x14ac:dyDescent="0.2">
      <c r="A116" s="106"/>
      <c r="B116" s="205" t="s">
        <v>170</v>
      </c>
      <c r="C116" s="206"/>
      <c r="D116" s="85" t="s">
        <v>171</v>
      </c>
      <c r="E116" s="116"/>
      <c r="F116" s="108"/>
      <c r="G116" s="108"/>
    </row>
    <row r="117" spans="1:10" ht="12.75" customHeight="1" x14ac:dyDescent="0.2">
      <c r="A117" s="106"/>
      <c r="B117" s="205" t="s">
        <v>923</v>
      </c>
      <c r="C117" s="206"/>
      <c r="D117" s="85" t="s">
        <v>171</v>
      </c>
      <c r="E117" s="116"/>
      <c r="F117" s="108"/>
      <c r="G117" s="108"/>
    </row>
    <row r="118" spans="1:10" x14ac:dyDescent="0.2">
      <c r="A118" s="106"/>
      <c r="B118" s="205" t="s">
        <v>172</v>
      </c>
      <c r="C118" s="206"/>
      <c r="D118" s="117" t="s">
        <v>142</v>
      </c>
      <c r="E118" s="116"/>
      <c r="F118" s="108"/>
      <c r="G118" s="108"/>
    </row>
    <row r="119" spans="1:10" x14ac:dyDescent="0.2">
      <c r="A119" s="118"/>
      <c r="B119" s="119" t="s">
        <v>142</v>
      </c>
      <c r="C119" s="119" t="s">
        <v>924</v>
      </c>
      <c r="D119" s="119" t="s">
        <v>173</v>
      </c>
      <c r="E119" s="118"/>
      <c r="F119" s="118"/>
      <c r="G119" s="118"/>
      <c r="H119" s="118"/>
      <c r="J119" s="113"/>
    </row>
    <row r="120" spans="1:10" x14ac:dyDescent="0.2">
      <c r="A120" s="118"/>
      <c r="B120" s="120" t="s">
        <v>174</v>
      </c>
      <c r="C120" s="121">
        <v>45930</v>
      </c>
      <c r="D120" s="121">
        <v>45961</v>
      </c>
      <c r="E120" s="118"/>
      <c r="F120" s="118"/>
      <c r="G120" s="118"/>
      <c r="J120" s="113"/>
    </row>
    <row r="121" spans="1:10" x14ac:dyDescent="0.2">
      <c r="A121" s="122"/>
      <c r="B121" s="93" t="s">
        <v>175</v>
      </c>
      <c r="C121" s="123">
        <v>28.8934</v>
      </c>
      <c r="D121" s="123">
        <v>30.2636</v>
      </c>
      <c r="E121" s="122"/>
      <c r="F121" s="124"/>
      <c r="G121" s="125"/>
    </row>
    <row r="122" spans="1:10" x14ac:dyDescent="0.2">
      <c r="A122" s="122"/>
      <c r="B122" s="93" t="s">
        <v>1101</v>
      </c>
      <c r="C122" s="123">
        <v>27.506499999999999</v>
      </c>
      <c r="D122" s="123">
        <v>28.8109</v>
      </c>
      <c r="E122" s="122"/>
      <c r="F122" s="124"/>
      <c r="G122" s="125"/>
    </row>
    <row r="123" spans="1:10" x14ac:dyDescent="0.2">
      <c r="A123" s="122"/>
      <c r="B123" s="93" t="s">
        <v>176</v>
      </c>
      <c r="C123" s="123">
        <v>27.979800000000001</v>
      </c>
      <c r="D123" s="123">
        <v>29.300899999999999</v>
      </c>
      <c r="E123" s="122"/>
      <c r="F123" s="124"/>
      <c r="G123" s="125"/>
    </row>
    <row r="124" spans="1:10" x14ac:dyDescent="0.2">
      <c r="A124" s="122"/>
      <c r="B124" s="93" t="s">
        <v>1102</v>
      </c>
      <c r="C124" s="123">
        <v>26.598600000000001</v>
      </c>
      <c r="D124" s="123">
        <v>27.854500000000002</v>
      </c>
      <c r="E124" s="122"/>
      <c r="F124" s="124"/>
      <c r="G124" s="125"/>
    </row>
    <row r="125" spans="1:10" x14ac:dyDescent="0.2">
      <c r="A125" s="122"/>
      <c r="B125" s="122"/>
      <c r="C125" s="122"/>
      <c r="D125" s="122"/>
      <c r="E125" s="122"/>
      <c r="F125" s="122"/>
      <c r="G125" s="122"/>
    </row>
    <row r="126" spans="1:10" x14ac:dyDescent="0.2">
      <c r="A126" s="118"/>
      <c r="B126" s="205" t="s">
        <v>925</v>
      </c>
      <c r="C126" s="206"/>
      <c r="D126" s="85" t="s">
        <v>171</v>
      </c>
      <c r="E126" s="118"/>
      <c r="F126" s="118"/>
      <c r="G126" s="118"/>
    </row>
    <row r="127" spans="1:10" x14ac:dyDescent="0.2">
      <c r="A127" s="118"/>
      <c r="B127" s="136"/>
      <c r="C127" s="136"/>
      <c r="D127" s="136"/>
      <c r="E127" s="118"/>
      <c r="F127" s="118"/>
      <c r="G127" s="118"/>
    </row>
    <row r="128" spans="1:10" x14ac:dyDescent="0.2">
      <c r="A128" s="118"/>
      <c r="B128" s="205" t="s">
        <v>179</v>
      </c>
      <c r="C128" s="206"/>
      <c r="D128" s="85" t="s">
        <v>171</v>
      </c>
      <c r="E128" s="131"/>
      <c r="F128" s="118"/>
      <c r="G128" s="118"/>
    </row>
    <row r="129" spans="1:10" x14ac:dyDescent="0.2">
      <c r="A129" s="118"/>
      <c r="B129" s="205" t="s">
        <v>180</v>
      </c>
      <c r="C129" s="206"/>
      <c r="D129" s="85" t="s">
        <v>171</v>
      </c>
      <c r="E129" s="131"/>
      <c r="F129" s="118"/>
      <c r="G129" s="118"/>
    </row>
    <row r="130" spans="1:10" x14ac:dyDescent="0.2">
      <c r="A130" s="118"/>
      <c r="B130" s="205" t="s">
        <v>181</v>
      </c>
      <c r="C130" s="206"/>
      <c r="D130" s="85" t="s">
        <v>171</v>
      </c>
      <c r="E130" s="131"/>
      <c r="F130" s="118"/>
      <c r="G130" s="118"/>
    </row>
    <row r="131" spans="1:10" x14ac:dyDescent="0.2">
      <c r="A131" s="118"/>
      <c r="B131" s="205" t="s">
        <v>182</v>
      </c>
      <c r="C131" s="206"/>
      <c r="D131" s="132">
        <v>4.9061520279577144E-2</v>
      </c>
      <c r="E131" s="118"/>
      <c r="F131" s="112"/>
      <c r="G131" s="133"/>
    </row>
    <row r="133" spans="1:10" x14ac:dyDescent="0.2">
      <c r="B133" s="199" t="s">
        <v>926</v>
      </c>
      <c r="C133" s="199"/>
    </row>
    <row r="135" spans="1:10" ht="153.75" customHeight="1" x14ac:dyDescent="0.2"/>
    <row r="138" spans="1:10" x14ac:dyDescent="0.2">
      <c r="B138" s="134" t="s">
        <v>927</v>
      </c>
      <c r="C138" s="135"/>
      <c r="D138" s="134"/>
    </row>
    <row r="139" spans="1:10" x14ac:dyDescent="0.2">
      <c r="B139" s="134" t="s">
        <v>936</v>
      </c>
      <c r="D139" s="134"/>
    </row>
    <row r="140" spans="1:10" ht="165" customHeight="1" x14ac:dyDescent="0.2"/>
    <row r="142" spans="1:10" x14ac:dyDescent="0.2">
      <c r="J142" s="83"/>
    </row>
    <row r="152" customFormat="1" ht="12.75" customHeight="1" x14ac:dyDescent="0.2"/>
    <row r="153" customFormat="1" ht="12.75" customHeight="1" x14ac:dyDescent="0.2"/>
  </sheetData>
  <mergeCells count="18">
    <mergeCell ref="B133:C133"/>
    <mergeCell ref="B131:C131"/>
    <mergeCell ref="A1:H1"/>
    <mergeCell ref="A2:H2"/>
    <mergeCell ref="A3:H3"/>
    <mergeCell ref="B126:C126"/>
    <mergeCell ref="B130:C130"/>
    <mergeCell ref="B109:H109"/>
    <mergeCell ref="B110:H110"/>
    <mergeCell ref="B117:C117"/>
    <mergeCell ref="B118:C118"/>
    <mergeCell ref="B128:C128"/>
    <mergeCell ref="B129:C129"/>
    <mergeCell ref="B111:H111"/>
    <mergeCell ref="B112:H112"/>
    <mergeCell ref="B113:H113"/>
    <mergeCell ref="B115:D115"/>
    <mergeCell ref="B116:C116"/>
  </mergeCells>
  <hyperlinks>
    <hyperlink ref="I1" location="Index!B2" display="Index" xr:uid="{049F2754-4346-4F21-8076-706CFF5D7F60}"/>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3F6DD-A287-4496-94EE-83765777F3E8}">
  <sheetPr>
    <outlinePr summaryBelow="0" summaryRight="0"/>
  </sheetPr>
  <dimension ref="A1:Q153"/>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6.570312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416</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355</v>
      </c>
      <c r="C7" s="93" t="s">
        <v>356</v>
      </c>
      <c r="D7" s="93" t="s">
        <v>109</v>
      </c>
      <c r="E7" s="94">
        <v>21323</v>
      </c>
      <c r="F7" s="95">
        <v>144.5806015</v>
      </c>
      <c r="G7" s="96">
        <v>6.2570730000000005E-2</v>
      </c>
      <c r="H7" s="86" t="s">
        <v>142</v>
      </c>
    </row>
    <row r="8" spans="1:9" x14ac:dyDescent="0.2">
      <c r="A8" s="92">
        <v>2</v>
      </c>
      <c r="B8" s="93" t="s">
        <v>340</v>
      </c>
      <c r="C8" s="93" t="s">
        <v>341</v>
      </c>
      <c r="D8" s="93" t="s">
        <v>257</v>
      </c>
      <c r="E8" s="94">
        <v>6568</v>
      </c>
      <c r="F8" s="95">
        <v>126.80180799999999</v>
      </c>
      <c r="G8" s="96">
        <v>5.487653E-2</v>
      </c>
      <c r="H8" s="86" t="s">
        <v>142</v>
      </c>
    </row>
    <row r="9" spans="1:9" x14ac:dyDescent="0.2">
      <c r="A9" s="92">
        <v>3</v>
      </c>
      <c r="B9" s="93" t="s">
        <v>361</v>
      </c>
      <c r="C9" s="93" t="s">
        <v>362</v>
      </c>
      <c r="D9" s="93" t="s">
        <v>48</v>
      </c>
      <c r="E9" s="94">
        <v>5638</v>
      </c>
      <c r="F9" s="95">
        <v>120.360024</v>
      </c>
      <c r="G9" s="96">
        <v>5.208869E-2</v>
      </c>
      <c r="H9" s="86" t="s">
        <v>142</v>
      </c>
    </row>
    <row r="10" spans="1:9" x14ac:dyDescent="0.2">
      <c r="A10" s="92">
        <v>4</v>
      </c>
      <c r="B10" s="93" t="s">
        <v>221</v>
      </c>
      <c r="C10" s="93" t="s">
        <v>222</v>
      </c>
      <c r="D10" s="93" t="s">
        <v>186</v>
      </c>
      <c r="E10" s="94">
        <v>700</v>
      </c>
      <c r="F10" s="95">
        <v>106.22499999999999</v>
      </c>
      <c r="G10" s="96">
        <v>4.5971419999999999E-2</v>
      </c>
      <c r="H10" s="86" t="s">
        <v>142</v>
      </c>
    </row>
    <row r="11" spans="1:9" ht="25.5" x14ac:dyDescent="0.2">
      <c r="A11" s="92">
        <v>5</v>
      </c>
      <c r="B11" s="93" t="s">
        <v>367</v>
      </c>
      <c r="C11" s="93" t="s">
        <v>368</v>
      </c>
      <c r="D11" s="93" t="s">
        <v>275</v>
      </c>
      <c r="E11" s="94">
        <v>1756</v>
      </c>
      <c r="F11" s="95">
        <v>99.870744000000002</v>
      </c>
      <c r="G11" s="96">
        <v>4.3221460000000003E-2</v>
      </c>
      <c r="H11" s="86" t="s">
        <v>142</v>
      </c>
    </row>
    <row r="12" spans="1:9" x14ac:dyDescent="0.2">
      <c r="A12" s="92">
        <v>6</v>
      </c>
      <c r="B12" s="93" t="s">
        <v>357</v>
      </c>
      <c r="C12" s="93" t="s">
        <v>358</v>
      </c>
      <c r="D12" s="93" t="s">
        <v>35</v>
      </c>
      <c r="E12" s="94">
        <v>178820</v>
      </c>
      <c r="F12" s="95">
        <v>92.700288</v>
      </c>
      <c r="G12" s="96">
        <v>4.0118279999999999E-2</v>
      </c>
      <c r="H12" s="86" t="s">
        <v>142</v>
      </c>
    </row>
    <row r="13" spans="1:9" x14ac:dyDescent="0.2">
      <c r="A13" s="92">
        <v>7</v>
      </c>
      <c r="B13" s="93" t="s">
        <v>359</v>
      </c>
      <c r="C13" s="93" t="s">
        <v>360</v>
      </c>
      <c r="D13" s="93" t="s">
        <v>35</v>
      </c>
      <c r="E13" s="94">
        <v>22305</v>
      </c>
      <c r="F13" s="95">
        <v>92.197717499999996</v>
      </c>
      <c r="G13" s="96">
        <v>3.9900779999999997E-2</v>
      </c>
      <c r="H13" s="86" t="s">
        <v>142</v>
      </c>
    </row>
    <row r="14" spans="1:9" ht="25.5" x14ac:dyDescent="0.2">
      <c r="A14" s="92">
        <v>8</v>
      </c>
      <c r="B14" s="93" t="s">
        <v>375</v>
      </c>
      <c r="C14" s="93" t="s">
        <v>376</v>
      </c>
      <c r="D14" s="93" t="s">
        <v>225</v>
      </c>
      <c r="E14" s="94">
        <v>9440</v>
      </c>
      <c r="F14" s="95">
        <v>90.024559999999994</v>
      </c>
      <c r="G14" s="96">
        <v>3.8960290000000002E-2</v>
      </c>
      <c r="H14" s="86" t="s">
        <v>142</v>
      </c>
    </row>
    <row r="15" spans="1:9" x14ac:dyDescent="0.2">
      <c r="A15" s="92">
        <v>9</v>
      </c>
      <c r="B15" s="93" t="s">
        <v>336</v>
      </c>
      <c r="C15" s="93" t="s">
        <v>337</v>
      </c>
      <c r="D15" s="93" t="s">
        <v>215</v>
      </c>
      <c r="E15" s="94">
        <v>958</v>
      </c>
      <c r="F15" s="95">
        <v>88.552729999999997</v>
      </c>
      <c r="G15" s="96">
        <v>3.8323320000000001E-2</v>
      </c>
      <c r="H15" s="86" t="s">
        <v>142</v>
      </c>
    </row>
    <row r="16" spans="1:9" x14ac:dyDescent="0.2">
      <c r="A16" s="92">
        <v>10</v>
      </c>
      <c r="B16" s="93" t="s">
        <v>81</v>
      </c>
      <c r="C16" s="93" t="s">
        <v>82</v>
      </c>
      <c r="D16" s="93" t="s">
        <v>58</v>
      </c>
      <c r="E16" s="94">
        <v>10955</v>
      </c>
      <c r="F16" s="95">
        <v>86.615707499999999</v>
      </c>
      <c r="G16" s="96">
        <v>3.7485030000000003E-2</v>
      </c>
      <c r="H16" s="86" t="s">
        <v>142</v>
      </c>
    </row>
    <row r="17" spans="1:8" x14ac:dyDescent="0.2">
      <c r="A17" s="92">
        <v>11</v>
      </c>
      <c r="B17" s="93" t="s">
        <v>363</v>
      </c>
      <c r="C17" s="93" t="s">
        <v>364</v>
      </c>
      <c r="D17" s="93" t="s">
        <v>218</v>
      </c>
      <c r="E17" s="94">
        <v>30085</v>
      </c>
      <c r="F17" s="95">
        <v>86.058142500000002</v>
      </c>
      <c r="G17" s="96">
        <v>3.7243730000000003E-2</v>
      </c>
      <c r="H17" s="86" t="s">
        <v>142</v>
      </c>
    </row>
    <row r="18" spans="1:8" x14ac:dyDescent="0.2">
      <c r="A18" s="92">
        <v>12</v>
      </c>
      <c r="B18" s="93" t="s">
        <v>69</v>
      </c>
      <c r="C18" s="93" t="s">
        <v>70</v>
      </c>
      <c r="D18" s="93" t="s">
        <v>58</v>
      </c>
      <c r="E18" s="94">
        <v>1987</v>
      </c>
      <c r="F18" s="95">
        <v>80.115840000000006</v>
      </c>
      <c r="G18" s="96">
        <v>3.4672050000000003E-2</v>
      </c>
      <c r="H18" s="86" t="s">
        <v>142</v>
      </c>
    </row>
    <row r="19" spans="1:8" x14ac:dyDescent="0.2">
      <c r="A19" s="92">
        <v>13</v>
      </c>
      <c r="B19" s="93" t="s">
        <v>365</v>
      </c>
      <c r="C19" s="93" t="s">
        <v>366</v>
      </c>
      <c r="D19" s="93" t="s">
        <v>48</v>
      </c>
      <c r="E19" s="94">
        <v>27896</v>
      </c>
      <c r="F19" s="95">
        <v>79.475703999999993</v>
      </c>
      <c r="G19" s="96">
        <v>3.4395019999999998E-2</v>
      </c>
      <c r="H19" s="86" t="s">
        <v>142</v>
      </c>
    </row>
    <row r="20" spans="1:8" ht="25.5" x14ac:dyDescent="0.2">
      <c r="A20" s="92">
        <v>14</v>
      </c>
      <c r="B20" s="93" t="s">
        <v>369</v>
      </c>
      <c r="C20" s="93" t="s">
        <v>370</v>
      </c>
      <c r="D20" s="93" t="s">
        <v>225</v>
      </c>
      <c r="E20" s="94">
        <v>1238</v>
      </c>
      <c r="F20" s="95">
        <v>76.341269999999994</v>
      </c>
      <c r="G20" s="96">
        <v>3.3038520000000002E-2</v>
      </c>
      <c r="H20" s="86" t="s">
        <v>142</v>
      </c>
    </row>
    <row r="21" spans="1:8" x14ac:dyDescent="0.2">
      <c r="A21" s="92">
        <v>15</v>
      </c>
      <c r="B21" s="93" t="s">
        <v>371</v>
      </c>
      <c r="C21" s="93" t="s">
        <v>372</v>
      </c>
      <c r="D21" s="93" t="s">
        <v>204</v>
      </c>
      <c r="E21" s="94">
        <v>9732</v>
      </c>
      <c r="F21" s="95">
        <v>62.114490000000004</v>
      </c>
      <c r="G21" s="96">
        <v>2.6881539999999999E-2</v>
      </c>
      <c r="H21" s="86" t="s">
        <v>142</v>
      </c>
    </row>
    <row r="22" spans="1:8" ht="25.5" x14ac:dyDescent="0.2">
      <c r="A22" s="92">
        <v>16</v>
      </c>
      <c r="B22" s="93" t="s">
        <v>74</v>
      </c>
      <c r="C22" s="93" t="s">
        <v>75</v>
      </c>
      <c r="D22" s="93" t="s">
        <v>25</v>
      </c>
      <c r="E22" s="94">
        <v>936</v>
      </c>
      <c r="F22" s="95">
        <v>58.163040000000002</v>
      </c>
      <c r="G22" s="96">
        <v>2.5171450000000001E-2</v>
      </c>
      <c r="H22" s="86" t="s">
        <v>142</v>
      </c>
    </row>
    <row r="23" spans="1:8" x14ac:dyDescent="0.2">
      <c r="A23" s="92">
        <v>17</v>
      </c>
      <c r="B23" s="93" t="s">
        <v>379</v>
      </c>
      <c r="C23" s="93" t="s">
        <v>380</v>
      </c>
      <c r="D23" s="93" t="s">
        <v>35</v>
      </c>
      <c r="E23" s="94">
        <v>101192</v>
      </c>
      <c r="F23" s="95">
        <v>57.669320800000001</v>
      </c>
      <c r="G23" s="96">
        <v>2.4957779999999999E-2</v>
      </c>
      <c r="H23" s="86" t="s">
        <v>142</v>
      </c>
    </row>
    <row r="24" spans="1:8" x14ac:dyDescent="0.2">
      <c r="A24" s="92">
        <v>18</v>
      </c>
      <c r="B24" s="93" t="s">
        <v>381</v>
      </c>
      <c r="C24" s="93" t="s">
        <v>382</v>
      </c>
      <c r="D24" s="93" t="s">
        <v>383</v>
      </c>
      <c r="E24" s="94">
        <v>4462</v>
      </c>
      <c r="F24" s="95">
        <v>53.838492000000002</v>
      </c>
      <c r="G24" s="96">
        <v>2.3299899999999998E-2</v>
      </c>
      <c r="H24" s="86" t="s">
        <v>142</v>
      </c>
    </row>
    <row r="25" spans="1:8" x14ac:dyDescent="0.2">
      <c r="A25" s="92">
        <v>19</v>
      </c>
      <c r="B25" s="93" t="s">
        <v>373</v>
      </c>
      <c r="C25" s="93" t="s">
        <v>374</v>
      </c>
      <c r="D25" s="93" t="s">
        <v>215</v>
      </c>
      <c r="E25" s="94">
        <v>1988</v>
      </c>
      <c r="F25" s="95">
        <v>49.548912000000001</v>
      </c>
      <c r="G25" s="96">
        <v>2.1443480000000001E-2</v>
      </c>
      <c r="H25" s="86" t="s">
        <v>142</v>
      </c>
    </row>
    <row r="26" spans="1:8" x14ac:dyDescent="0.2">
      <c r="A26" s="92">
        <v>20</v>
      </c>
      <c r="B26" s="93" t="s">
        <v>386</v>
      </c>
      <c r="C26" s="93" t="s">
        <v>387</v>
      </c>
      <c r="D26" s="93" t="s">
        <v>186</v>
      </c>
      <c r="E26" s="94">
        <v>2453</v>
      </c>
      <c r="F26" s="95">
        <v>46.916077999999999</v>
      </c>
      <c r="G26" s="96">
        <v>2.0304059999999999E-2</v>
      </c>
      <c r="H26" s="86" t="s">
        <v>142</v>
      </c>
    </row>
    <row r="27" spans="1:8" ht="25.5" x14ac:dyDescent="0.2">
      <c r="A27" s="92">
        <v>21</v>
      </c>
      <c r="B27" s="93" t="s">
        <v>388</v>
      </c>
      <c r="C27" s="93" t="s">
        <v>389</v>
      </c>
      <c r="D27" s="93" t="s">
        <v>390</v>
      </c>
      <c r="E27" s="94">
        <v>13188</v>
      </c>
      <c r="F27" s="95">
        <v>43.955604000000001</v>
      </c>
      <c r="G27" s="96">
        <v>1.9022839999999999E-2</v>
      </c>
      <c r="H27" s="86" t="s">
        <v>142</v>
      </c>
    </row>
    <row r="28" spans="1:8" x14ac:dyDescent="0.2">
      <c r="A28" s="92">
        <v>22</v>
      </c>
      <c r="B28" s="93" t="s">
        <v>391</v>
      </c>
      <c r="C28" s="93" t="s">
        <v>392</v>
      </c>
      <c r="D28" s="93" t="s">
        <v>58</v>
      </c>
      <c r="E28" s="94">
        <v>8416</v>
      </c>
      <c r="F28" s="95">
        <v>40.127488</v>
      </c>
      <c r="G28" s="96">
        <v>1.736613E-2</v>
      </c>
      <c r="H28" s="86" t="s">
        <v>142</v>
      </c>
    </row>
    <row r="29" spans="1:8" ht="25.5" x14ac:dyDescent="0.2">
      <c r="A29" s="92">
        <v>23</v>
      </c>
      <c r="B29" s="93" t="s">
        <v>377</v>
      </c>
      <c r="C29" s="93" t="s">
        <v>378</v>
      </c>
      <c r="D29" s="93" t="s">
        <v>225</v>
      </c>
      <c r="E29" s="94">
        <v>2376</v>
      </c>
      <c r="F29" s="95">
        <v>39.971448000000002</v>
      </c>
      <c r="G29" s="96">
        <v>1.7298600000000001E-2</v>
      </c>
      <c r="H29" s="86" t="s">
        <v>142</v>
      </c>
    </row>
    <row r="30" spans="1:8" x14ac:dyDescent="0.2">
      <c r="A30" s="92">
        <v>24</v>
      </c>
      <c r="B30" s="93" t="s">
        <v>393</v>
      </c>
      <c r="C30" s="93" t="s">
        <v>394</v>
      </c>
      <c r="D30" s="93" t="s">
        <v>186</v>
      </c>
      <c r="E30" s="94">
        <v>3800</v>
      </c>
      <c r="F30" s="95">
        <v>35.290599999999998</v>
      </c>
      <c r="G30" s="96">
        <v>1.5272849999999999E-2</v>
      </c>
      <c r="H30" s="86" t="s">
        <v>142</v>
      </c>
    </row>
    <row r="31" spans="1:8" x14ac:dyDescent="0.2">
      <c r="A31" s="92">
        <v>25</v>
      </c>
      <c r="B31" s="93" t="s">
        <v>397</v>
      </c>
      <c r="C31" s="93" t="s">
        <v>398</v>
      </c>
      <c r="D31" s="93" t="s">
        <v>135</v>
      </c>
      <c r="E31" s="94">
        <v>18454</v>
      </c>
      <c r="F31" s="95">
        <v>33.741293599999999</v>
      </c>
      <c r="G31" s="96">
        <v>1.460236E-2</v>
      </c>
      <c r="H31" s="86" t="s">
        <v>142</v>
      </c>
    </row>
    <row r="32" spans="1:8" x14ac:dyDescent="0.2">
      <c r="A32" s="92">
        <v>26</v>
      </c>
      <c r="B32" s="93" t="s">
        <v>395</v>
      </c>
      <c r="C32" s="93" t="s">
        <v>396</v>
      </c>
      <c r="D32" s="93" t="s">
        <v>257</v>
      </c>
      <c r="E32" s="94">
        <v>7431</v>
      </c>
      <c r="F32" s="95">
        <v>31.767524999999999</v>
      </c>
      <c r="G32" s="96">
        <v>1.3748160000000001E-2</v>
      </c>
      <c r="H32" s="86" t="s">
        <v>142</v>
      </c>
    </row>
    <row r="33" spans="1:8" ht="25.5" x14ac:dyDescent="0.2">
      <c r="A33" s="92">
        <v>27</v>
      </c>
      <c r="B33" s="93" t="s">
        <v>401</v>
      </c>
      <c r="C33" s="93" t="s">
        <v>402</v>
      </c>
      <c r="D33" s="93" t="s">
        <v>225</v>
      </c>
      <c r="E33" s="94">
        <v>3747</v>
      </c>
      <c r="F33" s="95">
        <v>30.721653</v>
      </c>
      <c r="G33" s="96">
        <v>1.329553E-2</v>
      </c>
      <c r="H33" s="86" t="s">
        <v>142</v>
      </c>
    </row>
    <row r="34" spans="1:8" x14ac:dyDescent="0.2">
      <c r="A34" s="92">
        <v>28</v>
      </c>
      <c r="B34" s="93" t="s">
        <v>399</v>
      </c>
      <c r="C34" s="93" t="s">
        <v>400</v>
      </c>
      <c r="D34" s="93" t="s">
        <v>218</v>
      </c>
      <c r="E34" s="94">
        <v>5099</v>
      </c>
      <c r="F34" s="95">
        <v>30.2549165</v>
      </c>
      <c r="G34" s="96">
        <v>1.3093540000000001E-2</v>
      </c>
      <c r="H34" s="86" t="s">
        <v>142</v>
      </c>
    </row>
    <row r="35" spans="1:8" x14ac:dyDescent="0.2">
      <c r="A35" s="92">
        <v>29</v>
      </c>
      <c r="B35" s="93" t="s">
        <v>301</v>
      </c>
      <c r="C35" s="93" t="s">
        <v>302</v>
      </c>
      <c r="D35" s="93" t="s">
        <v>58</v>
      </c>
      <c r="E35" s="94">
        <v>1691</v>
      </c>
      <c r="F35" s="95">
        <v>28.562681000000001</v>
      </c>
      <c r="G35" s="96">
        <v>1.2361189999999999E-2</v>
      </c>
      <c r="H35" s="86" t="s">
        <v>142</v>
      </c>
    </row>
    <row r="36" spans="1:8" x14ac:dyDescent="0.2">
      <c r="A36" s="92">
        <v>30</v>
      </c>
      <c r="B36" s="93" t="s">
        <v>403</v>
      </c>
      <c r="C36" s="93" t="s">
        <v>404</v>
      </c>
      <c r="D36" s="93" t="s">
        <v>204</v>
      </c>
      <c r="E36" s="94">
        <v>7579</v>
      </c>
      <c r="F36" s="95">
        <v>28.163564000000001</v>
      </c>
      <c r="G36" s="96">
        <v>1.218846E-2</v>
      </c>
      <c r="H36" s="86" t="s">
        <v>142</v>
      </c>
    </row>
    <row r="37" spans="1:8" x14ac:dyDescent="0.2">
      <c r="A37" s="92">
        <v>31</v>
      </c>
      <c r="B37" s="93" t="s">
        <v>407</v>
      </c>
      <c r="C37" s="93" t="s">
        <v>408</v>
      </c>
      <c r="D37" s="93" t="s">
        <v>409</v>
      </c>
      <c r="E37" s="94">
        <v>2030</v>
      </c>
      <c r="F37" s="95">
        <v>24.770060000000001</v>
      </c>
      <c r="G37" s="96">
        <v>1.071984E-2</v>
      </c>
      <c r="H37" s="86" t="s">
        <v>142</v>
      </c>
    </row>
    <row r="38" spans="1:8" x14ac:dyDescent="0.2">
      <c r="A38" s="92">
        <v>32</v>
      </c>
      <c r="B38" s="93" t="s">
        <v>211</v>
      </c>
      <c r="C38" s="93" t="s">
        <v>212</v>
      </c>
      <c r="D38" s="93" t="s">
        <v>73</v>
      </c>
      <c r="E38" s="94">
        <v>1390</v>
      </c>
      <c r="F38" s="95">
        <v>23.38814</v>
      </c>
      <c r="G38" s="96">
        <v>1.012178E-2</v>
      </c>
      <c r="H38" s="86" t="s">
        <v>142</v>
      </c>
    </row>
    <row r="39" spans="1:8" x14ac:dyDescent="0.2">
      <c r="A39" s="92">
        <v>33</v>
      </c>
      <c r="B39" s="93" t="s">
        <v>384</v>
      </c>
      <c r="C39" s="93" t="s">
        <v>385</v>
      </c>
      <c r="D39" s="93" t="s">
        <v>186</v>
      </c>
      <c r="E39" s="94">
        <v>2512</v>
      </c>
      <c r="F39" s="95">
        <v>21.801648</v>
      </c>
      <c r="G39" s="96">
        <v>9.4351899999999995E-3</v>
      </c>
      <c r="H39" s="86" t="s">
        <v>142</v>
      </c>
    </row>
    <row r="40" spans="1:8" x14ac:dyDescent="0.2">
      <c r="A40" s="92">
        <v>34</v>
      </c>
      <c r="B40" s="93" t="s">
        <v>410</v>
      </c>
      <c r="C40" s="93" t="s">
        <v>411</v>
      </c>
      <c r="D40" s="93" t="s">
        <v>48</v>
      </c>
      <c r="E40" s="94">
        <v>2810</v>
      </c>
      <c r="F40" s="95">
        <v>21.211285</v>
      </c>
      <c r="G40" s="96">
        <v>9.1796900000000008E-3</v>
      </c>
      <c r="H40" s="86" t="s">
        <v>142</v>
      </c>
    </row>
    <row r="41" spans="1:8" x14ac:dyDescent="0.2">
      <c r="A41" s="92">
        <v>35</v>
      </c>
      <c r="B41" s="93" t="s">
        <v>405</v>
      </c>
      <c r="C41" s="93" t="s">
        <v>406</v>
      </c>
      <c r="D41" s="93" t="s">
        <v>48</v>
      </c>
      <c r="E41" s="94">
        <v>2745</v>
      </c>
      <c r="F41" s="95">
        <v>20.709652500000001</v>
      </c>
      <c r="G41" s="96">
        <v>8.9625999999999994E-3</v>
      </c>
      <c r="H41" s="86" t="s">
        <v>142</v>
      </c>
    </row>
    <row r="42" spans="1:8" x14ac:dyDescent="0.2">
      <c r="A42" s="92">
        <v>36</v>
      </c>
      <c r="B42" s="93" t="s">
        <v>71</v>
      </c>
      <c r="C42" s="93" t="s">
        <v>72</v>
      </c>
      <c r="D42" s="93" t="s">
        <v>73</v>
      </c>
      <c r="E42" s="94">
        <v>1521</v>
      </c>
      <c r="F42" s="95">
        <v>15.783417</v>
      </c>
      <c r="G42" s="96">
        <v>6.8306499999999997E-3</v>
      </c>
      <c r="H42" s="86" t="s">
        <v>142</v>
      </c>
    </row>
    <row r="43" spans="1:8" x14ac:dyDescent="0.2">
      <c r="A43" s="92">
        <v>37</v>
      </c>
      <c r="B43" s="93" t="s">
        <v>412</v>
      </c>
      <c r="C43" s="93" t="s">
        <v>413</v>
      </c>
      <c r="D43" s="93" t="s">
        <v>58</v>
      </c>
      <c r="E43" s="94">
        <v>1475</v>
      </c>
      <c r="F43" s="95">
        <v>13.282375</v>
      </c>
      <c r="G43" s="96">
        <v>5.7482699999999998E-3</v>
      </c>
      <c r="H43" s="86" t="s">
        <v>142</v>
      </c>
    </row>
    <row r="44" spans="1:8" x14ac:dyDescent="0.2">
      <c r="A44" s="92">
        <v>38</v>
      </c>
      <c r="B44" s="93" t="s">
        <v>414</v>
      </c>
      <c r="C44" s="93" t="s">
        <v>415</v>
      </c>
      <c r="D44" s="93" t="s">
        <v>38</v>
      </c>
      <c r="E44" s="94">
        <v>2606</v>
      </c>
      <c r="F44" s="95">
        <v>7.9704509999999997</v>
      </c>
      <c r="G44" s="96">
        <v>3.4494E-3</v>
      </c>
      <c r="H44" s="86" t="s">
        <v>142</v>
      </c>
    </row>
    <row r="45" spans="1:8" x14ac:dyDescent="0.2">
      <c r="A45" s="97"/>
      <c r="B45" s="97"/>
      <c r="C45" s="98" t="s">
        <v>141</v>
      </c>
      <c r="D45" s="97"/>
      <c r="E45" s="97" t="s">
        <v>142</v>
      </c>
      <c r="F45" s="99">
        <v>2189.6442714</v>
      </c>
      <c r="G45" s="100">
        <v>0.94762113999999997</v>
      </c>
      <c r="H45" s="86" t="s">
        <v>142</v>
      </c>
    </row>
    <row r="46" spans="1:8" x14ac:dyDescent="0.2">
      <c r="A46" s="97"/>
      <c r="B46" s="97"/>
      <c r="C46" s="101"/>
      <c r="D46" s="97"/>
      <c r="E46" s="97"/>
      <c r="F46" s="102"/>
      <c r="G46" s="102"/>
      <c r="H46" s="86" t="s">
        <v>142</v>
      </c>
    </row>
    <row r="47" spans="1:8" x14ac:dyDescent="0.2">
      <c r="A47" s="97"/>
      <c r="B47" s="97"/>
      <c r="C47" s="98" t="s">
        <v>143</v>
      </c>
      <c r="D47" s="97"/>
      <c r="E47" s="97"/>
      <c r="F47" s="97"/>
      <c r="G47" s="97"/>
      <c r="H47" s="86" t="s">
        <v>142</v>
      </c>
    </row>
    <row r="48" spans="1:8" x14ac:dyDescent="0.2">
      <c r="A48" s="97"/>
      <c r="B48" s="97"/>
      <c r="C48" s="98" t="s">
        <v>141</v>
      </c>
      <c r="D48" s="97"/>
      <c r="E48" s="97" t="s">
        <v>142</v>
      </c>
      <c r="F48" s="103" t="s">
        <v>144</v>
      </c>
      <c r="G48" s="100">
        <v>0</v>
      </c>
      <c r="H48" s="86" t="s">
        <v>142</v>
      </c>
    </row>
    <row r="49" spans="1:8" x14ac:dyDescent="0.2">
      <c r="A49" s="97"/>
      <c r="B49" s="97"/>
      <c r="C49" s="101"/>
      <c r="D49" s="97"/>
      <c r="E49" s="97"/>
      <c r="F49" s="102"/>
      <c r="G49" s="102"/>
      <c r="H49" s="86" t="s">
        <v>142</v>
      </c>
    </row>
    <row r="50" spans="1:8" x14ac:dyDescent="0.2">
      <c r="A50" s="97"/>
      <c r="B50" s="97"/>
      <c r="C50" s="98" t="s">
        <v>145</v>
      </c>
      <c r="D50" s="97"/>
      <c r="E50" s="97"/>
      <c r="F50" s="97"/>
      <c r="G50" s="97"/>
      <c r="H50" s="86" t="s">
        <v>142</v>
      </c>
    </row>
    <row r="51" spans="1:8" x14ac:dyDescent="0.2">
      <c r="A51" s="97"/>
      <c r="B51" s="97"/>
      <c r="C51" s="98" t="s">
        <v>141</v>
      </c>
      <c r="D51" s="97"/>
      <c r="E51" s="97" t="s">
        <v>142</v>
      </c>
      <c r="F51" s="103" t="s">
        <v>144</v>
      </c>
      <c r="G51" s="100">
        <v>0</v>
      </c>
      <c r="H51" s="86" t="s">
        <v>142</v>
      </c>
    </row>
    <row r="52" spans="1:8" x14ac:dyDescent="0.2">
      <c r="A52" s="97"/>
      <c r="B52" s="97"/>
      <c r="C52" s="101"/>
      <c r="D52" s="97"/>
      <c r="E52" s="97"/>
      <c r="F52" s="102"/>
      <c r="G52" s="102"/>
      <c r="H52" s="86" t="s">
        <v>142</v>
      </c>
    </row>
    <row r="53" spans="1:8" x14ac:dyDescent="0.2">
      <c r="A53" s="97"/>
      <c r="B53" s="97"/>
      <c r="C53" s="98" t="s">
        <v>146</v>
      </c>
      <c r="D53" s="97"/>
      <c r="E53" s="97"/>
      <c r="F53" s="97"/>
      <c r="G53" s="97"/>
      <c r="H53" s="86" t="s">
        <v>142</v>
      </c>
    </row>
    <row r="54" spans="1:8" x14ac:dyDescent="0.2">
      <c r="A54" s="97"/>
      <c r="B54" s="97"/>
      <c r="C54" s="98" t="s">
        <v>141</v>
      </c>
      <c r="D54" s="97"/>
      <c r="E54" s="97" t="s">
        <v>142</v>
      </c>
      <c r="F54" s="103" t="s">
        <v>144</v>
      </c>
      <c r="G54" s="100">
        <v>0</v>
      </c>
      <c r="H54" s="86" t="s">
        <v>142</v>
      </c>
    </row>
    <row r="55" spans="1:8" x14ac:dyDescent="0.2">
      <c r="A55" s="97"/>
      <c r="B55" s="97"/>
      <c r="C55" s="101"/>
      <c r="D55" s="97"/>
      <c r="E55" s="97"/>
      <c r="F55" s="102"/>
      <c r="G55" s="102"/>
      <c r="H55" s="86" t="s">
        <v>142</v>
      </c>
    </row>
    <row r="56" spans="1:8" x14ac:dyDescent="0.2">
      <c r="A56" s="97"/>
      <c r="B56" s="97"/>
      <c r="C56" s="98" t="s">
        <v>147</v>
      </c>
      <c r="D56" s="97"/>
      <c r="E56" s="97"/>
      <c r="F56" s="102"/>
      <c r="G56" s="102"/>
      <c r="H56" s="86" t="s">
        <v>142</v>
      </c>
    </row>
    <row r="57" spans="1:8" x14ac:dyDescent="0.2">
      <c r="A57" s="97"/>
      <c r="B57" s="97"/>
      <c r="C57" s="98" t="s">
        <v>141</v>
      </c>
      <c r="D57" s="97"/>
      <c r="E57" s="97" t="s">
        <v>142</v>
      </c>
      <c r="F57" s="103" t="s">
        <v>144</v>
      </c>
      <c r="G57" s="100">
        <v>0</v>
      </c>
      <c r="H57" s="86" t="s">
        <v>142</v>
      </c>
    </row>
    <row r="58" spans="1:8" x14ac:dyDescent="0.2">
      <c r="A58" s="97"/>
      <c r="B58" s="97"/>
      <c r="C58" s="101"/>
      <c r="D58" s="97"/>
      <c r="E58" s="97"/>
      <c r="F58" s="102"/>
      <c r="G58" s="102"/>
      <c r="H58" s="86" t="s">
        <v>142</v>
      </c>
    </row>
    <row r="59" spans="1:8" x14ac:dyDescent="0.2">
      <c r="A59" s="97"/>
      <c r="B59" s="97"/>
      <c r="C59" s="98" t="s">
        <v>148</v>
      </c>
      <c r="D59" s="97"/>
      <c r="E59" s="97"/>
      <c r="F59" s="102"/>
      <c r="G59" s="102"/>
      <c r="H59" s="86" t="s">
        <v>142</v>
      </c>
    </row>
    <row r="60" spans="1:8" x14ac:dyDescent="0.2">
      <c r="A60" s="97"/>
      <c r="B60" s="97"/>
      <c r="C60" s="98" t="s">
        <v>141</v>
      </c>
      <c r="D60" s="97"/>
      <c r="E60" s="97" t="s">
        <v>142</v>
      </c>
      <c r="F60" s="103" t="s">
        <v>144</v>
      </c>
      <c r="G60" s="100">
        <v>0</v>
      </c>
      <c r="H60" s="86" t="s">
        <v>142</v>
      </c>
    </row>
    <row r="61" spans="1:8" x14ac:dyDescent="0.2">
      <c r="A61" s="97"/>
      <c r="B61" s="97"/>
      <c r="C61" s="101"/>
      <c r="D61" s="97"/>
      <c r="E61" s="97"/>
      <c r="F61" s="102"/>
      <c r="G61" s="102"/>
      <c r="H61" s="86" t="s">
        <v>142</v>
      </c>
    </row>
    <row r="62" spans="1:8" x14ac:dyDescent="0.2">
      <c r="A62" s="97"/>
      <c r="B62" s="97"/>
      <c r="C62" s="98" t="s">
        <v>149</v>
      </c>
      <c r="D62" s="97"/>
      <c r="E62" s="97"/>
      <c r="F62" s="99">
        <v>2189.6442714</v>
      </c>
      <c r="G62" s="100">
        <v>0.94762113999999997</v>
      </c>
      <c r="H62" s="86" t="s">
        <v>142</v>
      </c>
    </row>
    <row r="63" spans="1:8" x14ac:dyDescent="0.2">
      <c r="A63" s="97"/>
      <c r="B63" s="97"/>
      <c r="C63" s="101"/>
      <c r="D63" s="97"/>
      <c r="E63" s="97"/>
      <c r="F63" s="102"/>
      <c r="G63" s="102"/>
      <c r="H63" s="86" t="s">
        <v>142</v>
      </c>
    </row>
    <row r="64" spans="1:8" x14ac:dyDescent="0.2">
      <c r="A64" s="97"/>
      <c r="B64" s="97"/>
      <c r="C64" s="98" t="s">
        <v>150</v>
      </c>
      <c r="D64" s="97"/>
      <c r="E64" s="97"/>
      <c r="F64" s="102"/>
      <c r="G64" s="102"/>
      <c r="H64" s="86" t="s">
        <v>142</v>
      </c>
    </row>
    <row r="65" spans="1:8" x14ac:dyDescent="0.2">
      <c r="A65" s="97"/>
      <c r="B65" s="97"/>
      <c r="C65" s="98" t="s">
        <v>10</v>
      </c>
      <c r="D65" s="97"/>
      <c r="E65" s="97"/>
      <c r="F65" s="102"/>
      <c r="G65" s="102"/>
      <c r="H65" s="86" t="s">
        <v>142</v>
      </c>
    </row>
    <row r="66" spans="1:8" x14ac:dyDescent="0.2">
      <c r="A66" s="97"/>
      <c r="B66" s="97"/>
      <c r="C66" s="98" t="s">
        <v>141</v>
      </c>
      <c r="D66" s="97"/>
      <c r="E66" s="97" t="s">
        <v>142</v>
      </c>
      <c r="F66" s="103" t="s">
        <v>144</v>
      </c>
      <c r="G66" s="100">
        <v>0</v>
      </c>
      <c r="H66" s="86" t="s">
        <v>142</v>
      </c>
    </row>
    <row r="67" spans="1:8" x14ac:dyDescent="0.2">
      <c r="A67" s="97"/>
      <c r="B67" s="97"/>
      <c r="C67" s="101"/>
      <c r="D67" s="97"/>
      <c r="E67" s="97"/>
      <c r="F67" s="102"/>
      <c r="G67" s="102"/>
      <c r="H67" s="86" t="s">
        <v>142</v>
      </c>
    </row>
    <row r="68" spans="1:8" x14ac:dyDescent="0.2">
      <c r="A68" s="97"/>
      <c r="B68" s="97"/>
      <c r="C68" s="98" t="s">
        <v>151</v>
      </c>
      <c r="D68" s="97"/>
      <c r="E68" s="97"/>
      <c r="F68" s="97"/>
      <c r="G68" s="97"/>
      <c r="H68" s="86" t="s">
        <v>142</v>
      </c>
    </row>
    <row r="69" spans="1:8" x14ac:dyDescent="0.2">
      <c r="A69" s="97"/>
      <c r="B69" s="97"/>
      <c r="C69" s="98" t="s">
        <v>141</v>
      </c>
      <c r="D69" s="97"/>
      <c r="E69" s="97" t="s">
        <v>142</v>
      </c>
      <c r="F69" s="103" t="s">
        <v>144</v>
      </c>
      <c r="G69" s="100">
        <v>0</v>
      </c>
      <c r="H69" s="86" t="s">
        <v>142</v>
      </c>
    </row>
    <row r="70" spans="1:8" x14ac:dyDescent="0.2">
      <c r="A70" s="97"/>
      <c r="B70" s="97"/>
      <c r="C70" s="101"/>
      <c r="D70" s="97"/>
      <c r="E70" s="97"/>
      <c r="F70" s="102"/>
      <c r="G70" s="102"/>
      <c r="H70" s="86" t="s">
        <v>142</v>
      </c>
    </row>
    <row r="71" spans="1:8" x14ac:dyDescent="0.2">
      <c r="A71" s="97"/>
      <c r="B71" s="97"/>
      <c r="C71" s="98" t="s">
        <v>152</v>
      </c>
      <c r="D71" s="97"/>
      <c r="E71" s="97"/>
      <c r="F71" s="97"/>
      <c r="G71" s="97"/>
      <c r="H71" s="86" t="s">
        <v>142</v>
      </c>
    </row>
    <row r="72" spans="1:8" x14ac:dyDescent="0.2">
      <c r="A72" s="97"/>
      <c r="B72" s="97"/>
      <c r="C72" s="98" t="s">
        <v>141</v>
      </c>
      <c r="D72" s="97"/>
      <c r="E72" s="97" t="s">
        <v>142</v>
      </c>
      <c r="F72" s="103" t="s">
        <v>144</v>
      </c>
      <c r="G72" s="100">
        <v>0</v>
      </c>
      <c r="H72" s="86" t="s">
        <v>142</v>
      </c>
    </row>
    <row r="73" spans="1:8" x14ac:dyDescent="0.2">
      <c r="A73" s="97"/>
      <c r="B73" s="97"/>
      <c r="C73" s="101"/>
      <c r="D73" s="97"/>
      <c r="E73" s="97"/>
      <c r="F73" s="102"/>
      <c r="G73" s="102"/>
      <c r="H73" s="86" t="s">
        <v>142</v>
      </c>
    </row>
    <row r="74" spans="1:8" x14ac:dyDescent="0.2">
      <c r="A74" s="97"/>
      <c r="B74" s="97"/>
      <c r="C74" s="98" t="s">
        <v>153</v>
      </c>
      <c r="D74" s="97"/>
      <c r="E74" s="97"/>
      <c r="F74" s="102"/>
      <c r="G74" s="102"/>
      <c r="H74" s="86" t="s">
        <v>142</v>
      </c>
    </row>
    <row r="75" spans="1:8" x14ac:dyDescent="0.2">
      <c r="A75" s="97"/>
      <c r="B75" s="97"/>
      <c r="C75" s="98" t="s">
        <v>141</v>
      </c>
      <c r="D75" s="97"/>
      <c r="E75" s="97" t="s">
        <v>142</v>
      </c>
      <c r="F75" s="103" t="s">
        <v>144</v>
      </c>
      <c r="G75" s="100">
        <v>0</v>
      </c>
      <c r="H75" s="86" t="s">
        <v>142</v>
      </c>
    </row>
    <row r="76" spans="1:8" x14ac:dyDescent="0.2">
      <c r="A76" s="97"/>
      <c r="B76" s="97"/>
      <c r="C76" s="101"/>
      <c r="D76" s="97"/>
      <c r="E76" s="97"/>
      <c r="F76" s="102"/>
      <c r="G76" s="102"/>
      <c r="H76" s="86" t="s">
        <v>142</v>
      </c>
    </row>
    <row r="77" spans="1:8" x14ac:dyDescent="0.2">
      <c r="A77" s="97"/>
      <c r="B77" s="97"/>
      <c r="C77" s="98" t="s">
        <v>154</v>
      </c>
      <c r="D77" s="97"/>
      <c r="E77" s="97"/>
      <c r="F77" s="99">
        <v>0</v>
      </c>
      <c r="G77" s="100">
        <v>0</v>
      </c>
      <c r="H77" s="86" t="s">
        <v>142</v>
      </c>
    </row>
    <row r="78" spans="1:8" x14ac:dyDescent="0.2">
      <c r="A78" s="97"/>
      <c r="B78" s="97"/>
      <c r="C78" s="101"/>
      <c r="D78" s="97"/>
      <c r="E78" s="97"/>
      <c r="F78" s="102"/>
      <c r="G78" s="102"/>
      <c r="H78" s="86" t="s">
        <v>142</v>
      </c>
    </row>
    <row r="79" spans="1:8" x14ac:dyDescent="0.2">
      <c r="A79" s="97"/>
      <c r="B79" s="97"/>
      <c r="C79" s="98" t="s">
        <v>155</v>
      </c>
      <c r="D79" s="97"/>
      <c r="E79" s="97"/>
      <c r="F79" s="102"/>
      <c r="G79" s="102"/>
      <c r="H79" s="86" t="s">
        <v>142</v>
      </c>
    </row>
    <row r="80" spans="1:8" x14ac:dyDescent="0.2">
      <c r="A80" s="97"/>
      <c r="B80" s="97"/>
      <c r="C80" s="98" t="s">
        <v>156</v>
      </c>
      <c r="D80" s="97"/>
      <c r="E80" s="97"/>
      <c r="F80" s="102"/>
      <c r="G80" s="102"/>
      <c r="H80" s="86" t="s">
        <v>142</v>
      </c>
    </row>
    <row r="81" spans="1:8" x14ac:dyDescent="0.2">
      <c r="A81" s="97"/>
      <c r="B81" s="97"/>
      <c r="C81" s="98" t="s">
        <v>141</v>
      </c>
      <c r="D81" s="97"/>
      <c r="E81" s="97" t="s">
        <v>142</v>
      </c>
      <c r="F81" s="103" t="s">
        <v>144</v>
      </c>
      <c r="G81" s="100">
        <v>0</v>
      </c>
      <c r="H81" s="86" t="s">
        <v>142</v>
      </c>
    </row>
    <row r="82" spans="1:8" x14ac:dyDescent="0.2">
      <c r="A82" s="97"/>
      <c r="B82" s="97"/>
      <c r="C82" s="101"/>
      <c r="D82" s="97"/>
      <c r="E82" s="97"/>
      <c r="F82" s="102"/>
      <c r="G82" s="102"/>
      <c r="H82" s="86" t="s">
        <v>142</v>
      </c>
    </row>
    <row r="83" spans="1:8" x14ac:dyDescent="0.2">
      <c r="A83" s="97"/>
      <c r="B83" s="97"/>
      <c r="C83" s="98" t="s">
        <v>157</v>
      </c>
      <c r="D83" s="97"/>
      <c r="E83" s="97"/>
      <c r="F83" s="102"/>
      <c r="G83" s="102"/>
      <c r="H83" s="86" t="s">
        <v>142</v>
      </c>
    </row>
    <row r="84" spans="1:8" x14ac:dyDescent="0.2">
      <c r="A84" s="97"/>
      <c r="B84" s="97"/>
      <c r="C84" s="98" t="s">
        <v>141</v>
      </c>
      <c r="D84" s="97"/>
      <c r="E84" s="97" t="s">
        <v>142</v>
      </c>
      <c r="F84" s="103" t="s">
        <v>144</v>
      </c>
      <c r="G84" s="100">
        <v>0</v>
      </c>
      <c r="H84" s="86" t="s">
        <v>142</v>
      </c>
    </row>
    <row r="85" spans="1:8" x14ac:dyDescent="0.2">
      <c r="A85" s="97"/>
      <c r="B85" s="97"/>
      <c r="C85" s="101"/>
      <c r="D85" s="97"/>
      <c r="E85" s="97"/>
      <c r="F85" s="102"/>
      <c r="G85" s="102"/>
      <c r="H85" s="86" t="s">
        <v>142</v>
      </c>
    </row>
    <row r="86" spans="1:8" x14ac:dyDescent="0.2">
      <c r="A86" s="97"/>
      <c r="B86" s="97"/>
      <c r="C86" s="98" t="s">
        <v>158</v>
      </c>
      <c r="D86" s="97"/>
      <c r="E86" s="97"/>
      <c r="F86" s="102"/>
      <c r="G86" s="102"/>
      <c r="H86" s="86" t="s">
        <v>142</v>
      </c>
    </row>
    <row r="87" spans="1:8" x14ac:dyDescent="0.2">
      <c r="A87" s="97"/>
      <c r="B87" s="97"/>
      <c r="C87" s="98" t="s">
        <v>141</v>
      </c>
      <c r="D87" s="97"/>
      <c r="E87" s="97" t="s">
        <v>142</v>
      </c>
      <c r="F87" s="103" t="s">
        <v>144</v>
      </c>
      <c r="G87" s="100">
        <v>0</v>
      </c>
      <c r="H87" s="86" t="s">
        <v>142</v>
      </c>
    </row>
    <row r="88" spans="1:8" x14ac:dyDescent="0.2">
      <c r="A88" s="97"/>
      <c r="B88" s="97"/>
      <c r="C88" s="101"/>
      <c r="D88" s="97"/>
      <c r="E88" s="97"/>
      <c r="F88" s="102"/>
      <c r="G88" s="102"/>
      <c r="H88" s="86" t="s">
        <v>142</v>
      </c>
    </row>
    <row r="89" spans="1:8" x14ac:dyDescent="0.2">
      <c r="A89" s="97"/>
      <c r="B89" s="97"/>
      <c r="C89" s="98" t="s">
        <v>159</v>
      </c>
      <c r="D89" s="97"/>
      <c r="E89" s="97"/>
      <c r="F89" s="102"/>
      <c r="G89" s="102"/>
      <c r="H89" s="86" t="s">
        <v>142</v>
      </c>
    </row>
    <row r="90" spans="1:8" x14ac:dyDescent="0.2">
      <c r="A90" s="92">
        <v>1</v>
      </c>
      <c r="B90" s="93"/>
      <c r="C90" s="93" t="s">
        <v>160</v>
      </c>
      <c r="D90" s="93"/>
      <c r="E90" s="104"/>
      <c r="F90" s="95">
        <v>155.4748151</v>
      </c>
      <c r="G90" s="96">
        <v>6.7285460000000005E-2</v>
      </c>
      <c r="H90" s="86">
        <v>5.57</v>
      </c>
    </row>
    <row r="91" spans="1:8" x14ac:dyDescent="0.2">
      <c r="A91" s="97"/>
      <c r="B91" s="97"/>
      <c r="C91" s="98" t="s">
        <v>141</v>
      </c>
      <c r="D91" s="97"/>
      <c r="E91" s="97" t="s">
        <v>142</v>
      </c>
      <c r="F91" s="99">
        <v>155.4748151</v>
      </c>
      <c r="G91" s="100">
        <v>6.7285460000000005E-2</v>
      </c>
      <c r="H91" s="86" t="s">
        <v>142</v>
      </c>
    </row>
    <row r="92" spans="1:8" x14ac:dyDescent="0.2">
      <c r="A92" s="97"/>
      <c r="B92" s="97"/>
      <c r="C92" s="101"/>
      <c r="D92" s="97"/>
      <c r="E92" s="97"/>
      <c r="F92" s="102"/>
      <c r="G92" s="102"/>
      <c r="H92" s="86" t="s">
        <v>142</v>
      </c>
    </row>
    <row r="93" spans="1:8" x14ac:dyDescent="0.2">
      <c r="A93" s="97"/>
      <c r="B93" s="97"/>
      <c r="C93" s="98" t="s">
        <v>161</v>
      </c>
      <c r="D93" s="97"/>
      <c r="E93" s="97"/>
      <c r="F93" s="99">
        <v>155.4748151</v>
      </c>
      <c r="G93" s="100">
        <v>6.7285460000000005E-2</v>
      </c>
      <c r="H93" s="86" t="s">
        <v>142</v>
      </c>
    </row>
    <row r="94" spans="1:8" x14ac:dyDescent="0.2">
      <c r="A94" s="97"/>
      <c r="B94" s="97"/>
      <c r="C94" s="102"/>
      <c r="D94" s="97"/>
      <c r="E94" s="97"/>
      <c r="F94" s="97"/>
      <c r="G94" s="97"/>
      <c r="H94" s="86" t="s">
        <v>142</v>
      </c>
    </row>
    <row r="95" spans="1:8" x14ac:dyDescent="0.2">
      <c r="A95" s="97"/>
      <c r="B95" s="97"/>
      <c r="C95" s="98" t="s">
        <v>162</v>
      </c>
      <c r="D95" s="97"/>
      <c r="E95" s="97"/>
      <c r="F95" s="97"/>
      <c r="G95" s="97"/>
      <c r="H95" s="86" t="s">
        <v>142</v>
      </c>
    </row>
    <row r="96" spans="1:8" x14ac:dyDescent="0.2">
      <c r="A96" s="97"/>
      <c r="B96" s="97"/>
      <c r="C96" s="98" t="s">
        <v>163</v>
      </c>
      <c r="D96" s="97"/>
      <c r="E96" s="97"/>
      <c r="F96" s="97"/>
      <c r="G96" s="97"/>
      <c r="H96" s="86" t="s">
        <v>142</v>
      </c>
    </row>
    <row r="97" spans="1:17" x14ac:dyDescent="0.2">
      <c r="A97" s="97"/>
      <c r="B97" s="97"/>
      <c r="C97" s="98" t="s">
        <v>141</v>
      </c>
      <c r="D97" s="97"/>
      <c r="E97" s="97" t="s">
        <v>142</v>
      </c>
      <c r="F97" s="103" t="s">
        <v>144</v>
      </c>
      <c r="G97" s="100">
        <v>0</v>
      </c>
      <c r="H97" s="86" t="s">
        <v>142</v>
      </c>
    </row>
    <row r="98" spans="1:17" x14ac:dyDescent="0.2">
      <c r="A98" s="97"/>
      <c r="B98" s="97"/>
      <c r="C98" s="101"/>
      <c r="D98" s="97"/>
      <c r="E98" s="97"/>
      <c r="F98" s="102"/>
      <c r="G98" s="102"/>
      <c r="H98" s="86" t="s">
        <v>142</v>
      </c>
    </row>
    <row r="99" spans="1:17" x14ac:dyDescent="0.2">
      <c r="A99" s="97"/>
      <c r="B99" s="97"/>
      <c r="C99" s="98" t="s">
        <v>164</v>
      </c>
      <c r="D99" s="97"/>
      <c r="E99" s="97"/>
      <c r="F99" s="97"/>
      <c r="G99" s="97"/>
      <c r="H99" s="86" t="s">
        <v>142</v>
      </c>
    </row>
    <row r="100" spans="1:17" x14ac:dyDescent="0.2">
      <c r="A100" s="97"/>
      <c r="B100" s="97"/>
      <c r="C100" s="98" t="s">
        <v>165</v>
      </c>
      <c r="D100" s="97"/>
      <c r="E100" s="97"/>
      <c r="F100" s="97"/>
      <c r="G100" s="97"/>
      <c r="H100" s="86" t="s">
        <v>142</v>
      </c>
    </row>
    <row r="101" spans="1:17" x14ac:dyDescent="0.2">
      <c r="A101" s="97"/>
      <c r="B101" s="97"/>
      <c r="C101" s="98" t="s">
        <v>141</v>
      </c>
      <c r="D101" s="97"/>
      <c r="E101" s="97" t="s">
        <v>142</v>
      </c>
      <c r="F101" s="103" t="s">
        <v>144</v>
      </c>
      <c r="G101" s="100">
        <v>0</v>
      </c>
      <c r="H101" s="86" t="s">
        <v>142</v>
      </c>
    </row>
    <row r="102" spans="1:17" x14ac:dyDescent="0.2">
      <c r="A102" s="97"/>
      <c r="B102" s="97"/>
      <c r="C102" s="101"/>
      <c r="D102" s="97"/>
      <c r="E102" s="97"/>
      <c r="F102" s="102"/>
      <c r="G102" s="102"/>
      <c r="H102" s="86" t="s">
        <v>142</v>
      </c>
    </row>
    <row r="103" spans="1:17" x14ac:dyDescent="0.2">
      <c r="A103" s="97"/>
      <c r="B103" s="97"/>
      <c r="C103" s="98" t="s">
        <v>166</v>
      </c>
      <c r="D103" s="97"/>
      <c r="E103" s="97"/>
      <c r="F103" s="102"/>
      <c r="G103" s="102"/>
      <c r="H103" s="86" t="s">
        <v>142</v>
      </c>
    </row>
    <row r="104" spans="1:17" x14ac:dyDescent="0.2">
      <c r="A104" s="97"/>
      <c r="B104" s="97"/>
      <c r="C104" s="98" t="s">
        <v>141</v>
      </c>
      <c r="D104" s="97"/>
      <c r="E104" s="97" t="s">
        <v>142</v>
      </c>
      <c r="F104" s="103" t="s">
        <v>144</v>
      </c>
      <c r="G104" s="100">
        <v>0</v>
      </c>
      <c r="H104" s="86" t="s">
        <v>142</v>
      </c>
    </row>
    <row r="105" spans="1:17" x14ac:dyDescent="0.2">
      <c r="A105" s="97"/>
      <c r="B105" s="97"/>
      <c r="C105" s="101"/>
      <c r="D105" s="97"/>
      <c r="E105" s="97"/>
      <c r="F105" s="102"/>
      <c r="G105" s="102"/>
      <c r="H105" s="86" t="s">
        <v>142</v>
      </c>
    </row>
    <row r="106" spans="1:17" x14ac:dyDescent="0.2">
      <c r="A106" s="104"/>
      <c r="B106" s="93"/>
      <c r="C106" s="93" t="s">
        <v>167</v>
      </c>
      <c r="D106" s="93"/>
      <c r="E106" s="104"/>
      <c r="F106" s="95">
        <v>-34.444251170000001</v>
      </c>
      <c r="G106" s="96">
        <v>-1.4906579999999999E-2</v>
      </c>
      <c r="H106" s="86" t="s">
        <v>142</v>
      </c>
    </row>
    <row r="107" spans="1:17" x14ac:dyDescent="0.2">
      <c r="A107" s="101"/>
      <c r="B107" s="101"/>
      <c r="C107" s="98" t="s">
        <v>168</v>
      </c>
      <c r="D107" s="102"/>
      <c r="E107" s="102"/>
      <c r="F107" s="99">
        <v>2310.67483533</v>
      </c>
      <c r="G107" s="105">
        <v>1.0000000200000001</v>
      </c>
      <c r="H107" s="86" t="s">
        <v>142</v>
      </c>
    </row>
    <row r="108" spans="1:17" ht="12.75" customHeight="1" x14ac:dyDescent="0.2">
      <c r="A108" s="106"/>
      <c r="B108" s="106"/>
      <c r="C108" s="107"/>
      <c r="D108" s="108"/>
      <c r="E108" s="108"/>
      <c r="F108" s="109"/>
      <c r="G108" s="110"/>
      <c r="H108" s="111"/>
    </row>
    <row r="109" spans="1:17" x14ac:dyDescent="0.2">
      <c r="A109" s="106"/>
      <c r="B109" s="200" t="s">
        <v>918</v>
      </c>
      <c r="C109" s="200"/>
      <c r="D109" s="200"/>
      <c r="E109" s="200"/>
      <c r="F109" s="200"/>
      <c r="G109" s="200"/>
      <c r="H109" s="200"/>
      <c r="J109" s="113"/>
    </row>
    <row r="110" spans="1:17" x14ac:dyDescent="0.2">
      <c r="A110" s="106"/>
      <c r="B110" s="200" t="s">
        <v>919</v>
      </c>
      <c r="C110" s="200"/>
      <c r="D110" s="200"/>
      <c r="E110" s="200"/>
      <c r="F110" s="200"/>
      <c r="G110" s="200"/>
      <c r="H110" s="200"/>
      <c r="J110" s="113"/>
    </row>
    <row r="111" spans="1:17" x14ac:dyDescent="0.2">
      <c r="A111" s="106"/>
      <c r="B111" s="200" t="s">
        <v>920</v>
      </c>
      <c r="C111" s="200"/>
      <c r="D111" s="200"/>
      <c r="E111" s="200"/>
      <c r="F111" s="200"/>
      <c r="G111" s="200"/>
      <c r="H111" s="200"/>
      <c r="J111" s="113"/>
    </row>
    <row r="112" spans="1:17" s="115" customFormat="1" ht="66.75" customHeight="1" x14ac:dyDescent="0.25">
      <c r="A112" s="114"/>
      <c r="B112" s="201" t="s">
        <v>921</v>
      </c>
      <c r="C112" s="201"/>
      <c r="D112" s="201"/>
      <c r="E112" s="201"/>
      <c r="F112" s="201"/>
      <c r="G112" s="201"/>
      <c r="H112" s="201"/>
      <c r="I112"/>
      <c r="J112" s="113"/>
      <c r="K112"/>
      <c r="L112"/>
      <c r="M112"/>
      <c r="N112"/>
      <c r="O112"/>
      <c r="P112"/>
      <c r="Q112"/>
    </row>
    <row r="113" spans="1:10" x14ac:dyDescent="0.2">
      <c r="A113" s="106"/>
      <c r="B113" s="200" t="s">
        <v>922</v>
      </c>
      <c r="C113" s="200"/>
      <c r="D113" s="200"/>
      <c r="E113" s="200"/>
      <c r="F113" s="200"/>
      <c r="G113" s="200"/>
      <c r="H113" s="200"/>
      <c r="J113" s="113"/>
    </row>
    <row r="114" spans="1:10" x14ac:dyDescent="0.2">
      <c r="A114" s="106"/>
      <c r="B114" s="106"/>
      <c r="C114" s="106"/>
      <c r="D114" s="108"/>
      <c r="E114" s="108"/>
      <c r="F114" s="108"/>
      <c r="G114" s="108"/>
    </row>
    <row r="115" spans="1:10" x14ac:dyDescent="0.2">
      <c r="A115" s="106"/>
      <c r="B115" s="202" t="s">
        <v>169</v>
      </c>
      <c r="C115" s="203"/>
      <c r="D115" s="204"/>
      <c r="E115" s="116"/>
      <c r="F115" s="108"/>
      <c r="G115" s="108"/>
    </row>
    <row r="116" spans="1:10" ht="27.75" customHeight="1" x14ac:dyDescent="0.2">
      <c r="A116" s="106"/>
      <c r="B116" s="205" t="s">
        <v>170</v>
      </c>
      <c r="C116" s="206"/>
      <c r="D116" s="85" t="s">
        <v>171</v>
      </c>
      <c r="E116" s="116"/>
      <c r="F116" s="108"/>
      <c r="G116" s="108"/>
    </row>
    <row r="117" spans="1:10" ht="12.75" customHeight="1" x14ac:dyDescent="0.2">
      <c r="A117" s="106"/>
      <c r="B117" s="205" t="s">
        <v>923</v>
      </c>
      <c r="C117" s="206"/>
      <c r="D117" s="85" t="s">
        <v>171</v>
      </c>
      <c r="E117" s="116"/>
      <c r="F117" s="108"/>
      <c r="G117" s="108"/>
    </row>
    <row r="118" spans="1:10" x14ac:dyDescent="0.2">
      <c r="A118" s="106"/>
      <c r="B118" s="205" t="s">
        <v>172</v>
      </c>
      <c r="C118" s="206"/>
      <c r="D118" s="117" t="s">
        <v>142</v>
      </c>
      <c r="E118" s="116"/>
      <c r="F118" s="108"/>
      <c r="G118" s="108"/>
    </row>
    <row r="119" spans="1:10" x14ac:dyDescent="0.2">
      <c r="A119" s="118"/>
      <c r="B119" s="119" t="s">
        <v>142</v>
      </c>
      <c r="C119" s="119" t="s">
        <v>924</v>
      </c>
      <c r="D119" s="119" t="s">
        <v>173</v>
      </c>
      <c r="E119" s="118"/>
      <c r="F119" s="118"/>
      <c r="G119" s="118"/>
      <c r="H119" s="118"/>
      <c r="J119" s="113"/>
    </row>
    <row r="120" spans="1:10" x14ac:dyDescent="0.2">
      <c r="A120" s="118"/>
      <c r="B120" s="120" t="s">
        <v>174</v>
      </c>
      <c r="C120" s="121">
        <v>45930</v>
      </c>
      <c r="D120" s="121">
        <v>45961</v>
      </c>
      <c r="E120" s="118"/>
      <c r="F120" s="118"/>
      <c r="G120" s="118"/>
      <c r="J120" s="113"/>
    </row>
    <row r="121" spans="1:10" x14ac:dyDescent="0.2">
      <c r="A121" s="122"/>
      <c r="B121" s="93" t="s">
        <v>175</v>
      </c>
      <c r="C121" s="123">
        <v>33.322600000000001</v>
      </c>
      <c r="D121" s="123">
        <v>34.899799999999999</v>
      </c>
      <c r="E121" s="122"/>
      <c r="F121" s="124"/>
      <c r="G121" s="125"/>
    </row>
    <row r="122" spans="1:10" x14ac:dyDescent="0.2">
      <c r="A122" s="122"/>
      <c r="B122" s="93" t="s">
        <v>1101</v>
      </c>
      <c r="C122" s="123">
        <v>30.616099999999999</v>
      </c>
      <c r="D122" s="123">
        <v>32.065100000000001</v>
      </c>
      <c r="E122" s="122"/>
      <c r="F122" s="124"/>
      <c r="G122" s="125"/>
    </row>
    <row r="123" spans="1:10" x14ac:dyDescent="0.2">
      <c r="A123" s="122"/>
      <c r="B123" s="93" t="s">
        <v>176</v>
      </c>
      <c r="C123" s="123">
        <v>32.661000000000001</v>
      </c>
      <c r="D123" s="123">
        <v>34.200400000000002</v>
      </c>
      <c r="E123" s="122"/>
      <c r="F123" s="124"/>
      <c r="G123" s="125"/>
    </row>
    <row r="124" spans="1:10" x14ac:dyDescent="0.2">
      <c r="A124" s="122"/>
      <c r="B124" s="93" t="s">
        <v>1102</v>
      </c>
      <c r="C124" s="123">
        <v>29.971699999999998</v>
      </c>
      <c r="D124" s="123">
        <v>31.384399999999999</v>
      </c>
      <c r="E124" s="122"/>
      <c r="F124" s="124"/>
      <c r="G124" s="125"/>
    </row>
    <row r="125" spans="1:10" x14ac:dyDescent="0.2">
      <c r="A125" s="122"/>
      <c r="B125" s="122"/>
      <c r="C125" s="122"/>
      <c r="D125" s="122"/>
      <c r="E125" s="122"/>
      <c r="F125" s="122"/>
      <c r="G125" s="122"/>
    </row>
    <row r="126" spans="1:10" x14ac:dyDescent="0.2">
      <c r="A126" s="118"/>
      <c r="B126" s="205" t="s">
        <v>925</v>
      </c>
      <c r="C126" s="206"/>
      <c r="D126" s="85" t="s">
        <v>171</v>
      </c>
      <c r="E126" s="118"/>
      <c r="F126" s="118"/>
      <c r="G126" s="118"/>
    </row>
    <row r="127" spans="1:10" x14ac:dyDescent="0.2">
      <c r="A127" s="118"/>
      <c r="B127" s="136"/>
      <c r="C127" s="136"/>
      <c r="D127" s="136"/>
      <c r="E127" s="118"/>
      <c r="F127" s="118"/>
      <c r="G127" s="118"/>
    </row>
    <row r="128" spans="1:10" x14ac:dyDescent="0.2">
      <c r="A128" s="118"/>
      <c r="B128" s="205" t="s">
        <v>179</v>
      </c>
      <c r="C128" s="206"/>
      <c r="D128" s="85" t="s">
        <v>171</v>
      </c>
      <c r="E128" s="136"/>
      <c r="F128" s="136"/>
      <c r="G128" s="136"/>
    </row>
    <row r="129" spans="1:10" x14ac:dyDescent="0.2">
      <c r="A129" s="118"/>
      <c r="B129" s="205" t="s">
        <v>180</v>
      </c>
      <c r="C129" s="206"/>
      <c r="D129" s="85" t="s">
        <v>171</v>
      </c>
      <c r="E129" s="118"/>
      <c r="F129" s="118"/>
      <c r="G129" s="118"/>
    </row>
    <row r="130" spans="1:10" ht="12.75" customHeight="1" x14ac:dyDescent="0.2">
      <c r="A130" s="118"/>
      <c r="B130" s="205" t="s">
        <v>181</v>
      </c>
      <c r="C130" s="206"/>
      <c r="D130" s="85" t="s">
        <v>171</v>
      </c>
      <c r="E130" s="131"/>
      <c r="F130" s="118"/>
      <c r="G130" s="118"/>
    </row>
    <row r="131" spans="1:10" ht="12.75" customHeight="1" x14ac:dyDescent="0.2">
      <c r="A131" s="118"/>
      <c r="B131" s="205" t="s">
        <v>182</v>
      </c>
      <c r="C131" s="206"/>
      <c r="D131" s="132">
        <v>4.9267884888603897E-2</v>
      </c>
      <c r="E131" s="131"/>
      <c r="F131" s="118"/>
      <c r="G131" s="118"/>
    </row>
    <row r="134" spans="1:10" x14ac:dyDescent="0.2">
      <c r="B134" s="199" t="s">
        <v>926</v>
      </c>
      <c r="C134" s="199"/>
    </row>
    <row r="136" spans="1:10" ht="153.75" customHeight="1" x14ac:dyDescent="0.2"/>
    <row r="139" spans="1:10" x14ac:dyDescent="0.2">
      <c r="B139" s="134" t="s">
        <v>927</v>
      </c>
      <c r="C139" s="135"/>
      <c r="D139" s="134"/>
    </row>
    <row r="140" spans="1:10" x14ac:dyDescent="0.2">
      <c r="B140" s="134" t="s">
        <v>937</v>
      </c>
      <c r="D140" s="134"/>
    </row>
    <row r="141" spans="1:10" ht="165" customHeight="1" x14ac:dyDescent="0.2"/>
    <row r="143" spans="1:10" x14ac:dyDescent="0.2">
      <c r="J143" s="83"/>
    </row>
    <row r="152" customFormat="1" ht="14.25" customHeight="1" x14ac:dyDescent="0.2"/>
    <row r="153" customFormat="1" ht="12.75" customHeight="1" x14ac:dyDescent="0.2"/>
  </sheetData>
  <mergeCells count="18">
    <mergeCell ref="B134:C134"/>
    <mergeCell ref="B131:C131"/>
    <mergeCell ref="A1:H1"/>
    <mergeCell ref="A2:H2"/>
    <mergeCell ref="A3:H3"/>
    <mergeCell ref="B126:C126"/>
    <mergeCell ref="B130:C130"/>
    <mergeCell ref="B109:H109"/>
    <mergeCell ref="B110:H110"/>
    <mergeCell ref="B117:C117"/>
    <mergeCell ref="B118:C118"/>
    <mergeCell ref="B128:C128"/>
    <mergeCell ref="B129:C129"/>
    <mergeCell ref="B111:H111"/>
    <mergeCell ref="B112:H112"/>
    <mergeCell ref="B113:H113"/>
    <mergeCell ref="B115:D115"/>
    <mergeCell ref="B116:C116"/>
  </mergeCells>
  <hyperlinks>
    <hyperlink ref="I1" location="Index!B2" display="Index" xr:uid="{B139878F-4ECE-42E3-8772-801FFEE67354}"/>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113B3-94EC-4605-9263-6A94B083780E}">
  <sheetPr>
    <outlinePr summaryBelow="0" summaryRight="0"/>
  </sheetPr>
  <dimension ref="A1:Q148"/>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7.710937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417</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12610</v>
      </c>
      <c r="F7" s="95">
        <v>124.49853</v>
      </c>
      <c r="G7" s="96">
        <v>9.3406879999999998E-2</v>
      </c>
      <c r="H7" s="86" t="s">
        <v>142</v>
      </c>
    </row>
    <row r="8" spans="1:9" x14ac:dyDescent="0.2">
      <c r="A8" s="92">
        <v>2</v>
      </c>
      <c r="B8" s="93" t="s">
        <v>33</v>
      </c>
      <c r="C8" s="93" t="s">
        <v>34</v>
      </c>
      <c r="D8" s="93" t="s">
        <v>35</v>
      </c>
      <c r="E8" s="94">
        <v>8734</v>
      </c>
      <c r="F8" s="95">
        <v>117.498502</v>
      </c>
      <c r="G8" s="96">
        <v>8.8155010000000006E-2</v>
      </c>
      <c r="H8" s="86" t="s">
        <v>142</v>
      </c>
    </row>
    <row r="9" spans="1:9" x14ac:dyDescent="0.2">
      <c r="A9" s="92">
        <v>3</v>
      </c>
      <c r="B9" s="93" t="s">
        <v>39</v>
      </c>
      <c r="C9" s="93" t="s">
        <v>40</v>
      </c>
      <c r="D9" s="93" t="s">
        <v>35</v>
      </c>
      <c r="E9" s="94">
        <v>11730</v>
      </c>
      <c r="F9" s="95">
        <v>109.9101</v>
      </c>
      <c r="G9" s="96">
        <v>8.2461690000000004E-2</v>
      </c>
      <c r="H9" s="86" t="s">
        <v>142</v>
      </c>
    </row>
    <row r="10" spans="1:9" x14ac:dyDescent="0.2">
      <c r="A10" s="92">
        <v>4</v>
      </c>
      <c r="B10" s="93" t="s">
        <v>17</v>
      </c>
      <c r="C10" s="93" t="s">
        <v>18</v>
      </c>
      <c r="D10" s="93" t="s">
        <v>19</v>
      </c>
      <c r="E10" s="94">
        <v>6978</v>
      </c>
      <c r="F10" s="95">
        <v>103.720992</v>
      </c>
      <c r="G10" s="96">
        <v>7.7818219999999994E-2</v>
      </c>
      <c r="H10" s="86" t="s">
        <v>142</v>
      </c>
    </row>
    <row r="11" spans="1:9" x14ac:dyDescent="0.2">
      <c r="A11" s="92">
        <v>5</v>
      </c>
      <c r="B11" s="93" t="s">
        <v>11</v>
      </c>
      <c r="C11" s="93" t="s">
        <v>12</v>
      </c>
      <c r="D11" s="93" t="s">
        <v>13</v>
      </c>
      <c r="E11" s="94">
        <v>4294</v>
      </c>
      <c r="F11" s="95">
        <v>88.220230000000001</v>
      </c>
      <c r="G11" s="96">
        <v>6.6188549999999999E-2</v>
      </c>
      <c r="H11" s="86" t="s">
        <v>142</v>
      </c>
    </row>
    <row r="12" spans="1:9" x14ac:dyDescent="0.2">
      <c r="A12" s="92">
        <v>6</v>
      </c>
      <c r="B12" s="93" t="s">
        <v>326</v>
      </c>
      <c r="C12" s="93" t="s">
        <v>327</v>
      </c>
      <c r="D12" s="93" t="s">
        <v>204</v>
      </c>
      <c r="E12" s="94">
        <v>5430</v>
      </c>
      <c r="F12" s="95">
        <v>80.488889999999998</v>
      </c>
      <c r="G12" s="96">
        <v>6.0387990000000002E-2</v>
      </c>
      <c r="H12" s="86" t="s">
        <v>142</v>
      </c>
    </row>
    <row r="13" spans="1:9" x14ac:dyDescent="0.2">
      <c r="A13" s="92">
        <v>7</v>
      </c>
      <c r="B13" s="93" t="s">
        <v>14</v>
      </c>
      <c r="C13" s="93" t="s">
        <v>15</v>
      </c>
      <c r="D13" s="93" t="s">
        <v>16</v>
      </c>
      <c r="E13" s="94">
        <v>1772</v>
      </c>
      <c r="F13" s="95">
        <v>71.427548000000002</v>
      </c>
      <c r="G13" s="96">
        <v>5.3589579999999998E-2</v>
      </c>
      <c r="H13" s="86" t="s">
        <v>142</v>
      </c>
    </row>
    <row r="14" spans="1:9" ht="25.5" x14ac:dyDescent="0.2">
      <c r="A14" s="92">
        <v>8</v>
      </c>
      <c r="B14" s="93" t="s">
        <v>23</v>
      </c>
      <c r="C14" s="93" t="s">
        <v>24</v>
      </c>
      <c r="D14" s="93" t="s">
        <v>25</v>
      </c>
      <c r="E14" s="94">
        <v>424</v>
      </c>
      <c r="F14" s="95">
        <v>50.655279999999998</v>
      </c>
      <c r="G14" s="96">
        <v>3.8004879999999998E-2</v>
      </c>
      <c r="H14" s="86" t="s">
        <v>142</v>
      </c>
    </row>
    <row r="15" spans="1:9" x14ac:dyDescent="0.2">
      <c r="A15" s="92">
        <v>9</v>
      </c>
      <c r="B15" s="93" t="s">
        <v>322</v>
      </c>
      <c r="C15" s="93" t="s">
        <v>323</v>
      </c>
      <c r="D15" s="93" t="s">
        <v>35</v>
      </c>
      <c r="E15" s="94">
        <v>3621</v>
      </c>
      <c r="F15" s="95">
        <v>44.639688</v>
      </c>
      <c r="G15" s="96">
        <v>3.3491590000000002E-2</v>
      </c>
      <c r="H15" s="86" t="s">
        <v>142</v>
      </c>
    </row>
    <row r="16" spans="1:9" x14ac:dyDescent="0.2">
      <c r="A16" s="92">
        <v>10</v>
      </c>
      <c r="B16" s="93" t="s">
        <v>196</v>
      </c>
      <c r="C16" s="93" t="s">
        <v>197</v>
      </c>
      <c r="D16" s="93" t="s">
        <v>19</v>
      </c>
      <c r="E16" s="94">
        <v>9124</v>
      </c>
      <c r="F16" s="95">
        <v>43.430239999999998</v>
      </c>
      <c r="G16" s="96">
        <v>3.2584189999999999E-2</v>
      </c>
      <c r="H16" s="86" t="s">
        <v>142</v>
      </c>
    </row>
    <row r="17" spans="1:8" x14ac:dyDescent="0.2">
      <c r="A17" s="92">
        <v>11</v>
      </c>
      <c r="B17" s="93" t="s">
        <v>133</v>
      </c>
      <c r="C17" s="93" t="s">
        <v>134</v>
      </c>
      <c r="D17" s="93" t="s">
        <v>135</v>
      </c>
      <c r="E17" s="94">
        <v>3580</v>
      </c>
      <c r="F17" s="95">
        <v>38.19144</v>
      </c>
      <c r="G17" s="96">
        <v>2.8653700000000001E-2</v>
      </c>
      <c r="H17" s="86" t="s">
        <v>142</v>
      </c>
    </row>
    <row r="18" spans="1:8" ht="25.5" x14ac:dyDescent="0.2">
      <c r="A18" s="92">
        <v>12</v>
      </c>
      <c r="B18" s="93" t="s">
        <v>189</v>
      </c>
      <c r="C18" s="93" t="s">
        <v>190</v>
      </c>
      <c r="D18" s="93" t="s">
        <v>191</v>
      </c>
      <c r="E18" s="94">
        <v>1637</v>
      </c>
      <c r="F18" s="95">
        <v>34.779702</v>
      </c>
      <c r="G18" s="96">
        <v>2.6093990000000001E-2</v>
      </c>
      <c r="H18" s="86" t="s">
        <v>142</v>
      </c>
    </row>
    <row r="19" spans="1:8" x14ac:dyDescent="0.2">
      <c r="A19" s="92">
        <v>13</v>
      </c>
      <c r="B19" s="93" t="s">
        <v>418</v>
      </c>
      <c r="C19" s="93" t="s">
        <v>419</v>
      </c>
      <c r="D19" s="93" t="s">
        <v>48</v>
      </c>
      <c r="E19" s="94">
        <v>901</v>
      </c>
      <c r="F19" s="95">
        <v>33.757767000000001</v>
      </c>
      <c r="G19" s="96">
        <v>2.5327269999999999E-2</v>
      </c>
      <c r="H19" s="86" t="s">
        <v>142</v>
      </c>
    </row>
    <row r="20" spans="1:8" x14ac:dyDescent="0.2">
      <c r="A20" s="92">
        <v>14</v>
      </c>
      <c r="B20" s="93" t="s">
        <v>420</v>
      </c>
      <c r="C20" s="93" t="s">
        <v>421</v>
      </c>
      <c r="D20" s="93" t="s">
        <v>422</v>
      </c>
      <c r="E20" s="94">
        <v>7286</v>
      </c>
      <c r="F20" s="95">
        <v>30.626701000000001</v>
      </c>
      <c r="G20" s="96">
        <v>2.2978140000000001E-2</v>
      </c>
      <c r="H20" s="86" t="s">
        <v>142</v>
      </c>
    </row>
    <row r="21" spans="1:8" x14ac:dyDescent="0.2">
      <c r="A21" s="92">
        <v>15</v>
      </c>
      <c r="B21" s="93" t="s">
        <v>31</v>
      </c>
      <c r="C21" s="93" t="s">
        <v>32</v>
      </c>
      <c r="D21" s="93" t="s">
        <v>19</v>
      </c>
      <c r="E21" s="94">
        <v>7496</v>
      </c>
      <c r="F21" s="95">
        <v>26.745728</v>
      </c>
      <c r="G21" s="96">
        <v>2.0066380000000002E-2</v>
      </c>
      <c r="H21" s="86" t="s">
        <v>142</v>
      </c>
    </row>
    <row r="22" spans="1:8" x14ac:dyDescent="0.2">
      <c r="A22" s="92">
        <v>16</v>
      </c>
      <c r="B22" s="93" t="s">
        <v>332</v>
      </c>
      <c r="C22" s="93" t="s">
        <v>333</v>
      </c>
      <c r="D22" s="93" t="s">
        <v>35</v>
      </c>
      <c r="E22" s="94">
        <v>9495</v>
      </c>
      <c r="F22" s="95">
        <v>26.434080000000002</v>
      </c>
      <c r="G22" s="96">
        <v>1.9832559999999999E-2</v>
      </c>
      <c r="H22" s="86" t="s">
        <v>142</v>
      </c>
    </row>
    <row r="23" spans="1:8" x14ac:dyDescent="0.2">
      <c r="A23" s="92">
        <v>17</v>
      </c>
      <c r="B23" s="93" t="s">
        <v>423</v>
      </c>
      <c r="C23" s="93" t="s">
        <v>424</v>
      </c>
      <c r="D23" s="93" t="s">
        <v>204</v>
      </c>
      <c r="E23" s="94">
        <v>1555</v>
      </c>
      <c r="F23" s="95">
        <v>23.970324999999999</v>
      </c>
      <c r="G23" s="96">
        <v>1.7984090000000001E-2</v>
      </c>
      <c r="H23" s="86" t="s">
        <v>142</v>
      </c>
    </row>
    <row r="24" spans="1:8" x14ac:dyDescent="0.2">
      <c r="A24" s="92">
        <v>18</v>
      </c>
      <c r="B24" s="93" t="s">
        <v>425</v>
      </c>
      <c r="C24" s="93" t="s">
        <v>426</v>
      </c>
      <c r="D24" s="93" t="s">
        <v>427</v>
      </c>
      <c r="E24" s="94">
        <v>2810</v>
      </c>
      <c r="F24" s="95">
        <v>23.824584999999999</v>
      </c>
      <c r="G24" s="96">
        <v>1.7874749999999998E-2</v>
      </c>
      <c r="H24" s="86" t="s">
        <v>142</v>
      </c>
    </row>
    <row r="25" spans="1:8" x14ac:dyDescent="0.2">
      <c r="A25" s="92">
        <v>19</v>
      </c>
      <c r="B25" s="93" t="s">
        <v>101</v>
      </c>
      <c r="C25" s="93" t="s">
        <v>102</v>
      </c>
      <c r="D25" s="93" t="s">
        <v>38</v>
      </c>
      <c r="E25" s="94">
        <v>587</v>
      </c>
      <c r="F25" s="95">
        <v>23.605618</v>
      </c>
      <c r="G25" s="96">
        <v>1.7710469999999999E-2</v>
      </c>
      <c r="H25" s="86" t="s">
        <v>142</v>
      </c>
    </row>
    <row r="26" spans="1:8" x14ac:dyDescent="0.2">
      <c r="A26" s="92">
        <v>20</v>
      </c>
      <c r="B26" s="93" t="s">
        <v>428</v>
      </c>
      <c r="C26" s="93" t="s">
        <v>429</v>
      </c>
      <c r="D26" s="93" t="s">
        <v>272</v>
      </c>
      <c r="E26" s="94">
        <v>1169</v>
      </c>
      <c r="F26" s="95">
        <v>22.862133</v>
      </c>
      <c r="G26" s="96">
        <v>1.715266E-2</v>
      </c>
      <c r="H26" s="86" t="s">
        <v>142</v>
      </c>
    </row>
    <row r="27" spans="1:8" ht="25.5" x14ac:dyDescent="0.2">
      <c r="A27" s="92">
        <v>21</v>
      </c>
      <c r="B27" s="93" t="s">
        <v>367</v>
      </c>
      <c r="C27" s="93" t="s">
        <v>368</v>
      </c>
      <c r="D27" s="93" t="s">
        <v>275</v>
      </c>
      <c r="E27" s="94">
        <v>397</v>
      </c>
      <c r="F27" s="95">
        <v>22.578977999999999</v>
      </c>
      <c r="G27" s="96">
        <v>1.6940219999999999E-2</v>
      </c>
      <c r="H27" s="86" t="s">
        <v>142</v>
      </c>
    </row>
    <row r="28" spans="1:8" x14ac:dyDescent="0.2">
      <c r="A28" s="92">
        <v>22</v>
      </c>
      <c r="B28" s="93" t="s">
        <v>430</v>
      </c>
      <c r="C28" s="93" t="s">
        <v>431</v>
      </c>
      <c r="D28" s="93" t="s">
        <v>241</v>
      </c>
      <c r="E28" s="94">
        <v>4883</v>
      </c>
      <c r="F28" s="95">
        <v>20.020299999999999</v>
      </c>
      <c r="G28" s="96">
        <v>1.5020530000000001E-2</v>
      </c>
      <c r="H28" s="86" t="s">
        <v>142</v>
      </c>
    </row>
    <row r="29" spans="1:8" x14ac:dyDescent="0.2">
      <c r="A29" s="92">
        <v>23</v>
      </c>
      <c r="B29" s="93" t="s">
        <v>432</v>
      </c>
      <c r="C29" s="93" t="s">
        <v>433</v>
      </c>
      <c r="D29" s="93" t="s">
        <v>204</v>
      </c>
      <c r="E29" s="94">
        <v>617</v>
      </c>
      <c r="F29" s="95">
        <v>18.86786</v>
      </c>
      <c r="G29" s="96">
        <v>1.4155890000000001E-2</v>
      </c>
      <c r="H29" s="86" t="s">
        <v>142</v>
      </c>
    </row>
    <row r="30" spans="1:8" ht="25.5" x14ac:dyDescent="0.2">
      <c r="A30" s="92">
        <v>24</v>
      </c>
      <c r="B30" s="93" t="s">
        <v>434</v>
      </c>
      <c r="C30" s="93" t="s">
        <v>435</v>
      </c>
      <c r="D30" s="93" t="s">
        <v>207</v>
      </c>
      <c r="E30" s="94">
        <v>1612</v>
      </c>
      <c r="F30" s="95">
        <v>18.779800000000002</v>
      </c>
      <c r="G30" s="96">
        <v>1.4089829999999999E-2</v>
      </c>
      <c r="H30" s="86" t="s">
        <v>142</v>
      </c>
    </row>
    <row r="31" spans="1:8" ht="25.5" x14ac:dyDescent="0.2">
      <c r="A31" s="92">
        <v>25</v>
      </c>
      <c r="B31" s="93" t="s">
        <v>436</v>
      </c>
      <c r="C31" s="93" t="s">
        <v>437</v>
      </c>
      <c r="D31" s="93" t="s">
        <v>225</v>
      </c>
      <c r="E31" s="94">
        <v>1140</v>
      </c>
      <c r="F31" s="95">
        <v>17.114820000000002</v>
      </c>
      <c r="G31" s="96">
        <v>1.284065E-2</v>
      </c>
      <c r="H31" s="86" t="s">
        <v>142</v>
      </c>
    </row>
    <row r="32" spans="1:8" x14ac:dyDescent="0.2">
      <c r="A32" s="92">
        <v>26</v>
      </c>
      <c r="B32" s="93" t="s">
        <v>324</v>
      </c>
      <c r="C32" s="93" t="s">
        <v>325</v>
      </c>
      <c r="D32" s="93" t="s">
        <v>35</v>
      </c>
      <c r="E32" s="94">
        <v>731</v>
      </c>
      <c r="F32" s="95">
        <v>15.367082</v>
      </c>
      <c r="G32" s="96">
        <v>1.1529380000000001E-2</v>
      </c>
      <c r="H32" s="86" t="s">
        <v>142</v>
      </c>
    </row>
    <row r="33" spans="1:8" ht="25.5" x14ac:dyDescent="0.2">
      <c r="A33" s="92">
        <v>27</v>
      </c>
      <c r="B33" s="93" t="s">
        <v>438</v>
      </c>
      <c r="C33" s="93" t="s">
        <v>439</v>
      </c>
      <c r="D33" s="93" t="s">
        <v>25</v>
      </c>
      <c r="E33" s="94">
        <v>1190</v>
      </c>
      <c r="F33" s="95">
        <v>14.02772</v>
      </c>
      <c r="G33" s="96">
        <v>1.0524510000000001E-2</v>
      </c>
      <c r="H33" s="86" t="s">
        <v>142</v>
      </c>
    </row>
    <row r="34" spans="1:8" x14ac:dyDescent="0.2">
      <c r="A34" s="92">
        <v>28</v>
      </c>
      <c r="B34" s="93" t="s">
        <v>440</v>
      </c>
      <c r="C34" s="93" t="s">
        <v>441</v>
      </c>
      <c r="D34" s="93" t="s">
        <v>422</v>
      </c>
      <c r="E34" s="94">
        <v>517</v>
      </c>
      <c r="F34" s="95">
        <v>12.746634999999999</v>
      </c>
      <c r="G34" s="96">
        <v>9.56335E-3</v>
      </c>
      <c r="H34" s="86" t="s">
        <v>142</v>
      </c>
    </row>
    <row r="35" spans="1:8" x14ac:dyDescent="0.2">
      <c r="A35" s="92">
        <v>29</v>
      </c>
      <c r="B35" s="93" t="s">
        <v>442</v>
      </c>
      <c r="C35" s="93" t="s">
        <v>443</v>
      </c>
      <c r="D35" s="93" t="s">
        <v>38</v>
      </c>
      <c r="E35" s="94">
        <v>4883</v>
      </c>
      <c r="F35" s="95">
        <v>12.7324225</v>
      </c>
      <c r="G35" s="96">
        <v>9.5526900000000008E-3</v>
      </c>
      <c r="H35" s="86" t="s">
        <v>142</v>
      </c>
    </row>
    <row r="36" spans="1:8" x14ac:dyDescent="0.2">
      <c r="A36" s="92">
        <v>30</v>
      </c>
      <c r="B36" s="93" t="s">
        <v>126</v>
      </c>
      <c r="C36" s="93" t="s">
        <v>127</v>
      </c>
      <c r="D36" s="93" t="s">
        <v>61</v>
      </c>
      <c r="E36" s="94">
        <v>1871</v>
      </c>
      <c r="F36" s="95">
        <v>10.201627500000001</v>
      </c>
      <c r="G36" s="96">
        <v>7.6539199999999998E-3</v>
      </c>
      <c r="H36" s="86" t="s">
        <v>142</v>
      </c>
    </row>
    <row r="37" spans="1:8" x14ac:dyDescent="0.2">
      <c r="A37" s="92">
        <v>31</v>
      </c>
      <c r="B37" s="93" t="s">
        <v>444</v>
      </c>
      <c r="C37" s="93" t="s">
        <v>445</v>
      </c>
      <c r="D37" s="93" t="s">
        <v>35</v>
      </c>
      <c r="E37" s="94">
        <v>989</v>
      </c>
      <c r="F37" s="95">
        <v>7.8605720000000003</v>
      </c>
      <c r="G37" s="96">
        <v>5.8975099999999999E-3</v>
      </c>
      <c r="H37" s="86" t="s">
        <v>142</v>
      </c>
    </row>
    <row r="38" spans="1:8" x14ac:dyDescent="0.2">
      <c r="A38" s="92">
        <v>32</v>
      </c>
      <c r="B38" s="93" t="s">
        <v>446</v>
      </c>
      <c r="C38" s="93" t="s">
        <v>447</v>
      </c>
      <c r="D38" s="93" t="s">
        <v>204</v>
      </c>
      <c r="E38" s="94">
        <v>3116</v>
      </c>
      <c r="F38" s="95">
        <v>7.4992771999999999</v>
      </c>
      <c r="G38" s="96">
        <v>5.6264499999999999E-3</v>
      </c>
      <c r="H38" s="86" t="s">
        <v>142</v>
      </c>
    </row>
    <row r="39" spans="1:8" x14ac:dyDescent="0.2">
      <c r="A39" s="97"/>
      <c r="B39" s="97"/>
      <c r="C39" s="98" t="s">
        <v>141</v>
      </c>
      <c r="D39" s="97"/>
      <c r="E39" s="97" t="s">
        <v>142</v>
      </c>
      <c r="F39" s="99">
        <v>1297.0851732000001</v>
      </c>
      <c r="G39" s="100">
        <v>0.97315752</v>
      </c>
      <c r="H39" s="86" t="s">
        <v>142</v>
      </c>
    </row>
    <row r="40" spans="1:8" x14ac:dyDescent="0.2">
      <c r="A40" s="97"/>
      <c r="B40" s="97"/>
      <c r="C40" s="101"/>
      <c r="D40" s="97"/>
      <c r="E40" s="97"/>
      <c r="F40" s="102"/>
      <c r="G40" s="102"/>
      <c r="H40" s="86" t="s">
        <v>142</v>
      </c>
    </row>
    <row r="41" spans="1:8" x14ac:dyDescent="0.2">
      <c r="A41" s="97"/>
      <c r="B41" s="97"/>
      <c r="C41" s="98" t="s">
        <v>143</v>
      </c>
      <c r="D41" s="97"/>
      <c r="E41" s="97"/>
      <c r="F41" s="97"/>
      <c r="G41" s="97"/>
      <c r="H41" s="86" t="s">
        <v>142</v>
      </c>
    </row>
    <row r="42" spans="1:8" x14ac:dyDescent="0.2">
      <c r="A42" s="97"/>
      <c r="B42" s="97"/>
      <c r="C42" s="98" t="s">
        <v>141</v>
      </c>
      <c r="D42" s="97"/>
      <c r="E42" s="97" t="s">
        <v>142</v>
      </c>
      <c r="F42" s="103" t="s">
        <v>144</v>
      </c>
      <c r="G42" s="100">
        <v>0</v>
      </c>
      <c r="H42" s="86" t="s">
        <v>142</v>
      </c>
    </row>
    <row r="43" spans="1:8" x14ac:dyDescent="0.2">
      <c r="A43" s="97"/>
      <c r="B43" s="97"/>
      <c r="C43" s="101"/>
      <c r="D43" s="97"/>
      <c r="E43" s="97"/>
      <c r="F43" s="102"/>
      <c r="G43" s="102"/>
      <c r="H43" s="86" t="s">
        <v>142</v>
      </c>
    </row>
    <row r="44" spans="1:8" x14ac:dyDescent="0.2">
      <c r="A44" s="97"/>
      <c r="B44" s="97"/>
      <c r="C44" s="98" t="s">
        <v>145</v>
      </c>
      <c r="D44" s="97"/>
      <c r="E44" s="97"/>
      <c r="F44" s="97"/>
      <c r="G44" s="97"/>
      <c r="H44" s="86" t="s">
        <v>142</v>
      </c>
    </row>
    <row r="45" spans="1:8" x14ac:dyDescent="0.2">
      <c r="A45" s="97"/>
      <c r="B45" s="97"/>
      <c r="C45" s="98" t="s">
        <v>141</v>
      </c>
      <c r="D45" s="97"/>
      <c r="E45" s="97" t="s">
        <v>142</v>
      </c>
      <c r="F45" s="103" t="s">
        <v>144</v>
      </c>
      <c r="G45" s="100">
        <v>0</v>
      </c>
      <c r="H45" s="86" t="s">
        <v>142</v>
      </c>
    </row>
    <row r="46" spans="1:8" x14ac:dyDescent="0.2">
      <c r="A46" s="97"/>
      <c r="B46" s="97"/>
      <c r="C46" s="101"/>
      <c r="D46" s="97"/>
      <c r="E46" s="97"/>
      <c r="F46" s="102"/>
      <c r="G46" s="102"/>
      <c r="H46" s="86" t="s">
        <v>142</v>
      </c>
    </row>
    <row r="47" spans="1:8" x14ac:dyDescent="0.2">
      <c r="A47" s="97"/>
      <c r="B47" s="97"/>
      <c r="C47" s="98" t="s">
        <v>146</v>
      </c>
      <c r="D47" s="97"/>
      <c r="E47" s="97"/>
      <c r="F47" s="97"/>
      <c r="G47" s="97"/>
      <c r="H47" s="86" t="s">
        <v>142</v>
      </c>
    </row>
    <row r="48" spans="1:8" x14ac:dyDescent="0.2">
      <c r="A48" s="97"/>
      <c r="B48" s="97"/>
      <c r="C48" s="98" t="s">
        <v>141</v>
      </c>
      <c r="D48" s="97"/>
      <c r="E48" s="97" t="s">
        <v>142</v>
      </c>
      <c r="F48" s="103" t="s">
        <v>144</v>
      </c>
      <c r="G48" s="100">
        <v>0</v>
      </c>
      <c r="H48" s="86" t="s">
        <v>142</v>
      </c>
    </row>
    <row r="49" spans="1:8" x14ac:dyDescent="0.2">
      <c r="A49" s="97"/>
      <c r="B49" s="97"/>
      <c r="C49" s="101"/>
      <c r="D49" s="97"/>
      <c r="E49" s="97"/>
      <c r="F49" s="102"/>
      <c r="G49" s="102"/>
      <c r="H49" s="86" t="s">
        <v>142</v>
      </c>
    </row>
    <row r="50" spans="1:8" x14ac:dyDescent="0.2">
      <c r="A50" s="97"/>
      <c r="B50" s="97"/>
      <c r="C50" s="98" t="s">
        <v>147</v>
      </c>
      <c r="D50" s="97"/>
      <c r="E50" s="97"/>
      <c r="F50" s="102"/>
      <c r="G50" s="102"/>
      <c r="H50" s="86" t="s">
        <v>142</v>
      </c>
    </row>
    <row r="51" spans="1:8" x14ac:dyDescent="0.2">
      <c r="A51" s="97"/>
      <c r="B51" s="97"/>
      <c r="C51" s="98" t="s">
        <v>141</v>
      </c>
      <c r="D51" s="97"/>
      <c r="E51" s="97" t="s">
        <v>142</v>
      </c>
      <c r="F51" s="103" t="s">
        <v>144</v>
      </c>
      <c r="G51" s="100">
        <v>0</v>
      </c>
      <c r="H51" s="86" t="s">
        <v>142</v>
      </c>
    </row>
    <row r="52" spans="1:8" x14ac:dyDescent="0.2">
      <c r="A52" s="97"/>
      <c r="B52" s="97"/>
      <c r="C52" s="101"/>
      <c r="D52" s="97"/>
      <c r="E52" s="97"/>
      <c r="F52" s="102"/>
      <c r="G52" s="102"/>
      <c r="H52" s="86" t="s">
        <v>142</v>
      </c>
    </row>
    <row r="53" spans="1:8" x14ac:dyDescent="0.2">
      <c r="A53" s="97"/>
      <c r="B53" s="97"/>
      <c r="C53" s="98" t="s">
        <v>148</v>
      </c>
      <c r="D53" s="97"/>
      <c r="E53" s="97"/>
      <c r="F53" s="102"/>
      <c r="G53" s="102"/>
      <c r="H53" s="86" t="s">
        <v>142</v>
      </c>
    </row>
    <row r="54" spans="1:8" x14ac:dyDescent="0.2">
      <c r="A54" s="97"/>
      <c r="B54" s="97"/>
      <c r="C54" s="98" t="s">
        <v>141</v>
      </c>
      <c r="D54" s="97"/>
      <c r="E54" s="97" t="s">
        <v>142</v>
      </c>
      <c r="F54" s="103" t="s">
        <v>144</v>
      </c>
      <c r="G54" s="100">
        <v>0</v>
      </c>
      <c r="H54" s="86" t="s">
        <v>142</v>
      </c>
    </row>
    <row r="55" spans="1:8" x14ac:dyDescent="0.2">
      <c r="A55" s="97"/>
      <c r="B55" s="97"/>
      <c r="C55" s="101"/>
      <c r="D55" s="97"/>
      <c r="E55" s="97"/>
      <c r="F55" s="102"/>
      <c r="G55" s="102"/>
      <c r="H55" s="86" t="s">
        <v>142</v>
      </c>
    </row>
    <row r="56" spans="1:8" x14ac:dyDescent="0.2">
      <c r="A56" s="97"/>
      <c r="B56" s="97"/>
      <c r="C56" s="98" t="s">
        <v>149</v>
      </c>
      <c r="D56" s="97"/>
      <c r="E56" s="97"/>
      <c r="F56" s="99">
        <v>1297.0851732000001</v>
      </c>
      <c r="G56" s="100">
        <v>0.97315752</v>
      </c>
      <c r="H56" s="86" t="s">
        <v>142</v>
      </c>
    </row>
    <row r="57" spans="1:8" x14ac:dyDescent="0.2">
      <c r="A57" s="97"/>
      <c r="B57" s="97"/>
      <c r="C57" s="101"/>
      <c r="D57" s="97"/>
      <c r="E57" s="97"/>
      <c r="F57" s="102"/>
      <c r="G57" s="102"/>
      <c r="H57" s="86" t="s">
        <v>142</v>
      </c>
    </row>
    <row r="58" spans="1:8" x14ac:dyDescent="0.2">
      <c r="A58" s="97"/>
      <c r="B58" s="97"/>
      <c r="C58" s="98" t="s">
        <v>150</v>
      </c>
      <c r="D58" s="97"/>
      <c r="E58" s="97"/>
      <c r="F58" s="102"/>
      <c r="G58" s="102"/>
      <c r="H58" s="86" t="s">
        <v>142</v>
      </c>
    </row>
    <row r="59" spans="1:8" x14ac:dyDescent="0.2">
      <c r="A59" s="97"/>
      <c r="B59" s="97"/>
      <c r="C59" s="98" t="s">
        <v>10</v>
      </c>
      <c r="D59" s="97"/>
      <c r="E59" s="97"/>
      <c r="F59" s="102"/>
      <c r="G59" s="102"/>
      <c r="H59" s="86" t="s">
        <v>142</v>
      </c>
    </row>
    <row r="60" spans="1:8" x14ac:dyDescent="0.2">
      <c r="A60" s="97"/>
      <c r="B60" s="97"/>
      <c r="C60" s="98" t="s">
        <v>141</v>
      </c>
      <c r="D60" s="97"/>
      <c r="E60" s="97" t="s">
        <v>142</v>
      </c>
      <c r="F60" s="103" t="s">
        <v>144</v>
      </c>
      <c r="G60" s="100">
        <v>0</v>
      </c>
      <c r="H60" s="86" t="s">
        <v>142</v>
      </c>
    </row>
    <row r="61" spans="1:8" x14ac:dyDescent="0.2">
      <c r="A61" s="97"/>
      <c r="B61" s="97"/>
      <c r="C61" s="101"/>
      <c r="D61" s="97"/>
      <c r="E61" s="97"/>
      <c r="F61" s="102"/>
      <c r="G61" s="102"/>
      <c r="H61" s="86" t="s">
        <v>142</v>
      </c>
    </row>
    <row r="62" spans="1:8" x14ac:dyDescent="0.2">
      <c r="A62" s="97"/>
      <c r="B62" s="97"/>
      <c r="C62" s="98" t="s">
        <v>151</v>
      </c>
      <c r="D62" s="97"/>
      <c r="E62" s="97"/>
      <c r="F62" s="97"/>
      <c r="G62" s="97"/>
      <c r="H62" s="86" t="s">
        <v>142</v>
      </c>
    </row>
    <row r="63" spans="1:8" x14ac:dyDescent="0.2">
      <c r="A63" s="97"/>
      <c r="B63" s="97"/>
      <c r="C63" s="98" t="s">
        <v>141</v>
      </c>
      <c r="D63" s="97"/>
      <c r="E63" s="97" t="s">
        <v>142</v>
      </c>
      <c r="F63" s="103" t="s">
        <v>144</v>
      </c>
      <c r="G63" s="100">
        <v>0</v>
      </c>
      <c r="H63" s="86" t="s">
        <v>142</v>
      </c>
    </row>
    <row r="64" spans="1:8" x14ac:dyDescent="0.2">
      <c r="A64" s="97"/>
      <c r="B64" s="97"/>
      <c r="C64" s="101"/>
      <c r="D64" s="97"/>
      <c r="E64" s="97"/>
      <c r="F64" s="102"/>
      <c r="G64" s="102"/>
      <c r="H64" s="86" t="s">
        <v>142</v>
      </c>
    </row>
    <row r="65" spans="1:8" x14ac:dyDescent="0.2">
      <c r="A65" s="97"/>
      <c r="B65" s="97"/>
      <c r="C65" s="98" t="s">
        <v>152</v>
      </c>
      <c r="D65" s="97"/>
      <c r="E65" s="97"/>
      <c r="F65" s="97"/>
      <c r="G65" s="97"/>
      <c r="H65" s="86" t="s">
        <v>142</v>
      </c>
    </row>
    <row r="66" spans="1:8" x14ac:dyDescent="0.2">
      <c r="A66" s="97"/>
      <c r="B66" s="97"/>
      <c r="C66" s="98" t="s">
        <v>141</v>
      </c>
      <c r="D66" s="97"/>
      <c r="E66" s="97" t="s">
        <v>142</v>
      </c>
      <c r="F66" s="103" t="s">
        <v>144</v>
      </c>
      <c r="G66" s="100">
        <v>0</v>
      </c>
      <c r="H66" s="86" t="s">
        <v>142</v>
      </c>
    </row>
    <row r="67" spans="1:8" x14ac:dyDescent="0.2">
      <c r="A67" s="97"/>
      <c r="B67" s="97"/>
      <c r="C67" s="101"/>
      <c r="D67" s="97"/>
      <c r="E67" s="97"/>
      <c r="F67" s="102"/>
      <c r="G67" s="102"/>
      <c r="H67" s="86" t="s">
        <v>142</v>
      </c>
    </row>
    <row r="68" spans="1:8" x14ac:dyDescent="0.2">
      <c r="A68" s="97"/>
      <c r="B68" s="97"/>
      <c r="C68" s="98" t="s">
        <v>153</v>
      </c>
      <c r="D68" s="97"/>
      <c r="E68" s="97"/>
      <c r="F68" s="102"/>
      <c r="G68" s="102"/>
      <c r="H68" s="86" t="s">
        <v>142</v>
      </c>
    </row>
    <row r="69" spans="1:8" x14ac:dyDescent="0.2">
      <c r="A69" s="97"/>
      <c r="B69" s="97"/>
      <c r="C69" s="98" t="s">
        <v>141</v>
      </c>
      <c r="D69" s="97"/>
      <c r="E69" s="97" t="s">
        <v>142</v>
      </c>
      <c r="F69" s="103" t="s">
        <v>144</v>
      </c>
      <c r="G69" s="100">
        <v>0</v>
      </c>
      <c r="H69" s="86" t="s">
        <v>142</v>
      </c>
    </row>
    <row r="70" spans="1:8" x14ac:dyDescent="0.2">
      <c r="A70" s="97"/>
      <c r="B70" s="97"/>
      <c r="C70" s="101"/>
      <c r="D70" s="97"/>
      <c r="E70" s="97"/>
      <c r="F70" s="102"/>
      <c r="G70" s="102"/>
      <c r="H70" s="86" t="s">
        <v>142</v>
      </c>
    </row>
    <row r="71" spans="1:8" x14ac:dyDescent="0.2">
      <c r="A71" s="97"/>
      <c r="B71" s="97"/>
      <c r="C71" s="98" t="s">
        <v>154</v>
      </c>
      <c r="D71" s="97"/>
      <c r="E71" s="97"/>
      <c r="F71" s="99">
        <v>0</v>
      </c>
      <c r="G71" s="100">
        <v>0</v>
      </c>
      <c r="H71" s="86" t="s">
        <v>142</v>
      </c>
    </row>
    <row r="72" spans="1:8" x14ac:dyDescent="0.2">
      <c r="A72" s="97"/>
      <c r="B72" s="97"/>
      <c r="C72" s="101"/>
      <c r="D72" s="97"/>
      <c r="E72" s="97"/>
      <c r="F72" s="102"/>
      <c r="G72" s="102"/>
      <c r="H72" s="86" t="s">
        <v>142</v>
      </c>
    </row>
    <row r="73" spans="1:8" x14ac:dyDescent="0.2">
      <c r="A73" s="97"/>
      <c r="B73" s="97"/>
      <c r="C73" s="98" t="s">
        <v>155</v>
      </c>
      <c r="D73" s="97"/>
      <c r="E73" s="97"/>
      <c r="F73" s="102"/>
      <c r="G73" s="102"/>
      <c r="H73" s="86" t="s">
        <v>142</v>
      </c>
    </row>
    <row r="74" spans="1:8" x14ac:dyDescent="0.2">
      <c r="A74" s="97"/>
      <c r="B74" s="97"/>
      <c r="C74" s="98" t="s">
        <v>156</v>
      </c>
      <c r="D74" s="97"/>
      <c r="E74" s="97"/>
      <c r="F74" s="102"/>
      <c r="G74" s="102"/>
      <c r="H74" s="86" t="s">
        <v>142</v>
      </c>
    </row>
    <row r="75" spans="1:8" x14ac:dyDescent="0.2">
      <c r="A75" s="97"/>
      <c r="B75" s="97"/>
      <c r="C75" s="98" t="s">
        <v>141</v>
      </c>
      <c r="D75" s="97"/>
      <c r="E75" s="97" t="s">
        <v>142</v>
      </c>
      <c r="F75" s="103" t="s">
        <v>144</v>
      </c>
      <c r="G75" s="100">
        <v>0</v>
      </c>
      <c r="H75" s="86" t="s">
        <v>142</v>
      </c>
    </row>
    <row r="76" spans="1:8" x14ac:dyDescent="0.2">
      <c r="A76" s="97"/>
      <c r="B76" s="97"/>
      <c r="C76" s="101"/>
      <c r="D76" s="97"/>
      <c r="E76" s="97"/>
      <c r="F76" s="102"/>
      <c r="G76" s="102"/>
      <c r="H76" s="86" t="s">
        <v>142</v>
      </c>
    </row>
    <row r="77" spans="1:8" x14ac:dyDescent="0.2">
      <c r="A77" s="97"/>
      <c r="B77" s="97"/>
      <c r="C77" s="98" t="s">
        <v>157</v>
      </c>
      <c r="D77" s="97"/>
      <c r="E77" s="97"/>
      <c r="F77" s="102"/>
      <c r="G77" s="102"/>
      <c r="H77" s="86" t="s">
        <v>142</v>
      </c>
    </row>
    <row r="78" spans="1:8" x14ac:dyDescent="0.2">
      <c r="A78" s="97"/>
      <c r="B78" s="97"/>
      <c r="C78" s="98" t="s">
        <v>141</v>
      </c>
      <c r="D78" s="97"/>
      <c r="E78" s="97" t="s">
        <v>142</v>
      </c>
      <c r="F78" s="103" t="s">
        <v>144</v>
      </c>
      <c r="G78" s="100">
        <v>0</v>
      </c>
      <c r="H78" s="86" t="s">
        <v>142</v>
      </c>
    </row>
    <row r="79" spans="1:8" x14ac:dyDescent="0.2">
      <c r="A79" s="97"/>
      <c r="B79" s="97"/>
      <c r="C79" s="101"/>
      <c r="D79" s="97"/>
      <c r="E79" s="97"/>
      <c r="F79" s="102"/>
      <c r="G79" s="102"/>
      <c r="H79" s="86" t="s">
        <v>142</v>
      </c>
    </row>
    <row r="80" spans="1:8" x14ac:dyDescent="0.2">
      <c r="A80" s="97"/>
      <c r="B80" s="97"/>
      <c r="C80" s="98" t="s">
        <v>158</v>
      </c>
      <c r="D80" s="97"/>
      <c r="E80" s="97"/>
      <c r="F80" s="102"/>
      <c r="G80" s="102"/>
      <c r="H80" s="86" t="s">
        <v>142</v>
      </c>
    </row>
    <row r="81" spans="1:8" x14ac:dyDescent="0.2">
      <c r="A81" s="97"/>
      <c r="B81" s="97"/>
      <c r="C81" s="98" t="s">
        <v>141</v>
      </c>
      <c r="D81" s="97"/>
      <c r="E81" s="97" t="s">
        <v>142</v>
      </c>
      <c r="F81" s="103" t="s">
        <v>144</v>
      </c>
      <c r="G81" s="100">
        <v>0</v>
      </c>
      <c r="H81" s="86" t="s">
        <v>142</v>
      </c>
    </row>
    <row r="82" spans="1:8" x14ac:dyDescent="0.2">
      <c r="A82" s="97"/>
      <c r="B82" s="97"/>
      <c r="C82" s="101"/>
      <c r="D82" s="97"/>
      <c r="E82" s="97"/>
      <c r="F82" s="102"/>
      <c r="G82" s="102"/>
      <c r="H82" s="86" t="s">
        <v>142</v>
      </c>
    </row>
    <row r="83" spans="1:8" x14ac:dyDescent="0.2">
      <c r="A83" s="97"/>
      <c r="B83" s="97"/>
      <c r="C83" s="98" t="s">
        <v>159</v>
      </c>
      <c r="D83" s="97"/>
      <c r="E83" s="97"/>
      <c r="F83" s="102"/>
      <c r="G83" s="102"/>
      <c r="H83" s="86" t="s">
        <v>142</v>
      </c>
    </row>
    <row r="84" spans="1:8" x14ac:dyDescent="0.2">
      <c r="A84" s="92">
        <v>1</v>
      </c>
      <c r="B84" s="93"/>
      <c r="C84" s="93" t="s">
        <v>160</v>
      </c>
      <c r="D84" s="93"/>
      <c r="E84" s="104"/>
      <c r="F84" s="95">
        <v>33.704126199999997</v>
      </c>
      <c r="G84" s="96">
        <v>2.528702E-2</v>
      </c>
      <c r="H84" s="86">
        <v>5.57</v>
      </c>
    </row>
    <row r="85" spans="1:8" x14ac:dyDescent="0.2">
      <c r="A85" s="97"/>
      <c r="B85" s="97"/>
      <c r="C85" s="98" t="s">
        <v>141</v>
      </c>
      <c r="D85" s="97"/>
      <c r="E85" s="97" t="s">
        <v>142</v>
      </c>
      <c r="F85" s="99">
        <v>33.704126199999997</v>
      </c>
      <c r="G85" s="100">
        <v>2.528702E-2</v>
      </c>
      <c r="H85" s="86" t="s">
        <v>142</v>
      </c>
    </row>
    <row r="86" spans="1:8" x14ac:dyDescent="0.2">
      <c r="A86" s="97"/>
      <c r="B86" s="97"/>
      <c r="C86" s="101"/>
      <c r="D86" s="97"/>
      <c r="E86" s="97"/>
      <c r="F86" s="102"/>
      <c r="G86" s="102"/>
      <c r="H86" s="86" t="s">
        <v>142</v>
      </c>
    </row>
    <row r="87" spans="1:8" x14ac:dyDescent="0.2">
      <c r="A87" s="97"/>
      <c r="B87" s="97"/>
      <c r="C87" s="98" t="s">
        <v>161</v>
      </c>
      <c r="D87" s="97"/>
      <c r="E87" s="97"/>
      <c r="F87" s="99">
        <v>33.704126199999997</v>
      </c>
      <c r="G87" s="100">
        <v>2.528702E-2</v>
      </c>
      <c r="H87" s="86" t="s">
        <v>142</v>
      </c>
    </row>
    <row r="88" spans="1:8" x14ac:dyDescent="0.2">
      <c r="A88" s="97"/>
      <c r="B88" s="97"/>
      <c r="C88" s="102"/>
      <c r="D88" s="97"/>
      <c r="E88" s="97"/>
      <c r="F88" s="97"/>
      <c r="G88" s="97"/>
      <c r="H88" s="86" t="s">
        <v>142</v>
      </c>
    </row>
    <row r="89" spans="1:8" x14ac:dyDescent="0.2">
      <c r="A89" s="97"/>
      <c r="B89" s="97"/>
      <c r="C89" s="98" t="s">
        <v>162</v>
      </c>
      <c r="D89" s="97"/>
      <c r="E89" s="97"/>
      <c r="F89" s="97"/>
      <c r="G89" s="97"/>
      <c r="H89" s="86" t="s">
        <v>142</v>
      </c>
    </row>
    <row r="90" spans="1:8" x14ac:dyDescent="0.2">
      <c r="A90" s="97"/>
      <c r="B90" s="97"/>
      <c r="C90" s="98" t="s">
        <v>163</v>
      </c>
      <c r="D90" s="97"/>
      <c r="E90" s="97"/>
      <c r="F90" s="97"/>
      <c r="G90" s="97"/>
      <c r="H90" s="86" t="s">
        <v>142</v>
      </c>
    </row>
    <row r="91" spans="1:8" x14ac:dyDescent="0.2">
      <c r="A91" s="97"/>
      <c r="B91" s="97"/>
      <c r="C91" s="98" t="s">
        <v>141</v>
      </c>
      <c r="D91" s="97"/>
      <c r="E91" s="97" t="s">
        <v>142</v>
      </c>
      <c r="F91" s="103" t="s">
        <v>144</v>
      </c>
      <c r="G91" s="100">
        <v>0</v>
      </c>
      <c r="H91" s="86" t="s">
        <v>142</v>
      </c>
    </row>
    <row r="92" spans="1:8" x14ac:dyDescent="0.2">
      <c r="A92" s="97"/>
      <c r="B92" s="97"/>
      <c r="C92" s="101"/>
      <c r="D92" s="97"/>
      <c r="E92" s="97"/>
      <c r="F92" s="102"/>
      <c r="G92" s="102"/>
      <c r="H92" s="86" t="s">
        <v>142</v>
      </c>
    </row>
    <row r="93" spans="1:8" x14ac:dyDescent="0.2">
      <c r="A93" s="97"/>
      <c r="B93" s="97"/>
      <c r="C93" s="98" t="s">
        <v>164</v>
      </c>
      <c r="D93" s="97"/>
      <c r="E93" s="97"/>
      <c r="F93" s="97"/>
      <c r="G93" s="97"/>
      <c r="H93" s="86" t="s">
        <v>142</v>
      </c>
    </row>
    <row r="94" spans="1:8" x14ac:dyDescent="0.2">
      <c r="A94" s="97"/>
      <c r="B94" s="97"/>
      <c r="C94" s="98" t="s">
        <v>165</v>
      </c>
      <c r="D94" s="97"/>
      <c r="E94" s="97"/>
      <c r="F94" s="97"/>
      <c r="G94" s="97"/>
      <c r="H94" s="86" t="s">
        <v>142</v>
      </c>
    </row>
    <row r="95" spans="1:8" x14ac:dyDescent="0.2">
      <c r="A95" s="97"/>
      <c r="B95" s="97"/>
      <c r="C95" s="98" t="s">
        <v>141</v>
      </c>
      <c r="D95" s="97"/>
      <c r="E95" s="97" t="s">
        <v>142</v>
      </c>
      <c r="F95" s="103" t="s">
        <v>144</v>
      </c>
      <c r="G95" s="100">
        <v>0</v>
      </c>
      <c r="H95" s="86" t="s">
        <v>142</v>
      </c>
    </row>
    <row r="96" spans="1:8" x14ac:dyDescent="0.2">
      <c r="A96" s="97"/>
      <c r="B96" s="97"/>
      <c r="C96" s="101"/>
      <c r="D96" s="97"/>
      <c r="E96" s="97"/>
      <c r="F96" s="102"/>
      <c r="G96" s="102"/>
      <c r="H96" s="86" t="s">
        <v>142</v>
      </c>
    </row>
    <row r="97" spans="1:17" x14ac:dyDescent="0.2">
      <c r="A97" s="97"/>
      <c r="B97" s="97"/>
      <c r="C97" s="98" t="s">
        <v>166</v>
      </c>
      <c r="D97" s="97"/>
      <c r="E97" s="97"/>
      <c r="F97" s="102"/>
      <c r="G97" s="102"/>
      <c r="H97" s="86" t="s">
        <v>142</v>
      </c>
    </row>
    <row r="98" spans="1:17" x14ac:dyDescent="0.2">
      <c r="A98" s="97"/>
      <c r="B98" s="97"/>
      <c r="C98" s="98" t="s">
        <v>141</v>
      </c>
      <c r="D98" s="97"/>
      <c r="E98" s="97" t="s">
        <v>142</v>
      </c>
      <c r="F98" s="103" t="s">
        <v>144</v>
      </c>
      <c r="G98" s="100">
        <v>0</v>
      </c>
      <c r="H98" s="86" t="s">
        <v>142</v>
      </c>
    </row>
    <row r="99" spans="1:17" x14ac:dyDescent="0.2">
      <c r="A99" s="97"/>
      <c r="B99" s="97"/>
      <c r="C99" s="101"/>
      <c r="D99" s="97"/>
      <c r="E99" s="97"/>
      <c r="F99" s="102"/>
      <c r="G99" s="102"/>
      <c r="H99" s="86" t="s">
        <v>142</v>
      </c>
    </row>
    <row r="100" spans="1:17" x14ac:dyDescent="0.2">
      <c r="A100" s="104"/>
      <c r="B100" s="93"/>
      <c r="C100" s="93" t="s">
        <v>167</v>
      </c>
      <c r="D100" s="93"/>
      <c r="E100" s="104"/>
      <c r="F100" s="95">
        <v>2.0732111299999998</v>
      </c>
      <c r="G100" s="96">
        <v>1.55546E-3</v>
      </c>
      <c r="H100" s="86" t="s">
        <v>142</v>
      </c>
    </row>
    <row r="101" spans="1:17" x14ac:dyDescent="0.2">
      <c r="A101" s="101"/>
      <c r="B101" s="101"/>
      <c r="C101" s="98" t="s">
        <v>168</v>
      </c>
      <c r="D101" s="102"/>
      <c r="E101" s="102"/>
      <c r="F101" s="99">
        <v>1332.86251053</v>
      </c>
      <c r="G101" s="105">
        <v>1</v>
      </c>
      <c r="H101" s="86" t="s">
        <v>142</v>
      </c>
    </row>
    <row r="102" spans="1:17" ht="12.75" customHeight="1" x14ac:dyDescent="0.2">
      <c r="A102" s="106"/>
      <c r="B102" s="106"/>
      <c r="C102" s="107"/>
      <c r="D102" s="108"/>
      <c r="E102" s="108"/>
      <c r="F102" s="109"/>
      <c r="G102" s="110"/>
      <c r="H102" s="111"/>
    </row>
    <row r="103" spans="1:17" x14ac:dyDescent="0.2">
      <c r="A103" s="106"/>
      <c r="B103" s="200" t="s">
        <v>918</v>
      </c>
      <c r="C103" s="200"/>
      <c r="D103" s="200"/>
      <c r="E103" s="200"/>
      <c r="F103" s="200"/>
      <c r="G103" s="200"/>
      <c r="H103" s="200"/>
      <c r="J103" s="113"/>
    </row>
    <row r="104" spans="1:17" x14ac:dyDescent="0.2">
      <c r="A104" s="106"/>
      <c r="B104" s="200" t="s">
        <v>919</v>
      </c>
      <c r="C104" s="200"/>
      <c r="D104" s="200"/>
      <c r="E104" s="200"/>
      <c r="F104" s="200"/>
      <c r="G104" s="200"/>
      <c r="H104" s="200"/>
      <c r="J104" s="113"/>
    </row>
    <row r="105" spans="1:17" x14ac:dyDescent="0.2">
      <c r="A105" s="106"/>
      <c r="B105" s="200" t="s">
        <v>920</v>
      </c>
      <c r="C105" s="200"/>
      <c r="D105" s="200"/>
      <c r="E105" s="200"/>
      <c r="F105" s="200"/>
      <c r="G105" s="200"/>
      <c r="H105" s="200"/>
      <c r="J105" s="113"/>
    </row>
    <row r="106" spans="1:17" s="115" customFormat="1" ht="66.75" customHeight="1" x14ac:dyDescent="0.25">
      <c r="A106" s="114"/>
      <c r="B106" s="201" t="s">
        <v>921</v>
      </c>
      <c r="C106" s="201"/>
      <c r="D106" s="201"/>
      <c r="E106" s="201"/>
      <c r="F106" s="201"/>
      <c r="G106" s="201"/>
      <c r="H106" s="201"/>
      <c r="I106"/>
      <c r="J106" s="113"/>
      <c r="K106"/>
      <c r="L106"/>
      <c r="M106"/>
      <c r="N106"/>
      <c r="O106"/>
      <c r="P106"/>
      <c r="Q106"/>
    </row>
    <row r="107" spans="1:17" x14ac:dyDescent="0.2">
      <c r="A107" s="106"/>
      <c r="B107" s="200" t="s">
        <v>922</v>
      </c>
      <c r="C107" s="200"/>
      <c r="D107" s="200"/>
      <c r="E107" s="200"/>
      <c r="F107" s="200"/>
      <c r="G107" s="200"/>
      <c r="H107" s="200"/>
      <c r="J107" s="113"/>
    </row>
    <row r="108" spans="1:17" x14ac:dyDescent="0.2">
      <c r="A108" s="106"/>
      <c r="B108" s="106"/>
      <c r="C108" s="106"/>
      <c r="D108" s="108"/>
      <c r="E108" s="108"/>
      <c r="F108" s="108"/>
      <c r="G108" s="108"/>
    </row>
    <row r="109" spans="1:17" x14ac:dyDescent="0.2">
      <c r="A109" s="106"/>
      <c r="B109" s="202" t="s">
        <v>169</v>
      </c>
      <c r="C109" s="203"/>
      <c r="D109" s="204"/>
      <c r="E109" s="116"/>
      <c r="F109" s="108"/>
      <c r="G109" s="108"/>
    </row>
    <row r="110" spans="1:17" ht="27.75" customHeight="1" x14ac:dyDescent="0.2">
      <c r="A110" s="106"/>
      <c r="B110" s="205" t="s">
        <v>170</v>
      </c>
      <c r="C110" s="206"/>
      <c r="D110" s="85" t="s">
        <v>171</v>
      </c>
      <c r="E110" s="116"/>
      <c r="F110" s="108"/>
      <c r="G110" s="108"/>
    </row>
    <row r="111" spans="1:17" ht="12.75" customHeight="1" x14ac:dyDescent="0.2">
      <c r="A111" s="106"/>
      <c r="B111" s="205" t="s">
        <v>923</v>
      </c>
      <c r="C111" s="206"/>
      <c r="D111" s="85" t="s">
        <v>171</v>
      </c>
      <c r="E111" s="116"/>
      <c r="F111" s="108"/>
      <c r="G111" s="108"/>
    </row>
    <row r="112" spans="1:17" x14ac:dyDescent="0.2">
      <c r="A112" s="106"/>
      <c r="B112" s="205" t="s">
        <v>172</v>
      </c>
      <c r="C112" s="206"/>
      <c r="D112" s="117" t="s">
        <v>142</v>
      </c>
      <c r="E112" s="116"/>
      <c r="F112" s="108"/>
      <c r="G112" s="108"/>
    </row>
    <row r="113" spans="1:10" x14ac:dyDescent="0.2">
      <c r="A113" s="118"/>
      <c r="B113" s="119" t="s">
        <v>142</v>
      </c>
      <c r="C113" s="119" t="s">
        <v>924</v>
      </c>
      <c r="D113" s="119" t="s">
        <v>173</v>
      </c>
      <c r="E113" s="118"/>
      <c r="F113" s="118"/>
      <c r="G113" s="118"/>
      <c r="H113" s="118"/>
      <c r="J113" s="113"/>
    </row>
    <row r="114" spans="1:10" x14ac:dyDescent="0.2">
      <c r="A114" s="118"/>
      <c r="B114" s="120" t="s">
        <v>174</v>
      </c>
      <c r="C114" s="121">
        <v>45930</v>
      </c>
      <c r="D114" s="121">
        <v>45961</v>
      </c>
      <c r="E114" s="118"/>
      <c r="F114" s="118"/>
      <c r="G114" s="118"/>
      <c r="J114" s="113"/>
    </row>
    <row r="115" spans="1:10" x14ac:dyDescent="0.2">
      <c r="A115" s="122"/>
      <c r="B115" s="93" t="s">
        <v>175</v>
      </c>
      <c r="C115" s="123">
        <v>36.562199999999997</v>
      </c>
      <c r="D115" s="123">
        <v>38.305599999999998</v>
      </c>
      <c r="E115" s="122"/>
      <c r="F115" s="124"/>
      <c r="G115" s="125"/>
    </row>
    <row r="116" spans="1:10" x14ac:dyDescent="0.2">
      <c r="A116" s="122"/>
      <c r="B116" s="93" t="s">
        <v>1101</v>
      </c>
      <c r="C116" s="123">
        <v>28.247499999999999</v>
      </c>
      <c r="D116" s="123">
        <v>29.5944</v>
      </c>
      <c r="E116" s="122"/>
      <c r="F116" s="124"/>
      <c r="G116" s="125"/>
    </row>
    <row r="117" spans="1:10" x14ac:dyDescent="0.2">
      <c r="A117" s="122"/>
      <c r="B117" s="93" t="s">
        <v>176</v>
      </c>
      <c r="C117" s="123">
        <v>35.446199999999997</v>
      </c>
      <c r="D117" s="123">
        <v>37.1297</v>
      </c>
      <c r="E117" s="122"/>
      <c r="F117" s="124"/>
      <c r="G117" s="125"/>
    </row>
    <row r="118" spans="1:10" x14ac:dyDescent="0.2">
      <c r="A118" s="122"/>
      <c r="B118" s="93" t="s">
        <v>1102</v>
      </c>
      <c r="C118" s="123">
        <v>27.238399999999999</v>
      </c>
      <c r="D118" s="123">
        <v>28.5321</v>
      </c>
      <c r="E118" s="122"/>
      <c r="F118" s="124"/>
      <c r="G118" s="125"/>
    </row>
    <row r="119" spans="1:10" x14ac:dyDescent="0.2">
      <c r="A119" s="122"/>
      <c r="B119" s="122"/>
      <c r="C119" s="122"/>
      <c r="D119" s="122"/>
      <c r="E119" s="122"/>
      <c r="F119" s="122"/>
      <c r="G119" s="122"/>
    </row>
    <row r="120" spans="1:10" x14ac:dyDescent="0.2">
      <c r="A120" s="118"/>
      <c r="B120" s="205" t="s">
        <v>925</v>
      </c>
      <c r="C120" s="206"/>
      <c r="D120" s="85" t="s">
        <v>171</v>
      </c>
      <c r="E120" s="118"/>
      <c r="F120" s="118"/>
      <c r="G120" s="118"/>
    </row>
    <row r="121" spans="1:10" x14ac:dyDescent="0.2">
      <c r="A121" s="118"/>
      <c r="B121" s="136"/>
      <c r="C121" s="136"/>
      <c r="D121" s="136"/>
      <c r="E121" s="118"/>
      <c r="F121" s="118"/>
      <c r="G121" s="118"/>
    </row>
    <row r="122" spans="1:10" x14ac:dyDescent="0.2">
      <c r="A122" s="118"/>
      <c r="B122" s="205" t="s">
        <v>179</v>
      </c>
      <c r="C122" s="206"/>
      <c r="D122" s="85" t="s">
        <v>171</v>
      </c>
      <c r="E122" s="131"/>
      <c r="F122" s="118"/>
      <c r="G122" s="118"/>
    </row>
    <row r="123" spans="1:10" x14ac:dyDescent="0.2">
      <c r="A123" s="118"/>
      <c r="B123" s="205" t="s">
        <v>180</v>
      </c>
      <c r="C123" s="206"/>
      <c r="D123" s="85" t="s">
        <v>171</v>
      </c>
      <c r="E123" s="131"/>
      <c r="F123" s="118"/>
      <c r="G123" s="118"/>
    </row>
    <row r="124" spans="1:10" x14ac:dyDescent="0.2">
      <c r="A124" s="118"/>
      <c r="B124" s="205" t="s">
        <v>181</v>
      </c>
      <c r="C124" s="206"/>
      <c r="D124" s="85" t="s">
        <v>171</v>
      </c>
      <c r="E124" s="131"/>
      <c r="F124" s="118"/>
      <c r="G124" s="118"/>
    </row>
    <row r="125" spans="1:10" x14ac:dyDescent="0.2">
      <c r="A125" s="118"/>
      <c r="B125" s="205" t="s">
        <v>182</v>
      </c>
      <c r="C125" s="206"/>
      <c r="D125" s="132">
        <v>0</v>
      </c>
      <c r="E125" s="118"/>
      <c r="F125" s="112"/>
      <c r="G125" s="133"/>
    </row>
    <row r="127" spans="1:10" x14ac:dyDescent="0.2">
      <c r="B127" s="199" t="s">
        <v>926</v>
      </c>
      <c r="C127" s="199"/>
    </row>
    <row r="129" spans="2:10" ht="153.75" customHeight="1" x14ac:dyDescent="0.2"/>
    <row r="132" spans="2:10" x14ac:dyDescent="0.2">
      <c r="B132" s="134" t="s">
        <v>927</v>
      </c>
      <c r="C132" s="135"/>
      <c r="D132" s="134"/>
    </row>
    <row r="133" spans="2:10" x14ac:dyDescent="0.2">
      <c r="B133" s="134" t="s">
        <v>938</v>
      </c>
      <c r="D133" s="134"/>
    </row>
    <row r="134" spans="2:10" ht="165" customHeight="1" x14ac:dyDescent="0.2"/>
    <row r="135" spans="2:10" x14ac:dyDescent="0.2">
      <c r="J135" s="83"/>
    </row>
    <row r="145" customFormat="1" x14ac:dyDescent="0.2"/>
    <row r="146" customFormat="1" x14ac:dyDescent="0.2"/>
    <row r="147" customFormat="1" x14ac:dyDescent="0.2"/>
    <row r="148" customFormat="1" x14ac:dyDescent="0.2"/>
  </sheetData>
  <mergeCells count="18">
    <mergeCell ref="B127:C127"/>
    <mergeCell ref="B125:C125"/>
    <mergeCell ref="A1:H1"/>
    <mergeCell ref="A2:H2"/>
    <mergeCell ref="A3:H3"/>
    <mergeCell ref="B120:C120"/>
    <mergeCell ref="B124:C124"/>
    <mergeCell ref="B103:H103"/>
    <mergeCell ref="B104:H104"/>
    <mergeCell ref="B111:C111"/>
    <mergeCell ref="B112:C112"/>
    <mergeCell ref="B122:C122"/>
    <mergeCell ref="B123:C123"/>
    <mergeCell ref="B105:H105"/>
    <mergeCell ref="B106:H106"/>
    <mergeCell ref="B107:H107"/>
    <mergeCell ref="B109:D109"/>
    <mergeCell ref="B110:C110"/>
  </mergeCells>
  <hyperlinks>
    <hyperlink ref="I1" location="Index!B2" display="Index" xr:uid="{0B08C743-3544-4C06-8261-7F3D536057D3}"/>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903C-C753-4148-A399-19E44A97BC20}">
  <sheetPr>
    <outlinePr summaryBelow="0" summaryRight="0"/>
  </sheetPr>
  <dimension ref="A1:Q153"/>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6.570312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448</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355</v>
      </c>
      <c r="C7" s="93" t="s">
        <v>356</v>
      </c>
      <c r="D7" s="93" t="s">
        <v>109</v>
      </c>
      <c r="E7" s="94">
        <v>71973</v>
      </c>
      <c r="F7" s="95">
        <v>488.01292649999999</v>
      </c>
      <c r="G7" s="96">
        <v>6.2949749999999999E-2</v>
      </c>
      <c r="H7" s="86" t="s">
        <v>142</v>
      </c>
    </row>
    <row r="8" spans="1:9" x14ac:dyDescent="0.2">
      <c r="A8" s="92">
        <v>2</v>
      </c>
      <c r="B8" s="93" t="s">
        <v>361</v>
      </c>
      <c r="C8" s="93" t="s">
        <v>362</v>
      </c>
      <c r="D8" s="93" t="s">
        <v>48</v>
      </c>
      <c r="E8" s="94">
        <v>19836</v>
      </c>
      <c r="F8" s="95">
        <v>423.45892800000001</v>
      </c>
      <c r="G8" s="96">
        <v>5.4622799999999999E-2</v>
      </c>
      <c r="H8" s="86" t="s">
        <v>142</v>
      </c>
    </row>
    <row r="9" spans="1:9" x14ac:dyDescent="0.2">
      <c r="A9" s="92">
        <v>3</v>
      </c>
      <c r="B9" s="93" t="s">
        <v>340</v>
      </c>
      <c r="C9" s="93" t="s">
        <v>341</v>
      </c>
      <c r="D9" s="93" t="s">
        <v>257</v>
      </c>
      <c r="E9" s="94">
        <v>21388</v>
      </c>
      <c r="F9" s="95">
        <v>412.91672799999998</v>
      </c>
      <c r="G9" s="96">
        <v>5.3262940000000002E-2</v>
      </c>
      <c r="H9" s="86" t="s">
        <v>142</v>
      </c>
    </row>
    <row r="10" spans="1:9" x14ac:dyDescent="0.2">
      <c r="A10" s="92">
        <v>4</v>
      </c>
      <c r="B10" s="93" t="s">
        <v>373</v>
      </c>
      <c r="C10" s="93" t="s">
        <v>374</v>
      </c>
      <c r="D10" s="93" t="s">
        <v>215</v>
      </c>
      <c r="E10" s="94">
        <v>13073</v>
      </c>
      <c r="F10" s="95">
        <v>325.83145200000001</v>
      </c>
      <c r="G10" s="96">
        <v>4.202964E-2</v>
      </c>
      <c r="H10" s="86" t="s">
        <v>142</v>
      </c>
    </row>
    <row r="11" spans="1:9" x14ac:dyDescent="0.2">
      <c r="A11" s="92">
        <v>5</v>
      </c>
      <c r="B11" s="93" t="s">
        <v>359</v>
      </c>
      <c r="C11" s="93" t="s">
        <v>360</v>
      </c>
      <c r="D11" s="93" t="s">
        <v>35</v>
      </c>
      <c r="E11" s="94">
        <v>76163</v>
      </c>
      <c r="F11" s="95">
        <v>314.81976049999997</v>
      </c>
      <c r="G11" s="96">
        <v>4.0609220000000001E-2</v>
      </c>
      <c r="H11" s="86" t="s">
        <v>142</v>
      </c>
    </row>
    <row r="12" spans="1:9" x14ac:dyDescent="0.2">
      <c r="A12" s="92">
        <v>6</v>
      </c>
      <c r="B12" s="93" t="s">
        <v>357</v>
      </c>
      <c r="C12" s="93" t="s">
        <v>358</v>
      </c>
      <c r="D12" s="93" t="s">
        <v>35</v>
      </c>
      <c r="E12" s="94">
        <v>604881</v>
      </c>
      <c r="F12" s="95">
        <v>313.57031039999998</v>
      </c>
      <c r="G12" s="96">
        <v>4.0448049999999999E-2</v>
      </c>
      <c r="H12" s="86" t="s">
        <v>142</v>
      </c>
    </row>
    <row r="13" spans="1:9" x14ac:dyDescent="0.2">
      <c r="A13" s="92">
        <v>7</v>
      </c>
      <c r="B13" s="93" t="s">
        <v>81</v>
      </c>
      <c r="C13" s="93" t="s">
        <v>82</v>
      </c>
      <c r="D13" s="93" t="s">
        <v>58</v>
      </c>
      <c r="E13" s="94">
        <v>38992</v>
      </c>
      <c r="F13" s="95">
        <v>308.29024800000002</v>
      </c>
      <c r="G13" s="96">
        <v>3.9766959999999997E-2</v>
      </c>
      <c r="H13" s="86" t="s">
        <v>142</v>
      </c>
    </row>
    <row r="14" spans="1:9" x14ac:dyDescent="0.2">
      <c r="A14" s="92">
        <v>8</v>
      </c>
      <c r="B14" s="93" t="s">
        <v>363</v>
      </c>
      <c r="C14" s="93" t="s">
        <v>364</v>
      </c>
      <c r="D14" s="93" t="s">
        <v>218</v>
      </c>
      <c r="E14" s="94">
        <v>106345</v>
      </c>
      <c r="F14" s="95">
        <v>304.19987250000003</v>
      </c>
      <c r="G14" s="96">
        <v>3.9239339999999998E-2</v>
      </c>
      <c r="H14" s="86" t="s">
        <v>142</v>
      </c>
    </row>
    <row r="15" spans="1:9" x14ac:dyDescent="0.2">
      <c r="A15" s="92">
        <v>9</v>
      </c>
      <c r="B15" s="93" t="s">
        <v>365</v>
      </c>
      <c r="C15" s="93" t="s">
        <v>366</v>
      </c>
      <c r="D15" s="93" t="s">
        <v>48</v>
      </c>
      <c r="E15" s="94">
        <v>96717</v>
      </c>
      <c r="F15" s="95">
        <v>275.54673300000002</v>
      </c>
      <c r="G15" s="96">
        <v>3.5543310000000002E-2</v>
      </c>
      <c r="H15" s="86" t="s">
        <v>142</v>
      </c>
    </row>
    <row r="16" spans="1:9" x14ac:dyDescent="0.2">
      <c r="A16" s="92">
        <v>10</v>
      </c>
      <c r="B16" s="93" t="s">
        <v>69</v>
      </c>
      <c r="C16" s="93" t="s">
        <v>70</v>
      </c>
      <c r="D16" s="93" t="s">
        <v>58</v>
      </c>
      <c r="E16" s="94">
        <v>6684</v>
      </c>
      <c r="F16" s="95">
        <v>269.49887999999999</v>
      </c>
      <c r="G16" s="96">
        <v>3.4763189999999999E-2</v>
      </c>
      <c r="H16" s="86" t="s">
        <v>142</v>
      </c>
    </row>
    <row r="17" spans="1:8" x14ac:dyDescent="0.2">
      <c r="A17" s="92">
        <v>11</v>
      </c>
      <c r="B17" s="93" t="s">
        <v>336</v>
      </c>
      <c r="C17" s="93" t="s">
        <v>337</v>
      </c>
      <c r="D17" s="93" t="s">
        <v>215</v>
      </c>
      <c r="E17" s="94">
        <v>2842</v>
      </c>
      <c r="F17" s="95">
        <v>262.70026999999999</v>
      </c>
      <c r="G17" s="96">
        <v>3.3886220000000002E-2</v>
      </c>
      <c r="H17" s="86" t="s">
        <v>142</v>
      </c>
    </row>
    <row r="18" spans="1:8" ht="25.5" x14ac:dyDescent="0.2">
      <c r="A18" s="92">
        <v>12</v>
      </c>
      <c r="B18" s="93" t="s">
        <v>367</v>
      </c>
      <c r="C18" s="93" t="s">
        <v>368</v>
      </c>
      <c r="D18" s="93" t="s">
        <v>275</v>
      </c>
      <c r="E18" s="94">
        <v>4183</v>
      </c>
      <c r="F18" s="95">
        <v>237.903942</v>
      </c>
      <c r="G18" s="96">
        <v>3.0687699999999998E-2</v>
      </c>
      <c r="H18" s="86" t="s">
        <v>142</v>
      </c>
    </row>
    <row r="19" spans="1:8" ht="25.5" x14ac:dyDescent="0.2">
      <c r="A19" s="92">
        <v>13</v>
      </c>
      <c r="B19" s="93" t="s">
        <v>369</v>
      </c>
      <c r="C19" s="93" t="s">
        <v>370</v>
      </c>
      <c r="D19" s="93" t="s">
        <v>225</v>
      </c>
      <c r="E19" s="94">
        <v>3653</v>
      </c>
      <c r="F19" s="95">
        <v>225.26224500000001</v>
      </c>
      <c r="G19" s="96">
        <v>2.9057019999999999E-2</v>
      </c>
      <c r="H19" s="86" t="s">
        <v>142</v>
      </c>
    </row>
    <row r="20" spans="1:8" x14ac:dyDescent="0.2">
      <c r="A20" s="92">
        <v>14</v>
      </c>
      <c r="B20" s="93" t="s">
        <v>379</v>
      </c>
      <c r="C20" s="93" t="s">
        <v>380</v>
      </c>
      <c r="D20" s="93" t="s">
        <v>35</v>
      </c>
      <c r="E20" s="94">
        <v>382570</v>
      </c>
      <c r="F20" s="95">
        <v>218.02664300000001</v>
      </c>
      <c r="G20" s="96">
        <v>2.812369E-2</v>
      </c>
      <c r="H20" s="86" t="s">
        <v>142</v>
      </c>
    </row>
    <row r="21" spans="1:8" x14ac:dyDescent="0.2">
      <c r="A21" s="92">
        <v>15</v>
      </c>
      <c r="B21" s="93" t="s">
        <v>221</v>
      </c>
      <c r="C21" s="93" t="s">
        <v>222</v>
      </c>
      <c r="D21" s="93" t="s">
        <v>186</v>
      </c>
      <c r="E21" s="94">
        <v>1412</v>
      </c>
      <c r="F21" s="95">
        <v>214.27099999999999</v>
      </c>
      <c r="G21" s="96">
        <v>2.7639239999999999E-2</v>
      </c>
      <c r="H21" s="86" t="s">
        <v>142</v>
      </c>
    </row>
    <row r="22" spans="1:8" x14ac:dyDescent="0.2">
      <c r="A22" s="92">
        <v>16</v>
      </c>
      <c r="B22" s="93" t="s">
        <v>371</v>
      </c>
      <c r="C22" s="93" t="s">
        <v>372</v>
      </c>
      <c r="D22" s="93" t="s">
        <v>204</v>
      </c>
      <c r="E22" s="94">
        <v>33039</v>
      </c>
      <c r="F22" s="95">
        <v>210.87141750000001</v>
      </c>
      <c r="G22" s="96">
        <v>2.7200720000000001E-2</v>
      </c>
      <c r="H22" s="86" t="s">
        <v>142</v>
      </c>
    </row>
    <row r="23" spans="1:8" x14ac:dyDescent="0.2">
      <c r="A23" s="92">
        <v>17</v>
      </c>
      <c r="B23" s="93" t="s">
        <v>384</v>
      </c>
      <c r="C23" s="93" t="s">
        <v>385</v>
      </c>
      <c r="D23" s="93" t="s">
        <v>186</v>
      </c>
      <c r="E23" s="94">
        <v>22434</v>
      </c>
      <c r="F23" s="95">
        <v>194.70468600000001</v>
      </c>
      <c r="G23" s="96">
        <v>2.511534E-2</v>
      </c>
      <c r="H23" s="86" t="s">
        <v>142</v>
      </c>
    </row>
    <row r="24" spans="1:8" x14ac:dyDescent="0.2">
      <c r="A24" s="92">
        <v>18</v>
      </c>
      <c r="B24" s="93" t="s">
        <v>44</v>
      </c>
      <c r="C24" s="93" t="s">
        <v>45</v>
      </c>
      <c r="D24" s="93" t="s">
        <v>16</v>
      </c>
      <c r="E24" s="94">
        <v>15091</v>
      </c>
      <c r="F24" s="95">
        <v>189.60332399999999</v>
      </c>
      <c r="G24" s="96">
        <v>2.4457309999999999E-2</v>
      </c>
      <c r="H24" s="86" t="s">
        <v>142</v>
      </c>
    </row>
    <row r="25" spans="1:8" x14ac:dyDescent="0.2">
      <c r="A25" s="92">
        <v>19</v>
      </c>
      <c r="B25" s="93" t="s">
        <v>301</v>
      </c>
      <c r="C25" s="93" t="s">
        <v>302</v>
      </c>
      <c r="D25" s="93" t="s">
        <v>58</v>
      </c>
      <c r="E25" s="94">
        <v>10116</v>
      </c>
      <c r="F25" s="95">
        <v>170.86935600000001</v>
      </c>
      <c r="G25" s="96">
        <v>2.2040770000000001E-2</v>
      </c>
      <c r="H25" s="86" t="s">
        <v>142</v>
      </c>
    </row>
    <row r="26" spans="1:8" x14ac:dyDescent="0.2">
      <c r="A26" s="92">
        <v>20</v>
      </c>
      <c r="B26" s="93" t="s">
        <v>71</v>
      </c>
      <c r="C26" s="93" t="s">
        <v>72</v>
      </c>
      <c r="D26" s="93" t="s">
        <v>73</v>
      </c>
      <c r="E26" s="94">
        <v>16288</v>
      </c>
      <c r="F26" s="95">
        <v>169.02057600000001</v>
      </c>
      <c r="G26" s="96">
        <v>2.18023E-2</v>
      </c>
      <c r="H26" s="86" t="s">
        <v>142</v>
      </c>
    </row>
    <row r="27" spans="1:8" ht="25.5" x14ac:dyDescent="0.2">
      <c r="A27" s="92">
        <v>21</v>
      </c>
      <c r="B27" s="93" t="s">
        <v>74</v>
      </c>
      <c r="C27" s="93" t="s">
        <v>75</v>
      </c>
      <c r="D27" s="93" t="s">
        <v>25</v>
      </c>
      <c r="E27" s="94">
        <v>2622</v>
      </c>
      <c r="F27" s="95">
        <v>162.93108000000001</v>
      </c>
      <c r="G27" s="96">
        <v>2.1016799999999999E-2</v>
      </c>
      <c r="H27" s="86" t="s">
        <v>142</v>
      </c>
    </row>
    <row r="28" spans="1:8" ht="25.5" x14ac:dyDescent="0.2">
      <c r="A28" s="92">
        <v>22</v>
      </c>
      <c r="B28" s="93" t="s">
        <v>388</v>
      </c>
      <c r="C28" s="93" t="s">
        <v>389</v>
      </c>
      <c r="D28" s="93" t="s">
        <v>390</v>
      </c>
      <c r="E28" s="94">
        <v>48701</v>
      </c>
      <c r="F28" s="95">
        <v>162.32043300000001</v>
      </c>
      <c r="G28" s="96">
        <v>2.093803E-2</v>
      </c>
      <c r="H28" s="86" t="s">
        <v>142</v>
      </c>
    </row>
    <row r="29" spans="1:8" x14ac:dyDescent="0.2">
      <c r="A29" s="92">
        <v>23</v>
      </c>
      <c r="B29" s="93" t="s">
        <v>386</v>
      </c>
      <c r="C29" s="93" t="s">
        <v>387</v>
      </c>
      <c r="D29" s="93" t="s">
        <v>186</v>
      </c>
      <c r="E29" s="94">
        <v>8289</v>
      </c>
      <c r="F29" s="95">
        <v>158.535414</v>
      </c>
      <c r="G29" s="96">
        <v>2.0449789999999999E-2</v>
      </c>
      <c r="H29" s="86" t="s">
        <v>142</v>
      </c>
    </row>
    <row r="30" spans="1:8" x14ac:dyDescent="0.2">
      <c r="A30" s="92">
        <v>24</v>
      </c>
      <c r="B30" s="93" t="s">
        <v>381</v>
      </c>
      <c r="C30" s="93" t="s">
        <v>382</v>
      </c>
      <c r="D30" s="93" t="s">
        <v>383</v>
      </c>
      <c r="E30" s="94">
        <v>12930</v>
      </c>
      <c r="F30" s="95">
        <v>156.01338000000001</v>
      </c>
      <c r="G30" s="96">
        <v>2.0124469999999998E-2</v>
      </c>
      <c r="H30" s="86" t="s">
        <v>142</v>
      </c>
    </row>
    <row r="31" spans="1:8" x14ac:dyDescent="0.2">
      <c r="A31" s="92">
        <v>25</v>
      </c>
      <c r="B31" s="93" t="s">
        <v>79</v>
      </c>
      <c r="C31" s="93" t="s">
        <v>80</v>
      </c>
      <c r="D31" s="93" t="s">
        <v>58</v>
      </c>
      <c r="E31" s="94">
        <v>3065</v>
      </c>
      <c r="F31" s="95">
        <v>150.50989000000001</v>
      </c>
      <c r="G31" s="96">
        <v>1.9414569999999999E-2</v>
      </c>
      <c r="H31" s="86" t="s">
        <v>142</v>
      </c>
    </row>
    <row r="32" spans="1:8" x14ac:dyDescent="0.2">
      <c r="A32" s="92">
        <v>26</v>
      </c>
      <c r="B32" s="93" t="s">
        <v>403</v>
      </c>
      <c r="C32" s="93" t="s">
        <v>404</v>
      </c>
      <c r="D32" s="93" t="s">
        <v>204</v>
      </c>
      <c r="E32" s="94">
        <v>38673</v>
      </c>
      <c r="F32" s="95">
        <v>143.708868</v>
      </c>
      <c r="G32" s="96">
        <v>1.8537290000000001E-2</v>
      </c>
      <c r="H32" s="86" t="s">
        <v>142</v>
      </c>
    </row>
    <row r="33" spans="1:8" x14ac:dyDescent="0.2">
      <c r="A33" s="92">
        <v>27</v>
      </c>
      <c r="B33" s="93" t="s">
        <v>391</v>
      </c>
      <c r="C33" s="93" t="s">
        <v>392</v>
      </c>
      <c r="D33" s="93" t="s">
        <v>58</v>
      </c>
      <c r="E33" s="94">
        <v>28519</v>
      </c>
      <c r="F33" s="95">
        <v>135.97859199999999</v>
      </c>
      <c r="G33" s="96">
        <v>1.7540150000000001E-2</v>
      </c>
      <c r="H33" s="86" t="s">
        <v>142</v>
      </c>
    </row>
    <row r="34" spans="1:8" x14ac:dyDescent="0.2">
      <c r="A34" s="92">
        <v>28</v>
      </c>
      <c r="B34" s="93" t="s">
        <v>395</v>
      </c>
      <c r="C34" s="93" t="s">
        <v>396</v>
      </c>
      <c r="D34" s="93" t="s">
        <v>257</v>
      </c>
      <c r="E34" s="94">
        <v>26290</v>
      </c>
      <c r="F34" s="95">
        <v>112.38975000000001</v>
      </c>
      <c r="G34" s="96">
        <v>1.4497370000000001E-2</v>
      </c>
      <c r="H34" s="86" t="s">
        <v>142</v>
      </c>
    </row>
    <row r="35" spans="1:8" x14ac:dyDescent="0.2">
      <c r="A35" s="92">
        <v>29</v>
      </c>
      <c r="B35" s="93" t="s">
        <v>399</v>
      </c>
      <c r="C35" s="93" t="s">
        <v>400</v>
      </c>
      <c r="D35" s="93" t="s">
        <v>218</v>
      </c>
      <c r="E35" s="94">
        <v>18794</v>
      </c>
      <c r="F35" s="95">
        <v>111.514199</v>
      </c>
      <c r="G35" s="96">
        <v>1.438444E-2</v>
      </c>
      <c r="H35" s="86" t="s">
        <v>142</v>
      </c>
    </row>
    <row r="36" spans="1:8" ht="25.5" x14ac:dyDescent="0.2">
      <c r="A36" s="92">
        <v>30</v>
      </c>
      <c r="B36" s="93" t="s">
        <v>401</v>
      </c>
      <c r="C36" s="93" t="s">
        <v>402</v>
      </c>
      <c r="D36" s="93" t="s">
        <v>225</v>
      </c>
      <c r="E36" s="94">
        <v>12965</v>
      </c>
      <c r="F36" s="95">
        <v>106.30003499999999</v>
      </c>
      <c r="G36" s="96">
        <v>1.3711849999999999E-2</v>
      </c>
      <c r="H36" s="86" t="s">
        <v>142</v>
      </c>
    </row>
    <row r="37" spans="1:8" x14ac:dyDescent="0.2">
      <c r="A37" s="92">
        <v>31</v>
      </c>
      <c r="B37" s="93" t="s">
        <v>397</v>
      </c>
      <c r="C37" s="93" t="s">
        <v>398</v>
      </c>
      <c r="D37" s="93" t="s">
        <v>135</v>
      </c>
      <c r="E37" s="94">
        <v>56603</v>
      </c>
      <c r="F37" s="95">
        <v>103.4929252</v>
      </c>
      <c r="G37" s="96">
        <v>1.334976E-2</v>
      </c>
      <c r="H37" s="86" t="s">
        <v>142</v>
      </c>
    </row>
    <row r="38" spans="1:8" x14ac:dyDescent="0.2">
      <c r="A38" s="92">
        <v>32</v>
      </c>
      <c r="B38" s="93" t="s">
        <v>449</v>
      </c>
      <c r="C38" s="93" t="s">
        <v>450</v>
      </c>
      <c r="D38" s="93" t="s">
        <v>58</v>
      </c>
      <c r="E38" s="94">
        <v>20968</v>
      </c>
      <c r="F38" s="95">
        <v>100.60446399999999</v>
      </c>
      <c r="G38" s="96">
        <v>1.297717E-2</v>
      </c>
      <c r="H38" s="86" t="s">
        <v>142</v>
      </c>
    </row>
    <row r="39" spans="1:8" x14ac:dyDescent="0.2">
      <c r="A39" s="92">
        <v>33</v>
      </c>
      <c r="B39" s="93" t="s">
        <v>407</v>
      </c>
      <c r="C39" s="93" t="s">
        <v>408</v>
      </c>
      <c r="D39" s="93" t="s">
        <v>409</v>
      </c>
      <c r="E39" s="94">
        <v>7010</v>
      </c>
      <c r="F39" s="95">
        <v>85.536019999999994</v>
      </c>
      <c r="G39" s="96">
        <v>1.103346E-2</v>
      </c>
      <c r="H39" s="86" t="s">
        <v>142</v>
      </c>
    </row>
    <row r="40" spans="1:8" x14ac:dyDescent="0.2">
      <c r="A40" s="92">
        <v>34</v>
      </c>
      <c r="B40" s="93" t="s">
        <v>410</v>
      </c>
      <c r="C40" s="93" t="s">
        <v>411</v>
      </c>
      <c r="D40" s="93" t="s">
        <v>48</v>
      </c>
      <c r="E40" s="94">
        <v>7757</v>
      </c>
      <c r="F40" s="95">
        <v>58.553714499999998</v>
      </c>
      <c r="G40" s="96">
        <v>7.5529600000000001E-3</v>
      </c>
      <c r="H40" s="86" t="s">
        <v>142</v>
      </c>
    </row>
    <row r="41" spans="1:8" x14ac:dyDescent="0.2">
      <c r="A41" s="92">
        <v>35</v>
      </c>
      <c r="B41" s="93" t="s">
        <v>405</v>
      </c>
      <c r="C41" s="93" t="s">
        <v>406</v>
      </c>
      <c r="D41" s="93" t="s">
        <v>48</v>
      </c>
      <c r="E41" s="94">
        <v>7334</v>
      </c>
      <c r="F41" s="95">
        <v>55.331363000000003</v>
      </c>
      <c r="G41" s="96">
        <v>7.1373000000000001E-3</v>
      </c>
      <c r="H41" s="86" t="s">
        <v>142</v>
      </c>
    </row>
    <row r="42" spans="1:8" x14ac:dyDescent="0.2">
      <c r="A42" s="92">
        <v>36</v>
      </c>
      <c r="B42" s="93" t="s">
        <v>414</v>
      </c>
      <c r="C42" s="93" t="s">
        <v>415</v>
      </c>
      <c r="D42" s="93" t="s">
        <v>38</v>
      </c>
      <c r="E42" s="94">
        <v>8886</v>
      </c>
      <c r="F42" s="95">
        <v>27.177831000000001</v>
      </c>
      <c r="G42" s="96">
        <v>3.5057199999999999E-3</v>
      </c>
      <c r="H42" s="86" t="s">
        <v>142</v>
      </c>
    </row>
    <row r="43" spans="1:8" x14ac:dyDescent="0.2">
      <c r="A43" s="97"/>
      <c r="B43" s="97"/>
      <c r="C43" s="98" t="s">
        <v>141</v>
      </c>
      <c r="D43" s="97"/>
      <c r="E43" s="97" t="s">
        <v>142</v>
      </c>
      <c r="F43" s="99">
        <v>7360.2772570999996</v>
      </c>
      <c r="G43" s="100">
        <v>0.94941664000000003</v>
      </c>
      <c r="H43" s="86" t="s">
        <v>142</v>
      </c>
    </row>
    <row r="44" spans="1:8" x14ac:dyDescent="0.2">
      <c r="A44" s="97"/>
      <c r="B44" s="97"/>
      <c r="C44" s="101"/>
      <c r="D44" s="97"/>
      <c r="E44" s="97"/>
      <c r="F44" s="102"/>
      <c r="G44" s="102"/>
      <c r="H44" s="86" t="s">
        <v>142</v>
      </c>
    </row>
    <row r="45" spans="1:8" x14ac:dyDescent="0.2">
      <c r="A45" s="97"/>
      <c r="B45" s="97"/>
      <c r="C45" s="98" t="s">
        <v>143</v>
      </c>
      <c r="D45" s="97"/>
      <c r="E45" s="97"/>
      <c r="F45" s="97"/>
      <c r="G45" s="97"/>
      <c r="H45" s="86" t="s">
        <v>142</v>
      </c>
    </row>
    <row r="46" spans="1:8" x14ac:dyDescent="0.2">
      <c r="A46" s="97"/>
      <c r="B46" s="97"/>
      <c r="C46" s="98" t="s">
        <v>141</v>
      </c>
      <c r="D46" s="97"/>
      <c r="E46" s="97" t="s">
        <v>142</v>
      </c>
      <c r="F46" s="103" t="s">
        <v>144</v>
      </c>
      <c r="G46" s="100">
        <v>0</v>
      </c>
      <c r="H46" s="86" t="s">
        <v>142</v>
      </c>
    </row>
    <row r="47" spans="1:8" x14ac:dyDescent="0.2">
      <c r="A47" s="97"/>
      <c r="B47" s="97"/>
      <c r="C47" s="101"/>
      <c r="D47" s="97"/>
      <c r="E47" s="97"/>
      <c r="F47" s="102"/>
      <c r="G47" s="102"/>
      <c r="H47" s="86" t="s">
        <v>142</v>
      </c>
    </row>
    <row r="48" spans="1:8" x14ac:dyDescent="0.2">
      <c r="A48" s="97"/>
      <c r="B48" s="97"/>
      <c r="C48" s="98" t="s">
        <v>145</v>
      </c>
      <c r="D48" s="97"/>
      <c r="E48" s="97"/>
      <c r="F48" s="97"/>
      <c r="G48" s="97"/>
      <c r="H48" s="86" t="s">
        <v>142</v>
      </c>
    </row>
    <row r="49" spans="1:8" x14ac:dyDescent="0.2">
      <c r="A49" s="97"/>
      <c r="B49" s="97"/>
      <c r="C49" s="98" t="s">
        <v>141</v>
      </c>
      <c r="D49" s="97"/>
      <c r="E49" s="97" t="s">
        <v>142</v>
      </c>
      <c r="F49" s="103" t="s">
        <v>144</v>
      </c>
      <c r="G49" s="100">
        <v>0</v>
      </c>
      <c r="H49" s="86" t="s">
        <v>142</v>
      </c>
    </row>
    <row r="50" spans="1:8" x14ac:dyDescent="0.2">
      <c r="A50" s="97"/>
      <c r="B50" s="97"/>
      <c r="C50" s="101"/>
      <c r="D50" s="97"/>
      <c r="E50" s="97"/>
      <c r="F50" s="102"/>
      <c r="G50" s="102"/>
      <c r="H50" s="86" t="s">
        <v>142</v>
      </c>
    </row>
    <row r="51" spans="1:8" x14ac:dyDescent="0.2">
      <c r="A51" s="97"/>
      <c r="B51" s="97"/>
      <c r="C51" s="98" t="s">
        <v>146</v>
      </c>
      <c r="D51" s="97"/>
      <c r="E51" s="97"/>
      <c r="F51" s="97"/>
      <c r="G51" s="97"/>
      <c r="H51" s="86" t="s">
        <v>142</v>
      </c>
    </row>
    <row r="52" spans="1:8" x14ac:dyDescent="0.2">
      <c r="A52" s="97"/>
      <c r="B52" s="97"/>
      <c r="C52" s="98" t="s">
        <v>141</v>
      </c>
      <c r="D52" s="97"/>
      <c r="E52" s="97" t="s">
        <v>142</v>
      </c>
      <c r="F52" s="103" t="s">
        <v>144</v>
      </c>
      <c r="G52" s="100">
        <v>0</v>
      </c>
      <c r="H52" s="86" t="s">
        <v>142</v>
      </c>
    </row>
    <row r="53" spans="1:8" x14ac:dyDescent="0.2">
      <c r="A53" s="97"/>
      <c r="B53" s="97"/>
      <c r="C53" s="101"/>
      <c r="D53" s="97"/>
      <c r="E53" s="97"/>
      <c r="F53" s="102"/>
      <c r="G53" s="102"/>
      <c r="H53" s="86" t="s">
        <v>142</v>
      </c>
    </row>
    <row r="54" spans="1:8" x14ac:dyDescent="0.2">
      <c r="A54" s="97"/>
      <c r="B54" s="97"/>
      <c r="C54" s="98" t="s">
        <v>147</v>
      </c>
      <c r="D54" s="97"/>
      <c r="E54" s="97"/>
      <c r="F54" s="102"/>
      <c r="G54" s="102"/>
      <c r="H54" s="86" t="s">
        <v>142</v>
      </c>
    </row>
    <row r="55" spans="1:8" x14ac:dyDescent="0.2">
      <c r="A55" s="97"/>
      <c r="B55" s="97"/>
      <c r="C55" s="98" t="s">
        <v>141</v>
      </c>
      <c r="D55" s="97"/>
      <c r="E55" s="97" t="s">
        <v>142</v>
      </c>
      <c r="F55" s="103" t="s">
        <v>144</v>
      </c>
      <c r="G55" s="100">
        <v>0</v>
      </c>
      <c r="H55" s="86" t="s">
        <v>142</v>
      </c>
    </row>
    <row r="56" spans="1:8" x14ac:dyDescent="0.2">
      <c r="A56" s="97"/>
      <c r="B56" s="97"/>
      <c r="C56" s="101"/>
      <c r="D56" s="97"/>
      <c r="E56" s="97"/>
      <c r="F56" s="102"/>
      <c r="G56" s="102"/>
      <c r="H56" s="86" t="s">
        <v>142</v>
      </c>
    </row>
    <row r="57" spans="1:8" x14ac:dyDescent="0.2">
      <c r="A57" s="97"/>
      <c r="B57" s="97"/>
      <c r="C57" s="98" t="s">
        <v>148</v>
      </c>
      <c r="D57" s="97"/>
      <c r="E57" s="97"/>
      <c r="F57" s="102"/>
      <c r="G57" s="102"/>
      <c r="H57" s="86" t="s">
        <v>142</v>
      </c>
    </row>
    <row r="58" spans="1:8" x14ac:dyDescent="0.2">
      <c r="A58" s="97"/>
      <c r="B58" s="97"/>
      <c r="C58" s="98" t="s">
        <v>141</v>
      </c>
      <c r="D58" s="97"/>
      <c r="E58" s="97" t="s">
        <v>142</v>
      </c>
      <c r="F58" s="103" t="s">
        <v>144</v>
      </c>
      <c r="G58" s="100">
        <v>0</v>
      </c>
      <c r="H58" s="86" t="s">
        <v>142</v>
      </c>
    </row>
    <row r="59" spans="1:8" x14ac:dyDescent="0.2">
      <c r="A59" s="97"/>
      <c r="B59" s="97"/>
      <c r="C59" s="101"/>
      <c r="D59" s="97"/>
      <c r="E59" s="97"/>
      <c r="F59" s="102"/>
      <c r="G59" s="102"/>
      <c r="H59" s="86" t="s">
        <v>142</v>
      </c>
    </row>
    <row r="60" spans="1:8" x14ac:dyDescent="0.2">
      <c r="A60" s="97"/>
      <c r="B60" s="97"/>
      <c r="C60" s="98" t="s">
        <v>149</v>
      </c>
      <c r="D60" s="97"/>
      <c r="E60" s="97"/>
      <c r="F60" s="99">
        <v>7360.2772570999996</v>
      </c>
      <c r="G60" s="100">
        <v>0.94941664000000003</v>
      </c>
      <c r="H60" s="86" t="s">
        <v>142</v>
      </c>
    </row>
    <row r="61" spans="1:8" x14ac:dyDescent="0.2">
      <c r="A61" s="97"/>
      <c r="B61" s="97"/>
      <c r="C61" s="101"/>
      <c r="D61" s="97"/>
      <c r="E61" s="97"/>
      <c r="F61" s="102"/>
      <c r="G61" s="102"/>
      <c r="H61" s="86" t="s">
        <v>142</v>
      </c>
    </row>
    <row r="62" spans="1:8" x14ac:dyDescent="0.2">
      <c r="A62" s="97"/>
      <c r="B62" s="97"/>
      <c r="C62" s="98" t="s">
        <v>150</v>
      </c>
      <c r="D62" s="97"/>
      <c r="E62" s="97"/>
      <c r="F62" s="102"/>
      <c r="G62" s="102"/>
      <c r="H62" s="86" t="s">
        <v>142</v>
      </c>
    </row>
    <row r="63" spans="1:8" x14ac:dyDescent="0.2">
      <c r="A63" s="97"/>
      <c r="B63" s="97"/>
      <c r="C63" s="98" t="s">
        <v>10</v>
      </c>
      <c r="D63" s="97"/>
      <c r="E63" s="97"/>
      <c r="F63" s="102"/>
      <c r="G63" s="102"/>
      <c r="H63" s="86" t="s">
        <v>142</v>
      </c>
    </row>
    <row r="64" spans="1:8" x14ac:dyDescent="0.2">
      <c r="A64" s="97"/>
      <c r="B64" s="97"/>
      <c r="C64" s="98" t="s">
        <v>141</v>
      </c>
      <c r="D64" s="97"/>
      <c r="E64" s="97" t="s">
        <v>142</v>
      </c>
      <c r="F64" s="103" t="s">
        <v>144</v>
      </c>
      <c r="G64" s="100">
        <v>0</v>
      </c>
      <c r="H64" s="86" t="s">
        <v>142</v>
      </c>
    </row>
    <row r="65" spans="1:8" x14ac:dyDescent="0.2">
      <c r="A65" s="97"/>
      <c r="B65" s="97"/>
      <c r="C65" s="101"/>
      <c r="D65" s="97"/>
      <c r="E65" s="97"/>
      <c r="F65" s="102"/>
      <c r="G65" s="102"/>
      <c r="H65" s="86" t="s">
        <v>142</v>
      </c>
    </row>
    <row r="66" spans="1:8" x14ac:dyDescent="0.2">
      <c r="A66" s="97"/>
      <c r="B66" s="97"/>
      <c r="C66" s="98" t="s">
        <v>151</v>
      </c>
      <c r="D66" s="97"/>
      <c r="E66" s="97"/>
      <c r="F66" s="97"/>
      <c r="G66" s="97"/>
      <c r="H66" s="86" t="s">
        <v>142</v>
      </c>
    </row>
    <row r="67" spans="1:8" x14ac:dyDescent="0.2">
      <c r="A67" s="97"/>
      <c r="B67" s="97"/>
      <c r="C67" s="98" t="s">
        <v>141</v>
      </c>
      <c r="D67" s="97"/>
      <c r="E67" s="97" t="s">
        <v>142</v>
      </c>
      <c r="F67" s="103" t="s">
        <v>144</v>
      </c>
      <c r="G67" s="100">
        <v>0</v>
      </c>
      <c r="H67" s="86" t="s">
        <v>142</v>
      </c>
    </row>
    <row r="68" spans="1:8" x14ac:dyDescent="0.2">
      <c r="A68" s="97"/>
      <c r="B68" s="97"/>
      <c r="C68" s="101"/>
      <c r="D68" s="97"/>
      <c r="E68" s="97"/>
      <c r="F68" s="102"/>
      <c r="G68" s="102"/>
      <c r="H68" s="86" t="s">
        <v>142</v>
      </c>
    </row>
    <row r="69" spans="1:8" x14ac:dyDescent="0.2">
      <c r="A69" s="97"/>
      <c r="B69" s="97"/>
      <c r="C69" s="98" t="s">
        <v>152</v>
      </c>
      <c r="D69" s="97"/>
      <c r="E69" s="97"/>
      <c r="F69" s="97"/>
      <c r="G69" s="97"/>
      <c r="H69" s="86" t="s">
        <v>142</v>
      </c>
    </row>
    <row r="70" spans="1:8" x14ac:dyDescent="0.2">
      <c r="A70" s="97"/>
      <c r="B70" s="97"/>
      <c r="C70" s="98" t="s">
        <v>141</v>
      </c>
      <c r="D70" s="97"/>
      <c r="E70" s="97" t="s">
        <v>142</v>
      </c>
      <c r="F70" s="103" t="s">
        <v>144</v>
      </c>
      <c r="G70" s="100">
        <v>0</v>
      </c>
      <c r="H70" s="86" t="s">
        <v>142</v>
      </c>
    </row>
    <row r="71" spans="1:8" x14ac:dyDescent="0.2">
      <c r="A71" s="97"/>
      <c r="B71" s="97"/>
      <c r="C71" s="101"/>
      <c r="D71" s="97"/>
      <c r="E71" s="97"/>
      <c r="F71" s="102"/>
      <c r="G71" s="102"/>
      <c r="H71" s="86" t="s">
        <v>142</v>
      </c>
    </row>
    <row r="72" spans="1:8" x14ac:dyDescent="0.2">
      <c r="A72" s="97"/>
      <c r="B72" s="97"/>
      <c r="C72" s="98" t="s">
        <v>153</v>
      </c>
      <c r="D72" s="97"/>
      <c r="E72" s="97"/>
      <c r="F72" s="102"/>
      <c r="G72" s="102"/>
      <c r="H72" s="86" t="s">
        <v>142</v>
      </c>
    </row>
    <row r="73" spans="1:8" x14ac:dyDescent="0.2">
      <c r="A73" s="97"/>
      <c r="B73" s="97"/>
      <c r="C73" s="98" t="s">
        <v>141</v>
      </c>
      <c r="D73" s="97"/>
      <c r="E73" s="97" t="s">
        <v>142</v>
      </c>
      <c r="F73" s="103" t="s">
        <v>144</v>
      </c>
      <c r="G73" s="100">
        <v>0</v>
      </c>
      <c r="H73" s="86" t="s">
        <v>142</v>
      </c>
    </row>
    <row r="74" spans="1:8" x14ac:dyDescent="0.2">
      <c r="A74" s="97"/>
      <c r="B74" s="97"/>
      <c r="C74" s="101"/>
      <c r="D74" s="97"/>
      <c r="E74" s="97"/>
      <c r="F74" s="102"/>
      <c r="G74" s="102"/>
      <c r="H74" s="86" t="s">
        <v>142</v>
      </c>
    </row>
    <row r="75" spans="1:8" x14ac:dyDescent="0.2">
      <c r="A75" s="97"/>
      <c r="B75" s="97"/>
      <c r="C75" s="98" t="s">
        <v>154</v>
      </c>
      <c r="D75" s="97"/>
      <c r="E75" s="97"/>
      <c r="F75" s="99">
        <v>0</v>
      </c>
      <c r="G75" s="100">
        <v>0</v>
      </c>
      <c r="H75" s="86" t="s">
        <v>142</v>
      </c>
    </row>
    <row r="76" spans="1:8" x14ac:dyDescent="0.2">
      <c r="A76" s="97"/>
      <c r="B76" s="97"/>
      <c r="C76" s="101"/>
      <c r="D76" s="97"/>
      <c r="E76" s="97"/>
      <c r="F76" s="102"/>
      <c r="G76" s="102"/>
      <c r="H76" s="86" t="s">
        <v>142</v>
      </c>
    </row>
    <row r="77" spans="1:8" x14ac:dyDescent="0.2">
      <c r="A77" s="97"/>
      <c r="B77" s="97"/>
      <c r="C77" s="98" t="s">
        <v>155</v>
      </c>
      <c r="D77" s="97"/>
      <c r="E77" s="97"/>
      <c r="F77" s="102"/>
      <c r="G77" s="102"/>
      <c r="H77" s="86" t="s">
        <v>142</v>
      </c>
    </row>
    <row r="78" spans="1:8" x14ac:dyDescent="0.2">
      <c r="A78" s="97"/>
      <c r="B78" s="97"/>
      <c r="C78" s="98" t="s">
        <v>156</v>
      </c>
      <c r="D78" s="97"/>
      <c r="E78" s="97"/>
      <c r="F78" s="102"/>
      <c r="G78" s="102"/>
      <c r="H78" s="86" t="s">
        <v>142</v>
      </c>
    </row>
    <row r="79" spans="1:8" x14ac:dyDescent="0.2">
      <c r="A79" s="97"/>
      <c r="B79" s="97"/>
      <c r="C79" s="98" t="s">
        <v>141</v>
      </c>
      <c r="D79" s="97"/>
      <c r="E79" s="97" t="s">
        <v>142</v>
      </c>
      <c r="F79" s="103" t="s">
        <v>144</v>
      </c>
      <c r="G79" s="100">
        <v>0</v>
      </c>
      <c r="H79" s="86" t="s">
        <v>142</v>
      </c>
    </row>
    <row r="80" spans="1:8" x14ac:dyDescent="0.2">
      <c r="A80" s="97"/>
      <c r="B80" s="97"/>
      <c r="C80" s="101"/>
      <c r="D80" s="97"/>
      <c r="E80" s="97"/>
      <c r="F80" s="102"/>
      <c r="G80" s="102"/>
      <c r="H80" s="86" t="s">
        <v>142</v>
      </c>
    </row>
    <row r="81" spans="1:8" x14ac:dyDescent="0.2">
      <c r="A81" s="97"/>
      <c r="B81" s="97"/>
      <c r="C81" s="98" t="s">
        <v>157</v>
      </c>
      <c r="D81" s="97"/>
      <c r="E81" s="97"/>
      <c r="F81" s="102"/>
      <c r="G81" s="102"/>
      <c r="H81" s="86" t="s">
        <v>142</v>
      </c>
    </row>
    <row r="82" spans="1:8" x14ac:dyDescent="0.2">
      <c r="A82" s="97"/>
      <c r="B82" s="97"/>
      <c r="C82" s="98" t="s">
        <v>141</v>
      </c>
      <c r="D82" s="97"/>
      <c r="E82" s="97" t="s">
        <v>142</v>
      </c>
      <c r="F82" s="103" t="s">
        <v>144</v>
      </c>
      <c r="G82" s="100">
        <v>0</v>
      </c>
      <c r="H82" s="86" t="s">
        <v>142</v>
      </c>
    </row>
    <row r="83" spans="1:8" x14ac:dyDescent="0.2">
      <c r="A83" s="97"/>
      <c r="B83" s="97"/>
      <c r="C83" s="101"/>
      <c r="D83" s="97"/>
      <c r="E83" s="97"/>
      <c r="F83" s="102"/>
      <c r="G83" s="102"/>
      <c r="H83" s="86" t="s">
        <v>142</v>
      </c>
    </row>
    <row r="84" spans="1:8" x14ac:dyDescent="0.2">
      <c r="A84" s="97"/>
      <c r="B84" s="97"/>
      <c r="C84" s="98" t="s">
        <v>158</v>
      </c>
      <c r="D84" s="97"/>
      <c r="E84" s="97"/>
      <c r="F84" s="102"/>
      <c r="G84" s="102"/>
      <c r="H84" s="86" t="s">
        <v>142</v>
      </c>
    </row>
    <row r="85" spans="1:8" x14ac:dyDescent="0.2">
      <c r="A85" s="97"/>
      <c r="B85" s="97"/>
      <c r="C85" s="98" t="s">
        <v>141</v>
      </c>
      <c r="D85" s="97"/>
      <c r="E85" s="97" t="s">
        <v>142</v>
      </c>
      <c r="F85" s="103" t="s">
        <v>144</v>
      </c>
      <c r="G85" s="100">
        <v>0</v>
      </c>
      <c r="H85" s="86" t="s">
        <v>142</v>
      </c>
    </row>
    <row r="86" spans="1:8" x14ac:dyDescent="0.2">
      <c r="A86" s="97"/>
      <c r="B86" s="97"/>
      <c r="C86" s="101"/>
      <c r="D86" s="97"/>
      <c r="E86" s="97"/>
      <c r="F86" s="102"/>
      <c r="G86" s="102"/>
      <c r="H86" s="86" t="s">
        <v>142</v>
      </c>
    </row>
    <row r="87" spans="1:8" x14ac:dyDescent="0.2">
      <c r="A87" s="97"/>
      <c r="B87" s="97"/>
      <c r="C87" s="98" t="s">
        <v>159</v>
      </c>
      <c r="D87" s="97"/>
      <c r="E87" s="97"/>
      <c r="F87" s="102"/>
      <c r="G87" s="102"/>
      <c r="H87" s="86" t="s">
        <v>142</v>
      </c>
    </row>
    <row r="88" spans="1:8" x14ac:dyDescent="0.2">
      <c r="A88" s="92">
        <v>1</v>
      </c>
      <c r="B88" s="93"/>
      <c r="C88" s="93" t="s">
        <v>160</v>
      </c>
      <c r="D88" s="93"/>
      <c r="E88" s="104"/>
      <c r="F88" s="95">
        <v>403.39835540199999</v>
      </c>
      <c r="G88" s="96">
        <v>5.2035150000000002E-2</v>
      </c>
      <c r="H88" s="86">
        <v>5.57</v>
      </c>
    </row>
    <row r="89" spans="1:8" x14ac:dyDescent="0.2">
      <c r="A89" s="97"/>
      <c r="B89" s="97"/>
      <c r="C89" s="98" t="s">
        <v>141</v>
      </c>
      <c r="D89" s="97"/>
      <c r="E89" s="97" t="s">
        <v>142</v>
      </c>
      <c r="F89" s="99">
        <v>403.39835540199999</v>
      </c>
      <c r="G89" s="100">
        <v>5.2035150000000002E-2</v>
      </c>
      <c r="H89" s="86" t="s">
        <v>142</v>
      </c>
    </row>
    <row r="90" spans="1:8" x14ac:dyDescent="0.2">
      <c r="A90" s="97"/>
      <c r="B90" s="97"/>
      <c r="C90" s="101"/>
      <c r="D90" s="97"/>
      <c r="E90" s="97"/>
      <c r="F90" s="102"/>
      <c r="G90" s="102"/>
      <c r="H90" s="86" t="s">
        <v>142</v>
      </c>
    </row>
    <row r="91" spans="1:8" x14ac:dyDescent="0.2">
      <c r="A91" s="97"/>
      <c r="B91" s="97"/>
      <c r="C91" s="98" t="s">
        <v>161</v>
      </c>
      <c r="D91" s="97"/>
      <c r="E91" s="97"/>
      <c r="F91" s="99">
        <v>403.39835540199999</v>
      </c>
      <c r="G91" s="100">
        <v>5.2035150000000002E-2</v>
      </c>
      <c r="H91" s="86" t="s">
        <v>142</v>
      </c>
    </row>
    <row r="92" spans="1:8" x14ac:dyDescent="0.2">
      <c r="A92" s="97"/>
      <c r="B92" s="97"/>
      <c r="C92" s="102"/>
      <c r="D92" s="97"/>
      <c r="E92" s="97"/>
      <c r="F92" s="97"/>
      <c r="G92" s="97"/>
      <c r="H92" s="86" t="s">
        <v>142</v>
      </c>
    </row>
    <row r="93" spans="1:8" x14ac:dyDescent="0.2">
      <c r="A93" s="97"/>
      <c r="B93" s="97"/>
      <c r="C93" s="98" t="s">
        <v>162</v>
      </c>
      <c r="D93" s="97"/>
      <c r="E93" s="97"/>
      <c r="F93" s="97"/>
      <c r="G93" s="97"/>
      <c r="H93" s="86" t="s">
        <v>142</v>
      </c>
    </row>
    <row r="94" spans="1:8" x14ac:dyDescent="0.2">
      <c r="A94" s="97"/>
      <c r="B94" s="97"/>
      <c r="C94" s="98" t="s">
        <v>163</v>
      </c>
      <c r="D94" s="97"/>
      <c r="E94" s="97"/>
      <c r="F94" s="97"/>
      <c r="G94" s="97"/>
      <c r="H94" s="86" t="s">
        <v>142</v>
      </c>
    </row>
    <row r="95" spans="1:8" x14ac:dyDescent="0.2">
      <c r="A95" s="97"/>
      <c r="B95" s="97"/>
      <c r="C95" s="98" t="s">
        <v>141</v>
      </c>
      <c r="D95" s="97"/>
      <c r="E95" s="97" t="s">
        <v>142</v>
      </c>
      <c r="F95" s="103" t="s">
        <v>144</v>
      </c>
      <c r="G95" s="100">
        <v>0</v>
      </c>
      <c r="H95" s="86" t="s">
        <v>142</v>
      </c>
    </row>
    <row r="96" spans="1:8" x14ac:dyDescent="0.2">
      <c r="A96" s="97"/>
      <c r="B96" s="97"/>
      <c r="C96" s="101"/>
      <c r="D96" s="97"/>
      <c r="E96" s="97"/>
      <c r="F96" s="102"/>
      <c r="G96" s="102"/>
      <c r="H96" s="86" t="s">
        <v>142</v>
      </c>
    </row>
    <row r="97" spans="1:17" x14ac:dyDescent="0.2">
      <c r="A97" s="97"/>
      <c r="B97" s="97"/>
      <c r="C97" s="98" t="s">
        <v>164</v>
      </c>
      <c r="D97" s="97"/>
      <c r="E97" s="97"/>
      <c r="F97" s="97"/>
      <c r="G97" s="97"/>
      <c r="H97" s="86" t="s">
        <v>142</v>
      </c>
    </row>
    <row r="98" spans="1:17" x14ac:dyDescent="0.2">
      <c r="A98" s="97"/>
      <c r="B98" s="97"/>
      <c r="C98" s="98" t="s">
        <v>165</v>
      </c>
      <c r="D98" s="97"/>
      <c r="E98" s="97"/>
      <c r="F98" s="97"/>
      <c r="G98" s="97"/>
      <c r="H98" s="86" t="s">
        <v>142</v>
      </c>
    </row>
    <row r="99" spans="1:17" x14ac:dyDescent="0.2">
      <c r="A99" s="97"/>
      <c r="B99" s="97"/>
      <c r="C99" s="98" t="s">
        <v>141</v>
      </c>
      <c r="D99" s="97"/>
      <c r="E99" s="97" t="s">
        <v>142</v>
      </c>
      <c r="F99" s="103" t="s">
        <v>144</v>
      </c>
      <c r="G99" s="100">
        <v>0</v>
      </c>
      <c r="H99" s="86" t="s">
        <v>142</v>
      </c>
    </row>
    <row r="100" spans="1:17" x14ac:dyDescent="0.2">
      <c r="A100" s="97"/>
      <c r="B100" s="97"/>
      <c r="C100" s="101"/>
      <c r="D100" s="97"/>
      <c r="E100" s="97"/>
      <c r="F100" s="102"/>
      <c r="G100" s="102"/>
      <c r="H100" s="86" t="s">
        <v>142</v>
      </c>
    </row>
    <row r="101" spans="1:17" x14ac:dyDescent="0.2">
      <c r="A101" s="97"/>
      <c r="B101" s="97"/>
      <c r="C101" s="98" t="s">
        <v>166</v>
      </c>
      <c r="D101" s="97"/>
      <c r="E101" s="97"/>
      <c r="F101" s="102"/>
      <c r="G101" s="102"/>
      <c r="H101" s="86" t="s">
        <v>142</v>
      </c>
    </row>
    <row r="102" spans="1:17" x14ac:dyDescent="0.2">
      <c r="A102" s="97"/>
      <c r="B102" s="97"/>
      <c r="C102" s="98" t="s">
        <v>141</v>
      </c>
      <c r="D102" s="97"/>
      <c r="E102" s="97" t="s">
        <v>142</v>
      </c>
      <c r="F102" s="103" t="s">
        <v>144</v>
      </c>
      <c r="G102" s="100">
        <v>0</v>
      </c>
      <c r="H102" s="86" t="s">
        <v>142</v>
      </c>
    </row>
    <row r="103" spans="1:17" x14ac:dyDescent="0.2">
      <c r="A103" s="97"/>
      <c r="B103" s="97"/>
      <c r="C103" s="101"/>
      <c r="D103" s="97"/>
      <c r="E103" s="97"/>
      <c r="F103" s="102"/>
      <c r="G103" s="102"/>
      <c r="H103" s="86" t="s">
        <v>142</v>
      </c>
    </row>
    <row r="104" spans="1:17" x14ac:dyDescent="0.2">
      <c r="A104" s="104"/>
      <c r="B104" s="93"/>
      <c r="C104" s="93" t="s">
        <v>167</v>
      </c>
      <c r="D104" s="93"/>
      <c r="E104" s="104"/>
      <c r="F104" s="95">
        <v>-11.25463203</v>
      </c>
      <c r="G104" s="96">
        <v>-1.4517600000000001E-3</v>
      </c>
      <c r="H104" s="86" t="s">
        <v>142</v>
      </c>
    </row>
    <row r="105" spans="1:17" x14ac:dyDescent="0.2">
      <c r="A105" s="101"/>
      <c r="B105" s="101"/>
      <c r="C105" s="98" t="s">
        <v>168</v>
      </c>
      <c r="D105" s="102"/>
      <c r="E105" s="102"/>
      <c r="F105" s="99">
        <v>7752.4209804720003</v>
      </c>
      <c r="G105" s="105">
        <v>1.00000003</v>
      </c>
      <c r="H105" s="86" t="s">
        <v>142</v>
      </c>
    </row>
    <row r="106" spans="1:17" ht="12.75" customHeight="1" x14ac:dyDescent="0.2">
      <c r="A106" s="106"/>
      <c r="B106" s="106"/>
      <c r="C106" s="107"/>
      <c r="D106" s="108"/>
      <c r="E106" s="108"/>
      <c r="F106" s="109"/>
      <c r="G106" s="110"/>
      <c r="H106" s="111"/>
    </row>
    <row r="107" spans="1:17" x14ac:dyDescent="0.2">
      <c r="A107" s="106"/>
      <c r="B107" s="200" t="s">
        <v>918</v>
      </c>
      <c r="C107" s="200"/>
      <c r="D107" s="200"/>
      <c r="E107" s="200"/>
      <c r="F107" s="200"/>
      <c r="G107" s="200"/>
      <c r="H107" s="200"/>
      <c r="J107" s="113"/>
    </row>
    <row r="108" spans="1:17" x14ac:dyDescent="0.2">
      <c r="A108" s="106"/>
      <c r="B108" s="200" t="s">
        <v>919</v>
      </c>
      <c r="C108" s="200"/>
      <c r="D108" s="200"/>
      <c r="E108" s="200"/>
      <c r="F108" s="200"/>
      <c r="G108" s="200"/>
      <c r="H108" s="200"/>
      <c r="J108" s="113"/>
    </row>
    <row r="109" spans="1:17" x14ac:dyDescent="0.2">
      <c r="A109" s="106"/>
      <c r="B109" s="200" t="s">
        <v>920</v>
      </c>
      <c r="C109" s="200"/>
      <c r="D109" s="200"/>
      <c r="E109" s="200"/>
      <c r="F109" s="200"/>
      <c r="G109" s="200"/>
      <c r="H109" s="200"/>
      <c r="J109" s="113"/>
    </row>
    <row r="110" spans="1:17" s="115" customFormat="1" ht="66.75" customHeight="1" x14ac:dyDescent="0.25">
      <c r="A110" s="114"/>
      <c r="B110" s="201" t="s">
        <v>921</v>
      </c>
      <c r="C110" s="201"/>
      <c r="D110" s="201"/>
      <c r="E110" s="201"/>
      <c r="F110" s="201"/>
      <c r="G110" s="201"/>
      <c r="H110" s="201"/>
      <c r="I110"/>
      <c r="J110" s="113"/>
      <c r="K110"/>
      <c r="L110"/>
      <c r="M110"/>
      <c r="N110"/>
      <c r="O110"/>
      <c r="P110"/>
      <c r="Q110"/>
    </row>
    <row r="111" spans="1:17" x14ac:dyDescent="0.2">
      <c r="A111" s="106"/>
      <c r="B111" s="200" t="s">
        <v>922</v>
      </c>
      <c r="C111" s="200"/>
      <c r="D111" s="200"/>
      <c r="E111" s="200"/>
      <c r="F111" s="200"/>
      <c r="G111" s="200"/>
      <c r="H111" s="200"/>
      <c r="J111" s="113"/>
    </row>
    <row r="112" spans="1:17" x14ac:dyDescent="0.2">
      <c r="A112" s="106"/>
      <c r="B112" s="106"/>
      <c r="C112" s="106"/>
      <c r="D112" s="108"/>
      <c r="E112" s="108"/>
      <c r="F112" s="108"/>
      <c r="G112" s="108"/>
    </row>
    <row r="113" spans="1:10" x14ac:dyDescent="0.2">
      <c r="A113" s="106"/>
      <c r="B113" s="202" t="s">
        <v>169</v>
      </c>
      <c r="C113" s="203"/>
      <c r="D113" s="204"/>
      <c r="E113" s="116"/>
      <c r="F113" s="108"/>
      <c r="G113" s="108"/>
    </row>
    <row r="114" spans="1:10" ht="27.75" customHeight="1" x14ac:dyDescent="0.2">
      <c r="A114" s="106"/>
      <c r="B114" s="205" t="s">
        <v>170</v>
      </c>
      <c r="C114" s="206"/>
      <c r="D114" s="85" t="s">
        <v>171</v>
      </c>
      <c r="E114" s="116"/>
      <c r="F114" s="108"/>
      <c r="G114" s="108"/>
    </row>
    <row r="115" spans="1:10" ht="12.75" customHeight="1" x14ac:dyDescent="0.2">
      <c r="A115" s="106"/>
      <c r="B115" s="205" t="s">
        <v>923</v>
      </c>
      <c r="C115" s="206"/>
      <c r="D115" s="85" t="s">
        <v>171</v>
      </c>
      <c r="E115" s="116"/>
      <c r="F115" s="108"/>
      <c r="G115" s="108"/>
    </row>
    <row r="116" spans="1:10" x14ac:dyDescent="0.2">
      <c r="A116" s="106"/>
      <c r="B116" s="205" t="s">
        <v>172</v>
      </c>
      <c r="C116" s="206"/>
      <c r="D116" s="117" t="s">
        <v>142</v>
      </c>
      <c r="E116" s="116"/>
      <c r="F116" s="108"/>
      <c r="G116" s="108"/>
    </row>
    <row r="117" spans="1:10" x14ac:dyDescent="0.2">
      <c r="A117" s="118"/>
      <c r="B117" s="119" t="s">
        <v>142</v>
      </c>
      <c r="C117" s="119" t="s">
        <v>924</v>
      </c>
      <c r="D117" s="119" t="s">
        <v>173</v>
      </c>
      <c r="E117" s="118"/>
      <c r="F117" s="118"/>
      <c r="G117" s="118"/>
      <c r="H117" s="118"/>
      <c r="J117" s="113"/>
    </row>
    <row r="118" spans="1:10" x14ac:dyDescent="0.2">
      <c r="A118" s="118"/>
      <c r="B118" s="120" t="s">
        <v>174</v>
      </c>
      <c r="C118" s="121">
        <v>45930</v>
      </c>
      <c r="D118" s="121">
        <v>45961</v>
      </c>
      <c r="E118" s="118"/>
      <c r="F118" s="118"/>
      <c r="G118" s="118"/>
      <c r="J118" s="113"/>
    </row>
    <row r="119" spans="1:10" x14ac:dyDescent="0.2">
      <c r="A119" s="122"/>
      <c r="B119" s="93" t="s">
        <v>175</v>
      </c>
      <c r="C119" s="123">
        <v>33.480600000000003</v>
      </c>
      <c r="D119" s="123">
        <v>34.964199999999998</v>
      </c>
      <c r="E119" s="122"/>
      <c r="F119" s="124"/>
      <c r="G119" s="125"/>
    </row>
    <row r="120" spans="1:10" x14ac:dyDescent="0.2">
      <c r="A120" s="122"/>
      <c r="B120" s="93" t="s">
        <v>1101</v>
      </c>
      <c r="C120" s="123">
        <v>29.3612</v>
      </c>
      <c r="D120" s="123">
        <v>30.662299999999998</v>
      </c>
      <c r="E120" s="122"/>
      <c r="F120" s="124"/>
      <c r="G120" s="125"/>
    </row>
    <row r="121" spans="1:10" x14ac:dyDescent="0.2">
      <c r="A121" s="122"/>
      <c r="B121" s="93" t="s">
        <v>176</v>
      </c>
      <c r="C121" s="123">
        <v>32.497199999999999</v>
      </c>
      <c r="D121" s="123">
        <v>33.932099999999998</v>
      </c>
      <c r="E121" s="122"/>
      <c r="F121" s="124"/>
      <c r="G121" s="125"/>
    </row>
    <row r="122" spans="1:10" x14ac:dyDescent="0.2">
      <c r="A122" s="122"/>
      <c r="B122" s="93" t="s">
        <v>1102</v>
      </c>
      <c r="C122" s="123">
        <v>28.432600000000001</v>
      </c>
      <c r="D122" s="123">
        <v>29.687999999999999</v>
      </c>
      <c r="E122" s="122"/>
      <c r="F122" s="124"/>
      <c r="G122" s="125"/>
    </row>
    <row r="123" spans="1:10" x14ac:dyDescent="0.2">
      <c r="A123" s="122"/>
      <c r="B123" s="122"/>
      <c r="C123" s="122"/>
      <c r="D123" s="122"/>
      <c r="E123" s="122"/>
      <c r="F123" s="122"/>
      <c r="G123" s="122"/>
    </row>
    <row r="124" spans="1:10" x14ac:dyDescent="0.2">
      <c r="A124" s="118"/>
      <c r="B124" s="205" t="s">
        <v>925</v>
      </c>
      <c r="C124" s="206"/>
      <c r="D124" s="85" t="s">
        <v>171</v>
      </c>
      <c r="E124" s="118"/>
      <c r="F124" s="118"/>
      <c r="G124" s="118"/>
    </row>
    <row r="125" spans="1:10" x14ac:dyDescent="0.2">
      <c r="A125" s="118"/>
      <c r="B125" s="136"/>
      <c r="C125" s="136"/>
      <c r="D125" s="136"/>
      <c r="E125" s="118"/>
      <c r="F125" s="118"/>
      <c r="G125" s="118"/>
    </row>
    <row r="126" spans="1:10" x14ac:dyDescent="0.2">
      <c r="A126" s="118"/>
      <c r="B126" s="205" t="s">
        <v>179</v>
      </c>
      <c r="C126" s="206"/>
      <c r="D126" s="85" t="s">
        <v>171</v>
      </c>
      <c r="E126" s="131"/>
      <c r="F126" s="118"/>
      <c r="G126" s="118"/>
    </row>
    <row r="127" spans="1:10" x14ac:dyDescent="0.2">
      <c r="A127" s="118"/>
      <c r="B127" s="205" t="s">
        <v>180</v>
      </c>
      <c r="C127" s="206"/>
      <c r="D127" s="85" t="s">
        <v>171</v>
      </c>
      <c r="E127" s="131"/>
      <c r="F127" s="118"/>
      <c r="G127" s="118"/>
    </row>
    <row r="128" spans="1:10" x14ac:dyDescent="0.2">
      <c r="A128" s="118"/>
      <c r="B128" s="205" t="s">
        <v>181</v>
      </c>
      <c r="C128" s="206"/>
      <c r="D128" s="85" t="s">
        <v>171</v>
      </c>
      <c r="E128" s="131"/>
      <c r="F128" s="118"/>
      <c r="G128" s="118"/>
    </row>
    <row r="129" spans="1:10" x14ac:dyDescent="0.2">
      <c r="A129" s="118"/>
      <c r="B129" s="205" t="s">
        <v>182</v>
      </c>
      <c r="C129" s="206"/>
      <c r="D129" s="132">
        <v>3.1990960214963074E-2</v>
      </c>
      <c r="E129" s="118"/>
      <c r="F129" s="112"/>
      <c r="G129" s="133"/>
    </row>
    <row r="131" spans="1:10" x14ac:dyDescent="0.2">
      <c r="B131" s="199" t="s">
        <v>926</v>
      </c>
      <c r="C131" s="199"/>
    </row>
    <row r="133" spans="1:10" ht="153.75" customHeight="1" x14ac:dyDescent="0.2"/>
    <row r="136" spans="1:10" x14ac:dyDescent="0.2">
      <c r="B136" s="134" t="s">
        <v>927</v>
      </c>
      <c r="C136" s="135"/>
      <c r="D136" s="134"/>
    </row>
    <row r="137" spans="1:10" x14ac:dyDescent="0.2">
      <c r="B137" s="134" t="s">
        <v>939</v>
      </c>
      <c r="D137" s="134"/>
    </row>
    <row r="138" spans="1:10" ht="165" customHeight="1" x14ac:dyDescent="0.2"/>
    <row r="139" spans="1:10" x14ac:dyDescent="0.2">
      <c r="B139" s="134"/>
      <c r="D139" s="134"/>
    </row>
    <row r="140" spans="1:10" x14ac:dyDescent="0.2">
      <c r="J140" s="83"/>
    </row>
    <row r="147" customFormat="1" ht="12.75" customHeight="1" x14ac:dyDescent="0.2"/>
    <row r="148" customFormat="1" ht="12.75" customHeight="1" x14ac:dyDescent="0.2"/>
    <row r="149" customFormat="1" ht="12.75" customHeight="1" x14ac:dyDescent="0.2"/>
    <row r="150" customFormat="1" ht="12.75" customHeight="1" x14ac:dyDescent="0.2"/>
    <row r="151" customFormat="1" ht="12.75" customHeight="1" x14ac:dyDescent="0.2"/>
    <row r="152" customFormat="1" ht="12.75" customHeight="1" x14ac:dyDescent="0.2"/>
    <row r="153" customFormat="1" ht="12.75" customHeight="1" x14ac:dyDescent="0.2"/>
  </sheetData>
  <mergeCells count="18">
    <mergeCell ref="B131:C131"/>
    <mergeCell ref="B129:C129"/>
    <mergeCell ref="A1:H1"/>
    <mergeCell ref="A2:H2"/>
    <mergeCell ref="A3:H3"/>
    <mergeCell ref="B124:C124"/>
    <mergeCell ref="B128:C128"/>
    <mergeCell ref="B107:H107"/>
    <mergeCell ref="B108:H108"/>
    <mergeCell ref="B115:C115"/>
    <mergeCell ref="B116:C116"/>
    <mergeCell ref="B126:C126"/>
    <mergeCell ref="B127:C127"/>
    <mergeCell ref="B109:H109"/>
    <mergeCell ref="B110:H110"/>
    <mergeCell ref="B111:H111"/>
    <mergeCell ref="B113:D113"/>
    <mergeCell ref="B114:C114"/>
  </mergeCells>
  <hyperlinks>
    <hyperlink ref="I1" location="Index!B2" display="Index" xr:uid="{DFBC3566-5DFD-4F22-9ADE-CC2CEABA5CF4}"/>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3B1C8-69EE-4394-90AE-6E8A59CBA7E0}">
  <sheetPr>
    <outlinePr summaryBelow="0" summaryRight="0"/>
  </sheetPr>
  <dimension ref="A1:Q147"/>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6.570312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451</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355</v>
      </c>
      <c r="C7" s="93" t="s">
        <v>356</v>
      </c>
      <c r="D7" s="93" t="s">
        <v>109</v>
      </c>
      <c r="E7" s="94">
        <v>33900</v>
      </c>
      <c r="F7" s="95">
        <v>229.85894999999999</v>
      </c>
      <c r="G7" s="96">
        <v>6.2864600000000007E-2</v>
      </c>
      <c r="H7" s="86" t="s">
        <v>142</v>
      </c>
    </row>
    <row r="8" spans="1:9" x14ac:dyDescent="0.2">
      <c r="A8" s="92">
        <v>2</v>
      </c>
      <c r="B8" s="93" t="s">
        <v>361</v>
      </c>
      <c r="C8" s="93" t="s">
        <v>362</v>
      </c>
      <c r="D8" s="93" t="s">
        <v>48</v>
      </c>
      <c r="E8" s="94">
        <v>9824</v>
      </c>
      <c r="F8" s="95">
        <v>209.72275200000001</v>
      </c>
      <c r="G8" s="96">
        <v>5.735751E-2</v>
      </c>
      <c r="H8" s="86" t="s">
        <v>142</v>
      </c>
    </row>
    <row r="9" spans="1:9" x14ac:dyDescent="0.2">
      <c r="A9" s="92">
        <v>3</v>
      </c>
      <c r="B9" s="93" t="s">
        <v>340</v>
      </c>
      <c r="C9" s="93" t="s">
        <v>341</v>
      </c>
      <c r="D9" s="93" t="s">
        <v>257</v>
      </c>
      <c r="E9" s="94">
        <v>9043</v>
      </c>
      <c r="F9" s="95">
        <v>174.584158</v>
      </c>
      <c r="G9" s="96">
        <v>4.7747379999999999E-2</v>
      </c>
      <c r="H9" s="86" t="s">
        <v>142</v>
      </c>
    </row>
    <row r="10" spans="1:9" x14ac:dyDescent="0.2">
      <c r="A10" s="92">
        <v>4</v>
      </c>
      <c r="B10" s="93" t="s">
        <v>373</v>
      </c>
      <c r="C10" s="93" t="s">
        <v>374</v>
      </c>
      <c r="D10" s="93" t="s">
        <v>215</v>
      </c>
      <c r="E10" s="94">
        <v>6306</v>
      </c>
      <c r="F10" s="95">
        <v>157.17074400000001</v>
      </c>
      <c r="G10" s="96">
        <v>4.2984950000000001E-2</v>
      </c>
      <c r="H10" s="86" t="s">
        <v>142</v>
      </c>
    </row>
    <row r="11" spans="1:9" x14ac:dyDescent="0.2">
      <c r="A11" s="92">
        <v>5</v>
      </c>
      <c r="B11" s="93" t="s">
        <v>359</v>
      </c>
      <c r="C11" s="93" t="s">
        <v>360</v>
      </c>
      <c r="D11" s="93" t="s">
        <v>35</v>
      </c>
      <c r="E11" s="94">
        <v>36437</v>
      </c>
      <c r="F11" s="95">
        <v>150.61233949999999</v>
      </c>
      <c r="G11" s="96">
        <v>4.1191279999999997E-2</v>
      </c>
      <c r="H11" s="86" t="s">
        <v>142</v>
      </c>
    </row>
    <row r="12" spans="1:9" x14ac:dyDescent="0.2">
      <c r="A12" s="92">
        <v>6</v>
      </c>
      <c r="B12" s="93" t="s">
        <v>357</v>
      </c>
      <c r="C12" s="93" t="s">
        <v>358</v>
      </c>
      <c r="D12" s="93" t="s">
        <v>35</v>
      </c>
      <c r="E12" s="94">
        <v>290098</v>
      </c>
      <c r="F12" s="95">
        <v>150.3868032</v>
      </c>
      <c r="G12" s="96">
        <v>4.1129600000000002E-2</v>
      </c>
      <c r="H12" s="86" t="s">
        <v>142</v>
      </c>
    </row>
    <row r="13" spans="1:9" x14ac:dyDescent="0.2">
      <c r="A13" s="92">
        <v>7</v>
      </c>
      <c r="B13" s="93" t="s">
        <v>363</v>
      </c>
      <c r="C13" s="93" t="s">
        <v>364</v>
      </c>
      <c r="D13" s="93" t="s">
        <v>218</v>
      </c>
      <c r="E13" s="94">
        <v>48585</v>
      </c>
      <c r="F13" s="95">
        <v>138.97739250000001</v>
      </c>
      <c r="G13" s="96">
        <v>3.8009210000000002E-2</v>
      </c>
      <c r="H13" s="86" t="s">
        <v>142</v>
      </c>
    </row>
    <row r="14" spans="1:9" ht="25.5" x14ac:dyDescent="0.2">
      <c r="A14" s="92">
        <v>8</v>
      </c>
      <c r="B14" s="93" t="s">
        <v>367</v>
      </c>
      <c r="C14" s="93" t="s">
        <v>368</v>
      </c>
      <c r="D14" s="93" t="s">
        <v>275</v>
      </c>
      <c r="E14" s="94">
        <v>2426</v>
      </c>
      <c r="F14" s="95">
        <v>137.97632400000001</v>
      </c>
      <c r="G14" s="96">
        <v>3.773543E-2</v>
      </c>
      <c r="H14" s="86" t="s">
        <v>142</v>
      </c>
    </row>
    <row r="15" spans="1:9" x14ac:dyDescent="0.2">
      <c r="A15" s="92">
        <v>9</v>
      </c>
      <c r="B15" s="93" t="s">
        <v>365</v>
      </c>
      <c r="C15" s="93" t="s">
        <v>366</v>
      </c>
      <c r="D15" s="93" t="s">
        <v>48</v>
      </c>
      <c r="E15" s="94">
        <v>47004</v>
      </c>
      <c r="F15" s="95">
        <v>133.91439600000001</v>
      </c>
      <c r="G15" s="96">
        <v>3.6624520000000001E-2</v>
      </c>
      <c r="H15" s="86" t="s">
        <v>142</v>
      </c>
    </row>
    <row r="16" spans="1:9" x14ac:dyDescent="0.2">
      <c r="A16" s="92">
        <v>10</v>
      </c>
      <c r="B16" s="93" t="s">
        <v>81</v>
      </c>
      <c r="C16" s="93" t="s">
        <v>82</v>
      </c>
      <c r="D16" s="93" t="s">
        <v>58</v>
      </c>
      <c r="E16" s="94">
        <v>16174</v>
      </c>
      <c r="F16" s="95">
        <v>127.87973100000001</v>
      </c>
      <c r="G16" s="96">
        <v>3.4974089999999999E-2</v>
      </c>
      <c r="H16" s="86" t="s">
        <v>142</v>
      </c>
    </row>
    <row r="17" spans="1:8" x14ac:dyDescent="0.2">
      <c r="A17" s="92">
        <v>11</v>
      </c>
      <c r="B17" s="93" t="s">
        <v>336</v>
      </c>
      <c r="C17" s="93" t="s">
        <v>337</v>
      </c>
      <c r="D17" s="93" t="s">
        <v>215</v>
      </c>
      <c r="E17" s="94">
        <v>1371</v>
      </c>
      <c r="F17" s="95">
        <v>126.728385</v>
      </c>
      <c r="G17" s="96">
        <v>3.4659210000000003E-2</v>
      </c>
      <c r="H17" s="86" t="s">
        <v>142</v>
      </c>
    </row>
    <row r="18" spans="1:8" x14ac:dyDescent="0.2">
      <c r="A18" s="92">
        <v>12</v>
      </c>
      <c r="B18" s="93" t="s">
        <v>69</v>
      </c>
      <c r="C18" s="93" t="s">
        <v>70</v>
      </c>
      <c r="D18" s="93" t="s">
        <v>58</v>
      </c>
      <c r="E18" s="94">
        <v>2722</v>
      </c>
      <c r="F18" s="95">
        <v>109.75104</v>
      </c>
      <c r="G18" s="96">
        <v>3.0016040000000001E-2</v>
      </c>
      <c r="H18" s="86" t="s">
        <v>142</v>
      </c>
    </row>
    <row r="19" spans="1:8" x14ac:dyDescent="0.2">
      <c r="A19" s="92">
        <v>13</v>
      </c>
      <c r="B19" s="93" t="s">
        <v>379</v>
      </c>
      <c r="C19" s="93" t="s">
        <v>380</v>
      </c>
      <c r="D19" s="93" t="s">
        <v>35</v>
      </c>
      <c r="E19" s="94">
        <v>187038</v>
      </c>
      <c r="F19" s="95">
        <v>106.5929562</v>
      </c>
      <c r="G19" s="96">
        <v>2.9152330000000001E-2</v>
      </c>
      <c r="H19" s="86" t="s">
        <v>142</v>
      </c>
    </row>
    <row r="20" spans="1:8" ht="25.5" x14ac:dyDescent="0.2">
      <c r="A20" s="92">
        <v>14</v>
      </c>
      <c r="B20" s="93" t="s">
        <v>369</v>
      </c>
      <c r="C20" s="93" t="s">
        <v>370</v>
      </c>
      <c r="D20" s="93" t="s">
        <v>225</v>
      </c>
      <c r="E20" s="94">
        <v>1708</v>
      </c>
      <c r="F20" s="95">
        <v>105.32382</v>
      </c>
      <c r="G20" s="96">
        <v>2.8805230000000001E-2</v>
      </c>
      <c r="H20" s="86" t="s">
        <v>142</v>
      </c>
    </row>
    <row r="21" spans="1:8" x14ac:dyDescent="0.2">
      <c r="A21" s="92">
        <v>15</v>
      </c>
      <c r="B21" s="93" t="s">
        <v>221</v>
      </c>
      <c r="C21" s="93" t="s">
        <v>222</v>
      </c>
      <c r="D21" s="93" t="s">
        <v>186</v>
      </c>
      <c r="E21" s="94">
        <v>692</v>
      </c>
      <c r="F21" s="95">
        <v>105.011</v>
      </c>
      <c r="G21" s="96">
        <v>2.8719669999999999E-2</v>
      </c>
      <c r="H21" s="86" t="s">
        <v>142</v>
      </c>
    </row>
    <row r="22" spans="1:8" x14ac:dyDescent="0.2">
      <c r="A22" s="92">
        <v>16</v>
      </c>
      <c r="B22" s="93" t="s">
        <v>371</v>
      </c>
      <c r="C22" s="93" t="s">
        <v>372</v>
      </c>
      <c r="D22" s="93" t="s">
        <v>204</v>
      </c>
      <c r="E22" s="94">
        <v>15581</v>
      </c>
      <c r="F22" s="95">
        <v>99.445732500000005</v>
      </c>
      <c r="G22" s="96">
        <v>2.7197619999999999E-2</v>
      </c>
      <c r="H22" s="86" t="s">
        <v>142</v>
      </c>
    </row>
    <row r="23" spans="1:8" ht="25.5" x14ac:dyDescent="0.2">
      <c r="A23" s="92">
        <v>17</v>
      </c>
      <c r="B23" s="93" t="s">
        <v>74</v>
      </c>
      <c r="C23" s="93" t="s">
        <v>75</v>
      </c>
      <c r="D23" s="93" t="s">
        <v>25</v>
      </c>
      <c r="E23" s="94">
        <v>1562</v>
      </c>
      <c r="F23" s="95">
        <v>97.06268</v>
      </c>
      <c r="G23" s="96">
        <v>2.6545869999999999E-2</v>
      </c>
      <c r="H23" s="86" t="s">
        <v>142</v>
      </c>
    </row>
    <row r="24" spans="1:8" x14ac:dyDescent="0.2">
      <c r="A24" s="92">
        <v>18</v>
      </c>
      <c r="B24" s="93" t="s">
        <v>384</v>
      </c>
      <c r="C24" s="93" t="s">
        <v>385</v>
      </c>
      <c r="D24" s="93" t="s">
        <v>186</v>
      </c>
      <c r="E24" s="94">
        <v>10638</v>
      </c>
      <c r="F24" s="95">
        <v>92.327202</v>
      </c>
      <c r="G24" s="96">
        <v>2.5250760000000001E-2</v>
      </c>
      <c r="H24" s="86" t="s">
        <v>142</v>
      </c>
    </row>
    <row r="25" spans="1:8" x14ac:dyDescent="0.2">
      <c r="A25" s="92">
        <v>19</v>
      </c>
      <c r="B25" s="93" t="s">
        <v>44</v>
      </c>
      <c r="C25" s="93" t="s">
        <v>45</v>
      </c>
      <c r="D25" s="93" t="s">
        <v>16</v>
      </c>
      <c r="E25" s="94">
        <v>7151</v>
      </c>
      <c r="F25" s="95">
        <v>89.845163999999997</v>
      </c>
      <c r="G25" s="96">
        <v>2.457194E-2</v>
      </c>
      <c r="H25" s="86" t="s">
        <v>142</v>
      </c>
    </row>
    <row r="26" spans="1:8" x14ac:dyDescent="0.2">
      <c r="A26" s="92">
        <v>20</v>
      </c>
      <c r="B26" s="93" t="s">
        <v>386</v>
      </c>
      <c r="C26" s="93" t="s">
        <v>387</v>
      </c>
      <c r="D26" s="93" t="s">
        <v>186</v>
      </c>
      <c r="E26" s="94">
        <v>4021</v>
      </c>
      <c r="F26" s="95">
        <v>76.905646000000004</v>
      </c>
      <c r="G26" s="96">
        <v>2.1033079999999999E-2</v>
      </c>
      <c r="H26" s="86" t="s">
        <v>142</v>
      </c>
    </row>
    <row r="27" spans="1:8" ht="25.5" x14ac:dyDescent="0.2">
      <c r="A27" s="92">
        <v>21</v>
      </c>
      <c r="B27" s="93" t="s">
        <v>388</v>
      </c>
      <c r="C27" s="93" t="s">
        <v>389</v>
      </c>
      <c r="D27" s="93" t="s">
        <v>390</v>
      </c>
      <c r="E27" s="94">
        <v>22746</v>
      </c>
      <c r="F27" s="95">
        <v>75.812417999999994</v>
      </c>
      <c r="G27" s="96">
        <v>2.073409E-2</v>
      </c>
      <c r="H27" s="86" t="s">
        <v>142</v>
      </c>
    </row>
    <row r="28" spans="1:8" x14ac:dyDescent="0.2">
      <c r="A28" s="92">
        <v>22</v>
      </c>
      <c r="B28" s="93" t="s">
        <v>301</v>
      </c>
      <c r="C28" s="93" t="s">
        <v>302</v>
      </c>
      <c r="D28" s="93" t="s">
        <v>58</v>
      </c>
      <c r="E28" s="94">
        <v>4465</v>
      </c>
      <c r="F28" s="95">
        <v>75.418315000000007</v>
      </c>
      <c r="G28" s="96">
        <v>2.0626309999999998E-2</v>
      </c>
      <c r="H28" s="86" t="s">
        <v>142</v>
      </c>
    </row>
    <row r="29" spans="1:8" x14ac:dyDescent="0.2">
      <c r="A29" s="92">
        <v>23</v>
      </c>
      <c r="B29" s="93" t="s">
        <v>381</v>
      </c>
      <c r="C29" s="93" t="s">
        <v>382</v>
      </c>
      <c r="D29" s="93" t="s">
        <v>383</v>
      </c>
      <c r="E29" s="94">
        <v>6011</v>
      </c>
      <c r="F29" s="95">
        <v>72.528726000000006</v>
      </c>
      <c r="G29" s="96">
        <v>1.9836030000000001E-2</v>
      </c>
      <c r="H29" s="86" t="s">
        <v>142</v>
      </c>
    </row>
    <row r="30" spans="1:8" x14ac:dyDescent="0.2">
      <c r="A30" s="92">
        <v>24</v>
      </c>
      <c r="B30" s="93" t="s">
        <v>71</v>
      </c>
      <c r="C30" s="93" t="s">
        <v>72</v>
      </c>
      <c r="D30" s="93" t="s">
        <v>73</v>
      </c>
      <c r="E30" s="94">
        <v>6875</v>
      </c>
      <c r="F30" s="95">
        <v>71.341875000000002</v>
      </c>
      <c r="G30" s="96">
        <v>1.9511440000000001E-2</v>
      </c>
      <c r="H30" s="86" t="s">
        <v>142</v>
      </c>
    </row>
    <row r="31" spans="1:8" x14ac:dyDescent="0.2">
      <c r="A31" s="92">
        <v>25</v>
      </c>
      <c r="B31" s="93" t="s">
        <v>79</v>
      </c>
      <c r="C31" s="93" t="s">
        <v>80</v>
      </c>
      <c r="D31" s="93" t="s">
        <v>58</v>
      </c>
      <c r="E31" s="94">
        <v>1446</v>
      </c>
      <c r="F31" s="95">
        <v>71.007276000000005</v>
      </c>
      <c r="G31" s="96">
        <v>1.9419929999999998E-2</v>
      </c>
      <c r="H31" s="86" t="s">
        <v>142</v>
      </c>
    </row>
    <row r="32" spans="1:8" x14ac:dyDescent="0.2">
      <c r="A32" s="92">
        <v>26</v>
      </c>
      <c r="B32" s="93" t="s">
        <v>403</v>
      </c>
      <c r="C32" s="93" t="s">
        <v>404</v>
      </c>
      <c r="D32" s="93" t="s">
        <v>204</v>
      </c>
      <c r="E32" s="94">
        <v>18242</v>
      </c>
      <c r="F32" s="95">
        <v>67.787272000000002</v>
      </c>
      <c r="G32" s="96">
        <v>1.8539280000000002E-2</v>
      </c>
      <c r="H32" s="86" t="s">
        <v>142</v>
      </c>
    </row>
    <row r="33" spans="1:8" x14ac:dyDescent="0.2">
      <c r="A33" s="92">
        <v>27</v>
      </c>
      <c r="B33" s="93" t="s">
        <v>391</v>
      </c>
      <c r="C33" s="93" t="s">
        <v>392</v>
      </c>
      <c r="D33" s="93" t="s">
        <v>58</v>
      </c>
      <c r="E33" s="94">
        <v>13623</v>
      </c>
      <c r="F33" s="95">
        <v>64.954464000000002</v>
      </c>
      <c r="G33" s="96">
        <v>1.7764530000000001E-2</v>
      </c>
      <c r="H33" s="86" t="s">
        <v>142</v>
      </c>
    </row>
    <row r="34" spans="1:8" x14ac:dyDescent="0.2">
      <c r="A34" s="92">
        <v>28</v>
      </c>
      <c r="B34" s="93" t="s">
        <v>399</v>
      </c>
      <c r="C34" s="93" t="s">
        <v>400</v>
      </c>
      <c r="D34" s="93" t="s">
        <v>218</v>
      </c>
      <c r="E34" s="94">
        <v>9165</v>
      </c>
      <c r="F34" s="95">
        <v>54.380527499999999</v>
      </c>
      <c r="G34" s="96">
        <v>1.4872639999999999E-2</v>
      </c>
      <c r="H34" s="86" t="s">
        <v>142</v>
      </c>
    </row>
    <row r="35" spans="1:8" x14ac:dyDescent="0.2">
      <c r="A35" s="92">
        <v>29</v>
      </c>
      <c r="B35" s="93" t="s">
        <v>395</v>
      </c>
      <c r="C35" s="93" t="s">
        <v>396</v>
      </c>
      <c r="D35" s="93" t="s">
        <v>257</v>
      </c>
      <c r="E35" s="94">
        <v>12245</v>
      </c>
      <c r="F35" s="95">
        <v>52.347375</v>
      </c>
      <c r="G35" s="96">
        <v>1.4316590000000001E-2</v>
      </c>
      <c r="H35" s="86" t="s">
        <v>142</v>
      </c>
    </row>
    <row r="36" spans="1:8" ht="25.5" x14ac:dyDescent="0.2">
      <c r="A36" s="92">
        <v>30</v>
      </c>
      <c r="B36" s="93" t="s">
        <v>401</v>
      </c>
      <c r="C36" s="93" t="s">
        <v>402</v>
      </c>
      <c r="D36" s="93" t="s">
        <v>225</v>
      </c>
      <c r="E36" s="94">
        <v>6109</v>
      </c>
      <c r="F36" s="95">
        <v>50.087691</v>
      </c>
      <c r="G36" s="96">
        <v>1.369859E-2</v>
      </c>
      <c r="H36" s="86" t="s">
        <v>142</v>
      </c>
    </row>
    <row r="37" spans="1:8" x14ac:dyDescent="0.2">
      <c r="A37" s="92">
        <v>31</v>
      </c>
      <c r="B37" s="93" t="s">
        <v>397</v>
      </c>
      <c r="C37" s="93" t="s">
        <v>398</v>
      </c>
      <c r="D37" s="93" t="s">
        <v>135</v>
      </c>
      <c r="E37" s="94">
        <v>25659</v>
      </c>
      <c r="F37" s="95">
        <v>46.9149156</v>
      </c>
      <c r="G37" s="96">
        <v>1.2830859999999999E-2</v>
      </c>
      <c r="H37" s="86" t="s">
        <v>142</v>
      </c>
    </row>
    <row r="38" spans="1:8" x14ac:dyDescent="0.2">
      <c r="A38" s="92">
        <v>32</v>
      </c>
      <c r="B38" s="93" t="s">
        <v>449</v>
      </c>
      <c r="C38" s="93" t="s">
        <v>450</v>
      </c>
      <c r="D38" s="93" t="s">
        <v>58</v>
      </c>
      <c r="E38" s="94">
        <v>9769</v>
      </c>
      <c r="F38" s="95">
        <v>46.871662000000001</v>
      </c>
      <c r="G38" s="96">
        <v>1.281903E-2</v>
      </c>
      <c r="H38" s="86" t="s">
        <v>142</v>
      </c>
    </row>
    <row r="39" spans="1:8" x14ac:dyDescent="0.2">
      <c r="A39" s="92">
        <v>33</v>
      </c>
      <c r="B39" s="93" t="s">
        <v>407</v>
      </c>
      <c r="C39" s="93" t="s">
        <v>408</v>
      </c>
      <c r="D39" s="93" t="s">
        <v>409</v>
      </c>
      <c r="E39" s="94">
        <v>3317</v>
      </c>
      <c r="F39" s="95">
        <v>40.474034000000003</v>
      </c>
      <c r="G39" s="96">
        <v>1.106933E-2</v>
      </c>
      <c r="H39" s="86" t="s">
        <v>142</v>
      </c>
    </row>
    <row r="40" spans="1:8" x14ac:dyDescent="0.2">
      <c r="A40" s="92">
        <v>34</v>
      </c>
      <c r="B40" s="93" t="s">
        <v>410</v>
      </c>
      <c r="C40" s="93" t="s">
        <v>411</v>
      </c>
      <c r="D40" s="93" t="s">
        <v>48</v>
      </c>
      <c r="E40" s="94">
        <v>3832</v>
      </c>
      <c r="F40" s="95">
        <v>28.925851999999999</v>
      </c>
      <c r="G40" s="96">
        <v>7.9109899999999997E-3</v>
      </c>
      <c r="H40" s="86" t="s">
        <v>142</v>
      </c>
    </row>
    <row r="41" spans="1:8" x14ac:dyDescent="0.2">
      <c r="A41" s="92">
        <v>35</v>
      </c>
      <c r="B41" s="93" t="s">
        <v>405</v>
      </c>
      <c r="C41" s="93" t="s">
        <v>406</v>
      </c>
      <c r="D41" s="93" t="s">
        <v>48</v>
      </c>
      <c r="E41" s="94">
        <v>3447</v>
      </c>
      <c r="F41" s="95">
        <v>26.005891500000001</v>
      </c>
      <c r="G41" s="96">
        <v>7.1124100000000004E-3</v>
      </c>
      <c r="H41" s="86" t="s">
        <v>142</v>
      </c>
    </row>
    <row r="42" spans="1:8" x14ac:dyDescent="0.2">
      <c r="A42" s="92">
        <v>36</v>
      </c>
      <c r="B42" s="93" t="s">
        <v>414</v>
      </c>
      <c r="C42" s="93" t="s">
        <v>415</v>
      </c>
      <c r="D42" s="93" t="s">
        <v>38</v>
      </c>
      <c r="E42" s="94">
        <v>4314</v>
      </c>
      <c r="F42" s="95">
        <v>13.194369</v>
      </c>
      <c r="G42" s="96">
        <v>3.6085599999999998E-3</v>
      </c>
      <c r="H42" s="86" t="s">
        <v>142</v>
      </c>
    </row>
    <row r="43" spans="1:8" x14ac:dyDescent="0.2">
      <c r="A43" s="97"/>
      <c r="B43" s="97"/>
      <c r="C43" s="98" t="s">
        <v>141</v>
      </c>
      <c r="D43" s="97"/>
      <c r="E43" s="97" t="s">
        <v>142</v>
      </c>
      <c r="F43" s="99">
        <v>3478.1298794999998</v>
      </c>
      <c r="G43" s="100">
        <v>0.95124092999999998</v>
      </c>
      <c r="H43" s="86" t="s">
        <v>142</v>
      </c>
    </row>
    <row r="44" spans="1:8" x14ac:dyDescent="0.2">
      <c r="A44" s="97"/>
      <c r="B44" s="97"/>
      <c r="C44" s="101"/>
      <c r="D44" s="97"/>
      <c r="E44" s="97"/>
      <c r="F44" s="102"/>
      <c r="G44" s="102"/>
      <c r="H44" s="86" t="s">
        <v>142</v>
      </c>
    </row>
    <row r="45" spans="1:8" x14ac:dyDescent="0.2">
      <c r="A45" s="97"/>
      <c r="B45" s="97"/>
      <c r="C45" s="98" t="s">
        <v>143</v>
      </c>
      <c r="D45" s="97"/>
      <c r="E45" s="97"/>
      <c r="F45" s="97"/>
      <c r="G45" s="97"/>
      <c r="H45" s="86" t="s">
        <v>142</v>
      </c>
    </row>
    <row r="46" spans="1:8" x14ac:dyDescent="0.2">
      <c r="A46" s="97"/>
      <c r="B46" s="97"/>
      <c r="C46" s="98" t="s">
        <v>141</v>
      </c>
      <c r="D46" s="97"/>
      <c r="E46" s="97" t="s">
        <v>142</v>
      </c>
      <c r="F46" s="103" t="s">
        <v>144</v>
      </c>
      <c r="G46" s="100">
        <v>0</v>
      </c>
      <c r="H46" s="86" t="s">
        <v>142</v>
      </c>
    </row>
    <row r="47" spans="1:8" x14ac:dyDescent="0.2">
      <c r="A47" s="97"/>
      <c r="B47" s="97"/>
      <c r="C47" s="101"/>
      <c r="D47" s="97"/>
      <c r="E47" s="97"/>
      <c r="F47" s="102"/>
      <c r="G47" s="102"/>
      <c r="H47" s="86" t="s">
        <v>142</v>
      </c>
    </row>
    <row r="48" spans="1:8" x14ac:dyDescent="0.2">
      <c r="A48" s="97"/>
      <c r="B48" s="97"/>
      <c r="C48" s="98" t="s">
        <v>145</v>
      </c>
      <c r="D48" s="97"/>
      <c r="E48" s="97"/>
      <c r="F48" s="97"/>
      <c r="G48" s="97"/>
      <c r="H48" s="86" t="s">
        <v>142</v>
      </c>
    </row>
    <row r="49" spans="1:8" x14ac:dyDescent="0.2">
      <c r="A49" s="97"/>
      <c r="B49" s="97"/>
      <c r="C49" s="98" t="s">
        <v>141</v>
      </c>
      <c r="D49" s="97"/>
      <c r="E49" s="97" t="s">
        <v>142</v>
      </c>
      <c r="F49" s="103" t="s">
        <v>144</v>
      </c>
      <c r="G49" s="100">
        <v>0</v>
      </c>
      <c r="H49" s="86" t="s">
        <v>142</v>
      </c>
    </row>
    <row r="50" spans="1:8" x14ac:dyDescent="0.2">
      <c r="A50" s="97"/>
      <c r="B50" s="97"/>
      <c r="C50" s="101"/>
      <c r="D50" s="97"/>
      <c r="E50" s="97"/>
      <c r="F50" s="102"/>
      <c r="G50" s="102"/>
      <c r="H50" s="86" t="s">
        <v>142</v>
      </c>
    </row>
    <row r="51" spans="1:8" x14ac:dyDescent="0.2">
      <c r="A51" s="97"/>
      <c r="B51" s="97"/>
      <c r="C51" s="98" t="s">
        <v>146</v>
      </c>
      <c r="D51" s="97"/>
      <c r="E51" s="97"/>
      <c r="F51" s="97"/>
      <c r="G51" s="97"/>
      <c r="H51" s="86" t="s">
        <v>142</v>
      </c>
    </row>
    <row r="52" spans="1:8" x14ac:dyDescent="0.2">
      <c r="A52" s="97"/>
      <c r="B52" s="97"/>
      <c r="C52" s="98" t="s">
        <v>141</v>
      </c>
      <c r="D52" s="97"/>
      <c r="E52" s="97" t="s">
        <v>142</v>
      </c>
      <c r="F52" s="103" t="s">
        <v>144</v>
      </c>
      <c r="G52" s="100">
        <v>0</v>
      </c>
      <c r="H52" s="86" t="s">
        <v>142</v>
      </c>
    </row>
    <row r="53" spans="1:8" x14ac:dyDescent="0.2">
      <c r="A53" s="97"/>
      <c r="B53" s="97"/>
      <c r="C53" s="101"/>
      <c r="D53" s="97"/>
      <c r="E53" s="97"/>
      <c r="F53" s="102"/>
      <c r="G53" s="102"/>
      <c r="H53" s="86" t="s">
        <v>142</v>
      </c>
    </row>
    <row r="54" spans="1:8" x14ac:dyDescent="0.2">
      <c r="A54" s="97"/>
      <c r="B54" s="97"/>
      <c r="C54" s="98" t="s">
        <v>147</v>
      </c>
      <c r="D54" s="97"/>
      <c r="E54" s="97"/>
      <c r="F54" s="102"/>
      <c r="G54" s="102"/>
      <c r="H54" s="86" t="s">
        <v>142</v>
      </c>
    </row>
    <row r="55" spans="1:8" x14ac:dyDescent="0.2">
      <c r="A55" s="97"/>
      <c r="B55" s="97"/>
      <c r="C55" s="98" t="s">
        <v>141</v>
      </c>
      <c r="D55" s="97"/>
      <c r="E55" s="97" t="s">
        <v>142</v>
      </c>
      <c r="F55" s="103" t="s">
        <v>144</v>
      </c>
      <c r="G55" s="100">
        <v>0</v>
      </c>
      <c r="H55" s="86" t="s">
        <v>142</v>
      </c>
    </row>
    <row r="56" spans="1:8" x14ac:dyDescent="0.2">
      <c r="A56" s="97"/>
      <c r="B56" s="97"/>
      <c r="C56" s="101"/>
      <c r="D56" s="97"/>
      <c r="E56" s="97"/>
      <c r="F56" s="102"/>
      <c r="G56" s="102"/>
      <c r="H56" s="86" t="s">
        <v>142</v>
      </c>
    </row>
    <row r="57" spans="1:8" x14ac:dyDescent="0.2">
      <c r="A57" s="97"/>
      <c r="B57" s="97"/>
      <c r="C57" s="98" t="s">
        <v>148</v>
      </c>
      <c r="D57" s="97"/>
      <c r="E57" s="97"/>
      <c r="F57" s="102"/>
      <c r="G57" s="102"/>
      <c r="H57" s="86" t="s">
        <v>142</v>
      </c>
    </row>
    <row r="58" spans="1:8" x14ac:dyDescent="0.2">
      <c r="A58" s="97"/>
      <c r="B58" s="97"/>
      <c r="C58" s="98" t="s">
        <v>141</v>
      </c>
      <c r="D58" s="97"/>
      <c r="E58" s="97" t="s">
        <v>142</v>
      </c>
      <c r="F58" s="103" t="s">
        <v>144</v>
      </c>
      <c r="G58" s="100">
        <v>0</v>
      </c>
      <c r="H58" s="86" t="s">
        <v>142</v>
      </c>
    </row>
    <row r="59" spans="1:8" x14ac:dyDescent="0.2">
      <c r="A59" s="97"/>
      <c r="B59" s="97"/>
      <c r="C59" s="101"/>
      <c r="D59" s="97"/>
      <c r="E59" s="97"/>
      <c r="F59" s="102"/>
      <c r="G59" s="102"/>
      <c r="H59" s="86" t="s">
        <v>142</v>
      </c>
    </row>
    <row r="60" spans="1:8" x14ac:dyDescent="0.2">
      <c r="A60" s="97"/>
      <c r="B60" s="97"/>
      <c r="C60" s="98" t="s">
        <v>149</v>
      </c>
      <c r="D60" s="97"/>
      <c r="E60" s="97"/>
      <c r="F60" s="99">
        <v>3478.1298794999998</v>
      </c>
      <c r="G60" s="100">
        <v>0.95124092999999998</v>
      </c>
      <c r="H60" s="86" t="s">
        <v>142</v>
      </c>
    </row>
    <row r="61" spans="1:8" x14ac:dyDescent="0.2">
      <c r="A61" s="97"/>
      <c r="B61" s="97"/>
      <c r="C61" s="101"/>
      <c r="D61" s="97"/>
      <c r="E61" s="97"/>
      <c r="F61" s="102"/>
      <c r="G61" s="102"/>
      <c r="H61" s="86" t="s">
        <v>142</v>
      </c>
    </row>
    <row r="62" spans="1:8" x14ac:dyDescent="0.2">
      <c r="A62" s="97"/>
      <c r="B62" s="97"/>
      <c r="C62" s="98" t="s">
        <v>150</v>
      </c>
      <c r="D62" s="97"/>
      <c r="E62" s="97"/>
      <c r="F62" s="102"/>
      <c r="G62" s="102"/>
      <c r="H62" s="86" t="s">
        <v>142</v>
      </c>
    </row>
    <row r="63" spans="1:8" x14ac:dyDescent="0.2">
      <c r="A63" s="97"/>
      <c r="B63" s="97"/>
      <c r="C63" s="98" t="s">
        <v>10</v>
      </c>
      <c r="D63" s="97"/>
      <c r="E63" s="97"/>
      <c r="F63" s="102"/>
      <c r="G63" s="102"/>
      <c r="H63" s="86" t="s">
        <v>142</v>
      </c>
    </row>
    <row r="64" spans="1:8" x14ac:dyDescent="0.2">
      <c r="A64" s="97"/>
      <c r="B64" s="97"/>
      <c r="C64" s="98" t="s">
        <v>141</v>
      </c>
      <c r="D64" s="97"/>
      <c r="E64" s="97" t="s">
        <v>142</v>
      </c>
      <c r="F64" s="103" t="s">
        <v>144</v>
      </c>
      <c r="G64" s="100">
        <v>0</v>
      </c>
      <c r="H64" s="86" t="s">
        <v>142</v>
      </c>
    </row>
    <row r="65" spans="1:8" x14ac:dyDescent="0.2">
      <c r="A65" s="97"/>
      <c r="B65" s="97"/>
      <c r="C65" s="101"/>
      <c r="D65" s="97"/>
      <c r="E65" s="97"/>
      <c r="F65" s="102"/>
      <c r="G65" s="102"/>
      <c r="H65" s="86" t="s">
        <v>142</v>
      </c>
    </row>
    <row r="66" spans="1:8" x14ac:dyDescent="0.2">
      <c r="A66" s="97"/>
      <c r="B66" s="97"/>
      <c r="C66" s="98" t="s">
        <v>151</v>
      </c>
      <c r="D66" s="97"/>
      <c r="E66" s="97"/>
      <c r="F66" s="97"/>
      <c r="G66" s="97"/>
      <c r="H66" s="86" t="s">
        <v>142</v>
      </c>
    </row>
    <row r="67" spans="1:8" x14ac:dyDescent="0.2">
      <c r="A67" s="97"/>
      <c r="B67" s="97"/>
      <c r="C67" s="98" t="s">
        <v>141</v>
      </c>
      <c r="D67" s="97"/>
      <c r="E67" s="97" t="s">
        <v>142</v>
      </c>
      <c r="F67" s="103" t="s">
        <v>144</v>
      </c>
      <c r="G67" s="100">
        <v>0</v>
      </c>
      <c r="H67" s="86" t="s">
        <v>142</v>
      </c>
    </row>
    <row r="68" spans="1:8" x14ac:dyDescent="0.2">
      <c r="A68" s="97"/>
      <c r="B68" s="97"/>
      <c r="C68" s="101"/>
      <c r="D68" s="97"/>
      <c r="E68" s="97"/>
      <c r="F68" s="102"/>
      <c r="G68" s="102"/>
      <c r="H68" s="86" t="s">
        <v>142</v>
      </c>
    </row>
    <row r="69" spans="1:8" x14ac:dyDescent="0.2">
      <c r="A69" s="97"/>
      <c r="B69" s="97"/>
      <c r="C69" s="98" t="s">
        <v>152</v>
      </c>
      <c r="D69" s="97"/>
      <c r="E69" s="97"/>
      <c r="F69" s="97"/>
      <c r="G69" s="97"/>
      <c r="H69" s="86" t="s">
        <v>142</v>
      </c>
    </row>
    <row r="70" spans="1:8" x14ac:dyDescent="0.2">
      <c r="A70" s="97"/>
      <c r="B70" s="97"/>
      <c r="C70" s="98" t="s">
        <v>141</v>
      </c>
      <c r="D70" s="97"/>
      <c r="E70" s="97" t="s">
        <v>142</v>
      </c>
      <c r="F70" s="103" t="s">
        <v>144</v>
      </c>
      <c r="G70" s="100">
        <v>0</v>
      </c>
      <c r="H70" s="86" t="s">
        <v>142</v>
      </c>
    </row>
    <row r="71" spans="1:8" x14ac:dyDescent="0.2">
      <c r="A71" s="97"/>
      <c r="B71" s="97"/>
      <c r="C71" s="101"/>
      <c r="D71" s="97"/>
      <c r="E71" s="97"/>
      <c r="F71" s="102"/>
      <c r="G71" s="102"/>
      <c r="H71" s="86" t="s">
        <v>142</v>
      </c>
    </row>
    <row r="72" spans="1:8" x14ac:dyDescent="0.2">
      <c r="A72" s="97"/>
      <c r="B72" s="97"/>
      <c r="C72" s="98" t="s">
        <v>153</v>
      </c>
      <c r="D72" s="97"/>
      <c r="E72" s="97"/>
      <c r="F72" s="102"/>
      <c r="G72" s="102"/>
      <c r="H72" s="86" t="s">
        <v>142</v>
      </c>
    </row>
    <row r="73" spans="1:8" x14ac:dyDescent="0.2">
      <c r="A73" s="97"/>
      <c r="B73" s="97"/>
      <c r="C73" s="98" t="s">
        <v>141</v>
      </c>
      <c r="D73" s="97"/>
      <c r="E73" s="97" t="s">
        <v>142</v>
      </c>
      <c r="F73" s="103" t="s">
        <v>144</v>
      </c>
      <c r="G73" s="100">
        <v>0</v>
      </c>
      <c r="H73" s="86" t="s">
        <v>142</v>
      </c>
    </row>
    <row r="74" spans="1:8" x14ac:dyDescent="0.2">
      <c r="A74" s="97"/>
      <c r="B74" s="97"/>
      <c r="C74" s="101"/>
      <c r="D74" s="97"/>
      <c r="E74" s="97"/>
      <c r="F74" s="102"/>
      <c r="G74" s="102"/>
      <c r="H74" s="86" t="s">
        <v>142</v>
      </c>
    </row>
    <row r="75" spans="1:8" x14ac:dyDescent="0.2">
      <c r="A75" s="97"/>
      <c r="B75" s="97"/>
      <c r="C75" s="98" t="s">
        <v>154</v>
      </c>
      <c r="D75" s="97"/>
      <c r="E75" s="97"/>
      <c r="F75" s="99">
        <v>0</v>
      </c>
      <c r="G75" s="100">
        <v>0</v>
      </c>
      <c r="H75" s="86" t="s">
        <v>142</v>
      </c>
    </row>
    <row r="76" spans="1:8" x14ac:dyDescent="0.2">
      <c r="A76" s="97"/>
      <c r="B76" s="97"/>
      <c r="C76" s="101"/>
      <c r="D76" s="97"/>
      <c r="E76" s="97"/>
      <c r="F76" s="102"/>
      <c r="G76" s="102"/>
      <c r="H76" s="86" t="s">
        <v>142</v>
      </c>
    </row>
    <row r="77" spans="1:8" x14ac:dyDescent="0.2">
      <c r="A77" s="97"/>
      <c r="B77" s="97"/>
      <c r="C77" s="98" t="s">
        <v>155</v>
      </c>
      <c r="D77" s="97"/>
      <c r="E77" s="97"/>
      <c r="F77" s="102"/>
      <c r="G77" s="102"/>
      <c r="H77" s="86" t="s">
        <v>142</v>
      </c>
    </row>
    <row r="78" spans="1:8" x14ac:dyDescent="0.2">
      <c r="A78" s="97"/>
      <c r="B78" s="97"/>
      <c r="C78" s="98" t="s">
        <v>156</v>
      </c>
      <c r="D78" s="97"/>
      <c r="E78" s="97"/>
      <c r="F78" s="102"/>
      <c r="G78" s="102"/>
      <c r="H78" s="86" t="s">
        <v>142</v>
      </c>
    </row>
    <row r="79" spans="1:8" x14ac:dyDescent="0.2">
      <c r="A79" s="97"/>
      <c r="B79" s="97"/>
      <c r="C79" s="98" t="s">
        <v>141</v>
      </c>
      <c r="D79" s="97"/>
      <c r="E79" s="97" t="s">
        <v>142</v>
      </c>
      <c r="F79" s="103" t="s">
        <v>144</v>
      </c>
      <c r="G79" s="100">
        <v>0</v>
      </c>
      <c r="H79" s="86" t="s">
        <v>142</v>
      </c>
    </row>
    <row r="80" spans="1:8" x14ac:dyDescent="0.2">
      <c r="A80" s="97"/>
      <c r="B80" s="97"/>
      <c r="C80" s="101"/>
      <c r="D80" s="97"/>
      <c r="E80" s="97"/>
      <c r="F80" s="102"/>
      <c r="G80" s="102"/>
      <c r="H80" s="86" t="s">
        <v>142</v>
      </c>
    </row>
    <row r="81" spans="1:8" x14ac:dyDescent="0.2">
      <c r="A81" s="97"/>
      <c r="B81" s="97"/>
      <c r="C81" s="98" t="s">
        <v>157</v>
      </c>
      <c r="D81" s="97"/>
      <c r="E81" s="97"/>
      <c r="F81" s="102"/>
      <c r="G81" s="102"/>
      <c r="H81" s="86" t="s">
        <v>142</v>
      </c>
    </row>
    <row r="82" spans="1:8" x14ac:dyDescent="0.2">
      <c r="A82" s="97"/>
      <c r="B82" s="97"/>
      <c r="C82" s="98" t="s">
        <v>141</v>
      </c>
      <c r="D82" s="97"/>
      <c r="E82" s="97" t="s">
        <v>142</v>
      </c>
      <c r="F82" s="103" t="s">
        <v>144</v>
      </c>
      <c r="G82" s="100">
        <v>0</v>
      </c>
      <c r="H82" s="86" t="s">
        <v>142</v>
      </c>
    </row>
    <row r="83" spans="1:8" x14ac:dyDescent="0.2">
      <c r="A83" s="97"/>
      <c r="B83" s="97"/>
      <c r="C83" s="101"/>
      <c r="D83" s="97"/>
      <c r="E83" s="97"/>
      <c r="F83" s="102"/>
      <c r="G83" s="102"/>
      <c r="H83" s="86" t="s">
        <v>142</v>
      </c>
    </row>
    <row r="84" spans="1:8" x14ac:dyDescent="0.2">
      <c r="A84" s="97"/>
      <c r="B84" s="97"/>
      <c r="C84" s="98" t="s">
        <v>158</v>
      </c>
      <c r="D84" s="97"/>
      <c r="E84" s="97"/>
      <c r="F84" s="102"/>
      <c r="G84" s="102"/>
      <c r="H84" s="86" t="s">
        <v>142</v>
      </c>
    </row>
    <row r="85" spans="1:8" x14ac:dyDescent="0.2">
      <c r="A85" s="97"/>
      <c r="B85" s="97"/>
      <c r="C85" s="98" t="s">
        <v>141</v>
      </c>
      <c r="D85" s="97"/>
      <c r="E85" s="97" t="s">
        <v>142</v>
      </c>
      <c r="F85" s="103" t="s">
        <v>144</v>
      </c>
      <c r="G85" s="100">
        <v>0</v>
      </c>
      <c r="H85" s="86" t="s">
        <v>142</v>
      </c>
    </row>
    <row r="86" spans="1:8" x14ac:dyDescent="0.2">
      <c r="A86" s="97"/>
      <c r="B86" s="97"/>
      <c r="C86" s="101"/>
      <c r="D86" s="97"/>
      <c r="E86" s="97"/>
      <c r="F86" s="102"/>
      <c r="G86" s="102"/>
      <c r="H86" s="86" t="s">
        <v>142</v>
      </c>
    </row>
    <row r="87" spans="1:8" x14ac:dyDescent="0.2">
      <c r="A87" s="97"/>
      <c r="B87" s="97"/>
      <c r="C87" s="98" t="s">
        <v>159</v>
      </c>
      <c r="D87" s="97"/>
      <c r="E87" s="97"/>
      <c r="F87" s="102"/>
      <c r="G87" s="102"/>
      <c r="H87" s="86" t="s">
        <v>142</v>
      </c>
    </row>
    <row r="88" spans="1:8" x14ac:dyDescent="0.2">
      <c r="A88" s="92">
        <v>1</v>
      </c>
      <c r="B88" s="93"/>
      <c r="C88" s="93" t="s">
        <v>160</v>
      </c>
      <c r="D88" s="93"/>
      <c r="E88" s="104"/>
      <c r="F88" s="95">
        <v>182.31497130100001</v>
      </c>
      <c r="G88" s="96">
        <v>4.9861700000000002E-2</v>
      </c>
      <c r="H88" s="86">
        <v>5.57</v>
      </c>
    </row>
    <row r="89" spans="1:8" x14ac:dyDescent="0.2">
      <c r="A89" s="97"/>
      <c r="B89" s="97"/>
      <c r="C89" s="98" t="s">
        <v>141</v>
      </c>
      <c r="D89" s="97"/>
      <c r="E89" s="97" t="s">
        <v>142</v>
      </c>
      <c r="F89" s="99">
        <v>182.31497130100001</v>
      </c>
      <c r="G89" s="100">
        <v>4.9861700000000002E-2</v>
      </c>
      <c r="H89" s="86" t="s">
        <v>142</v>
      </c>
    </row>
    <row r="90" spans="1:8" x14ac:dyDescent="0.2">
      <c r="A90" s="97"/>
      <c r="B90" s="97"/>
      <c r="C90" s="101"/>
      <c r="D90" s="97"/>
      <c r="E90" s="97"/>
      <c r="F90" s="102"/>
      <c r="G90" s="102"/>
      <c r="H90" s="86" t="s">
        <v>142</v>
      </c>
    </row>
    <row r="91" spans="1:8" x14ac:dyDescent="0.2">
      <c r="A91" s="97"/>
      <c r="B91" s="97"/>
      <c r="C91" s="98" t="s">
        <v>161</v>
      </c>
      <c r="D91" s="97"/>
      <c r="E91" s="97"/>
      <c r="F91" s="99">
        <v>182.31497130100001</v>
      </c>
      <c r="G91" s="100">
        <v>4.9861700000000002E-2</v>
      </c>
      <c r="H91" s="86" t="s">
        <v>142</v>
      </c>
    </row>
    <row r="92" spans="1:8" x14ac:dyDescent="0.2">
      <c r="A92" s="97"/>
      <c r="B92" s="97"/>
      <c r="C92" s="102"/>
      <c r="D92" s="97"/>
      <c r="E92" s="97"/>
      <c r="F92" s="97"/>
      <c r="G92" s="97"/>
      <c r="H92" s="86" t="s">
        <v>142</v>
      </c>
    </row>
    <row r="93" spans="1:8" x14ac:dyDescent="0.2">
      <c r="A93" s="97"/>
      <c r="B93" s="97"/>
      <c r="C93" s="98" t="s">
        <v>162</v>
      </c>
      <c r="D93" s="97"/>
      <c r="E93" s="97"/>
      <c r="F93" s="97"/>
      <c r="G93" s="97"/>
      <c r="H93" s="86" t="s">
        <v>142</v>
      </c>
    </row>
    <row r="94" spans="1:8" x14ac:dyDescent="0.2">
      <c r="A94" s="97"/>
      <c r="B94" s="97"/>
      <c r="C94" s="98" t="s">
        <v>163</v>
      </c>
      <c r="D94" s="97"/>
      <c r="E94" s="97"/>
      <c r="F94" s="97"/>
      <c r="G94" s="97"/>
      <c r="H94" s="86" t="s">
        <v>142</v>
      </c>
    </row>
    <row r="95" spans="1:8" x14ac:dyDescent="0.2">
      <c r="A95" s="97"/>
      <c r="B95" s="97"/>
      <c r="C95" s="98" t="s">
        <v>141</v>
      </c>
      <c r="D95" s="97"/>
      <c r="E95" s="97" t="s">
        <v>142</v>
      </c>
      <c r="F95" s="103" t="s">
        <v>144</v>
      </c>
      <c r="G95" s="100">
        <v>0</v>
      </c>
      <c r="H95" s="86" t="s">
        <v>142</v>
      </c>
    </row>
    <row r="96" spans="1:8" x14ac:dyDescent="0.2">
      <c r="A96" s="97"/>
      <c r="B96" s="97"/>
      <c r="C96" s="101"/>
      <c r="D96" s="97"/>
      <c r="E96" s="97"/>
      <c r="F96" s="102"/>
      <c r="G96" s="102"/>
      <c r="H96" s="86" t="s">
        <v>142</v>
      </c>
    </row>
    <row r="97" spans="1:17" x14ac:dyDescent="0.2">
      <c r="A97" s="97"/>
      <c r="B97" s="97"/>
      <c r="C97" s="98" t="s">
        <v>164</v>
      </c>
      <c r="D97" s="97"/>
      <c r="E97" s="97"/>
      <c r="F97" s="97"/>
      <c r="G97" s="97"/>
      <c r="H97" s="86" t="s">
        <v>142</v>
      </c>
    </row>
    <row r="98" spans="1:17" x14ac:dyDescent="0.2">
      <c r="A98" s="97"/>
      <c r="B98" s="97"/>
      <c r="C98" s="98" t="s">
        <v>165</v>
      </c>
      <c r="D98" s="97"/>
      <c r="E98" s="97"/>
      <c r="F98" s="97"/>
      <c r="G98" s="97"/>
      <c r="H98" s="86" t="s">
        <v>142</v>
      </c>
    </row>
    <row r="99" spans="1:17" x14ac:dyDescent="0.2">
      <c r="A99" s="97"/>
      <c r="B99" s="97"/>
      <c r="C99" s="98" t="s">
        <v>141</v>
      </c>
      <c r="D99" s="97"/>
      <c r="E99" s="97" t="s">
        <v>142</v>
      </c>
      <c r="F99" s="103" t="s">
        <v>144</v>
      </c>
      <c r="G99" s="100">
        <v>0</v>
      </c>
      <c r="H99" s="86" t="s">
        <v>142</v>
      </c>
    </row>
    <row r="100" spans="1:17" x14ac:dyDescent="0.2">
      <c r="A100" s="97"/>
      <c r="B100" s="97"/>
      <c r="C100" s="101"/>
      <c r="D100" s="97"/>
      <c r="E100" s="97"/>
      <c r="F100" s="102"/>
      <c r="G100" s="102"/>
      <c r="H100" s="86" t="s">
        <v>142</v>
      </c>
    </row>
    <row r="101" spans="1:17" x14ac:dyDescent="0.2">
      <c r="A101" s="97"/>
      <c r="B101" s="97"/>
      <c r="C101" s="98" t="s">
        <v>166</v>
      </c>
      <c r="D101" s="97"/>
      <c r="E101" s="97"/>
      <c r="F101" s="102"/>
      <c r="G101" s="102"/>
      <c r="H101" s="86" t="s">
        <v>142</v>
      </c>
    </row>
    <row r="102" spans="1:17" x14ac:dyDescent="0.2">
      <c r="A102" s="97"/>
      <c r="B102" s="97"/>
      <c r="C102" s="98" t="s">
        <v>141</v>
      </c>
      <c r="D102" s="97"/>
      <c r="E102" s="97" t="s">
        <v>142</v>
      </c>
      <c r="F102" s="103" t="s">
        <v>144</v>
      </c>
      <c r="G102" s="100">
        <v>0</v>
      </c>
      <c r="H102" s="86" t="s">
        <v>142</v>
      </c>
    </row>
    <row r="103" spans="1:17" x14ac:dyDescent="0.2">
      <c r="A103" s="97"/>
      <c r="B103" s="97"/>
      <c r="C103" s="101"/>
      <c r="D103" s="97"/>
      <c r="E103" s="97"/>
      <c r="F103" s="102"/>
      <c r="G103" s="102"/>
      <c r="H103" s="86" t="s">
        <v>142</v>
      </c>
    </row>
    <row r="104" spans="1:17" x14ac:dyDescent="0.2">
      <c r="A104" s="104"/>
      <c r="B104" s="93"/>
      <c r="C104" s="93" t="s">
        <v>167</v>
      </c>
      <c r="D104" s="93"/>
      <c r="E104" s="104"/>
      <c r="F104" s="95">
        <v>-4.0315362500000003</v>
      </c>
      <c r="G104" s="96">
        <v>-1.1025900000000001E-3</v>
      </c>
      <c r="H104" s="86" t="s">
        <v>142</v>
      </c>
    </row>
    <row r="105" spans="1:17" x14ac:dyDescent="0.2">
      <c r="A105" s="101"/>
      <c r="B105" s="101"/>
      <c r="C105" s="98" t="s">
        <v>168</v>
      </c>
      <c r="D105" s="102"/>
      <c r="E105" s="102"/>
      <c r="F105" s="99">
        <v>3656.413314551</v>
      </c>
      <c r="G105" s="105">
        <v>1.00000004</v>
      </c>
      <c r="H105" s="86" t="s">
        <v>142</v>
      </c>
    </row>
    <row r="106" spans="1:17" ht="12.75" customHeight="1" x14ac:dyDescent="0.2">
      <c r="A106" s="106"/>
      <c r="B106" s="106"/>
      <c r="C106" s="107"/>
      <c r="D106" s="108"/>
      <c r="E106" s="108"/>
      <c r="F106" s="109"/>
      <c r="G106" s="110"/>
      <c r="H106" s="111"/>
    </row>
    <row r="107" spans="1:17" x14ac:dyDescent="0.2">
      <c r="A107" s="106"/>
      <c r="B107" s="200" t="s">
        <v>918</v>
      </c>
      <c r="C107" s="200"/>
      <c r="D107" s="200"/>
      <c r="E107" s="200"/>
      <c r="F107" s="200"/>
      <c r="G107" s="200"/>
      <c r="H107" s="200"/>
      <c r="J107" s="113"/>
    </row>
    <row r="108" spans="1:17" x14ac:dyDescent="0.2">
      <c r="A108" s="106"/>
      <c r="B108" s="200" t="s">
        <v>919</v>
      </c>
      <c r="C108" s="200"/>
      <c r="D108" s="200"/>
      <c r="E108" s="200"/>
      <c r="F108" s="200"/>
      <c r="G108" s="200"/>
      <c r="H108" s="200"/>
      <c r="J108" s="113"/>
    </row>
    <row r="109" spans="1:17" x14ac:dyDescent="0.2">
      <c r="A109" s="106"/>
      <c r="B109" s="200" t="s">
        <v>920</v>
      </c>
      <c r="C109" s="200"/>
      <c r="D109" s="200"/>
      <c r="E109" s="200"/>
      <c r="F109" s="200"/>
      <c r="G109" s="200"/>
      <c r="H109" s="200"/>
      <c r="J109" s="113"/>
    </row>
    <row r="110" spans="1:17" s="115" customFormat="1" ht="66.75" customHeight="1" x14ac:dyDescent="0.25">
      <c r="A110" s="114"/>
      <c r="B110" s="201" t="s">
        <v>921</v>
      </c>
      <c r="C110" s="201"/>
      <c r="D110" s="201"/>
      <c r="E110" s="201"/>
      <c r="F110" s="201"/>
      <c r="G110" s="201"/>
      <c r="H110" s="201"/>
      <c r="I110"/>
      <c r="J110" s="113"/>
      <c r="K110"/>
      <c r="L110"/>
      <c r="M110"/>
      <c r="N110"/>
      <c r="O110"/>
      <c r="P110"/>
      <c r="Q110"/>
    </row>
    <row r="111" spans="1:17" x14ac:dyDescent="0.2">
      <c r="A111" s="106"/>
      <c r="B111" s="200" t="s">
        <v>922</v>
      </c>
      <c r="C111" s="200"/>
      <c r="D111" s="200"/>
      <c r="E111" s="200"/>
      <c r="F111" s="200"/>
      <c r="G111" s="200"/>
      <c r="H111" s="200"/>
      <c r="J111" s="113"/>
    </row>
    <row r="112" spans="1:17" x14ac:dyDescent="0.2">
      <c r="A112" s="106"/>
      <c r="B112" s="106"/>
      <c r="C112" s="106"/>
      <c r="D112" s="108"/>
      <c r="E112" s="108"/>
      <c r="F112" s="108"/>
      <c r="G112" s="108"/>
    </row>
    <row r="113" spans="1:10" x14ac:dyDescent="0.2">
      <c r="A113" s="106"/>
      <c r="B113" s="202" t="s">
        <v>169</v>
      </c>
      <c r="C113" s="203"/>
      <c r="D113" s="204"/>
      <c r="E113" s="116"/>
      <c r="F113" s="108"/>
      <c r="G113" s="108"/>
    </row>
    <row r="114" spans="1:10" ht="27.75" customHeight="1" x14ac:dyDescent="0.2">
      <c r="A114" s="106"/>
      <c r="B114" s="205" t="s">
        <v>170</v>
      </c>
      <c r="C114" s="206"/>
      <c r="D114" s="85" t="s">
        <v>171</v>
      </c>
      <c r="E114" s="116"/>
      <c r="F114" s="108"/>
      <c r="G114" s="108"/>
    </row>
    <row r="115" spans="1:10" ht="12.75" customHeight="1" x14ac:dyDescent="0.2">
      <c r="A115" s="106"/>
      <c r="B115" s="205" t="s">
        <v>923</v>
      </c>
      <c r="C115" s="206"/>
      <c r="D115" s="85" t="s">
        <v>171</v>
      </c>
      <c r="E115" s="116"/>
      <c r="F115" s="108"/>
      <c r="G115" s="108"/>
    </row>
    <row r="116" spans="1:10" x14ac:dyDescent="0.2">
      <c r="A116" s="106"/>
      <c r="B116" s="205" t="s">
        <v>172</v>
      </c>
      <c r="C116" s="206"/>
      <c r="D116" s="117" t="s">
        <v>142</v>
      </c>
      <c r="E116" s="116"/>
      <c r="F116" s="108"/>
      <c r="G116" s="108"/>
    </row>
    <row r="117" spans="1:10" x14ac:dyDescent="0.2">
      <c r="A117" s="118"/>
      <c r="B117" s="119" t="s">
        <v>142</v>
      </c>
      <c r="C117" s="119" t="s">
        <v>924</v>
      </c>
      <c r="D117" s="119" t="s">
        <v>173</v>
      </c>
      <c r="E117" s="118"/>
      <c r="F117" s="118"/>
      <c r="G117" s="118"/>
      <c r="H117" s="118"/>
      <c r="J117" s="113"/>
    </row>
    <row r="118" spans="1:10" x14ac:dyDescent="0.2">
      <c r="A118" s="118"/>
      <c r="B118" s="120" t="s">
        <v>174</v>
      </c>
      <c r="C118" s="121">
        <v>45930</v>
      </c>
      <c r="D118" s="121">
        <v>45961</v>
      </c>
      <c r="E118" s="118"/>
      <c r="F118" s="118"/>
      <c r="G118" s="118"/>
      <c r="J118" s="113"/>
    </row>
    <row r="119" spans="1:10" x14ac:dyDescent="0.2">
      <c r="A119" s="122"/>
      <c r="B119" s="93" t="s">
        <v>175</v>
      </c>
      <c r="C119" s="123">
        <v>28.935099999999998</v>
      </c>
      <c r="D119" s="123">
        <v>30.255400000000002</v>
      </c>
      <c r="E119" s="122"/>
      <c r="F119" s="124"/>
      <c r="G119" s="125"/>
    </row>
    <row r="120" spans="1:10" x14ac:dyDescent="0.2">
      <c r="A120" s="122"/>
      <c r="B120" s="93" t="s">
        <v>1101</v>
      </c>
      <c r="C120" s="123">
        <v>27.540299999999998</v>
      </c>
      <c r="D120" s="123">
        <v>28.796900000000001</v>
      </c>
      <c r="E120" s="122"/>
      <c r="F120" s="124"/>
      <c r="G120" s="125"/>
    </row>
    <row r="121" spans="1:10" x14ac:dyDescent="0.2">
      <c r="A121" s="122"/>
      <c r="B121" s="93" t="s">
        <v>176</v>
      </c>
      <c r="C121" s="123">
        <v>28.291499999999999</v>
      </c>
      <c r="D121" s="123">
        <v>29.579599999999999</v>
      </c>
      <c r="E121" s="122"/>
      <c r="F121" s="124"/>
      <c r="G121" s="125"/>
    </row>
    <row r="122" spans="1:10" x14ac:dyDescent="0.2">
      <c r="A122" s="122"/>
      <c r="B122" s="93" t="s">
        <v>1102</v>
      </c>
      <c r="C122" s="123">
        <v>26.8992</v>
      </c>
      <c r="D122" s="123">
        <v>28.123899999999999</v>
      </c>
      <c r="E122" s="122"/>
      <c r="F122" s="124"/>
      <c r="G122" s="125"/>
    </row>
    <row r="123" spans="1:10" x14ac:dyDescent="0.2">
      <c r="A123" s="122"/>
      <c r="B123" s="122"/>
      <c r="C123" s="122"/>
      <c r="D123" s="122"/>
      <c r="E123" s="122"/>
      <c r="F123" s="122"/>
      <c r="G123" s="122"/>
    </row>
    <row r="124" spans="1:10" x14ac:dyDescent="0.2">
      <c r="A124" s="118"/>
      <c r="B124" s="205" t="s">
        <v>925</v>
      </c>
      <c r="C124" s="206"/>
      <c r="D124" s="85" t="s">
        <v>171</v>
      </c>
      <c r="E124" s="118"/>
      <c r="F124" s="118"/>
      <c r="G124" s="118"/>
    </row>
    <row r="125" spans="1:10" x14ac:dyDescent="0.2">
      <c r="A125" s="118"/>
      <c r="B125" s="136"/>
      <c r="C125" s="136"/>
      <c r="D125" s="136"/>
      <c r="E125" s="118"/>
      <c r="F125" s="118"/>
      <c r="G125" s="118"/>
    </row>
    <row r="126" spans="1:10" x14ac:dyDescent="0.2">
      <c r="A126" s="118"/>
      <c r="B126" s="205" t="s">
        <v>179</v>
      </c>
      <c r="C126" s="206"/>
      <c r="D126" s="85" t="s">
        <v>171</v>
      </c>
      <c r="E126" s="131"/>
      <c r="F126" s="118"/>
      <c r="G126" s="118"/>
    </row>
    <row r="127" spans="1:10" x14ac:dyDescent="0.2">
      <c r="A127" s="118"/>
      <c r="B127" s="205" t="s">
        <v>180</v>
      </c>
      <c r="C127" s="206"/>
      <c r="D127" s="85" t="s">
        <v>171</v>
      </c>
      <c r="E127" s="131"/>
      <c r="F127" s="118"/>
      <c r="G127" s="118"/>
    </row>
    <row r="128" spans="1:10" x14ac:dyDescent="0.2">
      <c r="A128" s="118"/>
      <c r="B128" s="205" t="s">
        <v>181</v>
      </c>
      <c r="C128" s="206"/>
      <c r="D128" s="85" t="s">
        <v>171</v>
      </c>
      <c r="E128" s="131"/>
      <c r="F128" s="118"/>
      <c r="G128" s="118"/>
    </row>
    <row r="129" spans="1:10" x14ac:dyDescent="0.2">
      <c r="A129" s="118"/>
      <c r="B129" s="205" t="s">
        <v>182</v>
      </c>
      <c r="C129" s="206"/>
      <c r="D129" s="132">
        <v>3.2151290328423808E-2</v>
      </c>
      <c r="E129" s="118"/>
      <c r="F129" s="112"/>
      <c r="G129" s="133"/>
    </row>
    <row r="131" spans="1:10" x14ac:dyDescent="0.2">
      <c r="B131" s="199" t="s">
        <v>926</v>
      </c>
      <c r="C131" s="199"/>
    </row>
    <row r="133" spans="1:10" ht="153.75" customHeight="1" x14ac:dyDescent="0.2"/>
    <row r="136" spans="1:10" x14ac:dyDescent="0.2">
      <c r="B136" s="134" t="s">
        <v>927</v>
      </c>
      <c r="C136" s="135"/>
      <c r="D136" s="134"/>
    </row>
    <row r="137" spans="1:10" x14ac:dyDescent="0.2">
      <c r="B137" s="134" t="s">
        <v>940</v>
      </c>
      <c r="D137" s="134"/>
    </row>
    <row r="138" spans="1:10" ht="165" customHeight="1" x14ac:dyDescent="0.2"/>
    <row r="139" spans="1:10" x14ac:dyDescent="0.2">
      <c r="J139" s="83"/>
    </row>
    <row r="147" customFormat="1" ht="12.75" customHeight="1" x14ac:dyDescent="0.2"/>
  </sheetData>
  <mergeCells count="18">
    <mergeCell ref="B131:C131"/>
    <mergeCell ref="B129:C129"/>
    <mergeCell ref="A1:H1"/>
    <mergeCell ref="A2:H2"/>
    <mergeCell ref="A3:H3"/>
    <mergeCell ref="B124:C124"/>
    <mergeCell ref="B128:C128"/>
    <mergeCell ref="B107:H107"/>
    <mergeCell ref="B108:H108"/>
    <mergeCell ref="B115:C115"/>
    <mergeCell ref="B116:C116"/>
    <mergeCell ref="B126:C126"/>
    <mergeCell ref="B127:C127"/>
    <mergeCell ref="B109:H109"/>
    <mergeCell ref="B110:H110"/>
    <mergeCell ref="B111:H111"/>
    <mergeCell ref="B113:D113"/>
    <mergeCell ref="B114:C114"/>
  </mergeCells>
  <hyperlinks>
    <hyperlink ref="I1" location="Index!B2" display="Index" xr:uid="{1B5E38CB-7382-4858-B95E-F8F96D3EB8B7}"/>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58835-BE7D-4C22-9394-BAF368F3977A}">
  <sheetPr>
    <outlinePr summaryBelow="0" summaryRight="0"/>
  </sheetPr>
  <dimension ref="A1:Q141"/>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6.570312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452</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355</v>
      </c>
      <c r="C7" s="93" t="s">
        <v>356</v>
      </c>
      <c r="D7" s="93" t="s">
        <v>109</v>
      </c>
      <c r="E7" s="94">
        <v>28701</v>
      </c>
      <c r="F7" s="95">
        <v>194.60713050000001</v>
      </c>
      <c r="G7" s="96">
        <v>6.2417170000000001E-2</v>
      </c>
      <c r="H7" s="86" t="s">
        <v>142</v>
      </c>
    </row>
    <row r="8" spans="1:9" x14ac:dyDescent="0.2">
      <c r="A8" s="92">
        <v>2</v>
      </c>
      <c r="B8" s="93" t="s">
        <v>340</v>
      </c>
      <c r="C8" s="93" t="s">
        <v>341</v>
      </c>
      <c r="D8" s="93" t="s">
        <v>257</v>
      </c>
      <c r="E8" s="94">
        <v>8793</v>
      </c>
      <c r="F8" s="95">
        <v>169.75765799999999</v>
      </c>
      <c r="G8" s="96">
        <v>5.4447089999999997E-2</v>
      </c>
      <c r="H8" s="86" t="s">
        <v>142</v>
      </c>
    </row>
    <row r="9" spans="1:9" x14ac:dyDescent="0.2">
      <c r="A9" s="92">
        <v>3</v>
      </c>
      <c r="B9" s="93" t="s">
        <v>361</v>
      </c>
      <c r="C9" s="93" t="s">
        <v>362</v>
      </c>
      <c r="D9" s="93" t="s">
        <v>48</v>
      </c>
      <c r="E9" s="94">
        <v>6658</v>
      </c>
      <c r="F9" s="95">
        <v>142.134984</v>
      </c>
      <c r="G9" s="96">
        <v>4.5587549999999998E-2</v>
      </c>
      <c r="H9" s="86" t="s">
        <v>142</v>
      </c>
    </row>
    <row r="10" spans="1:9" x14ac:dyDescent="0.2">
      <c r="A10" s="92">
        <v>4</v>
      </c>
      <c r="B10" s="93" t="s">
        <v>359</v>
      </c>
      <c r="C10" s="93" t="s">
        <v>360</v>
      </c>
      <c r="D10" s="93" t="s">
        <v>35</v>
      </c>
      <c r="E10" s="94">
        <v>31040</v>
      </c>
      <c r="F10" s="95">
        <v>128.30384000000001</v>
      </c>
      <c r="G10" s="96">
        <v>4.1151430000000003E-2</v>
      </c>
      <c r="H10" s="86" t="s">
        <v>142</v>
      </c>
    </row>
    <row r="11" spans="1:9" x14ac:dyDescent="0.2">
      <c r="A11" s="92">
        <v>5</v>
      </c>
      <c r="B11" s="93" t="s">
        <v>357</v>
      </c>
      <c r="C11" s="93" t="s">
        <v>358</v>
      </c>
      <c r="D11" s="93" t="s">
        <v>35</v>
      </c>
      <c r="E11" s="94">
        <v>241296</v>
      </c>
      <c r="F11" s="95">
        <v>125.0878464</v>
      </c>
      <c r="G11" s="96">
        <v>4.0119950000000001E-2</v>
      </c>
      <c r="H11" s="86" t="s">
        <v>142</v>
      </c>
    </row>
    <row r="12" spans="1:9" x14ac:dyDescent="0.2">
      <c r="A12" s="92">
        <v>6</v>
      </c>
      <c r="B12" s="93" t="s">
        <v>363</v>
      </c>
      <c r="C12" s="93" t="s">
        <v>364</v>
      </c>
      <c r="D12" s="93" t="s">
        <v>218</v>
      </c>
      <c r="E12" s="94">
        <v>43035</v>
      </c>
      <c r="F12" s="95">
        <v>123.1016175</v>
      </c>
      <c r="G12" s="96">
        <v>3.9482900000000001E-2</v>
      </c>
      <c r="H12" s="86" t="s">
        <v>142</v>
      </c>
    </row>
    <row r="13" spans="1:9" x14ac:dyDescent="0.2">
      <c r="A13" s="92">
        <v>7</v>
      </c>
      <c r="B13" s="93" t="s">
        <v>81</v>
      </c>
      <c r="C13" s="93" t="s">
        <v>82</v>
      </c>
      <c r="D13" s="93" t="s">
        <v>58</v>
      </c>
      <c r="E13" s="94">
        <v>15343</v>
      </c>
      <c r="F13" s="95">
        <v>121.30942949999999</v>
      </c>
      <c r="G13" s="96">
        <v>3.8908079999999998E-2</v>
      </c>
      <c r="H13" s="86" t="s">
        <v>142</v>
      </c>
    </row>
    <row r="14" spans="1:9" x14ac:dyDescent="0.2">
      <c r="A14" s="92">
        <v>8</v>
      </c>
      <c r="B14" s="93" t="s">
        <v>365</v>
      </c>
      <c r="C14" s="93" t="s">
        <v>366</v>
      </c>
      <c r="D14" s="93" t="s">
        <v>48</v>
      </c>
      <c r="E14" s="94">
        <v>39512</v>
      </c>
      <c r="F14" s="95">
        <v>112.569688</v>
      </c>
      <c r="G14" s="96">
        <v>3.6104949999999997E-2</v>
      </c>
      <c r="H14" s="86" t="s">
        <v>142</v>
      </c>
    </row>
    <row r="15" spans="1:9" x14ac:dyDescent="0.2">
      <c r="A15" s="92">
        <v>9</v>
      </c>
      <c r="B15" s="93" t="s">
        <v>373</v>
      </c>
      <c r="C15" s="93" t="s">
        <v>374</v>
      </c>
      <c r="D15" s="93" t="s">
        <v>215</v>
      </c>
      <c r="E15" s="94">
        <v>4435</v>
      </c>
      <c r="F15" s="95">
        <v>110.53794000000001</v>
      </c>
      <c r="G15" s="96">
        <v>3.54533E-2</v>
      </c>
      <c r="H15" s="86" t="s">
        <v>142</v>
      </c>
    </row>
    <row r="16" spans="1:9" x14ac:dyDescent="0.2">
      <c r="A16" s="92">
        <v>10</v>
      </c>
      <c r="B16" s="93" t="s">
        <v>336</v>
      </c>
      <c r="C16" s="93" t="s">
        <v>337</v>
      </c>
      <c r="D16" s="93" t="s">
        <v>215</v>
      </c>
      <c r="E16" s="94">
        <v>1112</v>
      </c>
      <c r="F16" s="95">
        <v>102.78771999999999</v>
      </c>
      <c r="G16" s="96">
        <v>3.2967539999999997E-2</v>
      </c>
      <c r="H16" s="86" t="s">
        <v>142</v>
      </c>
    </row>
    <row r="17" spans="1:8" ht="25.5" x14ac:dyDescent="0.2">
      <c r="A17" s="92">
        <v>11</v>
      </c>
      <c r="B17" s="93" t="s">
        <v>369</v>
      </c>
      <c r="C17" s="93" t="s">
        <v>370</v>
      </c>
      <c r="D17" s="93" t="s">
        <v>225</v>
      </c>
      <c r="E17" s="94">
        <v>1573</v>
      </c>
      <c r="F17" s="95">
        <v>96.999044999999995</v>
      </c>
      <c r="G17" s="96">
        <v>3.1110909999999999E-2</v>
      </c>
      <c r="H17" s="86" t="s">
        <v>142</v>
      </c>
    </row>
    <row r="18" spans="1:8" x14ac:dyDescent="0.2">
      <c r="A18" s="92">
        <v>12</v>
      </c>
      <c r="B18" s="93" t="s">
        <v>384</v>
      </c>
      <c r="C18" s="93" t="s">
        <v>385</v>
      </c>
      <c r="D18" s="93" t="s">
        <v>186</v>
      </c>
      <c r="E18" s="94">
        <v>10672</v>
      </c>
      <c r="F18" s="95">
        <v>92.622287999999998</v>
      </c>
      <c r="G18" s="96">
        <v>2.970714E-2</v>
      </c>
      <c r="H18" s="86" t="s">
        <v>142</v>
      </c>
    </row>
    <row r="19" spans="1:8" x14ac:dyDescent="0.2">
      <c r="A19" s="92">
        <v>13</v>
      </c>
      <c r="B19" s="93" t="s">
        <v>221</v>
      </c>
      <c r="C19" s="93" t="s">
        <v>222</v>
      </c>
      <c r="D19" s="93" t="s">
        <v>186</v>
      </c>
      <c r="E19" s="94">
        <v>601</v>
      </c>
      <c r="F19" s="95">
        <v>91.201750000000004</v>
      </c>
      <c r="G19" s="96">
        <v>2.925152E-2</v>
      </c>
      <c r="H19" s="86" t="s">
        <v>142</v>
      </c>
    </row>
    <row r="20" spans="1:8" x14ac:dyDescent="0.2">
      <c r="A20" s="92">
        <v>14</v>
      </c>
      <c r="B20" s="93" t="s">
        <v>69</v>
      </c>
      <c r="C20" s="93" t="s">
        <v>70</v>
      </c>
      <c r="D20" s="93" t="s">
        <v>58</v>
      </c>
      <c r="E20" s="94">
        <v>2121</v>
      </c>
      <c r="F20" s="95">
        <v>85.518720000000002</v>
      </c>
      <c r="G20" s="96">
        <v>2.742878E-2</v>
      </c>
      <c r="H20" s="86" t="s">
        <v>142</v>
      </c>
    </row>
    <row r="21" spans="1:8" x14ac:dyDescent="0.2">
      <c r="A21" s="92">
        <v>15</v>
      </c>
      <c r="B21" s="93" t="s">
        <v>371</v>
      </c>
      <c r="C21" s="93" t="s">
        <v>372</v>
      </c>
      <c r="D21" s="93" t="s">
        <v>204</v>
      </c>
      <c r="E21" s="94">
        <v>13180</v>
      </c>
      <c r="F21" s="95">
        <v>84.121350000000007</v>
      </c>
      <c r="G21" s="96">
        <v>2.69806E-2</v>
      </c>
      <c r="H21" s="86" t="s">
        <v>142</v>
      </c>
    </row>
    <row r="22" spans="1:8" x14ac:dyDescent="0.2">
      <c r="A22" s="92">
        <v>16</v>
      </c>
      <c r="B22" s="93" t="s">
        <v>379</v>
      </c>
      <c r="C22" s="93" t="s">
        <v>380</v>
      </c>
      <c r="D22" s="93" t="s">
        <v>35</v>
      </c>
      <c r="E22" s="94">
        <v>141618</v>
      </c>
      <c r="F22" s="95">
        <v>80.708098199999995</v>
      </c>
      <c r="G22" s="96">
        <v>2.5885849999999998E-2</v>
      </c>
      <c r="H22" s="86" t="s">
        <v>142</v>
      </c>
    </row>
    <row r="23" spans="1:8" ht="25.5" x14ac:dyDescent="0.2">
      <c r="A23" s="92">
        <v>17</v>
      </c>
      <c r="B23" s="93" t="s">
        <v>74</v>
      </c>
      <c r="C23" s="93" t="s">
        <v>75</v>
      </c>
      <c r="D23" s="93" t="s">
        <v>25</v>
      </c>
      <c r="E23" s="94">
        <v>1255</v>
      </c>
      <c r="F23" s="95">
        <v>77.985699999999994</v>
      </c>
      <c r="G23" s="96">
        <v>2.5012679999999999E-2</v>
      </c>
      <c r="H23" s="86" t="s">
        <v>142</v>
      </c>
    </row>
    <row r="24" spans="1:8" x14ac:dyDescent="0.2">
      <c r="A24" s="92">
        <v>18</v>
      </c>
      <c r="B24" s="93" t="s">
        <v>44</v>
      </c>
      <c r="C24" s="93" t="s">
        <v>45</v>
      </c>
      <c r="D24" s="93" t="s">
        <v>16</v>
      </c>
      <c r="E24" s="94">
        <v>6049</v>
      </c>
      <c r="F24" s="95">
        <v>75.999635999999995</v>
      </c>
      <c r="G24" s="96">
        <v>2.437568E-2</v>
      </c>
      <c r="H24" s="86" t="s">
        <v>142</v>
      </c>
    </row>
    <row r="25" spans="1:8" x14ac:dyDescent="0.2">
      <c r="A25" s="92">
        <v>19</v>
      </c>
      <c r="B25" s="93" t="s">
        <v>381</v>
      </c>
      <c r="C25" s="93" t="s">
        <v>382</v>
      </c>
      <c r="D25" s="93" t="s">
        <v>383</v>
      </c>
      <c r="E25" s="94">
        <v>5857</v>
      </c>
      <c r="F25" s="95">
        <v>70.670562000000004</v>
      </c>
      <c r="G25" s="96">
        <v>2.2666470000000001E-2</v>
      </c>
      <c r="H25" s="86" t="s">
        <v>142</v>
      </c>
    </row>
    <row r="26" spans="1:8" ht="25.5" x14ac:dyDescent="0.2">
      <c r="A26" s="92">
        <v>20</v>
      </c>
      <c r="B26" s="93" t="s">
        <v>388</v>
      </c>
      <c r="C26" s="93" t="s">
        <v>389</v>
      </c>
      <c r="D26" s="93" t="s">
        <v>390</v>
      </c>
      <c r="E26" s="94">
        <v>19517</v>
      </c>
      <c r="F26" s="95">
        <v>65.050161000000003</v>
      </c>
      <c r="G26" s="96">
        <v>2.086381E-2</v>
      </c>
      <c r="H26" s="86" t="s">
        <v>142</v>
      </c>
    </row>
    <row r="27" spans="1:8" x14ac:dyDescent="0.2">
      <c r="A27" s="92">
        <v>21</v>
      </c>
      <c r="B27" s="93" t="s">
        <v>386</v>
      </c>
      <c r="C27" s="93" t="s">
        <v>387</v>
      </c>
      <c r="D27" s="93" t="s">
        <v>186</v>
      </c>
      <c r="E27" s="94">
        <v>3287</v>
      </c>
      <c r="F27" s="95">
        <v>62.867162</v>
      </c>
      <c r="G27" s="96">
        <v>2.0163650000000002E-2</v>
      </c>
      <c r="H27" s="86" t="s">
        <v>142</v>
      </c>
    </row>
    <row r="28" spans="1:8" ht="25.5" x14ac:dyDescent="0.2">
      <c r="A28" s="92">
        <v>22</v>
      </c>
      <c r="B28" s="93" t="s">
        <v>367</v>
      </c>
      <c r="C28" s="93" t="s">
        <v>368</v>
      </c>
      <c r="D28" s="93" t="s">
        <v>275</v>
      </c>
      <c r="E28" s="94">
        <v>1060</v>
      </c>
      <c r="F28" s="95">
        <v>60.286439999999999</v>
      </c>
      <c r="G28" s="96">
        <v>1.9335919999999999E-2</v>
      </c>
      <c r="H28" s="86" t="s">
        <v>142</v>
      </c>
    </row>
    <row r="29" spans="1:8" x14ac:dyDescent="0.2">
      <c r="A29" s="92">
        <v>23</v>
      </c>
      <c r="B29" s="93" t="s">
        <v>79</v>
      </c>
      <c r="C29" s="93" t="s">
        <v>80</v>
      </c>
      <c r="D29" s="93" t="s">
        <v>58</v>
      </c>
      <c r="E29" s="94">
        <v>1222</v>
      </c>
      <c r="F29" s="95">
        <v>60.007531999999998</v>
      </c>
      <c r="G29" s="96">
        <v>1.9246470000000002E-2</v>
      </c>
      <c r="H29" s="86" t="s">
        <v>142</v>
      </c>
    </row>
    <row r="30" spans="1:8" ht="25.5" x14ac:dyDescent="0.2">
      <c r="A30" s="92">
        <v>24</v>
      </c>
      <c r="B30" s="93" t="s">
        <v>375</v>
      </c>
      <c r="C30" s="93" t="s">
        <v>376</v>
      </c>
      <c r="D30" s="93" t="s">
        <v>225</v>
      </c>
      <c r="E30" s="94">
        <v>6280</v>
      </c>
      <c r="F30" s="95">
        <v>59.889220000000002</v>
      </c>
      <c r="G30" s="96">
        <v>1.920852E-2</v>
      </c>
      <c r="H30" s="86" t="s">
        <v>142</v>
      </c>
    </row>
    <row r="31" spans="1:8" x14ac:dyDescent="0.2">
      <c r="A31" s="92">
        <v>25</v>
      </c>
      <c r="B31" s="93" t="s">
        <v>71</v>
      </c>
      <c r="C31" s="93" t="s">
        <v>72</v>
      </c>
      <c r="D31" s="93" t="s">
        <v>73</v>
      </c>
      <c r="E31" s="94">
        <v>5587</v>
      </c>
      <c r="F31" s="95">
        <v>57.976298999999997</v>
      </c>
      <c r="G31" s="96">
        <v>1.8594980000000001E-2</v>
      </c>
      <c r="H31" s="86" t="s">
        <v>142</v>
      </c>
    </row>
    <row r="32" spans="1:8" x14ac:dyDescent="0.2">
      <c r="A32" s="92">
        <v>26</v>
      </c>
      <c r="B32" s="93" t="s">
        <v>403</v>
      </c>
      <c r="C32" s="93" t="s">
        <v>404</v>
      </c>
      <c r="D32" s="93" t="s">
        <v>204</v>
      </c>
      <c r="E32" s="94">
        <v>15429</v>
      </c>
      <c r="F32" s="95">
        <v>57.334164000000001</v>
      </c>
      <c r="G32" s="96">
        <v>1.8389030000000001E-2</v>
      </c>
      <c r="H32" s="86" t="s">
        <v>142</v>
      </c>
    </row>
    <row r="33" spans="1:8" x14ac:dyDescent="0.2">
      <c r="A33" s="92">
        <v>27</v>
      </c>
      <c r="B33" s="93" t="s">
        <v>391</v>
      </c>
      <c r="C33" s="93" t="s">
        <v>392</v>
      </c>
      <c r="D33" s="93" t="s">
        <v>58</v>
      </c>
      <c r="E33" s="94">
        <v>11627</v>
      </c>
      <c r="F33" s="95">
        <v>55.437536000000001</v>
      </c>
      <c r="G33" s="96">
        <v>1.7780710000000002E-2</v>
      </c>
      <c r="H33" s="86" t="s">
        <v>142</v>
      </c>
    </row>
    <row r="34" spans="1:8" x14ac:dyDescent="0.2">
      <c r="A34" s="92">
        <v>28</v>
      </c>
      <c r="B34" s="93" t="s">
        <v>301</v>
      </c>
      <c r="C34" s="93" t="s">
        <v>302</v>
      </c>
      <c r="D34" s="93" t="s">
        <v>58</v>
      </c>
      <c r="E34" s="94">
        <v>3026</v>
      </c>
      <c r="F34" s="95">
        <v>51.112166000000002</v>
      </c>
      <c r="G34" s="96">
        <v>1.6393419999999999E-2</v>
      </c>
      <c r="H34" s="86" t="s">
        <v>142</v>
      </c>
    </row>
    <row r="35" spans="1:8" x14ac:dyDescent="0.2">
      <c r="A35" s="92">
        <v>29</v>
      </c>
      <c r="B35" s="93" t="s">
        <v>393</v>
      </c>
      <c r="C35" s="93" t="s">
        <v>394</v>
      </c>
      <c r="D35" s="93" t="s">
        <v>186</v>
      </c>
      <c r="E35" s="94">
        <v>5234</v>
      </c>
      <c r="F35" s="95">
        <v>48.608158000000003</v>
      </c>
      <c r="G35" s="96">
        <v>1.55903E-2</v>
      </c>
      <c r="H35" s="86" t="s">
        <v>142</v>
      </c>
    </row>
    <row r="36" spans="1:8" x14ac:dyDescent="0.2">
      <c r="A36" s="92">
        <v>30</v>
      </c>
      <c r="B36" s="93" t="s">
        <v>399</v>
      </c>
      <c r="C36" s="93" t="s">
        <v>400</v>
      </c>
      <c r="D36" s="93" t="s">
        <v>218</v>
      </c>
      <c r="E36" s="94">
        <v>8090</v>
      </c>
      <c r="F36" s="95">
        <v>48.002015</v>
      </c>
      <c r="G36" s="96">
        <v>1.5395890000000001E-2</v>
      </c>
      <c r="H36" s="86" t="s">
        <v>142</v>
      </c>
    </row>
    <row r="37" spans="1:8" x14ac:dyDescent="0.2">
      <c r="A37" s="92">
        <v>31</v>
      </c>
      <c r="B37" s="93" t="s">
        <v>395</v>
      </c>
      <c r="C37" s="93" t="s">
        <v>396</v>
      </c>
      <c r="D37" s="93" t="s">
        <v>257</v>
      </c>
      <c r="E37" s="94">
        <v>10471</v>
      </c>
      <c r="F37" s="95">
        <v>44.763525000000001</v>
      </c>
      <c r="G37" s="96">
        <v>1.4357190000000001E-2</v>
      </c>
      <c r="H37" s="86" t="s">
        <v>142</v>
      </c>
    </row>
    <row r="38" spans="1:8" ht="25.5" x14ac:dyDescent="0.2">
      <c r="A38" s="92">
        <v>32</v>
      </c>
      <c r="B38" s="93" t="s">
        <v>401</v>
      </c>
      <c r="C38" s="93" t="s">
        <v>402</v>
      </c>
      <c r="D38" s="93" t="s">
        <v>225</v>
      </c>
      <c r="E38" s="94">
        <v>5139</v>
      </c>
      <c r="F38" s="95">
        <v>42.134661000000001</v>
      </c>
      <c r="G38" s="96">
        <v>1.351403E-2</v>
      </c>
      <c r="H38" s="86" t="s">
        <v>142</v>
      </c>
    </row>
    <row r="39" spans="1:8" x14ac:dyDescent="0.2">
      <c r="A39" s="92">
        <v>33</v>
      </c>
      <c r="B39" s="93" t="s">
        <v>449</v>
      </c>
      <c r="C39" s="93" t="s">
        <v>450</v>
      </c>
      <c r="D39" s="93" t="s">
        <v>58</v>
      </c>
      <c r="E39" s="94">
        <v>8418</v>
      </c>
      <c r="F39" s="95">
        <v>40.389564</v>
      </c>
      <c r="G39" s="96">
        <v>1.295432E-2</v>
      </c>
      <c r="H39" s="86" t="s">
        <v>142</v>
      </c>
    </row>
    <row r="40" spans="1:8" x14ac:dyDescent="0.2">
      <c r="A40" s="92">
        <v>34</v>
      </c>
      <c r="B40" s="93" t="s">
        <v>397</v>
      </c>
      <c r="C40" s="93" t="s">
        <v>398</v>
      </c>
      <c r="D40" s="93" t="s">
        <v>135</v>
      </c>
      <c r="E40" s="94">
        <v>19513</v>
      </c>
      <c r="F40" s="95">
        <v>35.677569200000001</v>
      </c>
      <c r="G40" s="96">
        <v>1.144302E-2</v>
      </c>
      <c r="H40" s="86" t="s">
        <v>142</v>
      </c>
    </row>
    <row r="41" spans="1:8" x14ac:dyDescent="0.2">
      <c r="A41" s="92">
        <v>35</v>
      </c>
      <c r="B41" s="93" t="s">
        <v>407</v>
      </c>
      <c r="C41" s="93" t="s">
        <v>408</v>
      </c>
      <c r="D41" s="93" t="s">
        <v>409</v>
      </c>
      <c r="E41" s="94">
        <v>2774</v>
      </c>
      <c r="F41" s="95">
        <v>33.848348000000001</v>
      </c>
      <c r="G41" s="96">
        <v>1.0856319999999999E-2</v>
      </c>
      <c r="H41" s="86" t="s">
        <v>142</v>
      </c>
    </row>
    <row r="42" spans="1:8" x14ac:dyDescent="0.2">
      <c r="A42" s="92">
        <v>36</v>
      </c>
      <c r="B42" s="93" t="s">
        <v>410</v>
      </c>
      <c r="C42" s="93" t="s">
        <v>411</v>
      </c>
      <c r="D42" s="93" t="s">
        <v>48</v>
      </c>
      <c r="E42" s="94">
        <v>3212</v>
      </c>
      <c r="F42" s="95">
        <v>24.245781999999998</v>
      </c>
      <c r="G42" s="96">
        <v>7.7764499999999999E-3</v>
      </c>
      <c r="H42" s="86" t="s">
        <v>142</v>
      </c>
    </row>
    <row r="43" spans="1:8" x14ac:dyDescent="0.2">
      <c r="A43" s="92">
        <v>37</v>
      </c>
      <c r="B43" s="93" t="s">
        <v>405</v>
      </c>
      <c r="C43" s="93" t="s">
        <v>406</v>
      </c>
      <c r="D43" s="93" t="s">
        <v>48</v>
      </c>
      <c r="E43" s="94">
        <v>3000</v>
      </c>
      <c r="F43" s="95">
        <v>22.633500000000002</v>
      </c>
      <c r="G43" s="96">
        <v>7.2593400000000004E-3</v>
      </c>
      <c r="H43" s="86" t="s">
        <v>142</v>
      </c>
    </row>
    <row r="44" spans="1:8" x14ac:dyDescent="0.2">
      <c r="A44" s="92">
        <v>38</v>
      </c>
      <c r="B44" s="93" t="s">
        <v>414</v>
      </c>
      <c r="C44" s="93" t="s">
        <v>415</v>
      </c>
      <c r="D44" s="93" t="s">
        <v>38</v>
      </c>
      <c r="E44" s="94">
        <v>4242</v>
      </c>
      <c r="F44" s="95">
        <v>12.974157</v>
      </c>
      <c r="G44" s="96">
        <v>4.16126E-3</v>
      </c>
      <c r="H44" s="86" t="s">
        <v>142</v>
      </c>
    </row>
    <row r="45" spans="1:8" x14ac:dyDescent="0.2">
      <c r="A45" s="97"/>
      <c r="B45" s="97"/>
      <c r="C45" s="98" t="s">
        <v>141</v>
      </c>
      <c r="D45" s="97"/>
      <c r="E45" s="97" t="s">
        <v>142</v>
      </c>
      <c r="F45" s="99">
        <v>2969.2629622999998</v>
      </c>
      <c r="G45" s="100">
        <v>0.95234421999999996</v>
      </c>
      <c r="H45" s="86" t="s">
        <v>142</v>
      </c>
    </row>
    <row r="46" spans="1:8" x14ac:dyDescent="0.2">
      <c r="A46" s="97"/>
      <c r="B46" s="97"/>
      <c r="C46" s="101"/>
      <c r="D46" s="97"/>
      <c r="E46" s="97"/>
      <c r="F46" s="102"/>
      <c r="G46" s="102"/>
      <c r="H46" s="86" t="s">
        <v>142</v>
      </c>
    </row>
    <row r="47" spans="1:8" x14ac:dyDescent="0.2">
      <c r="A47" s="97"/>
      <c r="B47" s="97"/>
      <c r="C47" s="98" t="s">
        <v>143</v>
      </c>
      <c r="D47" s="97"/>
      <c r="E47" s="97"/>
      <c r="F47" s="97"/>
      <c r="G47" s="97"/>
      <c r="H47" s="86" t="s">
        <v>142</v>
      </c>
    </row>
    <row r="48" spans="1:8" x14ac:dyDescent="0.2">
      <c r="A48" s="97"/>
      <c r="B48" s="97"/>
      <c r="C48" s="98" t="s">
        <v>141</v>
      </c>
      <c r="D48" s="97"/>
      <c r="E48" s="97" t="s">
        <v>142</v>
      </c>
      <c r="F48" s="103" t="s">
        <v>144</v>
      </c>
      <c r="G48" s="100">
        <v>0</v>
      </c>
      <c r="H48" s="86" t="s">
        <v>142</v>
      </c>
    </row>
    <row r="49" spans="1:8" x14ac:dyDescent="0.2">
      <c r="A49" s="97"/>
      <c r="B49" s="97"/>
      <c r="C49" s="101"/>
      <c r="D49" s="97"/>
      <c r="E49" s="97"/>
      <c r="F49" s="102"/>
      <c r="G49" s="102"/>
      <c r="H49" s="86" t="s">
        <v>142</v>
      </c>
    </row>
    <row r="50" spans="1:8" x14ac:dyDescent="0.2">
      <c r="A50" s="97"/>
      <c r="B50" s="97"/>
      <c r="C50" s="98" t="s">
        <v>145</v>
      </c>
      <c r="D50" s="97"/>
      <c r="E50" s="97"/>
      <c r="F50" s="97"/>
      <c r="G50" s="97"/>
      <c r="H50" s="86" t="s">
        <v>142</v>
      </c>
    </row>
    <row r="51" spans="1:8" x14ac:dyDescent="0.2">
      <c r="A51" s="97"/>
      <c r="B51" s="97"/>
      <c r="C51" s="98" t="s">
        <v>141</v>
      </c>
      <c r="D51" s="97"/>
      <c r="E51" s="97" t="s">
        <v>142</v>
      </c>
      <c r="F51" s="103" t="s">
        <v>144</v>
      </c>
      <c r="G51" s="100">
        <v>0</v>
      </c>
      <c r="H51" s="86" t="s">
        <v>142</v>
      </c>
    </row>
    <row r="52" spans="1:8" x14ac:dyDescent="0.2">
      <c r="A52" s="97"/>
      <c r="B52" s="97"/>
      <c r="C52" s="101"/>
      <c r="D52" s="97"/>
      <c r="E52" s="97"/>
      <c r="F52" s="102"/>
      <c r="G52" s="102"/>
      <c r="H52" s="86" t="s">
        <v>142</v>
      </c>
    </row>
    <row r="53" spans="1:8" x14ac:dyDescent="0.2">
      <c r="A53" s="97"/>
      <c r="B53" s="97"/>
      <c r="C53" s="98" t="s">
        <v>146</v>
      </c>
      <c r="D53" s="97"/>
      <c r="E53" s="97"/>
      <c r="F53" s="97"/>
      <c r="G53" s="97"/>
      <c r="H53" s="86" t="s">
        <v>142</v>
      </c>
    </row>
    <row r="54" spans="1:8" x14ac:dyDescent="0.2">
      <c r="A54" s="97"/>
      <c r="B54" s="97"/>
      <c r="C54" s="98" t="s">
        <v>141</v>
      </c>
      <c r="D54" s="97"/>
      <c r="E54" s="97" t="s">
        <v>142</v>
      </c>
      <c r="F54" s="103" t="s">
        <v>144</v>
      </c>
      <c r="G54" s="100">
        <v>0</v>
      </c>
      <c r="H54" s="86" t="s">
        <v>142</v>
      </c>
    </row>
    <row r="55" spans="1:8" x14ac:dyDescent="0.2">
      <c r="A55" s="97"/>
      <c r="B55" s="97"/>
      <c r="C55" s="101"/>
      <c r="D55" s="97"/>
      <c r="E55" s="97"/>
      <c r="F55" s="102"/>
      <c r="G55" s="102"/>
      <c r="H55" s="86" t="s">
        <v>142</v>
      </c>
    </row>
    <row r="56" spans="1:8" x14ac:dyDescent="0.2">
      <c r="A56" s="97"/>
      <c r="B56" s="97"/>
      <c r="C56" s="98" t="s">
        <v>147</v>
      </c>
      <c r="D56" s="97"/>
      <c r="E56" s="97"/>
      <c r="F56" s="102"/>
      <c r="G56" s="102"/>
      <c r="H56" s="86" t="s">
        <v>142</v>
      </c>
    </row>
    <row r="57" spans="1:8" x14ac:dyDescent="0.2">
      <c r="A57" s="97"/>
      <c r="B57" s="97"/>
      <c r="C57" s="98" t="s">
        <v>141</v>
      </c>
      <c r="D57" s="97"/>
      <c r="E57" s="97" t="s">
        <v>142</v>
      </c>
      <c r="F57" s="103" t="s">
        <v>144</v>
      </c>
      <c r="G57" s="100">
        <v>0</v>
      </c>
      <c r="H57" s="86" t="s">
        <v>142</v>
      </c>
    </row>
    <row r="58" spans="1:8" x14ac:dyDescent="0.2">
      <c r="A58" s="97"/>
      <c r="B58" s="97"/>
      <c r="C58" s="101"/>
      <c r="D58" s="97"/>
      <c r="E58" s="97"/>
      <c r="F58" s="102"/>
      <c r="G58" s="102"/>
      <c r="H58" s="86" t="s">
        <v>142</v>
      </c>
    </row>
    <row r="59" spans="1:8" x14ac:dyDescent="0.2">
      <c r="A59" s="97"/>
      <c r="B59" s="97"/>
      <c r="C59" s="98" t="s">
        <v>148</v>
      </c>
      <c r="D59" s="97"/>
      <c r="E59" s="97"/>
      <c r="F59" s="102"/>
      <c r="G59" s="102"/>
      <c r="H59" s="86" t="s">
        <v>142</v>
      </c>
    </row>
    <row r="60" spans="1:8" x14ac:dyDescent="0.2">
      <c r="A60" s="97"/>
      <c r="B60" s="97"/>
      <c r="C60" s="98" t="s">
        <v>141</v>
      </c>
      <c r="D60" s="97"/>
      <c r="E60" s="97" t="s">
        <v>142</v>
      </c>
      <c r="F60" s="103" t="s">
        <v>144</v>
      </c>
      <c r="G60" s="100">
        <v>0</v>
      </c>
      <c r="H60" s="86" t="s">
        <v>142</v>
      </c>
    </row>
    <row r="61" spans="1:8" x14ac:dyDescent="0.2">
      <c r="A61" s="97"/>
      <c r="B61" s="97"/>
      <c r="C61" s="101"/>
      <c r="D61" s="97"/>
      <c r="E61" s="97"/>
      <c r="F61" s="102"/>
      <c r="G61" s="102"/>
      <c r="H61" s="86" t="s">
        <v>142</v>
      </c>
    </row>
    <row r="62" spans="1:8" x14ac:dyDescent="0.2">
      <c r="A62" s="97"/>
      <c r="B62" s="97"/>
      <c r="C62" s="98" t="s">
        <v>149</v>
      </c>
      <c r="D62" s="97"/>
      <c r="E62" s="97"/>
      <c r="F62" s="99">
        <v>2969.2629622999998</v>
      </c>
      <c r="G62" s="100">
        <v>0.95234421999999996</v>
      </c>
      <c r="H62" s="86" t="s">
        <v>142</v>
      </c>
    </row>
    <row r="63" spans="1:8" x14ac:dyDescent="0.2">
      <c r="A63" s="97"/>
      <c r="B63" s="97"/>
      <c r="C63" s="101"/>
      <c r="D63" s="97"/>
      <c r="E63" s="97"/>
      <c r="F63" s="102"/>
      <c r="G63" s="102"/>
      <c r="H63" s="86" t="s">
        <v>142</v>
      </c>
    </row>
    <row r="64" spans="1:8" x14ac:dyDescent="0.2">
      <c r="A64" s="97"/>
      <c r="B64" s="97"/>
      <c r="C64" s="98" t="s">
        <v>150</v>
      </c>
      <c r="D64" s="97"/>
      <c r="E64" s="97"/>
      <c r="F64" s="102"/>
      <c r="G64" s="102"/>
      <c r="H64" s="86" t="s">
        <v>142</v>
      </c>
    </row>
    <row r="65" spans="1:8" x14ac:dyDescent="0.2">
      <c r="A65" s="97"/>
      <c r="B65" s="97"/>
      <c r="C65" s="98" t="s">
        <v>10</v>
      </c>
      <c r="D65" s="97"/>
      <c r="E65" s="97"/>
      <c r="F65" s="102"/>
      <c r="G65" s="102"/>
      <c r="H65" s="86" t="s">
        <v>142</v>
      </c>
    </row>
    <row r="66" spans="1:8" x14ac:dyDescent="0.2">
      <c r="A66" s="97"/>
      <c r="B66" s="97"/>
      <c r="C66" s="98" t="s">
        <v>141</v>
      </c>
      <c r="D66" s="97"/>
      <c r="E66" s="97" t="s">
        <v>142</v>
      </c>
      <c r="F66" s="103" t="s">
        <v>144</v>
      </c>
      <c r="G66" s="100">
        <v>0</v>
      </c>
      <c r="H66" s="86" t="s">
        <v>142</v>
      </c>
    </row>
    <row r="67" spans="1:8" x14ac:dyDescent="0.2">
      <c r="A67" s="97"/>
      <c r="B67" s="97"/>
      <c r="C67" s="101"/>
      <c r="D67" s="97"/>
      <c r="E67" s="97"/>
      <c r="F67" s="102"/>
      <c r="G67" s="102"/>
      <c r="H67" s="86" t="s">
        <v>142</v>
      </c>
    </row>
    <row r="68" spans="1:8" x14ac:dyDescent="0.2">
      <c r="A68" s="97"/>
      <c r="B68" s="97"/>
      <c r="C68" s="98" t="s">
        <v>151</v>
      </c>
      <c r="D68" s="97"/>
      <c r="E68" s="97"/>
      <c r="F68" s="97"/>
      <c r="G68" s="97"/>
      <c r="H68" s="86" t="s">
        <v>142</v>
      </c>
    </row>
    <row r="69" spans="1:8" x14ac:dyDescent="0.2">
      <c r="A69" s="97"/>
      <c r="B69" s="97"/>
      <c r="C69" s="98" t="s">
        <v>141</v>
      </c>
      <c r="D69" s="97"/>
      <c r="E69" s="97" t="s">
        <v>142</v>
      </c>
      <c r="F69" s="103" t="s">
        <v>144</v>
      </c>
      <c r="G69" s="100">
        <v>0</v>
      </c>
      <c r="H69" s="86" t="s">
        <v>142</v>
      </c>
    </row>
    <row r="70" spans="1:8" x14ac:dyDescent="0.2">
      <c r="A70" s="97"/>
      <c r="B70" s="97"/>
      <c r="C70" s="101"/>
      <c r="D70" s="97"/>
      <c r="E70" s="97"/>
      <c r="F70" s="102"/>
      <c r="G70" s="102"/>
      <c r="H70" s="86" t="s">
        <v>142</v>
      </c>
    </row>
    <row r="71" spans="1:8" x14ac:dyDescent="0.2">
      <c r="A71" s="97"/>
      <c r="B71" s="97"/>
      <c r="C71" s="98" t="s">
        <v>152</v>
      </c>
      <c r="D71" s="97"/>
      <c r="E71" s="97"/>
      <c r="F71" s="97"/>
      <c r="G71" s="97"/>
      <c r="H71" s="86" t="s">
        <v>142</v>
      </c>
    </row>
    <row r="72" spans="1:8" x14ac:dyDescent="0.2">
      <c r="A72" s="97"/>
      <c r="B72" s="97"/>
      <c r="C72" s="98" t="s">
        <v>141</v>
      </c>
      <c r="D72" s="97"/>
      <c r="E72" s="97" t="s">
        <v>142</v>
      </c>
      <c r="F72" s="103" t="s">
        <v>144</v>
      </c>
      <c r="G72" s="100">
        <v>0</v>
      </c>
      <c r="H72" s="86" t="s">
        <v>142</v>
      </c>
    </row>
    <row r="73" spans="1:8" x14ac:dyDescent="0.2">
      <c r="A73" s="97"/>
      <c r="B73" s="97"/>
      <c r="C73" s="101"/>
      <c r="D73" s="97"/>
      <c r="E73" s="97"/>
      <c r="F73" s="102"/>
      <c r="G73" s="102"/>
      <c r="H73" s="86" t="s">
        <v>142</v>
      </c>
    </row>
    <row r="74" spans="1:8" x14ac:dyDescent="0.2">
      <c r="A74" s="97"/>
      <c r="B74" s="97"/>
      <c r="C74" s="98" t="s">
        <v>153</v>
      </c>
      <c r="D74" s="97"/>
      <c r="E74" s="97"/>
      <c r="F74" s="102"/>
      <c r="G74" s="102"/>
      <c r="H74" s="86" t="s">
        <v>142</v>
      </c>
    </row>
    <row r="75" spans="1:8" x14ac:dyDescent="0.2">
      <c r="A75" s="97"/>
      <c r="B75" s="97"/>
      <c r="C75" s="98" t="s">
        <v>141</v>
      </c>
      <c r="D75" s="97"/>
      <c r="E75" s="97" t="s">
        <v>142</v>
      </c>
      <c r="F75" s="103" t="s">
        <v>144</v>
      </c>
      <c r="G75" s="100">
        <v>0</v>
      </c>
      <c r="H75" s="86" t="s">
        <v>142</v>
      </c>
    </row>
    <row r="76" spans="1:8" x14ac:dyDescent="0.2">
      <c r="A76" s="97"/>
      <c r="B76" s="97"/>
      <c r="C76" s="101"/>
      <c r="D76" s="97"/>
      <c r="E76" s="97"/>
      <c r="F76" s="102"/>
      <c r="G76" s="102"/>
      <c r="H76" s="86" t="s">
        <v>142</v>
      </c>
    </row>
    <row r="77" spans="1:8" x14ac:dyDescent="0.2">
      <c r="A77" s="97"/>
      <c r="B77" s="97"/>
      <c r="C77" s="98" t="s">
        <v>154</v>
      </c>
      <c r="D77" s="97"/>
      <c r="E77" s="97"/>
      <c r="F77" s="99">
        <v>0</v>
      </c>
      <c r="G77" s="100">
        <v>0</v>
      </c>
      <c r="H77" s="86" t="s">
        <v>142</v>
      </c>
    </row>
    <row r="78" spans="1:8" x14ac:dyDescent="0.2">
      <c r="A78" s="97"/>
      <c r="B78" s="97"/>
      <c r="C78" s="101"/>
      <c r="D78" s="97"/>
      <c r="E78" s="97"/>
      <c r="F78" s="102"/>
      <c r="G78" s="102"/>
      <c r="H78" s="86" t="s">
        <v>142</v>
      </c>
    </row>
    <row r="79" spans="1:8" x14ac:dyDescent="0.2">
      <c r="A79" s="97"/>
      <c r="B79" s="97"/>
      <c r="C79" s="98" t="s">
        <v>155</v>
      </c>
      <c r="D79" s="97"/>
      <c r="E79" s="97"/>
      <c r="F79" s="102"/>
      <c r="G79" s="102"/>
      <c r="H79" s="86" t="s">
        <v>142</v>
      </c>
    </row>
    <row r="80" spans="1:8" x14ac:dyDescent="0.2">
      <c r="A80" s="97"/>
      <c r="B80" s="97"/>
      <c r="C80" s="98" t="s">
        <v>156</v>
      </c>
      <c r="D80" s="97"/>
      <c r="E80" s="97"/>
      <c r="F80" s="102"/>
      <c r="G80" s="102"/>
      <c r="H80" s="86" t="s">
        <v>142</v>
      </c>
    </row>
    <row r="81" spans="1:8" x14ac:dyDescent="0.2">
      <c r="A81" s="97"/>
      <c r="B81" s="97"/>
      <c r="C81" s="98" t="s">
        <v>141</v>
      </c>
      <c r="D81" s="97"/>
      <c r="E81" s="97" t="s">
        <v>142</v>
      </c>
      <c r="F81" s="103" t="s">
        <v>144</v>
      </c>
      <c r="G81" s="100">
        <v>0</v>
      </c>
      <c r="H81" s="86" t="s">
        <v>142</v>
      </c>
    </row>
    <row r="82" spans="1:8" x14ac:dyDescent="0.2">
      <c r="A82" s="97"/>
      <c r="B82" s="97"/>
      <c r="C82" s="101"/>
      <c r="D82" s="97"/>
      <c r="E82" s="97"/>
      <c r="F82" s="102"/>
      <c r="G82" s="102"/>
      <c r="H82" s="86" t="s">
        <v>142</v>
      </c>
    </row>
    <row r="83" spans="1:8" x14ac:dyDescent="0.2">
      <c r="A83" s="97"/>
      <c r="B83" s="97"/>
      <c r="C83" s="98" t="s">
        <v>157</v>
      </c>
      <c r="D83" s="97"/>
      <c r="E83" s="97"/>
      <c r="F83" s="102"/>
      <c r="G83" s="102"/>
      <c r="H83" s="86" t="s">
        <v>142</v>
      </c>
    </row>
    <row r="84" spans="1:8" x14ac:dyDescent="0.2">
      <c r="A84" s="97"/>
      <c r="B84" s="97"/>
      <c r="C84" s="98" t="s">
        <v>141</v>
      </c>
      <c r="D84" s="97"/>
      <c r="E84" s="97" t="s">
        <v>142</v>
      </c>
      <c r="F84" s="103" t="s">
        <v>144</v>
      </c>
      <c r="G84" s="100">
        <v>0</v>
      </c>
      <c r="H84" s="86" t="s">
        <v>142</v>
      </c>
    </row>
    <row r="85" spans="1:8" x14ac:dyDescent="0.2">
      <c r="A85" s="97"/>
      <c r="B85" s="97"/>
      <c r="C85" s="101"/>
      <c r="D85" s="97"/>
      <c r="E85" s="97"/>
      <c r="F85" s="102"/>
      <c r="G85" s="102"/>
      <c r="H85" s="86" t="s">
        <v>142</v>
      </c>
    </row>
    <row r="86" spans="1:8" x14ac:dyDescent="0.2">
      <c r="A86" s="97"/>
      <c r="B86" s="97"/>
      <c r="C86" s="98" t="s">
        <v>158</v>
      </c>
      <c r="D86" s="97"/>
      <c r="E86" s="97"/>
      <c r="F86" s="102"/>
      <c r="G86" s="102"/>
      <c r="H86" s="86" t="s">
        <v>142</v>
      </c>
    </row>
    <row r="87" spans="1:8" x14ac:dyDescent="0.2">
      <c r="A87" s="97"/>
      <c r="B87" s="97"/>
      <c r="C87" s="98" t="s">
        <v>141</v>
      </c>
      <c r="D87" s="97"/>
      <c r="E87" s="97" t="s">
        <v>142</v>
      </c>
      <c r="F87" s="103" t="s">
        <v>144</v>
      </c>
      <c r="G87" s="100">
        <v>0</v>
      </c>
      <c r="H87" s="86" t="s">
        <v>142</v>
      </c>
    </row>
    <row r="88" spans="1:8" x14ac:dyDescent="0.2">
      <c r="A88" s="97"/>
      <c r="B88" s="97"/>
      <c r="C88" s="101"/>
      <c r="D88" s="97"/>
      <c r="E88" s="97"/>
      <c r="F88" s="102"/>
      <c r="G88" s="102"/>
      <c r="H88" s="86" t="s">
        <v>142</v>
      </c>
    </row>
    <row r="89" spans="1:8" x14ac:dyDescent="0.2">
      <c r="A89" s="97"/>
      <c r="B89" s="97"/>
      <c r="C89" s="98" t="s">
        <v>159</v>
      </c>
      <c r="D89" s="97"/>
      <c r="E89" s="97"/>
      <c r="F89" s="102"/>
      <c r="G89" s="102"/>
      <c r="H89" s="86" t="s">
        <v>142</v>
      </c>
    </row>
    <row r="90" spans="1:8" x14ac:dyDescent="0.2">
      <c r="A90" s="92">
        <v>1</v>
      </c>
      <c r="B90" s="93"/>
      <c r="C90" s="93" t="s">
        <v>160</v>
      </c>
      <c r="D90" s="93"/>
      <c r="E90" s="104"/>
      <c r="F90" s="95">
        <v>149.0575709</v>
      </c>
      <c r="G90" s="96">
        <v>4.7807860000000001E-2</v>
      </c>
      <c r="H90" s="86">
        <v>5.57</v>
      </c>
    </row>
    <row r="91" spans="1:8" x14ac:dyDescent="0.2">
      <c r="A91" s="97"/>
      <c r="B91" s="97"/>
      <c r="C91" s="98" t="s">
        <v>141</v>
      </c>
      <c r="D91" s="97"/>
      <c r="E91" s="97" t="s">
        <v>142</v>
      </c>
      <c r="F91" s="99">
        <v>149.0575709</v>
      </c>
      <c r="G91" s="100">
        <v>4.7807860000000001E-2</v>
      </c>
      <c r="H91" s="86" t="s">
        <v>142</v>
      </c>
    </row>
    <row r="92" spans="1:8" x14ac:dyDescent="0.2">
      <c r="A92" s="97"/>
      <c r="B92" s="97"/>
      <c r="C92" s="101"/>
      <c r="D92" s="97"/>
      <c r="E92" s="97"/>
      <c r="F92" s="102"/>
      <c r="G92" s="102"/>
      <c r="H92" s="86" t="s">
        <v>142</v>
      </c>
    </row>
    <row r="93" spans="1:8" x14ac:dyDescent="0.2">
      <c r="A93" s="97"/>
      <c r="B93" s="97"/>
      <c r="C93" s="98" t="s">
        <v>161</v>
      </c>
      <c r="D93" s="97"/>
      <c r="E93" s="97"/>
      <c r="F93" s="99">
        <v>149.0575709</v>
      </c>
      <c r="G93" s="100">
        <v>4.7807860000000001E-2</v>
      </c>
      <c r="H93" s="86" t="s">
        <v>142</v>
      </c>
    </row>
    <row r="94" spans="1:8" x14ac:dyDescent="0.2">
      <c r="A94" s="97"/>
      <c r="B94" s="97"/>
      <c r="C94" s="102"/>
      <c r="D94" s="97"/>
      <c r="E94" s="97"/>
      <c r="F94" s="97"/>
      <c r="G94" s="97"/>
      <c r="H94" s="86" t="s">
        <v>142</v>
      </c>
    </row>
    <row r="95" spans="1:8" x14ac:dyDescent="0.2">
      <c r="A95" s="97"/>
      <c r="B95" s="97"/>
      <c r="C95" s="98" t="s">
        <v>162</v>
      </c>
      <c r="D95" s="97"/>
      <c r="E95" s="97"/>
      <c r="F95" s="97"/>
      <c r="G95" s="97"/>
      <c r="H95" s="86" t="s">
        <v>142</v>
      </c>
    </row>
    <row r="96" spans="1:8" x14ac:dyDescent="0.2">
      <c r="A96" s="97"/>
      <c r="B96" s="97"/>
      <c r="C96" s="98" t="s">
        <v>163</v>
      </c>
      <c r="D96" s="97"/>
      <c r="E96" s="97"/>
      <c r="F96" s="97"/>
      <c r="G96" s="97"/>
      <c r="H96" s="86" t="s">
        <v>142</v>
      </c>
    </row>
    <row r="97" spans="1:17" x14ac:dyDescent="0.2">
      <c r="A97" s="97"/>
      <c r="B97" s="97"/>
      <c r="C97" s="98" t="s">
        <v>141</v>
      </c>
      <c r="D97" s="97"/>
      <c r="E97" s="97" t="s">
        <v>142</v>
      </c>
      <c r="F97" s="103" t="s">
        <v>144</v>
      </c>
      <c r="G97" s="100">
        <v>0</v>
      </c>
      <c r="H97" s="86" t="s">
        <v>142</v>
      </c>
    </row>
    <row r="98" spans="1:17" x14ac:dyDescent="0.2">
      <c r="A98" s="97"/>
      <c r="B98" s="97"/>
      <c r="C98" s="101"/>
      <c r="D98" s="97"/>
      <c r="E98" s="97"/>
      <c r="F98" s="102"/>
      <c r="G98" s="102"/>
      <c r="H98" s="86" t="s">
        <v>142</v>
      </c>
    </row>
    <row r="99" spans="1:17" x14ac:dyDescent="0.2">
      <c r="A99" s="97"/>
      <c r="B99" s="97"/>
      <c r="C99" s="98" t="s">
        <v>164</v>
      </c>
      <c r="D99" s="97"/>
      <c r="E99" s="97"/>
      <c r="F99" s="97"/>
      <c r="G99" s="97"/>
      <c r="H99" s="86" t="s">
        <v>142</v>
      </c>
    </row>
    <row r="100" spans="1:17" x14ac:dyDescent="0.2">
      <c r="A100" s="97"/>
      <c r="B100" s="97"/>
      <c r="C100" s="98" t="s">
        <v>165</v>
      </c>
      <c r="D100" s="97"/>
      <c r="E100" s="97"/>
      <c r="F100" s="97"/>
      <c r="G100" s="97"/>
      <c r="H100" s="86" t="s">
        <v>142</v>
      </c>
    </row>
    <row r="101" spans="1:17" x14ac:dyDescent="0.2">
      <c r="A101" s="97"/>
      <c r="B101" s="97"/>
      <c r="C101" s="98" t="s">
        <v>141</v>
      </c>
      <c r="D101" s="97"/>
      <c r="E101" s="97" t="s">
        <v>142</v>
      </c>
      <c r="F101" s="103" t="s">
        <v>144</v>
      </c>
      <c r="G101" s="100">
        <v>0</v>
      </c>
      <c r="H101" s="86" t="s">
        <v>142</v>
      </c>
    </row>
    <row r="102" spans="1:17" x14ac:dyDescent="0.2">
      <c r="A102" s="97"/>
      <c r="B102" s="97"/>
      <c r="C102" s="101"/>
      <c r="D102" s="97"/>
      <c r="E102" s="97"/>
      <c r="F102" s="102"/>
      <c r="G102" s="102"/>
      <c r="H102" s="86" t="s">
        <v>142</v>
      </c>
    </row>
    <row r="103" spans="1:17" x14ac:dyDescent="0.2">
      <c r="A103" s="97"/>
      <c r="B103" s="97"/>
      <c r="C103" s="98" t="s">
        <v>166</v>
      </c>
      <c r="D103" s="97"/>
      <c r="E103" s="97"/>
      <c r="F103" s="102"/>
      <c r="G103" s="102"/>
      <c r="H103" s="86" t="s">
        <v>142</v>
      </c>
    </row>
    <row r="104" spans="1:17" x14ac:dyDescent="0.2">
      <c r="A104" s="97"/>
      <c r="B104" s="97"/>
      <c r="C104" s="98" t="s">
        <v>141</v>
      </c>
      <c r="D104" s="97"/>
      <c r="E104" s="97" t="s">
        <v>142</v>
      </c>
      <c r="F104" s="103" t="s">
        <v>144</v>
      </c>
      <c r="G104" s="100">
        <v>0</v>
      </c>
      <c r="H104" s="86" t="s">
        <v>142</v>
      </c>
    </row>
    <row r="105" spans="1:17" x14ac:dyDescent="0.2">
      <c r="A105" s="97"/>
      <c r="B105" s="97"/>
      <c r="C105" s="101"/>
      <c r="D105" s="97"/>
      <c r="E105" s="97"/>
      <c r="F105" s="102"/>
      <c r="G105" s="102"/>
      <c r="H105" s="86" t="s">
        <v>142</v>
      </c>
    </row>
    <row r="106" spans="1:17" x14ac:dyDescent="0.2">
      <c r="A106" s="104"/>
      <c r="B106" s="93"/>
      <c r="C106" s="93" t="s">
        <v>167</v>
      </c>
      <c r="D106" s="93"/>
      <c r="E106" s="104"/>
      <c r="F106" s="95">
        <v>-0.47416733999999999</v>
      </c>
      <c r="G106" s="96">
        <v>-1.5207999999999999E-4</v>
      </c>
      <c r="H106" s="86" t="s">
        <v>142</v>
      </c>
    </row>
    <row r="107" spans="1:17" x14ac:dyDescent="0.2">
      <c r="A107" s="101"/>
      <c r="B107" s="101"/>
      <c r="C107" s="98" t="s">
        <v>168</v>
      </c>
      <c r="D107" s="102"/>
      <c r="E107" s="102"/>
      <c r="F107" s="99">
        <v>3117.8463658599999</v>
      </c>
      <c r="G107" s="105">
        <v>1</v>
      </c>
      <c r="H107" s="86" t="s">
        <v>142</v>
      </c>
    </row>
    <row r="108" spans="1:17" ht="12.75" customHeight="1" x14ac:dyDescent="0.2">
      <c r="A108" s="106"/>
      <c r="B108" s="106"/>
      <c r="C108" s="107"/>
      <c r="D108" s="108"/>
      <c r="E108" s="108"/>
      <c r="F108" s="109"/>
      <c r="G108" s="110"/>
      <c r="H108" s="111"/>
    </row>
    <row r="109" spans="1:17" x14ac:dyDescent="0.2">
      <c r="A109" s="106"/>
      <c r="B109" s="200" t="s">
        <v>918</v>
      </c>
      <c r="C109" s="200"/>
      <c r="D109" s="200"/>
      <c r="E109" s="200"/>
      <c r="F109" s="200"/>
      <c r="G109" s="200"/>
      <c r="H109" s="200"/>
      <c r="J109" s="113"/>
    </row>
    <row r="110" spans="1:17" x14ac:dyDescent="0.2">
      <c r="A110" s="106"/>
      <c r="B110" s="200" t="s">
        <v>919</v>
      </c>
      <c r="C110" s="200"/>
      <c r="D110" s="200"/>
      <c r="E110" s="200"/>
      <c r="F110" s="200"/>
      <c r="G110" s="200"/>
      <c r="H110" s="200"/>
      <c r="J110" s="113"/>
    </row>
    <row r="111" spans="1:17" x14ac:dyDescent="0.2">
      <c r="A111" s="106"/>
      <c r="B111" s="200" t="s">
        <v>920</v>
      </c>
      <c r="C111" s="200"/>
      <c r="D111" s="200"/>
      <c r="E111" s="200"/>
      <c r="F111" s="200"/>
      <c r="G111" s="200"/>
      <c r="H111" s="200"/>
      <c r="J111" s="113"/>
    </row>
    <row r="112" spans="1:17" s="115" customFormat="1" ht="66.75" customHeight="1" x14ac:dyDescent="0.25">
      <c r="A112" s="114"/>
      <c r="B112" s="201" t="s">
        <v>921</v>
      </c>
      <c r="C112" s="201"/>
      <c r="D112" s="201"/>
      <c r="E112" s="201"/>
      <c r="F112" s="201"/>
      <c r="G112" s="201"/>
      <c r="H112" s="201"/>
      <c r="I112"/>
      <c r="J112" s="113"/>
      <c r="K112"/>
      <c r="L112"/>
      <c r="M112"/>
      <c r="N112"/>
      <c r="O112"/>
      <c r="P112"/>
      <c r="Q112"/>
    </row>
    <row r="113" spans="1:10" x14ac:dyDescent="0.2">
      <c r="A113" s="106"/>
      <c r="B113" s="200" t="s">
        <v>922</v>
      </c>
      <c r="C113" s="200"/>
      <c r="D113" s="200"/>
      <c r="E113" s="200"/>
      <c r="F113" s="200"/>
      <c r="G113" s="200"/>
      <c r="H113" s="200"/>
      <c r="J113" s="113"/>
    </row>
    <row r="114" spans="1:10" x14ac:dyDescent="0.2">
      <c r="A114" s="106"/>
      <c r="B114" s="106"/>
      <c r="C114" s="106"/>
      <c r="D114" s="108"/>
      <c r="E114" s="108"/>
      <c r="F114" s="108"/>
      <c r="G114" s="108"/>
    </row>
    <row r="115" spans="1:10" x14ac:dyDescent="0.2">
      <c r="A115" s="106"/>
      <c r="B115" s="202" t="s">
        <v>169</v>
      </c>
      <c r="C115" s="203"/>
      <c r="D115" s="204"/>
      <c r="E115" s="116"/>
      <c r="F115" s="108"/>
      <c r="G115" s="108"/>
    </row>
    <row r="116" spans="1:10" ht="27.75" customHeight="1" x14ac:dyDescent="0.2">
      <c r="A116" s="106"/>
      <c r="B116" s="205" t="s">
        <v>170</v>
      </c>
      <c r="C116" s="206"/>
      <c r="D116" s="85" t="s">
        <v>171</v>
      </c>
      <c r="E116" s="116"/>
      <c r="F116" s="108"/>
      <c r="G116" s="108"/>
    </row>
    <row r="117" spans="1:10" ht="12.75" customHeight="1" x14ac:dyDescent="0.2">
      <c r="A117" s="106"/>
      <c r="B117" s="205" t="s">
        <v>923</v>
      </c>
      <c r="C117" s="206"/>
      <c r="D117" s="85" t="s">
        <v>171</v>
      </c>
      <c r="E117" s="116"/>
      <c r="F117" s="108"/>
      <c r="G117" s="108"/>
    </row>
    <row r="118" spans="1:10" x14ac:dyDescent="0.2">
      <c r="A118" s="106"/>
      <c r="B118" s="205" t="s">
        <v>172</v>
      </c>
      <c r="C118" s="206"/>
      <c r="D118" s="117" t="s">
        <v>142</v>
      </c>
      <c r="E118" s="116"/>
      <c r="F118" s="108"/>
      <c r="G118" s="108"/>
    </row>
    <row r="119" spans="1:10" x14ac:dyDescent="0.2">
      <c r="A119" s="118"/>
      <c r="B119" s="119" t="s">
        <v>142</v>
      </c>
      <c r="C119" s="119" t="s">
        <v>924</v>
      </c>
      <c r="D119" s="119" t="s">
        <v>173</v>
      </c>
      <c r="E119" s="118"/>
      <c r="F119" s="118"/>
      <c r="G119" s="118"/>
      <c r="H119" s="118"/>
      <c r="J119" s="113"/>
    </row>
    <row r="120" spans="1:10" x14ac:dyDescent="0.2">
      <c r="A120" s="118"/>
      <c r="B120" s="120" t="s">
        <v>174</v>
      </c>
      <c r="C120" s="121">
        <v>45930</v>
      </c>
      <c r="D120" s="121">
        <v>45961</v>
      </c>
      <c r="E120" s="118"/>
      <c r="F120" s="118"/>
      <c r="G120" s="118"/>
      <c r="J120" s="113"/>
    </row>
    <row r="121" spans="1:10" x14ac:dyDescent="0.2">
      <c r="A121" s="122"/>
      <c r="B121" s="93" t="s">
        <v>175</v>
      </c>
      <c r="C121" s="123">
        <v>28.302</v>
      </c>
      <c r="D121" s="123">
        <v>29.558299999999999</v>
      </c>
      <c r="E121" s="122"/>
      <c r="F121" s="124"/>
      <c r="G121" s="125"/>
    </row>
    <row r="122" spans="1:10" x14ac:dyDescent="0.2">
      <c r="A122" s="122"/>
      <c r="B122" s="93" t="s">
        <v>1101</v>
      </c>
      <c r="C122" s="123">
        <v>26.945</v>
      </c>
      <c r="D122" s="123">
        <v>28.141100000000002</v>
      </c>
      <c r="E122" s="122"/>
      <c r="F122" s="124"/>
      <c r="G122" s="125"/>
    </row>
    <row r="123" spans="1:10" x14ac:dyDescent="0.2">
      <c r="A123" s="122"/>
      <c r="B123" s="93" t="s">
        <v>176</v>
      </c>
      <c r="C123" s="123">
        <v>27.505800000000001</v>
      </c>
      <c r="D123" s="123">
        <v>28.721399999999999</v>
      </c>
      <c r="E123" s="122"/>
      <c r="F123" s="124"/>
      <c r="G123" s="125"/>
    </row>
    <row r="124" spans="1:10" x14ac:dyDescent="0.2">
      <c r="A124" s="122"/>
      <c r="B124" s="93" t="s">
        <v>1102</v>
      </c>
      <c r="C124" s="123">
        <v>26.154299999999999</v>
      </c>
      <c r="D124" s="123">
        <v>27.310099999999998</v>
      </c>
      <c r="E124" s="122"/>
      <c r="F124" s="124"/>
      <c r="G124" s="125"/>
    </row>
    <row r="125" spans="1:10" x14ac:dyDescent="0.2">
      <c r="A125" s="122"/>
      <c r="B125" s="122"/>
      <c r="C125" s="122"/>
      <c r="D125" s="122"/>
      <c r="E125" s="122"/>
      <c r="F125" s="122"/>
      <c r="G125" s="122"/>
    </row>
    <row r="126" spans="1:10" x14ac:dyDescent="0.2">
      <c r="A126" s="118"/>
      <c r="B126" s="205" t="s">
        <v>925</v>
      </c>
      <c r="C126" s="206"/>
      <c r="D126" s="85" t="s">
        <v>171</v>
      </c>
      <c r="E126" s="118"/>
      <c r="F126" s="118"/>
      <c r="G126" s="118"/>
    </row>
    <row r="127" spans="1:10" x14ac:dyDescent="0.2">
      <c r="A127" s="118"/>
      <c r="B127" s="136"/>
      <c r="C127" s="136"/>
      <c r="D127" s="136"/>
      <c r="E127" s="118"/>
      <c r="F127" s="118"/>
      <c r="G127" s="118"/>
    </row>
    <row r="128" spans="1:10" x14ac:dyDescent="0.2">
      <c r="A128" s="118"/>
      <c r="B128" s="205" t="s">
        <v>179</v>
      </c>
      <c r="C128" s="206"/>
      <c r="D128" s="85" t="s">
        <v>171</v>
      </c>
      <c r="E128" s="131"/>
      <c r="F128" s="118"/>
      <c r="G128" s="118"/>
    </row>
    <row r="129" spans="1:10" x14ac:dyDescent="0.2">
      <c r="A129" s="118"/>
      <c r="B129" s="205" t="s">
        <v>180</v>
      </c>
      <c r="C129" s="206"/>
      <c r="D129" s="85" t="s">
        <v>171</v>
      </c>
      <c r="E129" s="131"/>
      <c r="F129" s="118"/>
      <c r="G129" s="118"/>
    </row>
    <row r="130" spans="1:10" x14ac:dyDescent="0.2">
      <c r="A130" s="118"/>
      <c r="B130" s="205" t="s">
        <v>181</v>
      </c>
      <c r="C130" s="206"/>
      <c r="D130" s="85" t="s">
        <v>171</v>
      </c>
      <c r="E130" s="131"/>
      <c r="F130" s="118"/>
      <c r="G130" s="118"/>
    </row>
    <row r="131" spans="1:10" x14ac:dyDescent="0.2">
      <c r="A131" s="118"/>
      <c r="B131" s="205" t="s">
        <v>182</v>
      </c>
      <c r="C131" s="206"/>
      <c r="D131" s="132">
        <v>4.8866418205147991E-2</v>
      </c>
      <c r="E131" s="118"/>
      <c r="F131" s="112"/>
      <c r="G131" s="133"/>
    </row>
    <row r="133" spans="1:10" x14ac:dyDescent="0.2">
      <c r="B133" s="199" t="s">
        <v>926</v>
      </c>
      <c r="C133" s="199"/>
    </row>
    <row r="135" spans="1:10" ht="153.75" customHeight="1" x14ac:dyDescent="0.2"/>
    <row r="138" spans="1:10" x14ac:dyDescent="0.2">
      <c r="B138" s="134" t="s">
        <v>927</v>
      </c>
      <c r="C138" s="135"/>
      <c r="D138" s="134"/>
    </row>
    <row r="139" spans="1:10" x14ac:dyDescent="0.2">
      <c r="B139" s="134" t="s">
        <v>941</v>
      </c>
      <c r="D139" s="134"/>
    </row>
    <row r="140" spans="1:10" ht="165" customHeight="1" x14ac:dyDescent="0.2"/>
    <row r="141" spans="1:10" x14ac:dyDescent="0.2">
      <c r="J141" s="83"/>
    </row>
  </sheetData>
  <mergeCells count="18">
    <mergeCell ref="B133:C133"/>
    <mergeCell ref="B131:C131"/>
    <mergeCell ref="A1:H1"/>
    <mergeCell ref="A2:H2"/>
    <mergeCell ref="A3:H3"/>
    <mergeCell ref="B126:C126"/>
    <mergeCell ref="B130:C130"/>
    <mergeCell ref="B109:H109"/>
    <mergeCell ref="B110:H110"/>
    <mergeCell ref="B117:C117"/>
    <mergeCell ref="B118:C118"/>
    <mergeCell ref="B128:C128"/>
    <mergeCell ref="B129:C129"/>
    <mergeCell ref="B111:H111"/>
    <mergeCell ref="B112:H112"/>
    <mergeCell ref="B113:H113"/>
    <mergeCell ref="B115:D115"/>
    <mergeCell ref="B116:C116"/>
  </mergeCells>
  <hyperlinks>
    <hyperlink ref="I1" location="Index!B2" display="Index" xr:uid="{5F64E4D3-2290-4013-954B-5479A120B7B1}"/>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8FE0A-98EE-4C9F-99FA-D4FEC7AE44E9}">
  <sheetPr>
    <outlinePr summaryBelow="0" summaryRight="0"/>
  </sheetPr>
  <dimension ref="A1:Q160"/>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6.570312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453</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355</v>
      </c>
      <c r="C7" s="93" t="s">
        <v>356</v>
      </c>
      <c r="D7" s="93" t="s">
        <v>109</v>
      </c>
      <c r="E7" s="94">
        <v>35553</v>
      </c>
      <c r="F7" s="95">
        <v>241.0671165</v>
      </c>
      <c r="G7" s="96">
        <v>6.4828949999999996E-2</v>
      </c>
      <c r="H7" s="86" t="s">
        <v>142</v>
      </c>
    </row>
    <row r="8" spans="1:9" x14ac:dyDescent="0.2">
      <c r="A8" s="92">
        <v>2</v>
      </c>
      <c r="B8" s="93" t="s">
        <v>340</v>
      </c>
      <c r="C8" s="93" t="s">
        <v>341</v>
      </c>
      <c r="D8" s="93" t="s">
        <v>257</v>
      </c>
      <c r="E8" s="94">
        <v>10679</v>
      </c>
      <c r="F8" s="95">
        <v>206.16877400000001</v>
      </c>
      <c r="G8" s="96">
        <v>5.5443920000000001E-2</v>
      </c>
      <c r="H8" s="86" t="s">
        <v>142</v>
      </c>
    </row>
    <row r="9" spans="1:9" x14ac:dyDescent="0.2">
      <c r="A9" s="92">
        <v>3</v>
      </c>
      <c r="B9" s="93" t="s">
        <v>81</v>
      </c>
      <c r="C9" s="93" t="s">
        <v>82</v>
      </c>
      <c r="D9" s="93" t="s">
        <v>58</v>
      </c>
      <c r="E9" s="94">
        <v>22800</v>
      </c>
      <c r="F9" s="95">
        <v>180.26820000000001</v>
      </c>
      <c r="G9" s="96">
        <v>4.8478609999999998E-2</v>
      </c>
      <c r="H9" s="86" t="s">
        <v>142</v>
      </c>
    </row>
    <row r="10" spans="1:9" x14ac:dyDescent="0.2">
      <c r="A10" s="92">
        <v>4</v>
      </c>
      <c r="B10" s="93" t="s">
        <v>361</v>
      </c>
      <c r="C10" s="93" t="s">
        <v>362</v>
      </c>
      <c r="D10" s="93" t="s">
        <v>48</v>
      </c>
      <c r="E10" s="94">
        <v>8097</v>
      </c>
      <c r="F10" s="95">
        <v>172.85475600000001</v>
      </c>
      <c r="G10" s="96">
        <v>4.6484949999999997E-2</v>
      </c>
      <c r="H10" s="86" t="s">
        <v>142</v>
      </c>
    </row>
    <row r="11" spans="1:9" x14ac:dyDescent="0.2">
      <c r="A11" s="92">
        <v>5</v>
      </c>
      <c r="B11" s="93" t="s">
        <v>359</v>
      </c>
      <c r="C11" s="93" t="s">
        <v>360</v>
      </c>
      <c r="D11" s="93" t="s">
        <v>35</v>
      </c>
      <c r="E11" s="94">
        <v>37549</v>
      </c>
      <c r="F11" s="95">
        <v>155.20879149999999</v>
      </c>
      <c r="G11" s="96">
        <v>4.1739510000000001E-2</v>
      </c>
      <c r="H11" s="86" t="s">
        <v>142</v>
      </c>
    </row>
    <row r="12" spans="1:9" x14ac:dyDescent="0.2">
      <c r="A12" s="92">
        <v>6</v>
      </c>
      <c r="B12" s="93" t="s">
        <v>357</v>
      </c>
      <c r="C12" s="93" t="s">
        <v>358</v>
      </c>
      <c r="D12" s="93" t="s">
        <v>35</v>
      </c>
      <c r="E12" s="94">
        <v>298383</v>
      </c>
      <c r="F12" s="95">
        <v>154.68174719999999</v>
      </c>
      <c r="G12" s="96">
        <v>4.1597769999999999E-2</v>
      </c>
      <c r="H12" s="86" t="s">
        <v>142</v>
      </c>
    </row>
    <row r="13" spans="1:9" x14ac:dyDescent="0.2">
      <c r="A13" s="92">
        <v>7</v>
      </c>
      <c r="B13" s="93" t="s">
        <v>363</v>
      </c>
      <c r="C13" s="93" t="s">
        <v>364</v>
      </c>
      <c r="D13" s="93" t="s">
        <v>218</v>
      </c>
      <c r="E13" s="94">
        <v>53380</v>
      </c>
      <c r="F13" s="95">
        <v>152.69349</v>
      </c>
      <c r="G13" s="96">
        <v>4.1063080000000002E-2</v>
      </c>
      <c r="H13" s="86" t="s">
        <v>142</v>
      </c>
    </row>
    <row r="14" spans="1:9" ht="25.5" x14ac:dyDescent="0.2">
      <c r="A14" s="92">
        <v>8</v>
      </c>
      <c r="B14" s="93" t="s">
        <v>367</v>
      </c>
      <c r="C14" s="93" t="s">
        <v>368</v>
      </c>
      <c r="D14" s="93" t="s">
        <v>275</v>
      </c>
      <c r="E14" s="94">
        <v>2631</v>
      </c>
      <c r="F14" s="95">
        <v>149.63549399999999</v>
      </c>
      <c r="G14" s="96">
        <v>4.0240709999999999E-2</v>
      </c>
      <c r="H14" s="86" t="s">
        <v>142</v>
      </c>
    </row>
    <row r="15" spans="1:9" x14ac:dyDescent="0.2">
      <c r="A15" s="92">
        <v>9</v>
      </c>
      <c r="B15" s="93" t="s">
        <v>373</v>
      </c>
      <c r="C15" s="93" t="s">
        <v>374</v>
      </c>
      <c r="D15" s="93" t="s">
        <v>215</v>
      </c>
      <c r="E15" s="94">
        <v>5956</v>
      </c>
      <c r="F15" s="95">
        <v>148.44734399999999</v>
      </c>
      <c r="G15" s="96">
        <v>3.9921190000000002E-2</v>
      </c>
      <c r="H15" s="86" t="s">
        <v>142</v>
      </c>
    </row>
    <row r="16" spans="1:9" x14ac:dyDescent="0.2">
      <c r="A16" s="92">
        <v>10</v>
      </c>
      <c r="B16" s="93" t="s">
        <v>365</v>
      </c>
      <c r="C16" s="93" t="s">
        <v>366</v>
      </c>
      <c r="D16" s="93" t="s">
        <v>48</v>
      </c>
      <c r="E16" s="94">
        <v>46205</v>
      </c>
      <c r="F16" s="95">
        <v>131.63804500000001</v>
      </c>
      <c r="G16" s="96">
        <v>3.5400750000000002E-2</v>
      </c>
      <c r="H16" s="86" t="s">
        <v>142</v>
      </c>
    </row>
    <row r="17" spans="1:8" ht="25.5" x14ac:dyDescent="0.2">
      <c r="A17" s="92">
        <v>11</v>
      </c>
      <c r="B17" s="93" t="s">
        <v>74</v>
      </c>
      <c r="C17" s="93" t="s">
        <v>75</v>
      </c>
      <c r="D17" s="93" t="s">
        <v>25</v>
      </c>
      <c r="E17" s="94">
        <v>2090</v>
      </c>
      <c r="F17" s="95">
        <v>129.87260000000001</v>
      </c>
      <c r="G17" s="96">
        <v>3.4925980000000002E-2</v>
      </c>
      <c r="H17" s="86" t="s">
        <v>142</v>
      </c>
    </row>
    <row r="18" spans="1:8" x14ac:dyDescent="0.2">
      <c r="A18" s="92">
        <v>12</v>
      </c>
      <c r="B18" s="93" t="s">
        <v>69</v>
      </c>
      <c r="C18" s="93" t="s">
        <v>70</v>
      </c>
      <c r="D18" s="93" t="s">
        <v>58</v>
      </c>
      <c r="E18" s="94">
        <v>2886</v>
      </c>
      <c r="F18" s="95">
        <v>116.36351999999999</v>
      </c>
      <c r="G18" s="96">
        <v>3.1293050000000003E-2</v>
      </c>
      <c r="H18" s="86" t="s">
        <v>142</v>
      </c>
    </row>
    <row r="19" spans="1:8" ht="25.5" x14ac:dyDescent="0.2">
      <c r="A19" s="92">
        <v>13</v>
      </c>
      <c r="B19" s="93" t="s">
        <v>369</v>
      </c>
      <c r="C19" s="93" t="s">
        <v>370</v>
      </c>
      <c r="D19" s="93" t="s">
        <v>225</v>
      </c>
      <c r="E19" s="94">
        <v>1831</v>
      </c>
      <c r="F19" s="95">
        <v>112.908615</v>
      </c>
      <c r="G19" s="96">
        <v>3.0363939999999999E-2</v>
      </c>
      <c r="H19" s="86" t="s">
        <v>142</v>
      </c>
    </row>
    <row r="20" spans="1:8" x14ac:dyDescent="0.2">
      <c r="A20" s="92">
        <v>14</v>
      </c>
      <c r="B20" s="93" t="s">
        <v>221</v>
      </c>
      <c r="C20" s="93" t="s">
        <v>222</v>
      </c>
      <c r="D20" s="93" t="s">
        <v>186</v>
      </c>
      <c r="E20" s="94">
        <v>707</v>
      </c>
      <c r="F20" s="95">
        <v>107.28725</v>
      </c>
      <c r="G20" s="96">
        <v>2.885221E-2</v>
      </c>
      <c r="H20" s="86" t="s">
        <v>142</v>
      </c>
    </row>
    <row r="21" spans="1:8" x14ac:dyDescent="0.2">
      <c r="A21" s="92">
        <v>15</v>
      </c>
      <c r="B21" s="93" t="s">
        <v>371</v>
      </c>
      <c r="C21" s="93" t="s">
        <v>372</v>
      </c>
      <c r="D21" s="93" t="s">
        <v>204</v>
      </c>
      <c r="E21" s="94">
        <v>16328</v>
      </c>
      <c r="F21" s="95">
        <v>104.21346</v>
      </c>
      <c r="G21" s="96">
        <v>2.8025600000000001E-2</v>
      </c>
      <c r="H21" s="86" t="s">
        <v>142</v>
      </c>
    </row>
    <row r="22" spans="1:8" x14ac:dyDescent="0.2">
      <c r="A22" s="92">
        <v>16</v>
      </c>
      <c r="B22" s="93" t="s">
        <v>379</v>
      </c>
      <c r="C22" s="93" t="s">
        <v>380</v>
      </c>
      <c r="D22" s="93" t="s">
        <v>35</v>
      </c>
      <c r="E22" s="94">
        <v>180840</v>
      </c>
      <c r="F22" s="95">
        <v>103.060716</v>
      </c>
      <c r="G22" s="96">
        <v>2.7715589999999998E-2</v>
      </c>
      <c r="H22" s="86" t="s">
        <v>142</v>
      </c>
    </row>
    <row r="23" spans="1:8" x14ac:dyDescent="0.2">
      <c r="A23" s="92">
        <v>17</v>
      </c>
      <c r="B23" s="93" t="s">
        <v>44</v>
      </c>
      <c r="C23" s="93" t="s">
        <v>45</v>
      </c>
      <c r="D23" s="93" t="s">
        <v>16</v>
      </c>
      <c r="E23" s="94">
        <v>7465</v>
      </c>
      <c r="F23" s="95">
        <v>93.790260000000004</v>
      </c>
      <c r="G23" s="96">
        <v>2.5222540000000002E-2</v>
      </c>
      <c r="H23" s="86" t="s">
        <v>142</v>
      </c>
    </row>
    <row r="24" spans="1:8" x14ac:dyDescent="0.2">
      <c r="A24" s="92">
        <v>18</v>
      </c>
      <c r="B24" s="93" t="s">
        <v>336</v>
      </c>
      <c r="C24" s="93" t="s">
        <v>337</v>
      </c>
      <c r="D24" s="93" t="s">
        <v>215</v>
      </c>
      <c r="E24" s="94">
        <v>991</v>
      </c>
      <c r="F24" s="95">
        <v>91.603084999999993</v>
      </c>
      <c r="G24" s="96">
        <v>2.4634349999999999E-2</v>
      </c>
      <c r="H24" s="86" t="s">
        <v>142</v>
      </c>
    </row>
    <row r="25" spans="1:8" x14ac:dyDescent="0.2">
      <c r="A25" s="92">
        <v>19</v>
      </c>
      <c r="B25" s="93" t="s">
        <v>381</v>
      </c>
      <c r="C25" s="93" t="s">
        <v>382</v>
      </c>
      <c r="D25" s="93" t="s">
        <v>383</v>
      </c>
      <c r="E25" s="94">
        <v>7495</v>
      </c>
      <c r="F25" s="95">
        <v>90.434669999999997</v>
      </c>
      <c r="G25" s="96">
        <v>2.4320140000000001E-2</v>
      </c>
      <c r="H25" s="86" t="s">
        <v>142</v>
      </c>
    </row>
    <row r="26" spans="1:8" ht="25.5" x14ac:dyDescent="0.2">
      <c r="A26" s="92">
        <v>20</v>
      </c>
      <c r="B26" s="93" t="s">
        <v>388</v>
      </c>
      <c r="C26" s="93" t="s">
        <v>389</v>
      </c>
      <c r="D26" s="93" t="s">
        <v>390</v>
      </c>
      <c r="E26" s="94">
        <v>23998</v>
      </c>
      <c r="F26" s="95">
        <v>79.985333999999995</v>
      </c>
      <c r="G26" s="96">
        <v>2.1510049999999999E-2</v>
      </c>
      <c r="H26" s="86" t="s">
        <v>142</v>
      </c>
    </row>
    <row r="27" spans="1:8" x14ac:dyDescent="0.2">
      <c r="A27" s="92">
        <v>21</v>
      </c>
      <c r="B27" s="93" t="s">
        <v>384</v>
      </c>
      <c r="C27" s="93" t="s">
        <v>385</v>
      </c>
      <c r="D27" s="93" t="s">
        <v>186</v>
      </c>
      <c r="E27" s="94">
        <v>9140</v>
      </c>
      <c r="F27" s="95">
        <v>79.326059999999998</v>
      </c>
      <c r="G27" s="96">
        <v>2.1332750000000001E-2</v>
      </c>
      <c r="H27" s="86" t="s">
        <v>142</v>
      </c>
    </row>
    <row r="28" spans="1:8" x14ac:dyDescent="0.2">
      <c r="A28" s="92">
        <v>22</v>
      </c>
      <c r="B28" s="93" t="s">
        <v>386</v>
      </c>
      <c r="C28" s="93" t="s">
        <v>387</v>
      </c>
      <c r="D28" s="93" t="s">
        <v>186</v>
      </c>
      <c r="E28" s="94">
        <v>4105</v>
      </c>
      <c r="F28" s="95">
        <v>78.512230000000002</v>
      </c>
      <c r="G28" s="96">
        <v>2.111389E-2</v>
      </c>
      <c r="H28" s="86" t="s">
        <v>142</v>
      </c>
    </row>
    <row r="29" spans="1:8" x14ac:dyDescent="0.2">
      <c r="A29" s="92">
        <v>23</v>
      </c>
      <c r="B29" s="93" t="s">
        <v>71</v>
      </c>
      <c r="C29" s="93" t="s">
        <v>72</v>
      </c>
      <c r="D29" s="93" t="s">
        <v>73</v>
      </c>
      <c r="E29" s="94">
        <v>7562</v>
      </c>
      <c r="F29" s="95">
        <v>78.470873999999995</v>
      </c>
      <c r="G29" s="96">
        <v>2.110277E-2</v>
      </c>
      <c r="H29" s="86" t="s">
        <v>142</v>
      </c>
    </row>
    <row r="30" spans="1:8" x14ac:dyDescent="0.2">
      <c r="A30" s="92">
        <v>24</v>
      </c>
      <c r="B30" s="93" t="s">
        <v>79</v>
      </c>
      <c r="C30" s="93" t="s">
        <v>80</v>
      </c>
      <c r="D30" s="93" t="s">
        <v>58</v>
      </c>
      <c r="E30" s="94">
        <v>1517</v>
      </c>
      <c r="F30" s="95">
        <v>74.493802000000002</v>
      </c>
      <c r="G30" s="96">
        <v>2.0033240000000001E-2</v>
      </c>
      <c r="H30" s="86" t="s">
        <v>142</v>
      </c>
    </row>
    <row r="31" spans="1:8" x14ac:dyDescent="0.2">
      <c r="A31" s="92">
        <v>25</v>
      </c>
      <c r="B31" s="93" t="s">
        <v>403</v>
      </c>
      <c r="C31" s="93" t="s">
        <v>404</v>
      </c>
      <c r="D31" s="93" t="s">
        <v>204</v>
      </c>
      <c r="E31" s="94">
        <v>19125</v>
      </c>
      <c r="F31" s="95">
        <v>71.0685</v>
      </c>
      <c r="G31" s="96">
        <v>1.9112090000000002E-2</v>
      </c>
      <c r="H31" s="86" t="s">
        <v>142</v>
      </c>
    </row>
    <row r="32" spans="1:8" x14ac:dyDescent="0.2">
      <c r="A32" s="92">
        <v>26</v>
      </c>
      <c r="B32" s="93" t="s">
        <v>391</v>
      </c>
      <c r="C32" s="93" t="s">
        <v>392</v>
      </c>
      <c r="D32" s="93" t="s">
        <v>58</v>
      </c>
      <c r="E32" s="94">
        <v>14157</v>
      </c>
      <c r="F32" s="95">
        <v>67.500575999999995</v>
      </c>
      <c r="G32" s="96">
        <v>1.815259E-2</v>
      </c>
      <c r="H32" s="86" t="s">
        <v>142</v>
      </c>
    </row>
    <row r="33" spans="1:8" x14ac:dyDescent="0.2">
      <c r="A33" s="92">
        <v>27</v>
      </c>
      <c r="B33" s="93" t="s">
        <v>393</v>
      </c>
      <c r="C33" s="93" t="s">
        <v>394</v>
      </c>
      <c r="D33" s="93" t="s">
        <v>186</v>
      </c>
      <c r="E33" s="94">
        <v>6319</v>
      </c>
      <c r="F33" s="95">
        <v>58.684553000000001</v>
      </c>
      <c r="G33" s="96">
        <v>1.5781739999999999E-2</v>
      </c>
      <c r="H33" s="86" t="s">
        <v>142</v>
      </c>
    </row>
    <row r="34" spans="1:8" x14ac:dyDescent="0.2">
      <c r="A34" s="92">
        <v>28</v>
      </c>
      <c r="B34" s="93" t="s">
        <v>399</v>
      </c>
      <c r="C34" s="93" t="s">
        <v>400</v>
      </c>
      <c r="D34" s="93" t="s">
        <v>218</v>
      </c>
      <c r="E34" s="94">
        <v>9506</v>
      </c>
      <c r="F34" s="95">
        <v>56.403851000000003</v>
      </c>
      <c r="G34" s="96">
        <v>1.51684E-2</v>
      </c>
      <c r="H34" s="86" t="s">
        <v>142</v>
      </c>
    </row>
    <row r="35" spans="1:8" x14ac:dyDescent="0.2">
      <c r="A35" s="92">
        <v>29</v>
      </c>
      <c r="B35" s="93" t="s">
        <v>395</v>
      </c>
      <c r="C35" s="93" t="s">
        <v>396</v>
      </c>
      <c r="D35" s="93" t="s">
        <v>257</v>
      </c>
      <c r="E35" s="94">
        <v>12789</v>
      </c>
      <c r="F35" s="95">
        <v>54.672975000000001</v>
      </c>
      <c r="G35" s="96">
        <v>1.470292E-2</v>
      </c>
      <c r="H35" s="86" t="s">
        <v>142</v>
      </c>
    </row>
    <row r="36" spans="1:8" ht="25.5" x14ac:dyDescent="0.2">
      <c r="A36" s="92">
        <v>30</v>
      </c>
      <c r="B36" s="93" t="s">
        <v>401</v>
      </c>
      <c r="C36" s="93" t="s">
        <v>402</v>
      </c>
      <c r="D36" s="93" t="s">
        <v>225</v>
      </c>
      <c r="E36" s="94">
        <v>6182</v>
      </c>
      <c r="F36" s="95">
        <v>50.686217999999997</v>
      </c>
      <c r="G36" s="96">
        <v>1.363079E-2</v>
      </c>
      <c r="H36" s="86" t="s">
        <v>142</v>
      </c>
    </row>
    <row r="37" spans="1:8" x14ac:dyDescent="0.2">
      <c r="A37" s="92">
        <v>31</v>
      </c>
      <c r="B37" s="93" t="s">
        <v>449</v>
      </c>
      <c r="C37" s="93" t="s">
        <v>450</v>
      </c>
      <c r="D37" s="93" t="s">
        <v>58</v>
      </c>
      <c r="E37" s="94">
        <v>10251</v>
      </c>
      <c r="F37" s="95">
        <v>49.184297999999998</v>
      </c>
      <c r="G37" s="96">
        <v>1.322688E-2</v>
      </c>
      <c r="H37" s="86" t="s">
        <v>142</v>
      </c>
    </row>
    <row r="38" spans="1:8" x14ac:dyDescent="0.2">
      <c r="A38" s="92">
        <v>32</v>
      </c>
      <c r="B38" s="93" t="s">
        <v>407</v>
      </c>
      <c r="C38" s="93" t="s">
        <v>408</v>
      </c>
      <c r="D38" s="93" t="s">
        <v>409</v>
      </c>
      <c r="E38" s="94">
        <v>3350</v>
      </c>
      <c r="F38" s="95">
        <v>40.8767</v>
      </c>
      <c r="G38" s="96">
        <v>1.0992760000000001E-2</v>
      </c>
      <c r="H38" s="86" t="s">
        <v>142</v>
      </c>
    </row>
    <row r="39" spans="1:8" x14ac:dyDescent="0.2">
      <c r="A39" s="92">
        <v>33</v>
      </c>
      <c r="B39" s="93" t="s">
        <v>410</v>
      </c>
      <c r="C39" s="93" t="s">
        <v>411</v>
      </c>
      <c r="D39" s="93" t="s">
        <v>48</v>
      </c>
      <c r="E39" s="94">
        <v>3782</v>
      </c>
      <c r="F39" s="95">
        <v>28.548427</v>
      </c>
      <c r="G39" s="96">
        <v>7.6773800000000001E-3</v>
      </c>
      <c r="H39" s="86" t="s">
        <v>142</v>
      </c>
    </row>
    <row r="40" spans="1:8" x14ac:dyDescent="0.2">
      <c r="A40" s="92">
        <v>34</v>
      </c>
      <c r="B40" s="93" t="s">
        <v>405</v>
      </c>
      <c r="C40" s="93" t="s">
        <v>406</v>
      </c>
      <c r="D40" s="93" t="s">
        <v>48</v>
      </c>
      <c r="E40" s="94">
        <v>3365</v>
      </c>
      <c r="F40" s="95">
        <v>25.387242499999999</v>
      </c>
      <c r="G40" s="96">
        <v>6.8272599999999999E-3</v>
      </c>
      <c r="H40" s="86" t="s">
        <v>142</v>
      </c>
    </row>
    <row r="41" spans="1:8" x14ac:dyDescent="0.2">
      <c r="A41" s="92">
        <v>35</v>
      </c>
      <c r="B41" s="93" t="s">
        <v>414</v>
      </c>
      <c r="C41" s="93" t="s">
        <v>415</v>
      </c>
      <c r="D41" s="93" t="s">
        <v>38</v>
      </c>
      <c r="E41" s="94">
        <v>4604</v>
      </c>
      <c r="F41" s="95">
        <v>14.081334</v>
      </c>
      <c r="G41" s="96">
        <v>3.7868200000000002E-3</v>
      </c>
      <c r="H41" s="86" t="s">
        <v>142</v>
      </c>
    </row>
    <row r="42" spans="1:8" x14ac:dyDescent="0.2">
      <c r="A42" s="97"/>
      <c r="B42" s="97"/>
      <c r="C42" s="98" t="s">
        <v>141</v>
      </c>
      <c r="D42" s="97"/>
      <c r="E42" s="97" t="s">
        <v>142</v>
      </c>
      <c r="F42" s="99">
        <v>3550.0809086999998</v>
      </c>
      <c r="G42" s="100">
        <v>0.95470516999999999</v>
      </c>
      <c r="H42" s="86" t="s">
        <v>142</v>
      </c>
    </row>
    <row r="43" spans="1:8" x14ac:dyDescent="0.2">
      <c r="A43" s="97"/>
      <c r="B43" s="97"/>
      <c r="C43" s="101"/>
      <c r="D43" s="97"/>
      <c r="E43" s="97"/>
      <c r="F43" s="102"/>
      <c r="G43" s="102"/>
      <c r="H43" s="86" t="s">
        <v>142</v>
      </c>
    </row>
    <row r="44" spans="1:8" x14ac:dyDescent="0.2">
      <c r="A44" s="97"/>
      <c r="B44" s="97"/>
      <c r="C44" s="98" t="s">
        <v>143</v>
      </c>
      <c r="D44" s="97"/>
      <c r="E44" s="97"/>
      <c r="F44" s="97"/>
      <c r="G44" s="97"/>
      <c r="H44" s="86" t="s">
        <v>142</v>
      </c>
    </row>
    <row r="45" spans="1:8" x14ac:dyDescent="0.2">
      <c r="A45" s="97"/>
      <c r="B45" s="97"/>
      <c r="C45" s="98" t="s">
        <v>141</v>
      </c>
      <c r="D45" s="97"/>
      <c r="E45" s="97" t="s">
        <v>142</v>
      </c>
      <c r="F45" s="103" t="s">
        <v>144</v>
      </c>
      <c r="G45" s="100">
        <v>0</v>
      </c>
      <c r="H45" s="86" t="s">
        <v>142</v>
      </c>
    </row>
    <row r="46" spans="1:8" x14ac:dyDescent="0.2">
      <c r="A46" s="97"/>
      <c r="B46" s="97"/>
      <c r="C46" s="101"/>
      <c r="D46" s="97"/>
      <c r="E46" s="97"/>
      <c r="F46" s="102"/>
      <c r="G46" s="102"/>
      <c r="H46" s="86" t="s">
        <v>142</v>
      </c>
    </row>
    <row r="47" spans="1:8" x14ac:dyDescent="0.2">
      <c r="A47" s="97"/>
      <c r="B47" s="97"/>
      <c r="C47" s="98" t="s">
        <v>145</v>
      </c>
      <c r="D47" s="97"/>
      <c r="E47" s="97"/>
      <c r="F47" s="97"/>
      <c r="G47" s="97"/>
      <c r="H47" s="86" t="s">
        <v>142</v>
      </c>
    </row>
    <row r="48" spans="1:8" x14ac:dyDescent="0.2">
      <c r="A48" s="97"/>
      <c r="B48" s="97"/>
      <c r="C48" s="98" t="s">
        <v>141</v>
      </c>
      <c r="D48" s="97"/>
      <c r="E48" s="97" t="s">
        <v>142</v>
      </c>
      <c r="F48" s="103" t="s">
        <v>144</v>
      </c>
      <c r="G48" s="100">
        <v>0</v>
      </c>
      <c r="H48" s="86" t="s">
        <v>142</v>
      </c>
    </row>
    <row r="49" spans="1:8" x14ac:dyDescent="0.2">
      <c r="A49" s="97"/>
      <c r="B49" s="97"/>
      <c r="C49" s="101"/>
      <c r="D49" s="97"/>
      <c r="E49" s="97"/>
      <c r="F49" s="102"/>
      <c r="G49" s="102"/>
      <c r="H49" s="86" t="s">
        <v>142</v>
      </c>
    </row>
    <row r="50" spans="1:8" x14ac:dyDescent="0.2">
      <c r="A50" s="97"/>
      <c r="B50" s="97"/>
      <c r="C50" s="98" t="s">
        <v>146</v>
      </c>
      <c r="D50" s="97"/>
      <c r="E50" s="97"/>
      <c r="F50" s="97"/>
      <c r="G50" s="97"/>
      <c r="H50" s="86" t="s">
        <v>142</v>
      </c>
    </row>
    <row r="51" spans="1:8" x14ac:dyDescent="0.2">
      <c r="A51" s="97"/>
      <c r="B51" s="97"/>
      <c r="C51" s="98" t="s">
        <v>141</v>
      </c>
      <c r="D51" s="97"/>
      <c r="E51" s="97" t="s">
        <v>142</v>
      </c>
      <c r="F51" s="103" t="s">
        <v>144</v>
      </c>
      <c r="G51" s="100">
        <v>0</v>
      </c>
      <c r="H51" s="86" t="s">
        <v>142</v>
      </c>
    </row>
    <row r="52" spans="1:8" x14ac:dyDescent="0.2">
      <c r="A52" s="97"/>
      <c r="B52" s="97"/>
      <c r="C52" s="101"/>
      <c r="D52" s="97"/>
      <c r="E52" s="97"/>
      <c r="F52" s="102"/>
      <c r="G52" s="102"/>
      <c r="H52" s="86" t="s">
        <v>142</v>
      </c>
    </row>
    <row r="53" spans="1:8" x14ac:dyDescent="0.2">
      <c r="A53" s="97"/>
      <c r="B53" s="97"/>
      <c r="C53" s="98" t="s">
        <v>147</v>
      </c>
      <c r="D53" s="97"/>
      <c r="E53" s="97"/>
      <c r="F53" s="102"/>
      <c r="G53" s="102"/>
      <c r="H53" s="86" t="s">
        <v>142</v>
      </c>
    </row>
    <row r="54" spans="1:8" x14ac:dyDescent="0.2">
      <c r="A54" s="97"/>
      <c r="B54" s="97"/>
      <c r="C54" s="98" t="s">
        <v>141</v>
      </c>
      <c r="D54" s="97"/>
      <c r="E54" s="97" t="s">
        <v>142</v>
      </c>
      <c r="F54" s="103" t="s">
        <v>144</v>
      </c>
      <c r="G54" s="100">
        <v>0</v>
      </c>
      <c r="H54" s="86" t="s">
        <v>142</v>
      </c>
    </row>
    <row r="55" spans="1:8" x14ac:dyDescent="0.2">
      <c r="A55" s="97"/>
      <c r="B55" s="97"/>
      <c r="C55" s="101"/>
      <c r="D55" s="97"/>
      <c r="E55" s="97"/>
      <c r="F55" s="102"/>
      <c r="G55" s="102"/>
      <c r="H55" s="86" t="s">
        <v>142</v>
      </c>
    </row>
    <row r="56" spans="1:8" x14ac:dyDescent="0.2">
      <c r="A56" s="97"/>
      <c r="B56" s="97"/>
      <c r="C56" s="98" t="s">
        <v>148</v>
      </c>
      <c r="D56" s="97"/>
      <c r="E56" s="97"/>
      <c r="F56" s="102"/>
      <c r="G56" s="102"/>
      <c r="H56" s="86" t="s">
        <v>142</v>
      </c>
    </row>
    <row r="57" spans="1:8" x14ac:dyDescent="0.2">
      <c r="A57" s="97"/>
      <c r="B57" s="97"/>
      <c r="C57" s="98" t="s">
        <v>141</v>
      </c>
      <c r="D57" s="97"/>
      <c r="E57" s="97" t="s">
        <v>142</v>
      </c>
      <c r="F57" s="103" t="s">
        <v>144</v>
      </c>
      <c r="G57" s="100">
        <v>0</v>
      </c>
      <c r="H57" s="86" t="s">
        <v>142</v>
      </c>
    </row>
    <row r="58" spans="1:8" x14ac:dyDescent="0.2">
      <c r="A58" s="97"/>
      <c r="B58" s="97"/>
      <c r="C58" s="101"/>
      <c r="D58" s="97"/>
      <c r="E58" s="97"/>
      <c r="F58" s="102"/>
      <c r="G58" s="102"/>
      <c r="H58" s="86" t="s">
        <v>142</v>
      </c>
    </row>
    <row r="59" spans="1:8" x14ac:dyDescent="0.2">
      <c r="A59" s="97"/>
      <c r="B59" s="97"/>
      <c r="C59" s="98" t="s">
        <v>149</v>
      </c>
      <c r="D59" s="97"/>
      <c r="E59" s="97"/>
      <c r="F59" s="99">
        <v>3550.0809086999998</v>
      </c>
      <c r="G59" s="100">
        <v>0.95470516999999999</v>
      </c>
      <c r="H59" s="86" t="s">
        <v>142</v>
      </c>
    </row>
    <row r="60" spans="1:8" x14ac:dyDescent="0.2">
      <c r="A60" s="97"/>
      <c r="B60" s="97"/>
      <c r="C60" s="101"/>
      <c r="D60" s="97"/>
      <c r="E60" s="97"/>
      <c r="F60" s="102"/>
      <c r="G60" s="102"/>
      <c r="H60" s="86" t="s">
        <v>142</v>
      </c>
    </row>
    <row r="61" spans="1:8" x14ac:dyDescent="0.2">
      <c r="A61" s="97"/>
      <c r="B61" s="97"/>
      <c r="C61" s="98" t="s">
        <v>150</v>
      </c>
      <c r="D61" s="97"/>
      <c r="E61" s="97"/>
      <c r="F61" s="102"/>
      <c r="G61" s="102"/>
      <c r="H61" s="86" t="s">
        <v>142</v>
      </c>
    </row>
    <row r="62" spans="1:8" x14ac:dyDescent="0.2">
      <c r="A62" s="97"/>
      <c r="B62" s="97"/>
      <c r="C62" s="98" t="s">
        <v>10</v>
      </c>
      <c r="D62" s="97"/>
      <c r="E62" s="97"/>
      <c r="F62" s="102"/>
      <c r="G62" s="102"/>
      <c r="H62" s="86" t="s">
        <v>142</v>
      </c>
    </row>
    <row r="63" spans="1:8" x14ac:dyDescent="0.2">
      <c r="A63" s="97"/>
      <c r="B63" s="97"/>
      <c r="C63" s="98" t="s">
        <v>141</v>
      </c>
      <c r="D63" s="97"/>
      <c r="E63" s="97" t="s">
        <v>142</v>
      </c>
      <c r="F63" s="103" t="s">
        <v>144</v>
      </c>
      <c r="G63" s="100">
        <v>0</v>
      </c>
      <c r="H63" s="86" t="s">
        <v>142</v>
      </c>
    </row>
    <row r="64" spans="1:8" x14ac:dyDescent="0.2">
      <c r="A64" s="97"/>
      <c r="B64" s="97"/>
      <c r="C64" s="101"/>
      <c r="D64" s="97"/>
      <c r="E64" s="97"/>
      <c r="F64" s="102"/>
      <c r="G64" s="102"/>
      <c r="H64" s="86" t="s">
        <v>142</v>
      </c>
    </row>
    <row r="65" spans="1:8" x14ac:dyDescent="0.2">
      <c r="A65" s="97"/>
      <c r="B65" s="97"/>
      <c r="C65" s="98" t="s">
        <v>151</v>
      </c>
      <c r="D65" s="97"/>
      <c r="E65" s="97"/>
      <c r="F65" s="97"/>
      <c r="G65" s="97"/>
      <c r="H65" s="86" t="s">
        <v>142</v>
      </c>
    </row>
    <row r="66" spans="1:8" x14ac:dyDescent="0.2">
      <c r="A66" s="97"/>
      <c r="B66" s="97"/>
      <c r="C66" s="98" t="s">
        <v>141</v>
      </c>
      <c r="D66" s="97"/>
      <c r="E66" s="97" t="s">
        <v>142</v>
      </c>
      <c r="F66" s="103" t="s">
        <v>144</v>
      </c>
      <c r="G66" s="100">
        <v>0</v>
      </c>
      <c r="H66" s="86" t="s">
        <v>142</v>
      </c>
    </row>
    <row r="67" spans="1:8" x14ac:dyDescent="0.2">
      <c r="A67" s="97"/>
      <c r="B67" s="97"/>
      <c r="C67" s="101"/>
      <c r="D67" s="97"/>
      <c r="E67" s="97"/>
      <c r="F67" s="102"/>
      <c r="G67" s="102"/>
      <c r="H67" s="86" t="s">
        <v>142</v>
      </c>
    </row>
    <row r="68" spans="1:8" x14ac:dyDescent="0.2">
      <c r="A68" s="97"/>
      <c r="B68" s="97"/>
      <c r="C68" s="98" t="s">
        <v>152</v>
      </c>
      <c r="D68" s="97"/>
      <c r="E68" s="97"/>
      <c r="F68" s="97"/>
      <c r="G68" s="97"/>
      <c r="H68" s="86" t="s">
        <v>142</v>
      </c>
    </row>
    <row r="69" spans="1:8" x14ac:dyDescent="0.2">
      <c r="A69" s="97"/>
      <c r="B69" s="97"/>
      <c r="C69" s="98" t="s">
        <v>141</v>
      </c>
      <c r="D69" s="97"/>
      <c r="E69" s="97" t="s">
        <v>142</v>
      </c>
      <c r="F69" s="103" t="s">
        <v>144</v>
      </c>
      <c r="G69" s="100">
        <v>0</v>
      </c>
      <c r="H69" s="86" t="s">
        <v>142</v>
      </c>
    </row>
    <row r="70" spans="1:8" x14ac:dyDescent="0.2">
      <c r="A70" s="97"/>
      <c r="B70" s="97"/>
      <c r="C70" s="101"/>
      <c r="D70" s="97"/>
      <c r="E70" s="97"/>
      <c r="F70" s="102"/>
      <c r="G70" s="102"/>
      <c r="H70" s="86" t="s">
        <v>142</v>
      </c>
    </row>
    <row r="71" spans="1:8" x14ac:dyDescent="0.2">
      <c r="A71" s="97"/>
      <c r="B71" s="97"/>
      <c r="C71" s="98" t="s">
        <v>153</v>
      </c>
      <c r="D71" s="97"/>
      <c r="E71" s="97"/>
      <c r="F71" s="102"/>
      <c r="G71" s="102"/>
      <c r="H71" s="86" t="s">
        <v>142</v>
      </c>
    </row>
    <row r="72" spans="1:8" x14ac:dyDescent="0.2">
      <c r="A72" s="97"/>
      <c r="B72" s="97"/>
      <c r="C72" s="98" t="s">
        <v>141</v>
      </c>
      <c r="D72" s="97"/>
      <c r="E72" s="97" t="s">
        <v>142</v>
      </c>
      <c r="F72" s="103" t="s">
        <v>144</v>
      </c>
      <c r="G72" s="100">
        <v>0</v>
      </c>
      <c r="H72" s="86" t="s">
        <v>142</v>
      </c>
    </row>
    <row r="73" spans="1:8" x14ac:dyDescent="0.2">
      <c r="A73" s="97"/>
      <c r="B73" s="97"/>
      <c r="C73" s="101"/>
      <c r="D73" s="97"/>
      <c r="E73" s="97"/>
      <c r="F73" s="102"/>
      <c r="G73" s="102"/>
      <c r="H73" s="86" t="s">
        <v>142</v>
      </c>
    </row>
    <row r="74" spans="1:8" x14ac:dyDescent="0.2">
      <c r="A74" s="97"/>
      <c r="B74" s="97"/>
      <c r="C74" s="98" t="s">
        <v>154</v>
      </c>
      <c r="D74" s="97"/>
      <c r="E74" s="97"/>
      <c r="F74" s="99">
        <v>0</v>
      </c>
      <c r="G74" s="100">
        <v>0</v>
      </c>
      <c r="H74" s="86" t="s">
        <v>142</v>
      </c>
    </row>
    <row r="75" spans="1:8" x14ac:dyDescent="0.2">
      <c r="A75" s="97"/>
      <c r="B75" s="97"/>
      <c r="C75" s="101"/>
      <c r="D75" s="97"/>
      <c r="E75" s="97"/>
      <c r="F75" s="102"/>
      <c r="G75" s="102"/>
      <c r="H75" s="86" t="s">
        <v>142</v>
      </c>
    </row>
    <row r="76" spans="1:8" x14ac:dyDescent="0.2">
      <c r="A76" s="97"/>
      <c r="B76" s="97"/>
      <c r="C76" s="98" t="s">
        <v>155</v>
      </c>
      <c r="D76" s="97"/>
      <c r="E76" s="97"/>
      <c r="F76" s="102"/>
      <c r="G76" s="102"/>
      <c r="H76" s="86" t="s">
        <v>142</v>
      </c>
    </row>
    <row r="77" spans="1:8" x14ac:dyDescent="0.2">
      <c r="A77" s="97"/>
      <c r="B77" s="97"/>
      <c r="C77" s="98" t="s">
        <v>156</v>
      </c>
      <c r="D77" s="97"/>
      <c r="E77" s="97"/>
      <c r="F77" s="102"/>
      <c r="G77" s="102"/>
      <c r="H77" s="86" t="s">
        <v>142</v>
      </c>
    </row>
    <row r="78" spans="1:8" x14ac:dyDescent="0.2">
      <c r="A78" s="97"/>
      <c r="B78" s="97"/>
      <c r="C78" s="98" t="s">
        <v>141</v>
      </c>
      <c r="D78" s="97"/>
      <c r="E78" s="97" t="s">
        <v>142</v>
      </c>
      <c r="F78" s="103" t="s">
        <v>144</v>
      </c>
      <c r="G78" s="100">
        <v>0</v>
      </c>
      <c r="H78" s="86" t="s">
        <v>142</v>
      </c>
    </row>
    <row r="79" spans="1:8" x14ac:dyDescent="0.2">
      <c r="A79" s="97"/>
      <c r="B79" s="97"/>
      <c r="C79" s="101"/>
      <c r="D79" s="97"/>
      <c r="E79" s="97"/>
      <c r="F79" s="102"/>
      <c r="G79" s="102"/>
      <c r="H79" s="86" t="s">
        <v>142</v>
      </c>
    </row>
    <row r="80" spans="1:8" x14ac:dyDescent="0.2">
      <c r="A80" s="97"/>
      <c r="B80" s="97"/>
      <c r="C80" s="98" t="s">
        <v>157</v>
      </c>
      <c r="D80" s="97"/>
      <c r="E80" s="97"/>
      <c r="F80" s="102"/>
      <c r="G80" s="102"/>
      <c r="H80" s="86" t="s">
        <v>142</v>
      </c>
    </row>
    <row r="81" spans="1:8" x14ac:dyDescent="0.2">
      <c r="A81" s="97"/>
      <c r="B81" s="97"/>
      <c r="C81" s="98" t="s">
        <v>141</v>
      </c>
      <c r="D81" s="97"/>
      <c r="E81" s="97" t="s">
        <v>142</v>
      </c>
      <c r="F81" s="103" t="s">
        <v>144</v>
      </c>
      <c r="G81" s="100">
        <v>0</v>
      </c>
      <c r="H81" s="86" t="s">
        <v>142</v>
      </c>
    </row>
    <row r="82" spans="1:8" x14ac:dyDescent="0.2">
      <c r="A82" s="97"/>
      <c r="B82" s="97"/>
      <c r="C82" s="101"/>
      <c r="D82" s="97"/>
      <c r="E82" s="97"/>
      <c r="F82" s="102"/>
      <c r="G82" s="102"/>
      <c r="H82" s="86" t="s">
        <v>142</v>
      </c>
    </row>
    <row r="83" spans="1:8" x14ac:dyDescent="0.2">
      <c r="A83" s="97"/>
      <c r="B83" s="97"/>
      <c r="C83" s="98" t="s">
        <v>158</v>
      </c>
      <c r="D83" s="97"/>
      <c r="E83" s="97"/>
      <c r="F83" s="102"/>
      <c r="G83" s="102"/>
      <c r="H83" s="86" t="s">
        <v>142</v>
      </c>
    </row>
    <row r="84" spans="1:8" x14ac:dyDescent="0.2">
      <c r="A84" s="97"/>
      <c r="B84" s="97"/>
      <c r="C84" s="98" t="s">
        <v>141</v>
      </c>
      <c r="D84" s="97"/>
      <c r="E84" s="97" t="s">
        <v>142</v>
      </c>
      <c r="F84" s="103" t="s">
        <v>144</v>
      </c>
      <c r="G84" s="100">
        <v>0</v>
      </c>
      <c r="H84" s="86" t="s">
        <v>142</v>
      </c>
    </row>
    <row r="85" spans="1:8" x14ac:dyDescent="0.2">
      <c r="A85" s="97"/>
      <c r="B85" s="97"/>
      <c r="C85" s="101"/>
      <c r="D85" s="97"/>
      <c r="E85" s="97"/>
      <c r="F85" s="102"/>
      <c r="G85" s="102"/>
      <c r="H85" s="86" t="s">
        <v>142</v>
      </c>
    </row>
    <row r="86" spans="1:8" x14ac:dyDescent="0.2">
      <c r="A86" s="97"/>
      <c r="B86" s="97"/>
      <c r="C86" s="98" t="s">
        <v>159</v>
      </c>
      <c r="D86" s="97"/>
      <c r="E86" s="97"/>
      <c r="F86" s="102"/>
      <c r="G86" s="102"/>
      <c r="H86" s="86" t="s">
        <v>142</v>
      </c>
    </row>
    <row r="87" spans="1:8" x14ac:dyDescent="0.2">
      <c r="A87" s="92">
        <v>1</v>
      </c>
      <c r="B87" s="93"/>
      <c r="C87" s="93" t="s">
        <v>160</v>
      </c>
      <c r="D87" s="93"/>
      <c r="E87" s="104"/>
      <c r="F87" s="95">
        <v>171.21816419999999</v>
      </c>
      <c r="G87" s="96">
        <v>4.6044830000000002E-2</v>
      </c>
      <c r="H87" s="86">
        <v>5.57</v>
      </c>
    </row>
    <row r="88" spans="1:8" x14ac:dyDescent="0.2">
      <c r="A88" s="97"/>
      <c r="B88" s="97"/>
      <c r="C88" s="98" t="s">
        <v>141</v>
      </c>
      <c r="D88" s="97"/>
      <c r="E88" s="97" t="s">
        <v>142</v>
      </c>
      <c r="F88" s="99">
        <v>171.21816419999999</v>
      </c>
      <c r="G88" s="100">
        <v>4.6044830000000002E-2</v>
      </c>
      <c r="H88" s="86" t="s">
        <v>142</v>
      </c>
    </row>
    <row r="89" spans="1:8" x14ac:dyDescent="0.2">
      <c r="A89" s="97"/>
      <c r="B89" s="97"/>
      <c r="C89" s="101"/>
      <c r="D89" s="97"/>
      <c r="E89" s="97"/>
      <c r="F89" s="102"/>
      <c r="G89" s="102"/>
      <c r="H89" s="86" t="s">
        <v>142</v>
      </c>
    </row>
    <row r="90" spans="1:8" x14ac:dyDescent="0.2">
      <c r="A90" s="97"/>
      <c r="B90" s="97"/>
      <c r="C90" s="98" t="s">
        <v>161</v>
      </c>
      <c r="D90" s="97"/>
      <c r="E90" s="97"/>
      <c r="F90" s="99">
        <v>171.21816419999999</v>
      </c>
      <c r="G90" s="100">
        <v>4.6044830000000002E-2</v>
      </c>
      <c r="H90" s="86" t="s">
        <v>142</v>
      </c>
    </row>
    <row r="91" spans="1:8" x14ac:dyDescent="0.2">
      <c r="A91" s="97"/>
      <c r="B91" s="97"/>
      <c r="C91" s="102"/>
      <c r="D91" s="97"/>
      <c r="E91" s="97"/>
      <c r="F91" s="97"/>
      <c r="G91" s="97"/>
      <c r="H91" s="86" t="s">
        <v>142</v>
      </c>
    </row>
    <row r="92" spans="1:8" x14ac:dyDescent="0.2">
      <c r="A92" s="97"/>
      <c r="B92" s="97"/>
      <c r="C92" s="98" t="s">
        <v>162</v>
      </c>
      <c r="D92" s="97"/>
      <c r="E92" s="97"/>
      <c r="F92" s="97"/>
      <c r="G92" s="97"/>
      <c r="H92" s="86" t="s">
        <v>142</v>
      </c>
    </row>
    <row r="93" spans="1:8" x14ac:dyDescent="0.2">
      <c r="A93" s="97"/>
      <c r="B93" s="97"/>
      <c r="C93" s="98" t="s">
        <v>163</v>
      </c>
      <c r="D93" s="97"/>
      <c r="E93" s="97"/>
      <c r="F93" s="97"/>
      <c r="G93" s="97"/>
      <c r="H93" s="86" t="s">
        <v>142</v>
      </c>
    </row>
    <row r="94" spans="1:8" x14ac:dyDescent="0.2">
      <c r="A94" s="97"/>
      <c r="B94" s="97"/>
      <c r="C94" s="98" t="s">
        <v>141</v>
      </c>
      <c r="D94" s="97"/>
      <c r="E94" s="97" t="s">
        <v>142</v>
      </c>
      <c r="F94" s="103" t="s">
        <v>144</v>
      </c>
      <c r="G94" s="100">
        <v>0</v>
      </c>
      <c r="H94" s="86" t="s">
        <v>142</v>
      </c>
    </row>
    <row r="95" spans="1:8" x14ac:dyDescent="0.2">
      <c r="A95" s="97"/>
      <c r="B95" s="97"/>
      <c r="C95" s="101"/>
      <c r="D95" s="97"/>
      <c r="E95" s="97"/>
      <c r="F95" s="102"/>
      <c r="G95" s="102"/>
      <c r="H95" s="86" t="s">
        <v>142</v>
      </c>
    </row>
    <row r="96" spans="1:8" x14ac:dyDescent="0.2">
      <c r="A96" s="97"/>
      <c r="B96" s="97"/>
      <c r="C96" s="98" t="s">
        <v>164</v>
      </c>
      <c r="D96" s="97"/>
      <c r="E96" s="97"/>
      <c r="F96" s="97"/>
      <c r="G96" s="97"/>
      <c r="H96" s="86" t="s">
        <v>142</v>
      </c>
    </row>
    <row r="97" spans="1:17" x14ac:dyDescent="0.2">
      <c r="A97" s="97"/>
      <c r="B97" s="97"/>
      <c r="C97" s="98" t="s">
        <v>165</v>
      </c>
      <c r="D97" s="97"/>
      <c r="E97" s="97"/>
      <c r="F97" s="97"/>
      <c r="G97" s="97"/>
      <c r="H97" s="86" t="s">
        <v>142</v>
      </c>
    </row>
    <row r="98" spans="1:17" x14ac:dyDescent="0.2">
      <c r="A98" s="97"/>
      <c r="B98" s="97"/>
      <c r="C98" s="98" t="s">
        <v>141</v>
      </c>
      <c r="D98" s="97"/>
      <c r="E98" s="97" t="s">
        <v>142</v>
      </c>
      <c r="F98" s="103" t="s">
        <v>144</v>
      </c>
      <c r="G98" s="100">
        <v>0</v>
      </c>
      <c r="H98" s="86" t="s">
        <v>142</v>
      </c>
    </row>
    <row r="99" spans="1:17" x14ac:dyDescent="0.2">
      <c r="A99" s="97"/>
      <c r="B99" s="97"/>
      <c r="C99" s="101"/>
      <c r="D99" s="97"/>
      <c r="E99" s="97"/>
      <c r="F99" s="102"/>
      <c r="G99" s="102"/>
      <c r="H99" s="86" t="s">
        <v>142</v>
      </c>
    </row>
    <row r="100" spans="1:17" x14ac:dyDescent="0.2">
      <c r="A100" s="97"/>
      <c r="B100" s="97"/>
      <c r="C100" s="98" t="s">
        <v>166</v>
      </c>
      <c r="D100" s="97"/>
      <c r="E100" s="97"/>
      <c r="F100" s="102"/>
      <c r="G100" s="102"/>
      <c r="H100" s="86" t="s">
        <v>142</v>
      </c>
    </row>
    <row r="101" spans="1:17" x14ac:dyDescent="0.2">
      <c r="A101" s="97"/>
      <c r="B101" s="97"/>
      <c r="C101" s="98" t="s">
        <v>141</v>
      </c>
      <c r="D101" s="97"/>
      <c r="E101" s="97" t="s">
        <v>142</v>
      </c>
      <c r="F101" s="103" t="s">
        <v>144</v>
      </c>
      <c r="G101" s="100">
        <v>0</v>
      </c>
      <c r="H101" s="86" t="s">
        <v>142</v>
      </c>
    </row>
    <row r="102" spans="1:17" x14ac:dyDescent="0.2">
      <c r="A102" s="97"/>
      <c r="B102" s="97"/>
      <c r="C102" s="101"/>
      <c r="D102" s="97"/>
      <c r="E102" s="97"/>
      <c r="F102" s="102"/>
      <c r="G102" s="102"/>
      <c r="H102" s="86" t="s">
        <v>142</v>
      </c>
    </row>
    <row r="103" spans="1:17" x14ac:dyDescent="0.2">
      <c r="A103" s="104"/>
      <c r="B103" s="93"/>
      <c r="C103" s="93" t="s">
        <v>167</v>
      </c>
      <c r="D103" s="93"/>
      <c r="E103" s="104"/>
      <c r="F103" s="95">
        <v>-2.7888534200000001</v>
      </c>
      <c r="G103" s="96">
        <v>-7.4998999999999997E-4</v>
      </c>
      <c r="H103" s="86" t="s">
        <v>142</v>
      </c>
    </row>
    <row r="104" spans="1:17" x14ac:dyDescent="0.2">
      <c r="A104" s="101"/>
      <c r="B104" s="101"/>
      <c r="C104" s="98" t="s">
        <v>168</v>
      </c>
      <c r="D104" s="102"/>
      <c r="E104" s="102"/>
      <c r="F104" s="99">
        <v>3718.5102194800002</v>
      </c>
      <c r="G104" s="105">
        <v>1.0000000099999999</v>
      </c>
      <c r="H104" s="86" t="s">
        <v>142</v>
      </c>
    </row>
    <row r="105" spans="1:17" ht="12.75" customHeight="1" x14ac:dyDescent="0.2">
      <c r="A105" s="106"/>
      <c r="B105" s="106"/>
      <c r="C105" s="107"/>
      <c r="D105" s="108"/>
      <c r="E105" s="108"/>
      <c r="F105" s="109"/>
      <c r="G105" s="110"/>
      <c r="H105" s="111"/>
    </row>
    <row r="106" spans="1:17" x14ac:dyDescent="0.2">
      <c r="A106" s="106"/>
      <c r="B106" s="200" t="s">
        <v>918</v>
      </c>
      <c r="C106" s="200"/>
      <c r="D106" s="200"/>
      <c r="E106" s="200"/>
      <c r="F106" s="200"/>
      <c r="G106" s="200"/>
      <c r="H106" s="200"/>
      <c r="J106" s="113"/>
    </row>
    <row r="107" spans="1:17" x14ac:dyDescent="0.2">
      <c r="A107" s="106"/>
      <c r="B107" s="200" t="s">
        <v>919</v>
      </c>
      <c r="C107" s="200"/>
      <c r="D107" s="200"/>
      <c r="E107" s="200"/>
      <c r="F107" s="200"/>
      <c r="G107" s="200"/>
      <c r="H107" s="200"/>
      <c r="J107" s="113"/>
    </row>
    <row r="108" spans="1:17" x14ac:dyDescent="0.2">
      <c r="A108" s="106"/>
      <c r="B108" s="200" t="s">
        <v>920</v>
      </c>
      <c r="C108" s="200"/>
      <c r="D108" s="200"/>
      <c r="E108" s="200"/>
      <c r="F108" s="200"/>
      <c r="G108" s="200"/>
      <c r="H108" s="200"/>
      <c r="J108" s="113"/>
    </row>
    <row r="109" spans="1:17" s="115" customFormat="1" ht="66.75" customHeight="1" x14ac:dyDescent="0.25">
      <c r="A109" s="114"/>
      <c r="B109" s="201" t="s">
        <v>921</v>
      </c>
      <c r="C109" s="201"/>
      <c r="D109" s="201"/>
      <c r="E109" s="201"/>
      <c r="F109" s="201"/>
      <c r="G109" s="201"/>
      <c r="H109" s="201"/>
      <c r="I109"/>
      <c r="J109" s="113"/>
      <c r="K109"/>
      <c r="L109"/>
      <c r="M109"/>
      <c r="N109"/>
      <c r="O109"/>
      <c r="P109"/>
      <c r="Q109"/>
    </row>
    <row r="110" spans="1:17" x14ac:dyDescent="0.2">
      <c r="A110" s="106"/>
      <c r="B110" s="200" t="s">
        <v>922</v>
      </c>
      <c r="C110" s="200"/>
      <c r="D110" s="200"/>
      <c r="E110" s="200"/>
      <c r="F110" s="200"/>
      <c r="G110" s="200"/>
      <c r="H110" s="200"/>
      <c r="J110" s="113"/>
    </row>
    <row r="111" spans="1:17" x14ac:dyDescent="0.2">
      <c r="A111" s="106"/>
      <c r="B111" s="106"/>
      <c r="C111" s="106"/>
      <c r="D111" s="108"/>
      <c r="E111" s="108"/>
      <c r="F111" s="108"/>
      <c r="G111" s="108"/>
    </row>
    <row r="112" spans="1:17" x14ac:dyDescent="0.2">
      <c r="A112" s="106"/>
      <c r="B112" s="202" t="s">
        <v>169</v>
      </c>
      <c r="C112" s="203"/>
      <c r="D112" s="204"/>
      <c r="E112" s="116"/>
      <c r="F112" s="108"/>
      <c r="G112" s="108"/>
    </row>
    <row r="113" spans="1:10" ht="27.75" customHeight="1" x14ac:dyDescent="0.2">
      <c r="A113" s="106"/>
      <c r="B113" s="205" t="s">
        <v>170</v>
      </c>
      <c r="C113" s="206"/>
      <c r="D113" s="85" t="s">
        <v>171</v>
      </c>
      <c r="E113" s="116"/>
      <c r="F113" s="108"/>
      <c r="G113" s="108"/>
    </row>
    <row r="114" spans="1:10" ht="12.75" customHeight="1" x14ac:dyDescent="0.2">
      <c r="A114" s="106"/>
      <c r="B114" s="205" t="s">
        <v>923</v>
      </c>
      <c r="C114" s="206"/>
      <c r="D114" s="85" t="s">
        <v>171</v>
      </c>
      <c r="E114" s="116"/>
      <c r="F114" s="108"/>
      <c r="G114" s="108"/>
    </row>
    <row r="115" spans="1:10" x14ac:dyDescent="0.2">
      <c r="A115" s="106"/>
      <c r="B115" s="205" t="s">
        <v>172</v>
      </c>
      <c r="C115" s="206"/>
      <c r="D115" s="117" t="s">
        <v>142</v>
      </c>
      <c r="E115" s="116"/>
      <c r="F115" s="108"/>
      <c r="G115" s="108"/>
    </row>
    <row r="116" spans="1:10" x14ac:dyDescent="0.2">
      <c r="A116" s="118"/>
      <c r="B116" s="119" t="s">
        <v>142</v>
      </c>
      <c r="C116" s="119" t="s">
        <v>924</v>
      </c>
      <c r="D116" s="119" t="s">
        <v>173</v>
      </c>
      <c r="E116" s="118"/>
      <c r="F116" s="118"/>
      <c r="G116" s="118"/>
      <c r="H116" s="118"/>
      <c r="J116" s="113"/>
    </row>
    <row r="117" spans="1:10" x14ac:dyDescent="0.2">
      <c r="A117" s="118"/>
      <c r="B117" s="120" t="s">
        <v>174</v>
      </c>
      <c r="C117" s="121">
        <v>45930</v>
      </c>
      <c r="D117" s="121">
        <v>45961</v>
      </c>
      <c r="E117" s="118"/>
      <c r="F117" s="118"/>
      <c r="G117" s="118"/>
      <c r="J117" s="113"/>
    </row>
    <row r="118" spans="1:10" x14ac:dyDescent="0.2">
      <c r="A118" s="122"/>
      <c r="B118" s="93" t="s">
        <v>175</v>
      </c>
      <c r="C118" s="123">
        <v>27.473099999999999</v>
      </c>
      <c r="D118" s="123">
        <v>28.646000000000001</v>
      </c>
      <c r="E118" s="122"/>
      <c r="F118" s="124"/>
      <c r="G118" s="125"/>
    </row>
    <row r="119" spans="1:10" x14ac:dyDescent="0.2">
      <c r="A119" s="122"/>
      <c r="B119" s="93" t="s">
        <v>1101</v>
      </c>
      <c r="C119" s="123">
        <v>26.5901</v>
      </c>
      <c r="D119" s="123">
        <v>27.725300000000001</v>
      </c>
      <c r="E119" s="122"/>
      <c r="F119" s="124"/>
      <c r="G119" s="125"/>
    </row>
    <row r="120" spans="1:10" x14ac:dyDescent="0.2">
      <c r="A120" s="122"/>
      <c r="B120" s="93" t="s">
        <v>176</v>
      </c>
      <c r="C120" s="123">
        <v>26.193200000000001</v>
      </c>
      <c r="D120" s="123">
        <v>27.305900000000001</v>
      </c>
      <c r="E120" s="122"/>
      <c r="F120" s="124"/>
      <c r="G120" s="125"/>
    </row>
    <row r="121" spans="1:10" x14ac:dyDescent="0.2">
      <c r="A121" s="122"/>
      <c r="B121" s="93" t="s">
        <v>1102</v>
      </c>
      <c r="C121" s="123">
        <v>25.3141</v>
      </c>
      <c r="D121" s="123">
        <v>26.389399999999998</v>
      </c>
      <c r="E121" s="122"/>
      <c r="F121" s="124"/>
      <c r="G121" s="125"/>
    </row>
    <row r="123" spans="1:10" x14ac:dyDescent="0.2">
      <c r="A123" s="118"/>
      <c r="B123" s="205" t="s">
        <v>925</v>
      </c>
      <c r="C123" s="206"/>
      <c r="D123" s="85" t="s">
        <v>171</v>
      </c>
      <c r="E123" s="118"/>
      <c r="F123" s="118"/>
      <c r="G123" s="118"/>
    </row>
    <row r="124" spans="1:10" x14ac:dyDescent="0.2">
      <c r="A124" s="118"/>
      <c r="B124" s="136"/>
      <c r="C124" s="136"/>
      <c r="D124" s="136"/>
      <c r="E124" s="118"/>
      <c r="F124" s="118"/>
      <c r="G124" s="118"/>
    </row>
    <row r="125" spans="1:10" x14ac:dyDescent="0.2">
      <c r="A125" s="118"/>
      <c r="B125" s="205" t="s">
        <v>179</v>
      </c>
      <c r="C125" s="206"/>
      <c r="D125" s="85" t="s">
        <v>171</v>
      </c>
      <c r="E125" s="131"/>
      <c r="F125" s="118"/>
      <c r="G125" s="118"/>
    </row>
    <row r="126" spans="1:10" x14ac:dyDescent="0.2">
      <c r="A126" s="118"/>
      <c r="B126" s="205" t="s">
        <v>180</v>
      </c>
      <c r="C126" s="206"/>
      <c r="D126" s="85" t="s">
        <v>171</v>
      </c>
      <c r="E126" s="131"/>
      <c r="F126" s="118"/>
      <c r="G126" s="118"/>
    </row>
    <row r="127" spans="1:10" x14ac:dyDescent="0.2">
      <c r="A127" s="118"/>
      <c r="B127" s="205" t="s">
        <v>181</v>
      </c>
      <c r="C127" s="206"/>
      <c r="D127" s="85" t="s">
        <v>171</v>
      </c>
      <c r="E127" s="131"/>
      <c r="F127" s="118"/>
      <c r="G127" s="118"/>
    </row>
    <row r="128" spans="1:10" x14ac:dyDescent="0.2">
      <c r="A128" s="118"/>
      <c r="B128" s="205" t="s">
        <v>182</v>
      </c>
      <c r="C128" s="206"/>
      <c r="D128" s="132">
        <v>4.9147616602135923E-2</v>
      </c>
      <c r="E128" s="118"/>
      <c r="F128" s="112"/>
      <c r="G128" s="133"/>
    </row>
    <row r="130" spans="2:10" x14ac:dyDescent="0.2">
      <c r="B130" s="199" t="s">
        <v>926</v>
      </c>
      <c r="C130" s="199"/>
    </row>
    <row r="132" spans="2:10" ht="153.75" customHeight="1" x14ac:dyDescent="0.2"/>
    <row r="135" spans="2:10" x14ac:dyDescent="0.2">
      <c r="B135" s="134" t="s">
        <v>927</v>
      </c>
      <c r="C135" s="135"/>
      <c r="D135" s="134"/>
    </row>
    <row r="136" spans="2:10" x14ac:dyDescent="0.2">
      <c r="B136" s="134" t="s">
        <v>942</v>
      </c>
      <c r="D136" s="134"/>
    </row>
    <row r="137" spans="2:10" ht="165" customHeight="1" x14ac:dyDescent="0.2"/>
    <row r="138" spans="2:10" x14ac:dyDescent="0.2">
      <c r="J138" s="83"/>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sheetData>
  <mergeCells count="18">
    <mergeCell ref="B130:C130"/>
    <mergeCell ref="B128:C128"/>
    <mergeCell ref="A1:H1"/>
    <mergeCell ref="A2:H2"/>
    <mergeCell ref="A3:H3"/>
    <mergeCell ref="B123:C123"/>
    <mergeCell ref="B127:C127"/>
    <mergeCell ref="B106:H106"/>
    <mergeCell ref="B107:H107"/>
    <mergeCell ref="B114:C114"/>
    <mergeCell ref="B115:C115"/>
    <mergeCell ref="B125:C125"/>
    <mergeCell ref="B126:C126"/>
    <mergeCell ref="B108:H108"/>
    <mergeCell ref="B109:H109"/>
    <mergeCell ref="B110:H110"/>
    <mergeCell ref="B112:D112"/>
    <mergeCell ref="B113:C113"/>
  </mergeCells>
  <hyperlinks>
    <hyperlink ref="I1" location="Index!B2" display="Index" xr:uid="{E5277501-17AE-4633-9026-C9E0D7FA008F}"/>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2CF2D-2346-4E33-9A87-8094FBDF78E6}">
  <sheetPr>
    <outlinePr summaryBelow="0" summaryRight="0"/>
  </sheetPr>
  <dimension ref="A1:Q185"/>
  <sheetViews>
    <sheetView showGridLines="0" workbookViewId="0">
      <selection activeCell="G79" sqref="G79"/>
    </sheetView>
  </sheetViews>
  <sheetFormatPr defaultRowHeight="12.75" x14ac:dyDescent="0.2"/>
  <cols>
    <col min="1" max="1" width="5.85546875" bestFit="1" customWidth="1"/>
    <col min="2" max="2" width="19.7109375" bestFit="1" customWidth="1"/>
    <col min="3" max="3" width="45.85546875" customWidth="1"/>
    <col min="4" max="4" width="17.7109375" bestFit="1" customWidth="1"/>
    <col min="5" max="5" width="13.570312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454</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355</v>
      </c>
      <c r="C7" s="93" t="s">
        <v>356</v>
      </c>
      <c r="D7" s="93" t="s">
        <v>109</v>
      </c>
      <c r="E7" s="94">
        <v>1681362</v>
      </c>
      <c r="F7" s="95">
        <v>11400.475041</v>
      </c>
      <c r="G7" s="96">
        <v>3.2613530000000002E-2</v>
      </c>
      <c r="H7" s="86" t="s">
        <v>142</v>
      </c>
    </row>
    <row r="8" spans="1:9" x14ac:dyDescent="0.2">
      <c r="A8" s="92">
        <v>2</v>
      </c>
      <c r="B8" s="93" t="s">
        <v>340</v>
      </c>
      <c r="C8" s="93" t="s">
        <v>341</v>
      </c>
      <c r="D8" s="93" t="s">
        <v>257</v>
      </c>
      <c r="E8" s="94">
        <v>530036</v>
      </c>
      <c r="F8" s="95">
        <v>10232.875016</v>
      </c>
      <c r="G8" s="96">
        <v>2.9273359999999998E-2</v>
      </c>
      <c r="H8" s="86" t="s">
        <v>142</v>
      </c>
    </row>
    <row r="9" spans="1:9" x14ac:dyDescent="0.2">
      <c r="A9" s="92">
        <v>3</v>
      </c>
      <c r="B9" s="93" t="s">
        <v>455</v>
      </c>
      <c r="C9" s="93" t="s">
        <v>456</v>
      </c>
      <c r="D9" s="93" t="s">
        <v>28</v>
      </c>
      <c r="E9" s="94">
        <v>399900</v>
      </c>
      <c r="F9" s="95">
        <v>10189.8519</v>
      </c>
      <c r="G9" s="96">
        <v>2.9150280000000001E-2</v>
      </c>
      <c r="H9" s="86" t="s">
        <v>142</v>
      </c>
    </row>
    <row r="10" spans="1:9" x14ac:dyDescent="0.2">
      <c r="A10" s="92">
        <v>4</v>
      </c>
      <c r="B10" s="93" t="s">
        <v>457</v>
      </c>
      <c r="C10" s="93" t="s">
        <v>458</v>
      </c>
      <c r="D10" s="93" t="s">
        <v>459</v>
      </c>
      <c r="E10" s="94">
        <v>914768</v>
      </c>
      <c r="F10" s="95">
        <v>9809.9720319999997</v>
      </c>
      <c r="G10" s="96">
        <v>2.806355E-2</v>
      </c>
      <c r="H10" s="86" t="s">
        <v>142</v>
      </c>
    </row>
    <row r="11" spans="1:9" x14ac:dyDescent="0.2">
      <c r="A11" s="92">
        <v>5</v>
      </c>
      <c r="B11" s="93" t="s">
        <v>97</v>
      </c>
      <c r="C11" s="93" t="s">
        <v>98</v>
      </c>
      <c r="D11" s="93" t="s">
        <v>38</v>
      </c>
      <c r="E11" s="94">
        <v>140821</v>
      </c>
      <c r="F11" s="95">
        <v>9406.8428000000004</v>
      </c>
      <c r="G11" s="96">
        <v>2.6910320000000001E-2</v>
      </c>
      <c r="H11" s="86" t="s">
        <v>142</v>
      </c>
    </row>
    <row r="12" spans="1:9" x14ac:dyDescent="0.2">
      <c r="A12" s="92">
        <v>6</v>
      </c>
      <c r="B12" s="93" t="s">
        <v>36</v>
      </c>
      <c r="C12" s="93" t="s">
        <v>37</v>
      </c>
      <c r="D12" s="93" t="s">
        <v>38</v>
      </c>
      <c r="E12" s="94">
        <v>577256</v>
      </c>
      <c r="F12" s="95">
        <v>9319.7981199999995</v>
      </c>
      <c r="G12" s="96">
        <v>2.6661310000000001E-2</v>
      </c>
      <c r="H12" s="86" t="s">
        <v>142</v>
      </c>
    </row>
    <row r="13" spans="1:9" x14ac:dyDescent="0.2">
      <c r="A13" s="92">
        <v>7</v>
      </c>
      <c r="B13" s="93" t="s">
        <v>361</v>
      </c>
      <c r="C13" s="93" t="s">
        <v>362</v>
      </c>
      <c r="D13" s="93" t="s">
        <v>48</v>
      </c>
      <c r="E13" s="94">
        <v>431921</v>
      </c>
      <c r="F13" s="95">
        <v>9220.6495080000004</v>
      </c>
      <c r="G13" s="96">
        <v>2.6377669999999999E-2</v>
      </c>
      <c r="H13" s="86" t="s">
        <v>142</v>
      </c>
    </row>
    <row r="14" spans="1:9" x14ac:dyDescent="0.2">
      <c r="A14" s="92">
        <v>8</v>
      </c>
      <c r="B14" s="93" t="s">
        <v>371</v>
      </c>
      <c r="C14" s="93" t="s">
        <v>372</v>
      </c>
      <c r="D14" s="93" t="s">
        <v>204</v>
      </c>
      <c r="E14" s="94">
        <v>1434521</v>
      </c>
      <c r="F14" s="95">
        <v>9155.8302824999992</v>
      </c>
      <c r="G14" s="96">
        <v>2.6192239999999999E-2</v>
      </c>
      <c r="H14" s="86" t="s">
        <v>142</v>
      </c>
    </row>
    <row r="15" spans="1:9" x14ac:dyDescent="0.2">
      <c r="A15" s="92">
        <v>9</v>
      </c>
      <c r="B15" s="93" t="s">
        <v>393</v>
      </c>
      <c r="C15" s="93" t="s">
        <v>394</v>
      </c>
      <c r="D15" s="93" t="s">
        <v>186</v>
      </c>
      <c r="E15" s="94">
        <v>953608</v>
      </c>
      <c r="F15" s="95">
        <v>8856.1574959999998</v>
      </c>
      <c r="G15" s="96">
        <v>2.533496E-2</v>
      </c>
      <c r="H15" s="86" t="s">
        <v>142</v>
      </c>
    </row>
    <row r="16" spans="1:9" x14ac:dyDescent="0.2">
      <c r="A16" s="92">
        <v>10</v>
      </c>
      <c r="B16" s="93" t="s">
        <v>386</v>
      </c>
      <c r="C16" s="93" t="s">
        <v>387</v>
      </c>
      <c r="D16" s="93" t="s">
        <v>186</v>
      </c>
      <c r="E16" s="94">
        <v>395668</v>
      </c>
      <c r="F16" s="95">
        <v>7567.5461679999999</v>
      </c>
      <c r="G16" s="96">
        <v>2.1648609999999999E-2</v>
      </c>
      <c r="H16" s="86" t="s">
        <v>142</v>
      </c>
    </row>
    <row r="17" spans="1:8" x14ac:dyDescent="0.2">
      <c r="A17" s="92">
        <v>11</v>
      </c>
      <c r="B17" s="93" t="s">
        <v>357</v>
      </c>
      <c r="C17" s="93" t="s">
        <v>358</v>
      </c>
      <c r="D17" s="93" t="s">
        <v>35</v>
      </c>
      <c r="E17" s="94">
        <v>14541667</v>
      </c>
      <c r="F17" s="95">
        <v>7538.4001728000003</v>
      </c>
      <c r="G17" s="96">
        <v>2.1565230000000001E-2</v>
      </c>
      <c r="H17" s="86" t="s">
        <v>142</v>
      </c>
    </row>
    <row r="18" spans="1:8" ht="25.5" x14ac:dyDescent="0.2">
      <c r="A18" s="92">
        <v>12</v>
      </c>
      <c r="B18" s="93" t="s">
        <v>460</v>
      </c>
      <c r="C18" s="93" t="s">
        <v>461</v>
      </c>
      <c r="D18" s="93" t="s">
        <v>225</v>
      </c>
      <c r="E18" s="94">
        <v>44855</v>
      </c>
      <c r="F18" s="95">
        <v>7388.9641499999998</v>
      </c>
      <c r="G18" s="96">
        <v>2.1137739999999999E-2</v>
      </c>
      <c r="H18" s="86" t="s">
        <v>142</v>
      </c>
    </row>
    <row r="19" spans="1:8" x14ac:dyDescent="0.2">
      <c r="A19" s="92">
        <v>13</v>
      </c>
      <c r="B19" s="93" t="s">
        <v>462</v>
      </c>
      <c r="C19" s="93" t="s">
        <v>463</v>
      </c>
      <c r="D19" s="93" t="s">
        <v>35</v>
      </c>
      <c r="E19" s="94">
        <v>4603530</v>
      </c>
      <c r="F19" s="95">
        <v>7271.275635</v>
      </c>
      <c r="G19" s="96">
        <v>2.080106E-2</v>
      </c>
      <c r="H19" s="86" t="s">
        <v>142</v>
      </c>
    </row>
    <row r="20" spans="1:8" x14ac:dyDescent="0.2">
      <c r="A20" s="92">
        <v>14</v>
      </c>
      <c r="B20" s="93" t="s">
        <v>322</v>
      </c>
      <c r="C20" s="93" t="s">
        <v>323</v>
      </c>
      <c r="D20" s="93" t="s">
        <v>35</v>
      </c>
      <c r="E20" s="94">
        <v>532566</v>
      </c>
      <c r="F20" s="95">
        <v>6565.4736480000001</v>
      </c>
      <c r="G20" s="96">
        <v>1.878196E-2</v>
      </c>
      <c r="H20" s="86" t="s">
        <v>142</v>
      </c>
    </row>
    <row r="21" spans="1:8" x14ac:dyDescent="0.2">
      <c r="A21" s="92">
        <v>15</v>
      </c>
      <c r="B21" s="93" t="s">
        <v>233</v>
      </c>
      <c r="C21" s="93" t="s">
        <v>234</v>
      </c>
      <c r="D21" s="93" t="s">
        <v>218</v>
      </c>
      <c r="E21" s="94">
        <v>669376</v>
      </c>
      <c r="F21" s="95">
        <v>6357.3985599999996</v>
      </c>
      <c r="G21" s="96">
        <v>1.818672E-2</v>
      </c>
      <c r="H21" s="86" t="s">
        <v>142</v>
      </c>
    </row>
    <row r="22" spans="1:8" x14ac:dyDescent="0.2">
      <c r="A22" s="92">
        <v>16</v>
      </c>
      <c r="B22" s="93" t="s">
        <v>359</v>
      </c>
      <c r="C22" s="93" t="s">
        <v>360</v>
      </c>
      <c r="D22" s="93" t="s">
        <v>35</v>
      </c>
      <c r="E22" s="94">
        <v>1535716</v>
      </c>
      <c r="F22" s="95">
        <v>6347.8820859999996</v>
      </c>
      <c r="G22" s="96">
        <v>1.815949E-2</v>
      </c>
      <c r="H22" s="86" t="s">
        <v>142</v>
      </c>
    </row>
    <row r="23" spans="1:8" x14ac:dyDescent="0.2">
      <c r="A23" s="92">
        <v>17</v>
      </c>
      <c r="B23" s="93" t="s">
        <v>71</v>
      </c>
      <c r="C23" s="93" t="s">
        <v>72</v>
      </c>
      <c r="D23" s="93" t="s">
        <v>73</v>
      </c>
      <c r="E23" s="94">
        <v>587660</v>
      </c>
      <c r="F23" s="95">
        <v>6098.1478200000001</v>
      </c>
      <c r="G23" s="96">
        <v>1.7445080000000002E-2</v>
      </c>
      <c r="H23" s="86" t="s">
        <v>142</v>
      </c>
    </row>
    <row r="24" spans="1:8" x14ac:dyDescent="0.2">
      <c r="A24" s="92">
        <v>18</v>
      </c>
      <c r="B24" s="93" t="s">
        <v>365</v>
      </c>
      <c r="C24" s="93" t="s">
        <v>366</v>
      </c>
      <c r="D24" s="93" t="s">
        <v>48</v>
      </c>
      <c r="E24" s="94">
        <v>2131826</v>
      </c>
      <c r="F24" s="95">
        <v>6073.5722740000001</v>
      </c>
      <c r="G24" s="96">
        <v>1.7374770000000001E-2</v>
      </c>
      <c r="H24" s="86" t="s">
        <v>142</v>
      </c>
    </row>
    <row r="25" spans="1:8" x14ac:dyDescent="0.2">
      <c r="A25" s="92">
        <v>19</v>
      </c>
      <c r="B25" s="93" t="s">
        <v>81</v>
      </c>
      <c r="C25" s="93" t="s">
        <v>82</v>
      </c>
      <c r="D25" s="93" t="s">
        <v>58</v>
      </c>
      <c r="E25" s="94">
        <v>718629</v>
      </c>
      <c r="F25" s="95">
        <v>5681.8401885000003</v>
      </c>
      <c r="G25" s="96">
        <v>1.625414E-2</v>
      </c>
      <c r="H25" s="86" t="s">
        <v>142</v>
      </c>
    </row>
    <row r="26" spans="1:8" ht="25.5" x14ac:dyDescent="0.2">
      <c r="A26" s="92">
        <v>20</v>
      </c>
      <c r="B26" s="93" t="s">
        <v>53</v>
      </c>
      <c r="C26" s="93" t="s">
        <v>54</v>
      </c>
      <c r="D26" s="93" t="s">
        <v>55</v>
      </c>
      <c r="E26" s="94">
        <v>390188</v>
      </c>
      <c r="F26" s="95">
        <v>5663.5788199999997</v>
      </c>
      <c r="G26" s="96">
        <v>1.6201900000000002E-2</v>
      </c>
      <c r="H26" s="86" t="s">
        <v>142</v>
      </c>
    </row>
    <row r="27" spans="1:8" x14ac:dyDescent="0.2">
      <c r="A27" s="92">
        <v>21</v>
      </c>
      <c r="B27" s="93" t="s">
        <v>464</v>
      </c>
      <c r="C27" s="93" t="s">
        <v>465</v>
      </c>
      <c r="D27" s="93" t="s">
        <v>278</v>
      </c>
      <c r="E27" s="94">
        <v>410201</v>
      </c>
      <c r="F27" s="95">
        <v>5653.8003829999998</v>
      </c>
      <c r="G27" s="96">
        <v>1.6173920000000001E-2</v>
      </c>
      <c r="H27" s="86" t="s">
        <v>142</v>
      </c>
    </row>
    <row r="28" spans="1:8" ht="25.5" x14ac:dyDescent="0.2">
      <c r="A28" s="92">
        <v>22</v>
      </c>
      <c r="B28" s="93" t="s">
        <v>466</v>
      </c>
      <c r="C28" s="93" t="s">
        <v>467</v>
      </c>
      <c r="D28" s="93" t="s">
        <v>225</v>
      </c>
      <c r="E28" s="94">
        <v>115943</v>
      </c>
      <c r="F28" s="95">
        <v>5614.655718</v>
      </c>
      <c r="G28" s="96">
        <v>1.606194E-2</v>
      </c>
      <c r="H28" s="86" t="s">
        <v>142</v>
      </c>
    </row>
    <row r="29" spans="1:8" ht="25.5" x14ac:dyDescent="0.2">
      <c r="A29" s="92">
        <v>23</v>
      </c>
      <c r="B29" s="93" t="s">
        <v>468</v>
      </c>
      <c r="C29" s="93" t="s">
        <v>469</v>
      </c>
      <c r="D29" s="93" t="s">
        <v>207</v>
      </c>
      <c r="E29" s="94">
        <v>1184520</v>
      </c>
      <c r="F29" s="95">
        <v>5436.3545400000003</v>
      </c>
      <c r="G29" s="96">
        <v>1.5551870000000001E-2</v>
      </c>
      <c r="H29" s="86" t="s">
        <v>142</v>
      </c>
    </row>
    <row r="30" spans="1:8" x14ac:dyDescent="0.2">
      <c r="A30" s="92">
        <v>24</v>
      </c>
      <c r="B30" s="93" t="s">
        <v>373</v>
      </c>
      <c r="C30" s="93" t="s">
        <v>374</v>
      </c>
      <c r="D30" s="93" t="s">
        <v>215</v>
      </c>
      <c r="E30" s="94">
        <v>217345</v>
      </c>
      <c r="F30" s="95">
        <v>5417.1067800000001</v>
      </c>
      <c r="G30" s="96">
        <v>1.549681E-2</v>
      </c>
      <c r="H30" s="86" t="s">
        <v>142</v>
      </c>
    </row>
    <row r="31" spans="1:8" x14ac:dyDescent="0.2">
      <c r="A31" s="92">
        <v>25</v>
      </c>
      <c r="B31" s="93" t="s">
        <v>379</v>
      </c>
      <c r="C31" s="93" t="s">
        <v>380</v>
      </c>
      <c r="D31" s="93" t="s">
        <v>35</v>
      </c>
      <c r="E31" s="94">
        <v>9377207</v>
      </c>
      <c r="F31" s="95">
        <v>5344.0702693000003</v>
      </c>
      <c r="G31" s="96">
        <v>1.528787E-2</v>
      </c>
      <c r="H31" s="86" t="s">
        <v>142</v>
      </c>
    </row>
    <row r="32" spans="1:8" x14ac:dyDescent="0.2">
      <c r="A32" s="92">
        <v>26</v>
      </c>
      <c r="B32" s="93" t="s">
        <v>470</v>
      </c>
      <c r="C32" s="93" t="s">
        <v>471</v>
      </c>
      <c r="D32" s="93" t="s">
        <v>272</v>
      </c>
      <c r="E32" s="94">
        <v>917246</v>
      </c>
      <c r="F32" s="95">
        <v>5222.7987240000002</v>
      </c>
      <c r="G32" s="96">
        <v>1.494095E-2</v>
      </c>
      <c r="H32" s="86" t="s">
        <v>142</v>
      </c>
    </row>
    <row r="33" spans="1:8" x14ac:dyDescent="0.2">
      <c r="A33" s="92">
        <v>27</v>
      </c>
      <c r="B33" s="93" t="s">
        <v>391</v>
      </c>
      <c r="C33" s="93" t="s">
        <v>392</v>
      </c>
      <c r="D33" s="93" t="s">
        <v>58</v>
      </c>
      <c r="E33" s="94">
        <v>1083376</v>
      </c>
      <c r="F33" s="95">
        <v>5165.5367679999999</v>
      </c>
      <c r="G33" s="96">
        <v>1.4777139999999999E-2</v>
      </c>
      <c r="H33" s="86" t="s">
        <v>142</v>
      </c>
    </row>
    <row r="34" spans="1:8" ht="25.5" x14ac:dyDescent="0.2">
      <c r="A34" s="92">
        <v>28</v>
      </c>
      <c r="B34" s="93" t="s">
        <v>401</v>
      </c>
      <c r="C34" s="93" t="s">
        <v>402</v>
      </c>
      <c r="D34" s="93" t="s">
        <v>225</v>
      </c>
      <c r="E34" s="94">
        <v>603569</v>
      </c>
      <c r="F34" s="95">
        <v>4948.6622310000002</v>
      </c>
      <c r="G34" s="96">
        <v>1.4156719999999999E-2</v>
      </c>
      <c r="H34" s="86" t="s">
        <v>142</v>
      </c>
    </row>
    <row r="35" spans="1:8" x14ac:dyDescent="0.2">
      <c r="A35" s="92">
        <v>29</v>
      </c>
      <c r="B35" s="93" t="s">
        <v>472</v>
      </c>
      <c r="C35" s="93" t="s">
        <v>473</v>
      </c>
      <c r="D35" s="93" t="s">
        <v>109</v>
      </c>
      <c r="E35" s="94">
        <v>75317</v>
      </c>
      <c r="F35" s="95">
        <v>4819.9490734999999</v>
      </c>
      <c r="G35" s="96">
        <v>1.378851E-2</v>
      </c>
      <c r="H35" s="86" t="s">
        <v>142</v>
      </c>
    </row>
    <row r="36" spans="1:8" x14ac:dyDescent="0.2">
      <c r="A36" s="92">
        <v>30</v>
      </c>
      <c r="B36" s="93" t="s">
        <v>14</v>
      </c>
      <c r="C36" s="93" t="s">
        <v>15</v>
      </c>
      <c r="D36" s="93" t="s">
        <v>16</v>
      </c>
      <c r="E36" s="94">
        <v>119155</v>
      </c>
      <c r="F36" s="95">
        <v>4803.0188950000002</v>
      </c>
      <c r="G36" s="96">
        <v>1.374008E-2</v>
      </c>
      <c r="H36" s="86" t="s">
        <v>142</v>
      </c>
    </row>
    <row r="37" spans="1:8" x14ac:dyDescent="0.2">
      <c r="A37" s="92">
        <v>31</v>
      </c>
      <c r="B37" s="93" t="s">
        <v>342</v>
      </c>
      <c r="C37" s="93" t="s">
        <v>343</v>
      </c>
      <c r="D37" s="93" t="s">
        <v>278</v>
      </c>
      <c r="E37" s="94">
        <v>1493974</v>
      </c>
      <c r="F37" s="95">
        <v>4747.1023850000001</v>
      </c>
      <c r="G37" s="96">
        <v>1.3580119999999999E-2</v>
      </c>
      <c r="H37" s="86" t="s">
        <v>142</v>
      </c>
    </row>
    <row r="38" spans="1:8" x14ac:dyDescent="0.2">
      <c r="A38" s="92">
        <v>32</v>
      </c>
      <c r="B38" s="93" t="s">
        <v>395</v>
      </c>
      <c r="C38" s="93" t="s">
        <v>396</v>
      </c>
      <c r="D38" s="93" t="s">
        <v>257</v>
      </c>
      <c r="E38" s="94">
        <v>1007525</v>
      </c>
      <c r="F38" s="95">
        <v>4307.1693750000004</v>
      </c>
      <c r="G38" s="96">
        <v>1.232159E-2</v>
      </c>
      <c r="H38" s="86" t="s">
        <v>142</v>
      </c>
    </row>
    <row r="39" spans="1:8" ht="25.5" x14ac:dyDescent="0.2">
      <c r="A39" s="92">
        <v>33</v>
      </c>
      <c r="B39" s="93" t="s">
        <v>474</v>
      </c>
      <c r="C39" s="93" t="s">
        <v>475</v>
      </c>
      <c r="D39" s="93" t="s">
        <v>132</v>
      </c>
      <c r="E39" s="94">
        <v>221768</v>
      </c>
      <c r="F39" s="95">
        <v>4300.3032880000001</v>
      </c>
      <c r="G39" s="96">
        <v>1.2301950000000001E-2</v>
      </c>
      <c r="H39" s="86" t="s">
        <v>142</v>
      </c>
    </row>
    <row r="40" spans="1:8" x14ac:dyDescent="0.2">
      <c r="A40" s="92">
        <v>34</v>
      </c>
      <c r="B40" s="93" t="s">
        <v>399</v>
      </c>
      <c r="C40" s="93" t="s">
        <v>400</v>
      </c>
      <c r="D40" s="93" t="s">
        <v>218</v>
      </c>
      <c r="E40" s="94">
        <v>724141</v>
      </c>
      <c r="F40" s="95">
        <v>4296.6906234999997</v>
      </c>
      <c r="G40" s="96">
        <v>1.229162E-2</v>
      </c>
      <c r="H40" s="86" t="s">
        <v>142</v>
      </c>
    </row>
    <row r="41" spans="1:8" x14ac:dyDescent="0.2">
      <c r="A41" s="92">
        <v>35</v>
      </c>
      <c r="B41" s="93" t="s">
        <v>44</v>
      </c>
      <c r="C41" s="93" t="s">
        <v>45</v>
      </c>
      <c r="D41" s="93" t="s">
        <v>16</v>
      </c>
      <c r="E41" s="94">
        <v>337012</v>
      </c>
      <c r="F41" s="95">
        <v>4234.2187679999997</v>
      </c>
      <c r="G41" s="96">
        <v>1.2112899999999999E-2</v>
      </c>
      <c r="H41" s="86" t="s">
        <v>142</v>
      </c>
    </row>
    <row r="42" spans="1:8" x14ac:dyDescent="0.2">
      <c r="A42" s="92">
        <v>36</v>
      </c>
      <c r="B42" s="93" t="s">
        <v>476</v>
      </c>
      <c r="C42" s="93" t="s">
        <v>477</v>
      </c>
      <c r="D42" s="93" t="s">
        <v>38</v>
      </c>
      <c r="E42" s="94">
        <v>103292</v>
      </c>
      <c r="F42" s="95">
        <v>4165.4564840000003</v>
      </c>
      <c r="G42" s="96">
        <v>1.191619E-2</v>
      </c>
      <c r="H42" s="86" t="s">
        <v>142</v>
      </c>
    </row>
    <row r="43" spans="1:8" x14ac:dyDescent="0.2">
      <c r="A43" s="92">
        <v>37</v>
      </c>
      <c r="B43" s="93" t="s">
        <v>478</v>
      </c>
      <c r="C43" s="93" t="s">
        <v>479</v>
      </c>
      <c r="D43" s="93" t="s">
        <v>480</v>
      </c>
      <c r="E43" s="94">
        <v>1008369</v>
      </c>
      <c r="F43" s="95">
        <v>4035.9969225</v>
      </c>
      <c r="G43" s="96">
        <v>1.154585E-2</v>
      </c>
      <c r="H43" s="86" t="s">
        <v>142</v>
      </c>
    </row>
    <row r="44" spans="1:8" x14ac:dyDescent="0.2">
      <c r="A44" s="92">
        <v>38</v>
      </c>
      <c r="B44" s="93" t="s">
        <v>89</v>
      </c>
      <c r="C44" s="93" t="s">
        <v>90</v>
      </c>
      <c r="D44" s="93" t="s">
        <v>38</v>
      </c>
      <c r="E44" s="94">
        <v>31615</v>
      </c>
      <c r="F44" s="95">
        <v>3927.8476000000001</v>
      </c>
      <c r="G44" s="96">
        <v>1.123646E-2</v>
      </c>
      <c r="H44" s="86" t="s">
        <v>142</v>
      </c>
    </row>
    <row r="45" spans="1:8" ht="25.5" x14ac:dyDescent="0.2">
      <c r="A45" s="92">
        <v>39</v>
      </c>
      <c r="B45" s="93" t="s">
        <v>273</v>
      </c>
      <c r="C45" s="93" t="s">
        <v>274</v>
      </c>
      <c r="D45" s="93" t="s">
        <v>275</v>
      </c>
      <c r="E45" s="94">
        <v>227105</v>
      </c>
      <c r="F45" s="95">
        <v>3925.2828199999999</v>
      </c>
      <c r="G45" s="96">
        <v>1.122912E-2</v>
      </c>
      <c r="H45" s="86" t="s">
        <v>142</v>
      </c>
    </row>
    <row r="46" spans="1:8" x14ac:dyDescent="0.2">
      <c r="A46" s="92">
        <v>40</v>
      </c>
      <c r="B46" s="93" t="s">
        <v>295</v>
      </c>
      <c r="C46" s="93" t="s">
        <v>296</v>
      </c>
      <c r="D46" s="93" t="s">
        <v>78</v>
      </c>
      <c r="E46" s="94">
        <v>1234878</v>
      </c>
      <c r="F46" s="95">
        <v>3823.7997270000001</v>
      </c>
      <c r="G46" s="96">
        <v>1.093881E-2</v>
      </c>
      <c r="H46" s="86" t="s">
        <v>142</v>
      </c>
    </row>
    <row r="47" spans="1:8" ht="25.5" x14ac:dyDescent="0.2">
      <c r="A47" s="92">
        <v>41</v>
      </c>
      <c r="B47" s="93" t="s">
        <v>438</v>
      </c>
      <c r="C47" s="93" t="s">
        <v>439</v>
      </c>
      <c r="D47" s="93" t="s">
        <v>25</v>
      </c>
      <c r="E47" s="94">
        <v>323581</v>
      </c>
      <c r="F47" s="95">
        <v>3814.372828</v>
      </c>
      <c r="G47" s="96">
        <v>1.0911840000000001E-2</v>
      </c>
      <c r="H47" s="86" t="s">
        <v>142</v>
      </c>
    </row>
    <row r="48" spans="1:8" x14ac:dyDescent="0.2">
      <c r="A48" s="92">
        <v>42</v>
      </c>
      <c r="B48" s="93" t="s">
        <v>481</v>
      </c>
      <c r="C48" s="93" t="s">
        <v>482</v>
      </c>
      <c r="D48" s="93" t="s">
        <v>257</v>
      </c>
      <c r="E48" s="94">
        <v>314897</v>
      </c>
      <c r="F48" s="95">
        <v>3660.6776249999998</v>
      </c>
      <c r="G48" s="96">
        <v>1.0472159999999999E-2</v>
      </c>
      <c r="H48" s="86" t="s">
        <v>142</v>
      </c>
    </row>
    <row r="49" spans="1:8" x14ac:dyDescent="0.2">
      <c r="A49" s="92">
        <v>43</v>
      </c>
      <c r="B49" s="93" t="s">
        <v>483</v>
      </c>
      <c r="C49" s="93" t="s">
        <v>484</v>
      </c>
      <c r="D49" s="93" t="s">
        <v>215</v>
      </c>
      <c r="E49" s="94">
        <v>142505</v>
      </c>
      <c r="F49" s="95">
        <v>3641.715275</v>
      </c>
      <c r="G49" s="96">
        <v>1.0417920000000001E-2</v>
      </c>
      <c r="H49" s="86" t="s">
        <v>142</v>
      </c>
    </row>
    <row r="50" spans="1:8" x14ac:dyDescent="0.2">
      <c r="A50" s="92">
        <v>44</v>
      </c>
      <c r="B50" s="93" t="s">
        <v>291</v>
      </c>
      <c r="C50" s="93" t="s">
        <v>292</v>
      </c>
      <c r="D50" s="93" t="s">
        <v>250</v>
      </c>
      <c r="E50" s="94">
        <v>675223</v>
      </c>
      <c r="F50" s="95">
        <v>3608.3917120000001</v>
      </c>
      <c r="G50" s="96">
        <v>1.032259E-2</v>
      </c>
      <c r="H50" s="86" t="s">
        <v>142</v>
      </c>
    </row>
    <row r="51" spans="1:8" ht="25.5" x14ac:dyDescent="0.2">
      <c r="A51" s="92">
        <v>45</v>
      </c>
      <c r="B51" s="93" t="s">
        <v>485</v>
      </c>
      <c r="C51" s="93" t="s">
        <v>486</v>
      </c>
      <c r="D51" s="93" t="s">
        <v>275</v>
      </c>
      <c r="E51" s="94">
        <v>243156</v>
      </c>
      <c r="F51" s="95">
        <v>3507.7684559999998</v>
      </c>
      <c r="G51" s="96">
        <v>1.003473E-2</v>
      </c>
      <c r="H51" s="86" t="s">
        <v>142</v>
      </c>
    </row>
    <row r="52" spans="1:8" x14ac:dyDescent="0.2">
      <c r="A52" s="92">
        <v>46</v>
      </c>
      <c r="B52" s="93" t="s">
        <v>449</v>
      </c>
      <c r="C52" s="93" t="s">
        <v>450</v>
      </c>
      <c r="D52" s="93" t="s">
        <v>58</v>
      </c>
      <c r="E52" s="94">
        <v>717054</v>
      </c>
      <c r="F52" s="95">
        <v>3440.4250919999999</v>
      </c>
      <c r="G52" s="96">
        <v>9.8420799999999996E-3</v>
      </c>
      <c r="H52" s="86" t="s">
        <v>142</v>
      </c>
    </row>
    <row r="53" spans="1:8" x14ac:dyDescent="0.2">
      <c r="A53" s="92">
        <v>47</v>
      </c>
      <c r="B53" s="93" t="s">
        <v>407</v>
      </c>
      <c r="C53" s="93" t="s">
        <v>408</v>
      </c>
      <c r="D53" s="93" t="s">
        <v>409</v>
      </c>
      <c r="E53" s="94">
        <v>277133</v>
      </c>
      <c r="F53" s="95">
        <v>3381.5768659999999</v>
      </c>
      <c r="G53" s="96">
        <v>9.6737300000000002E-3</v>
      </c>
      <c r="H53" s="86" t="s">
        <v>142</v>
      </c>
    </row>
    <row r="54" spans="1:8" x14ac:dyDescent="0.2">
      <c r="A54" s="92">
        <v>48</v>
      </c>
      <c r="B54" s="93" t="s">
        <v>65</v>
      </c>
      <c r="C54" s="93" t="s">
        <v>66</v>
      </c>
      <c r="D54" s="93" t="s">
        <v>43</v>
      </c>
      <c r="E54" s="94">
        <v>434142</v>
      </c>
      <c r="F54" s="95">
        <v>3364.1663579999999</v>
      </c>
      <c r="G54" s="96">
        <v>9.6239299999999993E-3</v>
      </c>
      <c r="H54" s="86" t="s">
        <v>142</v>
      </c>
    </row>
    <row r="55" spans="1:8" x14ac:dyDescent="0.2">
      <c r="A55" s="92">
        <v>49</v>
      </c>
      <c r="B55" s="93" t="s">
        <v>487</v>
      </c>
      <c r="C55" s="93" t="s">
        <v>488</v>
      </c>
      <c r="D55" s="93" t="s">
        <v>48</v>
      </c>
      <c r="E55" s="94">
        <v>1603225</v>
      </c>
      <c r="F55" s="95">
        <v>3348.495735</v>
      </c>
      <c r="G55" s="96">
        <v>9.5791000000000001E-3</v>
      </c>
      <c r="H55" s="86" t="s">
        <v>142</v>
      </c>
    </row>
    <row r="56" spans="1:8" x14ac:dyDescent="0.2">
      <c r="A56" s="92">
        <v>50</v>
      </c>
      <c r="B56" s="93" t="s">
        <v>489</v>
      </c>
      <c r="C56" s="93" t="s">
        <v>490</v>
      </c>
      <c r="D56" s="93" t="s">
        <v>215</v>
      </c>
      <c r="E56" s="94">
        <v>251901</v>
      </c>
      <c r="F56" s="95">
        <v>3142.716876</v>
      </c>
      <c r="G56" s="96">
        <v>8.9904200000000007E-3</v>
      </c>
      <c r="H56" s="86" t="s">
        <v>142</v>
      </c>
    </row>
    <row r="57" spans="1:8" x14ac:dyDescent="0.2">
      <c r="A57" s="92">
        <v>51</v>
      </c>
      <c r="B57" s="93" t="s">
        <v>491</v>
      </c>
      <c r="C57" s="93" t="s">
        <v>492</v>
      </c>
      <c r="D57" s="93" t="s">
        <v>278</v>
      </c>
      <c r="E57" s="94">
        <v>2031332</v>
      </c>
      <c r="F57" s="95">
        <v>3068.5301192000002</v>
      </c>
      <c r="G57" s="96">
        <v>8.7781999999999999E-3</v>
      </c>
      <c r="H57" s="86" t="s">
        <v>142</v>
      </c>
    </row>
    <row r="58" spans="1:8" x14ac:dyDescent="0.2">
      <c r="A58" s="92">
        <v>52</v>
      </c>
      <c r="B58" s="93" t="s">
        <v>381</v>
      </c>
      <c r="C58" s="93" t="s">
        <v>382</v>
      </c>
      <c r="D58" s="93" t="s">
        <v>383</v>
      </c>
      <c r="E58" s="94">
        <v>251030</v>
      </c>
      <c r="F58" s="95">
        <v>3028.9279799999999</v>
      </c>
      <c r="G58" s="96">
        <v>8.6649099999999996E-3</v>
      </c>
      <c r="H58" s="86" t="s">
        <v>142</v>
      </c>
    </row>
    <row r="59" spans="1:8" x14ac:dyDescent="0.2">
      <c r="A59" s="92">
        <v>53</v>
      </c>
      <c r="B59" s="93" t="s">
        <v>79</v>
      </c>
      <c r="C59" s="93" t="s">
        <v>80</v>
      </c>
      <c r="D59" s="93" t="s">
        <v>58</v>
      </c>
      <c r="E59" s="94">
        <v>60184</v>
      </c>
      <c r="F59" s="95">
        <v>2955.3955040000001</v>
      </c>
      <c r="G59" s="96">
        <v>8.4545499999999999E-3</v>
      </c>
      <c r="H59" s="86" t="s">
        <v>142</v>
      </c>
    </row>
    <row r="60" spans="1:8" x14ac:dyDescent="0.2">
      <c r="A60" s="92">
        <v>54</v>
      </c>
      <c r="B60" s="93" t="s">
        <v>95</v>
      </c>
      <c r="C60" s="93" t="s">
        <v>96</v>
      </c>
      <c r="D60" s="93" t="s">
        <v>73</v>
      </c>
      <c r="E60" s="94">
        <v>179724</v>
      </c>
      <c r="F60" s="95">
        <v>2909.0126639999999</v>
      </c>
      <c r="G60" s="96">
        <v>8.3218600000000004E-3</v>
      </c>
      <c r="H60" s="86" t="s">
        <v>142</v>
      </c>
    </row>
    <row r="61" spans="1:8" x14ac:dyDescent="0.2">
      <c r="A61" s="92">
        <v>55</v>
      </c>
      <c r="B61" s="93" t="s">
        <v>493</v>
      </c>
      <c r="C61" s="93" t="s">
        <v>494</v>
      </c>
      <c r="D61" s="93" t="s">
        <v>48</v>
      </c>
      <c r="E61" s="94">
        <v>853148</v>
      </c>
      <c r="F61" s="95">
        <v>2768.0386859999999</v>
      </c>
      <c r="G61" s="96">
        <v>7.9185799999999997E-3</v>
      </c>
      <c r="H61" s="86" t="s">
        <v>142</v>
      </c>
    </row>
    <row r="62" spans="1:8" x14ac:dyDescent="0.2">
      <c r="A62" s="92">
        <v>56</v>
      </c>
      <c r="B62" s="93" t="s">
        <v>495</v>
      </c>
      <c r="C62" s="93" t="s">
        <v>496</v>
      </c>
      <c r="D62" s="93" t="s">
        <v>409</v>
      </c>
      <c r="E62" s="94">
        <v>258182</v>
      </c>
      <c r="F62" s="95">
        <v>2760.9983080000002</v>
      </c>
      <c r="G62" s="96">
        <v>7.8984399999999996E-3</v>
      </c>
      <c r="H62" s="86" t="s">
        <v>142</v>
      </c>
    </row>
    <row r="63" spans="1:8" ht="25.5" x14ac:dyDescent="0.2">
      <c r="A63" s="92">
        <v>57</v>
      </c>
      <c r="B63" s="93" t="s">
        <v>367</v>
      </c>
      <c r="C63" s="93" t="s">
        <v>368</v>
      </c>
      <c r="D63" s="93" t="s">
        <v>275</v>
      </c>
      <c r="E63" s="94">
        <v>45069</v>
      </c>
      <c r="F63" s="95">
        <v>2563.2543059999998</v>
      </c>
      <c r="G63" s="96">
        <v>7.3327499999999999E-3</v>
      </c>
      <c r="H63" s="86" t="s">
        <v>142</v>
      </c>
    </row>
    <row r="64" spans="1:8" ht="25.5" x14ac:dyDescent="0.2">
      <c r="A64" s="92">
        <v>58</v>
      </c>
      <c r="B64" s="93" t="s">
        <v>377</v>
      </c>
      <c r="C64" s="93" t="s">
        <v>378</v>
      </c>
      <c r="D64" s="93" t="s">
        <v>225</v>
      </c>
      <c r="E64" s="94">
        <v>149333</v>
      </c>
      <c r="F64" s="95">
        <v>2512.2290589999998</v>
      </c>
      <c r="G64" s="96">
        <v>7.1867800000000003E-3</v>
      </c>
      <c r="H64" s="86" t="s">
        <v>142</v>
      </c>
    </row>
    <row r="65" spans="1:8" x14ac:dyDescent="0.2">
      <c r="A65" s="92">
        <v>59</v>
      </c>
      <c r="B65" s="93" t="s">
        <v>412</v>
      </c>
      <c r="C65" s="93" t="s">
        <v>413</v>
      </c>
      <c r="D65" s="93" t="s">
        <v>58</v>
      </c>
      <c r="E65" s="94">
        <v>275772</v>
      </c>
      <c r="F65" s="95">
        <v>2483.3268600000001</v>
      </c>
      <c r="G65" s="96">
        <v>7.1041000000000003E-3</v>
      </c>
      <c r="H65" s="86" t="s">
        <v>142</v>
      </c>
    </row>
    <row r="66" spans="1:8" x14ac:dyDescent="0.2">
      <c r="A66" s="92">
        <v>60</v>
      </c>
      <c r="B66" s="93" t="s">
        <v>69</v>
      </c>
      <c r="C66" s="93" t="s">
        <v>70</v>
      </c>
      <c r="D66" s="93" t="s">
        <v>58</v>
      </c>
      <c r="E66" s="94">
        <v>54351</v>
      </c>
      <c r="F66" s="95">
        <v>2191.4323199999999</v>
      </c>
      <c r="G66" s="96">
        <v>6.2690699999999999E-3</v>
      </c>
      <c r="H66" s="86" t="s">
        <v>142</v>
      </c>
    </row>
    <row r="67" spans="1:8" x14ac:dyDescent="0.2">
      <c r="A67" s="92">
        <v>61</v>
      </c>
      <c r="B67" s="93" t="s">
        <v>307</v>
      </c>
      <c r="C67" s="93" t="s">
        <v>308</v>
      </c>
      <c r="D67" s="93" t="s">
        <v>309</v>
      </c>
      <c r="E67" s="94">
        <v>74038</v>
      </c>
      <c r="F67" s="95">
        <v>2005.2451920000001</v>
      </c>
      <c r="G67" s="96">
        <v>5.7364399999999998E-3</v>
      </c>
      <c r="H67" s="86" t="s">
        <v>142</v>
      </c>
    </row>
    <row r="68" spans="1:8" x14ac:dyDescent="0.2">
      <c r="A68" s="92">
        <v>62</v>
      </c>
      <c r="B68" s="93" t="s">
        <v>403</v>
      </c>
      <c r="C68" s="93" t="s">
        <v>404</v>
      </c>
      <c r="D68" s="93" t="s">
        <v>204</v>
      </c>
      <c r="E68" s="94">
        <v>498569</v>
      </c>
      <c r="F68" s="95">
        <v>1852.6824039999999</v>
      </c>
      <c r="G68" s="96">
        <v>5.3E-3</v>
      </c>
      <c r="H68" s="86" t="s">
        <v>142</v>
      </c>
    </row>
    <row r="69" spans="1:8" x14ac:dyDescent="0.2">
      <c r="A69" s="92">
        <v>63</v>
      </c>
      <c r="B69" s="93" t="s">
        <v>213</v>
      </c>
      <c r="C69" s="93" t="s">
        <v>214</v>
      </c>
      <c r="D69" s="93" t="s">
        <v>215</v>
      </c>
      <c r="E69" s="94">
        <v>72622</v>
      </c>
      <c r="F69" s="95">
        <v>1800.2993799999999</v>
      </c>
      <c r="G69" s="96">
        <v>5.15015E-3</v>
      </c>
      <c r="H69" s="86" t="s">
        <v>142</v>
      </c>
    </row>
    <row r="70" spans="1:8" x14ac:dyDescent="0.2">
      <c r="A70" s="92">
        <v>64</v>
      </c>
      <c r="B70" s="93" t="s">
        <v>336</v>
      </c>
      <c r="C70" s="93" t="s">
        <v>337</v>
      </c>
      <c r="D70" s="93" t="s">
        <v>215</v>
      </c>
      <c r="E70" s="94">
        <v>18450</v>
      </c>
      <c r="F70" s="95">
        <v>1705.4257500000001</v>
      </c>
      <c r="G70" s="96">
        <v>4.8787400000000003E-3</v>
      </c>
      <c r="H70" s="86" t="s">
        <v>142</v>
      </c>
    </row>
    <row r="71" spans="1:8" x14ac:dyDescent="0.2">
      <c r="A71" s="92">
        <v>65</v>
      </c>
      <c r="B71" s="93" t="s">
        <v>310</v>
      </c>
      <c r="C71" s="93" t="s">
        <v>311</v>
      </c>
      <c r="D71" s="93" t="s">
        <v>38</v>
      </c>
      <c r="E71" s="94">
        <v>74038</v>
      </c>
      <c r="F71" s="95">
        <v>1585.005504</v>
      </c>
      <c r="G71" s="96">
        <v>4.5342500000000001E-3</v>
      </c>
      <c r="H71" s="86" t="s">
        <v>142</v>
      </c>
    </row>
    <row r="72" spans="1:8" x14ac:dyDescent="0.2">
      <c r="A72" s="92">
        <v>66</v>
      </c>
      <c r="B72" s="93" t="s">
        <v>46</v>
      </c>
      <c r="C72" s="93" t="s">
        <v>47</v>
      </c>
      <c r="D72" s="93" t="s">
        <v>48</v>
      </c>
      <c r="E72" s="94">
        <v>1442</v>
      </c>
      <c r="F72" s="95">
        <v>115.88633</v>
      </c>
      <c r="G72" s="96">
        <v>3.3152000000000002E-4</v>
      </c>
      <c r="H72" s="86" t="s">
        <v>142</v>
      </c>
    </row>
    <row r="73" spans="1:8" x14ac:dyDescent="0.2">
      <c r="A73" s="97"/>
      <c r="B73" s="97"/>
      <c r="C73" s="98" t="s">
        <v>141</v>
      </c>
      <c r="D73" s="97"/>
      <c r="E73" s="97" t="s">
        <v>142</v>
      </c>
      <c r="F73" s="99">
        <f>SUM(F7:F72)</f>
        <v>325552.35028179997</v>
      </c>
      <c r="G73" s="100">
        <f>SUM(G7:G72)</f>
        <v>0.93131317999999941</v>
      </c>
      <c r="H73" s="86" t="s">
        <v>142</v>
      </c>
    </row>
    <row r="74" spans="1:8" x14ac:dyDescent="0.2">
      <c r="A74" s="97"/>
      <c r="B74" s="97"/>
      <c r="C74" s="101"/>
      <c r="D74" s="97"/>
      <c r="E74" s="97"/>
      <c r="F74" s="102"/>
      <c r="G74" s="102"/>
      <c r="H74" s="86" t="s">
        <v>142</v>
      </c>
    </row>
    <row r="75" spans="1:8" x14ac:dyDescent="0.2">
      <c r="A75" s="97"/>
      <c r="B75" s="97"/>
      <c r="C75" s="98" t="s">
        <v>143</v>
      </c>
      <c r="D75" s="97"/>
      <c r="E75" s="97"/>
      <c r="F75" s="97"/>
      <c r="G75" s="97"/>
      <c r="H75" s="86" t="s">
        <v>142</v>
      </c>
    </row>
    <row r="76" spans="1:8" x14ac:dyDescent="0.2">
      <c r="A76" s="97"/>
      <c r="B76" s="97"/>
      <c r="C76" s="98" t="s">
        <v>141</v>
      </c>
      <c r="D76" s="97"/>
      <c r="E76" s="97" t="s">
        <v>142</v>
      </c>
      <c r="F76" s="103" t="s">
        <v>144</v>
      </c>
      <c r="G76" s="100">
        <v>0</v>
      </c>
      <c r="H76" s="86" t="s">
        <v>142</v>
      </c>
    </row>
    <row r="77" spans="1:8" x14ac:dyDescent="0.2">
      <c r="A77" s="97"/>
      <c r="B77" s="97"/>
      <c r="C77" s="101"/>
      <c r="D77" s="97"/>
      <c r="E77" s="97"/>
      <c r="F77" s="102"/>
      <c r="G77" s="102"/>
      <c r="H77" s="86" t="s">
        <v>142</v>
      </c>
    </row>
    <row r="78" spans="1:8" x14ac:dyDescent="0.2">
      <c r="A78" s="97"/>
      <c r="B78" s="97"/>
      <c r="C78" s="98" t="s">
        <v>145</v>
      </c>
      <c r="D78" s="97"/>
      <c r="E78" s="97"/>
      <c r="F78" s="97"/>
      <c r="G78" s="97"/>
      <c r="H78" s="86" t="s">
        <v>142</v>
      </c>
    </row>
    <row r="79" spans="1:8" x14ac:dyDescent="0.2">
      <c r="A79" s="92">
        <v>1</v>
      </c>
      <c r="B79" s="93" t="s">
        <v>138</v>
      </c>
      <c r="C79" s="88" t="s">
        <v>917</v>
      </c>
      <c r="D79" s="93" t="s">
        <v>139</v>
      </c>
      <c r="E79" s="94">
        <v>375961</v>
      </c>
      <c r="F79" s="95">
        <v>7.5190000000000003E-6</v>
      </c>
      <c r="G79" s="104" t="s">
        <v>140</v>
      </c>
      <c r="H79" s="86" t="s">
        <v>142</v>
      </c>
    </row>
    <row r="80" spans="1:8" x14ac:dyDescent="0.2">
      <c r="A80" s="97"/>
      <c r="B80" s="97"/>
      <c r="C80" s="98" t="s">
        <v>141</v>
      </c>
      <c r="D80" s="97"/>
      <c r="E80" s="97" t="s">
        <v>142</v>
      </c>
      <c r="F80" s="103" t="s">
        <v>144</v>
      </c>
      <c r="G80" s="100">
        <v>0</v>
      </c>
      <c r="H80" s="86" t="s">
        <v>142</v>
      </c>
    </row>
    <row r="81" spans="1:8" x14ac:dyDescent="0.2">
      <c r="A81" s="97"/>
      <c r="B81" s="97"/>
      <c r="C81" s="101"/>
      <c r="D81" s="97"/>
      <c r="E81" s="97"/>
      <c r="F81" s="102"/>
      <c r="G81" s="102"/>
      <c r="H81" s="86" t="s">
        <v>142</v>
      </c>
    </row>
    <row r="82" spans="1:8" x14ac:dyDescent="0.2">
      <c r="A82" s="97"/>
      <c r="B82" s="97"/>
      <c r="C82" s="98" t="s">
        <v>146</v>
      </c>
      <c r="D82" s="97"/>
      <c r="E82" s="97"/>
      <c r="F82" s="97"/>
      <c r="G82" s="97"/>
      <c r="H82" s="86" t="s">
        <v>142</v>
      </c>
    </row>
    <row r="83" spans="1:8" x14ac:dyDescent="0.2">
      <c r="A83" s="97"/>
      <c r="B83" s="97"/>
      <c r="C83" s="98" t="s">
        <v>141</v>
      </c>
      <c r="D83" s="97"/>
      <c r="E83" s="97" t="s">
        <v>142</v>
      </c>
      <c r="F83" s="103" t="s">
        <v>144</v>
      </c>
      <c r="G83" s="100">
        <v>0</v>
      </c>
      <c r="H83" s="86" t="s">
        <v>142</v>
      </c>
    </row>
    <row r="84" spans="1:8" x14ac:dyDescent="0.2">
      <c r="A84" s="97"/>
      <c r="B84" s="97"/>
      <c r="C84" s="101"/>
      <c r="D84" s="97"/>
      <c r="E84" s="97"/>
      <c r="F84" s="102"/>
      <c r="G84" s="102"/>
      <c r="H84" s="86" t="s">
        <v>142</v>
      </c>
    </row>
    <row r="85" spans="1:8" x14ac:dyDescent="0.2">
      <c r="A85" s="97"/>
      <c r="B85" s="97"/>
      <c r="C85" s="98" t="s">
        <v>147</v>
      </c>
      <c r="D85" s="97"/>
      <c r="E85" s="97"/>
      <c r="F85" s="102"/>
      <c r="G85" s="102"/>
      <c r="H85" s="86" t="s">
        <v>142</v>
      </c>
    </row>
    <row r="86" spans="1:8" x14ac:dyDescent="0.2">
      <c r="A86" s="97"/>
      <c r="B86" s="97"/>
      <c r="C86" s="98" t="s">
        <v>141</v>
      </c>
      <c r="D86" s="97"/>
      <c r="E86" s="97" t="s">
        <v>142</v>
      </c>
      <c r="F86" s="103" t="s">
        <v>144</v>
      </c>
      <c r="G86" s="100">
        <v>0</v>
      </c>
      <c r="H86" s="86" t="s">
        <v>142</v>
      </c>
    </row>
    <row r="87" spans="1:8" x14ac:dyDescent="0.2">
      <c r="A87" s="97"/>
      <c r="B87" s="97"/>
      <c r="C87" s="101"/>
      <c r="D87" s="97"/>
      <c r="E87" s="97"/>
      <c r="F87" s="102"/>
      <c r="G87" s="102"/>
      <c r="H87" s="86" t="s">
        <v>142</v>
      </c>
    </row>
    <row r="88" spans="1:8" x14ac:dyDescent="0.2">
      <c r="A88" s="97"/>
      <c r="B88" s="97"/>
      <c r="C88" s="98" t="s">
        <v>148</v>
      </c>
      <c r="D88" s="97"/>
      <c r="E88" s="97"/>
      <c r="F88" s="102"/>
      <c r="G88" s="102"/>
      <c r="H88" s="86" t="s">
        <v>142</v>
      </c>
    </row>
    <row r="89" spans="1:8" x14ac:dyDescent="0.2">
      <c r="A89" s="92">
        <v>1</v>
      </c>
      <c r="B89" s="93"/>
      <c r="C89" s="93" t="s">
        <v>943</v>
      </c>
      <c r="D89" s="93" t="s">
        <v>497</v>
      </c>
      <c r="E89" s="94">
        <v>37300</v>
      </c>
      <c r="F89" s="95">
        <v>2987.5435000000002</v>
      </c>
      <c r="G89" s="96">
        <v>8.5465200000000002E-3</v>
      </c>
      <c r="H89" s="86" t="s">
        <v>142</v>
      </c>
    </row>
    <row r="90" spans="1:8" x14ac:dyDescent="0.2">
      <c r="A90" s="97"/>
      <c r="B90" s="97"/>
      <c r="C90" s="98" t="s">
        <v>141</v>
      </c>
      <c r="D90" s="97"/>
      <c r="E90" s="97" t="s">
        <v>142</v>
      </c>
      <c r="F90" s="99">
        <v>2987.5435000000002</v>
      </c>
      <c r="G90" s="100">
        <v>8.5465200000000002E-3</v>
      </c>
      <c r="H90" s="86" t="s">
        <v>142</v>
      </c>
    </row>
    <row r="91" spans="1:8" x14ac:dyDescent="0.2">
      <c r="A91" s="97"/>
      <c r="B91" s="97"/>
      <c r="C91" s="101"/>
      <c r="D91" s="97"/>
      <c r="E91" s="97"/>
      <c r="F91" s="102"/>
      <c r="G91" s="102"/>
      <c r="H91" s="86" t="s">
        <v>142</v>
      </c>
    </row>
    <row r="92" spans="1:8" x14ac:dyDescent="0.2">
      <c r="A92" s="97"/>
      <c r="B92" s="97"/>
      <c r="C92" s="98" t="s">
        <v>149</v>
      </c>
      <c r="D92" s="97"/>
      <c r="E92" s="97"/>
      <c r="F92" s="99">
        <v>328539.89378931897</v>
      </c>
      <c r="G92" s="100">
        <v>0.93985969999999996</v>
      </c>
      <c r="H92" s="86" t="s">
        <v>142</v>
      </c>
    </row>
    <row r="93" spans="1:8" x14ac:dyDescent="0.2">
      <c r="A93" s="97"/>
      <c r="B93" s="97"/>
      <c r="C93" s="101"/>
      <c r="D93" s="97"/>
      <c r="E93" s="97"/>
      <c r="F93" s="102"/>
      <c r="G93" s="102"/>
      <c r="H93" s="86" t="s">
        <v>142</v>
      </c>
    </row>
    <row r="94" spans="1:8" x14ac:dyDescent="0.2">
      <c r="A94" s="97"/>
      <c r="B94" s="97"/>
      <c r="C94" s="98" t="s">
        <v>150</v>
      </c>
      <c r="D94" s="97"/>
      <c r="E94" s="97"/>
      <c r="F94" s="102"/>
      <c r="G94" s="102"/>
      <c r="H94" s="86" t="s">
        <v>142</v>
      </c>
    </row>
    <row r="95" spans="1:8" x14ac:dyDescent="0.2">
      <c r="A95" s="97"/>
      <c r="B95" s="97"/>
      <c r="C95" s="98" t="s">
        <v>10</v>
      </c>
      <c r="D95" s="97"/>
      <c r="E95" s="97"/>
      <c r="F95" s="102"/>
      <c r="G95" s="102"/>
      <c r="H95" s="86" t="s">
        <v>142</v>
      </c>
    </row>
    <row r="96" spans="1:8" x14ac:dyDescent="0.2">
      <c r="A96" s="97"/>
      <c r="B96" s="97"/>
      <c r="C96" s="98" t="s">
        <v>141</v>
      </c>
      <c r="D96" s="97"/>
      <c r="E96" s="97" t="s">
        <v>142</v>
      </c>
      <c r="F96" s="103" t="s">
        <v>144</v>
      </c>
      <c r="G96" s="100">
        <v>0</v>
      </c>
      <c r="H96" s="86" t="s">
        <v>142</v>
      </c>
    </row>
    <row r="97" spans="1:8" x14ac:dyDescent="0.2">
      <c r="A97" s="97"/>
      <c r="B97" s="97"/>
      <c r="C97" s="101"/>
      <c r="D97" s="97"/>
      <c r="E97" s="97"/>
      <c r="F97" s="102"/>
      <c r="G97" s="102"/>
      <c r="H97" s="86" t="s">
        <v>142</v>
      </c>
    </row>
    <row r="98" spans="1:8" x14ac:dyDescent="0.2">
      <c r="A98" s="97"/>
      <c r="B98" s="97"/>
      <c r="C98" s="98" t="s">
        <v>151</v>
      </c>
      <c r="D98" s="97"/>
      <c r="E98" s="97"/>
      <c r="F98" s="97"/>
      <c r="G98" s="97"/>
      <c r="H98" s="86" t="s">
        <v>142</v>
      </c>
    </row>
    <row r="99" spans="1:8" x14ac:dyDescent="0.2">
      <c r="A99" s="97"/>
      <c r="B99" s="97"/>
      <c r="C99" s="98" t="s">
        <v>141</v>
      </c>
      <c r="D99" s="97"/>
      <c r="E99" s="97" t="s">
        <v>142</v>
      </c>
      <c r="F99" s="103" t="s">
        <v>144</v>
      </c>
      <c r="G99" s="100">
        <v>0</v>
      </c>
      <c r="H99" s="86" t="s">
        <v>142</v>
      </c>
    </row>
    <row r="100" spans="1:8" x14ac:dyDescent="0.2">
      <c r="A100" s="97"/>
      <c r="B100" s="97"/>
      <c r="C100" s="101"/>
      <c r="D100" s="97"/>
      <c r="E100" s="97"/>
      <c r="F100" s="102"/>
      <c r="G100" s="102"/>
      <c r="H100" s="86" t="s">
        <v>142</v>
      </c>
    </row>
    <row r="101" spans="1:8" x14ac:dyDescent="0.2">
      <c r="A101" s="97"/>
      <c r="B101" s="97"/>
      <c r="C101" s="98" t="s">
        <v>152</v>
      </c>
      <c r="D101" s="97"/>
      <c r="E101" s="97"/>
      <c r="F101" s="97"/>
      <c r="G101" s="97"/>
      <c r="H101" s="86" t="s">
        <v>142</v>
      </c>
    </row>
    <row r="102" spans="1:8" x14ac:dyDescent="0.2">
      <c r="A102" s="97"/>
      <c r="B102" s="97"/>
      <c r="C102" s="98" t="s">
        <v>141</v>
      </c>
      <c r="D102" s="97"/>
      <c r="E102" s="97" t="s">
        <v>142</v>
      </c>
      <c r="F102" s="103" t="s">
        <v>144</v>
      </c>
      <c r="G102" s="100">
        <v>0</v>
      </c>
      <c r="H102" s="86" t="s">
        <v>142</v>
      </c>
    </row>
    <row r="103" spans="1:8" x14ac:dyDescent="0.2">
      <c r="A103" s="97"/>
      <c r="B103" s="97"/>
      <c r="C103" s="101"/>
      <c r="D103" s="97"/>
      <c r="E103" s="97"/>
      <c r="F103" s="102"/>
      <c r="G103" s="102"/>
      <c r="H103" s="86" t="s">
        <v>142</v>
      </c>
    </row>
    <row r="104" spans="1:8" x14ac:dyDescent="0.2">
      <c r="A104" s="97"/>
      <c r="B104" s="97"/>
      <c r="C104" s="98" t="s">
        <v>153</v>
      </c>
      <c r="D104" s="97"/>
      <c r="E104" s="97"/>
      <c r="F104" s="102"/>
      <c r="G104" s="102"/>
      <c r="H104" s="86" t="s">
        <v>142</v>
      </c>
    </row>
    <row r="105" spans="1:8" x14ac:dyDescent="0.2">
      <c r="A105" s="97"/>
      <c r="B105" s="97"/>
      <c r="C105" s="98" t="s">
        <v>141</v>
      </c>
      <c r="D105" s="97"/>
      <c r="E105" s="97" t="s">
        <v>142</v>
      </c>
      <c r="F105" s="103" t="s">
        <v>144</v>
      </c>
      <c r="G105" s="100">
        <v>0</v>
      </c>
      <c r="H105" s="86" t="s">
        <v>142</v>
      </c>
    </row>
    <row r="106" spans="1:8" x14ac:dyDescent="0.2">
      <c r="A106" s="97"/>
      <c r="B106" s="97"/>
      <c r="C106" s="101"/>
      <c r="D106" s="97"/>
      <c r="E106" s="97"/>
      <c r="F106" s="102"/>
      <c r="G106" s="102"/>
      <c r="H106" s="86" t="s">
        <v>142</v>
      </c>
    </row>
    <row r="107" spans="1:8" x14ac:dyDescent="0.2">
      <c r="A107" s="97"/>
      <c r="B107" s="97"/>
      <c r="C107" s="98" t="s">
        <v>154</v>
      </c>
      <c r="D107" s="97"/>
      <c r="E107" s="97"/>
      <c r="F107" s="99">
        <v>0</v>
      </c>
      <c r="G107" s="100">
        <v>0</v>
      </c>
      <c r="H107" s="86" t="s">
        <v>142</v>
      </c>
    </row>
    <row r="108" spans="1:8" x14ac:dyDescent="0.2">
      <c r="A108" s="97"/>
      <c r="B108" s="97"/>
      <c r="C108" s="101"/>
      <c r="D108" s="97"/>
      <c r="E108" s="97"/>
      <c r="F108" s="102"/>
      <c r="G108" s="102"/>
      <c r="H108" s="86" t="s">
        <v>142</v>
      </c>
    </row>
    <row r="109" spans="1:8" x14ac:dyDescent="0.2">
      <c r="A109" s="97"/>
      <c r="B109" s="97"/>
      <c r="C109" s="98" t="s">
        <v>155</v>
      </c>
      <c r="D109" s="97"/>
      <c r="E109" s="97"/>
      <c r="F109" s="102"/>
      <c r="G109" s="102"/>
      <c r="H109" s="86" t="s">
        <v>142</v>
      </c>
    </row>
    <row r="110" spans="1:8" x14ac:dyDescent="0.2">
      <c r="A110" s="97"/>
      <c r="B110" s="97"/>
      <c r="C110" s="98" t="s">
        <v>156</v>
      </c>
      <c r="D110" s="97"/>
      <c r="E110" s="97"/>
      <c r="F110" s="102"/>
      <c r="G110" s="102"/>
      <c r="H110" s="86" t="s">
        <v>142</v>
      </c>
    </row>
    <row r="111" spans="1:8" x14ac:dyDescent="0.2">
      <c r="A111" s="97"/>
      <c r="B111" s="97"/>
      <c r="C111" s="98" t="s">
        <v>141</v>
      </c>
      <c r="D111" s="97"/>
      <c r="E111" s="97" t="s">
        <v>142</v>
      </c>
      <c r="F111" s="103" t="s">
        <v>144</v>
      </c>
      <c r="G111" s="100">
        <v>0</v>
      </c>
      <c r="H111" s="86" t="s">
        <v>142</v>
      </c>
    </row>
    <row r="112" spans="1:8" x14ac:dyDescent="0.2">
      <c r="A112" s="97"/>
      <c r="B112" s="97"/>
      <c r="C112" s="101"/>
      <c r="D112" s="97"/>
      <c r="E112" s="97"/>
      <c r="F112" s="102"/>
      <c r="G112" s="102"/>
      <c r="H112" s="86" t="s">
        <v>142</v>
      </c>
    </row>
    <row r="113" spans="1:8" x14ac:dyDescent="0.2">
      <c r="A113" s="97"/>
      <c r="B113" s="97"/>
      <c r="C113" s="98" t="s">
        <v>157</v>
      </c>
      <c r="D113" s="97"/>
      <c r="E113" s="97"/>
      <c r="F113" s="102"/>
      <c r="G113" s="102"/>
      <c r="H113" s="86" t="s">
        <v>142</v>
      </c>
    </row>
    <row r="114" spans="1:8" x14ac:dyDescent="0.2">
      <c r="A114" s="97"/>
      <c r="B114" s="97"/>
      <c r="C114" s="98" t="s">
        <v>141</v>
      </c>
      <c r="D114" s="97"/>
      <c r="E114" s="97" t="s">
        <v>142</v>
      </c>
      <c r="F114" s="103" t="s">
        <v>144</v>
      </c>
      <c r="G114" s="100">
        <v>0</v>
      </c>
      <c r="H114" s="86" t="s">
        <v>142</v>
      </c>
    </row>
    <row r="115" spans="1:8" x14ac:dyDescent="0.2">
      <c r="A115" s="97"/>
      <c r="B115" s="97"/>
      <c r="C115" s="101"/>
      <c r="D115" s="97"/>
      <c r="E115" s="97"/>
      <c r="F115" s="102"/>
      <c r="G115" s="102"/>
      <c r="H115" s="86" t="s">
        <v>142</v>
      </c>
    </row>
    <row r="116" spans="1:8" x14ac:dyDescent="0.2">
      <c r="A116" s="97"/>
      <c r="B116" s="97"/>
      <c r="C116" s="98" t="s">
        <v>158</v>
      </c>
      <c r="D116" s="97"/>
      <c r="E116" s="97"/>
      <c r="F116" s="102"/>
      <c r="G116" s="102"/>
      <c r="H116" s="86" t="s">
        <v>142</v>
      </c>
    </row>
    <row r="117" spans="1:8" x14ac:dyDescent="0.2">
      <c r="A117" s="97"/>
      <c r="B117" s="97"/>
      <c r="C117" s="98" t="s">
        <v>141</v>
      </c>
      <c r="D117" s="97"/>
      <c r="E117" s="97" t="s">
        <v>142</v>
      </c>
      <c r="F117" s="103" t="s">
        <v>144</v>
      </c>
      <c r="G117" s="100">
        <v>0</v>
      </c>
      <c r="H117" s="86" t="s">
        <v>142</v>
      </c>
    </row>
    <row r="118" spans="1:8" x14ac:dyDescent="0.2">
      <c r="A118" s="97"/>
      <c r="B118" s="97"/>
      <c r="C118" s="101"/>
      <c r="D118" s="97"/>
      <c r="E118" s="97"/>
      <c r="F118" s="102"/>
      <c r="G118" s="102"/>
      <c r="H118" s="86" t="s">
        <v>142</v>
      </c>
    </row>
    <row r="119" spans="1:8" x14ac:dyDescent="0.2">
      <c r="A119" s="97"/>
      <c r="B119" s="97"/>
      <c r="C119" s="98" t="s">
        <v>159</v>
      </c>
      <c r="D119" s="97"/>
      <c r="E119" s="97"/>
      <c r="F119" s="102"/>
      <c r="G119" s="102"/>
      <c r="H119" s="86" t="s">
        <v>142</v>
      </c>
    </row>
    <row r="120" spans="1:8" x14ac:dyDescent="0.2">
      <c r="A120" s="92">
        <v>1</v>
      </c>
      <c r="B120" s="93"/>
      <c r="C120" s="93" t="s">
        <v>160</v>
      </c>
      <c r="D120" s="93"/>
      <c r="E120" s="104"/>
      <c r="F120" s="95">
        <v>20970.809619136999</v>
      </c>
      <c r="G120" s="96">
        <v>5.9991549999999998E-2</v>
      </c>
      <c r="H120" s="86">
        <v>5.57</v>
      </c>
    </row>
    <row r="121" spans="1:8" x14ac:dyDescent="0.2">
      <c r="A121" s="97"/>
      <c r="B121" s="97"/>
      <c r="C121" s="98" t="s">
        <v>141</v>
      </c>
      <c r="D121" s="97"/>
      <c r="E121" s="97" t="s">
        <v>142</v>
      </c>
      <c r="F121" s="99">
        <v>20970.809619136999</v>
      </c>
      <c r="G121" s="100">
        <v>5.9991549999999998E-2</v>
      </c>
      <c r="H121" s="86" t="s">
        <v>142</v>
      </c>
    </row>
    <row r="122" spans="1:8" x14ac:dyDescent="0.2">
      <c r="A122" s="97"/>
      <c r="B122" s="97"/>
      <c r="C122" s="101"/>
      <c r="D122" s="97"/>
      <c r="E122" s="97"/>
      <c r="F122" s="102"/>
      <c r="G122" s="102"/>
      <c r="H122" s="86" t="s">
        <v>142</v>
      </c>
    </row>
    <row r="123" spans="1:8" x14ac:dyDescent="0.2">
      <c r="A123" s="97"/>
      <c r="B123" s="97"/>
      <c r="C123" s="98" t="s">
        <v>161</v>
      </c>
      <c r="D123" s="97"/>
      <c r="E123" s="97"/>
      <c r="F123" s="99">
        <v>20970.809619136999</v>
      </c>
      <c r="G123" s="100">
        <v>5.9991549999999998E-2</v>
      </c>
      <c r="H123" s="86" t="s">
        <v>142</v>
      </c>
    </row>
    <row r="124" spans="1:8" x14ac:dyDescent="0.2">
      <c r="A124" s="97"/>
      <c r="B124" s="97"/>
      <c r="C124" s="102"/>
      <c r="D124" s="97"/>
      <c r="E124" s="97"/>
      <c r="F124" s="97"/>
      <c r="G124" s="97"/>
      <c r="H124" s="86" t="s">
        <v>142</v>
      </c>
    </row>
    <row r="125" spans="1:8" x14ac:dyDescent="0.2">
      <c r="A125" s="97"/>
      <c r="B125" s="97"/>
      <c r="C125" s="98" t="s">
        <v>162</v>
      </c>
      <c r="D125" s="97"/>
      <c r="E125" s="97"/>
      <c r="F125" s="97"/>
      <c r="G125" s="97"/>
      <c r="H125" s="86" t="s">
        <v>142</v>
      </c>
    </row>
    <row r="126" spans="1:8" x14ac:dyDescent="0.2">
      <c r="A126" s="97"/>
      <c r="B126" s="97"/>
      <c r="C126" s="98" t="s">
        <v>163</v>
      </c>
      <c r="D126" s="97"/>
      <c r="E126" s="97"/>
      <c r="F126" s="97"/>
      <c r="G126" s="97"/>
      <c r="H126" s="86" t="s">
        <v>142</v>
      </c>
    </row>
    <row r="127" spans="1:8" x14ac:dyDescent="0.2">
      <c r="A127" s="92">
        <v>1</v>
      </c>
      <c r="B127" s="93" t="s">
        <v>498</v>
      </c>
      <c r="C127" s="93" t="s">
        <v>1147</v>
      </c>
      <c r="D127" s="93"/>
      <c r="E127" s="140">
        <v>13395446.6942</v>
      </c>
      <c r="F127" s="95">
        <v>2068.2301786910002</v>
      </c>
      <c r="G127" s="96">
        <v>5.91662E-3</v>
      </c>
      <c r="H127" s="86" t="s">
        <v>142</v>
      </c>
    </row>
    <row r="128" spans="1:8" x14ac:dyDescent="0.2">
      <c r="A128" s="97"/>
      <c r="B128" s="97"/>
      <c r="C128" s="98" t="s">
        <v>141</v>
      </c>
      <c r="D128" s="97"/>
      <c r="E128" s="97" t="s">
        <v>142</v>
      </c>
      <c r="F128" s="99">
        <v>2068.2301786910002</v>
      </c>
      <c r="G128" s="100">
        <v>5.91662E-3</v>
      </c>
      <c r="H128" s="86" t="s">
        <v>142</v>
      </c>
    </row>
    <row r="129" spans="1:17" x14ac:dyDescent="0.2">
      <c r="A129" s="97"/>
      <c r="B129" s="97"/>
      <c r="C129" s="101"/>
      <c r="D129" s="97"/>
      <c r="E129" s="97"/>
      <c r="F129" s="102"/>
      <c r="G129" s="102"/>
      <c r="H129" s="86" t="s">
        <v>142</v>
      </c>
    </row>
    <row r="130" spans="1:17" x14ac:dyDescent="0.2">
      <c r="A130" s="97"/>
      <c r="B130" s="97"/>
      <c r="C130" s="98" t="s">
        <v>164</v>
      </c>
      <c r="D130" s="97"/>
      <c r="E130" s="97"/>
      <c r="F130" s="97"/>
      <c r="G130" s="97"/>
      <c r="H130" s="86" t="s">
        <v>142</v>
      </c>
    </row>
    <row r="131" spans="1:17" x14ac:dyDescent="0.2">
      <c r="A131" s="97"/>
      <c r="B131" s="97"/>
      <c r="C131" s="98" t="s">
        <v>165</v>
      </c>
      <c r="D131" s="97"/>
      <c r="E131" s="97"/>
      <c r="F131" s="97"/>
      <c r="G131" s="97"/>
      <c r="H131" s="86" t="s">
        <v>142</v>
      </c>
    </row>
    <row r="132" spans="1:17" x14ac:dyDescent="0.2">
      <c r="A132" s="97"/>
      <c r="B132" s="97"/>
      <c r="C132" s="98" t="s">
        <v>141</v>
      </c>
      <c r="D132" s="97"/>
      <c r="E132" s="97" t="s">
        <v>142</v>
      </c>
      <c r="F132" s="103" t="s">
        <v>144</v>
      </c>
      <c r="G132" s="100">
        <v>0</v>
      </c>
      <c r="H132" s="86" t="s">
        <v>142</v>
      </c>
    </row>
    <row r="133" spans="1:17" x14ac:dyDescent="0.2">
      <c r="A133" s="97"/>
      <c r="B133" s="97"/>
      <c r="C133" s="101"/>
      <c r="D133" s="97"/>
      <c r="E133" s="97"/>
      <c r="F133" s="102"/>
      <c r="G133" s="102"/>
      <c r="H133" s="86" t="s">
        <v>142</v>
      </c>
    </row>
    <row r="134" spans="1:17" x14ac:dyDescent="0.2">
      <c r="A134" s="97"/>
      <c r="B134" s="97"/>
      <c r="C134" s="98" t="s">
        <v>166</v>
      </c>
      <c r="D134" s="97"/>
      <c r="E134" s="97"/>
      <c r="F134" s="102"/>
      <c r="G134" s="102"/>
      <c r="H134" s="86" t="s">
        <v>142</v>
      </c>
    </row>
    <row r="135" spans="1:17" x14ac:dyDescent="0.2">
      <c r="A135" s="97"/>
      <c r="B135" s="97"/>
      <c r="C135" s="98" t="s">
        <v>141</v>
      </c>
      <c r="D135" s="97"/>
      <c r="E135" s="97" t="s">
        <v>142</v>
      </c>
      <c r="F135" s="103" t="s">
        <v>144</v>
      </c>
      <c r="G135" s="100">
        <v>0</v>
      </c>
      <c r="H135" s="86" t="s">
        <v>142</v>
      </c>
    </row>
    <row r="136" spans="1:17" x14ac:dyDescent="0.2">
      <c r="A136" s="97"/>
      <c r="B136" s="97"/>
      <c r="C136" s="101"/>
      <c r="D136" s="97"/>
      <c r="E136" s="97"/>
      <c r="F136" s="102"/>
      <c r="G136" s="102"/>
      <c r="H136" s="86" t="s">
        <v>142</v>
      </c>
    </row>
    <row r="137" spans="1:17" x14ac:dyDescent="0.2">
      <c r="A137" s="104"/>
      <c r="B137" s="93"/>
      <c r="C137" s="93" t="s">
        <v>500</v>
      </c>
      <c r="D137" s="93"/>
      <c r="E137" s="104"/>
      <c r="F137" s="95">
        <v>1025.0000367</v>
      </c>
      <c r="G137" s="96">
        <v>2.93224E-3</v>
      </c>
      <c r="H137" s="86" t="s">
        <v>142</v>
      </c>
    </row>
    <row r="138" spans="1:17" x14ac:dyDescent="0.2">
      <c r="A138" s="104"/>
      <c r="B138" s="93"/>
      <c r="C138" s="93" t="s">
        <v>167</v>
      </c>
      <c r="D138" s="93"/>
      <c r="E138" s="104"/>
      <c r="F138" s="95">
        <v>-3041.22131739</v>
      </c>
      <c r="G138" s="96">
        <v>-8.7000700000000007E-3</v>
      </c>
      <c r="H138" s="86" t="s">
        <v>142</v>
      </c>
    </row>
    <row r="139" spans="1:17" x14ac:dyDescent="0.2">
      <c r="A139" s="101"/>
      <c r="B139" s="101"/>
      <c r="C139" s="98" t="s">
        <v>168</v>
      </c>
      <c r="D139" s="102"/>
      <c r="E139" s="102"/>
      <c r="F139" s="99">
        <v>349562.71230645699</v>
      </c>
      <c r="G139" s="105">
        <v>1.00000004</v>
      </c>
      <c r="H139" s="86" t="s">
        <v>142</v>
      </c>
    </row>
    <row r="140" spans="1:17" ht="12.75" customHeight="1" x14ac:dyDescent="0.2">
      <c r="A140" s="106"/>
      <c r="B140" s="106"/>
      <c r="C140" s="107"/>
      <c r="D140" s="108"/>
      <c r="E140" s="108"/>
      <c r="F140" s="109"/>
      <c r="G140" s="110"/>
      <c r="H140" s="111"/>
    </row>
    <row r="141" spans="1:17" x14ac:dyDescent="0.2">
      <c r="A141" s="106"/>
      <c r="B141" s="200" t="s">
        <v>918</v>
      </c>
      <c r="C141" s="200"/>
      <c r="D141" s="200"/>
      <c r="E141" s="200"/>
      <c r="F141" s="200"/>
      <c r="G141" s="200"/>
      <c r="H141" s="200"/>
      <c r="J141" s="113"/>
    </row>
    <row r="142" spans="1:17" x14ac:dyDescent="0.2">
      <c r="A142" s="106"/>
      <c r="B142" s="200" t="s">
        <v>919</v>
      </c>
      <c r="C142" s="200"/>
      <c r="D142" s="200"/>
      <c r="E142" s="200"/>
      <c r="F142" s="200"/>
      <c r="G142" s="200"/>
      <c r="H142" s="200"/>
      <c r="J142" s="113"/>
    </row>
    <row r="143" spans="1:17" x14ac:dyDescent="0.2">
      <c r="A143" s="106"/>
      <c r="B143" s="200" t="s">
        <v>920</v>
      </c>
      <c r="C143" s="200"/>
      <c r="D143" s="200"/>
      <c r="E143" s="200"/>
      <c r="F143" s="200"/>
      <c r="G143" s="200"/>
      <c r="H143" s="200"/>
      <c r="J143" s="113"/>
    </row>
    <row r="144" spans="1:17" s="115" customFormat="1" ht="66.75" customHeight="1" x14ac:dyDescent="0.25">
      <c r="A144" s="114"/>
      <c r="B144" s="201" t="s">
        <v>921</v>
      </c>
      <c r="C144" s="201"/>
      <c r="D144" s="201"/>
      <c r="E144" s="201"/>
      <c r="F144" s="201"/>
      <c r="G144" s="201"/>
      <c r="H144" s="201"/>
      <c r="I144"/>
      <c r="J144" s="113"/>
      <c r="K144"/>
      <c r="L144"/>
      <c r="M144"/>
      <c r="N144"/>
      <c r="O144"/>
      <c r="P144"/>
      <c r="Q144"/>
    </row>
    <row r="145" spans="1:10" x14ac:dyDescent="0.2">
      <c r="A145" s="106"/>
      <c r="B145" s="200" t="s">
        <v>922</v>
      </c>
      <c r="C145" s="200"/>
      <c r="D145" s="200"/>
      <c r="E145" s="200"/>
      <c r="F145" s="200"/>
      <c r="G145" s="200"/>
      <c r="H145" s="200"/>
      <c r="J145" s="113"/>
    </row>
    <row r="146" spans="1:10" x14ac:dyDescent="0.2">
      <c r="A146" s="106"/>
      <c r="B146" s="106"/>
      <c r="C146" s="106"/>
      <c r="D146" s="108"/>
      <c r="E146" s="108"/>
      <c r="F146" s="108"/>
      <c r="G146" s="108"/>
    </row>
    <row r="147" spans="1:10" x14ac:dyDescent="0.2">
      <c r="A147" s="106"/>
      <c r="B147" s="202" t="s">
        <v>169</v>
      </c>
      <c r="C147" s="203"/>
      <c r="D147" s="204"/>
      <c r="E147" s="116"/>
      <c r="F147" s="108"/>
      <c r="G147" s="108"/>
    </row>
    <row r="148" spans="1:10" ht="27.75" customHeight="1" x14ac:dyDescent="0.2">
      <c r="A148" s="106"/>
      <c r="B148" s="205" t="s">
        <v>170</v>
      </c>
      <c r="C148" s="206"/>
      <c r="D148" s="85" t="s">
        <v>171</v>
      </c>
      <c r="E148" s="116"/>
      <c r="F148" s="108"/>
      <c r="G148" s="108"/>
    </row>
    <row r="149" spans="1:10" ht="12.75" customHeight="1" x14ac:dyDescent="0.2">
      <c r="A149" s="106"/>
      <c r="B149" s="205" t="s">
        <v>923</v>
      </c>
      <c r="C149" s="206"/>
      <c r="D149" s="85" t="str">
        <f>"Rs. "&amp;TEXT(F80,"0.00")&amp;" lacs/ #"</f>
        <v>Rs. 0.00 lacs/ #</v>
      </c>
      <c r="E149" s="116"/>
      <c r="F149" s="108"/>
      <c r="G149" s="108"/>
    </row>
    <row r="150" spans="1:10" x14ac:dyDescent="0.2">
      <c r="A150" s="106"/>
      <c r="B150" s="205" t="s">
        <v>172</v>
      </c>
      <c r="C150" s="206"/>
      <c r="D150" s="117" t="s">
        <v>142</v>
      </c>
      <c r="E150" s="116"/>
      <c r="F150" s="108"/>
      <c r="G150" s="108"/>
    </row>
    <row r="151" spans="1:10" x14ac:dyDescent="0.2">
      <c r="A151" s="118"/>
      <c r="B151" s="119" t="s">
        <v>142</v>
      </c>
      <c r="C151" s="119" t="s">
        <v>924</v>
      </c>
      <c r="D151" s="119" t="s">
        <v>173</v>
      </c>
      <c r="E151" s="118"/>
      <c r="F151" s="118"/>
      <c r="G151" s="118"/>
      <c r="H151" s="118"/>
      <c r="J151" s="113"/>
    </row>
    <row r="152" spans="1:10" x14ac:dyDescent="0.2">
      <c r="A152" s="118"/>
      <c r="B152" s="120" t="s">
        <v>174</v>
      </c>
      <c r="C152" s="121">
        <v>45930</v>
      </c>
      <c r="D152" s="121">
        <v>45961</v>
      </c>
      <c r="E152" s="118"/>
      <c r="F152" s="118"/>
      <c r="G152" s="118"/>
      <c r="J152" s="113"/>
    </row>
    <row r="153" spans="1:10" x14ac:dyDescent="0.2">
      <c r="A153" s="122"/>
      <c r="B153" s="93" t="s">
        <v>175</v>
      </c>
      <c r="C153" s="123">
        <v>282.39780000000002</v>
      </c>
      <c r="D153" s="123">
        <v>296.1463</v>
      </c>
      <c r="E153" s="122"/>
      <c r="F153" s="124"/>
      <c r="G153" s="125"/>
    </row>
    <row r="154" spans="1:10" x14ac:dyDescent="0.2">
      <c r="A154" s="122"/>
      <c r="B154" s="93" t="s">
        <v>1101</v>
      </c>
      <c r="C154" s="123">
        <v>37.110199999999999</v>
      </c>
      <c r="D154" s="123">
        <v>38.916899999999998</v>
      </c>
      <c r="E154" s="122"/>
      <c r="F154" s="124"/>
      <c r="G154" s="125"/>
    </row>
    <row r="155" spans="1:10" x14ac:dyDescent="0.2">
      <c r="A155" s="122"/>
      <c r="B155" s="93" t="s">
        <v>176</v>
      </c>
      <c r="C155" s="123">
        <v>254.542</v>
      </c>
      <c r="D155" s="123">
        <v>266.68959999999998</v>
      </c>
      <c r="E155" s="122"/>
      <c r="F155" s="124"/>
      <c r="G155" s="125"/>
    </row>
    <row r="156" spans="1:10" x14ac:dyDescent="0.2">
      <c r="A156" s="122"/>
      <c r="B156" s="93" t="s">
        <v>1102</v>
      </c>
      <c r="C156" s="123">
        <v>32.540500000000002</v>
      </c>
      <c r="D156" s="123">
        <v>34.093400000000003</v>
      </c>
      <c r="E156" s="122"/>
      <c r="F156" s="124"/>
      <c r="G156" s="125"/>
    </row>
    <row r="157" spans="1:10" x14ac:dyDescent="0.2">
      <c r="A157" s="122"/>
      <c r="B157" s="122"/>
      <c r="C157" s="122"/>
      <c r="D157" s="122"/>
      <c r="E157" s="122"/>
      <c r="F157" s="122"/>
      <c r="G157" s="122"/>
    </row>
    <row r="158" spans="1:10" x14ac:dyDescent="0.2">
      <c r="A158" s="118"/>
      <c r="B158" s="205" t="s">
        <v>925</v>
      </c>
      <c r="C158" s="206"/>
      <c r="D158" s="85" t="s">
        <v>171</v>
      </c>
      <c r="E158" s="118"/>
      <c r="F158" s="118"/>
      <c r="G158" s="118"/>
    </row>
    <row r="159" spans="1:10" x14ac:dyDescent="0.2">
      <c r="A159" s="118"/>
      <c r="B159" s="196"/>
      <c r="C159" s="196"/>
      <c r="D159" s="197"/>
      <c r="E159" s="118"/>
      <c r="F159" s="112"/>
      <c r="G159" s="133"/>
    </row>
    <row r="160" spans="1:10" x14ac:dyDescent="0.2">
      <c r="A160" s="118"/>
      <c r="B160" s="205" t="s">
        <v>179</v>
      </c>
      <c r="C160" s="206"/>
      <c r="D160" s="85" t="s">
        <v>956</v>
      </c>
      <c r="E160" s="131"/>
      <c r="F160" s="118"/>
      <c r="G160" s="118"/>
    </row>
    <row r="161" spans="1:7" x14ac:dyDescent="0.2">
      <c r="A161" s="118"/>
      <c r="B161" s="205" t="s">
        <v>180</v>
      </c>
      <c r="C161" s="206"/>
      <c r="D161" s="85" t="s">
        <v>171</v>
      </c>
      <c r="E161" s="131"/>
      <c r="F161" s="118"/>
      <c r="G161" s="118"/>
    </row>
    <row r="162" spans="1:7" x14ac:dyDescent="0.2">
      <c r="A162" s="118"/>
      <c r="B162" s="205" t="s">
        <v>181</v>
      </c>
      <c r="C162" s="206"/>
      <c r="D162" s="85" t="s">
        <v>171</v>
      </c>
      <c r="E162" s="131"/>
      <c r="F162" s="118"/>
      <c r="G162" s="118"/>
    </row>
    <row r="163" spans="1:7" x14ac:dyDescent="0.2">
      <c r="A163" s="118"/>
      <c r="B163" s="205" t="s">
        <v>182</v>
      </c>
      <c r="C163" s="206"/>
      <c r="D163" s="132">
        <v>0.61956116979614284</v>
      </c>
      <c r="E163" s="118"/>
      <c r="F163" s="112"/>
      <c r="G163" s="133"/>
    </row>
    <row r="165" spans="1:7" x14ac:dyDescent="0.2">
      <c r="B165" s="199" t="s">
        <v>926</v>
      </c>
      <c r="C165" s="199"/>
    </row>
    <row r="167" spans="1:7" ht="153.75" customHeight="1" x14ac:dyDescent="0.2"/>
    <row r="170" spans="1:7" x14ac:dyDescent="0.2">
      <c r="B170" s="134" t="s">
        <v>927</v>
      </c>
      <c r="C170" s="135"/>
      <c r="D170" s="134" t="s">
        <v>932</v>
      </c>
    </row>
    <row r="171" spans="1:7" x14ac:dyDescent="0.2">
      <c r="B171" s="134" t="s">
        <v>944</v>
      </c>
      <c r="D171" s="134" t="s">
        <v>945</v>
      </c>
    </row>
    <row r="172" spans="1:7" ht="165" customHeight="1" x14ac:dyDescent="0.2"/>
    <row r="174" spans="1:7" ht="12.75" customHeight="1" x14ac:dyDescent="0.2"/>
    <row r="175" spans="1:7" ht="12.75" customHeight="1" x14ac:dyDescent="0.2"/>
    <row r="176" spans="1:7" ht="12.75" customHeigh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sheetData>
  <mergeCells count="18">
    <mergeCell ref="B165:C165"/>
    <mergeCell ref="B163:C163"/>
    <mergeCell ref="A1:H1"/>
    <mergeCell ref="A2:H2"/>
    <mergeCell ref="A3:H3"/>
    <mergeCell ref="B158:C158"/>
    <mergeCell ref="B162:C162"/>
    <mergeCell ref="B141:H141"/>
    <mergeCell ref="B142:H142"/>
    <mergeCell ref="B149:C149"/>
    <mergeCell ref="B150:C150"/>
    <mergeCell ref="B160:C160"/>
    <mergeCell ref="B161:C161"/>
    <mergeCell ref="B143:H143"/>
    <mergeCell ref="B144:H144"/>
    <mergeCell ref="B145:H145"/>
    <mergeCell ref="B147:D147"/>
    <mergeCell ref="B148:C148"/>
  </mergeCells>
  <hyperlinks>
    <hyperlink ref="I1" location="Index!B2" display="Index" xr:uid="{99468C39-1593-4DE4-8914-C4D8E67DF4DD}"/>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49E63-7F6E-400E-8C53-93DD5749C9BB}">
  <sheetPr>
    <outlinePr summaryBelow="0" summaryRight="0"/>
  </sheetPr>
  <dimension ref="A1:Q257"/>
  <sheetViews>
    <sheetView showGridLines="0" workbookViewId="0">
      <selection activeCell="I68" sqref="I68"/>
    </sheetView>
  </sheetViews>
  <sheetFormatPr defaultRowHeight="12.75" x14ac:dyDescent="0.2"/>
  <cols>
    <col min="1" max="1" width="5.85546875" bestFit="1" customWidth="1"/>
    <col min="2" max="2" width="19.5703125" bestFit="1" customWidth="1"/>
    <col min="3" max="3" width="45.85546875" customWidth="1"/>
    <col min="4" max="4" width="17.7109375" bestFit="1" customWidth="1"/>
    <col min="5" max="5" width="13.570312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501</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5362352</v>
      </c>
      <c r="F7" s="95">
        <v>52942.501296000002</v>
      </c>
      <c r="G7" s="96">
        <v>7.2201319999999999E-2</v>
      </c>
      <c r="H7" s="86" t="s">
        <v>142</v>
      </c>
    </row>
    <row r="8" spans="1:9" x14ac:dyDescent="0.2">
      <c r="A8" s="92">
        <v>2</v>
      </c>
      <c r="B8" s="93" t="s">
        <v>33</v>
      </c>
      <c r="C8" s="93" t="s">
        <v>34</v>
      </c>
      <c r="D8" s="93" t="s">
        <v>35</v>
      </c>
      <c r="E8" s="94">
        <v>2670650</v>
      </c>
      <c r="F8" s="95">
        <v>35928.25445</v>
      </c>
      <c r="G8" s="96">
        <v>4.8997829999999999E-2</v>
      </c>
      <c r="H8" s="86" t="s">
        <v>142</v>
      </c>
    </row>
    <row r="9" spans="1:9" x14ac:dyDescent="0.2">
      <c r="A9" s="92">
        <v>3</v>
      </c>
      <c r="B9" s="93" t="s">
        <v>17</v>
      </c>
      <c r="C9" s="93" t="s">
        <v>18</v>
      </c>
      <c r="D9" s="93" t="s">
        <v>19</v>
      </c>
      <c r="E9" s="94">
        <v>1974025</v>
      </c>
      <c r="F9" s="95">
        <v>29341.907599999999</v>
      </c>
      <c r="G9" s="96">
        <v>4.001557E-2</v>
      </c>
      <c r="H9" s="86" t="s">
        <v>142</v>
      </c>
    </row>
    <row r="10" spans="1:9" x14ac:dyDescent="0.2">
      <c r="A10" s="92">
        <v>4</v>
      </c>
      <c r="B10" s="93" t="s">
        <v>11</v>
      </c>
      <c r="C10" s="93" t="s">
        <v>12</v>
      </c>
      <c r="D10" s="93" t="s">
        <v>13</v>
      </c>
      <c r="E10" s="94">
        <v>1342955</v>
      </c>
      <c r="F10" s="95">
        <v>27591.010474999999</v>
      </c>
      <c r="G10" s="96">
        <v>3.7627750000000001E-2</v>
      </c>
      <c r="H10" s="86" t="s">
        <v>142</v>
      </c>
    </row>
    <row r="11" spans="1:9" x14ac:dyDescent="0.2">
      <c r="A11" s="92">
        <v>5</v>
      </c>
      <c r="B11" s="93" t="s">
        <v>14</v>
      </c>
      <c r="C11" s="93" t="s">
        <v>15</v>
      </c>
      <c r="D11" s="93" t="s">
        <v>16</v>
      </c>
      <c r="E11" s="94">
        <v>566389</v>
      </c>
      <c r="F11" s="95">
        <v>22830.574200999999</v>
      </c>
      <c r="G11" s="96">
        <v>3.1135619999999999E-2</v>
      </c>
      <c r="H11" s="86" t="s">
        <v>142</v>
      </c>
    </row>
    <row r="12" spans="1:9" x14ac:dyDescent="0.2">
      <c r="A12" s="92">
        <v>6</v>
      </c>
      <c r="B12" s="93" t="s">
        <v>324</v>
      </c>
      <c r="C12" s="93" t="s">
        <v>325</v>
      </c>
      <c r="D12" s="93" t="s">
        <v>35</v>
      </c>
      <c r="E12" s="94">
        <v>928521</v>
      </c>
      <c r="F12" s="95">
        <v>19519.368461999999</v>
      </c>
      <c r="G12" s="96">
        <v>2.6619899999999998E-2</v>
      </c>
      <c r="H12" s="86" t="s">
        <v>142</v>
      </c>
    </row>
    <row r="13" spans="1:9" x14ac:dyDescent="0.2">
      <c r="A13" s="92">
        <v>7</v>
      </c>
      <c r="B13" s="93" t="s">
        <v>334</v>
      </c>
      <c r="C13" s="93" t="s">
        <v>335</v>
      </c>
      <c r="D13" s="93" t="s">
        <v>241</v>
      </c>
      <c r="E13" s="94">
        <v>530485</v>
      </c>
      <c r="F13" s="95">
        <v>18499.072919999999</v>
      </c>
      <c r="G13" s="96">
        <v>2.5228460000000001E-2</v>
      </c>
      <c r="H13" s="86" t="s">
        <v>142</v>
      </c>
    </row>
    <row r="14" spans="1:9" x14ac:dyDescent="0.2">
      <c r="A14" s="87">
        <v>8</v>
      </c>
      <c r="B14" s="88" t="s">
        <v>946</v>
      </c>
      <c r="C14" s="88" t="s">
        <v>947</v>
      </c>
      <c r="D14" s="88" t="s">
        <v>73</v>
      </c>
      <c r="E14" s="89">
        <v>3389384</v>
      </c>
      <c r="F14" s="90">
        <f>145.387627*100</f>
        <v>14538.762700000001</v>
      </c>
      <c r="G14" s="161">
        <f>F14/F176</f>
        <v>1.9827508329356983E-2</v>
      </c>
      <c r="H14" s="86" t="s">
        <v>142</v>
      </c>
    </row>
    <row r="15" spans="1:9" x14ac:dyDescent="0.2">
      <c r="A15" s="92">
        <v>9</v>
      </c>
      <c r="B15" s="93" t="s">
        <v>330</v>
      </c>
      <c r="C15" s="93" t="s">
        <v>331</v>
      </c>
      <c r="D15" s="93" t="s">
        <v>186</v>
      </c>
      <c r="E15" s="94">
        <v>1357565</v>
      </c>
      <c r="F15" s="95">
        <v>14156.687819999999</v>
      </c>
      <c r="G15" s="96">
        <v>1.9306449999999999E-2</v>
      </c>
      <c r="H15" s="86" t="s">
        <v>142</v>
      </c>
    </row>
    <row r="16" spans="1:9" x14ac:dyDescent="0.2">
      <c r="A16" s="92">
        <v>10</v>
      </c>
      <c r="B16" s="93" t="s">
        <v>39</v>
      </c>
      <c r="C16" s="93" t="s">
        <v>40</v>
      </c>
      <c r="D16" s="93" t="s">
        <v>35</v>
      </c>
      <c r="E16" s="94">
        <v>1443680</v>
      </c>
      <c r="F16" s="95">
        <v>13527.2816</v>
      </c>
      <c r="G16" s="96">
        <v>1.8448079999999999E-2</v>
      </c>
      <c r="H16" s="86" t="s">
        <v>142</v>
      </c>
    </row>
    <row r="17" spans="1:8" x14ac:dyDescent="0.2">
      <c r="A17" s="92">
        <v>11</v>
      </c>
      <c r="B17" s="93" t="s">
        <v>344</v>
      </c>
      <c r="C17" s="93" t="s">
        <v>345</v>
      </c>
      <c r="D17" s="93" t="s">
        <v>186</v>
      </c>
      <c r="E17" s="94">
        <v>728160</v>
      </c>
      <c r="F17" s="95">
        <v>12355.418879999999</v>
      </c>
      <c r="G17" s="96">
        <v>1.6849929999999999E-2</v>
      </c>
      <c r="H17" s="86" t="s">
        <v>142</v>
      </c>
    </row>
    <row r="18" spans="1:8" x14ac:dyDescent="0.2">
      <c r="A18" s="92">
        <v>12</v>
      </c>
      <c r="B18" s="93" t="s">
        <v>440</v>
      </c>
      <c r="C18" s="93" t="s">
        <v>441</v>
      </c>
      <c r="D18" s="93" t="s">
        <v>422</v>
      </c>
      <c r="E18" s="94">
        <v>467563</v>
      </c>
      <c r="F18" s="95">
        <v>11527.765765</v>
      </c>
      <c r="G18" s="96">
        <v>1.5721209999999999E-2</v>
      </c>
      <c r="H18" s="86" t="s">
        <v>142</v>
      </c>
    </row>
    <row r="19" spans="1:8" x14ac:dyDescent="0.2">
      <c r="A19" s="92">
        <v>13</v>
      </c>
      <c r="B19" s="93" t="s">
        <v>26</v>
      </c>
      <c r="C19" s="93" t="s">
        <v>27</v>
      </c>
      <c r="D19" s="93" t="s">
        <v>28</v>
      </c>
      <c r="E19" s="94">
        <v>2510569</v>
      </c>
      <c r="F19" s="95">
        <v>10697.534508999999</v>
      </c>
      <c r="G19" s="96">
        <v>1.458896E-2</v>
      </c>
      <c r="H19" s="86" t="s">
        <v>142</v>
      </c>
    </row>
    <row r="20" spans="1:8" ht="25.5" x14ac:dyDescent="0.2">
      <c r="A20" s="92">
        <v>14</v>
      </c>
      <c r="B20" s="93" t="s">
        <v>189</v>
      </c>
      <c r="C20" s="93" t="s">
        <v>190</v>
      </c>
      <c r="D20" s="93" t="s">
        <v>191</v>
      </c>
      <c r="E20" s="94">
        <v>500480</v>
      </c>
      <c r="F20" s="95">
        <v>10633.19808</v>
      </c>
      <c r="G20" s="96">
        <v>1.450122E-2</v>
      </c>
      <c r="H20" s="86" t="s">
        <v>142</v>
      </c>
    </row>
    <row r="21" spans="1:8" x14ac:dyDescent="0.2">
      <c r="A21" s="92">
        <v>15</v>
      </c>
      <c r="B21" s="93" t="s">
        <v>56</v>
      </c>
      <c r="C21" s="93" t="s">
        <v>57</v>
      </c>
      <c r="D21" s="93" t="s">
        <v>58</v>
      </c>
      <c r="E21" s="94">
        <v>240499</v>
      </c>
      <c r="F21" s="95">
        <v>10447.517059</v>
      </c>
      <c r="G21" s="96">
        <v>1.4248E-2</v>
      </c>
      <c r="H21" s="86" t="s">
        <v>142</v>
      </c>
    </row>
    <row r="22" spans="1:8" x14ac:dyDescent="0.2">
      <c r="A22" s="92">
        <v>16</v>
      </c>
      <c r="B22" s="93" t="s">
        <v>423</v>
      </c>
      <c r="C22" s="93" t="s">
        <v>424</v>
      </c>
      <c r="D22" s="93" t="s">
        <v>204</v>
      </c>
      <c r="E22" s="94">
        <v>628155</v>
      </c>
      <c r="F22" s="95">
        <v>9683.0093250000009</v>
      </c>
      <c r="G22" s="96">
        <v>1.3205379999999999E-2</v>
      </c>
      <c r="H22" s="86" t="s">
        <v>142</v>
      </c>
    </row>
    <row r="23" spans="1:8" x14ac:dyDescent="0.2">
      <c r="A23" s="92">
        <v>17</v>
      </c>
      <c r="B23" s="93" t="s">
        <v>59</v>
      </c>
      <c r="C23" s="93" t="s">
        <v>60</v>
      </c>
      <c r="D23" s="93" t="s">
        <v>61</v>
      </c>
      <c r="E23" s="94">
        <v>170945</v>
      </c>
      <c r="F23" s="95">
        <v>9615.65625</v>
      </c>
      <c r="G23" s="96">
        <v>1.311353E-2</v>
      </c>
      <c r="H23" s="86" t="s">
        <v>142</v>
      </c>
    </row>
    <row r="24" spans="1:8" x14ac:dyDescent="0.2">
      <c r="A24" s="92">
        <v>18</v>
      </c>
      <c r="B24" s="93" t="s">
        <v>216</v>
      </c>
      <c r="C24" s="93" t="s">
        <v>217</v>
      </c>
      <c r="D24" s="93" t="s">
        <v>218</v>
      </c>
      <c r="E24" s="94">
        <v>1578293</v>
      </c>
      <c r="F24" s="95">
        <v>9435.8247004999994</v>
      </c>
      <c r="G24" s="96">
        <v>1.2868279999999999E-2</v>
      </c>
      <c r="H24" s="86" t="s">
        <v>142</v>
      </c>
    </row>
    <row r="25" spans="1:8" x14ac:dyDescent="0.2">
      <c r="A25" s="92">
        <v>19</v>
      </c>
      <c r="B25" s="93" t="s">
        <v>502</v>
      </c>
      <c r="C25" s="93" t="s">
        <v>503</v>
      </c>
      <c r="D25" s="93" t="s">
        <v>186</v>
      </c>
      <c r="E25" s="94">
        <v>2267155</v>
      </c>
      <c r="F25" s="95">
        <v>9142.3025374999997</v>
      </c>
      <c r="G25" s="96">
        <v>1.246799E-2</v>
      </c>
      <c r="H25" s="86" t="s">
        <v>142</v>
      </c>
    </row>
    <row r="26" spans="1:8" x14ac:dyDescent="0.2">
      <c r="A26" s="92">
        <v>20</v>
      </c>
      <c r="B26" s="93" t="s">
        <v>326</v>
      </c>
      <c r="C26" s="93" t="s">
        <v>327</v>
      </c>
      <c r="D26" s="93" t="s">
        <v>204</v>
      </c>
      <c r="E26" s="94">
        <v>609080</v>
      </c>
      <c r="F26" s="95">
        <v>9028.3928400000004</v>
      </c>
      <c r="G26" s="96">
        <v>1.231264E-2</v>
      </c>
      <c r="H26" s="86" t="s">
        <v>142</v>
      </c>
    </row>
    <row r="27" spans="1:8" ht="25.5" x14ac:dyDescent="0.2">
      <c r="A27" s="92">
        <v>21</v>
      </c>
      <c r="B27" s="93" t="s">
        <v>434</v>
      </c>
      <c r="C27" s="93" t="s">
        <v>435</v>
      </c>
      <c r="D27" s="93" t="s">
        <v>207</v>
      </c>
      <c r="E27" s="94">
        <v>737885</v>
      </c>
      <c r="F27" s="95">
        <v>8596.3602499999997</v>
      </c>
      <c r="G27" s="96">
        <v>1.172345E-2</v>
      </c>
      <c r="H27" s="86" t="s">
        <v>142</v>
      </c>
    </row>
    <row r="28" spans="1:8" x14ac:dyDescent="0.2">
      <c r="A28" s="92">
        <v>22</v>
      </c>
      <c r="B28" s="93" t="s">
        <v>213</v>
      </c>
      <c r="C28" s="93" t="s">
        <v>214</v>
      </c>
      <c r="D28" s="93" t="s">
        <v>215</v>
      </c>
      <c r="E28" s="94">
        <v>324050</v>
      </c>
      <c r="F28" s="95">
        <v>8033.1994999999997</v>
      </c>
      <c r="G28" s="96">
        <v>1.095543E-2</v>
      </c>
      <c r="H28" s="86" t="s">
        <v>142</v>
      </c>
    </row>
    <row r="29" spans="1:8" x14ac:dyDescent="0.2">
      <c r="A29" s="92">
        <v>23</v>
      </c>
      <c r="B29" s="93" t="s">
        <v>31</v>
      </c>
      <c r="C29" s="93" t="s">
        <v>32</v>
      </c>
      <c r="D29" s="93" t="s">
        <v>19</v>
      </c>
      <c r="E29" s="94">
        <v>2077141</v>
      </c>
      <c r="F29" s="95">
        <v>7411.2390880000003</v>
      </c>
      <c r="G29" s="96">
        <v>1.010722E-2</v>
      </c>
      <c r="H29" s="86" t="s">
        <v>142</v>
      </c>
    </row>
    <row r="30" spans="1:8" x14ac:dyDescent="0.2">
      <c r="A30" s="92">
        <v>24</v>
      </c>
      <c r="B30" s="93" t="s">
        <v>504</v>
      </c>
      <c r="C30" s="93" t="s">
        <v>505</v>
      </c>
      <c r="D30" s="93" t="s">
        <v>241</v>
      </c>
      <c r="E30" s="94">
        <v>44705</v>
      </c>
      <c r="F30" s="95">
        <v>7235.9512999999997</v>
      </c>
      <c r="G30" s="96">
        <v>9.8681600000000008E-3</v>
      </c>
      <c r="H30" s="86" t="s">
        <v>142</v>
      </c>
    </row>
    <row r="31" spans="1:8" ht="25.5" x14ac:dyDescent="0.2">
      <c r="A31" s="92">
        <v>25</v>
      </c>
      <c r="B31" s="93" t="s">
        <v>23</v>
      </c>
      <c r="C31" s="93" t="s">
        <v>24</v>
      </c>
      <c r="D31" s="93" t="s">
        <v>25</v>
      </c>
      <c r="E31" s="94">
        <v>58865</v>
      </c>
      <c r="F31" s="95">
        <v>7032.6015500000003</v>
      </c>
      <c r="G31" s="96">
        <v>9.5908399999999998E-3</v>
      </c>
      <c r="H31" s="86" t="s">
        <v>142</v>
      </c>
    </row>
    <row r="32" spans="1:8" x14ac:dyDescent="0.2">
      <c r="A32" s="92">
        <v>26</v>
      </c>
      <c r="B32" s="93" t="s">
        <v>46</v>
      </c>
      <c r="C32" s="93" t="s">
        <v>47</v>
      </c>
      <c r="D32" s="93" t="s">
        <v>48</v>
      </c>
      <c r="E32" s="94">
        <v>85425</v>
      </c>
      <c r="F32" s="95">
        <v>6865.1801249999999</v>
      </c>
      <c r="G32" s="96">
        <v>9.3625199999999992E-3</v>
      </c>
      <c r="H32" s="86" t="s">
        <v>142</v>
      </c>
    </row>
    <row r="33" spans="1:8" ht="25.5" x14ac:dyDescent="0.2">
      <c r="A33" s="92">
        <v>27</v>
      </c>
      <c r="B33" s="93" t="s">
        <v>338</v>
      </c>
      <c r="C33" s="93" t="s">
        <v>339</v>
      </c>
      <c r="D33" s="93" t="s">
        <v>25</v>
      </c>
      <c r="E33" s="94">
        <v>235210</v>
      </c>
      <c r="F33" s="95">
        <v>6801.5675700000002</v>
      </c>
      <c r="G33" s="96">
        <v>9.2757599999999992E-3</v>
      </c>
      <c r="H33" s="86" t="s">
        <v>142</v>
      </c>
    </row>
    <row r="34" spans="1:8" x14ac:dyDescent="0.2">
      <c r="A34" s="92">
        <v>28</v>
      </c>
      <c r="B34" s="93" t="s">
        <v>506</v>
      </c>
      <c r="C34" s="93" t="s">
        <v>507</v>
      </c>
      <c r="D34" s="93" t="s">
        <v>232</v>
      </c>
      <c r="E34" s="94">
        <v>445308</v>
      </c>
      <c r="F34" s="95">
        <v>6374.1387119999999</v>
      </c>
      <c r="G34" s="96">
        <v>8.6928500000000002E-3</v>
      </c>
      <c r="H34" s="86" t="s">
        <v>142</v>
      </c>
    </row>
    <row r="35" spans="1:8" x14ac:dyDescent="0.2">
      <c r="A35" s="92">
        <v>29</v>
      </c>
      <c r="B35" s="93" t="s">
        <v>428</v>
      </c>
      <c r="C35" s="93" t="s">
        <v>429</v>
      </c>
      <c r="D35" s="93" t="s">
        <v>272</v>
      </c>
      <c r="E35" s="94">
        <v>325160</v>
      </c>
      <c r="F35" s="95">
        <v>6359.1541200000001</v>
      </c>
      <c r="G35" s="96">
        <v>8.6724200000000001E-3</v>
      </c>
      <c r="H35" s="86" t="s">
        <v>142</v>
      </c>
    </row>
    <row r="36" spans="1:8" x14ac:dyDescent="0.2">
      <c r="A36" s="92">
        <v>30</v>
      </c>
      <c r="B36" s="93" t="s">
        <v>508</v>
      </c>
      <c r="C36" s="93" t="s">
        <v>509</v>
      </c>
      <c r="D36" s="93" t="s">
        <v>38</v>
      </c>
      <c r="E36" s="94">
        <v>608889</v>
      </c>
      <c r="F36" s="95">
        <v>6117.8122274999996</v>
      </c>
      <c r="G36" s="96">
        <v>8.3432799999999998E-3</v>
      </c>
      <c r="H36" s="86" t="s">
        <v>142</v>
      </c>
    </row>
    <row r="37" spans="1:8" x14ac:dyDescent="0.2">
      <c r="A37" s="92">
        <v>31</v>
      </c>
      <c r="B37" s="93" t="s">
        <v>49</v>
      </c>
      <c r="C37" s="93" t="s">
        <v>50</v>
      </c>
      <c r="D37" s="93" t="s">
        <v>22</v>
      </c>
      <c r="E37" s="94">
        <v>1469941</v>
      </c>
      <c r="F37" s="95">
        <v>5951.7911089999998</v>
      </c>
      <c r="G37" s="96">
        <v>8.11687E-3</v>
      </c>
      <c r="H37" s="86" t="s">
        <v>142</v>
      </c>
    </row>
    <row r="38" spans="1:8" x14ac:dyDescent="0.2">
      <c r="A38" s="92">
        <v>32</v>
      </c>
      <c r="B38" s="93" t="s">
        <v>297</v>
      </c>
      <c r="C38" s="93" t="s">
        <v>298</v>
      </c>
      <c r="D38" s="93" t="s">
        <v>186</v>
      </c>
      <c r="E38" s="94">
        <v>119934</v>
      </c>
      <c r="F38" s="95">
        <v>5911.786728</v>
      </c>
      <c r="G38" s="96">
        <v>8.0623099999999996E-3</v>
      </c>
      <c r="H38" s="86" t="s">
        <v>142</v>
      </c>
    </row>
    <row r="39" spans="1:8" x14ac:dyDescent="0.2">
      <c r="A39" s="92">
        <v>33</v>
      </c>
      <c r="B39" s="93" t="s">
        <v>510</v>
      </c>
      <c r="C39" s="93" t="s">
        <v>511</v>
      </c>
      <c r="D39" s="93" t="s">
        <v>241</v>
      </c>
      <c r="E39" s="94">
        <v>66363</v>
      </c>
      <c r="F39" s="95">
        <v>5901.3297750000002</v>
      </c>
      <c r="G39" s="96">
        <v>8.0480499999999993E-3</v>
      </c>
      <c r="H39" s="86" t="s">
        <v>142</v>
      </c>
    </row>
    <row r="40" spans="1:8" x14ac:dyDescent="0.2">
      <c r="A40" s="92">
        <v>34</v>
      </c>
      <c r="B40" s="93" t="s">
        <v>512</v>
      </c>
      <c r="C40" s="93" t="s">
        <v>513</v>
      </c>
      <c r="D40" s="93" t="s">
        <v>186</v>
      </c>
      <c r="E40" s="94">
        <v>485134</v>
      </c>
      <c r="F40" s="95">
        <v>5797.8364339999998</v>
      </c>
      <c r="G40" s="96">
        <v>7.9069099999999996E-3</v>
      </c>
      <c r="H40" s="86" t="s">
        <v>142</v>
      </c>
    </row>
    <row r="41" spans="1:8" ht="25.5" x14ac:dyDescent="0.2">
      <c r="A41" s="92">
        <v>35</v>
      </c>
      <c r="B41" s="93" t="s">
        <v>266</v>
      </c>
      <c r="C41" s="93" t="s">
        <v>267</v>
      </c>
      <c r="D41" s="93" t="s">
        <v>225</v>
      </c>
      <c r="E41" s="94">
        <v>242490</v>
      </c>
      <c r="F41" s="95">
        <v>5780.9615999999996</v>
      </c>
      <c r="G41" s="96">
        <v>7.8838899999999993E-3</v>
      </c>
      <c r="H41" s="86" t="s">
        <v>142</v>
      </c>
    </row>
    <row r="42" spans="1:8" ht="25.5" x14ac:dyDescent="0.2">
      <c r="A42" s="92">
        <v>36</v>
      </c>
      <c r="B42" s="93" t="s">
        <v>74</v>
      </c>
      <c r="C42" s="93" t="s">
        <v>75</v>
      </c>
      <c r="D42" s="93" t="s">
        <v>25</v>
      </c>
      <c r="E42" s="94">
        <v>87875</v>
      </c>
      <c r="F42" s="95">
        <v>5460.5524999999998</v>
      </c>
      <c r="G42" s="96">
        <v>7.44693E-3</v>
      </c>
      <c r="H42" s="86" t="s">
        <v>142</v>
      </c>
    </row>
    <row r="43" spans="1:8" ht="25.5" x14ac:dyDescent="0.2">
      <c r="A43" s="92">
        <v>37</v>
      </c>
      <c r="B43" s="93" t="s">
        <v>346</v>
      </c>
      <c r="C43" s="93" t="s">
        <v>347</v>
      </c>
      <c r="D43" s="93" t="s">
        <v>225</v>
      </c>
      <c r="E43" s="94">
        <v>314495</v>
      </c>
      <c r="F43" s="95">
        <v>5317.1669650000003</v>
      </c>
      <c r="G43" s="96">
        <v>7.2513899999999999E-3</v>
      </c>
      <c r="H43" s="86" t="s">
        <v>142</v>
      </c>
    </row>
    <row r="44" spans="1:8" x14ac:dyDescent="0.2">
      <c r="A44" s="92">
        <v>38</v>
      </c>
      <c r="B44" s="93" t="s">
        <v>264</v>
      </c>
      <c r="C44" s="93" t="s">
        <v>265</v>
      </c>
      <c r="D44" s="93" t="s">
        <v>38</v>
      </c>
      <c r="E44" s="94">
        <v>427474</v>
      </c>
      <c r="F44" s="95">
        <v>5280.158848</v>
      </c>
      <c r="G44" s="96">
        <v>7.2009200000000004E-3</v>
      </c>
      <c r="H44" s="86" t="s">
        <v>142</v>
      </c>
    </row>
    <row r="45" spans="1:8" ht="25.5" x14ac:dyDescent="0.2">
      <c r="A45" s="92">
        <v>39</v>
      </c>
      <c r="B45" s="93" t="s">
        <v>223</v>
      </c>
      <c r="C45" s="93" t="s">
        <v>224</v>
      </c>
      <c r="D45" s="93" t="s">
        <v>225</v>
      </c>
      <c r="E45" s="94">
        <v>238745</v>
      </c>
      <c r="F45" s="95">
        <v>4687.7580749999997</v>
      </c>
      <c r="G45" s="96">
        <v>6.3930200000000001E-3</v>
      </c>
      <c r="H45" s="86" t="s">
        <v>142</v>
      </c>
    </row>
    <row r="46" spans="1:8" ht="25.5" x14ac:dyDescent="0.2">
      <c r="A46" s="92">
        <v>40</v>
      </c>
      <c r="B46" s="93" t="s">
        <v>514</v>
      </c>
      <c r="C46" s="93" t="s">
        <v>515</v>
      </c>
      <c r="D46" s="93" t="s">
        <v>275</v>
      </c>
      <c r="E46" s="94">
        <v>310170</v>
      </c>
      <c r="F46" s="95">
        <v>4480.7158200000003</v>
      </c>
      <c r="G46" s="96">
        <v>6.1106600000000004E-3</v>
      </c>
      <c r="H46" s="86" t="s">
        <v>142</v>
      </c>
    </row>
    <row r="47" spans="1:8" x14ac:dyDescent="0.2">
      <c r="A47" s="92">
        <v>41</v>
      </c>
      <c r="B47" s="93" t="s">
        <v>260</v>
      </c>
      <c r="C47" s="93" t="s">
        <v>261</v>
      </c>
      <c r="D47" s="93" t="s">
        <v>73</v>
      </c>
      <c r="E47" s="94">
        <v>253480</v>
      </c>
      <c r="F47" s="95">
        <v>4422.4655599999996</v>
      </c>
      <c r="G47" s="96">
        <v>6.0312200000000003E-3</v>
      </c>
      <c r="H47" s="86" t="s">
        <v>142</v>
      </c>
    </row>
    <row r="48" spans="1:8" x14ac:dyDescent="0.2">
      <c r="A48" s="92">
        <v>42</v>
      </c>
      <c r="B48" s="93" t="s">
        <v>516</v>
      </c>
      <c r="C48" s="93" t="s">
        <v>517</v>
      </c>
      <c r="D48" s="93" t="s">
        <v>232</v>
      </c>
      <c r="E48" s="94">
        <v>873150</v>
      </c>
      <c r="F48" s="95">
        <v>4100.7489750000004</v>
      </c>
      <c r="G48" s="96">
        <v>5.5924700000000004E-3</v>
      </c>
      <c r="H48" s="86" t="s">
        <v>142</v>
      </c>
    </row>
    <row r="49" spans="1:8" x14ac:dyDescent="0.2">
      <c r="A49" s="92">
        <v>43</v>
      </c>
      <c r="B49" s="93" t="s">
        <v>187</v>
      </c>
      <c r="C49" s="93" t="s">
        <v>188</v>
      </c>
      <c r="D49" s="93" t="s">
        <v>109</v>
      </c>
      <c r="E49" s="94">
        <v>387967</v>
      </c>
      <c r="F49" s="95">
        <v>3969.0963935</v>
      </c>
      <c r="G49" s="96">
        <v>5.4129299999999998E-3</v>
      </c>
      <c r="H49" s="86" t="s">
        <v>142</v>
      </c>
    </row>
    <row r="50" spans="1:8" x14ac:dyDescent="0.2">
      <c r="A50" s="92">
        <v>44</v>
      </c>
      <c r="B50" s="93" t="s">
        <v>483</v>
      </c>
      <c r="C50" s="93" t="s">
        <v>484</v>
      </c>
      <c r="D50" s="93" t="s">
        <v>215</v>
      </c>
      <c r="E50" s="94">
        <v>152914</v>
      </c>
      <c r="F50" s="95">
        <v>3907.7172700000001</v>
      </c>
      <c r="G50" s="96">
        <v>5.32922E-3</v>
      </c>
      <c r="H50" s="86" t="s">
        <v>142</v>
      </c>
    </row>
    <row r="51" spans="1:8" x14ac:dyDescent="0.2">
      <c r="A51" s="92">
        <v>45</v>
      </c>
      <c r="B51" s="93" t="s">
        <v>518</v>
      </c>
      <c r="C51" s="93" t="s">
        <v>519</v>
      </c>
      <c r="D51" s="93" t="s">
        <v>204</v>
      </c>
      <c r="E51" s="94">
        <v>184372</v>
      </c>
      <c r="F51" s="95">
        <v>2626.1947679999998</v>
      </c>
      <c r="G51" s="96">
        <v>3.5815199999999999E-3</v>
      </c>
      <c r="H51" s="86" t="s">
        <v>142</v>
      </c>
    </row>
    <row r="52" spans="1:8" x14ac:dyDescent="0.2">
      <c r="A52" s="92">
        <v>46</v>
      </c>
      <c r="B52" s="93" t="s">
        <v>348</v>
      </c>
      <c r="C52" s="93" t="s">
        <v>349</v>
      </c>
      <c r="D52" s="93" t="s">
        <v>218</v>
      </c>
      <c r="E52" s="94">
        <v>300000</v>
      </c>
      <c r="F52" s="95">
        <v>2225.4</v>
      </c>
      <c r="G52" s="96">
        <v>3.0349299999999999E-3</v>
      </c>
      <c r="H52" s="86" t="s">
        <v>142</v>
      </c>
    </row>
    <row r="53" spans="1:8" x14ac:dyDescent="0.2">
      <c r="A53" s="92">
        <v>47</v>
      </c>
      <c r="B53" s="93" t="s">
        <v>303</v>
      </c>
      <c r="C53" s="93" t="s">
        <v>304</v>
      </c>
      <c r="D53" s="93" t="s">
        <v>109</v>
      </c>
      <c r="E53" s="94">
        <v>409755</v>
      </c>
      <c r="F53" s="95">
        <v>2210.2184699999998</v>
      </c>
      <c r="G53" s="96">
        <v>3.0142300000000001E-3</v>
      </c>
      <c r="H53" s="86" t="s">
        <v>142</v>
      </c>
    </row>
    <row r="54" spans="1:8" x14ac:dyDescent="0.2">
      <c r="A54" s="92">
        <v>48</v>
      </c>
      <c r="B54" s="93" t="s">
        <v>76</v>
      </c>
      <c r="C54" s="93" t="s">
        <v>77</v>
      </c>
      <c r="D54" s="93" t="s">
        <v>78</v>
      </c>
      <c r="E54" s="94">
        <v>1100000</v>
      </c>
      <c r="F54" s="95">
        <v>2010.36</v>
      </c>
      <c r="G54" s="96">
        <v>2.7416699999999999E-3</v>
      </c>
      <c r="H54" s="86" t="s">
        <v>142</v>
      </c>
    </row>
    <row r="55" spans="1:8" x14ac:dyDescent="0.2">
      <c r="A55" s="92">
        <v>49</v>
      </c>
      <c r="B55" s="93" t="s">
        <v>226</v>
      </c>
      <c r="C55" s="93" t="s">
        <v>227</v>
      </c>
      <c r="D55" s="93" t="s">
        <v>58</v>
      </c>
      <c r="E55" s="94">
        <v>24910</v>
      </c>
      <c r="F55" s="95">
        <v>1919.0663999999999</v>
      </c>
      <c r="G55" s="96">
        <v>2.6171599999999999E-3</v>
      </c>
      <c r="H55" s="86" t="s">
        <v>142</v>
      </c>
    </row>
    <row r="56" spans="1:8" ht="25.5" x14ac:dyDescent="0.2">
      <c r="A56" s="92">
        <v>50</v>
      </c>
      <c r="B56" s="93" t="s">
        <v>208</v>
      </c>
      <c r="C56" s="93" t="s">
        <v>209</v>
      </c>
      <c r="D56" s="93" t="s">
        <v>210</v>
      </c>
      <c r="E56" s="94">
        <v>103610</v>
      </c>
      <c r="F56" s="95">
        <v>1849.85294</v>
      </c>
      <c r="G56" s="96">
        <v>2.5227700000000001E-3</v>
      </c>
      <c r="H56" s="86" t="s">
        <v>142</v>
      </c>
    </row>
    <row r="57" spans="1:8" x14ac:dyDescent="0.2">
      <c r="A57" s="97"/>
      <c r="B57" s="97"/>
      <c r="C57" s="98" t="s">
        <v>141</v>
      </c>
      <c r="D57" s="97"/>
      <c r="E57" s="97" t="s">
        <v>142</v>
      </c>
      <c r="F57" s="99">
        <f>SUM(F7:F56)</f>
        <v>506080.42454299994</v>
      </c>
      <c r="G57" s="100">
        <f>SUM(G7:G56)</f>
        <v>0.69017662832935689</v>
      </c>
      <c r="H57" s="86" t="s">
        <v>142</v>
      </c>
    </row>
    <row r="58" spans="1:8" x14ac:dyDescent="0.2">
      <c r="A58" s="97"/>
      <c r="B58" s="97"/>
      <c r="C58" s="101"/>
      <c r="D58" s="97"/>
      <c r="E58" s="97"/>
      <c r="F58" s="102"/>
      <c r="G58" s="102"/>
      <c r="H58" s="86" t="s">
        <v>142</v>
      </c>
    </row>
    <row r="59" spans="1:8" x14ac:dyDescent="0.2">
      <c r="A59" s="97"/>
      <c r="B59" s="97"/>
      <c r="C59" s="98" t="s">
        <v>143</v>
      </c>
      <c r="D59" s="97"/>
      <c r="E59" s="97"/>
      <c r="F59" s="97"/>
      <c r="G59" s="97"/>
      <c r="H59" s="86" t="s">
        <v>142</v>
      </c>
    </row>
    <row r="60" spans="1:8" x14ac:dyDescent="0.2">
      <c r="A60" s="97"/>
      <c r="B60" s="97"/>
      <c r="C60" s="98" t="s">
        <v>141</v>
      </c>
      <c r="D60" s="97"/>
      <c r="E60" s="97" t="s">
        <v>142</v>
      </c>
      <c r="F60" s="103" t="s">
        <v>144</v>
      </c>
      <c r="G60" s="100">
        <v>0</v>
      </c>
      <c r="H60" s="86" t="s">
        <v>142</v>
      </c>
    </row>
    <row r="61" spans="1:8" x14ac:dyDescent="0.2">
      <c r="A61" s="97"/>
      <c r="B61" s="97"/>
      <c r="C61" s="101"/>
      <c r="D61" s="97"/>
      <c r="E61" s="97"/>
      <c r="F61" s="102"/>
      <c r="G61" s="102"/>
      <c r="H61" s="86" t="s">
        <v>142</v>
      </c>
    </row>
    <row r="62" spans="1:8" x14ac:dyDescent="0.2">
      <c r="A62" s="97"/>
      <c r="B62" s="97"/>
      <c r="C62" s="98" t="s">
        <v>145</v>
      </c>
      <c r="D62" s="97"/>
      <c r="E62" s="97"/>
      <c r="F62" s="97"/>
      <c r="G62" s="97"/>
      <c r="H62" s="86" t="s">
        <v>142</v>
      </c>
    </row>
    <row r="63" spans="1:8" x14ac:dyDescent="0.2">
      <c r="A63" s="92">
        <v>1</v>
      </c>
      <c r="B63" s="93" t="s">
        <v>520</v>
      </c>
      <c r="C63" s="183" t="s">
        <v>1070</v>
      </c>
      <c r="D63" s="93" t="s">
        <v>218</v>
      </c>
      <c r="E63" s="94">
        <v>30579</v>
      </c>
      <c r="F63" s="95">
        <v>4.5470972999999999</v>
      </c>
      <c r="G63" s="96" t="s">
        <v>140</v>
      </c>
      <c r="H63" s="86" t="s">
        <v>142</v>
      </c>
    </row>
    <row r="64" spans="1:8" x14ac:dyDescent="0.2">
      <c r="A64" s="97"/>
      <c r="B64" s="97"/>
      <c r="C64" s="98" t="s">
        <v>141</v>
      </c>
      <c r="D64" s="97"/>
      <c r="E64" s="97" t="s">
        <v>142</v>
      </c>
      <c r="F64" s="99">
        <f>SUM(F63)</f>
        <v>4.5470972999999999</v>
      </c>
      <c r="G64" s="100">
        <f>SUM(G63)</f>
        <v>0</v>
      </c>
      <c r="H64" s="86" t="s">
        <v>142</v>
      </c>
    </row>
    <row r="65" spans="1:8" x14ac:dyDescent="0.2">
      <c r="A65" s="97"/>
      <c r="B65" s="97"/>
      <c r="C65" s="101"/>
      <c r="D65" s="97"/>
      <c r="E65" s="97"/>
      <c r="F65" s="102"/>
      <c r="G65" s="102"/>
      <c r="H65" s="86" t="s">
        <v>142</v>
      </c>
    </row>
    <row r="66" spans="1:8" x14ac:dyDescent="0.2">
      <c r="A66" s="97"/>
      <c r="B66" s="97"/>
      <c r="C66" s="98" t="s">
        <v>146</v>
      </c>
      <c r="D66" s="97"/>
      <c r="E66" s="97"/>
      <c r="F66" s="97"/>
      <c r="G66" s="97"/>
      <c r="H66" s="86" t="s">
        <v>142</v>
      </c>
    </row>
    <row r="67" spans="1:8" x14ac:dyDescent="0.2">
      <c r="A67" s="97"/>
      <c r="B67" s="97"/>
      <c r="C67" s="98" t="s">
        <v>141</v>
      </c>
      <c r="D67" s="97"/>
      <c r="E67" s="97" t="s">
        <v>142</v>
      </c>
      <c r="F67" s="103" t="s">
        <v>144</v>
      </c>
      <c r="G67" s="100">
        <v>0</v>
      </c>
      <c r="H67" s="86" t="s">
        <v>142</v>
      </c>
    </row>
    <row r="68" spans="1:8" x14ac:dyDescent="0.2">
      <c r="A68" s="97"/>
      <c r="B68" s="97"/>
      <c r="C68" s="101"/>
      <c r="D68" s="97"/>
      <c r="E68" s="97"/>
      <c r="F68" s="102"/>
      <c r="G68" s="102"/>
      <c r="H68" s="86" t="s">
        <v>142</v>
      </c>
    </row>
    <row r="69" spans="1:8" x14ac:dyDescent="0.2">
      <c r="A69" s="97"/>
      <c r="B69" s="97"/>
      <c r="C69" s="98" t="s">
        <v>147</v>
      </c>
      <c r="D69" s="97"/>
      <c r="E69" s="97"/>
      <c r="F69" s="102"/>
      <c r="G69" s="102"/>
      <c r="H69" s="86" t="s">
        <v>142</v>
      </c>
    </row>
    <row r="70" spans="1:8" x14ac:dyDescent="0.2">
      <c r="A70" s="97"/>
      <c r="B70" s="97"/>
      <c r="C70" s="98" t="s">
        <v>141</v>
      </c>
      <c r="D70" s="97"/>
      <c r="E70" s="97" t="s">
        <v>142</v>
      </c>
      <c r="F70" s="103" t="s">
        <v>144</v>
      </c>
      <c r="G70" s="100">
        <v>0</v>
      </c>
      <c r="H70" s="86" t="s">
        <v>142</v>
      </c>
    </row>
    <row r="71" spans="1:8" x14ac:dyDescent="0.2">
      <c r="A71" s="84"/>
      <c r="B71" s="84"/>
      <c r="C71" s="85"/>
      <c r="D71" s="84"/>
      <c r="E71" s="84"/>
      <c r="F71" s="149"/>
      <c r="G71" s="139"/>
      <c r="H71" s="86" t="s">
        <v>142</v>
      </c>
    </row>
    <row r="72" spans="1:8" x14ac:dyDescent="0.2">
      <c r="A72" s="84"/>
      <c r="B72" s="84"/>
      <c r="C72" s="85" t="s">
        <v>948</v>
      </c>
      <c r="D72" s="84"/>
      <c r="E72" s="84"/>
      <c r="F72" s="84"/>
      <c r="G72" s="84"/>
      <c r="H72" s="86" t="s">
        <v>142</v>
      </c>
    </row>
    <row r="73" spans="1:8" ht="25.5" x14ac:dyDescent="0.2">
      <c r="A73" s="87">
        <v>1</v>
      </c>
      <c r="B73" s="88" t="s">
        <v>949</v>
      </c>
      <c r="C73" s="88" t="s">
        <v>950</v>
      </c>
      <c r="D73" s="88" t="s">
        <v>951</v>
      </c>
      <c r="E73" s="89">
        <v>1750</v>
      </c>
      <c r="F73" s="90">
        <f>208172991.43/10^5</f>
        <v>2081.7299143</v>
      </c>
      <c r="G73" s="91">
        <f>F73/F176</f>
        <v>2.8389979303572264E-3</v>
      </c>
      <c r="H73" s="86">
        <v>7.15</v>
      </c>
    </row>
    <row r="74" spans="1:8" x14ac:dyDescent="0.2">
      <c r="A74" s="84"/>
      <c r="B74" s="84"/>
      <c r="C74" s="85" t="s">
        <v>141</v>
      </c>
      <c r="D74" s="84"/>
      <c r="E74" s="84" t="s">
        <v>142</v>
      </c>
      <c r="F74" s="138">
        <f>SUM(F73)</f>
        <v>2081.7299143</v>
      </c>
      <c r="G74" s="139">
        <f>SUM(G73)</f>
        <v>2.8389979303572264E-3</v>
      </c>
      <c r="H74" s="86" t="s">
        <v>142</v>
      </c>
    </row>
    <row r="75" spans="1:8" x14ac:dyDescent="0.2">
      <c r="A75" s="97"/>
      <c r="B75" s="97"/>
      <c r="C75" s="101"/>
      <c r="D75" s="97"/>
      <c r="E75" s="97"/>
      <c r="F75" s="102"/>
      <c r="G75" s="102"/>
      <c r="H75" s="86" t="s">
        <v>142</v>
      </c>
    </row>
    <row r="76" spans="1:8" x14ac:dyDescent="0.2">
      <c r="A76" s="97"/>
      <c r="B76" s="97"/>
      <c r="C76" s="98" t="s">
        <v>952</v>
      </c>
      <c r="D76" s="97"/>
      <c r="E76" s="97"/>
      <c r="F76" s="102"/>
      <c r="G76" s="102"/>
      <c r="H76" s="86" t="s">
        <v>142</v>
      </c>
    </row>
    <row r="77" spans="1:8" x14ac:dyDescent="0.2">
      <c r="A77" s="97"/>
      <c r="B77" s="97"/>
      <c r="C77" s="98" t="s">
        <v>141</v>
      </c>
      <c r="D77" s="97"/>
      <c r="E77" s="97" t="s">
        <v>142</v>
      </c>
      <c r="F77" s="103" t="s">
        <v>144</v>
      </c>
      <c r="G77" s="100">
        <v>0</v>
      </c>
      <c r="H77" s="86" t="s">
        <v>142</v>
      </c>
    </row>
    <row r="78" spans="1:8" x14ac:dyDescent="0.2">
      <c r="A78" s="97"/>
      <c r="B78" s="97"/>
      <c r="C78" s="101"/>
      <c r="D78" s="97"/>
      <c r="E78" s="97"/>
      <c r="F78" s="102"/>
      <c r="G78" s="102"/>
      <c r="H78" s="86" t="s">
        <v>142</v>
      </c>
    </row>
    <row r="79" spans="1:8" x14ac:dyDescent="0.2">
      <c r="A79" s="97"/>
      <c r="B79" s="97"/>
      <c r="C79" s="98" t="s">
        <v>149</v>
      </c>
      <c r="D79" s="97"/>
      <c r="E79" s="97"/>
      <c r="F79" s="99">
        <f>F74+F64+F57</f>
        <v>508166.70155459992</v>
      </c>
      <c r="G79" s="100">
        <f>G74+G64+G57</f>
        <v>0.69301562625971413</v>
      </c>
      <c r="H79" s="86" t="s">
        <v>142</v>
      </c>
    </row>
    <row r="80" spans="1:8" x14ac:dyDescent="0.2">
      <c r="A80" s="97"/>
      <c r="B80" s="97"/>
      <c r="C80" s="101"/>
      <c r="D80" s="97"/>
      <c r="E80" s="97"/>
      <c r="F80" s="102"/>
      <c r="G80" s="102"/>
      <c r="H80" s="86" t="s">
        <v>142</v>
      </c>
    </row>
    <row r="81" spans="1:8" x14ac:dyDescent="0.2">
      <c r="A81" s="97"/>
      <c r="B81" s="97"/>
      <c r="C81" s="98" t="s">
        <v>150</v>
      </c>
      <c r="D81" s="97"/>
      <c r="E81" s="97"/>
      <c r="F81" s="102"/>
      <c r="G81" s="102"/>
      <c r="H81" s="86" t="s">
        <v>142</v>
      </c>
    </row>
    <row r="82" spans="1:8" x14ac:dyDescent="0.2">
      <c r="A82" s="97"/>
      <c r="B82" s="97"/>
      <c r="C82" s="98" t="s">
        <v>10</v>
      </c>
      <c r="D82" s="97"/>
      <c r="E82" s="97"/>
      <c r="F82" s="102"/>
      <c r="G82" s="102"/>
      <c r="H82" s="86" t="s">
        <v>142</v>
      </c>
    </row>
    <row r="83" spans="1:8" ht="25.5" x14ac:dyDescent="0.2">
      <c r="A83" s="92">
        <v>1</v>
      </c>
      <c r="B83" s="93" t="s">
        <v>521</v>
      </c>
      <c r="C83" s="93" t="s">
        <v>522</v>
      </c>
      <c r="D83" s="93" t="s">
        <v>523</v>
      </c>
      <c r="E83" s="94">
        <v>6500</v>
      </c>
      <c r="F83" s="95">
        <v>6620.4189999999999</v>
      </c>
      <c r="G83" s="96">
        <v>9.0287200000000005E-3</v>
      </c>
      <c r="H83" s="86">
        <v>6.64</v>
      </c>
    </row>
    <row r="84" spans="1:8" ht="25.5" x14ac:dyDescent="0.2">
      <c r="A84" s="92">
        <v>2</v>
      </c>
      <c r="B84" s="93" t="s">
        <v>524</v>
      </c>
      <c r="C84" s="93" t="s">
        <v>525</v>
      </c>
      <c r="D84" s="93" t="s">
        <v>526</v>
      </c>
      <c r="E84" s="94">
        <v>5000</v>
      </c>
      <c r="F84" s="95">
        <v>5091.99</v>
      </c>
      <c r="G84" s="96">
        <v>6.9442999999999996E-3</v>
      </c>
      <c r="H84" s="86">
        <v>6.7431999999999999</v>
      </c>
    </row>
    <row r="85" spans="1:8" ht="25.5" x14ac:dyDescent="0.2">
      <c r="A85" s="92">
        <v>3</v>
      </c>
      <c r="B85" s="93" t="s">
        <v>527</v>
      </c>
      <c r="C85" s="93" t="s">
        <v>528</v>
      </c>
      <c r="D85" s="93" t="s">
        <v>523</v>
      </c>
      <c r="E85" s="94">
        <v>3500</v>
      </c>
      <c r="F85" s="95">
        <v>3492.3490000000002</v>
      </c>
      <c r="G85" s="96">
        <v>4.7627600000000004E-3</v>
      </c>
      <c r="H85" s="86">
        <v>6.74</v>
      </c>
    </row>
    <row r="86" spans="1:8" ht="25.5" x14ac:dyDescent="0.2">
      <c r="A86" s="92">
        <v>4</v>
      </c>
      <c r="B86" s="93" t="s">
        <v>529</v>
      </c>
      <c r="C86" s="93" t="s">
        <v>530</v>
      </c>
      <c r="D86" s="93" t="s">
        <v>531</v>
      </c>
      <c r="E86" s="94">
        <v>3000</v>
      </c>
      <c r="F86" s="95">
        <v>3093.0450000000001</v>
      </c>
      <c r="G86" s="96">
        <v>4.2182000000000001E-3</v>
      </c>
      <c r="H86" s="86">
        <v>7.46</v>
      </c>
    </row>
    <row r="87" spans="1:8" x14ac:dyDescent="0.2">
      <c r="A87" s="92">
        <v>5</v>
      </c>
      <c r="B87" s="93" t="s">
        <v>532</v>
      </c>
      <c r="C87" s="93" t="s">
        <v>533</v>
      </c>
      <c r="D87" s="93" t="s">
        <v>526</v>
      </c>
      <c r="E87" s="94">
        <v>3000</v>
      </c>
      <c r="F87" s="95">
        <v>3069.1770000000001</v>
      </c>
      <c r="G87" s="96">
        <v>4.18565E-3</v>
      </c>
      <c r="H87" s="86">
        <v>7.4275000000000002</v>
      </c>
    </row>
    <row r="88" spans="1:8" x14ac:dyDescent="0.2">
      <c r="A88" s="92">
        <v>6</v>
      </c>
      <c r="B88" s="93" t="s">
        <v>534</v>
      </c>
      <c r="C88" s="93" t="s">
        <v>535</v>
      </c>
      <c r="D88" s="93" t="s">
        <v>523</v>
      </c>
      <c r="E88" s="94">
        <v>2500</v>
      </c>
      <c r="F88" s="95">
        <v>2635.9850000000001</v>
      </c>
      <c r="G88" s="96">
        <v>3.59487E-3</v>
      </c>
      <c r="H88" s="86">
        <v>7.1349999999999998</v>
      </c>
    </row>
    <row r="89" spans="1:8" x14ac:dyDescent="0.2">
      <c r="A89" s="92">
        <v>7</v>
      </c>
      <c r="B89" s="93" t="s">
        <v>536</v>
      </c>
      <c r="C89" s="93" t="s">
        <v>537</v>
      </c>
      <c r="D89" s="93" t="s">
        <v>526</v>
      </c>
      <c r="E89" s="94">
        <v>250</v>
      </c>
      <c r="F89" s="95">
        <v>2601.9425000000001</v>
      </c>
      <c r="G89" s="96">
        <v>3.5484499999999999E-3</v>
      </c>
      <c r="H89" s="86">
        <v>7.28</v>
      </c>
    </row>
    <row r="90" spans="1:8" x14ac:dyDescent="0.2">
      <c r="A90" s="92">
        <v>8</v>
      </c>
      <c r="B90" s="93" t="s">
        <v>538</v>
      </c>
      <c r="C90" s="93" t="s">
        <v>539</v>
      </c>
      <c r="D90" s="93" t="s">
        <v>523</v>
      </c>
      <c r="E90" s="94">
        <v>2500</v>
      </c>
      <c r="F90" s="95">
        <v>2562.89</v>
      </c>
      <c r="G90" s="96">
        <v>3.49519E-3</v>
      </c>
      <c r="H90" s="86">
        <v>6.7477</v>
      </c>
    </row>
    <row r="91" spans="1:8" ht="25.5" x14ac:dyDescent="0.2">
      <c r="A91" s="92">
        <v>9</v>
      </c>
      <c r="B91" s="93" t="s">
        <v>540</v>
      </c>
      <c r="C91" s="93" t="s">
        <v>541</v>
      </c>
      <c r="D91" s="93" t="s">
        <v>526</v>
      </c>
      <c r="E91" s="94">
        <v>2500</v>
      </c>
      <c r="F91" s="95">
        <v>2554.2350000000001</v>
      </c>
      <c r="G91" s="96">
        <v>3.4833899999999998E-3</v>
      </c>
      <c r="H91" s="86">
        <v>6.8</v>
      </c>
    </row>
    <row r="92" spans="1:8" ht="25.5" x14ac:dyDescent="0.2">
      <c r="A92" s="92">
        <v>10</v>
      </c>
      <c r="B92" s="93" t="s">
        <v>542</v>
      </c>
      <c r="C92" s="93" t="s">
        <v>543</v>
      </c>
      <c r="D92" s="93" t="s">
        <v>523</v>
      </c>
      <c r="E92" s="94">
        <v>2500</v>
      </c>
      <c r="F92" s="95">
        <v>2548.4324999999999</v>
      </c>
      <c r="G92" s="96">
        <v>3.47547E-3</v>
      </c>
      <c r="H92" s="86">
        <v>6.64</v>
      </c>
    </row>
    <row r="93" spans="1:8" x14ac:dyDescent="0.2">
      <c r="A93" s="92">
        <v>11</v>
      </c>
      <c r="B93" s="93" t="s">
        <v>544</v>
      </c>
      <c r="C93" s="93" t="s">
        <v>545</v>
      </c>
      <c r="D93" s="93" t="s">
        <v>523</v>
      </c>
      <c r="E93" s="94">
        <v>2500</v>
      </c>
      <c r="F93" s="95">
        <v>2546.89</v>
      </c>
      <c r="G93" s="96">
        <v>3.4733699999999999E-3</v>
      </c>
      <c r="H93" s="86">
        <v>6.8418000000000001</v>
      </c>
    </row>
    <row r="94" spans="1:8" ht="25.5" x14ac:dyDescent="0.2">
      <c r="A94" s="92">
        <v>12</v>
      </c>
      <c r="B94" s="93" t="s">
        <v>546</v>
      </c>
      <c r="C94" s="93" t="s">
        <v>547</v>
      </c>
      <c r="D94" s="93" t="s">
        <v>526</v>
      </c>
      <c r="E94" s="94">
        <v>2500</v>
      </c>
      <c r="F94" s="95">
        <v>2541.0124999999998</v>
      </c>
      <c r="G94" s="96">
        <v>3.4653499999999999E-3</v>
      </c>
      <c r="H94" s="86">
        <v>6.6449999999999996</v>
      </c>
    </row>
    <row r="95" spans="1:8" x14ac:dyDescent="0.2">
      <c r="A95" s="92">
        <v>13</v>
      </c>
      <c r="B95" s="93" t="s">
        <v>548</v>
      </c>
      <c r="C95" s="93" t="s">
        <v>549</v>
      </c>
      <c r="D95" s="93" t="s">
        <v>550</v>
      </c>
      <c r="E95" s="94">
        <v>2500</v>
      </c>
      <c r="F95" s="95">
        <v>2518.1550000000002</v>
      </c>
      <c r="G95" s="96">
        <v>3.4341799999999998E-3</v>
      </c>
      <c r="H95" s="86">
        <v>7.4775</v>
      </c>
    </row>
    <row r="96" spans="1:8" x14ac:dyDescent="0.2">
      <c r="A96" s="92">
        <v>14</v>
      </c>
      <c r="B96" s="93" t="s">
        <v>551</v>
      </c>
      <c r="C96" s="93" t="s">
        <v>552</v>
      </c>
      <c r="D96" s="93" t="s">
        <v>550</v>
      </c>
      <c r="E96" s="94">
        <v>2500</v>
      </c>
      <c r="F96" s="95">
        <v>2511.625</v>
      </c>
      <c r="G96" s="96">
        <v>3.4252800000000002E-3</v>
      </c>
      <c r="H96" s="86">
        <v>7.8</v>
      </c>
    </row>
    <row r="97" spans="1:8" x14ac:dyDescent="0.2">
      <c r="A97" s="92">
        <v>15</v>
      </c>
      <c r="B97" s="93" t="s">
        <v>553</v>
      </c>
      <c r="C97" s="93" t="s">
        <v>1161</v>
      </c>
      <c r="D97" s="93" t="s">
        <v>523</v>
      </c>
      <c r="E97" s="94">
        <v>25</v>
      </c>
      <c r="F97" s="95">
        <v>2504.58</v>
      </c>
      <c r="G97" s="96">
        <v>3.41567E-3</v>
      </c>
      <c r="H97" s="86">
        <v>6.9031000000000002</v>
      </c>
    </row>
    <row r="98" spans="1:8" x14ac:dyDescent="0.2">
      <c r="A98" s="92">
        <v>16</v>
      </c>
      <c r="B98" s="93" t="s">
        <v>554</v>
      </c>
      <c r="C98" s="93" t="s">
        <v>555</v>
      </c>
      <c r="D98" s="93" t="s">
        <v>526</v>
      </c>
      <c r="E98" s="94">
        <v>2000</v>
      </c>
      <c r="F98" s="95">
        <v>2052.154</v>
      </c>
      <c r="G98" s="96">
        <v>2.7986600000000001E-3</v>
      </c>
      <c r="H98" s="86">
        <v>7.4275000000000002</v>
      </c>
    </row>
    <row r="99" spans="1:8" x14ac:dyDescent="0.2">
      <c r="A99" s="92">
        <v>17</v>
      </c>
      <c r="B99" s="93" t="s">
        <v>556</v>
      </c>
      <c r="C99" s="93" t="s">
        <v>557</v>
      </c>
      <c r="D99" s="93" t="s">
        <v>526</v>
      </c>
      <c r="E99" s="94">
        <v>2000</v>
      </c>
      <c r="F99" s="95">
        <v>2041.442</v>
      </c>
      <c r="G99" s="96">
        <v>2.7840600000000001E-3</v>
      </c>
      <c r="H99" s="86">
        <v>6.7737999999999996</v>
      </c>
    </row>
    <row r="100" spans="1:8" x14ac:dyDescent="0.2">
      <c r="A100" s="92">
        <v>18</v>
      </c>
      <c r="B100" s="93" t="s">
        <v>558</v>
      </c>
      <c r="C100" s="93" t="s">
        <v>559</v>
      </c>
      <c r="D100" s="93" t="s">
        <v>523</v>
      </c>
      <c r="E100" s="94">
        <v>2000</v>
      </c>
      <c r="F100" s="95">
        <v>2032.4559999999999</v>
      </c>
      <c r="G100" s="96">
        <v>2.7718E-3</v>
      </c>
      <c r="H100" s="86">
        <v>6.57</v>
      </c>
    </row>
    <row r="101" spans="1:8" ht="25.5" x14ac:dyDescent="0.2">
      <c r="A101" s="92">
        <v>19</v>
      </c>
      <c r="B101" s="93" t="s">
        <v>560</v>
      </c>
      <c r="C101" s="93" t="s">
        <v>561</v>
      </c>
      <c r="D101" s="93" t="s">
        <v>523</v>
      </c>
      <c r="E101" s="94">
        <v>2000</v>
      </c>
      <c r="F101" s="95">
        <v>2022.63</v>
      </c>
      <c r="G101" s="96">
        <v>2.7583999999999998E-3</v>
      </c>
      <c r="H101" s="86">
        <v>6.5549999999999997</v>
      </c>
    </row>
    <row r="102" spans="1:8" ht="25.5" x14ac:dyDescent="0.2">
      <c r="A102" s="92">
        <v>20</v>
      </c>
      <c r="B102" s="93" t="s">
        <v>562</v>
      </c>
      <c r="C102" s="93" t="s">
        <v>563</v>
      </c>
      <c r="D102" s="93" t="s">
        <v>523</v>
      </c>
      <c r="E102" s="94">
        <v>1500</v>
      </c>
      <c r="F102" s="95">
        <v>1570.239</v>
      </c>
      <c r="G102" s="96">
        <v>2.1414400000000001E-3</v>
      </c>
      <c r="H102" s="86">
        <v>7.1612999999999998</v>
      </c>
    </row>
    <row r="103" spans="1:8" x14ac:dyDescent="0.2">
      <c r="A103" s="92">
        <v>21</v>
      </c>
      <c r="B103" s="93" t="s">
        <v>564</v>
      </c>
      <c r="C103" s="93" t="s">
        <v>565</v>
      </c>
      <c r="D103" s="93" t="s">
        <v>523</v>
      </c>
      <c r="E103" s="94">
        <v>1500</v>
      </c>
      <c r="F103" s="95">
        <v>1535.6895</v>
      </c>
      <c r="G103" s="96">
        <v>2.0943300000000001E-3</v>
      </c>
      <c r="H103" s="86">
        <v>6.6624999999999996</v>
      </c>
    </row>
    <row r="104" spans="1:8" ht="25.5" x14ac:dyDescent="0.2">
      <c r="A104" s="92">
        <v>22</v>
      </c>
      <c r="B104" s="93" t="s">
        <v>566</v>
      </c>
      <c r="C104" s="93" t="s">
        <v>567</v>
      </c>
      <c r="D104" s="93" t="s">
        <v>523</v>
      </c>
      <c r="E104" s="94">
        <v>1500</v>
      </c>
      <c r="F104" s="95">
        <v>1532.8154999999999</v>
      </c>
      <c r="G104" s="96">
        <v>2.09041E-3</v>
      </c>
      <c r="H104" s="86">
        <v>6.99</v>
      </c>
    </row>
    <row r="105" spans="1:8" ht="25.5" x14ac:dyDescent="0.2">
      <c r="A105" s="92">
        <v>23</v>
      </c>
      <c r="B105" s="93" t="s">
        <v>568</v>
      </c>
      <c r="C105" s="93" t="s">
        <v>569</v>
      </c>
      <c r="D105" s="93" t="s">
        <v>526</v>
      </c>
      <c r="E105" s="94">
        <v>1500</v>
      </c>
      <c r="F105" s="95">
        <v>1523.7629999999999</v>
      </c>
      <c r="G105" s="96">
        <v>2.0780600000000001E-3</v>
      </c>
      <c r="H105" s="86">
        <v>6.8</v>
      </c>
    </row>
    <row r="106" spans="1:8" x14ac:dyDescent="0.2">
      <c r="A106" s="92">
        <v>24</v>
      </c>
      <c r="B106" s="93" t="s">
        <v>570</v>
      </c>
      <c r="C106" s="93" t="s">
        <v>571</v>
      </c>
      <c r="D106" s="93" t="s">
        <v>531</v>
      </c>
      <c r="E106" s="94">
        <v>1500</v>
      </c>
      <c r="F106" s="95">
        <v>1520.979</v>
      </c>
      <c r="G106" s="96">
        <v>2.0742600000000001E-3</v>
      </c>
      <c r="H106" s="86">
        <v>7.81</v>
      </c>
    </row>
    <row r="107" spans="1:8" x14ac:dyDescent="0.2">
      <c r="A107" s="92">
        <v>25</v>
      </c>
      <c r="B107" s="93" t="s">
        <v>572</v>
      </c>
      <c r="C107" s="93" t="s">
        <v>573</v>
      </c>
      <c r="D107" s="93" t="s">
        <v>523</v>
      </c>
      <c r="E107" s="94">
        <v>1500</v>
      </c>
      <c r="F107" s="95">
        <v>1512.3975</v>
      </c>
      <c r="G107" s="96">
        <v>2.0625600000000002E-3</v>
      </c>
      <c r="H107" s="86">
        <v>6.52</v>
      </c>
    </row>
    <row r="108" spans="1:8" x14ac:dyDescent="0.2">
      <c r="A108" s="92">
        <v>26</v>
      </c>
      <c r="B108" s="93" t="s">
        <v>574</v>
      </c>
      <c r="C108" s="93" t="s">
        <v>575</v>
      </c>
      <c r="D108" s="93" t="s">
        <v>526</v>
      </c>
      <c r="E108" s="94">
        <v>1500</v>
      </c>
      <c r="F108" s="95">
        <v>1503.8579999999999</v>
      </c>
      <c r="G108" s="96">
        <v>2.05091E-3</v>
      </c>
      <c r="H108" s="86">
        <v>6.58</v>
      </c>
    </row>
    <row r="109" spans="1:8" x14ac:dyDescent="0.2">
      <c r="A109" s="92">
        <v>27</v>
      </c>
      <c r="B109" s="93" t="s">
        <v>576</v>
      </c>
      <c r="C109" s="93" t="s">
        <v>577</v>
      </c>
      <c r="D109" s="93" t="s">
        <v>526</v>
      </c>
      <c r="E109" s="94">
        <v>1500</v>
      </c>
      <c r="F109" s="95">
        <v>1498.8330000000001</v>
      </c>
      <c r="G109" s="96">
        <v>2.0440599999999999E-3</v>
      </c>
      <c r="H109" s="86">
        <v>7.12</v>
      </c>
    </row>
    <row r="110" spans="1:8" x14ac:dyDescent="0.2">
      <c r="A110" s="92">
        <v>28</v>
      </c>
      <c r="B110" s="93" t="s">
        <v>578</v>
      </c>
      <c r="C110" s="93" t="s">
        <v>579</v>
      </c>
      <c r="D110" s="93" t="s">
        <v>526</v>
      </c>
      <c r="E110" s="94">
        <v>150</v>
      </c>
      <c r="F110" s="95">
        <v>1492.9545000000001</v>
      </c>
      <c r="G110" s="96">
        <v>2.0360399999999998E-3</v>
      </c>
      <c r="H110" s="86">
        <v>6.6950000000000003</v>
      </c>
    </row>
    <row r="111" spans="1:8" ht="25.5" x14ac:dyDescent="0.2">
      <c r="A111" s="92">
        <v>29</v>
      </c>
      <c r="B111" s="93" t="s">
        <v>580</v>
      </c>
      <c r="C111" s="93" t="s">
        <v>581</v>
      </c>
      <c r="D111" s="93" t="s">
        <v>526</v>
      </c>
      <c r="E111" s="94">
        <v>1000</v>
      </c>
      <c r="F111" s="95">
        <v>1016.71</v>
      </c>
      <c r="G111" s="96">
        <v>1.38656E-3</v>
      </c>
      <c r="H111" s="86">
        <v>6.6449999999999996</v>
      </c>
    </row>
    <row r="112" spans="1:8" x14ac:dyDescent="0.2">
      <c r="A112" s="92">
        <v>30</v>
      </c>
      <c r="B112" s="93" t="s">
        <v>582</v>
      </c>
      <c r="C112" s="93" t="s">
        <v>583</v>
      </c>
      <c r="D112" s="93" t="s">
        <v>584</v>
      </c>
      <c r="E112" s="94">
        <v>1000</v>
      </c>
      <c r="F112" s="95">
        <v>1013.68</v>
      </c>
      <c r="G112" s="96">
        <v>1.38243E-3</v>
      </c>
      <c r="H112" s="86">
        <v>7.2504999999999997</v>
      </c>
    </row>
    <row r="113" spans="1:8" x14ac:dyDescent="0.2">
      <c r="A113" s="92">
        <v>31</v>
      </c>
      <c r="B113" s="93" t="s">
        <v>585</v>
      </c>
      <c r="C113" s="93" t="s">
        <v>586</v>
      </c>
      <c r="D113" s="93" t="s">
        <v>523</v>
      </c>
      <c r="E113" s="94">
        <v>1000</v>
      </c>
      <c r="F113" s="95">
        <v>1010.76</v>
      </c>
      <c r="G113" s="96">
        <v>1.3784400000000001E-3</v>
      </c>
      <c r="H113" s="86">
        <v>7.0812999999999997</v>
      </c>
    </row>
    <row r="114" spans="1:8" x14ac:dyDescent="0.2">
      <c r="A114" s="92">
        <v>32</v>
      </c>
      <c r="B114" s="93" t="s">
        <v>587</v>
      </c>
      <c r="C114" s="93" t="s">
        <v>588</v>
      </c>
      <c r="D114" s="93" t="s">
        <v>523</v>
      </c>
      <c r="E114" s="94">
        <v>1000</v>
      </c>
      <c r="F114" s="95">
        <v>1006.04</v>
      </c>
      <c r="G114" s="96">
        <v>1.3720099999999999E-3</v>
      </c>
      <c r="H114" s="86">
        <v>6.5350000000000001</v>
      </c>
    </row>
    <row r="115" spans="1:8" x14ac:dyDescent="0.2">
      <c r="A115" s="92">
        <v>33</v>
      </c>
      <c r="B115" s="93" t="s">
        <v>589</v>
      </c>
      <c r="C115" s="93" t="s">
        <v>590</v>
      </c>
      <c r="D115" s="93" t="s">
        <v>526</v>
      </c>
      <c r="E115" s="94">
        <v>100</v>
      </c>
      <c r="F115" s="95">
        <v>1004.939</v>
      </c>
      <c r="G115" s="96">
        <v>1.3705E-3</v>
      </c>
      <c r="H115" s="86">
        <v>6.9349999999999996</v>
      </c>
    </row>
    <row r="116" spans="1:8" x14ac:dyDescent="0.2">
      <c r="A116" s="92">
        <v>34</v>
      </c>
      <c r="B116" s="93" t="s">
        <v>591</v>
      </c>
      <c r="C116" s="93" t="s">
        <v>592</v>
      </c>
      <c r="D116" s="93" t="s">
        <v>523</v>
      </c>
      <c r="E116" s="94">
        <v>1000</v>
      </c>
      <c r="F116" s="95">
        <v>1004.027</v>
      </c>
      <c r="G116" s="96">
        <v>1.36926E-3</v>
      </c>
      <c r="H116" s="86">
        <v>6.4349999999999996</v>
      </c>
    </row>
    <row r="117" spans="1:8" x14ac:dyDescent="0.2">
      <c r="A117" s="92">
        <v>35</v>
      </c>
      <c r="B117" s="93" t="s">
        <v>593</v>
      </c>
      <c r="C117" s="93" t="s">
        <v>594</v>
      </c>
      <c r="D117" s="93" t="s">
        <v>526</v>
      </c>
      <c r="E117" s="94">
        <v>1000</v>
      </c>
      <c r="F117" s="95">
        <v>1003.74</v>
      </c>
      <c r="G117" s="96">
        <v>1.3688699999999999E-3</v>
      </c>
      <c r="H117" s="86">
        <v>7.2149999999999999</v>
      </c>
    </row>
    <row r="118" spans="1:8" ht="25.5" x14ac:dyDescent="0.2">
      <c r="A118" s="92">
        <v>36</v>
      </c>
      <c r="B118" s="93" t="s">
        <v>595</v>
      </c>
      <c r="C118" s="93" t="s">
        <v>596</v>
      </c>
      <c r="D118" s="93" t="s">
        <v>531</v>
      </c>
      <c r="E118" s="94">
        <v>1000</v>
      </c>
      <c r="F118" s="95">
        <v>1001.09</v>
      </c>
      <c r="G118" s="96">
        <v>1.3652600000000001E-3</v>
      </c>
      <c r="H118" s="86">
        <v>7.26</v>
      </c>
    </row>
    <row r="119" spans="1:8" x14ac:dyDescent="0.2">
      <c r="A119" s="92">
        <v>37</v>
      </c>
      <c r="B119" s="93" t="s">
        <v>597</v>
      </c>
      <c r="C119" s="93" t="s">
        <v>598</v>
      </c>
      <c r="D119" s="93" t="s">
        <v>526</v>
      </c>
      <c r="E119" s="94">
        <v>1000</v>
      </c>
      <c r="F119" s="95">
        <v>990.39400000000001</v>
      </c>
      <c r="G119" s="96">
        <v>1.35067E-3</v>
      </c>
      <c r="H119" s="86">
        <v>6.8212000000000002</v>
      </c>
    </row>
    <row r="120" spans="1:8" x14ac:dyDescent="0.2">
      <c r="A120" s="97"/>
      <c r="B120" s="97"/>
      <c r="C120" s="98" t="s">
        <v>141</v>
      </c>
      <c r="D120" s="97"/>
      <c r="E120" s="97" t="s">
        <v>142</v>
      </c>
      <c r="F120" s="99">
        <v>77784.318499999994</v>
      </c>
      <c r="G120" s="100">
        <v>0.10607983999999999</v>
      </c>
      <c r="H120" s="86" t="s">
        <v>142</v>
      </c>
    </row>
    <row r="121" spans="1:8" x14ac:dyDescent="0.2">
      <c r="A121" s="97"/>
      <c r="B121" s="97"/>
      <c r="C121" s="101"/>
      <c r="D121" s="97"/>
      <c r="E121" s="97"/>
      <c r="F121" s="102"/>
      <c r="G121" s="102"/>
      <c r="H121" s="86" t="s">
        <v>142</v>
      </c>
    </row>
    <row r="122" spans="1:8" x14ac:dyDescent="0.2">
      <c r="A122" s="97"/>
      <c r="B122" s="97"/>
      <c r="C122" s="98" t="s">
        <v>151</v>
      </c>
      <c r="D122" s="97"/>
      <c r="E122" s="97"/>
      <c r="F122" s="97"/>
      <c r="G122" s="97"/>
      <c r="H122" s="86" t="s">
        <v>142</v>
      </c>
    </row>
    <row r="123" spans="1:8" x14ac:dyDescent="0.2">
      <c r="A123" s="97"/>
      <c r="B123" s="97"/>
      <c r="C123" s="98" t="s">
        <v>141</v>
      </c>
      <c r="D123" s="97"/>
      <c r="E123" s="97" t="s">
        <v>142</v>
      </c>
      <c r="F123" s="103" t="s">
        <v>144</v>
      </c>
      <c r="G123" s="100">
        <v>0</v>
      </c>
      <c r="H123" s="86" t="s">
        <v>142</v>
      </c>
    </row>
    <row r="124" spans="1:8" x14ac:dyDescent="0.2">
      <c r="A124" s="97"/>
      <c r="B124" s="97"/>
      <c r="C124" s="101"/>
      <c r="D124" s="97"/>
      <c r="E124" s="97"/>
      <c r="F124" s="102"/>
      <c r="G124" s="102"/>
      <c r="H124" s="86" t="s">
        <v>142</v>
      </c>
    </row>
    <row r="125" spans="1:8" x14ac:dyDescent="0.2">
      <c r="A125" s="97"/>
      <c r="B125" s="97"/>
      <c r="C125" s="98" t="s">
        <v>152</v>
      </c>
      <c r="D125" s="97"/>
      <c r="E125" s="97"/>
      <c r="F125" s="97"/>
      <c r="G125" s="97"/>
      <c r="H125" s="86" t="s">
        <v>142</v>
      </c>
    </row>
    <row r="126" spans="1:8" x14ac:dyDescent="0.2">
      <c r="A126" s="92">
        <v>1</v>
      </c>
      <c r="B126" s="93" t="s">
        <v>599</v>
      </c>
      <c r="C126" s="93" t="s">
        <v>1150</v>
      </c>
      <c r="D126" s="93" t="s">
        <v>601</v>
      </c>
      <c r="E126" s="94">
        <v>25000000</v>
      </c>
      <c r="F126" s="95">
        <v>25805.174999999999</v>
      </c>
      <c r="G126" s="96">
        <v>3.5192290000000001E-2</v>
      </c>
      <c r="H126" s="86">
        <v>6.7038000000000002</v>
      </c>
    </row>
    <row r="127" spans="1:8" x14ac:dyDescent="0.2">
      <c r="A127" s="92">
        <v>2</v>
      </c>
      <c r="B127" s="93" t="s">
        <v>602</v>
      </c>
      <c r="C127" s="93" t="s">
        <v>1149</v>
      </c>
      <c r="D127" s="93" t="s">
        <v>601</v>
      </c>
      <c r="E127" s="94">
        <v>10000000</v>
      </c>
      <c r="F127" s="95">
        <v>10295.17</v>
      </c>
      <c r="G127" s="96">
        <v>1.4040230000000001E-2</v>
      </c>
      <c r="H127" s="86">
        <v>7.0080999999999998</v>
      </c>
    </row>
    <row r="128" spans="1:8" x14ac:dyDescent="0.2">
      <c r="A128" s="92">
        <v>3</v>
      </c>
      <c r="B128" s="93" t="s">
        <v>603</v>
      </c>
      <c r="C128" s="93" t="s">
        <v>604</v>
      </c>
      <c r="D128" s="93" t="s">
        <v>601</v>
      </c>
      <c r="E128" s="94">
        <v>5000000</v>
      </c>
      <c r="F128" s="95">
        <v>5067.875</v>
      </c>
      <c r="G128" s="96">
        <v>6.9114099999999998E-3</v>
      </c>
      <c r="H128" s="86">
        <v>6.694</v>
      </c>
    </row>
    <row r="129" spans="1:8" x14ac:dyDescent="0.2">
      <c r="A129" s="92">
        <v>4</v>
      </c>
      <c r="B129" s="93" t="s">
        <v>605</v>
      </c>
      <c r="C129" s="93" t="s">
        <v>606</v>
      </c>
      <c r="D129" s="93" t="s">
        <v>601</v>
      </c>
      <c r="E129" s="94">
        <v>3000000</v>
      </c>
      <c r="F129" s="95">
        <v>3079.1190000000001</v>
      </c>
      <c r="G129" s="96">
        <v>4.1992100000000001E-3</v>
      </c>
      <c r="H129" s="86">
        <v>6.9645999999999999</v>
      </c>
    </row>
    <row r="130" spans="1:8" x14ac:dyDescent="0.2">
      <c r="A130" s="92">
        <v>5</v>
      </c>
      <c r="B130" s="93" t="s">
        <v>607</v>
      </c>
      <c r="C130" s="93" t="s">
        <v>1148</v>
      </c>
      <c r="D130" s="93" t="s">
        <v>601</v>
      </c>
      <c r="E130" s="94">
        <v>2500000</v>
      </c>
      <c r="F130" s="95">
        <v>2583.77</v>
      </c>
      <c r="G130" s="96">
        <v>3.5236600000000001E-3</v>
      </c>
      <c r="H130" s="86">
        <v>6.1032000000000002</v>
      </c>
    </row>
    <row r="131" spans="1:8" x14ac:dyDescent="0.2">
      <c r="A131" s="92">
        <v>6</v>
      </c>
      <c r="B131" s="93" t="s">
        <v>608</v>
      </c>
      <c r="C131" s="93" t="s">
        <v>609</v>
      </c>
      <c r="D131" s="93" t="s">
        <v>601</v>
      </c>
      <c r="E131" s="94">
        <v>2500000</v>
      </c>
      <c r="F131" s="95">
        <v>2524.98</v>
      </c>
      <c r="G131" s="96">
        <v>3.44349E-3</v>
      </c>
      <c r="H131" s="86">
        <v>7.3451000000000004</v>
      </c>
    </row>
    <row r="132" spans="1:8" x14ac:dyDescent="0.2">
      <c r="A132" s="92">
        <v>7</v>
      </c>
      <c r="B132" s="93" t="s">
        <v>610</v>
      </c>
      <c r="C132" s="93" t="s">
        <v>611</v>
      </c>
      <c r="D132" s="93" t="s">
        <v>601</v>
      </c>
      <c r="E132" s="94">
        <v>2500000</v>
      </c>
      <c r="F132" s="95">
        <v>2507.3274999999999</v>
      </c>
      <c r="G132" s="96">
        <v>3.4194199999999998E-3</v>
      </c>
      <c r="H132" s="86">
        <v>7.4507000000000003</v>
      </c>
    </row>
    <row r="133" spans="1:8" x14ac:dyDescent="0.2">
      <c r="A133" s="92">
        <v>8</v>
      </c>
      <c r="B133" s="93" t="s">
        <v>612</v>
      </c>
      <c r="C133" s="93" t="s">
        <v>613</v>
      </c>
      <c r="D133" s="93" t="s">
        <v>601</v>
      </c>
      <c r="E133" s="94">
        <v>1500000</v>
      </c>
      <c r="F133" s="95">
        <v>1545.6795</v>
      </c>
      <c r="G133" s="96">
        <v>2.1079499999999999E-3</v>
      </c>
      <c r="H133" s="86">
        <v>6.4669999999999996</v>
      </c>
    </row>
    <row r="134" spans="1:8" ht="25.5" x14ac:dyDescent="0.2">
      <c r="A134" s="92">
        <v>9</v>
      </c>
      <c r="B134" s="93" t="s">
        <v>614</v>
      </c>
      <c r="C134" s="88" t="s">
        <v>953</v>
      </c>
      <c r="D134" s="93" t="s">
        <v>601</v>
      </c>
      <c r="E134" s="94">
        <v>1500000</v>
      </c>
      <c r="F134" s="95">
        <v>1514.2829999999999</v>
      </c>
      <c r="G134" s="96">
        <v>2.0651300000000001E-3</v>
      </c>
      <c r="H134" s="86">
        <v>7.0105414484705486</v>
      </c>
    </row>
    <row r="135" spans="1:8" ht="25.5" x14ac:dyDescent="0.2">
      <c r="A135" s="92">
        <v>10</v>
      </c>
      <c r="B135" s="93" t="s">
        <v>615</v>
      </c>
      <c r="C135" s="93" t="s">
        <v>616</v>
      </c>
      <c r="D135" s="93" t="s">
        <v>601</v>
      </c>
      <c r="E135" s="94">
        <v>1270000</v>
      </c>
      <c r="F135" s="95">
        <v>1293.98776</v>
      </c>
      <c r="G135" s="96">
        <v>1.7646999999999999E-3</v>
      </c>
      <c r="H135" s="86">
        <v>7.2622999999999998</v>
      </c>
    </row>
    <row r="136" spans="1:8" ht="25.5" x14ac:dyDescent="0.2">
      <c r="A136" s="92">
        <v>11</v>
      </c>
      <c r="B136" s="93" t="s">
        <v>617</v>
      </c>
      <c r="C136" s="93" t="s">
        <v>618</v>
      </c>
      <c r="D136" s="93" t="s">
        <v>601</v>
      </c>
      <c r="E136" s="94">
        <v>1000000</v>
      </c>
      <c r="F136" s="95">
        <v>1040.3689999999999</v>
      </c>
      <c r="G136" s="96">
        <v>1.4188200000000001E-3</v>
      </c>
      <c r="H136" s="86">
        <v>7.2782</v>
      </c>
    </row>
    <row r="137" spans="1:8" x14ac:dyDescent="0.2">
      <c r="A137" s="92">
        <v>12</v>
      </c>
      <c r="B137" s="93" t="s">
        <v>619</v>
      </c>
      <c r="C137" s="93" t="s">
        <v>620</v>
      </c>
      <c r="D137" s="93" t="s">
        <v>601</v>
      </c>
      <c r="E137" s="94">
        <v>500000</v>
      </c>
      <c r="F137" s="95">
        <v>492.892</v>
      </c>
      <c r="G137" s="96">
        <v>6.7219000000000003E-4</v>
      </c>
      <c r="H137" s="86">
        <v>6.6395999999999997</v>
      </c>
    </row>
    <row r="138" spans="1:8" x14ac:dyDescent="0.2">
      <c r="A138" s="97"/>
      <c r="B138" s="97"/>
      <c r="C138" s="98" t="s">
        <v>141</v>
      </c>
      <c r="D138" s="97"/>
      <c r="E138" s="97" t="s">
        <v>142</v>
      </c>
      <c r="F138" s="99">
        <v>57750.627760000003</v>
      </c>
      <c r="G138" s="100">
        <v>7.8758499999999995E-2</v>
      </c>
      <c r="H138" s="86" t="s">
        <v>142</v>
      </c>
    </row>
    <row r="139" spans="1:8" x14ac:dyDescent="0.2">
      <c r="A139" s="97"/>
      <c r="B139" s="97"/>
      <c r="C139" s="101"/>
      <c r="D139" s="97"/>
      <c r="E139" s="97"/>
      <c r="F139" s="102"/>
      <c r="G139" s="102"/>
      <c r="H139" s="86" t="s">
        <v>142</v>
      </c>
    </row>
    <row r="140" spans="1:8" x14ac:dyDescent="0.2">
      <c r="A140" s="97"/>
      <c r="B140" s="97"/>
      <c r="C140" s="98" t="s">
        <v>153</v>
      </c>
      <c r="D140" s="97"/>
      <c r="E140" s="97"/>
      <c r="F140" s="102"/>
      <c r="G140" s="102"/>
      <c r="H140" s="86" t="s">
        <v>142</v>
      </c>
    </row>
    <row r="141" spans="1:8" x14ac:dyDescent="0.2">
      <c r="A141" s="97"/>
      <c r="B141" s="97"/>
      <c r="C141" s="98" t="s">
        <v>141</v>
      </c>
      <c r="D141" s="97"/>
      <c r="E141" s="97" t="s">
        <v>142</v>
      </c>
      <c r="F141" s="103" t="s">
        <v>144</v>
      </c>
      <c r="G141" s="100">
        <v>0</v>
      </c>
      <c r="H141" s="86" t="s">
        <v>142</v>
      </c>
    </row>
    <row r="142" spans="1:8" x14ac:dyDescent="0.2">
      <c r="A142" s="97"/>
      <c r="B142" s="97"/>
      <c r="C142" s="101"/>
      <c r="D142" s="97"/>
      <c r="E142" s="97"/>
      <c r="F142" s="102"/>
      <c r="G142" s="102"/>
      <c r="H142" s="86" t="s">
        <v>142</v>
      </c>
    </row>
    <row r="143" spans="1:8" x14ac:dyDescent="0.2">
      <c r="A143" s="97"/>
      <c r="B143" s="97"/>
      <c r="C143" s="98" t="s">
        <v>154</v>
      </c>
      <c r="D143" s="97"/>
      <c r="E143" s="97"/>
      <c r="F143" s="99">
        <v>135534.94626</v>
      </c>
      <c r="G143" s="100">
        <v>0.18483833999999999</v>
      </c>
      <c r="H143" s="86" t="s">
        <v>142</v>
      </c>
    </row>
    <row r="144" spans="1:8" x14ac:dyDescent="0.2">
      <c r="A144" s="97"/>
      <c r="B144" s="97"/>
      <c r="C144" s="101"/>
      <c r="D144" s="97"/>
      <c r="E144" s="97"/>
      <c r="F144" s="102"/>
      <c r="G144" s="102"/>
      <c r="H144" s="86" t="s">
        <v>142</v>
      </c>
    </row>
    <row r="145" spans="1:8" x14ac:dyDescent="0.2">
      <c r="A145" s="97"/>
      <c r="B145" s="97"/>
      <c r="C145" s="98" t="s">
        <v>155</v>
      </c>
      <c r="D145" s="97"/>
      <c r="E145" s="97"/>
      <c r="F145" s="102"/>
      <c r="G145" s="102"/>
      <c r="H145" s="86" t="s">
        <v>142</v>
      </c>
    </row>
    <row r="146" spans="1:8" x14ac:dyDescent="0.2">
      <c r="A146" s="97"/>
      <c r="B146" s="97"/>
      <c r="C146" s="98" t="s">
        <v>156</v>
      </c>
      <c r="D146" s="97"/>
      <c r="E146" s="97"/>
      <c r="F146" s="102"/>
      <c r="G146" s="102"/>
      <c r="H146" s="86" t="s">
        <v>142</v>
      </c>
    </row>
    <row r="147" spans="1:8" x14ac:dyDescent="0.2">
      <c r="A147" s="92">
        <v>1</v>
      </c>
      <c r="B147" s="93" t="s">
        <v>621</v>
      </c>
      <c r="C147" s="93" t="s">
        <v>622</v>
      </c>
      <c r="D147" s="93" t="s">
        <v>623</v>
      </c>
      <c r="E147" s="94">
        <v>200</v>
      </c>
      <c r="F147" s="95">
        <v>990.45799999999997</v>
      </c>
      <c r="G147" s="96">
        <v>1.3507599999999999E-3</v>
      </c>
      <c r="H147" s="86">
        <v>5.9599000000000002</v>
      </c>
    </row>
    <row r="148" spans="1:8" x14ac:dyDescent="0.2">
      <c r="A148" s="92">
        <v>2</v>
      </c>
      <c r="B148" s="93" t="s">
        <v>624</v>
      </c>
      <c r="C148" s="93" t="s">
        <v>625</v>
      </c>
      <c r="D148" s="93" t="s">
        <v>623</v>
      </c>
      <c r="E148" s="94">
        <v>100</v>
      </c>
      <c r="F148" s="95">
        <v>492.20350000000002</v>
      </c>
      <c r="G148" s="96">
        <v>6.7124999999999997E-4</v>
      </c>
      <c r="H148" s="86">
        <v>6.0860000000000003</v>
      </c>
    </row>
    <row r="149" spans="1:8" x14ac:dyDescent="0.2">
      <c r="A149" s="97"/>
      <c r="B149" s="97"/>
      <c r="C149" s="98" t="s">
        <v>141</v>
      </c>
      <c r="D149" s="97"/>
      <c r="E149" s="97" t="s">
        <v>142</v>
      </c>
      <c r="F149" s="99">
        <v>1482.6614999999999</v>
      </c>
      <c r="G149" s="100">
        <v>2.0220099999999999E-3</v>
      </c>
      <c r="H149" s="86" t="s">
        <v>142</v>
      </c>
    </row>
    <row r="150" spans="1:8" x14ac:dyDescent="0.2">
      <c r="A150" s="97"/>
      <c r="B150" s="97"/>
      <c r="C150" s="101"/>
      <c r="D150" s="97"/>
      <c r="E150" s="97"/>
      <c r="F150" s="102"/>
      <c r="G150" s="102"/>
      <c r="H150" s="86" t="s">
        <v>142</v>
      </c>
    </row>
    <row r="151" spans="1:8" x14ac:dyDescent="0.2">
      <c r="A151" s="97"/>
      <c r="B151" s="97"/>
      <c r="C151" s="98" t="s">
        <v>157</v>
      </c>
      <c r="D151" s="97"/>
      <c r="E151" s="97"/>
      <c r="F151" s="102"/>
      <c r="G151" s="102"/>
      <c r="H151" s="86" t="s">
        <v>142</v>
      </c>
    </row>
    <row r="152" spans="1:8" x14ac:dyDescent="0.2">
      <c r="A152" s="97"/>
      <c r="B152" s="97"/>
      <c r="C152" s="98" t="s">
        <v>141</v>
      </c>
      <c r="D152" s="97"/>
      <c r="E152" s="97" t="s">
        <v>142</v>
      </c>
      <c r="F152" s="103" t="s">
        <v>144</v>
      </c>
      <c r="G152" s="100">
        <v>0</v>
      </c>
      <c r="H152" s="86" t="s">
        <v>142</v>
      </c>
    </row>
    <row r="153" spans="1:8" x14ac:dyDescent="0.2">
      <c r="A153" s="97"/>
      <c r="B153" s="97"/>
      <c r="C153" s="101"/>
      <c r="D153" s="97"/>
      <c r="E153" s="97"/>
      <c r="F153" s="102"/>
      <c r="G153" s="102"/>
      <c r="H153" s="86" t="s">
        <v>142</v>
      </c>
    </row>
    <row r="154" spans="1:8" x14ac:dyDescent="0.2">
      <c r="A154" s="97"/>
      <c r="B154" s="97"/>
      <c r="C154" s="98" t="s">
        <v>158</v>
      </c>
      <c r="D154" s="97"/>
      <c r="E154" s="97"/>
      <c r="F154" s="102"/>
      <c r="G154" s="102"/>
      <c r="H154" s="86" t="s">
        <v>142</v>
      </c>
    </row>
    <row r="155" spans="1:8" x14ac:dyDescent="0.2">
      <c r="A155" s="97"/>
      <c r="B155" s="97"/>
      <c r="C155" s="98" t="s">
        <v>141</v>
      </c>
      <c r="D155" s="97"/>
      <c r="E155" s="97" t="s">
        <v>142</v>
      </c>
      <c r="F155" s="103" t="s">
        <v>144</v>
      </c>
      <c r="G155" s="100">
        <v>0</v>
      </c>
      <c r="H155" s="86" t="s">
        <v>142</v>
      </c>
    </row>
    <row r="156" spans="1:8" x14ac:dyDescent="0.2">
      <c r="A156" s="97"/>
      <c r="B156" s="97"/>
      <c r="C156" s="101"/>
      <c r="D156" s="97"/>
      <c r="E156" s="97"/>
      <c r="F156" s="102"/>
      <c r="G156" s="102"/>
      <c r="H156" s="86" t="s">
        <v>142</v>
      </c>
    </row>
    <row r="157" spans="1:8" x14ac:dyDescent="0.2">
      <c r="A157" s="97"/>
      <c r="B157" s="97"/>
      <c r="C157" s="98" t="s">
        <v>159</v>
      </c>
      <c r="D157" s="97"/>
      <c r="E157" s="97"/>
      <c r="F157" s="102"/>
      <c r="G157" s="102"/>
      <c r="H157" s="86" t="s">
        <v>142</v>
      </c>
    </row>
    <row r="158" spans="1:8" x14ac:dyDescent="0.2">
      <c r="A158" s="92">
        <v>1</v>
      </c>
      <c r="B158" s="93"/>
      <c r="C158" s="93" t="s">
        <v>160</v>
      </c>
      <c r="D158" s="93"/>
      <c r="E158" s="104"/>
      <c r="F158" s="95">
        <v>76156.523105803004</v>
      </c>
      <c r="G158" s="96">
        <v>0.10385988</v>
      </c>
      <c r="H158" s="86">
        <v>5.57</v>
      </c>
    </row>
    <row r="159" spans="1:8" x14ac:dyDescent="0.2">
      <c r="A159" s="97"/>
      <c r="B159" s="97"/>
      <c r="C159" s="98" t="s">
        <v>141</v>
      </c>
      <c r="D159" s="97"/>
      <c r="E159" s="97" t="s">
        <v>142</v>
      </c>
      <c r="F159" s="99">
        <v>76156.523105803004</v>
      </c>
      <c r="G159" s="100">
        <v>0.10385988</v>
      </c>
      <c r="H159" s="86" t="s">
        <v>142</v>
      </c>
    </row>
    <row r="160" spans="1:8" x14ac:dyDescent="0.2">
      <c r="A160" s="97"/>
      <c r="B160" s="97"/>
      <c r="C160" s="101"/>
      <c r="D160" s="97"/>
      <c r="E160" s="97"/>
      <c r="F160" s="102"/>
      <c r="G160" s="102"/>
      <c r="H160" s="86" t="s">
        <v>142</v>
      </c>
    </row>
    <row r="161" spans="1:8" x14ac:dyDescent="0.2">
      <c r="A161" s="97"/>
      <c r="B161" s="97"/>
      <c r="C161" s="98" t="s">
        <v>161</v>
      </c>
      <c r="D161" s="97"/>
      <c r="E161" s="97"/>
      <c r="F161" s="99">
        <v>77639.184605803006</v>
      </c>
      <c r="G161" s="100">
        <v>0.10588189000000001</v>
      </c>
      <c r="H161" s="86" t="s">
        <v>142</v>
      </c>
    </row>
    <row r="162" spans="1:8" x14ac:dyDescent="0.2">
      <c r="A162" s="97"/>
      <c r="B162" s="97"/>
      <c r="C162" s="102"/>
      <c r="D162" s="97"/>
      <c r="E162" s="97"/>
      <c r="F162" s="97"/>
      <c r="G162" s="97"/>
      <c r="H162" s="86" t="s">
        <v>142</v>
      </c>
    </row>
    <row r="163" spans="1:8" x14ac:dyDescent="0.2">
      <c r="A163" s="97"/>
      <c r="B163" s="97"/>
      <c r="C163" s="98" t="s">
        <v>162</v>
      </c>
      <c r="D163" s="97"/>
      <c r="E163" s="97"/>
      <c r="F163" s="97"/>
      <c r="G163" s="97"/>
      <c r="H163" s="86" t="s">
        <v>142</v>
      </c>
    </row>
    <row r="164" spans="1:8" x14ac:dyDescent="0.2">
      <c r="A164" s="97"/>
      <c r="B164" s="97"/>
      <c r="C164" s="98" t="s">
        <v>163</v>
      </c>
      <c r="D164" s="97"/>
      <c r="E164" s="97"/>
      <c r="F164" s="97"/>
      <c r="G164" s="97"/>
      <c r="H164" s="86" t="s">
        <v>142</v>
      </c>
    </row>
    <row r="165" spans="1:8" x14ac:dyDescent="0.2">
      <c r="A165" s="92">
        <v>1</v>
      </c>
      <c r="B165" s="93" t="s">
        <v>498</v>
      </c>
      <c r="C165" s="93" t="s">
        <v>499</v>
      </c>
      <c r="D165" s="93"/>
      <c r="E165" s="140">
        <v>69857221.264300004</v>
      </c>
      <c r="F165" s="95">
        <v>10785.815248765</v>
      </c>
      <c r="G165" s="96">
        <v>1.4709359999999999E-2</v>
      </c>
      <c r="H165" s="86" t="s">
        <v>142</v>
      </c>
    </row>
    <row r="166" spans="1:8" x14ac:dyDescent="0.2">
      <c r="A166" s="97"/>
      <c r="B166" s="97"/>
      <c r="C166" s="98" t="s">
        <v>141</v>
      </c>
      <c r="D166" s="97"/>
      <c r="E166" s="97" t="s">
        <v>142</v>
      </c>
      <c r="F166" s="99">
        <v>10785.815248765</v>
      </c>
      <c r="G166" s="100">
        <v>1.4709359999999999E-2</v>
      </c>
      <c r="H166" s="86" t="s">
        <v>142</v>
      </c>
    </row>
    <row r="167" spans="1:8" x14ac:dyDescent="0.2">
      <c r="A167" s="97"/>
      <c r="B167" s="97"/>
      <c r="C167" s="101"/>
      <c r="D167" s="97"/>
      <c r="E167" s="97"/>
      <c r="F167" s="102"/>
      <c r="G167" s="102"/>
      <c r="H167" s="86" t="s">
        <v>142</v>
      </c>
    </row>
    <row r="168" spans="1:8" x14ac:dyDescent="0.2">
      <c r="A168" s="97"/>
      <c r="B168" s="97"/>
      <c r="C168" s="98" t="s">
        <v>164</v>
      </c>
      <c r="D168" s="97"/>
      <c r="E168" s="97"/>
      <c r="F168" s="97"/>
      <c r="G168" s="97"/>
      <c r="H168" s="86" t="s">
        <v>142</v>
      </c>
    </row>
    <row r="169" spans="1:8" x14ac:dyDescent="0.2">
      <c r="A169" s="97"/>
      <c r="B169" s="97"/>
      <c r="C169" s="98" t="s">
        <v>165</v>
      </c>
      <c r="D169" s="97"/>
      <c r="E169" s="97"/>
      <c r="F169" s="97"/>
      <c r="G169" s="97"/>
      <c r="H169" s="86" t="s">
        <v>142</v>
      </c>
    </row>
    <row r="170" spans="1:8" x14ac:dyDescent="0.2">
      <c r="A170" s="97"/>
      <c r="B170" s="97"/>
      <c r="C170" s="98" t="s">
        <v>141</v>
      </c>
      <c r="D170" s="97"/>
      <c r="E170" s="97" t="s">
        <v>142</v>
      </c>
      <c r="F170" s="103" t="s">
        <v>144</v>
      </c>
      <c r="G170" s="100">
        <v>0</v>
      </c>
      <c r="H170" s="86" t="s">
        <v>142</v>
      </c>
    </row>
    <row r="171" spans="1:8" x14ac:dyDescent="0.2">
      <c r="A171" s="97"/>
      <c r="B171" s="97"/>
      <c r="C171" s="101"/>
      <c r="D171" s="97"/>
      <c r="E171" s="97"/>
      <c r="F171" s="102"/>
      <c r="G171" s="102"/>
      <c r="H171" s="86" t="s">
        <v>142</v>
      </c>
    </row>
    <row r="172" spans="1:8" x14ac:dyDescent="0.2">
      <c r="A172" s="97"/>
      <c r="B172" s="97"/>
      <c r="C172" s="98" t="s">
        <v>166</v>
      </c>
      <c r="D172" s="97"/>
      <c r="E172" s="97"/>
      <c r="F172" s="102"/>
      <c r="G172" s="102"/>
      <c r="H172" s="86" t="s">
        <v>142</v>
      </c>
    </row>
    <row r="173" spans="1:8" x14ac:dyDescent="0.2">
      <c r="A173" s="97"/>
      <c r="B173" s="97"/>
      <c r="C173" s="98" t="s">
        <v>141</v>
      </c>
      <c r="D173" s="97"/>
      <c r="E173" s="97" t="s">
        <v>142</v>
      </c>
      <c r="F173" s="103" t="s">
        <v>144</v>
      </c>
      <c r="G173" s="100">
        <v>0</v>
      </c>
      <c r="H173" s="86" t="s">
        <v>142</v>
      </c>
    </row>
    <row r="174" spans="1:8" x14ac:dyDescent="0.2">
      <c r="A174" s="97"/>
      <c r="B174" s="97"/>
      <c r="C174" s="101"/>
      <c r="D174" s="97"/>
      <c r="E174" s="97"/>
      <c r="F174" s="102"/>
      <c r="G174" s="102"/>
      <c r="H174" s="86" t="s">
        <v>142</v>
      </c>
    </row>
    <row r="175" spans="1:8" x14ac:dyDescent="0.2">
      <c r="A175" s="104"/>
      <c r="B175" s="93"/>
      <c r="C175" s="88" t="s">
        <v>954</v>
      </c>
      <c r="D175" s="93"/>
      <c r="E175" s="104"/>
      <c r="F175" s="95">
        <v>1135.5685657199999</v>
      </c>
      <c r="G175" s="96">
        <v>1.5486499999999999E-3</v>
      </c>
      <c r="H175" s="86" t="s">
        <v>142</v>
      </c>
    </row>
    <row r="176" spans="1:8" x14ac:dyDescent="0.2">
      <c r="A176" s="101"/>
      <c r="B176" s="101"/>
      <c r="C176" s="98" t="s">
        <v>168</v>
      </c>
      <c r="D176" s="102"/>
      <c r="E176" s="102"/>
      <c r="F176" s="99">
        <f>F175+F166+F161+F79+F143</f>
        <v>733262.21623488795</v>
      </c>
      <c r="G176" s="105">
        <f>G175+G166+G161+G79+G143</f>
        <v>0.99999386625971409</v>
      </c>
      <c r="H176" s="86" t="s">
        <v>142</v>
      </c>
    </row>
    <row r="177" spans="1:17" ht="12.75" customHeight="1" x14ac:dyDescent="0.2">
      <c r="A177" s="106"/>
      <c r="B177" s="106"/>
      <c r="C177" s="107"/>
      <c r="D177" s="108"/>
      <c r="E177" s="108"/>
      <c r="F177" s="109"/>
      <c r="G177" s="110"/>
      <c r="H177" s="111"/>
    </row>
    <row r="178" spans="1:17" x14ac:dyDescent="0.2">
      <c r="A178" s="106"/>
      <c r="B178" s="200" t="s">
        <v>918</v>
      </c>
      <c r="C178" s="200"/>
      <c r="D178" s="200"/>
      <c r="E178" s="200"/>
      <c r="F178" s="200"/>
      <c r="G178" s="200"/>
      <c r="H178" s="200"/>
      <c r="J178" s="113"/>
    </row>
    <row r="179" spans="1:17" x14ac:dyDescent="0.2">
      <c r="A179" s="106"/>
      <c r="B179" s="200" t="s">
        <v>919</v>
      </c>
      <c r="C179" s="200"/>
      <c r="D179" s="200"/>
      <c r="E179" s="200"/>
      <c r="F179" s="200"/>
      <c r="G179" s="200"/>
      <c r="H179" s="200"/>
      <c r="J179" s="113"/>
    </row>
    <row r="180" spans="1:17" x14ac:dyDescent="0.2">
      <c r="A180" s="106"/>
      <c r="B180" s="200" t="s">
        <v>920</v>
      </c>
      <c r="C180" s="200"/>
      <c r="D180" s="200"/>
      <c r="E180" s="200"/>
      <c r="F180" s="200"/>
      <c r="G180" s="200"/>
      <c r="H180" s="200"/>
      <c r="J180" s="113"/>
    </row>
    <row r="181" spans="1:17" s="115" customFormat="1" ht="66.75" customHeight="1" x14ac:dyDescent="0.25">
      <c r="A181" s="114"/>
      <c r="B181" s="201" t="s">
        <v>921</v>
      </c>
      <c r="C181" s="201"/>
      <c r="D181" s="201"/>
      <c r="E181" s="201"/>
      <c r="F181" s="201"/>
      <c r="G181" s="201"/>
      <c r="H181" s="201"/>
      <c r="I181"/>
      <c r="J181" s="113"/>
      <c r="K181"/>
      <c r="L181"/>
      <c r="M181"/>
      <c r="N181"/>
      <c r="O181"/>
      <c r="P181"/>
      <c r="Q181"/>
    </row>
    <row r="182" spans="1:17" x14ac:dyDescent="0.2">
      <c r="A182" s="106"/>
      <c r="B182" s="200" t="s">
        <v>922</v>
      </c>
      <c r="C182" s="200"/>
      <c r="D182" s="200"/>
      <c r="E182" s="200"/>
      <c r="F182" s="200"/>
      <c r="G182" s="200"/>
      <c r="H182" s="200"/>
      <c r="J182" s="113"/>
    </row>
    <row r="183" spans="1:17" x14ac:dyDescent="0.2">
      <c r="A183" s="106"/>
      <c r="B183" s="106"/>
      <c r="C183" s="106"/>
      <c r="D183" s="108"/>
      <c r="E183" s="108"/>
      <c r="F183" s="108"/>
      <c r="G183" s="108"/>
    </row>
    <row r="184" spans="1:17" x14ac:dyDescent="0.2">
      <c r="A184" s="106"/>
      <c r="B184" s="202" t="s">
        <v>169</v>
      </c>
      <c r="C184" s="203"/>
      <c r="D184" s="204"/>
      <c r="E184" s="116"/>
      <c r="F184" s="108"/>
      <c r="G184" s="108"/>
    </row>
    <row r="185" spans="1:17" ht="27.75" customHeight="1" x14ac:dyDescent="0.2">
      <c r="A185" s="106"/>
      <c r="B185" s="205" t="s">
        <v>170</v>
      </c>
      <c r="C185" s="206"/>
      <c r="D185" s="85" t="s">
        <v>955</v>
      </c>
      <c r="E185" s="116"/>
      <c r="F185" s="108"/>
      <c r="G185" s="108"/>
    </row>
    <row r="186" spans="1:17" ht="12.75" customHeight="1" x14ac:dyDescent="0.2">
      <c r="A186" s="106"/>
      <c r="B186" s="205" t="s">
        <v>923</v>
      </c>
      <c r="C186" s="206"/>
      <c r="D186" s="85" t="str">
        <f>"Rs. "&amp;TEXT(F64,"0.00")&amp;" lacs/ #"</f>
        <v>Rs. 4.55 lacs/ #</v>
      </c>
      <c r="E186" s="116"/>
      <c r="F186" s="108"/>
      <c r="G186" s="108"/>
    </row>
    <row r="187" spans="1:17" x14ac:dyDescent="0.2">
      <c r="A187" s="106"/>
      <c r="B187" s="205" t="s">
        <v>172</v>
      </c>
      <c r="C187" s="206"/>
      <c r="D187" s="117" t="s">
        <v>142</v>
      </c>
      <c r="E187" s="116"/>
      <c r="F187" s="108"/>
      <c r="G187" s="108"/>
    </row>
    <row r="188" spans="1:17" x14ac:dyDescent="0.2">
      <c r="A188" s="118"/>
      <c r="B188" s="119" t="s">
        <v>142</v>
      </c>
      <c r="C188" s="119" t="s">
        <v>924</v>
      </c>
      <c r="D188" s="119" t="s">
        <v>173</v>
      </c>
      <c r="E188" s="118"/>
      <c r="F188" s="118"/>
      <c r="G188" s="118"/>
      <c r="H188" s="118"/>
      <c r="J188" s="113"/>
    </row>
    <row r="189" spans="1:17" x14ac:dyDescent="0.2">
      <c r="A189" s="118"/>
      <c r="B189" s="120" t="s">
        <v>174</v>
      </c>
      <c r="C189" s="121">
        <v>45930</v>
      </c>
      <c r="D189" s="121">
        <v>45961</v>
      </c>
      <c r="E189" s="118"/>
      <c r="F189" s="118"/>
      <c r="G189" s="118"/>
      <c r="J189" s="113"/>
    </row>
    <row r="190" spans="1:17" x14ac:dyDescent="0.2">
      <c r="A190" s="122"/>
      <c r="B190" s="93" t="s">
        <v>175</v>
      </c>
      <c r="C190" s="123">
        <v>183.68530000000001</v>
      </c>
      <c r="D190" s="123">
        <v>189.3879</v>
      </c>
      <c r="E190" s="122"/>
      <c r="F190" s="124"/>
      <c r="G190" s="125"/>
    </row>
    <row r="191" spans="1:17" ht="25.5" x14ac:dyDescent="0.2">
      <c r="A191" s="122"/>
      <c r="B191" s="93" t="s">
        <v>1145</v>
      </c>
      <c r="C191" s="123">
        <v>41.939500000000002</v>
      </c>
      <c r="D191" s="123">
        <v>42.891100000000002</v>
      </c>
      <c r="E191" s="122"/>
      <c r="F191" s="124"/>
      <c r="G191" s="125"/>
    </row>
    <row r="192" spans="1:17" x14ac:dyDescent="0.2">
      <c r="A192" s="122"/>
      <c r="B192" s="93" t="s">
        <v>176</v>
      </c>
      <c r="C192" s="123">
        <v>159.89760000000001</v>
      </c>
      <c r="D192" s="123">
        <v>164.7064</v>
      </c>
      <c r="E192" s="122"/>
      <c r="F192" s="124"/>
      <c r="G192" s="125"/>
    </row>
    <row r="193" spans="1:15" ht="25.5" x14ac:dyDescent="0.2">
      <c r="A193" s="122"/>
      <c r="B193" s="93" t="s">
        <v>1146</v>
      </c>
      <c r="C193" s="123">
        <v>27.1492</v>
      </c>
      <c r="D193" s="123">
        <v>27.715499999999999</v>
      </c>
      <c r="E193" s="122"/>
      <c r="F193" s="124"/>
      <c r="G193" s="125"/>
    </row>
    <row r="194" spans="1:15" x14ac:dyDescent="0.2">
      <c r="A194" s="122"/>
      <c r="B194" s="122"/>
      <c r="C194" s="122"/>
      <c r="D194" s="122"/>
      <c r="E194" s="122"/>
      <c r="F194" s="122"/>
      <c r="G194" s="122"/>
    </row>
    <row r="195" spans="1:15" x14ac:dyDescent="0.2">
      <c r="A195" s="122"/>
      <c r="B195" s="208" t="s">
        <v>925</v>
      </c>
      <c r="C195" s="209"/>
      <c r="D195" s="98" t="s">
        <v>142</v>
      </c>
      <c r="E195" s="122"/>
      <c r="F195" s="122"/>
      <c r="G195" s="122"/>
    </row>
    <row r="196" spans="1:15" x14ac:dyDescent="0.2">
      <c r="A196" s="122"/>
      <c r="B196" s="126" t="s">
        <v>174</v>
      </c>
      <c r="C196" s="127" t="s">
        <v>177</v>
      </c>
      <c r="D196" s="127" t="s">
        <v>178</v>
      </c>
      <c r="E196" s="122"/>
      <c r="F196" s="122"/>
      <c r="G196" s="122"/>
    </row>
    <row r="197" spans="1:15" ht="25.5" x14ac:dyDescent="0.2">
      <c r="A197" s="122"/>
      <c r="B197" s="93" t="s">
        <v>1145</v>
      </c>
      <c r="C197" s="146">
        <v>0.35</v>
      </c>
      <c r="D197" s="146">
        <v>0.35</v>
      </c>
      <c r="E197" s="122"/>
      <c r="F197" s="124"/>
      <c r="G197" s="125"/>
    </row>
    <row r="198" spans="1:15" ht="25.5" x14ac:dyDescent="0.2">
      <c r="A198" s="122"/>
      <c r="B198" s="93" t="s">
        <v>1146</v>
      </c>
      <c r="C198" s="146">
        <v>0.25</v>
      </c>
      <c r="D198" s="146">
        <v>0.25</v>
      </c>
      <c r="E198" s="122"/>
      <c r="F198" s="124"/>
      <c r="G198" s="125"/>
    </row>
    <row r="199" spans="1:15" x14ac:dyDescent="0.2">
      <c r="A199" s="122"/>
      <c r="B199" s="129"/>
      <c r="C199" s="129"/>
      <c r="D199" s="130"/>
      <c r="E199" s="122"/>
      <c r="F199" s="124"/>
      <c r="G199" s="125"/>
    </row>
    <row r="200" spans="1:15" ht="24.75" customHeight="1" x14ac:dyDescent="0.2">
      <c r="A200" s="118"/>
      <c r="B200" s="205" t="s">
        <v>179</v>
      </c>
      <c r="C200" s="206"/>
      <c r="D200" s="85" t="s">
        <v>171</v>
      </c>
      <c r="E200" s="131"/>
      <c r="F200" s="118"/>
      <c r="G200" s="118"/>
    </row>
    <row r="201" spans="1:15" ht="24" customHeight="1" x14ac:dyDescent="0.2">
      <c r="A201" s="118"/>
      <c r="B201" s="205" t="s">
        <v>180</v>
      </c>
      <c r="C201" s="206"/>
      <c r="D201" s="85" t="s">
        <v>171</v>
      </c>
      <c r="E201" s="131"/>
      <c r="F201" s="118"/>
      <c r="G201" s="118"/>
    </row>
    <row r="202" spans="1:15" x14ac:dyDescent="0.2">
      <c r="A202" s="118"/>
      <c r="B202" s="205" t="s">
        <v>181</v>
      </c>
      <c r="C202" s="206"/>
      <c r="D202" s="85" t="s">
        <v>171</v>
      </c>
      <c r="E202" s="131"/>
      <c r="F202" s="118"/>
      <c r="G202" s="118"/>
    </row>
    <row r="203" spans="1:15" x14ac:dyDescent="0.2">
      <c r="A203" s="118"/>
      <c r="B203" s="205" t="s">
        <v>182</v>
      </c>
      <c r="C203" s="206"/>
      <c r="D203" s="132">
        <v>1.7237770563499095</v>
      </c>
      <c r="E203" s="118"/>
      <c r="F203" s="112"/>
      <c r="G203" s="133"/>
    </row>
    <row r="205" spans="1:15" s="162" customFormat="1" x14ac:dyDescent="0.2">
      <c r="B205" s="184" t="s">
        <v>1158</v>
      </c>
      <c r="C205" s="177"/>
      <c r="D205" s="177"/>
      <c r="E205" s="177"/>
      <c r="F205" s="177"/>
      <c r="G205" s="177"/>
      <c r="I205"/>
      <c r="J205"/>
      <c r="K205"/>
      <c r="L205"/>
      <c r="M205"/>
      <c r="N205"/>
      <c r="O205"/>
    </row>
    <row r="206" spans="1:15" ht="13.5" customHeight="1" x14ac:dyDescent="0.2">
      <c r="B206" s="236" t="s">
        <v>957</v>
      </c>
      <c r="C206" s="236" t="s">
        <v>958</v>
      </c>
      <c r="D206" s="239" t="s">
        <v>959</v>
      </c>
      <c r="E206" s="240"/>
      <c r="F206" s="241"/>
      <c r="G206" s="229" t="s">
        <v>960</v>
      </c>
      <c r="H206" s="230"/>
      <c r="I206" s="231"/>
      <c r="J206" s="171"/>
      <c r="K206" s="171"/>
      <c r="L206" s="171"/>
      <c r="M206" s="171"/>
      <c r="N206" s="171"/>
      <c r="O206" s="171"/>
    </row>
    <row r="207" spans="1:15" ht="46.5" customHeight="1" x14ac:dyDescent="0.2">
      <c r="B207" s="237"/>
      <c r="C207" s="237"/>
      <c r="D207" s="232" t="s">
        <v>961</v>
      </c>
      <c r="E207" s="232" t="s">
        <v>962</v>
      </c>
      <c r="F207" s="232" t="s">
        <v>963</v>
      </c>
      <c r="G207" s="234" t="s">
        <v>964</v>
      </c>
      <c r="H207" s="235"/>
      <c r="I207" s="232" t="s">
        <v>965</v>
      </c>
      <c r="J207" s="171"/>
      <c r="K207" s="171"/>
      <c r="L207" s="171"/>
      <c r="M207" s="171"/>
      <c r="N207" s="171"/>
      <c r="O207" s="171"/>
    </row>
    <row r="208" spans="1:15" ht="21" customHeight="1" x14ac:dyDescent="0.2">
      <c r="B208" s="238"/>
      <c r="C208" s="238"/>
      <c r="D208" s="233"/>
      <c r="E208" s="233"/>
      <c r="F208" s="233"/>
      <c r="G208" s="172" t="s">
        <v>966</v>
      </c>
      <c r="H208" s="172" t="s">
        <v>967</v>
      </c>
      <c r="I208" s="233"/>
      <c r="J208" s="171"/>
      <c r="K208" s="171"/>
      <c r="L208" s="171"/>
      <c r="M208" s="171"/>
      <c r="N208" s="171"/>
      <c r="O208" s="171"/>
    </row>
    <row r="209" spans="2:16" ht="13.5" x14ac:dyDescent="0.25">
      <c r="B209" s="173" t="s">
        <v>968</v>
      </c>
      <c r="C209" s="174" t="s">
        <v>969</v>
      </c>
      <c r="D209" s="175">
        <v>977.7</v>
      </c>
      <c r="E209" s="2">
        <v>22.3</v>
      </c>
      <c r="F209" s="176">
        <f>D209+E209</f>
        <v>1000</v>
      </c>
      <c r="G209" s="3">
        <v>42.319693431000005</v>
      </c>
      <c r="H209" s="3">
        <v>26.66</v>
      </c>
      <c r="I209" s="3">
        <f>G209+H209</f>
        <v>68.979693431000001</v>
      </c>
      <c r="J209" s="171"/>
      <c r="K209" s="171"/>
      <c r="L209" s="171"/>
      <c r="M209" s="171"/>
      <c r="N209" s="171"/>
      <c r="O209" s="171"/>
    </row>
    <row r="210" spans="2:16" ht="42" customHeight="1" x14ac:dyDescent="0.2">
      <c r="B210" s="224" t="s">
        <v>970</v>
      </c>
      <c r="C210" s="224"/>
      <c r="D210" s="224"/>
      <c r="E210" s="224"/>
      <c r="F210" s="224"/>
      <c r="G210" s="224"/>
      <c r="H210" s="224"/>
      <c r="I210" s="224"/>
      <c r="J210" s="181"/>
      <c r="K210" s="171"/>
      <c r="L210" s="171"/>
      <c r="M210" s="171"/>
      <c r="N210" s="171"/>
      <c r="O210" s="171"/>
    </row>
    <row r="211" spans="2:16" ht="13.5" x14ac:dyDescent="0.25">
      <c r="B211" s="182" t="s">
        <v>971</v>
      </c>
      <c r="I211" s="171"/>
      <c r="J211" s="83"/>
      <c r="K211" s="171"/>
      <c r="L211" s="171"/>
      <c r="M211" s="171"/>
      <c r="N211" s="171"/>
      <c r="O211" s="171"/>
      <c r="P211" s="171"/>
    </row>
    <row r="212" spans="2:16" x14ac:dyDescent="0.2">
      <c r="B212" s="4" t="s">
        <v>972</v>
      </c>
      <c r="J212" s="83"/>
      <c r="K212" s="171"/>
      <c r="L212" s="171"/>
      <c r="M212" s="171"/>
      <c r="N212" s="171"/>
      <c r="O212" s="171"/>
    </row>
    <row r="213" spans="2:16" x14ac:dyDescent="0.2">
      <c r="B213" s="4"/>
      <c r="J213" s="83"/>
      <c r="K213" s="171"/>
      <c r="L213" s="171"/>
      <c r="M213" s="171"/>
      <c r="N213" s="171"/>
      <c r="O213" s="171"/>
    </row>
    <row r="214" spans="2:16" x14ac:dyDescent="0.2">
      <c r="B214" s="4" t="s">
        <v>973</v>
      </c>
      <c r="J214" s="83"/>
      <c r="K214" s="171"/>
      <c r="L214" s="171"/>
      <c r="M214" s="171"/>
      <c r="N214" s="171"/>
      <c r="O214" s="171"/>
    </row>
    <row r="215" spans="2:16" x14ac:dyDescent="0.2">
      <c r="B215" s="4"/>
      <c r="J215" s="83"/>
      <c r="K215" s="171"/>
      <c r="L215" s="171"/>
      <c r="M215" s="171"/>
      <c r="N215" s="171"/>
      <c r="O215" s="171"/>
    </row>
    <row r="216" spans="2:16" x14ac:dyDescent="0.2">
      <c r="B216" s="4" t="s">
        <v>974</v>
      </c>
      <c r="J216" s="83"/>
    </row>
    <row r="217" spans="2:16" s="162" customFormat="1" x14ac:dyDescent="0.2">
      <c r="B217" s="184"/>
      <c r="C217" s="177"/>
      <c r="D217" s="177"/>
      <c r="E217" s="177"/>
      <c r="F217" s="177"/>
      <c r="G217" s="177"/>
      <c r="I217"/>
      <c r="J217"/>
      <c r="K217"/>
      <c r="L217"/>
      <c r="M217"/>
      <c r="N217"/>
      <c r="O217"/>
    </row>
    <row r="218" spans="2:16" s="162" customFormat="1" x14ac:dyDescent="0.2">
      <c r="B218" s="185" t="s">
        <v>957</v>
      </c>
      <c r="C218" s="185" t="s">
        <v>958</v>
      </c>
      <c r="D218" s="225" t="s">
        <v>975</v>
      </c>
      <c r="E218" s="226"/>
      <c r="F218" s="220" t="s">
        <v>976</v>
      </c>
      <c r="G218" s="220"/>
      <c r="I218"/>
      <c r="J218"/>
      <c r="K218"/>
      <c r="L218"/>
      <c r="M218"/>
      <c r="N218"/>
      <c r="O218"/>
    </row>
    <row r="219" spans="2:16" s="162" customFormat="1" ht="25.5" x14ac:dyDescent="0.2">
      <c r="B219" s="186" t="s">
        <v>977</v>
      </c>
      <c r="C219" s="187" t="s">
        <v>978</v>
      </c>
      <c r="D219" s="227">
        <v>0</v>
      </c>
      <c r="E219" s="228"/>
      <c r="F219" s="227">
        <v>0</v>
      </c>
      <c r="G219" s="228"/>
      <c r="I219"/>
      <c r="J219"/>
      <c r="K219"/>
      <c r="L219"/>
      <c r="M219"/>
      <c r="N219"/>
      <c r="O219"/>
    </row>
    <row r="220" spans="2:16" s="162" customFormat="1" x14ac:dyDescent="0.2">
      <c r="B220" s="217" t="s">
        <v>979</v>
      </c>
      <c r="C220" s="218"/>
      <c r="D220" s="218"/>
      <c r="E220" s="218"/>
      <c r="F220" s="218"/>
      <c r="G220" s="219"/>
      <c r="I220"/>
      <c r="J220"/>
      <c r="K220"/>
      <c r="L220"/>
      <c r="M220"/>
      <c r="N220"/>
      <c r="O220"/>
    </row>
    <row r="221" spans="2:16" s="162" customFormat="1" x14ac:dyDescent="0.2">
      <c r="B221" s="220" t="s">
        <v>957</v>
      </c>
      <c r="C221" s="220" t="s">
        <v>958</v>
      </c>
      <c r="D221" s="217" t="s">
        <v>980</v>
      </c>
      <c r="E221" s="218"/>
      <c r="F221" s="219"/>
      <c r="G221" s="186"/>
      <c r="I221"/>
      <c r="J221"/>
      <c r="K221"/>
      <c r="L221"/>
      <c r="M221"/>
      <c r="N221"/>
      <c r="O221"/>
    </row>
    <row r="222" spans="2:16" s="162" customFormat="1" ht="51" x14ac:dyDescent="0.2">
      <c r="B222" s="220"/>
      <c r="C222" s="220"/>
      <c r="D222" s="188" t="s">
        <v>981</v>
      </c>
      <c r="E222" s="188" t="s">
        <v>982</v>
      </c>
      <c r="F222" s="188" t="s">
        <v>983</v>
      </c>
      <c r="G222" s="188" t="s">
        <v>1159</v>
      </c>
      <c r="H222" s="189"/>
      <c r="I222"/>
      <c r="J222"/>
      <c r="K222"/>
      <c r="L222"/>
      <c r="M222"/>
      <c r="N222"/>
      <c r="O222"/>
    </row>
    <row r="223" spans="2:16" s="162" customFormat="1" ht="25.5" x14ac:dyDescent="0.2">
      <c r="B223" s="190" t="s">
        <v>977</v>
      </c>
      <c r="C223" s="187" t="s">
        <v>978</v>
      </c>
      <c r="D223" s="191">
        <v>700</v>
      </c>
      <c r="E223" s="191">
        <v>24.098357999999998</v>
      </c>
      <c r="F223" s="192">
        <v>724.09835799999996</v>
      </c>
      <c r="G223" s="193">
        <f>F223/F176</f>
        <v>9.8750261771028908E-4</v>
      </c>
      <c r="H223" s="194"/>
      <c r="I223"/>
      <c r="J223"/>
      <c r="K223"/>
      <c r="L223"/>
      <c r="M223"/>
      <c r="N223"/>
      <c r="O223"/>
    </row>
    <row r="224" spans="2:16" s="162" customFormat="1" ht="29.25" customHeight="1" x14ac:dyDescent="0.2">
      <c r="B224" s="221" t="s">
        <v>984</v>
      </c>
      <c r="C224" s="222"/>
      <c r="D224" s="222"/>
      <c r="E224" s="222"/>
      <c r="F224" s="222"/>
      <c r="G224" s="223"/>
      <c r="I224"/>
      <c r="J224"/>
      <c r="K224"/>
      <c r="L224"/>
      <c r="M224"/>
      <c r="N224"/>
      <c r="O224"/>
    </row>
    <row r="225" spans="2:15" s="162" customFormat="1" x14ac:dyDescent="0.2">
      <c r="I225"/>
      <c r="J225"/>
      <c r="K225"/>
      <c r="L225"/>
      <c r="M225"/>
      <c r="N225"/>
      <c r="O225"/>
    </row>
    <row r="226" spans="2:15" s="162" customFormat="1" x14ac:dyDescent="0.2">
      <c r="B226" s="214" t="s">
        <v>985</v>
      </c>
      <c r="C226" s="215"/>
      <c r="D226" s="216"/>
      <c r="I226"/>
      <c r="J226"/>
      <c r="K226"/>
      <c r="L226"/>
      <c r="M226"/>
      <c r="N226"/>
      <c r="O226"/>
    </row>
    <row r="227" spans="2:15" s="162" customFormat="1" ht="38.25" x14ac:dyDescent="0.2">
      <c r="B227" s="213" t="s">
        <v>986</v>
      </c>
      <c r="C227" s="213"/>
      <c r="D227" s="160" t="s">
        <v>501</v>
      </c>
      <c r="I227"/>
      <c r="J227"/>
      <c r="K227"/>
      <c r="L227"/>
      <c r="M227"/>
      <c r="N227"/>
      <c r="O227"/>
    </row>
    <row r="228" spans="2:15" s="162" customFormat="1" x14ac:dyDescent="0.2">
      <c r="B228" s="213" t="s">
        <v>987</v>
      </c>
      <c r="C228" s="213"/>
      <c r="D228" s="160"/>
      <c r="I228"/>
      <c r="J228"/>
      <c r="K228"/>
      <c r="L228"/>
      <c r="M228"/>
      <c r="N228"/>
      <c r="O228"/>
    </row>
    <row r="229" spans="2:15" s="162" customFormat="1" x14ac:dyDescent="0.2">
      <c r="B229" s="210"/>
      <c r="C229" s="212"/>
      <c r="D229" s="143"/>
      <c r="I229"/>
      <c r="J229"/>
      <c r="K229"/>
      <c r="L229"/>
      <c r="M229"/>
      <c r="N229"/>
      <c r="O229"/>
    </row>
    <row r="230" spans="2:15" s="162" customFormat="1" x14ac:dyDescent="0.2">
      <c r="B230" s="213" t="s">
        <v>988</v>
      </c>
      <c r="C230" s="213"/>
      <c r="D230" s="144">
        <v>6.4437095923507499</v>
      </c>
      <c r="I230"/>
      <c r="J230"/>
      <c r="K230"/>
      <c r="L230"/>
      <c r="M230"/>
      <c r="N230"/>
      <c r="O230"/>
    </row>
    <row r="231" spans="2:15" s="162" customFormat="1" x14ac:dyDescent="0.2">
      <c r="B231" s="210"/>
      <c r="C231" s="212"/>
      <c r="D231" s="195"/>
      <c r="I231"/>
      <c r="J231"/>
      <c r="K231"/>
      <c r="L231"/>
      <c r="M231"/>
      <c r="N231"/>
      <c r="O231"/>
    </row>
    <row r="232" spans="2:15" s="162" customFormat="1" x14ac:dyDescent="0.2">
      <c r="B232" s="213" t="s">
        <v>989</v>
      </c>
      <c r="C232" s="213"/>
      <c r="D232" s="144">
        <v>3.1200802348869097</v>
      </c>
      <c r="I232"/>
      <c r="J232"/>
      <c r="K232"/>
      <c r="L232"/>
      <c r="M232"/>
      <c r="N232"/>
      <c r="O232"/>
    </row>
    <row r="233" spans="2:15" s="162" customFormat="1" x14ac:dyDescent="0.2">
      <c r="B233" s="213" t="s">
        <v>990</v>
      </c>
      <c r="C233" s="213"/>
      <c r="D233" s="144">
        <v>4.4924555551681351</v>
      </c>
      <c r="I233"/>
      <c r="J233"/>
      <c r="K233"/>
      <c r="L233"/>
      <c r="M233"/>
      <c r="N233"/>
      <c r="O233"/>
    </row>
    <row r="234" spans="2:15" s="162" customFormat="1" x14ac:dyDescent="0.2">
      <c r="B234" s="210"/>
      <c r="C234" s="212"/>
      <c r="D234" s="143"/>
      <c r="I234"/>
      <c r="J234"/>
      <c r="K234"/>
      <c r="L234"/>
      <c r="M234"/>
      <c r="N234"/>
      <c r="O234"/>
    </row>
    <row r="235" spans="2:15" s="162" customFormat="1" x14ac:dyDescent="0.2">
      <c r="B235" s="213" t="s">
        <v>991</v>
      </c>
      <c r="C235" s="213"/>
      <c r="D235" s="145" t="s">
        <v>1160</v>
      </c>
      <c r="I235"/>
      <c r="J235"/>
      <c r="K235"/>
      <c r="L235"/>
      <c r="M235"/>
      <c r="N235"/>
      <c r="O235"/>
    </row>
    <row r="236" spans="2:15" s="162" customFormat="1" x14ac:dyDescent="0.2">
      <c r="B236" s="210" t="s">
        <v>992</v>
      </c>
      <c r="C236" s="211"/>
      <c r="D236" s="212"/>
      <c r="I236"/>
      <c r="J236"/>
      <c r="K236"/>
      <c r="L236"/>
      <c r="M236"/>
      <c r="N236"/>
      <c r="O236"/>
    </row>
    <row r="238" spans="2:15" x14ac:dyDescent="0.2">
      <c r="B238" s="199" t="s">
        <v>926</v>
      </c>
      <c r="C238" s="199"/>
    </row>
    <row r="240" spans="2:15" ht="153.75" customHeight="1" x14ac:dyDescent="0.2"/>
    <row r="243" spans="2:4" x14ac:dyDescent="0.2">
      <c r="B243" s="134" t="s">
        <v>927</v>
      </c>
      <c r="C243" s="135"/>
      <c r="D243" s="134"/>
    </row>
    <row r="244" spans="2:4" x14ac:dyDescent="0.2">
      <c r="B244" s="134" t="s">
        <v>993</v>
      </c>
      <c r="D244" s="134"/>
    </row>
    <row r="245" spans="2:4" ht="165" customHeight="1" x14ac:dyDescent="0.2"/>
    <row r="247" spans="2:4" ht="12.75" customHeight="1" x14ac:dyDescent="0.2"/>
    <row r="248" spans="2:4" ht="12.75" customHeight="1" x14ac:dyDescent="0.2"/>
    <row r="249" spans="2:4" ht="12.75" customHeight="1" x14ac:dyDescent="0.2"/>
    <row r="250" spans="2:4" ht="12.75" customHeight="1" x14ac:dyDescent="0.2"/>
    <row r="251" spans="2:4" ht="12.75" customHeight="1" x14ac:dyDescent="0.2"/>
    <row r="252" spans="2:4" ht="12.75" customHeight="1" x14ac:dyDescent="0.2"/>
    <row r="253" spans="2:4" ht="12.75" customHeight="1" x14ac:dyDescent="0.2"/>
    <row r="254" spans="2:4" ht="12.75" customHeight="1" x14ac:dyDescent="0.2"/>
    <row r="255" spans="2:4" ht="12.75" customHeight="1" x14ac:dyDescent="0.2"/>
    <row r="256" spans="2:4" ht="12.75" customHeight="1" x14ac:dyDescent="0.2"/>
    <row r="257" customFormat="1" x14ac:dyDescent="0.2"/>
  </sheetData>
  <mergeCells count="48">
    <mergeCell ref="A1:H1"/>
    <mergeCell ref="A2:H2"/>
    <mergeCell ref="A3:H3"/>
    <mergeCell ref="B195:C195"/>
    <mergeCell ref="B201:C201"/>
    <mergeCell ref="B178:H178"/>
    <mergeCell ref="B179:H179"/>
    <mergeCell ref="B180:H180"/>
    <mergeCell ref="B181:H181"/>
    <mergeCell ref="B182:H182"/>
    <mergeCell ref="B184:D184"/>
    <mergeCell ref="B185:C185"/>
    <mergeCell ref="B186:C186"/>
    <mergeCell ref="B187:C187"/>
    <mergeCell ref="B200:C200"/>
    <mergeCell ref="B206:B208"/>
    <mergeCell ref="C206:C208"/>
    <mergeCell ref="B202:C202"/>
    <mergeCell ref="B203:C203"/>
    <mergeCell ref="D206:F206"/>
    <mergeCell ref="G206:I206"/>
    <mergeCell ref="D207:D208"/>
    <mergeCell ref="E207:E208"/>
    <mergeCell ref="F207:F208"/>
    <mergeCell ref="G207:H207"/>
    <mergeCell ref="I207:I208"/>
    <mergeCell ref="B210:I210"/>
    <mergeCell ref="D218:E218"/>
    <mergeCell ref="F218:G218"/>
    <mergeCell ref="D219:E219"/>
    <mergeCell ref="F219:G219"/>
    <mergeCell ref="B220:G220"/>
    <mergeCell ref="B221:B222"/>
    <mergeCell ref="C221:C222"/>
    <mergeCell ref="D221:F221"/>
    <mergeCell ref="B224:G224"/>
    <mergeCell ref="B226:D226"/>
    <mergeCell ref="B227:C227"/>
    <mergeCell ref="B228:C228"/>
    <mergeCell ref="B229:C229"/>
    <mergeCell ref="B230:C230"/>
    <mergeCell ref="B236:D236"/>
    <mergeCell ref="B238:C238"/>
    <mergeCell ref="B231:C231"/>
    <mergeCell ref="B232:C232"/>
    <mergeCell ref="B233:C233"/>
    <mergeCell ref="B234:C234"/>
    <mergeCell ref="B235:C235"/>
  </mergeCells>
  <hyperlinks>
    <hyperlink ref="I1" location="Index!B2" display="Index" xr:uid="{310193CE-1190-485F-B8F9-7262AED4172E}"/>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4B4C7-986E-40F6-B418-2920406EBA2F}">
  <sheetPr>
    <outlinePr summaryBelow="0" summaryRight="0"/>
  </sheetPr>
  <dimension ref="A1:Q252"/>
  <sheetViews>
    <sheetView showGridLines="0" workbookViewId="0">
      <selection activeCell="A183" sqref="A183"/>
    </sheetView>
  </sheetViews>
  <sheetFormatPr defaultRowHeight="12.75" x14ac:dyDescent="0.2"/>
  <cols>
    <col min="1" max="1" width="5.85546875" bestFit="1" customWidth="1"/>
    <col min="2" max="2" width="19.7109375" bestFit="1" customWidth="1"/>
    <col min="3" max="3" width="45.85546875" customWidth="1"/>
    <col min="4" max="4" width="17.7109375" bestFit="1" customWidth="1"/>
    <col min="5" max="5" width="13.570312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626</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17</v>
      </c>
      <c r="C7" s="93" t="s">
        <v>18</v>
      </c>
      <c r="D7" s="93" t="s">
        <v>19</v>
      </c>
      <c r="E7" s="94">
        <v>186500</v>
      </c>
      <c r="F7" s="95">
        <v>2772.136</v>
      </c>
      <c r="G7" s="96">
        <v>8.3711789999999994E-2</v>
      </c>
      <c r="H7" s="86" t="s">
        <v>142</v>
      </c>
    </row>
    <row r="8" spans="1:9" x14ac:dyDescent="0.2">
      <c r="A8" s="92">
        <v>2</v>
      </c>
      <c r="B8" s="93" t="s">
        <v>33</v>
      </c>
      <c r="C8" s="93" t="s">
        <v>34</v>
      </c>
      <c r="D8" s="93" t="s">
        <v>35</v>
      </c>
      <c r="E8" s="94">
        <v>158200</v>
      </c>
      <c r="F8" s="95">
        <v>2128.2646</v>
      </c>
      <c r="G8" s="96">
        <v>6.4268430000000001E-2</v>
      </c>
      <c r="H8" s="86" t="s">
        <v>142</v>
      </c>
    </row>
    <row r="9" spans="1:9" x14ac:dyDescent="0.2">
      <c r="A9" s="92">
        <v>3</v>
      </c>
      <c r="B9" s="93" t="s">
        <v>420</v>
      </c>
      <c r="C9" s="93" t="s">
        <v>421</v>
      </c>
      <c r="D9" s="93" t="s">
        <v>422</v>
      </c>
      <c r="E9" s="94">
        <v>467200</v>
      </c>
      <c r="F9" s="95">
        <v>1963.8751999999999</v>
      </c>
      <c r="G9" s="96">
        <v>5.9304269999999999E-2</v>
      </c>
      <c r="H9" s="86" t="s">
        <v>142</v>
      </c>
    </row>
    <row r="10" spans="1:9" x14ac:dyDescent="0.2">
      <c r="A10" s="92">
        <v>4</v>
      </c>
      <c r="B10" s="93" t="s">
        <v>322</v>
      </c>
      <c r="C10" s="93" t="s">
        <v>323</v>
      </c>
      <c r="D10" s="93" t="s">
        <v>35</v>
      </c>
      <c r="E10" s="94">
        <v>108125</v>
      </c>
      <c r="F10" s="95">
        <v>1332.9649999999999</v>
      </c>
      <c r="G10" s="96">
        <v>4.0252309999999999E-2</v>
      </c>
      <c r="H10" s="86" t="s">
        <v>142</v>
      </c>
    </row>
    <row r="11" spans="1:9" x14ac:dyDescent="0.2">
      <c r="A11" s="92">
        <v>5</v>
      </c>
      <c r="B11" s="93" t="s">
        <v>330</v>
      </c>
      <c r="C11" s="93" t="s">
        <v>331</v>
      </c>
      <c r="D11" s="93" t="s">
        <v>186</v>
      </c>
      <c r="E11" s="94">
        <v>125250</v>
      </c>
      <c r="F11" s="95">
        <v>1306.107</v>
      </c>
      <c r="G11" s="96">
        <v>3.944127E-2</v>
      </c>
      <c r="H11" s="86" t="s">
        <v>142</v>
      </c>
    </row>
    <row r="12" spans="1:9" x14ac:dyDescent="0.2">
      <c r="A12" s="92">
        <v>6</v>
      </c>
      <c r="B12" s="93" t="s">
        <v>320</v>
      </c>
      <c r="C12" s="93" t="s">
        <v>321</v>
      </c>
      <c r="D12" s="93" t="s">
        <v>35</v>
      </c>
      <c r="E12" s="94">
        <v>123200</v>
      </c>
      <c r="F12" s="95">
        <v>1216.3535999999999</v>
      </c>
      <c r="G12" s="96">
        <v>3.6730930000000002E-2</v>
      </c>
      <c r="H12" s="86" t="s">
        <v>142</v>
      </c>
    </row>
    <row r="13" spans="1:9" x14ac:dyDescent="0.2">
      <c r="A13" s="92">
        <v>7</v>
      </c>
      <c r="B13" s="93" t="s">
        <v>39</v>
      </c>
      <c r="C13" s="93" t="s">
        <v>40</v>
      </c>
      <c r="D13" s="93" t="s">
        <v>35</v>
      </c>
      <c r="E13" s="94">
        <v>114750</v>
      </c>
      <c r="F13" s="95">
        <v>1075.2075</v>
      </c>
      <c r="G13" s="96">
        <v>3.2468660000000003E-2</v>
      </c>
      <c r="H13" s="86" t="s">
        <v>142</v>
      </c>
    </row>
    <row r="14" spans="1:9" x14ac:dyDescent="0.2">
      <c r="A14" s="92">
        <v>8</v>
      </c>
      <c r="B14" s="93" t="s">
        <v>14</v>
      </c>
      <c r="C14" s="93" t="s">
        <v>15</v>
      </c>
      <c r="D14" s="93" t="s">
        <v>16</v>
      </c>
      <c r="E14" s="94">
        <v>19775</v>
      </c>
      <c r="F14" s="95">
        <v>797.11047499999995</v>
      </c>
      <c r="G14" s="96">
        <v>2.40708E-2</v>
      </c>
      <c r="H14" s="86" t="s">
        <v>142</v>
      </c>
    </row>
    <row r="15" spans="1:9" x14ac:dyDescent="0.2">
      <c r="A15" s="92">
        <v>9</v>
      </c>
      <c r="B15" s="93" t="s">
        <v>11</v>
      </c>
      <c r="C15" s="93" t="s">
        <v>12</v>
      </c>
      <c r="D15" s="93" t="s">
        <v>13</v>
      </c>
      <c r="E15" s="94">
        <v>35150</v>
      </c>
      <c r="F15" s="95">
        <v>722.15674999999999</v>
      </c>
      <c r="G15" s="96">
        <v>2.1807380000000001E-2</v>
      </c>
      <c r="H15" s="86" t="s">
        <v>142</v>
      </c>
    </row>
    <row r="16" spans="1:9" x14ac:dyDescent="0.2">
      <c r="A16" s="92">
        <v>10</v>
      </c>
      <c r="B16" s="93" t="s">
        <v>425</v>
      </c>
      <c r="C16" s="93" t="s">
        <v>426</v>
      </c>
      <c r="D16" s="93" t="s">
        <v>427</v>
      </c>
      <c r="E16" s="94">
        <v>81200</v>
      </c>
      <c r="F16" s="95">
        <v>688.45420000000001</v>
      </c>
      <c r="G16" s="96">
        <v>2.078965E-2</v>
      </c>
      <c r="H16" s="86" t="s">
        <v>142</v>
      </c>
    </row>
    <row r="17" spans="1:8" ht="25.5" x14ac:dyDescent="0.2">
      <c r="A17" s="92">
        <v>11</v>
      </c>
      <c r="B17" s="93" t="s">
        <v>627</v>
      </c>
      <c r="C17" s="93" t="s">
        <v>628</v>
      </c>
      <c r="D17" s="93" t="s">
        <v>629</v>
      </c>
      <c r="E17" s="94">
        <v>27600</v>
      </c>
      <c r="F17" s="95">
        <v>684.75599999999997</v>
      </c>
      <c r="G17" s="96">
        <v>2.067797E-2</v>
      </c>
      <c r="H17" s="86" t="s">
        <v>142</v>
      </c>
    </row>
    <row r="18" spans="1:8" ht="25.5" x14ac:dyDescent="0.2">
      <c r="A18" s="92">
        <v>12</v>
      </c>
      <c r="B18" s="93" t="s">
        <v>103</v>
      </c>
      <c r="C18" s="93" t="s">
        <v>104</v>
      </c>
      <c r="D18" s="93" t="s">
        <v>25</v>
      </c>
      <c r="E18" s="94">
        <v>115500</v>
      </c>
      <c r="F18" s="95">
        <v>653.03700000000003</v>
      </c>
      <c r="G18" s="96">
        <v>1.9720129999999999E-2</v>
      </c>
      <c r="H18" s="86" t="s">
        <v>142</v>
      </c>
    </row>
    <row r="19" spans="1:8" x14ac:dyDescent="0.2">
      <c r="A19" s="92">
        <v>13</v>
      </c>
      <c r="B19" s="93" t="s">
        <v>630</v>
      </c>
      <c r="C19" s="93" t="s">
        <v>631</v>
      </c>
      <c r="D19" s="93" t="s">
        <v>241</v>
      </c>
      <c r="E19" s="94">
        <v>11100</v>
      </c>
      <c r="F19" s="95">
        <v>615.38400000000001</v>
      </c>
      <c r="G19" s="96">
        <v>1.858311E-2</v>
      </c>
      <c r="H19" s="86" t="s">
        <v>142</v>
      </c>
    </row>
    <row r="20" spans="1:8" x14ac:dyDescent="0.2">
      <c r="A20" s="92">
        <v>14</v>
      </c>
      <c r="B20" s="93" t="s">
        <v>632</v>
      </c>
      <c r="C20" s="93" t="s">
        <v>633</v>
      </c>
      <c r="D20" s="93" t="s">
        <v>427</v>
      </c>
      <c r="E20" s="94">
        <v>240000</v>
      </c>
      <c r="F20" s="95">
        <v>561.93600000000004</v>
      </c>
      <c r="G20" s="96">
        <v>1.6969109999999999E-2</v>
      </c>
      <c r="H20" s="86" t="s">
        <v>142</v>
      </c>
    </row>
    <row r="21" spans="1:8" ht="25.5" x14ac:dyDescent="0.2">
      <c r="A21" s="92">
        <v>15</v>
      </c>
      <c r="B21" s="93" t="s">
        <v>346</v>
      </c>
      <c r="C21" s="93" t="s">
        <v>347</v>
      </c>
      <c r="D21" s="93" t="s">
        <v>225</v>
      </c>
      <c r="E21" s="94">
        <v>32900</v>
      </c>
      <c r="F21" s="95">
        <v>556.24030000000005</v>
      </c>
      <c r="G21" s="96">
        <v>1.6797110000000001E-2</v>
      </c>
      <c r="H21" s="86" t="s">
        <v>142</v>
      </c>
    </row>
    <row r="22" spans="1:8" x14ac:dyDescent="0.2">
      <c r="A22" s="92">
        <v>16</v>
      </c>
      <c r="B22" s="93" t="s">
        <v>634</v>
      </c>
      <c r="C22" s="93" t="s">
        <v>635</v>
      </c>
      <c r="D22" s="93" t="s">
        <v>28</v>
      </c>
      <c r="E22" s="94">
        <v>34125</v>
      </c>
      <c r="F22" s="95">
        <v>522.07837500000005</v>
      </c>
      <c r="G22" s="96">
        <v>1.5765500000000002E-2</v>
      </c>
      <c r="H22" s="86" t="s">
        <v>142</v>
      </c>
    </row>
    <row r="23" spans="1:8" x14ac:dyDescent="0.2">
      <c r="A23" s="92">
        <v>17</v>
      </c>
      <c r="B23" s="93" t="s">
        <v>324</v>
      </c>
      <c r="C23" s="93" t="s">
        <v>325</v>
      </c>
      <c r="D23" s="93" t="s">
        <v>35</v>
      </c>
      <c r="E23" s="94">
        <v>22800</v>
      </c>
      <c r="F23" s="95">
        <v>479.30160000000001</v>
      </c>
      <c r="G23" s="96">
        <v>1.4473750000000001E-2</v>
      </c>
      <c r="H23" s="86" t="s">
        <v>142</v>
      </c>
    </row>
    <row r="24" spans="1:8" x14ac:dyDescent="0.2">
      <c r="A24" s="92">
        <v>18</v>
      </c>
      <c r="B24" s="93" t="s">
        <v>328</v>
      </c>
      <c r="C24" s="93" t="s">
        <v>329</v>
      </c>
      <c r="D24" s="93" t="s">
        <v>28</v>
      </c>
      <c r="E24" s="94">
        <v>10200</v>
      </c>
      <c r="F24" s="95">
        <v>477.33960000000002</v>
      </c>
      <c r="G24" s="96">
        <v>1.44145E-2</v>
      </c>
      <c r="H24" s="86" t="s">
        <v>142</v>
      </c>
    </row>
    <row r="25" spans="1:8" x14ac:dyDescent="0.2">
      <c r="A25" s="92">
        <v>19</v>
      </c>
      <c r="B25" s="93" t="s">
        <v>270</v>
      </c>
      <c r="C25" s="93" t="s">
        <v>271</v>
      </c>
      <c r="D25" s="93" t="s">
        <v>272</v>
      </c>
      <c r="E25" s="94">
        <v>30400</v>
      </c>
      <c r="F25" s="95">
        <v>470.13600000000002</v>
      </c>
      <c r="G25" s="96">
        <v>1.419697E-2</v>
      </c>
      <c r="H25" s="86" t="s">
        <v>142</v>
      </c>
    </row>
    <row r="26" spans="1:8" x14ac:dyDescent="0.2">
      <c r="A26" s="92">
        <v>20</v>
      </c>
      <c r="B26" s="93" t="s">
        <v>636</v>
      </c>
      <c r="C26" s="93" t="s">
        <v>637</v>
      </c>
      <c r="D26" s="93" t="s">
        <v>35</v>
      </c>
      <c r="E26" s="94">
        <v>136525</v>
      </c>
      <c r="F26" s="95">
        <v>445.54933749999998</v>
      </c>
      <c r="G26" s="96">
        <v>1.3454509999999999E-2</v>
      </c>
      <c r="H26" s="86" t="s">
        <v>142</v>
      </c>
    </row>
    <row r="27" spans="1:8" x14ac:dyDescent="0.2">
      <c r="A27" s="92">
        <v>21</v>
      </c>
      <c r="B27" s="93" t="s">
        <v>348</v>
      </c>
      <c r="C27" s="93" t="s">
        <v>349</v>
      </c>
      <c r="D27" s="93" t="s">
        <v>218</v>
      </c>
      <c r="E27" s="94">
        <v>58000</v>
      </c>
      <c r="F27" s="95">
        <v>430.24400000000003</v>
      </c>
      <c r="G27" s="96">
        <v>1.299233E-2</v>
      </c>
      <c r="H27" s="86" t="s">
        <v>142</v>
      </c>
    </row>
    <row r="28" spans="1:8" x14ac:dyDescent="0.2">
      <c r="A28" s="92">
        <v>22</v>
      </c>
      <c r="B28" s="93" t="s">
        <v>29</v>
      </c>
      <c r="C28" s="93" t="s">
        <v>30</v>
      </c>
      <c r="D28" s="93" t="s">
        <v>22</v>
      </c>
      <c r="E28" s="94">
        <v>140600</v>
      </c>
      <c r="F28" s="95">
        <v>405.13889999999998</v>
      </c>
      <c r="G28" s="96">
        <v>1.2234210000000001E-2</v>
      </c>
      <c r="H28" s="86" t="s">
        <v>142</v>
      </c>
    </row>
    <row r="29" spans="1:8" x14ac:dyDescent="0.2">
      <c r="A29" s="92">
        <v>23</v>
      </c>
      <c r="B29" s="93" t="s">
        <v>638</v>
      </c>
      <c r="C29" s="93" t="s">
        <v>639</v>
      </c>
      <c r="D29" s="93" t="s">
        <v>186</v>
      </c>
      <c r="E29" s="94">
        <v>107100</v>
      </c>
      <c r="F29" s="95">
        <v>401.46435000000002</v>
      </c>
      <c r="G29" s="96">
        <v>1.212325E-2</v>
      </c>
      <c r="H29" s="86" t="s">
        <v>142</v>
      </c>
    </row>
    <row r="30" spans="1:8" x14ac:dyDescent="0.2">
      <c r="A30" s="92">
        <v>24</v>
      </c>
      <c r="B30" s="93" t="s">
        <v>444</v>
      </c>
      <c r="C30" s="93" t="s">
        <v>445</v>
      </c>
      <c r="D30" s="93" t="s">
        <v>35</v>
      </c>
      <c r="E30" s="94">
        <v>46900</v>
      </c>
      <c r="F30" s="95">
        <v>372.76119999999997</v>
      </c>
      <c r="G30" s="96">
        <v>1.1256479999999999E-2</v>
      </c>
      <c r="H30" s="86" t="s">
        <v>142</v>
      </c>
    </row>
    <row r="31" spans="1:8" x14ac:dyDescent="0.2">
      <c r="A31" s="92">
        <v>25</v>
      </c>
      <c r="B31" s="93" t="s">
        <v>213</v>
      </c>
      <c r="C31" s="93" t="s">
        <v>214</v>
      </c>
      <c r="D31" s="93" t="s">
        <v>215</v>
      </c>
      <c r="E31" s="94">
        <v>13500</v>
      </c>
      <c r="F31" s="95">
        <v>334.66500000000002</v>
      </c>
      <c r="G31" s="96">
        <v>1.010607E-2</v>
      </c>
      <c r="H31" s="86" t="s">
        <v>142</v>
      </c>
    </row>
    <row r="32" spans="1:8" x14ac:dyDescent="0.2">
      <c r="A32" s="92">
        <v>26</v>
      </c>
      <c r="B32" s="93" t="s">
        <v>640</v>
      </c>
      <c r="C32" s="93" t="s">
        <v>641</v>
      </c>
      <c r="D32" s="93" t="s">
        <v>218</v>
      </c>
      <c r="E32" s="94">
        <v>46375</v>
      </c>
      <c r="F32" s="95">
        <v>333.29712499999999</v>
      </c>
      <c r="G32" s="96">
        <v>1.0064770000000001E-2</v>
      </c>
      <c r="H32" s="86" t="s">
        <v>142</v>
      </c>
    </row>
    <row r="33" spans="1:8" x14ac:dyDescent="0.2">
      <c r="A33" s="92">
        <v>27</v>
      </c>
      <c r="B33" s="93" t="s">
        <v>440</v>
      </c>
      <c r="C33" s="93" t="s">
        <v>441</v>
      </c>
      <c r="D33" s="93" t="s">
        <v>422</v>
      </c>
      <c r="E33" s="94">
        <v>12600</v>
      </c>
      <c r="F33" s="95">
        <v>310.65300000000002</v>
      </c>
      <c r="G33" s="96">
        <v>9.3809700000000006E-3</v>
      </c>
      <c r="H33" s="86" t="s">
        <v>142</v>
      </c>
    </row>
    <row r="34" spans="1:8" ht="25.5" x14ac:dyDescent="0.2">
      <c r="A34" s="92">
        <v>28</v>
      </c>
      <c r="B34" s="93" t="s">
        <v>53</v>
      </c>
      <c r="C34" s="93" t="s">
        <v>54</v>
      </c>
      <c r="D34" s="93" t="s">
        <v>55</v>
      </c>
      <c r="E34" s="94">
        <v>21375</v>
      </c>
      <c r="F34" s="95">
        <v>310.25812500000001</v>
      </c>
      <c r="G34" s="96">
        <v>9.3690400000000004E-3</v>
      </c>
      <c r="H34" s="86" t="s">
        <v>142</v>
      </c>
    </row>
    <row r="35" spans="1:8" x14ac:dyDescent="0.2">
      <c r="A35" s="92">
        <v>29</v>
      </c>
      <c r="B35" s="93" t="s">
        <v>332</v>
      </c>
      <c r="C35" s="93" t="s">
        <v>333</v>
      </c>
      <c r="D35" s="93" t="s">
        <v>35</v>
      </c>
      <c r="E35" s="94">
        <v>102375</v>
      </c>
      <c r="F35" s="95">
        <v>285.012</v>
      </c>
      <c r="G35" s="96">
        <v>8.6066700000000003E-3</v>
      </c>
      <c r="H35" s="86" t="s">
        <v>142</v>
      </c>
    </row>
    <row r="36" spans="1:8" x14ac:dyDescent="0.2">
      <c r="A36" s="92">
        <v>30</v>
      </c>
      <c r="B36" s="93" t="s">
        <v>397</v>
      </c>
      <c r="C36" s="93" t="s">
        <v>398</v>
      </c>
      <c r="D36" s="93" t="s">
        <v>135</v>
      </c>
      <c r="E36" s="94">
        <v>137500</v>
      </c>
      <c r="F36" s="95">
        <v>251.405</v>
      </c>
      <c r="G36" s="96">
        <v>7.59182E-3</v>
      </c>
      <c r="H36" s="86" t="s">
        <v>142</v>
      </c>
    </row>
    <row r="37" spans="1:8" ht="25.5" x14ac:dyDescent="0.2">
      <c r="A37" s="92">
        <v>31</v>
      </c>
      <c r="B37" s="93" t="s">
        <v>436</v>
      </c>
      <c r="C37" s="93" t="s">
        <v>437</v>
      </c>
      <c r="D37" s="93" t="s">
        <v>225</v>
      </c>
      <c r="E37" s="94">
        <v>15750</v>
      </c>
      <c r="F37" s="95">
        <v>236.45474999999999</v>
      </c>
      <c r="G37" s="96">
        <v>7.1403600000000001E-3</v>
      </c>
      <c r="H37" s="86" t="s">
        <v>142</v>
      </c>
    </row>
    <row r="38" spans="1:8" x14ac:dyDescent="0.2">
      <c r="A38" s="92">
        <v>32</v>
      </c>
      <c r="B38" s="93" t="s">
        <v>642</v>
      </c>
      <c r="C38" s="93" t="s">
        <v>643</v>
      </c>
      <c r="D38" s="93" t="s">
        <v>35</v>
      </c>
      <c r="E38" s="94">
        <v>192000</v>
      </c>
      <c r="F38" s="95">
        <v>235.94880000000001</v>
      </c>
      <c r="G38" s="96">
        <v>7.1250799999999998E-3</v>
      </c>
      <c r="H38" s="86" t="s">
        <v>142</v>
      </c>
    </row>
    <row r="39" spans="1:8" x14ac:dyDescent="0.2">
      <c r="A39" s="92">
        <v>33</v>
      </c>
      <c r="B39" s="93" t="s">
        <v>644</v>
      </c>
      <c r="C39" s="93" t="s">
        <v>645</v>
      </c>
      <c r="D39" s="93" t="s">
        <v>35</v>
      </c>
      <c r="E39" s="94">
        <v>168750</v>
      </c>
      <c r="F39" s="95">
        <v>231.170625</v>
      </c>
      <c r="G39" s="96">
        <v>6.9807899999999997E-3</v>
      </c>
      <c r="H39" s="86" t="s">
        <v>142</v>
      </c>
    </row>
    <row r="40" spans="1:8" x14ac:dyDescent="0.2">
      <c r="A40" s="92">
        <v>34</v>
      </c>
      <c r="B40" s="93" t="s">
        <v>87</v>
      </c>
      <c r="C40" s="93" t="s">
        <v>88</v>
      </c>
      <c r="D40" s="93" t="s">
        <v>13</v>
      </c>
      <c r="E40" s="94">
        <v>62900</v>
      </c>
      <c r="F40" s="95">
        <v>228.70439999999999</v>
      </c>
      <c r="G40" s="96">
        <v>6.9063199999999996E-3</v>
      </c>
      <c r="H40" s="86" t="s">
        <v>142</v>
      </c>
    </row>
    <row r="41" spans="1:8" x14ac:dyDescent="0.2">
      <c r="A41" s="92">
        <v>35</v>
      </c>
      <c r="B41" s="93" t="s">
        <v>342</v>
      </c>
      <c r="C41" s="93" t="s">
        <v>343</v>
      </c>
      <c r="D41" s="93" t="s">
        <v>278</v>
      </c>
      <c r="E41" s="94">
        <v>65475</v>
      </c>
      <c r="F41" s="95">
        <v>208.04681249999999</v>
      </c>
      <c r="G41" s="96">
        <v>6.2825099999999998E-3</v>
      </c>
      <c r="H41" s="86" t="s">
        <v>142</v>
      </c>
    </row>
    <row r="42" spans="1:8" ht="25.5" x14ac:dyDescent="0.2">
      <c r="A42" s="92">
        <v>36</v>
      </c>
      <c r="B42" s="93" t="s">
        <v>434</v>
      </c>
      <c r="C42" s="93" t="s">
        <v>435</v>
      </c>
      <c r="D42" s="93" t="s">
        <v>207</v>
      </c>
      <c r="E42" s="94">
        <v>17050</v>
      </c>
      <c r="F42" s="95">
        <v>198.63249999999999</v>
      </c>
      <c r="G42" s="96">
        <v>5.9982200000000003E-3</v>
      </c>
      <c r="H42" s="86" t="s">
        <v>142</v>
      </c>
    </row>
    <row r="43" spans="1:8" x14ac:dyDescent="0.2">
      <c r="A43" s="92">
        <v>37</v>
      </c>
      <c r="B43" s="93" t="s">
        <v>646</v>
      </c>
      <c r="C43" s="93" t="s">
        <v>647</v>
      </c>
      <c r="D43" s="93" t="s">
        <v>459</v>
      </c>
      <c r="E43" s="94">
        <v>3125</v>
      </c>
      <c r="F43" s="95">
        <v>182.390625</v>
      </c>
      <c r="G43" s="96">
        <v>5.5077600000000004E-3</v>
      </c>
      <c r="H43" s="86" t="s">
        <v>142</v>
      </c>
    </row>
    <row r="44" spans="1:8" x14ac:dyDescent="0.2">
      <c r="A44" s="92">
        <v>38</v>
      </c>
      <c r="B44" s="93" t="s">
        <v>648</v>
      </c>
      <c r="C44" s="93" t="s">
        <v>649</v>
      </c>
      <c r="D44" s="93" t="s">
        <v>186</v>
      </c>
      <c r="E44" s="94">
        <v>94600</v>
      </c>
      <c r="F44" s="95">
        <v>178.40613999999999</v>
      </c>
      <c r="G44" s="96">
        <v>5.3874300000000003E-3</v>
      </c>
      <c r="H44" s="86" t="s">
        <v>142</v>
      </c>
    </row>
    <row r="45" spans="1:8" x14ac:dyDescent="0.2">
      <c r="A45" s="92">
        <v>39</v>
      </c>
      <c r="B45" s="93" t="s">
        <v>46</v>
      </c>
      <c r="C45" s="93" t="s">
        <v>47</v>
      </c>
      <c r="D45" s="93" t="s">
        <v>48</v>
      </c>
      <c r="E45" s="94">
        <v>2200</v>
      </c>
      <c r="F45" s="95">
        <v>176.803</v>
      </c>
      <c r="G45" s="96">
        <v>5.3390199999999999E-3</v>
      </c>
      <c r="H45" s="86" t="s">
        <v>142</v>
      </c>
    </row>
    <row r="46" spans="1:8" x14ac:dyDescent="0.2">
      <c r="A46" s="92">
        <v>40</v>
      </c>
      <c r="B46" s="93" t="s">
        <v>393</v>
      </c>
      <c r="C46" s="93" t="s">
        <v>394</v>
      </c>
      <c r="D46" s="93" t="s">
        <v>186</v>
      </c>
      <c r="E46" s="94">
        <v>15600</v>
      </c>
      <c r="F46" s="95">
        <v>144.87719999999999</v>
      </c>
      <c r="G46" s="96">
        <v>4.3749399999999999E-3</v>
      </c>
      <c r="H46" s="86" t="s">
        <v>142</v>
      </c>
    </row>
    <row r="47" spans="1:8" x14ac:dyDescent="0.2">
      <c r="A47" s="92">
        <v>41</v>
      </c>
      <c r="B47" s="93" t="s">
        <v>334</v>
      </c>
      <c r="C47" s="93" t="s">
        <v>335</v>
      </c>
      <c r="D47" s="93" t="s">
        <v>241</v>
      </c>
      <c r="E47" s="94">
        <v>3800</v>
      </c>
      <c r="F47" s="95">
        <v>132.5136</v>
      </c>
      <c r="G47" s="96">
        <v>4.0015900000000002E-3</v>
      </c>
      <c r="H47" s="86" t="s">
        <v>142</v>
      </c>
    </row>
    <row r="48" spans="1:8" x14ac:dyDescent="0.2">
      <c r="A48" s="92">
        <v>42</v>
      </c>
      <c r="B48" s="93" t="s">
        <v>650</v>
      </c>
      <c r="C48" s="93" t="s">
        <v>651</v>
      </c>
      <c r="D48" s="93" t="s">
        <v>22</v>
      </c>
      <c r="E48" s="94">
        <v>18000</v>
      </c>
      <c r="F48" s="95">
        <v>94.941000000000003</v>
      </c>
      <c r="G48" s="96">
        <v>2.8669899999999998E-3</v>
      </c>
      <c r="H48" s="86" t="s">
        <v>142</v>
      </c>
    </row>
    <row r="49" spans="1:8" x14ac:dyDescent="0.2">
      <c r="A49" s="92">
        <v>43</v>
      </c>
      <c r="B49" s="93" t="s">
        <v>652</v>
      </c>
      <c r="C49" s="93" t="s">
        <v>653</v>
      </c>
      <c r="D49" s="93" t="s">
        <v>73</v>
      </c>
      <c r="E49" s="94">
        <v>11550</v>
      </c>
      <c r="F49" s="95">
        <v>87.346874999999997</v>
      </c>
      <c r="G49" s="96">
        <v>2.63766E-3</v>
      </c>
      <c r="H49" s="86" t="s">
        <v>142</v>
      </c>
    </row>
    <row r="50" spans="1:8" x14ac:dyDescent="0.2">
      <c r="A50" s="92">
        <v>44</v>
      </c>
      <c r="B50" s="93" t="s">
        <v>654</v>
      </c>
      <c r="C50" s="93" t="s">
        <v>655</v>
      </c>
      <c r="D50" s="93" t="s">
        <v>409</v>
      </c>
      <c r="E50" s="94">
        <v>195</v>
      </c>
      <c r="F50" s="95">
        <v>80.34</v>
      </c>
      <c r="G50" s="96">
        <v>2.4260699999999998E-3</v>
      </c>
      <c r="H50" s="86" t="s">
        <v>142</v>
      </c>
    </row>
    <row r="51" spans="1:8" x14ac:dyDescent="0.2">
      <c r="A51" s="92">
        <v>45</v>
      </c>
      <c r="B51" s="93" t="s">
        <v>656</v>
      </c>
      <c r="C51" s="93" t="s">
        <v>657</v>
      </c>
      <c r="D51" s="93" t="s">
        <v>186</v>
      </c>
      <c r="E51" s="94">
        <v>3500</v>
      </c>
      <c r="F51" s="95">
        <v>73.090500000000006</v>
      </c>
      <c r="G51" s="96">
        <v>2.2071600000000001E-3</v>
      </c>
      <c r="H51" s="86" t="s">
        <v>142</v>
      </c>
    </row>
    <row r="52" spans="1:8" ht="25.5" x14ac:dyDescent="0.2">
      <c r="A52" s="92">
        <v>46</v>
      </c>
      <c r="B52" s="93" t="s">
        <v>658</v>
      </c>
      <c r="C52" s="93" t="s">
        <v>659</v>
      </c>
      <c r="D52" s="93" t="s">
        <v>225</v>
      </c>
      <c r="E52" s="94">
        <v>200</v>
      </c>
      <c r="F52" s="95">
        <v>13.476000000000001</v>
      </c>
      <c r="G52" s="96">
        <v>4.0694E-4</v>
      </c>
      <c r="H52" s="86" t="s">
        <v>142</v>
      </c>
    </row>
    <row r="53" spans="1:8" x14ac:dyDescent="0.2">
      <c r="A53" s="92">
        <v>47</v>
      </c>
      <c r="B53" s="93" t="s">
        <v>660</v>
      </c>
      <c r="C53" s="93" t="s">
        <v>661</v>
      </c>
      <c r="D53" s="93" t="s">
        <v>459</v>
      </c>
      <c r="E53" s="94">
        <v>500</v>
      </c>
      <c r="F53" s="95">
        <v>6.3579999999999997</v>
      </c>
      <c r="G53" s="96">
        <v>1.92E-4</v>
      </c>
      <c r="H53" s="86" t="s">
        <v>142</v>
      </c>
    </row>
    <row r="54" spans="1:8" x14ac:dyDescent="0.2">
      <c r="A54" s="97"/>
      <c r="B54" s="97"/>
      <c r="C54" s="98" t="s">
        <v>141</v>
      </c>
      <c r="D54" s="97"/>
      <c r="E54" s="97" t="s">
        <v>142</v>
      </c>
      <c r="F54" s="99">
        <f>SUM(F7:F53)</f>
        <v>25412.788064999986</v>
      </c>
      <c r="G54" s="100">
        <f>SUM(G7:G53)</f>
        <v>0.76740459999999988</v>
      </c>
      <c r="H54" s="86" t="s">
        <v>142</v>
      </c>
    </row>
    <row r="55" spans="1:8" x14ac:dyDescent="0.2">
      <c r="A55" s="97"/>
      <c r="B55" s="97"/>
      <c r="C55" s="101"/>
      <c r="D55" s="97"/>
      <c r="E55" s="97"/>
      <c r="F55" s="102"/>
      <c r="G55" s="102"/>
      <c r="H55" s="86" t="s">
        <v>142</v>
      </c>
    </row>
    <row r="56" spans="1:8" x14ac:dyDescent="0.2">
      <c r="A56" s="97"/>
      <c r="B56" s="97"/>
      <c r="C56" s="98" t="s">
        <v>143</v>
      </c>
      <c r="D56" s="97"/>
      <c r="E56" s="97"/>
      <c r="F56" s="97"/>
      <c r="G56" s="97"/>
      <c r="H56" s="86" t="s">
        <v>142</v>
      </c>
    </row>
    <row r="57" spans="1:8" x14ac:dyDescent="0.2">
      <c r="A57" s="97"/>
      <c r="B57" s="97"/>
      <c r="C57" s="98" t="s">
        <v>141</v>
      </c>
      <c r="D57" s="97"/>
      <c r="E57" s="97" t="s">
        <v>142</v>
      </c>
      <c r="F57" s="103" t="s">
        <v>144</v>
      </c>
      <c r="G57" s="100">
        <v>0</v>
      </c>
      <c r="H57" s="86" t="s">
        <v>142</v>
      </c>
    </row>
    <row r="58" spans="1:8" x14ac:dyDescent="0.2">
      <c r="A58" s="97"/>
      <c r="B58" s="97"/>
      <c r="C58" s="101"/>
      <c r="D58" s="97"/>
      <c r="E58" s="97"/>
      <c r="F58" s="102"/>
      <c r="G58" s="102"/>
      <c r="H58" s="86" t="s">
        <v>142</v>
      </c>
    </row>
    <row r="59" spans="1:8" x14ac:dyDescent="0.2">
      <c r="A59" s="97"/>
      <c r="B59" s="97"/>
      <c r="C59" s="98" t="s">
        <v>145</v>
      </c>
      <c r="D59" s="97"/>
      <c r="E59" s="97"/>
      <c r="F59" s="97"/>
      <c r="G59" s="97"/>
      <c r="H59" s="86" t="s">
        <v>142</v>
      </c>
    </row>
    <row r="60" spans="1:8" x14ac:dyDescent="0.2">
      <c r="A60" s="97"/>
      <c r="B60" s="97"/>
      <c r="C60" s="98" t="s">
        <v>141</v>
      </c>
      <c r="D60" s="97"/>
      <c r="E60" s="97" t="s">
        <v>142</v>
      </c>
      <c r="F60" s="103" t="s">
        <v>144</v>
      </c>
      <c r="G60" s="100">
        <v>0</v>
      </c>
      <c r="H60" s="86" t="s">
        <v>142</v>
      </c>
    </row>
    <row r="61" spans="1:8" x14ac:dyDescent="0.2">
      <c r="A61" s="97"/>
      <c r="B61" s="97"/>
      <c r="C61" s="101"/>
      <c r="D61" s="97"/>
      <c r="E61" s="97"/>
      <c r="F61" s="102"/>
      <c r="G61" s="102"/>
      <c r="H61" s="86" t="s">
        <v>142</v>
      </c>
    </row>
    <row r="62" spans="1:8" x14ac:dyDescent="0.2">
      <c r="A62" s="97"/>
      <c r="B62" s="97"/>
      <c r="C62" s="98" t="s">
        <v>146</v>
      </c>
      <c r="D62" s="97"/>
      <c r="E62" s="97"/>
      <c r="F62" s="97"/>
      <c r="G62" s="97"/>
      <c r="H62" s="86" t="s">
        <v>142</v>
      </c>
    </row>
    <row r="63" spans="1:8" x14ac:dyDescent="0.2">
      <c r="A63" s="97"/>
      <c r="B63" s="97"/>
      <c r="C63" s="98" t="s">
        <v>141</v>
      </c>
      <c r="D63" s="97"/>
      <c r="E63" s="97" t="s">
        <v>142</v>
      </c>
      <c r="F63" s="103" t="s">
        <v>144</v>
      </c>
      <c r="G63" s="100">
        <v>0</v>
      </c>
      <c r="H63" s="86" t="s">
        <v>142</v>
      </c>
    </row>
    <row r="64" spans="1:8" x14ac:dyDescent="0.2">
      <c r="A64" s="97"/>
      <c r="B64" s="97"/>
      <c r="C64" s="101"/>
      <c r="D64" s="97"/>
      <c r="E64" s="97"/>
      <c r="F64" s="102"/>
      <c r="G64" s="102"/>
      <c r="H64" s="86" t="s">
        <v>142</v>
      </c>
    </row>
    <row r="65" spans="1:8" x14ac:dyDescent="0.2">
      <c r="A65" s="97"/>
      <c r="B65" s="97"/>
      <c r="C65" s="98" t="s">
        <v>147</v>
      </c>
      <c r="D65" s="97"/>
      <c r="E65" s="97"/>
      <c r="F65" s="102"/>
      <c r="G65" s="102"/>
      <c r="H65" s="86" t="s">
        <v>142</v>
      </c>
    </row>
    <row r="66" spans="1:8" x14ac:dyDescent="0.2">
      <c r="A66" s="97"/>
      <c r="B66" s="97"/>
      <c r="C66" s="98" t="s">
        <v>141</v>
      </c>
      <c r="D66" s="97"/>
      <c r="E66" s="97" t="s">
        <v>142</v>
      </c>
      <c r="F66" s="103" t="s">
        <v>144</v>
      </c>
      <c r="G66" s="100">
        <v>0</v>
      </c>
      <c r="H66" s="86" t="s">
        <v>142</v>
      </c>
    </row>
    <row r="67" spans="1:8" x14ac:dyDescent="0.2">
      <c r="A67" s="97"/>
      <c r="B67" s="97"/>
      <c r="C67" s="101"/>
      <c r="D67" s="97"/>
      <c r="E67" s="97"/>
      <c r="F67" s="102"/>
      <c r="G67" s="102"/>
      <c r="H67" s="86" t="s">
        <v>142</v>
      </c>
    </row>
    <row r="68" spans="1:8" x14ac:dyDescent="0.2">
      <c r="A68" s="97"/>
      <c r="B68" s="97"/>
      <c r="C68" s="98" t="s">
        <v>148</v>
      </c>
      <c r="D68" s="97"/>
      <c r="E68" s="97"/>
      <c r="F68" s="102"/>
      <c r="G68" s="102"/>
      <c r="H68" s="86" t="s">
        <v>142</v>
      </c>
    </row>
    <row r="69" spans="1:8" x14ac:dyDescent="0.2">
      <c r="A69" s="92">
        <v>1</v>
      </c>
      <c r="B69" s="93"/>
      <c r="C69" s="93" t="s">
        <v>994</v>
      </c>
      <c r="D69" s="93" t="s">
        <v>497</v>
      </c>
      <c r="E69" s="94">
        <v>-500</v>
      </c>
      <c r="F69" s="95">
        <v>-6.4</v>
      </c>
      <c r="G69" s="96">
        <f>F69/$F$170</f>
        <v>-1.9326448301461334E-4</v>
      </c>
      <c r="H69" s="86" t="s">
        <v>142</v>
      </c>
    </row>
    <row r="70" spans="1:8" x14ac:dyDescent="0.2">
      <c r="A70" s="92">
        <v>2</v>
      </c>
      <c r="B70" s="93"/>
      <c r="C70" s="93" t="s">
        <v>995</v>
      </c>
      <c r="D70" s="93" t="s">
        <v>497</v>
      </c>
      <c r="E70" s="94">
        <v>-200</v>
      </c>
      <c r="F70" s="95">
        <v>-13.579000000000001</v>
      </c>
      <c r="G70" s="96">
        <f t="shared" ref="G70:G115" si="0">F70/$F$170</f>
        <v>-4.1005287732116168E-4</v>
      </c>
      <c r="H70" s="86" t="s">
        <v>142</v>
      </c>
    </row>
    <row r="71" spans="1:8" x14ac:dyDescent="0.2">
      <c r="A71" s="92">
        <v>3</v>
      </c>
      <c r="B71" s="93"/>
      <c r="C71" s="93" t="s">
        <v>996</v>
      </c>
      <c r="D71" s="93" t="s">
        <v>497</v>
      </c>
      <c r="E71" s="94">
        <v>-3500</v>
      </c>
      <c r="F71" s="95">
        <v>-73.569999999999993</v>
      </c>
      <c r="G71" s="96">
        <f t="shared" si="0"/>
        <v>-2.2216356274039222E-3</v>
      </c>
      <c r="H71" s="86" t="s">
        <v>142</v>
      </c>
    </row>
    <row r="72" spans="1:8" x14ac:dyDescent="0.2">
      <c r="A72" s="92">
        <v>4</v>
      </c>
      <c r="B72" s="93"/>
      <c r="C72" s="93" t="s">
        <v>997</v>
      </c>
      <c r="D72" s="93" t="s">
        <v>497</v>
      </c>
      <c r="E72" s="94">
        <v>-195</v>
      </c>
      <c r="F72" s="95">
        <v>-79.345500000000001</v>
      </c>
      <c r="G72" s="96">
        <f t="shared" si="0"/>
        <v>-2.3960417245368756E-3</v>
      </c>
      <c r="H72" s="86" t="s">
        <v>142</v>
      </c>
    </row>
    <row r="73" spans="1:8" x14ac:dyDescent="0.2">
      <c r="A73" s="92">
        <v>5</v>
      </c>
      <c r="B73" s="93"/>
      <c r="C73" s="93" t="s">
        <v>998</v>
      </c>
      <c r="D73" s="93" t="s">
        <v>497</v>
      </c>
      <c r="E73" s="94">
        <v>-11550</v>
      </c>
      <c r="F73" s="95">
        <v>-87.912824999999998</v>
      </c>
      <c r="G73" s="96">
        <f t="shared" si="0"/>
        <v>-2.6547541678092462E-3</v>
      </c>
      <c r="H73" s="86" t="s">
        <v>142</v>
      </c>
    </row>
    <row r="74" spans="1:8" x14ac:dyDescent="0.2">
      <c r="A74" s="92">
        <v>6</v>
      </c>
      <c r="B74" s="93"/>
      <c r="C74" s="93" t="s">
        <v>999</v>
      </c>
      <c r="D74" s="93" t="s">
        <v>497</v>
      </c>
      <c r="E74" s="94">
        <v>-18000</v>
      </c>
      <c r="F74" s="95">
        <v>-95.525999999999996</v>
      </c>
      <c r="G74" s="96">
        <f t="shared" si="0"/>
        <v>-2.8846535944459305E-3</v>
      </c>
      <c r="H74" s="86" t="s">
        <v>142</v>
      </c>
    </row>
    <row r="75" spans="1:8" x14ac:dyDescent="0.2">
      <c r="A75" s="92">
        <v>7</v>
      </c>
      <c r="B75" s="93"/>
      <c r="C75" s="93" t="s">
        <v>1000</v>
      </c>
      <c r="D75" s="93" t="s">
        <v>497</v>
      </c>
      <c r="E75" s="94">
        <v>-3800</v>
      </c>
      <c r="F75" s="95">
        <v>-133.38759999999999</v>
      </c>
      <c r="G75" s="96">
        <f t="shared" si="0"/>
        <v>-4.027982117900006E-3</v>
      </c>
      <c r="H75" s="86" t="s">
        <v>142</v>
      </c>
    </row>
    <row r="76" spans="1:8" x14ac:dyDescent="0.2">
      <c r="A76" s="92">
        <v>8</v>
      </c>
      <c r="B76" s="93"/>
      <c r="C76" s="93" t="s">
        <v>1001</v>
      </c>
      <c r="D76" s="93" t="s">
        <v>497</v>
      </c>
      <c r="E76" s="94">
        <v>-15600</v>
      </c>
      <c r="F76" s="95">
        <v>-145.4076</v>
      </c>
      <c r="G76" s="96">
        <f t="shared" si="0"/>
        <v>-4.390956975061827E-3</v>
      </c>
      <c r="H76" s="86" t="s">
        <v>142</v>
      </c>
    </row>
    <row r="77" spans="1:8" x14ac:dyDescent="0.2">
      <c r="A77" s="92">
        <v>9</v>
      </c>
      <c r="B77" s="93"/>
      <c r="C77" s="93" t="s">
        <v>943</v>
      </c>
      <c r="D77" s="93" t="s">
        <v>497</v>
      </c>
      <c r="E77" s="94">
        <v>-2200</v>
      </c>
      <c r="F77" s="95">
        <v>-176.209</v>
      </c>
      <c r="G77" s="96">
        <f t="shared" si="0"/>
        <v>-5.3210845761753134E-3</v>
      </c>
      <c r="H77" s="86" t="s">
        <v>142</v>
      </c>
    </row>
    <row r="78" spans="1:8" ht="25.5" x14ac:dyDescent="0.2">
      <c r="A78" s="92">
        <v>10</v>
      </c>
      <c r="B78" s="93"/>
      <c r="C78" s="93" t="s">
        <v>1002</v>
      </c>
      <c r="D78" s="93" t="s">
        <v>497</v>
      </c>
      <c r="E78" s="94">
        <v>-94600</v>
      </c>
      <c r="F78" s="95">
        <v>-179.68324000000001</v>
      </c>
      <c r="G78" s="96">
        <f t="shared" si="0"/>
        <v>-5.425998200779796E-3</v>
      </c>
      <c r="H78" s="86" t="s">
        <v>142</v>
      </c>
    </row>
    <row r="79" spans="1:8" x14ac:dyDescent="0.2">
      <c r="A79" s="92">
        <v>11</v>
      </c>
      <c r="B79" s="93"/>
      <c r="C79" s="93" t="s">
        <v>1003</v>
      </c>
      <c r="D79" s="93" t="s">
        <v>497</v>
      </c>
      <c r="E79" s="94">
        <v>-3125</v>
      </c>
      <c r="F79" s="95">
        <v>-183.484375</v>
      </c>
      <c r="G79" s="96">
        <f t="shared" si="0"/>
        <v>-5.5407832618178821E-3</v>
      </c>
      <c r="H79" s="86" t="s">
        <v>142</v>
      </c>
    </row>
    <row r="80" spans="1:8" x14ac:dyDescent="0.2">
      <c r="A80" s="92">
        <v>12</v>
      </c>
      <c r="B80" s="93"/>
      <c r="C80" s="93" t="s">
        <v>1004</v>
      </c>
      <c r="D80" s="93" t="s">
        <v>497</v>
      </c>
      <c r="E80" s="94">
        <v>-17050</v>
      </c>
      <c r="F80" s="95">
        <v>-199.80895000000001</v>
      </c>
      <c r="G80" s="96">
        <f t="shared" si="0"/>
        <v>-6.0337458474129264E-3</v>
      </c>
      <c r="H80" s="86" t="s">
        <v>142</v>
      </c>
    </row>
    <row r="81" spans="1:8" ht="25.5" x14ac:dyDescent="0.2">
      <c r="A81" s="92">
        <v>13</v>
      </c>
      <c r="B81" s="93"/>
      <c r="C81" s="93" t="s">
        <v>1005</v>
      </c>
      <c r="D81" s="93" t="s">
        <v>497</v>
      </c>
      <c r="E81" s="94">
        <v>-65475</v>
      </c>
      <c r="F81" s="95">
        <v>-209.45452499999999</v>
      </c>
      <c r="G81" s="96">
        <f t="shared" si="0"/>
        <v>-6.3250188264369379E-3</v>
      </c>
      <c r="H81" s="86" t="s">
        <v>142</v>
      </c>
    </row>
    <row r="82" spans="1:8" ht="25.5" x14ac:dyDescent="0.2">
      <c r="A82" s="92">
        <v>14</v>
      </c>
      <c r="B82" s="93"/>
      <c r="C82" s="93" t="s">
        <v>1006</v>
      </c>
      <c r="D82" s="93" t="s">
        <v>497</v>
      </c>
      <c r="E82" s="94">
        <v>-62900</v>
      </c>
      <c r="F82" s="95">
        <v>-230.30834999999999</v>
      </c>
      <c r="G82" s="96">
        <f t="shared" si="0"/>
        <v>-6.9547537807341598E-3</v>
      </c>
      <c r="H82" s="86" t="s">
        <v>142</v>
      </c>
    </row>
    <row r="83" spans="1:8" x14ac:dyDescent="0.2">
      <c r="A83" s="92">
        <v>15</v>
      </c>
      <c r="B83" s="93"/>
      <c r="C83" s="93" t="s">
        <v>1007</v>
      </c>
      <c r="D83" s="93" t="s">
        <v>497</v>
      </c>
      <c r="E83" s="94">
        <v>-168750</v>
      </c>
      <c r="F83" s="95">
        <v>-232.35187500000001</v>
      </c>
      <c r="G83" s="96">
        <f t="shared" si="0"/>
        <v>-7.0164632811486041E-3</v>
      </c>
      <c r="H83" s="86" t="s">
        <v>142</v>
      </c>
    </row>
    <row r="84" spans="1:8" x14ac:dyDescent="0.2">
      <c r="A84" s="92">
        <v>16</v>
      </c>
      <c r="B84" s="93"/>
      <c r="C84" s="93" t="s">
        <v>1008</v>
      </c>
      <c r="D84" s="93" t="s">
        <v>497</v>
      </c>
      <c r="E84" s="94">
        <v>-192000</v>
      </c>
      <c r="F84" s="95">
        <v>-236.83199999999999</v>
      </c>
      <c r="G84" s="96">
        <f t="shared" si="0"/>
        <v>-7.1517521939557663E-3</v>
      </c>
      <c r="H84" s="86" t="s">
        <v>142</v>
      </c>
    </row>
    <row r="85" spans="1:8" x14ac:dyDescent="0.2">
      <c r="A85" s="92">
        <v>17</v>
      </c>
      <c r="B85" s="93"/>
      <c r="C85" s="93" t="s">
        <v>1009</v>
      </c>
      <c r="D85" s="93" t="s">
        <v>497</v>
      </c>
      <c r="E85" s="94">
        <v>-15750</v>
      </c>
      <c r="F85" s="95">
        <v>-237.39975000000001</v>
      </c>
      <c r="G85" s="96">
        <f t="shared" si="0"/>
        <v>-7.1688968674294461E-3</v>
      </c>
      <c r="H85" s="86" t="s">
        <v>142</v>
      </c>
    </row>
    <row r="86" spans="1:8" x14ac:dyDescent="0.2">
      <c r="A86" s="92">
        <v>18</v>
      </c>
      <c r="B86" s="93"/>
      <c r="C86" s="93" t="s">
        <v>1010</v>
      </c>
      <c r="D86" s="93" t="s">
        <v>497</v>
      </c>
      <c r="E86" s="94">
        <v>-137500</v>
      </c>
      <c r="F86" s="95">
        <v>-252.84875</v>
      </c>
      <c r="G86" s="96">
        <f t="shared" si="0"/>
        <v>-7.63541921088144E-3</v>
      </c>
      <c r="H86" s="86" t="s">
        <v>142</v>
      </c>
    </row>
    <row r="87" spans="1:8" x14ac:dyDescent="0.2">
      <c r="A87" s="92">
        <v>19</v>
      </c>
      <c r="B87" s="93"/>
      <c r="C87" s="93" t="s">
        <v>1011</v>
      </c>
      <c r="D87" s="93" t="s">
        <v>497</v>
      </c>
      <c r="E87" s="94">
        <v>-102375</v>
      </c>
      <c r="F87" s="95">
        <v>-286.34287499999999</v>
      </c>
      <c r="G87" s="96">
        <f t="shared" si="0"/>
        <v>-8.6468605784051633E-3</v>
      </c>
      <c r="H87" s="86" t="s">
        <v>142</v>
      </c>
    </row>
    <row r="88" spans="1:8" x14ac:dyDescent="0.2">
      <c r="A88" s="92">
        <v>20</v>
      </c>
      <c r="B88" s="93"/>
      <c r="C88" s="93" t="s">
        <v>1012</v>
      </c>
      <c r="D88" s="93" t="s">
        <v>497</v>
      </c>
      <c r="E88" s="94">
        <v>-12600</v>
      </c>
      <c r="F88" s="95">
        <v>-310.26240000000001</v>
      </c>
      <c r="G88" s="96">
        <f t="shared" si="0"/>
        <v>-9.3691722398239335E-3</v>
      </c>
      <c r="H88" s="86" t="s">
        <v>142</v>
      </c>
    </row>
    <row r="89" spans="1:8" x14ac:dyDescent="0.2">
      <c r="A89" s="92">
        <v>21</v>
      </c>
      <c r="B89" s="93"/>
      <c r="C89" s="93" t="s">
        <v>1013</v>
      </c>
      <c r="D89" s="93" t="s">
        <v>497</v>
      </c>
      <c r="E89" s="94">
        <v>-21375</v>
      </c>
      <c r="F89" s="95">
        <v>-312.07499999999999</v>
      </c>
      <c r="G89" s="96">
        <f t="shared" si="0"/>
        <v>-9.4239083651227271E-3</v>
      </c>
      <c r="H89" s="86" t="s">
        <v>142</v>
      </c>
    </row>
    <row r="90" spans="1:8" ht="25.5" x14ac:dyDescent="0.2">
      <c r="A90" s="92">
        <v>22</v>
      </c>
      <c r="B90" s="93"/>
      <c r="C90" s="93" t="s">
        <v>1014</v>
      </c>
      <c r="D90" s="93" t="s">
        <v>497</v>
      </c>
      <c r="E90" s="94">
        <v>-46375</v>
      </c>
      <c r="F90" s="95">
        <v>-333.7840625</v>
      </c>
      <c r="G90" s="96">
        <f t="shared" si="0"/>
        <v>-1.0079469418371859E-2</v>
      </c>
      <c r="H90" s="86" t="s">
        <v>142</v>
      </c>
    </row>
    <row r="91" spans="1:8" x14ac:dyDescent="0.2">
      <c r="A91" s="92">
        <v>23</v>
      </c>
      <c r="B91" s="93"/>
      <c r="C91" s="93" t="s">
        <v>1015</v>
      </c>
      <c r="D91" s="93" t="s">
        <v>497</v>
      </c>
      <c r="E91" s="94">
        <v>-13500</v>
      </c>
      <c r="F91" s="95">
        <v>-336.8655</v>
      </c>
      <c r="G91" s="96">
        <f t="shared" si="0"/>
        <v>-1.0172521359837379E-2</v>
      </c>
      <c r="H91" s="86" t="s">
        <v>142</v>
      </c>
    </row>
    <row r="92" spans="1:8" x14ac:dyDescent="0.2">
      <c r="A92" s="92">
        <v>24</v>
      </c>
      <c r="B92" s="93"/>
      <c r="C92" s="93" t="s">
        <v>1016</v>
      </c>
      <c r="D92" s="93" t="s">
        <v>497</v>
      </c>
      <c r="E92" s="94">
        <v>-46900</v>
      </c>
      <c r="F92" s="95">
        <v>-374.40269999999998</v>
      </c>
      <c r="G92" s="96">
        <f t="shared" si="0"/>
        <v>-1.1306053789808652E-2</v>
      </c>
      <c r="H92" s="86" t="s">
        <v>142</v>
      </c>
    </row>
    <row r="93" spans="1:8" x14ac:dyDescent="0.2">
      <c r="A93" s="92">
        <v>25</v>
      </c>
      <c r="B93" s="93"/>
      <c r="C93" s="93" t="s">
        <v>1017</v>
      </c>
      <c r="D93" s="93" t="s">
        <v>497</v>
      </c>
      <c r="E93" s="94">
        <v>-140600</v>
      </c>
      <c r="F93" s="95">
        <v>-401.97539999999998</v>
      </c>
      <c r="G93" s="96">
        <f t="shared" si="0"/>
        <v>-1.2138682478998812E-2</v>
      </c>
      <c r="H93" s="86" t="s">
        <v>142</v>
      </c>
    </row>
    <row r="94" spans="1:8" ht="25.5" x14ac:dyDescent="0.2">
      <c r="A94" s="92">
        <v>26</v>
      </c>
      <c r="B94" s="93"/>
      <c r="C94" s="93" t="s">
        <v>1018</v>
      </c>
      <c r="D94" s="93" t="s">
        <v>497</v>
      </c>
      <c r="E94" s="94">
        <v>-107100</v>
      </c>
      <c r="F94" s="95">
        <v>-403.23149999999998</v>
      </c>
      <c r="G94" s="96">
        <f t="shared" si="0"/>
        <v>-1.2176613653547977E-2</v>
      </c>
      <c r="H94" s="86" t="s">
        <v>142</v>
      </c>
    </row>
    <row r="95" spans="1:8" x14ac:dyDescent="0.2">
      <c r="A95" s="92">
        <v>27</v>
      </c>
      <c r="B95" s="93"/>
      <c r="C95" s="93" t="s">
        <v>1019</v>
      </c>
      <c r="D95" s="93" t="s">
        <v>497</v>
      </c>
      <c r="E95" s="94">
        <v>-58000</v>
      </c>
      <c r="F95" s="95">
        <v>-433.202</v>
      </c>
      <c r="G95" s="96">
        <f t="shared" si="0"/>
        <v>-1.3081650089202583E-2</v>
      </c>
      <c r="H95" s="86" t="s">
        <v>142</v>
      </c>
    </row>
    <row r="96" spans="1:8" x14ac:dyDescent="0.2">
      <c r="A96" s="92">
        <v>28</v>
      </c>
      <c r="B96" s="93"/>
      <c r="C96" s="93" t="s">
        <v>1020</v>
      </c>
      <c r="D96" s="93" t="s">
        <v>497</v>
      </c>
      <c r="E96" s="94">
        <v>-136525</v>
      </c>
      <c r="F96" s="95">
        <v>-447.66547500000001</v>
      </c>
      <c r="G96" s="96">
        <f t="shared" si="0"/>
        <v>-1.3518411967088487E-2</v>
      </c>
      <c r="H96" s="86" t="s">
        <v>142</v>
      </c>
    </row>
    <row r="97" spans="1:8" ht="25.5" x14ac:dyDescent="0.2">
      <c r="A97" s="92">
        <v>29</v>
      </c>
      <c r="B97" s="93"/>
      <c r="C97" s="93" t="s">
        <v>1021</v>
      </c>
      <c r="D97" s="93" t="s">
        <v>497</v>
      </c>
      <c r="E97" s="94">
        <v>-30400</v>
      </c>
      <c r="F97" s="95">
        <v>-471.96</v>
      </c>
      <c r="G97" s="96">
        <f t="shared" si="0"/>
        <v>-1.4252047719308892E-2</v>
      </c>
      <c r="H97" s="86" t="s">
        <v>142</v>
      </c>
    </row>
    <row r="98" spans="1:8" x14ac:dyDescent="0.2">
      <c r="A98" s="92">
        <v>30</v>
      </c>
      <c r="B98" s="93"/>
      <c r="C98" s="93" t="s">
        <v>1022</v>
      </c>
      <c r="D98" s="93" t="s">
        <v>497</v>
      </c>
      <c r="E98" s="94">
        <v>-10200</v>
      </c>
      <c r="F98" s="95">
        <v>-480.62400000000002</v>
      </c>
      <c r="G98" s="96">
        <f t="shared" si="0"/>
        <v>-1.4513679513189926E-2</v>
      </c>
      <c r="H98" s="86" t="s">
        <v>142</v>
      </c>
    </row>
    <row r="99" spans="1:8" x14ac:dyDescent="0.2">
      <c r="A99" s="92">
        <v>31</v>
      </c>
      <c r="B99" s="93"/>
      <c r="C99" s="93" t="s">
        <v>1023</v>
      </c>
      <c r="D99" s="93" t="s">
        <v>497</v>
      </c>
      <c r="E99" s="94">
        <v>-22800</v>
      </c>
      <c r="F99" s="95">
        <v>-482.49360000000001</v>
      </c>
      <c r="G99" s="96">
        <f t="shared" si="0"/>
        <v>-1.457013690029057E-2</v>
      </c>
      <c r="H99" s="86" t="s">
        <v>142</v>
      </c>
    </row>
    <row r="100" spans="1:8" x14ac:dyDescent="0.2">
      <c r="A100" s="92">
        <v>32</v>
      </c>
      <c r="B100" s="93"/>
      <c r="C100" s="93" t="s">
        <v>1024</v>
      </c>
      <c r="D100" s="93" t="s">
        <v>497</v>
      </c>
      <c r="E100" s="94">
        <v>-34125</v>
      </c>
      <c r="F100" s="95">
        <v>-525.90037500000005</v>
      </c>
      <c r="G100" s="96">
        <f t="shared" si="0"/>
        <v>-1.5880916264307234E-2</v>
      </c>
      <c r="H100" s="86" t="s">
        <v>142</v>
      </c>
    </row>
    <row r="101" spans="1:8" x14ac:dyDescent="0.2">
      <c r="A101" s="92">
        <v>33</v>
      </c>
      <c r="B101" s="93"/>
      <c r="C101" s="93" t="s">
        <v>1025</v>
      </c>
      <c r="D101" s="93" t="s">
        <v>497</v>
      </c>
      <c r="E101" s="94">
        <v>-32900</v>
      </c>
      <c r="F101" s="95">
        <v>-559.36580000000004</v>
      </c>
      <c r="G101" s="96">
        <f t="shared" si="0"/>
        <v>-1.6891490961414939E-2</v>
      </c>
      <c r="H101" s="86" t="s">
        <v>142</v>
      </c>
    </row>
    <row r="102" spans="1:8" x14ac:dyDescent="0.2">
      <c r="A102" s="92">
        <v>34</v>
      </c>
      <c r="B102" s="93"/>
      <c r="C102" s="93" t="s">
        <v>1026</v>
      </c>
      <c r="D102" s="93" t="s">
        <v>497</v>
      </c>
      <c r="E102" s="94">
        <v>-240000</v>
      </c>
      <c r="F102" s="95">
        <v>-563.13599999999997</v>
      </c>
      <c r="G102" s="96">
        <f t="shared" si="0"/>
        <v>-1.7005341860455828E-2</v>
      </c>
      <c r="H102" s="86" t="s">
        <v>142</v>
      </c>
    </row>
    <row r="103" spans="1:8" x14ac:dyDescent="0.2">
      <c r="A103" s="92">
        <v>35</v>
      </c>
      <c r="B103" s="93"/>
      <c r="C103" s="93" t="s">
        <v>1027</v>
      </c>
      <c r="D103" s="93" t="s">
        <v>497</v>
      </c>
      <c r="E103" s="94">
        <v>-11100</v>
      </c>
      <c r="F103" s="95">
        <v>-619.26900000000001</v>
      </c>
      <c r="G103" s="96">
        <f t="shared" si="0"/>
        <v>-1.8700422364371343E-2</v>
      </c>
      <c r="H103" s="86" t="s">
        <v>142</v>
      </c>
    </row>
    <row r="104" spans="1:8" x14ac:dyDescent="0.2">
      <c r="A104" s="92">
        <v>36</v>
      </c>
      <c r="B104" s="93"/>
      <c r="C104" s="93" t="s">
        <v>1028</v>
      </c>
      <c r="D104" s="93" t="s">
        <v>497</v>
      </c>
      <c r="E104" s="94">
        <v>-115500</v>
      </c>
      <c r="F104" s="95">
        <v>-656.90625</v>
      </c>
      <c r="G104" s="96">
        <f t="shared" si="0"/>
        <v>-1.9836976061768492E-2</v>
      </c>
      <c r="H104" s="86" t="s">
        <v>142</v>
      </c>
    </row>
    <row r="105" spans="1:8" x14ac:dyDescent="0.2">
      <c r="A105" s="92">
        <v>37</v>
      </c>
      <c r="B105" s="93"/>
      <c r="C105" s="93" t="s">
        <v>1029</v>
      </c>
      <c r="D105" s="93" t="s">
        <v>497</v>
      </c>
      <c r="E105" s="94">
        <v>-27600</v>
      </c>
      <c r="F105" s="95">
        <v>-687.79200000000003</v>
      </c>
      <c r="G105" s="96">
        <f t="shared" si="0"/>
        <v>-2.0769650828372961E-2</v>
      </c>
      <c r="H105" s="86" t="s">
        <v>142</v>
      </c>
    </row>
    <row r="106" spans="1:8" x14ac:dyDescent="0.2">
      <c r="A106" s="92">
        <v>38</v>
      </c>
      <c r="B106" s="93"/>
      <c r="C106" s="93" t="s">
        <v>1030</v>
      </c>
      <c r="D106" s="93" t="s">
        <v>497</v>
      </c>
      <c r="E106" s="94">
        <v>-81200</v>
      </c>
      <c r="F106" s="95">
        <v>-692.96079999999995</v>
      </c>
      <c r="G106" s="96">
        <f t="shared" si="0"/>
        <v>-2.0925736056467636E-2</v>
      </c>
      <c r="H106" s="86" t="s">
        <v>142</v>
      </c>
    </row>
    <row r="107" spans="1:8" x14ac:dyDescent="0.2">
      <c r="A107" s="92">
        <v>39</v>
      </c>
      <c r="B107" s="93"/>
      <c r="C107" s="93" t="s">
        <v>1031</v>
      </c>
      <c r="D107" s="93" t="s">
        <v>497</v>
      </c>
      <c r="E107" s="94">
        <v>-35150</v>
      </c>
      <c r="F107" s="95">
        <v>-726.76139999999998</v>
      </c>
      <c r="G107" s="96">
        <f t="shared" si="0"/>
        <v>-2.1946432225933846E-2</v>
      </c>
      <c r="H107" s="86" t="s">
        <v>142</v>
      </c>
    </row>
    <row r="108" spans="1:8" x14ac:dyDescent="0.2">
      <c r="A108" s="92">
        <v>40</v>
      </c>
      <c r="B108" s="93"/>
      <c r="C108" s="93" t="s">
        <v>1032</v>
      </c>
      <c r="D108" s="93" t="s">
        <v>497</v>
      </c>
      <c r="E108" s="94">
        <v>-19775</v>
      </c>
      <c r="F108" s="95">
        <v>-801.69827499999997</v>
      </c>
      <c r="G108" s="96">
        <f t="shared" si="0"/>
        <v>-2.4209344164309737E-2</v>
      </c>
      <c r="H108" s="86" t="s">
        <v>142</v>
      </c>
    </row>
    <row r="109" spans="1:8" x14ac:dyDescent="0.2">
      <c r="A109" s="92">
        <v>41</v>
      </c>
      <c r="B109" s="93"/>
      <c r="C109" s="93" t="s">
        <v>1033</v>
      </c>
      <c r="D109" s="93" t="s">
        <v>497</v>
      </c>
      <c r="E109" s="94">
        <v>-114750</v>
      </c>
      <c r="F109" s="95">
        <v>-1081.9203749999999</v>
      </c>
      <c r="G109" s="96">
        <f t="shared" si="0"/>
        <v>-3.2671372177711183E-2</v>
      </c>
      <c r="H109" s="86" t="s">
        <v>142</v>
      </c>
    </row>
    <row r="110" spans="1:8" x14ac:dyDescent="0.2">
      <c r="A110" s="92">
        <v>42</v>
      </c>
      <c r="B110" s="93"/>
      <c r="C110" s="93" t="s">
        <v>1034</v>
      </c>
      <c r="D110" s="93" t="s">
        <v>497</v>
      </c>
      <c r="E110" s="94">
        <v>-123200</v>
      </c>
      <c r="F110" s="95">
        <v>-1224.4848</v>
      </c>
      <c r="G110" s="96">
        <f t="shared" si="0"/>
        <v>-3.6976472161133159E-2</v>
      </c>
      <c r="H110" s="86" t="s">
        <v>142</v>
      </c>
    </row>
    <row r="111" spans="1:8" x14ac:dyDescent="0.2">
      <c r="A111" s="92">
        <v>43</v>
      </c>
      <c r="B111" s="93"/>
      <c r="C111" s="93" t="s">
        <v>1035</v>
      </c>
      <c r="D111" s="93" t="s">
        <v>497</v>
      </c>
      <c r="E111" s="94">
        <v>-125250</v>
      </c>
      <c r="F111" s="95">
        <v>-1314.624</v>
      </c>
      <c r="G111" s="96">
        <f t="shared" si="0"/>
        <v>-3.9698457456031726E-2</v>
      </c>
      <c r="H111" s="86" t="s">
        <v>142</v>
      </c>
    </row>
    <row r="112" spans="1:8" x14ac:dyDescent="0.2">
      <c r="A112" s="92">
        <v>44</v>
      </c>
      <c r="B112" s="93"/>
      <c r="C112" s="93" t="s">
        <v>1036</v>
      </c>
      <c r="D112" s="93" t="s">
        <v>497</v>
      </c>
      <c r="E112" s="94">
        <v>-108125</v>
      </c>
      <c r="F112" s="95">
        <v>-1341.3987500000001</v>
      </c>
      <c r="G112" s="96">
        <f t="shared" si="0"/>
        <v>-4.050698998987478E-2</v>
      </c>
      <c r="H112" s="86" t="s">
        <v>142</v>
      </c>
    </row>
    <row r="113" spans="1:8" x14ac:dyDescent="0.2">
      <c r="A113" s="92">
        <v>45</v>
      </c>
      <c r="B113" s="93"/>
      <c r="C113" s="93" t="s">
        <v>1037</v>
      </c>
      <c r="D113" s="93" t="s">
        <v>497</v>
      </c>
      <c r="E113" s="94">
        <v>-467200</v>
      </c>
      <c r="F113" s="95">
        <v>-1976.2560000000001</v>
      </c>
      <c r="G113" s="96">
        <f t="shared" si="0"/>
        <v>-5.9678139710082456E-2</v>
      </c>
      <c r="H113" s="86" t="s">
        <v>142</v>
      </c>
    </row>
    <row r="114" spans="1:8" x14ac:dyDescent="0.2">
      <c r="A114" s="92">
        <v>46</v>
      </c>
      <c r="B114" s="93"/>
      <c r="C114" s="93" t="s">
        <v>1038</v>
      </c>
      <c r="D114" s="93" t="s">
        <v>497</v>
      </c>
      <c r="E114" s="94">
        <v>-158200</v>
      </c>
      <c r="F114" s="95">
        <v>-2142.6608000000001</v>
      </c>
      <c r="G114" s="96">
        <f t="shared" si="0"/>
        <v>-6.4703161216824664E-2</v>
      </c>
      <c r="H114" s="86" t="s">
        <v>142</v>
      </c>
    </row>
    <row r="115" spans="1:8" x14ac:dyDescent="0.2">
      <c r="A115" s="92">
        <v>47</v>
      </c>
      <c r="B115" s="93"/>
      <c r="C115" s="93" t="s">
        <v>1039</v>
      </c>
      <c r="D115" s="93" t="s">
        <v>497</v>
      </c>
      <c r="E115" s="94">
        <v>-186500</v>
      </c>
      <c r="F115" s="95">
        <v>-2790.04</v>
      </c>
      <c r="G115" s="96">
        <f t="shared" si="0"/>
        <v>-8.4252443467201843E-2</v>
      </c>
      <c r="H115" s="86" t="s">
        <v>142</v>
      </c>
    </row>
    <row r="116" spans="1:8" x14ac:dyDescent="0.2">
      <c r="A116" s="97"/>
      <c r="B116" s="97"/>
      <c r="C116" s="98" t="s">
        <v>141</v>
      </c>
      <c r="D116" s="97"/>
      <c r="E116" s="97" t="s">
        <v>142</v>
      </c>
      <c r="F116" s="99">
        <v>-25553.568477500001</v>
      </c>
      <c r="G116" s="100">
        <v>-0.77165578999999995</v>
      </c>
      <c r="H116" s="86" t="s">
        <v>142</v>
      </c>
    </row>
    <row r="117" spans="1:8" x14ac:dyDescent="0.2">
      <c r="A117" s="97"/>
      <c r="B117" s="97"/>
      <c r="C117" s="101"/>
      <c r="D117" s="97"/>
      <c r="E117" s="97"/>
      <c r="F117" s="102"/>
      <c r="G117" s="102"/>
      <c r="H117" s="86" t="s">
        <v>142</v>
      </c>
    </row>
    <row r="118" spans="1:8" x14ac:dyDescent="0.2">
      <c r="A118" s="97"/>
      <c r="B118" s="97"/>
      <c r="C118" s="98" t="s">
        <v>149</v>
      </c>
      <c r="D118" s="97"/>
      <c r="E118" s="97"/>
      <c r="F118" s="99">
        <f>F54</f>
        <v>25412.788064999986</v>
      </c>
      <c r="G118" s="100">
        <f>G54</f>
        <v>0.76740459999999988</v>
      </c>
      <c r="H118" s="86" t="s">
        <v>142</v>
      </c>
    </row>
    <row r="119" spans="1:8" x14ac:dyDescent="0.2">
      <c r="A119" s="97"/>
      <c r="B119" s="97"/>
      <c r="C119" s="101"/>
      <c r="D119" s="97"/>
      <c r="E119" s="97"/>
      <c r="F119" s="102"/>
      <c r="G119" s="102"/>
      <c r="H119" s="86" t="s">
        <v>142</v>
      </c>
    </row>
    <row r="120" spans="1:8" x14ac:dyDescent="0.2">
      <c r="A120" s="97"/>
      <c r="B120" s="97"/>
      <c r="C120" s="98" t="s">
        <v>150</v>
      </c>
      <c r="D120" s="97"/>
      <c r="E120" s="97"/>
      <c r="F120" s="102"/>
      <c r="G120" s="102"/>
      <c r="H120" s="86" t="s">
        <v>142</v>
      </c>
    </row>
    <row r="121" spans="1:8" x14ac:dyDescent="0.2">
      <c r="A121" s="97"/>
      <c r="B121" s="97"/>
      <c r="C121" s="98" t="s">
        <v>10</v>
      </c>
      <c r="D121" s="97"/>
      <c r="E121" s="97"/>
      <c r="F121" s="102"/>
      <c r="G121" s="102"/>
      <c r="H121" s="86" t="s">
        <v>142</v>
      </c>
    </row>
    <row r="122" spans="1:8" x14ac:dyDescent="0.2">
      <c r="A122" s="97"/>
      <c r="B122" s="97"/>
      <c r="C122" s="98" t="s">
        <v>141</v>
      </c>
      <c r="D122" s="97"/>
      <c r="E122" s="97" t="s">
        <v>142</v>
      </c>
      <c r="F122" s="103" t="s">
        <v>144</v>
      </c>
      <c r="G122" s="100">
        <v>0</v>
      </c>
      <c r="H122" s="86" t="s">
        <v>142</v>
      </c>
    </row>
    <row r="123" spans="1:8" x14ac:dyDescent="0.2">
      <c r="A123" s="97"/>
      <c r="B123" s="97"/>
      <c r="C123" s="101"/>
      <c r="D123" s="97"/>
      <c r="E123" s="97"/>
      <c r="F123" s="102"/>
      <c r="G123" s="102"/>
      <c r="H123" s="86" t="s">
        <v>142</v>
      </c>
    </row>
    <row r="124" spans="1:8" x14ac:dyDescent="0.2">
      <c r="A124" s="97"/>
      <c r="B124" s="97"/>
      <c r="C124" s="98" t="s">
        <v>151</v>
      </c>
      <c r="D124" s="97"/>
      <c r="E124" s="97"/>
      <c r="F124" s="97"/>
      <c r="G124" s="97"/>
      <c r="H124" s="86" t="s">
        <v>142</v>
      </c>
    </row>
    <row r="125" spans="1:8" x14ac:dyDescent="0.2">
      <c r="A125" s="97"/>
      <c r="B125" s="97"/>
      <c r="C125" s="98" t="s">
        <v>141</v>
      </c>
      <c r="D125" s="97"/>
      <c r="E125" s="97" t="s">
        <v>142</v>
      </c>
      <c r="F125" s="103" t="s">
        <v>144</v>
      </c>
      <c r="G125" s="100">
        <v>0</v>
      </c>
      <c r="H125" s="86" t="s">
        <v>142</v>
      </c>
    </row>
    <row r="126" spans="1:8" x14ac:dyDescent="0.2">
      <c r="A126" s="97"/>
      <c r="B126" s="97"/>
      <c r="C126" s="101"/>
      <c r="D126" s="97"/>
      <c r="E126" s="97"/>
      <c r="F126" s="102"/>
      <c r="G126" s="102"/>
      <c r="H126" s="86" t="s">
        <v>142</v>
      </c>
    </row>
    <row r="127" spans="1:8" x14ac:dyDescent="0.2">
      <c r="A127" s="97"/>
      <c r="B127" s="97"/>
      <c r="C127" s="98" t="s">
        <v>152</v>
      </c>
      <c r="D127" s="97"/>
      <c r="E127" s="97"/>
      <c r="F127" s="97"/>
      <c r="G127" s="97"/>
      <c r="H127" s="86" t="s">
        <v>142</v>
      </c>
    </row>
    <row r="128" spans="1:8" x14ac:dyDescent="0.2">
      <c r="A128" s="92">
        <v>1</v>
      </c>
      <c r="B128" s="93" t="s">
        <v>662</v>
      </c>
      <c r="C128" s="93" t="s">
        <v>1151</v>
      </c>
      <c r="D128" s="93" t="s">
        <v>601</v>
      </c>
      <c r="E128" s="94">
        <v>1000000</v>
      </c>
      <c r="F128" s="95">
        <v>1025.58</v>
      </c>
      <c r="G128" s="96">
        <v>3.0970029999999999E-2</v>
      </c>
      <c r="H128" s="86">
        <v>5.7949999999999999</v>
      </c>
    </row>
    <row r="129" spans="1:8" x14ac:dyDescent="0.2">
      <c r="A129" s="97"/>
      <c r="B129" s="97"/>
      <c r="C129" s="98" t="s">
        <v>141</v>
      </c>
      <c r="D129" s="97"/>
      <c r="E129" s="97" t="s">
        <v>142</v>
      </c>
      <c r="F129" s="99">
        <v>1025.58</v>
      </c>
      <c r="G129" s="100">
        <v>3.0970029999999999E-2</v>
      </c>
      <c r="H129" s="86" t="s">
        <v>142</v>
      </c>
    </row>
    <row r="130" spans="1:8" x14ac:dyDescent="0.2">
      <c r="A130" s="97"/>
      <c r="B130" s="97"/>
      <c r="C130" s="101"/>
      <c r="D130" s="97"/>
      <c r="E130" s="97"/>
      <c r="F130" s="102"/>
      <c r="G130" s="102"/>
      <c r="H130" s="86" t="s">
        <v>142</v>
      </c>
    </row>
    <row r="131" spans="1:8" x14ac:dyDescent="0.2">
      <c r="A131" s="97"/>
      <c r="B131" s="97"/>
      <c r="C131" s="98" t="s">
        <v>153</v>
      </c>
      <c r="D131" s="97"/>
      <c r="E131" s="97"/>
      <c r="F131" s="102"/>
      <c r="G131" s="102"/>
      <c r="H131" s="86" t="s">
        <v>142</v>
      </c>
    </row>
    <row r="132" spans="1:8" x14ac:dyDescent="0.2">
      <c r="A132" s="97"/>
      <c r="B132" s="97"/>
      <c r="C132" s="98" t="s">
        <v>141</v>
      </c>
      <c r="D132" s="97"/>
      <c r="E132" s="97" t="s">
        <v>142</v>
      </c>
      <c r="F132" s="103" t="s">
        <v>144</v>
      </c>
      <c r="G132" s="100">
        <v>0</v>
      </c>
      <c r="H132" s="86" t="s">
        <v>142</v>
      </c>
    </row>
    <row r="133" spans="1:8" x14ac:dyDescent="0.2">
      <c r="A133" s="97"/>
      <c r="B133" s="97"/>
      <c r="C133" s="101"/>
      <c r="D133" s="97"/>
      <c r="E133" s="97"/>
      <c r="F133" s="102"/>
      <c r="G133" s="102"/>
      <c r="H133" s="86" t="s">
        <v>142</v>
      </c>
    </row>
    <row r="134" spans="1:8" x14ac:dyDescent="0.2">
      <c r="A134" s="97"/>
      <c r="B134" s="97"/>
      <c r="C134" s="98" t="s">
        <v>154</v>
      </c>
      <c r="D134" s="97"/>
      <c r="E134" s="97"/>
      <c r="F134" s="99">
        <v>1025.58</v>
      </c>
      <c r="G134" s="100">
        <v>3.0970029999999999E-2</v>
      </c>
      <c r="H134" s="86" t="s">
        <v>142</v>
      </c>
    </row>
    <row r="135" spans="1:8" x14ac:dyDescent="0.2">
      <c r="A135" s="97"/>
      <c r="B135" s="97"/>
      <c r="C135" s="101"/>
      <c r="D135" s="97"/>
      <c r="E135" s="97"/>
      <c r="F135" s="102"/>
      <c r="G135" s="102"/>
      <c r="H135" s="86" t="s">
        <v>142</v>
      </c>
    </row>
    <row r="136" spans="1:8" x14ac:dyDescent="0.2">
      <c r="A136" s="97"/>
      <c r="B136" s="97"/>
      <c r="C136" s="98" t="s">
        <v>155</v>
      </c>
      <c r="D136" s="97"/>
      <c r="E136" s="97"/>
      <c r="F136" s="102"/>
      <c r="G136" s="102"/>
      <c r="H136" s="86" t="s">
        <v>142</v>
      </c>
    </row>
    <row r="137" spans="1:8" x14ac:dyDescent="0.2">
      <c r="A137" s="97"/>
      <c r="B137" s="97"/>
      <c r="C137" s="98" t="s">
        <v>156</v>
      </c>
      <c r="D137" s="97"/>
      <c r="E137" s="97"/>
      <c r="F137" s="102"/>
      <c r="G137" s="102"/>
      <c r="H137" s="86" t="s">
        <v>142</v>
      </c>
    </row>
    <row r="138" spans="1:8" x14ac:dyDescent="0.2">
      <c r="A138" s="97"/>
      <c r="B138" s="97"/>
      <c r="C138" s="98" t="s">
        <v>141</v>
      </c>
      <c r="D138" s="97"/>
      <c r="E138" s="97" t="s">
        <v>142</v>
      </c>
      <c r="F138" s="103" t="s">
        <v>144</v>
      </c>
      <c r="G138" s="100">
        <v>0</v>
      </c>
      <c r="H138" s="86" t="s">
        <v>142</v>
      </c>
    </row>
    <row r="139" spans="1:8" x14ac:dyDescent="0.2">
      <c r="A139" s="97"/>
      <c r="B139" s="97"/>
      <c r="C139" s="101"/>
      <c r="D139" s="97"/>
      <c r="E139" s="97"/>
      <c r="F139" s="102"/>
      <c r="G139" s="102"/>
      <c r="H139" s="86" t="s">
        <v>142</v>
      </c>
    </row>
    <row r="140" spans="1:8" x14ac:dyDescent="0.2">
      <c r="A140" s="97"/>
      <c r="B140" s="97"/>
      <c r="C140" s="98" t="s">
        <v>157</v>
      </c>
      <c r="D140" s="97"/>
      <c r="E140" s="97"/>
      <c r="F140" s="102"/>
      <c r="G140" s="102"/>
      <c r="H140" s="86" t="s">
        <v>142</v>
      </c>
    </row>
    <row r="141" spans="1:8" x14ac:dyDescent="0.2">
      <c r="A141" s="97"/>
      <c r="B141" s="97"/>
      <c r="C141" s="98" t="s">
        <v>141</v>
      </c>
      <c r="D141" s="97"/>
      <c r="E141" s="97" t="s">
        <v>142</v>
      </c>
      <c r="F141" s="103" t="s">
        <v>144</v>
      </c>
      <c r="G141" s="100">
        <v>0</v>
      </c>
      <c r="H141" s="86" t="s">
        <v>142</v>
      </c>
    </row>
    <row r="142" spans="1:8" x14ac:dyDescent="0.2">
      <c r="A142" s="97"/>
      <c r="B142" s="97"/>
      <c r="C142" s="101"/>
      <c r="D142" s="97"/>
      <c r="E142" s="97"/>
      <c r="F142" s="102"/>
      <c r="G142" s="102"/>
      <c r="H142" s="86" t="s">
        <v>142</v>
      </c>
    </row>
    <row r="143" spans="1:8" x14ac:dyDescent="0.2">
      <c r="A143" s="97"/>
      <c r="B143" s="97"/>
      <c r="C143" s="98" t="s">
        <v>158</v>
      </c>
      <c r="D143" s="97"/>
      <c r="E143" s="97"/>
      <c r="F143" s="102"/>
      <c r="G143" s="102"/>
      <c r="H143" s="86" t="s">
        <v>142</v>
      </c>
    </row>
    <row r="144" spans="1:8" x14ac:dyDescent="0.2">
      <c r="A144" s="92">
        <v>1</v>
      </c>
      <c r="B144" s="93" t="s">
        <v>664</v>
      </c>
      <c r="C144" s="93" t="s">
        <v>1152</v>
      </c>
      <c r="D144" s="93" t="s">
        <v>601</v>
      </c>
      <c r="E144" s="94">
        <v>1000000</v>
      </c>
      <c r="F144" s="95">
        <v>995.12599999999998</v>
      </c>
      <c r="G144" s="96">
        <v>3.005039E-2</v>
      </c>
      <c r="H144" s="86">
        <v>5.4175000000000004</v>
      </c>
    </row>
    <row r="145" spans="1:8" x14ac:dyDescent="0.2">
      <c r="A145" s="92">
        <v>2</v>
      </c>
      <c r="B145" s="93" t="s">
        <v>665</v>
      </c>
      <c r="C145" s="93" t="s">
        <v>1153</v>
      </c>
      <c r="D145" s="93" t="s">
        <v>601</v>
      </c>
      <c r="E145" s="94">
        <v>500000</v>
      </c>
      <c r="F145" s="95">
        <v>493.96300000000002</v>
      </c>
      <c r="G145" s="96">
        <v>1.4916489999999999E-2</v>
      </c>
      <c r="H145" s="86">
        <v>5.44</v>
      </c>
    </row>
    <row r="146" spans="1:8" x14ac:dyDescent="0.2">
      <c r="A146" s="92">
        <v>3</v>
      </c>
      <c r="B146" s="93" t="s">
        <v>666</v>
      </c>
      <c r="C146" s="93" t="s">
        <v>1154</v>
      </c>
      <c r="D146" s="93" t="s">
        <v>601</v>
      </c>
      <c r="E146" s="94">
        <v>500000</v>
      </c>
      <c r="F146" s="95">
        <v>492.916</v>
      </c>
      <c r="G146" s="96">
        <v>1.488487E-2</v>
      </c>
      <c r="H146" s="86">
        <v>5.4641999999999999</v>
      </c>
    </row>
    <row r="147" spans="1:8" x14ac:dyDescent="0.2">
      <c r="A147" s="97"/>
      <c r="B147" s="97"/>
      <c r="C147" s="98" t="s">
        <v>141</v>
      </c>
      <c r="D147" s="97"/>
      <c r="E147" s="97" t="s">
        <v>142</v>
      </c>
      <c r="F147" s="99">
        <v>1982.0050000000001</v>
      </c>
      <c r="G147" s="100">
        <v>5.9851750000000002E-2</v>
      </c>
      <c r="H147" s="86" t="s">
        <v>142</v>
      </c>
    </row>
    <row r="148" spans="1:8" x14ac:dyDescent="0.2">
      <c r="A148" s="97"/>
      <c r="B148" s="97"/>
      <c r="C148" s="101"/>
      <c r="D148" s="97"/>
      <c r="E148" s="97"/>
      <c r="F148" s="102"/>
      <c r="G148" s="102"/>
      <c r="H148" s="86" t="s">
        <v>142</v>
      </c>
    </row>
    <row r="149" spans="1:8" x14ac:dyDescent="0.2">
      <c r="A149" s="97"/>
      <c r="B149" s="97"/>
      <c r="C149" s="98" t="s">
        <v>159</v>
      </c>
      <c r="D149" s="97"/>
      <c r="E149" s="97"/>
      <c r="F149" s="102"/>
      <c r="G149" s="102"/>
      <c r="H149" s="86" t="s">
        <v>142</v>
      </c>
    </row>
    <row r="150" spans="1:8" x14ac:dyDescent="0.2">
      <c r="A150" s="92">
        <v>1</v>
      </c>
      <c r="B150" s="93"/>
      <c r="C150" s="93" t="s">
        <v>160</v>
      </c>
      <c r="D150" s="93"/>
      <c r="E150" s="104"/>
      <c r="F150" s="95">
        <v>1272.714124801</v>
      </c>
      <c r="G150" s="96">
        <v>3.8432880000000003E-2</v>
      </c>
      <c r="H150" s="86">
        <v>5.57</v>
      </c>
    </row>
    <row r="151" spans="1:8" x14ac:dyDescent="0.2">
      <c r="A151" s="97"/>
      <c r="B151" s="97"/>
      <c r="C151" s="98" t="s">
        <v>141</v>
      </c>
      <c r="D151" s="97"/>
      <c r="E151" s="97" t="s">
        <v>142</v>
      </c>
      <c r="F151" s="99">
        <v>1272.714124801</v>
      </c>
      <c r="G151" s="100">
        <v>3.8432880000000003E-2</v>
      </c>
      <c r="H151" s="86" t="s">
        <v>142</v>
      </c>
    </row>
    <row r="152" spans="1:8" x14ac:dyDescent="0.2">
      <c r="A152" s="97"/>
      <c r="B152" s="97"/>
      <c r="C152" s="101"/>
      <c r="D152" s="97"/>
      <c r="E152" s="97"/>
      <c r="F152" s="102"/>
      <c r="G152" s="102"/>
      <c r="H152" s="86" t="s">
        <v>142</v>
      </c>
    </row>
    <row r="153" spans="1:8" x14ac:dyDescent="0.2">
      <c r="A153" s="97"/>
      <c r="B153" s="97"/>
      <c r="C153" s="98" t="s">
        <v>161</v>
      </c>
      <c r="D153" s="97"/>
      <c r="E153" s="97"/>
      <c r="F153" s="99">
        <v>3254.7191248009999</v>
      </c>
      <c r="G153" s="100">
        <v>9.8284629999999998E-2</v>
      </c>
      <c r="H153" s="86" t="s">
        <v>142</v>
      </c>
    </row>
    <row r="154" spans="1:8" x14ac:dyDescent="0.2">
      <c r="A154" s="97"/>
      <c r="B154" s="97"/>
      <c r="C154" s="102"/>
      <c r="D154" s="97"/>
      <c r="E154" s="97"/>
      <c r="F154" s="97"/>
      <c r="G154" s="97"/>
      <c r="H154" s="86" t="s">
        <v>142</v>
      </c>
    </row>
    <row r="155" spans="1:8" x14ac:dyDescent="0.2">
      <c r="A155" s="97"/>
      <c r="B155" s="97"/>
      <c r="C155" s="98" t="s">
        <v>162</v>
      </c>
      <c r="D155" s="97"/>
      <c r="E155" s="97"/>
      <c r="F155" s="97"/>
      <c r="G155" s="97"/>
      <c r="H155" s="86" t="s">
        <v>142</v>
      </c>
    </row>
    <row r="156" spans="1:8" x14ac:dyDescent="0.2">
      <c r="A156" s="97"/>
      <c r="B156" s="97"/>
      <c r="C156" s="98" t="s">
        <v>163</v>
      </c>
      <c r="D156" s="97"/>
      <c r="E156" s="97"/>
      <c r="F156" s="97"/>
      <c r="G156" s="97"/>
      <c r="H156" s="86" t="s">
        <v>142</v>
      </c>
    </row>
    <row r="157" spans="1:8" x14ac:dyDescent="0.2">
      <c r="A157" s="92">
        <v>1</v>
      </c>
      <c r="B157" s="93" t="s">
        <v>498</v>
      </c>
      <c r="C157" s="93" t="s">
        <v>1147</v>
      </c>
      <c r="D157" s="93"/>
      <c r="E157" s="140">
        <v>16785119.468899999</v>
      </c>
      <c r="F157" s="95">
        <v>2591.5888757590001</v>
      </c>
      <c r="G157" s="96">
        <v>7.8259700000000001E-2</v>
      </c>
      <c r="H157" s="86" t="s">
        <v>142</v>
      </c>
    </row>
    <row r="158" spans="1:8" x14ac:dyDescent="0.2">
      <c r="A158" s="92">
        <v>2</v>
      </c>
      <c r="B158" s="93" t="s">
        <v>318</v>
      </c>
      <c r="C158" s="93" t="s">
        <v>931</v>
      </c>
      <c r="D158" s="93"/>
      <c r="E158" s="140">
        <v>39454.165000000001</v>
      </c>
      <c r="F158" s="95">
        <v>937.22646946299994</v>
      </c>
      <c r="G158" s="96">
        <v>2.8301969999999999E-2</v>
      </c>
      <c r="H158" s="86" t="s">
        <v>142</v>
      </c>
    </row>
    <row r="159" spans="1:8" x14ac:dyDescent="0.2">
      <c r="A159" s="97"/>
      <c r="B159" s="97"/>
      <c r="C159" s="98" t="s">
        <v>141</v>
      </c>
      <c r="D159" s="97"/>
      <c r="E159" s="97" t="s">
        <v>142</v>
      </c>
      <c r="F159" s="99">
        <v>3528.8153452219999</v>
      </c>
      <c r="G159" s="100">
        <v>0.10656167</v>
      </c>
      <c r="H159" s="86" t="s">
        <v>142</v>
      </c>
    </row>
    <row r="160" spans="1:8" x14ac:dyDescent="0.2">
      <c r="A160" s="97"/>
      <c r="B160" s="97"/>
      <c r="C160" s="101"/>
      <c r="D160" s="97"/>
      <c r="E160" s="97"/>
      <c r="F160" s="102"/>
      <c r="G160" s="102"/>
      <c r="H160" s="86" t="s">
        <v>142</v>
      </c>
    </row>
    <row r="161" spans="1:17" x14ac:dyDescent="0.2">
      <c r="A161" s="97"/>
      <c r="B161" s="97"/>
      <c r="C161" s="98" t="s">
        <v>164</v>
      </c>
      <c r="D161" s="97"/>
      <c r="E161" s="97"/>
      <c r="F161" s="97"/>
      <c r="G161" s="97"/>
      <c r="H161" s="86" t="s">
        <v>142</v>
      </c>
    </row>
    <row r="162" spans="1:17" x14ac:dyDescent="0.2">
      <c r="A162" s="97"/>
      <c r="B162" s="97"/>
      <c r="C162" s="98" t="s">
        <v>165</v>
      </c>
      <c r="D162" s="97"/>
      <c r="E162" s="97"/>
      <c r="F162" s="97"/>
      <c r="G162" s="97"/>
      <c r="H162" s="86" t="s">
        <v>142</v>
      </c>
    </row>
    <row r="163" spans="1:17" x14ac:dyDescent="0.2">
      <c r="A163" s="97"/>
      <c r="B163" s="97"/>
      <c r="C163" s="98" t="s">
        <v>141</v>
      </c>
      <c r="D163" s="97"/>
      <c r="E163" s="97" t="s">
        <v>142</v>
      </c>
      <c r="F163" s="103" t="s">
        <v>144</v>
      </c>
      <c r="G163" s="100">
        <v>0</v>
      </c>
      <c r="H163" s="86" t="s">
        <v>142</v>
      </c>
    </row>
    <row r="164" spans="1:17" x14ac:dyDescent="0.2">
      <c r="A164" s="97"/>
      <c r="B164" s="97"/>
      <c r="C164" s="101"/>
      <c r="D164" s="97"/>
      <c r="E164" s="97"/>
      <c r="F164" s="102"/>
      <c r="G164" s="102"/>
      <c r="H164" s="86" t="s">
        <v>142</v>
      </c>
    </row>
    <row r="165" spans="1:17" x14ac:dyDescent="0.2">
      <c r="A165" s="97"/>
      <c r="B165" s="97"/>
      <c r="C165" s="98" t="s">
        <v>166</v>
      </c>
      <c r="D165" s="97"/>
      <c r="E165" s="97"/>
      <c r="F165" s="102"/>
      <c r="G165" s="102"/>
      <c r="H165" s="86" t="s">
        <v>142</v>
      </c>
    </row>
    <row r="166" spans="1:17" x14ac:dyDescent="0.2">
      <c r="A166" s="97"/>
      <c r="B166" s="97"/>
      <c r="C166" s="98" t="s">
        <v>141</v>
      </c>
      <c r="D166" s="97"/>
      <c r="E166" s="97" t="s">
        <v>142</v>
      </c>
      <c r="F166" s="103" t="s">
        <v>144</v>
      </c>
      <c r="G166" s="100">
        <v>0</v>
      </c>
      <c r="H166" s="86" t="s">
        <v>142</v>
      </c>
    </row>
    <row r="167" spans="1:17" x14ac:dyDescent="0.2">
      <c r="A167" s="97"/>
      <c r="B167" s="97"/>
      <c r="C167" s="101"/>
      <c r="D167" s="97"/>
      <c r="E167" s="97"/>
      <c r="F167" s="102"/>
      <c r="G167" s="102"/>
      <c r="H167" s="86" t="s">
        <v>142</v>
      </c>
    </row>
    <row r="168" spans="1:17" x14ac:dyDescent="0.2">
      <c r="A168" s="104"/>
      <c r="B168" s="93"/>
      <c r="C168" s="93" t="s">
        <v>500</v>
      </c>
      <c r="D168" s="93"/>
      <c r="E168" s="104"/>
      <c r="F168" s="95">
        <v>25.000242700000001</v>
      </c>
      <c r="G168" s="96">
        <v>7.5495E-4</v>
      </c>
      <c r="H168" s="86" t="s">
        <v>142</v>
      </c>
    </row>
    <row r="169" spans="1:17" x14ac:dyDescent="0.2">
      <c r="A169" s="104"/>
      <c r="B169" s="93"/>
      <c r="C169" s="88" t="s">
        <v>954</v>
      </c>
      <c r="D169" s="93"/>
      <c r="E169" s="104"/>
      <c r="F169" s="95">
        <f>25421.90705282+F116</f>
        <v>-131.6614246800018</v>
      </c>
      <c r="G169" s="96">
        <f>F169/F170</f>
        <v>-3.9758558083981257E-3</v>
      </c>
      <c r="H169" s="86" t="s">
        <v>142</v>
      </c>
    </row>
    <row r="170" spans="1:17" x14ac:dyDescent="0.2">
      <c r="A170" s="101"/>
      <c r="B170" s="101"/>
      <c r="C170" s="98" t="s">
        <v>168</v>
      </c>
      <c r="D170" s="102"/>
      <c r="E170" s="102"/>
      <c r="F170" s="99">
        <v>33115.241353042999</v>
      </c>
      <c r="G170" s="105">
        <v>1.0000000499999999</v>
      </c>
      <c r="H170" s="86" t="s">
        <v>142</v>
      </c>
    </row>
    <row r="171" spans="1:17" ht="12.75" customHeight="1" x14ac:dyDescent="0.2">
      <c r="A171" s="106"/>
      <c r="B171" s="106"/>
      <c r="C171" s="107"/>
      <c r="D171" s="108"/>
      <c r="E171" s="108"/>
      <c r="F171" s="109"/>
      <c r="G171" s="110"/>
      <c r="H171" s="111"/>
    </row>
    <row r="172" spans="1:17" x14ac:dyDescent="0.2">
      <c r="A172" s="106"/>
      <c r="B172" s="200" t="s">
        <v>918</v>
      </c>
      <c r="C172" s="200"/>
      <c r="D172" s="200"/>
      <c r="E172" s="200"/>
      <c r="F172" s="200"/>
      <c r="G172" s="200"/>
      <c r="H172" s="200"/>
      <c r="J172" s="113"/>
    </row>
    <row r="173" spans="1:17" x14ac:dyDescent="0.2">
      <c r="A173" s="106"/>
      <c r="B173" s="200" t="s">
        <v>919</v>
      </c>
      <c r="C173" s="200"/>
      <c r="D173" s="200"/>
      <c r="E173" s="200"/>
      <c r="F173" s="200"/>
      <c r="G173" s="200"/>
      <c r="H173" s="200"/>
      <c r="J173" s="113"/>
    </row>
    <row r="174" spans="1:17" x14ac:dyDescent="0.2">
      <c r="A174" s="106"/>
      <c r="B174" s="200" t="s">
        <v>920</v>
      </c>
      <c r="C174" s="200"/>
      <c r="D174" s="200"/>
      <c r="E174" s="200"/>
      <c r="F174" s="200"/>
      <c r="G174" s="200"/>
      <c r="H174" s="200"/>
      <c r="J174" s="113"/>
    </row>
    <row r="175" spans="1:17" s="115" customFormat="1" ht="66.75" customHeight="1" x14ac:dyDescent="0.25">
      <c r="A175" s="114"/>
      <c r="B175" s="201" t="s">
        <v>921</v>
      </c>
      <c r="C175" s="201"/>
      <c r="D175" s="201"/>
      <c r="E175" s="201"/>
      <c r="F175" s="201"/>
      <c r="G175" s="201"/>
      <c r="H175" s="201"/>
      <c r="I175"/>
      <c r="J175" s="113"/>
      <c r="K175"/>
      <c r="L175"/>
      <c r="M175"/>
      <c r="N175"/>
      <c r="O175"/>
      <c r="P175"/>
      <c r="Q175"/>
    </row>
    <row r="176" spans="1:17" x14ac:dyDescent="0.2">
      <c r="A176" s="106"/>
      <c r="B176" s="200" t="s">
        <v>922</v>
      </c>
      <c r="C176" s="200"/>
      <c r="D176" s="200"/>
      <c r="E176" s="200"/>
      <c r="F176" s="200"/>
      <c r="G176" s="200"/>
      <c r="H176" s="200"/>
      <c r="J176" s="113"/>
    </row>
    <row r="177" spans="1:10" x14ac:dyDescent="0.2">
      <c r="A177" s="106"/>
      <c r="B177" s="106"/>
      <c r="C177" s="106"/>
      <c r="D177" s="108"/>
      <c r="E177" s="108"/>
      <c r="F177" s="108"/>
      <c r="G177" s="108"/>
    </row>
    <row r="178" spans="1:10" x14ac:dyDescent="0.2">
      <c r="A178" s="106"/>
      <c r="B178" s="202" t="s">
        <v>169</v>
      </c>
      <c r="C178" s="203"/>
      <c r="D178" s="204"/>
      <c r="E178" s="116"/>
      <c r="F178" s="108"/>
      <c r="G178" s="108"/>
    </row>
    <row r="179" spans="1:10" ht="27.75" customHeight="1" x14ac:dyDescent="0.2">
      <c r="A179" s="106"/>
      <c r="B179" s="205" t="s">
        <v>170</v>
      </c>
      <c r="C179" s="206"/>
      <c r="D179" s="169" t="s">
        <v>955</v>
      </c>
      <c r="E179" s="116"/>
      <c r="F179" s="108"/>
      <c r="G179" s="108"/>
    </row>
    <row r="180" spans="1:10" ht="12.75" customHeight="1" x14ac:dyDescent="0.2">
      <c r="A180" s="106"/>
      <c r="B180" s="205" t="s">
        <v>923</v>
      </c>
      <c r="C180" s="206"/>
      <c r="D180" s="85" t="s">
        <v>171</v>
      </c>
      <c r="E180" s="116"/>
      <c r="F180" s="108"/>
      <c r="G180" s="108"/>
    </row>
    <row r="181" spans="1:10" x14ac:dyDescent="0.2">
      <c r="A181" s="106"/>
      <c r="B181" s="205" t="s">
        <v>172</v>
      </c>
      <c r="C181" s="206"/>
      <c r="D181" s="117" t="s">
        <v>142</v>
      </c>
      <c r="E181" s="116"/>
      <c r="F181" s="108"/>
      <c r="G181" s="108"/>
    </row>
    <row r="182" spans="1:10" x14ac:dyDescent="0.2">
      <c r="A182" s="118"/>
      <c r="B182" s="119" t="s">
        <v>142</v>
      </c>
      <c r="C182" s="119" t="s">
        <v>924</v>
      </c>
      <c r="D182" s="119" t="s">
        <v>173</v>
      </c>
      <c r="E182" s="118"/>
      <c r="F182" s="118"/>
      <c r="G182" s="118"/>
      <c r="H182" s="118"/>
      <c r="J182" s="113"/>
    </row>
    <row r="183" spans="1:10" x14ac:dyDescent="0.2">
      <c r="A183" s="118"/>
      <c r="B183" s="120" t="s">
        <v>174</v>
      </c>
      <c r="C183" s="121">
        <v>45930</v>
      </c>
      <c r="D183" s="121">
        <v>45961</v>
      </c>
      <c r="E183" s="118"/>
      <c r="F183" s="118"/>
      <c r="G183" s="118"/>
      <c r="J183" s="113"/>
    </row>
    <row r="184" spans="1:10" x14ac:dyDescent="0.2">
      <c r="A184" s="122"/>
      <c r="B184" s="93" t="s">
        <v>175</v>
      </c>
      <c r="C184" s="123">
        <v>15.450100000000001</v>
      </c>
      <c r="D184" s="123">
        <v>15.5303</v>
      </c>
      <c r="E184" s="122"/>
      <c r="F184" s="124"/>
      <c r="G184" s="125"/>
    </row>
    <row r="185" spans="1:10" x14ac:dyDescent="0.2">
      <c r="A185" s="122"/>
      <c r="B185" s="93" t="s">
        <v>1101</v>
      </c>
      <c r="C185" s="123">
        <v>13.3591</v>
      </c>
      <c r="D185" s="123">
        <v>13.4284</v>
      </c>
      <c r="E185" s="122"/>
      <c r="F185" s="124"/>
      <c r="G185" s="125"/>
    </row>
    <row r="186" spans="1:10" x14ac:dyDescent="0.2">
      <c r="A186" s="122"/>
      <c r="B186" s="93" t="s">
        <v>176</v>
      </c>
      <c r="C186" s="123">
        <v>14.615399999999999</v>
      </c>
      <c r="D186" s="123">
        <v>14.680899999999999</v>
      </c>
      <c r="E186" s="122"/>
      <c r="F186" s="124"/>
      <c r="G186" s="125"/>
    </row>
    <row r="187" spans="1:10" x14ac:dyDescent="0.2">
      <c r="A187" s="122"/>
      <c r="B187" s="93" t="s">
        <v>1102</v>
      </c>
      <c r="C187" s="123">
        <v>12.85</v>
      </c>
      <c r="D187" s="123">
        <v>12.9076</v>
      </c>
      <c r="E187" s="122"/>
      <c r="F187" s="124"/>
      <c r="G187" s="125"/>
    </row>
    <row r="188" spans="1:10" x14ac:dyDescent="0.2">
      <c r="A188" s="122"/>
      <c r="B188" s="122"/>
      <c r="C188" s="122"/>
      <c r="D188" s="122"/>
      <c r="E188" s="122"/>
      <c r="F188" s="122"/>
      <c r="G188" s="122"/>
    </row>
    <row r="189" spans="1:10" x14ac:dyDescent="0.2">
      <c r="A189" s="118"/>
      <c r="B189" s="205" t="s">
        <v>925</v>
      </c>
      <c r="C189" s="206"/>
      <c r="D189" s="85" t="s">
        <v>171</v>
      </c>
      <c r="E189" s="118"/>
      <c r="F189" s="118"/>
      <c r="G189" s="118"/>
    </row>
    <row r="190" spans="1:10" x14ac:dyDescent="0.2">
      <c r="A190" s="118"/>
      <c r="B190" s="136"/>
      <c r="C190" s="136"/>
      <c r="D190" s="136"/>
      <c r="E190" s="118"/>
      <c r="F190" s="118"/>
      <c r="G190" s="118"/>
    </row>
    <row r="191" spans="1:10" ht="29.1" customHeight="1" x14ac:dyDescent="0.2">
      <c r="A191" s="118"/>
      <c r="B191" s="205" t="s">
        <v>179</v>
      </c>
      <c r="C191" s="206"/>
      <c r="D191" s="85" t="s">
        <v>956</v>
      </c>
      <c r="E191" s="131"/>
      <c r="F191" s="118"/>
      <c r="G191" s="118"/>
    </row>
    <row r="192" spans="1:10" ht="29.1" customHeight="1" x14ac:dyDescent="0.2">
      <c r="A192" s="118"/>
      <c r="B192" s="205" t="s">
        <v>180</v>
      </c>
      <c r="C192" s="206"/>
      <c r="D192" s="85" t="s">
        <v>171</v>
      </c>
      <c r="E192" s="131"/>
      <c r="F192" s="118"/>
      <c r="G192" s="118"/>
      <c r="I192" s="170"/>
    </row>
    <row r="193" spans="1:16" ht="17.100000000000001" customHeight="1" x14ac:dyDescent="0.2">
      <c r="A193" s="118"/>
      <c r="B193" s="205" t="s">
        <v>181</v>
      </c>
      <c r="C193" s="206"/>
      <c r="D193" s="85" t="s">
        <v>171</v>
      </c>
      <c r="E193" s="131"/>
      <c r="F193" s="118"/>
      <c r="G193" s="118"/>
    </row>
    <row r="194" spans="1:16" ht="17.100000000000001" customHeight="1" x14ac:dyDescent="0.2">
      <c r="A194" s="118"/>
      <c r="B194" s="205" t="s">
        <v>182</v>
      </c>
      <c r="C194" s="206"/>
      <c r="D194" s="132">
        <v>9.484496210864183</v>
      </c>
      <c r="E194" s="118"/>
      <c r="F194" s="112"/>
      <c r="G194" s="133"/>
    </row>
    <row r="196" spans="1:16" s="162" customFormat="1" x14ac:dyDescent="0.2">
      <c r="B196" s="163" t="s">
        <v>1158</v>
      </c>
      <c r="C196" s="163"/>
      <c r="D196" s="163"/>
      <c r="E196" s="5"/>
      <c r="F196" s="6"/>
      <c r="I196"/>
      <c r="J196"/>
      <c r="K196"/>
      <c r="L196"/>
      <c r="M196"/>
      <c r="N196"/>
    </row>
    <row r="197" spans="1:16" ht="13.5" customHeight="1" x14ac:dyDescent="0.2">
      <c r="B197" s="236" t="s">
        <v>957</v>
      </c>
      <c r="C197" s="236" t="s">
        <v>958</v>
      </c>
      <c r="D197" s="239" t="s">
        <v>959</v>
      </c>
      <c r="E197" s="240"/>
      <c r="F197" s="241"/>
      <c r="G197" s="229" t="s">
        <v>960</v>
      </c>
      <c r="H197" s="230"/>
      <c r="I197" s="231"/>
      <c r="J197" s="171"/>
      <c r="K197" s="171"/>
      <c r="L197" s="171"/>
      <c r="M197" s="171"/>
      <c r="N197" s="171"/>
      <c r="O197" s="171"/>
    </row>
    <row r="198" spans="1:16" ht="46.5" customHeight="1" x14ac:dyDescent="0.2">
      <c r="B198" s="237"/>
      <c r="C198" s="237"/>
      <c r="D198" s="232" t="s">
        <v>961</v>
      </c>
      <c r="E198" s="232" t="s">
        <v>962</v>
      </c>
      <c r="F198" s="232" t="s">
        <v>963</v>
      </c>
      <c r="G198" s="234" t="s">
        <v>964</v>
      </c>
      <c r="H198" s="235"/>
      <c r="I198" s="232" t="s">
        <v>965</v>
      </c>
      <c r="J198" s="171"/>
      <c r="K198" s="171"/>
      <c r="L198" s="171"/>
      <c r="M198" s="171"/>
      <c r="N198" s="171"/>
      <c r="O198" s="171"/>
    </row>
    <row r="199" spans="1:16" ht="21" customHeight="1" x14ac:dyDescent="0.2">
      <c r="B199" s="238"/>
      <c r="C199" s="238"/>
      <c r="D199" s="233"/>
      <c r="E199" s="233"/>
      <c r="F199" s="233"/>
      <c r="G199" s="172" t="s">
        <v>966</v>
      </c>
      <c r="H199" s="172" t="s">
        <v>967</v>
      </c>
      <c r="I199" s="233"/>
      <c r="J199" s="171"/>
      <c r="K199" s="171"/>
      <c r="L199" s="171"/>
      <c r="M199" s="171"/>
      <c r="N199" s="171"/>
      <c r="O199" s="171"/>
    </row>
    <row r="200" spans="1:16" ht="13.5" x14ac:dyDescent="0.25">
      <c r="B200" s="173" t="s">
        <v>968</v>
      </c>
      <c r="C200" s="174" t="s">
        <v>969</v>
      </c>
      <c r="D200" s="175">
        <v>48.884799999999998</v>
      </c>
      <c r="E200" s="2">
        <v>1.1152</v>
      </c>
      <c r="F200" s="176">
        <f>D200+E200</f>
        <v>50</v>
      </c>
      <c r="G200" s="3">
        <v>2.1270963690000002</v>
      </c>
      <c r="H200" s="3">
        <v>1.34</v>
      </c>
      <c r="I200" s="3">
        <f>G200+H200</f>
        <v>3.4670963690000001</v>
      </c>
      <c r="J200" s="171"/>
      <c r="K200" s="171"/>
      <c r="L200" s="171"/>
      <c r="M200" s="171"/>
      <c r="N200" s="171"/>
      <c r="O200" s="171"/>
    </row>
    <row r="201" spans="1:16" s="162" customFormat="1" x14ac:dyDescent="0.2">
      <c r="B201" s="177"/>
      <c r="C201" s="178"/>
      <c r="D201" s="179"/>
      <c r="E201" s="7"/>
      <c r="F201" s="180"/>
      <c r="G201" s="177"/>
      <c r="I201"/>
      <c r="J201"/>
      <c r="K201"/>
      <c r="L201"/>
      <c r="M201"/>
      <c r="N201"/>
      <c r="O201"/>
    </row>
    <row r="202" spans="1:16" ht="42" customHeight="1" x14ac:dyDescent="0.2">
      <c r="B202" s="224" t="s">
        <v>970</v>
      </c>
      <c r="C202" s="224"/>
      <c r="D202" s="224"/>
      <c r="E202" s="224"/>
      <c r="F202" s="224"/>
      <c r="G202" s="224"/>
      <c r="H202" s="224"/>
      <c r="I202" s="224"/>
      <c r="J202" s="181"/>
      <c r="K202" s="171"/>
      <c r="L202" s="171"/>
      <c r="M202" s="171"/>
      <c r="N202" s="171"/>
      <c r="O202" s="171"/>
    </row>
    <row r="203" spans="1:16" ht="13.5" x14ac:dyDescent="0.25">
      <c r="B203" s="182" t="s">
        <v>971</v>
      </c>
      <c r="I203" s="171"/>
      <c r="J203" s="83"/>
      <c r="K203" s="171"/>
      <c r="L203" s="171"/>
      <c r="M203" s="171"/>
      <c r="N203" s="171"/>
      <c r="O203" s="171"/>
      <c r="P203" s="171"/>
    </row>
    <row r="204" spans="1:16" x14ac:dyDescent="0.2">
      <c r="B204" s="4" t="s">
        <v>972</v>
      </c>
      <c r="J204" s="83"/>
      <c r="K204" s="171"/>
      <c r="L204" s="171"/>
      <c r="M204" s="171"/>
      <c r="N204" s="171"/>
      <c r="O204" s="171"/>
    </row>
    <row r="205" spans="1:16" x14ac:dyDescent="0.2">
      <c r="B205" s="4"/>
      <c r="J205" s="83"/>
      <c r="K205" s="171"/>
      <c r="L205" s="171"/>
      <c r="M205" s="171"/>
      <c r="N205" s="171"/>
      <c r="O205" s="171"/>
    </row>
    <row r="206" spans="1:16" x14ac:dyDescent="0.2">
      <c r="B206" s="4" t="s">
        <v>973</v>
      </c>
      <c r="J206" s="83"/>
      <c r="K206" s="171"/>
      <c r="L206" s="171"/>
      <c r="M206" s="171"/>
      <c r="N206" s="171"/>
      <c r="O206" s="171"/>
    </row>
    <row r="207" spans="1:16" x14ac:dyDescent="0.2">
      <c r="B207" s="4"/>
      <c r="J207" s="83"/>
      <c r="K207" s="171"/>
      <c r="L207" s="171"/>
      <c r="M207" s="171"/>
      <c r="N207" s="171"/>
      <c r="O207" s="171"/>
    </row>
    <row r="208" spans="1:16" x14ac:dyDescent="0.2">
      <c r="B208" s="4" t="s">
        <v>974</v>
      </c>
      <c r="J208" s="83"/>
    </row>
    <row r="209" spans="2:16" s="162" customFormat="1" x14ac:dyDescent="0.2">
      <c r="I209"/>
      <c r="J209"/>
      <c r="K209"/>
      <c r="L209"/>
      <c r="M209"/>
      <c r="N209"/>
      <c r="O209"/>
      <c r="P209"/>
    </row>
    <row r="210" spans="2:16" s="162" customFormat="1" x14ac:dyDescent="0.2">
      <c r="B210" s="214" t="s">
        <v>985</v>
      </c>
      <c r="C210" s="215"/>
      <c r="D210" s="216"/>
      <c r="I210"/>
      <c r="J210"/>
      <c r="K210"/>
      <c r="L210"/>
      <c r="M210"/>
      <c r="N210"/>
      <c r="O210"/>
      <c r="P210"/>
    </row>
    <row r="211" spans="2:16" s="162" customFormat="1" ht="25.5" x14ac:dyDescent="0.2">
      <c r="B211" s="213" t="s">
        <v>986</v>
      </c>
      <c r="C211" s="213"/>
      <c r="D211" s="160" t="s">
        <v>626</v>
      </c>
      <c r="I211"/>
      <c r="J211"/>
      <c r="K211"/>
      <c r="L211"/>
      <c r="M211"/>
      <c r="N211"/>
      <c r="O211"/>
      <c r="P211"/>
    </row>
    <row r="212" spans="2:16" s="162" customFormat="1" x14ac:dyDescent="0.2">
      <c r="B212" s="213" t="s">
        <v>987</v>
      </c>
      <c r="C212" s="213"/>
      <c r="D212" s="142"/>
      <c r="I212"/>
      <c r="J212"/>
      <c r="K212"/>
      <c r="L212"/>
      <c r="M212"/>
      <c r="N212"/>
      <c r="O212"/>
      <c r="P212"/>
    </row>
    <row r="213" spans="2:16" s="162" customFormat="1" x14ac:dyDescent="0.2">
      <c r="B213" s="210"/>
      <c r="C213" s="212"/>
      <c r="D213" s="143"/>
      <c r="I213"/>
      <c r="J213"/>
      <c r="K213"/>
      <c r="L213"/>
      <c r="M213"/>
      <c r="N213"/>
      <c r="O213"/>
      <c r="P213"/>
    </row>
    <row r="214" spans="2:16" s="162" customFormat="1" x14ac:dyDescent="0.2">
      <c r="B214" s="213" t="s">
        <v>988</v>
      </c>
      <c r="C214" s="213"/>
      <c r="D214" s="144">
        <v>5.5653197704641109</v>
      </c>
      <c r="I214"/>
      <c r="J214"/>
      <c r="K214"/>
      <c r="L214"/>
      <c r="M214"/>
      <c r="N214"/>
      <c r="O214"/>
      <c r="P214"/>
    </row>
    <row r="215" spans="2:16" s="162" customFormat="1" x14ac:dyDescent="0.2">
      <c r="B215" s="210"/>
      <c r="C215" s="212"/>
      <c r="D215" s="143"/>
      <c r="I215"/>
      <c r="J215"/>
      <c r="K215"/>
      <c r="L215"/>
      <c r="M215"/>
      <c r="N215"/>
      <c r="O215"/>
      <c r="P215"/>
    </row>
    <row r="216" spans="2:16" s="162" customFormat="1" x14ac:dyDescent="0.2">
      <c r="B216" s="213" t="s">
        <v>989</v>
      </c>
      <c r="C216" s="213"/>
      <c r="D216" s="144">
        <v>0.46738492095730805</v>
      </c>
      <c r="I216"/>
      <c r="J216"/>
      <c r="K216"/>
      <c r="L216"/>
      <c r="M216"/>
      <c r="N216"/>
      <c r="O216"/>
      <c r="P216"/>
    </row>
    <row r="217" spans="2:16" s="162" customFormat="1" x14ac:dyDescent="0.2">
      <c r="B217" s="213" t="s">
        <v>990</v>
      </c>
      <c r="C217" s="213"/>
      <c r="D217" s="144">
        <v>0.49411414652236946</v>
      </c>
      <c r="I217"/>
      <c r="J217"/>
      <c r="K217"/>
      <c r="L217"/>
      <c r="M217"/>
      <c r="N217"/>
      <c r="O217"/>
      <c r="P217"/>
    </row>
    <row r="218" spans="2:16" s="162" customFormat="1" x14ac:dyDescent="0.2">
      <c r="B218" s="210"/>
      <c r="C218" s="212"/>
      <c r="D218" s="143"/>
      <c r="I218"/>
      <c r="J218"/>
      <c r="K218"/>
      <c r="L218"/>
      <c r="M218"/>
      <c r="N218"/>
      <c r="O218"/>
      <c r="P218"/>
    </row>
    <row r="219" spans="2:16" s="162" customFormat="1" x14ac:dyDescent="0.2">
      <c r="B219" s="213" t="s">
        <v>991</v>
      </c>
      <c r="C219" s="213"/>
      <c r="D219" s="145" t="s">
        <v>1160</v>
      </c>
      <c r="I219"/>
      <c r="J219"/>
      <c r="K219"/>
      <c r="L219"/>
      <c r="M219"/>
      <c r="N219"/>
      <c r="O219"/>
      <c r="P219"/>
    </row>
    <row r="220" spans="2:16" s="162" customFormat="1" x14ac:dyDescent="0.2">
      <c r="B220" s="210" t="s">
        <v>992</v>
      </c>
      <c r="C220" s="211"/>
      <c r="D220" s="212"/>
      <c r="I220"/>
      <c r="J220"/>
      <c r="K220"/>
      <c r="L220"/>
      <c r="M220"/>
      <c r="N220"/>
      <c r="O220"/>
      <c r="P220"/>
    </row>
    <row r="222" spans="2:16" x14ac:dyDescent="0.2">
      <c r="B222" s="199" t="s">
        <v>926</v>
      </c>
      <c r="C222" s="199"/>
    </row>
    <row r="224" spans="2:16" ht="153.75" customHeight="1" x14ac:dyDescent="0.2"/>
    <row r="227" spans="2:10" x14ac:dyDescent="0.2">
      <c r="B227" s="134" t="s">
        <v>927</v>
      </c>
      <c r="C227" s="135"/>
      <c r="D227" s="134"/>
    </row>
    <row r="228" spans="2:10" x14ac:dyDescent="0.2">
      <c r="B228" s="134" t="s">
        <v>1040</v>
      </c>
      <c r="D228" s="134"/>
    </row>
    <row r="229" spans="2:10" ht="165" customHeight="1" x14ac:dyDescent="0.2"/>
    <row r="231" spans="2:10" x14ac:dyDescent="0.2">
      <c r="J231" s="83"/>
    </row>
    <row r="232" spans="2:10" ht="12.75" customHeight="1" x14ac:dyDescent="0.2"/>
    <row r="233" spans="2:10" ht="12.75" customHeight="1" x14ac:dyDescent="0.2"/>
    <row r="234" spans="2:10" ht="12.75" customHeight="1" x14ac:dyDescent="0.2"/>
    <row r="235" spans="2:10" ht="12.75" customHeight="1" x14ac:dyDescent="0.2"/>
    <row r="236" spans="2:10" ht="12.75" customHeight="1" x14ac:dyDescent="0.2"/>
    <row r="237" spans="2:10" ht="12.75" customHeight="1" x14ac:dyDescent="0.2"/>
    <row r="238" spans="2:10" ht="12.75" customHeight="1" x14ac:dyDescent="0.2"/>
    <row r="239" spans="2:10" ht="12.75" customHeight="1" x14ac:dyDescent="0.2"/>
    <row r="240" spans="2:10" ht="12.75" customHeigh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sheetData>
  <mergeCells count="39">
    <mergeCell ref="A1:H1"/>
    <mergeCell ref="A2:H2"/>
    <mergeCell ref="A3:H3"/>
    <mergeCell ref="B189:C189"/>
    <mergeCell ref="B193:C193"/>
    <mergeCell ref="B172:H172"/>
    <mergeCell ref="B173:H173"/>
    <mergeCell ref="B174:H174"/>
    <mergeCell ref="B175:H175"/>
    <mergeCell ref="B176:H176"/>
    <mergeCell ref="B178:D178"/>
    <mergeCell ref="B179:C179"/>
    <mergeCell ref="B180:C180"/>
    <mergeCell ref="B181:C181"/>
    <mergeCell ref="B191:C191"/>
    <mergeCell ref="B192:C192"/>
    <mergeCell ref="B197:B199"/>
    <mergeCell ref="C197:C199"/>
    <mergeCell ref="B194:C194"/>
    <mergeCell ref="D197:F197"/>
    <mergeCell ref="G197:I197"/>
    <mergeCell ref="D198:D199"/>
    <mergeCell ref="E198:E199"/>
    <mergeCell ref="F198:F199"/>
    <mergeCell ref="G198:H198"/>
    <mergeCell ref="I198:I199"/>
    <mergeCell ref="B202:I202"/>
    <mergeCell ref="B210:D210"/>
    <mergeCell ref="B211:C211"/>
    <mergeCell ref="B212:C212"/>
    <mergeCell ref="B213:C213"/>
    <mergeCell ref="B219:C219"/>
    <mergeCell ref="B220:D220"/>
    <mergeCell ref="B222:C222"/>
    <mergeCell ref="B214:C214"/>
    <mergeCell ref="B215:C215"/>
    <mergeCell ref="B216:C216"/>
    <mergeCell ref="B217:C217"/>
    <mergeCell ref="B218:C218"/>
  </mergeCells>
  <hyperlinks>
    <hyperlink ref="I1" location="Index!B2" display="Index" xr:uid="{4C4637AC-350F-4EA5-BF1C-9EE01F9DF97C}"/>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DBF25-032A-47D4-8BFC-DDCDF97A74A9}">
  <sheetPr>
    <outlinePr summaryBelow="0" summaryRight="0"/>
  </sheetPr>
  <dimension ref="A1:Q215"/>
  <sheetViews>
    <sheetView showGridLines="0" workbookViewId="0">
      <selection activeCell="C8" sqref="C8"/>
    </sheetView>
  </sheetViews>
  <sheetFormatPr defaultRowHeight="12.75" x14ac:dyDescent="0.2"/>
  <cols>
    <col min="1" max="1" width="5.85546875" bestFit="1" customWidth="1"/>
    <col min="2" max="2" width="19.5703125" bestFit="1" customWidth="1"/>
    <col min="3" max="3" width="45.85546875" customWidth="1"/>
    <col min="4" max="4" width="17.7109375" bestFit="1" customWidth="1"/>
    <col min="5" max="5" width="9.14062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667</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1089648</v>
      </c>
      <c r="F7" s="95">
        <v>10758.094703999999</v>
      </c>
      <c r="G7" s="96">
        <v>6.2272300000000003E-2</v>
      </c>
      <c r="H7" s="86" t="s">
        <v>142</v>
      </c>
    </row>
    <row r="8" spans="1:9" x14ac:dyDescent="0.2">
      <c r="A8" s="92">
        <v>2</v>
      </c>
      <c r="B8" s="93" t="s">
        <v>33</v>
      </c>
      <c r="C8" s="93" t="s">
        <v>34</v>
      </c>
      <c r="D8" s="93" t="s">
        <v>35</v>
      </c>
      <c r="E8" s="94">
        <v>770898</v>
      </c>
      <c r="F8" s="95">
        <v>10370.890794000001</v>
      </c>
      <c r="G8" s="96">
        <v>6.0031010000000003E-2</v>
      </c>
      <c r="H8" s="86" t="s">
        <v>142</v>
      </c>
    </row>
    <row r="9" spans="1:9" x14ac:dyDescent="0.2">
      <c r="A9" s="92">
        <v>3</v>
      </c>
      <c r="B9" s="93" t="s">
        <v>17</v>
      </c>
      <c r="C9" s="93" t="s">
        <v>18</v>
      </c>
      <c r="D9" s="93" t="s">
        <v>19</v>
      </c>
      <c r="E9" s="94">
        <v>560337</v>
      </c>
      <c r="F9" s="95">
        <v>8328.8491680000006</v>
      </c>
      <c r="G9" s="96">
        <v>4.8210820000000001E-2</v>
      </c>
      <c r="H9" s="86" t="s">
        <v>142</v>
      </c>
    </row>
    <row r="10" spans="1:9" x14ac:dyDescent="0.2">
      <c r="A10" s="92">
        <v>4</v>
      </c>
      <c r="B10" s="93" t="s">
        <v>11</v>
      </c>
      <c r="C10" s="93" t="s">
        <v>12</v>
      </c>
      <c r="D10" s="93" t="s">
        <v>13</v>
      </c>
      <c r="E10" s="94">
        <v>404597</v>
      </c>
      <c r="F10" s="95">
        <v>8312.4453649999996</v>
      </c>
      <c r="G10" s="96">
        <v>4.8115869999999998E-2</v>
      </c>
      <c r="H10" s="86" t="s">
        <v>142</v>
      </c>
    </row>
    <row r="11" spans="1:9" x14ac:dyDescent="0.2">
      <c r="A11" s="92">
        <v>5</v>
      </c>
      <c r="B11" s="93" t="s">
        <v>324</v>
      </c>
      <c r="C11" s="93" t="s">
        <v>325</v>
      </c>
      <c r="D11" s="93" t="s">
        <v>35</v>
      </c>
      <c r="E11" s="94">
        <v>303856</v>
      </c>
      <c r="F11" s="95">
        <v>6387.6608319999996</v>
      </c>
      <c r="G11" s="96">
        <v>3.6974420000000001E-2</v>
      </c>
      <c r="H11" s="86" t="s">
        <v>142</v>
      </c>
    </row>
    <row r="12" spans="1:9" x14ac:dyDescent="0.2">
      <c r="A12" s="87">
        <v>6</v>
      </c>
      <c r="B12" s="88" t="s">
        <v>946</v>
      </c>
      <c r="C12" s="88" t="s">
        <v>947</v>
      </c>
      <c r="D12" s="88" t="s">
        <v>73</v>
      </c>
      <c r="E12" s="89">
        <v>1075000</v>
      </c>
      <c r="F12" s="90">
        <f>46.112125*100</f>
        <v>4611.2124999999996</v>
      </c>
      <c r="G12" s="161">
        <f>F12/F165</f>
        <v>2.6691605191439129E-2</v>
      </c>
      <c r="H12" s="86" t="s">
        <v>142</v>
      </c>
    </row>
    <row r="13" spans="1:9" x14ac:dyDescent="0.2">
      <c r="A13" s="92">
        <v>7</v>
      </c>
      <c r="B13" s="93" t="s">
        <v>14</v>
      </c>
      <c r="C13" s="93" t="s">
        <v>15</v>
      </c>
      <c r="D13" s="93" t="s">
        <v>16</v>
      </c>
      <c r="E13" s="94">
        <v>113500</v>
      </c>
      <c r="F13" s="95">
        <v>4575.0715</v>
      </c>
      <c r="G13" s="96">
        <v>2.6482410000000001E-2</v>
      </c>
      <c r="H13" s="86" t="s">
        <v>142</v>
      </c>
    </row>
    <row r="14" spans="1:9" x14ac:dyDescent="0.2">
      <c r="A14" s="92">
        <v>8</v>
      </c>
      <c r="B14" s="93" t="s">
        <v>334</v>
      </c>
      <c r="C14" s="93" t="s">
        <v>335</v>
      </c>
      <c r="D14" s="93" t="s">
        <v>241</v>
      </c>
      <c r="E14" s="94">
        <v>108555</v>
      </c>
      <c r="F14" s="95">
        <v>3785.5299599999998</v>
      </c>
      <c r="G14" s="96">
        <v>2.1912210000000001E-2</v>
      </c>
      <c r="H14" s="86" t="s">
        <v>142</v>
      </c>
    </row>
    <row r="15" spans="1:9" x14ac:dyDescent="0.2">
      <c r="A15" s="92">
        <v>9</v>
      </c>
      <c r="B15" s="93" t="s">
        <v>342</v>
      </c>
      <c r="C15" s="93" t="s">
        <v>343</v>
      </c>
      <c r="D15" s="93" t="s">
        <v>278</v>
      </c>
      <c r="E15" s="94">
        <v>892400</v>
      </c>
      <c r="F15" s="95">
        <v>2835.6010000000001</v>
      </c>
      <c r="G15" s="96">
        <v>1.6413629999999998E-2</v>
      </c>
      <c r="H15" s="86" t="s">
        <v>142</v>
      </c>
    </row>
    <row r="16" spans="1:9" x14ac:dyDescent="0.2">
      <c r="A16" s="92">
        <v>10</v>
      </c>
      <c r="B16" s="93" t="s">
        <v>39</v>
      </c>
      <c r="C16" s="93" t="s">
        <v>40</v>
      </c>
      <c r="D16" s="93" t="s">
        <v>35</v>
      </c>
      <c r="E16" s="94">
        <v>299055</v>
      </c>
      <c r="F16" s="95">
        <v>2802.1453499999998</v>
      </c>
      <c r="G16" s="96">
        <v>1.6219979999999998E-2</v>
      </c>
      <c r="H16" s="86" t="s">
        <v>142</v>
      </c>
    </row>
    <row r="17" spans="1:8" x14ac:dyDescent="0.2">
      <c r="A17" s="92">
        <v>11</v>
      </c>
      <c r="B17" s="93" t="s">
        <v>330</v>
      </c>
      <c r="C17" s="93" t="s">
        <v>331</v>
      </c>
      <c r="D17" s="93" t="s">
        <v>186</v>
      </c>
      <c r="E17" s="94">
        <v>267770</v>
      </c>
      <c r="F17" s="95">
        <v>2792.3055599999998</v>
      </c>
      <c r="G17" s="96">
        <v>1.616302E-2</v>
      </c>
      <c r="H17" s="86" t="s">
        <v>142</v>
      </c>
    </row>
    <row r="18" spans="1:8" x14ac:dyDescent="0.2">
      <c r="A18" s="92">
        <v>12</v>
      </c>
      <c r="B18" s="93" t="s">
        <v>644</v>
      </c>
      <c r="C18" s="93" t="s">
        <v>645</v>
      </c>
      <c r="D18" s="93" t="s">
        <v>35</v>
      </c>
      <c r="E18" s="94">
        <v>1917000</v>
      </c>
      <c r="F18" s="95">
        <v>2626.0983000000001</v>
      </c>
      <c r="G18" s="96">
        <v>1.520094E-2</v>
      </c>
      <c r="H18" s="86" t="s">
        <v>142</v>
      </c>
    </row>
    <row r="19" spans="1:8" x14ac:dyDescent="0.2">
      <c r="A19" s="92">
        <v>13</v>
      </c>
      <c r="B19" s="93" t="s">
        <v>332</v>
      </c>
      <c r="C19" s="93" t="s">
        <v>333</v>
      </c>
      <c r="D19" s="93" t="s">
        <v>35</v>
      </c>
      <c r="E19" s="94">
        <v>936000</v>
      </c>
      <c r="F19" s="95">
        <v>2605.8240000000001</v>
      </c>
      <c r="G19" s="96">
        <v>1.5083589999999999E-2</v>
      </c>
      <c r="H19" s="86" t="s">
        <v>142</v>
      </c>
    </row>
    <row r="20" spans="1:8" x14ac:dyDescent="0.2">
      <c r="A20" s="92">
        <v>14</v>
      </c>
      <c r="B20" s="93" t="s">
        <v>344</v>
      </c>
      <c r="C20" s="93" t="s">
        <v>345</v>
      </c>
      <c r="D20" s="93" t="s">
        <v>186</v>
      </c>
      <c r="E20" s="94">
        <v>150680</v>
      </c>
      <c r="F20" s="95">
        <v>2556.7382400000001</v>
      </c>
      <c r="G20" s="96">
        <v>1.479946E-2</v>
      </c>
      <c r="H20" s="86" t="s">
        <v>142</v>
      </c>
    </row>
    <row r="21" spans="1:8" x14ac:dyDescent="0.2">
      <c r="A21" s="92">
        <v>15</v>
      </c>
      <c r="B21" s="93" t="s">
        <v>440</v>
      </c>
      <c r="C21" s="93" t="s">
        <v>441</v>
      </c>
      <c r="D21" s="93" t="s">
        <v>422</v>
      </c>
      <c r="E21" s="94">
        <v>97226</v>
      </c>
      <c r="F21" s="95">
        <v>2397.1070300000001</v>
      </c>
      <c r="G21" s="96">
        <v>1.3875449999999999E-2</v>
      </c>
      <c r="H21" s="86" t="s">
        <v>142</v>
      </c>
    </row>
    <row r="22" spans="1:8" x14ac:dyDescent="0.2">
      <c r="A22" s="92">
        <v>16</v>
      </c>
      <c r="B22" s="93" t="s">
        <v>26</v>
      </c>
      <c r="C22" s="93" t="s">
        <v>27</v>
      </c>
      <c r="D22" s="93" t="s">
        <v>28</v>
      </c>
      <c r="E22" s="94">
        <v>522755</v>
      </c>
      <c r="F22" s="95">
        <v>2227.4590549999998</v>
      </c>
      <c r="G22" s="96">
        <v>1.2893450000000001E-2</v>
      </c>
      <c r="H22" s="86" t="s">
        <v>142</v>
      </c>
    </row>
    <row r="23" spans="1:8" ht="25.5" x14ac:dyDescent="0.2">
      <c r="A23" s="92">
        <v>17</v>
      </c>
      <c r="B23" s="93" t="s">
        <v>189</v>
      </c>
      <c r="C23" s="93" t="s">
        <v>190</v>
      </c>
      <c r="D23" s="93" t="s">
        <v>191</v>
      </c>
      <c r="E23" s="94">
        <v>102835</v>
      </c>
      <c r="F23" s="95">
        <v>2184.83241</v>
      </c>
      <c r="G23" s="96">
        <v>1.264671E-2</v>
      </c>
      <c r="H23" s="86" t="s">
        <v>142</v>
      </c>
    </row>
    <row r="24" spans="1:8" x14ac:dyDescent="0.2">
      <c r="A24" s="92">
        <v>18</v>
      </c>
      <c r="B24" s="93" t="s">
        <v>56</v>
      </c>
      <c r="C24" s="93" t="s">
        <v>57</v>
      </c>
      <c r="D24" s="93" t="s">
        <v>58</v>
      </c>
      <c r="E24" s="94">
        <v>49936</v>
      </c>
      <c r="F24" s="95">
        <v>2169.2697760000001</v>
      </c>
      <c r="G24" s="96">
        <v>1.2556629999999999E-2</v>
      </c>
      <c r="H24" s="86" t="s">
        <v>142</v>
      </c>
    </row>
    <row r="25" spans="1:8" x14ac:dyDescent="0.2">
      <c r="A25" s="92">
        <v>19</v>
      </c>
      <c r="B25" s="93" t="s">
        <v>656</v>
      </c>
      <c r="C25" s="93" t="s">
        <v>657</v>
      </c>
      <c r="D25" s="93" t="s">
        <v>186</v>
      </c>
      <c r="E25" s="94">
        <v>96500</v>
      </c>
      <c r="F25" s="95">
        <v>2015.2094999999999</v>
      </c>
      <c r="G25" s="96">
        <v>1.1664870000000001E-2</v>
      </c>
      <c r="H25" s="86" t="s">
        <v>142</v>
      </c>
    </row>
    <row r="26" spans="1:8" x14ac:dyDescent="0.2">
      <c r="A26" s="92">
        <v>20</v>
      </c>
      <c r="B26" s="93" t="s">
        <v>423</v>
      </c>
      <c r="C26" s="93" t="s">
        <v>424</v>
      </c>
      <c r="D26" s="93" t="s">
        <v>204</v>
      </c>
      <c r="E26" s="94">
        <v>130359</v>
      </c>
      <c r="F26" s="95">
        <v>2009.4839850000001</v>
      </c>
      <c r="G26" s="96">
        <v>1.163172E-2</v>
      </c>
      <c r="H26" s="86" t="s">
        <v>142</v>
      </c>
    </row>
    <row r="27" spans="1:8" x14ac:dyDescent="0.2">
      <c r="A27" s="92">
        <v>21</v>
      </c>
      <c r="B27" s="93" t="s">
        <v>59</v>
      </c>
      <c r="C27" s="93" t="s">
        <v>60</v>
      </c>
      <c r="D27" s="93" t="s">
        <v>61</v>
      </c>
      <c r="E27" s="94">
        <v>35260</v>
      </c>
      <c r="F27" s="95">
        <v>1983.375</v>
      </c>
      <c r="G27" s="96">
        <v>1.1480600000000001E-2</v>
      </c>
      <c r="H27" s="86" t="s">
        <v>142</v>
      </c>
    </row>
    <row r="28" spans="1:8" x14ac:dyDescent="0.2">
      <c r="A28" s="92">
        <v>22</v>
      </c>
      <c r="B28" s="93" t="s">
        <v>216</v>
      </c>
      <c r="C28" s="93" t="s">
        <v>217</v>
      </c>
      <c r="D28" s="93" t="s">
        <v>218</v>
      </c>
      <c r="E28" s="94">
        <v>326016</v>
      </c>
      <c r="F28" s="95">
        <v>1949.0866559999999</v>
      </c>
      <c r="G28" s="96">
        <v>1.128212E-2</v>
      </c>
      <c r="H28" s="86" t="s">
        <v>142</v>
      </c>
    </row>
    <row r="29" spans="1:8" ht="25.5" x14ac:dyDescent="0.2">
      <c r="A29" s="92">
        <v>23</v>
      </c>
      <c r="B29" s="93" t="s">
        <v>436</v>
      </c>
      <c r="C29" s="93" t="s">
        <v>437</v>
      </c>
      <c r="D29" s="93" t="s">
        <v>225</v>
      </c>
      <c r="E29" s="94">
        <v>128800</v>
      </c>
      <c r="F29" s="95">
        <v>1933.6744000000001</v>
      </c>
      <c r="G29" s="96">
        <v>1.119291E-2</v>
      </c>
      <c r="H29" s="86" t="s">
        <v>142</v>
      </c>
    </row>
    <row r="30" spans="1:8" x14ac:dyDescent="0.2">
      <c r="A30" s="92">
        <v>24</v>
      </c>
      <c r="B30" s="93" t="s">
        <v>326</v>
      </c>
      <c r="C30" s="93" t="s">
        <v>327</v>
      </c>
      <c r="D30" s="93" t="s">
        <v>204</v>
      </c>
      <c r="E30" s="94">
        <v>128095</v>
      </c>
      <c r="F30" s="95">
        <v>1898.7521850000001</v>
      </c>
      <c r="G30" s="96">
        <v>1.099076E-2</v>
      </c>
      <c r="H30" s="86" t="s">
        <v>142</v>
      </c>
    </row>
    <row r="31" spans="1:8" x14ac:dyDescent="0.2">
      <c r="A31" s="92">
        <v>25</v>
      </c>
      <c r="B31" s="93" t="s">
        <v>502</v>
      </c>
      <c r="C31" s="93" t="s">
        <v>503</v>
      </c>
      <c r="D31" s="93" t="s">
        <v>186</v>
      </c>
      <c r="E31" s="94">
        <v>468690</v>
      </c>
      <c r="F31" s="95">
        <v>1889.9924249999999</v>
      </c>
      <c r="G31" s="96">
        <v>1.094006E-2</v>
      </c>
      <c r="H31" s="86" t="s">
        <v>142</v>
      </c>
    </row>
    <row r="32" spans="1:8" ht="25.5" x14ac:dyDescent="0.2">
      <c r="A32" s="92">
        <v>26</v>
      </c>
      <c r="B32" s="93" t="s">
        <v>434</v>
      </c>
      <c r="C32" s="93" t="s">
        <v>435</v>
      </c>
      <c r="D32" s="93" t="s">
        <v>207</v>
      </c>
      <c r="E32" s="94">
        <v>154165</v>
      </c>
      <c r="F32" s="95">
        <v>1796.02225</v>
      </c>
      <c r="G32" s="96">
        <v>1.039612E-2</v>
      </c>
      <c r="H32" s="86" t="s">
        <v>142</v>
      </c>
    </row>
    <row r="33" spans="1:8" x14ac:dyDescent="0.2">
      <c r="A33" s="92">
        <v>27</v>
      </c>
      <c r="B33" s="93" t="s">
        <v>213</v>
      </c>
      <c r="C33" s="93" t="s">
        <v>214</v>
      </c>
      <c r="D33" s="93" t="s">
        <v>215</v>
      </c>
      <c r="E33" s="94">
        <v>67010</v>
      </c>
      <c r="F33" s="95">
        <v>1661.1778999999999</v>
      </c>
      <c r="G33" s="96">
        <v>9.6155900000000002E-3</v>
      </c>
      <c r="H33" s="86" t="s">
        <v>142</v>
      </c>
    </row>
    <row r="34" spans="1:8" x14ac:dyDescent="0.2">
      <c r="A34" s="92">
        <v>28</v>
      </c>
      <c r="B34" s="93" t="s">
        <v>31</v>
      </c>
      <c r="C34" s="93" t="s">
        <v>32</v>
      </c>
      <c r="D34" s="93" t="s">
        <v>19</v>
      </c>
      <c r="E34" s="94">
        <v>429151</v>
      </c>
      <c r="F34" s="95">
        <v>1531.2107679999999</v>
      </c>
      <c r="G34" s="96">
        <v>8.8632799999999994E-3</v>
      </c>
      <c r="H34" s="86" t="s">
        <v>142</v>
      </c>
    </row>
    <row r="35" spans="1:8" x14ac:dyDescent="0.2">
      <c r="A35" s="92">
        <v>29</v>
      </c>
      <c r="B35" s="93" t="s">
        <v>504</v>
      </c>
      <c r="C35" s="93" t="s">
        <v>505</v>
      </c>
      <c r="D35" s="93" t="s">
        <v>241</v>
      </c>
      <c r="E35" s="94">
        <v>9299</v>
      </c>
      <c r="F35" s="95">
        <v>1505.1361400000001</v>
      </c>
      <c r="G35" s="96">
        <v>8.7123500000000006E-3</v>
      </c>
      <c r="H35" s="86" t="s">
        <v>142</v>
      </c>
    </row>
    <row r="36" spans="1:8" x14ac:dyDescent="0.2">
      <c r="A36" s="92">
        <v>30</v>
      </c>
      <c r="B36" s="93" t="s">
        <v>328</v>
      </c>
      <c r="C36" s="93" t="s">
        <v>329</v>
      </c>
      <c r="D36" s="93" t="s">
        <v>28</v>
      </c>
      <c r="E36" s="94">
        <v>31950</v>
      </c>
      <c r="F36" s="95">
        <v>1495.1960999999999</v>
      </c>
      <c r="G36" s="96">
        <v>8.6548100000000006E-3</v>
      </c>
      <c r="H36" s="86" t="s">
        <v>142</v>
      </c>
    </row>
    <row r="37" spans="1:8" ht="25.5" x14ac:dyDescent="0.2">
      <c r="A37" s="92">
        <v>31</v>
      </c>
      <c r="B37" s="93" t="s">
        <v>23</v>
      </c>
      <c r="C37" s="93" t="s">
        <v>24</v>
      </c>
      <c r="D37" s="93" t="s">
        <v>25</v>
      </c>
      <c r="E37" s="94">
        <v>12120</v>
      </c>
      <c r="F37" s="95">
        <v>1447.9764</v>
      </c>
      <c r="G37" s="96">
        <v>8.3814900000000001E-3</v>
      </c>
      <c r="H37" s="86" t="s">
        <v>142</v>
      </c>
    </row>
    <row r="38" spans="1:8" x14ac:dyDescent="0.2">
      <c r="A38" s="92">
        <v>32</v>
      </c>
      <c r="B38" s="93" t="s">
        <v>46</v>
      </c>
      <c r="C38" s="93" t="s">
        <v>47</v>
      </c>
      <c r="D38" s="93" t="s">
        <v>48</v>
      </c>
      <c r="E38" s="94">
        <v>17831</v>
      </c>
      <c r="F38" s="95">
        <v>1432.9883150000001</v>
      </c>
      <c r="G38" s="96">
        <v>8.2947300000000002E-3</v>
      </c>
      <c r="H38" s="86" t="s">
        <v>142</v>
      </c>
    </row>
    <row r="39" spans="1:8" x14ac:dyDescent="0.2">
      <c r="A39" s="92">
        <v>33</v>
      </c>
      <c r="B39" s="93" t="s">
        <v>432</v>
      </c>
      <c r="C39" s="93" t="s">
        <v>433</v>
      </c>
      <c r="D39" s="93" t="s">
        <v>204</v>
      </c>
      <c r="E39" s="94">
        <v>43925</v>
      </c>
      <c r="F39" s="95">
        <v>1343.2265</v>
      </c>
      <c r="G39" s="96">
        <v>7.7751499999999998E-3</v>
      </c>
      <c r="H39" s="86" t="s">
        <v>142</v>
      </c>
    </row>
    <row r="40" spans="1:8" ht="25.5" x14ac:dyDescent="0.2">
      <c r="A40" s="92">
        <v>34</v>
      </c>
      <c r="B40" s="93" t="s">
        <v>338</v>
      </c>
      <c r="C40" s="93" t="s">
        <v>339</v>
      </c>
      <c r="D40" s="93" t="s">
        <v>25</v>
      </c>
      <c r="E40" s="94">
        <v>45495</v>
      </c>
      <c r="F40" s="95">
        <v>1315.5789150000001</v>
      </c>
      <c r="G40" s="96">
        <v>7.6151200000000004E-3</v>
      </c>
      <c r="H40" s="86" t="s">
        <v>142</v>
      </c>
    </row>
    <row r="41" spans="1:8" x14ac:dyDescent="0.2">
      <c r="A41" s="92">
        <v>35</v>
      </c>
      <c r="B41" s="93" t="s">
        <v>508</v>
      </c>
      <c r="C41" s="93" t="s">
        <v>509</v>
      </c>
      <c r="D41" s="93" t="s">
        <v>38</v>
      </c>
      <c r="E41" s="94">
        <v>126150</v>
      </c>
      <c r="F41" s="95">
        <v>1267.492125</v>
      </c>
      <c r="G41" s="96">
        <v>7.3367700000000003E-3</v>
      </c>
      <c r="H41" s="86" t="s">
        <v>142</v>
      </c>
    </row>
    <row r="42" spans="1:8" x14ac:dyDescent="0.2">
      <c r="A42" s="92">
        <v>36</v>
      </c>
      <c r="B42" s="93" t="s">
        <v>510</v>
      </c>
      <c r="C42" s="93" t="s">
        <v>511</v>
      </c>
      <c r="D42" s="93" t="s">
        <v>241</v>
      </c>
      <c r="E42" s="94">
        <v>13885</v>
      </c>
      <c r="F42" s="95">
        <v>1234.7236250000001</v>
      </c>
      <c r="G42" s="96">
        <v>7.14709E-3</v>
      </c>
      <c r="H42" s="86" t="s">
        <v>142</v>
      </c>
    </row>
    <row r="43" spans="1:8" x14ac:dyDescent="0.2">
      <c r="A43" s="92">
        <v>37</v>
      </c>
      <c r="B43" s="93" t="s">
        <v>49</v>
      </c>
      <c r="C43" s="93" t="s">
        <v>50</v>
      </c>
      <c r="D43" s="93" t="s">
        <v>22</v>
      </c>
      <c r="E43" s="94">
        <v>304232</v>
      </c>
      <c r="F43" s="95">
        <v>1231.835368</v>
      </c>
      <c r="G43" s="96">
        <v>7.1303699999999996E-3</v>
      </c>
      <c r="H43" s="86" t="s">
        <v>142</v>
      </c>
    </row>
    <row r="44" spans="1:8" x14ac:dyDescent="0.2">
      <c r="A44" s="92">
        <v>38</v>
      </c>
      <c r="B44" s="93" t="s">
        <v>428</v>
      </c>
      <c r="C44" s="93" t="s">
        <v>429</v>
      </c>
      <c r="D44" s="93" t="s">
        <v>272</v>
      </c>
      <c r="E44" s="94">
        <v>62450</v>
      </c>
      <c r="F44" s="95">
        <v>1221.33465</v>
      </c>
      <c r="G44" s="96">
        <v>7.0695899999999997E-3</v>
      </c>
      <c r="H44" s="86" t="s">
        <v>142</v>
      </c>
    </row>
    <row r="45" spans="1:8" x14ac:dyDescent="0.2">
      <c r="A45" s="92">
        <v>39</v>
      </c>
      <c r="B45" s="93" t="s">
        <v>297</v>
      </c>
      <c r="C45" s="93" t="s">
        <v>298</v>
      </c>
      <c r="D45" s="93" t="s">
        <v>186</v>
      </c>
      <c r="E45" s="94">
        <v>24768</v>
      </c>
      <c r="F45" s="95">
        <v>1220.8642560000001</v>
      </c>
      <c r="G45" s="96">
        <v>7.0668700000000003E-3</v>
      </c>
      <c r="H45" s="86" t="s">
        <v>142</v>
      </c>
    </row>
    <row r="46" spans="1:8" x14ac:dyDescent="0.2">
      <c r="A46" s="92">
        <v>40</v>
      </c>
      <c r="B46" s="93" t="s">
        <v>512</v>
      </c>
      <c r="C46" s="93" t="s">
        <v>513</v>
      </c>
      <c r="D46" s="93" t="s">
        <v>186</v>
      </c>
      <c r="E46" s="94">
        <v>100029</v>
      </c>
      <c r="F46" s="95">
        <v>1195.4465789999999</v>
      </c>
      <c r="G46" s="96">
        <v>6.9197399999999997E-3</v>
      </c>
      <c r="H46" s="86" t="s">
        <v>142</v>
      </c>
    </row>
    <row r="47" spans="1:8" ht="25.5" x14ac:dyDescent="0.2">
      <c r="A47" s="92">
        <v>41</v>
      </c>
      <c r="B47" s="93" t="s">
        <v>74</v>
      </c>
      <c r="C47" s="93" t="s">
        <v>75</v>
      </c>
      <c r="D47" s="93" t="s">
        <v>25</v>
      </c>
      <c r="E47" s="94">
        <v>18115</v>
      </c>
      <c r="F47" s="95">
        <v>1125.6660999999999</v>
      </c>
      <c r="G47" s="96">
        <v>6.5158200000000003E-3</v>
      </c>
      <c r="H47" s="86" t="s">
        <v>142</v>
      </c>
    </row>
    <row r="48" spans="1:8" ht="25.5" x14ac:dyDescent="0.2">
      <c r="A48" s="92">
        <v>42</v>
      </c>
      <c r="B48" s="93" t="s">
        <v>346</v>
      </c>
      <c r="C48" s="93" t="s">
        <v>347</v>
      </c>
      <c r="D48" s="93" t="s">
        <v>225</v>
      </c>
      <c r="E48" s="94">
        <v>65495</v>
      </c>
      <c r="F48" s="95">
        <v>1107.323965</v>
      </c>
      <c r="G48" s="96">
        <v>6.4096500000000002E-3</v>
      </c>
      <c r="H48" s="86" t="s">
        <v>142</v>
      </c>
    </row>
    <row r="49" spans="1:8" ht="25.5" x14ac:dyDescent="0.2">
      <c r="A49" s="92">
        <v>43</v>
      </c>
      <c r="B49" s="93" t="s">
        <v>266</v>
      </c>
      <c r="C49" s="93" t="s">
        <v>267</v>
      </c>
      <c r="D49" s="93" t="s">
        <v>225</v>
      </c>
      <c r="E49" s="94">
        <v>45975</v>
      </c>
      <c r="F49" s="95">
        <v>1096.0440000000001</v>
      </c>
      <c r="G49" s="96">
        <v>6.3443600000000003E-3</v>
      </c>
      <c r="H49" s="86" t="s">
        <v>142</v>
      </c>
    </row>
    <row r="50" spans="1:8" x14ac:dyDescent="0.2">
      <c r="A50" s="92">
        <v>44</v>
      </c>
      <c r="B50" s="93" t="s">
        <v>264</v>
      </c>
      <c r="C50" s="93" t="s">
        <v>265</v>
      </c>
      <c r="D50" s="93" t="s">
        <v>38</v>
      </c>
      <c r="E50" s="94">
        <v>88045</v>
      </c>
      <c r="F50" s="95">
        <v>1087.5318400000001</v>
      </c>
      <c r="G50" s="96">
        <v>6.2950799999999998E-3</v>
      </c>
      <c r="H50" s="86" t="s">
        <v>142</v>
      </c>
    </row>
    <row r="51" spans="1:8" x14ac:dyDescent="0.2">
      <c r="A51" s="92">
        <v>45</v>
      </c>
      <c r="B51" s="93" t="s">
        <v>336</v>
      </c>
      <c r="C51" s="93" t="s">
        <v>337</v>
      </c>
      <c r="D51" s="93" t="s">
        <v>215</v>
      </c>
      <c r="E51" s="94">
        <v>11750</v>
      </c>
      <c r="F51" s="95">
        <v>1086.1112499999999</v>
      </c>
      <c r="G51" s="96">
        <v>6.28686E-3</v>
      </c>
      <c r="H51" s="86" t="s">
        <v>142</v>
      </c>
    </row>
    <row r="52" spans="1:8" x14ac:dyDescent="0.2">
      <c r="A52" s="92">
        <v>46</v>
      </c>
      <c r="B52" s="93" t="s">
        <v>506</v>
      </c>
      <c r="C52" s="93" t="s">
        <v>507</v>
      </c>
      <c r="D52" s="93" t="s">
        <v>232</v>
      </c>
      <c r="E52" s="94">
        <v>74935</v>
      </c>
      <c r="F52" s="95">
        <v>1072.61959</v>
      </c>
      <c r="G52" s="96">
        <v>6.2087699999999997E-3</v>
      </c>
      <c r="H52" s="86" t="s">
        <v>142</v>
      </c>
    </row>
    <row r="53" spans="1:8" x14ac:dyDescent="0.2">
      <c r="A53" s="87">
        <v>47</v>
      </c>
      <c r="B53" s="88" t="s">
        <v>1041</v>
      </c>
      <c r="C53" s="88" t="s">
        <v>1042</v>
      </c>
      <c r="D53" s="88" t="s">
        <v>22</v>
      </c>
      <c r="E53" s="89">
        <v>998132</v>
      </c>
      <c r="F53" s="90">
        <f>9.736778*100</f>
        <v>973.67779999999993</v>
      </c>
      <c r="G53" s="161">
        <f>F53/F165</f>
        <v>5.6360498288181319E-3</v>
      </c>
      <c r="H53" s="86" t="s">
        <v>142</v>
      </c>
    </row>
    <row r="54" spans="1:8" ht="25.5" x14ac:dyDescent="0.2">
      <c r="A54" s="92">
        <v>48</v>
      </c>
      <c r="B54" s="93" t="s">
        <v>223</v>
      </c>
      <c r="C54" s="93" t="s">
        <v>224</v>
      </c>
      <c r="D54" s="93" t="s">
        <v>225</v>
      </c>
      <c r="E54" s="94">
        <v>49565</v>
      </c>
      <c r="F54" s="95">
        <v>973.20877499999995</v>
      </c>
      <c r="G54" s="96">
        <v>5.6333399999999997E-3</v>
      </c>
      <c r="H54" s="86" t="s">
        <v>142</v>
      </c>
    </row>
    <row r="55" spans="1:8" ht="25.5" x14ac:dyDescent="0.2">
      <c r="A55" s="92">
        <v>49</v>
      </c>
      <c r="B55" s="93" t="s">
        <v>514</v>
      </c>
      <c r="C55" s="93" t="s">
        <v>515</v>
      </c>
      <c r="D55" s="93" t="s">
        <v>275</v>
      </c>
      <c r="E55" s="94">
        <v>64590</v>
      </c>
      <c r="F55" s="95">
        <v>933.06713999999999</v>
      </c>
      <c r="G55" s="96">
        <v>5.4009799999999997E-3</v>
      </c>
      <c r="H55" s="86" t="s">
        <v>142</v>
      </c>
    </row>
    <row r="56" spans="1:8" x14ac:dyDescent="0.2">
      <c r="A56" s="92">
        <v>50</v>
      </c>
      <c r="B56" s="93" t="s">
        <v>260</v>
      </c>
      <c r="C56" s="93" t="s">
        <v>261</v>
      </c>
      <c r="D56" s="93" t="s">
        <v>73</v>
      </c>
      <c r="E56" s="94">
        <v>53065</v>
      </c>
      <c r="F56" s="95">
        <v>925.82505500000002</v>
      </c>
      <c r="G56" s="96">
        <v>5.3590599999999997E-3</v>
      </c>
      <c r="H56" s="86" t="s">
        <v>142</v>
      </c>
    </row>
    <row r="57" spans="1:8" x14ac:dyDescent="0.2">
      <c r="A57" s="92">
        <v>51</v>
      </c>
      <c r="B57" s="93" t="s">
        <v>516</v>
      </c>
      <c r="C57" s="93" t="s">
        <v>517</v>
      </c>
      <c r="D57" s="93" t="s">
        <v>232</v>
      </c>
      <c r="E57" s="94">
        <v>179000</v>
      </c>
      <c r="F57" s="95">
        <v>840.67349999999999</v>
      </c>
      <c r="G57" s="96">
        <v>4.8661700000000004E-3</v>
      </c>
      <c r="H57" s="86" t="s">
        <v>142</v>
      </c>
    </row>
    <row r="58" spans="1:8" x14ac:dyDescent="0.2">
      <c r="A58" s="92">
        <v>52</v>
      </c>
      <c r="B58" s="93" t="s">
        <v>187</v>
      </c>
      <c r="C58" s="93" t="s">
        <v>188</v>
      </c>
      <c r="D58" s="93" t="s">
        <v>109</v>
      </c>
      <c r="E58" s="94">
        <v>80655</v>
      </c>
      <c r="F58" s="95">
        <v>825.14097749999996</v>
      </c>
      <c r="G58" s="96">
        <v>4.7762600000000001E-3</v>
      </c>
      <c r="H58" s="86" t="s">
        <v>142</v>
      </c>
    </row>
    <row r="59" spans="1:8" x14ac:dyDescent="0.2">
      <c r="A59" s="92">
        <v>53</v>
      </c>
      <c r="B59" s="93" t="s">
        <v>483</v>
      </c>
      <c r="C59" s="93" t="s">
        <v>484</v>
      </c>
      <c r="D59" s="93" t="s">
        <v>215</v>
      </c>
      <c r="E59" s="94">
        <v>31793</v>
      </c>
      <c r="F59" s="95">
        <v>812.47011499999996</v>
      </c>
      <c r="G59" s="96">
        <v>4.7029100000000002E-3</v>
      </c>
      <c r="H59" s="86" t="s">
        <v>142</v>
      </c>
    </row>
    <row r="60" spans="1:8" x14ac:dyDescent="0.2">
      <c r="A60" s="92">
        <v>54</v>
      </c>
      <c r="B60" s="93" t="s">
        <v>518</v>
      </c>
      <c r="C60" s="93" t="s">
        <v>519</v>
      </c>
      <c r="D60" s="93" t="s">
        <v>204</v>
      </c>
      <c r="E60" s="94">
        <v>37921</v>
      </c>
      <c r="F60" s="95">
        <v>540.14672399999995</v>
      </c>
      <c r="G60" s="96">
        <v>3.1265899999999998E-3</v>
      </c>
      <c r="H60" s="86" t="s">
        <v>142</v>
      </c>
    </row>
    <row r="61" spans="1:8" ht="25.5" x14ac:dyDescent="0.2">
      <c r="A61" s="92">
        <v>55</v>
      </c>
      <c r="B61" s="93" t="s">
        <v>668</v>
      </c>
      <c r="C61" s="93" t="s">
        <v>669</v>
      </c>
      <c r="D61" s="93" t="s">
        <v>207</v>
      </c>
      <c r="E61" s="94">
        <v>77400</v>
      </c>
      <c r="F61" s="95">
        <v>466.25760000000002</v>
      </c>
      <c r="G61" s="96">
        <v>2.6988899999999998E-3</v>
      </c>
      <c r="H61" s="86" t="s">
        <v>142</v>
      </c>
    </row>
    <row r="62" spans="1:8" x14ac:dyDescent="0.2">
      <c r="A62" s="92">
        <v>56</v>
      </c>
      <c r="B62" s="93" t="s">
        <v>303</v>
      </c>
      <c r="C62" s="93" t="s">
        <v>304</v>
      </c>
      <c r="D62" s="93" t="s">
        <v>109</v>
      </c>
      <c r="E62" s="94">
        <v>85435</v>
      </c>
      <c r="F62" s="95">
        <v>460.83638999999999</v>
      </c>
      <c r="G62" s="96">
        <v>2.6675100000000001E-3</v>
      </c>
      <c r="H62" s="86" t="s">
        <v>142</v>
      </c>
    </row>
    <row r="63" spans="1:8" x14ac:dyDescent="0.2">
      <c r="A63" s="92">
        <v>57</v>
      </c>
      <c r="B63" s="93" t="s">
        <v>348</v>
      </c>
      <c r="C63" s="93" t="s">
        <v>349</v>
      </c>
      <c r="D63" s="93" t="s">
        <v>218</v>
      </c>
      <c r="E63" s="94">
        <v>60937</v>
      </c>
      <c r="F63" s="95">
        <v>452.030666</v>
      </c>
      <c r="G63" s="96">
        <v>2.6165400000000001E-3</v>
      </c>
      <c r="H63" s="86" t="s">
        <v>142</v>
      </c>
    </row>
    <row r="64" spans="1:8" x14ac:dyDescent="0.2">
      <c r="A64" s="92">
        <v>58</v>
      </c>
      <c r="B64" s="93" t="s">
        <v>76</v>
      </c>
      <c r="C64" s="93" t="s">
        <v>77</v>
      </c>
      <c r="D64" s="93" t="s">
        <v>78</v>
      </c>
      <c r="E64" s="94">
        <v>222925</v>
      </c>
      <c r="F64" s="95">
        <v>407.41773000000001</v>
      </c>
      <c r="G64" s="96">
        <v>2.3582999999999998E-3</v>
      </c>
      <c r="H64" s="86" t="s">
        <v>142</v>
      </c>
    </row>
    <row r="65" spans="1:8" x14ac:dyDescent="0.2">
      <c r="A65" s="92">
        <v>59</v>
      </c>
      <c r="B65" s="93" t="s">
        <v>226</v>
      </c>
      <c r="C65" s="93" t="s">
        <v>227</v>
      </c>
      <c r="D65" s="93" t="s">
        <v>58</v>
      </c>
      <c r="E65" s="94">
        <v>4880</v>
      </c>
      <c r="F65" s="95">
        <v>375.95519999999999</v>
      </c>
      <c r="G65" s="96">
        <v>2.1761800000000002E-3</v>
      </c>
      <c r="H65" s="86" t="s">
        <v>142</v>
      </c>
    </row>
    <row r="66" spans="1:8" ht="25.5" x14ac:dyDescent="0.2">
      <c r="A66" s="92">
        <v>60</v>
      </c>
      <c r="B66" s="93" t="s">
        <v>208</v>
      </c>
      <c r="C66" s="93" t="s">
        <v>209</v>
      </c>
      <c r="D66" s="93" t="s">
        <v>210</v>
      </c>
      <c r="E66" s="94">
        <v>20770</v>
      </c>
      <c r="F66" s="95">
        <v>370.82758000000001</v>
      </c>
      <c r="G66" s="96">
        <v>2.1465E-3</v>
      </c>
      <c r="H66" s="86" t="s">
        <v>142</v>
      </c>
    </row>
    <row r="67" spans="1:8" x14ac:dyDescent="0.2">
      <c r="A67" s="97"/>
      <c r="B67" s="97"/>
      <c r="C67" s="98" t="s">
        <v>141</v>
      </c>
      <c r="D67" s="97"/>
      <c r="E67" s="97" t="s">
        <v>142</v>
      </c>
      <c r="F67" s="99">
        <f>SUM(F7:F66)</f>
        <v>132839.75158350004</v>
      </c>
      <c r="G67" s="100">
        <f>SUM(G7:G66)</f>
        <v>0.7689314350202574</v>
      </c>
      <c r="H67" s="86" t="s">
        <v>142</v>
      </c>
    </row>
    <row r="68" spans="1:8" x14ac:dyDescent="0.2">
      <c r="A68" s="97"/>
      <c r="B68" s="97"/>
      <c r="C68" s="101"/>
      <c r="D68" s="97"/>
      <c r="E68" s="97"/>
      <c r="F68" s="102"/>
      <c r="G68" s="102"/>
      <c r="H68" s="86" t="s">
        <v>142</v>
      </c>
    </row>
    <row r="69" spans="1:8" x14ac:dyDescent="0.2">
      <c r="A69" s="97"/>
      <c r="B69" s="97"/>
      <c r="C69" s="98" t="s">
        <v>143</v>
      </c>
      <c r="D69" s="97"/>
      <c r="E69" s="97"/>
      <c r="F69" s="97"/>
      <c r="G69" s="97"/>
      <c r="H69" s="86" t="s">
        <v>142</v>
      </c>
    </row>
    <row r="70" spans="1:8" x14ac:dyDescent="0.2">
      <c r="A70" s="97"/>
      <c r="B70" s="97"/>
      <c r="C70" s="98" t="s">
        <v>141</v>
      </c>
      <c r="D70" s="97"/>
      <c r="E70" s="97" t="s">
        <v>142</v>
      </c>
      <c r="F70" s="103" t="s">
        <v>144</v>
      </c>
      <c r="G70" s="100">
        <v>0</v>
      </c>
      <c r="H70" s="86" t="s">
        <v>142</v>
      </c>
    </row>
    <row r="71" spans="1:8" x14ac:dyDescent="0.2">
      <c r="A71" s="97"/>
      <c r="B71" s="97"/>
      <c r="C71" s="101"/>
      <c r="D71" s="97"/>
      <c r="E71" s="97"/>
      <c r="F71" s="102"/>
      <c r="G71" s="102"/>
      <c r="H71" s="86" t="s">
        <v>142</v>
      </c>
    </row>
    <row r="72" spans="1:8" x14ac:dyDescent="0.2">
      <c r="A72" s="97"/>
      <c r="B72" s="97"/>
      <c r="C72" s="98" t="s">
        <v>145</v>
      </c>
      <c r="D72" s="97"/>
      <c r="E72" s="97"/>
      <c r="F72" s="97"/>
      <c r="G72" s="97"/>
      <c r="H72" s="86" t="s">
        <v>142</v>
      </c>
    </row>
    <row r="73" spans="1:8" x14ac:dyDescent="0.2">
      <c r="A73" s="97"/>
      <c r="B73" s="97"/>
      <c r="C73" s="98" t="s">
        <v>141</v>
      </c>
      <c r="D73" s="97"/>
      <c r="E73" s="97" t="s">
        <v>142</v>
      </c>
      <c r="F73" s="103" t="s">
        <v>144</v>
      </c>
      <c r="G73" s="100">
        <v>0</v>
      </c>
      <c r="H73" s="86" t="s">
        <v>142</v>
      </c>
    </row>
    <row r="74" spans="1:8" x14ac:dyDescent="0.2">
      <c r="A74" s="97"/>
      <c r="B74" s="97"/>
      <c r="C74" s="101"/>
      <c r="D74" s="97"/>
      <c r="E74" s="97"/>
      <c r="F74" s="102"/>
      <c r="G74" s="102"/>
      <c r="H74" s="86" t="s">
        <v>142</v>
      </c>
    </row>
    <row r="75" spans="1:8" x14ac:dyDescent="0.2">
      <c r="A75" s="97"/>
      <c r="B75" s="97"/>
      <c r="C75" s="98" t="s">
        <v>146</v>
      </c>
      <c r="D75" s="97"/>
      <c r="E75" s="97"/>
      <c r="F75" s="97"/>
      <c r="G75" s="97"/>
      <c r="H75" s="86" t="s">
        <v>142</v>
      </c>
    </row>
    <row r="76" spans="1:8" x14ac:dyDescent="0.2">
      <c r="A76" s="97"/>
      <c r="B76" s="97"/>
      <c r="C76" s="98" t="s">
        <v>141</v>
      </c>
      <c r="D76" s="97"/>
      <c r="E76" s="97" t="s">
        <v>142</v>
      </c>
      <c r="F76" s="103" t="s">
        <v>144</v>
      </c>
      <c r="G76" s="100">
        <v>0</v>
      </c>
      <c r="H76" s="86" t="s">
        <v>142</v>
      </c>
    </row>
    <row r="77" spans="1:8" x14ac:dyDescent="0.2">
      <c r="A77" s="97"/>
      <c r="B77" s="97"/>
      <c r="C77" s="101"/>
      <c r="D77" s="97"/>
      <c r="E77" s="97"/>
      <c r="F77" s="102"/>
      <c r="G77" s="102"/>
      <c r="H77" s="86" t="s">
        <v>142</v>
      </c>
    </row>
    <row r="78" spans="1:8" x14ac:dyDescent="0.2">
      <c r="A78" s="97"/>
      <c r="B78" s="97"/>
      <c r="C78" s="98" t="s">
        <v>147</v>
      </c>
      <c r="D78" s="97"/>
      <c r="E78" s="97"/>
      <c r="F78" s="102"/>
      <c r="G78" s="102"/>
      <c r="H78" s="86" t="s">
        <v>142</v>
      </c>
    </row>
    <row r="79" spans="1:8" x14ac:dyDescent="0.2">
      <c r="A79" s="97"/>
      <c r="B79" s="97"/>
      <c r="C79" s="98" t="s">
        <v>141</v>
      </c>
      <c r="D79" s="97"/>
      <c r="E79" s="97" t="s">
        <v>142</v>
      </c>
      <c r="F79" s="103" t="s">
        <v>144</v>
      </c>
      <c r="G79" s="100">
        <v>0</v>
      </c>
      <c r="H79" s="86" t="s">
        <v>142</v>
      </c>
    </row>
    <row r="80" spans="1:8" x14ac:dyDescent="0.2">
      <c r="A80" s="84"/>
      <c r="B80" s="84"/>
      <c r="C80" s="137"/>
      <c r="D80" s="84"/>
      <c r="E80" s="84"/>
      <c r="F80" s="117"/>
      <c r="G80" s="117"/>
      <c r="H80" s="86" t="s">
        <v>142</v>
      </c>
    </row>
    <row r="81" spans="1:8" x14ac:dyDescent="0.2">
      <c r="A81" s="84"/>
      <c r="B81" s="84"/>
      <c r="C81" s="85" t="s">
        <v>948</v>
      </c>
      <c r="D81" s="84"/>
      <c r="E81" s="84"/>
      <c r="F81" s="84"/>
      <c r="G81" s="84"/>
      <c r="H81" s="86" t="s">
        <v>142</v>
      </c>
    </row>
    <row r="82" spans="1:8" ht="25.5" x14ac:dyDescent="0.2">
      <c r="A82" s="87">
        <v>1</v>
      </c>
      <c r="B82" s="88" t="s">
        <v>949</v>
      </c>
      <c r="C82" s="88" t="s">
        <v>950</v>
      </c>
      <c r="D82" s="88" t="s">
        <v>951</v>
      </c>
      <c r="E82" s="89">
        <v>750</v>
      </c>
      <c r="F82" s="90">
        <f>89216996.33/10^5</f>
        <v>892.16996329999995</v>
      </c>
      <c r="G82" s="91">
        <f>F82/F165</f>
        <v>5.1642487575804278E-3</v>
      </c>
      <c r="H82" s="86">
        <v>7.15</v>
      </c>
    </row>
    <row r="83" spans="1:8" x14ac:dyDescent="0.2">
      <c r="A83" s="84"/>
      <c r="B83" s="84"/>
      <c r="C83" s="85" t="s">
        <v>141</v>
      </c>
      <c r="D83" s="84"/>
      <c r="E83" s="84" t="s">
        <v>142</v>
      </c>
      <c r="F83" s="138">
        <f>SUM(F82)</f>
        <v>892.16996329999995</v>
      </c>
      <c r="G83" s="139">
        <f>SUM(G82)</f>
        <v>5.1642487575804278E-3</v>
      </c>
      <c r="H83" s="86" t="s">
        <v>142</v>
      </c>
    </row>
    <row r="84" spans="1:8" x14ac:dyDescent="0.2">
      <c r="A84" s="97"/>
      <c r="B84" s="97"/>
      <c r="C84" s="101"/>
      <c r="D84" s="97"/>
      <c r="E84" s="97"/>
      <c r="F84" s="102"/>
      <c r="G84" s="102"/>
      <c r="H84" s="86" t="s">
        <v>142</v>
      </c>
    </row>
    <row r="85" spans="1:8" x14ac:dyDescent="0.2">
      <c r="A85" s="97"/>
      <c r="B85" s="97"/>
      <c r="C85" s="98" t="s">
        <v>952</v>
      </c>
      <c r="D85" s="97"/>
      <c r="E85" s="97"/>
      <c r="F85" s="102"/>
      <c r="G85" s="102"/>
      <c r="H85" s="86" t="s">
        <v>142</v>
      </c>
    </row>
    <row r="86" spans="1:8" ht="25.5" x14ac:dyDescent="0.2">
      <c r="A86" s="92">
        <v>1</v>
      </c>
      <c r="B86" s="93"/>
      <c r="C86" s="93" t="s">
        <v>1043</v>
      </c>
      <c r="D86" s="93" t="s">
        <v>497</v>
      </c>
      <c r="E86" s="94">
        <v>-77400</v>
      </c>
      <c r="F86" s="95">
        <v>-469.35359999999997</v>
      </c>
      <c r="G86" s="96">
        <f>F86/$F$165</f>
        <v>-2.716812765922335E-3</v>
      </c>
      <c r="H86" s="86" t="s">
        <v>142</v>
      </c>
    </row>
    <row r="87" spans="1:8" x14ac:dyDescent="0.2">
      <c r="A87" s="92">
        <v>2</v>
      </c>
      <c r="B87" s="93"/>
      <c r="C87" s="93" t="s">
        <v>1044</v>
      </c>
      <c r="D87" s="93" t="s">
        <v>497</v>
      </c>
      <c r="E87" s="94">
        <v>-11750</v>
      </c>
      <c r="F87" s="95">
        <v>-1092.6324999999999</v>
      </c>
      <c r="G87" s="96">
        <f t="shared" ref="G87:G98" si="0">F87/$F$165</f>
        <v>-6.3246088332158008E-3</v>
      </c>
      <c r="H87" s="86" t="s">
        <v>142</v>
      </c>
    </row>
    <row r="88" spans="1:8" x14ac:dyDescent="0.2">
      <c r="A88" s="92">
        <v>3</v>
      </c>
      <c r="B88" s="93"/>
      <c r="C88" s="93" t="s">
        <v>1045</v>
      </c>
      <c r="D88" s="93" t="s">
        <v>497</v>
      </c>
      <c r="E88" s="94">
        <v>-43925</v>
      </c>
      <c r="F88" s="95">
        <v>-1350.9573</v>
      </c>
      <c r="G88" s="96">
        <f t="shared" si="0"/>
        <v>-7.8198996212151557E-3</v>
      </c>
      <c r="H88" s="86" t="s">
        <v>142</v>
      </c>
    </row>
    <row r="89" spans="1:8" x14ac:dyDescent="0.2">
      <c r="A89" s="92">
        <v>4</v>
      </c>
      <c r="B89" s="93"/>
      <c r="C89" s="93" t="s">
        <v>1022</v>
      </c>
      <c r="D89" s="93" t="s">
        <v>497</v>
      </c>
      <c r="E89" s="94">
        <v>-31950</v>
      </c>
      <c r="F89" s="95">
        <v>-1505.4839999999999</v>
      </c>
      <c r="G89" s="96">
        <f t="shared" si="0"/>
        <v>-8.7143640745310572E-3</v>
      </c>
      <c r="H89" s="86" t="s">
        <v>142</v>
      </c>
    </row>
    <row r="90" spans="1:8" x14ac:dyDescent="0.2">
      <c r="A90" s="92">
        <v>5</v>
      </c>
      <c r="B90" s="93"/>
      <c r="C90" s="93" t="s">
        <v>1009</v>
      </c>
      <c r="D90" s="93" t="s">
        <v>497</v>
      </c>
      <c r="E90" s="94">
        <v>-128625</v>
      </c>
      <c r="F90" s="95">
        <v>-1938.764625</v>
      </c>
      <c r="G90" s="96">
        <f t="shared" si="0"/>
        <v>-1.1222371541027124E-2</v>
      </c>
      <c r="H90" s="86" t="s">
        <v>142</v>
      </c>
    </row>
    <row r="91" spans="1:8" x14ac:dyDescent="0.2">
      <c r="A91" s="92">
        <v>6</v>
      </c>
      <c r="B91" s="93"/>
      <c r="C91" s="93" t="s">
        <v>996</v>
      </c>
      <c r="D91" s="93" t="s">
        <v>497</v>
      </c>
      <c r="E91" s="94">
        <v>-96500</v>
      </c>
      <c r="F91" s="95">
        <v>-2028.43</v>
      </c>
      <c r="G91" s="96">
        <f t="shared" si="0"/>
        <v>-1.1741391817980819E-2</v>
      </c>
      <c r="H91" s="86" t="s">
        <v>142</v>
      </c>
    </row>
    <row r="92" spans="1:8" x14ac:dyDescent="0.2">
      <c r="A92" s="92">
        <v>7</v>
      </c>
      <c r="B92" s="93"/>
      <c r="C92" s="93" t="s">
        <v>1039</v>
      </c>
      <c r="D92" s="93" t="s">
        <v>497</v>
      </c>
      <c r="E92" s="94">
        <v>-147000</v>
      </c>
      <c r="F92" s="95">
        <v>-2199.12</v>
      </c>
      <c r="G92" s="96">
        <f t="shared" si="0"/>
        <v>-1.2729416136991653E-2</v>
      </c>
      <c r="H92" s="86" t="s">
        <v>142</v>
      </c>
    </row>
    <row r="93" spans="1:8" x14ac:dyDescent="0.2">
      <c r="A93" s="92">
        <v>8</v>
      </c>
      <c r="B93" s="93"/>
      <c r="C93" s="93" t="s">
        <v>1023</v>
      </c>
      <c r="D93" s="93" t="s">
        <v>497</v>
      </c>
      <c r="E93" s="94">
        <v>-110800</v>
      </c>
      <c r="F93" s="95">
        <v>-2344.7496000000001</v>
      </c>
      <c r="G93" s="96">
        <f t="shared" si="0"/>
        <v>-1.3572380495582199E-2</v>
      </c>
      <c r="H93" s="86" t="s">
        <v>142</v>
      </c>
    </row>
    <row r="94" spans="1:8" x14ac:dyDescent="0.2">
      <c r="A94" s="92">
        <v>9</v>
      </c>
      <c r="B94" s="93"/>
      <c r="C94" s="93" t="s">
        <v>1011</v>
      </c>
      <c r="D94" s="93" t="s">
        <v>497</v>
      </c>
      <c r="E94" s="94">
        <v>-936000</v>
      </c>
      <c r="F94" s="95">
        <v>-2617.9920000000002</v>
      </c>
      <c r="G94" s="96">
        <f t="shared" si="0"/>
        <v>-1.5154020522443093E-2</v>
      </c>
      <c r="H94" s="86" t="s">
        <v>142</v>
      </c>
    </row>
    <row r="95" spans="1:8" x14ac:dyDescent="0.2">
      <c r="A95" s="92">
        <v>10</v>
      </c>
      <c r="B95" s="93"/>
      <c r="C95" s="93" t="s">
        <v>1007</v>
      </c>
      <c r="D95" s="93" t="s">
        <v>497</v>
      </c>
      <c r="E95" s="94">
        <v>-1917000</v>
      </c>
      <c r="F95" s="95">
        <v>-2639.5173</v>
      </c>
      <c r="G95" s="96">
        <f t="shared" si="0"/>
        <v>-1.5278617861912328E-2</v>
      </c>
      <c r="H95" s="86" t="s">
        <v>142</v>
      </c>
    </row>
    <row r="96" spans="1:8" x14ac:dyDescent="0.2">
      <c r="A96" s="92">
        <v>11</v>
      </c>
      <c r="B96" s="93"/>
      <c r="C96" s="93" t="s">
        <v>1031</v>
      </c>
      <c r="D96" s="93" t="s">
        <v>497</v>
      </c>
      <c r="E96" s="94">
        <v>-128725</v>
      </c>
      <c r="F96" s="95">
        <v>-2661.5180999999998</v>
      </c>
      <c r="G96" s="96">
        <f t="shared" si="0"/>
        <v>-1.5405967592052894E-2</v>
      </c>
      <c r="H96" s="86" t="s">
        <v>142</v>
      </c>
    </row>
    <row r="97" spans="1:8" ht="25.5" x14ac:dyDescent="0.2">
      <c r="A97" s="92">
        <v>12</v>
      </c>
      <c r="B97" s="93"/>
      <c r="C97" s="93" t="s">
        <v>1005</v>
      </c>
      <c r="D97" s="93" t="s">
        <v>497</v>
      </c>
      <c r="E97" s="94">
        <v>-892400</v>
      </c>
      <c r="F97" s="95">
        <v>-2854.7876000000001</v>
      </c>
      <c r="G97" s="96">
        <f t="shared" si="0"/>
        <v>-1.6524691396160134E-2</v>
      </c>
      <c r="H97" s="86" t="s">
        <v>142</v>
      </c>
    </row>
    <row r="98" spans="1:8" x14ac:dyDescent="0.2">
      <c r="A98" s="92">
        <v>13</v>
      </c>
      <c r="B98" s="93"/>
      <c r="C98" s="93" t="s">
        <v>1038</v>
      </c>
      <c r="D98" s="93" t="s">
        <v>497</v>
      </c>
      <c r="E98" s="94">
        <v>-226800</v>
      </c>
      <c r="F98" s="95">
        <v>-3071.7791999999999</v>
      </c>
      <c r="G98" s="96">
        <f t="shared" si="0"/>
        <v>-1.7780728526754025E-2</v>
      </c>
      <c r="H98" s="86" t="s">
        <v>142</v>
      </c>
    </row>
    <row r="99" spans="1:8" x14ac:dyDescent="0.2">
      <c r="A99" s="97"/>
      <c r="B99" s="97"/>
      <c r="C99" s="98" t="s">
        <v>141</v>
      </c>
      <c r="D99" s="97"/>
      <c r="E99" s="97" t="s">
        <v>142</v>
      </c>
      <c r="F99" s="99">
        <v>-26775.085824999998</v>
      </c>
      <c r="G99" s="100">
        <f>SUM(G86:G98)</f>
        <v>-0.15498527118578861</v>
      </c>
      <c r="H99" s="86" t="s">
        <v>142</v>
      </c>
    </row>
    <row r="100" spans="1:8" x14ac:dyDescent="0.2">
      <c r="A100" s="97"/>
      <c r="B100" s="97"/>
      <c r="C100" s="101"/>
      <c r="D100" s="97"/>
      <c r="E100" s="97"/>
      <c r="F100" s="102"/>
      <c r="G100" s="102"/>
      <c r="H100" s="86" t="s">
        <v>142</v>
      </c>
    </row>
    <row r="101" spans="1:8" x14ac:dyDescent="0.2">
      <c r="A101" s="97"/>
      <c r="B101" s="97"/>
      <c r="C101" s="98" t="s">
        <v>149</v>
      </c>
      <c r="D101" s="97"/>
      <c r="E101" s="97"/>
      <c r="F101" s="99">
        <f>F67+F83</f>
        <v>133731.92154680003</v>
      </c>
      <c r="G101" s="100">
        <f>G83+G67</f>
        <v>0.77409568377783788</v>
      </c>
      <c r="H101" s="86" t="s">
        <v>142</v>
      </c>
    </row>
    <row r="102" spans="1:8" x14ac:dyDescent="0.2">
      <c r="A102" s="97"/>
      <c r="B102" s="97"/>
      <c r="C102" s="101"/>
      <c r="D102" s="97"/>
      <c r="E102" s="97"/>
      <c r="F102" s="102"/>
      <c r="G102" s="102"/>
      <c r="H102" s="86" t="s">
        <v>142</v>
      </c>
    </row>
    <row r="103" spans="1:8" x14ac:dyDescent="0.2">
      <c r="A103" s="97"/>
      <c r="B103" s="97"/>
      <c r="C103" s="98" t="s">
        <v>150</v>
      </c>
      <c r="D103" s="97"/>
      <c r="E103" s="97"/>
      <c r="F103" s="102"/>
      <c r="G103" s="102"/>
      <c r="H103" s="86" t="s">
        <v>142</v>
      </c>
    </row>
    <row r="104" spans="1:8" x14ac:dyDescent="0.2">
      <c r="A104" s="97"/>
      <c r="B104" s="97"/>
      <c r="C104" s="98" t="s">
        <v>10</v>
      </c>
      <c r="D104" s="97"/>
      <c r="E104" s="97"/>
      <c r="F104" s="102"/>
      <c r="G104" s="102"/>
      <c r="H104" s="86" t="s">
        <v>142</v>
      </c>
    </row>
    <row r="105" spans="1:8" x14ac:dyDescent="0.2">
      <c r="A105" s="92">
        <v>1</v>
      </c>
      <c r="B105" s="93" t="s">
        <v>670</v>
      </c>
      <c r="C105" s="93" t="s">
        <v>671</v>
      </c>
      <c r="D105" s="93" t="s">
        <v>523</v>
      </c>
      <c r="E105" s="94">
        <v>2500</v>
      </c>
      <c r="F105" s="95">
        <v>2563.5349999999999</v>
      </c>
      <c r="G105" s="96">
        <v>1.4838799999999999E-2</v>
      </c>
      <c r="H105" s="86">
        <v>6.7377000000000002</v>
      </c>
    </row>
    <row r="106" spans="1:8" x14ac:dyDescent="0.2">
      <c r="A106" s="92">
        <v>2</v>
      </c>
      <c r="B106" s="93" t="s">
        <v>536</v>
      </c>
      <c r="C106" s="93" t="s">
        <v>537</v>
      </c>
      <c r="D106" s="93" t="s">
        <v>526</v>
      </c>
      <c r="E106" s="94">
        <v>150</v>
      </c>
      <c r="F106" s="95">
        <v>1561.1655000000001</v>
      </c>
      <c r="G106" s="96">
        <v>9.0366700000000001E-3</v>
      </c>
      <c r="H106" s="86">
        <v>7.28</v>
      </c>
    </row>
    <row r="107" spans="1:8" ht="25.5" x14ac:dyDescent="0.2">
      <c r="A107" s="92">
        <v>3</v>
      </c>
      <c r="B107" s="93" t="s">
        <v>542</v>
      </c>
      <c r="C107" s="93" t="s">
        <v>543</v>
      </c>
      <c r="D107" s="93" t="s">
        <v>523</v>
      </c>
      <c r="E107" s="94">
        <v>1500</v>
      </c>
      <c r="F107" s="95">
        <v>1529.0595000000001</v>
      </c>
      <c r="G107" s="96">
        <v>8.8508300000000005E-3</v>
      </c>
      <c r="H107" s="86">
        <v>6.64</v>
      </c>
    </row>
    <row r="108" spans="1:8" ht="25.5" x14ac:dyDescent="0.2">
      <c r="A108" s="92">
        <v>4</v>
      </c>
      <c r="B108" s="93" t="s">
        <v>672</v>
      </c>
      <c r="C108" s="93" t="s">
        <v>673</v>
      </c>
      <c r="D108" s="93" t="s">
        <v>526</v>
      </c>
      <c r="E108" s="94">
        <v>1500</v>
      </c>
      <c r="F108" s="95">
        <v>1508.646</v>
      </c>
      <c r="G108" s="96">
        <v>8.7326699999999997E-3</v>
      </c>
      <c r="H108" s="86">
        <v>6.64</v>
      </c>
    </row>
    <row r="109" spans="1:8" ht="25.5" x14ac:dyDescent="0.2">
      <c r="A109" s="92">
        <v>5</v>
      </c>
      <c r="B109" s="93" t="s">
        <v>527</v>
      </c>
      <c r="C109" s="93" t="s">
        <v>528</v>
      </c>
      <c r="D109" s="93" t="s">
        <v>523</v>
      </c>
      <c r="E109" s="94">
        <v>1500</v>
      </c>
      <c r="F109" s="95">
        <v>1496.721</v>
      </c>
      <c r="G109" s="96">
        <v>8.6636400000000002E-3</v>
      </c>
      <c r="H109" s="86">
        <v>6.74</v>
      </c>
    </row>
    <row r="110" spans="1:8" ht="25.5" x14ac:dyDescent="0.2">
      <c r="A110" s="92">
        <v>6</v>
      </c>
      <c r="B110" s="93" t="s">
        <v>562</v>
      </c>
      <c r="C110" s="93" t="s">
        <v>563</v>
      </c>
      <c r="D110" s="93" t="s">
        <v>523</v>
      </c>
      <c r="E110" s="94">
        <v>1000</v>
      </c>
      <c r="F110" s="95">
        <v>1046.826</v>
      </c>
      <c r="G110" s="96">
        <v>6.05946E-3</v>
      </c>
      <c r="H110" s="86">
        <v>7.1612999999999998</v>
      </c>
    </row>
    <row r="111" spans="1:8" x14ac:dyDescent="0.2">
      <c r="A111" s="92">
        <v>7</v>
      </c>
      <c r="B111" s="93" t="s">
        <v>587</v>
      </c>
      <c r="C111" s="93" t="s">
        <v>588</v>
      </c>
      <c r="D111" s="93" t="s">
        <v>523</v>
      </c>
      <c r="E111" s="94">
        <v>1000</v>
      </c>
      <c r="F111" s="95">
        <v>1006.04</v>
      </c>
      <c r="G111" s="96">
        <v>5.8233800000000004E-3</v>
      </c>
      <c r="H111" s="86">
        <v>6.5350000000000001</v>
      </c>
    </row>
    <row r="112" spans="1:8" x14ac:dyDescent="0.2">
      <c r="A112" s="92">
        <v>8</v>
      </c>
      <c r="B112" s="93" t="s">
        <v>674</v>
      </c>
      <c r="C112" s="93" t="s">
        <v>675</v>
      </c>
      <c r="D112" s="93" t="s">
        <v>526</v>
      </c>
      <c r="E112" s="94">
        <v>100</v>
      </c>
      <c r="F112" s="95">
        <v>1000.894</v>
      </c>
      <c r="G112" s="96">
        <v>5.7935900000000004E-3</v>
      </c>
      <c r="H112" s="86">
        <v>6.16</v>
      </c>
    </row>
    <row r="113" spans="1:8" x14ac:dyDescent="0.2">
      <c r="A113" s="92">
        <v>9</v>
      </c>
      <c r="B113" s="93" t="s">
        <v>578</v>
      </c>
      <c r="C113" s="93" t="s">
        <v>579</v>
      </c>
      <c r="D113" s="93" t="s">
        <v>526</v>
      </c>
      <c r="E113" s="94">
        <v>50</v>
      </c>
      <c r="F113" s="95">
        <v>497.6515</v>
      </c>
      <c r="G113" s="96">
        <v>2.88061E-3</v>
      </c>
      <c r="H113" s="86">
        <v>6.6950000000000003</v>
      </c>
    </row>
    <row r="114" spans="1:8" x14ac:dyDescent="0.2">
      <c r="A114" s="97"/>
      <c r="B114" s="97"/>
      <c r="C114" s="98" t="s">
        <v>141</v>
      </c>
      <c r="D114" s="97"/>
      <c r="E114" s="97" t="s">
        <v>142</v>
      </c>
      <c r="F114" s="99">
        <v>12210.538500000001</v>
      </c>
      <c r="G114" s="100">
        <v>7.0679649999999997E-2</v>
      </c>
      <c r="H114" s="86" t="s">
        <v>142</v>
      </c>
    </row>
    <row r="115" spans="1:8" x14ac:dyDescent="0.2">
      <c r="A115" s="97"/>
      <c r="B115" s="97"/>
      <c r="C115" s="101"/>
      <c r="D115" s="97"/>
      <c r="E115" s="97"/>
      <c r="F115" s="102"/>
      <c r="G115" s="102"/>
      <c r="H115" s="86" t="s">
        <v>142</v>
      </c>
    </row>
    <row r="116" spans="1:8" x14ac:dyDescent="0.2">
      <c r="A116" s="97"/>
      <c r="B116" s="97"/>
      <c r="C116" s="98" t="s">
        <v>151</v>
      </c>
      <c r="D116" s="97"/>
      <c r="E116" s="97"/>
      <c r="F116" s="97"/>
      <c r="G116" s="97"/>
      <c r="H116" s="86" t="s">
        <v>142</v>
      </c>
    </row>
    <row r="117" spans="1:8" x14ac:dyDescent="0.2">
      <c r="A117" s="97"/>
      <c r="B117" s="97"/>
      <c r="C117" s="98" t="s">
        <v>141</v>
      </c>
      <c r="D117" s="97"/>
      <c r="E117" s="97" t="s">
        <v>142</v>
      </c>
      <c r="F117" s="103" t="s">
        <v>144</v>
      </c>
      <c r="G117" s="100">
        <v>0</v>
      </c>
      <c r="H117" s="86" t="s">
        <v>142</v>
      </c>
    </row>
    <row r="118" spans="1:8" x14ac:dyDescent="0.2">
      <c r="A118" s="97"/>
      <c r="B118" s="97"/>
      <c r="C118" s="101"/>
      <c r="D118" s="97"/>
      <c r="E118" s="97"/>
      <c r="F118" s="102"/>
      <c r="G118" s="102"/>
      <c r="H118" s="86" t="s">
        <v>142</v>
      </c>
    </row>
    <row r="119" spans="1:8" x14ac:dyDescent="0.2">
      <c r="A119" s="97"/>
      <c r="B119" s="97"/>
      <c r="C119" s="98" t="s">
        <v>152</v>
      </c>
      <c r="D119" s="97"/>
      <c r="E119" s="97"/>
      <c r="F119" s="97"/>
      <c r="G119" s="97"/>
      <c r="H119" s="86" t="s">
        <v>142</v>
      </c>
    </row>
    <row r="120" spans="1:8" x14ac:dyDescent="0.2">
      <c r="A120" s="92">
        <v>1</v>
      </c>
      <c r="B120" s="93" t="s">
        <v>599</v>
      </c>
      <c r="C120" s="93" t="s">
        <v>1150</v>
      </c>
      <c r="D120" s="93" t="s">
        <v>601</v>
      </c>
      <c r="E120" s="94">
        <v>6500000</v>
      </c>
      <c r="F120" s="95">
        <v>6709.3455000000004</v>
      </c>
      <c r="G120" s="96">
        <v>3.8836469999999998E-2</v>
      </c>
      <c r="H120" s="86">
        <v>6.7038000000000002</v>
      </c>
    </row>
    <row r="121" spans="1:8" x14ac:dyDescent="0.2">
      <c r="A121" s="92">
        <v>2</v>
      </c>
      <c r="B121" s="93" t="s">
        <v>676</v>
      </c>
      <c r="C121" s="93" t="s">
        <v>1155</v>
      </c>
      <c r="D121" s="93" t="s">
        <v>601</v>
      </c>
      <c r="E121" s="94">
        <v>3000000</v>
      </c>
      <c r="F121" s="95">
        <v>3141.4169999999999</v>
      </c>
      <c r="G121" s="96">
        <v>1.818382E-2</v>
      </c>
      <c r="H121" s="86">
        <v>6.3106999999999998</v>
      </c>
    </row>
    <row r="122" spans="1:8" x14ac:dyDescent="0.2">
      <c r="A122" s="92">
        <v>3</v>
      </c>
      <c r="B122" s="93" t="s">
        <v>602</v>
      </c>
      <c r="C122" s="93" t="s">
        <v>1149</v>
      </c>
      <c r="D122" s="93" t="s">
        <v>601</v>
      </c>
      <c r="E122" s="94">
        <v>3000000</v>
      </c>
      <c r="F122" s="95">
        <v>3088.5509999999999</v>
      </c>
      <c r="G122" s="96">
        <v>1.7877810000000001E-2</v>
      </c>
      <c r="H122" s="86">
        <v>7.0080999999999998</v>
      </c>
    </row>
    <row r="123" spans="1:8" x14ac:dyDescent="0.2">
      <c r="A123" s="92">
        <v>4</v>
      </c>
      <c r="B123" s="93" t="s">
        <v>662</v>
      </c>
      <c r="C123" s="93" t="s">
        <v>663</v>
      </c>
      <c r="D123" s="93" t="s">
        <v>601</v>
      </c>
      <c r="E123" s="94">
        <v>3000000</v>
      </c>
      <c r="F123" s="95">
        <v>3076.74</v>
      </c>
      <c r="G123" s="96">
        <v>1.7809439999999999E-2</v>
      </c>
      <c r="H123" s="86">
        <v>5.7949999999999999</v>
      </c>
    </row>
    <row r="124" spans="1:8" x14ac:dyDescent="0.2">
      <c r="A124" s="92">
        <v>5</v>
      </c>
      <c r="B124" s="93" t="s">
        <v>603</v>
      </c>
      <c r="C124" s="93" t="s">
        <v>604</v>
      </c>
      <c r="D124" s="93" t="s">
        <v>601</v>
      </c>
      <c r="E124" s="94">
        <v>2000000</v>
      </c>
      <c r="F124" s="95">
        <v>2027.15</v>
      </c>
      <c r="G124" s="96">
        <v>1.173398E-2</v>
      </c>
      <c r="H124" s="86">
        <v>6.694</v>
      </c>
    </row>
    <row r="125" spans="1:8" x14ac:dyDescent="0.2">
      <c r="A125" s="92">
        <v>6</v>
      </c>
      <c r="B125" s="93" t="s">
        <v>610</v>
      </c>
      <c r="C125" s="93" t="s">
        <v>611</v>
      </c>
      <c r="D125" s="93" t="s">
        <v>601</v>
      </c>
      <c r="E125" s="94">
        <v>1500000</v>
      </c>
      <c r="F125" s="95">
        <v>1504.3965000000001</v>
      </c>
      <c r="G125" s="96">
        <v>8.70807E-3</v>
      </c>
      <c r="H125" s="86">
        <v>7.4507000000000003</v>
      </c>
    </row>
    <row r="126" spans="1:8" x14ac:dyDescent="0.2">
      <c r="A126" s="92">
        <v>7</v>
      </c>
      <c r="B126" s="93" t="s">
        <v>677</v>
      </c>
      <c r="C126" s="93" t="s">
        <v>678</v>
      </c>
      <c r="D126" s="93" t="s">
        <v>601</v>
      </c>
      <c r="E126" s="94">
        <v>1000000</v>
      </c>
      <c r="F126" s="95">
        <v>1036.0440000000001</v>
      </c>
      <c r="G126" s="96">
        <v>5.9970500000000003E-3</v>
      </c>
      <c r="H126" s="86">
        <v>6.3281999999999998</v>
      </c>
    </row>
    <row r="127" spans="1:8" ht="25.5" x14ac:dyDescent="0.2">
      <c r="A127" s="92">
        <v>8</v>
      </c>
      <c r="B127" s="93" t="s">
        <v>615</v>
      </c>
      <c r="C127" s="93" t="s">
        <v>616</v>
      </c>
      <c r="D127" s="93" t="s">
        <v>601</v>
      </c>
      <c r="E127" s="94">
        <v>500000</v>
      </c>
      <c r="F127" s="95">
        <v>509.44400000000002</v>
      </c>
      <c r="G127" s="96">
        <v>2.9488700000000001E-3</v>
      </c>
      <c r="H127" s="86">
        <v>7.2622999999999998</v>
      </c>
    </row>
    <row r="128" spans="1:8" ht="25.5" x14ac:dyDescent="0.2">
      <c r="A128" s="92">
        <v>9</v>
      </c>
      <c r="B128" s="93" t="s">
        <v>614</v>
      </c>
      <c r="C128" s="88" t="s">
        <v>953</v>
      </c>
      <c r="D128" s="93" t="s">
        <v>601</v>
      </c>
      <c r="E128" s="94">
        <v>500000</v>
      </c>
      <c r="F128" s="95">
        <v>504.76100000000002</v>
      </c>
      <c r="G128" s="96">
        <v>2.9217700000000002E-3</v>
      </c>
      <c r="H128" s="86">
        <v>7.0105414484705486</v>
      </c>
    </row>
    <row r="129" spans="1:8" x14ac:dyDescent="0.2">
      <c r="A129" s="97"/>
      <c r="B129" s="97"/>
      <c r="C129" s="98" t="s">
        <v>141</v>
      </c>
      <c r="D129" s="97"/>
      <c r="E129" s="97" t="s">
        <v>142</v>
      </c>
      <c r="F129" s="99">
        <v>21597.848999999998</v>
      </c>
      <c r="G129" s="100">
        <v>0.12501728000000001</v>
      </c>
      <c r="H129" s="86" t="s">
        <v>142</v>
      </c>
    </row>
    <row r="130" spans="1:8" x14ac:dyDescent="0.2">
      <c r="A130" s="97"/>
      <c r="B130" s="97"/>
      <c r="C130" s="101"/>
      <c r="D130" s="97"/>
      <c r="E130" s="97"/>
      <c r="F130" s="102"/>
      <c r="G130" s="102"/>
      <c r="H130" s="86" t="s">
        <v>142</v>
      </c>
    </row>
    <row r="131" spans="1:8" x14ac:dyDescent="0.2">
      <c r="A131" s="97"/>
      <c r="B131" s="97"/>
      <c r="C131" s="98" t="s">
        <v>153</v>
      </c>
      <c r="D131" s="97"/>
      <c r="E131" s="97"/>
      <c r="F131" s="102"/>
      <c r="G131" s="102"/>
      <c r="H131" s="86" t="s">
        <v>142</v>
      </c>
    </row>
    <row r="132" spans="1:8" x14ac:dyDescent="0.2">
      <c r="A132" s="97"/>
      <c r="B132" s="97"/>
      <c r="C132" s="98" t="s">
        <v>141</v>
      </c>
      <c r="D132" s="97"/>
      <c r="E132" s="97" t="s">
        <v>142</v>
      </c>
      <c r="F132" s="103" t="s">
        <v>144</v>
      </c>
      <c r="G132" s="100">
        <v>0</v>
      </c>
      <c r="H132" s="86" t="s">
        <v>142</v>
      </c>
    </row>
    <row r="133" spans="1:8" x14ac:dyDescent="0.2">
      <c r="A133" s="97"/>
      <c r="B133" s="97"/>
      <c r="C133" s="101"/>
      <c r="D133" s="97"/>
      <c r="E133" s="97"/>
      <c r="F133" s="102"/>
      <c r="G133" s="102"/>
      <c r="H133" s="86" t="s">
        <v>142</v>
      </c>
    </row>
    <row r="134" spans="1:8" x14ac:dyDescent="0.2">
      <c r="A134" s="97"/>
      <c r="B134" s="97"/>
      <c r="C134" s="98" t="s">
        <v>154</v>
      </c>
      <c r="D134" s="97"/>
      <c r="E134" s="97"/>
      <c r="F134" s="99">
        <v>33808.387499999997</v>
      </c>
      <c r="G134" s="100">
        <v>0.19569692999999999</v>
      </c>
      <c r="H134" s="86" t="s">
        <v>142</v>
      </c>
    </row>
    <row r="135" spans="1:8" x14ac:dyDescent="0.2">
      <c r="A135" s="97"/>
      <c r="B135" s="97"/>
      <c r="C135" s="101"/>
      <c r="D135" s="97"/>
      <c r="E135" s="97"/>
      <c r="F135" s="102"/>
      <c r="G135" s="102"/>
      <c r="H135" s="86" t="s">
        <v>142</v>
      </c>
    </row>
    <row r="136" spans="1:8" x14ac:dyDescent="0.2">
      <c r="A136" s="97"/>
      <c r="B136" s="97"/>
      <c r="C136" s="98" t="s">
        <v>155</v>
      </c>
      <c r="D136" s="97"/>
      <c r="E136" s="97"/>
      <c r="F136" s="102"/>
      <c r="G136" s="102"/>
      <c r="H136" s="86" t="s">
        <v>142</v>
      </c>
    </row>
    <row r="137" spans="1:8" x14ac:dyDescent="0.2">
      <c r="A137" s="97"/>
      <c r="B137" s="97"/>
      <c r="C137" s="98" t="s">
        <v>156</v>
      </c>
      <c r="D137" s="97"/>
      <c r="E137" s="97"/>
      <c r="F137" s="102"/>
      <c r="G137" s="102"/>
      <c r="H137" s="86" t="s">
        <v>142</v>
      </c>
    </row>
    <row r="138" spans="1:8" x14ac:dyDescent="0.2">
      <c r="A138" s="97"/>
      <c r="B138" s="97"/>
      <c r="C138" s="98" t="s">
        <v>141</v>
      </c>
      <c r="D138" s="97"/>
      <c r="E138" s="97" t="s">
        <v>142</v>
      </c>
      <c r="F138" s="103" t="s">
        <v>144</v>
      </c>
      <c r="G138" s="100">
        <v>0</v>
      </c>
      <c r="H138" s="86" t="s">
        <v>142</v>
      </c>
    </row>
    <row r="139" spans="1:8" x14ac:dyDescent="0.2">
      <c r="A139" s="97"/>
      <c r="B139" s="97"/>
      <c r="C139" s="101"/>
      <c r="D139" s="97"/>
      <c r="E139" s="97"/>
      <c r="F139" s="102"/>
      <c r="G139" s="102"/>
      <c r="H139" s="86" t="s">
        <v>142</v>
      </c>
    </row>
    <row r="140" spans="1:8" x14ac:dyDescent="0.2">
      <c r="A140" s="97"/>
      <c r="B140" s="97"/>
      <c r="C140" s="98" t="s">
        <v>157</v>
      </c>
      <c r="D140" s="97"/>
      <c r="E140" s="97"/>
      <c r="F140" s="102"/>
      <c r="G140" s="102"/>
      <c r="H140" s="86" t="s">
        <v>142</v>
      </c>
    </row>
    <row r="141" spans="1:8" x14ac:dyDescent="0.2">
      <c r="A141" s="97"/>
      <c r="B141" s="97"/>
      <c r="C141" s="98" t="s">
        <v>141</v>
      </c>
      <c r="D141" s="97"/>
      <c r="E141" s="97" t="s">
        <v>142</v>
      </c>
      <c r="F141" s="103" t="s">
        <v>144</v>
      </c>
      <c r="G141" s="100">
        <v>0</v>
      </c>
      <c r="H141" s="86" t="s">
        <v>142</v>
      </c>
    </row>
    <row r="142" spans="1:8" x14ac:dyDescent="0.2">
      <c r="A142" s="97"/>
      <c r="B142" s="97"/>
      <c r="C142" s="101"/>
      <c r="D142" s="97"/>
      <c r="E142" s="97"/>
      <c r="F142" s="102"/>
      <c r="G142" s="102"/>
      <c r="H142" s="86" t="s">
        <v>142</v>
      </c>
    </row>
    <row r="143" spans="1:8" x14ac:dyDescent="0.2">
      <c r="A143" s="97"/>
      <c r="B143" s="97"/>
      <c r="C143" s="98" t="s">
        <v>158</v>
      </c>
      <c r="D143" s="97"/>
      <c r="E143" s="97"/>
      <c r="F143" s="102"/>
      <c r="G143" s="102"/>
      <c r="H143" s="86" t="s">
        <v>142</v>
      </c>
    </row>
    <row r="144" spans="1:8" x14ac:dyDescent="0.2">
      <c r="A144" s="97"/>
      <c r="B144" s="97"/>
      <c r="C144" s="98" t="s">
        <v>141</v>
      </c>
      <c r="D144" s="97"/>
      <c r="E144" s="97" t="s">
        <v>142</v>
      </c>
      <c r="F144" s="103" t="s">
        <v>144</v>
      </c>
      <c r="G144" s="100">
        <v>0</v>
      </c>
      <c r="H144" s="86" t="s">
        <v>142</v>
      </c>
    </row>
    <row r="145" spans="1:8" x14ac:dyDescent="0.2">
      <c r="A145" s="97"/>
      <c r="B145" s="97"/>
      <c r="C145" s="101"/>
      <c r="D145" s="97"/>
      <c r="E145" s="97"/>
      <c r="F145" s="102"/>
      <c r="G145" s="102"/>
      <c r="H145" s="86" t="s">
        <v>142</v>
      </c>
    </row>
    <row r="146" spans="1:8" x14ac:dyDescent="0.2">
      <c r="A146" s="97"/>
      <c r="B146" s="97"/>
      <c r="C146" s="98" t="s">
        <v>159</v>
      </c>
      <c r="D146" s="97"/>
      <c r="E146" s="97"/>
      <c r="F146" s="102"/>
      <c r="G146" s="102"/>
      <c r="H146" s="86" t="s">
        <v>142</v>
      </c>
    </row>
    <row r="147" spans="1:8" x14ac:dyDescent="0.2">
      <c r="A147" s="92">
        <v>1</v>
      </c>
      <c r="B147" s="93"/>
      <c r="C147" s="93" t="s">
        <v>160</v>
      </c>
      <c r="D147" s="93"/>
      <c r="E147" s="104"/>
      <c r="F147" s="95">
        <v>4599.948694314</v>
      </c>
      <c r="G147" s="96">
        <v>2.662641E-2</v>
      </c>
      <c r="H147" s="86">
        <v>5.57</v>
      </c>
    </row>
    <row r="148" spans="1:8" x14ac:dyDescent="0.2">
      <c r="A148" s="97"/>
      <c r="B148" s="97"/>
      <c r="C148" s="98" t="s">
        <v>141</v>
      </c>
      <c r="D148" s="97"/>
      <c r="E148" s="97" t="s">
        <v>142</v>
      </c>
      <c r="F148" s="99">
        <v>4599.948694314</v>
      </c>
      <c r="G148" s="100">
        <v>2.662641E-2</v>
      </c>
      <c r="H148" s="86" t="s">
        <v>142</v>
      </c>
    </row>
    <row r="149" spans="1:8" x14ac:dyDescent="0.2">
      <c r="A149" s="97"/>
      <c r="B149" s="97"/>
      <c r="C149" s="101"/>
      <c r="D149" s="97"/>
      <c r="E149" s="97"/>
      <c r="F149" s="102"/>
      <c r="G149" s="102"/>
      <c r="H149" s="86" t="s">
        <v>142</v>
      </c>
    </row>
    <row r="150" spans="1:8" x14ac:dyDescent="0.2">
      <c r="A150" s="97"/>
      <c r="B150" s="97"/>
      <c r="C150" s="98" t="s">
        <v>161</v>
      </c>
      <c r="D150" s="97"/>
      <c r="E150" s="97"/>
      <c r="F150" s="99">
        <v>4599.948694314</v>
      </c>
      <c r="G150" s="100">
        <v>2.662641E-2</v>
      </c>
      <c r="H150" s="86" t="s">
        <v>142</v>
      </c>
    </row>
    <row r="151" spans="1:8" x14ac:dyDescent="0.2">
      <c r="A151" s="97"/>
      <c r="B151" s="97"/>
      <c r="C151" s="102"/>
      <c r="D151" s="97"/>
      <c r="E151" s="97"/>
      <c r="F151" s="97"/>
      <c r="G151" s="97"/>
      <c r="H151" s="86" t="s">
        <v>142</v>
      </c>
    </row>
    <row r="152" spans="1:8" x14ac:dyDescent="0.2">
      <c r="A152" s="97"/>
      <c r="B152" s="97"/>
      <c r="C152" s="98" t="s">
        <v>162</v>
      </c>
      <c r="D152" s="97"/>
      <c r="E152" s="97"/>
      <c r="F152" s="97"/>
      <c r="G152" s="97"/>
      <c r="H152" s="86" t="s">
        <v>142</v>
      </c>
    </row>
    <row r="153" spans="1:8" x14ac:dyDescent="0.2">
      <c r="A153" s="97"/>
      <c r="B153" s="97"/>
      <c r="C153" s="98" t="s">
        <v>163</v>
      </c>
      <c r="D153" s="97"/>
      <c r="E153" s="97"/>
      <c r="F153" s="97"/>
      <c r="G153" s="97"/>
      <c r="H153" s="86" t="s">
        <v>142</v>
      </c>
    </row>
    <row r="154" spans="1:8" x14ac:dyDescent="0.2">
      <c r="A154" s="97"/>
      <c r="B154" s="97"/>
      <c r="C154" s="98" t="s">
        <v>141</v>
      </c>
      <c r="D154" s="97"/>
      <c r="E154" s="97" t="s">
        <v>142</v>
      </c>
      <c r="F154" s="103" t="s">
        <v>144</v>
      </c>
      <c r="G154" s="100">
        <v>0</v>
      </c>
      <c r="H154" s="86" t="s">
        <v>142</v>
      </c>
    </row>
    <row r="155" spans="1:8" x14ac:dyDescent="0.2">
      <c r="A155" s="97"/>
      <c r="B155" s="97"/>
      <c r="C155" s="101"/>
      <c r="D155" s="97"/>
      <c r="E155" s="97"/>
      <c r="F155" s="102"/>
      <c r="G155" s="102"/>
      <c r="H155" s="86" t="s">
        <v>142</v>
      </c>
    </row>
    <row r="156" spans="1:8" x14ac:dyDescent="0.2">
      <c r="A156" s="97"/>
      <c r="B156" s="97"/>
      <c r="C156" s="98" t="s">
        <v>164</v>
      </c>
      <c r="D156" s="97"/>
      <c r="E156" s="97"/>
      <c r="F156" s="97"/>
      <c r="G156" s="97"/>
      <c r="H156" s="86" t="s">
        <v>142</v>
      </c>
    </row>
    <row r="157" spans="1:8" x14ac:dyDescent="0.2">
      <c r="A157" s="97"/>
      <c r="B157" s="97"/>
      <c r="C157" s="98" t="s">
        <v>165</v>
      </c>
      <c r="D157" s="97"/>
      <c r="E157" s="97"/>
      <c r="F157" s="97"/>
      <c r="G157" s="97"/>
      <c r="H157" s="86" t="s">
        <v>142</v>
      </c>
    </row>
    <row r="158" spans="1:8" x14ac:dyDescent="0.2">
      <c r="A158" s="97"/>
      <c r="B158" s="97"/>
      <c r="C158" s="98" t="s">
        <v>141</v>
      </c>
      <c r="D158" s="97"/>
      <c r="E158" s="97" t="s">
        <v>142</v>
      </c>
      <c r="F158" s="103" t="s">
        <v>144</v>
      </c>
      <c r="G158" s="100">
        <v>0</v>
      </c>
      <c r="H158" s="86" t="s">
        <v>142</v>
      </c>
    </row>
    <row r="159" spans="1:8" x14ac:dyDescent="0.2">
      <c r="A159" s="97"/>
      <c r="B159" s="97"/>
      <c r="C159" s="101"/>
      <c r="D159" s="97"/>
      <c r="E159" s="97"/>
      <c r="F159" s="102"/>
      <c r="G159" s="102"/>
      <c r="H159" s="86" t="s">
        <v>142</v>
      </c>
    </row>
    <row r="160" spans="1:8" x14ac:dyDescent="0.2">
      <c r="A160" s="97"/>
      <c r="B160" s="97"/>
      <c r="C160" s="98" t="s">
        <v>166</v>
      </c>
      <c r="D160" s="97"/>
      <c r="E160" s="97"/>
      <c r="F160" s="102"/>
      <c r="G160" s="102"/>
      <c r="H160" s="86" t="s">
        <v>142</v>
      </c>
    </row>
    <row r="161" spans="1:17" x14ac:dyDescent="0.2">
      <c r="A161" s="97"/>
      <c r="B161" s="97"/>
      <c r="C161" s="98" t="s">
        <v>141</v>
      </c>
      <c r="D161" s="97"/>
      <c r="E161" s="97" t="s">
        <v>142</v>
      </c>
      <c r="F161" s="103" t="s">
        <v>144</v>
      </c>
      <c r="G161" s="100">
        <v>0</v>
      </c>
      <c r="H161" s="86" t="s">
        <v>142</v>
      </c>
    </row>
    <row r="162" spans="1:17" x14ac:dyDescent="0.2">
      <c r="A162" s="97"/>
      <c r="B162" s="97"/>
      <c r="C162" s="101"/>
      <c r="D162" s="97"/>
      <c r="E162" s="97"/>
      <c r="F162" s="102"/>
      <c r="G162" s="102"/>
      <c r="H162" s="86" t="s">
        <v>142</v>
      </c>
    </row>
    <row r="163" spans="1:17" x14ac:dyDescent="0.2">
      <c r="A163" s="104"/>
      <c r="B163" s="93"/>
      <c r="C163" s="93" t="s">
        <v>500</v>
      </c>
      <c r="D163" s="93"/>
      <c r="E163" s="104"/>
      <c r="F163" s="95">
        <v>25.002821600000001</v>
      </c>
      <c r="G163" s="96">
        <v>1.4473000000000001E-4</v>
      </c>
      <c r="H163" s="86" t="s">
        <v>142</v>
      </c>
    </row>
    <row r="164" spans="1:17" x14ac:dyDescent="0.2">
      <c r="A164" s="104"/>
      <c r="B164" s="93"/>
      <c r="C164" s="88" t="s">
        <v>954</v>
      </c>
      <c r="D164" s="93"/>
      <c r="E164" s="104"/>
      <c r="F164" s="95">
        <f>27368.73080308+F99</f>
        <v>593.64497808000306</v>
      </c>
      <c r="G164" s="96">
        <f>F164/F165</f>
        <v>3.4362626703479788E-3</v>
      </c>
      <c r="H164" s="86" t="s">
        <v>142</v>
      </c>
    </row>
    <row r="165" spans="1:17" x14ac:dyDescent="0.2">
      <c r="A165" s="101"/>
      <c r="B165" s="101"/>
      <c r="C165" s="98" t="s">
        <v>168</v>
      </c>
      <c r="D165" s="102"/>
      <c r="E165" s="102"/>
      <c r="F165" s="99">
        <f>F164+F163+F150+F134+F101</f>
        <v>172758.90554079402</v>
      </c>
      <c r="G165" s="105">
        <f>G164+G163+G150+G134+G101</f>
        <v>1.0000000164481859</v>
      </c>
      <c r="H165" s="86" t="s">
        <v>142</v>
      </c>
    </row>
    <row r="166" spans="1:17" ht="12.75" customHeight="1" x14ac:dyDescent="0.2">
      <c r="A166" s="106"/>
      <c r="B166" s="106"/>
      <c r="C166" s="107"/>
      <c r="D166" s="108"/>
      <c r="E166" s="108"/>
      <c r="F166" s="109"/>
      <c r="G166" s="110"/>
      <c r="H166" s="111"/>
    </row>
    <row r="167" spans="1:17" x14ac:dyDescent="0.2">
      <c r="A167" s="106"/>
      <c r="B167" s="200" t="s">
        <v>918</v>
      </c>
      <c r="C167" s="200"/>
      <c r="D167" s="200"/>
      <c r="E167" s="200"/>
      <c r="F167" s="200"/>
      <c r="G167" s="200"/>
      <c r="H167" s="200"/>
      <c r="J167" s="113"/>
    </row>
    <row r="168" spans="1:17" x14ac:dyDescent="0.2">
      <c r="A168" s="106"/>
      <c r="B168" s="200" t="s">
        <v>919</v>
      </c>
      <c r="C168" s="200"/>
      <c r="D168" s="200"/>
      <c r="E168" s="200"/>
      <c r="F168" s="200"/>
      <c r="G168" s="200"/>
      <c r="H168" s="200"/>
      <c r="J168" s="113"/>
    </row>
    <row r="169" spans="1:17" x14ac:dyDescent="0.2">
      <c r="A169" s="106"/>
      <c r="B169" s="200" t="s">
        <v>920</v>
      </c>
      <c r="C169" s="200"/>
      <c r="D169" s="200"/>
      <c r="E169" s="200"/>
      <c r="F169" s="200"/>
      <c r="G169" s="200"/>
      <c r="H169" s="200"/>
      <c r="J169" s="113"/>
    </row>
    <row r="170" spans="1:17" s="115" customFormat="1" ht="66.75" customHeight="1" x14ac:dyDescent="0.25">
      <c r="A170" s="114"/>
      <c r="B170" s="201" t="s">
        <v>921</v>
      </c>
      <c r="C170" s="201"/>
      <c r="D170" s="201"/>
      <c r="E170" s="201"/>
      <c r="F170" s="201"/>
      <c r="G170" s="201"/>
      <c r="H170" s="201"/>
      <c r="I170"/>
      <c r="J170" s="113"/>
      <c r="K170"/>
      <c r="L170"/>
      <c r="M170"/>
      <c r="N170"/>
      <c r="O170"/>
      <c r="P170"/>
      <c r="Q170"/>
    </row>
    <row r="171" spans="1:17" x14ac:dyDescent="0.2">
      <c r="A171" s="106"/>
      <c r="B171" s="200" t="s">
        <v>922</v>
      </c>
      <c r="C171" s="200"/>
      <c r="D171" s="200"/>
      <c r="E171" s="200"/>
      <c r="F171" s="200"/>
      <c r="G171" s="200"/>
      <c r="H171" s="200"/>
      <c r="J171" s="113"/>
    </row>
    <row r="172" spans="1:17" x14ac:dyDescent="0.2">
      <c r="A172" s="106"/>
      <c r="B172" s="106"/>
      <c r="C172" s="106"/>
      <c r="D172" s="108"/>
      <c r="E172" s="108"/>
      <c r="F172" s="108"/>
      <c r="G172" s="108"/>
    </row>
    <row r="173" spans="1:17" x14ac:dyDescent="0.2">
      <c r="A173" s="106"/>
      <c r="B173" s="202" t="s">
        <v>169</v>
      </c>
      <c r="C173" s="203"/>
      <c r="D173" s="204"/>
      <c r="E173" s="116"/>
      <c r="F173" s="108"/>
      <c r="G173" s="108"/>
    </row>
    <row r="174" spans="1:17" ht="27.75" customHeight="1" x14ac:dyDescent="0.2">
      <c r="A174" s="106"/>
      <c r="B174" s="205" t="s">
        <v>170</v>
      </c>
      <c r="C174" s="206"/>
      <c r="D174" s="85" t="s">
        <v>171</v>
      </c>
      <c r="E174" s="116"/>
      <c r="F174" s="108"/>
      <c r="G174" s="108"/>
    </row>
    <row r="175" spans="1:17" ht="12.75" customHeight="1" x14ac:dyDescent="0.2">
      <c r="A175" s="106"/>
      <c r="B175" s="205" t="s">
        <v>923</v>
      </c>
      <c r="C175" s="206"/>
      <c r="D175" s="85" t="s">
        <v>171</v>
      </c>
      <c r="E175" s="116"/>
      <c r="F175" s="108"/>
      <c r="G175" s="108"/>
    </row>
    <row r="176" spans="1:17" x14ac:dyDescent="0.2">
      <c r="A176" s="106"/>
      <c r="B176" s="205" t="s">
        <v>172</v>
      </c>
      <c r="C176" s="206"/>
      <c r="D176" s="117" t="s">
        <v>142</v>
      </c>
      <c r="E176" s="116"/>
      <c r="F176" s="108"/>
      <c r="G176" s="108"/>
    </row>
    <row r="177" spans="1:10" x14ac:dyDescent="0.2">
      <c r="A177" s="118"/>
      <c r="B177" s="119" t="s">
        <v>142</v>
      </c>
      <c r="C177" s="119" t="s">
        <v>924</v>
      </c>
      <c r="D177" s="119" t="s">
        <v>173</v>
      </c>
      <c r="E177" s="118"/>
      <c r="F177" s="118"/>
      <c r="G177" s="118"/>
      <c r="H177" s="118"/>
      <c r="J177" s="113"/>
    </row>
    <row r="178" spans="1:10" x14ac:dyDescent="0.2">
      <c r="A178" s="118"/>
      <c r="B178" s="120" t="s">
        <v>174</v>
      </c>
      <c r="C178" s="121">
        <v>45930</v>
      </c>
      <c r="D178" s="121">
        <v>45961</v>
      </c>
      <c r="E178" s="118"/>
      <c r="F178" s="118"/>
      <c r="G178" s="118"/>
      <c r="J178" s="113"/>
    </row>
    <row r="179" spans="1:10" x14ac:dyDescent="0.2">
      <c r="A179" s="122"/>
      <c r="B179" s="93" t="s">
        <v>175</v>
      </c>
      <c r="C179" s="123">
        <v>41.1447</v>
      </c>
      <c r="D179" s="123">
        <v>42.293900000000001</v>
      </c>
      <c r="E179" s="122"/>
      <c r="F179" s="124"/>
      <c r="G179" s="125"/>
    </row>
    <row r="180" spans="1:10" ht="25.5" x14ac:dyDescent="0.2">
      <c r="A180" s="122"/>
      <c r="B180" s="93" t="s">
        <v>1103</v>
      </c>
      <c r="C180" s="123">
        <v>18.752099999999999</v>
      </c>
      <c r="D180" s="123">
        <v>19.1357</v>
      </c>
      <c r="E180" s="122"/>
      <c r="F180" s="124"/>
      <c r="G180" s="125"/>
    </row>
    <row r="181" spans="1:10" x14ac:dyDescent="0.2">
      <c r="A181" s="122"/>
      <c r="B181" s="93" t="s">
        <v>176</v>
      </c>
      <c r="C181" s="123">
        <v>34.970300000000002</v>
      </c>
      <c r="D181" s="123">
        <v>35.902500000000003</v>
      </c>
      <c r="E181" s="122"/>
      <c r="F181" s="124"/>
      <c r="G181" s="125"/>
    </row>
    <row r="182" spans="1:10" ht="25.5" x14ac:dyDescent="0.2">
      <c r="A182" s="122"/>
      <c r="B182" s="93" t="s">
        <v>1104</v>
      </c>
      <c r="C182" s="123">
        <v>15.2928</v>
      </c>
      <c r="D182" s="123">
        <v>15.5854</v>
      </c>
      <c r="E182" s="122"/>
      <c r="F182" s="124"/>
      <c r="G182" s="125"/>
    </row>
    <row r="183" spans="1:10" x14ac:dyDescent="0.2">
      <c r="A183" s="122"/>
      <c r="B183" s="122"/>
      <c r="C183" s="122"/>
      <c r="D183" s="122"/>
      <c r="E183" s="122"/>
      <c r="F183" s="122"/>
      <c r="G183" s="122"/>
    </row>
    <row r="184" spans="1:10" x14ac:dyDescent="0.2">
      <c r="A184" s="122"/>
      <c r="B184" s="208" t="s">
        <v>925</v>
      </c>
      <c r="C184" s="209"/>
      <c r="D184" s="98" t="s">
        <v>142</v>
      </c>
      <c r="E184" s="122"/>
      <c r="F184" s="122"/>
      <c r="G184" s="122"/>
    </row>
    <row r="185" spans="1:10" x14ac:dyDescent="0.2">
      <c r="A185" s="122"/>
      <c r="B185" s="126" t="s">
        <v>174</v>
      </c>
      <c r="C185" s="127" t="s">
        <v>177</v>
      </c>
      <c r="D185" s="127" t="s">
        <v>178</v>
      </c>
      <c r="E185" s="122"/>
      <c r="F185" s="122"/>
      <c r="G185" s="122"/>
    </row>
    <row r="186" spans="1:10" ht="25.5" x14ac:dyDescent="0.2">
      <c r="A186" s="122"/>
      <c r="B186" s="93" t="s">
        <v>1103</v>
      </c>
      <c r="C186" s="146">
        <v>0.14000000000000001</v>
      </c>
      <c r="D186" s="104" t="s">
        <v>679</v>
      </c>
      <c r="E186" s="122"/>
      <c r="F186" s="124"/>
      <c r="G186" s="125"/>
    </row>
    <row r="187" spans="1:10" ht="25.5" x14ac:dyDescent="0.2">
      <c r="A187" s="122"/>
      <c r="B187" s="93" t="s">
        <v>1104</v>
      </c>
      <c r="C187" s="146">
        <v>0.115</v>
      </c>
      <c r="D187" s="146">
        <v>0.115</v>
      </c>
      <c r="E187" s="122"/>
      <c r="F187" s="124"/>
      <c r="G187" s="125"/>
    </row>
    <row r="188" spans="1:10" x14ac:dyDescent="0.2">
      <c r="A188" s="122"/>
      <c r="B188" s="129"/>
      <c r="C188" s="129"/>
      <c r="D188" s="130"/>
      <c r="E188" s="122"/>
      <c r="F188" s="124"/>
      <c r="G188" s="125"/>
    </row>
    <row r="189" spans="1:10" x14ac:dyDescent="0.2">
      <c r="A189" s="118"/>
      <c r="B189" s="205" t="s">
        <v>179</v>
      </c>
      <c r="C189" s="206"/>
      <c r="D189" s="85" t="s">
        <v>956</v>
      </c>
      <c r="E189" s="131"/>
      <c r="F189" s="118"/>
      <c r="G189" s="118"/>
    </row>
    <row r="190" spans="1:10" x14ac:dyDescent="0.2">
      <c r="A190" s="118"/>
      <c r="B190" s="205" t="s">
        <v>180</v>
      </c>
      <c r="C190" s="206"/>
      <c r="D190" s="85" t="s">
        <v>171</v>
      </c>
      <c r="E190" s="131"/>
      <c r="F190" s="118"/>
      <c r="G190" s="118"/>
    </row>
    <row r="191" spans="1:10" ht="17.100000000000001" customHeight="1" x14ac:dyDescent="0.2">
      <c r="A191" s="118"/>
      <c r="B191" s="205" t="s">
        <v>181</v>
      </c>
      <c r="C191" s="206"/>
      <c r="D191" s="85" t="s">
        <v>171</v>
      </c>
      <c r="E191" s="131"/>
      <c r="F191" s="118"/>
      <c r="G191" s="118"/>
    </row>
    <row r="192" spans="1:10" ht="17.100000000000001" customHeight="1" x14ac:dyDescent="0.2">
      <c r="A192" s="118"/>
      <c r="B192" s="205" t="s">
        <v>182</v>
      </c>
      <c r="C192" s="206"/>
      <c r="D192" s="132">
        <v>2.8904471845160908</v>
      </c>
      <c r="E192" s="118"/>
      <c r="F192" s="112"/>
      <c r="G192" s="133"/>
    </row>
    <row r="194" spans="2:7" x14ac:dyDescent="0.2">
      <c r="B194" s="214" t="s">
        <v>985</v>
      </c>
      <c r="C194" s="215"/>
      <c r="D194" s="216"/>
      <c r="F194" s="118"/>
      <c r="G194" s="118"/>
    </row>
    <row r="195" spans="2:7" ht="25.5" x14ac:dyDescent="0.2">
      <c r="B195" s="213" t="s">
        <v>986</v>
      </c>
      <c r="C195" s="213"/>
      <c r="D195" s="160" t="s">
        <v>667</v>
      </c>
    </row>
    <row r="196" spans="2:7" x14ac:dyDescent="0.2">
      <c r="B196" s="213" t="s">
        <v>987</v>
      </c>
      <c r="C196" s="213"/>
      <c r="D196" s="142"/>
    </row>
    <row r="197" spans="2:7" x14ac:dyDescent="0.2">
      <c r="B197" s="210"/>
      <c r="C197" s="212"/>
      <c r="D197" s="143"/>
    </row>
    <row r="198" spans="2:7" x14ac:dyDescent="0.2">
      <c r="B198" s="213" t="s">
        <v>988</v>
      </c>
      <c r="C198" s="213"/>
      <c r="D198" s="144">
        <v>6.5557903386363368</v>
      </c>
    </row>
    <row r="199" spans="2:7" x14ac:dyDescent="0.2">
      <c r="B199" s="210"/>
      <c r="C199" s="212"/>
      <c r="D199" s="143"/>
    </row>
    <row r="200" spans="2:7" x14ac:dyDescent="0.2">
      <c r="B200" s="213" t="s">
        <v>989</v>
      </c>
      <c r="C200" s="213"/>
      <c r="D200" s="144">
        <v>4.2150993200534055</v>
      </c>
    </row>
    <row r="201" spans="2:7" x14ac:dyDescent="0.2">
      <c r="B201" s="213" t="s">
        <v>990</v>
      </c>
      <c r="C201" s="213"/>
      <c r="D201" s="144">
        <v>6.3313504340472644</v>
      </c>
    </row>
    <row r="202" spans="2:7" x14ac:dyDescent="0.2">
      <c r="B202" s="210"/>
      <c r="C202" s="212"/>
      <c r="D202" s="143"/>
    </row>
    <row r="203" spans="2:7" x14ac:dyDescent="0.2">
      <c r="B203" s="213" t="s">
        <v>991</v>
      </c>
      <c r="C203" s="213"/>
      <c r="D203" s="145" t="s">
        <v>1160</v>
      </c>
    </row>
    <row r="204" spans="2:7" x14ac:dyDescent="0.2">
      <c r="B204" s="210" t="s">
        <v>992</v>
      </c>
      <c r="C204" s="211"/>
      <c r="D204" s="212"/>
    </row>
    <row r="206" spans="2:7" x14ac:dyDescent="0.2">
      <c r="B206" s="199" t="s">
        <v>926</v>
      </c>
      <c r="C206" s="199"/>
    </row>
    <row r="208" spans="2:7" ht="153.75" customHeight="1" x14ac:dyDescent="0.2"/>
    <row r="211" spans="2:10" x14ac:dyDescent="0.2">
      <c r="B211" s="134" t="s">
        <v>927</v>
      </c>
      <c r="C211" s="135"/>
      <c r="D211" s="134"/>
    </row>
    <row r="212" spans="2:10" x14ac:dyDescent="0.2">
      <c r="B212" s="134" t="s">
        <v>1046</v>
      </c>
      <c r="D212" s="134"/>
    </row>
    <row r="213" spans="2:10" ht="165" customHeight="1" x14ac:dyDescent="0.2"/>
    <row r="215" spans="2:10" x14ac:dyDescent="0.2">
      <c r="J215" s="83"/>
    </row>
  </sheetData>
  <mergeCells count="29">
    <mergeCell ref="A1:H1"/>
    <mergeCell ref="A2:H2"/>
    <mergeCell ref="A3:H3"/>
    <mergeCell ref="B184:C184"/>
    <mergeCell ref="B190:C190"/>
    <mergeCell ref="B167:H167"/>
    <mergeCell ref="B168:H168"/>
    <mergeCell ref="B169:H169"/>
    <mergeCell ref="B170:H170"/>
    <mergeCell ref="B171:H171"/>
    <mergeCell ref="B173:D173"/>
    <mergeCell ref="B174:C174"/>
    <mergeCell ref="B175:C175"/>
    <mergeCell ref="B176:C176"/>
    <mergeCell ref="B189:C189"/>
    <mergeCell ref="B194:D194"/>
    <mergeCell ref="B195:C195"/>
    <mergeCell ref="B191:C191"/>
    <mergeCell ref="B192:C192"/>
    <mergeCell ref="B196:C196"/>
    <mergeCell ref="B202:C202"/>
    <mergeCell ref="B203:C203"/>
    <mergeCell ref="B204:D204"/>
    <mergeCell ref="B206:C206"/>
    <mergeCell ref="B197:C197"/>
    <mergeCell ref="B198:C198"/>
    <mergeCell ref="B199:C199"/>
    <mergeCell ref="B200:C200"/>
    <mergeCell ref="B201:C201"/>
  </mergeCells>
  <hyperlinks>
    <hyperlink ref="I1" location="Index!B2" display="Index" xr:uid="{1DEFD8DD-96B0-413D-B16B-57DC97008DAE}"/>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3078-CF6F-423B-A253-363222992EC6}">
  <sheetPr>
    <outlinePr summaryBelow="0" summaryRight="0"/>
  </sheetPr>
  <dimension ref="A1:S179"/>
  <sheetViews>
    <sheetView showGridLines="0" workbookViewId="0">
      <selection activeCell="A2" sqref="A2:H2"/>
    </sheetView>
  </sheetViews>
  <sheetFormatPr defaultRowHeight="12.75" x14ac:dyDescent="0.2"/>
  <cols>
    <col min="1" max="1" width="5.85546875" bestFit="1" customWidth="1"/>
    <col min="2" max="2" width="19.5703125" bestFit="1" customWidth="1"/>
    <col min="3" max="3" width="45.85546875" customWidth="1"/>
    <col min="4" max="4" width="17.710937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680</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650000</v>
      </c>
      <c r="F7" s="95">
        <v>6417.45</v>
      </c>
      <c r="G7" s="96">
        <v>6.9773719999999997E-2</v>
      </c>
      <c r="H7" s="86" t="s">
        <v>142</v>
      </c>
    </row>
    <row r="8" spans="1:9" x14ac:dyDescent="0.2">
      <c r="A8" s="92">
        <v>2</v>
      </c>
      <c r="B8" s="93" t="s">
        <v>33</v>
      </c>
      <c r="C8" s="93" t="s">
        <v>34</v>
      </c>
      <c r="D8" s="93" t="s">
        <v>35</v>
      </c>
      <c r="E8" s="94">
        <v>265000</v>
      </c>
      <c r="F8" s="95">
        <v>3565.0450000000001</v>
      </c>
      <c r="G8" s="96">
        <v>3.8760950000000002E-2</v>
      </c>
      <c r="H8" s="86" t="s">
        <v>142</v>
      </c>
    </row>
    <row r="9" spans="1:9" x14ac:dyDescent="0.2">
      <c r="A9" s="92">
        <v>3</v>
      </c>
      <c r="B9" s="93" t="s">
        <v>326</v>
      </c>
      <c r="C9" s="93" t="s">
        <v>327</v>
      </c>
      <c r="D9" s="93" t="s">
        <v>204</v>
      </c>
      <c r="E9" s="94">
        <v>220000</v>
      </c>
      <c r="F9" s="95">
        <v>3261.06</v>
      </c>
      <c r="G9" s="96">
        <v>3.545587E-2</v>
      </c>
      <c r="H9" s="86" t="s">
        <v>142</v>
      </c>
    </row>
    <row r="10" spans="1:9" x14ac:dyDescent="0.2">
      <c r="A10" s="92">
        <v>4</v>
      </c>
      <c r="B10" s="93" t="s">
        <v>20</v>
      </c>
      <c r="C10" s="93" t="s">
        <v>21</v>
      </c>
      <c r="D10" s="93" t="s">
        <v>22</v>
      </c>
      <c r="E10" s="94">
        <v>950000</v>
      </c>
      <c r="F10" s="95">
        <v>3201.0250000000001</v>
      </c>
      <c r="G10" s="96">
        <v>3.4803140000000003E-2</v>
      </c>
      <c r="H10" s="86" t="s">
        <v>142</v>
      </c>
    </row>
    <row r="11" spans="1:9" x14ac:dyDescent="0.2">
      <c r="A11" s="87">
        <v>5</v>
      </c>
      <c r="B11" s="88" t="s">
        <v>946</v>
      </c>
      <c r="C11" s="88" t="s">
        <v>947</v>
      </c>
      <c r="D11" s="88" t="s">
        <v>73</v>
      </c>
      <c r="E11" s="89">
        <v>350000</v>
      </c>
      <c r="F11" s="90">
        <f>30.866684*100</f>
        <v>3086.6684</v>
      </c>
      <c r="G11" s="161">
        <f>F11/F127</f>
        <v>3.3559800127048497E-2</v>
      </c>
      <c r="H11" s="86" t="s">
        <v>142</v>
      </c>
    </row>
    <row r="12" spans="1:9" x14ac:dyDescent="0.2">
      <c r="A12" s="92">
        <v>6</v>
      </c>
      <c r="B12" s="93" t="s">
        <v>420</v>
      </c>
      <c r="C12" s="93" t="s">
        <v>421</v>
      </c>
      <c r="D12" s="93" t="s">
        <v>422</v>
      </c>
      <c r="E12" s="94">
        <v>700000</v>
      </c>
      <c r="F12" s="95">
        <v>2942.45</v>
      </c>
      <c r="G12" s="96">
        <v>3.1991789999999999E-2</v>
      </c>
      <c r="H12" s="86" t="s">
        <v>142</v>
      </c>
    </row>
    <row r="13" spans="1:9" x14ac:dyDescent="0.2">
      <c r="A13" s="92">
        <v>7</v>
      </c>
      <c r="B13" s="93" t="s">
        <v>39</v>
      </c>
      <c r="C13" s="93" t="s">
        <v>40</v>
      </c>
      <c r="D13" s="93" t="s">
        <v>35</v>
      </c>
      <c r="E13" s="94">
        <v>297000</v>
      </c>
      <c r="F13" s="95">
        <v>2782.89</v>
      </c>
      <c r="G13" s="96">
        <v>3.0256970000000001E-2</v>
      </c>
      <c r="H13" s="86" t="s">
        <v>142</v>
      </c>
    </row>
    <row r="14" spans="1:9" x14ac:dyDescent="0.2">
      <c r="A14" s="92">
        <v>8</v>
      </c>
      <c r="B14" s="93" t="s">
        <v>62</v>
      </c>
      <c r="C14" s="93" t="s">
        <v>63</v>
      </c>
      <c r="D14" s="93" t="s">
        <v>64</v>
      </c>
      <c r="E14" s="94">
        <v>1000000</v>
      </c>
      <c r="F14" s="95">
        <v>2553.6999999999998</v>
      </c>
      <c r="G14" s="96">
        <v>2.7765100000000001E-2</v>
      </c>
      <c r="H14" s="86" t="s">
        <v>142</v>
      </c>
    </row>
    <row r="15" spans="1:9" x14ac:dyDescent="0.2">
      <c r="A15" s="92">
        <v>9</v>
      </c>
      <c r="B15" s="93" t="s">
        <v>29</v>
      </c>
      <c r="C15" s="93" t="s">
        <v>30</v>
      </c>
      <c r="D15" s="93" t="s">
        <v>22</v>
      </c>
      <c r="E15" s="94">
        <v>875000</v>
      </c>
      <c r="F15" s="95">
        <v>2521.3125</v>
      </c>
      <c r="G15" s="96">
        <v>2.7412969999999998E-2</v>
      </c>
      <c r="H15" s="86" t="s">
        <v>142</v>
      </c>
    </row>
    <row r="16" spans="1:9" x14ac:dyDescent="0.2">
      <c r="A16" s="92">
        <v>10</v>
      </c>
      <c r="B16" s="93" t="s">
        <v>681</v>
      </c>
      <c r="C16" s="93" t="s">
        <v>682</v>
      </c>
      <c r="D16" s="93" t="s">
        <v>683</v>
      </c>
      <c r="E16" s="94">
        <v>600000</v>
      </c>
      <c r="F16" s="95">
        <v>2331.9</v>
      </c>
      <c r="G16" s="96">
        <v>2.5353580000000001E-2</v>
      </c>
      <c r="H16" s="86" t="s">
        <v>142</v>
      </c>
    </row>
    <row r="17" spans="1:8" x14ac:dyDescent="0.2">
      <c r="A17" s="92">
        <v>11</v>
      </c>
      <c r="B17" s="93" t="s">
        <v>14</v>
      </c>
      <c r="C17" s="93" t="s">
        <v>15</v>
      </c>
      <c r="D17" s="93" t="s">
        <v>16</v>
      </c>
      <c r="E17" s="94">
        <v>55000</v>
      </c>
      <c r="F17" s="95">
        <v>2216.9949999999999</v>
      </c>
      <c r="G17" s="96">
        <v>2.4104279999999999E-2</v>
      </c>
      <c r="H17" s="86" t="s">
        <v>142</v>
      </c>
    </row>
    <row r="18" spans="1:8" x14ac:dyDescent="0.2">
      <c r="A18" s="92">
        <v>12</v>
      </c>
      <c r="B18" s="93" t="s">
        <v>76</v>
      </c>
      <c r="C18" s="93" t="s">
        <v>77</v>
      </c>
      <c r="D18" s="93" t="s">
        <v>78</v>
      </c>
      <c r="E18" s="94">
        <v>1175000</v>
      </c>
      <c r="F18" s="95">
        <v>2147.4299999999998</v>
      </c>
      <c r="G18" s="96">
        <v>2.3347929999999999E-2</v>
      </c>
      <c r="H18" s="86" t="s">
        <v>142</v>
      </c>
    </row>
    <row r="19" spans="1:8" x14ac:dyDescent="0.2">
      <c r="A19" s="92">
        <v>13</v>
      </c>
      <c r="B19" s="93" t="s">
        <v>423</v>
      </c>
      <c r="C19" s="93" t="s">
        <v>424</v>
      </c>
      <c r="D19" s="93" t="s">
        <v>204</v>
      </c>
      <c r="E19" s="94">
        <v>135000</v>
      </c>
      <c r="F19" s="95">
        <v>2081.0250000000001</v>
      </c>
      <c r="G19" s="96">
        <v>2.2625940000000001E-2</v>
      </c>
      <c r="H19" s="86" t="s">
        <v>142</v>
      </c>
    </row>
    <row r="20" spans="1:8" x14ac:dyDescent="0.2">
      <c r="A20" s="92">
        <v>14</v>
      </c>
      <c r="B20" s="93" t="s">
        <v>196</v>
      </c>
      <c r="C20" s="93" t="s">
        <v>197</v>
      </c>
      <c r="D20" s="93" t="s">
        <v>19</v>
      </c>
      <c r="E20" s="94">
        <v>420000</v>
      </c>
      <c r="F20" s="95">
        <v>1999.2</v>
      </c>
      <c r="G20" s="96">
        <v>2.17363E-2</v>
      </c>
      <c r="H20" s="86" t="s">
        <v>142</v>
      </c>
    </row>
    <row r="21" spans="1:8" x14ac:dyDescent="0.2">
      <c r="A21" s="92">
        <v>15</v>
      </c>
      <c r="B21" s="93" t="s">
        <v>11</v>
      </c>
      <c r="C21" s="93" t="s">
        <v>12</v>
      </c>
      <c r="D21" s="93" t="s">
        <v>13</v>
      </c>
      <c r="E21" s="94">
        <v>95000</v>
      </c>
      <c r="F21" s="95">
        <v>1951.7750000000001</v>
      </c>
      <c r="G21" s="96">
        <v>2.1220670000000001E-2</v>
      </c>
      <c r="H21" s="86" t="s">
        <v>142</v>
      </c>
    </row>
    <row r="22" spans="1:8" x14ac:dyDescent="0.2">
      <c r="A22" s="92">
        <v>16</v>
      </c>
      <c r="B22" s="93" t="s">
        <v>504</v>
      </c>
      <c r="C22" s="93" t="s">
        <v>505</v>
      </c>
      <c r="D22" s="93" t="s">
        <v>241</v>
      </c>
      <c r="E22" s="94">
        <v>11500</v>
      </c>
      <c r="F22" s="95">
        <v>1861.39</v>
      </c>
      <c r="G22" s="96">
        <v>2.0237959999999999E-2</v>
      </c>
      <c r="H22" s="86" t="s">
        <v>142</v>
      </c>
    </row>
    <row r="23" spans="1:8" x14ac:dyDescent="0.2">
      <c r="A23" s="92">
        <v>17</v>
      </c>
      <c r="B23" s="93" t="s">
        <v>518</v>
      </c>
      <c r="C23" s="93" t="s">
        <v>519</v>
      </c>
      <c r="D23" s="93" t="s">
        <v>204</v>
      </c>
      <c r="E23" s="94">
        <v>125000</v>
      </c>
      <c r="F23" s="95">
        <v>1780.5</v>
      </c>
      <c r="G23" s="96">
        <v>1.9358489999999999E-2</v>
      </c>
      <c r="H23" s="86" t="s">
        <v>142</v>
      </c>
    </row>
    <row r="24" spans="1:8" x14ac:dyDescent="0.2">
      <c r="A24" s="92">
        <v>18</v>
      </c>
      <c r="B24" s="93" t="s">
        <v>17</v>
      </c>
      <c r="C24" s="93" t="s">
        <v>18</v>
      </c>
      <c r="D24" s="93" t="s">
        <v>19</v>
      </c>
      <c r="E24" s="94">
        <v>110000</v>
      </c>
      <c r="F24" s="95">
        <v>1635.04</v>
      </c>
      <c r="G24" s="96">
        <v>1.777697E-2</v>
      </c>
      <c r="H24" s="86" t="s">
        <v>142</v>
      </c>
    </row>
    <row r="25" spans="1:8" x14ac:dyDescent="0.2">
      <c r="A25" s="92">
        <v>19</v>
      </c>
      <c r="B25" s="93" t="s">
        <v>440</v>
      </c>
      <c r="C25" s="93" t="s">
        <v>441</v>
      </c>
      <c r="D25" s="93" t="s">
        <v>422</v>
      </c>
      <c r="E25" s="94">
        <v>65000</v>
      </c>
      <c r="F25" s="95">
        <v>1602.575</v>
      </c>
      <c r="G25" s="96">
        <v>1.7423999999999999E-2</v>
      </c>
      <c r="H25" s="86" t="s">
        <v>142</v>
      </c>
    </row>
    <row r="26" spans="1:8" x14ac:dyDescent="0.2">
      <c r="A26" s="92">
        <v>20</v>
      </c>
      <c r="B26" s="93" t="s">
        <v>332</v>
      </c>
      <c r="C26" s="93" t="s">
        <v>333</v>
      </c>
      <c r="D26" s="93" t="s">
        <v>35</v>
      </c>
      <c r="E26" s="94">
        <v>550000</v>
      </c>
      <c r="F26" s="95">
        <v>1531.2</v>
      </c>
      <c r="G26" s="96">
        <v>1.6647970000000002E-2</v>
      </c>
      <c r="H26" s="86" t="s">
        <v>142</v>
      </c>
    </row>
    <row r="27" spans="1:8" x14ac:dyDescent="0.2">
      <c r="A27" s="92">
        <v>21</v>
      </c>
      <c r="B27" s="93" t="s">
        <v>26</v>
      </c>
      <c r="C27" s="93" t="s">
        <v>27</v>
      </c>
      <c r="D27" s="93" t="s">
        <v>28</v>
      </c>
      <c r="E27" s="94">
        <v>350000</v>
      </c>
      <c r="F27" s="95">
        <v>1491.35</v>
      </c>
      <c r="G27" s="96">
        <v>1.6214699999999999E-2</v>
      </c>
      <c r="H27" s="86" t="s">
        <v>142</v>
      </c>
    </row>
    <row r="28" spans="1:8" x14ac:dyDescent="0.2">
      <c r="A28" s="92">
        <v>22</v>
      </c>
      <c r="B28" s="93" t="s">
        <v>684</v>
      </c>
      <c r="C28" s="93" t="s">
        <v>685</v>
      </c>
      <c r="D28" s="93" t="s">
        <v>22</v>
      </c>
      <c r="E28" s="94">
        <v>825000</v>
      </c>
      <c r="F28" s="95">
        <v>1484.67</v>
      </c>
      <c r="G28" s="96">
        <v>1.6142070000000001E-2</v>
      </c>
      <c r="H28" s="86" t="s">
        <v>142</v>
      </c>
    </row>
    <row r="29" spans="1:8" x14ac:dyDescent="0.2">
      <c r="A29" s="92">
        <v>23</v>
      </c>
      <c r="B29" s="93" t="s">
        <v>397</v>
      </c>
      <c r="C29" s="93" t="s">
        <v>398</v>
      </c>
      <c r="D29" s="93" t="s">
        <v>135</v>
      </c>
      <c r="E29" s="94">
        <v>800000</v>
      </c>
      <c r="F29" s="95">
        <v>1462.72</v>
      </c>
      <c r="G29" s="96">
        <v>1.5903420000000001E-2</v>
      </c>
      <c r="H29" s="86" t="s">
        <v>142</v>
      </c>
    </row>
    <row r="30" spans="1:8" x14ac:dyDescent="0.2">
      <c r="A30" s="92">
        <v>24</v>
      </c>
      <c r="B30" s="93" t="s">
        <v>285</v>
      </c>
      <c r="C30" s="93" t="s">
        <v>286</v>
      </c>
      <c r="D30" s="93" t="s">
        <v>22</v>
      </c>
      <c r="E30" s="94">
        <v>1700000</v>
      </c>
      <c r="F30" s="95">
        <v>1442.28</v>
      </c>
      <c r="G30" s="96">
        <v>1.5681190000000001E-2</v>
      </c>
      <c r="H30" s="86" t="s">
        <v>142</v>
      </c>
    </row>
    <row r="31" spans="1:8" x14ac:dyDescent="0.2">
      <c r="A31" s="92">
        <v>25</v>
      </c>
      <c r="B31" s="93" t="s">
        <v>510</v>
      </c>
      <c r="C31" s="93" t="s">
        <v>511</v>
      </c>
      <c r="D31" s="93" t="s">
        <v>241</v>
      </c>
      <c r="E31" s="94">
        <v>16000</v>
      </c>
      <c r="F31" s="95">
        <v>1422.8</v>
      </c>
      <c r="G31" s="96">
        <v>1.546939E-2</v>
      </c>
      <c r="H31" s="86" t="s">
        <v>142</v>
      </c>
    </row>
    <row r="32" spans="1:8" x14ac:dyDescent="0.2">
      <c r="A32" s="92">
        <v>26</v>
      </c>
      <c r="B32" s="93" t="s">
        <v>56</v>
      </c>
      <c r="C32" s="93" t="s">
        <v>57</v>
      </c>
      <c r="D32" s="93" t="s">
        <v>58</v>
      </c>
      <c r="E32" s="94">
        <v>32000</v>
      </c>
      <c r="F32" s="95">
        <v>1390.1120000000001</v>
      </c>
      <c r="G32" s="96">
        <v>1.5113990000000001E-2</v>
      </c>
      <c r="H32" s="86" t="s">
        <v>142</v>
      </c>
    </row>
    <row r="33" spans="1:8" x14ac:dyDescent="0.2">
      <c r="A33" s="92">
        <v>27</v>
      </c>
      <c r="B33" s="93" t="s">
        <v>646</v>
      </c>
      <c r="C33" s="93" t="s">
        <v>647</v>
      </c>
      <c r="D33" s="93" t="s">
        <v>459</v>
      </c>
      <c r="E33" s="94">
        <v>23000</v>
      </c>
      <c r="F33" s="95">
        <v>1342.395</v>
      </c>
      <c r="G33" s="96">
        <v>1.4595189999999999E-2</v>
      </c>
      <c r="H33" s="86" t="s">
        <v>142</v>
      </c>
    </row>
    <row r="34" spans="1:8" x14ac:dyDescent="0.2">
      <c r="A34" s="87">
        <v>28</v>
      </c>
      <c r="B34" s="88" t="s">
        <v>1041</v>
      </c>
      <c r="C34" s="88" t="s">
        <v>1047</v>
      </c>
      <c r="D34" s="88" t="s">
        <v>73</v>
      </c>
      <c r="E34" s="89">
        <v>1100000</v>
      </c>
      <c r="F34" s="90">
        <f>13.16925*100</f>
        <v>1316.925</v>
      </c>
      <c r="G34" s="161">
        <f>F34/F127</f>
        <v>1.431826618703627E-2</v>
      </c>
      <c r="H34" s="86" t="s">
        <v>142</v>
      </c>
    </row>
    <row r="35" spans="1:8" x14ac:dyDescent="0.2">
      <c r="A35" s="92">
        <v>29</v>
      </c>
      <c r="B35" s="93" t="s">
        <v>334</v>
      </c>
      <c r="C35" s="93" t="s">
        <v>335</v>
      </c>
      <c r="D35" s="93" t="s">
        <v>241</v>
      </c>
      <c r="E35" s="94">
        <v>37000</v>
      </c>
      <c r="F35" s="95">
        <v>1290.2639999999999</v>
      </c>
      <c r="G35" s="96">
        <v>1.402839E-2</v>
      </c>
      <c r="H35" s="86" t="s">
        <v>142</v>
      </c>
    </row>
    <row r="36" spans="1:8" x14ac:dyDescent="0.2">
      <c r="A36" s="92">
        <v>30</v>
      </c>
      <c r="B36" s="93" t="s">
        <v>630</v>
      </c>
      <c r="C36" s="93" t="s">
        <v>631</v>
      </c>
      <c r="D36" s="93" t="s">
        <v>241</v>
      </c>
      <c r="E36" s="94">
        <v>23000</v>
      </c>
      <c r="F36" s="95">
        <v>1275.1199999999999</v>
      </c>
      <c r="G36" s="96">
        <v>1.3863739999999999E-2</v>
      </c>
      <c r="H36" s="86" t="s">
        <v>142</v>
      </c>
    </row>
    <row r="37" spans="1:8" ht="25.5" x14ac:dyDescent="0.2">
      <c r="A37" s="92">
        <v>31</v>
      </c>
      <c r="B37" s="93" t="s">
        <v>346</v>
      </c>
      <c r="C37" s="93" t="s">
        <v>347</v>
      </c>
      <c r="D37" s="93" t="s">
        <v>225</v>
      </c>
      <c r="E37" s="94">
        <v>75000</v>
      </c>
      <c r="F37" s="95">
        <v>1268.0250000000001</v>
      </c>
      <c r="G37" s="96">
        <v>1.37866E-2</v>
      </c>
      <c r="H37" s="86" t="s">
        <v>142</v>
      </c>
    </row>
    <row r="38" spans="1:8" x14ac:dyDescent="0.2">
      <c r="A38" s="92">
        <v>32</v>
      </c>
      <c r="B38" s="93" t="s">
        <v>638</v>
      </c>
      <c r="C38" s="93" t="s">
        <v>639</v>
      </c>
      <c r="D38" s="93" t="s">
        <v>186</v>
      </c>
      <c r="E38" s="94">
        <v>300000</v>
      </c>
      <c r="F38" s="95">
        <v>1124.55</v>
      </c>
      <c r="G38" s="96">
        <v>1.222667E-2</v>
      </c>
      <c r="H38" s="86" t="s">
        <v>142</v>
      </c>
    </row>
    <row r="39" spans="1:8" x14ac:dyDescent="0.2">
      <c r="A39" s="92">
        <v>33</v>
      </c>
      <c r="B39" s="93" t="s">
        <v>686</v>
      </c>
      <c r="C39" s="93" t="s">
        <v>687</v>
      </c>
      <c r="D39" s="93" t="s">
        <v>19</v>
      </c>
      <c r="E39" s="94">
        <v>575000</v>
      </c>
      <c r="F39" s="95">
        <v>1121.3074999999999</v>
      </c>
      <c r="G39" s="96">
        <v>1.219142E-2</v>
      </c>
      <c r="H39" s="86" t="s">
        <v>142</v>
      </c>
    </row>
    <row r="40" spans="1:8" x14ac:dyDescent="0.2">
      <c r="A40" s="92">
        <v>34</v>
      </c>
      <c r="B40" s="93" t="s">
        <v>184</v>
      </c>
      <c r="C40" s="93" t="s">
        <v>185</v>
      </c>
      <c r="D40" s="93" t="s">
        <v>186</v>
      </c>
      <c r="E40" s="94">
        <v>350000</v>
      </c>
      <c r="F40" s="95">
        <v>1104.425</v>
      </c>
      <c r="G40" s="96">
        <v>1.200786E-2</v>
      </c>
      <c r="H40" s="86" t="s">
        <v>142</v>
      </c>
    </row>
    <row r="41" spans="1:8" x14ac:dyDescent="0.2">
      <c r="A41" s="92">
        <v>35</v>
      </c>
      <c r="B41" s="93" t="s">
        <v>432</v>
      </c>
      <c r="C41" s="93" t="s">
        <v>433</v>
      </c>
      <c r="D41" s="93" t="s">
        <v>204</v>
      </c>
      <c r="E41" s="94">
        <v>35000</v>
      </c>
      <c r="F41" s="95">
        <v>1070.3</v>
      </c>
      <c r="G41" s="96">
        <v>1.1636840000000001E-2</v>
      </c>
      <c r="H41" s="86" t="s">
        <v>142</v>
      </c>
    </row>
    <row r="42" spans="1:8" x14ac:dyDescent="0.2">
      <c r="A42" s="92">
        <v>36</v>
      </c>
      <c r="B42" s="93" t="s">
        <v>291</v>
      </c>
      <c r="C42" s="93" t="s">
        <v>292</v>
      </c>
      <c r="D42" s="93" t="s">
        <v>250</v>
      </c>
      <c r="E42" s="94">
        <v>200000</v>
      </c>
      <c r="F42" s="95">
        <v>1068.8</v>
      </c>
      <c r="G42" s="96">
        <v>1.162053E-2</v>
      </c>
      <c r="H42" s="86" t="s">
        <v>142</v>
      </c>
    </row>
    <row r="43" spans="1:8" x14ac:dyDescent="0.2">
      <c r="A43" s="92">
        <v>37</v>
      </c>
      <c r="B43" s="93" t="s">
        <v>202</v>
      </c>
      <c r="C43" s="93" t="s">
        <v>203</v>
      </c>
      <c r="D43" s="93" t="s">
        <v>204</v>
      </c>
      <c r="E43" s="94">
        <v>60000</v>
      </c>
      <c r="F43" s="95">
        <v>1066.8599999999999</v>
      </c>
      <c r="G43" s="96">
        <v>1.1599440000000001E-2</v>
      </c>
      <c r="H43" s="86" t="s">
        <v>142</v>
      </c>
    </row>
    <row r="44" spans="1:8" x14ac:dyDescent="0.2">
      <c r="A44" s="92">
        <v>38</v>
      </c>
      <c r="B44" s="93" t="s">
        <v>322</v>
      </c>
      <c r="C44" s="93" t="s">
        <v>323</v>
      </c>
      <c r="D44" s="93" t="s">
        <v>35</v>
      </c>
      <c r="E44" s="94">
        <v>85000</v>
      </c>
      <c r="F44" s="95">
        <v>1047.8800000000001</v>
      </c>
      <c r="G44" s="96">
        <v>1.139308E-2</v>
      </c>
      <c r="H44" s="86" t="s">
        <v>142</v>
      </c>
    </row>
    <row r="45" spans="1:8" x14ac:dyDescent="0.2">
      <c r="A45" s="92">
        <v>39</v>
      </c>
      <c r="B45" s="93" t="s">
        <v>688</v>
      </c>
      <c r="C45" s="93" t="s">
        <v>689</v>
      </c>
      <c r="D45" s="93" t="s">
        <v>19</v>
      </c>
      <c r="E45" s="94">
        <v>625000</v>
      </c>
      <c r="F45" s="95">
        <v>1036.875</v>
      </c>
      <c r="G45" s="96">
        <v>1.1273419999999999E-2</v>
      </c>
      <c r="H45" s="86" t="s">
        <v>142</v>
      </c>
    </row>
    <row r="46" spans="1:8" x14ac:dyDescent="0.2">
      <c r="A46" s="92">
        <v>40</v>
      </c>
      <c r="B46" s="93" t="s">
        <v>690</v>
      </c>
      <c r="C46" s="93" t="s">
        <v>691</v>
      </c>
      <c r="D46" s="93" t="s">
        <v>204</v>
      </c>
      <c r="E46" s="94">
        <v>18000</v>
      </c>
      <c r="F46" s="95">
        <v>1023.21</v>
      </c>
      <c r="G46" s="96">
        <v>1.112485E-2</v>
      </c>
      <c r="H46" s="86" t="s">
        <v>142</v>
      </c>
    </row>
    <row r="47" spans="1:8" x14ac:dyDescent="0.2">
      <c r="A47" s="92">
        <v>41</v>
      </c>
      <c r="B47" s="93" t="s">
        <v>355</v>
      </c>
      <c r="C47" s="93" t="s">
        <v>356</v>
      </c>
      <c r="D47" s="93" t="s">
        <v>109</v>
      </c>
      <c r="E47" s="94">
        <v>150000</v>
      </c>
      <c r="F47" s="95">
        <v>1017.075</v>
      </c>
      <c r="G47" s="96">
        <v>1.1058149999999999E-2</v>
      </c>
      <c r="H47" s="86" t="s">
        <v>142</v>
      </c>
    </row>
    <row r="48" spans="1:8" x14ac:dyDescent="0.2">
      <c r="A48" s="92">
        <v>42</v>
      </c>
      <c r="B48" s="93" t="s">
        <v>692</v>
      </c>
      <c r="C48" s="93" t="s">
        <v>693</v>
      </c>
      <c r="D48" s="93" t="s">
        <v>64</v>
      </c>
      <c r="E48" s="94">
        <v>220000</v>
      </c>
      <c r="F48" s="95">
        <v>953.37</v>
      </c>
      <c r="G48" s="96">
        <v>1.036552E-2</v>
      </c>
      <c r="H48" s="86" t="s">
        <v>142</v>
      </c>
    </row>
    <row r="49" spans="1:8" x14ac:dyDescent="0.2">
      <c r="A49" s="92">
        <v>43</v>
      </c>
      <c r="B49" s="93" t="s">
        <v>324</v>
      </c>
      <c r="C49" s="93" t="s">
        <v>325</v>
      </c>
      <c r="D49" s="93" t="s">
        <v>35</v>
      </c>
      <c r="E49" s="94">
        <v>45000</v>
      </c>
      <c r="F49" s="95">
        <v>945.99</v>
      </c>
      <c r="G49" s="96">
        <v>1.0285280000000001E-2</v>
      </c>
      <c r="H49" s="86" t="s">
        <v>142</v>
      </c>
    </row>
    <row r="50" spans="1:8" x14ac:dyDescent="0.2">
      <c r="A50" s="92">
        <v>44</v>
      </c>
      <c r="B50" s="93" t="s">
        <v>328</v>
      </c>
      <c r="C50" s="93" t="s">
        <v>329</v>
      </c>
      <c r="D50" s="93" t="s">
        <v>28</v>
      </c>
      <c r="E50" s="94">
        <v>20000</v>
      </c>
      <c r="F50" s="95">
        <v>935.96</v>
      </c>
      <c r="G50" s="96">
        <v>1.017622E-2</v>
      </c>
      <c r="H50" s="86" t="s">
        <v>142</v>
      </c>
    </row>
    <row r="51" spans="1:8" ht="25.5" x14ac:dyDescent="0.2">
      <c r="A51" s="92">
        <v>45</v>
      </c>
      <c r="B51" s="93" t="s">
        <v>23</v>
      </c>
      <c r="C51" s="93" t="s">
        <v>24</v>
      </c>
      <c r="D51" s="93" t="s">
        <v>25</v>
      </c>
      <c r="E51" s="94">
        <v>7500</v>
      </c>
      <c r="F51" s="95">
        <v>896.02499999999998</v>
      </c>
      <c r="G51" s="96">
        <v>9.7420300000000005E-3</v>
      </c>
      <c r="H51" s="86" t="s">
        <v>142</v>
      </c>
    </row>
    <row r="52" spans="1:8" x14ac:dyDescent="0.2">
      <c r="A52" s="92">
        <v>46</v>
      </c>
      <c r="B52" s="93" t="s">
        <v>694</v>
      </c>
      <c r="C52" s="93" t="s">
        <v>695</v>
      </c>
      <c r="D52" s="93" t="s">
        <v>204</v>
      </c>
      <c r="E52" s="94">
        <v>32000</v>
      </c>
      <c r="F52" s="95">
        <v>884.60799999999995</v>
      </c>
      <c r="G52" s="96">
        <v>9.6179000000000004E-3</v>
      </c>
      <c r="H52" s="86" t="s">
        <v>142</v>
      </c>
    </row>
    <row r="53" spans="1:8" x14ac:dyDescent="0.2">
      <c r="A53" s="92">
        <v>47</v>
      </c>
      <c r="B53" s="93" t="s">
        <v>696</v>
      </c>
      <c r="C53" s="93" t="s">
        <v>697</v>
      </c>
      <c r="D53" s="93" t="s">
        <v>215</v>
      </c>
      <c r="E53" s="94">
        <v>16000</v>
      </c>
      <c r="F53" s="95">
        <v>860.64</v>
      </c>
      <c r="G53" s="96">
        <v>9.3573100000000006E-3</v>
      </c>
      <c r="H53" s="86" t="s">
        <v>142</v>
      </c>
    </row>
    <row r="54" spans="1:8" x14ac:dyDescent="0.2">
      <c r="A54" s="92">
        <v>48</v>
      </c>
      <c r="B54" s="93" t="s">
        <v>698</v>
      </c>
      <c r="C54" s="93" t="s">
        <v>699</v>
      </c>
      <c r="D54" s="93" t="s">
        <v>250</v>
      </c>
      <c r="E54" s="94">
        <v>75000</v>
      </c>
      <c r="F54" s="95">
        <v>838.95</v>
      </c>
      <c r="G54" s="96">
        <v>9.1214799999999995E-3</v>
      </c>
      <c r="H54" s="86" t="s">
        <v>142</v>
      </c>
    </row>
    <row r="55" spans="1:8" x14ac:dyDescent="0.2">
      <c r="A55" s="92">
        <v>49</v>
      </c>
      <c r="B55" s="93" t="s">
        <v>489</v>
      </c>
      <c r="C55" s="93" t="s">
        <v>490</v>
      </c>
      <c r="D55" s="93" t="s">
        <v>215</v>
      </c>
      <c r="E55" s="94">
        <v>61000</v>
      </c>
      <c r="F55" s="95">
        <v>761.03599999999994</v>
      </c>
      <c r="G55" s="96">
        <v>8.2743599999999997E-3</v>
      </c>
      <c r="H55" s="86" t="s">
        <v>142</v>
      </c>
    </row>
    <row r="56" spans="1:8" ht="25.5" x14ac:dyDescent="0.2">
      <c r="A56" s="92">
        <v>50</v>
      </c>
      <c r="B56" s="93" t="s">
        <v>700</v>
      </c>
      <c r="C56" s="93" t="s">
        <v>701</v>
      </c>
      <c r="D56" s="93" t="s">
        <v>225</v>
      </c>
      <c r="E56" s="94">
        <v>15333</v>
      </c>
      <c r="F56" s="95">
        <v>733.00939800000003</v>
      </c>
      <c r="G56" s="96">
        <v>7.9696400000000001E-3</v>
      </c>
      <c r="H56" s="86" t="s">
        <v>142</v>
      </c>
    </row>
    <row r="57" spans="1:8" x14ac:dyDescent="0.2">
      <c r="A57" s="92">
        <v>51</v>
      </c>
      <c r="B57" s="93" t="s">
        <v>702</v>
      </c>
      <c r="C57" s="93" t="s">
        <v>703</v>
      </c>
      <c r="D57" s="93" t="s">
        <v>48</v>
      </c>
      <c r="E57" s="94">
        <v>25000</v>
      </c>
      <c r="F57" s="95">
        <v>627.70000000000005</v>
      </c>
      <c r="G57" s="96">
        <v>6.8246699999999997E-3</v>
      </c>
      <c r="H57" s="86" t="s">
        <v>142</v>
      </c>
    </row>
    <row r="58" spans="1:8" x14ac:dyDescent="0.2">
      <c r="A58" s="92">
        <v>52</v>
      </c>
      <c r="B58" s="93" t="s">
        <v>330</v>
      </c>
      <c r="C58" s="93" t="s">
        <v>331</v>
      </c>
      <c r="D58" s="93" t="s">
        <v>186</v>
      </c>
      <c r="E58" s="94">
        <v>60000</v>
      </c>
      <c r="F58" s="95">
        <v>625.67999999999995</v>
      </c>
      <c r="G58" s="96">
        <v>6.80271E-3</v>
      </c>
      <c r="H58" s="86" t="s">
        <v>142</v>
      </c>
    </row>
    <row r="59" spans="1:8" x14ac:dyDescent="0.2">
      <c r="A59" s="92">
        <v>53</v>
      </c>
      <c r="B59" s="93" t="s">
        <v>287</v>
      </c>
      <c r="C59" s="93" t="s">
        <v>288</v>
      </c>
      <c r="D59" s="93" t="s">
        <v>186</v>
      </c>
      <c r="E59" s="94">
        <v>75000</v>
      </c>
      <c r="F59" s="95">
        <v>561.67499999999995</v>
      </c>
      <c r="G59" s="96">
        <v>6.1068099999999998E-3</v>
      </c>
      <c r="H59" s="86" t="s">
        <v>142</v>
      </c>
    </row>
    <row r="60" spans="1:8" ht="25.5" x14ac:dyDescent="0.2">
      <c r="A60" s="92">
        <v>54</v>
      </c>
      <c r="B60" s="93" t="s">
        <v>704</v>
      </c>
      <c r="C60" s="93" t="s">
        <v>705</v>
      </c>
      <c r="D60" s="93" t="s">
        <v>191</v>
      </c>
      <c r="E60" s="94">
        <v>10000</v>
      </c>
      <c r="F60" s="95">
        <v>488.46</v>
      </c>
      <c r="G60" s="96">
        <v>5.3107800000000002E-3</v>
      </c>
      <c r="H60" s="86" t="s">
        <v>142</v>
      </c>
    </row>
    <row r="61" spans="1:8" x14ac:dyDescent="0.2">
      <c r="A61" s="97"/>
      <c r="B61" s="97"/>
      <c r="C61" s="98" t="s">
        <v>141</v>
      </c>
      <c r="D61" s="97"/>
      <c r="E61" s="97" t="s">
        <v>142</v>
      </c>
      <c r="F61" s="99">
        <f>SUM(F7:F60)</f>
        <v>87451.67779799999</v>
      </c>
      <c r="G61" s="100">
        <f>SUM(G7:G60)</f>
        <v>0.95081831631408431</v>
      </c>
      <c r="H61" s="86" t="s">
        <v>142</v>
      </c>
    </row>
    <row r="62" spans="1:8" x14ac:dyDescent="0.2">
      <c r="A62" s="97"/>
      <c r="B62" s="97"/>
      <c r="C62" s="101"/>
      <c r="D62" s="97"/>
      <c r="E62" s="97"/>
      <c r="F62" s="102"/>
      <c r="G62" s="102"/>
      <c r="H62" s="86" t="s">
        <v>142</v>
      </c>
    </row>
    <row r="63" spans="1:8" x14ac:dyDescent="0.2">
      <c r="A63" s="97"/>
      <c r="B63" s="97"/>
      <c r="C63" s="98" t="s">
        <v>143</v>
      </c>
      <c r="D63" s="97"/>
      <c r="E63" s="97"/>
      <c r="F63" s="97"/>
      <c r="G63" s="97"/>
      <c r="H63" s="86" t="s">
        <v>142</v>
      </c>
    </row>
    <row r="64" spans="1:8" x14ac:dyDescent="0.2">
      <c r="A64" s="97"/>
      <c r="B64" s="97"/>
      <c r="C64" s="98" t="s">
        <v>141</v>
      </c>
      <c r="D64" s="97"/>
      <c r="E64" s="97" t="s">
        <v>142</v>
      </c>
      <c r="F64" s="103" t="s">
        <v>144</v>
      </c>
      <c r="G64" s="100">
        <v>0</v>
      </c>
      <c r="H64" s="86" t="s">
        <v>142</v>
      </c>
    </row>
    <row r="65" spans="1:8" x14ac:dyDescent="0.2">
      <c r="A65" s="97"/>
      <c r="B65" s="97"/>
      <c r="C65" s="101"/>
      <c r="D65" s="97"/>
      <c r="E65" s="97"/>
      <c r="F65" s="102"/>
      <c r="G65" s="102"/>
      <c r="H65" s="86" t="s">
        <v>142</v>
      </c>
    </row>
    <row r="66" spans="1:8" x14ac:dyDescent="0.2">
      <c r="A66" s="97"/>
      <c r="B66" s="97"/>
      <c r="C66" s="98" t="s">
        <v>145</v>
      </c>
      <c r="D66" s="97"/>
      <c r="E66" s="97"/>
      <c r="F66" s="97"/>
      <c r="G66" s="97"/>
      <c r="H66" s="86" t="s">
        <v>142</v>
      </c>
    </row>
    <row r="67" spans="1:8" x14ac:dyDescent="0.2">
      <c r="A67" s="92">
        <v>1</v>
      </c>
      <c r="B67" s="93" t="s">
        <v>707</v>
      </c>
      <c r="C67" s="88" t="s">
        <v>1048</v>
      </c>
      <c r="D67" s="93"/>
      <c r="E67" s="94">
        <v>200000</v>
      </c>
      <c r="F67" s="95">
        <v>1.9999999999999999E-6</v>
      </c>
      <c r="G67" s="104" t="s">
        <v>140</v>
      </c>
      <c r="H67" s="86" t="s">
        <v>142</v>
      </c>
    </row>
    <row r="68" spans="1:8" x14ac:dyDescent="0.2">
      <c r="A68" s="92">
        <v>2</v>
      </c>
      <c r="B68" s="93" t="s">
        <v>709</v>
      </c>
      <c r="C68" s="88" t="s">
        <v>1049</v>
      </c>
      <c r="D68" s="93"/>
      <c r="E68" s="94">
        <v>50000</v>
      </c>
      <c r="F68" s="95">
        <v>4.9999999999999998E-7</v>
      </c>
      <c r="G68" s="104" t="s">
        <v>140</v>
      </c>
      <c r="H68" s="86" t="s">
        <v>142</v>
      </c>
    </row>
    <row r="69" spans="1:8" x14ac:dyDescent="0.2">
      <c r="A69" s="92">
        <v>3</v>
      </c>
      <c r="B69" s="93" t="s">
        <v>708</v>
      </c>
      <c r="C69" s="88" t="s">
        <v>1050</v>
      </c>
      <c r="D69" s="93"/>
      <c r="E69" s="94">
        <v>50000</v>
      </c>
      <c r="F69" s="95">
        <v>4.9999999999999998E-7</v>
      </c>
      <c r="G69" s="104" t="s">
        <v>140</v>
      </c>
      <c r="H69" s="86" t="s">
        <v>142</v>
      </c>
    </row>
    <row r="70" spans="1:8" x14ac:dyDescent="0.2">
      <c r="A70" s="92">
        <v>4</v>
      </c>
      <c r="B70" s="93" t="s">
        <v>706</v>
      </c>
      <c r="C70" s="88" t="s">
        <v>1051</v>
      </c>
      <c r="D70" s="93"/>
      <c r="E70" s="94">
        <v>20</v>
      </c>
      <c r="F70" s="95">
        <v>0</v>
      </c>
      <c r="G70" s="104" t="s">
        <v>140</v>
      </c>
      <c r="H70" s="86" t="s">
        <v>142</v>
      </c>
    </row>
    <row r="71" spans="1:8" x14ac:dyDescent="0.2">
      <c r="A71" s="97"/>
      <c r="B71" s="97"/>
      <c r="C71" s="98" t="s">
        <v>141</v>
      </c>
      <c r="D71" s="97"/>
      <c r="E71" s="97" t="s">
        <v>142</v>
      </c>
      <c r="F71" s="103" t="s">
        <v>144</v>
      </c>
      <c r="G71" s="100">
        <v>0</v>
      </c>
      <c r="H71" s="86" t="s">
        <v>142</v>
      </c>
    </row>
    <row r="72" spans="1:8" x14ac:dyDescent="0.2">
      <c r="A72" s="97"/>
      <c r="B72" s="97"/>
      <c r="C72" s="101"/>
      <c r="D72" s="97"/>
      <c r="E72" s="97"/>
      <c r="F72" s="102"/>
      <c r="G72" s="102"/>
      <c r="H72" s="86" t="s">
        <v>142</v>
      </c>
    </row>
    <row r="73" spans="1:8" x14ac:dyDescent="0.2">
      <c r="A73" s="97"/>
      <c r="B73" s="97"/>
      <c r="C73" s="98" t="s">
        <v>146</v>
      </c>
      <c r="D73" s="97"/>
      <c r="E73" s="97"/>
      <c r="F73" s="97"/>
      <c r="G73" s="97"/>
      <c r="H73" s="86" t="s">
        <v>142</v>
      </c>
    </row>
    <row r="74" spans="1:8" x14ac:dyDescent="0.2">
      <c r="A74" s="97"/>
      <c r="B74" s="97"/>
      <c r="C74" s="98" t="s">
        <v>141</v>
      </c>
      <c r="D74" s="97"/>
      <c r="E74" s="97" t="s">
        <v>142</v>
      </c>
      <c r="F74" s="103" t="s">
        <v>144</v>
      </c>
      <c r="G74" s="100">
        <v>0</v>
      </c>
      <c r="H74" s="86" t="s">
        <v>142</v>
      </c>
    </row>
    <row r="75" spans="1:8" x14ac:dyDescent="0.2">
      <c r="A75" s="97"/>
      <c r="B75" s="97"/>
      <c r="C75" s="101"/>
      <c r="D75" s="97"/>
      <c r="E75" s="97"/>
      <c r="F75" s="102"/>
      <c r="G75" s="102"/>
      <c r="H75" s="86" t="s">
        <v>142</v>
      </c>
    </row>
    <row r="76" spans="1:8" x14ac:dyDescent="0.2">
      <c r="A76" s="97"/>
      <c r="B76" s="97"/>
      <c r="C76" s="98" t="s">
        <v>147</v>
      </c>
      <c r="D76" s="97"/>
      <c r="E76" s="97"/>
      <c r="F76" s="102"/>
      <c r="G76" s="102"/>
      <c r="H76" s="86" t="s">
        <v>142</v>
      </c>
    </row>
    <row r="77" spans="1:8" x14ac:dyDescent="0.2">
      <c r="A77" s="97"/>
      <c r="B77" s="97"/>
      <c r="C77" s="98" t="s">
        <v>141</v>
      </c>
      <c r="D77" s="97"/>
      <c r="E77" s="97" t="s">
        <v>142</v>
      </c>
      <c r="F77" s="103" t="s">
        <v>144</v>
      </c>
      <c r="G77" s="100">
        <v>0</v>
      </c>
      <c r="H77" s="86" t="s">
        <v>142</v>
      </c>
    </row>
    <row r="78" spans="1:8" x14ac:dyDescent="0.2">
      <c r="A78" s="97"/>
      <c r="B78" s="97"/>
      <c r="C78" s="101"/>
      <c r="D78" s="97"/>
      <c r="E78" s="97"/>
      <c r="F78" s="102"/>
      <c r="G78" s="102"/>
      <c r="H78" s="86" t="s">
        <v>142</v>
      </c>
    </row>
    <row r="79" spans="1:8" x14ac:dyDescent="0.2">
      <c r="A79" s="97"/>
      <c r="B79" s="97"/>
      <c r="C79" s="98" t="s">
        <v>148</v>
      </c>
      <c r="D79" s="97"/>
      <c r="E79" s="97"/>
      <c r="F79" s="102"/>
      <c r="G79" s="102"/>
      <c r="H79" s="86" t="s">
        <v>142</v>
      </c>
    </row>
    <row r="80" spans="1:8" x14ac:dyDescent="0.2">
      <c r="A80" s="97"/>
      <c r="B80" s="97"/>
      <c r="C80" s="98" t="s">
        <v>141</v>
      </c>
      <c r="D80" s="97"/>
      <c r="E80" s="97" t="s">
        <v>142</v>
      </c>
      <c r="F80" s="103" t="s">
        <v>144</v>
      </c>
      <c r="G80" s="100">
        <v>0</v>
      </c>
      <c r="H80" s="86" t="s">
        <v>142</v>
      </c>
    </row>
    <row r="81" spans="1:8" x14ac:dyDescent="0.2">
      <c r="A81" s="97"/>
      <c r="B81" s="97"/>
      <c r="C81" s="101"/>
      <c r="D81" s="97"/>
      <c r="E81" s="97"/>
      <c r="F81" s="102"/>
      <c r="G81" s="102"/>
      <c r="H81" s="86" t="s">
        <v>142</v>
      </c>
    </row>
    <row r="82" spans="1:8" x14ac:dyDescent="0.2">
      <c r="A82" s="97"/>
      <c r="B82" s="97"/>
      <c r="C82" s="98" t="s">
        <v>149</v>
      </c>
      <c r="D82" s="97"/>
      <c r="E82" s="97"/>
      <c r="F82" s="99">
        <f>F61+F71</f>
        <v>87451.67779799999</v>
      </c>
      <c r="G82" s="100">
        <f>G71+G61</f>
        <v>0.95081831631408431</v>
      </c>
      <c r="H82" s="86" t="s">
        <v>142</v>
      </c>
    </row>
    <row r="83" spans="1:8" x14ac:dyDescent="0.2">
      <c r="A83" s="97"/>
      <c r="B83" s="97"/>
      <c r="C83" s="101"/>
      <c r="D83" s="97"/>
      <c r="E83" s="97"/>
      <c r="F83" s="102"/>
      <c r="G83" s="102"/>
      <c r="H83" s="86" t="s">
        <v>142</v>
      </c>
    </row>
    <row r="84" spans="1:8" x14ac:dyDescent="0.2">
      <c r="A84" s="97"/>
      <c r="B84" s="97"/>
      <c r="C84" s="98" t="s">
        <v>150</v>
      </c>
      <c r="D84" s="97"/>
      <c r="E84" s="97"/>
      <c r="F84" s="102"/>
      <c r="G84" s="102"/>
      <c r="H84" s="86" t="s">
        <v>142</v>
      </c>
    </row>
    <row r="85" spans="1:8" x14ac:dyDescent="0.2">
      <c r="A85" s="97"/>
      <c r="B85" s="97"/>
      <c r="C85" s="98" t="s">
        <v>10</v>
      </c>
      <c r="D85" s="97"/>
      <c r="E85" s="97"/>
      <c r="F85" s="102"/>
      <c r="G85" s="102"/>
      <c r="H85" s="86" t="s">
        <v>142</v>
      </c>
    </row>
    <row r="86" spans="1:8" x14ac:dyDescent="0.2">
      <c r="A86" s="97"/>
      <c r="B86" s="97"/>
      <c r="C86" s="98" t="s">
        <v>141</v>
      </c>
      <c r="D86" s="97"/>
      <c r="E86" s="97" t="s">
        <v>142</v>
      </c>
      <c r="F86" s="103" t="s">
        <v>144</v>
      </c>
      <c r="G86" s="100">
        <v>0</v>
      </c>
      <c r="H86" s="86" t="s">
        <v>142</v>
      </c>
    </row>
    <row r="87" spans="1:8" x14ac:dyDescent="0.2">
      <c r="A87" s="97"/>
      <c r="B87" s="97"/>
      <c r="C87" s="101"/>
      <c r="D87" s="97"/>
      <c r="E87" s="97"/>
      <c r="F87" s="102"/>
      <c r="G87" s="102"/>
      <c r="H87" s="86" t="s">
        <v>142</v>
      </c>
    </row>
    <row r="88" spans="1:8" x14ac:dyDescent="0.2">
      <c r="A88" s="97"/>
      <c r="B88" s="97"/>
      <c r="C88" s="98" t="s">
        <v>151</v>
      </c>
      <c r="D88" s="97"/>
      <c r="E88" s="97"/>
      <c r="F88" s="97"/>
      <c r="G88" s="97"/>
      <c r="H88" s="86" t="s">
        <v>142</v>
      </c>
    </row>
    <row r="89" spans="1:8" x14ac:dyDescent="0.2">
      <c r="A89" s="97"/>
      <c r="B89" s="97"/>
      <c r="C89" s="98" t="s">
        <v>141</v>
      </c>
      <c r="D89" s="97"/>
      <c r="E89" s="97" t="s">
        <v>142</v>
      </c>
      <c r="F89" s="103" t="s">
        <v>144</v>
      </c>
      <c r="G89" s="100">
        <v>0</v>
      </c>
      <c r="H89" s="86" t="s">
        <v>142</v>
      </c>
    </row>
    <row r="90" spans="1:8" x14ac:dyDescent="0.2">
      <c r="A90" s="97"/>
      <c r="B90" s="97"/>
      <c r="C90" s="101"/>
      <c r="D90" s="97"/>
      <c r="E90" s="97"/>
      <c r="F90" s="102"/>
      <c r="G90" s="102"/>
      <c r="H90" s="86" t="s">
        <v>142</v>
      </c>
    </row>
    <row r="91" spans="1:8" x14ac:dyDescent="0.2">
      <c r="A91" s="97"/>
      <c r="B91" s="97"/>
      <c r="C91" s="98" t="s">
        <v>152</v>
      </c>
      <c r="D91" s="97"/>
      <c r="E91" s="97"/>
      <c r="F91" s="97"/>
      <c r="G91" s="97"/>
      <c r="H91" s="86" t="s">
        <v>142</v>
      </c>
    </row>
    <row r="92" spans="1:8" x14ac:dyDescent="0.2">
      <c r="A92" s="97"/>
      <c r="B92" s="97"/>
      <c r="C92" s="98" t="s">
        <v>141</v>
      </c>
      <c r="D92" s="97"/>
      <c r="E92" s="97" t="s">
        <v>142</v>
      </c>
      <c r="F92" s="103" t="s">
        <v>144</v>
      </c>
      <c r="G92" s="100">
        <v>0</v>
      </c>
      <c r="H92" s="86" t="s">
        <v>142</v>
      </c>
    </row>
    <row r="93" spans="1:8" x14ac:dyDescent="0.2">
      <c r="A93" s="97"/>
      <c r="B93" s="97"/>
      <c r="C93" s="101"/>
      <c r="D93" s="97"/>
      <c r="E93" s="97"/>
      <c r="F93" s="102"/>
      <c r="G93" s="102"/>
      <c r="H93" s="86" t="s">
        <v>142</v>
      </c>
    </row>
    <row r="94" spans="1:8" x14ac:dyDescent="0.2">
      <c r="A94" s="97"/>
      <c r="B94" s="97"/>
      <c r="C94" s="98" t="s">
        <v>153</v>
      </c>
      <c r="D94" s="97"/>
      <c r="E94" s="97"/>
      <c r="F94" s="102"/>
      <c r="G94" s="102"/>
      <c r="H94" s="86" t="s">
        <v>142</v>
      </c>
    </row>
    <row r="95" spans="1:8" x14ac:dyDescent="0.2">
      <c r="A95" s="97"/>
      <c r="B95" s="97"/>
      <c r="C95" s="98" t="s">
        <v>141</v>
      </c>
      <c r="D95" s="97"/>
      <c r="E95" s="97" t="s">
        <v>142</v>
      </c>
      <c r="F95" s="103" t="s">
        <v>144</v>
      </c>
      <c r="G95" s="100">
        <v>0</v>
      </c>
      <c r="H95" s="86" t="s">
        <v>142</v>
      </c>
    </row>
    <row r="96" spans="1:8" x14ac:dyDescent="0.2">
      <c r="A96" s="97"/>
      <c r="B96" s="97"/>
      <c r="C96" s="101"/>
      <c r="D96" s="97"/>
      <c r="E96" s="97"/>
      <c r="F96" s="102"/>
      <c r="G96" s="102"/>
      <c r="H96" s="86" t="s">
        <v>142</v>
      </c>
    </row>
    <row r="97" spans="1:8" x14ac:dyDescent="0.2">
      <c r="A97" s="97"/>
      <c r="B97" s="97"/>
      <c r="C97" s="98" t="s">
        <v>154</v>
      </c>
      <c r="D97" s="97"/>
      <c r="E97" s="97"/>
      <c r="F97" s="99">
        <v>0</v>
      </c>
      <c r="G97" s="100">
        <v>0</v>
      </c>
      <c r="H97" s="86" t="s">
        <v>142</v>
      </c>
    </row>
    <row r="98" spans="1:8" x14ac:dyDescent="0.2">
      <c r="A98" s="97"/>
      <c r="B98" s="97"/>
      <c r="C98" s="101"/>
      <c r="D98" s="97"/>
      <c r="E98" s="97"/>
      <c r="F98" s="102"/>
      <c r="G98" s="102"/>
      <c r="H98" s="86" t="s">
        <v>142</v>
      </c>
    </row>
    <row r="99" spans="1:8" x14ac:dyDescent="0.2">
      <c r="A99" s="97"/>
      <c r="B99" s="97"/>
      <c r="C99" s="98" t="s">
        <v>155</v>
      </c>
      <c r="D99" s="97"/>
      <c r="E99" s="97"/>
      <c r="F99" s="102"/>
      <c r="G99" s="102"/>
      <c r="H99" s="86" t="s">
        <v>142</v>
      </c>
    </row>
    <row r="100" spans="1:8" x14ac:dyDescent="0.2">
      <c r="A100" s="97"/>
      <c r="B100" s="97"/>
      <c r="C100" s="98" t="s">
        <v>156</v>
      </c>
      <c r="D100" s="97"/>
      <c r="E100" s="97"/>
      <c r="F100" s="102"/>
      <c r="G100" s="102"/>
      <c r="H100" s="86" t="s">
        <v>142</v>
      </c>
    </row>
    <row r="101" spans="1:8" x14ac:dyDescent="0.2">
      <c r="A101" s="97"/>
      <c r="B101" s="97"/>
      <c r="C101" s="98" t="s">
        <v>141</v>
      </c>
      <c r="D101" s="97"/>
      <c r="E101" s="97" t="s">
        <v>142</v>
      </c>
      <c r="F101" s="103" t="s">
        <v>144</v>
      </c>
      <c r="G101" s="100">
        <v>0</v>
      </c>
      <c r="H101" s="86" t="s">
        <v>142</v>
      </c>
    </row>
    <row r="102" spans="1:8" x14ac:dyDescent="0.2">
      <c r="A102" s="97"/>
      <c r="B102" s="97"/>
      <c r="C102" s="101"/>
      <c r="D102" s="97"/>
      <c r="E102" s="97"/>
      <c r="F102" s="102"/>
      <c r="G102" s="102"/>
      <c r="H102" s="86" t="s">
        <v>142</v>
      </c>
    </row>
    <row r="103" spans="1:8" x14ac:dyDescent="0.2">
      <c r="A103" s="97"/>
      <c r="B103" s="97"/>
      <c r="C103" s="98" t="s">
        <v>157</v>
      </c>
      <c r="D103" s="97"/>
      <c r="E103" s="97"/>
      <c r="F103" s="102"/>
      <c r="G103" s="102"/>
      <c r="H103" s="86" t="s">
        <v>142</v>
      </c>
    </row>
    <row r="104" spans="1:8" x14ac:dyDescent="0.2">
      <c r="A104" s="97"/>
      <c r="B104" s="97"/>
      <c r="C104" s="98" t="s">
        <v>141</v>
      </c>
      <c r="D104" s="97"/>
      <c r="E104" s="97" t="s">
        <v>142</v>
      </c>
      <c r="F104" s="103" t="s">
        <v>144</v>
      </c>
      <c r="G104" s="100">
        <v>0</v>
      </c>
      <c r="H104" s="86" t="s">
        <v>142</v>
      </c>
    </row>
    <row r="105" spans="1:8" x14ac:dyDescent="0.2">
      <c r="A105" s="97"/>
      <c r="B105" s="97"/>
      <c r="C105" s="101"/>
      <c r="D105" s="97"/>
      <c r="E105" s="97"/>
      <c r="F105" s="102"/>
      <c r="G105" s="102"/>
      <c r="H105" s="86" t="s">
        <v>142</v>
      </c>
    </row>
    <row r="106" spans="1:8" x14ac:dyDescent="0.2">
      <c r="A106" s="97"/>
      <c r="B106" s="97"/>
      <c r="C106" s="98" t="s">
        <v>158</v>
      </c>
      <c r="D106" s="97"/>
      <c r="E106" s="97"/>
      <c r="F106" s="102"/>
      <c r="G106" s="102"/>
      <c r="H106" s="86" t="s">
        <v>142</v>
      </c>
    </row>
    <row r="107" spans="1:8" x14ac:dyDescent="0.2">
      <c r="A107" s="97"/>
      <c r="B107" s="97"/>
      <c r="C107" s="98" t="s">
        <v>141</v>
      </c>
      <c r="D107" s="97"/>
      <c r="E107" s="97" t="s">
        <v>142</v>
      </c>
      <c r="F107" s="103" t="s">
        <v>144</v>
      </c>
      <c r="G107" s="100">
        <v>0</v>
      </c>
      <c r="H107" s="86" t="s">
        <v>142</v>
      </c>
    </row>
    <row r="108" spans="1:8" x14ac:dyDescent="0.2">
      <c r="A108" s="97"/>
      <c r="B108" s="97"/>
      <c r="C108" s="101"/>
      <c r="D108" s="97"/>
      <c r="E108" s="97"/>
      <c r="F108" s="102"/>
      <c r="G108" s="102"/>
      <c r="H108" s="86" t="s">
        <v>142</v>
      </c>
    </row>
    <row r="109" spans="1:8" x14ac:dyDescent="0.2">
      <c r="A109" s="97"/>
      <c r="B109" s="97"/>
      <c r="C109" s="98" t="s">
        <v>159</v>
      </c>
      <c r="D109" s="97"/>
      <c r="E109" s="97"/>
      <c r="F109" s="102"/>
      <c r="G109" s="102"/>
      <c r="H109" s="86" t="s">
        <v>142</v>
      </c>
    </row>
    <row r="110" spans="1:8" x14ac:dyDescent="0.2">
      <c r="A110" s="92">
        <v>1</v>
      </c>
      <c r="B110" s="93"/>
      <c r="C110" s="93" t="s">
        <v>160</v>
      </c>
      <c r="D110" s="93"/>
      <c r="E110" s="104"/>
      <c r="F110" s="95">
        <v>3181.1595309099998</v>
      </c>
      <c r="G110" s="96">
        <v>3.4587159999999999E-2</v>
      </c>
      <c r="H110" s="86">
        <v>5.57</v>
      </c>
    </row>
    <row r="111" spans="1:8" x14ac:dyDescent="0.2">
      <c r="A111" s="97"/>
      <c r="B111" s="97"/>
      <c r="C111" s="98" t="s">
        <v>141</v>
      </c>
      <c r="D111" s="97"/>
      <c r="E111" s="97" t="s">
        <v>142</v>
      </c>
      <c r="F111" s="99">
        <v>3181.1595309099998</v>
      </c>
      <c r="G111" s="100">
        <v>3.4587159999999999E-2</v>
      </c>
      <c r="H111" s="86" t="s">
        <v>142</v>
      </c>
    </row>
    <row r="112" spans="1:8" x14ac:dyDescent="0.2">
      <c r="A112" s="97"/>
      <c r="B112" s="97"/>
      <c r="C112" s="101"/>
      <c r="D112" s="97"/>
      <c r="E112" s="97"/>
      <c r="F112" s="102"/>
      <c r="G112" s="102"/>
      <c r="H112" s="86" t="s">
        <v>142</v>
      </c>
    </row>
    <row r="113" spans="1:8" x14ac:dyDescent="0.2">
      <c r="A113" s="97"/>
      <c r="B113" s="97"/>
      <c r="C113" s="98" t="s">
        <v>161</v>
      </c>
      <c r="D113" s="97"/>
      <c r="E113" s="97"/>
      <c r="F113" s="99">
        <v>3181.1595309099998</v>
      </c>
      <c r="G113" s="100">
        <v>3.4587159999999999E-2</v>
      </c>
      <c r="H113" s="86" t="s">
        <v>142</v>
      </c>
    </row>
    <row r="114" spans="1:8" x14ac:dyDescent="0.2">
      <c r="A114" s="97"/>
      <c r="B114" s="97"/>
      <c r="C114" s="102"/>
      <c r="D114" s="97"/>
      <c r="E114" s="97"/>
      <c r="F114" s="97"/>
      <c r="G114" s="97"/>
      <c r="H114" s="86" t="s">
        <v>142</v>
      </c>
    </row>
    <row r="115" spans="1:8" x14ac:dyDescent="0.2">
      <c r="A115" s="97"/>
      <c r="B115" s="97"/>
      <c r="C115" s="98" t="s">
        <v>162</v>
      </c>
      <c r="D115" s="97"/>
      <c r="E115" s="97"/>
      <c r="F115" s="97"/>
      <c r="G115" s="97"/>
      <c r="H115" s="86" t="s">
        <v>142</v>
      </c>
    </row>
    <row r="116" spans="1:8" x14ac:dyDescent="0.2">
      <c r="A116" s="97"/>
      <c r="B116" s="97"/>
      <c r="C116" s="98" t="s">
        <v>163</v>
      </c>
      <c r="D116" s="97"/>
      <c r="E116" s="97"/>
      <c r="F116" s="97"/>
      <c r="G116" s="97"/>
      <c r="H116" s="86" t="s">
        <v>142</v>
      </c>
    </row>
    <row r="117" spans="1:8" x14ac:dyDescent="0.2">
      <c r="A117" s="97"/>
      <c r="B117" s="97"/>
      <c r="C117" s="98" t="s">
        <v>141</v>
      </c>
      <c r="D117" s="97"/>
      <c r="E117" s="97" t="s">
        <v>142</v>
      </c>
      <c r="F117" s="103" t="s">
        <v>144</v>
      </c>
      <c r="G117" s="100">
        <v>0</v>
      </c>
      <c r="H117" s="86" t="s">
        <v>142</v>
      </c>
    </row>
    <row r="118" spans="1:8" x14ac:dyDescent="0.2">
      <c r="A118" s="97"/>
      <c r="B118" s="97"/>
      <c r="C118" s="101"/>
      <c r="D118" s="97"/>
      <c r="E118" s="97"/>
      <c r="F118" s="102"/>
      <c r="G118" s="102"/>
      <c r="H118" s="86" t="s">
        <v>142</v>
      </c>
    </row>
    <row r="119" spans="1:8" x14ac:dyDescent="0.2">
      <c r="A119" s="97"/>
      <c r="B119" s="97"/>
      <c r="C119" s="98" t="s">
        <v>164</v>
      </c>
      <c r="D119" s="97"/>
      <c r="E119" s="97"/>
      <c r="F119" s="97"/>
      <c r="G119" s="97"/>
      <c r="H119" s="86" t="s">
        <v>142</v>
      </c>
    </row>
    <row r="120" spans="1:8" x14ac:dyDescent="0.2">
      <c r="A120" s="97"/>
      <c r="B120" s="97"/>
      <c r="C120" s="98" t="s">
        <v>165</v>
      </c>
      <c r="D120" s="97"/>
      <c r="E120" s="97"/>
      <c r="F120" s="97"/>
      <c r="G120" s="97"/>
      <c r="H120" s="86" t="s">
        <v>142</v>
      </c>
    </row>
    <row r="121" spans="1:8" x14ac:dyDescent="0.2">
      <c r="A121" s="97"/>
      <c r="B121" s="97"/>
      <c r="C121" s="98" t="s">
        <v>141</v>
      </c>
      <c r="D121" s="97"/>
      <c r="E121" s="97" t="s">
        <v>142</v>
      </c>
      <c r="F121" s="103" t="s">
        <v>144</v>
      </c>
      <c r="G121" s="100">
        <v>0</v>
      </c>
      <c r="H121" s="86" t="s">
        <v>142</v>
      </c>
    </row>
    <row r="122" spans="1:8" x14ac:dyDescent="0.2">
      <c r="A122" s="97"/>
      <c r="B122" s="97"/>
      <c r="C122" s="101"/>
      <c r="D122" s="97"/>
      <c r="E122" s="97"/>
      <c r="F122" s="102"/>
      <c r="G122" s="102"/>
      <c r="H122" s="86" t="s">
        <v>142</v>
      </c>
    </row>
    <row r="123" spans="1:8" x14ac:dyDescent="0.2">
      <c r="A123" s="97"/>
      <c r="B123" s="97"/>
      <c r="C123" s="98" t="s">
        <v>166</v>
      </c>
      <c r="D123" s="97"/>
      <c r="E123" s="97"/>
      <c r="F123" s="102"/>
      <c r="G123" s="102"/>
      <c r="H123" s="86" t="s">
        <v>142</v>
      </c>
    </row>
    <row r="124" spans="1:8" x14ac:dyDescent="0.2">
      <c r="A124" s="97"/>
      <c r="B124" s="97"/>
      <c r="C124" s="98" t="s">
        <v>141</v>
      </c>
      <c r="D124" s="97"/>
      <c r="E124" s="97" t="s">
        <v>142</v>
      </c>
      <c r="F124" s="103" t="s">
        <v>144</v>
      </c>
      <c r="G124" s="100">
        <v>0</v>
      </c>
      <c r="H124" s="86" t="s">
        <v>142</v>
      </c>
    </row>
    <row r="125" spans="1:8" x14ac:dyDescent="0.2">
      <c r="A125" s="97"/>
      <c r="B125" s="97"/>
      <c r="C125" s="101"/>
      <c r="D125" s="97"/>
      <c r="E125" s="97"/>
      <c r="F125" s="102"/>
      <c r="G125" s="102"/>
      <c r="H125" s="86" t="s">
        <v>142</v>
      </c>
    </row>
    <row r="126" spans="1:8" x14ac:dyDescent="0.2">
      <c r="A126" s="104"/>
      <c r="B126" s="93"/>
      <c r="C126" s="93" t="s">
        <v>167</v>
      </c>
      <c r="D126" s="93"/>
      <c r="E126" s="104"/>
      <c r="F126" s="95">
        <v>1342.3349997299999</v>
      </c>
      <c r="G126" s="96">
        <v>1.459454E-2</v>
      </c>
      <c r="H126" s="86" t="s">
        <v>142</v>
      </c>
    </row>
    <row r="127" spans="1:8" x14ac:dyDescent="0.2">
      <c r="A127" s="101"/>
      <c r="B127" s="101"/>
      <c r="C127" s="98" t="s">
        <v>168</v>
      </c>
      <c r="D127" s="102"/>
      <c r="E127" s="102"/>
      <c r="F127" s="99">
        <f>F126+F113+F82</f>
        <v>91975.172328639994</v>
      </c>
      <c r="G127" s="105">
        <f>G126+G113+G82</f>
        <v>1.0000000163140843</v>
      </c>
      <c r="H127" s="86" t="s">
        <v>142</v>
      </c>
    </row>
    <row r="128" spans="1:8" ht="12.75" customHeight="1" x14ac:dyDescent="0.2">
      <c r="A128" s="106"/>
      <c r="B128" s="106"/>
      <c r="C128" s="107"/>
      <c r="D128" s="108"/>
      <c r="E128" s="108"/>
      <c r="F128" s="109"/>
      <c r="G128" s="110"/>
      <c r="H128" s="111"/>
    </row>
    <row r="129" spans="1:17" x14ac:dyDescent="0.2">
      <c r="A129" s="106"/>
      <c r="B129" s="200" t="s">
        <v>918</v>
      </c>
      <c r="C129" s="200"/>
      <c r="D129" s="200"/>
      <c r="E129" s="200"/>
      <c r="F129" s="200"/>
      <c r="G129" s="200"/>
      <c r="H129" s="200"/>
      <c r="J129" s="113"/>
    </row>
    <row r="130" spans="1:17" x14ac:dyDescent="0.2">
      <c r="A130" s="106"/>
      <c r="B130" s="200" t="s">
        <v>919</v>
      </c>
      <c r="C130" s="200"/>
      <c r="D130" s="200"/>
      <c r="E130" s="200"/>
      <c r="F130" s="200"/>
      <c r="G130" s="200"/>
      <c r="H130" s="200"/>
      <c r="J130" s="113"/>
    </row>
    <row r="131" spans="1:17" x14ac:dyDescent="0.2">
      <c r="A131" s="106"/>
      <c r="B131" s="200" t="s">
        <v>920</v>
      </c>
      <c r="C131" s="200"/>
      <c r="D131" s="200"/>
      <c r="E131" s="200"/>
      <c r="F131" s="200"/>
      <c r="G131" s="200"/>
      <c r="H131" s="200"/>
      <c r="J131" s="113"/>
    </row>
    <row r="132" spans="1:17" s="115" customFormat="1" ht="66.75" customHeight="1" x14ac:dyDescent="0.25">
      <c r="A132" s="114"/>
      <c r="B132" s="201" t="s">
        <v>921</v>
      </c>
      <c r="C132" s="201"/>
      <c r="D132" s="201"/>
      <c r="E132" s="201"/>
      <c r="F132" s="201"/>
      <c r="G132" s="201"/>
      <c r="H132" s="201"/>
      <c r="I132"/>
      <c r="J132" s="113"/>
      <c r="K132"/>
      <c r="L132"/>
      <c r="M132"/>
      <c r="N132"/>
      <c r="O132"/>
      <c r="P132"/>
      <c r="Q132"/>
    </row>
    <row r="133" spans="1:17" x14ac:dyDescent="0.2">
      <c r="A133" s="106"/>
      <c r="B133" s="200" t="s">
        <v>922</v>
      </c>
      <c r="C133" s="200"/>
      <c r="D133" s="200"/>
      <c r="E133" s="200"/>
      <c r="F133" s="200"/>
      <c r="G133" s="200"/>
      <c r="H133" s="200"/>
      <c r="J133" s="113"/>
    </row>
    <row r="134" spans="1:17" x14ac:dyDescent="0.2">
      <c r="A134" s="106"/>
      <c r="B134" s="106"/>
      <c r="C134" s="106"/>
      <c r="D134" s="108"/>
      <c r="E134" s="108"/>
      <c r="F134" s="108"/>
      <c r="G134" s="108"/>
    </row>
    <row r="135" spans="1:17" x14ac:dyDescent="0.2">
      <c r="A135" s="106"/>
      <c r="B135" s="202" t="s">
        <v>169</v>
      </c>
      <c r="C135" s="203"/>
      <c r="D135" s="204"/>
      <c r="E135" s="116"/>
      <c r="F135" s="108"/>
      <c r="G135" s="108"/>
    </row>
    <row r="136" spans="1:17" ht="27.75" customHeight="1" x14ac:dyDescent="0.2">
      <c r="A136" s="106"/>
      <c r="B136" s="205" t="s">
        <v>170</v>
      </c>
      <c r="C136" s="206"/>
      <c r="D136" s="85" t="s">
        <v>955</v>
      </c>
      <c r="E136" s="116"/>
      <c r="F136" s="108"/>
      <c r="G136" s="108"/>
    </row>
    <row r="137" spans="1:17" ht="12.75" customHeight="1" x14ac:dyDescent="0.2">
      <c r="A137" s="106"/>
      <c r="B137" s="205" t="s">
        <v>923</v>
      </c>
      <c r="C137" s="206"/>
      <c r="D137" s="85" t="str">
        <f>"Rs. "&amp;TEXT(F73,"0.00")&amp;" lacs/ #"</f>
        <v>Rs. 0.00 lacs/ #</v>
      </c>
      <c r="E137" s="116"/>
      <c r="F137" s="108"/>
      <c r="G137" s="108"/>
    </row>
    <row r="138" spans="1:17" x14ac:dyDescent="0.2">
      <c r="A138" s="106"/>
      <c r="B138" s="205" t="s">
        <v>172</v>
      </c>
      <c r="C138" s="206"/>
      <c r="D138" s="117" t="s">
        <v>142</v>
      </c>
      <c r="E138" s="116"/>
      <c r="F138" s="108"/>
      <c r="G138" s="108"/>
    </row>
    <row r="139" spans="1:17" x14ac:dyDescent="0.2">
      <c r="A139" s="118"/>
      <c r="B139" s="119" t="s">
        <v>142</v>
      </c>
      <c r="C139" s="119" t="s">
        <v>924</v>
      </c>
      <c r="D139" s="119" t="s">
        <v>173</v>
      </c>
      <c r="E139" s="118"/>
      <c r="F139" s="118"/>
      <c r="G139" s="118"/>
      <c r="H139" s="118"/>
      <c r="J139" s="113"/>
    </row>
    <row r="140" spans="1:17" x14ac:dyDescent="0.2">
      <c r="A140" s="118"/>
      <c r="B140" s="120" t="s">
        <v>174</v>
      </c>
      <c r="C140" s="121">
        <v>45930</v>
      </c>
      <c r="D140" s="121">
        <v>45961</v>
      </c>
      <c r="E140" s="118"/>
      <c r="F140" s="118"/>
      <c r="G140" s="118"/>
      <c r="J140" s="113"/>
    </row>
    <row r="141" spans="1:17" x14ac:dyDescent="0.2">
      <c r="A141" s="122"/>
      <c r="B141" s="93" t="s">
        <v>175</v>
      </c>
      <c r="C141" s="123">
        <v>146.3502</v>
      </c>
      <c r="D141" s="123">
        <v>151.99209999999999</v>
      </c>
      <c r="E141" s="122"/>
      <c r="F141" s="124"/>
      <c r="G141" s="125"/>
    </row>
    <row r="142" spans="1:17" ht="25.5" x14ac:dyDescent="0.2">
      <c r="A142" s="122"/>
      <c r="B142" s="93" t="s">
        <v>1103</v>
      </c>
      <c r="C142" s="123">
        <v>65.279399999999995</v>
      </c>
      <c r="D142" s="123">
        <v>67.796000000000006</v>
      </c>
      <c r="E142" s="122"/>
      <c r="F142" s="124"/>
      <c r="G142" s="125"/>
    </row>
    <row r="143" spans="1:17" x14ac:dyDescent="0.2">
      <c r="A143" s="122"/>
      <c r="B143" s="93" t="s">
        <v>176</v>
      </c>
      <c r="C143" s="123">
        <v>133.78020000000001</v>
      </c>
      <c r="D143" s="123">
        <v>138.7937</v>
      </c>
      <c r="E143" s="122"/>
      <c r="F143" s="124"/>
      <c r="G143" s="125"/>
    </row>
    <row r="144" spans="1:17" ht="25.5" x14ac:dyDescent="0.2">
      <c r="A144" s="122"/>
      <c r="B144" s="93" t="s">
        <v>1104</v>
      </c>
      <c r="C144" s="123">
        <v>38.9026</v>
      </c>
      <c r="D144" s="123">
        <v>40.360500000000002</v>
      </c>
      <c r="E144" s="122"/>
      <c r="F144" s="124"/>
      <c r="G144" s="125"/>
    </row>
    <row r="145" spans="1:19" x14ac:dyDescent="0.2">
      <c r="A145" s="122"/>
      <c r="B145" s="122"/>
      <c r="C145" s="122"/>
      <c r="D145" s="122"/>
      <c r="E145" s="122"/>
      <c r="F145" s="122"/>
      <c r="G145" s="122"/>
    </row>
    <row r="146" spans="1:19" x14ac:dyDescent="0.2">
      <c r="A146" s="118"/>
      <c r="B146" s="205" t="s">
        <v>925</v>
      </c>
      <c r="C146" s="206"/>
      <c r="D146" s="85" t="s">
        <v>171</v>
      </c>
      <c r="E146" s="118"/>
      <c r="F146" s="118"/>
      <c r="G146" s="118"/>
    </row>
    <row r="147" spans="1:19" x14ac:dyDescent="0.2">
      <c r="A147" s="118"/>
      <c r="B147" s="136"/>
      <c r="C147" s="136"/>
      <c r="D147" s="136"/>
      <c r="E147" s="118"/>
      <c r="F147" s="118"/>
      <c r="G147" s="118"/>
    </row>
    <row r="148" spans="1:19" x14ac:dyDescent="0.2">
      <c r="A148" s="118"/>
      <c r="B148" s="205" t="s">
        <v>179</v>
      </c>
      <c r="C148" s="206"/>
      <c r="D148" s="85" t="s">
        <v>171</v>
      </c>
      <c r="E148" s="131"/>
      <c r="F148" s="118"/>
      <c r="G148" s="118"/>
    </row>
    <row r="149" spans="1:19" x14ac:dyDescent="0.2">
      <c r="A149" s="118"/>
      <c r="B149" s="205" t="s">
        <v>180</v>
      </c>
      <c r="C149" s="206"/>
      <c r="D149" s="85" t="s">
        <v>171</v>
      </c>
      <c r="E149" s="131"/>
      <c r="F149" s="118"/>
      <c r="G149" s="118"/>
    </row>
    <row r="150" spans="1:19" ht="17.100000000000001" customHeight="1" x14ac:dyDescent="0.2">
      <c r="A150" s="118"/>
      <c r="B150" s="205" t="s">
        <v>181</v>
      </c>
      <c r="C150" s="206"/>
      <c r="D150" s="85" t="s">
        <v>171</v>
      </c>
      <c r="E150" s="131"/>
      <c r="F150" s="118"/>
      <c r="G150" s="118"/>
    </row>
    <row r="151" spans="1:19" ht="17.100000000000001" customHeight="1" x14ac:dyDescent="0.2">
      <c r="A151" s="118"/>
      <c r="B151" s="205" t="s">
        <v>182</v>
      </c>
      <c r="C151" s="206"/>
      <c r="D151" s="132">
        <v>0.55500000000000005</v>
      </c>
      <c r="E151" s="118"/>
      <c r="F151" s="112"/>
      <c r="G151" s="133"/>
    </row>
    <row r="153" spans="1:19" s="162" customFormat="1" x14ac:dyDescent="0.2">
      <c r="B153" s="163" t="s">
        <v>1158</v>
      </c>
      <c r="C153" s="163"/>
      <c r="D153" s="163"/>
      <c r="E153" s="5"/>
      <c r="F153" s="6"/>
      <c r="I153"/>
      <c r="J153"/>
      <c r="K153"/>
      <c r="L153"/>
      <c r="M153"/>
      <c r="N153"/>
    </row>
    <row r="154" spans="1:19" s="162" customFormat="1" ht="63.75" x14ac:dyDescent="0.2">
      <c r="B154" s="164" t="s">
        <v>1052</v>
      </c>
      <c r="C154" s="165" t="s">
        <v>1053</v>
      </c>
      <c r="D154" s="165" t="s">
        <v>1054</v>
      </c>
      <c r="E154" s="165" t="s">
        <v>1055</v>
      </c>
      <c r="F154" s="165" t="s">
        <v>1056</v>
      </c>
      <c r="I154"/>
      <c r="J154"/>
      <c r="K154"/>
      <c r="L154"/>
      <c r="M154"/>
      <c r="N154"/>
    </row>
    <row r="155" spans="1:19" s="162" customFormat="1" ht="25.5" x14ac:dyDescent="0.2">
      <c r="B155" s="166" t="s">
        <v>1057</v>
      </c>
      <c r="C155" s="167" t="s">
        <v>1058</v>
      </c>
      <c r="D155" s="8">
        <v>0</v>
      </c>
      <c r="E155" s="9">
        <v>0</v>
      </c>
      <c r="F155" s="168">
        <v>241.97234</v>
      </c>
      <c r="I155"/>
      <c r="J155"/>
      <c r="K155"/>
      <c r="L155"/>
      <c r="M155"/>
      <c r="N155"/>
    </row>
    <row r="156" spans="1:19" s="162" customFormat="1" ht="25.5" x14ac:dyDescent="0.2">
      <c r="B156" s="166" t="s">
        <v>1059</v>
      </c>
      <c r="C156" s="167" t="s">
        <v>1058</v>
      </c>
      <c r="D156" s="8">
        <v>0</v>
      </c>
      <c r="E156" s="9">
        <v>0</v>
      </c>
      <c r="F156" s="168">
        <v>23.186299999999999</v>
      </c>
      <c r="I156"/>
      <c r="J156"/>
      <c r="K156"/>
      <c r="L156"/>
      <c r="M156"/>
      <c r="N156"/>
      <c r="O156"/>
      <c r="P156"/>
      <c r="Q156"/>
      <c r="R156"/>
      <c r="S156"/>
    </row>
    <row r="158" spans="1:19" x14ac:dyDescent="0.2">
      <c r="B158" s="199" t="s">
        <v>926</v>
      </c>
      <c r="C158" s="199"/>
    </row>
    <row r="160" spans="1:19" ht="153.75" customHeight="1" x14ac:dyDescent="0.2"/>
    <row r="163" spans="2:10" x14ac:dyDescent="0.2">
      <c r="B163" s="134" t="s">
        <v>927</v>
      </c>
      <c r="C163" s="135"/>
      <c r="D163" s="134" t="s">
        <v>932</v>
      </c>
    </row>
    <row r="164" spans="2:10" x14ac:dyDescent="0.2">
      <c r="B164" s="134" t="s">
        <v>1060</v>
      </c>
      <c r="D164" s="134" t="s">
        <v>1061</v>
      </c>
    </row>
    <row r="165" spans="2:10" ht="165" customHeight="1" x14ac:dyDescent="0.2"/>
    <row r="167" spans="2:10" x14ac:dyDescent="0.2">
      <c r="J167" s="83"/>
    </row>
    <row r="168" spans="2:10" ht="12.75" customHeight="1" x14ac:dyDescent="0.2"/>
    <row r="169" spans="2:10" ht="12.75" customHeight="1" x14ac:dyDescent="0.2"/>
    <row r="170" spans="2:10" ht="12.75" customHeight="1" x14ac:dyDescent="0.2"/>
    <row r="171" spans="2:10" ht="12.75" customHeight="1" x14ac:dyDescent="0.2"/>
    <row r="172" spans="2:10" ht="12.75" customHeight="1" x14ac:dyDescent="0.2"/>
    <row r="173" spans="2:10" ht="12.75" customHeight="1" x14ac:dyDescent="0.2"/>
    <row r="174" spans="2:10" ht="12.75" customHeight="1" x14ac:dyDescent="0.2"/>
    <row r="175" spans="2:10" ht="12.75" customHeight="1" x14ac:dyDescent="0.2"/>
    <row r="176" spans="2:10" ht="12.75" customHeight="1" x14ac:dyDescent="0.2"/>
    <row r="177" customFormat="1" x14ac:dyDescent="0.2"/>
    <row r="178" customFormat="1" x14ac:dyDescent="0.2"/>
    <row r="179" customFormat="1" x14ac:dyDescent="0.2"/>
  </sheetData>
  <mergeCells count="18">
    <mergeCell ref="B148:C148"/>
    <mergeCell ref="B149:C149"/>
    <mergeCell ref="B158:C158"/>
    <mergeCell ref="B151:C151"/>
    <mergeCell ref="A1:H1"/>
    <mergeCell ref="A2:H2"/>
    <mergeCell ref="A3:H3"/>
    <mergeCell ref="B146:C146"/>
    <mergeCell ref="B150:C150"/>
    <mergeCell ref="B129:H129"/>
    <mergeCell ref="B130:H130"/>
    <mergeCell ref="B137:C137"/>
    <mergeCell ref="B138:C138"/>
    <mergeCell ref="B131:H131"/>
    <mergeCell ref="B132:H132"/>
    <mergeCell ref="B133:H133"/>
    <mergeCell ref="B135:D135"/>
    <mergeCell ref="B136:C136"/>
  </mergeCells>
  <hyperlinks>
    <hyperlink ref="I1" location="Index!B2" display="Index" xr:uid="{D4CF5413-4671-4E54-AF81-D559860C0FC6}"/>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14C1F-B445-4482-840B-6BF456396B3A}">
  <sheetPr>
    <outlinePr summaryBelow="0" summaryRight="0"/>
  </sheetPr>
  <dimension ref="A1:Q226"/>
  <sheetViews>
    <sheetView showGridLines="0" workbookViewId="0">
      <selection activeCell="C8" sqref="C8"/>
    </sheetView>
  </sheetViews>
  <sheetFormatPr defaultRowHeight="12.75" x14ac:dyDescent="0.2"/>
  <cols>
    <col min="1" max="1" width="5.85546875" bestFit="1" customWidth="1"/>
    <col min="2" max="2" width="19.28515625" bestFit="1" customWidth="1"/>
    <col min="3" max="3" width="45.85546875" customWidth="1"/>
    <col min="4" max="4" width="17.710937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710</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11</v>
      </c>
      <c r="C7" s="93" t="s">
        <v>12</v>
      </c>
      <c r="D7" s="93" t="s">
        <v>13</v>
      </c>
      <c r="E7" s="94">
        <v>565470</v>
      </c>
      <c r="F7" s="95">
        <v>11617.58115</v>
      </c>
      <c r="G7" s="96">
        <v>9.9187739999999996E-2</v>
      </c>
      <c r="H7" s="86" t="s">
        <v>142</v>
      </c>
    </row>
    <row r="8" spans="1:9" x14ac:dyDescent="0.2">
      <c r="A8" s="92">
        <v>2</v>
      </c>
      <c r="B8" s="93" t="s">
        <v>17</v>
      </c>
      <c r="C8" s="93" t="s">
        <v>18</v>
      </c>
      <c r="D8" s="93" t="s">
        <v>19</v>
      </c>
      <c r="E8" s="94">
        <v>685541</v>
      </c>
      <c r="F8" s="95">
        <v>10189.881423999999</v>
      </c>
      <c r="G8" s="96">
        <v>8.6998430000000002E-2</v>
      </c>
      <c r="H8" s="86" t="s">
        <v>142</v>
      </c>
    </row>
    <row r="9" spans="1:9" x14ac:dyDescent="0.2">
      <c r="A9" s="92">
        <v>3</v>
      </c>
      <c r="B9" s="93" t="s">
        <v>33</v>
      </c>
      <c r="C9" s="93" t="s">
        <v>34</v>
      </c>
      <c r="D9" s="93" t="s">
        <v>35</v>
      </c>
      <c r="E9" s="94">
        <v>638210</v>
      </c>
      <c r="F9" s="95">
        <v>8585.8391300000003</v>
      </c>
      <c r="G9" s="96">
        <v>7.3303549999999995E-2</v>
      </c>
      <c r="H9" s="86" t="s">
        <v>142</v>
      </c>
    </row>
    <row r="10" spans="1:9" x14ac:dyDescent="0.2">
      <c r="A10" s="92">
        <v>4</v>
      </c>
      <c r="B10" s="93" t="s">
        <v>320</v>
      </c>
      <c r="C10" s="93" t="s">
        <v>321</v>
      </c>
      <c r="D10" s="93" t="s">
        <v>35</v>
      </c>
      <c r="E10" s="94">
        <v>634867</v>
      </c>
      <c r="F10" s="95">
        <v>6268.0418909999999</v>
      </c>
      <c r="G10" s="96">
        <v>5.3514829999999999E-2</v>
      </c>
      <c r="H10" s="86" t="s">
        <v>142</v>
      </c>
    </row>
    <row r="11" spans="1:9" x14ac:dyDescent="0.2">
      <c r="A11" s="92">
        <v>5</v>
      </c>
      <c r="B11" s="93" t="s">
        <v>39</v>
      </c>
      <c r="C11" s="93" t="s">
        <v>40</v>
      </c>
      <c r="D11" s="93" t="s">
        <v>35</v>
      </c>
      <c r="E11" s="94">
        <v>497820</v>
      </c>
      <c r="F11" s="95">
        <v>4664.5734000000002</v>
      </c>
      <c r="G11" s="96">
        <v>3.9824859999999997E-2</v>
      </c>
      <c r="H11" s="86" t="s">
        <v>142</v>
      </c>
    </row>
    <row r="12" spans="1:9" x14ac:dyDescent="0.2">
      <c r="A12" s="92">
        <v>6</v>
      </c>
      <c r="B12" s="93" t="s">
        <v>322</v>
      </c>
      <c r="C12" s="93" t="s">
        <v>323</v>
      </c>
      <c r="D12" s="93" t="s">
        <v>35</v>
      </c>
      <c r="E12" s="94">
        <v>374375</v>
      </c>
      <c r="F12" s="95">
        <v>4615.2950000000001</v>
      </c>
      <c r="G12" s="96">
        <v>3.9404130000000002E-2</v>
      </c>
      <c r="H12" s="86" t="s">
        <v>142</v>
      </c>
    </row>
    <row r="13" spans="1:9" x14ac:dyDescent="0.2">
      <c r="A13" s="92">
        <v>7</v>
      </c>
      <c r="B13" s="93" t="s">
        <v>14</v>
      </c>
      <c r="C13" s="93" t="s">
        <v>15</v>
      </c>
      <c r="D13" s="93" t="s">
        <v>16</v>
      </c>
      <c r="E13" s="94">
        <v>83620</v>
      </c>
      <c r="F13" s="95">
        <v>3370.6385799999998</v>
      </c>
      <c r="G13" s="96">
        <v>2.8777589999999999E-2</v>
      </c>
      <c r="H13" s="86" t="s">
        <v>142</v>
      </c>
    </row>
    <row r="14" spans="1:9" x14ac:dyDescent="0.2">
      <c r="A14" s="92">
        <v>8</v>
      </c>
      <c r="B14" s="93" t="s">
        <v>334</v>
      </c>
      <c r="C14" s="93" t="s">
        <v>335</v>
      </c>
      <c r="D14" s="93" t="s">
        <v>241</v>
      </c>
      <c r="E14" s="94">
        <v>87825</v>
      </c>
      <c r="F14" s="95">
        <v>3062.6334000000002</v>
      </c>
      <c r="G14" s="96">
        <v>2.614793E-2</v>
      </c>
      <c r="H14" s="86" t="s">
        <v>142</v>
      </c>
    </row>
    <row r="15" spans="1:9" x14ac:dyDescent="0.2">
      <c r="A15" s="92">
        <v>9</v>
      </c>
      <c r="B15" s="93" t="s">
        <v>324</v>
      </c>
      <c r="C15" s="93" t="s">
        <v>325</v>
      </c>
      <c r="D15" s="93" t="s">
        <v>35</v>
      </c>
      <c r="E15" s="94">
        <v>140795</v>
      </c>
      <c r="F15" s="95">
        <v>2959.7924899999998</v>
      </c>
      <c r="G15" s="96">
        <v>2.5269900000000001E-2</v>
      </c>
      <c r="H15" s="86" t="s">
        <v>142</v>
      </c>
    </row>
    <row r="16" spans="1:9" x14ac:dyDescent="0.2">
      <c r="A16" s="92">
        <v>10</v>
      </c>
      <c r="B16" s="93" t="s">
        <v>330</v>
      </c>
      <c r="C16" s="93" t="s">
        <v>331</v>
      </c>
      <c r="D16" s="93" t="s">
        <v>186</v>
      </c>
      <c r="E16" s="94">
        <v>177910</v>
      </c>
      <c r="F16" s="95">
        <v>1855.24548</v>
      </c>
      <c r="G16" s="96">
        <v>1.5839579999999999E-2</v>
      </c>
      <c r="H16" s="86" t="s">
        <v>142</v>
      </c>
    </row>
    <row r="17" spans="1:8" x14ac:dyDescent="0.2">
      <c r="A17" s="92">
        <v>11</v>
      </c>
      <c r="B17" s="93" t="s">
        <v>440</v>
      </c>
      <c r="C17" s="93" t="s">
        <v>441</v>
      </c>
      <c r="D17" s="93" t="s">
        <v>422</v>
      </c>
      <c r="E17" s="94">
        <v>74305</v>
      </c>
      <c r="F17" s="95">
        <v>1831.989775</v>
      </c>
      <c r="G17" s="96">
        <v>1.564103E-2</v>
      </c>
      <c r="H17" s="86" t="s">
        <v>142</v>
      </c>
    </row>
    <row r="18" spans="1:8" x14ac:dyDescent="0.2">
      <c r="A18" s="92">
        <v>12</v>
      </c>
      <c r="B18" s="93" t="s">
        <v>425</v>
      </c>
      <c r="C18" s="93" t="s">
        <v>426</v>
      </c>
      <c r="D18" s="93" t="s">
        <v>427</v>
      </c>
      <c r="E18" s="94">
        <v>149800</v>
      </c>
      <c r="F18" s="95">
        <v>1270.0793000000001</v>
      </c>
      <c r="G18" s="96">
        <v>1.084359E-2</v>
      </c>
      <c r="H18" s="86" t="s">
        <v>142</v>
      </c>
    </row>
    <row r="19" spans="1:8" x14ac:dyDescent="0.2">
      <c r="A19" s="92">
        <v>13</v>
      </c>
      <c r="B19" s="93" t="s">
        <v>420</v>
      </c>
      <c r="C19" s="93" t="s">
        <v>421</v>
      </c>
      <c r="D19" s="93" t="s">
        <v>422</v>
      </c>
      <c r="E19" s="94">
        <v>284800</v>
      </c>
      <c r="F19" s="95">
        <v>1197.1568</v>
      </c>
      <c r="G19" s="96">
        <v>1.0220999999999999E-2</v>
      </c>
      <c r="H19" s="86" t="s">
        <v>142</v>
      </c>
    </row>
    <row r="20" spans="1:8" x14ac:dyDescent="0.2">
      <c r="A20" s="92">
        <v>14</v>
      </c>
      <c r="B20" s="93" t="s">
        <v>344</v>
      </c>
      <c r="C20" s="93" t="s">
        <v>345</v>
      </c>
      <c r="D20" s="93" t="s">
        <v>186</v>
      </c>
      <c r="E20" s="94">
        <v>69390</v>
      </c>
      <c r="F20" s="95">
        <v>1177.4095199999999</v>
      </c>
      <c r="G20" s="96">
        <v>1.00524E-2</v>
      </c>
      <c r="H20" s="86" t="s">
        <v>142</v>
      </c>
    </row>
    <row r="21" spans="1:8" x14ac:dyDescent="0.2">
      <c r="A21" s="92">
        <v>15</v>
      </c>
      <c r="B21" s="93" t="s">
        <v>332</v>
      </c>
      <c r="C21" s="93" t="s">
        <v>333</v>
      </c>
      <c r="D21" s="93" t="s">
        <v>35</v>
      </c>
      <c r="E21" s="94">
        <v>406575</v>
      </c>
      <c r="F21" s="95">
        <v>1131.9048</v>
      </c>
      <c r="G21" s="96">
        <v>9.6638999999999996E-3</v>
      </c>
      <c r="H21" s="86" t="s">
        <v>142</v>
      </c>
    </row>
    <row r="22" spans="1:8" x14ac:dyDescent="0.2">
      <c r="A22" s="92">
        <v>16</v>
      </c>
      <c r="B22" s="93" t="s">
        <v>711</v>
      </c>
      <c r="C22" s="93" t="s">
        <v>712</v>
      </c>
      <c r="D22" s="93" t="s">
        <v>135</v>
      </c>
      <c r="E22" s="94">
        <v>89100</v>
      </c>
      <c r="F22" s="95">
        <v>1074.546</v>
      </c>
      <c r="G22" s="96">
        <v>9.1741800000000005E-3</v>
      </c>
      <c r="H22" s="86" t="s">
        <v>142</v>
      </c>
    </row>
    <row r="23" spans="1:8" x14ac:dyDescent="0.2">
      <c r="A23" s="92">
        <v>17</v>
      </c>
      <c r="B23" s="93" t="s">
        <v>26</v>
      </c>
      <c r="C23" s="93" t="s">
        <v>27</v>
      </c>
      <c r="D23" s="93" t="s">
        <v>28</v>
      </c>
      <c r="E23" s="94">
        <v>236850</v>
      </c>
      <c r="F23" s="95">
        <v>1009.21785</v>
      </c>
      <c r="G23" s="96">
        <v>8.6164299999999996E-3</v>
      </c>
      <c r="H23" s="86" t="s">
        <v>142</v>
      </c>
    </row>
    <row r="24" spans="1:8" ht="25.5" x14ac:dyDescent="0.2">
      <c r="A24" s="92">
        <v>18</v>
      </c>
      <c r="B24" s="93" t="s">
        <v>189</v>
      </c>
      <c r="C24" s="93" t="s">
        <v>190</v>
      </c>
      <c r="D24" s="93" t="s">
        <v>191</v>
      </c>
      <c r="E24" s="94">
        <v>45900</v>
      </c>
      <c r="F24" s="95">
        <v>975.19140000000004</v>
      </c>
      <c r="G24" s="96">
        <v>8.3259200000000005E-3</v>
      </c>
      <c r="H24" s="86" t="s">
        <v>142</v>
      </c>
    </row>
    <row r="25" spans="1:8" x14ac:dyDescent="0.2">
      <c r="A25" s="92">
        <v>19</v>
      </c>
      <c r="B25" s="93" t="s">
        <v>56</v>
      </c>
      <c r="C25" s="93" t="s">
        <v>57</v>
      </c>
      <c r="D25" s="93" t="s">
        <v>58</v>
      </c>
      <c r="E25" s="94">
        <v>21695</v>
      </c>
      <c r="F25" s="95">
        <v>942.452495</v>
      </c>
      <c r="G25" s="96">
        <v>8.0464000000000004E-3</v>
      </c>
      <c r="H25" s="86" t="s">
        <v>142</v>
      </c>
    </row>
    <row r="26" spans="1:8" x14ac:dyDescent="0.2">
      <c r="A26" s="92">
        <v>20</v>
      </c>
      <c r="B26" s="93" t="s">
        <v>423</v>
      </c>
      <c r="C26" s="93" t="s">
        <v>424</v>
      </c>
      <c r="D26" s="93" t="s">
        <v>204</v>
      </c>
      <c r="E26" s="94">
        <v>57908</v>
      </c>
      <c r="F26" s="95">
        <v>892.65182000000004</v>
      </c>
      <c r="G26" s="96">
        <v>7.6212199999999997E-3</v>
      </c>
      <c r="H26" s="86" t="s">
        <v>142</v>
      </c>
    </row>
    <row r="27" spans="1:8" x14ac:dyDescent="0.2">
      <c r="A27" s="92">
        <v>21</v>
      </c>
      <c r="B27" s="93" t="s">
        <v>59</v>
      </c>
      <c r="C27" s="93" t="s">
        <v>60</v>
      </c>
      <c r="D27" s="93" t="s">
        <v>61</v>
      </c>
      <c r="E27" s="94">
        <v>15572</v>
      </c>
      <c r="F27" s="95">
        <v>875.92499999999995</v>
      </c>
      <c r="G27" s="96">
        <v>7.4784099999999996E-3</v>
      </c>
      <c r="H27" s="86" t="s">
        <v>142</v>
      </c>
    </row>
    <row r="28" spans="1:8" x14ac:dyDescent="0.2">
      <c r="A28" s="92">
        <v>22</v>
      </c>
      <c r="B28" s="93" t="s">
        <v>216</v>
      </c>
      <c r="C28" s="93" t="s">
        <v>217</v>
      </c>
      <c r="D28" s="93" t="s">
        <v>218</v>
      </c>
      <c r="E28" s="94">
        <v>141575</v>
      </c>
      <c r="F28" s="95">
        <v>846.4061375</v>
      </c>
      <c r="G28" s="96">
        <v>7.2263900000000001E-3</v>
      </c>
      <c r="H28" s="86" t="s">
        <v>142</v>
      </c>
    </row>
    <row r="29" spans="1:8" x14ac:dyDescent="0.2">
      <c r="A29" s="92">
        <v>23</v>
      </c>
      <c r="B29" s="93" t="s">
        <v>502</v>
      </c>
      <c r="C29" s="93" t="s">
        <v>503</v>
      </c>
      <c r="D29" s="93" t="s">
        <v>186</v>
      </c>
      <c r="E29" s="94">
        <v>206960</v>
      </c>
      <c r="F29" s="95">
        <v>834.56619999999998</v>
      </c>
      <c r="G29" s="96">
        <v>7.1253000000000002E-3</v>
      </c>
      <c r="H29" s="86" t="s">
        <v>142</v>
      </c>
    </row>
    <row r="30" spans="1:8" ht="25.5" x14ac:dyDescent="0.2">
      <c r="A30" s="92">
        <v>24</v>
      </c>
      <c r="B30" s="93" t="s">
        <v>434</v>
      </c>
      <c r="C30" s="93" t="s">
        <v>435</v>
      </c>
      <c r="D30" s="93" t="s">
        <v>207</v>
      </c>
      <c r="E30" s="94">
        <v>70985</v>
      </c>
      <c r="F30" s="95">
        <v>826.97524999999996</v>
      </c>
      <c r="G30" s="96">
        <v>7.06049E-3</v>
      </c>
      <c r="H30" s="86" t="s">
        <v>142</v>
      </c>
    </row>
    <row r="31" spans="1:8" x14ac:dyDescent="0.2">
      <c r="A31" s="92">
        <v>25</v>
      </c>
      <c r="B31" s="93" t="s">
        <v>326</v>
      </c>
      <c r="C31" s="93" t="s">
        <v>327</v>
      </c>
      <c r="D31" s="93" t="s">
        <v>204</v>
      </c>
      <c r="E31" s="94">
        <v>54062</v>
      </c>
      <c r="F31" s="95">
        <v>801.36102600000004</v>
      </c>
      <c r="G31" s="96">
        <v>6.8418000000000003E-3</v>
      </c>
      <c r="H31" s="86" t="s">
        <v>142</v>
      </c>
    </row>
    <row r="32" spans="1:8" x14ac:dyDescent="0.2">
      <c r="A32" s="92">
        <v>26</v>
      </c>
      <c r="B32" s="93" t="s">
        <v>213</v>
      </c>
      <c r="C32" s="93" t="s">
        <v>214</v>
      </c>
      <c r="D32" s="93" t="s">
        <v>215</v>
      </c>
      <c r="E32" s="94">
        <v>31350</v>
      </c>
      <c r="F32" s="95">
        <v>777.16650000000004</v>
      </c>
      <c r="G32" s="96">
        <v>6.6352399999999997E-3</v>
      </c>
      <c r="H32" s="86" t="s">
        <v>142</v>
      </c>
    </row>
    <row r="33" spans="1:8" x14ac:dyDescent="0.2">
      <c r="A33" s="92">
        <v>27</v>
      </c>
      <c r="B33" s="93" t="s">
        <v>31</v>
      </c>
      <c r="C33" s="93" t="s">
        <v>32</v>
      </c>
      <c r="D33" s="93" t="s">
        <v>19</v>
      </c>
      <c r="E33" s="94">
        <v>196850</v>
      </c>
      <c r="F33" s="95">
        <v>702.36080000000004</v>
      </c>
      <c r="G33" s="96">
        <v>5.9965699999999997E-3</v>
      </c>
      <c r="H33" s="86" t="s">
        <v>142</v>
      </c>
    </row>
    <row r="34" spans="1:8" x14ac:dyDescent="0.2">
      <c r="A34" s="92">
        <v>28</v>
      </c>
      <c r="B34" s="93" t="s">
        <v>504</v>
      </c>
      <c r="C34" s="93" t="s">
        <v>505</v>
      </c>
      <c r="D34" s="93" t="s">
        <v>241</v>
      </c>
      <c r="E34" s="94">
        <v>4156</v>
      </c>
      <c r="F34" s="95">
        <v>672.69015999999999</v>
      </c>
      <c r="G34" s="96">
        <v>5.7432500000000001E-3</v>
      </c>
      <c r="H34" s="86" t="s">
        <v>142</v>
      </c>
    </row>
    <row r="35" spans="1:8" ht="25.5" x14ac:dyDescent="0.2">
      <c r="A35" s="92">
        <v>29</v>
      </c>
      <c r="B35" s="93" t="s">
        <v>23</v>
      </c>
      <c r="C35" s="93" t="s">
        <v>24</v>
      </c>
      <c r="D35" s="93" t="s">
        <v>25</v>
      </c>
      <c r="E35" s="94">
        <v>5420</v>
      </c>
      <c r="F35" s="95">
        <v>647.52739999999994</v>
      </c>
      <c r="G35" s="96">
        <v>5.5284100000000001E-3</v>
      </c>
      <c r="H35" s="86" t="s">
        <v>142</v>
      </c>
    </row>
    <row r="36" spans="1:8" x14ac:dyDescent="0.2">
      <c r="A36" s="92">
        <v>30</v>
      </c>
      <c r="B36" s="93" t="s">
        <v>46</v>
      </c>
      <c r="C36" s="93" t="s">
        <v>47</v>
      </c>
      <c r="D36" s="93" t="s">
        <v>48</v>
      </c>
      <c r="E36" s="94">
        <v>7830</v>
      </c>
      <c r="F36" s="95">
        <v>629.25795000000005</v>
      </c>
      <c r="G36" s="96">
        <v>5.3724300000000001E-3</v>
      </c>
      <c r="H36" s="86" t="s">
        <v>142</v>
      </c>
    </row>
    <row r="37" spans="1:8" x14ac:dyDescent="0.2">
      <c r="A37" s="92">
        <v>31</v>
      </c>
      <c r="B37" s="93" t="s">
        <v>20</v>
      </c>
      <c r="C37" s="93" t="s">
        <v>21</v>
      </c>
      <c r="D37" s="93" t="s">
        <v>22</v>
      </c>
      <c r="E37" s="94">
        <v>178500</v>
      </c>
      <c r="F37" s="95">
        <v>601.45574999999997</v>
      </c>
      <c r="G37" s="96">
        <v>5.1350700000000003E-3</v>
      </c>
      <c r="H37" s="86" t="s">
        <v>142</v>
      </c>
    </row>
    <row r="38" spans="1:8" ht="25.5" x14ac:dyDescent="0.2">
      <c r="A38" s="92">
        <v>32</v>
      </c>
      <c r="B38" s="93" t="s">
        <v>713</v>
      </c>
      <c r="C38" s="93" t="s">
        <v>714</v>
      </c>
      <c r="D38" s="93" t="s">
        <v>225</v>
      </c>
      <c r="E38" s="94">
        <v>52250</v>
      </c>
      <c r="F38" s="95">
        <v>595.07524999999998</v>
      </c>
      <c r="G38" s="96">
        <v>5.0805900000000003E-3</v>
      </c>
      <c r="H38" s="86" t="s">
        <v>142</v>
      </c>
    </row>
    <row r="39" spans="1:8" ht="25.5" x14ac:dyDescent="0.2">
      <c r="A39" s="92">
        <v>33</v>
      </c>
      <c r="B39" s="93" t="s">
        <v>103</v>
      </c>
      <c r="C39" s="93" t="s">
        <v>104</v>
      </c>
      <c r="D39" s="93" t="s">
        <v>25</v>
      </c>
      <c r="E39" s="94">
        <v>105000</v>
      </c>
      <c r="F39" s="95">
        <v>593.66999999999996</v>
      </c>
      <c r="G39" s="96">
        <v>5.0685900000000004E-3</v>
      </c>
      <c r="H39" s="86" t="s">
        <v>142</v>
      </c>
    </row>
    <row r="40" spans="1:8" x14ac:dyDescent="0.2">
      <c r="A40" s="92">
        <v>34</v>
      </c>
      <c r="B40" s="93" t="s">
        <v>506</v>
      </c>
      <c r="C40" s="93" t="s">
        <v>507</v>
      </c>
      <c r="D40" s="93" t="s">
        <v>232</v>
      </c>
      <c r="E40" s="94">
        <v>40976</v>
      </c>
      <c r="F40" s="95">
        <v>586.53046400000005</v>
      </c>
      <c r="G40" s="96">
        <v>5.0076399999999998E-3</v>
      </c>
      <c r="H40" s="86" t="s">
        <v>142</v>
      </c>
    </row>
    <row r="41" spans="1:8" x14ac:dyDescent="0.2">
      <c r="A41" s="92">
        <v>35</v>
      </c>
      <c r="B41" s="93" t="s">
        <v>342</v>
      </c>
      <c r="C41" s="93" t="s">
        <v>343</v>
      </c>
      <c r="D41" s="93" t="s">
        <v>278</v>
      </c>
      <c r="E41" s="94">
        <v>184300</v>
      </c>
      <c r="F41" s="95">
        <v>585.61324999999999</v>
      </c>
      <c r="G41" s="96">
        <v>4.9998100000000004E-3</v>
      </c>
      <c r="H41" s="86" t="s">
        <v>142</v>
      </c>
    </row>
    <row r="42" spans="1:8" x14ac:dyDescent="0.2">
      <c r="A42" s="92">
        <v>36</v>
      </c>
      <c r="B42" s="93" t="s">
        <v>428</v>
      </c>
      <c r="C42" s="93" t="s">
        <v>429</v>
      </c>
      <c r="D42" s="93" t="s">
        <v>272</v>
      </c>
      <c r="E42" s="94">
        <v>29763</v>
      </c>
      <c r="F42" s="95">
        <v>582.07499099999995</v>
      </c>
      <c r="G42" s="96">
        <v>4.9696000000000002E-3</v>
      </c>
      <c r="H42" s="86" t="s">
        <v>142</v>
      </c>
    </row>
    <row r="43" spans="1:8" ht="25.5" x14ac:dyDescent="0.2">
      <c r="A43" s="92">
        <v>37</v>
      </c>
      <c r="B43" s="93" t="s">
        <v>338</v>
      </c>
      <c r="C43" s="93" t="s">
        <v>339</v>
      </c>
      <c r="D43" s="93" t="s">
        <v>25</v>
      </c>
      <c r="E43" s="94">
        <v>19670</v>
      </c>
      <c r="F43" s="95">
        <v>568.79738999999995</v>
      </c>
      <c r="G43" s="96">
        <v>4.8562400000000004E-3</v>
      </c>
      <c r="H43" s="86" t="s">
        <v>142</v>
      </c>
    </row>
    <row r="44" spans="1:8" x14ac:dyDescent="0.2">
      <c r="A44" s="92">
        <v>38</v>
      </c>
      <c r="B44" s="93" t="s">
        <v>508</v>
      </c>
      <c r="C44" s="93" t="s">
        <v>509</v>
      </c>
      <c r="D44" s="93" t="s">
        <v>38</v>
      </c>
      <c r="E44" s="94">
        <v>56001</v>
      </c>
      <c r="F44" s="95">
        <v>562.67004750000001</v>
      </c>
      <c r="G44" s="96">
        <v>4.8039199999999997E-3</v>
      </c>
      <c r="H44" s="86" t="s">
        <v>142</v>
      </c>
    </row>
    <row r="45" spans="1:8" x14ac:dyDescent="0.2">
      <c r="A45" s="92">
        <v>39</v>
      </c>
      <c r="B45" s="93" t="s">
        <v>297</v>
      </c>
      <c r="C45" s="93" t="s">
        <v>298</v>
      </c>
      <c r="D45" s="93" t="s">
        <v>186</v>
      </c>
      <c r="E45" s="94">
        <v>10940</v>
      </c>
      <c r="F45" s="95">
        <v>539.25447999999994</v>
      </c>
      <c r="G45" s="96">
        <v>4.6040100000000004E-3</v>
      </c>
      <c r="H45" s="86" t="s">
        <v>142</v>
      </c>
    </row>
    <row r="46" spans="1:8" x14ac:dyDescent="0.2">
      <c r="A46" s="92">
        <v>40</v>
      </c>
      <c r="B46" s="93" t="s">
        <v>512</v>
      </c>
      <c r="C46" s="93" t="s">
        <v>513</v>
      </c>
      <c r="D46" s="93" t="s">
        <v>186</v>
      </c>
      <c r="E46" s="94">
        <v>44793</v>
      </c>
      <c r="F46" s="95">
        <v>535.32114300000001</v>
      </c>
      <c r="G46" s="96">
        <v>4.5704300000000003E-3</v>
      </c>
      <c r="H46" s="86" t="s">
        <v>142</v>
      </c>
    </row>
    <row r="47" spans="1:8" x14ac:dyDescent="0.2">
      <c r="A47" s="92">
        <v>41</v>
      </c>
      <c r="B47" s="93" t="s">
        <v>49</v>
      </c>
      <c r="C47" s="93" t="s">
        <v>50</v>
      </c>
      <c r="D47" s="93" t="s">
        <v>22</v>
      </c>
      <c r="E47" s="94">
        <v>131380</v>
      </c>
      <c r="F47" s="95">
        <v>531.95762000000002</v>
      </c>
      <c r="G47" s="96">
        <v>4.54171E-3</v>
      </c>
      <c r="H47" s="86" t="s">
        <v>142</v>
      </c>
    </row>
    <row r="48" spans="1:8" x14ac:dyDescent="0.2">
      <c r="A48" s="92">
        <v>42</v>
      </c>
      <c r="B48" s="93" t="s">
        <v>510</v>
      </c>
      <c r="C48" s="93" t="s">
        <v>511</v>
      </c>
      <c r="D48" s="93" t="s">
        <v>241</v>
      </c>
      <c r="E48" s="94">
        <v>5950</v>
      </c>
      <c r="F48" s="95">
        <v>529.10374999999999</v>
      </c>
      <c r="G48" s="96">
        <v>4.5173399999999999E-3</v>
      </c>
      <c r="H48" s="86" t="s">
        <v>142</v>
      </c>
    </row>
    <row r="49" spans="1:8" ht="25.5" x14ac:dyDescent="0.2">
      <c r="A49" s="92">
        <v>43</v>
      </c>
      <c r="B49" s="93" t="s">
        <v>74</v>
      </c>
      <c r="C49" s="93" t="s">
        <v>75</v>
      </c>
      <c r="D49" s="93" t="s">
        <v>25</v>
      </c>
      <c r="E49" s="94">
        <v>8180</v>
      </c>
      <c r="F49" s="95">
        <v>508.30520000000001</v>
      </c>
      <c r="G49" s="96">
        <v>4.3397699999999997E-3</v>
      </c>
      <c r="H49" s="86" t="s">
        <v>142</v>
      </c>
    </row>
    <row r="50" spans="1:8" ht="25.5" x14ac:dyDescent="0.2">
      <c r="A50" s="92">
        <v>44</v>
      </c>
      <c r="B50" s="93" t="s">
        <v>266</v>
      </c>
      <c r="C50" s="93" t="s">
        <v>267</v>
      </c>
      <c r="D50" s="93" t="s">
        <v>225</v>
      </c>
      <c r="E50" s="94">
        <v>20845</v>
      </c>
      <c r="F50" s="95">
        <v>496.94479999999999</v>
      </c>
      <c r="G50" s="96">
        <v>4.2427799999999998E-3</v>
      </c>
      <c r="H50" s="86" t="s">
        <v>142</v>
      </c>
    </row>
    <row r="51" spans="1:8" x14ac:dyDescent="0.2">
      <c r="A51" s="92">
        <v>45</v>
      </c>
      <c r="B51" s="93" t="s">
        <v>264</v>
      </c>
      <c r="C51" s="93" t="s">
        <v>265</v>
      </c>
      <c r="D51" s="93" t="s">
        <v>38</v>
      </c>
      <c r="E51" s="94">
        <v>39000</v>
      </c>
      <c r="F51" s="95">
        <v>481.72800000000001</v>
      </c>
      <c r="G51" s="96">
        <v>4.1128600000000003E-3</v>
      </c>
      <c r="H51" s="86" t="s">
        <v>142</v>
      </c>
    </row>
    <row r="52" spans="1:8" ht="25.5" x14ac:dyDescent="0.2">
      <c r="A52" s="92">
        <v>46</v>
      </c>
      <c r="B52" s="93" t="s">
        <v>346</v>
      </c>
      <c r="C52" s="93" t="s">
        <v>347</v>
      </c>
      <c r="D52" s="93" t="s">
        <v>225</v>
      </c>
      <c r="E52" s="94">
        <v>28077</v>
      </c>
      <c r="F52" s="95">
        <v>474.69783899999999</v>
      </c>
      <c r="G52" s="96">
        <v>4.0528400000000003E-3</v>
      </c>
      <c r="H52" s="86" t="s">
        <v>142</v>
      </c>
    </row>
    <row r="53" spans="1:8" ht="25.5" x14ac:dyDescent="0.2">
      <c r="A53" s="92">
        <v>47</v>
      </c>
      <c r="B53" s="93" t="s">
        <v>223</v>
      </c>
      <c r="C53" s="93" t="s">
        <v>224</v>
      </c>
      <c r="D53" s="93" t="s">
        <v>225</v>
      </c>
      <c r="E53" s="94">
        <v>21695</v>
      </c>
      <c r="F53" s="95">
        <v>425.98132500000003</v>
      </c>
      <c r="G53" s="96">
        <v>3.6369100000000001E-3</v>
      </c>
      <c r="H53" s="86" t="s">
        <v>142</v>
      </c>
    </row>
    <row r="54" spans="1:8" ht="25.5" x14ac:dyDescent="0.2">
      <c r="A54" s="92">
        <v>48</v>
      </c>
      <c r="B54" s="93" t="s">
        <v>514</v>
      </c>
      <c r="C54" s="93" t="s">
        <v>515</v>
      </c>
      <c r="D54" s="93" t="s">
        <v>275</v>
      </c>
      <c r="E54" s="94">
        <v>27880</v>
      </c>
      <c r="F54" s="95">
        <v>402.75448</v>
      </c>
      <c r="G54" s="96">
        <v>3.4386099999999999E-3</v>
      </c>
      <c r="H54" s="86" t="s">
        <v>142</v>
      </c>
    </row>
    <row r="55" spans="1:8" x14ac:dyDescent="0.2">
      <c r="A55" s="92">
        <v>49</v>
      </c>
      <c r="B55" s="93" t="s">
        <v>260</v>
      </c>
      <c r="C55" s="93" t="s">
        <v>261</v>
      </c>
      <c r="D55" s="93" t="s">
        <v>73</v>
      </c>
      <c r="E55" s="94">
        <v>22700</v>
      </c>
      <c r="F55" s="95">
        <v>396.04689999999999</v>
      </c>
      <c r="G55" s="96">
        <v>3.38134E-3</v>
      </c>
      <c r="H55" s="86" t="s">
        <v>142</v>
      </c>
    </row>
    <row r="56" spans="1:8" x14ac:dyDescent="0.2">
      <c r="A56" s="92">
        <v>50</v>
      </c>
      <c r="B56" s="93" t="s">
        <v>516</v>
      </c>
      <c r="C56" s="93" t="s">
        <v>517</v>
      </c>
      <c r="D56" s="93" t="s">
        <v>232</v>
      </c>
      <c r="E56" s="94">
        <v>79615</v>
      </c>
      <c r="F56" s="95">
        <v>373.91184750000002</v>
      </c>
      <c r="G56" s="96">
        <v>3.19236E-3</v>
      </c>
      <c r="H56" s="86" t="s">
        <v>142</v>
      </c>
    </row>
    <row r="57" spans="1:8" x14ac:dyDescent="0.2">
      <c r="A57" s="92">
        <v>51</v>
      </c>
      <c r="B57" s="93" t="s">
        <v>187</v>
      </c>
      <c r="C57" s="93" t="s">
        <v>188</v>
      </c>
      <c r="D57" s="93" t="s">
        <v>109</v>
      </c>
      <c r="E57" s="94">
        <v>36425</v>
      </c>
      <c r="F57" s="95">
        <v>372.6459625</v>
      </c>
      <c r="G57" s="96">
        <v>3.18155E-3</v>
      </c>
      <c r="H57" s="86" t="s">
        <v>142</v>
      </c>
    </row>
    <row r="58" spans="1:8" x14ac:dyDescent="0.2">
      <c r="A58" s="92">
        <v>52</v>
      </c>
      <c r="B58" s="93" t="s">
        <v>483</v>
      </c>
      <c r="C58" s="93" t="s">
        <v>484</v>
      </c>
      <c r="D58" s="93" t="s">
        <v>215</v>
      </c>
      <c r="E58" s="94">
        <v>14202</v>
      </c>
      <c r="F58" s="95">
        <v>362.93211000000002</v>
      </c>
      <c r="G58" s="96">
        <v>3.0986199999999998E-3</v>
      </c>
      <c r="H58" s="86" t="s">
        <v>142</v>
      </c>
    </row>
    <row r="59" spans="1:8" x14ac:dyDescent="0.2">
      <c r="A59" s="92">
        <v>53</v>
      </c>
      <c r="B59" s="93" t="s">
        <v>328</v>
      </c>
      <c r="C59" s="93" t="s">
        <v>329</v>
      </c>
      <c r="D59" s="93" t="s">
        <v>28</v>
      </c>
      <c r="E59" s="94">
        <v>7500</v>
      </c>
      <c r="F59" s="95">
        <v>350.98500000000001</v>
      </c>
      <c r="G59" s="96">
        <v>2.9966099999999998E-3</v>
      </c>
      <c r="H59" s="86" t="s">
        <v>142</v>
      </c>
    </row>
    <row r="60" spans="1:8" x14ac:dyDescent="0.2">
      <c r="A60" s="92">
        <v>54</v>
      </c>
      <c r="B60" s="93" t="s">
        <v>656</v>
      </c>
      <c r="C60" s="93" t="s">
        <v>657</v>
      </c>
      <c r="D60" s="93" t="s">
        <v>186</v>
      </c>
      <c r="E60" s="94">
        <v>16500</v>
      </c>
      <c r="F60" s="95">
        <v>344.56950000000001</v>
      </c>
      <c r="G60" s="96">
        <v>2.9418399999999998E-3</v>
      </c>
      <c r="H60" s="86" t="s">
        <v>142</v>
      </c>
    </row>
    <row r="61" spans="1:8" x14ac:dyDescent="0.2">
      <c r="A61" s="92">
        <v>55</v>
      </c>
      <c r="B61" s="93" t="s">
        <v>87</v>
      </c>
      <c r="C61" s="93" t="s">
        <v>88</v>
      </c>
      <c r="D61" s="93" t="s">
        <v>13</v>
      </c>
      <c r="E61" s="94">
        <v>66300</v>
      </c>
      <c r="F61" s="95">
        <v>241.0668</v>
      </c>
      <c r="G61" s="96">
        <v>2.0581599999999999E-3</v>
      </c>
      <c r="H61" s="86" t="s">
        <v>142</v>
      </c>
    </row>
    <row r="62" spans="1:8" x14ac:dyDescent="0.2">
      <c r="A62" s="92">
        <v>56</v>
      </c>
      <c r="B62" s="93" t="s">
        <v>518</v>
      </c>
      <c r="C62" s="93" t="s">
        <v>519</v>
      </c>
      <c r="D62" s="93" t="s">
        <v>204</v>
      </c>
      <c r="E62" s="94">
        <v>16840</v>
      </c>
      <c r="F62" s="95">
        <v>239.86895999999999</v>
      </c>
      <c r="G62" s="96">
        <v>2.0479399999999998E-3</v>
      </c>
      <c r="H62" s="86" t="s">
        <v>142</v>
      </c>
    </row>
    <row r="63" spans="1:8" x14ac:dyDescent="0.2">
      <c r="A63" s="92">
        <v>57</v>
      </c>
      <c r="B63" s="93" t="s">
        <v>303</v>
      </c>
      <c r="C63" s="93" t="s">
        <v>304</v>
      </c>
      <c r="D63" s="93" t="s">
        <v>109</v>
      </c>
      <c r="E63" s="94">
        <v>40970</v>
      </c>
      <c r="F63" s="95">
        <v>220.99217999999999</v>
      </c>
      <c r="G63" s="96">
        <v>1.8867700000000001E-3</v>
      </c>
      <c r="H63" s="86" t="s">
        <v>142</v>
      </c>
    </row>
    <row r="64" spans="1:8" x14ac:dyDescent="0.2">
      <c r="A64" s="92">
        <v>58</v>
      </c>
      <c r="B64" s="93" t="s">
        <v>76</v>
      </c>
      <c r="C64" s="93" t="s">
        <v>77</v>
      </c>
      <c r="D64" s="93" t="s">
        <v>78</v>
      </c>
      <c r="E64" s="94">
        <v>107000</v>
      </c>
      <c r="F64" s="95">
        <v>195.5532</v>
      </c>
      <c r="G64" s="96">
        <v>1.6695799999999999E-3</v>
      </c>
      <c r="H64" s="86" t="s">
        <v>142</v>
      </c>
    </row>
    <row r="65" spans="1:8" x14ac:dyDescent="0.2">
      <c r="A65" s="92">
        <v>59</v>
      </c>
      <c r="B65" s="93" t="s">
        <v>348</v>
      </c>
      <c r="C65" s="93" t="s">
        <v>349</v>
      </c>
      <c r="D65" s="93" t="s">
        <v>218</v>
      </c>
      <c r="E65" s="94">
        <v>26250</v>
      </c>
      <c r="F65" s="95">
        <v>194.7225</v>
      </c>
      <c r="G65" s="96">
        <v>1.66249E-3</v>
      </c>
      <c r="H65" s="86" t="s">
        <v>142</v>
      </c>
    </row>
    <row r="66" spans="1:8" x14ac:dyDescent="0.2">
      <c r="A66" s="92">
        <v>60</v>
      </c>
      <c r="B66" s="93" t="s">
        <v>226</v>
      </c>
      <c r="C66" s="93" t="s">
        <v>227</v>
      </c>
      <c r="D66" s="93" t="s">
        <v>58</v>
      </c>
      <c r="E66" s="94">
        <v>2250</v>
      </c>
      <c r="F66" s="95">
        <v>173.34</v>
      </c>
      <c r="G66" s="96">
        <v>1.47993E-3</v>
      </c>
      <c r="H66" s="86" t="s">
        <v>142</v>
      </c>
    </row>
    <row r="67" spans="1:8" x14ac:dyDescent="0.2">
      <c r="A67" s="92">
        <v>61</v>
      </c>
      <c r="B67" s="93" t="s">
        <v>393</v>
      </c>
      <c r="C67" s="93" t="s">
        <v>394</v>
      </c>
      <c r="D67" s="93" t="s">
        <v>186</v>
      </c>
      <c r="E67" s="94">
        <v>18200</v>
      </c>
      <c r="F67" s="95">
        <v>169.02340000000001</v>
      </c>
      <c r="G67" s="96">
        <v>1.44308E-3</v>
      </c>
      <c r="H67" s="86" t="s">
        <v>142</v>
      </c>
    </row>
    <row r="68" spans="1:8" ht="25.5" x14ac:dyDescent="0.2">
      <c r="A68" s="92">
        <v>62</v>
      </c>
      <c r="B68" s="93" t="s">
        <v>208</v>
      </c>
      <c r="C68" s="93" t="s">
        <v>209</v>
      </c>
      <c r="D68" s="93" t="s">
        <v>210</v>
      </c>
      <c r="E68" s="94">
        <v>9295</v>
      </c>
      <c r="F68" s="95">
        <v>165.95293000000001</v>
      </c>
      <c r="G68" s="96">
        <v>1.41686E-3</v>
      </c>
      <c r="H68" s="86" t="s">
        <v>142</v>
      </c>
    </row>
    <row r="69" spans="1:8" ht="25.5" x14ac:dyDescent="0.2">
      <c r="A69" s="92">
        <v>63</v>
      </c>
      <c r="B69" s="93" t="s">
        <v>658</v>
      </c>
      <c r="C69" s="93" t="s">
        <v>659</v>
      </c>
      <c r="D69" s="93" t="s">
        <v>225</v>
      </c>
      <c r="E69" s="94">
        <v>300</v>
      </c>
      <c r="F69" s="95">
        <v>20.213999999999999</v>
      </c>
      <c r="G69" s="96">
        <v>1.7258E-4</v>
      </c>
      <c r="H69" s="86" t="s">
        <v>142</v>
      </c>
    </row>
    <row r="70" spans="1:8" x14ac:dyDescent="0.2">
      <c r="A70" s="97"/>
      <c r="B70" s="97"/>
      <c r="C70" s="98" t="s">
        <v>141</v>
      </c>
      <c r="D70" s="97"/>
      <c r="E70" s="97" t="s">
        <v>142</v>
      </c>
      <c r="F70" s="99">
        <v>89730.119198</v>
      </c>
      <c r="G70" s="100">
        <v>0.76609132999999996</v>
      </c>
      <c r="H70" s="86" t="s">
        <v>142</v>
      </c>
    </row>
    <row r="71" spans="1:8" x14ac:dyDescent="0.2">
      <c r="A71" s="97"/>
      <c r="B71" s="97"/>
      <c r="C71" s="101"/>
      <c r="D71" s="97"/>
      <c r="E71" s="97"/>
      <c r="F71" s="102"/>
      <c r="G71" s="102"/>
      <c r="H71" s="86" t="s">
        <v>142</v>
      </c>
    </row>
    <row r="72" spans="1:8" x14ac:dyDescent="0.2">
      <c r="A72" s="97"/>
      <c r="B72" s="97"/>
      <c r="C72" s="98" t="s">
        <v>143</v>
      </c>
      <c r="D72" s="97"/>
      <c r="E72" s="97"/>
      <c r="F72" s="97"/>
      <c r="G72" s="97"/>
      <c r="H72" s="86" t="s">
        <v>142</v>
      </c>
    </row>
    <row r="73" spans="1:8" x14ac:dyDescent="0.2">
      <c r="A73" s="97"/>
      <c r="B73" s="97"/>
      <c r="C73" s="98" t="s">
        <v>141</v>
      </c>
      <c r="D73" s="97"/>
      <c r="E73" s="97" t="s">
        <v>142</v>
      </c>
      <c r="F73" s="103" t="s">
        <v>144</v>
      </c>
      <c r="G73" s="100">
        <v>0</v>
      </c>
      <c r="H73" s="86" t="s">
        <v>142</v>
      </c>
    </row>
    <row r="74" spans="1:8" x14ac:dyDescent="0.2">
      <c r="A74" s="97"/>
      <c r="B74" s="97"/>
      <c r="C74" s="101"/>
      <c r="D74" s="97"/>
      <c r="E74" s="97"/>
      <c r="F74" s="102"/>
      <c r="G74" s="102"/>
      <c r="H74" s="86" t="s">
        <v>142</v>
      </c>
    </row>
    <row r="75" spans="1:8" x14ac:dyDescent="0.2">
      <c r="A75" s="97"/>
      <c r="B75" s="97"/>
      <c r="C75" s="98" t="s">
        <v>145</v>
      </c>
      <c r="D75" s="97"/>
      <c r="E75" s="97"/>
      <c r="F75" s="97"/>
      <c r="G75" s="97"/>
      <c r="H75" s="86" t="s">
        <v>142</v>
      </c>
    </row>
    <row r="76" spans="1:8" x14ac:dyDescent="0.2">
      <c r="A76" s="97"/>
      <c r="B76" s="97"/>
      <c r="C76" s="98" t="s">
        <v>141</v>
      </c>
      <c r="D76" s="97"/>
      <c r="E76" s="97" t="s">
        <v>142</v>
      </c>
      <c r="F76" s="103" t="s">
        <v>144</v>
      </c>
      <c r="G76" s="100">
        <v>0</v>
      </c>
      <c r="H76" s="86" t="s">
        <v>142</v>
      </c>
    </row>
    <row r="77" spans="1:8" x14ac:dyDescent="0.2">
      <c r="A77" s="97"/>
      <c r="B77" s="97"/>
      <c r="C77" s="101"/>
      <c r="D77" s="97"/>
      <c r="E77" s="97"/>
      <c r="F77" s="102"/>
      <c r="G77" s="102"/>
      <c r="H77" s="86" t="s">
        <v>142</v>
      </c>
    </row>
    <row r="78" spans="1:8" x14ac:dyDescent="0.2">
      <c r="A78" s="97"/>
      <c r="B78" s="97"/>
      <c r="C78" s="98" t="s">
        <v>146</v>
      </c>
      <c r="D78" s="97"/>
      <c r="E78" s="97"/>
      <c r="F78" s="97"/>
      <c r="G78" s="97"/>
      <c r="H78" s="86" t="s">
        <v>142</v>
      </c>
    </row>
    <row r="79" spans="1:8" x14ac:dyDescent="0.2">
      <c r="A79" s="97"/>
      <c r="B79" s="97"/>
      <c r="C79" s="98" t="s">
        <v>141</v>
      </c>
      <c r="D79" s="97"/>
      <c r="E79" s="97" t="s">
        <v>142</v>
      </c>
      <c r="F79" s="103" t="s">
        <v>144</v>
      </c>
      <c r="G79" s="100">
        <v>0</v>
      </c>
      <c r="H79" s="86" t="s">
        <v>142</v>
      </c>
    </row>
    <row r="80" spans="1:8" x14ac:dyDescent="0.2">
      <c r="A80" s="97"/>
      <c r="B80" s="97"/>
      <c r="C80" s="101"/>
      <c r="D80" s="97"/>
      <c r="E80" s="97"/>
      <c r="F80" s="102"/>
      <c r="G80" s="102"/>
      <c r="H80" s="86" t="s">
        <v>142</v>
      </c>
    </row>
    <row r="81" spans="1:8" x14ac:dyDescent="0.2">
      <c r="A81" s="97"/>
      <c r="B81" s="97"/>
      <c r="C81" s="98" t="s">
        <v>147</v>
      </c>
      <c r="D81" s="97"/>
      <c r="E81" s="97"/>
      <c r="F81" s="102"/>
      <c r="G81" s="102"/>
      <c r="H81" s="86" t="s">
        <v>142</v>
      </c>
    </row>
    <row r="82" spans="1:8" x14ac:dyDescent="0.2">
      <c r="A82" s="97"/>
      <c r="B82" s="97"/>
      <c r="C82" s="98" t="s">
        <v>141</v>
      </c>
      <c r="D82" s="97"/>
      <c r="E82" s="97" t="s">
        <v>142</v>
      </c>
      <c r="F82" s="103" t="s">
        <v>144</v>
      </c>
      <c r="G82" s="100">
        <v>0</v>
      </c>
      <c r="H82" s="86" t="s">
        <v>142</v>
      </c>
    </row>
    <row r="83" spans="1:8" x14ac:dyDescent="0.2">
      <c r="A83" s="97"/>
      <c r="B83" s="97"/>
      <c r="C83" s="101"/>
      <c r="D83" s="97"/>
      <c r="E83" s="97"/>
      <c r="F83" s="102"/>
      <c r="G83" s="102"/>
      <c r="H83" s="86" t="s">
        <v>142</v>
      </c>
    </row>
    <row r="84" spans="1:8" x14ac:dyDescent="0.2">
      <c r="A84" s="97"/>
      <c r="B84" s="97"/>
      <c r="C84" s="98" t="s">
        <v>148</v>
      </c>
      <c r="D84" s="97"/>
      <c r="E84" s="97"/>
      <c r="F84" s="102"/>
      <c r="G84" s="102"/>
      <c r="H84" s="86" t="s">
        <v>142</v>
      </c>
    </row>
    <row r="85" spans="1:8" x14ac:dyDescent="0.2">
      <c r="A85" s="92">
        <v>1</v>
      </c>
      <c r="B85" s="93"/>
      <c r="C85" s="93" t="s">
        <v>995</v>
      </c>
      <c r="D85" s="93" t="s">
        <v>497</v>
      </c>
      <c r="E85" s="94">
        <v>-300</v>
      </c>
      <c r="F85" s="95">
        <v>-20.368500000000001</v>
      </c>
      <c r="G85" s="96">
        <f>F85/$F$172</f>
        <v>-1.7390070627177281E-4</v>
      </c>
      <c r="H85" s="86" t="s">
        <v>142</v>
      </c>
    </row>
    <row r="86" spans="1:8" x14ac:dyDescent="0.2">
      <c r="A86" s="92">
        <v>2</v>
      </c>
      <c r="B86" s="93"/>
      <c r="C86" s="93" t="s">
        <v>1001</v>
      </c>
      <c r="D86" s="93" t="s">
        <v>497</v>
      </c>
      <c r="E86" s="94">
        <v>-18200</v>
      </c>
      <c r="F86" s="95">
        <v>-169.6422</v>
      </c>
      <c r="G86" s="96">
        <f t="shared" ref="G86:G107" si="0">F86/$F$172</f>
        <v>-1.4483589068167678E-3</v>
      </c>
      <c r="H86" s="86" t="s">
        <v>142</v>
      </c>
    </row>
    <row r="87" spans="1:8" x14ac:dyDescent="0.2">
      <c r="A87" s="92">
        <v>3</v>
      </c>
      <c r="B87" s="93"/>
      <c r="C87" s="93" t="s">
        <v>996</v>
      </c>
      <c r="D87" s="93" t="s">
        <v>497</v>
      </c>
      <c r="E87" s="94">
        <v>-16500</v>
      </c>
      <c r="F87" s="95">
        <v>-346.83</v>
      </c>
      <c r="G87" s="96">
        <f t="shared" si="0"/>
        <v>-2.9611400916237794E-3</v>
      </c>
      <c r="H87" s="86" t="s">
        <v>142</v>
      </c>
    </row>
    <row r="88" spans="1:8" x14ac:dyDescent="0.2">
      <c r="A88" s="92">
        <v>4</v>
      </c>
      <c r="B88" s="93"/>
      <c r="C88" s="93" t="s">
        <v>1022</v>
      </c>
      <c r="D88" s="93" t="s">
        <v>497</v>
      </c>
      <c r="E88" s="94">
        <v>-7500</v>
      </c>
      <c r="F88" s="95">
        <v>-353.4</v>
      </c>
      <c r="G88" s="96">
        <f t="shared" si="0"/>
        <v>-3.0172329624883767E-3</v>
      </c>
      <c r="H88" s="86" t="s">
        <v>142</v>
      </c>
    </row>
    <row r="89" spans="1:8" ht="25.5" x14ac:dyDescent="0.2">
      <c r="A89" s="92">
        <v>5</v>
      </c>
      <c r="B89" s="93"/>
      <c r="C89" s="93" t="s">
        <v>1005</v>
      </c>
      <c r="D89" s="93" t="s">
        <v>497</v>
      </c>
      <c r="E89" s="94">
        <v>-184300</v>
      </c>
      <c r="F89" s="95">
        <v>-589.57569999999998</v>
      </c>
      <c r="G89" s="96">
        <f t="shared" si="0"/>
        <v>-5.0336367739732841E-3</v>
      </c>
      <c r="H89" s="86" t="s">
        <v>142</v>
      </c>
    </row>
    <row r="90" spans="1:8" x14ac:dyDescent="0.2">
      <c r="A90" s="92">
        <v>6</v>
      </c>
      <c r="B90" s="93"/>
      <c r="C90" s="93" t="s">
        <v>1028</v>
      </c>
      <c r="D90" s="93" t="s">
        <v>497</v>
      </c>
      <c r="E90" s="94">
        <v>-105000</v>
      </c>
      <c r="F90" s="95">
        <v>-597.1875</v>
      </c>
      <c r="G90" s="96">
        <f t="shared" si="0"/>
        <v>-5.0986242495360146E-3</v>
      </c>
      <c r="H90" s="86" t="s">
        <v>142</v>
      </c>
    </row>
    <row r="91" spans="1:8" x14ac:dyDescent="0.2">
      <c r="A91" s="92">
        <v>7</v>
      </c>
      <c r="B91" s="93"/>
      <c r="C91" s="93" t="s">
        <v>1062</v>
      </c>
      <c r="D91" s="93" t="s">
        <v>497</v>
      </c>
      <c r="E91" s="94">
        <v>-178500</v>
      </c>
      <c r="F91" s="95">
        <v>-598.77824999999996</v>
      </c>
      <c r="G91" s="96">
        <f t="shared" si="0"/>
        <v>-5.1122056398446684E-3</v>
      </c>
      <c r="H91" s="86" t="s">
        <v>142</v>
      </c>
    </row>
    <row r="92" spans="1:8" x14ac:dyDescent="0.2">
      <c r="A92" s="92">
        <v>8</v>
      </c>
      <c r="B92" s="93"/>
      <c r="C92" s="93" t="s">
        <v>1063</v>
      </c>
      <c r="D92" s="93" t="s">
        <v>497</v>
      </c>
      <c r="E92" s="94">
        <v>-52250</v>
      </c>
      <c r="F92" s="95">
        <v>-599.62099999999998</v>
      </c>
      <c r="G92" s="96">
        <f t="shared" si="0"/>
        <v>-5.1194008098478863E-3</v>
      </c>
      <c r="H92" s="86" t="s">
        <v>142</v>
      </c>
    </row>
    <row r="93" spans="1:8" x14ac:dyDescent="0.2">
      <c r="A93" s="92">
        <v>9</v>
      </c>
      <c r="B93" s="93"/>
      <c r="C93" s="93" t="s">
        <v>1035</v>
      </c>
      <c r="D93" s="93" t="s">
        <v>497</v>
      </c>
      <c r="E93" s="94">
        <v>-58500</v>
      </c>
      <c r="F93" s="95">
        <v>-614.01599999999996</v>
      </c>
      <c r="G93" s="96">
        <f t="shared" si="0"/>
        <v>-5.2423013998168172E-3</v>
      </c>
      <c r="H93" s="86" t="s">
        <v>142</v>
      </c>
    </row>
    <row r="94" spans="1:8" x14ac:dyDescent="0.2">
      <c r="A94" s="92">
        <v>10</v>
      </c>
      <c r="B94" s="93"/>
      <c r="C94" s="93" t="s">
        <v>1012</v>
      </c>
      <c r="D94" s="93" t="s">
        <v>497</v>
      </c>
      <c r="E94" s="94">
        <v>-31500</v>
      </c>
      <c r="F94" s="95">
        <v>-775.65599999999995</v>
      </c>
      <c r="G94" s="96">
        <f t="shared" si="0"/>
        <v>-6.6223397021841664E-3</v>
      </c>
      <c r="H94" s="86" t="s">
        <v>142</v>
      </c>
    </row>
    <row r="95" spans="1:8" x14ac:dyDescent="0.2">
      <c r="A95" s="92">
        <v>11</v>
      </c>
      <c r="B95" s="93"/>
      <c r="C95" s="93" t="s">
        <v>1064</v>
      </c>
      <c r="D95" s="93" t="s">
        <v>497</v>
      </c>
      <c r="E95" s="94">
        <v>-89100</v>
      </c>
      <c r="F95" s="95">
        <v>-1080.0702000000001</v>
      </c>
      <c r="G95" s="96">
        <f t="shared" si="0"/>
        <v>-9.2213452440334295E-3</v>
      </c>
      <c r="H95" s="86" t="s">
        <v>142</v>
      </c>
    </row>
    <row r="96" spans="1:8" x14ac:dyDescent="0.2">
      <c r="A96" s="92">
        <v>12</v>
      </c>
      <c r="B96" s="93"/>
      <c r="C96" s="93" t="s">
        <v>1011</v>
      </c>
      <c r="D96" s="93" t="s">
        <v>497</v>
      </c>
      <c r="E96" s="94">
        <v>-406575</v>
      </c>
      <c r="F96" s="95">
        <v>-1137.1902749999999</v>
      </c>
      <c r="G96" s="96">
        <f t="shared" si="0"/>
        <v>-9.7090208895054386E-3</v>
      </c>
      <c r="H96" s="86" t="s">
        <v>142</v>
      </c>
    </row>
    <row r="97" spans="1:8" x14ac:dyDescent="0.2">
      <c r="A97" s="92">
        <v>13</v>
      </c>
      <c r="B97" s="93"/>
      <c r="C97" s="93" t="s">
        <v>1023</v>
      </c>
      <c r="D97" s="93" t="s">
        <v>497</v>
      </c>
      <c r="E97" s="94">
        <v>-55200</v>
      </c>
      <c r="F97" s="95">
        <v>-1168.1424</v>
      </c>
      <c r="G97" s="96">
        <f t="shared" si="0"/>
        <v>-9.9732817039057224E-3</v>
      </c>
      <c r="H97" s="86" t="s">
        <v>142</v>
      </c>
    </row>
    <row r="98" spans="1:8" x14ac:dyDescent="0.2">
      <c r="A98" s="92">
        <v>14</v>
      </c>
      <c r="B98" s="93"/>
      <c r="C98" s="93" t="s">
        <v>1037</v>
      </c>
      <c r="D98" s="93" t="s">
        <v>497</v>
      </c>
      <c r="E98" s="94">
        <v>-284800</v>
      </c>
      <c r="F98" s="95">
        <v>-1204.704</v>
      </c>
      <c r="G98" s="96">
        <f t="shared" si="0"/>
        <v>-1.0285434688289749E-2</v>
      </c>
      <c r="H98" s="86" t="s">
        <v>142</v>
      </c>
    </row>
    <row r="99" spans="1:8" x14ac:dyDescent="0.2">
      <c r="A99" s="92">
        <v>15</v>
      </c>
      <c r="B99" s="93"/>
      <c r="C99" s="93" t="s">
        <v>1032</v>
      </c>
      <c r="D99" s="93" t="s">
        <v>497</v>
      </c>
      <c r="E99" s="94">
        <v>-31500</v>
      </c>
      <c r="F99" s="95">
        <v>-1277.0415</v>
      </c>
      <c r="G99" s="96">
        <f t="shared" si="0"/>
        <v>-1.0903032564418791E-2</v>
      </c>
      <c r="H99" s="86" t="s">
        <v>142</v>
      </c>
    </row>
    <row r="100" spans="1:8" x14ac:dyDescent="0.2">
      <c r="A100" s="92">
        <v>16</v>
      </c>
      <c r="B100" s="93"/>
      <c r="C100" s="93" t="s">
        <v>1030</v>
      </c>
      <c r="D100" s="93" t="s">
        <v>497</v>
      </c>
      <c r="E100" s="94">
        <v>-149800</v>
      </c>
      <c r="F100" s="95">
        <v>-1278.3932</v>
      </c>
      <c r="G100" s="96">
        <f t="shared" si="0"/>
        <v>-1.0914573010925285E-2</v>
      </c>
      <c r="H100" s="86" t="s">
        <v>142</v>
      </c>
    </row>
    <row r="101" spans="1:8" x14ac:dyDescent="0.2">
      <c r="A101" s="92">
        <v>17</v>
      </c>
      <c r="B101" s="93"/>
      <c r="C101" s="93" t="s">
        <v>1000</v>
      </c>
      <c r="D101" s="93" t="s">
        <v>497</v>
      </c>
      <c r="E101" s="94">
        <v>-39000</v>
      </c>
      <c r="F101" s="95">
        <v>-1368.9780000000001</v>
      </c>
      <c r="G101" s="96">
        <f t="shared" si="0"/>
        <v>-1.1687961365369025E-2</v>
      </c>
      <c r="H101" s="86" t="s">
        <v>142</v>
      </c>
    </row>
    <row r="102" spans="1:8" x14ac:dyDescent="0.2">
      <c r="A102" s="92">
        <v>18</v>
      </c>
      <c r="B102" s="93"/>
      <c r="C102" s="93" t="s">
        <v>1034</v>
      </c>
      <c r="D102" s="93" t="s">
        <v>497</v>
      </c>
      <c r="E102" s="94">
        <v>-148500</v>
      </c>
      <c r="F102" s="95">
        <v>-1475.9414999999999</v>
      </c>
      <c r="G102" s="96">
        <f t="shared" si="0"/>
        <v>-1.2601186600182621E-2</v>
      </c>
      <c r="H102" s="86" t="s">
        <v>142</v>
      </c>
    </row>
    <row r="103" spans="1:8" x14ac:dyDescent="0.2">
      <c r="A103" s="92">
        <v>19</v>
      </c>
      <c r="B103" s="93"/>
      <c r="C103" s="93" t="s">
        <v>1033</v>
      </c>
      <c r="D103" s="93" t="s">
        <v>497</v>
      </c>
      <c r="E103" s="94">
        <v>-364500</v>
      </c>
      <c r="F103" s="95">
        <v>-3436.6882500000002</v>
      </c>
      <c r="G103" s="96">
        <f t="shared" si="0"/>
        <v>-2.9341508403215893E-2</v>
      </c>
      <c r="H103" s="86" t="s">
        <v>142</v>
      </c>
    </row>
    <row r="104" spans="1:8" x14ac:dyDescent="0.2">
      <c r="A104" s="92">
        <v>20</v>
      </c>
      <c r="B104" s="93"/>
      <c r="C104" s="93" t="s">
        <v>1036</v>
      </c>
      <c r="D104" s="93" t="s">
        <v>497</v>
      </c>
      <c r="E104" s="94">
        <v>-374375</v>
      </c>
      <c r="F104" s="95">
        <v>-4644.4962500000001</v>
      </c>
      <c r="G104" s="96">
        <f t="shared" si="0"/>
        <v>-3.9653444198227666E-2</v>
      </c>
      <c r="H104" s="86" t="s">
        <v>142</v>
      </c>
    </row>
    <row r="105" spans="1:8" x14ac:dyDescent="0.2">
      <c r="A105" s="92">
        <v>21</v>
      </c>
      <c r="B105" s="93"/>
      <c r="C105" s="93" t="s">
        <v>1038</v>
      </c>
      <c r="D105" s="93" t="s">
        <v>497</v>
      </c>
      <c r="E105" s="94">
        <v>-389900</v>
      </c>
      <c r="F105" s="95">
        <v>-5280.8055999999997</v>
      </c>
      <c r="G105" s="96">
        <f t="shared" si="0"/>
        <v>-4.5086080149443153E-2</v>
      </c>
      <c r="H105" s="86" t="s">
        <v>142</v>
      </c>
    </row>
    <row r="106" spans="1:8" x14ac:dyDescent="0.2">
      <c r="A106" s="92">
        <v>22</v>
      </c>
      <c r="B106" s="93"/>
      <c r="C106" s="93" t="s">
        <v>1039</v>
      </c>
      <c r="D106" s="93" t="s">
        <v>497</v>
      </c>
      <c r="E106" s="94">
        <v>-502000</v>
      </c>
      <c r="F106" s="95">
        <v>-7509.92</v>
      </c>
      <c r="G106" s="96">
        <f t="shared" si="0"/>
        <v>-6.4117651866583789E-2</v>
      </c>
      <c r="H106" s="86" t="s">
        <v>142</v>
      </c>
    </row>
    <row r="107" spans="1:8" x14ac:dyDescent="0.2">
      <c r="A107" s="92">
        <v>23</v>
      </c>
      <c r="B107" s="93"/>
      <c r="C107" s="93" t="s">
        <v>1031</v>
      </c>
      <c r="D107" s="93" t="s">
        <v>497</v>
      </c>
      <c r="E107" s="94">
        <v>-439850</v>
      </c>
      <c r="F107" s="95">
        <v>-9094.3385999999991</v>
      </c>
      <c r="G107" s="96">
        <f t="shared" si="0"/>
        <v>-7.764498640619806E-2</v>
      </c>
      <c r="H107" s="86" t="s">
        <v>142</v>
      </c>
    </row>
    <row r="108" spans="1:8" x14ac:dyDescent="0.2">
      <c r="A108" s="97"/>
      <c r="B108" s="97"/>
      <c r="C108" s="98" t="s">
        <v>141</v>
      </c>
      <c r="D108" s="97"/>
      <c r="E108" s="97" t="s">
        <v>142</v>
      </c>
      <c r="F108" s="99">
        <v>-44621.784925</v>
      </c>
      <c r="G108" s="100">
        <v>-0.38096862999999997</v>
      </c>
      <c r="H108" s="86" t="s">
        <v>142</v>
      </c>
    </row>
    <row r="109" spans="1:8" x14ac:dyDescent="0.2">
      <c r="A109" s="97"/>
      <c r="B109" s="97"/>
      <c r="C109" s="101"/>
      <c r="D109" s="97"/>
      <c r="E109" s="97"/>
      <c r="F109" s="102"/>
      <c r="G109" s="102"/>
      <c r="H109" s="86" t="s">
        <v>142</v>
      </c>
    </row>
    <row r="110" spans="1:8" x14ac:dyDescent="0.2">
      <c r="A110" s="97"/>
      <c r="B110" s="97"/>
      <c r="C110" s="98" t="s">
        <v>149</v>
      </c>
      <c r="D110" s="97"/>
      <c r="E110" s="97"/>
      <c r="F110" s="99">
        <f>F70</f>
        <v>89730.119198</v>
      </c>
      <c r="G110" s="100">
        <f>G70</f>
        <v>0.76609132999999996</v>
      </c>
      <c r="H110" s="86" t="s">
        <v>142</v>
      </c>
    </row>
    <row r="111" spans="1:8" x14ac:dyDescent="0.2">
      <c r="A111" s="97"/>
      <c r="B111" s="97"/>
      <c r="C111" s="101"/>
      <c r="D111" s="97"/>
      <c r="E111" s="97"/>
      <c r="F111" s="102"/>
      <c r="G111" s="102"/>
      <c r="H111" s="86" t="s">
        <v>142</v>
      </c>
    </row>
    <row r="112" spans="1:8" x14ac:dyDescent="0.2">
      <c r="A112" s="97"/>
      <c r="B112" s="97"/>
      <c r="C112" s="98" t="s">
        <v>150</v>
      </c>
      <c r="D112" s="97"/>
      <c r="E112" s="97"/>
      <c r="F112" s="102"/>
      <c r="G112" s="102"/>
      <c r="H112" s="86" t="s">
        <v>142</v>
      </c>
    </row>
    <row r="113" spans="1:8" x14ac:dyDescent="0.2">
      <c r="A113" s="97"/>
      <c r="B113" s="97"/>
      <c r="C113" s="98" t="s">
        <v>10</v>
      </c>
      <c r="D113" s="97"/>
      <c r="E113" s="97"/>
      <c r="F113" s="102"/>
      <c r="G113" s="102"/>
      <c r="H113" s="86" t="s">
        <v>142</v>
      </c>
    </row>
    <row r="114" spans="1:8" x14ac:dyDescent="0.2">
      <c r="A114" s="92">
        <v>1</v>
      </c>
      <c r="B114" s="93" t="s">
        <v>715</v>
      </c>
      <c r="C114" s="93" t="s">
        <v>716</v>
      </c>
      <c r="D114" s="93" t="s">
        <v>526</v>
      </c>
      <c r="E114" s="94">
        <v>250</v>
      </c>
      <c r="F114" s="95">
        <v>2496.1824999999999</v>
      </c>
      <c r="G114" s="96">
        <v>2.1311730000000001E-2</v>
      </c>
      <c r="H114" s="86">
        <v>6.74</v>
      </c>
    </row>
    <row r="115" spans="1:8" ht="25.5" x14ac:dyDescent="0.2">
      <c r="A115" s="92">
        <v>2</v>
      </c>
      <c r="B115" s="93" t="s">
        <v>540</v>
      </c>
      <c r="C115" s="93" t="s">
        <v>541</v>
      </c>
      <c r="D115" s="93" t="s">
        <v>526</v>
      </c>
      <c r="E115" s="94">
        <v>1500</v>
      </c>
      <c r="F115" s="95">
        <v>1532.5409999999999</v>
      </c>
      <c r="G115" s="96">
        <v>1.3084419999999999E-2</v>
      </c>
      <c r="H115" s="86">
        <v>6.8</v>
      </c>
    </row>
    <row r="116" spans="1:8" ht="25.5" x14ac:dyDescent="0.2">
      <c r="A116" s="92">
        <v>3</v>
      </c>
      <c r="B116" s="93" t="s">
        <v>524</v>
      </c>
      <c r="C116" s="93" t="s">
        <v>525</v>
      </c>
      <c r="D116" s="93" t="s">
        <v>526</v>
      </c>
      <c r="E116" s="94">
        <v>1000</v>
      </c>
      <c r="F116" s="95">
        <v>1018.398</v>
      </c>
      <c r="G116" s="96">
        <v>8.6948100000000007E-3</v>
      </c>
      <c r="H116" s="86">
        <v>6.7431999999999999</v>
      </c>
    </row>
    <row r="117" spans="1:8" x14ac:dyDescent="0.2">
      <c r="A117" s="92">
        <v>4</v>
      </c>
      <c r="B117" s="93" t="s">
        <v>717</v>
      </c>
      <c r="C117" s="93" t="s">
        <v>718</v>
      </c>
      <c r="D117" s="93" t="s">
        <v>523</v>
      </c>
      <c r="E117" s="94">
        <v>100</v>
      </c>
      <c r="F117" s="95">
        <v>1006.48</v>
      </c>
      <c r="G117" s="96">
        <v>8.5930499999999996E-3</v>
      </c>
      <c r="H117" s="86">
        <v>6.43</v>
      </c>
    </row>
    <row r="118" spans="1:8" ht="25.5" x14ac:dyDescent="0.2">
      <c r="A118" s="92">
        <v>5</v>
      </c>
      <c r="B118" s="93" t="s">
        <v>719</v>
      </c>
      <c r="C118" s="93" t="s">
        <v>720</v>
      </c>
      <c r="D118" s="93" t="s">
        <v>523</v>
      </c>
      <c r="E118" s="94">
        <v>1000</v>
      </c>
      <c r="F118" s="95">
        <v>1006.101</v>
      </c>
      <c r="G118" s="96">
        <v>8.5898199999999997E-3</v>
      </c>
      <c r="H118" s="86">
        <v>6.64</v>
      </c>
    </row>
    <row r="119" spans="1:8" x14ac:dyDescent="0.2">
      <c r="A119" s="97"/>
      <c r="B119" s="97"/>
      <c r="C119" s="98" t="s">
        <v>141</v>
      </c>
      <c r="D119" s="97"/>
      <c r="E119" s="97" t="s">
        <v>142</v>
      </c>
      <c r="F119" s="99">
        <v>7059.7025000000003</v>
      </c>
      <c r="G119" s="100">
        <v>6.027383E-2</v>
      </c>
      <c r="H119" s="86" t="s">
        <v>142</v>
      </c>
    </row>
    <row r="120" spans="1:8" x14ac:dyDescent="0.2">
      <c r="A120" s="97"/>
      <c r="B120" s="97"/>
      <c r="C120" s="101"/>
      <c r="D120" s="97"/>
      <c r="E120" s="97"/>
      <c r="F120" s="102"/>
      <c r="G120" s="102"/>
      <c r="H120" s="86" t="s">
        <v>142</v>
      </c>
    </row>
    <row r="121" spans="1:8" x14ac:dyDescent="0.2">
      <c r="A121" s="97"/>
      <c r="B121" s="97"/>
      <c r="C121" s="98" t="s">
        <v>151</v>
      </c>
      <c r="D121" s="97"/>
      <c r="E121" s="97"/>
      <c r="F121" s="97"/>
      <c r="G121" s="97"/>
      <c r="H121" s="86" t="s">
        <v>142</v>
      </c>
    </row>
    <row r="122" spans="1:8" x14ac:dyDescent="0.2">
      <c r="A122" s="97"/>
      <c r="B122" s="97"/>
      <c r="C122" s="98" t="s">
        <v>141</v>
      </c>
      <c r="D122" s="97"/>
      <c r="E122" s="97" t="s">
        <v>142</v>
      </c>
      <c r="F122" s="103" t="s">
        <v>144</v>
      </c>
      <c r="G122" s="100">
        <v>0</v>
      </c>
      <c r="H122" s="86" t="s">
        <v>142</v>
      </c>
    </row>
    <row r="123" spans="1:8" x14ac:dyDescent="0.2">
      <c r="A123" s="97"/>
      <c r="B123" s="97"/>
      <c r="C123" s="101"/>
      <c r="D123" s="97"/>
      <c r="E123" s="97"/>
      <c r="F123" s="102"/>
      <c r="G123" s="102"/>
      <c r="H123" s="86" t="s">
        <v>142</v>
      </c>
    </row>
    <row r="124" spans="1:8" x14ac:dyDescent="0.2">
      <c r="A124" s="97"/>
      <c r="B124" s="97"/>
      <c r="C124" s="98" t="s">
        <v>152</v>
      </c>
      <c r="D124" s="97"/>
      <c r="E124" s="97"/>
      <c r="F124" s="97"/>
      <c r="G124" s="97"/>
      <c r="H124" s="86" t="s">
        <v>142</v>
      </c>
    </row>
    <row r="125" spans="1:8" x14ac:dyDescent="0.2">
      <c r="A125" s="92">
        <v>1</v>
      </c>
      <c r="B125" s="93" t="s">
        <v>599</v>
      </c>
      <c r="C125" s="93" t="s">
        <v>1150</v>
      </c>
      <c r="D125" s="93" t="s">
        <v>601</v>
      </c>
      <c r="E125" s="94">
        <v>6500000</v>
      </c>
      <c r="F125" s="95">
        <v>6709.3455000000004</v>
      </c>
      <c r="G125" s="96">
        <v>5.7282560000000003E-2</v>
      </c>
      <c r="H125" s="86">
        <v>6.7038000000000002</v>
      </c>
    </row>
    <row r="126" spans="1:8" x14ac:dyDescent="0.2">
      <c r="A126" s="92">
        <v>2</v>
      </c>
      <c r="B126" s="93" t="s">
        <v>721</v>
      </c>
      <c r="C126" s="93" t="s">
        <v>1156</v>
      </c>
      <c r="D126" s="93" t="s">
        <v>601</v>
      </c>
      <c r="E126" s="94">
        <v>1500000</v>
      </c>
      <c r="F126" s="95">
        <v>1559.5920000000001</v>
      </c>
      <c r="G126" s="96">
        <v>1.331537E-2</v>
      </c>
      <c r="H126" s="86">
        <v>5.9819000000000004</v>
      </c>
    </row>
    <row r="127" spans="1:8" x14ac:dyDescent="0.2">
      <c r="A127" s="92">
        <v>3</v>
      </c>
      <c r="B127" s="93" t="s">
        <v>602</v>
      </c>
      <c r="C127" s="93" t="s">
        <v>1149</v>
      </c>
      <c r="D127" s="93" t="s">
        <v>601</v>
      </c>
      <c r="E127" s="94">
        <v>1500000</v>
      </c>
      <c r="F127" s="95">
        <v>1544.2755</v>
      </c>
      <c r="G127" s="96">
        <v>1.3184599999999999E-2</v>
      </c>
      <c r="H127" s="86">
        <v>7.0080999999999998</v>
      </c>
    </row>
    <row r="128" spans="1:8" x14ac:dyDescent="0.2">
      <c r="A128" s="92">
        <v>4</v>
      </c>
      <c r="B128" s="93" t="s">
        <v>723</v>
      </c>
      <c r="C128" s="93" t="s">
        <v>724</v>
      </c>
      <c r="D128" s="93" t="s">
        <v>601</v>
      </c>
      <c r="E128" s="94">
        <v>500000</v>
      </c>
      <c r="F128" s="95">
        <v>515.92100000000005</v>
      </c>
      <c r="G128" s="96">
        <v>4.4047899999999996E-3</v>
      </c>
      <c r="H128" s="86">
        <v>6.1285999999999996</v>
      </c>
    </row>
    <row r="129" spans="1:8" x14ac:dyDescent="0.2">
      <c r="A129" s="97"/>
      <c r="B129" s="97"/>
      <c r="C129" s="98" t="s">
        <v>141</v>
      </c>
      <c r="D129" s="97"/>
      <c r="E129" s="97" t="s">
        <v>142</v>
      </c>
      <c r="F129" s="99">
        <v>10329.134</v>
      </c>
      <c r="G129" s="100">
        <v>8.818732E-2</v>
      </c>
      <c r="H129" s="86" t="s">
        <v>142</v>
      </c>
    </row>
    <row r="130" spans="1:8" x14ac:dyDescent="0.2">
      <c r="A130" s="97"/>
      <c r="B130" s="97"/>
      <c r="C130" s="101"/>
      <c r="D130" s="97"/>
      <c r="E130" s="97"/>
      <c r="F130" s="102"/>
      <c r="G130" s="102"/>
      <c r="H130" s="86" t="s">
        <v>142</v>
      </c>
    </row>
    <row r="131" spans="1:8" x14ac:dyDescent="0.2">
      <c r="A131" s="97"/>
      <c r="B131" s="97"/>
      <c r="C131" s="98" t="s">
        <v>153</v>
      </c>
      <c r="D131" s="97"/>
      <c r="E131" s="97"/>
      <c r="F131" s="102"/>
      <c r="G131" s="102"/>
      <c r="H131" s="86" t="s">
        <v>142</v>
      </c>
    </row>
    <row r="132" spans="1:8" x14ac:dyDescent="0.2">
      <c r="A132" s="97"/>
      <c r="B132" s="97"/>
      <c r="C132" s="98" t="s">
        <v>141</v>
      </c>
      <c r="D132" s="97"/>
      <c r="E132" s="97" t="s">
        <v>142</v>
      </c>
      <c r="F132" s="103" t="s">
        <v>144</v>
      </c>
      <c r="G132" s="100">
        <v>0</v>
      </c>
      <c r="H132" s="86" t="s">
        <v>142</v>
      </c>
    </row>
    <row r="133" spans="1:8" ht="12.75" customHeight="1" x14ac:dyDescent="0.2">
      <c r="A133" s="84"/>
      <c r="B133" s="84"/>
      <c r="C133" s="85"/>
      <c r="D133" s="84"/>
      <c r="E133" s="84"/>
      <c r="F133" s="149"/>
      <c r="G133" s="139"/>
      <c r="H133" s="86" t="s">
        <v>142</v>
      </c>
    </row>
    <row r="134" spans="1:8" ht="12.75" customHeight="1" x14ac:dyDescent="0.2">
      <c r="A134" s="84"/>
      <c r="B134" s="84"/>
      <c r="C134" s="85" t="s">
        <v>929</v>
      </c>
      <c r="D134" s="84"/>
      <c r="E134" s="84"/>
      <c r="F134" s="84"/>
      <c r="G134" s="84"/>
      <c r="H134" s="86" t="s">
        <v>142</v>
      </c>
    </row>
    <row r="135" spans="1:8" ht="12.75" customHeight="1" x14ac:dyDescent="0.2">
      <c r="A135" s="87">
        <v>1</v>
      </c>
      <c r="B135" s="88" t="s">
        <v>317</v>
      </c>
      <c r="C135" s="88" t="s">
        <v>930</v>
      </c>
      <c r="D135" s="88" t="s">
        <v>241</v>
      </c>
      <c r="E135" s="89">
        <v>36400</v>
      </c>
      <c r="F135" s="90">
        <v>3.67</v>
      </c>
      <c r="G135" s="91" t="s">
        <v>140</v>
      </c>
      <c r="H135" s="86" t="s">
        <v>142</v>
      </c>
    </row>
    <row r="136" spans="1:8" ht="12.75" customHeight="1" x14ac:dyDescent="0.2">
      <c r="A136" s="84"/>
      <c r="B136" s="84"/>
      <c r="C136" s="85" t="s">
        <v>141</v>
      </c>
      <c r="D136" s="84"/>
      <c r="E136" s="84" t="s">
        <v>142</v>
      </c>
      <c r="F136" s="138">
        <f>F135</f>
        <v>3.67</v>
      </c>
      <c r="G136" s="139">
        <f>SUM(G135)</f>
        <v>0</v>
      </c>
      <c r="H136" s="86" t="s">
        <v>142</v>
      </c>
    </row>
    <row r="137" spans="1:8" x14ac:dyDescent="0.2">
      <c r="A137" s="97"/>
      <c r="B137" s="97"/>
      <c r="C137" s="101"/>
      <c r="D137" s="97"/>
      <c r="E137" s="97"/>
      <c r="F137" s="102"/>
      <c r="G137" s="102"/>
      <c r="H137" s="86" t="s">
        <v>142</v>
      </c>
    </row>
    <row r="138" spans="1:8" x14ac:dyDescent="0.2">
      <c r="A138" s="97"/>
      <c r="B138" s="97"/>
      <c r="C138" s="98" t="s">
        <v>154</v>
      </c>
      <c r="D138" s="97"/>
      <c r="E138" s="97"/>
      <c r="F138" s="99">
        <f>F136+F129+F119</f>
        <v>17392.5065</v>
      </c>
      <c r="G138" s="100">
        <f>G136+G129+G119</f>
        <v>0.14846114999999999</v>
      </c>
      <c r="H138" s="86" t="s">
        <v>142</v>
      </c>
    </row>
    <row r="139" spans="1:8" x14ac:dyDescent="0.2">
      <c r="A139" s="97"/>
      <c r="B139" s="97"/>
      <c r="C139" s="101"/>
      <c r="D139" s="97"/>
      <c r="E139" s="97"/>
      <c r="F139" s="102"/>
      <c r="G139" s="102"/>
      <c r="H139" s="86" t="s">
        <v>142</v>
      </c>
    </row>
    <row r="140" spans="1:8" x14ac:dyDescent="0.2">
      <c r="A140" s="97"/>
      <c r="B140" s="97"/>
      <c r="C140" s="98" t="s">
        <v>155</v>
      </c>
      <c r="D140" s="97"/>
      <c r="E140" s="97"/>
      <c r="F140" s="102"/>
      <c r="G140" s="102"/>
      <c r="H140" s="86" t="s">
        <v>142</v>
      </c>
    </row>
    <row r="141" spans="1:8" x14ac:dyDescent="0.2">
      <c r="A141" s="97"/>
      <c r="B141" s="97"/>
      <c r="C141" s="98" t="s">
        <v>156</v>
      </c>
      <c r="D141" s="97"/>
      <c r="E141" s="97"/>
      <c r="F141" s="102"/>
      <c r="G141" s="102"/>
      <c r="H141" s="86" t="s">
        <v>142</v>
      </c>
    </row>
    <row r="142" spans="1:8" x14ac:dyDescent="0.2">
      <c r="A142" s="92">
        <v>1</v>
      </c>
      <c r="B142" s="93" t="s">
        <v>725</v>
      </c>
      <c r="C142" s="93" t="s">
        <v>726</v>
      </c>
      <c r="D142" s="93" t="s">
        <v>623</v>
      </c>
      <c r="E142" s="94">
        <v>500</v>
      </c>
      <c r="F142" s="95">
        <v>2486.7249999999999</v>
      </c>
      <c r="G142" s="96">
        <v>2.123098E-2</v>
      </c>
      <c r="H142" s="86">
        <v>5.9050000000000002</v>
      </c>
    </row>
    <row r="143" spans="1:8" x14ac:dyDescent="0.2">
      <c r="A143" s="92">
        <v>2</v>
      </c>
      <c r="B143" s="93" t="s">
        <v>621</v>
      </c>
      <c r="C143" s="93" t="s">
        <v>622</v>
      </c>
      <c r="D143" s="93" t="s">
        <v>623</v>
      </c>
      <c r="E143" s="94">
        <v>500</v>
      </c>
      <c r="F143" s="95">
        <v>2476.145</v>
      </c>
      <c r="G143" s="96">
        <v>2.114065E-2</v>
      </c>
      <c r="H143" s="86">
        <v>5.9599000000000002</v>
      </c>
    </row>
    <row r="144" spans="1:8" x14ac:dyDescent="0.2">
      <c r="A144" s="97"/>
      <c r="B144" s="97"/>
      <c r="C144" s="98" t="s">
        <v>141</v>
      </c>
      <c r="D144" s="97"/>
      <c r="E144" s="97" t="s">
        <v>142</v>
      </c>
      <c r="F144" s="99">
        <v>4962.87</v>
      </c>
      <c r="G144" s="100">
        <v>4.237163E-2</v>
      </c>
      <c r="H144" s="86" t="s">
        <v>142</v>
      </c>
    </row>
    <row r="145" spans="1:8" x14ac:dyDescent="0.2">
      <c r="A145" s="97"/>
      <c r="B145" s="97"/>
      <c r="C145" s="101"/>
      <c r="D145" s="97"/>
      <c r="E145" s="97"/>
      <c r="F145" s="102"/>
      <c r="G145" s="102"/>
      <c r="H145" s="86" t="s">
        <v>142</v>
      </c>
    </row>
    <row r="146" spans="1:8" x14ac:dyDescent="0.2">
      <c r="A146" s="97"/>
      <c r="B146" s="97"/>
      <c r="C146" s="98" t="s">
        <v>157</v>
      </c>
      <c r="D146" s="97"/>
      <c r="E146" s="97"/>
      <c r="F146" s="102"/>
      <c r="G146" s="102"/>
      <c r="H146" s="86" t="s">
        <v>142</v>
      </c>
    </row>
    <row r="147" spans="1:8" x14ac:dyDescent="0.2">
      <c r="A147" s="97"/>
      <c r="B147" s="97"/>
      <c r="C147" s="98" t="s">
        <v>141</v>
      </c>
      <c r="D147" s="97"/>
      <c r="E147" s="97" t="s">
        <v>142</v>
      </c>
      <c r="F147" s="103" t="s">
        <v>144</v>
      </c>
      <c r="G147" s="100">
        <v>0</v>
      </c>
      <c r="H147" s="86" t="s">
        <v>142</v>
      </c>
    </row>
    <row r="148" spans="1:8" x14ac:dyDescent="0.2">
      <c r="A148" s="97"/>
      <c r="B148" s="97"/>
      <c r="C148" s="101"/>
      <c r="D148" s="97"/>
      <c r="E148" s="97"/>
      <c r="F148" s="102"/>
      <c r="G148" s="102"/>
      <c r="H148" s="86" t="s">
        <v>142</v>
      </c>
    </row>
    <row r="149" spans="1:8" x14ac:dyDescent="0.2">
      <c r="A149" s="97"/>
      <c r="B149" s="97"/>
      <c r="C149" s="98" t="s">
        <v>158</v>
      </c>
      <c r="D149" s="97"/>
      <c r="E149" s="97"/>
      <c r="F149" s="102"/>
      <c r="G149" s="102"/>
      <c r="H149" s="86" t="s">
        <v>142</v>
      </c>
    </row>
    <row r="150" spans="1:8" x14ac:dyDescent="0.2">
      <c r="A150" s="92">
        <v>1</v>
      </c>
      <c r="B150" s="93" t="s">
        <v>727</v>
      </c>
      <c r="C150" s="93" t="s">
        <v>728</v>
      </c>
      <c r="D150" s="93" t="s">
        <v>601</v>
      </c>
      <c r="E150" s="94">
        <v>2500000</v>
      </c>
      <c r="F150" s="95">
        <v>2482.6824999999999</v>
      </c>
      <c r="G150" s="96">
        <v>2.1196469999999999E-2</v>
      </c>
      <c r="H150" s="86">
        <v>5.4175000000000004</v>
      </c>
    </row>
    <row r="151" spans="1:8" x14ac:dyDescent="0.2">
      <c r="A151" s="97"/>
      <c r="B151" s="97"/>
      <c r="C151" s="98" t="s">
        <v>141</v>
      </c>
      <c r="D151" s="97"/>
      <c r="E151" s="97" t="s">
        <v>142</v>
      </c>
      <c r="F151" s="99">
        <v>2482.6824999999999</v>
      </c>
      <c r="G151" s="100">
        <v>2.1196469999999999E-2</v>
      </c>
      <c r="H151" s="86" t="s">
        <v>142</v>
      </c>
    </row>
    <row r="152" spans="1:8" x14ac:dyDescent="0.2">
      <c r="A152" s="97"/>
      <c r="B152" s="97"/>
      <c r="C152" s="101"/>
      <c r="D152" s="97"/>
      <c r="E152" s="97"/>
      <c r="F152" s="102"/>
      <c r="G152" s="102"/>
      <c r="H152" s="86" t="s">
        <v>142</v>
      </c>
    </row>
    <row r="153" spans="1:8" x14ac:dyDescent="0.2">
      <c r="A153" s="97"/>
      <c r="B153" s="97"/>
      <c r="C153" s="98" t="s">
        <v>159</v>
      </c>
      <c r="D153" s="97"/>
      <c r="E153" s="97"/>
      <c r="F153" s="102"/>
      <c r="G153" s="102"/>
      <c r="H153" s="86" t="s">
        <v>142</v>
      </c>
    </row>
    <row r="154" spans="1:8" x14ac:dyDescent="0.2">
      <c r="A154" s="92">
        <v>1</v>
      </c>
      <c r="B154" s="93"/>
      <c r="C154" s="93" t="s">
        <v>160</v>
      </c>
      <c r="D154" s="93"/>
      <c r="E154" s="104"/>
      <c r="F154" s="95">
        <v>900.07017990400004</v>
      </c>
      <c r="G154" s="96">
        <v>7.6845500000000001E-3</v>
      </c>
      <c r="H154" s="86">
        <v>5.57</v>
      </c>
    </row>
    <row r="155" spans="1:8" x14ac:dyDescent="0.2">
      <c r="A155" s="97"/>
      <c r="B155" s="97"/>
      <c r="C155" s="98" t="s">
        <v>141</v>
      </c>
      <c r="D155" s="97"/>
      <c r="E155" s="97" t="s">
        <v>142</v>
      </c>
      <c r="F155" s="99">
        <v>900.07017990400004</v>
      </c>
      <c r="G155" s="100">
        <v>7.6845500000000001E-3</v>
      </c>
      <c r="H155" s="86" t="s">
        <v>142</v>
      </c>
    </row>
    <row r="156" spans="1:8" x14ac:dyDescent="0.2">
      <c r="A156" s="97"/>
      <c r="B156" s="97"/>
      <c r="C156" s="101"/>
      <c r="D156" s="97"/>
      <c r="E156" s="97"/>
      <c r="F156" s="102"/>
      <c r="G156" s="102"/>
      <c r="H156" s="86" t="s">
        <v>142</v>
      </c>
    </row>
    <row r="157" spans="1:8" x14ac:dyDescent="0.2">
      <c r="A157" s="97"/>
      <c r="B157" s="97"/>
      <c r="C157" s="98" t="s">
        <v>161</v>
      </c>
      <c r="D157" s="97"/>
      <c r="E157" s="97"/>
      <c r="F157" s="99">
        <v>8345.6226799039996</v>
      </c>
      <c r="G157" s="100">
        <v>7.1252650000000001E-2</v>
      </c>
      <c r="H157" s="86" t="s">
        <v>142</v>
      </c>
    </row>
    <row r="158" spans="1:8" x14ac:dyDescent="0.2">
      <c r="A158" s="97"/>
      <c r="B158" s="97"/>
      <c r="C158" s="102"/>
      <c r="D158" s="97"/>
      <c r="E158" s="97"/>
      <c r="F158" s="97"/>
      <c r="G158" s="97"/>
      <c r="H158" s="86" t="s">
        <v>142</v>
      </c>
    </row>
    <row r="159" spans="1:8" x14ac:dyDescent="0.2">
      <c r="A159" s="97"/>
      <c r="B159" s="97"/>
      <c r="C159" s="98" t="s">
        <v>162</v>
      </c>
      <c r="D159" s="97"/>
      <c r="E159" s="97"/>
      <c r="F159" s="97"/>
      <c r="G159" s="97"/>
      <c r="H159" s="86" t="s">
        <v>142</v>
      </c>
    </row>
    <row r="160" spans="1:8" x14ac:dyDescent="0.2">
      <c r="A160" s="97"/>
      <c r="B160" s="97"/>
      <c r="C160" s="98" t="s">
        <v>163</v>
      </c>
      <c r="D160" s="97"/>
      <c r="E160" s="97"/>
      <c r="F160" s="97"/>
      <c r="G160" s="97"/>
      <c r="H160" s="86" t="s">
        <v>142</v>
      </c>
    </row>
    <row r="161" spans="1:10" x14ac:dyDescent="0.2">
      <c r="A161" s="97"/>
      <c r="B161" s="97"/>
      <c r="C161" s="98" t="s">
        <v>141</v>
      </c>
      <c r="D161" s="97"/>
      <c r="E161" s="97" t="s">
        <v>142</v>
      </c>
      <c r="F161" s="103" t="s">
        <v>144</v>
      </c>
      <c r="G161" s="100">
        <v>0</v>
      </c>
      <c r="H161" s="86" t="s">
        <v>142</v>
      </c>
    </row>
    <row r="162" spans="1:10" x14ac:dyDescent="0.2">
      <c r="A162" s="97"/>
      <c r="B162" s="97"/>
      <c r="C162" s="101"/>
      <c r="D162" s="97"/>
      <c r="E162" s="97"/>
      <c r="F162" s="102"/>
      <c r="G162" s="102"/>
      <c r="H162" s="86" t="s">
        <v>142</v>
      </c>
    </row>
    <row r="163" spans="1:10" x14ac:dyDescent="0.2">
      <c r="A163" s="97"/>
      <c r="B163" s="97"/>
      <c r="C163" s="98" t="s">
        <v>164</v>
      </c>
      <c r="D163" s="97"/>
      <c r="E163" s="97"/>
      <c r="F163" s="97"/>
      <c r="G163" s="97"/>
      <c r="H163" s="86" t="s">
        <v>142</v>
      </c>
    </row>
    <row r="164" spans="1:10" x14ac:dyDescent="0.2">
      <c r="A164" s="97"/>
      <c r="B164" s="97"/>
      <c r="C164" s="98" t="s">
        <v>165</v>
      </c>
      <c r="D164" s="97"/>
      <c r="E164" s="97"/>
      <c r="F164" s="97"/>
      <c r="G164" s="97"/>
      <c r="H164" s="86" t="s">
        <v>142</v>
      </c>
    </row>
    <row r="165" spans="1:10" x14ac:dyDescent="0.2">
      <c r="A165" s="97"/>
      <c r="B165" s="97"/>
      <c r="C165" s="98" t="s">
        <v>141</v>
      </c>
      <c r="D165" s="97"/>
      <c r="E165" s="97" t="s">
        <v>142</v>
      </c>
      <c r="F165" s="103" t="s">
        <v>144</v>
      </c>
      <c r="G165" s="100">
        <v>0</v>
      </c>
      <c r="H165" s="86" t="s">
        <v>142</v>
      </c>
    </row>
    <row r="166" spans="1:10" x14ac:dyDescent="0.2">
      <c r="A166" s="97"/>
      <c r="B166" s="97"/>
      <c r="C166" s="101"/>
      <c r="D166" s="97"/>
      <c r="E166" s="97"/>
      <c r="F166" s="102"/>
      <c r="G166" s="102"/>
      <c r="H166" s="86" t="s">
        <v>142</v>
      </c>
    </row>
    <row r="167" spans="1:10" x14ac:dyDescent="0.2">
      <c r="A167" s="97"/>
      <c r="B167" s="97"/>
      <c r="C167" s="98" t="s">
        <v>166</v>
      </c>
      <c r="D167" s="97"/>
      <c r="E167" s="97"/>
      <c r="F167" s="102"/>
      <c r="G167" s="102"/>
      <c r="H167" s="86" t="s">
        <v>142</v>
      </c>
    </row>
    <row r="168" spans="1:10" x14ac:dyDescent="0.2">
      <c r="A168" s="97"/>
      <c r="B168" s="97"/>
      <c r="C168" s="98" t="s">
        <v>141</v>
      </c>
      <c r="D168" s="97"/>
      <c r="E168" s="97" t="s">
        <v>142</v>
      </c>
      <c r="F168" s="103" t="s">
        <v>144</v>
      </c>
      <c r="G168" s="100">
        <v>0</v>
      </c>
      <c r="H168" s="86" t="s">
        <v>142</v>
      </c>
    </row>
    <row r="169" spans="1:10" x14ac:dyDescent="0.2">
      <c r="A169" s="97"/>
      <c r="B169" s="97"/>
      <c r="C169" s="101"/>
      <c r="D169" s="97"/>
      <c r="E169" s="97"/>
      <c r="F169" s="102"/>
      <c r="G169" s="102"/>
      <c r="H169" s="86" t="s">
        <v>142</v>
      </c>
    </row>
    <row r="170" spans="1:10" x14ac:dyDescent="0.2">
      <c r="A170" s="104"/>
      <c r="B170" s="93"/>
      <c r="C170" s="93" t="s">
        <v>500</v>
      </c>
      <c r="D170" s="93"/>
      <c r="E170" s="104"/>
      <c r="F170" s="95">
        <v>1000.0004477</v>
      </c>
      <c r="G170" s="96">
        <v>8.5377300000000003E-3</v>
      </c>
      <c r="H170" s="86" t="s">
        <v>142</v>
      </c>
    </row>
    <row r="171" spans="1:10" x14ac:dyDescent="0.2">
      <c r="A171" s="104"/>
      <c r="B171" s="93"/>
      <c r="C171" s="88" t="s">
        <v>954</v>
      </c>
      <c r="D171" s="93"/>
      <c r="E171" s="104"/>
      <c r="F171" s="95">
        <f>45280.71997735+F108</f>
        <v>658.93505235000339</v>
      </c>
      <c r="G171" s="96">
        <f>F171/F172</f>
        <v>5.6258080364726499E-3</v>
      </c>
      <c r="H171" s="86" t="s">
        <v>142</v>
      </c>
    </row>
    <row r="172" spans="1:10" x14ac:dyDescent="0.2">
      <c r="A172" s="101"/>
      <c r="B172" s="101"/>
      <c r="C172" s="98" t="s">
        <v>168</v>
      </c>
      <c r="D172" s="102"/>
      <c r="E172" s="102"/>
      <c r="F172" s="99">
        <f>F171+F170+F157+F138+F110</f>
        <v>117127.183877954</v>
      </c>
      <c r="G172" s="105">
        <f>G171+G170+G157+G138+G110</f>
        <v>0.99996866803647255</v>
      </c>
      <c r="H172" s="86" t="s">
        <v>142</v>
      </c>
    </row>
    <row r="173" spans="1:10" ht="12.75" customHeight="1" x14ac:dyDescent="0.2">
      <c r="A173" s="106"/>
      <c r="B173" s="106"/>
      <c r="C173" s="107"/>
      <c r="D173" s="108"/>
      <c r="E173" s="108"/>
      <c r="F173" s="109"/>
      <c r="G173" s="110"/>
      <c r="H173" s="111"/>
    </row>
    <row r="174" spans="1:10" x14ac:dyDescent="0.2">
      <c r="A174" s="106"/>
      <c r="B174" s="200" t="s">
        <v>918</v>
      </c>
      <c r="C174" s="200"/>
      <c r="D174" s="200"/>
      <c r="E174" s="200"/>
      <c r="F174" s="200"/>
      <c r="G174" s="200"/>
      <c r="H174" s="200"/>
      <c r="J174" s="113"/>
    </row>
    <row r="175" spans="1:10" x14ac:dyDescent="0.2">
      <c r="A175" s="106"/>
      <c r="B175" s="200" t="s">
        <v>919</v>
      </c>
      <c r="C175" s="200"/>
      <c r="D175" s="200"/>
      <c r="E175" s="200"/>
      <c r="F175" s="200"/>
      <c r="G175" s="200"/>
      <c r="H175" s="200"/>
      <c r="J175" s="113"/>
    </row>
    <row r="176" spans="1:10" x14ac:dyDescent="0.2">
      <c r="A176" s="106"/>
      <c r="B176" s="200" t="s">
        <v>920</v>
      </c>
      <c r="C176" s="200"/>
      <c r="D176" s="200"/>
      <c r="E176" s="200"/>
      <c r="F176" s="200"/>
      <c r="G176" s="200"/>
      <c r="H176" s="200"/>
      <c r="J176" s="113"/>
    </row>
    <row r="177" spans="1:17" s="115" customFormat="1" ht="66.75" customHeight="1" x14ac:dyDescent="0.25">
      <c r="A177" s="114"/>
      <c r="B177" s="201" t="s">
        <v>921</v>
      </c>
      <c r="C177" s="201"/>
      <c r="D177" s="201"/>
      <c r="E177" s="201"/>
      <c r="F177" s="201"/>
      <c r="G177" s="201"/>
      <c r="H177" s="201"/>
      <c r="I177"/>
      <c r="J177" s="113"/>
      <c r="K177"/>
      <c r="L177"/>
      <c r="M177"/>
      <c r="N177"/>
      <c r="O177"/>
      <c r="P177"/>
      <c r="Q177"/>
    </row>
    <row r="178" spans="1:17" x14ac:dyDescent="0.2">
      <c r="A178" s="106"/>
      <c r="B178" s="200" t="s">
        <v>922</v>
      </c>
      <c r="C178" s="200"/>
      <c r="D178" s="200"/>
      <c r="E178" s="200"/>
      <c r="F178" s="200"/>
      <c r="G178" s="200"/>
      <c r="H178" s="200"/>
      <c r="J178" s="113"/>
    </row>
    <row r="179" spans="1:17" x14ac:dyDescent="0.2">
      <c r="A179" s="106"/>
      <c r="B179" s="106"/>
      <c r="C179" s="106"/>
      <c r="D179" s="108"/>
      <c r="E179" s="108"/>
      <c r="F179" s="108"/>
      <c r="G179" s="108"/>
    </row>
    <row r="180" spans="1:17" x14ac:dyDescent="0.2">
      <c r="A180" s="106"/>
      <c r="B180" s="202" t="s">
        <v>169</v>
      </c>
      <c r="C180" s="203"/>
      <c r="D180" s="204"/>
      <c r="E180" s="116"/>
      <c r="F180" s="108"/>
      <c r="G180" s="108"/>
    </row>
    <row r="181" spans="1:17" ht="27.75" customHeight="1" x14ac:dyDescent="0.2">
      <c r="A181" s="106"/>
      <c r="B181" s="205" t="s">
        <v>170</v>
      </c>
      <c r="C181" s="206"/>
      <c r="D181" s="85" t="s">
        <v>171</v>
      </c>
      <c r="E181" s="116"/>
      <c r="F181" s="108"/>
      <c r="G181" s="108"/>
    </row>
    <row r="182" spans="1:17" ht="12.75" customHeight="1" x14ac:dyDescent="0.2">
      <c r="A182" s="106"/>
      <c r="B182" s="205" t="s">
        <v>923</v>
      </c>
      <c r="C182" s="206"/>
      <c r="D182" s="85" t="s">
        <v>171</v>
      </c>
      <c r="E182" s="116"/>
      <c r="F182" s="108"/>
      <c r="G182" s="108"/>
    </row>
    <row r="183" spans="1:17" x14ac:dyDescent="0.2">
      <c r="A183" s="106"/>
      <c r="B183" s="205" t="s">
        <v>172</v>
      </c>
      <c r="C183" s="206"/>
      <c r="D183" s="117" t="s">
        <v>142</v>
      </c>
      <c r="E183" s="116"/>
      <c r="F183" s="108"/>
      <c r="G183" s="108"/>
    </row>
    <row r="184" spans="1:17" x14ac:dyDescent="0.2">
      <c r="A184" s="118"/>
      <c r="B184" s="119" t="s">
        <v>142</v>
      </c>
      <c r="C184" s="119" t="s">
        <v>924</v>
      </c>
      <c r="D184" s="119" t="s">
        <v>173</v>
      </c>
      <c r="E184" s="118"/>
      <c r="F184" s="118"/>
      <c r="G184" s="118"/>
      <c r="H184" s="118"/>
      <c r="J184" s="113"/>
    </row>
    <row r="185" spans="1:17" x14ac:dyDescent="0.2">
      <c r="A185" s="118"/>
      <c r="B185" s="120" t="s">
        <v>174</v>
      </c>
      <c r="C185" s="121">
        <v>45930</v>
      </c>
      <c r="D185" s="121">
        <v>45961</v>
      </c>
      <c r="E185" s="118"/>
      <c r="F185" s="118"/>
      <c r="G185" s="118"/>
      <c r="J185" s="113"/>
    </row>
    <row r="186" spans="1:17" x14ac:dyDescent="0.2">
      <c r="A186" s="122"/>
      <c r="B186" s="88" t="s">
        <v>175</v>
      </c>
      <c r="C186" s="123">
        <v>82.021000000000001</v>
      </c>
      <c r="D186" s="123">
        <v>83.5929</v>
      </c>
      <c r="E186" s="122"/>
      <c r="F186" s="124"/>
      <c r="G186" s="125"/>
    </row>
    <row r="187" spans="1:17" ht="25.5" x14ac:dyDescent="0.2">
      <c r="A187" s="122"/>
      <c r="B187" s="88" t="s">
        <v>1065</v>
      </c>
      <c r="C187" s="123">
        <v>16.938199999999998</v>
      </c>
      <c r="D187" s="123">
        <v>17.262899999999998</v>
      </c>
      <c r="E187" s="122"/>
      <c r="F187" s="124"/>
      <c r="G187" s="125"/>
    </row>
    <row r="188" spans="1:17" x14ac:dyDescent="0.2">
      <c r="A188" s="122"/>
      <c r="B188" s="88" t="s">
        <v>176</v>
      </c>
      <c r="C188" s="123">
        <v>70.437399999999997</v>
      </c>
      <c r="D188" s="123">
        <v>71.6935</v>
      </c>
      <c r="E188" s="122"/>
      <c r="F188" s="124"/>
      <c r="G188" s="125"/>
    </row>
    <row r="189" spans="1:17" ht="25.5" x14ac:dyDescent="0.2">
      <c r="A189" s="122"/>
      <c r="B189" s="88" t="s">
        <v>1066</v>
      </c>
      <c r="C189" s="123">
        <v>15.7377</v>
      </c>
      <c r="D189" s="123">
        <v>16.0183</v>
      </c>
      <c r="E189" s="122"/>
      <c r="F189" s="124"/>
      <c r="G189" s="125"/>
    </row>
    <row r="190" spans="1:17" x14ac:dyDescent="0.2">
      <c r="A190" s="122"/>
      <c r="B190" s="122"/>
      <c r="C190" s="122"/>
      <c r="D190" s="122"/>
      <c r="E190" s="122"/>
      <c r="F190" s="122"/>
      <c r="G190" s="122"/>
    </row>
    <row r="191" spans="1:17" x14ac:dyDescent="0.2">
      <c r="A191" s="118"/>
      <c r="B191" s="205" t="s">
        <v>925</v>
      </c>
      <c r="C191" s="206"/>
      <c r="D191" s="85" t="s">
        <v>171</v>
      </c>
      <c r="E191" s="118"/>
      <c r="F191" s="118"/>
      <c r="G191" s="118"/>
    </row>
    <row r="192" spans="1:17" x14ac:dyDescent="0.2">
      <c r="A192" s="118"/>
      <c r="B192" s="136"/>
      <c r="C192" s="136"/>
      <c r="D192" s="136"/>
      <c r="E192" s="118"/>
      <c r="F192" s="118"/>
      <c r="G192" s="118"/>
    </row>
    <row r="193" spans="1:7" x14ac:dyDescent="0.2">
      <c r="A193" s="118"/>
      <c r="B193" s="205" t="s">
        <v>179</v>
      </c>
      <c r="C193" s="206"/>
      <c r="D193" s="85" t="s">
        <v>956</v>
      </c>
      <c r="E193" s="131"/>
      <c r="F193" s="118"/>
      <c r="G193" s="118"/>
    </row>
    <row r="194" spans="1:7" x14ac:dyDescent="0.2">
      <c r="A194" s="118"/>
      <c r="B194" s="205" t="s">
        <v>180</v>
      </c>
      <c r="C194" s="206"/>
      <c r="D194" s="85" t="s">
        <v>171</v>
      </c>
      <c r="E194" s="131"/>
      <c r="F194" s="118"/>
      <c r="G194" s="118"/>
    </row>
    <row r="195" spans="1:7" ht="17.100000000000001" customHeight="1" x14ac:dyDescent="0.2">
      <c r="A195" s="118"/>
      <c r="B195" s="205" t="s">
        <v>181</v>
      </c>
      <c r="C195" s="206"/>
      <c r="D195" s="85" t="s">
        <v>171</v>
      </c>
      <c r="E195" s="131"/>
      <c r="F195" s="118"/>
      <c r="G195" s="118"/>
    </row>
    <row r="196" spans="1:7" ht="17.100000000000001" customHeight="1" x14ac:dyDescent="0.2">
      <c r="A196" s="118"/>
      <c r="B196" s="205" t="s">
        <v>182</v>
      </c>
      <c r="C196" s="206"/>
      <c r="D196" s="132">
        <v>5.2432999999999996</v>
      </c>
      <c r="E196" s="118"/>
      <c r="F196" s="112"/>
      <c r="G196" s="133"/>
    </row>
    <row r="198" spans="1:7" x14ac:dyDescent="0.2">
      <c r="B198" s="214" t="s">
        <v>985</v>
      </c>
      <c r="C198" s="215"/>
      <c r="D198" s="216"/>
    </row>
    <row r="199" spans="1:7" ht="25.5" x14ac:dyDescent="0.2">
      <c r="B199" s="213" t="s">
        <v>986</v>
      </c>
      <c r="C199" s="213"/>
      <c r="D199" s="160" t="s">
        <v>710</v>
      </c>
    </row>
    <row r="200" spans="1:7" x14ac:dyDescent="0.2">
      <c r="B200" s="213" t="s">
        <v>987</v>
      </c>
      <c r="C200" s="213"/>
      <c r="D200" s="142"/>
    </row>
    <row r="201" spans="1:7" x14ac:dyDescent="0.2">
      <c r="B201" s="210"/>
      <c r="C201" s="212"/>
      <c r="D201" s="143"/>
    </row>
    <row r="202" spans="1:7" x14ac:dyDescent="0.2">
      <c r="B202" s="213" t="s">
        <v>988</v>
      </c>
      <c r="C202" s="213"/>
      <c r="D202" s="144">
        <v>6.3535754925695169</v>
      </c>
    </row>
    <row r="203" spans="1:7" x14ac:dyDescent="0.2">
      <c r="B203" s="210"/>
      <c r="C203" s="212"/>
      <c r="D203" s="143"/>
    </row>
    <row r="204" spans="1:7" x14ac:dyDescent="0.2">
      <c r="B204" s="213" t="s">
        <v>989</v>
      </c>
      <c r="C204" s="213"/>
      <c r="D204" s="144">
        <v>2.8564477968096984</v>
      </c>
    </row>
    <row r="205" spans="1:7" x14ac:dyDescent="0.2">
      <c r="B205" s="213" t="s">
        <v>990</v>
      </c>
      <c r="C205" s="213"/>
      <c r="D205" s="144">
        <v>3.6558517272051851</v>
      </c>
    </row>
    <row r="206" spans="1:7" x14ac:dyDescent="0.2">
      <c r="B206" s="210"/>
      <c r="C206" s="212"/>
      <c r="D206" s="143"/>
    </row>
    <row r="207" spans="1:7" x14ac:dyDescent="0.2">
      <c r="B207" s="213" t="s">
        <v>991</v>
      </c>
      <c r="C207" s="213"/>
      <c r="D207" s="145" t="s">
        <v>1160</v>
      </c>
    </row>
    <row r="208" spans="1:7" ht="12.75" customHeight="1" x14ac:dyDescent="0.2">
      <c r="B208" s="210" t="s">
        <v>992</v>
      </c>
      <c r="C208" s="211"/>
      <c r="D208" s="212"/>
    </row>
    <row r="210" spans="2:4" x14ac:dyDescent="0.2">
      <c r="B210" s="199" t="s">
        <v>926</v>
      </c>
      <c r="C210" s="199"/>
    </row>
    <row r="212" spans="2:4" ht="153.75" customHeight="1" x14ac:dyDescent="0.2"/>
    <row r="215" spans="2:4" x14ac:dyDescent="0.2">
      <c r="B215" s="134" t="s">
        <v>927</v>
      </c>
      <c r="C215" s="135"/>
      <c r="D215" s="134"/>
    </row>
    <row r="216" spans="2:4" x14ac:dyDescent="0.2">
      <c r="B216" s="134" t="s">
        <v>1067</v>
      </c>
      <c r="D216" s="134"/>
    </row>
    <row r="217" spans="2:4" ht="165" customHeight="1" x14ac:dyDescent="0.2"/>
    <row r="218" spans="2:4" ht="12.75" customHeight="1" x14ac:dyDescent="0.2"/>
    <row r="219" spans="2:4" ht="12.75" customHeight="1" x14ac:dyDescent="0.2"/>
    <row r="220" spans="2:4" ht="12.75" customHeight="1" x14ac:dyDescent="0.2"/>
    <row r="221" spans="2:4" ht="12.75" customHeight="1" x14ac:dyDescent="0.2"/>
    <row r="222" spans="2:4" ht="12.75" customHeight="1" x14ac:dyDescent="0.2"/>
    <row r="223" spans="2:4" ht="12.75" customHeight="1" x14ac:dyDescent="0.2"/>
    <row r="224" spans="2:4" ht="12.75" customHeight="1" x14ac:dyDescent="0.2"/>
    <row r="225" customFormat="1" x14ac:dyDescent="0.2"/>
    <row r="226" customFormat="1" x14ac:dyDescent="0.2"/>
  </sheetData>
  <mergeCells count="29">
    <mergeCell ref="B207:C207"/>
    <mergeCell ref="B208:D208"/>
    <mergeCell ref="B210:C210"/>
    <mergeCell ref="B202:C202"/>
    <mergeCell ref="B203:C203"/>
    <mergeCell ref="B204:C204"/>
    <mergeCell ref="B205:C205"/>
    <mergeCell ref="B206:C206"/>
    <mergeCell ref="B198:D198"/>
    <mergeCell ref="B200:C200"/>
    <mergeCell ref="B201:C201"/>
    <mergeCell ref="B199:C199"/>
    <mergeCell ref="B196:C196"/>
    <mergeCell ref="A1:H1"/>
    <mergeCell ref="A2:H2"/>
    <mergeCell ref="A3:H3"/>
    <mergeCell ref="B191:C191"/>
    <mergeCell ref="B195:C195"/>
    <mergeCell ref="B174:H174"/>
    <mergeCell ref="B175:H175"/>
    <mergeCell ref="B182:C182"/>
    <mergeCell ref="B183:C183"/>
    <mergeCell ref="B176:H176"/>
    <mergeCell ref="B177:H177"/>
    <mergeCell ref="B178:H178"/>
    <mergeCell ref="B180:D180"/>
    <mergeCell ref="B181:C181"/>
    <mergeCell ref="B193:C193"/>
    <mergeCell ref="B194:C194"/>
  </mergeCells>
  <hyperlinks>
    <hyperlink ref="I1" location="Index!B2" display="Index" xr:uid="{D74FB41F-23AA-4F93-B519-C062CDB79EF5}"/>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B4C40-C161-4930-81DC-14E7E0F255F4}">
  <sheetPr>
    <outlinePr summaryBelow="0" summaryRight="0"/>
  </sheetPr>
  <dimension ref="A1:Q134"/>
  <sheetViews>
    <sheetView showGridLines="0" workbookViewId="0">
      <selection activeCell="I65" sqref="I65"/>
    </sheetView>
  </sheetViews>
  <sheetFormatPr defaultRowHeight="12.75" x14ac:dyDescent="0.2"/>
  <cols>
    <col min="1" max="1" width="5.85546875" bestFit="1" customWidth="1"/>
    <col min="2" max="2" width="19.5703125" bestFit="1" customWidth="1"/>
    <col min="3" max="3" width="52.85546875" customWidth="1"/>
    <col min="4" max="4" width="17.4257812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729</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1050896</v>
      </c>
      <c r="F7" s="95">
        <v>10375.496208</v>
      </c>
      <c r="G7" s="96">
        <v>9.4616619999999999E-2</v>
      </c>
      <c r="H7" s="86" t="s">
        <v>142</v>
      </c>
    </row>
    <row r="8" spans="1:9" x14ac:dyDescent="0.2">
      <c r="A8" s="92">
        <v>2</v>
      </c>
      <c r="B8" s="93" t="s">
        <v>33</v>
      </c>
      <c r="C8" s="93" t="s">
        <v>34</v>
      </c>
      <c r="D8" s="93" t="s">
        <v>35</v>
      </c>
      <c r="E8" s="94">
        <v>535836</v>
      </c>
      <c r="F8" s="95">
        <v>7208.6017080000001</v>
      </c>
      <c r="G8" s="96">
        <v>6.5736959999999997E-2</v>
      </c>
      <c r="H8" s="86" t="s">
        <v>142</v>
      </c>
    </row>
    <row r="9" spans="1:9" x14ac:dyDescent="0.2">
      <c r="A9" s="92">
        <v>3</v>
      </c>
      <c r="B9" s="93" t="s">
        <v>11</v>
      </c>
      <c r="C9" s="93" t="s">
        <v>12</v>
      </c>
      <c r="D9" s="93" t="s">
        <v>13</v>
      </c>
      <c r="E9" s="94">
        <v>345000</v>
      </c>
      <c r="F9" s="95">
        <v>7088.0249999999996</v>
      </c>
      <c r="G9" s="96">
        <v>6.4637390000000003E-2</v>
      </c>
      <c r="H9" s="86" t="s">
        <v>142</v>
      </c>
    </row>
    <row r="10" spans="1:9" x14ac:dyDescent="0.2">
      <c r="A10" s="92">
        <v>4</v>
      </c>
      <c r="B10" s="93" t="s">
        <v>239</v>
      </c>
      <c r="C10" s="93" t="s">
        <v>240</v>
      </c>
      <c r="D10" s="93" t="s">
        <v>241</v>
      </c>
      <c r="E10" s="94">
        <v>167610</v>
      </c>
      <c r="F10" s="95">
        <v>5880.9320699999998</v>
      </c>
      <c r="G10" s="96">
        <v>5.3629620000000003E-2</v>
      </c>
      <c r="H10" s="86" t="s">
        <v>142</v>
      </c>
    </row>
    <row r="11" spans="1:9" x14ac:dyDescent="0.2">
      <c r="A11" s="92">
        <v>5</v>
      </c>
      <c r="B11" s="93" t="s">
        <v>324</v>
      </c>
      <c r="C11" s="93" t="s">
        <v>325</v>
      </c>
      <c r="D11" s="93" t="s">
        <v>35</v>
      </c>
      <c r="E11" s="94">
        <v>263757</v>
      </c>
      <c r="F11" s="95">
        <v>5544.699654</v>
      </c>
      <c r="G11" s="96">
        <v>5.0563440000000001E-2</v>
      </c>
      <c r="H11" s="86" t="s">
        <v>142</v>
      </c>
    </row>
    <row r="12" spans="1:9" x14ac:dyDescent="0.2">
      <c r="A12" s="92">
        <v>6</v>
      </c>
      <c r="B12" s="93" t="s">
        <v>97</v>
      </c>
      <c r="C12" s="93" t="s">
        <v>98</v>
      </c>
      <c r="D12" s="93" t="s">
        <v>38</v>
      </c>
      <c r="E12" s="94">
        <v>75675</v>
      </c>
      <c r="F12" s="95">
        <v>5055.09</v>
      </c>
      <c r="G12" s="96">
        <v>4.6098569999999998E-2</v>
      </c>
      <c r="H12" s="86" t="s">
        <v>142</v>
      </c>
    </row>
    <row r="13" spans="1:9" x14ac:dyDescent="0.2">
      <c r="A13" s="92">
        <v>7</v>
      </c>
      <c r="B13" s="93" t="s">
        <v>326</v>
      </c>
      <c r="C13" s="93" t="s">
        <v>327</v>
      </c>
      <c r="D13" s="93" t="s">
        <v>204</v>
      </c>
      <c r="E13" s="94">
        <v>319864</v>
      </c>
      <c r="F13" s="95">
        <v>4741.3440719999999</v>
      </c>
      <c r="G13" s="96">
        <v>4.3237449999999997E-2</v>
      </c>
      <c r="H13" s="86" t="s">
        <v>142</v>
      </c>
    </row>
    <row r="14" spans="1:9" x14ac:dyDescent="0.2">
      <c r="A14" s="92">
        <v>8</v>
      </c>
      <c r="B14" s="93" t="s">
        <v>31</v>
      </c>
      <c r="C14" s="93" t="s">
        <v>32</v>
      </c>
      <c r="D14" s="93" t="s">
        <v>19</v>
      </c>
      <c r="E14" s="94">
        <v>1281529</v>
      </c>
      <c r="F14" s="95">
        <v>4572.4954719999996</v>
      </c>
      <c r="G14" s="96">
        <v>4.1697680000000001E-2</v>
      </c>
      <c r="H14" s="86" t="s">
        <v>142</v>
      </c>
    </row>
    <row r="15" spans="1:9" x14ac:dyDescent="0.2">
      <c r="A15" s="92">
        <v>9</v>
      </c>
      <c r="B15" s="93" t="s">
        <v>730</v>
      </c>
      <c r="C15" s="93" t="s">
        <v>731</v>
      </c>
      <c r="D15" s="93" t="s">
        <v>58</v>
      </c>
      <c r="E15" s="94">
        <v>393192</v>
      </c>
      <c r="F15" s="95">
        <v>4014.8835119999999</v>
      </c>
      <c r="G15" s="96">
        <v>3.6612680000000002E-2</v>
      </c>
      <c r="H15" s="86" t="s">
        <v>142</v>
      </c>
    </row>
    <row r="16" spans="1:9" x14ac:dyDescent="0.2">
      <c r="A16" s="92">
        <v>10</v>
      </c>
      <c r="B16" s="93" t="s">
        <v>732</v>
      </c>
      <c r="C16" s="93" t="s">
        <v>733</v>
      </c>
      <c r="D16" s="93" t="s">
        <v>278</v>
      </c>
      <c r="E16" s="94">
        <v>95945</v>
      </c>
      <c r="F16" s="95">
        <v>3985.0755749999998</v>
      </c>
      <c r="G16" s="96">
        <v>3.6340850000000001E-2</v>
      </c>
      <c r="H16" s="86" t="s">
        <v>142</v>
      </c>
    </row>
    <row r="17" spans="1:8" x14ac:dyDescent="0.2">
      <c r="A17" s="92">
        <v>11</v>
      </c>
      <c r="B17" s="93" t="s">
        <v>428</v>
      </c>
      <c r="C17" s="93" t="s">
        <v>429</v>
      </c>
      <c r="D17" s="93" t="s">
        <v>272</v>
      </c>
      <c r="E17" s="94">
        <v>180000</v>
      </c>
      <c r="F17" s="95">
        <v>3520.26</v>
      </c>
      <c r="G17" s="96">
        <v>3.210209E-2</v>
      </c>
      <c r="H17" s="86" t="s">
        <v>142</v>
      </c>
    </row>
    <row r="18" spans="1:8" x14ac:dyDescent="0.2">
      <c r="A18" s="92">
        <v>12</v>
      </c>
      <c r="B18" s="93" t="s">
        <v>107</v>
      </c>
      <c r="C18" s="93" t="s">
        <v>108</v>
      </c>
      <c r="D18" s="93" t="s">
        <v>109</v>
      </c>
      <c r="E18" s="94">
        <v>44916</v>
      </c>
      <c r="F18" s="95">
        <v>3449.9979600000001</v>
      </c>
      <c r="G18" s="96">
        <v>3.1461349999999999E-2</v>
      </c>
      <c r="H18" s="86" t="s">
        <v>142</v>
      </c>
    </row>
    <row r="19" spans="1:8" x14ac:dyDescent="0.2">
      <c r="A19" s="92">
        <v>13</v>
      </c>
      <c r="B19" s="93" t="s">
        <v>59</v>
      </c>
      <c r="C19" s="93" t="s">
        <v>60</v>
      </c>
      <c r="D19" s="93" t="s">
        <v>61</v>
      </c>
      <c r="E19" s="94">
        <v>60260</v>
      </c>
      <c r="F19" s="95">
        <v>3389.625</v>
      </c>
      <c r="G19" s="96">
        <v>3.0910799999999999E-2</v>
      </c>
      <c r="H19" s="86" t="s">
        <v>142</v>
      </c>
    </row>
    <row r="20" spans="1:8" ht="25.5" x14ac:dyDescent="0.2">
      <c r="A20" s="92">
        <v>14</v>
      </c>
      <c r="B20" s="93" t="s">
        <v>289</v>
      </c>
      <c r="C20" s="93" t="s">
        <v>290</v>
      </c>
      <c r="D20" s="93" t="s">
        <v>191</v>
      </c>
      <c r="E20" s="94">
        <v>92223</v>
      </c>
      <c r="F20" s="95">
        <v>3299.185602</v>
      </c>
      <c r="G20" s="96">
        <v>3.0086060000000001E-2</v>
      </c>
      <c r="H20" s="86" t="s">
        <v>142</v>
      </c>
    </row>
    <row r="21" spans="1:8" x14ac:dyDescent="0.2">
      <c r="A21" s="92">
        <v>15</v>
      </c>
      <c r="B21" s="93" t="s">
        <v>518</v>
      </c>
      <c r="C21" s="93" t="s">
        <v>519</v>
      </c>
      <c r="D21" s="93" t="s">
        <v>204</v>
      </c>
      <c r="E21" s="94">
        <v>225000</v>
      </c>
      <c r="F21" s="95">
        <v>3204.9</v>
      </c>
      <c r="G21" s="96">
        <v>2.9226249999999999E-2</v>
      </c>
      <c r="H21" s="86" t="s">
        <v>142</v>
      </c>
    </row>
    <row r="22" spans="1:8" x14ac:dyDescent="0.2">
      <c r="A22" s="92">
        <v>16</v>
      </c>
      <c r="B22" s="93" t="s">
        <v>112</v>
      </c>
      <c r="C22" s="93" t="s">
        <v>113</v>
      </c>
      <c r="D22" s="93" t="s">
        <v>43</v>
      </c>
      <c r="E22" s="94">
        <v>592632</v>
      </c>
      <c r="F22" s="95">
        <v>3172.3590960000001</v>
      </c>
      <c r="G22" s="96">
        <v>2.89295E-2</v>
      </c>
      <c r="H22" s="86" t="s">
        <v>142</v>
      </c>
    </row>
    <row r="23" spans="1:8" ht="25.5" x14ac:dyDescent="0.2">
      <c r="A23" s="92">
        <v>17</v>
      </c>
      <c r="B23" s="93" t="s">
        <v>434</v>
      </c>
      <c r="C23" s="93" t="s">
        <v>435</v>
      </c>
      <c r="D23" s="93" t="s">
        <v>207</v>
      </c>
      <c r="E23" s="94">
        <v>244574</v>
      </c>
      <c r="F23" s="95">
        <v>2849.2871</v>
      </c>
      <c r="G23" s="96">
        <v>2.5983329999999999E-2</v>
      </c>
      <c r="H23" s="86" t="s">
        <v>142</v>
      </c>
    </row>
    <row r="24" spans="1:8" x14ac:dyDescent="0.2">
      <c r="A24" s="92">
        <v>18</v>
      </c>
      <c r="B24" s="93" t="s">
        <v>464</v>
      </c>
      <c r="C24" s="93" t="s">
        <v>465</v>
      </c>
      <c r="D24" s="93" t="s">
        <v>278</v>
      </c>
      <c r="E24" s="94">
        <v>201908</v>
      </c>
      <c r="F24" s="95">
        <v>2782.8979639999998</v>
      </c>
      <c r="G24" s="96">
        <v>2.537791E-2</v>
      </c>
      <c r="H24" s="86" t="s">
        <v>142</v>
      </c>
    </row>
    <row r="25" spans="1:8" x14ac:dyDescent="0.2">
      <c r="A25" s="92">
        <v>19</v>
      </c>
      <c r="B25" s="93" t="s">
        <v>46</v>
      </c>
      <c r="C25" s="93" t="s">
        <v>47</v>
      </c>
      <c r="D25" s="93" t="s">
        <v>48</v>
      </c>
      <c r="E25" s="94">
        <v>34296</v>
      </c>
      <c r="F25" s="95">
        <v>2756.1980400000002</v>
      </c>
      <c r="G25" s="96">
        <v>2.5134429999999999E-2</v>
      </c>
      <c r="H25" s="86" t="s">
        <v>142</v>
      </c>
    </row>
    <row r="26" spans="1:8" x14ac:dyDescent="0.2">
      <c r="A26" s="92">
        <v>20</v>
      </c>
      <c r="B26" s="93" t="s">
        <v>734</v>
      </c>
      <c r="C26" s="93" t="s">
        <v>735</v>
      </c>
      <c r="D26" s="93" t="s">
        <v>35</v>
      </c>
      <c r="E26" s="94">
        <v>1155130</v>
      </c>
      <c r="F26" s="95">
        <v>2641.4357709999999</v>
      </c>
      <c r="G26" s="96">
        <v>2.4087879999999999E-2</v>
      </c>
      <c r="H26" s="86" t="s">
        <v>142</v>
      </c>
    </row>
    <row r="27" spans="1:8" x14ac:dyDescent="0.2">
      <c r="A27" s="92">
        <v>21</v>
      </c>
      <c r="B27" s="93" t="s">
        <v>736</v>
      </c>
      <c r="C27" s="93" t="s">
        <v>737</v>
      </c>
      <c r="D27" s="93" t="s">
        <v>272</v>
      </c>
      <c r="E27" s="94">
        <v>621851</v>
      </c>
      <c r="F27" s="95">
        <v>2230.2686115000001</v>
      </c>
      <c r="G27" s="96">
        <v>2.0338350000000002E-2</v>
      </c>
      <c r="H27" s="86" t="s">
        <v>142</v>
      </c>
    </row>
    <row r="28" spans="1:8" x14ac:dyDescent="0.2">
      <c r="A28" s="92">
        <v>22</v>
      </c>
      <c r="B28" s="93" t="s">
        <v>248</v>
      </c>
      <c r="C28" s="93" t="s">
        <v>249</v>
      </c>
      <c r="D28" s="93" t="s">
        <v>250</v>
      </c>
      <c r="E28" s="94">
        <v>98689</v>
      </c>
      <c r="F28" s="95">
        <v>2213.5942700000001</v>
      </c>
      <c r="G28" s="96">
        <v>2.0186289999999999E-2</v>
      </c>
      <c r="H28" s="86" t="s">
        <v>142</v>
      </c>
    </row>
    <row r="29" spans="1:8" x14ac:dyDescent="0.2">
      <c r="A29" s="92">
        <v>23</v>
      </c>
      <c r="B29" s="93" t="s">
        <v>738</v>
      </c>
      <c r="C29" s="93" t="s">
        <v>739</v>
      </c>
      <c r="D29" s="93" t="s">
        <v>278</v>
      </c>
      <c r="E29" s="94">
        <v>46886</v>
      </c>
      <c r="F29" s="95">
        <v>2200.9694979999999</v>
      </c>
      <c r="G29" s="96">
        <v>2.0071169999999999E-2</v>
      </c>
      <c r="H29" s="86" t="s">
        <v>142</v>
      </c>
    </row>
    <row r="30" spans="1:8" x14ac:dyDescent="0.2">
      <c r="A30" s="92">
        <v>24</v>
      </c>
      <c r="B30" s="93" t="s">
        <v>740</v>
      </c>
      <c r="C30" s="93" t="s">
        <v>741</v>
      </c>
      <c r="D30" s="93" t="s">
        <v>16</v>
      </c>
      <c r="E30" s="94">
        <v>246480</v>
      </c>
      <c r="F30" s="95">
        <v>2015.5902000000001</v>
      </c>
      <c r="G30" s="96">
        <v>1.8380649999999998E-2</v>
      </c>
      <c r="H30" s="86" t="s">
        <v>142</v>
      </c>
    </row>
    <row r="31" spans="1:8" x14ac:dyDescent="0.2">
      <c r="A31" s="92">
        <v>25</v>
      </c>
      <c r="B31" s="93" t="s">
        <v>510</v>
      </c>
      <c r="C31" s="93" t="s">
        <v>511</v>
      </c>
      <c r="D31" s="93" t="s">
        <v>241</v>
      </c>
      <c r="E31" s="94">
        <v>22619</v>
      </c>
      <c r="F31" s="95">
        <v>2011.394575</v>
      </c>
      <c r="G31" s="96">
        <v>1.834239E-2</v>
      </c>
      <c r="H31" s="86" t="s">
        <v>142</v>
      </c>
    </row>
    <row r="32" spans="1:8" ht="25.5" x14ac:dyDescent="0.2">
      <c r="A32" s="92">
        <v>26</v>
      </c>
      <c r="B32" s="93" t="s">
        <v>742</v>
      </c>
      <c r="C32" s="93" t="s">
        <v>743</v>
      </c>
      <c r="D32" s="93" t="s">
        <v>225</v>
      </c>
      <c r="E32" s="94">
        <v>167892</v>
      </c>
      <c r="F32" s="95">
        <v>2010.6745920000001</v>
      </c>
      <c r="G32" s="96">
        <v>1.8335819999999999E-2</v>
      </c>
      <c r="H32" s="86" t="s">
        <v>142</v>
      </c>
    </row>
    <row r="33" spans="1:8" x14ac:dyDescent="0.2">
      <c r="A33" s="92">
        <v>27</v>
      </c>
      <c r="B33" s="93" t="s">
        <v>423</v>
      </c>
      <c r="C33" s="93" t="s">
        <v>424</v>
      </c>
      <c r="D33" s="93" t="s">
        <v>204</v>
      </c>
      <c r="E33" s="94">
        <v>101625</v>
      </c>
      <c r="F33" s="95">
        <v>1566.5493750000001</v>
      </c>
      <c r="G33" s="96">
        <v>1.428574E-2</v>
      </c>
      <c r="H33" s="86" t="s">
        <v>142</v>
      </c>
    </row>
    <row r="34" spans="1:8" x14ac:dyDescent="0.2">
      <c r="A34" s="92">
        <v>28</v>
      </c>
      <c r="B34" s="93" t="s">
        <v>744</v>
      </c>
      <c r="C34" s="93" t="s">
        <v>745</v>
      </c>
      <c r="D34" s="93" t="s">
        <v>186</v>
      </c>
      <c r="E34" s="94">
        <v>14835</v>
      </c>
      <c r="F34" s="95">
        <v>244.7775</v>
      </c>
      <c r="G34" s="96">
        <v>2.2321799999999998E-3</v>
      </c>
      <c r="H34" s="86" t="s">
        <v>142</v>
      </c>
    </row>
    <row r="35" spans="1:8" x14ac:dyDescent="0.2">
      <c r="A35" s="97"/>
      <c r="B35" s="97"/>
      <c r="C35" s="98" t="s">
        <v>141</v>
      </c>
      <c r="D35" s="97"/>
      <c r="E35" s="97" t="s">
        <v>142</v>
      </c>
      <c r="F35" s="99">
        <v>104026.6084255</v>
      </c>
      <c r="G35" s="100">
        <v>0.94864345000000005</v>
      </c>
      <c r="H35" s="86" t="s">
        <v>142</v>
      </c>
    </row>
    <row r="36" spans="1:8" x14ac:dyDescent="0.2">
      <c r="A36" s="97"/>
      <c r="B36" s="97"/>
      <c r="C36" s="101"/>
      <c r="D36" s="97"/>
      <c r="E36" s="97"/>
      <c r="F36" s="102"/>
      <c r="G36" s="102"/>
      <c r="H36" s="86" t="s">
        <v>142</v>
      </c>
    </row>
    <row r="37" spans="1:8" x14ac:dyDescent="0.2">
      <c r="A37" s="97"/>
      <c r="B37" s="97"/>
      <c r="C37" s="98" t="s">
        <v>143</v>
      </c>
      <c r="D37" s="97"/>
      <c r="E37" s="97"/>
      <c r="F37" s="97"/>
      <c r="G37" s="97"/>
      <c r="H37" s="86" t="s">
        <v>142</v>
      </c>
    </row>
    <row r="38" spans="1:8" x14ac:dyDescent="0.2">
      <c r="A38" s="97"/>
      <c r="B38" s="97"/>
      <c r="C38" s="98" t="s">
        <v>141</v>
      </c>
      <c r="D38" s="97"/>
      <c r="E38" s="97" t="s">
        <v>142</v>
      </c>
      <c r="F38" s="103" t="s">
        <v>144</v>
      </c>
      <c r="G38" s="100">
        <v>0</v>
      </c>
      <c r="H38" s="86" t="s">
        <v>142</v>
      </c>
    </row>
    <row r="39" spans="1:8" x14ac:dyDescent="0.2">
      <c r="A39" s="97"/>
      <c r="B39" s="97"/>
      <c r="C39" s="101"/>
      <c r="D39" s="97"/>
      <c r="E39" s="97"/>
      <c r="F39" s="102"/>
      <c r="G39" s="102"/>
      <c r="H39" s="86" t="s">
        <v>142</v>
      </c>
    </row>
    <row r="40" spans="1:8" x14ac:dyDescent="0.2">
      <c r="A40" s="97"/>
      <c r="B40" s="97"/>
      <c r="C40" s="98" t="s">
        <v>145</v>
      </c>
      <c r="D40" s="97"/>
      <c r="E40" s="97"/>
      <c r="F40" s="97"/>
      <c r="G40" s="97"/>
      <c r="H40" s="86" t="s">
        <v>142</v>
      </c>
    </row>
    <row r="41" spans="1:8" x14ac:dyDescent="0.2">
      <c r="A41" s="97"/>
      <c r="B41" s="97"/>
      <c r="C41" s="98" t="s">
        <v>141</v>
      </c>
      <c r="D41" s="97"/>
      <c r="E41" s="97" t="s">
        <v>142</v>
      </c>
      <c r="F41" s="103" t="s">
        <v>144</v>
      </c>
      <c r="G41" s="100">
        <v>0</v>
      </c>
      <c r="H41" s="86" t="s">
        <v>142</v>
      </c>
    </row>
    <row r="42" spans="1:8" x14ac:dyDescent="0.2">
      <c r="A42" s="97"/>
      <c r="B42" s="97"/>
      <c r="C42" s="101"/>
      <c r="D42" s="97"/>
      <c r="E42" s="97"/>
      <c r="F42" s="102"/>
      <c r="G42" s="102"/>
      <c r="H42" s="86" t="s">
        <v>142</v>
      </c>
    </row>
    <row r="43" spans="1:8" x14ac:dyDescent="0.2">
      <c r="A43" s="97"/>
      <c r="B43" s="97"/>
      <c r="C43" s="98" t="s">
        <v>146</v>
      </c>
      <c r="D43" s="97"/>
      <c r="E43" s="97"/>
      <c r="F43" s="97"/>
      <c r="G43" s="97"/>
      <c r="H43" s="86" t="s">
        <v>142</v>
      </c>
    </row>
    <row r="44" spans="1:8" x14ac:dyDescent="0.2">
      <c r="A44" s="97"/>
      <c r="B44" s="97"/>
      <c r="C44" s="98" t="s">
        <v>141</v>
      </c>
      <c r="D44" s="97"/>
      <c r="E44" s="97" t="s">
        <v>142</v>
      </c>
      <c r="F44" s="103" t="s">
        <v>144</v>
      </c>
      <c r="G44" s="100">
        <v>0</v>
      </c>
      <c r="H44" s="86" t="s">
        <v>142</v>
      </c>
    </row>
    <row r="45" spans="1:8" x14ac:dyDescent="0.2">
      <c r="A45" s="97"/>
      <c r="B45" s="97"/>
      <c r="C45" s="101"/>
      <c r="D45" s="97"/>
      <c r="E45" s="97"/>
      <c r="F45" s="102"/>
      <c r="G45" s="102"/>
      <c r="H45" s="86" t="s">
        <v>142</v>
      </c>
    </row>
    <row r="46" spans="1:8" x14ac:dyDescent="0.2">
      <c r="A46" s="97"/>
      <c r="B46" s="97"/>
      <c r="C46" s="98" t="s">
        <v>147</v>
      </c>
      <c r="D46" s="97"/>
      <c r="E46" s="97"/>
      <c r="F46" s="102"/>
      <c r="G46" s="102"/>
      <c r="H46" s="86" t="s">
        <v>142</v>
      </c>
    </row>
    <row r="47" spans="1:8" x14ac:dyDescent="0.2">
      <c r="A47" s="97"/>
      <c r="B47" s="97"/>
      <c r="C47" s="98" t="s">
        <v>141</v>
      </c>
      <c r="D47" s="97"/>
      <c r="E47" s="97" t="s">
        <v>142</v>
      </c>
      <c r="F47" s="103" t="s">
        <v>144</v>
      </c>
      <c r="G47" s="100">
        <v>0</v>
      </c>
      <c r="H47" s="86" t="s">
        <v>142</v>
      </c>
    </row>
    <row r="48" spans="1:8" x14ac:dyDescent="0.2">
      <c r="A48" s="97"/>
      <c r="B48" s="97"/>
      <c r="C48" s="101"/>
      <c r="D48" s="97"/>
      <c r="E48" s="97"/>
      <c r="F48" s="102"/>
      <c r="G48" s="102"/>
      <c r="H48" s="86" t="s">
        <v>142</v>
      </c>
    </row>
    <row r="49" spans="1:8" x14ac:dyDescent="0.2">
      <c r="A49" s="97"/>
      <c r="B49" s="97"/>
      <c r="C49" s="98" t="s">
        <v>148</v>
      </c>
      <c r="D49" s="97"/>
      <c r="E49" s="97"/>
      <c r="F49" s="102"/>
      <c r="G49" s="102"/>
      <c r="H49" s="86" t="s">
        <v>142</v>
      </c>
    </row>
    <row r="50" spans="1:8" x14ac:dyDescent="0.2">
      <c r="A50" s="97"/>
      <c r="B50" s="97"/>
      <c r="C50" s="98" t="s">
        <v>141</v>
      </c>
      <c r="D50" s="97"/>
      <c r="E50" s="97" t="s">
        <v>142</v>
      </c>
      <c r="F50" s="103" t="s">
        <v>144</v>
      </c>
      <c r="G50" s="100">
        <v>0</v>
      </c>
      <c r="H50" s="86" t="s">
        <v>142</v>
      </c>
    </row>
    <row r="51" spans="1:8" x14ac:dyDescent="0.2">
      <c r="A51" s="97"/>
      <c r="B51" s="97"/>
      <c r="C51" s="101"/>
      <c r="D51" s="97"/>
      <c r="E51" s="97"/>
      <c r="F51" s="102"/>
      <c r="G51" s="102"/>
      <c r="H51" s="86" t="s">
        <v>142</v>
      </c>
    </row>
    <row r="52" spans="1:8" x14ac:dyDescent="0.2">
      <c r="A52" s="97"/>
      <c r="B52" s="97"/>
      <c r="C52" s="98" t="s">
        <v>149</v>
      </c>
      <c r="D52" s="97"/>
      <c r="E52" s="97"/>
      <c r="F52" s="99">
        <f>F35</f>
        <v>104026.6084255</v>
      </c>
      <c r="G52" s="100">
        <f>G35</f>
        <v>0.94864345000000005</v>
      </c>
      <c r="H52" s="86" t="s">
        <v>142</v>
      </c>
    </row>
    <row r="53" spans="1:8" x14ac:dyDescent="0.2">
      <c r="A53" s="97"/>
      <c r="B53" s="97"/>
      <c r="C53" s="101"/>
      <c r="D53" s="97"/>
      <c r="E53" s="97"/>
      <c r="F53" s="102"/>
      <c r="G53" s="102"/>
      <c r="H53" s="86" t="s">
        <v>142</v>
      </c>
    </row>
    <row r="54" spans="1:8" x14ac:dyDescent="0.2">
      <c r="A54" s="97"/>
      <c r="B54" s="97"/>
      <c r="C54" s="98" t="s">
        <v>150</v>
      </c>
      <c r="D54" s="97"/>
      <c r="E54" s="97"/>
      <c r="F54" s="102"/>
      <c r="G54" s="102"/>
      <c r="H54" s="86" t="s">
        <v>142</v>
      </c>
    </row>
    <row r="55" spans="1:8" x14ac:dyDescent="0.2">
      <c r="A55" s="97"/>
      <c r="B55" s="97"/>
      <c r="C55" s="98" t="s">
        <v>10</v>
      </c>
      <c r="D55" s="97"/>
      <c r="E55" s="97"/>
      <c r="F55" s="102"/>
      <c r="G55" s="102"/>
      <c r="H55" s="86" t="s">
        <v>142</v>
      </c>
    </row>
    <row r="56" spans="1:8" x14ac:dyDescent="0.2">
      <c r="A56" s="97"/>
      <c r="B56" s="97"/>
      <c r="C56" s="98" t="s">
        <v>141</v>
      </c>
      <c r="D56" s="97"/>
      <c r="E56" s="97" t="s">
        <v>142</v>
      </c>
      <c r="F56" s="103" t="s">
        <v>144</v>
      </c>
      <c r="G56" s="100">
        <v>0</v>
      </c>
      <c r="H56" s="86" t="s">
        <v>142</v>
      </c>
    </row>
    <row r="57" spans="1:8" x14ac:dyDescent="0.2">
      <c r="A57" s="97"/>
      <c r="B57" s="97"/>
      <c r="C57" s="101"/>
      <c r="D57" s="97"/>
      <c r="E57" s="97"/>
      <c r="F57" s="102"/>
      <c r="G57" s="102"/>
      <c r="H57" s="86" t="s">
        <v>142</v>
      </c>
    </row>
    <row r="58" spans="1:8" x14ac:dyDescent="0.2">
      <c r="A58" s="97"/>
      <c r="B58" s="97"/>
      <c r="C58" s="98" t="s">
        <v>151</v>
      </c>
      <c r="D58" s="97"/>
      <c r="E58" s="97"/>
      <c r="F58" s="97"/>
      <c r="G58" s="97"/>
      <c r="H58" s="86" t="s">
        <v>142</v>
      </c>
    </row>
    <row r="59" spans="1:8" x14ac:dyDescent="0.2">
      <c r="A59" s="97"/>
      <c r="B59" s="97"/>
      <c r="C59" s="98" t="s">
        <v>141</v>
      </c>
      <c r="D59" s="97"/>
      <c r="E59" s="97" t="s">
        <v>142</v>
      </c>
      <c r="F59" s="103" t="s">
        <v>144</v>
      </c>
      <c r="G59" s="100">
        <v>0</v>
      </c>
      <c r="H59" s="86" t="s">
        <v>142</v>
      </c>
    </row>
    <row r="60" spans="1:8" x14ac:dyDescent="0.2">
      <c r="A60" s="97"/>
      <c r="B60" s="97"/>
      <c r="C60" s="101"/>
      <c r="D60" s="97"/>
      <c r="E60" s="97"/>
      <c r="F60" s="102"/>
      <c r="G60" s="102"/>
      <c r="H60" s="86" t="s">
        <v>142</v>
      </c>
    </row>
    <row r="61" spans="1:8" x14ac:dyDescent="0.2">
      <c r="A61" s="97"/>
      <c r="B61" s="97"/>
      <c r="C61" s="98" t="s">
        <v>152</v>
      </c>
      <c r="D61" s="97"/>
      <c r="E61" s="97"/>
      <c r="F61" s="97"/>
      <c r="G61" s="97"/>
      <c r="H61" s="86" t="s">
        <v>142</v>
      </c>
    </row>
    <row r="62" spans="1:8" x14ac:dyDescent="0.2">
      <c r="A62" s="97"/>
      <c r="B62" s="97"/>
      <c r="C62" s="98" t="s">
        <v>141</v>
      </c>
      <c r="D62" s="97"/>
      <c r="E62" s="97" t="s">
        <v>142</v>
      </c>
      <c r="F62" s="103" t="s">
        <v>144</v>
      </c>
      <c r="G62" s="100">
        <v>0</v>
      </c>
      <c r="H62" s="86" t="s">
        <v>142</v>
      </c>
    </row>
    <row r="63" spans="1:8" x14ac:dyDescent="0.2">
      <c r="A63" s="97"/>
      <c r="B63" s="97"/>
      <c r="C63" s="101"/>
      <c r="D63" s="97"/>
      <c r="E63" s="97"/>
      <c r="F63" s="102"/>
      <c r="G63" s="102"/>
      <c r="H63" s="86" t="s">
        <v>142</v>
      </c>
    </row>
    <row r="64" spans="1:8" x14ac:dyDescent="0.2">
      <c r="A64" s="97"/>
      <c r="B64" s="97"/>
      <c r="C64" s="98" t="s">
        <v>153</v>
      </c>
      <c r="D64" s="97"/>
      <c r="E64" s="97"/>
      <c r="F64" s="102"/>
      <c r="G64" s="102"/>
      <c r="H64" s="86" t="s">
        <v>142</v>
      </c>
    </row>
    <row r="65" spans="1:8" x14ac:dyDescent="0.2">
      <c r="A65" s="97"/>
      <c r="B65" s="97"/>
      <c r="C65" s="98" t="s">
        <v>141</v>
      </c>
      <c r="D65" s="97"/>
      <c r="E65" s="97" t="s">
        <v>142</v>
      </c>
      <c r="F65" s="103" t="s">
        <v>144</v>
      </c>
      <c r="G65" s="100">
        <v>0</v>
      </c>
      <c r="H65" s="86" t="s">
        <v>142</v>
      </c>
    </row>
    <row r="66" spans="1:8" ht="12.75" customHeight="1" x14ac:dyDescent="0.2">
      <c r="A66" s="84"/>
      <c r="B66" s="84"/>
      <c r="C66" s="85"/>
      <c r="D66" s="84"/>
      <c r="E66" s="84"/>
      <c r="F66" s="149"/>
      <c r="G66" s="139"/>
      <c r="H66" s="86" t="s">
        <v>142</v>
      </c>
    </row>
    <row r="67" spans="1:8" ht="12.75" customHeight="1" x14ac:dyDescent="0.2">
      <c r="A67" s="84"/>
      <c r="B67" s="84"/>
      <c r="C67" s="85" t="s">
        <v>929</v>
      </c>
      <c r="D67" s="84"/>
      <c r="E67" s="84"/>
      <c r="F67" s="84"/>
      <c r="G67" s="84"/>
      <c r="H67" s="86" t="s">
        <v>142</v>
      </c>
    </row>
    <row r="68" spans="1:8" ht="12.75" customHeight="1" x14ac:dyDescent="0.2">
      <c r="A68" s="87">
        <v>1</v>
      </c>
      <c r="B68" s="88" t="s">
        <v>317</v>
      </c>
      <c r="C68" s="88" t="s">
        <v>930</v>
      </c>
      <c r="D68" s="88" t="s">
        <v>241</v>
      </c>
      <c r="E68" s="89">
        <v>670440</v>
      </c>
      <c r="F68" s="90">
        <v>67.657452599999999</v>
      </c>
      <c r="G68" s="91">
        <f>F68/F101</f>
        <v>6.1698442462226433E-4</v>
      </c>
      <c r="H68" s="86" t="s">
        <v>142</v>
      </c>
    </row>
    <row r="69" spans="1:8" ht="12.75" customHeight="1" x14ac:dyDescent="0.2">
      <c r="A69" s="84"/>
      <c r="B69" s="84"/>
      <c r="C69" s="85" t="s">
        <v>141</v>
      </c>
      <c r="D69" s="84"/>
      <c r="E69" s="84" t="s">
        <v>142</v>
      </c>
      <c r="F69" s="138">
        <f>F68</f>
        <v>67.657452599999999</v>
      </c>
      <c r="G69" s="139">
        <f>G68</f>
        <v>6.1698442462226433E-4</v>
      </c>
      <c r="H69" s="86" t="s">
        <v>142</v>
      </c>
    </row>
    <row r="70" spans="1:8" x14ac:dyDescent="0.2">
      <c r="A70" s="97"/>
      <c r="B70" s="97"/>
      <c r="C70" s="101"/>
      <c r="D70" s="97"/>
      <c r="E70" s="97"/>
      <c r="F70" s="102"/>
      <c r="G70" s="102"/>
      <c r="H70" s="86" t="s">
        <v>142</v>
      </c>
    </row>
    <row r="71" spans="1:8" x14ac:dyDescent="0.2">
      <c r="A71" s="97"/>
      <c r="B71" s="97"/>
      <c r="C71" s="98" t="s">
        <v>154</v>
      </c>
      <c r="D71" s="97"/>
      <c r="E71" s="97"/>
      <c r="F71" s="99">
        <v>0</v>
      </c>
      <c r="G71" s="100">
        <v>0</v>
      </c>
      <c r="H71" s="86" t="s">
        <v>142</v>
      </c>
    </row>
    <row r="72" spans="1:8" x14ac:dyDescent="0.2">
      <c r="A72" s="97"/>
      <c r="B72" s="97"/>
      <c r="C72" s="101"/>
      <c r="D72" s="97"/>
      <c r="E72" s="97"/>
      <c r="F72" s="102"/>
      <c r="G72" s="102"/>
      <c r="H72" s="86" t="s">
        <v>142</v>
      </c>
    </row>
    <row r="73" spans="1:8" x14ac:dyDescent="0.2">
      <c r="A73" s="97"/>
      <c r="B73" s="97"/>
      <c r="C73" s="98" t="s">
        <v>155</v>
      </c>
      <c r="D73" s="97"/>
      <c r="E73" s="97"/>
      <c r="F73" s="102"/>
      <c r="G73" s="102"/>
      <c r="H73" s="86" t="s">
        <v>142</v>
      </c>
    </row>
    <row r="74" spans="1:8" x14ac:dyDescent="0.2">
      <c r="A74" s="97"/>
      <c r="B74" s="97"/>
      <c r="C74" s="98" t="s">
        <v>156</v>
      </c>
      <c r="D74" s="97"/>
      <c r="E74" s="97"/>
      <c r="F74" s="102"/>
      <c r="G74" s="102"/>
      <c r="H74" s="86" t="s">
        <v>142</v>
      </c>
    </row>
    <row r="75" spans="1:8" x14ac:dyDescent="0.2">
      <c r="A75" s="97"/>
      <c r="B75" s="97"/>
      <c r="C75" s="98" t="s">
        <v>141</v>
      </c>
      <c r="D75" s="97"/>
      <c r="E75" s="97" t="s">
        <v>142</v>
      </c>
      <c r="F75" s="103" t="s">
        <v>144</v>
      </c>
      <c r="G75" s="100">
        <v>0</v>
      </c>
      <c r="H75" s="86" t="s">
        <v>142</v>
      </c>
    </row>
    <row r="76" spans="1:8" x14ac:dyDescent="0.2">
      <c r="A76" s="97"/>
      <c r="B76" s="97"/>
      <c r="C76" s="101"/>
      <c r="D76" s="97"/>
      <c r="E76" s="97"/>
      <c r="F76" s="102"/>
      <c r="G76" s="102"/>
      <c r="H76" s="86" t="s">
        <v>142</v>
      </c>
    </row>
    <row r="77" spans="1:8" x14ac:dyDescent="0.2">
      <c r="A77" s="97"/>
      <c r="B77" s="97"/>
      <c r="C77" s="98" t="s">
        <v>157</v>
      </c>
      <c r="D77" s="97"/>
      <c r="E77" s="97"/>
      <c r="F77" s="102"/>
      <c r="G77" s="102"/>
      <c r="H77" s="86" t="s">
        <v>142</v>
      </c>
    </row>
    <row r="78" spans="1:8" x14ac:dyDescent="0.2">
      <c r="A78" s="97"/>
      <c r="B78" s="97"/>
      <c r="C78" s="98" t="s">
        <v>141</v>
      </c>
      <c r="D78" s="97"/>
      <c r="E78" s="97" t="s">
        <v>142</v>
      </c>
      <c r="F78" s="103" t="s">
        <v>144</v>
      </c>
      <c r="G78" s="100">
        <v>0</v>
      </c>
      <c r="H78" s="86" t="s">
        <v>142</v>
      </c>
    </row>
    <row r="79" spans="1:8" x14ac:dyDescent="0.2">
      <c r="A79" s="97"/>
      <c r="B79" s="97"/>
      <c r="C79" s="101"/>
      <c r="D79" s="97"/>
      <c r="E79" s="97"/>
      <c r="F79" s="102"/>
      <c r="G79" s="102"/>
      <c r="H79" s="86" t="s">
        <v>142</v>
      </c>
    </row>
    <row r="80" spans="1:8" x14ac:dyDescent="0.2">
      <c r="A80" s="97"/>
      <c r="B80" s="97"/>
      <c r="C80" s="98" t="s">
        <v>158</v>
      </c>
      <c r="D80" s="97"/>
      <c r="E80" s="97"/>
      <c r="F80" s="102"/>
      <c r="G80" s="102"/>
      <c r="H80" s="86" t="s">
        <v>142</v>
      </c>
    </row>
    <row r="81" spans="1:8" x14ac:dyDescent="0.2">
      <c r="A81" s="97"/>
      <c r="B81" s="97"/>
      <c r="C81" s="98" t="s">
        <v>141</v>
      </c>
      <c r="D81" s="97"/>
      <c r="E81" s="97" t="s">
        <v>142</v>
      </c>
      <c r="F81" s="103" t="s">
        <v>144</v>
      </c>
      <c r="G81" s="100">
        <v>0</v>
      </c>
      <c r="H81" s="86" t="s">
        <v>142</v>
      </c>
    </row>
    <row r="82" spans="1:8" x14ac:dyDescent="0.2">
      <c r="A82" s="97"/>
      <c r="B82" s="97"/>
      <c r="C82" s="101"/>
      <c r="D82" s="97"/>
      <c r="E82" s="97"/>
      <c r="F82" s="102"/>
      <c r="G82" s="102"/>
      <c r="H82" s="86" t="s">
        <v>142</v>
      </c>
    </row>
    <row r="83" spans="1:8" x14ac:dyDescent="0.2">
      <c r="A83" s="97"/>
      <c r="B83" s="97"/>
      <c r="C83" s="98" t="s">
        <v>159</v>
      </c>
      <c r="D83" s="97"/>
      <c r="E83" s="97"/>
      <c r="F83" s="102"/>
      <c r="G83" s="102"/>
      <c r="H83" s="86" t="s">
        <v>142</v>
      </c>
    </row>
    <row r="84" spans="1:8" x14ac:dyDescent="0.2">
      <c r="A84" s="92">
        <v>1</v>
      </c>
      <c r="B84" s="93"/>
      <c r="C84" s="93" t="s">
        <v>160</v>
      </c>
      <c r="D84" s="93"/>
      <c r="E84" s="104"/>
      <c r="F84" s="95">
        <v>4707.1814143780002</v>
      </c>
      <c r="G84" s="96">
        <v>4.2925909999999998E-2</v>
      </c>
      <c r="H84" s="86">
        <v>5.57</v>
      </c>
    </row>
    <row r="85" spans="1:8" x14ac:dyDescent="0.2">
      <c r="A85" s="97"/>
      <c r="B85" s="97"/>
      <c r="C85" s="98" t="s">
        <v>141</v>
      </c>
      <c r="D85" s="97"/>
      <c r="E85" s="97" t="s">
        <v>142</v>
      </c>
      <c r="F85" s="99">
        <v>4707.1814143780002</v>
      </c>
      <c r="G85" s="100">
        <v>4.2925909999999998E-2</v>
      </c>
      <c r="H85" s="86" t="s">
        <v>142</v>
      </c>
    </row>
    <row r="86" spans="1:8" x14ac:dyDescent="0.2">
      <c r="A86" s="97"/>
      <c r="B86" s="97"/>
      <c r="C86" s="101"/>
      <c r="D86" s="97"/>
      <c r="E86" s="97"/>
      <c r="F86" s="102"/>
      <c r="G86" s="102"/>
      <c r="H86" s="86" t="s">
        <v>142</v>
      </c>
    </row>
    <row r="87" spans="1:8" x14ac:dyDescent="0.2">
      <c r="A87" s="97"/>
      <c r="B87" s="97"/>
      <c r="C87" s="98" t="s">
        <v>161</v>
      </c>
      <c r="D87" s="97"/>
      <c r="E87" s="97"/>
      <c r="F87" s="99">
        <v>4707.1814143780002</v>
      </c>
      <c r="G87" s="100">
        <v>4.2925909999999998E-2</v>
      </c>
      <c r="H87" s="86" t="s">
        <v>142</v>
      </c>
    </row>
    <row r="88" spans="1:8" x14ac:dyDescent="0.2">
      <c r="A88" s="97"/>
      <c r="B88" s="97"/>
      <c r="C88" s="102"/>
      <c r="D88" s="97"/>
      <c r="E88" s="97"/>
      <c r="F88" s="97"/>
      <c r="G88" s="97"/>
      <c r="H88" s="86" t="s">
        <v>142</v>
      </c>
    </row>
    <row r="89" spans="1:8" x14ac:dyDescent="0.2">
      <c r="A89" s="97"/>
      <c r="B89" s="97"/>
      <c r="C89" s="98" t="s">
        <v>162</v>
      </c>
      <c r="D89" s="97"/>
      <c r="E89" s="97"/>
      <c r="F89" s="97"/>
      <c r="G89" s="97"/>
      <c r="H89" s="86" t="s">
        <v>142</v>
      </c>
    </row>
    <row r="90" spans="1:8" x14ac:dyDescent="0.2">
      <c r="A90" s="97"/>
      <c r="B90" s="97"/>
      <c r="C90" s="98" t="s">
        <v>163</v>
      </c>
      <c r="D90" s="97"/>
      <c r="E90" s="97"/>
      <c r="F90" s="97"/>
      <c r="G90" s="97"/>
      <c r="H90" s="86" t="s">
        <v>142</v>
      </c>
    </row>
    <row r="91" spans="1:8" x14ac:dyDescent="0.2">
      <c r="A91" s="97"/>
      <c r="B91" s="97"/>
      <c r="C91" s="98" t="s">
        <v>141</v>
      </c>
      <c r="D91" s="97"/>
      <c r="E91" s="97" t="s">
        <v>142</v>
      </c>
      <c r="F91" s="103" t="s">
        <v>144</v>
      </c>
      <c r="G91" s="100">
        <v>0</v>
      </c>
      <c r="H91" s="86" t="s">
        <v>142</v>
      </c>
    </row>
    <row r="92" spans="1:8" x14ac:dyDescent="0.2">
      <c r="A92" s="97"/>
      <c r="B92" s="97"/>
      <c r="C92" s="101"/>
      <c r="D92" s="97"/>
      <c r="E92" s="97"/>
      <c r="F92" s="102"/>
      <c r="G92" s="102"/>
      <c r="H92" s="86" t="s">
        <v>142</v>
      </c>
    </row>
    <row r="93" spans="1:8" x14ac:dyDescent="0.2">
      <c r="A93" s="97"/>
      <c r="B93" s="97"/>
      <c r="C93" s="98" t="s">
        <v>164</v>
      </c>
      <c r="D93" s="97"/>
      <c r="E93" s="97"/>
      <c r="F93" s="97"/>
      <c r="G93" s="97"/>
      <c r="H93" s="86" t="s">
        <v>142</v>
      </c>
    </row>
    <row r="94" spans="1:8" x14ac:dyDescent="0.2">
      <c r="A94" s="97"/>
      <c r="B94" s="97"/>
      <c r="C94" s="98" t="s">
        <v>165</v>
      </c>
      <c r="D94" s="97"/>
      <c r="E94" s="97"/>
      <c r="F94" s="97"/>
      <c r="G94" s="97"/>
      <c r="H94" s="86" t="s">
        <v>142</v>
      </c>
    </row>
    <row r="95" spans="1:8" x14ac:dyDescent="0.2">
      <c r="A95" s="97"/>
      <c r="B95" s="97"/>
      <c r="C95" s="98" t="s">
        <v>141</v>
      </c>
      <c r="D95" s="97"/>
      <c r="E95" s="97" t="s">
        <v>142</v>
      </c>
      <c r="F95" s="103" t="s">
        <v>144</v>
      </c>
      <c r="G95" s="100">
        <v>0</v>
      </c>
      <c r="H95" s="86" t="s">
        <v>142</v>
      </c>
    </row>
    <row r="96" spans="1:8" x14ac:dyDescent="0.2">
      <c r="A96" s="97"/>
      <c r="B96" s="97"/>
      <c r="C96" s="101"/>
      <c r="D96" s="97"/>
      <c r="E96" s="97"/>
      <c r="F96" s="102"/>
      <c r="G96" s="102"/>
      <c r="H96" s="86" t="s">
        <v>142</v>
      </c>
    </row>
    <row r="97" spans="1:17" x14ac:dyDescent="0.2">
      <c r="A97" s="97"/>
      <c r="B97" s="97"/>
      <c r="C97" s="98" t="s">
        <v>166</v>
      </c>
      <c r="D97" s="97"/>
      <c r="E97" s="97"/>
      <c r="F97" s="102"/>
      <c r="G97" s="102"/>
      <c r="H97" s="86" t="s">
        <v>142</v>
      </c>
    </row>
    <row r="98" spans="1:17" x14ac:dyDescent="0.2">
      <c r="A98" s="97"/>
      <c r="B98" s="97"/>
      <c r="C98" s="98" t="s">
        <v>141</v>
      </c>
      <c r="D98" s="97"/>
      <c r="E98" s="97" t="s">
        <v>142</v>
      </c>
      <c r="F98" s="103" t="s">
        <v>144</v>
      </c>
      <c r="G98" s="100">
        <v>0</v>
      </c>
      <c r="H98" s="86" t="s">
        <v>142</v>
      </c>
    </row>
    <row r="99" spans="1:17" x14ac:dyDescent="0.2">
      <c r="A99" s="97"/>
      <c r="B99" s="97"/>
      <c r="C99" s="101"/>
      <c r="D99" s="97"/>
      <c r="E99" s="97"/>
      <c r="F99" s="102"/>
      <c r="G99" s="102"/>
      <c r="H99" s="86" t="s">
        <v>142</v>
      </c>
    </row>
    <row r="100" spans="1:17" x14ac:dyDescent="0.2">
      <c r="A100" s="104"/>
      <c r="B100" s="93"/>
      <c r="C100" s="93" t="s">
        <v>167</v>
      </c>
      <c r="D100" s="93"/>
      <c r="E100" s="104"/>
      <c r="F100" s="95">
        <v>856.83563974000003</v>
      </c>
      <c r="G100" s="96">
        <v>7.8136899999999999E-3</v>
      </c>
      <c r="H100" s="86" t="s">
        <v>142</v>
      </c>
    </row>
    <row r="101" spans="1:17" x14ac:dyDescent="0.2">
      <c r="A101" s="101"/>
      <c r="B101" s="101"/>
      <c r="C101" s="98" t="s">
        <v>168</v>
      </c>
      <c r="D101" s="102"/>
      <c r="E101" s="102"/>
      <c r="F101" s="99">
        <v>109658.282932218</v>
      </c>
      <c r="G101" s="105">
        <v>1.00000003</v>
      </c>
      <c r="H101" s="86" t="s">
        <v>142</v>
      </c>
    </row>
    <row r="102" spans="1:17" ht="12.75" customHeight="1" x14ac:dyDescent="0.2">
      <c r="A102" s="106"/>
      <c r="B102" s="106"/>
      <c r="C102" s="107"/>
      <c r="D102" s="108"/>
      <c r="E102" s="108"/>
      <c r="F102" s="109"/>
      <c r="G102" s="110"/>
      <c r="H102" s="111"/>
    </row>
    <row r="103" spans="1:17" x14ac:dyDescent="0.2">
      <c r="A103" s="106"/>
      <c r="B103" s="200" t="s">
        <v>918</v>
      </c>
      <c r="C103" s="200"/>
      <c r="D103" s="200"/>
      <c r="E103" s="200"/>
      <c r="F103" s="200"/>
      <c r="G103" s="200"/>
      <c r="H103" s="200"/>
      <c r="J103" s="113"/>
    </row>
    <row r="104" spans="1:17" x14ac:dyDescent="0.2">
      <c r="A104" s="106"/>
      <c r="B104" s="200" t="s">
        <v>919</v>
      </c>
      <c r="C104" s="200"/>
      <c r="D104" s="200"/>
      <c r="E104" s="200"/>
      <c r="F104" s="200"/>
      <c r="G104" s="200"/>
      <c r="H104" s="200"/>
      <c r="J104" s="113"/>
    </row>
    <row r="105" spans="1:17" x14ac:dyDescent="0.2">
      <c r="A105" s="106"/>
      <c r="B105" s="200" t="s">
        <v>920</v>
      </c>
      <c r="C105" s="200"/>
      <c r="D105" s="200"/>
      <c r="E105" s="200"/>
      <c r="F105" s="200"/>
      <c r="G105" s="200"/>
      <c r="H105" s="200"/>
      <c r="J105" s="113"/>
    </row>
    <row r="106" spans="1:17" s="115" customFormat="1" ht="66.75" customHeight="1" x14ac:dyDescent="0.25">
      <c r="A106" s="114"/>
      <c r="B106" s="201" t="s">
        <v>921</v>
      </c>
      <c r="C106" s="201"/>
      <c r="D106" s="201"/>
      <c r="E106" s="201"/>
      <c r="F106" s="201"/>
      <c r="G106" s="201"/>
      <c r="H106" s="201"/>
      <c r="I106"/>
      <c r="J106" s="113"/>
      <c r="K106"/>
      <c r="L106"/>
      <c r="M106"/>
      <c r="N106"/>
      <c r="O106"/>
      <c r="P106"/>
      <c r="Q106"/>
    </row>
    <row r="107" spans="1:17" x14ac:dyDescent="0.2">
      <c r="A107" s="106"/>
      <c r="B107" s="200" t="s">
        <v>922</v>
      </c>
      <c r="C107" s="200"/>
      <c r="D107" s="200"/>
      <c r="E107" s="200"/>
      <c r="F107" s="200"/>
      <c r="G107" s="200"/>
      <c r="H107" s="200"/>
      <c r="J107" s="113"/>
    </row>
    <row r="108" spans="1:17" x14ac:dyDescent="0.2">
      <c r="A108" s="106"/>
      <c r="B108" s="106"/>
      <c r="C108" s="106"/>
      <c r="D108" s="108"/>
      <c r="E108" s="108"/>
      <c r="F108" s="108"/>
      <c r="G108" s="108"/>
    </row>
    <row r="109" spans="1:17" x14ac:dyDescent="0.2">
      <c r="A109" s="106"/>
      <c r="B109" s="202" t="s">
        <v>169</v>
      </c>
      <c r="C109" s="203"/>
      <c r="D109" s="204"/>
      <c r="E109" s="116"/>
      <c r="F109" s="108"/>
      <c r="G109" s="108"/>
    </row>
    <row r="110" spans="1:17" ht="27.75" customHeight="1" x14ac:dyDescent="0.2">
      <c r="A110" s="106"/>
      <c r="B110" s="205" t="s">
        <v>170</v>
      </c>
      <c r="C110" s="206"/>
      <c r="D110" s="85" t="s">
        <v>171</v>
      </c>
      <c r="E110" s="116"/>
      <c r="F110" s="108"/>
      <c r="G110" s="108"/>
    </row>
    <row r="111" spans="1:17" ht="12.75" customHeight="1" x14ac:dyDescent="0.2">
      <c r="A111" s="106"/>
      <c r="B111" s="205" t="s">
        <v>923</v>
      </c>
      <c r="C111" s="206"/>
      <c r="D111" s="85" t="s">
        <v>171</v>
      </c>
      <c r="E111" s="116"/>
      <c r="F111" s="108"/>
      <c r="G111" s="108"/>
    </row>
    <row r="112" spans="1:17" x14ac:dyDescent="0.2">
      <c r="A112" s="106"/>
      <c r="B112" s="205" t="s">
        <v>172</v>
      </c>
      <c r="C112" s="206"/>
      <c r="D112" s="117" t="s">
        <v>142</v>
      </c>
      <c r="E112" s="116"/>
      <c r="F112" s="108"/>
      <c r="G112" s="108"/>
    </row>
    <row r="113" spans="1:10" x14ac:dyDescent="0.2">
      <c r="A113" s="118"/>
      <c r="B113" s="119" t="s">
        <v>142</v>
      </c>
      <c r="C113" s="119" t="s">
        <v>924</v>
      </c>
      <c r="D113" s="119" t="s">
        <v>173</v>
      </c>
      <c r="E113" s="118"/>
      <c r="F113" s="118"/>
      <c r="G113" s="118"/>
      <c r="H113" s="118"/>
      <c r="J113" s="113"/>
    </row>
    <row r="114" spans="1:10" x14ac:dyDescent="0.2">
      <c r="A114" s="118"/>
      <c r="B114" s="120" t="s">
        <v>174</v>
      </c>
      <c r="C114" s="121">
        <v>45930</v>
      </c>
      <c r="D114" s="121">
        <v>45961</v>
      </c>
      <c r="E114" s="118"/>
      <c r="F114" s="118"/>
      <c r="G114" s="118"/>
      <c r="J114" s="113"/>
    </row>
    <row r="115" spans="1:10" x14ac:dyDescent="0.2">
      <c r="A115" s="122"/>
      <c r="B115" s="93" t="s">
        <v>175</v>
      </c>
      <c r="C115" s="123">
        <v>174.77850000000001</v>
      </c>
      <c r="D115" s="123">
        <v>179.50880000000001</v>
      </c>
      <c r="E115" s="122"/>
      <c r="F115" s="124"/>
      <c r="G115" s="125"/>
    </row>
    <row r="116" spans="1:10" ht="25.5" x14ac:dyDescent="0.2">
      <c r="A116" s="122"/>
      <c r="B116" s="93" t="s">
        <v>1103</v>
      </c>
      <c r="C116" s="123">
        <v>44.443399999999997</v>
      </c>
      <c r="D116" s="123">
        <v>45.646299999999997</v>
      </c>
      <c r="E116" s="122"/>
      <c r="F116" s="124"/>
      <c r="G116" s="125"/>
    </row>
    <row r="117" spans="1:10" x14ac:dyDescent="0.2">
      <c r="A117" s="122"/>
      <c r="B117" s="93" t="s">
        <v>176</v>
      </c>
      <c r="C117" s="123">
        <v>157.52000000000001</v>
      </c>
      <c r="D117" s="123">
        <v>161.6499</v>
      </c>
      <c r="E117" s="122"/>
      <c r="F117" s="124"/>
      <c r="G117" s="125"/>
    </row>
    <row r="118" spans="1:10" ht="25.5" x14ac:dyDescent="0.2">
      <c r="A118" s="122"/>
      <c r="B118" s="93" t="s">
        <v>1104</v>
      </c>
      <c r="C118" s="123">
        <v>40.792099999999998</v>
      </c>
      <c r="D118" s="123">
        <v>41.861600000000003</v>
      </c>
      <c r="E118" s="122"/>
      <c r="F118" s="124"/>
      <c r="G118" s="125"/>
    </row>
    <row r="119" spans="1:10" x14ac:dyDescent="0.2">
      <c r="A119" s="122"/>
      <c r="B119" s="122"/>
      <c r="C119" s="122"/>
      <c r="D119" s="122"/>
      <c r="E119" s="122"/>
      <c r="F119" s="122"/>
      <c r="G119" s="122"/>
    </row>
    <row r="120" spans="1:10" x14ac:dyDescent="0.2">
      <c r="A120" s="118"/>
      <c r="B120" s="205" t="s">
        <v>925</v>
      </c>
      <c r="C120" s="206"/>
      <c r="D120" s="85" t="s">
        <v>171</v>
      </c>
      <c r="E120" s="118"/>
      <c r="F120" s="118"/>
      <c r="G120" s="118"/>
    </row>
    <row r="121" spans="1:10" x14ac:dyDescent="0.2">
      <c r="A121" s="118"/>
      <c r="B121" s="136"/>
      <c r="C121" s="136"/>
      <c r="D121" s="136"/>
      <c r="E121" s="118"/>
      <c r="F121" s="118"/>
      <c r="G121" s="118"/>
    </row>
    <row r="122" spans="1:10" x14ac:dyDescent="0.2">
      <c r="A122" s="118"/>
      <c r="B122" s="205" t="s">
        <v>179</v>
      </c>
      <c r="C122" s="206"/>
      <c r="D122" s="85" t="s">
        <v>171</v>
      </c>
      <c r="E122" s="131"/>
      <c r="F122" s="118"/>
      <c r="G122" s="118"/>
    </row>
    <row r="123" spans="1:10" x14ac:dyDescent="0.2">
      <c r="A123" s="118"/>
      <c r="B123" s="205" t="s">
        <v>180</v>
      </c>
      <c r="C123" s="206"/>
      <c r="D123" s="85" t="s">
        <v>171</v>
      </c>
      <c r="E123" s="131"/>
      <c r="F123" s="118"/>
      <c r="G123" s="118"/>
    </row>
    <row r="124" spans="1:10" ht="17.100000000000001" customHeight="1" x14ac:dyDescent="0.2">
      <c r="A124" s="118"/>
      <c r="B124" s="205" t="s">
        <v>181</v>
      </c>
      <c r="C124" s="206"/>
      <c r="D124" s="85" t="s">
        <v>171</v>
      </c>
      <c r="E124" s="131"/>
      <c r="F124" s="118"/>
      <c r="G124" s="118"/>
    </row>
    <row r="125" spans="1:10" ht="17.100000000000001" customHeight="1" x14ac:dyDescent="0.2">
      <c r="A125" s="118"/>
      <c r="B125" s="205" t="s">
        <v>182</v>
      </c>
      <c r="C125" s="206"/>
      <c r="D125" s="132">
        <v>0.79359999999999997</v>
      </c>
      <c r="E125" s="118"/>
      <c r="F125" s="112"/>
      <c r="G125" s="133"/>
    </row>
    <row r="127" spans="1:10" x14ac:dyDescent="0.2">
      <c r="B127" s="199" t="s">
        <v>926</v>
      </c>
      <c r="C127" s="199"/>
    </row>
    <row r="129" spans="2:4" ht="153.75" customHeight="1" x14ac:dyDescent="0.2"/>
    <row r="132" spans="2:4" x14ac:dyDescent="0.2">
      <c r="B132" s="134" t="s">
        <v>927</v>
      </c>
      <c r="C132" s="135"/>
      <c r="D132" s="134" t="s">
        <v>932</v>
      </c>
    </row>
    <row r="133" spans="2:4" x14ac:dyDescent="0.2">
      <c r="B133" s="134" t="s">
        <v>1068</v>
      </c>
      <c r="D133" s="134" t="s">
        <v>1069</v>
      </c>
    </row>
    <row r="134" spans="2:4" ht="165" customHeight="1" x14ac:dyDescent="0.2"/>
  </sheetData>
  <mergeCells count="18">
    <mergeCell ref="B122:C122"/>
    <mergeCell ref="B123:C123"/>
    <mergeCell ref="B127:C127"/>
    <mergeCell ref="B125:C125"/>
    <mergeCell ref="A1:H1"/>
    <mergeCell ref="A2:H2"/>
    <mergeCell ref="A3:H3"/>
    <mergeCell ref="B120:C120"/>
    <mergeCell ref="B124:C124"/>
    <mergeCell ref="B103:H103"/>
    <mergeCell ref="B104:H104"/>
    <mergeCell ref="B111:C111"/>
    <mergeCell ref="B112:C112"/>
    <mergeCell ref="B105:H105"/>
    <mergeCell ref="B106:H106"/>
    <mergeCell ref="B107:H107"/>
    <mergeCell ref="B109:D109"/>
    <mergeCell ref="B110:C110"/>
  </mergeCells>
  <hyperlinks>
    <hyperlink ref="I1" location="Index!B2" display="Index" xr:uid="{D41A2D3D-9B31-4B5B-A970-0A392D9769CD}"/>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AC1B-563F-4AA3-B417-FA1A7D71C3CB}">
  <sheetPr>
    <outlinePr summaryBelow="0" summaryRight="0"/>
  </sheetPr>
  <dimension ref="A1:Q184"/>
  <sheetViews>
    <sheetView showGridLines="0" workbookViewId="0">
      <selection activeCell="C8" sqref="C8"/>
    </sheetView>
  </sheetViews>
  <sheetFormatPr defaultRowHeight="12.75" x14ac:dyDescent="0.2"/>
  <cols>
    <col min="1" max="1" width="5.85546875" bestFit="1" customWidth="1"/>
    <col min="2" max="2" width="19.5703125" bestFit="1" customWidth="1"/>
    <col min="3" max="3" width="45.85546875" customWidth="1"/>
    <col min="4" max="4" width="17.710937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746</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2030957</v>
      </c>
      <c r="F7" s="95">
        <v>20051.638460999999</v>
      </c>
      <c r="G7" s="96">
        <v>6.8482890000000005E-2</v>
      </c>
      <c r="H7" s="86" t="s">
        <v>142</v>
      </c>
    </row>
    <row r="8" spans="1:9" x14ac:dyDescent="0.2">
      <c r="A8" s="92">
        <v>2</v>
      </c>
      <c r="B8" s="93" t="s">
        <v>33</v>
      </c>
      <c r="C8" s="93" t="s">
        <v>34</v>
      </c>
      <c r="D8" s="93" t="s">
        <v>35</v>
      </c>
      <c r="E8" s="94">
        <v>1098746</v>
      </c>
      <c r="F8" s="95">
        <v>14781.429937999999</v>
      </c>
      <c r="G8" s="96">
        <v>5.0483409999999999E-2</v>
      </c>
      <c r="H8" s="86" t="s">
        <v>142</v>
      </c>
    </row>
    <row r="9" spans="1:9" x14ac:dyDescent="0.2">
      <c r="A9" s="92">
        <v>3</v>
      </c>
      <c r="B9" s="93" t="s">
        <v>14</v>
      </c>
      <c r="C9" s="93" t="s">
        <v>15</v>
      </c>
      <c r="D9" s="93" t="s">
        <v>16</v>
      </c>
      <c r="E9" s="94">
        <v>297963</v>
      </c>
      <c r="F9" s="95">
        <v>12010.590566999999</v>
      </c>
      <c r="G9" s="96">
        <v>4.1020090000000002E-2</v>
      </c>
      <c r="H9" s="86" t="s">
        <v>142</v>
      </c>
    </row>
    <row r="10" spans="1:9" x14ac:dyDescent="0.2">
      <c r="A10" s="92">
        <v>4</v>
      </c>
      <c r="B10" s="93" t="s">
        <v>324</v>
      </c>
      <c r="C10" s="93" t="s">
        <v>325</v>
      </c>
      <c r="D10" s="93" t="s">
        <v>35</v>
      </c>
      <c r="E10" s="94">
        <v>532044</v>
      </c>
      <c r="F10" s="95">
        <v>11184.628968000001</v>
      </c>
      <c r="G10" s="96">
        <v>3.8199160000000003E-2</v>
      </c>
      <c r="H10" s="86" t="s">
        <v>142</v>
      </c>
    </row>
    <row r="11" spans="1:9" x14ac:dyDescent="0.2">
      <c r="A11" s="92">
        <v>5</v>
      </c>
      <c r="B11" s="93" t="s">
        <v>11</v>
      </c>
      <c r="C11" s="93" t="s">
        <v>12</v>
      </c>
      <c r="D11" s="93" t="s">
        <v>13</v>
      </c>
      <c r="E11" s="94">
        <v>452129</v>
      </c>
      <c r="F11" s="95">
        <v>9288.9903049999994</v>
      </c>
      <c r="G11" s="96">
        <v>3.1724929999999998E-2</v>
      </c>
      <c r="H11" s="86" t="s">
        <v>142</v>
      </c>
    </row>
    <row r="12" spans="1:9" x14ac:dyDescent="0.2">
      <c r="A12" s="92">
        <v>6</v>
      </c>
      <c r="B12" s="93" t="s">
        <v>17</v>
      </c>
      <c r="C12" s="93" t="s">
        <v>18</v>
      </c>
      <c r="D12" s="93" t="s">
        <v>19</v>
      </c>
      <c r="E12" s="94">
        <v>592907</v>
      </c>
      <c r="F12" s="95">
        <v>8812.9696480000002</v>
      </c>
      <c r="G12" s="96">
        <v>3.0099170000000001E-2</v>
      </c>
      <c r="H12" s="86" t="s">
        <v>142</v>
      </c>
    </row>
    <row r="13" spans="1:9" x14ac:dyDescent="0.2">
      <c r="A13" s="92">
        <v>7</v>
      </c>
      <c r="B13" s="93" t="s">
        <v>194</v>
      </c>
      <c r="C13" s="93" t="s">
        <v>195</v>
      </c>
      <c r="D13" s="93" t="s">
        <v>35</v>
      </c>
      <c r="E13" s="94">
        <v>758717</v>
      </c>
      <c r="F13" s="95">
        <v>6515.102879</v>
      </c>
      <c r="G13" s="96">
        <v>2.2251199999999999E-2</v>
      </c>
      <c r="H13" s="86" t="s">
        <v>142</v>
      </c>
    </row>
    <row r="14" spans="1:9" x14ac:dyDescent="0.2">
      <c r="A14" s="92">
        <v>8</v>
      </c>
      <c r="B14" s="93" t="s">
        <v>184</v>
      </c>
      <c r="C14" s="93" t="s">
        <v>185</v>
      </c>
      <c r="D14" s="93" t="s">
        <v>186</v>
      </c>
      <c r="E14" s="94">
        <v>2058790</v>
      </c>
      <c r="F14" s="95">
        <v>6496.511845</v>
      </c>
      <c r="G14" s="96">
        <v>2.2187709999999999E-2</v>
      </c>
      <c r="H14" s="86" t="s">
        <v>142</v>
      </c>
    </row>
    <row r="15" spans="1:9" x14ac:dyDescent="0.2">
      <c r="A15" s="92">
        <v>9</v>
      </c>
      <c r="B15" s="93" t="s">
        <v>462</v>
      </c>
      <c r="C15" s="93" t="s">
        <v>463</v>
      </c>
      <c r="D15" s="93" t="s">
        <v>35</v>
      </c>
      <c r="E15" s="94">
        <v>3919350</v>
      </c>
      <c r="F15" s="95">
        <v>6190.6133250000003</v>
      </c>
      <c r="G15" s="96">
        <v>2.1142970000000001E-2</v>
      </c>
      <c r="H15" s="86" t="s">
        <v>142</v>
      </c>
    </row>
    <row r="16" spans="1:9" x14ac:dyDescent="0.2">
      <c r="A16" s="92">
        <v>10</v>
      </c>
      <c r="B16" s="93" t="s">
        <v>340</v>
      </c>
      <c r="C16" s="93" t="s">
        <v>341</v>
      </c>
      <c r="D16" s="93" t="s">
        <v>257</v>
      </c>
      <c r="E16" s="94">
        <v>312249</v>
      </c>
      <c r="F16" s="95">
        <v>6028.2791939999997</v>
      </c>
      <c r="G16" s="96">
        <v>2.0588539999999999E-2</v>
      </c>
      <c r="H16" s="86" t="s">
        <v>142</v>
      </c>
    </row>
    <row r="17" spans="1:8" x14ac:dyDescent="0.2">
      <c r="A17" s="92">
        <v>11</v>
      </c>
      <c r="B17" s="93" t="s">
        <v>187</v>
      </c>
      <c r="C17" s="93" t="s">
        <v>188</v>
      </c>
      <c r="D17" s="93" t="s">
        <v>109</v>
      </c>
      <c r="E17" s="94">
        <v>587554</v>
      </c>
      <c r="F17" s="95">
        <v>6010.9711969999998</v>
      </c>
      <c r="G17" s="96">
        <v>2.0529430000000001E-2</v>
      </c>
      <c r="H17" s="86" t="s">
        <v>142</v>
      </c>
    </row>
    <row r="18" spans="1:8" x14ac:dyDescent="0.2">
      <c r="A18" s="92">
        <v>12</v>
      </c>
      <c r="B18" s="93" t="s">
        <v>221</v>
      </c>
      <c r="C18" s="93" t="s">
        <v>222</v>
      </c>
      <c r="D18" s="93" t="s">
        <v>186</v>
      </c>
      <c r="E18" s="94">
        <v>39406</v>
      </c>
      <c r="F18" s="95">
        <v>5979.8604999999998</v>
      </c>
      <c r="G18" s="96">
        <v>2.0423179999999999E-2</v>
      </c>
      <c r="H18" s="86" t="s">
        <v>142</v>
      </c>
    </row>
    <row r="19" spans="1:8" x14ac:dyDescent="0.2">
      <c r="A19" s="92">
        <v>13</v>
      </c>
      <c r="B19" s="93" t="s">
        <v>69</v>
      </c>
      <c r="C19" s="93" t="s">
        <v>70</v>
      </c>
      <c r="D19" s="93" t="s">
        <v>58</v>
      </c>
      <c r="E19" s="94">
        <v>147730</v>
      </c>
      <c r="F19" s="95">
        <v>5956.4736000000003</v>
      </c>
      <c r="G19" s="96">
        <v>2.0343300000000002E-2</v>
      </c>
      <c r="H19" s="86" t="s">
        <v>142</v>
      </c>
    </row>
    <row r="20" spans="1:8" x14ac:dyDescent="0.2">
      <c r="A20" s="92">
        <v>14</v>
      </c>
      <c r="B20" s="93" t="s">
        <v>71</v>
      </c>
      <c r="C20" s="93" t="s">
        <v>72</v>
      </c>
      <c r="D20" s="93" t="s">
        <v>73</v>
      </c>
      <c r="E20" s="94">
        <v>548186</v>
      </c>
      <c r="F20" s="95">
        <v>5688.5261220000002</v>
      </c>
      <c r="G20" s="96">
        <v>1.9428170000000002E-2</v>
      </c>
      <c r="H20" s="86" t="s">
        <v>142</v>
      </c>
    </row>
    <row r="21" spans="1:8" x14ac:dyDescent="0.2">
      <c r="A21" s="92">
        <v>15</v>
      </c>
      <c r="B21" s="93" t="s">
        <v>216</v>
      </c>
      <c r="C21" s="93" t="s">
        <v>217</v>
      </c>
      <c r="D21" s="93" t="s">
        <v>218</v>
      </c>
      <c r="E21" s="94">
        <v>946607</v>
      </c>
      <c r="F21" s="95">
        <v>5659.2899495000001</v>
      </c>
      <c r="G21" s="96">
        <v>1.932832E-2</v>
      </c>
      <c r="H21" s="86" t="s">
        <v>142</v>
      </c>
    </row>
    <row r="22" spans="1:8" x14ac:dyDescent="0.2">
      <c r="A22" s="92">
        <v>16</v>
      </c>
      <c r="B22" s="93" t="s">
        <v>334</v>
      </c>
      <c r="C22" s="93" t="s">
        <v>335</v>
      </c>
      <c r="D22" s="93" t="s">
        <v>241</v>
      </c>
      <c r="E22" s="94">
        <v>160863</v>
      </c>
      <c r="F22" s="95">
        <v>5609.614536</v>
      </c>
      <c r="G22" s="96">
        <v>1.9158660000000001E-2</v>
      </c>
      <c r="H22" s="86" t="s">
        <v>142</v>
      </c>
    </row>
    <row r="23" spans="1:8" x14ac:dyDescent="0.2">
      <c r="A23" s="92">
        <v>17</v>
      </c>
      <c r="B23" s="93" t="s">
        <v>196</v>
      </c>
      <c r="C23" s="93" t="s">
        <v>197</v>
      </c>
      <c r="D23" s="93" t="s">
        <v>19</v>
      </c>
      <c r="E23" s="94">
        <v>1161716</v>
      </c>
      <c r="F23" s="95">
        <v>5529.7681599999996</v>
      </c>
      <c r="G23" s="96">
        <v>1.888596E-2</v>
      </c>
      <c r="H23" s="86" t="s">
        <v>142</v>
      </c>
    </row>
    <row r="24" spans="1:8" x14ac:dyDescent="0.2">
      <c r="A24" s="92">
        <v>18</v>
      </c>
      <c r="B24" s="93" t="s">
        <v>26</v>
      </c>
      <c r="C24" s="93" t="s">
        <v>27</v>
      </c>
      <c r="D24" s="93" t="s">
        <v>28</v>
      </c>
      <c r="E24" s="94">
        <v>1280435</v>
      </c>
      <c r="F24" s="95">
        <v>5455.9335350000001</v>
      </c>
      <c r="G24" s="96">
        <v>1.8633790000000001E-2</v>
      </c>
      <c r="H24" s="86" t="s">
        <v>142</v>
      </c>
    </row>
    <row r="25" spans="1:8" x14ac:dyDescent="0.2">
      <c r="A25" s="92">
        <v>19</v>
      </c>
      <c r="B25" s="93" t="s">
        <v>46</v>
      </c>
      <c r="C25" s="93" t="s">
        <v>47</v>
      </c>
      <c r="D25" s="93" t="s">
        <v>48</v>
      </c>
      <c r="E25" s="94">
        <v>65761</v>
      </c>
      <c r="F25" s="95">
        <v>5284.8827650000003</v>
      </c>
      <c r="G25" s="96">
        <v>1.8049599999999999E-2</v>
      </c>
      <c r="H25" s="86" t="s">
        <v>142</v>
      </c>
    </row>
    <row r="26" spans="1:8" ht="25.5" x14ac:dyDescent="0.2">
      <c r="A26" s="92">
        <v>20</v>
      </c>
      <c r="B26" s="93" t="s">
        <v>74</v>
      </c>
      <c r="C26" s="93" t="s">
        <v>75</v>
      </c>
      <c r="D26" s="93" t="s">
        <v>25</v>
      </c>
      <c r="E26" s="94">
        <v>84516</v>
      </c>
      <c r="F26" s="95">
        <v>5251.8242399999999</v>
      </c>
      <c r="G26" s="96">
        <v>1.7936690000000002E-2</v>
      </c>
      <c r="H26" s="86" t="s">
        <v>142</v>
      </c>
    </row>
    <row r="27" spans="1:8" x14ac:dyDescent="0.2">
      <c r="A27" s="92">
        <v>21</v>
      </c>
      <c r="B27" s="93" t="s">
        <v>747</v>
      </c>
      <c r="C27" s="93" t="s">
        <v>748</v>
      </c>
      <c r="D27" s="93" t="s">
        <v>749</v>
      </c>
      <c r="E27" s="94">
        <v>1666372</v>
      </c>
      <c r="F27" s="95">
        <v>5240.7399400000004</v>
      </c>
      <c r="G27" s="96">
        <v>1.7898839999999999E-2</v>
      </c>
      <c r="H27" s="86" t="s">
        <v>142</v>
      </c>
    </row>
    <row r="28" spans="1:8" x14ac:dyDescent="0.2">
      <c r="A28" s="92">
        <v>22</v>
      </c>
      <c r="B28" s="93" t="s">
        <v>423</v>
      </c>
      <c r="C28" s="93" t="s">
        <v>424</v>
      </c>
      <c r="D28" s="93" t="s">
        <v>204</v>
      </c>
      <c r="E28" s="94">
        <v>327370</v>
      </c>
      <c r="F28" s="95">
        <v>5046.4085500000001</v>
      </c>
      <c r="G28" s="96">
        <v>1.7235130000000001E-2</v>
      </c>
      <c r="H28" s="86" t="s">
        <v>142</v>
      </c>
    </row>
    <row r="29" spans="1:8" x14ac:dyDescent="0.2">
      <c r="A29" s="92">
        <v>23</v>
      </c>
      <c r="B29" s="93" t="s">
        <v>508</v>
      </c>
      <c r="C29" s="93" t="s">
        <v>509</v>
      </c>
      <c r="D29" s="93" t="s">
        <v>38</v>
      </c>
      <c r="E29" s="94">
        <v>493344</v>
      </c>
      <c r="F29" s="95">
        <v>4956.8738400000002</v>
      </c>
      <c r="G29" s="96">
        <v>1.6929340000000001E-2</v>
      </c>
      <c r="H29" s="86" t="s">
        <v>142</v>
      </c>
    </row>
    <row r="30" spans="1:8" x14ac:dyDescent="0.2">
      <c r="A30" s="92">
        <v>24</v>
      </c>
      <c r="B30" s="93" t="s">
        <v>56</v>
      </c>
      <c r="C30" s="93" t="s">
        <v>57</v>
      </c>
      <c r="D30" s="93" t="s">
        <v>58</v>
      </c>
      <c r="E30" s="94">
        <v>108339</v>
      </c>
      <c r="F30" s="95">
        <v>4706.354499</v>
      </c>
      <c r="G30" s="96">
        <v>1.607374E-2</v>
      </c>
      <c r="H30" s="86" t="s">
        <v>142</v>
      </c>
    </row>
    <row r="31" spans="1:8" ht="25.5" x14ac:dyDescent="0.2">
      <c r="A31" s="92">
        <v>25</v>
      </c>
      <c r="B31" s="93" t="s">
        <v>23</v>
      </c>
      <c r="C31" s="93" t="s">
        <v>24</v>
      </c>
      <c r="D31" s="93" t="s">
        <v>25</v>
      </c>
      <c r="E31" s="94">
        <v>38374</v>
      </c>
      <c r="F31" s="95">
        <v>4584.5417799999996</v>
      </c>
      <c r="G31" s="96">
        <v>1.5657709999999998E-2</v>
      </c>
      <c r="H31" s="86" t="s">
        <v>142</v>
      </c>
    </row>
    <row r="32" spans="1:8" x14ac:dyDescent="0.2">
      <c r="A32" s="92">
        <v>26</v>
      </c>
      <c r="B32" s="93" t="s">
        <v>49</v>
      </c>
      <c r="C32" s="93" t="s">
        <v>50</v>
      </c>
      <c r="D32" s="93" t="s">
        <v>22</v>
      </c>
      <c r="E32" s="94">
        <v>1094203</v>
      </c>
      <c r="F32" s="95">
        <v>4430.4279470000001</v>
      </c>
      <c r="G32" s="96">
        <v>1.513136E-2</v>
      </c>
      <c r="H32" s="86" t="s">
        <v>142</v>
      </c>
    </row>
    <row r="33" spans="1:8" x14ac:dyDescent="0.2">
      <c r="A33" s="92">
        <v>27</v>
      </c>
      <c r="B33" s="93" t="s">
        <v>202</v>
      </c>
      <c r="C33" s="93" t="s">
        <v>203</v>
      </c>
      <c r="D33" s="93" t="s">
        <v>204</v>
      </c>
      <c r="E33" s="94">
        <v>248700</v>
      </c>
      <c r="F33" s="95">
        <v>4422.1346999999996</v>
      </c>
      <c r="G33" s="96">
        <v>1.510303E-2</v>
      </c>
      <c r="H33" s="86" t="s">
        <v>142</v>
      </c>
    </row>
    <row r="34" spans="1:8" x14ac:dyDescent="0.2">
      <c r="A34" s="92">
        <v>28</v>
      </c>
      <c r="B34" s="93" t="s">
        <v>97</v>
      </c>
      <c r="C34" s="93" t="s">
        <v>98</v>
      </c>
      <c r="D34" s="93" t="s">
        <v>38</v>
      </c>
      <c r="E34" s="94">
        <v>63972</v>
      </c>
      <c r="F34" s="95">
        <v>4273.3296</v>
      </c>
      <c r="G34" s="96">
        <v>1.459482E-2</v>
      </c>
      <c r="H34" s="86" t="s">
        <v>142</v>
      </c>
    </row>
    <row r="35" spans="1:8" x14ac:dyDescent="0.2">
      <c r="A35" s="92">
        <v>29</v>
      </c>
      <c r="B35" s="93" t="s">
        <v>464</v>
      </c>
      <c r="C35" s="93" t="s">
        <v>465</v>
      </c>
      <c r="D35" s="93" t="s">
        <v>278</v>
      </c>
      <c r="E35" s="94">
        <v>300775</v>
      </c>
      <c r="F35" s="95">
        <v>4145.5818250000002</v>
      </c>
      <c r="G35" s="96">
        <v>1.4158520000000001E-2</v>
      </c>
      <c r="H35" s="86" t="s">
        <v>142</v>
      </c>
    </row>
    <row r="36" spans="1:8" ht="25.5" x14ac:dyDescent="0.2">
      <c r="A36" s="92">
        <v>30</v>
      </c>
      <c r="B36" s="93" t="s">
        <v>205</v>
      </c>
      <c r="C36" s="93" t="s">
        <v>206</v>
      </c>
      <c r="D36" s="93" t="s">
        <v>207</v>
      </c>
      <c r="E36" s="94">
        <v>552997</v>
      </c>
      <c r="F36" s="95">
        <v>3981.3019015</v>
      </c>
      <c r="G36" s="96">
        <v>1.3597450000000001E-2</v>
      </c>
      <c r="H36" s="86" t="s">
        <v>142</v>
      </c>
    </row>
    <row r="37" spans="1:8" x14ac:dyDescent="0.2">
      <c r="A37" s="92">
        <v>31</v>
      </c>
      <c r="B37" s="93" t="s">
        <v>93</v>
      </c>
      <c r="C37" s="93" t="s">
        <v>94</v>
      </c>
      <c r="D37" s="93" t="s">
        <v>58</v>
      </c>
      <c r="E37" s="94">
        <v>396735</v>
      </c>
      <c r="F37" s="95">
        <v>3966.9532650000001</v>
      </c>
      <c r="G37" s="96">
        <v>1.354844E-2</v>
      </c>
      <c r="H37" s="86" t="s">
        <v>142</v>
      </c>
    </row>
    <row r="38" spans="1:8" x14ac:dyDescent="0.2">
      <c r="A38" s="92">
        <v>32</v>
      </c>
      <c r="B38" s="93" t="s">
        <v>233</v>
      </c>
      <c r="C38" s="93" t="s">
        <v>234</v>
      </c>
      <c r="D38" s="93" t="s">
        <v>218</v>
      </c>
      <c r="E38" s="94">
        <v>416636</v>
      </c>
      <c r="F38" s="95">
        <v>3957.0004100000001</v>
      </c>
      <c r="G38" s="96">
        <v>1.3514450000000001E-2</v>
      </c>
      <c r="H38" s="86" t="s">
        <v>142</v>
      </c>
    </row>
    <row r="39" spans="1:8" x14ac:dyDescent="0.2">
      <c r="A39" s="92">
        <v>33</v>
      </c>
      <c r="B39" s="93" t="s">
        <v>283</v>
      </c>
      <c r="C39" s="93" t="s">
        <v>284</v>
      </c>
      <c r="D39" s="93" t="s">
        <v>218</v>
      </c>
      <c r="E39" s="94">
        <v>2407581</v>
      </c>
      <c r="F39" s="95">
        <v>3895.466058</v>
      </c>
      <c r="G39" s="96">
        <v>1.330429E-2</v>
      </c>
      <c r="H39" s="86" t="s">
        <v>142</v>
      </c>
    </row>
    <row r="40" spans="1:8" x14ac:dyDescent="0.2">
      <c r="A40" s="92">
        <v>34</v>
      </c>
      <c r="B40" s="93" t="s">
        <v>371</v>
      </c>
      <c r="C40" s="93" t="s">
        <v>372</v>
      </c>
      <c r="D40" s="93" t="s">
        <v>204</v>
      </c>
      <c r="E40" s="94">
        <v>585264</v>
      </c>
      <c r="F40" s="95">
        <v>3735.4474799999998</v>
      </c>
      <c r="G40" s="96">
        <v>1.275777E-2</v>
      </c>
      <c r="H40" s="86" t="s">
        <v>142</v>
      </c>
    </row>
    <row r="41" spans="1:8" x14ac:dyDescent="0.2">
      <c r="A41" s="92">
        <v>35</v>
      </c>
      <c r="B41" s="93" t="s">
        <v>750</v>
      </c>
      <c r="C41" s="93" t="s">
        <v>751</v>
      </c>
      <c r="D41" s="93" t="s">
        <v>109</v>
      </c>
      <c r="E41" s="94">
        <v>174800</v>
      </c>
      <c r="F41" s="95">
        <v>3444.2592</v>
      </c>
      <c r="G41" s="96">
        <v>1.1763269999999999E-2</v>
      </c>
      <c r="H41" s="86" t="s">
        <v>142</v>
      </c>
    </row>
    <row r="42" spans="1:8" x14ac:dyDescent="0.2">
      <c r="A42" s="92">
        <v>36</v>
      </c>
      <c r="B42" s="93" t="s">
        <v>281</v>
      </c>
      <c r="C42" s="93" t="s">
        <v>282</v>
      </c>
      <c r="D42" s="93" t="s">
        <v>58</v>
      </c>
      <c r="E42" s="94">
        <v>182448</v>
      </c>
      <c r="F42" s="95">
        <v>3268.5559199999998</v>
      </c>
      <c r="G42" s="96">
        <v>1.116319E-2</v>
      </c>
      <c r="H42" s="86" t="s">
        <v>142</v>
      </c>
    </row>
    <row r="43" spans="1:8" x14ac:dyDescent="0.2">
      <c r="A43" s="92">
        <v>37</v>
      </c>
      <c r="B43" s="93" t="s">
        <v>457</v>
      </c>
      <c r="C43" s="93" t="s">
        <v>458</v>
      </c>
      <c r="D43" s="93" t="s">
        <v>459</v>
      </c>
      <c r="E43" s="94">
        <v>303948</v>
      </c>
      <c r="F43" s="95">
        <v>3259.538352</v>
      </c>
      <c r="G43" s="96">
        <v>1.1132390000000001E-2</v>
      </c>
      <c r="H43" s="86" t="s">
        <v>142</v>
      </c>
    </row>
    <row r="44" spans="1:8" x14ac:dyDescent="0.2">
      <c r="A44" s="92">
        <v>38</v>
      </c>
      <c r="B44" s="93" t="s">
        <v>246</v>
      </c>
      <c r="C44" s="93" t="s">
        <v>247</v>
      </c>
      <c r="D44" s="93" t="s">
        <v>186</v>
      </c>
      <c r="E44" s="94">
        <v>562025</v>
      </c>
      <c r="F44" s="95">
        <v>3208.8817374999999</v>
      </c>
      <c r="G44" s="96">
        <v>1.0959379999999999E-2</v>
      </c>
      <c r="H44" s="86" t="s">
        <v>142</v>
      </c>
    </row>
    <row r="45" spans="1:8" x14ac:dyDescent="0.2">
      <c r="A45" s="92">
        <v>39</v>
      </c>
      <c r="B45" s="93" t="s">
        <v>258</v>
      </c>
      <c r="C45" s="93" t="s">
        <v>259</v>
      </c>
      <c r="D45" s="93" t="s">
        <v>215</v>
      </c>
      <c r="E45" s="94">
        <v>293071</v>
      </c>
      <c r="F45" s="95">
        <v>3167.2182969999999</v>
      </c>
      <c r="G45" s="96">
        <v>1.081708E-2</v>
      </c>
      <c r="H45" s="86" t="s">
        <v>142</v>
      </c>
    </row>
    <row r="46" spans="1:8" x14ac:dyDescent="0.2">
      <c r="A46" s="92">
        <v>40</v>
      </c>
      <c r="B46" s="93" t="s">
        <v>646</v>
      </c>
      <c r="C46" s="93" t="s">
        <v>647</v>
      </c>
      <c r="D46" s="93" t="s">
        <v>459</v>
      </c>
      <c r="E46" s="94">
        <v>54047</v>
      </c>
      <c r="F46" s="95">
        <v>3154.4531550000002</v>
      </c>
      <c r="G46" s="96">
        <v>1.077349E-2</v>
      </c>
      <c r="H46" s="86" t="s">
        <v>142</v>
      </c>
    </row>
    <row r="47" spans="1:8" ht="25.5" x14ac:dyDescent="0.2">
      <c r="A47" s="92">
        <v>41</v>
      </c>
      <c r="B47" s="93" t="s">
        <v>223</v>
      </c>
      <c r="C47" s="93" t="s">
        <v>224</v>
      </c>
      <c r="D47" s="93" t="s">
        <v>225</v>
      </c>
      <c r="E47" s="94">
        <v>151301</v>
      </c>
      <c r="F47" s="95">
        <v>2970.7951349999998</v>
      </c>
      <c r="G47" s="96">
        <v>1.0146240000000001E-2</v>
      </c>
      <c r="H47" s="86" t="s">
        <v>142</v>
      </c>
    </row>
    <row r="48" spans="1:8" x14ac:dyDescent="0.2">
      <c r="A48" s="92">
        <v>42</v>
      </c>
      <c r="B48" s="93" t="s">
        <v>230</v>
      </c>
      <c r="C48" s="93" t="s">
        <v>231</v>
      </c>
      <c r="D48" s="93" t="s">
        <v>232</v>
      </c>
      <c r="E48" s="94">
        <v>164757</v>
      </c>
      <c r="F48" s="95">
        <v>2961.342318</v>
      </c>
      <c r="G48" s="96">
        <v>1.011395E-2</v>
      </c>
      <c r="H48" s="86" t="s">
        <v>142</v>
      </c>
    </row>
    <row r="49" spans="1:8" x14ac:dyDescent="0.2">
      <c r="A49" s="92">
        <v>43</v>
      </c>
      <c r="B49" s="93" t="s">
        <v>656</v>
      </c>
      <c r="C49" s="93" t="s">
        <v>657</v>
      </c>
      <c r="D49" s="93" t="s">
        <v>186</v>
      </c>
      <c r="E49" s="94">
        <v>135888</v>
      </c>
      <c r="F49" s="95">
        <v>2837.749104</v>
      </c>
      <c r="G49" s="96">
        <v>9.6918400000000002E-3</v>
      </c>
      <c r="H49" s="86" t="s">
        <v>142</v>
      </c>
    </row>
    <row r="50" spans="1:8" ht="25.5" x14ac:dyDescent="0.2">
      <c r="A50" s="92">
        <v>44</v>
      </c>
      <c r="B50" s="93" t="s">
        <v>377</v>
      </c>
      <c r="C50" s="93" t="s">
        <v>378</v>
      </c>
      <c r="D50" s="93" t="s">
        <v>225</v>
      </c>
      <c r="E50" s="94">
        <v>166051</v>
      </c>
      <c r="F50" s="95">
        <v>2793.4759730000001</v>
      </c>
      <c r="G50" s="96">
        <v>9.5406299999999996E-3</v>
      </c>
      <c r="H50" s="86" t="s">
        <v>142</v>
      </c>
    </row>
    <row r="51" spans="1:8" x14ac:dyDescent="0.2">
      <c r="A51" s="92">
        <v>45</v>
      </c>
      <c r="B51" s="93" t="s">
        <v>440</v>
      </c>
      <c r="C51" s="93" t="s">
        <v>441</v>
      </c>
      <c r="D51" s="93" t="s">
        <v>422</v>
      </c>
      <c r="E51" s="94">
        <v>113230</v>
      </c>
      <c r="F51" s="95">
        <v>2791.6856499999999</v>
      </c>
      <c r="G51" s="96">
        <v>9.5345199999999995E-3</v>
      </c>
      <c r="H51" s="86" t="s">
        <v>142</v>
      </c>
    </row>
    <row r="52" spans="1:8" x14ac:dyDescent="0.2">
      <c r="A52" s="92">
        <v>46</v>
      </c>
      <c r="B52" s="93" t="s">
        <v>251</v>
      </c>
      <c r="C52" s="93" t="s">
        <v>252</v>
      </c>
      <c r="D52" s="93" t="s">
        <v>38</v>
      </c>
      <c r="E52" s="94">
        <v>582599</v>
      </c>
      <c r="F52" s="95">
        <v>2754.2367724999999</v>
      </c>
      <c r="G52" s="96">
        <v>9.4066199999999992E-3</v>
      </c>
      <c r="H52" s="86" t="s">
        <v>142</v>
      </c>
    </row>
    <row r="53" spans="1:8" ht="25.5" x14ac:dyDescent="0.2">
      <c r="A53" s="92">
        <v>47</v>
      </c>
      <c r="B53" s="93" t="s">
        <v>208</v>
      </c>
      <c r="C53" s="93" t="s">
        <v>209</v>
      </c>
      <c r="D53" s="93" t="s">
        <v>210</v>
      </c>
      <c r="E53" s="94">
        <v>148988</v>
      </c>
      <c r="F53" s="95">
        <v>2660.0317519999999</v>
      </c>
      <c r="G53" s="96">
        <v>9.08488E-3</v>
      </c>
      <c r="H53" s="86" t="s">
        <v>142</v>
      </c>
    </row>
    <row r="54" spans="1:8" x14ac:dyDescent="0.2">
      <c r="A54" s="92">
        <v>48</v>
      </c>
      <c r="B54" s="93" t="s">
        <v>307</v>
      </c>
      <c r="C54" s="93" t="s">
        <v>308</v>
      </c>
      <c r="D54" s="93" t="s">
        <v>309</v>
      </c>
      <c r="E54" s="94">
        <v>88054</v>
      </c>
      <c r="F54" s="95">
        <v>2384.8545359999998</v>
      </c>
      <c r="G54" s="96">
        <v>8.1450600000000008E-3</v>
      </c>
      <c r="H54" s="86" t="s">
        <v>142</v>
      </c>
    </row>
    <row r="55" spans="1:8" x14ac:dyDescent="0.2">
      <c r="A55" s="92">
        <v>49</v>
      </c>
      <c r="B55" s="93" t="s">
        <v>752</v>
      </c>
      <c r="C55" s="93" t="s">
        <v>753</v>
      </c>
      <c r="D55" s="93" t="s">
        <v>48</v>
      </c>
      <c r="E55" s="94">
        <v>121608</v>
      </c>
      <c r="F55" s="95">
        <v>2356.0333919999998</v>
      </c>
      <c r="G55" s="96">
        <v>8.0466200000000009E-3</v>
      </c>
      <c r="H55" s="86" t="s">
        <v>142</v>
      </c>
    </row>
    <row r="56" spans="1:8" x14ac:dyDescent="0.2">
      <c r="A56" s="92">
        <v>50</v>
      </c>
      <c r="B56" s="93" t="s">
        <v>198</v>
      </c>
      <c r="C56" s="93" t="s">
        <v>199</v>
      </c>
      <c r="D56" s="93" t="s">
        <v>48</v>
      </c>
      <c r="E56" s="94">
        <v>449142</v>
      </c>
      <c r="F56" s="95">
        <v>2289.2767739999999</v>
      </c>
      <c r="G56" s="96">
        <v>7.81863E-3</v>
      </c>
      <c r="H56" s="86" t="s">
        <v>142</v>
      </c>
    </row>
    <row r="57" spans="1:8" ht="25.5" x14ac:dyDescent="0.2">
      <c r="A57" s="92">
        <v>51</v>
      </c>
      <c r="B57" s="93" t="s">
        <v>53</v>
      </c>
      <c r="C57" s="93" t="s">
        <v>54</v>
      </c>
      <c r="D57" s="93" t="s">
        <v>55</v>
      </c>
      <c r="E57" s="94">
        <v>156942</v>
      </c>
      <c r="F57" s="95">
        <v>2278.0131299999998</v>
      </c>
      <c r="G57" s="96">
        <v>7.7801600000000004E-3</v>
      </c>
      <c r="H57" s="86" t="s">
        <v>142</v>
      </c>
    </row>
    <row r="58" spans="1:8" ht="25.5" x14ac:dyDescent="0.2">
      <c r="A58" s="92">
        <v>52</v>
      </c>
      <c r="B58" s="93" t="s">
        <v>289</v>
      </c>
      <c r="C58" s="93" t="s">
        <v>290</v>
      </c>
      <c r="D58" s="93" t="s">
        <v>191</v>
      </c>
      <c r="E58" s="94">
        <v>62427</v>
      </c>
      <c r="F58" s="95">
        <v>2233.2634979999998</v>
      </c>
      <c r="G58" s="96">
        <v>7.6273199999999999E-3</v>
      </c>
      <c r="H58" s="86" t="s">
        <v>142</v>
      </c>
    </row>
    <row r="59" spans="1:8" ht="25.5" x14ac:dyDescent="0.2">
      <c r="A59" s="92">
        <v>53</v>
      </c>
      <c r="B59" s="93" t="s">
        <v>754</v>
      </c>
      <c r="C59" s="93" t="s">
        <v>755</v>
      </c>
      <c r="D59" s="93" t="s">
        <v>210</v>
      </c>
      <c r="E59" s="94">
        <v>577227</v>
      </c>
      <c r="F59" s="95">
        <v>2157.3859124999999</v>
      </c>
      <c r="G59" s="96">
        <v>7.3681800000000002E-3</v>
      </c>
      <c r="H59" s="86" t="s">
        <v>142</v>
      </c>
    </row>
    <row r="60" spans="1:8" x14ac:dyDescent="0.2">
      <c r="A60" s="92">
        <v>54</v>
      </c>
      <c r="B60" s="93" t="s">
        <v>756</v>
      </c>
      <c r="C60" s="93" t="s">
        <v>757</v>
      </c>
      <c r="D60" s="93" t="s">
        <v>278</v>
      </c>
      <c r="E60" s="94">
        <v>308675</v>
      </c>
      <c r="F60" s="95">
        <v>1988.6386875000001</v>
      </c>
      <c r="G60" s="96">
        <v>6.7918500000000003E-3</v>
      </c>
      <c r="H60" s="86" t="s">
        <v>142</v>
      </c>
    </row>
    <row r="61" spans="1:8" x14ac:dyDescent="0.2">
      <c r="A61" s="92">
        <v>55</v>
      </c>
      <c r="B61" s="93" t="s">
        <v>478</v>
      </c>
      <c r="C61" s="93" t="s">
        <v>479</v>
      </c>
      <c r="D61" s="93" t="s">
        <v>480</v>
      </c>
      <c r="E61" s="94">
        <v>471575</v>
      </c>
      <c r="F61" s="95">
        <v>1887.4789375</v>
      </c>
      <c r="G61" s="96">
        <v>6.4463599999999999E-3</v>
      </c>
      <c r="H61" s="86" t="s">
        <v>142</v>
      </c>
    </row>
    <row r="62" spans="1:8" x14ac:dyDescent="0.2">
      <c r="A62" s="92">
        <v>56</v>
      </c>
      <c r="B62" s="93" t="s">
        <v>310</v>
      </c>
      <c r="C62" s="93" t="s">
        <v>311</v>
      </c>
      <c r="D62" s="93" t="s">
        <v>38</v>
      </c>
      <c r="E62" s="94">
        <v>88054</v>
      </c>
      <c r="F62" s="95">
        <v>1885.0600320000001</v>
      </c>
      <c r="G62" s="96">
        <v>6.4381000000000004E-3</v>
      </c>
      <c r="H62" s="86" t="s">
        <v>142</v>
      </c>
    </row>
    <row r="63" spans="1:8" ht="25.5" x14ac:dyDescent="0.2">
      <c r="A63" s="92">
        <v>57</v>
      </c>
      <c r="B63" s="93" t="s">
        <v>474</v>
      </c>
      <c r="C63" s="93" t="s">
        <v>475</v>
      </c>
      <c r="D63" s="93" t="s">
        <v>132</v>
      </c>
      <c r="E63" s="94">
        <v>67627</v>
      </c>
      <c r="F63" s="95">
        <v>1311.355157</v>
      </c>
      <c r="G63" s="96">
        <v>4.4787100000000003E-3</v>
      </c>
      <c r="H63" s="86" t="s">
        <v>142</v>
      </c>
    </row>
    <row r="64" spans="1:8" ht="25.5" x14ac:dyDescent="0.2">
      <c r="A64" s="92">
        <v>58</v>
      </c>
      <c r="B64" s="93" t="s">
        <v>299</v>
      </c>
      <c r="C64" s="93" t="s">
        <v>300</v>
      </c>
      <c r="D64" s="93" t="s">
        <v>225</v>
      </c>
      <c r="E64" s="94">
        <v>60105</v>
      </c>
      <c r="F64" s="95">
        <v>1159.3653449999999</v>
      </c>
      <c r="G64" s="96">
        <v>3.9596099999999997E-3</v>
      </c>
      <c r="H64" s="86" t="s">
        <v>142</v>
      </c>
    </row>
    <row r="65" spans="1:8" x14ac:dyDescent="0.2">
      <c r="A65" s="92">
        <v>59</v>
      </c>
      <c r="B65" s="93" t="s">
        <v>101</v>
      </c>
      <c r="C65" s="93" t="s">
        <v>102</v>
      </c>
      <c r="D65" s="93" t="s">
        <v>38</v>
      </c>
      <c r="E65" s="94">
        <v>22462</v>
      </c>
      <c r="F65" s="95">
        <v>903.28686800000003</v>
      </c>
      <c r="G65" s="96">
        <v>3.0850199999999999E-3</v>
      </c>
      <c r="H65" s="86" t="s">
        <v>142</v>
      </c>
    </row>
    <row r="66" spans="1:8" x14ac:dyDescent="0.2">
      <c r="A66" s="92">
        <v>60</v>
      </c>
      <c r="B66" s="93" t="s">
        <v>213</v>
      </c>
      <c r="C66" s="93" t="s">
        <v>214</v>
      </c>
      <c r="D66" s="93" t="s">
        <v>215</v>
      </c>
      <c r="E66" s="94">
        <v>32547</v>
      </c>
      <c r="F66" s="95">
        <v>806.84013000000004</v>
      </c>
      <c r="G66" s="96">
        <v>2.7556199999999999E-3</v>
      </c>
      <c r="H66" s="86" t="s">
        <v>142</v>
      </c>
    </row>
    <row r="67" spans="1:8" x14ac:dyDescent="0.2">
      <c r="A67" s="92">
        <v>61</v>
      </c>
      <c r="B67" s="93" t="s">
        <v>41</v>
      </c>
      <c r="C67" s="93" t="s">
        <v>42</v>
      </c>
      <c r="D67" s="93" t="s">
        <v>43</v>
      </c>
      <c r="E67" s="94">
        <v>25094</v>
      </c>
      <c r="F67" s="95">
        <v>762.20515599999999</v>
      </c>
      <c r="G67" s="96">
        <v>2.6031800000000001E-3</v>
      </c>
      <c r="H67" s="86" t="s">
        <v>142</v>
      </c>
    </row>
    <row r="68" spans="1:8" x14ac:dyDescent="0.2">
      <c r="A68" s="92">
        <v>62</v>
      </c>
      <c r="B68" s="93" t="s">
        <v>59</v>
      </c>
      <c r="C68" s="93" t="s">
        <v>60</v>
      </c>
      <c r="D68" s="93" t="s">
        <v>61</v>
      </c>
      <c r="E68" s="94">
        <v>10490</v>
      </c>
      <c r="F68" s="95">
        <v>590.0625</v>
      </c>
      <c r="G68" s="96">
        <v>2.0152600000000001E-3</v>
      </c>
      <c r="H68" s="86" t="s">
        <v>142</v>
      </c>
    </row>
    <row r="69" spans="1:8" x14ac:dyDescent="0.2">
      <c r="A69" s="92">
        <v>63</v>
      </c>
      <c r="B69" s="93" t="s">
        <v>481</v>
      </c>
      <c r="C69" s="93" t="s">
        <v>482</v>
      </c>
      <c r="D69" s="93" t="s">
        <v>257</v>
      </c>
      <c r="E69" s="94">
        <v>48302</v>
      </c>
      <c r="F69" s="95">
        <v>561.51075000000003</v>
      </c>
      <c r="G69" s="96">
        <v>1.91774E-3</v>
      </c>
      <c r="H69" s="86" t="s">
        <v>142</v>
      </c>
    </row>
    <row r="70" spans="1:8" x14ac:dyDescent="0.2">
      <c r="A70" s="92">
        <v>64</v>
      </c>
      <c r="B70" s="93" t="s">
        <v>89</v>
      </c>
      <c r="C70" s="93" t="s">
        <v>90</v>
      </c>
      <c r="D70" s="93" t="s">
        <v>38</v>
      </c>
      <c r="E70" s="94">
        <v>3004</v>
      </c>
      <c r="F70" s="95">
        <v>373.21695999999997</v>
      </c>
      <c r="G70" s="96">
        <v>1.2746599999999999E-3</v>
      </c>
      <c r="H70" s="86" t="s">
        <v>142</v>
      </c>
    </row>
    <row r="71" spans="1:8" x14ac:dyDescent="0.2">
      <c r="A71" s="97"/>
      <c r="B71" s="97"/>
      <c r="C71" s="98" t="s">
        <v>141</v>
      </c>
      <c r="D71" s="97"/>
      <c r="E71" s="97" t="s">
        <v>142</v>
      </c>
      <c r="F71" s="99">
        <f>SUM(F7:F70)</f>
        <v>284330.53266149986</v>
      </c>
      <c r="G71" s="100">
        <f>SUM(G7:G70)</f>
        <v>0.97108161999999998</v>
      </c>
      <c r="H71" s="86" t="s">
        <v>142</v>
      </c>
    </row>
    <row r="72" spans="1:8" x14ac:dyDescent="0.2">
      <c r="A72" s="97"/>
      <c r="B72" s="97"/>
      <c r="C72" s="101"/>
      <c r="D72" s="97"/>
      <c r="E72" s="97"/>
      <c r="F72" s="102"/>
      <c r="G72" s="102"/>
      <c r="H72" s="86" t="s">
        <v>142</v>
      </c>
    </row>
    <row r="73" spans="1:8" x14ac:dyDescent="0.2">
      <c r="A73" s="97"/>
      <c r="B73" s="97"/>
      <c r="C73" s="98" t="s">
        <v>143</v>
      </c>
      <c r="D73" s="97"/>
      <c r="E73" s="97"/>
      <c r="F73" s="97"/>
      <c r="G73" s="97"/>
      <c r="H73" s="86" t="s">
        <v>142</v>
      </c>
    </row>
    <row r="74" spans="1:8" x14ac:dyDescent="0.2">
      <c r="A74" s="97"/>
      <c r="B74" s="97"/>
      <c r="C74" s="98" t="s">
        <v>141</v>
      </c>
      <c r="D74" s="97"/>
      <c r="E74" s="97" t="s">
        <v>142</v>
      </c>
      <c r="F74" s="103" t="s">
        <v>144</v>
      </c>
      <c r="G74" s="100">
        <v>0</v>
      </c>
      <c r="H74" s="86" t="s">
        <v>142</v>
      </c>
    </row>
    <row r="75" spans="1:8" x14ac:dyDescent="0.2">
      <c r="A75" s="97"/>
      <c r="B75" s="97"/>
      <c r="C75" s="101"/>
      <c r="D75" s="97"/>
      <c r="E75" s="97"/>
      <c r="F75" s="102"/>
      <c r="G75" s="102"/>
      <c r="H75" s="86" t="s">
        <v>142</v>
      </c>
    </row>
    <row r="76" spans="1:8" x14ac:dyDescent="0.2">
      <c r="A76" s="97"/>
      <c r="B76" s="97"/>
      <c r="C76" s="98" t="s">
        <v>145</v>
      </c>
      <c r="D76" s="97"/>
      <c r="E76" s="97"/>
      <c r="F76" s="97"/>
      <c r="G76" s="97"/>
      <c r="H76" s="86" t="s">
        <v>142</v>
      </c>
    </row>
    <row r="77" spans="1:8" x14ac:dyDescent="0.2">
      <c r="A77" s="92">
        <v>65</v>
      </c>
      <c r="B77" s="93" t="s">
        <v>520</v>
      </c>
      <c r="C77" s="93" t="s">
        <v>1070</v>
      </c>
      <c r="D77" s="93" t="s">
        <v>218</v>
      </c>
      <c r="E77" s="94">
        <v>511578</v>
      </c>
      <c r="F77" s="95">
        <v>76.071648600000003</v>
      </c>
      <c r="G77" s="96">
        <v>2.5981000000000002E-4</v>
      </c>
      <c r="H77" s="86" t="s">
        <v>142</v>
      </c>
    </row>
    <row r="78" spans="1:8" x14ac:dyDescent="0.2">
      <c r="A78" s="92">
        <v>66</v>
      </c>
      <c r="B78" s="93" t="s">
        <v>758</v>
      </c>
      <c r="C78" s="93" t="s">
        <v>1071</v>
      </c>
      <c r="D78" s="93" t="s">
        <v>215</v>
      </c>
      <c r="E78" s="94">
        <v>39500</v>
      </c>
      <c r="F78" s="95">
        <v>9.1876999999999995</v>
      </c>
      <c r="G78" s="96" t="s">
        <v>140</v>
      </c>
      <c r="H78" s="86" t="s">
        <v>142</v>
      </c>
    </row>
    <row r="79" spans="1:8" x14ac:dyDescent="0.2">
      <c r="A79" s="92">
        <v>67</v>
      </c>
      <c r="B79" s="93" t="s">
        <v>759</v>
      </c>
      <c r="C79" s="93" t="s">
        <v>1072</v>
      </c>
      <c r="D79" s="93"/>
      <c r="E79" s="94">
        <v>54000</v>
      </c>
      <c r="F79" s="95">
        <v>5.4000000000000002E-7</v>
      </c>
      <c r="G79" s="104" t="s">
        <v>140</v>
      </c>
      <c r="H79" s="86" t="s">
        <v>142</v>
      </c>
    </row>
    <row r="80" spans="1:8" x14ac:dyDescent="0.2">
      <c r="A80" s="92">
        <v>70</v>
      </c>
      <c r="B80" s="93" t="s">
        <v>764</v>
      </c>
      <c r="C80" s="93" t="s">
        <v>1073</v>
      </c>
      <c r="D80" s="93"/>
      <c r="E80" s="94">
        <v>200</v>
      </c>
      <c r="F80" s="95">
        <v>2.0000000000000001E-9</v>
      </c>
      <c r="G80" s="104" t="s">
        <v>140</v>
      </c>
      <c r="H80" s="86" t="s">
        <v>142</v>
      </c>
    </row>
    <row r="81" spans="1:8" x14ac:dyDescent="0.2">
      <c r="A81" s="92">
        <v>72</v>
      </c>
      <c r="B81" s="93" t="s">
        <v>766</v>
      </c>
      <c r="C81" s="93" t="s">
        <v>1074</v>
      </c>
      <c r="D81" s="93"/>
      <c r="E81" s="94">
        <v>176305</v>
      </c>
      <c r="F81" s="95">
        <v>1.7630000000000001E-6</v>
      </c>
      <c r="G81" s="104" t="s">
        <v>140</v>
      </c>
      <c r="H81" s="86" t="s">
        <v>142</v>
      </c>
    </row>
    <row r="82" spans="1:8" x14ac:dyDescent="0.2">
      <c r="A82" s="92">
        <v>71</v>
      </c>
      <c r="B82" s="93" t="s">
        <v>765</v>
      </c>
      <c r="C82" s="93" t="s">
        <v>1075</v>
      </c>
      <c r="D82" s="93"/>
      <c r="E82" s="94">
        <v>93200</v>
      </c>
      <c r="F82" s="95">
        <v>9.3200000000000003E-7</v>
      </c>
      <c r="G82" s="104" t="s">
        <v>140</v>
      </c>
      <c r="H82" s="86" t="s">
        <v>142</v>
      </c>
    </row>
    <row r="83" spans="1:8" ht="38.25" x14ac:dyDescent="0.2">
      <c r="A83" s="92">
        <v>69</v>
      </c>
      <c r="B83" s="93" t="s">
        <v>762</v>
      </c>
      <c r="C83" s="93" t="s">
        <v>1076</v>
      </c>
      <c r="D83" s="93" t="s">
        <v>763</v>
      </c>
      <c r="E83" s="94">
        <v>200000</v>
      </c>
      <c r="F83" s="95">
        <v>1.9999999999999999E-6</v>
      </c>
      <c r="G83" s="104" t="s">
        <v>140</v>
      </c>
      <c r="H83" s="86" t="s">
        <v>142</v>
      </c>
    </row>
    <row r="84" spans="1:8" ht="25.5" x14ac:dyDescent="0.2">
      <c r="A84" s="92">
        <v>68</v>
      </c>
      <c r="B84" s="93" t="s">
        <v>760</v>
      </c>
      <c r="C84" s="93" t="s">
        <v>1077</v>
      </c>
      <c r="D84" s="93" t="s">
        <v>761</v>
      </c>
      <c r="E84" s="94">
        <v>50800</v>
      </c>
      <c r="F84" s="95">
        <v>5.0800000000000005E-7</v>
      </c>
      <c r="G84" s="104" t="s">
        <v>140</v>
      </c>
      <c r="H84" s="86" t="s">
        <v>142</v>
      </c>
    </row>
    <row r="85" spans="1:8" x14ac:dyDescent="0.2">
      <c r="A85" s="97"/>
      <c r="B85" s="97"/>
      <c r="C85" s="98" t="s">
        <v>141</v>
      </c>
      <c r="D85" s="97"/>
      <c r="E85" s="97" t="s">
        <v>142</v>
      </c>
      <c r="F85" s="99">
        <f>SUM(F77:F84)</f>
        <v>85.259354345000006</v>
      </c>
      <c r="G85" s="100">
        <f>SUM(G77:G84)</f>
        <v>2.5981000000000002E-4</v>
      </c>
      <c r="H85" s="86" t="s">
        <v>142</v>
      </c>
    </row>
    <row r="86" spans="1:8" x14ac:dyDescent="0.2">
      <c r="A86" s="97"/>
      <c r="B86" s="97"/>
      <c r="C86" s="101"/>
      <c r="D86" s="97"/>
      <c r="E86" s="97"/>
      <c r="F86" s="102"/>
      <c r="G86" s="102"/>
      <c r="H86" s="86" t="s">
        <v>142</v>
      </c>
    </row>
    <row r="87" spans="1:8" x14ac:dyDescent="0.2">
      <c r="A87" s="97"/>
      <c r="B87" s="97"/>
      <c r="C87" s="98" t="s">
        <v>146</v>
      </c>
      <c r="D87" s="97"/>
      <c r="E87" s="97"/>
      <c r="F87" s="97"/>
      <c r="G87" s="97"/>
      <c r="H87" s="86" t="s">
        <v>142</v>
      </c>
    </row>
    <row r="88" spans="1:8" x14ac:dyDescent="0.2">
      <c r="A88" s="97"/>
      <c r="B88" s="97"/>
      <c r="C88" s="98" t="s">
        <v>141</v>
      </c>
      <c r="D88" s="97"/>
      <c r="E88" s="97" t="s">
        <v>142</v>
      </c>
      <c r="F88" s="103" t="s">
        <v>144</v>
      </c>
      <c r="G88" s="100">
        <v>0</v>
      </c>
      <c r="H88" s="86" t="s">
        <v>142</v>
      </c>
    </row>
    <row r="89" spans="1:8" x14ac:dyDescent="0.2">
      <c r="A89" s="97"/>
      <c r="B89" s="97"/>
      <c r="C89" s="101"/>
      <c r="D89" s="97"/>
      <c r="E89" s="97"/>
      <c r="F89" s="102"/>
      <c r="G89" s="102"/>
      <c r="H89" s="86" t="s">
        <v>142</v>
      </c>
    </row>
    <row r="90" spans="1:8" x14ac:dyDescent="0.2">
      <c r="A90" s="97"/>
      <c r="B90" s="97"/>
      <c r="C90" s="98" t="s">
        <v>147</v>
      </c>
      <c r="D90" s="97"/>
      <c r="E90" s="97"/>
      <c r="F90" s="102"/>
      <c r="G90" s="102"/>
      <c r="H90" s="86" t="s">
        <v>142</v>
      </c>
    </row>
    <row r="91" spans="1:8" x14ac:dyDescent="0.2">
      <c r="A91" s="97"/>
      <c r="B91" s="97"/>
      <c r="C91" s="98" t="s">
        <v>141</v>
      </c>
      <c r="D91" s="97"/>
      <c r="E91" s="97" t="s">
        <v>142</v>
      </c>
      <c r="F91" s="103" t="s">
        <v>144</v>
      </c>
      <c r="G91" s="100">
        <v>0</v>
      </c>
      <c r="H91" s="86" t="s">
        <v>142</v>
      </c>
    </row>
    <row r="92" spans="1:8" x14ac:dyDescent="0.2">
      <c r="A92" s="97"/>
      <c r="B92" s="97"/>
      <c r="C92" s="101"/>
      <c r="D92" s="97"/>
      <c r="E92" s="97"/>
      <c r="F92" s="102"/>
      <c r="G92" s="102"/>
      <c r="H92" s="86" t="s">
        <v>142</v>
      </c>
    </row>
    <row r="93" spans="1:8" x14ac:dyDescent="0.2">
      <c r="A93" s="97"/>
      <c r="B93" s="97"/>
      <c r="C93" s="98" t="s">
        <v>148</v>
      </c>
      <c r="D93" s="97"/>
      <c r="E93" s="97"/>
      <c r="F93" s="102"/>
      <c r="G93" s="102"/>
      <c r="H93" s="86" t="s">
        <v>142</v>
      </c>
    </row>
    <row r="94" spans="1:8" x14ac:dyDescent="0.2">
      <c r="A94" s="97"/>
      <c r="B94" s="97"/>
      <c r="C94" s="98" t="s">
        <v>141</v>
      </c>
      <c r="D94" s="97"/>
      <c r="E94" s="97" t="s">
        <v>142</v>
      </c>
      <c r="F94" s="103" t="s">
        <v>144</v>
      </c>
      <c r="G94" s="100">
        <v>0</v>
      </c>
      <c r="H94" s="86" t="s">
        <v>142</v>
      </c>
    </row>
    <row r="95" spans="1:8" x14ac:dyDescent="0.2">
      <c r="A95" s="97"/>
      <c r="B95" s="97"/>
      <c r="C95" s="101"/>
      <c r="D95" s="97"/>
      <c r="E95" s="97"/>
      <c r="F95" s="102"/>
      <c r="G95" s="102"/>
      <c r="H95" s="86" t="s">
        <v>142</v>
      </c>
    </row>
    <row r="96" spans="1:8" x14ac:dyDescent="0.2">
      <c r="A96" s="97"/>
      <c r="B96" s="97"/>
      <c r="C96" s="98" t="s">
        <v>149</v>
      </c>
      <c r="D96" s="97"/>
      <c r="E96" s="97"/>
      <c r="F96" s="99">
        <v>284415.79201584501</v>
      </c>
      <c r="G96" s="100">
        <v>0.97137280999999998</v>
      </c>
      <c r="H96" s="86" t="s">
        <v>142</v>
      </c>
    </row>
    <row r="97" spans="1:8" x14ac:dyDescent="0.2">
      <c r="A97" s="97"/>
      <c r="B97" s="97"/>
      <c r="C97" s="101"/>
      <c r="D97" s="97"/>
      <c r="E97" s="97"/>
      <c r="F97" s="102"/>
      <c r="G97" s="102"/>
      <c r="H97" s="86" t="s">
        <v>142</v>
      </c>
    </row>
    <row r="98" spans="1:8" x14ac:dyDescent="0.2">
      <c r="A98" s="97"/>
      <c r="B98" s="97"/>
      <c r="C98" s="98" t="s">
        <v>150</v>
      </c>
      <c r="D98" s="97"/>
      <c r="E98" s="97"/>
      <c r="F98" s="102"/>
      <c r="G98" s="102"/>
      <c r="H98" s="86" t="s">
        <v>142</v>
      </c>
    </row>
    <row r="99" spans="1:8" x14ac:dyDescent="0.2">
      <c r="A99" s="97"/>
      <c r="B99" s="97"/>
      <c r="C99" s="98" t="s">
        <v>10</v>
      </c>
      <c r="D99" s="97"/>
      <c r="E99" s="97"/>
      <c r="F99" s="102"/>
      <c r="G99" s="102"/>
      <c r="H99" s="86" t="s">
        <v>142</v>
      </c>
    </row>
    <row r="100" spans="1:8" x14ac:dyDescent="0.2">
      <c r="A100" s="97"/>
      <c r="B100" s="97"/>
      <c r="C100" s="98" t="s">
        <v>141</v>
      </c>
      <c r="D100" s="97"/>
      <c r="E100" s="97" t="s">
        <v>142</v>
      </c>
      <c r="F100" s="103" t="s">
        <v>144</v>
      </c>
      <c r="G100" s="100">
        <v>0</v>
      </c>
      <c r="H100" s="86" t="s">
        <v>142</v>
      </c>
    </row>
    <row r="101" spans="1:8" x14ac:dyDescent="0.2">
      <c r="A101" s="97"/>
      <c r="B101" s="97"/>
      <c r="C101" s="101"/>
      <c r="D101" s="97"/>
      <c r="E101" s="97"/>
      <c r="F101" s="102"/>
      <c r="G101" s="102"/>
      <c r="H101" s="86" t="s">
        <v>142</v>
      </c>
    </row>
    <row r="102" spans="1:8" x14ac:dyDescent="0.2">
      <c r="A102" s="97"/>
      <c r="B102" s="97"/>
      <c r="C102" s="98" t="s">
        <v>151</v>
      </c>
      <c r="D102" s="97"/>
      <c r="E102" s="97"/>
      <c r="F102" s="97"/>
      <c r="G102" s="97"/>
      <c r="H102" s="86" t="s">
        <v>142</v>
      </c>
    </row>
    <row r="103" spans="1:8" x14ac:dyDescent="0.2">
      <c r="A103" s="97"/>
      <c r="B103" s="97"/>
      <c r="C103" s="98" t="s">
        <v>141</v>
      </c>
      <c r="D103" s="97"/>
      <c r="E103" s="97" t="s">
        <v>142</v>
      </c>
      <c r="F103" s="103" t="s">
        <v>144</v>
      </c>
      <c r="G103" s="100">
        <v>0</v>
      </c>
      <c r="H103" s="86" t="s">
        <v>142</v>
      </c>
    </row>
    <row r="104" spans="1:8" x14ac:dyDescent="0.2">
      <c r="A104" s="97"/>
      <c r="B104" s="97"/>
      <c r="C104" s="101"/>
      <c r="D104" s="97"/>
      <c r="E104" s="97"/>
      <c r="F104" s="102"/>
      <c r="G104" s="102"/>
      <c r="H104" s="86" t="s">
        <v>142</v>
      </c>
    </row>
    <row r="105" spans="1:8" x14ac:dyDescent="0.2">
      <c r="A105" s="97"/>
      <c r="B105" s="97"/>
      <c r="C105" s="98" t="s">
        <v>152</v>
      </c>
      <c r="D105" s="97"/>
      <c r="E105" s="97"/>
      <c r="F105" s="97"/>
      <c r="G105" s="97"/>
      <c r="H105" s="86" t="s">
        <v>142</v>
      </c>
    </row>
    <row r="106" spans="1:8" x14ac:dyDescent="0.2">
      <c r="A106" s="97"/>
      <c r="B106" s="97"/>
      <c r="C106" s="98" t="s">
        <v>141</v>
      </c>
      <c r="D106" s="97"/>
      <c r="E106" s="97" t="s">
        <v>142</v>
      </c>
      <c r="F106" s="103" t="s">
        <v>144</v>
      </c>
      <c r="G106" s="100">
        <v>0</v>
      </c>
      <c r="H106" s="86" t="s">
        <v>142</v>
      </c>
    </row>
    <row r="107" spans="1:8" x14ac:dyDescent="0.2">
      <c r="A107" s="97"/>
      <c r="B107" s="97"/>
      <c r="C107" s="101"/>
      <c r="D107" s="97"/>
      <c r="E107" s="97"/>
      <c r="F107" s="102"/>
      <c r="G107" s="102"/>
      <c r="H107" s="86" t="s">
        <v>142</v>
      </c>
    </row>
    <row r="108" spans="1:8" x14ac:dyDescent="0.2">
      <c r="A108" s="97"/>
      <c r="B108" s="97"/>
      <c r="C108" s="98" t="s">
        <v>153</v>
      </c>
      <c r="D108" s="97"/>
      <c r="E108" s="97"/>
      <c r="F108" s="102"/>
      <c r="G108" s="102"/>
      <c r="H108" s="86" t="s">
        <v>142</v>
      </c>
    </row>
    <row r="109" spans="1:8" x14ac:dyDescent="0.2">
      <c r="A109" s="97"/>
      <c r="B109" s="97"/>
      <c r="C109" s="98" t="s">
        <v>141</v>
      </c>
      <c r="D109" s="97"/>
      <c r="E109" s="97" t="s">
        <v>142</v>
      </c>
      <c r="F109" s="103" t="s">
        <v>144</v>
      </c>
      <c r="G109" s="100">
        <v>0</v>
      </c>
      <c r="H109" s="86" t="s">
        <v>142</v>
      </c>
    </row>
    <row r="110" spans="1:8" x14ac:dyDescent="0.2">
      <c r="A110" s="97"/>
      <c r="B110" s="97"/>
      <c r="C110" s="101"/>
      <c r="D110" s="97"/>
      <c r="E110" s="97"/>
      <c r="F110" s="102"/>
      <c r="G110" s="102"/>
      <c r="H110" s="86" t="s">
        <v>142</v>
      </c>
    </row>
    <row r="111" spans="1:8" x14ac:dyDescent="0.2">
      <c r="A111" s="97"/>
      <c r="B111" s="97"/>
      <c r="C111" s="98" t="s">
        <v>154</v>
      </c>
      <c r="D111" s="97"/>
      <c r="E111" s="97"/>
      <c r="F111" s="99">
        <v>0</v>
      </c>
      <c r="G111" s="100">
        <v>0</v>
      </c>
      <c r="H111" s="86" t="s">
        <v>142</v>
      </c>
    </row>
    <row r="112" spans="1:8" x14ac:dyDescent="0.2">
      <c r="A112" s="97"/>
      <c r="B112" s="97"/>
      <c r="C112" s="101"/>
      <c r="D112" s="97"/>
      <c r="E112" s="97"/>
      <c r="F112" s="102"/>
      <c r="G112" s="102"/>
      <c r="H112" s="86" t="s">
        <v>142</v>
      </c>
    </row>
    <row r="113" spans="1:8" x14ac:dyDescent="0.2">
      <c r="A113" s="97"/>
      <c r="B113" s="97"/>
      <c r="C113" s="98" t="s">
        <v>155</v>
      </c>
      <c r="D113" s="97"/>
      <c r="E113" s="97"/>
      <c r="F113" s="102"/>
      <c r="G113" s="102"/>
      <c r="H113" s="86" t="s">
        <v>142</v>
      </c>
    </row>
    <row r="114" spans="1:8" x14ac:dyDescent="0.2">
      <c r="A114" s="97"/>
      <c r="B114" s="97"/>
      <c r="C114" s="98" t="s">
        <v>156</v>
      </c>
      <c r="D114" s="97"/>
      <c r="E114" s="97"/>
      <c r="F114" s="102"/>
      <c r="G114" s="102"/>
      <c r="H114" s="86" t="s">
        <v>142</v>
      </c>
    </row>
    <row r="115" spans="1:8" x14ac:dyDescent="0.2">
      <c r="A115" s="97"/>
      <c r="B115" s="97"/>
      <c r="C115" s="98" t="s">
        <v>141</v>
      </c>
      <c r="D115" s="97"/>
      <c r="E115" s="97" t="s">
        <v>142</v>
      </c>
      <c r="F115" s="103" t="s">
        <v>144</v>
      </c>
      <c r="G115" s="100">
        <v>0</v>
      </c>
      <c r="H115" s="86" t="s">
        <v>142</v>
      </c>
    </row>
    <row r="116" spans="1:8" x14ac:dyDescent="0.2">
      <c r="A116" s="97"/>
      <c r="B116" s="97"/>
      <c r="C116" s="101"/>
      <c r="D116" s="97"/>
      <c r="E116" s="97"/>
      <c r="F116" s="102"/>
      <c r="G116" s="102"/>
      <c r="H116" s="86" t="s">
        <v>142</v>
      </c>
    </row>
    <row r="117" spans="1:8" x14ac:dyDescent="0.2">
      <c r="A117" s="97"/>
      <c r="B117" s="97"/>
      <c r="C117" s="98" t="s">
        <v>157</v>
      </c>
      <c r="D117" s="97"/>
      <c r="E117" s="97"/>
      <c r="F117" s="102"/>
      <c r="G117" s="102"/>
      <c r="H117" s="86" t="s">
        <v>142</v>
      </c>
    </row>
    <row r="118" spans="1:8" x14ac:dyDescent="0.2">
      <c r="A118" s="97"/>
      <c r="B118" s="97"/>
      <c r="C118" s="98" t="s">
        <v>141</v>
      </c>
      <c r="D118" s="97"/>
      <c r="E118" s="97" t="s">
        <v>142</v>
      </c>
      <c r="F118" s="103" t="s">
        <v>144</v>
      </c>
      <c r="G118" s="100">
        <v>0</v>
      </c>
      <c r="H118" s="86" t="s">
        <v>142</v>
      </c>
    </row>
    <row r="119" spans="1:8" x14ac:dyDescent="0.2">
      <c r="A119" s="97"/>
      <c r="B119" s="97"/>
      <c r="C119" s="101"/>
      <c r="D119" s="97"/>
      <c r="E119" s="97"/>
      <c r="F119" s="102"/>
      <c r="G119" s="102"/>
      <c r="H119" s="86" t="s">
        <v>142</v>
      </c>
    </row>
    <row r="120" spans="1:8" x14ac:dyDescent="0.2">
      <c r="A120" s="97"/>
      <c r="B120" s="97"/>
      <c r="C120" s="98" t="s">
        <v>158</v>
      </c>
      <c r="D120" s="97"/>
      <c r="E120" s="97"/>
      <c r="F120" s="102"/>
      <c r="G120" s="102"/>
      <c r="H120" s="86" t="s">
        <v>142</v>
      </c>
    </row>
    <row r="121" spans="1:8" x14ac:dyDescent="0.2">
      <c r="A121" s="97"/>
      <c r="B121" s="97"/>
      <c r="C121" s="98" t="s">
        <v>141</v>
      </c>
      <c r="D121" s="97"/>
      <c r="E121" s="97" t="s">
        <v>142</v>
      </c>
      <c r="F121" s="103" t="s">
        <v>144</v>
      </c>
      <c r="G121" s="100">
        <v>0</v>
      </c>
      <c r="H121" s="86" t="s">
        <v>142</v>
      </c>
    </row>
    <row r="122" spans="1:8" x14ac:dyDescent="0.2">
      <c r="A122" s="97"/>
      <c r="B122" s="97"/>
      <c r="C122" s="101"/>
      <c r="D122" s="97"/>
      <c r="E122" s="97"/>
      <c r="F122" s="102"/>
      <c r="G122" s="102"/>
      <c r="H122" s="86" t="s">
        <v>142</v>
      </c>
    </row>
    <row r="123" spans="1:8" x14ac:dyDescent="0.2">
      <c r="A123" s="97"/>
      <c r="B123" s="97"/>
      <c r="C123" s="98" t="s">
        <v>159</v>
      </c>
      <c r="D123" s="97"/>
      <c r="E123" s="97"/>
      <c r="F123" s="102"/>
      <c r="G123" s="102"/>
      <c r="H123" s="86" t="s">
        <v>142</v>
      </c>
    </row>
    <row r="124" spans="1:8" x14ac:dyDescent="0.2">
      <c r="A124" s="92">
        <v>1</v>
      </c>
      <c r="B124" s="93"/>
      <c r="C124" s="93" t="s">
        <v>160</v>
      </c>
      <c r="D124" s="93"/>
      <c r="E124" s="104"/>
      <c r="F124" s="95">
        <v>7106.4978439070001</v>
      </c>
      <c r="G124" s="96">
        <v>2.4271009999999999E-2</v>
      </c>
      <c r="H124" s="86">
        <v>5.57</v>
      </c>
    </row>
    <row r="125" spans="1:8" x14ac:dyDescent="0.2">
      <c r="A125" s="97"/>
      <c r="B125" s="97"/>
      <c r="C125" s="98" t="s">
        <v>141</v>
      </c>
      <c r="D125" s="97"/>
      <c r="E125" s="97" t="s">
        <v>142</v>
      </c>
      <c r="F125" s="99">
        <v>7106.4978439070001</v>
      </c>
      <c r="G125" s="100">
        <v>2.4271009999999999E-2</v>
      </c>
      <c r="H125" s="86" t="s">
        <v>142</v>
      </c>
    </row>
    <row r="126" spans="1:8" x14ac:dyDescent="0.2">
      <c r="A126" s="97"/>
      <c r="B126" s="97"/>
      <c r="C126" s="101"/>
      <c r="D126" s="97"/>
      <c r="E126" s="97"/>
      <c r="F126" s="102"/>
      <c r="G126" s="102"/>
      <c r="H126" s="86" t="s">
        <v>142</v>
      </c>
    </row>
    <row r="127" spans="1:8" x14ac:dyDescent="0.2">
      <c r="A127" s="97"/>
      <c r="B127" s="97"/>
      <c r="C127" s="98" t="s">
        <v>161</v>
      </c>
      <c r="D127" s="97"/>
      <c r="E127" s="97"/>
      <c r="F127" s="99">
        <v>7106.4978439070001</v>
      </c>
      <c r="G127" s="100">
        <v>2.4271009999999999E-2</v>
      </c>
      <c r="H127" s="86" t="s">
        <v>142</v>
      </c>
    </row>
    <row r="128" spans="1:8" x14ac:dyDescent="0.2">
      <c r="A128" s="97"/>
      <c r="B128" s="97"/>
      <c r="C128" s="102"/>
      <c r="D128" s="97"/>
      <c r="E128" s="97"/>
      <c r="F128" s="97"/>
      <c r="G128" s="97"/>
      <c r="H128" s="86" t="s">
        <v>142</v>
      </c>
    </row>
    <row r="129" spans="1:10" x14ac:dyDescent="0.2">
      <c r="A129" s="97"/>
      <c r="B129" s="97"/>
      <c r="C129" s="98" t="s">
        <v>162</v>
      </c>
      <c r="D129" s="97"/>
      <c r="E129" s="97"/>
      <c r="F129" s="97"/>
      <c r="G129" s="97"/>
      <c r="H129" s="86" t="s">
        <v>142</v>
      </c>
    </row>
    <row r="130" spans="1:10" x14ac:dyDescent="0.2">
      <c r="A130" s="97"/>
      <c r="B130" s="97"/>
      <c r="C130" s="98" t="s">
        <v>163</v>
      </c>
      <c r="D130" s="97"/>
      <c r="E130" s="97"/>
      <c r="F130" s="97"/>
      <c r="G130" s="97"/>
      <c r="H130" s="86" t="s">
        <v>142</v>
      </c>
    </row>
    <row r="131" spans="1:10" x14ac:dyDescent="0.2">
      <c r="A131" s="97"/>
      <c r="B131" s="97"/>
      <c r="C131" s="98" t="s">
        <v>141</v>
      </c>
      <c r="D131" s="97"/>
      <c r="E131" s="97" t="s">
        <v>142</v>
      </c>
      <c r="F131" s="103" t="s">
        <v>144</v>
      </c>
      <c r="G131" s="100">
        <v>0</v>
      </c>
      <c r="H131" s="86" t="s">
        <v>142</v>
      </c>
    </row>
    <row r="132" spans="1:10" x14ac:dyDescent="0.2">
      <c r="A132" s="97"/>
      <c r="B132" s="97"/>
      <c r="C132" s="101"/>
      <c r="D132" s="97"/>
      <c r="E132" s="97"/>
      <c r="F132" s="102"/>
      <c r="G132" s="102"/>
      <c r="H132" s="86" t="s">
        <v>142</v>
      </c>
    </row>
    <row r="133" spans="1:10" x14ac:dyDescent="0.2">
      <c r="A133" s="97"/>
      <c r="B133" s="97"/>
      <c r="C133" s="98" t="s">
        <v>164</v>
      </c>
      <c r="D133" s="97"/>
      <c r="E133" s="97"/>
      <c r="F133" s="97"/>
      <c r="G133" s="97"/>
      <c r="H133" s="86" t="s">
        <v>142</v>
      </c>
    </row>
    <row r="134" spans="1:10" x14ac:dyDescent="0.2">
      <c r="A134" s="97"/>
      <c r="B134" s="97"/>
      <c r="C134" s="98" t="s">
        <v>165</v>
      </c>
      <c r="D134" s="97"/>
      <c r="E134" s="97"/>
      <c r="F134" s="97"/>
      <c r="G134" s="97"/>
      <c r="H134" s="86" t="s">
        <v>142</v>
      </c>
    </row>
    <row r="135" spans="1:10" x14ac:dyDescent="0.2">
      <c r="A135" s="97"/>
      <c r="B135" s="97"/>
      <c r="C135" s="98" t="s">
        <v>141</v>
      </c>
      <c r="D135" s="97"/>
      <c r="E135" s="97" t="s">
        <v>142</v>
      </c>
      <c r="F135" s="103" t="s">
        <v>144</v>
      </c>
      <c r="G135" s="100">
        <v>0</v>
      </c>
      <c r="H135" s="86" t="s">
        <v>142</v>
      </c>
    </row>
    <row r="136" spans="1:10" x14ac:dyDescent="0.2">
      <c r="A136" s="97"/>
      <c r="B136" s="97"/>
      <c r="C136" s="101"/>
      <c r="D136" s="97"/>
      <c r="E136" s="97"/>
      <c r="F136" s="102"/>
      <c r="G136" s="102"/>
      <c r="H136" s="86" t="s">
        <v>142</v>
      </c>
    </row>
    <row r="137" spans="1:10" x14ac:dyDescent="0.2">
      <c r="A137" s="97"/>
      <c r="B137" s="97"/>
      <c r="C137" s="98" t="s">
        <v>166</v>
      </c>
      <c r="D137" s="97"/>
      <c r="E137" s="97"/>
      <c r="F137" s="102"/>
      <c r="G137" s="102"/>
      <c r="H137" s="86" t="s">
        <v>142</v>
      </c>
    </row>
    <row r="138" spans="1:10" x14ac:dyDescent="0.2">
      <c r="A138" s="97"/>
      <c r="B138" s="97"/>
      <c r="C138" s="98" t="s">
        <v>141</v>
      </c>
      <c r="D138" s="97"/>
      <c r="E138" s="97" t="s">
        <v>142</v>
      </c>
      <c r="F138" s="103" t="s">
        <v>144</v>
      </c>
      <c r="G138" s="100">
        <v>0</v>
      </c>
      <c r="H138" s="86" t="s">
        <v>142</v>
      </c>
    </row>
    <row r="139" spans="1:10" x14ac:dyDescent="0.2">
      <c r="A139" s="97"/>
      <c r="B139" s="93"/>
      <c r="C139" s="93"/>
      <c r="D139" s="98"/>
      <c r="E139" s="97"/>
      <c r="F139" s="93"/>
      <c r="G139" s="104"/>
      <c r="H139" s="86" t="s">
        <v>142</v>
      </c>
    </row>
    <row r="140" spans="1:10" x14ac:dyDescent="0.2">
      <c r="A140" s="104"/>
      <c r="B140" s="93"/>
      <c r="C140" s="93" t="s">
        <v>167</v>
      </c>
      <c r="D140" s="93"/>
      <c r="E140" s="104"/>
      <c r="F140" s="95">
        <v>1275.49669948</v>
      </c>
      <c r="G140" s="96">
        <v>4.3562399999999999E-3</v>
      </c>
      <c r="H140" s="86" t="s">
        <v>142</v>
      </c>
    </row>
    <row r="141" spans="1:10" x14ac:dyDescent="0.2">
      <c r="A141" s="101"/>
      <c r="B141" s="101"/>
      <c r="C141" s="98" t="s">
        <v>168</v>
      </c>
      <c r="D141" s="102"/>
      <c r="E141" s="102"/>
      <c r="F141" s="99">
        <v>292797.78655923199</v>
      </c>
      <c r="G141" s="105">
        <v>1.0000000600000001</v>
      </c>
      <c r="H141" s="86" t="s">
        <v>142</v>
      </c>
    </row>
    <row r="142" spans="1:10" ht="12.75" customHeight="1" x14ac:dyDescent="0.2">
      <c r="A142" s="106"/>
      <c r="B142" s="106"/>
      <c r="C142" s="107"/>
      <c r="D142" s="108"/>
      <c r="E142" s="108"/>
      <c r="F142" s="109"/>
      <c r="G142" s="110"/>
      <c r="H142" s="111"/>
    </row>
    <row r="143" spans="1:10" x14ac:dyDescent="0.2">
      <c r="A143" s="106"/>
      <c r="B143" s="200" t="s">
        <v>918</v>
      </c>
      <c r="C143" s="200"/>
      <c r="D143" s="200"/>
      <c r="E143" s="200"/>
      <c r="F143" s="200"/>
      <c r="G143" s="200"/>
      <c r="H143" s="200"/>
      <c r="J143" s="113"/>
    </row>
    <row r="144" spans="1:10" x14ac:dyDescent="0.2">
      <c r="A144" s="106"/>
      <c r="B144" s="200" t="s">
        <v>919</v>
      </c>
      <c r="C144" s="200"/>
      <c r="D144" s="200"/>
      <c r="E144" s="200"/>
      <c r="F144" s="200"/>
      <c r="G144" s="200"/>
      <c r="H144" s="200"/>
      <c r="J144" s="113"/>
    </row>
    <row r="145" spans="1:17" x14ac:dyDescent="0.2">
      <c r="A145" s="106"/>
      <c r="B145" s="200" t="s">
        <v>920</v>
      </c>
      <c r="C145" s="200"/>
      <c r="D145" s="200"/>
      <c r="E145" s="200"/>
      <c r="F145" s="200"/>
      <c r="G145" s="200"/>
      <c r="H145" s="200"/>
      <c r="J145" s="113"/>
    </row>
    <row r="146" spans="1:17" s="115" customFormat="1" ht="66.75" customHeight="1" x14ac:dyDescent="0.25">
      <c r="A146" s="114"/>
      <c r="B146" s="201" t="s">
        <v>921</v>
      </c>
      <c r="C146" s="201"/>
      <c r="D146" s="201"/>
      <c r="E146" s="201"/>
      <c r="F146" s="201"/>
      <c r="G146" s="201"/>
      <c r="H146" s="201"/>
      <c r="I146"/>
      <c r="J146" s="113"/>
      <c r="K146"/>
      <c r="L146"/>
      <c r="M146"/>
      <c r="N146"/>
      <c r="O146"/>
      <c r="P146"/>
      <c r="Q146"/>
    </row>
    <row r="147" spans="1:17" x14ac:dyDescent="0.2">
      <c r="A147" s="106"/>
      <c r="B147" s="200" t="s">
        <v>922</v>
      </c>
      <c r="C147" s="200"/>
      <c r="D147" s="200"/>
      <c r="E147" s="200"/>
      <c r="F147" s="200"/>
      <c r="G147" s="200"/>
      <c r="H147" s="200"/>
      <c r="J147" s="113"/>
    </row>
    <row r="148" spans="1:17" x14ac:dyDescent="0.2">
      <c r="A148" s="106"/>
      <c r="B148" s="106"/>
      <c r="C148" s="106"/>
      <c r="D148" s="108"/>
      <c r="E148" s="108"/>
      <c r="F148" s="108"/>
      <c r="G148" s="108"/>
    </row>
    <row r="149" spans="1:17" x14ac:dyDescent="0.2">
      <c r="A149" s="106"/>
      <c r="B149" s="202" t="s">
        <v>169</v>
      </c>
      <c r="C149" s="203"/>
      <c r="D149" s="204"/>
      <c r="E149" s="116"/>
      <c r="F149" s="108"/>
      <c r="G149" s="108"/>
    </row>
    <row r="150" spans="1:17" ht="27.75" customHeight="1" x14ac:dyDescent="0.2">
      <c r="A150" s="106"/>
      <c r="B150" s="205" t="s">
        <v>170</v>
      </c>
      <c r="C150" s="206"/>
      <c r="D150" s="85" t="s">
        <v>955</v>
      </c>
      <c r="E150" s="116"/>
      <c r="F150" s="108"/>
      <c r="G150" s="108"/>
    </row>
    <row r="151" spans="1:17" ht="12.75" customHeight="1" x14ac:dyDescent="0.2">
      <c r="A151" s="106"/>
      <c r="B151" s="205" t="s">
        <v>923</v>
      </c>
      <c r="C151" s="206"/>
      <c r="D151" s="85" t="str">
        <f>"Rs. "&amp;TEXT(F85,"0.00")&amp;" lacs/ "&amp;IF(ROUND((G85*100),2) = 0,"#",(TEXT((G85*100),"0.00")&amp;"%"))</f>
        <v>Rs. 85.26 lacs/ 0.03%</v>
      </c>
      <c r="E151" s="116"/>
      <c r="F151" s="108"/>
      <c r="G151" s="108"/>
    </row>
    <row r="152" spans="1:17" x14ac:dyDescent="0.2">
      <c r="A152" s="106"/>
      <c r="B152" s="205" t="s">
        <v>172</v>
      </c>
      <c r="C152" s="206"/>
      <c r="D152" s="117" t="s">
        <v>142</v>
      </c>
      <c r="E152" s="116"/>
      <c r="F152" s="108"/>
      <c r="G152" s="108"/>
    </row>
    <row r="153" spans="1:17" x14ac:dyDescent="0.2">
      <c r="A153" s="118"/>
      <c r="B153" s="119" t="s">
        <v>142</v>
      </c>
      <c r="C153" s="119" t="s">
        <v>924</v>
      </c>
      <c r="D153" s="119" t="s">
        <v>173</v>
      </c>
      <c r="E153" s="118"/>
      <c r="F153" s="118"/>
      <c r="G153" s="118"/>
      <c r="H153" s="118"/>
      <c r="J153" s="113"/>
    </row>
    <row r="154" spans="1:17" x14ac:dyDescent="0.2">
      <c r="A154" s="118"/>
      <c r="B154" s="120" t="s">
        <v>174</v>
      </c>
      <c r="C154" s="121">
        <v>45930</v>
      </c>
      <c r="D154" s="121">
        <v>45961</v>
      </c>
      <c r="E154" s="118"/>
      <c r="F154" s="118"/>
      <c r="G154" s="118"/>
      <c r="J154" s="113"/>
    </row>
    <row r="155" spans="1:17" x14ac:dyDescent="0.2">
      <c r="A155" s="122"/>
      <c r="B155" s="93" t="s">
        <v>175</v>
      </c>
      <c r="C155" s="123">
        <v>422.21780000000001</v>
      </c>
      <c r="D155" s="123">
        <v>440.73930000000001</v>
      </c>
      <c r="E155" s="122"/>
      <c r="F155" s="124"/>
      <c r="G155" s="125"/>
    </row>
    <row r="156" spans="1:17" ht="25.5" x14ac:dyDescent="0.2">
      <c r="A156" s="122"/>
      <c r="B156" s="93" t="s">
        <v>1103</v>
      </c>
      <c r="C156" s="123">
        <v>89.995800000000003</v>
      </c>
      <c r="D156" s="123">
        <v>87.437100000000001</v>
      </c>
      <c r="E156" s="122"/>
      <c r="F156" s="124"/>
      <c r="G156" s="125"/>
    </row>
    <row r="157" spans="1:17" x14ac:dyDescent="0.2">
      <c r="A157" s="122"/>
      <c r="B157" s="93" t="s">
        <v>176</v>
      </c>
      <c r="C157" s="123">
        <v>378.47829999999999</v>
      </c>
      <c r="D157" s="123">
        <v>394.72890000000001</v>
      </c>
      <c r="E157" s="122"/>
      <c r="F157" s="124"/>
      <c r="G157" s="125"/>
    </row>
    <row r="158" spans="1:17" ht="25.5" x14ac:dyDescent="0.2">
      <c r="A158" s="122"/>
      <c r="B158" s="93" t="s">
        <v>1104</v>
      </c>
      <c r="C158" s="123">
        <v>66.595200000000006</v>
      </c>
      <c r="D158" s="123">
        <v>64.612099999999998</v>
      </c>
      <c r="E158" s="122"/>
      <c r="F158" s="124"/>
      <c r="G158" s="125"/>
    </row>
    <row r="159" spans="1:17" x14ac:dyDescent="0.2">
      <c r="A159" s="122"/>
      <c r="B159" s="122"/>
      <c r="C159" s="122"/>
      <c r="D159" s="122"/>
      <c r="E159" s="122"/>
      <c r="F159" s="122"/>
      <c r="G159" s="122"/>
    </row>
    <row r="160" spans="1:17" x14ac:dyDescent="0.2">
      <c r="A160" s="122"/>
      <c r="B160" s="208" t="s">
        <v>925</v>
      </c>
      <c r="C160" s="209"/>
      <c r="D160" s="98" t="s">
        <v>142</v>
      </c>
      <c r="E160" s="122"/>
      <c r="F160" s="122"/>
      <c r="G160" s="122"/>
    </row>
    <row r="161" spans="1:7" x14ac:dyDescent="0.2">
      <c r="A161" s="122"/>
      <c r="B161" s="126" t="s">
        <v>174</v>
      </c>
      <c r="C161" s="127" t="s">
        <v>177</v>
      </c>
      <c r="D161" s="127" t="s">
        <v>178</v>
      </c>
      <c r="E161" s="122"/>
      <c r="F161" s="122"/>
      <c r="G161" s="122"/>
    </row>
    <row r="162" spans="1:7" ht="25.5" x14ac:dyDescent="0.2">
      <c r="A162" s="122"/>
      <c r="B162" s="93" t="s">
        <v>1103</v>
      </c>
      <c r="C162" s="146">
        <v>6.4630000000000001</v>
      </c>
      <c r="D162" s="104" t="s">
        <v>679</v>
      </c>
      <c r="E162" s="122"/>
      <c r="F162" s="124"/>
      <c r="G162" s="125"/>
    </row>
    <row r="163" spans="1:7" ht="25.5" x14ac:dyDescent="0.2">
      <c r="A163" s="122"/>
      <c r="B163" s="93" t="s">
        <v>1104</v>
      </c>
      <c r="C163" s="146">
        <v>4.8120000000000003</v>
      </c>
      <c r="D163" s="146">
        <v>4.8120000000000003</v>
      </c>
      <c r="E163" s="122"/>
      <c r="F163" s="124"/>
      <c r="G163" s="125"/>
    </row>
    <row r="164" spans="1:7" x14ac:dyDescent="0.2">
      <c r="A164" s="122"/>
      <c r="B164" s="129"/>
      <c r="C164" s="129"/>
      <c r="D164" s="130"/>
      <c r="E164" s="122"/>
      <c r="F164" s="124"/>
      <c r="G164" s="125"/>
    </row>
    <row r="165" spans="1:7" x14ac:dyDescent="0.2">
      <c r="A165" s="118"/>
      <c r="B165" s="205" t="s">
        <v>179</v>
      </c>
      <c r="C165" s="206"/>
      <c r="D165" s="85" t="s">
        <v>171</v>
      </c>
      <c r="E165" s="131"/>
      <c r="F165" s="118"/>
      <c r="G165" s="118"/>
    </row>
    <row r="166" spans="1:7" x14ac:dyDescent="0.2">
      <c r="A166" s="118"/>
      <c r="B166" s="205" t="s">
        <v>180</v>
      </c>
      <c r="C166" s="206"/>
      <c r="D166" s="85" t="s">
        <v>171</v>
      </c>
      <c r="E166" s="131"/>
      <c r="F166" s="118"/>
      <c r="G166" s="118"/>
    </row>
    <row r="167" spans="1:7" ht="17.100000000000001" customHeight="1" x14ac:dyDescent="0.2">
      <c r="A167" s="118"/>
      <c r="B167" s="205" t="s">
        <v>181</v>
      </c>
      <c r="C167" s="206"/>
      <c r="D167" s="85" t="s">
        <v>171</v>
      </c>
      <c r="E167" s="131"/>
      <c r="F167" s="118"/>
      <c r="G167" s="118"/>
    </row>
    <row r="168" spans="1:7" ht="17.100000000000001" customHeight="1" x14ac:dyDescent="0.2">
      <c r="A168" s="118"/>
      <c r="B168" s="205" t="s">
        <v>182</v>
      </c>
      <c r="C168" s="206"/>
      <c r="D168" s="132">
        <v>0.6028</v>
      </c>
      <c r="E168" s="118"/>
      <c r="F168" s="112"/>
      <c r="G168" s="133"/>
    </row>
    <row r="170" spans="1:7" x14ac:dyDescent="0.2">
      <c r="B170" s="150" t="s">
        <v>1158</v>
      </c>
    </row>
    <row r="171" spans="1:7" ht="67.5" x14ac:dyDescent="0.2">
      <c r="B171" s="156" t="s">
        <v>1052</v>
      </c>
      <c r="C171" s="156" t="s">
        <v>1053</v>
      </c>
      <c r="D171" s="156" t="s">
        <v>1054</v>
      </c>
      <c r="E171" s="156" t="s">
        <v>1055</v>
      </c>
      <c r="F171" s="156" t="s">
        <v>1056</v>
      </c>
    </row>
    <row r="172" spans="1:7" ht="13.5" x14ac:dyDescent="0.2">
      <c r="B172" s="157" t="s">
        <v>1078</v>
      </c>
      <c r="C172" s="158" t="s">
        <v>1058</v>
      </c>
      <c r="D172" s="10">
        <v>0</v>
      </c>
      <c r="E172" s="11">
        <v>0</v>
      </c>
      <c r="F172" s="159">
        <v>29.407129999999999</v>
      </c>
    </row>
    <row r="174" spans="1:7" x14ac:dyDescent="0.2">
      <c r="B174" s="199" t="s">
        <v>926</v>
      </c>
      <c r="C174" s="199"/>
    </row>
    <row r="176" spans="1:7" ht="153.75" customHeight="1" x14ac:dyDescent="0.2"/>
    <row r="179" spans="2:4" x14ac:dyDescent="0.2">
      <c r="B179" s="134" t="s">
        <v>927</v>
      </c>
      <c r="C179" s="135"/>
      <c r="D179" s="134"/>
    </row>
    <row r="180" spans="2:4" x14ac:dyDescent="0.2">
      <c r="B180" s="134" t="s">
        <v>1079</v>
      </c>
      <c r="D180" s="134"/>
    </row>
    <row r="181" spans="2:4" ht="165" customHeight="1" x14ac:dyDescent="0.2"/>
    <row r="182" spans="2:4" ht="12.75" customHeight="1" x14ac:dyDescent="0.2"/>
    <row r="183" spans="2:4" ht="12.75" customHeight="1" x14ac:dyDescent="0.2"/>
    <row r="184" spans="2:4" ht="12.75" customHeight="1" x14ac:dyDescent="0.2"/>
  </sheetData>
  <mergeCells count="18">
    <mergeCell ref="B149:D149"/>
    <mergeCell ref="B150:C150"/>
    <mergeCell ref="B174:C174"/>
    <mergeCell ref="B168:C168"/>
    <mergeCell ref="B167:C167"/>
    <mergeCell ref="B166:C166"/>
    <mergeCell ref="A1:H1"/>
    <mergeCell ref="A2:H2"/>
    <mergeCell ref="A3:H3"/>
    <mergeCell ref="B160:C160"/>
    <mergeCell ref="B165:C165"/>
    <mergeCell ref="B143:H143"/>
    <mergeCell ref="B144:H144"/>
    <mergeCell ref="B151:C151"/>
    <mergeCell ref="B152:C152"/>
    <mergeCell ref="B145:H145"/>
    <mergeCell ref="B146:H146"/>
    <mergeCell ref="B147:H147"/>
  </mergeCells>
  <hyperlinks>
    <hyperlink ref="I1" location="Index!B2" display="Index" xr:uid="{D77BFE60-5D77-4E7F-9AED-2B6B6E49D457}"/>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8C35-E473-4E0F-842C-3217D8A2A608}">
  <sheetPr>
    <outlinePr summaryBelow="0" summaryRight="0"/>
  </sheetPr>
  <dimension ref="A1:Q217"/>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7.710937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767</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287</v>
      </c>
      <c r="C7" s="93" t="s">
        <v>288</v>
      </c>
      <c r="D7" s="93" t="s">
        <v>186</v>
      </c>
      <c r="E7" s="94">
        <v>20913</v>
      </c>
      <c r="F7" s="95">
        <v>156.617457</v>
      </c>
      <c r="G7" s="96">
        <v>1.1913770000000001E-2</v>
      </c>
      <c r="H7" s="86" t="s">
        <v>142</v>
      </c>
    </row>
    <row r="8" spans="1:9" ht="25.5" x14ac:dyDescent="0.2">
      <c r="A8" s="92">
        <v>2</v>
      </c>
      <c r="B8" s="93" t="s">
        <v>658</v>
      </c>
      <c r="C8" s="93" t="s">
        <v>659</v>
      </c>
      <c r="D8" s="93" t="s">
        <v>225</v>
      </c>
      <c r="E8" s="94">
        <v>2170</v>
      </c>
      <c r="F8" s="95">
        <v>146.21459999999999</v>
      </c>
      <c r="G8" s="96">
        <v>1.1122430000000001E-2</v>
      </c>
      <c r="H8" s="86" t="s">
        <v>142</v>
      </c>
    </row>
    <row r="9" spans="1:9" x14ac:dyDescent="0.2">
      <c r="A9" s="92">
        <v>3</v>
      </c>
      <c r="B9" s="93" t="s">
        <v>425</v>
      </c>
      <c r="C9" s="93" t="s">
        <v>426</v>
      </c>
      <c r="D9" s="93" t="s">
        <v>427</v>
      </c>
      <c r="E9" s="94">
        <v>17183</v>
      </c>
      <c r="F9" s="95">
        <v>145.68606550000001</v>
      </c>
      <c r="G9" s="96">
        <v>1.108222E-2</v>
      </c>
      <c r="H9" s="86" t="s">
        <v>142</v>
      </c>
    </row>
    <row r="10" spans="1:9" x14ac:dyDescent="0.2">
      <c r="A10" s="92">
        <v>4</v>
      </c>
      <c r="B10" s="93" t="s">
        <v>688</v>
      </c>
      <c r="C10" s="93" t="s">
        <v>689</v>
      </c>
      <c r="D10" s="93" t="s">
        <v>19</v>
      </c>
      <c r="E10" s="94">
        <v>87271</v>
      </c>
      <c r="F10" s="95">
        <v>144.782589</v>
      </c>
      <c r="G10" s="96">
        <v>1.1013500000000001E-2</v>
      </c>
      <c r="H10" s="86" t="s">
        <v>142</v>
      </c>
    </row>
    <row r="11" spans="1:9" x14ac:dyDescent="0.2">
      <c r="A11" s="92">
        <v>5</v>
      </c>
      <c r="B11" s="93" t="s">
        <v>644</v>
      </c>
      <c r="C11" s="93" t="s">
        <v>645</v>
      </c>
      <c r="D11" s="93" t="s">
        <v>35</v>
      </c>
      <c r="E11" s="94">
        <v>105007</v>
      </c>
      <c r="F11" s="95">
        <v>143.8490893</v>
      </c>
      <c r="G11" s="96">
        <v>1.0942489999999999E-2</v>
      </c>
      <c r="H11" s="86" t="s">
        <v>142</v>
      </c>
    </row>
    <row r="12" spans="1:9" x14ac:dyDescent="0.2">
      <c r="A12" s="92">
        <v>6</v>
      </c>
      <c r="B12" s="93" t="s">
        <v>418</v>
      </c>
      <c r="C12" s="93" t="s">
        <v>419</v>
      </c>
      <c r="D12" s="93" t="s">
        <v>48</v>
      </c>
      <c r="E12" s="94">
        <v>3788</v>
      </c>
      <c r="F12" s="95">
        <v>141.92499599999999</v>
      </c>
      <c r="G12" s="96">
        <v>1.0796119999999999E-2</v>
      </c>
      <c r="H12" s="86" t="s">
        <v>142</v>
      </c>
    </row>
    <row r="13" spans="1:9" x14ac:dyDescent="0.2">
      <c r="A13" s="92">
        <v>7</v>
      </c>
      <c r="B13" s="93" t="s">
        <v>14</v>
      </c>
      <c r="C13" s="93" t="s">
        <v>15</v>
      </c>
      <c r="D13" s="93" t="s">
        <v>16</v>
      </c>
      <c r="E13" s="94">
        <v>3513</v>
      </c>
      <c r="F13" s="95">
        <v>141.60551699999999</v>
      </c>
      <c r="G13" s="96">
        <v>1.077182E-2</v>
      </c>
      <c r="H13" s="86" t="s">
        <v>142</v>
      </c>
    </row>
    <row r="14" spans="1:9" x14ac:dyDescent="0.2">
      <c r="A14" s="92">
        <v>8</v>
      </c>
      <c r="B14" s="93" t="s">
        <v>642</v>
      </c>
      <c r="C14" s="93" t="s">
        <v>643</v>
      </c>
      <c r="D14" s="93" t="s">
        <v>35</v>
      </c>
      <c r="E14" s="94">
        <v>115149</v>
      </c>
      <c r="F14" s="95">
        <v>141.5066061</v>
      </c>
      <c r="G14" s="96">
        <v>1.0764299999999999E-2</v>
      </c>
      <c r="H14" s="86" t="s">
        <v>142</v>
      </c>
    </row>
    <row r="15" spans="1:9" x14ac:dyDescent="0.2">
      <c r="A15" s="92">
        <v>9</v>
      </c>
      <c r="B15" s="93" t="s">
        <v>768</v>
      </c>
      <c r="C15" s="93" t="s">
        <v>769</v>
      </c>
      <c r="D15" s="93" t="s">
        <v>22</v>
      </c>
      <c r="E15" s="94">
        <v>14259</v>
      </c>
      <c r="F15" s="95">
        <v>140.62225799999999</v>
      </c>
      <c r="G15" s="96">
        <v>1.069702E-2</v>
      </c>
      <c r="H15" s="86" t="s">
        <v>142</v>
      </c>
    </row>
    <row r="16" spans="1:9" x14ac:dyDescent="0.2">
      <c r="A16" s="92">
        <v>10</v>
      </c>
      <c r="B16" s="93" t="s">
        <v>690</v>
      </c>
      <c r="C16" s="93" t="s">
        <v>691</v>
      </c>
      <c r="D16" s="93" t="s">
        <v>204</v>
      </c>
      <c r="E16" s="94">
        <v>2473</v>
      </c>
      <c r="F16" s="95">
        <v>140.577685</v>
      </c>
      <c r="G16" s="96">
        <v>1.0693630000000001E-2</v>
      </c>
      <c r="H16" s="86" t="s">
        <v>142</v>
      </c>
    </row>
    <row r="17" spans="1:8" x14ac:dyDescent="0.2">
      <c r="A17" s="92">
        <v>11</v>
      </c>
      <c r="B17" s="93" t="s">
        <v>332</v>
      </c>
      <c r="C17" s="93" t="s">
        <v>333</v>
      </c>
      <c r="D17" s="93" t="s">
        <v>35</v>
      </c>
      <c r="E17" s="94">
        <v>50433</v>
      </c>
      <c r="F17" s="95">
        <v>140.405472</v>
      </c>
      <c r="G17" s="96">
        <v>1.0680530000000001E-2</v>
      </c>
      <c r="H17" s="86" t="s">
        <v>142</v>
      </c>
    </row>
    <row r="18" spans="1:8" x14ac:dyDescent="0.2">
      <c r="A18" s="92">
        <v>12</v>
      </c>
      <c r="B18" s="93" t="s">
        <v>39</v>
      </c>
      <c r="C18" s="93" t="s">
        <v>40</v>
      </c>
      <c r="D18" s="93" t="s">
        <v>35</v>
      </c>
      <c r="E18" s="94">
        <v>14879</v>
      </c>
      <c r="F18" s="95">
        <v>139.41623000000001</v>
      </c>
      <c r="G18" s="96">
        <v>1.060528E-2</v>
      </c>
      <c r="H18" s="86" t="s">
        <v>142</v>
      </c>
    </row>
    <row r="19" spans="1:8" x14ac:dyDescent="0.2">
      <c r="A19" s="92">
        <v>13</v>
      </c>
      <c r="B19" s="93" t="s">
        <v>428</v>
      </c>
      <c r="C19" s="93" t="s">
        <v>429</v>
      </c>
      <c r="D19" s="93" t="s">
        <v>272</v>
      </c>
      <c r="E19" s="94">
        <v>7109</v>
      </c>
      <c r="F19" s="95">
        <v>139.03071299999999</v>
      </c>
      <c r="G19" s="96">
        <v>1.0575960000000001E-2</v>
      </c>
      <c r="H19" s="86" t="s">
        <v>142</v>
      </c>
    </row>
    <row r="20" spans="1:8" x14ac:dyDescent="0.2">
      <c r="A20" s="92">
        <v>14</v>
      </c>
      <c r="B20" s="93" t="s">
        <v>423</v>
      </c>
      <c r="C20" s="93" t="s">
        <v>424</v>
      </c>
      <c r="D20" s="93" t="s">
        <v>204</v>
      </c>
      <c r="E20" s="94">
        <v>8991</v>
      </c>
      <c r="F20" s="95">
        <v>138.59626499999999</v>
      </c>
      <c r="G20" s="96">
        <v>1.0542910000000001E-2</v>
      </c>
      <c r="H20" s="86" t="s">
        <v>142</v>
      </c>
    </row>
    <row r="21" spans="1:8" x14ac:dyDescent="0.2">
      <c r="A21" s="92">
        <v>15</v>
      </c>
      <c r="B21" s="93" t="s">
        <v>17</v>
      </c>
      <c r="C21" s="93" t="s">
        <v>18</v>
      </c>
      <c r="D21" s="93" t="s">
        <v>19</v>
      </c>
      <c r="E21" s="94">
        <v>9314</v>
      </c>
      <c r="F21" s="95">
        <v>138.443296</v>
      </c>
      <c r="G21" s="96">
        <v>1.0531270000000001E-2</v>
      </c>
      <c r="H21" s="86" t="s">
        <v>142</v>
      </c>
    </row>
    <row r="22" spans="1:8" x14ac:dyDescent="0.2">
      <c r="A22" s="92">
        <v>16</v>
      </c>
      <c r="B22" s="93" t="s">
        <v>660</v>
      </c>
      <c r="C22" s="93" t="s">
        <v>661</v>
      </c>
      <c r="D22" s="93" t="s">
        <v>459</v>
      </c>
      <c r="E22" s="94">
        <v>10869</v>
      </c>
      <c r="F22" s="95">
        <v>138.210204</v>
      </c>
      <c r="G22" s="96">
        <v>1.051354E-2</v>
      </c>
      <c r="H22" s="86" t="s">
        <v>142</v>
      </c>
    </row>
    <row r="23" spans="1:8" x14ac:dyDescent="0.2">
      <c r="A23" s="92">
        <v>17</v>
      </c>
      <c r="B23" s="93" t="s">
        <v>31</v>
      </c>
      <c r="C23" s="93" t="s">
        <v>32</v>
      </c>
      <c r="D23" s="93" t="s">
        <v>19</v>
      </c>
      <c r="E23" s="94">
        <v>38713</v>
      </c>
      <c r="F23" s="95">
        <v>138.127984</v>
      </c>
      <c r="G23" s="96">
        <v>1.0507290000000001E-2</v>
      </c>
      <c r="H23" s="86" t="s">
        <v>142</v>
      </c>
    </row>
    <row r="24" spans="1:8" x14ac:dyDescent="0.2">
      <c r="A24" s="92">
        <v>18</v>
      </c>
      <c r="B24" s="93" t="s">
        <v>506</v>
      </c>
      <c r="C24" s="93" t="s">
        <v>507</v>
      </c>
      <c r="D24" s="93" t="s">
        <v>232</v>
      </c>
      <c r="E24" s="94">
        <v>9648</v>
      </c>
      <c r="F24" s="95">
        <v>138.101472</v>
      </c>
      <c r="G24" s="96">
        <v>1.0505270000000001E-2</v>
      </c>
      <c r="H24" s="86" t="s">
        <v>142</v>
      </c>
    </row>
    <row r="25" spans="1:8" x14ac:dyDescent="0.2">
      <c r="A25" s="92">
        <v>19</v>
      </c>
      <c r="B25" s="93" t="s">
        <v>344</v>
      </c>
      <c r="C25" s="93" t="s">
        <v>345</v>
      </c>
      <c r="D25" s="93" t="s">
        <v>186</v>
      </c>
      <c r="E25" s="94">
        <v>8112</v>
      </c>
      <c r="F25" s="95">
        <v>137.64441600000001</v>
      </c>
      <c r="G25" s="96">
        <v>1.0470500000000001E-2</v>
      </c>
      <c r="H25" s="86" t="s">
        <v>142</v>
      </c>
    </row>
    <row r="26" spans="1:8" x14ac:dyDescent="0.2">
      <c r="A26" s="92">
        <v>20</v>
      </c>
      <c r="B26" s="93" t="s">
        <v>62</v>
      </c>
      <c r="C26" s="93" t="s">
        <v>63</v>
      </c>
      <c r="D26" s="93" t="s">
        <v>64</v>
      </c>
      <c r="E26" s="94">
        <v>53662</v>
      </c>
      <c r="F26" s="95">
        <v>137.03664939999999</v>
      </c>
      <c r="G26" s="96">
        <v>1.0424269999999999E-2</v>
      </c>
      <c r="H26" s="86" t="s">
        <v>142</v>
      </c>
    </row>
    <row r="27" spans="1:8" x14ac:dyDescent="0.2">
      <c r="A27" s="92">
        <v>21</v>
      </c>
      <c r="B27" s="93" t="s">
        <v>770</v>
      </c>
      <c r="C27" s="93" t="s">
        <v>771</v>
      </c>
      <c r="D27" s="93" t="s">
        <v>272</v>
      </c>
      <c r="E27" s="94">
        <v>6865</v>
      </c>
      <c r="F27" s="95">
        <v>136.86750499999999</v>
      </c>
      <c r="G27" s="96">
        <v>1.0411399999999999E-2</v>
      </c>
      <c r="H27" s="86" t="s">
        <v>142</v>
      </c>
    </row>
    <row r="28" spans="1:8" x14ac:dyDescent="0.2">
      <c r="A28" s="92">
        <v>22</v>
      </c>
      <c r="B28" s="93" t="s">
        <v>11</v>
      </c>
      <c r="C28" s="93" t="s">
        <v>12</v>
      </c>
      <c r="D28" s="93" t="s">
        <v>13</v>
      </c>
      <c r="E28" s="94">
        <v>6654</v>
      </c>
      <c r="F28" s="95">
        <v>136.70643000000001</v>
      </c>
      <c r="G28" s="96">
        <v>1.0399149999999999E-2</v>
      </c>
      <c r="H28" s="86" t="s">
        <v>142</v>
      </c>
    </row>
    <row r="29" spans="1:8" x14ac:dyDescent="0.2">
      <c r="A29" s="92">
        <v>23</v>
      </c>
      <c r="B29" s="93" t="s">
        <v>772</v>
      </c>
      <c r="C29" s="93" t="s">
        <v>773</v>
      </c>
      <c r="D29" s="93" t="s">
        <v>774</v>
      </c>
      <c r="E29" s="94">
        <v>27590</v>
      </c>
      <c r="F29" s="95">
        <v>136.170445</v>
      </c>
      <c r="G29" s="96">
        <v>1.035838E-2</v>
      </c>
      <c r="H29" s="86" t="s">
        <v>142</v>
      </c>
    </row>
    <row r="30" spans="1:8" x14ac:dyDescent="0.2">
      <c r="A30" s="92">
        <v>24</v>
      </c>
      <c r="B30" s="93" t="s">
        <v>26</v>
      </c>
      <c r="C30" s="93" t="s">
        <v>27</v>
      </c>
      <c r="D30" s="93" t="s">
        <v>28</v>
      </c>
      <c r="E30" s="94">
        <v>31934</v>
      </c>
      <c r="F30" s="95">
        <v>136.070774</v>
      </c>
      <c r="G30" s="96">
        <v>1.03508E-2</v>
      </c>
      <c r="H30" s="86" t="s">
        <v>142</v>
      </c>
    </row>
    <row r="31" spans="1:8" x14ac:dyDescent="0.2">
      <c r="A31" s="92">
        <v>25</v>
      </c>
      <c r="B31" s="93" t="s">
        <v>397</v>
      </c>
      <c r="C31" s="93" t="s">
        <v>398</v>
      </c>
      <c r="D31" s="93" t="s">
        <v>135</v>
      </c>
      <c r="E31" s="94">
        <v>74227</v>
      </c>
      <c r="F31" s="95">
        <v>135.71664680000001</v>
      </c>
      <c r="G31" s="96">
        <v>1.0323860000000001E-2</v>
      </c>
      <c r="H31" s="86" t="s">
        <v>142</v>
      </c>
    </row>
    <row r="32" spans="1:8" x14ac:dyDescent="0.2">
      <c r="A32" s="92">
        <v>26</v>
      </c>
      <c r="B32" s="93" t="s">
        <v>775</v>
      </c>
      <c r="C32" s="93" t="s">
        <v>776</v>
      </c>
      <c r="D32" s="93" t="s">
        <v>22</v>
      </c>
      <c r="E32" s="94">
        <v>85814</v>
      </c>
      <c r="F32" s="95">
        <v>135.45739900000001</v>
      </c>
      <c r="G32" s="96">
        <v>1.030414E-2</v>
      </c>
      <c r="H32" s="86" t="s">
        <v>142</v>
      </c>
    </row>
    <row r="33" spans="1:8" x14ac:dyDescent="0.2">
      <c r="A33" s="92">
        <v>27</v>
      </c>
      <c r="B33" s="93" t="s">
        <v>322</v>
      </c>
      <c r="C33" s="93" t="s">
        <v>323</v>
      </c>
      <c r="D33" s="93" t="s">
        <v>35</v>
      </c>
      <c r="E33" s="94">
        <v>10973</v>
      </c>
      <c r="F33" s="95">
        <v>135.27514400000001</v>
      </c>
      <c r="G33" s="96">
        <v>1.0290270000000001E-2</v>
      </c>
      <c r="H33" s="86" t="s">
        <v>142</v>
      </c>
    </row>
    <row r="34" spans="1:8" x14ac:dyDescent="0.2">
      <c r="A34" s="92">
        <v>28</v>
      </c>
      <c r="B34" s="93" t="s">
        <v>76</v>
      </c>
      <c r="C34" s="93" t="s">
        <v>77</v>
      </c>
      <c r="D34" s="93" t="s">
        <v>78</v>
      </c>
      <c r="E34" s="94">
        <v>73706</v>
      </c>
      <c r="F34" s="95">
        <v>134.70508559999999</v>
      </c>
      <c r="G34" s="96">
        <v>1.024691E-2</v>
      </c>
      <c r="H34" s="86" t="s">
        <v>142</v>
      </c>
    </row>
    <row r="35" spans="1:8" x14ac:dyDescent="0.2">
      <c r="A35" s="92">
        <v>29</v>
      </c>
      <c r="B35" s="93" t="s">
        <v>777</v>
      </c>
      <c r="C35" s="93" t="s">
        <v>778</v>
      </c>
      <c r="D35" s="93" t="s">
        <v>22</v>
      </c>
      <c r="E35" s="94">
        <v>11809</v>
      </c>
      <c r="F35" s="95">
        <v>134.62260000000001</v>
      </c>
      <c r="G35" s="96">
        <v>1.0240630000000001E-2</v>
      </c>
      <c r="H35" s="86" t="s">
        <v>142</v>
      </c>
    </row>
    <row r="36" spans="1:8" x14ac:dyDescent="0.2">
      <c r="A36" s="92">
        <v>30</v>
      </c>
      <c r="B36" s="93" t="s">
        <v>49</v>
      </c>
      <c r="C36" s="93" t="s">
        <v>50</v>
      </c>
      <c r="D36" s="93" t="s">
        <v>22</v>
      </c>
      <c r="E36" s="94">
        <v>33192</v>
      </c>
      <c r="F36" s="95">
        <v>134.394408</v>
      </c>
      <c r="G36" s="96">
        <v>1.022328E-2</v>
      </c>
      <c r="H36" s="86" t="s">
        <v>142</v>
      </c>
    </row>
    <row r="37" spans="1:8" x14ac:dyDescent="0.2">
      <c r="A37" s="92">
        <v>31</v>
      </c>
      <c r="B37" s="93" t="s">
        <v>420</v>
      </c>
      <c r="C37" s="93" t="s">
        <v>421</v>
      </c>
      <c r="D37" s="93" t="s">
        <v>422</v>
      </c>
      <c r="E37" s="94">
        <v>31958</v>
      </c>
      <c r="F37" s="95">
        <v>134.335453</v>
      </c>
      <c r="G37" s="96">
        <v>1.021879E-2</v>
      </c>
      <c r="H37" s="86" t="s">
        <v>142</v>
      </c>
    </row>
    <row r="38" spans="1:8" x14ac:dyDescent="0.2">
      <c r="A38" s="92">
        <v>32</v>
      </c>
      <c r="B38" s="93" t="s">
        <v>652</v>
      </c>
      <c r="C38" s="93" t="s">
        <v>653</v>
      </c>
      <c r="D38" s="93" t="s">
        <v>73</v>
      </c>
      <c r="E38" s="94">
        <v>17756</v>
      </c>
      <c r="F38" s="95">
        <v>134.27975000000001</v>
      </c>
      <c r="G38" s="96">
        <v>1.0214549999999999E-2</v>
      </c>
      <c r="H38" s="86" t="s">
        <v>142</v>
      </c>
    </row>
    <row r="39" spans="1:8" x14ac:dyDescent="0.2">
      <c r="A39" s="92">
        <v>33</v>
      </c>
      <c r="B39" s="93" t="s">
        <v>711</v>
      </c>
      <c r="C39" s="93" t="s">
        <v>712</v>
      </c>
      <c r="D39" s="93" t="s">
        <v>135</v>
      </c>
      <c r="E39" s="94">
        <v>11133</v>
      </c>
      <c r="F39" s="95">
        <v>134.26398</v>
      </c>
      <c r="G39" s="96">
        <v>1.021335E-2</v>
      </c>
      <c r="H39" s="86" t="s">
        <v>142</v>
      </c>
    </row>
    <row r="40" spans="1:8" x14ac:dyDescent="0.2">
      <c r="A40" s="92">
        <v>34</v>
      </c>
      <c r="B40" s="93" t="s">
        <v>324</v>
      </c>
      <c r="C40" s="93" t="s">
        <v>325</v>
      </c>
      <c r="D40" s="93" t="s">
        <v>35</v>
      </c>
      <c r="E40" s="94">
        <v>6382</v>
      </c>
      <c r="F40" s="95">
        <v>134.16240400000001</v>
      </c>
      <c r="G40" s="96">
        <v>1.020563E-2</v>
      </c>
      <c r="H40" s="86" t="s">
        <v>142</v>
      </c>
    </row>
    <row r="41" spans="1:8" x14ac:dyDescent="0.2">
      <c r="A41" s="92">
        <v>35</v>
      </c>
      <c r="B41" s="93" t="s">
        <v>702</v>
      </c>
      <c r="C41" s="93" t="s">
        <v>703</v>
      </c>
      <c r="D41" s="93" t="s">
        <v>48</v>
      </c>
      <c r="E41" s="94">
        <v>5321</v>
      </c>
      <c r="F41" s="95">
        <v>133.59966800000001</v>
      </c>
      <c r="G41" s="96">
        <v>1.0162819999999999E-2</v>
      </c>
      <c r="H41" s="86" t="s">
        <v>142</v>
      </c>
    </row>
    <row r="42" spans="1:8" x14ac:dyDescent="0.2">
      <c r="A42" s="92">
        <v>36</v>
      </c>
      <c r="B42" s="93" t="s">
        <v>320</v>
      </c>
      <c r="C42" s="93" t="s">
        <v>321</v>
      </c>
      <c r="D42" s="93" t="s">
        <v>35</v>
      </c>
      <c r="E42" s="94">
        <v>13463</v>
      </c>
      <c r="F42" s="95">
        <v>132.920199</v>
      </c>
      <c r="G42" s="96">
        <v>1.0111129999999999E-2</v>
      </c>
      <c r="H42" s="86" t="s">
        <v>142</v>
      </c>
    </row>
    <row r="43" spans="1:8" x14ac:dyDescent="0.2">
      <c r="A43" s="92">
        <v>37</v>
      </c>
      <c r="B43" s="93" t="s">
        <v>330</v>
      </c>
      <c r="C43" s="93" t="s">
        <v>331</v>
      </c>
      <c r="D43" s="93" t="s">
        <v>186</v>
      </c>
      <c r="E43" s="94">
        <v>12744</v>
      </c>
      <c r="F43" s="95">
        <v>132.89443199999999</v>
      </c>
      <c r="G43" s="96">
        <v>1.0109170000000001E-2</v>
      </c>
      <c r="H43" s="86" t="s">
        <v>142</v>
      </c>
    </row>
    <row r="44" spans="1:8" x14ac:dyDescent="0.2">
      <c r="A44" s="92">
        <v>38</v>
      </c>
      <c r="B44" s="93" t="s">
        <v>779</v>
      </c>
      <c r="C44" s="93" t="s">
        <v>780</v>
      </c>
      <c r="D44" s="93" t="s">
        <v>73</v>
      </c>
      <c r="E44" s="94">
        <v>11091</v>
      </c>
      <c r="F44" s="95">
        <v>132.85908900000001</v>
      </c>
      <c r="G44" s="96">
        <v>1.0106489999999999E-2</v>
      </c>
      <c r="H44" s="86" t="s">
        <v>142</v>
      </c>
    </row>
    <row r="45" spans="1:8" x14ac:dyDescent="0.2">
      <c r="A45" s="92">
        <v>39</v>
      </c>
      <c r="B45" s="93" t="s">
        <v>516</v>
      </c>
      <c r="C45" s="93" t="s">
        <v>517</v>
      </c>
      <c r="D45" s="93" t="s">
        <v>232</v>
      </c>
      <c r="E45" s="94">
        <v>28278</v>
      </c>
      <c r="F45" s="95">
        <v>132.807627</v>
      </c>
      <c r="G45" s="96">
        <v>1.010257E-2</v>
      </c>
      <c r="H45" s="86" t="s">
        <v>142</v>
      </c>
    </row>
    <row r="46" spans="1:8" ht="25.5" x14ac:dyDescent="0.2">
      <c r="A46" s="92">
        <v>40</v>
      </c>
      <c r="B46" s="93" t="s">
        <v>338</v>
      </c>
      <c r="C46" s="93" t="s">
        <v>339</v>
      </c>
      <c r="D46" s="93" t="s">
        <v>25</v>
      </c>
      <c r="E46" s="94">
        <v>4591</v>
      </c>
      <c r="F46" s="95">
        <v>132.757947</v>
      </c>
      <c r="G46" s="96">
        <v>1.009879E-2</v>
      </c>
      <c r="H46" s="86" t="s">
        <v>142</v>
      </c>
    </row>
    <row r="47" spans="1:8" x14ac:dyDescent="0.2">
      <c r="A47" s="92">
        <v>41</v>
      </c>
      <c r="B47" s="93" t="s">
        <v>432</v>
      </c>
      <c r="C47" s="93" t="s">
        <v>433</v>
      </c>
      <c r="D47" s="93" t="s">
        <v>204</v>
      </c>
      <c r="E47" s="94">
        <v>4326</v>
      </c>
      <c r="F47" s="95">
        <v>132.28908000000001</v>
      </c>
      <c r="G47" s="96">
        <v>1.006313E-2</v>
      </c>
      <c r="H47" s="86" t="s">
        <v>142</v>
      </c>
    </row>
    <row r="48" spans="1:8" ht="25.5" x14ac:dyDescent="0.2">
      <c r="A48" s="92">
        <v>42</v>
      </c>
      <c r="B48" s="93" t="s">
        <v>53</v>
      </c>
      <c r="C48" s="93" t="s">
        <v>54</v>
      </c>
      <c r="D48" s="93" t="s">
        <v>55</v>
      </c>
      <c r="E48" s="94">
        <v>9087</v>
      </c>
      <c r="F48" s="95">
        <v>131.89780500000001</v>
      </c>
      <c r="G48" s="96">
        <v>1.003336E-2</v>
      </c>
      <c r="H48" s="86" t="s">
        <v>142</v>
      </c>
    </row>
    <row r="49" spans="1:8" ht="25.5" x14ac:dyDescent="0.2">
      <c r="A49" s="92">
        <v>43</v>
      </c>
      <c r="B49" s="93" t="s">
        <v>346</v>
      </c>
      <c r="C49" s="93" t="s">
        <v>347</v>
      </c>
      <c r="D49" s="93" t="s">
        <v>225</v>
      </c>
      <c r="E49" s="94">
        <v>7784</v>
      </c>
      <c r="F49" s="95">
        <v>131.60408799999999</v>
      </c>
      <c r="G49" s="96">
        <v>1.0011020000000001E-2</v>
      </c>
      <c r="H49" s="86" t="s">
        <v>142</v>
      </c>
    </row>
    <row r="50" spans="1:8" ht="25.5" x14ac:dyDescent="0.2">
      <c r="A50" s="92">
        <v>44</v>
      </c>
      <c r="B50" s="93" t="s">
        <v>434</v>
      </c>
      <c r="C50" s="93" t="s">
        <v>435</v>
      </c>
      <c r="D50" s="93" t="s">
        <v>207</v>
      </c>
      <c r="E50" s="94">
        <v>11296</v>
      </c>
      <c r="F50" s="95">
        <v>131.5984</v>
      </c>
      <c r="G50" s="96">
        <v>1.001059E-2</v>
      </c>
      <c r="H50" s="86" t="s">
        <v>142</v>
      </c>
    </row>
    <row r="51" spans="1:8" x14ac:dyDescent="0.2">
      <c r="A51" s="92">
        <v>45</v>
      </c>
      <c r="B51" s="93" t="s">
        <v>239</v>
      </c>
      <c r="C51" s="93" t="s">
        <v>240</v>
      </c>
      <c r="D51" s="93" t="s">
        <v>241</v>
      </c>
      <c r="E51" s="94">
        <v>3748</v>
      </c>
      <c r="F51" s="95">
        <v>131.50607600000001</v>
      </c>
      <c r="G51" s="96">
        <v>1.000356E-2</v>
      </c>
      <c r="H51" s="86" t="s">
        <v>142</v>
      </c>
    </row>
    <row r="52" spans="1:8" x14ac:dyDescent="0.2">
      <c r="A52" s="92">
        <v>46</v>
      </c>
      <c r="B52" s="93" t="s">
        <v>656</v>
      </c>
      <c r="C52" s="93" t="s">
        <v>657</v>
      </c>
      <c r="D52" s="93" t="s">
        <v>186</v>
      </c>
      <c r="E52" s="94">
        <v>6284</v>
      </c>
      <c r="F52" s="95">
        <v>131.22877199999999</v>
      </c>
      <c r="G52" s="96">
        <v>9.9824700000000002E-3</v>
      </c>
      <c r="H52" s="86" t="s">
        <v>142</v>
      </c>
    </row>
    <row r="53" spans="1:8" x14ac:dyDescent="0.2">
      <c r="A53" s="92">
        <v>47</v>
      </c>
      <c r="B53" s="93" t="s">
        <v>348</v>
      </c>
      <c r="C53" s="93" t="s">
        <v>349</v>
      </c>
      <c r="D53" s="93" t="s">
        <v>218</v>
      </c>
      <c r="E53" s="94">
        <v>17538</v>
      </c>
      <c r="F53" s="95">
        <v>130.09688399999999</v>
      </c>
      <c r="G53" s="96">
        <v>9.8963699999999998E-3</v>
      </c>
      <c r="H53" s="86" t="s">
        <v>142</v>
      </c>
    </row>
    <row r="54" spans="1:8" x14ac:dyDescent="0.2">
      <c r="A54" s="92">
        <v>48</v>
      </c>
      <c r="B54" s="93" t="s">
        <v>781</v>
      </c>
      <c r="C54" s="93" t="s">
        <v>782</v>
      </c>
      <c r="D54" s="93" t="s">
        <v>427</v>
      </c>
      <c r="E54" s="94">
        <v>27300</v>
      </c>
      <c r="F54" s="95">
        <v>130.08449999999999</v>
      </c>
      <c r="G54" s="96">
        <v>9.8954200000000003E-3</v>
      </c>
      <c r="H54" s="86" t="s">
        <v>142</v>
      </c>
    </row>
    <row r="55" spans="1:8" x14ac:dyDescent="0.2">
      <c r="A55" s="92">
        <v>49</v>
      </c>
      <c r="B55" s="93" t="s">
        <v>783</v>
      </c>
      <c r="C55" s="93" t="s">
        <v>784</v>
      </c>
      <c r="D55" s="93" t="s">
        <v>186</v>
      </c>
      <c r="E55" s="94">
        <v>42366</v>
      </c>
      <c r="F55" s="95">
        <v>129.97888800000001</v>
      </c>
      <c r="G55" s="96">
        <v>9.8873899999999994E-3</v>
      </c>
      <c r="H55" s="86" t="s">
        <v>142</v>
      </c>
    </row>
    <row r="56" spans="1:8" x14ac:dyDescent="0.2">
      <c r="A56" s="92">
        <v>50</v>
      </c>
      <c r="B56" s="93" t="s">
        <v>133</v>
      </c>
      <c r="C56" s="93" t="s">
        <v>134</v>
      </c>
      <c r="D56" s="93" t="s">
        <v>135</v>
      </c>
      <c r="E56" s="94">
        <v>12181</v>
      </c>
      <c r="F56" s="95">
        <v>129.94690800000001</v>
      </c>
      <c r="G56" s="96">
        <v>9.8849599999999999E-3</v>
      </c>
      <c r="H56" s="86" t="s">
        <v>142</v>
      </c>
    </row>
    <row r="57" spans="1:8" x14ac:dyDescent="0.2">
      <c r="A57" s="92">
        <v>51</v>
      </c>
      <c r="B57" s="93" t="s">
        <v>464</v>
      </c>
      <c r="C57" s="93" t="s">
        <v>465</v>
      </c>
      <c r="D57" s="93" t="s">
        <v>278</v>
      </c>
      <c r="E57" s="94">
        <v>9428</v>
      </c>
      <c r="F57" s="95">
        <v>129.946124</v>
      </c>
      <c r="G57" s="96">
        <v>9.8849000000000003E-3</v>
      </c>
      <c r="H57" s="86" t="s">
        <v>142</v>
      </c>
    </row>
    <row r="58" spans="1:8" x14ac:dyDescent="0.2">
      <c r="A58" s="92">
        <v>52</v>
      </c>
      <c r="B58" s="93" t="s">
        <v>29</v>
      </c>
      <c r="C58" s="93" t="s">
        <v>30</v>
      </c>
      <c r="D58" s="93" t="s">
        <v>22</v>
      </c>
      <c r="E58" s="94">
        <v>44931</v>
      </c>
      <c r="F58" s="95">
        <v>129.46867649999999</v>
      </c>
      <c r="G58" s="96">
        <v>9.8485799999999991E-3</v>
      </c>
      <c r="H58" s="86" t="s">
        <v>142</v>
      </c>
    </row>
    <row r="59" spans="1:8" ht="25.5" x14ac:dyDescent="0.2">
      <c r="A59" s="92">
        <v>53</v>
      </c>
      <c r="B59" s="93" t="s">
        <v>785</v>
      </c>
      <c r="C59" s="93" t="s">
        <v>786</v>
      </c>
      <c r="D59" s="93" t="s">
        <v>225</v>
      </c>
      <c r="E59" s="94">
        <v>3626</v>
      </c>
      <c r="F59" s="95">
        <v>129.089226</v>
      </c>
      <c r="G59" s="96">
        <v>9.8197200000000005E-3</v>
      </c>
      <c r="H59" s="86" t="s">
        <v>142</v>
      </c>
    </row>
    <row r="60" spans="1:8" x14ac:dyDescent="0.2">
      <c r="A60" s="92">
        <v>54</v>
      </c>
      <c r="B60" s="93" t="s">
        <v>787</v>
      </c>
      <c r="C60" s="93" t="s">
        <v>788</v>
      </c>
      <c r="D60" s="93" t="s">
        <v>272</v>
      </c>
      <c r="E60" s="94">
        <v>14423</v>
      </c>
      <c r="F60" s="95">
        <v>129.04258100000001</v>
      </c>
      <c r="G60" s="96">
        <v>9.8161700000000008E-3</v>
      </c>
      <c r="H60" s="86" t="s">
        <v>142</v>
      </c>
    </row>
    <row r="61" spans="1:8" x14ac:dyDescent="0.2">
      <c r="A61" s="92">
        <v>55</v>
      </c>
      <c r="B61" s="93" t="s">
        <v>107</v>
      </c>
      <c r="C61" s="93" t="s">
        <v>108</v>
      </c>
      <c r="D61" s="93" t="s">
        <v>109</v>
      </c>
      <c r="E61" s="94">
        <v>1678</v>
      </c>
      <c r="F61" s="95">
        <v>128.88718</v>
      </c>
      <c r="G61" s="96">
        <v>9.8043499999999999E-3</v>
      </c>
      <c r="H61" s="86" t="s">
        <v>142</v>
      </c>
    </row>
    <row r="62" spans="1:8" x14ac:dyDescent="0.2">
      <c r="A62" s="92">
        <v>56</v>
      </c>
      <c r="B62" s="93" t="s">
        <v>235</v>
      </c>
      <c r="C62" s="93" t="s">
        <v>236</v>
      </c>
      <c r="D62" s="93" t="s">
        <v>109</v>
      </c>
      <c r="E62" s="94">
        <v>11210</v>
      </c>
      <c r="F62" s="95">
        <v>128.66838000000001</v>
      </c>
      <c r="G62" s="96">
        <v>9.7876999999999999E-3</v>
      </c>
      <c r="H62" s="86" t="s">
        <v>142</v>
      </c>
    </row>
    <row r="63" spans="1:8" x14ac:dyDescent="0.2">
      <c r="A63" s="92">
        <v>57</v>
      </c>
      <c r="B63" s="93" t="s">
        <v>789</v>
      </c>
      <c r="C63" s="93" t="s">
        <v>790</v>
      </c>
      <c r="D63" s="93" t="s">
        <v>241</v>
      </c>
      <c r="E63" s="94">
        <v>1835</v>
      </c>
      <c r="F63" s="95">
        <v>128.57845</v>
      </c>
      <c r="G63" s="96">
        <v>9.7808600000000006E-3</v>
      </c>
      <c r="H63" s="86" t="s">
        <v>142</v>
      </c>
    </row>
    <row r="64" spans="1:8" x14ac:dyDescent="0.2">
      <c r="A64" s="92">
        <v>58</v>
      </c>
      <c r="B64" s="93" t="s">
        <v>114</v>
      </c>
      <c r="C64" s="93" t="s">
        <v>115</v>
      </c>
      <c r="D64" s="93" t="s">
        <v>43</v>
      </c>
      <c r="E64" s="94">
        <v>2461</v>
      </c>
      <c r="F64" s="95">
        <v>128.46420000000001</v>
      </c>
      <c r="G64" s="96">
        <v>9.7721700000000002E-3</v>
      </c>
      <c r="H64" s="86" t="s">
        <v>142</v>
      </c>
    </row>
    <row r="65" spans="1:8" x14ac:dyDescent="0.2">
      <c r="A65" s="92">
        <v>59</v>
      </c>
      <c r="B65" s="93" t="s">
        <v>638</v>
      </c>
      <c r="C65" s="93" t="s">
        <v>639</v>
      </c>
      <c r="D65" s="93" t="s">
        <v>186</v>
      </c>
      <c r="E65" s="94">
        <v>34208</v>
      </c>
      <c r="F65" s="95">
        <v>128.22868800000001</v>
      </c>
      <c r="G65" s="96">
        <v>9.7542500000000008E-3</v>
      </c>
      <c r="H65" s="86" t="s">
        <v>142</v>
      </c>
    </row>
    <row r="66" spans="1:8" x14ac:dyDescent="0.2">
      <c r="A66" s="92">
        <v>60</v>
      </c>
      <c r="B66" s="93" t="s">
        <v>791</v>
      </c>
      <c r="C66" s="93" t="s">
        <v>792</v>
      </c>
      <c r="D66" s="93" t="s">
        <v>38</v>
      </c>
      <c r="E66" s="94">
        <v>121645</v>
      </c>
      <c r="F66" s="95">
        <v>128.20166549999999</v>
      </c>
      <c r="G66" s="96">
        <v>9.7522000000000008E-3</v>
      </c>
      <c r="H66" s="86" t="s">
        <v>142</v>
      </c>
    </row>
    <row r="67" spans="1:8" x14ac:dyDescent="0.2">
      <c r="A67" s="92">
        <v>61</v>
      </c>
      <c r="B67" s="93" t="s">
        <v>510</v>
      </c>
      <c r="C67" s="93" t="s">
        <v>511</v>
      </c>
      <c r="D67" s="93" t="s">
        <v>241</v>
      </c>
      <c r="E67" s="94">
        <v>1440</v>
      </c>
      <c r="F67" s="95">
        <v>128.05199999999999</v>
      </c>
      <c r="G67" s="96">
        <v>9.7408100000000008E-3</v>
      </c>
      <c r="H67" s="86" t="s">
        <v>142</v>
      </c>
    </row>
    <row r="68" spans="1:8" x14ac:dyDescent="0.2">
      <c r="A68" s="92">
        <v>62</v>
      </c>
      <c r="B68" s="93" t="s">
        <v>59</v>
      </c>
      <c r="C68" s="93" t="s">
        <v>60</v>
      </c>
      <c r="D68" s="93" t="s">
        <v>61</v>
      </c>
      <c r="E68" s="94">
        <v>2268</v>
      </c>
      <c r="F68" s="95">
        <v>127.575</v>
      </c>
      <c r="G68" s="96">
        <v>9.7045299999999994E-3</v>
      </c>
      <c r="H68" s="86" t="s">
        <v>142</v>
      </c>
    </row>
    <row r="69" spans="1:8" x14ac:dyDescent="0.2">
      <c r="A69" s="92">
        <v>63</v>
      </c>
      <c r="B69" s="93" t="s">
        <v>502</v>
      </c>
      <c r="C69" s="93" t="s">
        <v>503</v>
      </c>
      <c r="D69" s="93" t="s">
        <v>186</v>
      </c>
      <c r="E69" s="94">
        <v>31623</v>
      </c>
      <c r="F69" s="95">
        <v>127.51974749999999</v>
      </c>
      <c r="G69" s="96">
        <v>9.7003300000000001E-3</v>
      </c>
      <c r="H69" s="86" t="s">
        <v>142</v>
      </c>
    </row>
    <row r="70" spans="1:8" x14ac:dyDescent="0.2">
      <c r="A70" s="92">
        <v>64</v>
      </c>
      <c r="B70" s="93" t="s">
        <v>326</v>
      </c>
      <c r="C70" s="93" t="s">
        <v>327</v>
      </c>
      <c r="D70" s="93" t="s">
        <v>204</v>
      </c>
      <c r="E70" s="94">
        <v>8602</v>
      </c>
      <c r="F70" s="95">
        <v>127.507446</v>
      </c>
      <c r="G70" s="96">
        <v>9.6993900000000004E-3</v>
      </c>
      <c r="H70" s="86" t="s">
        <v>142</v>
      </c>
    </row>
    <row r="71" spans="1:8" x14ac:dyDescent="0.2">
      <c r="A71" s="92">
        <v>65</v>
      </c>
      <c r="B71" s="93" t="s">
        <v>504</v>
      </c>
      <c r="C71" s="93" t="s">
        <v>505</v>
      </c>
      <c r="D71" s="93" t="s">
        <v>241</v>
      </c>
      <c r="E71" s="94">
        <v>787</v>
      </c>
      <c r="F71" s="95">
        <v>127.38382</v>
      </c>
      <c r="G71" s="96">
        <v>9.6899900000000008E-3</v>
      </c>
      <c r="H71" s="86" t="s">
        <v>142</v>
      </c>
    </row>
    <row r="72" spans="1:8" x14ac:dyDescent="0.2">
      <c r="A72" s="92">
        <v>66</v>
      </c>
      <c r="B72" s="93" t="s">
        <v>650</v>
      </c>
      <c r="C72" s="93" t="s">
        <v>651</v>
      </c>
      <c r="D72" s="93" t="s">
        <v>22</v>
      </c>
      <c r="E72" s="94">
        <v>24144</v>
      </c>
      <c r="F72" s="95">
        <v>127.347528</v>
      </c>
      <c r="G72" s="96">
        <v>9.6872299999999998E-3</v>
      </c>
      <c r="H72" s="86" t="s">
        <v>142</v>
      </c>
    </row>
    <row r="73" spans="1:8" x14ac:dyDescent="0.2">
      <c r="A73" s="92">
        <v>67</v>
      </c>
      <c r="B73" s="93" t="s">
        <v>793</v>
      </c>
      <c r="C73" s="93" t="s">
        <v>794</v>
      </c>
      <c r="D73" s="93" t="s">
        <v>186</v>
      </c>
      <c r="E73" s="94">
        <v>103271</v>
      </c>
      <c r="F73" s="95">
        <v>127.3434701</v>
      </c>
      <c r="G73" s="96">
        <v>9.6869199999999999E-3</v>
      </c>
      <c r="H73" s="86" t="s">
        <v>142</v>
      </c>
    </row>
    <row r="74" spans="1:8" ht="25.5" x14ac:dyDescent="0.2">
      <c r="A74" s="92">
        <v>68</v>
      </c>
      <c r="B74" s="93" t="s">
        <v>436</v>
      </c>
      <c r="C74" s="93" t="s">
        <v>437</v>
      </c>
      <c r="D74" s="93" t="s">
        <v>225</v>
      </c>
      <c r="E74" s="94">
        <v>8475</v>
      </c>
      <c r="F74" s="95">
        <v>127.235175</v>
      </c>
      <c r="G74" s="96">
        <v>9.6786800000000003E-3</v>
      </c>
      <c r="H74" s="86" t="s">
        <v>142</v>
      </c>
    </row>
    <row r="75" spans="1:8" x14ac:dyDescent="0.2">
      <c r="A75" s="92">
        <v>69</v>
      </c>
      <c r="B75" s="93" t="s">
        <v>446</v>
      </c>
      <c r="C75" s="93" t="s">
        <v>447</v>
      </c>
      <c r="D75" s="93" t="s">
        <v>204</v>
      </c>
      <c r="E75" s="94">
        <v>52806</v>
      </c>
      <c r="F75" s="95">
        <v>127.0882002</v>
      </c>
      <c r="G75" s="96">
        <v>9.6675000000000007E-3</v>
      </c>
      <c r="H75" s="86" t="s">
        <v>142</v>
      </c>
    </row>
    <row r="76" spans="1:8" x14ac:dyDescent="0.2">
      <c r="A76" s="92">
        <v>70</v>
      </c>
      <c r="B76" s="93" t="s">
        <v>795</v>
      </c>
      <c r="C76" s="93" t="s">
        <v>796</v>
      </c>
      <c r="D76" s="93" t="s">
        <v>186</v>
      </c>
      <c r="E76" s="94">
        <v>115161</v>
      </c>
      <c r="F76" s="95">
        <v>126.91893810000001</v>
      </c>
      <c r="G76" s="96">
        <v>9.6546199999999992E-3</v>
      </c>
      <c r="H76" s="86" t="s">
        <v>142</v>
      </c>
    </row>
    <row r="77" spans="1:8" x14ac:dyDescent="0.2">
      <c r="A77" s="92">
        <v>71</v>
      </c>
      <c r="B77" s="93" t="s">
        <v>681</v>
      </c>
      <c r="C77" s="93" t="s">
        <v>682</v>
      </c>
      <c r="D77" s="93" t="s">
        <v>683</v>
      </c>
      <c r="E77" s="94">
        <v>32655</v>
      </c>
      <c r="F77" s="95">
        <v>126.9136575</v>
      </c>
      <c r="G77" s="96">
        <v>9.6542199999999998E-3</v>
      </c>
      <c r="H77" s="86" t="s">
        <v>142</v>
      </c>
    </row>
    <row r="78" spans="1:8" x14ac:dyDescent="0.2">
      <c r="A78" s="92">
        <v>72</v>
      </c>
      <c r="B78" s="93" t="s">
        <v>20</v>
      </c>
      <c r="C78" s="93" t="s">
        <v>21</v>
      </c>
      <c r="D78" s="93" t="s">
        <v>22</v>
      </c>
      <c r="E78" s="94">
        <v>37644</v>
      </c>
      <c r="F78" s="95">
        <v>126.841458</v>
      </c>
      <c r="G78" s="96">
        <v>9.6487299999999995E-3</v>
      </c>
      <c r="H78" s="86" t="s">
        <v>142</v>
      </c>
    </row>
    <row r="79" spans="1:8" x14ac:dyDescent="0.2">
      <c r="A79" s="92">
        <v>73</v>
      </c>
      <c r="B79" s="93" t="s">
        <v>334</v>
      </c>
      <c r="C79" s="93" t="s">
        <v>335</v>
      </c>
      <c r="D79" s="93" t="s">
        <v>241</v>
      </c>
      <c r="E79" s="94">
        <v>3635</v>
      </c>
      <c r="F79" s="95">
        <v>126.75972</v>
      </c>
      <c r="G79" s="96">
        <v>9.64251E-3</v>
      </c>
      <c r="H79" s="86" t="s">
        <v>142</v>
      </c>
    </row>
    <row r="80" spans="1:8" ht="25.5" x14ac:dyDescent="0.2">
      <c r="A80" s="92">
        <v>74</v>
      </c>
      <c r="B80" s="93" t="s">
        <v>797</v>
      </c>
      <c r="C80" s="93" t="s">
        <v>798</v>
      </c>
      <c r="D80" s="93" t="s">
        <v>275</v>
      </c>
      <c r="E80" s="94">
        <v>912</v>
      </c>
      <c r="F80" s="95">
        <v>126.56735999999999</v>
      </c>
      <c r="G80" s="96">
        <v>9.6278800000000001E-3</v>
      </c>
      <c r="H80" s="86" t="s">
        <v>142</v>
      </c>
    </row>
    <row r="81" spans="1:8" x14ac:dyDescent="0.2">
      <c r="A81" s="92">
        <v>75</v>
      </c>
      <c r="B81" s="93" t="s">
        <v>518</v>
      </c>
      <c r="C81" s="93" t="s">
        <v>519</v>
      </c>
      <c r="D81" s="93" t="s">
        <v>204</v>
      </c>
      <c r="E81" s="94">
        <v>8865</v>
      </c>
      <c r="F81" s="95">
        <v>126.27306</v>
      </c>
      <c r="G81" s="96">
        <v>9.6054899999999995E-3</v>
      </c>
      <c r="H81" s="86" t="s">
        <v>142</v>
      </c>
    </row>
    <row r="82" spans="1:8" x14ac:dyDescent="0.2">
      <c r="A82" s="92">
        <v>76</v>
      </c>
      <c r="B82" s="93" t="s">
        <v>646</v>
      </c>
      <c r="C82" s="93" t="s">
        <v>647</v>
      </c>
      <c r="D82" s="93" t="s">
        <v>459</v>
      </c>
      <c r="E82" s="94">
        <v>2161</v>
      </c>
      <c r="F82" s="95">
        <v>126.12676500000001</v>
      </c>
      <c r="G82" s="96">
        <v>9.5943599999999997E-3</v>
      </c>
      <c r="H82" s="86" t="s">
        <v>142</v>
      </c>
    </row>
    <row r="83" spans="1:8" x14ac:dyDescent="0.2">
      <c r="A83" s="92">
        <v>77</v>
      </c>
      <c r="B83" s="93" t="s">
        <v>738</v>
      </c>
      <c r="C83" s="93" t="s">
        <v>739</v>
      </c>
      <c r="D83" s="93" t="s">
        <v>278</v>
      </c>
      <c r="E83" s="94">
        <v>2681</v>
      </c>
      <c r="F83" s="95">
        <v>125.85418300000001</v>
      </c>
      <c r="G83" s="96">
        <v>9.5736299999999996E-3</v>
      </c>
      <c r="H83" s="86" t="s">
        <v>142</v>
      </c>
    </row>
    <row r="84" spans="1:8" x14ac:dyDescent="0.2">
      <c r="A84" s="92">
        <v>78</v>
      </c>
      <c r="B84" s="93" t="s">
        <v>328</v>
      </c>
      <c r="C84" s="93" t="s">
        <v>329</v>
      </c>
      <c r="D84" s="93" t="s">
        <v>28</v>
      </c>
      <c r="E84" s="94">
        <v>2689</v>
      </c>
      <c r="F84" s="95">
        <v>125.839822</v>
      </c>
      <c r="G84" s="96">
        <v>9.5725399999999992E-3</v>
      </c>
      <c r="H84" s="86" t="s">
        <v>142</v>
      </c>
    </row>
    <row r="85" spans="1:8" x14ac:dyDescent="0.2">
      <c r="A85" s="92">
        <v>79</v>
      </c>
      <c r="B85" s="93" t="s">
        <v>99</v>
      </c>
      <c r="C85" s="93" t="s">
        <v>100</v>
      </c>
      <c r="D85" s="93" t="s">
        <v>43</v>
      </c>
      <c r="E85" s="94">
        <v>4050</v>
      </c>
      <c r="F85" s="95">
        <v>125.40015</v>
      </c>
      <c r="G85" s="96">
        <v>9.5390900000000001E-3</v>
      </c>
      <c r="H85" s="86" t="s">
        <v>142</v>
      </c>
    </row>
    <row r="86" spans="1:8" ht="25.5" x14ac:dyDescent="0.2">
      <c r="A86" s="92">
        <v>80</v>
      </c>
      <c r="B86" s="93" t="s">
        <v>23</v>
      </c>
      <c r="C86" s="93" t="s">
        <v>24</v>
      </c>
      <c r="D86" s="93" t="s">
        <v>25</v>
      </c>
      <c r="E86" s="94">
        <v>1049</v>
      </c>
      <c r="F86" s="95">
        <v>125.32402999999999</v>
      </c>
      <c r="G86" s="96">
        <v>9.5332999999999998E-3</v>
      </c>
      <c r="H86" s="86" t="s">
        <v>142</v>
      </c>
    </row>
    <row r="87" spans="1:8" x14ac:dyDescent="0.2">
      <c r="A87" s="92">
        <v>81</v>
      </c>
      <c r="B87" s="93" t="s">
        <v>33</v>
      </c>
      <c r="C87" s="93" t="s">
        <v>34</v>
      </c>
      <c r="D87" s="93" t="s">
        <v>35</v>
      </c>
      <c r="E87" s="94">
        <v>9311</v>
      </c>
      <c r="F87" s="95">
        <v>125.26088300000001</v>
      </c>
      <c r="G87" s="96">
        <v>9.5285000000000005E-3</v>
      </c>
      <c r="H87" s="86" t="s">
        <v>142</v>
      </c>
    </row>
    <row r="88" spans="1:8" ht="25.5" x14ac:dyDescent="0.2">
      <c r="A88" s="92">
        <v>82</v>
      </c>
      <c r="B88" s="93" t="s">
        <v>103</v>
      </c>
      <c r="C88" s="93" t="s">
        <v>104</v>
      </c>
      <c r="D88" s="93" t="s">
        <v>25</v>
      </c>
      <c r="E88" s="94">
        <v>22033</v>
      </c>
      <c r="F88" s="95">
        <v>124.57458200000001</v>
      </c>
      <c r="G88" s="96">
        <v>9.4762900000000001E-3</v>
      </c>
      <c r="H88" s="86" t="s">
        <v>142</v>
      </c>
    </row>
    <row r="89" spans="1:8" x14ac:dyDescent="0.2">
      <c r="A89" s="92">
        <v>83</v>
      </c>
      <c r="B89" s="93" t="s">
        <v>799</v>
      </c>
      <c r="C89" s="93" t="s">
        <v>800</v>
      </c>
      <c r="D89" s="93" t="s">
        <v>43</v>
      </c>
      <c r="E89" s="94">
        <v>16899</v>
      </c>
      <c r="F89" s="95">
        <v>124.48648350000001</v>
      </c>
      <c r="G89" s="96">
        <v>9.46959E-3</v>
      </c>
      <c r="H89" s="86" t="s">
        <v>142</v>
      </c>
    </row>
    <row r="90" spans="1:8" x14ac:dyDescent="0.2">
      <c r="A90" s="92">
        <v>84</v>
      </c>
      <c r="B90" s="93" t="s">
        <v>440</v>
      </c>
      <c r="C90" s="93" t="s">
        <v>441</v>
      </c>
      <c r="D90" s="93" t="s">
        <v>422</v>
      </c>
      <c r="E90" s="94">
        <v>5044</v>
      </c>
      <c r="F90" s="95">
        <v>124.35982</v>
      </c>
      <c r="G90" s="96">
        <v>9.45995E-3</v>
      </c>
      <c r="H90" s="86" t="s">
        <v>142</v>
      </c>
    </row>
    <row r="91" spans="1:8" x14ac:dyDescent="0.2">
      <c r="A91" s="92">
        <v>85</v>
      </c>
      <c r="B91" s="93" t="s">
        <v>801</v>
      </c>
      <c r="C91" s="93" t="s">
        <v>802</v>
      </c>
      <c r="D91" s="93" t="s">
        <v>48</v>
      </c>
      <c r="E91" s="94">
        <v>8321</v>
      </c>
      <c r="F91" s="95">
        <v>124.307419</v>
      </c>
      <c r="G91" s="96">
        <v>9.4559699999999993E-3</v>
      </c>
      <c r="H91" s="86" t="s">
        <v>142</v>
      </c>
    </row>
    <row r="92" spans="1:8" x14ac:dyDescent="0.2">
      <c r="A92" s="92">
        <v>86</v>
      </c>
      <c r="B92" s="93" t="s">
        <v>803</v>
      </c>
      <c r="C92" s="93" t="s">
        <v>804</v>
      </c>
      <c r="D92" s="93" t="s">
        <v>38</v>
      </c>
      <c r="E92" s="94">
        <v>332</v>
      </c>
      <c r="F92" s="95">
        <v>123.6534</v>
      </c>
      <c r="G92" s="96">
        <v>9.4062199999999999E-3</v>
      </c>
      <c r="H92" s="86" t="s">
        <v>142</v>
      </c>
    </row>
    <row r="93" spans="1:8" ht="25.5" x14ac:dyDescent="0.2">
      <c r="A93" s="92">
        <v>87</v>
      </c>
      <c r="B93" s="93" t="s">
        <v>514</v>
      </c>
      <c r="C93" s="93" t="s">
        <v>515</v>
      </c>
      <c r="D93" s="93" t="s">
        <v>275</v>
      </c>
      <c r="E93" s="94">
        <v>8559</v>
      </c>
      <c r="F93" s="95">
        <v>123.643314</v>
      </c>
      <c r="G93" s="96">
        <v>9.4054499999999992E-3</v>
      </c>
      <c r="H93" s="86" t="s">
        <v>142</v>
      </c>
    </row>
    <row r="94" spans="1:8" x14ac:dyDescent="0.2">
      <c r="A94" s="92">
        <v>88</v>
      </c>
      <c r="B94" s="93" t="s">
        <v>342</v>
      </c>
      <c r="C94" s="93" t="s">
        <v>343</v>
      </c>
      <c r="D94" s="93" t="s">
        <v>278</v>
      </c>
      <c r="E94" s="94">
        <v>38850</v>
      </c>
      <c r="F94" s="95">
        <v>123.445875</v>
      </c>
      <c r="G94" s="96">
        <v>9.39043E-3</v>
      </c>
      <c r="H94" s="86" t="s">
        <v>142</v>
      </c>
    </row>
    <row r="95" spans="1:8" x14ac:dyDescent="0.2">
      <c r="A95" s="92">
        <v>89</v>
      </c>
      <c r="B95" s="93" t="s">
        <v>805</v>
      </c>
      <c r="C95" s="93" t="s">
        <v>806</v>
      </c>
      <c r="D95" s="93" t="s">
        <v>186</v>
      </c>
      <c r="E95" s="94">
        <v>1002</v>
      </c>
      <c r="F95" s="95">
        <v>123.27606</v>
      </c>
      <c r="G95" s="96">
        <v>9.3775100000000004E-3</v>
      </c>
      <c r="H95" s="86" t="s">
        <v>142</v>
      </c>
    </row>
    <row r="96" spans="1:8" x14ac:dyDescent="0.2">
      <c r="A96" s="92">
        <v>90</v>
      </c>
      <c r="B96" s="93" t="s">
        <v>807</v>
      </c>
      <c r="C96" s="93" t="s">
        <v>808</v>
      </c>
      <c r="D96" s="93" t="s">
        <v>272</v>
      </c>
      <c r="E96" s="94">
        <v>16818</v>
      </c>
      <c r="F96" s="95">
        <v>123.082533</v>
      </c>
      <c r="G96" s="96">
        <v>9.3627899999999993E-3</v>
      </c>
      <c r="H96" s="86" t="s">
        <v>142</v>
      </c>
    </row>
    <row r="97" spans="1:8" ht="25.5" x14ac:dyDescent="0.2">
      <c r="A97" s="92">
        <v>91</v>
      </c>
      <c r="B97" s="93" t="s">
        <v>627</v>
      </c>
      <c r="C97" s="93" t="s">
        <v>628</v>
      </c>
      <c r="D97" s="93" t="s">
        <v>629</v>
      </c>
      <c r="E97" s="94">
        <v>4947</v>
      </c>
      <c r="F97" s="95">
        <v>122.73506999999999</v>
      </c>
      <c r="G97" s="96">
        <v>9.3363600000000001E-3</v>
      </c>
      <c r="H97" s="86" t="s">
        <v>142</v>
      </c>
    </row>
    <row r="98" spans="1:8" ht="25.5" x14ac:dyDescent="0.2">
      <c r="A98" s="92">
        <v>92</v>
      </c>
      <c r="B98" s="93" t="s">
        <v>305</v>
      </c>
      <c r="C98" s="93" t="s">
        <v>306</v>
      </c>
      <c r="D98" s="93" t="s">
        <v>225</v>
      </c>
      <c r="E98" s="94">
        <v>12581</v>
      </c>
      <c r="F98" s="95">
        <v>122.59555450000001</v>
      </c>
      <c r="G98" s="96">
        <v>9.3257500000000007E-3</v>
      </c>
      <c r="H98" s="86" t="s">
        <v>142</v>
      </c>
    </row>
    <row r="99" spans="1:8" ht="25.5" x14ac:dyDescent="0.2">
      <c r="A99" s="92">
        <v>93</v>
      </c>
      <c r="B99" s="93" t="s">
        <v>809</v>
      </c>
      <c r="C99" s="93" t="s">
        <v>810</v>
      </c>
      <c r="D99" s="93" t="s">
        <v>25</v>
      </c>
      <c r="E99" s="94">
        <v>432</v>
      </c>
      <c r="F99" s="95">
        <v>122.2992</v>
      </c>
      <c r="G99" s="96">
        <v>9.3031999999999993E-3</v>
      </c>
      <c r="H99" s="86" t="s">
        <v>142</v>
      </c>
    </row>
    <row r="100" spans="1:8" x14ac:dyDescent="0.2">
      <c r="A100" s="92">
        <v>94</v>
      </c>
      <c r="B100" s="93" t="s">
        <v>698</v>
      </c>
      <c r="C100" s="93" t="s">
        <v>699</v>
      </c>
      <c r="D100" s="93" t="s">
        <v>250</v>
      </c>
      <c r="E100" s="94">
        <v>10753</v>
      </c>
      <c r="F100" s="95">
        <v>120.283058</v>
      </c>
      <c r="G100" s="96">
        <v>9.1498399999999994E-3</v>
      </c>
      <c r="H100" s="86" t="s">
        <v>142</v>
      </c>
    </row>
    <row r="101" spans="1:8" ht="25.5" x14ac:dyDescent="0.2">
      <c r="A101" s="92">
        <v>95</v>
      </c>
      <c r="B101" s="93" t="s">
        <v>742</v>
      </c>
      <c r="C101" s="93" t="s">
        <v>743</v>
      </c>
      <c r="D101" s="93" t="s">
        <v>225</v>
      </c>
      <c r="E101" s="94">
        <v>10012</v>
      </c>
      <c r="F101" s="95">
        <v>119.903712</v>
      </c>
      <c r="G101" s="96">
        <v>9.1209800000000008E-3</v>
      </c>
      <c r="H101" s="86" t="s">
        <v>142</v>
      </c>
    </row>
    <row r="102" spans="1:8" ht="25.5" x14ac:dyDescent="0.2">
      <c r="A102" s="92">
        <v>96</v>
      </c>
      <c r="B102" s="93" t="s">
        <v>811</v>
      </c>
      <c r="C102" s="93" t="s">
        <v>812</v>
      </c>
      <c r="D102" s="93" t="s">
        <v>132</v>
      </c>
      <c r="E102" s="94">
        <v>4366</v>
      </c>
      <c r="F102" s="95">
        <v>119.14814</v>
      </c>
      <c r="G102" s="96">
        <v>9.0635000000000004E-3</v>
      </c>
      <c r="H102" s="86" t="s">
        <v>142</v>
      </c>
    </row>
    <row r="103" spans="1:8" x14ac:dyDescent="0.2">
      <c r="A103" s="92">
        <v>97</v>
      </c>
      <c r="B103" s="93" t="s">
        <v>732</v>
      </c>
      <c r="C103" s="93" t="s">
        <v>733</v>
      </c>
      <c r="D103" s="93" t="s">
        <v>278</v>
      </c>
      <c r="E103" s="94">
        <v>2798</v>
      </c>
      <c r="F103" s="95">
        <v>116.21493</v>
      </c>
      <c r="G103" s="96">
        <v>8.8403800000000001E-3</v>
      </c>
      <c r="H103" s="86" t="s">
        <v>142</v>
      </c>
    </row>
    <row r="104" spans="1:8" x14ac:dyDescent="0.2">
      <c r="A104" s="92">
        <v>98</v>
      </c>
      <c r="B104" s="93" t="s">
        <v>128</v>
      </c>
      <c r="C104" s="93" t="s">
        <v>129</v>
      </c>
      <c r="D104" s="93" t="s">
        <v>43</v>
      </c>
      <c r="E104" s="94">
        <v>3632</v>
      </c>
      <c r="F104" s="95">
        <v>115.700992</v>
      </c>
      <c r="G104" s="96">
        <v>8.8012799999999999E-3</v>
      </c>
      <c r="H104" s="86" t="s">
        <v>142</v>
      </c>
    </row>
    <row r="105" spans="1:8" x14ac:dyDescent="0.2">
      <c r="A105" s="92">
        <v>99</v>
      </c>
      <c r="B105" s="93" t="s">
        <v>813</v>
      </c>
      <c r="C105" s="93" t="s">
        <v>814</v>
      </c>
      <c r="D105" s="93" t="s">
        <v>241</v>
      </c>
      <c r="E105" s="94">
        <v>4672</v>
      </c>
      <c r="F105" s="95">
        <v>113.936064</v>
      </c>
      <c r="G105" s="96">
        <v>8.6670299999999992E-3</v>
      </c>
      <c r="H105" s="86" t="s">
        <v>142</v>
      </c>
    </row>
    <row r="106" spans="1:8" x14ac:dyDescent="0.2">
      <c r="A106" s="92">
        <v>100</v>
      </c>
      <c r="B106" s="93" t="s">
        <v>430</v>
      </c>
      <c r="C106" s="93" t="s">
        <v>431</v>
      </c>
      <c r="D106" s="93" t="s">
        <v>241</v>
      </c>
      <c r="E106" s="94">
        <v>19263</v>
      </c>
      <c r="F106" s="95">
        <v>78.978300000000004</v>
      </c>
      <c r="G106" s="96">
        <v>6.0078199999999997E-3</v>
      </c>
      <c r="H106" s="86" t="s">
        <v>142</v>
      </c>
    </row>
    <row r="107" spans="1:8" x14ac:dyDescent="0.2">
      <c r="A107" s="92">
        <v>101</v>
      </c>
      <c r="B107" s="93" t="s">
        <v>442</v>
      </c>
      <c r="C107" s="93" t="s">
        <v>443</v>
      </c>
      <c r="D107" s="93" t="s">
        <v>38</v>
      </c>
      <c r="E107" s="94">
        <v>19016</v>
      </c>
      <c r="F107" s="95">
        <v>49.584220000000002</v>
      </c>
      <c r="G107" s="96">
        <v>3.7718299999999999E-3</v>
      </c>
      <c r="H107" s="86" t="s">
        <v>142</v>
      </c>
    </row>
    <row r="108" spans="1:8" x14ac:dyDescent="0.2">
      <c r="A108" s="97"/>
      <c r="B108" s="97"/>
      <c r="C108" s="98" t="s">
        <v>141</v>
      </c>
      <c r="D108" s="97"/>
      <c r="E108" s="97" t="s">
        <v>142</v>
      </c>
      <c r="F108" s="99">
        <v>13095.4142631</v>
      </c>
      <c r="G108" s="100">
        <v>0.99615781999999997</v>
      </c>
      <c r="H108" s="86" t="s">
        <v>142</v>
      </c>
    </row>
    <row r="109" spans="1:8" x14ac:dyDescent="0.2">
      <c r="A109" s="97"/>
      <c r="B109" s="97"/>
      <c r="C109" s="101"/>
      <c r="D109" s="97"/>
      <c r="E109" s="97"/>
      <c r="F109" s="102"/>
      <c r="G109" s="102"/>
      <c r="H109" s="86" t="s">
        <v>142</v>
      </c>
    </row>
    <row r="110" spans="1:8" x14ac:dyDescent="0.2">
      <c r="A110" s="97"/>
      <c r="B110" s="97"/>
      <c r="C110" s="98" t="s">
        <v>143</v>
      </c>
      <c r="D110" s="97"/>
      <c r="E110" s="97"/>
      <c r="F110" s="97"/>
      <c r="G110" s="97"/>
      <c r="H110" s="86" t="s">
        <v>142</v>
      </c>
    </row>
    <row r="111" spans="1:8" x14ac:dyDescent="0.2">
      <c r="A111" s="97"/>
      <c r="B111" s="97"/>
      <c r="C111" s="98" t="s">
        <v>141</v>
      </c>
      <c r="D111" s="97"/>
      <c r="E111" s="97" t="s">
        <v>142</v>
      </c>
      <c r="F111" s="103" t="s">
        <v>144</v>
      </c>
      <c r="G111" s="100">
        <v>0</v>
      </c>
      <c r="H111" s="86" t="s">
        <v>142</v>
      </c>
    </row>
    <row r="112" spans="1:8" x14ac:dyDescent="0.2">
      <c r="A112" s="97"/>
      <c r="B112" s="97"/>
      <c r="C112" s="101"/>
      <c r="D112" s="97"/>
      <c r="E112" s="97"/>
      <c r="F112" s="102"/>
      <c r="G112" s="102"/>
      <c r="H112" s="86" t="s">
        <v>142</v>
      </c>
    </row>
    <row r="113" spans="1:8" x14ac:dyDescent="0.2">
      <c r="A113" s="97"/>
      <c r="B113" s="97"/>
      <c r="C113" s="98" t="s">
        <v>145</v>
      </c>
      <c r="D113" s="97"/>
      <c r="E113" s="97"/>
      <c r="F113" s="97"/>
      <c r="G113" s="97"/>
      <c r="H113" s="86" t="s">
        <v>142</v>
      </c>
    </row>
    <row r="114" spans="1:8" x14ac:dyDescent="0.2">
      <c r="A114" s="97"/>
      <c r="B114" s="97"/>
      <c r="C114" s="98" t="s">
        <v>141</v>
      </c>
      <c r="D114" s="97"/>
      <c r="E114" s="97" t="s">
        <v>142</v>
      </c>
      <c r="F114" s="103" t="s">
        <v>144</v>
      </c>
      <c r="G114" s="100">
        <v>0</v>
      </c>
      <c r="H114" s="86" t="s">
        <v>142</v>
      </c>
    </row>
    <row r="115" spans="1:8" x14ac:dyDescent="0.2">
      <c r="A115" s="97"/>
      <c r="B115" s="97"/>
      <c r="C115" s="101"/>
      <c r="D115" s="97"/>
      <c r="E115" s="97"/>
      <c r="F115" s="102"/>
      <c r="G115" s="102"/>
      <c r="H115" s="86" t="s">
        <v>142</v>
      </c>
    </row>
    <row r="116" spans="1:8" x14ac:dyDescent="0.2">
      <c r="A116" s="97"/>
      <c r="B116" s="97"/>
      <c r="C116" s="98" t="s">
        <v>146</v>
      </c>
      <c r="D116" s="97"/>
      <c r="E116" s="97"/>
      <c r="F116" s="97"/>
      <c r="G116" s="97"/>
      <c r="H116" s="86" t="s">
        <v>142</v>
      </c>
    </row>
    <row r="117" spans="1:8" x14ac:dyDescent="0.2">
      <c r="A117" s="97"/>
      <c r="B117" s="97"/>
      <c r="C117" s="98" t="s">
        <v>141</v>
      </c>
      <c r="D117" s="97"/>
      <c r="E117" s="97" t="s">
        <v>142</v>
      </c>
      <c r="F117" s="103" t="s">
        <v>144</v>
      </c>
      <c r="G117" s="100">
        <v>0</v>
      </c>
      <c r="H117" s="86" t="s">
        <v>142</v>
      </c>
    </row>
    <row r="118" spans="1:8" x14ac:dyDescent="0.2">
      <c r="A118" s="97"/>
      <c r="B118" s="97"/>
      <c r="C118" s="101"/>
      <c r="D118" s="97"/>
      <c r="E118" s="97"/>
      <c r="F118" s="102"/>
      <c r="G118" s="102"/>
      <c r="H118" s="86" t="s">
        <v>142</v>
      </c>
    </row>
    <row r="119" spans="1:8" x14ac:dyDescent="0.2">
      <c r="A119" s="97"/>
      <c r="B119" s="97"/>
      <c r="C119" s="98" t="s">
        <v>147</v>
      </c>
      <c r="D119" s="97"/>
      <c r="E119" s="97"/>
      <c r="F119" s="102"/>
      <c r="G119" s="102"/>
      <c r="H119" s="86" t="s">
        <v>142</v>
      </c>
    </row>
    <row r="120" spans="1:8" x14ac:dyDescent="0.2">
      <c r="A120" s="97"/>
      <c r="B120" s="97"/>
      <c r="C120" s="98" t="s">
        <v>141</v>
      </c>
      <c r="D120" s="97"/>
      <c r="E120" s="97" t="s">
        <v>142</v>
      </c>
      <c r="F120" s="103" t="s">
        <v>144</v>
      </c>
      <c r="G120" s="100">
        <v>0</v>
      </c>
      <c r="H120" s="86" t="s">
        <v>142</v>
      </c>
    </row>
    <row r="121" spans="1:8" x14ac:dyDescent="0.2">
      <c r="A121" s="97"/>
      <c r="B121" s="97"/>
      <c r="C121" s="101"/>
      <c r="D121" s="97"/>
      <c r="E121" s="97"/>
      <c r="F121" s="102"/>
      <c r="G121" s="102"/>
      <c r="H121" s="86" t="s">
        <v>142</v>
      </c>
    </row>
    <row r="122" spans="1:8" x14ac:dyDescent="0.2">
      <c r="A122" s="97"/>
      <c r="B122" s="97"/>
      <c r="C122" s="98" t="s">
        <v>148</v>
      </c>
      <c r="D122" s="97"/>
      <c r="E122" s="97"/>
      <c r="F122" s="102"/>
      <c r="G122" s="102"/>
      <c r="H122" s="86" t="s">
        <v>142</v>
      </c>
    </row>
    <row r="123" spans="1:8" x14ac:dyDescent="0.2">
      <c r="A123" s="97"/>
      <c r="B123" s="97"/>
      <c r="C123" s="98" t="s">
        <v>141</v>
      </c>
      <c r="D123" s="97"/>
      <c r="E123" s="97" t="s">
        <v>142</v>
      </c>
      <c r="F123" s="103" t="s">
        <v>144</v>
      </c>
      <c r="G123" s="100">
        <v>0</v>
      </c>
      <c r="H123" s="86" t="s">
        <v>142</v>
      </c>
    </row>
    <row r="124" spans="1:8" x14ac:dyDescent="0.2">
      <c r="A124" s="97"/>
      <c r="B124" s="97"/>
      <c r="C124" s="101"/>
      <c r="D124" s="97"/>
      <c r="E124" s="97"/>
      <c r="F124" s="102"/>
      <c r="G124" s="102"/>
      <c r="H124" s="86" t="s">
        <v>142</v>
      </c>
    </row>
    <row r="125" spans="1:8" x14ac:dyDescent="0.2">
      <c r="A125" s="97"/>
      <c r="B125" s="97"/>
      <c r="C125" s="98" t="s">
        <v>149</v>
      </c>
      <c r="D125" s="97"/>
      <c r="E125" s="97"/>
      <c r="F125" s="99">
        <v>13096.93686862</v>
      </c>
      <c r="G125" s="100">
        <v>0.99627363999999996</v>
      </c>
      <c r="H125" s="86" t="s">
        <v>142</v>
      </c>
    </row>
    <row r="126" spans="1:8" x14ac:dyDescent="0.2">
      <c r="A126" s="97"/>
      <c r="B126" s="97"/>
      <c r="C126" s="101"/>
      <c r="D126" s="97"/>
      <c r="E126" s="97"/>
      <c r="F126" s="102"/>
      <c r="G126" s="102"/>
      <c r="H126" s="86" t="s">
        <v>142</v>
      </c>
    </row>
    <row r="127" spans="1:8" x14ac:dyDescent="0.2">
      <c r="A127" s="97"/>
      <c r="B127" s="97"/>
      <c r="C127" s="98" t="s">
        <v>150</v>
      </c>
      <c r="D127" s="97"/>
      <c r="E127" s="97"/>
      <c r="F127" s="102"/>
      <c r="G127" s="102"/>
      <c r="H127" s="86" t="s">
        <v>142</v>
      </c>
    </row>
    <row r="128" spans="1:8" x14ac:dyDescent="0.2">
      <c r="A128" s="97"/>
      <c r="B128" s="97"/>
      <c r="C128" s="98" t="s">
        <v>10</v>
      </c>
      <c r="D128" s="97"/>
      <c r="E128" s="97"/>
      <c r="F128" s="102"/>
      <c r="G128" s="102"/>
      <c r="H128" s="86" t="s">
        <v>142</v>
      </c>
    </row>
    <row r="129" spans="1:8" x14ac:dyDescent="0.2">
      <c r="A129" s="97"/>
      <c r="B129" s="97"/>
      <c r="C129" s="98" t="s">
        <v>141</v>
      </c>
      <c r="D129" s="97"/>
      <c r="E129" s="97" t="s">
        <v>142</v>
      </c>
      <c r="F129" s="103" t="s">
        <v>144</v>
      </c>
      <c r="G129" s="100">
        <v>0</v>
      </c>
      <c r="H129" s="86" t="s">
        <v>142</v>
      </c>
    </row>
    <row r="130" spans="1:8" x14ac:dyDescent="0.2">
      <c r="A130" s="97"/>
      <c r="B130" s="97"/>
      <c r="C130" s="101"/>
      <c r="D130" s="97"/>
      <c r="E130" s="97"/>
      <c r="F130" s="102"/>
      <c r="G130" s="102"/>
      <c r="H130" s="86" t="s">
        <v>142</v>
      </c>
    </row>
    <row r="131" spans="1:8" x14ac:dyDescent="0.2">
      <c r="A131" s="97"/>
      <c r="B131" s="97"/>
      <c r="C131" s="98" t="s">
        <v>151</v>
      </c>
      <c r="D131" s="97"/>
      <c r="E131" s="97"/>
      <c r="F131" s="97"/>
      <c r="G131" s="97"/>
      <c r="H131" s="86" t="s">
        <v>142</v>
      </c>
    </row>
    <row r="132" spans="1:8" x14ac:dyDescent="0.2">
      <c r="A132" s="97"/>
      <c r="B132" s="97"/>
      <c r="C132" s="98" t="s">
        <v>141</v>
      </c>
      <c r="D132" s="97"/>
      <c r="E132" s="97" t="s">
        <v>142</v>
      </c>
      <c r="F132" s="103" t="s">
        <v>144</v>
      </c>
      <c r="G132" s="100">
        <v>0</v>
      </c>
      <c r="H132" s="86" t="s">
        <v>142</v>
      </c>
    </row>
    <row r="133" spans="1:8" x14ac:dyDescent="0.2">
      <c r="A133" s="97"/>
      <c r="B133" s="97"/>
      <c r="C133" s="101"/>
      <c r="D133" s="97"/>
      <c r="E133" s="97"/>
      <c r="F133" s="102"/>
      <c r="G133" s="102"/>
      <c r="H133" s="86" t="s">
        <v>142</v>
      </c>
    </row>
    <row r="134" spans="1:8" x14ac:dyDescent="0.2">
      <c r="A134" s="97"/>
      <c r="B134" s="97"/>
      <c r="C134" s="98" t="s">
        <v>152</v>
      </c>
      <c r="D134" s="97"/>
      <c r="E134" s="97"/>
      <c r="F134" s="97"/>
      <c r="G134" s="97"/>
      <c r="H134" s="86" t="s">
        <v>142</v>
      </c>
    </row>
    <row r="135" spans="1:8" x14ac:dyDescent="0.2">
      <c r="A135" s="97"/>
      <c r="B135" s="97"/>
      <c r="C135" s="98" t="s">
        <v>141</v>
      </c>
      <c r="D135" s="97"/>
      <c r="E135" s="97" t="s">
        <v>142</v>
      </c>
      <c r="F135" s="103" t="s">
        <v>144</v>
      </c>
      <c r="G135" s="100">
        <v>0</v>
      </c>
      <c r="H135" s="86" t="s">
        <v>142</v>
      </c>
    </row>
    <row r="136" spans="1:8" x14ac:dyDescent="0.2">
      <c r="A136" s="97"/>
      <c r="B136" s="97"/>
      <c r="C136" s="101"/>
      <c r="D136" s="97"/>
      <c r="E136" s="97"/>
      <c r="F136" s="102"/>
      <c r="G136" s="102"/>
      <c r="H136" s="86" t="s">
        <v>142</v>
      </c>
    </row>
    <row r="137" spans="1:8" x14ac:dyDescent="0.2">
      <c r="A137" s="97"/>
      <c r="B137" s="97"/>
      <c r="C137" s="98" t="s">
        <v>153</v>
      </c>
      <c r="D137" s="97"/>
      <c r="E137" s="97"/>
      <c r="F137" s="102"/>
      <c r="G137" s="102"/>
      <c r="H137" s="86" t="s">
        <v>142</v>
      </c>
    </row>
    <row r="138" spans="1:8" x14ac:dyDescent="0.2">
      <c r="A138" s="97"/>
      <c r="B138" s="97"/>
      <c r="C138" s="98" t="s">
        <v>141</v>
      </c>
      <c r="D138" s="97"/>
      <c r="E138" s="97" t="s">
        <v>142</v>
      </c>
      <c r="F138" s="103" t="s">
        <v>144</v>
      </c>
      <c r="G138" s="100">
        <v>0</v>
      </c>
      <c r="H138" s="86" t="s">
        <v>142</v>
      </c>
    </row>
    <row r="139" spans="1:8" ht="12.75" customHeight="1" x14ac:dyDescent="0.2">
      <c r="A139" s="84"/>
      <c r="B139" s="84"/>
      <c r="C139" s="85"/>
      <c r="D139" s="84"/>
      <c r="E139" s="84"/>
      <c r="F139" s="149"/>
      <c r="G139" s="139"/>
      <c r="H139" s="86" t="s">
        <v>142</v>
      </c>
    </row>
    <row r="140" spans="1:8" ht="12.75" customHeight="1" x14ac:dyDescent="0.2">
      <c r="A140" s="84"/>
      <c r="B140" s="84"/>
      <c r="C140" s="85" t="s">
        <v>929</v>
      </c>
      <c r="D140" s="84"/>
      <c r="E140" s="84"/>
      <c r="F140" s="84"/>
      <c r="G140" s="84"/>
      <c r="H140" s="86" t="s">
        <v>142</v>
      </c>
    </row>
    <row r="141" spans="1:8" ht="12.75" customHeight="1" x14ac:dyDescent="0.2">
      <c r="A141" s="87">
        <v>1</v>
      </c>
      <c r="B141" s="88" t="s">
        <v>317</v>
      </c>
      <c r="C141" s="88" t="s">
        <v>930</v>
      </c>
      <c r="D141" s="88" t="s">
        <v>241</v>
      </c>
      <c r="E141" s="89">
        <v>15088</v>
      </c>
      <c r="F141" s="90">
        <v>1.5226055199999999</v>
      </c>
      <c r="G141" s="91">
        <v>1.1582E-4</v>
      </c>
      <c r="H141" s="86" t="s">
        <v>142</v>
      </c>
    </row>
    <row r="142" spans="1:8" ht="12.75" customHeight="1" x14ac:dyDescent="0.2">
      <c r="A142" s="84"/>
      <c r="B142" s="84"/>
      <c r="C142" s="85" t="s">
        <v>141</v>
      </c>
      <c r="D142" s="84"/>
      <c r="E142" s="84" t="s">
        <v>142</v>
      </c>
      <c r="F142" s="138">
        <f>F141</f>
        <v>1.5226055199999999</v>
      </c>
      <c r="G142" s="139">
        <f>G141</f>
        <v>1.1582E-4</v>
      </c>
      <c r="H142" s="86" t="s">
        <v>142</v>
      </c>
    </row>
    <row r="143" spans="1:8" x14ac:dyDescent="0.2">
      <c r="A143" s="97"/>
      <c r="B143" s="97"/>
      <c r="C143" s="101"/>
      <c r="D143" s="97"/>
      <c r="E143" s="97"/>
      <c r="F143" s="102"/>
      <c r="G143" s="102"/>
      <c r="H143" s="86" t="s">
        <v>142</v>
      </c>
    </row>
    <row r="144" spans="1:8" x14ac:dyDescent="0.2">
      <c r="A144" s="97"/>
      <c r="B144" s="97"/>
      <c r="C144" s="98" t="s">
        <v>154</v>
      </c>
      <c r="D144" s="97"/>
      <c r="E144" s="97"/>
      <c r="F144" s="99">
        <v>0</v>
      </c>
      <c r="G144" s="100">
        <v>0</v>
      </c>
      <c r="H144" s="86" t="s">
        <v>142</v>
      </c>
    </row>
    <row r="145" spans="1:8" x14ac:dyDescent="0.2">
      <c r="A145" s="97"/>
      <c r="B145" s="97"/>
      <c r="C145" s="101"/>
      <c r="D145" s="97"/>
      <c r="E145" s="97"/>
      <c r="F145" s="102"/>
      <c r="G145" s="102"/>
      <c r="H145" s="86" t="s">
        <v>142</v>
      </c>
    </row>
    <row r="146" spans="1:8" x14ac:dyDescent="0.2">
      <c r="A146" s="97"/>
      <c r="B146" s="97"/>
      <c r="C146" s="98" t="s">
        <v>155</v>
      </c>
      <c r="D146" s="97"/>
      <c r="E146" s="97"/>
      <c r="F146" s="102"/>
      <c r="G146" s="102"/>
      <c r="H146" s="86" t="s">
        <v>142</v>
      </c>
    </row>
    <row r="147" spans="1:8" x14ac:dyDescent="0.2">
      <c r="A147" s="97"/>
      <c r="B147" s="97"/>
      <c r="C147" s="98" t="s">
        <v>156</v>
      </c>
      <c r="D147" s="97"/>
      <c r="E147" s="97"/>
      <c r="F147" s="102"/>
      <c r="G147" s="102"/>
      <c r="H147" s="86" t="s">
        <v>142</v>
      </c>
    </row>
    <row r="148" spans="1:8" x14ac:dyDescent="0.2">
      <c r="A148" s="97"/>
      <c r="B148" s="97"/>
      <c r="C148" s="98" t="s">
        <v>141</v>
      </c>
      <c r="D148" s="97"/>
      <c r="E148" s="97" t="s">
        <v>142</v>
      </c>
      <c r="F148" s="103" t="s">
        <v>144</v>
      </c>
      <c r="G148" s="100">
        <v>0</v>
      </c>
      <c r="H148" s="86" t="s">
        <v>142</v>
      </c>
    </row>
    <row r="149" spans="1:8" x14ac:dyDescent="0.2">
      <c r="A149" s="97"/>
      <c r="B149" s="97"/>
      <c r="C149" s="101"/>
      <c r="D149" s="97"/>
      <c r="E149" s="97"/>
      <c r="F149" s="102"/>
      <c r="G149" s="102"/>
      <c r="H149" s="86" t="s">
        <v>142</v>
      </c>
    </row>
    <row r="150" spans="1:8" x14ac:dyDescent="0.2">
      <c r="A150" s="97"/>
      <c r="B150" s="97"/>
      <c r="C150" s="98" t="s">
        <v>157</v>
      </c>
      <c r="D150" s="97"/>
      <c r="E150" s="97"/>
      <c r="F150" s="102"/>
      <c r="G150" s="102"/>
      <c r="H150" s="86" t="s">
        <v>142</v>
      </c>
    </row>
    <row r="151" spans="1:8" x14ac:dyDescent="0.2">
      <c r="A151" s="97"/>
      <c r="B151" s="97"/>
      <c r="C151" s="98" t="s">
        <v>141</v>
      </c>
      <c r="D151" s="97"/>
      <c r="E151" s="97" t="s">
        <v>142</v>
      </c>
      <c r="F151" s="103" t="s">
        <v>144</v>
      </c>
      <c r="G151" s="100">
        <v>0</v>
      </c>
      <c r="H151" s="86" t="s">
        <v>142</v>
      </c>
    </row>
    <row r="152" spans="1:8" x14ac:dyDescent="0.2">
      <c r="A152" s="97"/>
      <c r="B152" s="97"/>
      <c r="C152" s="101"/>
      <c r="D152" s="97"/>
      <c r="E152" s="97"/>
      <c r="F152" s="102"/>
      <c r="G152" s="102"/>
      <c r="H152" s="86" t="s">
        <v>142</v>
      </c>
    </row>
    <row r="153" spans="1:8" x14ac:dyDescent="0.2">
      <c r="A153" s="97"/>
      <c r="B153" s="97"/>
      <c r="C153" s="98" t="s">
        <v>158</v>
      </c>
      <c r="D153" s="97"/>
      <c r="E153" s="97"/>
      <c r="F153" s="102"/>
      <c r="G153" s="102"/>
      <c r="H153" s="86" t="s">
        <v>142</v>
      </c>
    </row>
    <row r="154" spans="1:8" x14ac:dyDescent="0.2">
      <c r="A154" s="97"/>
      <c r="B154" s="97"/>
      <c r="C154" s="98" t="s">
        <v>141</v>
      </c>
      <c r="D154" s="97"/>
      <c r="E154" s="97" t="s">
        <v>142</v>
      </c>
      <c r="F154" s="103" t="s">
        <v>144</v>
      </c>
      <c r="G154" s="100">
        <v>0</v>
      </c>
      <c r="H154" s="86" t="s">
        <v>142</v>
      </c>
    </row>
    <row r="155" spans="1:8" x14ac:dyDescent="0.2">
      <c r="A155" s="97"/>
      <c r="B155" s="97"/>
      <c r="C155" s="101"/>
      <c r="D155" s="97"/>
      <c r="E155" s="97"/>
      <c r="F155" s="102"/>
      <c r="G155" s="102"/>
      <c r="H155" s="86" t="s">
        <v>142</v>
      </c>
    </row>
    <row r="156" spans="1:8" x14ac:dyDescent="0.2">
      <c r="A156" s="97"/>
      <c r="B156" s="97"/>
      <c r="C156" s="98" t="s">
        <v>159</v>
      </c>
      <c r="D156" s="97"/>
      <c r="E156" s="97"/>
      <c r="F156" s="102"/>
      <c r="G156" s="102"/>
      <c r="H156" s="86" t="s">
        <v>142</v>
      </c>
    </row>
    <row r="157" spans="1:8" x14ac:dyDescent="0.2">
      <c r="A157" s="92">
        <v>1</v>
      </c>
      <c r="B157" s="93"/>
      <c r="C157" s="93" t="s">
        <v>160</v>
      </c>
      <c r="D157" s="93"/>
      <c r="E157" s="104"/>
      <c r="F157" s="95">
        <v>56.4122755</v>
      </c>
      <c r="G157" s="96">
        <v>4.29124E-3</v>
      </c>
      <c r="H157" s="86">
        <v>5.57</v>
      </c>
    </row>
    <row r="158" spans="1:8" x14ac:dyDescent="0.2">
      <c r="A158" s="97"/>
      <c r="B158" s="97"/>
      <c r="C158" s="98" t="s">
        <v>141</v>
      </c>
      <c r="D158" s="97"/>
      <c r="E158" s="97" t="s">
        <v>142</v>
      </c>
      <c r="F158" s="99">
        <v>56.4122755</v>
      </c>
      <c r="G158" s="100">
        <v>4.29124E-3</v>
      </c>
      <c r="H158" s="86" t="s">
        <v>142</v>
      </c>
    </row>
    <row r="159" spans="1:8" x14ac:dyDescent="0.2">
      <c r="A159" s="97"/>
      <c r="B159" s="97"/>
      <c r="C159" s="101"/>
      <c r="D159" s="97"/>
      <c r="E159" s="97"/>
      <c r="F159" s="102"/>
      <c r="G159" s="102"/>
      <c r="H159" s="86" t="s">
        <v>142</v>
      </c>
    </row>
    <row r="160" spans="1:8" x14ac:dyDescent="0.2">
      <c r="A160" s="97"/>
      <c r="B160" s="97"/>
      <c r="C160" s="98" t="s">
        <v>161</v>
      </c>
      <c r="D160" s="97"/>
      <c r="E160" s="97"/>
      <c r="F160" s="99">
        <v>56.4122755</v>
      </c>
      <c r="G160" s="100">
        <v>4.29124E-3</v>
      </c>
      <c r="H160" s="86" t="s">
        <v>142</v>
      </c>
    </row>
    <row r="161" spans="1:10" x14ac:dyDescent="0.2">
      <c r="A161" s="97"/>
      <c r="B161" s="97"/>
      <c r="C161" s="102"/>
      <c r="D161" s="97"/>
      <c r="E161" s="97"/>
      <c r="F161" s="97"/>
      <c r="G161" s="97"/>
      <c r="H161" s="86" t="s">
        <v>142</v>
      </c>
    </row>
    <row r="162" spans="1:10" x14ac:dyDescent="0.2">
      <c r="A162" s="97"/>
      <c r="B162" s="97"/>
      <c r="C162" s="98" t="s">
        <v>162</v>
      </c>
      <c r="D162" s="97"/>
      <c r="E162" s="97"/>
      <c r="F162" s="97"/>
      <c r="G162" s="97"/>
      <c r="H162" s="86" t="s">
        <v>142</v>
      </c>
    </row>
    <row r="163" spans="1:10" x14ac:dyDescent="0.2">
      <c r="A163" s="97"/>
      <c r="B163" s="97"/>
      <c r="C163" s="98" t="s">
        <v>163</v>
      </c>
      <c r="D163" s="97"/>
      <c r="E163" s="97"/>
      <c r="F163" s="97"/>
      <c r="G163" s="97"/>
      <c r="H163" s="86" t="s">
        <v>142</v>
      </c>
    </row>
    <row r="164" spans="1:10" x14ac:dyDescent="0.2">
      <c r="A164" s="97"/>
      <c r="B164" s="97"/>
      <c r="C164" s="98" t="s">
        <v>141</v>
      </c>
      <c r="D164" s="97"/>
      <c r="E164" s="97" t="s">
        <v>142</v>
      </c>
      <c r="F164" s="103" t="s">
        <v>144</v>
      </c>
      <c r="G164" s="100">
        <v>0</v>
      </c>
      <c r="H164" s="86" t="s">
        <v>142</v>
      </c>
    </row>
    <row r="165" spans="1:10" x14ac:dyDescent="0.2">
      <c r="A165" s="97"/>
      <c r="B165" s="97"/>
      <c r="C165" s="101"/>
      <c r="D165" s="97"/>
      <c r="E165" s="97"/>
      <c r="F165" s="102"/>
      <c r="G165" s="102"/>
      <c r="H165" s="86" t="s">
        <v>142</v>
      </c>
    </row>
    <row r="166" spans="1:10" x14ac:dyDescent="0.2">
      <c r="A166" s="97"/>
      <c r="B166" s="97"/>
      <c r="C166" s="98" t="s">
        <v>164</v>
      </c>
      <c r="D166" s="97"/>
      <c r="E166" s="97"/>
      <c r="F166" s="97"/>
      <c r="G166" s="97"/>
      <c r="H166" s="86" t="s">
        <v>142</v>
      </c>
    </row>
    <row r="167" spans="1:10" x14ac:dyDescent="0.2">
      <c r="A167" s="97"/>
      <c r="B167" s="97"/>
      <c r="C167" s="98" t="s">
        <v>165</v>
      </c>
      <c r="D167" s="97"/>
      <c r="E167" s="97"/>
      <c r="F167" s="97"/>
      <c r="G167" s="97"/>
      <c r="H167" s="86" t="s">
        <v>142</v>
      </c>
    </row>
    <row r="168" spans="1:10" x14ac:dyDescent="0.2">
      <c r="A168" s="97"/>
      <c r="B168" s="97"/>
      <c r="C168" s="98" t="s">
        <v>141</v>
      </c>
      <c r="D168" s="97"/>
      <c r="E168" s="97" t="s">
        <v>142</v>
      </c>
      <c r="F168" s="103" t="s">
        <v>144</v>
      </c>
      <c r="G168" s="100">
        <v>0</v>
      </c>
      <c r="H168" s="86" t="s">
        <v>142</v>
      </c>
    </row>
    <row r="169" spans="1:10" x14ac:dyDescent="0.2">
      <c r="A169" s="97"/>
      <c r="B169" s="97"/>
      <c r="C169" s="101"/>
      <c r="D169" s="97"/>
      <c r="E169" s="97"/>
      <c r="F169" s="102"/>
      <c r="G169" s="102"/>
      <c r="H169" s="86" t="s">
        <v>142</v>
      </c>
    </row>
    <row r="170" spans="1:10" x14ac:dyDescent="0.2">
      <c r="A170" s="97"/>
      <c r="B170" s="97"/>
      <c r="C170" s="98" t="s">
        <v>166</v>
      </c>
      <c r="D170" s="97"/>
      <c r="E170" s="97"/>
      <c r="F170" s="102"/>
      <c r="G170" s="102"/>
      <c r="H170" s="86" t="s">
        <v>142</v>
      </c>
    </row>
    <row r="171" spans="1:10" x14ac:dyDescent="0.2">
      <c r="A171" s="97"/>
      <c r="B171" s="97"/>
      <c r="C171" s="98" t="s">
        <v>141</v>
      </c>
      <c r="D171" s="97"/>
      <c r="E171" s="97" t="s">
        <v>142</v>
      </c>
      <c r="F171" s="103" t="s">
        <v>144</v>
      </c>
      <c r="G171" s="100">
        <v>0</v>
      </c>
      <c r="H171" s="86" t="s">
        <v>142</v>
      </c>
    </row>
    <row r="172" spans="1:10" x14ac:dyDescent="0.2">
      <c r="A172" s="97"/>
      <c r="B172" s="97"/>
      <c r="C172" s="101"/>
      <c r="D172" s="97"/>
      <c r="E172" s="97"/>
      <c r="F172" s="102"/>
      <c r="G172" s="102"/>
      <c r="H172" s="86" t="s">
        <v>142</v>
      </c>
    </row>
    <row r="173" spans="1:10" x14ac:dyDescent="0.2">
      <c r="A173" s="104"/>
      <c r="B173" s="93"/>
      <c r="C173" s="93" t="s">
        <v>167</v>
      </c>
      <c r="D173" s="93"/>
      <c r="E173" s="104"/>
      <c r="F173" s="95">
        <v>-7.4249050399999996</v>
      </c>
      <c r="G173" s="96">
        <v>-5.6481000000000001E-4</v>
      </c>
      <c r="H173" s="86" t="s">
        <v>142</v>
      </c>
    </row>
    <row r="174" spans="1:10" x14ac:dyDescent="0.2">
      <c r="A174" s="101"/>
      <c r="B174" s="101"/>
      <c r="C174" s="98" t="s">
        <v>168</v>
      </c>
      <c r="D174" s="102"/>
      <c r="E174" s="102"/>
      <c r="F174" s="99">
        <v>13145.924239079999</v>
      </c>
      <c r="G174" s="105">
        <v>1.00000007</v>
      </c>
      <c r="H174" s="86" t="s">
        <v>142</v>
      </c>
    </row>
    <row r="175" spans="1:10" ht="12.75" customHeight="1" x14ac:dyDescent="0.2">
      <c r="A175" s="106"/>
      <c r="B175" s="106"/>
      <c r="C175" s="107"/>
      <c r="D175" s="108"/>
      <c r="E175" s="108"/>
      <c r="F175" s="109"/>
      <c r="G175" s="110"/>
      <c r="H175" s="111"/>
    </row>
    <row r="176" spans="1:10" x14ac:dyDescent="0.2">
      <c r="A176" s="106"/>
      <c r="B176" s="200" t="s">
        <v>918</v>
      </c>
      <c r="C176" s="200"/>
      <c r="D176" s="200"/>
      <c r="E176" s="200"/>
      <c r="F176" s="200"/>
      <c r="G176" s="200"/>
      <c r="H176" s="200"/>
      <c r="J176" s="113"/>
    </row>
    <row r="177" spans="1:17" x14ac:dyDescent="0.2">
      <c r="A177" s="106"/>
      <c r="B177" s="200" t="s">
        <v>919</v>
      </c>
      <c r="C177" s="200"/>
      <c r="D177" s="200"/>
      <c r="E177" s="200"/>
      <c r="F177" s="200"/>
      <c r="G177" s="200"/>
      <c r="H177" s="200"/>
      <c r="J177" s="113"/>
    </row>
    <row r="178" spans="1:17" x14ac:dyDescent="0.2">
      <c r="A178" s="106"/>
      <c r="B178" s="200" t="s">
        <v>920</v>
      </c>
      <c r="C178" s="200"/>
      <c r="D178" s="200"/>
      <c r="E178" s="200"/>
      <c r="F178" s="200"/>
      <c r="G178" s="200"/>
      <c r="H178" s="200"/>
      <c r="J178" s="113"/>
    </row>
    <row r="179" spans="1:17" s="115" customFormat="1" ht="66.75" customHeight="1" x14ac:dyDescent="0.25">
      <c r="A179" s="114"/>
      <c r="B179" s="201" t="s">
        <v>921</v>
      </c>
      <c r="C179" s="201"/>
      <c r="D179" s="201"/>
      <c r="E179" s="201"/>
      <c r="F179" s="201"/>
      <c r="G179" s="201"/>
      <c r="H179" s="201"/>
      <c r="I179"/>
      <c r="J179" s="113"/>
      <c r="K179"/>
      <c r="L179"/>
      <c r="M179"/>
      <c r="N179"/>
      <c r="O179"/>
      <c r="P179"/>
      <c r="Q179"/>
    </row>
    <row r="180" spans="1:17" x14ac:dyDescent="0.2">
      <c r="A180" s="106"/>
      <c r="B180" s="200" t="s">
        <v>922</v>
      </c>
      <c r="C180" s="200"/>
      <c r="D180" s="200"/>
      <c r="E180" s="200"/>
      <c r="F180" s="200"/>
      <c r="G180" s="200"/>
      <c r="H180" s="200"/>
      <c r="J180" s="113"/>
    </row>
    <row r="181" spans="1:17" x14ac:dyDescent="0.2">
      <c r="A181" s="106"/>
      <c r="B181" s="106"/>
      <c r="C181" s="106"/>
      <c r="D181" s="108"/>
      <c r="E181" s="108"/>
      <c r="F181" s="108"/>
      <c r="G181" s="108"/>
    </row>
    <row r="182" spans="1:17" x14ac:dyDescent="0.2">
      <c r="A182" s="106"/>
      <c r="B182" s="202" t="s">
        <v>169</v>
      </c>
      <c r="C182" s="203"/>
      <c r="D182" s="204"/>
      <c r="E182" s="116"/>
      <c r="F182" s="108"/>
      <c r="G182" s="108"/>
    </row>
    <row r="183" spans="1:17" ht="27.75" customHeight="1" x14ac:dyDescent="0.2">
      <c r="A183" s="106"/>
      <c r="B183" s="205" t="s">
        <v>170</v>
      </c>
      <c r="C183" s="206"/>
      <c r="D183" s="85" t="s">
        <v>171</v>
      </c>
      <c r="E183" s="116"/>
      <c r="F183" s="108"/>
      <c r="G183" s="108"/>
    </row>
    <row r="184" spans="1:17" ht="12.75" customHeight="1" x14ac:dyDescent="0.2">
      <c r="A184" s="106"/>
      <c r="B184" s="205" t="s">
        <v>923</v>
      </c>
      <c r="C184" s="206"/>
      <c r="D184" s="85" t="s">
        <v>171</v>
      </c>
      <c r="E184" s="116"/>
      <c r="F184" s="108"/>
      <c r="G184" s="108"/>
    </row>
    <row r="185" spans="1:17" x14ac:dyDescent="0.2">
      <c r="A185" s="106"/>
      <c r="B185" s="205" t="s">
        <v>172</v>
      </c>
      <c r="C185" s="206"/>
      <c r="D185" s="117" t="s">
        <v>142</v>
      </c>
      <c r="E185" s="116"/>
      <c r="F185" s="108"/>
      <c r="G185" s="108"/>
    </row>
    <row r="186" spans="1:17" x14ac:dyDescent="0.2">
      <c r="A186" s="118"/>
      <c r="B186" s="119" t="s">
        <v>142</v>
      </c>
      <c r="C186" s="119" t="s">
        <v>924</v>
      </c>
      <c r="D186" s="119" t="s">
        <v>173</v>
      </c>
      <c r="E186" s="118"/>
      <c r="F186" s="118"/>
      <c r="G186" s="118"/>
      <c r="H186" s="118"/>
      <c r="J186" s="113"/>
    </row>
    <row r="187" spans="1:17" x14ac:dyDescent="0.2">
      <c r="A187" s="118"/>
      <c r="B187" s="120" t="s">
        <v>174</v>
      </c>
      <c r="C187" s="121">
        <v>45930</v>
      </c>
      <c r="D187" s="121">
        <v>45961</v>
      </c>
      <c r="E187" s="118"/>
      <c r="F187" s="118"/>
      <c r="G187" s="118"/>
      <c r="J187" s="113"/>
    </row>
    <row r="188" spans="1:17" x14ac:dyDescent="0.2">
      <c r="A188" s="122"/>
      <c r="B188" s="93" t="s">
        <v>175</v>
      </c>
      <c r="C188" s="123">
        <v>183.80760000000001</v>
      </c>
      <c r="D188" s="123">
        <v>189.5891</v>
      </c>
      <c r="E188" s="122"/>
      <c r="F188" s="124"/>
      <c r="G188" s="125"/>
    </row>
    <row r="189" spans="1:17" x14ac:dyDescent="0.2">
      <c r="A189" s="122"/>
      <c r="B189" s="93" t="s">
        <v>1101</v>
      </c>
      <c r="C189" s="123">
        <v>86.659599999999998</v>
      </c>
      <c r="D189" s="123">
        <v>89.385400000000004</v>
      </c>
      <c r="E189" s="122"/>
      <c r="F189" s="124"/>
      <c r="G189" s="125"/>
    </row>
    <row r="190" spans="1:17" x14ac:dyDescent="0.2">
      <c r="A190" s="122"/>
      <c r="B190" s="93" t="s">
        <v>176</v>
      </c>
      <c r="C190" s="123">
        <v>174.3365</v>
      </c>
      <c r="D190" s="123">
        <v>179.7484</v>
      </c>
      <c r="E190" s="122"/>
      <c r="F190" s="124"/>
      <c r="G190" s="125"/>
    </row>
    <row r="191" spans="1:17" x14ac:dyDescent="0.2">
      <c r="A191" s="122"/>
      <c r="B191" s="93" t="s">
        <v>1102</v>
      </c>
      <c r="C191" s="123">
        <v>82.197699999999998</v>
      </c>
      <c r="D191" s="123">
        <v>84.749300000000005</v>
      </c>
      <c r="E191" s="122"/>
      <c r="F191" s="124"/>
      <c r="G191" s="125"/>
    </row>
    <row r="192" spans="1:17" x14ac:dyDescent="0.2">
      <c r="A192" s="122"/>
      <c r="B192" s="122"/>
      <c r="C192" s="122"/>
      <c r="D192" s="122"/>
      <c r="E192" s="122"/>
      <c r="F192" s="122"/>
      <c r="G192" s="122"/>
    </row>
    <row r="193" spans="1:10" x14ac:dyDescent="0.2">
      <c r="A193" s="118"/>
      <c r="B193" s="205" t="s">
        <v>925</v>
      </c>
      <c r="C193" s="206"/>
      <c r="D193" s="85" t="s">
        <v>171</v>
      </c>
      <c r="E193" s="118"/>
      <c r="F193" s="118"/>
      <c r="G193" s="118"/>
    </row>
    <row r="194" spans="1:10" x14ac:dyDescent="0.2">
      <c r="A194" s="118"/>
      <c r="B194" s="136"/>
      <c r="C194" s="136"/>
      <c r="D194" s="136"/>
      <c r="E194" s="118"/>
      <c r="F194" s="118"/>
      <c r="G194" s="118"/>
    </row>
    <row r="195" spans="1:10" x14ac:dyDescent="0.2">
      <c r="A195" s="118"/>
      <c r="B195" s="205" t="s">
        <v>179</v>
      </c>
      <c r="C195" s="206"/>
      <c r="D195" s="85" t="s">
        <v>171</v>
      </c>
      <c r="E195" s="131"/>
      <c r="F195" s="118"/>
      <c r="G195" s="118"/>
    </row>
    <row r="196" spans="1:10" x14ac:dyDescent="0.2">
      <c r="A196" s="118"/>
      <c r="B196" s="205" t="s">
        <v>180</v>
      </c>
      <c r="C196" s="206"/>
      <c r="D196" s="85" t="s">
        <v>171</v>
      </c>
      <c r="E196" s="131"/>
      <c r="F196" s="118"/>
      <c r="G196" s="118"/>
    </row>
    <row r="197" spans="1:10" x14ac:dyDescent="0.2">
      <c r="A197" s="118"/>
      <c r="B197" s="205" t="s">
        <v>181</v>
      </c>
      <c r="C197" s="206"/>
      <c r="D197" s="85" t="s">
        <v>171</v>
      </c>
      <c r="E197" s="131"/>
      <c r="F197" s="118"/>
      <c r="G197" s="118"/>
    </row>
    <row r="198" spans="1:10" x14ac:dyDescent="0.2">
      <c r="A198" s="118"/>
      <c r="B198" s="205" t="s">
        <v>182</v>
      </c>
      <c r="C198" s="206"/>
      <c r="D198" s="132">
        <v>0.24590000000000001</v>
      </c>
      <c r="E198" s="118"/>
      <c r="F198" s="112"/>
      <c r="G198" s="133"/>
    </row>
    <row r="200" spans="1:10" x14ac:dyDescent="0.2">
      <c r="B200" s="199" t="s">
        <v>926</v>
      </c>
      <c r="C200" s="199"/>
    </row>
    <row r="202" spans="1:10" ht="153.75" customHeight="1" x14ac:dyDescent="0.2"/>
    <row r="204" spans="1:10" x14ac:dyDescent="0.2">
      <c r="B204" s="134" t="s">
        <v>927</v>
      </c>
      <c r="C204" s="135"/>
      <c r="D204" s="134"/>
    </row>
    <row r="205" spans="1:10" x14ac:dyDescent="0.2">
      <c r="B205" s="134" t="s">
        <v>1080</v>
      </c>
      <c r="D205" s="134"/>
    </row>
    <row r="206" spans="1:10" ht="165" customHeight="1" x14ac:dyDescent="0.2"/>
    <row r="208" spans="1:10" x14ac:dyDescent="0.2">
      <c r="J208" s="83"/>
    </row>
    <row r="217" customFormat="1" ht="12.75" customHeight="1" x14ac:dyDescent="0.2"/>
  </sheetData>
  <mergeCells count="18">
    <mergeCell ref="B183:C183"/>
    <mergeCell ref="B196:C196"/>
    <mergeCell ref="B200:C200"/>
    <mergeCell ref="A1:H1"/>
    <mergeCell ref="A2:H2"/>
    <mergeCell ref="A3:H3"/>
    <mergeCell ref="B195:C195"/>
    <mergeCell ref="B193:C193"/>
    <mergeCell ref="B197:C197"/>
    <mergeCell ref="B198:C198"/>
    <mergeCell ref="B176:H176"/>
    <mergeCell ref="B177:H177"/>
    <mergeCell ref="B184:C184"/>
    <mergeCell ref="B185:C185"/>
    <mergeCell ref="B178:H178"/>
    <mergeCell ref="B179:H179"/>
    <mergeCell ref="B180:H180"/>
    <mergeCell ref="B182:D182"/>
  </mergeCells>
  <hyperlinks>
    <hyperlink ref="I1" location="Index!B2" display="Index" xr:uid="{5271FB43-EF2D-4A0C-9935-403326760D56}"/>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06F47-D29C-47FF-844D-DCF910216ED5}">
  <sheetPr>
    <outlinePr summaryBelow="0" summaryRight="0"/>
  </sheetPr>
  <dimension ref="A1:Q176"/>
  <sheetViews>
    <sheetView showGridLines="0" workbookViewId="0">
      <selection activeCell="C152" sqref="C152"/>
    </sheetView>
  </sheetViews>
  <sheetFormatPr defaultRowHeight="12.75" x14ac:dyDescent="0.2"/>
  <cols>
    <col min="1" max="1" width="5.85546875" bestFit="1" customWidth="1"/>
    <col min="2" max="2" width="19.5703125" bestFit="1" customWidth="1"/>
    <col min="3" max="3" width="45.85546875" customWidth="1"/>
    <col min="4" max="4" width="17.710937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815</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1238000</v>
      </c>
      <c r="F7" s="95">
        <v>12222.773999999999</v>
      </c>
      <c r="G7" s="96">
        <v>8.7416090000000002E-2</v>
      </c>
      <c r="H7" s="86" t="s">
        <v>142</v>
      </c>
    </row>
    <row r="8" spans="1:9" x14ac:dyDescent="0.2">
      <c r="A8" s="92">
        <v>2</v>
      </c>
      <c r="B8" s="93" t="s">
        <v>33</v>
      </c>
      <c r="C8" s="93" t="s">
        <v>34</v>
      </c>
      <c r="D8" s="93" t="s">
        <v>35</v>
      </c>
      <c r="E8" s="94">
        <v>737000</v>
      </c>
      <c r="F8" s="95">
        <v>9914.8610000000008</v>
      </c>
      <c r="G8" s="96">
        <v>7.0910119999999993E-2</v>
      </c>
      <c r="H8" s="86" t="s">
        <v>142</v>
      </c>
    </row>
    <row r="9" spans="1:9" x14ac:dyDescent="0.2">
      <c r="A9" s="92">
        <v>3</v>
      </c>
      <c r="B9" s="93" t="s">
        <v>17</v>
      </c>
      <c r="C9" s="93" t="s">
        <v>18</v>
      </c>
      <c r="D9" s="93" t="s">
        <v>19</v>
      </c>
      <c r="E9" s="94">
        <v>448000</v>
      </c>
      <c r="F9" s="95">
        <v>6659.0720000000001</v>
      </c>
      <c r="G9" s="96">
        <v>4.7625029999999999E-2</v>
      </c>
      <c r="H9" s="86" t="s">
        <v>142</v>
      </c>
    </row>
    <row r="10" spans="1:9" x14ac:dyDescent="0.2">
      <c r="A10" s="92">
        <v>4</v>
      </c>
      <c r="B10" s="93" t="s">
        <v>11</v>
      </c>
      <c r="C10" s="93" t="s">
        <v>12</v>
      </c>
      <c r="D10" s="93" t="s">
        <v>13</v>
      </c>
      <c r="E10" s="94">
        <v>292000</v>
      </c>
      <c r="F10" s="95">
        <v>5999.14</v>
      </c>
      <c r="G10" s="96">
        <v>4.2905260000000001E-2</v>
      </c>
      <c r="H10" s="86" t="s">
        <v>142</v>
      </c>
    </row>
    <row r="11" spans="1:9" x14ac:dyDescent="0.2">
      <c r="A11" s="92">
        <v>5</v>
      </c>
      <c r="B11" s="93" t="s">
        <v>322</v>
      </c>
      <c r="C11" s="93" t="s">
        <v>323</v>
      </c>
      <c r="D11" s="93" t="s">
        <v>35</v>
      </c>
      <c r="E11" s="94">
        <v>437000</v>
      </c>
      <c r="F11" s="95">
        <v>5387.3360000000002</v>
      </c>
      <c r="G11" s="96">
        <v>3.85297E-2</v>
      </c>
      <c r="H11" s="86" t="s">
        <v>142</v>
      </c>
    </row>
    <row r="12" spans="1:9" x14ac:dyDescent="0.2">
      <c r="A12" s="92">
        <v>6</v>
      </c>
      <c r="B12" s="93" t="s">
        <v>14</v>
      </c>
      <c r="C12" s="93" t="s">
        <v>15</v>
      </c>
      <c r="D12" s="93" t="s">
        <v>16</v>
      </c>
      <c r="E12" s="94">
        <v>126000</v>
      </c>
      <c r="F12" s="95">
        <v>5078.9340000000002</v>
      </c>
      <c r="G12" s="96">
        <v>3.6324040000000002E-2</v>
      </c>
      <c r="H12" s="86" t="s">
        <v>142</v>
      </c>
    </row>
    <row r="13" spans="1:9" x14ac:dyDescent="0.2">
      <c r="A13" s="92">
        <v>7</v>
      </c>
      <c r="B13" s="93" t="s">
        <v>39</v>
      </c>
      <c r="C13" s="93" t="s">
        <v>40</v>
      </c>
      <c r="D13" s="93" t="s">
        <v>35</v>
      </c>
      <c r="E13" s="94">
        <v>532000</v>
      </c>
      <c r="F13" s="95">
        <v>4984.84</v>
      </c>
      <c r="G13" s="96">
        <v>3.5651090000000003E-2</v>
      </c>
      <c r="H13" s="86" t="s">
        <v>142</v>
      </c>
    </row>
    <row r="14" spans="1:9" x14ac:dyDescent="0.2">
      <c r="A14" s="92">
        <v>8</v>
      </c>
      <c r="B14" s="93" t="s">
        <v>326</v>
      </c>
      <c r="C14" s="93" t="s">
        <v>327</v>
      </c>
      <c r="D14" s="93" t="s">
        <v>204</v>
      </c>
      <c r="E14" s="94">
        <v>309000</v>
      </c>
      <c r="F14" s="95">
        <v>4580.3069999999998</v>
      </c>
      <c r="G14" s="96">
        <v>3.2757910000000001E-2</v>
      </c>
      <c r="H14" s="86" t="s">
        <v>142</v>
      </c>
    </row>
    <row r="15" spans="1:9" x14ac:dyDescent="0.2">
      <c r="A15" s="92">
        <v>9</v>
      </c>
      <c r="B15" s="93" t="s">
        <v>420</v>
      </c>
      <c r="C15" s="93" t="s">
        <v>421</v>
      </c>
      <c r="D15" s="93" t="s">
        <v>422</v>
      </c>
      <c r="E15" s="94">
        <v>951000</v>
      </c>
      <c r="F15" s="95">
        <v>3997.5284999999999</v>
      </c>
      <c r="G15" s="96">
        <v>2.858993E-2</v>
      </c>
      <c r="H15" s="86" t="s">
        <v>142</v>
      </c>
    </row>
    <row r="16" spans="1:9" x14ac:dyDescent="0.2">
      <c r="A16" s="92">
        <v>10</v>
      </c>
      <c r="B16" s="93" t="s">
        <v>324</v>
      </c>
      <c r="C16" s="93" t="s">
        <v>325</v>
      </c>
      <c r="D16" s="93" t="s">
        <v>35</v>
      </c>
      <c r="E16" s="94">
        <v>190000</v>
      </c>
      <c r="F16" s="95">
        <v>3994.18</v>
      </c>
      <c r="G16" s="96">
        <v>2.8565989999999999E-2</v>
      </c>
      <c r="H16" s="86" t="s">
        <v>142</v>
      </c>
    </row>
    <row r="17" spans="1:8" ht="25.5" x14ac:dyDescent="0.2">
      <c r="A17" s="92">
        <v>11</v>
      </c>
      <c r="B17" s="93" t="s">
        <v>23</v>
      </c>
      <c r="C17" s="93" t="s">
        <v>24</v>
      </c>
      <c r="D17" s="93" t="s">
        <v>25</v>
      </c>
      <c r="E17" s="94">
        <v>27000</v>
      </c>
      <c r="F17" s="95">
        <v>3225.69</v>
      </c>
      <c r="G17" s="96">
        <v>2.3069820000000001E-2</v>
      </c>
      <c r="H17" s="86" t="s">
        <v>142</v>
      </c>
    </row>
    <row r="18" spans="1:8" x14ac:dyDescent="0.2">
      <c r="A18" s="92">
        <v>12</v>
      </c>
      <c r="B18" s="93" t="s">
        <v>334</v>
      </c>
      <c r="C18" s="93" t="s">
        <v>335</v>
      </c>
      <c r="D18" s="93" t="s">
        <v>241</v>
      </c>
      <c r="E18" s="94">
        <v>89418</v>
      </c>
      <c r="F18" s="95">
        <v>3118.1844959999999</v>
      </c>
      <c r="G18" s="96">
        <v>2.230095E-2</v>
      </c>
      <c r="H18" s="86" t="s">
        <v>142</v>
      </c>
    </row>
    <row r="19" spans="1:8" ht="25.5" x14ac:dyDescent="0.2">
      <c r="A19" s="92">
        <v>13</v>
      </c>
      <c r="B19" s="93" t="s">
        <v>436</v>
      </c>
      <c r="C19" s="93" t="s">
        <v>437</v>
      </c>
      <c r="D19" s="93" t="s">
        <v>225</v>
      </c>
      <c r="E19" s="94">
        <v>169000</v>
      </c>
      <c r="F19" s="95">
        <v>2537.1970000000001</v>
      </c>
      <c r="G19" s="96">
        <v>1.8145789999999998E-2</v>
      </c>
      <c r="H19" s="86" t="s">
        <v>142</v>
      </c>
    </row>
    <row r="20" spans="1:8" x14ac:dyDescent="0.2">
      <c r="A20" s="92">
        <v>14</v>
      </c>
      <c r="B20" s="93" t="s">
        <v>816</v>
      </c>
      <c r="C20" s="93" t="s">
        <v>817</v>
      </c>
      <c r="D20" s="93" t="s">
        <v>241</v>
      </c>
      <c r="E20" s="94">
        <v>14000</v>
      </c>
      <c r="F20" s="95">
        <v>2471.56</v>
      </c>
      <c r="G20" s="96">
        <v>1.7676359999999999E-2</v>
      </c>
      <c r="H20" s="86" t="s">
        <v>142</v>
      </c>
    </row>
    <row r="21" spans="1:8" ht="25.5" x14ac:dyDescent="0.2">
      <c r="A21" s="92">
        <v>15</v>
      </c>
      <c r="B21" s="93" t="s">
        <v>346</v>
      </c>
      <c r="C21" s="93" t="s">
        <v>347</v>
      </c>
      <c r="D21" s="93" t="s">
        <v>225</v>
      </c>
      <c r="E21" s="94">
        <v>134000</v>
      </c>
      <c r="F21" s="95">
        <v>2265.538</v>
      </c>
      <c r="G21" s="96">
        <v>1.6202910000000001E-2</v>
      </c>
      <c r="H21" s="86" t="s">
        <v>142</v>
      </c>
    </row>
    <row r="22" spans="1:8" x14ac:dyDescent="0.2">
      <c r="A22" s="92">
        <v>16</v>
      </c>
      <c r="B22" s="93" t="s">
        <v>344</v>
      </c>
      <c r="C22" s="93" t="s">
        <v>345</v>
      </c>
      <c r="D22" s="93" t="s">
        <v>186</v>
      </c>
      <c r="E22" s="94">
        <v>133000</v>
      </c>
      <c r="F22" s="95">
        <v>2256.7440000000001</v>
      </c>
      <c r="G22" s="96">
        <v>1.614001E-2</v>
      </c>
      <c r="H22" s="86" t="s">
        <v>142</v>
      </c>
    </row>
    <row r="23" spans="1:8" x14ac:dyDescent="0.2">
      <c r="A23" s="92">
        <v>17</v>
      </c>
      <c r="B23" s="93" t="s">
        <v>20</v>
      </c>
      <c r="C23" s="93" t="s">
        <v>21</v>
      </c>
      <c r="D23" s="93" t="s">
        <v>22</v>
      </c>
      <c r="E23" s="94">
        <v>628000</v>
      </c>
      <c r="F23" s="95">
        <v>2116.0459999999998</v>
      </c>
      <c r="G23" s="96">
        <v>1.513375E-2</v>
      </c>
      <c r="H23" s="86" t="s">
        <v>142</v>
      </c>
    </row>
    <row r="24" spans="1:8" x14ac:dyDescent="0.2">
      <c r="A24" s="92">
        <v>18</v>
      </c>
      <c r="B24" s="93" t="s">
        <v>818</v>
      </c>
      <c r="C24" s="93" t="s">
        <v>819</v>
      </c>
      <c r="D24" s="93" t="s">
        <v>35</v>
      </c>
      <c r="E24" s="94">
        <v>1394572</v>
      </c>
      <c r="F24" s="95">
        <v>2073.3101923999998</v>
      </c>
      <c r="G24" s="96">
        <v>1.482811E-2</v>
      </c>
      <c r="H24" s="86" t="s">
        <v>142</v>
      </c>
    </row>
    <row r="25" spans="1:8" x14ac:dyDescent="0.2">
      <c r="A25" s="92">
        <v>19</v>
      </c>
      <c r="B25" s="93" t="s">
        <v>820</v>
      </c>
      <c r="C25" s="93" t="s">
        <v>821</v>
      </c>
      <c r="D25" s="93" t="s">
        <v>278</v>
      </c>
      <c r="E25" s="94">
        <v>503000</v>
      </c>
      <c r="F25" s="95">
        <v>2062.0484999999999</v>
      </c>
      <c r="G25" s="96">
        <v>1.474757E-2</v>
      </c>
      <c r="H25" s="86" t="s">
        <v>142</v>
      </c>
    </row>
    <row r="26" spans="1:8" x14ac:dyDescent="0.2">
      <c r="A26" s="92">
        <v>20</v>
      </c>
      <c r="B26" s="93" t="s">
        <v>93</v>
      </c>
      <c r="C26" s="93" t="s">
        <v>94</v>
      </c>
      <c r="D26" s="93" t="s">
        <v>58</v>
      </c>
      <c r="E26" s="94">
        <v>196140</v>
      </c>
      <c r="F26" s="95">
        <v>1961.2038600000001</v>
      </c>
      <c r="G26" s="96">
        <v>1.402634E-2</v>
      </c>
      <c r="H26" s="86" t="s">
        <v>142</v>
      </c>
    </row>
    <row r="27" spans="1:8" x14ac:dyDescent="0.2">
      <c r="A27" s="92">
        <v>21</v>
      </c>
      <c r="B27" s="93" t="s">
        <v>750</v>
      </c>
      <c r="C27" s="93" t="s">
        <v>751</v>
      </c>
      <c r="D27" s="93" t="s">
        <v>109</v>
      </c>
      <c r="E27" s="94">
        <v>98000</v>
      </c>
      <c r="F27" s="95">
        <v>1930.992</v>
      </c>
      <c r="G27" s="96">
        <v>1.3810269999999999E-2</v>
      </c>
      <c r="H27" s="86" t="s">
        <v>142</v>
      </c>
    </row>
    <row r="28" spans="1:8" x14ac:dyDescent="0.2">
      <c r="A28" s="92">
        <v>22</v>
      </c>
      <c r="B28" s="93" t="s">
        <v>444</v>
      </c>
      <c r="C28" s="93" t="s">
        <v>445</v>
      </c>
      <c r="D28" s="93" t="s">
        <v>35</v>
      </c>
      <c r="E28" s="94">
        <v>241000</v>
      </c>
      <c r="F28" s="95">
        <v>1915.4680000000001</v>
      </c>
      <c r="G28" s="96">
        <v>1.369924E-2</v>
      </c>
      <c r="H28" s="86" t="s">
        <v>142</v>
      </c>
    </row>
    <row r="29" spans="1:8" ht="25.5" x14ac:dyDescent="0.2">
      <c r="A29" s="92">
        <v>23</v>
      </c>
      <c r="B29" s="93" t="s">
        <v>103</v>
      </c>
      <c r="C29" s="93" t="s">
        <v>104</v>
      </c>
      <c r="D29" s="93" t="s">
        <v>25</v>
      </c>
      <c r="E29" s="94">
        <v>338000</v>
      </c>
      <c r="F29" s="95">
        <v>1911.0519999999999</v>
      </c>
      <c r="G29" s="96">
        <v>1.366766E-2</v>
      </c>
      <c r="H29" s="86" t="s">
        <v>142</v>
      </c>
    </row>
    <row r="30" spans="1:8" ht="25.5" x14ac:dyDescent="0.2">
      <c r="A30" s="92">
        <v>24</v>
      </c>
      <c r="B30" s="93" t="s">
        <v>244</v>
      </c>
      <c r="C30" s="93" t="s">
        <v>245</v>
      </c>
      <c r="D30" s="93" t="s">
        <v>225</v>
      </c>
      <c r="E30" s="94">
        <v>34000</v>
      </c>
      <c r="F30" s="95">
        <v>1872.21</v>
      </c>
      <c r="G30" s="96">
        <v>1.338986E-2</v>
      </c>
      <c r="H30" s="86" t="s">
        <v>142</v>
      </c>
    </row>
    <row r="31" spans="1:8" x14ac:dyDescent="0.2">
      <c r="A31" s="92">
        <v>25</v>
      </c>
      <c r="B31" s="93" t="s">
        <v>83</v>
      </c>
      <c r="C31" s="93" t="s">
        <v>84</v>
      </c>
      <c r="D31" s="93" t="s">
        <v>61</v>
      </c>
      <c r="E31" s="94">
        <v>398000</v>
      </c>
      <c r="F31" s="95">
        <v>1854.481</v>
      </c>
      <c r="G31" s="96">
        <v>1.326307E-2</v>
      </c>
      <c r="H31" s="86" t="s">
        <v>142</v>
      </c>
    </row>
    <row r="32" spans="1:8" x14ac:dyDescent="0.2">
      <c r="A32" s="92">
        <v>26</v>
      </c>
      <c r="B32" s="93" t="s">
        <v>506</v>
      </c>
      <c r="C32" s="93" t="s">
        <v>507</v>
      </c>
      <c r="D32" s="93" t="s">
        <v>232</v>
      </c>
      <c r="E32" s="94">
        <v>127000</v>
      </c>
      <c r="F32" s="95">
        <v>1817.8779999999999</v>
      </c>
      <c r="G32" s="96">
        <v>1.300129E-2</v>
      </c>
      <c r="H32" s="86" t="s">
        <v>142</v>
      </c>
    </row>
    <row r="33" spans="1:8" x14ac:dyDescent="0.2">
      <c r="A33" s="92">
        <v>27</v>
      </c>
      <c r="B33" s="93" t="s">
        <v>291</v>
      </c>
      <c r="C33" s="93" t="s">
        <v>292</v>
      </c>
      <c r="D33" s="93" t="s">
        <v>250</v>
      </c>
      <c r="E33" s="94">
        <v>336928</v>
      </c>
      <c r="F33" s="95">
        <v>1800.543232</v>
      </c>
      <c r="G33" s="96">
        <v>1.2877309999999999E-2</v>
      </c>
      <c r="H33" s="86" t="s">
        <v>142</v>
      </c>
    </row>
    <row r="34" spans="1:8" x14ac:dyDescent="0.2">
      <c r="A34" s="92">
        <v>28</v>
      </c>
      <c r="B34" s="93" t="s">
        <v>76</v>
      </c>
      <c r="C34" s="93" t="s">
        <v>77</v>
      </c>
      <c r="D34" s="93" t="s">
        <v>78</v>
      </c>
      <c r="E34" s="94">
        <v>967000</v>
      </c>
      <c r="F34" s="95">
        <v>1767.2891999999999</v>
      </c>
      <c r="G34" s="96">
        <v>1.263948E-2</v>
      </c>
      <c r="H34" s="86" t="s">
        <v>142</v>
      </c>
    </row>
    <row r="35" spans="1:8" x14ac:dyDescent="0.2">
      <c r="A35" s="92">
        <v>29</v>
      </c>
      <c r="B35" s="93" t="s">
        <v>342</v>
      </c>
      <c r="C35" s="93" t="s">
        <v>343</v>
      </c>
      <c r="D35" s="93" t="s">
        <v>278</v>
      </c>
      <c r="E35" s="94">
        <v>549000</v>
      </c>
      <c r="F35" s="95">
        <v>1744.4475</v>
      </c>
      <c r="G35" s="96">
        <v>1.247612E-2</v>
      </c>
      <c r="H35" s="86" t="s">
        <v>142</v>
      </c>
    </row>
    <row r="36" spans="1:8" x14ac:dyDescent="0.2">
      <c r="A36" s="92">
        <v>30</v>
      </c>
      <c r="B36" s="93" t="s">
        <v>56</v>
      </c>
      <c r="C36" s="93" t="s">
        <v>57</v>
      </c>
      <c r="D36" s="93" t="s">
        <v>58</v>
      </c>
      <c r="E36" s="94">
        <v>40000</v>
      </c>
      <c r="F36" s="95">
        <v>1737.64</v>
      </c>
      <c r="G36" s="96">
        <v>1.242743E-2</v>
      </c>
      <c r="H36" s="86" t="s">
        <v>142</v>
      </c>
    </row>
    <row r="37" spans="1:8" ht="25.5" x14ac:dyDescent="0.2">
      <c r="A37" s="92">
        <v>31</v>
      </c>
      <c r="B37" s="93" t="s">
        <v>822</v>
      </c>
      <c r="C37" s="93" t="s">
        <v>823</v>
      </c>
      <c r="D37" s="93" t="s">
        <v>191</v>
      </c>
      <c r="E37" s="94">
        <v>241000</v>
      </c>
      <c r="F37" s="95">
        <v>1735.441</v>
      </c>
      <c r="G37" s="96">
        <v>1.2411709999999999E-2</v>
      </c>
      <c r="H37" s="86" t="s">
        <v>142</v>
      </c>
    </row>
    <row r="38" spans="1:8" x14ac:dyDescent="0.2">
      <c r="A38" s="92">
        <v>32</v>
      </c>
      <c r="B38" s="93" t="s">
        <v>516</v>
      </c>
      <c r="C38" s="93" t="s">
        <v>517</v>
      </c>
      <c r="D38" s="93" t="s">
        <v>232</v>
      </c>
      <c r="E38" s="94">
        <v>364000</v>
      </c>
      <c r="F38" s="95">
        <v>1709.5260000000001</v>
      </c>
      <c r="G38" s="96">
        <v>1.222636E-2</v>
      </c>
      <c r="H38" s="86" t="s">
        <v>142</v>
      </c>
    </row>
    <row r="39" spans="1:8" x14ac:dyDescent="0.2">
      <c r="A39" s="92">
        <v>33</v>
      </c>
      <c r="B39" s="93" t="s">
        <v>216</v>
      </c>
      <c r="C39" s="93" t="s">
        <v>217</v>
      </c>
      <c r="D39" s="93" t="s">
        <v>218</v>
      </c>
      <c r="E39" s="94">
        <v>270000</v>
      </c>
      <c r="F39" s="95">
        <v>1614.1949999999999</v>
      </c>
      <c r="G39" s="96">
        <v>1.1544570000000001E-2</v>
      </c>
      <c r="H39" s="86" t="s">
        <v>142</v>
      </c>
    </row>
    <row r="40" spans="1:8" x14ac:dyDescent="0.2">
      <c r="A40" s="92">
        <v>34</v>
      </c>
      <c r="B40" s="93" t="s">
        <v>59</v>
      </c>
      <c r="C40" s="93" t="s">
        <v>60</v>
      </c>
      <c r="D40" s="93" t="s">
        <v>61</v>
      </c>
      <c r="E40" s="94">
        <v>28445</v>
      </c>
      <c r="F40" s="95">
        <v>1600.03125</v>
      </c>
      <c r="G40" s="96">
        <v>1.144327E-2</v>
      </c>
      <c r="H40" s="86" t="s">
        <v>142</v>
      </c>
    </row>
    <row r="41" spans="1:8" x14ac:dyDescent="0.2">
      <c r="A41" s="92">
        <v>35</v>
      </c>
      <c r="B41" s="93" t="s">
        <v>518</v>
      </c>
      <c r="C41" s="93" t="s">
        <v>519</v>
      </c>
      <c r="D41" s="93" t="s">
        <v>204</v>
      </c>
      <c r="E41" s="94">
        <v>111209</v>
      </c>
      <c r="F41" s="95">
        <v>1584.0609959999999</v>
      </c>
      <c r="G41" s="96">
        <v>1.132905E-2</v>
      </c>
      <c r="H41" s="86" t="s">
        <v>142</v>
      </c>
    </row>
    <row r="42" spans="1:8" x14ac:dyDescent="0.2">
      <c r="A42" s="92">
        <v>36</v>
      </c>
      <c r="B42" s="93" t="s">
        <v>41</v>
      </c>
      <c r="C42" s="93" t="s">
        <v>42</v>
      </c>
      <c r="D42" s="93" t="s">
        <v>43</v>
      </c>
      <c r="E42" s="94">
        <v>50000</v>
      </c>
      <c r="F42" s="95">
        <v>1518.7</v>
      </c>
      <c r="G42" s="96">
        <v>1.0861590000000001E-2</v>
      </c>
      <c r="H42" s="86" t="s">
        <v>142</v>
      </c>
    </row>
    <row r="43" spans="1:8" x14ac:dyDescent="0.2">
      <c r="A43" s="92">
        <v>37</v>
      </c>
      <c r="B43" s="93" t="s">
        <v>504</v>
      </c>
      <c r="C43" s="93" t="s">
        <v>505</v>
      </c>
      <c r="D43" s="93" t="s">
        <v>241</v>
      </c>
      <c r="E43" s="94">
        <v>9132</v>
      </c>
      <c r="F43" s="95">
        <v>1478.1055200000001</v>
      </c>
      <c r="G43" s="96">
        <v>1.0571270000000001E-2</v>
      </c>
      <c r="H43" s="86" t="s">
        <v>142</v>
      </c>
    </row>
    <row r="44" spans="1:8" x14ac:dyDescent="0.2">
      <c r="A44" s="92">
        <v>38</v>
      </c>
      <c r="B44" s="93" t="s">
        <v>508</v>
      </c>
      <c r="C44" s="93" t="s">
        <v>509</v>
      </c>
      <c r="D44" s="93" t="s">
        <v>38</v>
      </c>
      <c r="E44" s="94">
        <v>147000</v>
      </c>
      <c r="F44" s="95">
        <v>1476.9825000000001</v>
      </c>
      <c r="G44" s="96">
        <v>1.056324E-2</v>
      </c>
      <c r="H44" s="86" t="s">
        <v>142</v>
      </c>
    </row>
    <row r="45" spans="1:8" x14ac:dyDescent="0.2">
      <c r="A45" s="92">
        <v>39</v>
      </c>
      <c r="B45" s="93" t="s">
        <v>423</v>
      </c>
      <c r="C45" s="93" t="s">
        <v>424</v>
      </c>
      <c r="D45" s="93" t="s">
        <v>204</v>
      </c>
      <c r="E45" s="94">
        <v>94000</v>
      </c>
      <c r="F45" s="95">
        <v>1449.01</v>
      </c>
      <c r="G45" s="96">
        <v>1.036318E-2</v>
      </c>
      <c r="H45" s="86" t="s">
        <v>142</v>
      </c>
    </row>
    <row r="46" spans="1:8" x14ac:dyDescent="0.2">
      <c r="A46" s="92">
        <v>40</v>
      </c>
      <c r="B46" s="93" t="s">
        <v>283</v>
      </c>
      <c r="C46" s="93" t="s">
        <v>284</v>
      </c>
      <c r="D46" s="93" t="s">
        <v>218</v>
      </c>
      <c r="E46" s="94">
        <v>888000</v>
      </c>
      <c r="F46" s="95">
        <v>1436.7840000000001</v>
      </c>
      <c r="G46" s="96">
        <v>1.027574E-2</v>
      </c>
      <c r="H46" s="86" t="s">
        <v>142</v>
      </c>
    </row>
    <row r="47" spans="1:8" ht="25.5" x14ac:dyDescent="0.2">
      <c r="A47" s="92">
        <v>41</v>
      </c>
      <c r="B47" s="93" t="s">
        <v>434</v>
      </c>
      <c r="C47" s="93" t="s">
        <v>435</v>
      </c>
      <c r="D47" s="93" t="s">
        <v>207</v>
      </c>
      <c r="E47" s="94">
        <v>120522</v>
      </c>
      <c r="F47" s="95">
        <v>1404.0813000000001</v>
      </c>
      <c r="G47" s="96">
        <v>1.004185E-2</v>
      </c>
      <c r="H47" s="86" t="s">
        <v>142</v>
      </c>
    </row>
    <row r="48" spans="1:8" x14ac:dyDescent="0.2">
      <c r="A48" s="92">
        <v>42</v>
      </c>
      <c r="B48" s="93" t="s">
        <v>328</v>
      </c>
      <c r="C48" s="93" t="s">
        <v>329</v>
      </c>
      <c r="D48" s="93" t="s">
        <v>28</v>
      </c>
      <c r="E48" s="94">
        <v>29800</v>
      </c>
      <c r="F48" s="95">
        <v>1394.5804000000001</v>
      </c>
      <c r="G48" s="96">
        <v>9.9739000000000008E-3</v>
      </c>
      <c r="H48" s="86" t="s">
        <v>142</v>
      </c>
    </row>
    <row r="49" spans="1:8" x14ac:dyDescent="0.2">
      <c r="A49" s="92">
        <v>43</v>
      </c>
      <c r="B49" s="93" t="s">
        <v>91</v>
      </c>
      <c r="C49" s="93" t="s">
        <v>92</v>
      </c>
      <c r="D49" s="93" t="s">
        <v>22</v>
      </c>
      <c r="E49" s="94">
        <v>101000</v>
      </c>
      <c r="F49" s="95">
        <v>1329.665</v>
      </c>
      <c r="G49" s="96">
        <v>9.5096299999999998E-3</v>
      </c>
      <c r="H49" s="86" t="s">
        <v>142</v>
      </c>
    </row>
    <row r="50" spans="1:8" x14ac:dyDescent="0.2">
      <c r="A50" s="92">
        <v>44</v>
      </c>
      <c r="B50" s="93" t="s">
        <v>440</v>
      </c>
      <c r="C50" s="93" t="s">
        <v>441</v>
      </c>
      <c r="D50" s="93" t="s">
        <v>422</v>
      </c>
      <c r="E50" s="94">
        <v>53000</v>
      </c>
      <c r="F50" s="95">
        <v>1306.7149999999999</v>
      </c>
      <c r="G50" s="96">
        <v>9.3454999999999996E-3</v>
      </c>
      <c r="H50" s="86" t="s">
        <v>142</v>
      </c>
    </row>
    <row r="51" spans="1:8" x14ac:dyDescent="0.2">
      <c r="A51" s="92">
        <v>45</v>
      </c>
      <c r="B51" s="93" t="s">
        <v>340</v>
      </c>
      <c r="C51" s="93" t="s">
        <v>341</v>
      </c>
      <c r="D51" s="93" t="s">
        <v>257</v>
      </c>
      <c r="E51" s="94">
        <v>63757</v>
      </c>
      <c r="F51" s="95">
        <v>1230.892642</v>
      </c>
      <c r="G51" s="96">
        <v>8.8032200000000005E-3</v>
      </c>
      <c r="H51" s="86" t="s">
        <v>142</v>
      </c>
    </row>
    <row r="52" spans="1:8" x14ac:dyDescent="0.2">
      <c r="A52" s="92">
        <v>46</v>
      </c>
      <c r="B52" s="93" t="s">
        <v>430</v>
      </c>
      <c r="C52" s="93" t="s">
        <v>431</v>
      </c>
      <c r="D52" s="93" t="s">
        <v>241</v>
      </c>
      <c r="E52" s="94">
        <v>298000</v>
      </c>
      <c r="F52" s="95">
        <v>1221.8</v>
      </c>
      <c r="G52" s="96">
        <v>8.7381899999999998E-3</v>
      </c>
      <c r="H52" s="86" t="s">
        <v>142</v>
      </c>
    </row>
    <row r="53" spans="1:8" ht="25.5" x14ac:dyDescent="0.2">
      <c r="A53" s="92">
        <v>47</v>
      </c>
      <c r="B53" s="93" t="s">
        <v>273</v>
      </c>
      <c r="C53" s="93" t="s">
        <v>274</v>
      </c>
      <c r="D53" s="93" t="s">
        <v>275</v>
      </c>
      <c r="E53" s="94">
        <v>70000</v>
      </c>
      <c r="F53" s="95">
        <v>1209.8800000000001</v>
      </c>
      <c r="G53" s="96">
        <v>8.6529399999999996E-3</v>
      </c>
      <c r="H53" s="86" t="s">
        <v>142</v>
      </c>
    </row>
    <row r="54" spans="1:8" ht="25.5" x14ac:dyDescent="0.2">
      <c r="A54" s="92">
        <v>48</v>
      </c>
      <c r="B54" s="93" t="s">
        <v>136</v>
      </c>
      <c r="C54" s="93" t="s">
        <v>137</v>
      </c>
      <c r="D54" s="93" t="s">
        <v>132</v>
      </c>
      <c r="E54" s="94">
        <v>261000</v>
      </c>
      <c r="F54" s="95">
        <v>881.13599999999997</v>
      </c>
      <c r="G54" s="96">
        <v>6.3017999999999998E-3</v>
      </c>
      <c r="H54" s="86" t="s">
        <v>142</v>
      </c>
    </row>
    <row r="55" spans="1:8" x14ac:dyDescent="0.2">
      <c r="A55" s="92">
        <v>49</v>
      </c>
      <c r="B55" s="93" t="s">
        <v>442</v>
      </c>
      <c r="C55" s="93" t="s">
        <v>443</v>
      </c>
      <c r="D55" s="93" t="s">
        <v>38</v>
      </c>
      <c r="E55" s="94">
        <v>298000</v>
      </c>
      <c r="F55" s="95">
        <v>777.03499999999997</v>
      </c>
      <c r="G55" s="96">
        <v>5.5572800000000004E-3</v>
      </c>
      <c r="H55" s="86" t="s">
        <v>142</v>
      </c>
    </row>
    <row r="56" spans="1:8" x14ac:dyDescent="0.2">
      <c r="A56" s="92">
        <v>50</v>
      </c>
      <c r="B56" s="93" t="s">
        <v>213</v>
      </c>
      <c r="C56" s="93" t="s">
        <v>214</v>
      </c>
      <c r="D56" s="93" t="s">
        <v>215</v>
      </c>
      <c r="E56" s="94">
        <v>30000</v>
      </c>
      <c r="F56" s="95">
        <v>743.7</v>
      </c>
      <c r="G56" s="96">
        <v>5.3188699999999998E-3</v>
      </c>
      <c r="H56" s="86" t="s">
        <v>142</v>
      </c>
    </row>
    <row r="57" spans="1:8" x14ac:dyDescent="0.2">
      <c r="A57" s="97"/>
      <c r="B57" s="97"/>
      <c r="C57" s="98" t="s">
        <v>141</v>
      </c>
      <c r="D57" s="97"/>
      <c r="E57" s="97" t="s">
        <v>142</v>
      </c>
      <c r="F57" s="99">
        <f>SUM(F7:F56)</f>
        <v>132360.81708840001</v>
      </c>
      <c r="G57" s="100">
        <f>SUM(G7:G56)</f>
        <v>0.94663165999999987</v>
      </c>
      <c r="H57" s="86" t="s">
        <v>142</v>
      </c>
    </row>
    <row r="58" spans="1:8" x14ac:dyDescent="0.2">
      <c r="A58" s="97"/>
      <c r="B58" s="97"/>
      <c r="C58" s="101"/>
      <c r="D58" s="97"/>
      <c r="E58" s="97"/>
      <c r="F58" s="102"/>
      <c r="G58" s="102"/>
      <c r="H58" s="86" t="s">
        <v>142</v>
      </c>
    </row>
    <row r="59" spans="1:8" x14ac:dyDescent="0.2">
      <c r="A59" s="97"/>
      <c r="B59" s="97"/>
      <c r="C59" s="98" t="s">
        <v>143</v>
      </c>
      <c r="D59" s="97"/>
      <c r="E59" s="97"/>
      <c r="F59" s="97"/>
      <c r="G59" s="97"/>
      <c r="H59" s="86" t="s">
        <v>142</v>
      </c>
    </row>
    <row r="60" spans="1:8" x14ac:dyDescent="0.2">
      <c r="A60" s="97"/>
      <c r="B60" s="97"/>
      <c r="C60" s="98" t="s">
        <v>141</v>
      </c>
      <c r="D60" s="97"/>
      <c r="E60" s="97" t="s">
        <v>142</v>
      </c>
      <c r="F60" s="103" t="s">
        <v>144</v>
      </c>
      <c r="G60" s="100">
        <v>0</v>
      </c>
      <c r="H60" s="86" t="s">
        <v>142</v>
      </c>
    </row>
    <row r="61" spans="1:8" x14ac:dyDescent="0.2">
      <c r="A61" s="97"/>
      <c r="B61" s="97"/>
      <c r="C61" s="101"/>
      <c r="D61" s="97"/>
      <c r="E61" s="97"/>
      <c r="F61" s="102"/>
      <c r="G61" s="102"/>
      <c r="H61" s="86" t="s">
        <v>142</v>
      </c>
    </row>
    <row r="62" spans="1:8" x14ac:dyDescent="0.2">
      <c r="A62" s="97"/>
      <c r="B62" s="97"/>
      <c r="C62" s="98" t="s">
        <v>145</v>
      </c>
      <c r="D62" s="97"/>
      <c r="E62" s="97"/>
      <c r="F62" s="97"/>
      <c r="G62" s="97"/>
      <c r="H62" s="86" t="s">
        <v>142</v>
      </c>
    </row>
    <row r="63" spans="1:8" x14ac:dyDescent="0.2">
      <c r="A63" s="92">
        <v>1</v>
      </c>
      <c r="B63" s="93" t="s">
        <v>520</v>
      </c>
      <c r="C63" s="88" t="s">
        <v>1070</v>
      </c>
      <c r="D63" s="93" t="s">
        <v>218</v>
      </c>
      <c r="E63" s="94">
        <v>374002</v>
      </c>
      <c r="F63" s="95">
        <v>55.614097399999999</v>
      </c>
      <c r="G63" s="96">
        <v>3.9774999999999999E-4</v>
      </c>
      <c r="H63" s="86" t="s">
        <v>142</v>
      </c>
    </row>
    <row r="64" spans="1:8" x14ac:dyDescent="0.2">
      <c r="A64" s="92">
        <v>2</v>
      </c>
      <c r="B64" s="93" t="s">
        <v>766</v>
      </c>
      <c r="C64" s="88" t="s">
        <v>1074</v>
      </c>
      <c r="D64" s="93"/>
      <c r="E64" s="94">
        <v>200000</v>
      </c>
      <c r="F64" s="95">
        <v>1.9999999999999999E-6</v>
      </c>
      <c r="G64" s="104" t="s">
        <v>140</v>
      </c>
      <c r="H64" s="86" t="s">
        <v>142</v>
      </c>
    </row>
    <row r="65" spans="1:8" x14ac:dyDescent="0.2">
      <c r="A65" s="97"/>
      <c r="B65" s="97"/>
      <c r="C65" s="98" t="s">
        <v>141</v>
      </c>
      <c r="D65" s="97"/>
      <c r="E65" s="97" t="s">
        <v>142</v>
      </c>
      <c r="F65" s="99">
        <f>SUM(F63:F64)</f>
        <v>55.614099400000001</v>
      </c>
      <c r="G65" s="100">
        <f>SUM(G63:G64)</f>
        <v>3.9774999999999999E-4</v>
      </c>
      <c r="H65" s="86" t="s">
        <v>142</v>
      </c>
    </row>
    <row r="66" spans="1:8" x14ac:dyDescent="0.2">
      <c r="A66" s="97"/>
      <c r="B66" s="97"/>
      <c r="C66" s="101"/>
      <c r="D66" s="97"/>
      <c r="E66" s="97"/>
      <c r="F66" s="102"/>
      <c r="G66" s="102"/>
      <c r="H66" s="86" t="s">
        <v>142</v>
      </c>
    </row>
    <row r="67" spans="1:8" x14ac:dyDescent="0.2">
      <c r="A67" s="97"/>
      <c r="B67" s="97"/>
      <c r="C67" s="98" t="s">
        <v>146</v>
      </c>
      <c r="D67" s="97"/>
      <c r="E67" s="97"/>
      <c r="F67" s="97"/>
      <c r="G67" s="97"/>
      <c r="H67" s="86" t="s">
        <v>142</v>
      </c>
    </row>
    <row r="68" spans="1:8" x14ac:dyDescent="0.2">
      <c r="A68" s="97"/>
      <c r="B68" s="97"/>
      <c r="C68" s="98" t="s">
        <v>141</v>
      </c>
      <c r="D68" s="97"/>
      <c r="E68" s="97" t="s">
        <v>142</v>
      </c>
      <c r="F68" s="103" t="s">
        <v>144</v>
      </c>
      <c r="G68" s="100">
        <v>0</v>
      </c>
      <c r="H68" s="86" t="s">
        <v>142</v>
      </c>
    </row>
    <row r="69" spans="1:8" x14ac:dyDescent="0.2">
      <c r="A69" s="97"/>
      <c r="B69" s="97"/>
      <c r="C69" s="101"/>
      <c r="D69" s="97"/>
      <c r="E69" s="97"/>
      <c r="F69" s="102"/>
      <c r="G69" s="102"/>
      <c r="H69" s="86" t="s">
        <v>142</v>
      </c>
    </row>
    <row r="70" spans="1:8" x14ac:dyDescent="0.2">
      <c r="A70" s="97"/>
      <c r="B70" s="97"/>
      <c r="C70" s="98" t="s">
        <v>147</v>
      </c>
      <c r="D70" s="97"/>
      <c r="E70" s="97"/>
      <c r="F70" s="102"/>
      <c r="G70" s="102"/>
      <c r="H70" s="86" t="s">
        <v>142</v>
      </c>
    </row>
    <row r="71" spans="1:8" x14ac:dyDescent="0.2">
      <c r="A71" s="97"/>
      <c r="B71" s="97"/>
      <c r="C71" s="98" t="s">
        <v>141</v>
      </c>
      <c r="D71" s="97"/>
      <c r="E71" s="97" t="s">
        <v>142</v>
      </c>
      <c r="F71" s="103" t="s">
        <v>144</v>
      </c>
      <c r="G71" s="100">
        <v>0</v>
      </c>
      <c r="H71" s="86" t="s">
        <v>142</v>
      </c>
    </row>
    <row r="72" spans="1:8" x14ac:dyDescent="0.2">
      <c r="A72" s="97"/>
      <c r="B72" s="97"/>
      <c r="C72" s="101"/>
      <c r="D72" s="97"/>
      <c r="E72" s="97"/>
      <c r="F72" s="102"/>
      <c r="G72" s="102"/>
      <c r="H72" s="86" t="s">
        <v>142</v>
      </c>
    </row>
    <row r="73" spans="1:8" x14ac:dyDescent="0.2">
      <c r="A73" s="97"/>
      <c r="B73" s="97"/>
      <c r="C73" s="98" t="s">
        <v>148</v>
      </c>
      <c r="D73" s="97"/>
      <c r="E73" s="97"/>
      <c r="F73" s="102"/>
      <c r="G73" s="102"/>
      <c r="H73" s="86" t="s">
        <v>142</v>
      </c>
    </row>
    <row r="74" spans="1:8" x14ac:dyDescent="0.2">
      <c r="A74" s="97"/>
      <c r="B74" s="97"/>
      <c r="C74" s="98" t="s">
        <v>141</v>
      </c>
      <c r="D74" s="97"/>
      <c r="E74" s="97" t="s">
        <v>142</v>
      </c>
      <c r="F74" s="103" t="s">
        <v>144</v>
      </c>
      <c r="G74" s="100">
        <v>0</v>
      </c>
      <c r="H74" s="86" t="s">
        <v>142</v>
      </c>
    </row>
    <row r="75" spans="1:8" x14ac:dyDescent="0.2">
      <c r="A75" s="97"/>
      <c r="B75" s="97"/>
      <c r="C75" s="101"/>
      <c r="D75" s="97"/>
      <c r="E75" s="97"/>
      <c r="F75" s="102"/>
      <c r="G75" s="102"/>
      <c r="H75" s="86" t="s">
        <v>142</v>
      </c>
    </row>
    <row r="76" spans="1:8" x14ac:dyDescent="0.2">
      <c r="A76" s="97"/>
      <c r="B76" s="97"/>
      <c r="C76" s="98" t="s">
        <v>149</v>
      </c>
      <c r="D76" s="97"/>
      <c r="E76" s="97"/>
      <c r="F76" s="99">
        <v>132416.43118779999</v>
      </c>
      <c r="G76" s="100">
        <v>0.94702940999999996</v>
      </c>
      <c r="H76" s="86" t="s">
        <v>142</v>
      </c>
    </row>
    <row r="77" spans="1:8" x14ac:dyDescent="0.2">
      <c r="A77" s="97"/>
      <c r="B77" s="97"/>
      <c r="C77" s="101"/>
      <c r="D77" s="97"/>
      <c r="E77" s="97"/>
      <c r="F77" s="102"/>
      <c r="G77" s="102"/>
      <c r="H77" s="86" t="s">
        <v>142</v>
      </c>
    </row>
    <row r="78" spans="1:8" x14ac:dyDescent="0.2">
      <c r="A78" s="97"/>
      <c r="B78" s="97"/>
      <c r="C78" s="98" t="s">
        <v>150</v>
      </c>
      <c r="D78" s="97"/>
      <c r="E78" s="97"/>
      <c r="F78" s="102"/>
      <c r="G78" s="102"/>
      <c r="H78" s="86" t="s">
        <v>142</v>
      </c>
    </row>
    <row r="79" spans="1:8" x14ac:dyDescent="0.2">
      <c r="A79" s="97"/>
      <c r="B79" s="97"/>
      <c r="C79" s="98" t="s">
        <v>10</v>
      </c>
      <c r="D79" s="97"/>
      <c r="E79" s="97"/>
      <c r="F79" s="102"/>
      <c r="G79" s="102"/>
      <c r="H79" s="86" t="s">
        <v>142</v>
      </c>
    </row>
    <row r="80" spans="1:8" x14ac:dyDescent="0.2">
      <c r="A80" s="97"/>
      <c r="B80" s="97"/>
      <c r="C80" s="98" t="s">
        <v>141</v>
      </c>
      <c r="D80" s="97"/>
      <c r="E80" s="97" t="s">
        <v>142</v>
      </c>
      <c r="F80" s="103" t="s">
        <v>144</v>
      </c>
      <c r="G80" s="100">
        <v>0</v>
      </c>
      <c r="H80" s="86" t="s">
        <v>142</v>
      </c>
    </row>
    <row r="81" spans="1:8" x14ac:dyDescent="0.2">
      <c r="A81" s="97"/>
      <c r="B81" s="97"/>
      <c r="C81" s="101"/>
      <c r="D81" s="97"/>
      <c r="E81" s="97"/>
      <c r="F81" s="102"/>
      <c r="G81" s="102"/>
      <c r="H81" s="86" t="s">
        <v>142</v>
      </c>
    </row>
    <row r="82" spans="1:8" x14ac:dyDescent="0.2">
      <c r="A82" s="97"/>
      <c r="B82" s="97"/>
      <c r="C82" s="98" t="s">
        <v>151</v>
      </c>
      <c r="D82" s="97"/>
      <c r="E82" s="97"/>
      <c r="F82" s="97"/>
      <c r="G82" s="97"/>
      <c r="H82" s="86" t="s">
        <v>142</v>
      </c>
    </row>
    <row r="83" spans="1:8" x14ac:dyDescent="0.2">
      <c r="A83" s="97"/>
      <c r="B83" s="97"/>
      <c r="C83" s="98" t="s">
        <v>141</v>
      </c>
      <c r="D83" s="97"/>
      <c r="E83" s="97" t="s">
        <v>142</v>
      </c>
      <c r="F83" s="103" t="s">
        <v>144</v>
      </c>
      <c r="G83" s="100">
        <v>0</v>
      </c>
      <c r="H83" s="86" t="s">
        <v>142</v>
      </c>
    </row>
    <row r="84" spans="1:8" x14ac:dyDescent="0.2">
      <c r="A84" s="97"/>
      <c r="B84" s="97"/>
      <c r="C84" s="101"/>
      <c r="D84" s="97"/>
      <c r="E84" s="97"/>
      <c r="F84" s="102"/>
      <c r="G84" s="102"/>
      <c r="H84" s="86" t="s">
        <v>142</v>
      </c>
    </row>
    <row r="85" spans="1:8" x14ac:dyDescent="0.2">
      <c r="A85" s="97"/>
      <c r="B85" s="97"/>
      <c r="C85" s="98" t="s">
        <v>152</v>
      </c>
      <c r="D85" s="97"/>
      <c r="E85" s="97"/>
      <c r="F85" s="97"/>
      <c r="G85" s="97"/>
      <c r="H85" s="86" t="s">
        <v>142</v>
      </c>
    </row>
    <row r="86" spans="1:8" x14ac:dyDescent="0.2">
      <c r="A86" s="97"/>
      <c r="B86" s="97"/>
      <c r="C86" s="98" t="s">
        <v>141</v>
      </c>
      <c r="D86" s="97"/>
      <c r="E86" s="97" t="s">
        <v>142</v>
      </c>
      <c r="F86" s="103" t="s">
        <v>144</v>
      </c>
      <c r="G86" s="100">
        <v>0</v>
      </c>
      <c r="H86" s="86" t="s">
        <v>142</v>
      </c>
    </row>
    <row r="87" spans="1:8" x14ac:dyDescent="0.2">
      <c r="A87" s="97"/>
      <c r="B87" s="97"/>
      <c r="C87" s="101"/>
      <c r="D87" s="97"/>
      <c r="E87" s="97"/>
      <c r="F87" s="102"/>
      <c r="G87" s="102"/>
      <c r="H87" s="86" t="s">
        <v>142</v>
      </c>
    </row>
    <row r="88" spans="1:8" x14ac:dyDescent="0.2">
      <c r="A88" s="97"/>
      <c r="B88" s="97"/>
      <c r="C88" s="98" t="s">
        <v>153</v>
      </c>
      <c r="D88" s="97"/>
      <c r="E88" s="97"/>
      <c r="F88" s="102"/>
      <c r="G88" s="102"/>
      <c r="H88" s="86" t="s">
        <v>142</v>
      </c>
    </row>
    <row r="89" spans="1:8" x14ac:dyDescent="0.2">
      <c r="A89" s="97"/>
      <c r="B89" s="97"/>
      <c r="C89" s="98" t="s">
        <v>141</v>
      </c>
      <c r="D89" s="97"/>
      <c r="E89" s="97" t="s">
        <v>142</v>
      </c>
      <c r="F89" s="103" t="s">
        <v>144</v>
      </c>
      <c r="G89" s="100">
        <v>0</v>
      </c>
      <c r="H89" s="86" t="s">
        <v>142</v>
      </c>
    </row>
    <row r="90" spans="1:8" x14ac:dyDescent="0.2">
      <c r="A90" s="97"/>
      <c r="B90" s="97"/>
      <c r="C90" s="101"/>
      <c r="D90" s="97"/>
      <c r="E90" s="97"/>
      <c r="F90" s="102"/>
      <c r="G90" s="102"/>
      <c r="H90" s="86" t="s">
        <v>142</v>
      </c>
    </row>
    <row r="91" spans="1:8" x14ac:dyDescent="0.2">
      <c r="A91" s="97"/>
      <c r="B91" s="97"/>
      <c r="C91" s="98" t="s">
        <v>154</v>
      </c>
      <c r="D91" s="97"/>
      <c r="E91" s="97"/>
      <c r="F91" s="99">
        <v>0</v>
      </c>
      <c r="G91" s="100">
        <v>0</v>
      </c>
      <c r="H91" s="86" t="s">
        <v>142</v>
      </c>
    </row>
    <row r="92" spans="1:8" x14ac:dyDescent="0.2">
      <c r="A92" s="97"/>
      <c r="B92" s="97"/>
      <c r="C92" s="101"/>
      <c r="D92" s="97"/>
      <c r="E92" s="97"/>
      <c r="F92" s="102"/>
      <c r="G92" s="102"/>
      <c r="H92" s="86" t="s">
        <v>142</v>
      </c>
    </row>
    <row r="93" spans="1:8" x14ac:dyDescent="0.2">
      <c r="A93" s="97"/>
      <c r="B93" s="97"/>
      <c r="C93" s="98" t="s">
        <v>155</v>
      </c>
      <c r="D93" s="97"/>
      <c r="E93" s="97"/>
      <c r="F93" s="102"/>
      <c r="G93" s="102"/>
      <c r="H93" s="86" t="s">
        <v>142</v>
      </c>
    </row>
    <row r="94" spans="1:8" x14ac:dyDescent="0.2">
      <c r="A94" s="97"/>
      <c r="B94" s="97"/>
      <c r="C94" s="98" t="s">
        <v>156</v>
      </c>
      <c r="D94" s="97"/>
      <c r="E94" s="97"/>
      <c r="F94" s="102"/>
      <c r="G94" s="102"/>
      <c r="H94" s="86" t="s">
        <v>142</v>
      </c>
    </row>
    <row r="95" spans="1:8" x14ac:dyDescent="0.2">
      <c r="A95" s="97"/>
      <c r="B95" s="97"/>
      <c r="C95" s="98" t="s">
        <v>141</v>
      </c>
      <c r="D95" s="97"/>
      <c r="E95" s="97" t="s">
        <v>142</v>
      </c>
      <c r="F95" s="103" t="s">
        <v>144</v>
      </c>
      <c r="G95" s="100">
        <v>0</v>
      </c>
      <c r="H95" s="86" t="s">
        <v>142</v>
      </c>
    </row>
    <row r="96" spans="1:8" x14ac:dyDescent="0.2">
      <c r="A96" s="97"/>
      <c r="B96" s="97"/>
      <c r="C96" s="101"/>
      <c r="D96" s="97"/>
      <c r="E96" s="97"/>
      <c r="F96" s="102"/>
      <c r="G96" s="102"/>
      <c r="H96" s="86" t="s">
        <v>142</v>
      </c>
    </row>
    <row r="97" spans="1:8" x14ac:dyDescent="0.2">
      <c r="A97" s="97"/>
      <c r="B97" s="97"/>
      <c r="C97" s="98" t="s">
        <v>157</v>
      </c>
      <c r="D97" s="97"/>
      <c r="E97" s="97"/>
      <c r="F97" s="102"/>
      <c r="G97" s="102"/>
      <c r="H97" s="86" t="s">
        <v>142</v>
      </c>
    </row>
    <row r="98" spans="1:8" x14ac:dyDescent="0.2">
      <c r="A98" s="97"/>
      <c r="B98" s="97"/>
      <c r="C98" s="98" t="s">
        <v>141</v>
      </c>
      <c r="D98" s="97"/>
      <c r="E98" s="97" t="s">
        <v>142</v>
      </c>
      <c r="F98" s="103" t="s">
        <v>144</v>
      </c>
      <c r="G98" s="100">
        <v>0</v>
      </c>
      <c r="H98" s="86" t="s">
        <v>142</v>
      </c>
    </row>
    <row r="99" spans="1:8" x14ac:dyDescent="0.2">
      <c r="A99" s="97"/>
      <c r="B99" s="97"/>
      <c r="C99" s="101"/>
      <c r="D99" s="97"/>
      <c r="E99" s="97"/>
      <c r="F99" s="102"/>
      <c r="G99" s="102"/>
      <c r="H99" s="86" t="s">
        <v>142</v>
      </c>
    </row>
    <row r="100" spans="1:8" x14ac:dyDescent="0.2">
      <c r="A100" s="97"/>
      <c r="B100" s="97"/>
      <c r="C100" s="98" t="s">
        <v>158</v>
      </c>
      <c r="D100" s="97"/>
      <c r="E100" s="97"/>
      <c r="F100" s="102"/>
      <c r="G100" s="102"/>
      <c r="H100" s="86" t="s">
        <v>142</v>
      </c>
    </row>
    <row r="101" spans="1:8" x14ac:dyDescent="0.2">
      <c r="A101" s="97"/>
      <c r="B101" s="97"/>
      <c r="C101" s="98" t="s">
        <v>141</v>
      </c>
      <c r="D101" s="97"/>
      <c r="E101" s="97" t="s">
        <v>142</v>
      </c>
      <c r="F101" s="103" t="s">
        <v>144</v>
      </c>
      <c r="G101" s="100">
        <v>0</v>
      </c>
      <c r="H101" s="86" t="s">
        <v>142</v>
      </c>
    </row>
    <row r="102" spans="1:8" x14ac:dyDescent="0.2">
      <c r="A102" s="97"/>
      <c r="B102" s="97"/>
      <c r="C102" s="101"/>
      <c r="D102" s="97"/>
      <c r="E102" s="97"/>
      <c r="F102" s="102"/>
      <c r="G102" s="102"/>
      <c r="H102" s="86" t="s">
        <v>142</v>
      </c>
    </row>
    <row r="103" spans="1:8" x14ac:dyDescent="0.2">
      <c r="A103" s="97"/>
      <c r="B103" s="97"/>
      <c r="C103" s="98" t="s">
        <v>159</v>
      </c>
      <c r="D103" s="97"/>
      <c r="E103" s="97"/>
      <c r="F103" s="102"/>
      <c r="G103" s="102"/>
      <c r="H103" s="86" t="s">
        <v>142</v>
      </c>
    </row>
    <row r="104" spans="1:8" x14ac:dyDescent="0.2">
      <c r="A104" s="92">
        <v>1</v>
      </c>
      <c r="B104" s="93"/>
      <c r="C104" s="93" t="s">
        <v>160</v>
      </c>
      <c r="D104" s="93"/>
      <c r="E104" s="104"/>
      <c r="F104" s="95">
        <v>7573.1184932309998</v>
      </c>
      <c r="G104" s="96">
        <v>5.4162200000000001E-2</v>
      </c>
      <c r="H104" s="86">
        <v>5.57</v>
      </c>
    </row>
    <row r="105" spans="1:8" x14ac:dyDescent="0.2">
      <c r="A105" s="97"/>
      <c r="B105" s="97"/>
      <c r="C105" s="98" t="s">
        <v>141</v>
      </c>
      <c r="D105" s="97"/>
      <c r="E105" s="97" t="s">
        <v>142</v>
      </c>
      <c r="F105" s="99">
        <v>7573.1184932309998</v>
      </c>
      <c r="G105" s="100">
        <v>5.4162200000000001E-2</v>
      </c>
      <c r="H105" s="86" t="s">
        <v>142</v>
      </c>
    </row>
    <row r="106" spans="1:8" x14ac:dyDescent="0.2">
      <c r="A106" s="97"/>
      <c r="B106" s="97"/>
      <c r="C106" s="101"/>
      <c r="D106" s="97"/>
      <c r="E106" s="97"/>
      <c r="F106" s="102"/>
      <c r="G106" s="102"/>
      <c r="H106" s="86" t="s">
        <v>142</v>
      </c>
    </row>
    <row r="107" spans="1:8" x14ac:dyDescent="0.2">
      <c r="A107" s="97"/>
      <c r="B107" s="97"/>
      <c r="C107" s="98" t="s">
        <v>161</v>
      </c>
      <c r="D107" s="97"/>
      <c r="E107" s="97"/>
      <c r="F107" s="99">
        <v>7573.1184932309998</v>
      </c>
      <c r="G107" s="100">
        <v>5.4162200000000001E-2</v>
      </c>
      <c r="H107" s="86" t="s">
        <v>142</v>
      </c>
    </row>
    <row r="108" spans="1:8" x14ac:dyDescent="0.2">
      <c r="A108" s="97"/>
      <c r="B108" s="97"/>
      <c r="C108" s="102"/>
      <c r="D108" s="97"/>
      <c r="E108" s="97"/>
      <c r="F108" s="97"/>
      <c r="G108" s="97"/>
      <c r="H108" s="86" t="s">
        <v>142</v>
      </c>
    </row>
    <row r="109" spans="1:8" x14ac:dyDescent="0.2">
      <c r="A109" s="97"/>
      <c r="B109" s="97"/>
      <c r="C109" s="98" t="s">
        <v>162</v>
      </c>
      <c r="D109" s="97"/>
      <c r="E109" s="97"/>
      <c r="F109" s="97"/>
      <c r="G109" s="97"/>
      <c r="H109" s="86" t="s">
        <v>142</v>
      </c>
    </row>
    <row r="110" spans="1:8" x14ac:dyDescent="0.2">
      <c r="A110" s="97"/>
      <c r="B110" s="97"/>
      <c r="C110" s="98" t="s">
        <v>163</v>
      </c>
      <c r="D110" s="97"/>
      <c r="E110" s="97"/>
      <c r="F110" s="97"/>
      <c r="G110" s="97"/>
      <c r="H110" s="86" t="s">
        <v>142</v>
      </c>
    </row>
    <row r="111" spans="1:8" x14ac:dyDescent="0.2">
      <c r="A111" s="97"/>
      <c r="B111" s="97"/>
      <c r="C111" s="98" t="s">
        <v>141</v>
      </c>
      <c r="D111" s="97"/>
      <c r="E111" s="97" t="s">
        <v>142</v>
      </c>
      <c r="F111" s="103" t="s">
        <v>144</v>
      </c>
      <c r="G111" s="100">
        <v>0</v>
      </c>
      <c r="H111" s="86" t="s">
        <v>142</v>
      </c>
    </row>
    <row r="112" spans="1:8" x14ac:dyDescent="0.2">
      <c r="A112" s="97"/>
      <c r="B112" s="97"/>
      <c r="C112" s="101"/>
      <c r="D112" s="97"/>
      <c r="E112" s="97"/>
      <c r="F112" s="102"/>
      <c r="G112" s="102"/>
      <c r="H112" s="86" t="s">
        <v>142</v>
      </c>
    </row>
    <row r="113" spans="1:17" x14ac:dyDescent="0.2">
      <c r="A113" s="97"/>
      <c r="B113" s="97"/>
      <c r="C113" s="98" t="s">
        <v>164</v>
      </c>
      <c r="D113" s="97"/>
      <c r="E113" s="97"/>
      <c r="F113" s="97"/>
      <c r="G113" s="97"/>
      <c r="H113" s="86" t="s">
        <v>142</v>
      </c>
    </row>
    <row r="114" spans="1:17" x14ac:dyDescent="0.2">
      <c r="A114" s="97"/>
      <c r="B114" s="97"/>
      <c r="C114" s="98" t="s">
        <v>165</v>
      </c>
      <c r="D114" s="97"/>
      <c r="E114" s="97"/>
      <c r="F114" s="97"/>
      <c r="G114" s="97"/>
      <c r="H114" s="86" t="s">
        <v>142</v>
      </c>
    </row>
    <row r="115" spans="1:17" x14ac:dyDescent="0.2">
      <c r="A115" s="97"/>
      <c r="B115" s="97"/>
      <c r="C115" s="98" t="s">
        <v>141</v>
      </c>
      <c r="D115" s="97"/>
      <c r="E115" s="97" t="s">
        <v>142</v>
      </c>
      <c r="F115" s="103" t="s">
        <v>144</v>
      </c>
      <c r="G115" s="100">
        <v>0</v>
      </c>
      <c r="H115" s="86" t="s">
        <v>142</v>
      </c>
    </row>
    <row r="116" spans="1:17" x14ac:dyDescent="0.2">
      <c r="A116" s="97"/>
      <c r="B116" s="97"/>
      <c r="C116" s="101"/>
      <c r="D116" s="97"/>
      <c r="E116" s="97"/>
      <c r="F116" s="102"/>
      <c r="G116" s="102"/>
      <c r="H116" s="86" t="s">
        <v>142</v>
      </c>
    </row>
    <row r="117" spans="1:17" x14ac:dyDescent="0.2">
      <c r="A117" s="97"/>
      <c r="B117" s="97"/>
      <c r="C117" s="98" t="s">
        <v>166</v>
      </c>
      <c r="D117" s="97"/>
      <c r="E117" s="97"/>
      <c r="F117" s="102"/>
      <c r="G117" s="102"/>
      <c r="H117" s="86" t="s">
        <v>142</v>
      </c>
    </row>
    <row r="118" spans="1:17" x14ac:dyDescent="0.2">
      <c r="A118" s="97"/>
      <c r="B118" s="97"/>
      <c r="C118" s="98" t="s">
        <v>141</v>
      </c>
      <c r="D118" s="97"/>
      <c r="E118" s="97" t="s">
        <v>142</v>
      </c>
      <c r="F118" s="103" t="s">
        <v>144</v>
      </c>
      <c r="G118" s="100">
        <v>0</v>
      </c>
      <c r="H118" s="86" t="s">
        <v>142</v>
      </c>
    </row>
    <row r="119" spans="1:17" x14ac:dyDescent="0.2">
      <c r="A119" s="97"/>
      <c r="B119" s="93"/>
      <c r="C119" s="93"/>
      <c r="D119" s="98"/>
      <c r="E119" s="97"/>
      <c r="F119" s="93"/>
      <c r="G119" s="104"/>
      <c r="H119" s="86" t="s">
        <v>142</v>
      </c>
    </row>
    <row r="120" spans="1:17" x14ac:dyDescent="0.2">
      <c r="A120" s="104"/>
      <c r="B120" s="93"/>
      <c r="C120" s="93" t="s">
        <v>167</v>
      </c>
      <c r="D120" s="93"/>
      <c r="E120" s="104"/>
      <c r="F120" s="95">
        <v>-166.61176205999999</v>
      </c>
      <c r="G120" s="96">
        <v>-1.19159E-3</v>
      </c>
      <c r="H120" s="86" t="s">
        <v>142</v>
      </c>
    </row>
    <row r="121" spans="1:17" x14ac:dyDescent="0.2">
      <c r="A121" s="101"/>
      <c r="B121" s="101"/>
      <c r="C121" s="98" t="s">
        <v>168</v>
      </c>
      <c r="D121" s="102"/>
      <c r="E121" s="102"/>
      <c r="F121" s="99">
        <v>139822.937918971</v>
      </c>
      <c r="G121" s="105">
        <v>1.0000000200000001</v>
      </c>
      <c r="H121" s="86" t="s">
        <v>142</v>
      </c>
    </row>
    <row r="122" spans="1:17" ht="12.75" customHeight="1" x14ac:dyDescent="0.2">
      <c r="A122" s="106"/>
      <c r="B122" s="106"/>
      <c r="C122" s="107"/>
      <c r="D122" s="108"/>
      <c r="E122" s="108"/>
      <c r="F122" s="109"/>
      <c r="G122" s="110"/>
      <c r="H122" s="111"/>
    </row>
    <row r="123" spans="1:17" x14ac:dyDescent="0.2">
      <c r="A123" s="106"/>
      <c r="B123" s="200" t="s">
        <v>918</v>
      </c>
      <c r="C123" s="200"/>
      <c r="D123" s="200"/>
      <c r="E123" s="200"/>
      <c r="F123" s="200"/>
      <c r="G123" s="200"/>
      <c r="H123" s="200"/>
      <c r="J123" s="113"/>
    </row>
    <row r="124" spans="1:17" x14ac:dyDescent="0.2">
      <c r="A124" s="106"/>
      <c r="B124" s="200" t="s">
        <v>919</v>
      </c>
      <c r="C124" s="200"/>
      <c r="D124" s="200"/>
      <c r="E124" s="200"/>
      <c r="F124" s="200"/>
      <c r="G124" s="200"/>
      <c r="H124" s="200"/>
      <c r="J124" s="113"/>
    </row>
    <row r="125" spans="1:17" x14ac:dyDescent="0.2">
      <c r="A125" s="106"/>
      <c r="B125" s="200" t="s">
        <v>920</v>
      </c>
      <c r="C125" s="200"/>
      <c r="D125" s="200"/>
      <c r="E125" s="200"/>
      <c r="F125" s="200"/>
      <c r="G125" s="200"/>
      <c r="H125" s="200"/>
      <c r="J125" s="113"/>
    </row>
    <row r="126" spans="1:17" s="115" customFormat="1" ht="66.75" customHeight="1" x14ac:dyDescent="0.25">
      <c r="A126" s="114"/>
      <c r="B126" s="201" t="s">
        <v>921</v>
      </c>
      <c r="C126" s="201"/>
      <c r="D126" s="201"/>
      <c r="E126" s="201"/>
      <c r="F126" s="201"/>
      <c r="G126" s="201"/>
      <c r="H126" s="201"/>
      <c r="I126"/>
      <c r="J126" s="113"/>
      <c r="K126"/>
      <c r="L126"/>
      <c r="M126"/>
      <c r="N126"/>
      <c r="O126"/>
      <c r="P126"/>
      <c r="Q126"/>
    </row>
    <row r="127" spans="1:17" x14ac:dyDescent="0.2">
      <c r="A127" s="106"/>
      <c r="B127" s="200" t="s">
        <v>922</v>
      </c>
      <c r="C127" s="200"/>
      <c r="D127" s="200"/>
      <c r="E127" s="200"/>
      <c r="F127" s="200"/>
      <c r="G127" s="200"/>
      <c r="H127" s="200"/>
      <c r="J127" s="113"/>
    </row>
    <row r="128" spans="1:17" x14ac:dyDescent="0.2">
      <c r="A128" s="106"/>
      <c r="B128" s="106"/>
      <c r="C128" s="106"/>
      <c r="D128" s="108"/>
      <c r="E128" s="108"/>
      <c r="F128" s="108"/>
      <c r="G128" s="108"/>
    </row>
    <row r="129" spans="1:10" x14ac:dyDescent="0.2">
      <c r="A129" s="106"/>
      <c r="B129" s="202" t="s">
        <v>169</v>
      </c>
      <c r="C129" s="203"/>
      <c r="D129" s="204"/>
      <c r="E129" s="116"/>
      <c r="F129" s="108"/>
      <c r="G129" s="108"/>
    </row>
    <row r="130" spans="1:10" ht="27.75" customHeight="1" x14ac:dyDescent="0.2">
      <c r="A130" s="106"/>
      <c r="B130" s="205" t="s">
        <v>170</v>
      </c>
      <c r="C130" s="206"/>
      <c r="D130" s="85" t="s">
        <v>955</v>
      </c>
      <c r="E130" s="116"/>
      <c r="F130" s="108"/>
      <c r="G130" s="108"/>
    </row>
    <row r="131" spans="1:10" ht="12.75" customHeight="1" x14ac:dyDescent="0.2">
      <c r="A131" s="106"/>
      <c r="B131" s="205" t="s">
        <v>923</v>
      </c>
      <c r="C131" s="206"/>
      <c r="D131" s="85" t="str">
        <f>"Rs. "&amp;TEXT(F65,"0.00")&amp;" lacs/ 0.04%"</f>
        <v>Rs. 55.61 lacs/ 0.04%</v>
      </c>
      <c r="E131" s="116"/>
      <c r="F131" s="108"/>
      <c r="G131" s="108"/>
    </row>
    <row r="132" spans="1:10" x14ac:dyDescent="0.2">
      <c r="A132" s="106"/>
      <c r="B132" s="205" t="s">
        <v>172</v>
      </c>
      <c r="C132" s="206"/>
      <c r="D132" s="117" t="s">
        <v>142</v>
      </c>
      <c r="E132" s="116"/>
      <c r="F132" s="108"/>
      <c r="G132" s="108"/>
    </row>
    <row r="133" spans="1:10" x14ac:dyDescent="0.2">
      <c r="A133" s="118"/>
      <c r="B133" s="119" t="s">
        <v>142</v>
      </c>
      <c r="C133" s="119" t="s">
        <v>924</v>
      </c>
      <c r="D133" s="119" t="s">
        <v>173</v>
      </c>
      <c r="E133" s="118"/>
      <c r="F133" s="118"/>
      <c r="G133" s="118"/>
      <c r="H133" s="118"/>
      <c r="J133" s="113"/>
    </row>
    <row r="134" spans="1:10" x14ac:dyDescent="0.2">
      <c r="A134" s="118"/>
      <c r="B134" s="120" t="s">
        <v>174</v>
      </c>
      <c r="C134" s="121">
        <v>45930</v>
      </c>
      <c r="D134" s="121">
        <v>45961</v>
      </c>
      <c r="E134" s="118"/>
      <c r="F134" s="118"/>
      <c r="G134" s="118"/>
      <c r="J134" s="113"/>
    </row>
    <row r="135" spans="1:10" x14ac:dyDescent="0.2">
      <c r="A135" s="122"/>
      <c r="B135" s="93" t="s">
        <v>175</v>
      </c>
      <c r="C135" s="123">
        <v>539.98900000000003</v>
      </c>
      <c r="D135" s="123">
        <v>559.14</v>
      </c>
      <c r="E135" s="122"/>
      <c r="F135" s="124"/>
      <c r="G135" s="125"/>
    </row>
    <row r="136" spans="1:10" ht="25.5" x14ac:dyDescent="0.2">
      <c r="A136" s="122"/>
      <c r="B136" s="93" t="s">
        <v>1103</v>
      </c>
      <c r="C136" s="123">
        <v>539.4402</v>
      </c>
      <c r="D136" s="123">
        <v>558.57100000000003</v>
      </c>
      <c r="E136" s="122"/>
      <c r="F136" s="124"/>
      <c r="G136" s="125"/>
    </row>
    <row r="137" spans="1:10" x14ac:dyDescent="0.2">
      <c r="A137" s="122"/>
      <c r="B137" s="93" t="s">
        <v>176</v>
      </c>
      <c r="C137" s="123">
        <v>504.60210000000001</v>
      </c>
      <c r="D137" s="123">
        <v>522.27179999999998</v>
      </c>
      <c r="E137" s="122"/>
      <c r="F137" s="124"/>
      <c r="G137" s="125"/>
    </row>
    <row r="138" spans="1:10" ht="25.5" x14ac:dyDescent="0.2">
      <c r="A138" s="122"/>
      <c r="B138" s="93" t="s">
        <v>1104</v>
      </c>
      <c r="C138" s="123">
        <v>404.66180000000003</v>
      </c>
      <c r="D138" s="123">
        <v>418.83139999999997</v>
      </c>
      <c r="E138" s="122"/>
      <c r="F138" s="124"/>
      <c r="G138" s="125"/>
    </row>
    <row r="139" spans="1:10" x14ac:dyDescent="0.2">
      <c r="A139" s="122"/>
      <c r="B139" s="122"/>
      <c r="C139" s="122"/>
      <c r="D139" s="122"/>
      <c r="E139" s="122"/>
      <c r="F139" s="122"/>
      <c r="G139" s="122"/>
    </row>
    <row r="140" spans="1:10" x14ac:dyDescent="0.2">
      <c r="A140" s="118"/>
      <c r="B140" s="205" t="s">
        <v>925</v>
      </c>
      <c r="C140" s="206"/>
      <c r="D140" s="85" t="s">
        <v>171</v>
      </c>
      <c r="E140" s="118"/>
      <c r="F140" s="118"/>
      <c r="G140" s="118"/>
    </row>
    <row r="141" spans="1:10" x14ac:dyDescent="0.2">
      <c r="A141" s="118"/>
      <c r="B141" s="136"/>
      <c r="C141" s="136"/>
      <c r="D141" s="136"/>
      <c r="E141" s="118"/>
      <c r="F141" s="118"/>
      <c r="G141" s="118"/>
    </row>
    <row r="142" spans="1:10" x14ac:dyDescent="0.2">
      <c r="A142" s="118"/>
      <c r="B142" s="205" t="s">
        <v>179</v>
      </c>
      <c r="C142" s="206"/>
      <c r="D142" s="85" t="s">
        <v>171</v>
      </c>
      <c r="E142" s="131"/>
      <c r="F142" s="118"/>
      <c r="G142" s="118"/>
    </row>
    <row r="143" spans="1:10" x14ac:dyDescent="0.2">
      <c r="A143" s="118"/>
      <c r="B143" s="205" t="s">
        <v>180</v>
      </c>
      <c r="C143" s="206"/>
      <c r="D143" s="85" t="s">
        <v>171</v>
      </c>
      <c r="E143" s="131"/>
      <c r="F143" s="118"/>
      <c r="G143" s="118"/>
    </row>
    <row r="144" spans="1:10" x14ac:dyDescent="0.2">
      <c r="A144" s="118"/>
      <c r="B144" s="205" t="s">
        <v>181</v>
      </c>
      <c r="C144" s="206"/>
      <c r="D144" s="85" t="s">
        <v>171</v>
      </c>
      <c r="E144" s="131"/>
      <c r="F144" s="118"/>
      <c r="G144" s="118"/>
    </row>
    <row r="145" spans="1:10" x14ac:dyDescent="0.2">
      <c r="A145" s="118"/>
      <c r="B145" s="205" t="s">
        <v>182</v>
      </c>
      <c r="C145" s="206"/>
      <c r="D145" s="132">
        <v>0.4289</v>
      </c>
      <c r="E145" s="118"/>
      <c r="F145" s="112"/>
      <c r="G145" s="133"/>
    </row>
    <row r="147" spans="1:10" ht="13.5" x14ac:dyDescent="0.25">
      <c r="B147" s="150" t="s">
        <v>1158</v>
      </c>
      <c r="C147" s="151"/>
      <c r="D147" s="151"/>
      <c r="E147" s="12"/>
      <c r="F147" s="13"/>
    </row>
    <row r="148" spans="1:10" ht="67.5" x14ac:dyDescent="0.25">
      <c r="B148" s="152" t="s">
        <v>1052</v>
      </c>
      <c r="C148" s="152" t="s">
        <v>1053</v>
      </c>
      <c r="D148" s="152" t="s">
        <v>1054</v>
      </c>
      <c r="E148" s="152" t="s">
        <v>1055</v>
      </c>
      <c r="F148" s="152" t="s">
        <v>1056</v>
      </c>
    </row>
    <row r="149" spans="1:10" ht="13.5" x14ac:dyDescent="0.2">
      <c r="B149" s="153" t="s">
        <v>1081</v>
      </c>
      <c r="C149" s="154" t="s">
        <v>1058</v>
      </c>
      <c r="D149" s="14">
        <v>0</v>
      </c>
      <c r="E149" s="15">
        <v>0</v>
      </c>
      <c r="F149" s="155">
        <v>0.54925000000000002</v>
      </c>
    </row>
    <row r="151" spans="1:10" x14ac:dyDescent="0.2">
      <c r="B151" s="199" t="s">
        <v>926</v>
      </c>
      <c r="C151" s="199"/>
    </row>
    <row r="153" spans="1:10" ht="153.75" customHeight="1" x14ac:dyDescent="0.2"/>
    <row r="156" spans="1:10" x14ac:dyDescent="0.2">
      <c r="B156" s="134" t="s">
        <v>927</v>
      </c>
      <c r="C156" s="135"/>
      <c r="D156" s="134"/>
    </row>
    <row r="157" spans="1:10" x14ac:dyDescent="0.2">
      <c r="B157" s="134" t="s">
        <v>1082</v>
      </c>
      <c r="D157" s="134"/>
    </row>
    <row r="158" spans="1:10" ht="165" customHeight="1" x14ac:dyDescent="0.2"/>
    <row r="160" spans="1:10" x14ac:dyDescent="0.2">
      <c r="J160" s="83"/>
    </row>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2.75" customHeight="1" x14ac:dyDescent="0.2"/>
    <row r="171" customFormat="1" ht="12.75" customHeight="1" x14ac:dyDescent="0.2"/>
    <row r="172" customFormat="1" ht="12.75" customHeight="1" x14ac:dyDescent="0.2"/>
    <row r="173" customFormat="1" ht="12.75" customHeight="1" x14ac:dyDescent="0.2"/>
    <row r="174" customFormat="1" ht="12.75" customHeight="1" x14ac:dyDescent="0.2"/>
    <row r="175" customFormat="1" ht="12.75" customHeight="1" x14ac:dyDescent="0.2"/>
    <row r="176" customFormat="1" ht="12.75" customHeight="1" x14ac:dyDescent="0.2"/>
  </sheetData>
  <mergeCells count="18">
    <mergeCell ref="B142:C142"/>
    <mergeCell ref="B143:C143"/>
    <mergeCell ref="B151:C151"/>
    <mergeCell ref="B145:C145"/>
    <mergeCell ref="A1:H1"/>
    <mergeCell ref="A2:H2"/>
    <mergeCell ref="A3:H3"/>
    <mergeCell ref="B140:C140"/>
    <mergeCell ref="B144:C144"/>
    <mergeCell ref="B123:H123"/>
    <mergeCell ref="B124:H124"/>
    <mergeCell ref="B131:C131"/>
    <mergeCell ref="B132:C132"/>
    <mergeCell ref="B125:H125"/>
    <mergeCell ref="B126:H126"/>
    <mergeCell ref="B127:H127"/>
    <mergeCell ref="B129:D129"/>
    <mergeCell ref="B130:C130"/>
  </mergeCells>
  <hyperlinks>
    <hyperlink ref="I1" location="Index!B2" display="Index" xr:uid="{715755EA-E003-4F09-9A8F-D82AE5B7EA24}"/>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F8A4D-DAF1-43B5-9817-D4227792D46E}">
  <sheetPr>
    <outlinePr summaryBelow="0" summaryRight="0"/>
  </sheetPr>
  <dimension ref="A1:Q147"/>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7"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824</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11</v>
      </c>
      <c r="C7" s="93" t="s">
        <v>12</v>
      </c>
      <c r="D7" s="93" t="s">
        <v>13</v>
      </c>
      <c r="E7" s="94">
        <v>810559</v>
      </c>
      <c r="F7" s="95">
        <v>16652.934655000001</v>
      </c>
      <c r="G7" s="96">
        <v>0.10135795</v>
      </c>
      <c r="H7" s="86" t="s">
        <v>142</v>
      </c>
    </row>
    <row r="8" spans="1:9" x14ac:dyDescent="0.2">
      <c r="A8" s="92">
        <v>2</v>
      </c>
      <c r="B8" s="93" t="s">
        <v>334</v>
      </c>
      <c r="C8" s="93" t="s">
        <v>335</v>
      </c>
      <c r="D8" s="93" t="s">
        <v>241</v>
      </c>
      <c r="E8" s="94">
        <v>423056</v>
      </c>
      <c r="F8" s="95">
        <v>14752.808832000001</v>
      </c>
      <c r="G8" s="96">
        <v>8.9792849999999994E-2</v>
      </c>
      <c r="H8" s="86" t="s">
        <v>142</v>
      </c>
    </row>
    <row r="9" spans="1:9" x14ac:dyDescent="0.2">
      <c r="A9" s="92">
        <v>3</v>
      </c>
      <c r="B9" s="93" t="s">
        <v>420</v>
      </c>
      <c r="C9" s="93" t="s">
        <v>421</v>
      </c>
      <c r="D9" s="93" t="s">
        <v>422</v>
      </c>
      <c r="E9" s="94">
        <v>3085016</v>
      </c>
      <c r="F9" s="95">
        <v>12967.864756000001</v>
      </c>
      <c r="G9" s="96">
        <v>7.8928799999999993E-2</v>
      </c>
      <c r="H9" s="86" t="s">
        <v>142</v>
      </c>
    </row>
    <row r="10" spans="1:9" x14ac:dyDescent="0.2">
      <c r="A10" s="92">
        <v>4</v>
      </c>
      <c r="B10" s="93" t="s">
        <v>440</v>
      </c>
      <c r="C10" s="93" t="s">
        <v>441</v>
      </c>
      <c r="D10" s="93" t="s">
        <v>422</v>
      </c>
      <c r="E10" s="94">
        <v>446824</v>
      </c>
      <c r="F10" s="95">
        <v>11016.44572</v>
      </c>
      <c r="G10" s="96">
        <v>6.70515E-2</v>
      </c>
      <c r="H10" s="86" t="s">
        <v>142</v>
      </c>
    </row>
    <row r="11" spans="1:9" x14ac:dyDescent="0.2">
      <c r="A11" s="92">
        <v>5</v>
      </c>
      <c r="B11" s="93" t="s">
        <v>342</v>
      </c>
      <c r="C11" s="93" t="s">
        <v>343</v>
      </c>
      <c r="D11" s="93" t="s">
        <v>278</v>
      </c>
      <c r="E11" s="94">
        <v>2892836</v>
      </c>
      <c r="F11" s="95">
        <v>9191.98639</v>
      </c>
      <c r="G11" s="96">
        <v>5.5946950000000002E-2</v>
      </c>
      <c r="H11" s="86" t="s">
        <v>142</v>
      </c>
    </row>
    <row r="12" spans="1:9" x14ac:dyDescent="0.2">
      <c r="A12" s="92">
        <v>6</v>
      </c>
      <c r="B12" s="93" t="s">
        <v>418</v>
      </c>
      <c r="C12" s="93" t="s">
        <v>419</v>
      </c>
      <c r="D12" s="93" t="s">
        <v>48</v>
      </c>
      <c r="E12" s="94">
        <v>212692</v>
      </c>
      <c r="F12" s="95">
        <v>7968.9311639999996</v>
      </c>
      <c r="G12" s="96">
        <v>4.8502829999999997E-2</v>
      </c>
      <c r="H12" s="86" t="s">
        <v>142</v>
      </c>
    </row>
    <row r="13" spans="1:9" x14ac:dyDescent="0.2">
      <c r="A13" s="92">
        <v>7</v>
      </c>
      <c r="B13" s="93" t="s">
        <v>504</v>
      </c>
      <c r="C13" s="93" t="s">
        <v>505</v>
      </c>
      <c r="D13" s="93" t="s">
        <v>241</v>
      </c>
      <c r="E13" s="94">
        <v>40244</v>
      </c>
      <c r="F13" s="95">
        <v>6513.8938399999997</v>
      </c>
      <c r="G13" s="96">
        <v>3.9646760000000003E-2</v>
      </c>
      <c r="H13" s="86" t="s">
        <v>142</v>
      </c>
    </row>
    <row r="14" spans="1:9" x14ac:dyDescent="0.2">
      <c r="A14" s="92">
        <v>8</v>
      </c>
      <c r="B14" s="93" t="s">
        <v>107</v>
      </c>
      <c r="C14" s="93" t="s">
        <v>108</v>
      </c>
      <c r="D14" s="93" t="s">
        <v>109</v>
      </c>
      <c r="E14" s="94">
        <v>79027</v>
      </c>
      <c r="F14" s="95">
        <v>6070.06387</v>
      </c>
      <c r="G14" s="96">
        <v>3.6945390000000002E-2</v>
      </c>
      <c r="H14" s="86" t="s">
        <v>142</v>
      </c>
    </row>
    <row r="15" spans="1:9" x14ac:dyDescent="0.2">
      <c r="A15" s="92">
        <v>9</v>
      </c>
      <c r="B15" s="93" t="s">
        <v>660</v>
      </c>
      <c r="C15" s="93" t="s">
        <v>661</v>
      </c>
      <c r="D15" s="93" t="s">
        <v>459</v>
      </c>
      <c r="E15" s="94">
        <v>443054</v>
      </c>
      <c r="F15" s="95">
        <v>5633.8746639999999</v>
      </c>
      <c r="G15" s="96">
        <v>3.429053E-2</v>
      </c>
      <c r="H15" s="86" t="s">
        <v>142</v>
      </c>
    </row>
    <row r="16" spans="1:9" x14ac:dyDescent="0.2">
      <c r="A16" s="92">
        <v>10</v>
      </c>
      <c r="B16" s="93" t="s">
        <v>805</v>
      </c>
      <c r="C16" s="93" t="s">
        <v>806</v>
      </c>
      <c r="D16" s="93" t="s">
        <v>186</v>
      </c>
      <c r="E16" s="94">
        <v>40888</v>
      </c>
      <c r="F16" s="95">
        <v>5030.45064</v>
      </c>
      <c r="G16" s="96">
        <v>3.0617800000000001E-2</v>
      </c>
      <c r="H16" s="86" t="s">
        <v>142</v>
      </c>
    </row>
    <row r="17" spans="1:8" x14ac:dyDescent="0.2">
      <c r="A17" s="92">
        <v>11</v>
      </c>
      <c r="B17" s="93" t="s">
        <v>361</v>
      </c>
      <c r="C17" s="93" t="s">
        <v>362</v>
      </c>
      <c r="D17" s="93" t="s">
        <v>48</v>
      </c>
      <c r="E17" s="94">
        <v>225560</v>
      </c>
      <c r="F17" s="95">
        <v>4815.2548800000004</v>
      </c>
      <c r="G17" s="96">
        <v>2.9308009999999999E-2</v>
      </c>
      <c r="H17" s="86" t="s">
        <v>142</v>
      </c>
    </row>
    <row r="18" spans="1:8" x14ac:dyDescent="0.2">
      <c r="A18" s="92">
        <v>12</v>
      </c>
      <c r="B18" s="93" t="s">
        <v>646</v>
      </c>
      <c r="C18" s="93" t="s">
        <v>647</v>
      </c>
      <c r="D18" s="93" t="s">
        <v>459</v>
      </c>
      <c r="E18" s="94">
        <v>81921</v>
      </c>
      <c r="F18" s="95">
        <v>4781.3191649999999</v>
      </c>
      <c r="G18" s="96">
        <v>2.9101459999999999E-2</v>
      </c>
      <c r="H18" s="86" t="s">
        <v>142</v>
      </c>
    </row>
    <row r="19" spans="1:8" x14ac:dyDescent="0.2">
      <c r="A19" s="92">
        <v>13</v>
      </c>
      <c r="B19" s="93" t="s">
        <v>738</v>
      </c>
      <c r="C19" s="93" t="s">
        <v>739</v>
      </c>
      <c r="D19" s="93" t="s">
        <v>278</v>
      </c>
      <c r="E19" s="94">
        <v>89438</v>
      </c>
      <c r="F19" s="95">
        <v>4198.488034</v>
      </c>
      <c r="G19" s="96">
        <v>2.555406E-2</v>
      </c>
      <c r="H19" s="86" t="s">
        <v>142</v>
      </c>
    </row>
    <row r="20" spans="1:8" x14ac:dyDescent="0.2">
      <c r="A20" s="92">
        <v>14</v>
      </c>
      <c r="B20" s="93" t="s">
        <v>506</v>
      </c>
      <c r="C20" s="93" t="s">
        <v>507</v>
      </c>
      <c r="D20" s="93" t="s">
        <v>232</v>
      </c>
      <c r="E20" s="94">
        <v>277137</v>
      </c>
      <c r="F20" s="95">
        <v>3966.939018</v>
      </c>
      <c r="G20" s="96">
        <v>2.4144740000000001E-2</v>
      </c>
      <c r="H20" s="86" t="s">
        <v>142</v>
      </c>
    </row>
    <row r="21" spans="1:8" x14ac:dyDescent="0.2">
      <c r="A21" s="92">
        <v>15</v>
      </c>
      <c r="B21" s="93" t="s">
        <v>198</v>
      </c>
      <c r="C21" s="93" t="s">
        <v>199</v>
      </c>
      <c r="D21" s="93" t="s">
        <v>48</v>
      </c>
      <c r="E21" s="94">
        <v>750079</v>
      </c>
      <c r="F21" s="95">
        <v>3823.1526629999998</v>
      </c>
      <c r="G21" s="96">
        <v>2.326959E-2</v>
      </c>
      <c r="H21" s="86" t="s">
        <v>142</v>
      </c>
    </row>
    <row r="22" spans="1:8" x14ac:dyDescent="0.2">
      <c r="A22" s="92">
        <v>16</v>
      </c>
      <c r="B22" s="93" t="s">
        <v>36</v>
      </c>
      <c r="C22" s="93" t="s">
        <v>37</v>
      </c>
      <c r="D22" s="93" t="s">
        <v>38</v>
      </c>
      <c r="E22" s="94">
        <v>236298</v>
      </c>
      <c r="F22" s="95">
        <v>3815.0312100000001</v>
      </c>
      <c r="G22" s="96">
        <v>2.322016E-2</v>
      </c>
      <c r="H22" s="86" t="s">
        <v>142</v>
      </c>
    </row>
    <row r="23" spans="1:8" x14ac:dyDescent="0.2">
      <c r="A23" s="92">
        <v>17</v>
      </c>
      <c r="B23" s="93" t="s">
        <v>71</v>
      </c>
      <c r="C23" s="93" t="s">
        <v>72</v>
      </c>
      <c r="D23" s="93" t="s">
        <v>73</v>
      </c>
      <c r="E23" s="94">
        <v>336214</v>
      </c>
      <c r="F23" s="95">
        <v>3488.8926780000002</v>
      </c>
      <c r="G23" s="96">
        <v>2.123512E-2</v>
      </c>
      <c r="H23" s="86" t="s">
        <v>142</v>
      </c>
    </row>
    <row r="24" spans="1:8" x14ac:dyDescent="0.2">
      <c r="A24" s="92">
        <v>18</v>
      </c>
      <c r="B24" s="93" t="s">
        <v>630</v>
      </c>
      <c r="C24" s="93" t="s">
        <v>631</v>
      </c>
      <c r="D24" s="93" t="s">
        <v>241</v>
      </c>
      <c r="E24" s="94">
        <v>58394</v>
      </c>
      <c r="F24" s="95">
        <v>3237.3633599999998</v>
      </c>
      <c r="G24" s="96">
        <v>1.970419E-2</v>
      </c>
      <c r="H24" s="86" t="s">
        <v>142</v>
      </c>
    </row>
    <row r="25" spans="1:8" x14ac:dyDescent="0.2">
      <c r="A25" s="92">
        <v>19</v>
      </c>
      <c r="B25" s="93" t="s">
        <v>464</v>
      </c>
      <c r="C25" s="93" t="s">
        <v>465</v>
      </c>
      <c r="D25" s="93" t="s">
        <v>278</v>
      </c>
      <c r="E25" s="94">
        <v>217005</v>
      </c>
      <c r="F25" s="95">
        <v>2990.9799149999999</v>
      </c>
      <c r="G25" s="96">
        <v>1.820457E-2</v>
      </c>
      <c r="H25" s="86" t="s">
        <v>142</v>
      </c>
    </row>
    <row r="26" spans="1:8" x14ac:dyDescent="0.2">
      <c r="A26" s="92">
        <v>20</v>
      </c>
      <c r="B26" s="93" t="s">
        <v>747</v>
      </c>
      <c r="C26" s="93" t="s">
        <v>748</v>
      </c>
      <c r="D26" s="93" t="s">
        <v>749</v>
      </c>
      <c r="E26" s="94">
        <v>936397</v>
      </c>
      <c r="F26" s="95">
        <v>2944.9685650000001</v>
      </c>
      <c r="G26" s="96">
        <v>1.7924530000000001E-2</v>
      </c>
      <c r="H26" s="86" t="s">
        <v>142</v>
      </c>
    </row>
    <row r="27" spans="1:8" x14ac:dyDescent="0.2">
      <c r="A27" s="92">
        <v>21</v>
      </c>
      <c r="B27" s="93" t="s">
        <v>732</v>
      </c>
      <c r="C27" s="93" t="s">
        <v>733</v>
      </c>
      <c r="D27" s="93" t="s">
        <v>278</v>
      </c>
      <c r="E27" s="94">
        <v>66997</v>
      </c>
      <c r="F27" s="95">
        <v>2782.7203949999998</v>
      </c>
      <c r="G27" s="96">
        <v>1.6937000000000001E-2</v>
      </c>
      <c r="H27" s="86" t="s">
        <v>142</v>
      </c>
    </row>
    <row r="28" spans="1:8" ht="25.5" x14ac:dyDescent="0.2">
      <c r="A28" s="92">
        <v>22</v>
      </c>
      <c r="B28" s="93" t="s">
        <v>434</v>
      </c>
      <c r="C28" s="93" t="s">
        <v>435</v>
      </c>
      <c r="D28" s="93" t="s">
        <v>207</v>
      </c>
      <c r="E28" s="94">
        <v>215942</v>
      </c>
      <c r="F28" s="95">
        <v>2515.7242999999999</v>
      </c>
      <c r="G28" s="96">
        <v>1.531194E-2</v>
      </c>
      <c r="H28" s="86" t="s">
        <v>142</v>
      </c>
    </row>
    <row r="29" spans="1:8" x14ac:dyDescent="0.2">
      <c r="A29" s="92">
        <v>23</v>
      </c>
      <c r="B29" s="93" t="s">
        <v>825</v>
      </c>
      <c r="C29" s="93" t="s">
        <v>826</v>
      </c>
      <c r="D29" s="93" t="s">
        <v>48</v>
      </c>
      <c r="E29" s="94">
        <v>174891</v>
      </c>
      <c r="F29" s="95">
        <v>2446.899981</v>
      </c>
      <c r="G29" s="96">
        <v>1.489304E-2</v>
      </c>
      <c r="H29" s="86" t="s">
        <v>142</v>
      </c>
    </row>
    <row r="30" spans="1:8" x14ac:dyDescent="0.2">
      <c r="A30" s="92">
        <v>24</v>
      </c>
      <c r="B30" s="93" t="s">
        <v>702</v>
      </c>
      <c r="C30" s="93" t="s">
        <v>703</v>
      </c>
      <c r="D30" s="93" t="s">
        <v>48</v>
      </c>
      <c r="E30" s="94">
        <v>96237</v>
      </c>
      <c r="F30" s="95">
        <v>2416.3185960000001</v>
      </c>
      <c r="G30" s="96">
        <v>1.47069E-2</v>
      </c>
      <c r="H30" s="86" t="s">
        <v>142</v>
      </c>
    </row>
    <row r="31" spans="1:8" x14ac:dyDescent="0.2">
      <c r="A31" s="92">
        <v>25</v>
      </c>
      <c r="B31" s="93" t="s">
        <v>510</v>
      </c>
      <c r="C31" s="93" t="s">
        <v>511</v>
      </c>
      <c r="D31" s="93" t="s">
        <v>241</v>
      </c>
      <c r="E31" s="94">
        <v>25666</v>
      </c>
      <c r="F31" s="95">
        <v>2282.3490499999998</v>
      </c>
      <c r="G31" s="96">
        <v>1.3891499999999999E-2</v>
      </c>
      <c r="H31" s="86" t="s">
        <v>142</v>
      </c>
    </row>
    <row r="32" spans="1:8" x14ac:dyDescent="0.2">
      <c r="A32" s="92">
        <v>26</v>
      </c>
      <c r="B32" s="93" t="s">
        <v>216</v>
      </c>
      <c r="C32" s="93" t="s">
        <v>217</v>
      </c>
      <c r="D32" s="93" t="s">
        <v>218</v>
      </c>
      <c r="E32" s="94">
        <v>379591</v>
      </c>
      <c r="F32" s="95">
        <v>2269.3847934999999</v>
      </c>
      <c r="G32" s="96">
        <v>1.381259E-2</v>
      </c>
      <c r="H32" s="86" t="s">
        <v>142</v>
      </c>
    </row>
    <row r="33" spans="1:8" x14ac:dyDescent="0.2">
      <c r="A33" s="92">
        <v>27</v>
      </c>
      <c r="B33" s="93" t="s">
        <v>283</v>
      </c>
      <c r="C33" s="93" t="s">
        <v>284</v>
      </c>
      <c r="D33" s="93" t="s">
        <v>218</v>
      </c>
      <c r="E33" s="94">
        <v>1332543</v>
      </c>
      <c r="F33" s="95">
        <v>2156.0545739999998</v>
      </c>
      <c r="G33" s="96">
        <v>1.312281E-2</v>
      </c>
      <c r="H33" s="86" t="s">
        <v>142</v>
      </c>
    </row>
    <row r="34" spans="1:8" x14ac:dyDescent="0.2">
      <c r="A34" s="92">
        <v>28</v>
      </c>
      <c r="B34" s="93" t="s">
        <v>491</v>
      </c>
      <c r="C34" s="93" t="s">
        <v>492</v>
      </c>
      <c r="D34" s="93" t="s">
        <v>278</v>
      </c>
      <c r="E34" s="94">
        <v>1285051</v>
      </c>
      <c r="F34" s="95">
        <v>1941.1980406</v>
      </c>
      <c r="G34" s="96">
        <v>1.181509E-2</v>
      </c>
      <c r="H34" s="86" t="s">
        <v>142</v>
      </c>
    </row>
    <row r="35" spans="1:8" x14ac:dyDescent="0.2">
      <c r="A35" s="92">
        <v>29</v>
      </c>
      <c r="B35" s="93" t="s">
        <v>756</v>
      </c>
      <c r="C35" s="93" t="s">
        <v>757</v>
      </c>
      <c r="D35" s="93" t="s">
        <v>278</v>
      </c>
      <c r="E35" s="94">
        <v>289743</v>
      </c>
      <c r="F35" s="95">
        <v>1866.6692774999999</v>
      </c>
      <c r="G35" s="96">
        <v>1.136147E-2</v>
      </c>
      <c r="H35" s="86" t="s">
        <v>142</v>
      </c>
    </row>
    <row r="36" spans="1:8" x14ac:dyDescent="0.2">
      <c r="A36" s="92">
        <v>30</v>
      </c>
      <c r="B36" s="93" t="s">
        <v>230</v>
      </c>
      <c r="C36" s="93" t="s">
        <v>231</v>
      </c>
      <c r="D36" s="93" t="s">
        <v>232</v>
      </c>
      <c r="E36" s="94">
        <v>94931</v>
      </c>
      <c r="F36" s="95">
        <v>1706.289794</v>
      </c>
      <c r="G36" s="96">
        <v>1.038532E-2</v>
      </c>
      <c r="H36" s="86" t="s">
        <v>142</v>
      </c>
    </row>
    <row r="37" spans="1:8" x14ac:dyDescent="0.2">
      <c r="A37" s="92">
        <v>31</v>
      </c>
      <c r="B37" s="93" t="s">
        <v>516</v>
      </c>
      <c r="C37" s="93" t="s">
        <v>517</v>
      </c>
      <c r="D37" s="93" t="s">
        <v>232</v>
      </c>
      <c r="E37" s="94">
        <v>291579</v>
      </c>
      <c r="F37" s="95">
        <v>1369.4007735</v>
      </c>
      <c r="G37" s="96">
        <v>8.3348499999999996E-3</v>
      </c>
      <c r="H37" s="86" t="s">
        <v>142</v>
      </c>
    </row>
    <row r="38" spans="1:8" x14ac:dyDescent="0.2">
      <c r="A38" s="92">
        <v>32</v>
      </c>
      <c r="B38" s="93" t="s">
        <v>248</v>
      </c>
      <c r="C38" s="93" t="s">
        <v>249</v>
      </c>
      <c r="D38" s="93" t="s">
        <v>250</v>
      </c>
      <c r="E38" s="94">
        <v>38824</v>
      </c>
      <c r="F38" s="95">
        <v>870.82231999999999</v>
      </c>
      <c r="G38" s="96">
        <v>5.3002500000000003E-3</v>
      </c>
      <c r="H38" s="86" t="s">
        <v>142</v>
      </c>
    </row>
    <row r="39" spans="1:8" x14ac:dyDescent="0.2">
      <c r="A39" s="92">
        <v>33</v>
      </c>
      <c r="B39" s="93" t="s">
        <v>239</v>
      </c>
      <c r="C39" s="93" t="s">
        <v>240</v>
      </c>
      <c r="D39" s="93" t="s">
        <v>241</v>
      </c>
      <c r="E39" s="94">
        <v>16314</v>
      </c>
      <c r="F39" s="95">
        <v>572.40931799999998</v>
      </c>
      <c r="G39" s="96">
        <v>3.4839599999999999E-3</v>
      </c>
      <c r="H39" s="86" t="s">
        <v>142</v>
      </c>
    </row>
    <row r="40" spans="1:8" x14ac:dyDescent="0.2">
      <c r="A40" s="92">
        <v>34</v>
      </c>
      <c r="B40" s="93" t="s">
        <v>352</v>
      </c>
      <c r="C40" s="93" t="s">
        <v>353</v>
      </c>
      <c r="D40" s="93" t="s">
        <v>48</v>
      </c>
      <c r="E40" s="94">
        <v>1871</v>
      </c>
      <c r="F40" s="95">
        <v>31.125955999999999</v>
      </c>
      <c r="G40" s="96">
        <v>1.8945E-4</v>
      </c>
      <c r="H40" s="86" t="s">
        <v>142</v>
      </c>
    </row>
    <row r="41" spans="1:8" x14ac:dyDescent="0.2">
      <c r="A41" s="97"/>
      <c r="B41" s="97"/>
      <c r="C41" s="98" t="s">
        <v>141</v>
      </c>
      <c r="D41" s="97"/>
      <c r="E41" s="97" t="s">
        <v>142</v>
      </c>
      <c r="F41" s="99">
        <v>159089.0111881</v>
      </c>
      <c r="G41" s="100">
        <v>0.96829396000000001</v>
      </c>
      <c r="H41" s="86" t="s">
        <v>142</v>
      </c>
    </row>
    <row r="42" spans="1:8" x14ac:dyDescent="0.2">
      <c r="A42" s="97"/>
      <c r="B42" s="97"/>
      <c r="C42" s="101"/>
      <c r="D42" s="97"/>
      <c r="E42" s="97"/>
      <c r="F42" s="102"/>
      <c r="G42" s="102"/>
      <c r="H42" s="86" t="s">
        <v>142</v>
      </c>
    </row>
    <row r="43" spans="1:8" x14ac:dyDescent="0.2">
      <c r="A43" s="97"/>
      <c r="B43" s="97"/>
      <c r="C43" s="98" t="s">
        <v>143</v>
      </c>
      <c r="D43" s="97"/>
      <c r="E43" s="97"/>
      <c r="F43" s="97"/>
      <c r="G43" s="97"/>
      <c r="H43" s="86" t="s">
        <v>142</v>
      </c>
    </row>
    <row r="44" spans="1:8" x14ac:dyDescent="0.2">
      <c r="A44" s="97"/>
      <c r="B44" s="97"/>
      <c r="C44" s="98" t="s">
        <v>141</v>
      </c>
      <c r="D44" s="97"/>
      <c r="E44" s="97" t="s">
        <v>142</v>
      </c>
      <c r="F44" s="103" t="s">
        <v>144</v>
      </c>
      <c r="G44" s="100">
        <v>0</v>
      </c>
      <c r="H44" s="86" t="s">
        <v>142</v>
      </c>
    </row>
    <row r="45" spans="1:8" x14ac:dyDescent="0.2">
      <c r="A45" s="97"/>
      <c r="B45" s="97"/>
      <c r="C45" s="101"/>
      <c r="D45" s="97"/>
      <c r="E45" s="97"/>
      <c r="F45" s="102"/>
      <c r="G45" s="102"/>
      <c r="H45" s="86" t="s">
        <v>142</v>
      </c>
    </row>
    <row r="46" spans="1:8" x14ac:dyDescent="0.2">
      <c r="A46" s="97"/>
      <c r="B46" s="97"/>
      <c r="C46" s="98" t="s">
        <v>145</v>
      </c>
      <c r="D46" s="97"/>
      <c r="E46" s="97"/>
      <c r="F46" s="97"/>
      <c r="G46" s="97"/>
      <c r="H46" s="86" t="s">
        <v>142</v>
      </c>
    </row>
    <row r="47" spans="1:8" x14ac:dyDescent="0.2">
      <c r="A47" s="97"/>
      <c r="B47" s="97"/>
      <c r="C47" s="98" t="s">
        <v>141</v>
      </c>
      <c r="D47" s="97"/>
      <c r="E47" s="97" t="s">
        <v>142</v>
      </c>
      <c r="F47" s="103" t="s">
        <v>144</v>
      </c>
      <c r="G47" s="100">
        <v>0</v>
      </c>
      <c r="H47" s="86" t="s">
        <v>142</v>
      </c>
    </row>
    <row r="48" spans="1:8" x14ac:dyDescent="0.2">
      <c r="A48" s="97"/>
      <c r="B48" s="97"/>
      <c r="C48" s="101"/>
      <c r="D48" s="97"/>
      <c r="E48" s="97"/>
      <c r="F48" s="102"/>
      <c r="G48" s="102"/>
      <c r="H48" s="86" t="s">
        <v>142</v>
      </c>
    </row>
    <row r="49" spans="1:8" x14ac:dyDescent="0.2">
      <c r="A49" s="97"/>
      <c r="B49" s="97"/>
      <c r="C49" s="98" t="s">
        <v>146</v>
      </c>
      <c r="D49" s="97"/>
      <c r="E49" s="97"/>
      <c r="F49" s="97"/>
      <c r="G49" s="97"/>
      <c r="H49" s="86" t="s">
        <v>142</v>
      </c>
    </row>
    <row r="50" spans="1:8" x14ac:dyDescent="0.2">
      <c r="A50" s="97"/>
      <c r="B50" s="97"/>
      <c r="C50" s="98" t="s">
        <v>141</v>
      </c>
      <c r="D50" s="97"/>
      <c r="E50" s="97" t="s">
        <v>142</v>
      </c>
      <c r="F50" s="103" t="s">
        <v>144</v>
      </c>
      <c r="G50" s="100">
        <v>0</v>
      </c>
      <c r="H50" s="86" t="s">
        <v>142</v>
      </c>
    </row>
    <row r="51" spans="1:8" x14ac:dyDescent="0.2">
      <c r="A51" s="97"/>
      <c r="B51" s="97"/>
      <c r="C51" s="101"/>
      <c r="D51" s="97"/>
      <c r="E51" s="97"/>
      <c r="F51" s="102"/>
      <c r="G51" s="102"/>
      <c r="H51" s="86" t="s">
        <v>142</v>
      </c>
    </row>
    <row r="52" spans="1:8" x14ac:dyDescent="0.2">
      <c r="A52" s="97"/>
      <c r="B52" s="97"/>
      <c r="C52" s="98" t="s">
        <v>147</v>
      </c>
      <c r="D52" s="97"/>
      <c r="E52" s="97"/>
      <c r="F52" s="102"/>
      <c r="G52" s="102"/>
      <c r="H52" s="86" t="s">
        <v>142</v>
      </c>
    </row>
    <row r="53" spans="1:8" x14ac:dyDescent="0.2">
      <c r="A53" s="97"/>
      <c r="B53" s="97"/>
      <c r="C53" s="98" t="s">
        <v>141</v>
      </c>
      <c r="D53" s="97"/>
      <c r="E53" s="97" t="s">
        <v>142</v>
      </c>
      <c r="F53" s="103" t="s">
        <v>144</v>
      </c>
      <c r="G53" s="100">
        <v>0</v>
      </c>
      <c r="H53" s="86" t="s">
        <v>142</v>
      </c>
    </row>
    <row r="54" spans="1:8" x14ac:dyDescent="0.2">
      <c r="A54" s="97"/>
      <c r="B54" s="97"/>
      <c r="C54" s="101"/>
      <c r="D54" s="97"/>
      <c r="E54" s="97"/>
      <c r="F54" s="102"/>
      <c r="G54" s="102"/>
      <c r="H54" s="86" t="s">
        <v>142</v>
      </c>
    </row>
    <row r="55" spans="1:8" x14ac:dyDescent="0.2">
      <c r="A55" s="97"/>
      <c r="B55" s="97"/>
      <c r="C55" s="98" t="s">
        <v>148</v>
      </c>
      <c r="D55" s="97"/>
      <c r="E55" s="97"/>
      <c r="F55" s="102"/>
      <c r="G55" s="102"/>
      <c r="H55" s="86" t="s">
        <v>142</v>
      </c>
    </row>
    <row r="56" spans="1:8" x14ac:dyDescent="0.2">
      <c r="A56" s="97"/>
      <c r="B56" s="97"/>
      <c r="C56" s="98" t="s">
        <v>141</v>
      </c>
      <c r="D56" s="97"/>
      <c r="E56" s="97" t="s">
        <v>142</v>
      </c>
      <c r="F56" s="103" t="s">
        <v>144</v>
      </c>
      <c r="G56" s="100">
        <v>0</v>
      </c>
      <c r="H56" s="86" t="s">
        <v>142</v>
      </c>
    </row>
    <row r="57" spans="1:8" x14ac:dyDescent="0.2">
      <c r="A57" s="97"/>
      <c r="B57" s="97"/>
      <c r="C57" s="101"/>
      <c r="D57" s="97"/>
      <c r="E57" s="97"/>
      <c r="F57" s="102"/>
      <c r="G57" s="102"/>
      <c r="H57" s="86" t="s">
        <v>142</v>
      </c>
    </row>
    <row r="58" spans="1:8" x14ac:dyDescent="0.2">
      <c r="A58" s="97"/>
      <c r="B58" s="97"/>
      <c r="C58" s="98" t="s">
        <v>149</v>
      </c>
      <c r="D58" s="97"/>
      <c r="E58" s="97"/>
      <c r="F58" s="99">
        <f>F41</f>
        <v>159089.0111881</v>
      </c>
      <c r="G58" s="100">
        <f>G41</f>
        <v>0.96829396000000001</v>
      </c>
      <c r="H58" s="86" t="s">
        <v>142</v>
      </c>
    </row>
    <row r="59" spans="1:8" x14ac:dyDescent="0.2">
      <c r="A59" s="97"/>
      <c r="B59" s="97"/>
      <c r="C59" s="101"/>
      <c r="D59" s="97"/>
      <c r="E59" s="97"/>
      <c r="F59" s="102"/>
      <c r="G59" s="102"/>
      <c r="H59" s="86" t="s">
        <v>142</v>
      </c>
    </row>
    <row r="60" spans="1:8" x14ac:dyDescent="0.2">
      <c r="A60" s="97"/>
      <c r="B60" s="97"/>
      <c r="C60" s="98" t="s">
        <v>150</v>
      </c>
      <c r="D60" s="97"/>
      <c r="E60" s="97"/>
      <c r="F60" s="102"/>
      <c r="G60" s="102"/>
      <c r="H60" s="86" t="s">
        <v>142</v>
      </c>
    </row>
    <row r="61" spans="1:8" x14ac:dyDescent="0.2">
      <c r="A61" s="97"/>
      <c r="B61" s="97"/>
      <c r="C61" s="98" t="s">
        <v>10</v>
      </c>
      <c r="D61" s="97"/>
      <c r="E61" s="97"/>
      <c r="F61" s="102"/>
      <c r="G61" s="102"/>
      <c r="H61" s="86" t="s">
        <v>142</v>
      </c>
    </row>
    <row r="62" spans="1:8" x14ac:dyDescent="0.2">
      <c r="A62" s="97"/>
      <c r="B62" s="97"/>
      <c r="C62" s="98" t="s">
        <v>141</v>
      </c>
      <c r="D62" s="97"/>
      <c r="E62" s="97" t="s">
        <v>142</v>
      </c>
      <c r="F62" s="103" t="s">
        <v>144</v>
      </c>
      <c r="G62" s="100">
        <v>0</v>
      </c>
      <c r="H62" s="86" t="s">
        <v>142</v>
      </c>
    </row>
    <row r="63" spans="1:8" x14ac:dyDescent="0.2">
      <c r="A63" s="97"/>
      <c r="B63" s="97"/>
      <c r="C63" s="101"/>
      <c r="D63" s="97"/>
      <c r="E63" s="97"/>
      <c r="F63" s="102"/>
      <c r="G63" s="102"/>
      <c r="H63" s="86" t="s">
        <v>142</v>
      </c>
    </row>
    <row r="64" spans="1:8" x14ac:dyDescent="0.2">
      <c r="A64" s="97"/>
      <c r="B64" s="97"/>
      <c r="C64" s="98" t="s">
        <v>151</v>
      </c>
      <c r="D64" s="97"/>
      <c r="E64" s="97"/>
      <c r="F64" s="97"/>
      <c r="G64" s="97"/>
      <c r="H64" s="86" t="s">
        <v>142</v>
      </c>
    </row>
    <row r="65" spans="1:8" x14ac:dyDescent="0.2">
      <c r="A65" s="97"/>
      <c r="B65" s="97"/>
      <c r="C65" s="98" t="s">
        <v>141</v>
      </c>
      <c r="D65" s="97"/>
      <c r="E65" s="97" t="s">
        <v>142</v>
      </c>
      <c r="F65" s="103" t="s">
        <v>144</v>
      </c>
      <c r="G65" s="100">
        <v>0</v>
      </c>
      <c r="H65" s="86" t="s">
        <v>142</v>
      </c>
    </row>
    <row r="66" spans="1:8" x14ac:dyDescent="0.2">
      <c r="A66" s="97"/>
      <c r="B66" s="97"/>
      <c r="C66" s="101"/>
      <c r="D66" s="97"/>
      <c r="E66" s="97"/>
      <c r="F66" s="102"/>
      <c r="G66" s="102"/>
      <c r="H66" s="86" t="s">
        <v>142</v>
      </c>
    </row>
    <row r="67" spans="1:8" x14ac:dyDescent="0.2">
      <c r="A67" s="97"/>
      <c r="B67" s="97"/>
      <c r="C67" s="98" t="s">
        <v>152</v>
      </c>
      <c r="D67" s="97"/>
      <c r="E67" s="97"/>
      <c r="F67" s="97"/>
      <c r="G67" s="97"/>
      <c r="H67" s="86" t="s">
        <v>142</v>
      </c>
    </row>
    <row r="68" spans="1:8" x14ac:dyDescent="0.2">
      <c r="A68" s="97"/>
      <c r="B68" s="97"/>
      <c r="C68" s="98" t="s">
        <v>141</v>
      </c>
      <c r="D68" s="97"/>
      <c r="E68" s="97" t="s">
        <v>142</v>
      </c>
      <c r="F68" s="103" t="s">
        <v>144</v>
      </c>
      <c r="G68" s="100">
        <v>0</v>
      </c>
      <c r="H68" s="86" t="s">
        <v>142</v>
      </c>
    </row>
    <row r="69" spans="1:8" x14ac:dyDescent="0.2">
      <c r="A69" s="97"/>
      <c r="B69" s="97"/>
      <c r="C69" s="101"/>
      <c r="D69" s="97"/>
      <c r="E69" s="97"/>
      <c r="F69" s="102"/>
      <c r="G69" s="102"/>
      <c r="H69" s="86" t="s">
        <v>142</v>
      </c>
    </row>
    <row r="70" spans="1:8" x14ac:dyDescent="0.2">
      <c r="A70" s="97"/>
      <c r="B70" s="97"/>
      <c r="C70" s="98" t="s">
        <v>153</v>
      </c>
      <c r="D70" s="97"/>
      <c r="E70" s="97"/>
      <c r="F70" s="102"/>
      <c r="G70" s="102"/>
      <c r="H70" s="86" t="s">
        <v>142</v>
      </c>
    </row>
    <row r="71" spans="1:8" x14ac:dyDescent="0.2">
      <c r="A71" s="97"/>
      <c r="B71" s="97"/>
      <c r="C71" s="98" t="s">
        <v>141</v>
      </c>
      <c r="D71" s="97"/>
      <c r="E71" s="97" t="s">
        <v>142</v>
      </c>
      <c r="F71" s="103" t="s">
        <v>144</v>
      </c>
      <c r="G71" s="100">
        <v>0</v>
      </c>
      <c r="H71" s="86" t="s">
        <v>142</v>
      </c>
    </row>
    <row r="72" spans="1:8" ht="12.75" customHeight="1" x14ac:dyDescent="0.2">
      <c r="A72" s="84"/>
      <c r="B72" s="84"/>
      <c r="C72" s="85"/>
      <c r="D72" s="84"/>
      <c r="E72" s="84"/>
      <c r="F72" s="149"/>
      <c r="G72" s="139"/>
      <c r="H72" s="86" t="s">
        <v>142</v>
      </c>
    </row>
    <row r="73" spans="1:8" ht="12.75" customHeight="1" x14ac:dyDescent="0.2">
      <c r="A73" s="84"/>
      <c r="B73" s="84"/>
      <c r="C73" s="85" t="s">
        <v>929</v>
      </c>
      <c r="D73" s="84"/>
      <c r="E73" s="84"/>
      <c r="F73" s="84"/>
      <c r="G73" s="84"/>
      <c r="H73" s="86" t="s">
        <v>142</v>
      </c>
    </row>
    <row r="74" spans="1:8" ht="12.75" customHeight="1" x14ac:dyDescent="0.2">
      <c r="A74" s="87">
        <v>1</v>
      </c>
      <c r="B74" s="88" t="s">
        <v>317</v>
      </c>
      <c r="C74" s="88" t="s">
        <v>930</v>
      </c>
      <c r="D74" s="88" t="s">
        <v>241</v>
      </c>
      <c r="E74" s="89">
        <v>65256</v>
      </c>
      <c r="F74" s="90">
        <v>6.58530924</v>
      </c>
      <c r="G74" s="91" t="s">
        <v>140</v>
      </c>
      <c r="H74" s="86" t="s">
        <v>142</v>
      </c>
    </row>
    <row r="75" spans="1:8" ht="12.75" customHeight="1" x14ac:dyDescent="0.2">
      <c r="A75" s="84"/>
      <c r="B75" s="84"/>
      <c r="C75" s="85" t="s">
        <v>141</v>
      </c>
      <c r="D75" s="84"/>
      <c r="E75" s="84" t="s">
        <v>142</v>
      </c>
      <c r="F75" s="138">
        <f>F74</f>
        <v>6.58530924</v>
      </c>
      <c r="G75" s="139">
        <f>SUM(G74)</f>
        <v>0</v>
      </c>
      <c r="H75" s="86" t="s">
        <v>142</v>
      </c>
    </row>
    <row r="76" spans="1:8" x14ac:dyDescent="0.2">
      <c r="A76" s="97"/>
      <c r="B76" s="97"/>
      <c r="C76" s="101"/>
      <c r="D76" s="97"/>
      <c r="E76" s="97"/>
      <c r="F76" s="102"/>
      <c r="G76" s="102"/>
      <c r="H76" s="86" t="s">
        <v>142</v>
      </c>
    </row>
    <row r="77" spans="1:8" x14ac:dyDescent="0.2">
      <c r="A77" s="97"/>
      <c r="B77" s="97"/>
      <c r="C77" s="98" t="s">
        <v>154</v>
      </c>
      <c r="D77" s="97"/>
      <c r="E77" s="97"/>
      <c r="F77" s="99">
        <f>F75</f>
        <v>6.58530924</v>
      </c>
      <c r="G77" s="100">
        <v>0</v>
      </c>
      <c r="H77" s="86" t="s">
        <v>142</v>
      </c>
    </row>
    <row r="78" spans="1:8" x14ac:dyDescent="0.2">
      <c r="A78" s="97"/>
      <c r="B78" s="97"/>
      <c r="C78" s="101"/>
      <c r="D78" s="97"/>
      <c r="E78" s="97"/>
      <c r="F78" s="102"/>
      <c r="G78" s="102"/>
      <c r="H78" s="86" t="s">
        <v>142</v>
      </c>
    </row>
    <row r="79" spans="1:8" x14ac:dyDescent="0.2">
      <c r="A79" s="97"/>
      <c r="B79" s="97"/>
      <c r="C79" s="98" t="s">
        <v>155</v>
      </c>
      <c r="D79" s="97"/>
      <c r="E79" s="97"/>
      <c r="F79" s="102"/>
      <c r="G79" s="102"/>
      <c r="H79" s="86" t="s">
        <v>142</v>
      </c>
    </row>
    <row r="80" spans="1:8" x14ac:dyDescent="0.2">
      <c r="A80" s="97"/>
      <c r="B80" s="97"/>
      <c r="C80" s="98" t="s">
        <v>156</v>
      </c>
      <c r="D80" s="97"/>
      <c r="E80" s="97"/>
      <c r="F80" s="102"/>
      <c r="G80" s="102"/>
      <c r="H80" s="86" t="s">
        <v>142</v>
      </c>
    </row>
    <row r="81" spans="1:8" x14ac:dyDescent="0.2">
      <c r="A81" s="97"/>
      <c r="B81" s="97"/>
      <c r="C81" s="98" t="s">
        <v>141</v>
      </c>
      <c r="D81" s="97"/>
      <c r="E81" s="97" t="s">
        <v>142</v>
      </c>
      <c r="F81" s="103" t="s">
        <v>144</v>
      </c>
      <c r="G81" s="100">
        <v>0</v>
      </c>
      <c r="H81" s="86" t="s">
        <v>142</v>
      </c>
    </row>
    <row r="82" spans="1:8" x14ac:dyDescent="0.2">
      <c r="A82" s="97"/>
      <c r="B82" s="97"/>
      <c r="C82" s="101"/>
      <c r="D82" s="97"/>
      <c r="E82" s="97"/>
      <c r="F82" s="102"/>
      <c r="G82" s="102"/>
      <c r="H82" s="86" t="s">
        <v>142</v>
      </c>
    </row>
    <row r="83" spans="1:8" x14ac:dyDescent="0.2">
      <c r="A83" s="97"/>
      <c r="B83" s="97"/>
      <c r="C83" s="98" t="s">
        <v>157</v>
      </c>
      <c r="D83" s="97"/>
      <c r="E83" s="97"/>
      <c r="F83" s="102"/>
      <c r="G83" s="102"/>
      <c r="H83" s="86" t="s">
        <v>142</v>
      </c>
    </row>
    <row r="84" spans="1:8" x14ac:dyDescent="0.2">
      <c r="A84" s="97"/>
      <c r="B84" s="97"/>
      <c r="C84" s="98" t="s">
        <v>141</v>
      </c>
      <c r="D84" s="97"/>
      <c r="E84" s="97" t="s">
        <v>142</v>
      </c>
      <c r="F84" s="103" t="s">
        <v>144</v>
      </c>
      <c r="G84" s="100">
        <v>0</v>
      </c>
      <c r="H84" s="86" t="s">
        <v>142</v>
      </c>
    </row>
    <row r="85" spans="1:8" x14ac:dyDescent="0.2">
      <c r="A85" s="97"/>
      <c r="B85" s="97"/>
      <c r="C85" s="101"/>
      <c r="D85" s="97"/>
      <c r="E85" s="97"/>
      <c r="F85" s="102"/>
      <c r="G85" s="102"/>
      <c r="H85" s="86" t="s">
        <v>142</v>
      </c>
    </row>
    <row r="86" spans="1:8" x14ac:dyDescent="0.2">
      <c r="A86" s="97"/>
      <c r="B86" s="97"/>
      <c r="C86" s="98" t="s">
        <v>158</v>
      </c>
      <c r="D86" s="97"/>
      <c r="E86" s="97"/>
      <c r="F86" s="102"/>
      <c r="G86" s="102"/>
      <c r="H86" s="86" t="s">
        <v>142</v>
      </c>
    </row>
    <row r="87" spans="1:8" x14ac:dyDescent="0.2">
      <c r="A87" s="97"/>
      <c r="B87" s="97"/>
      <c r="C87" s="98" t="s">
        <v>141</v>
      </c>
      <c r="D87" s="97"/>
      <c r="E87" s="97" t="s">
        <v>142</v>
      </c>
      <c r="F87" s="103" t="s">
        <v>144</v>
      </c>
      <c r="G87" s="100">
        <v>0</v>
      </c>
      <c r="H87" s="86" t="s">
        <v>142</v>
      </c>
    </row>
    <row r="88" spans="1:8" x14ac:dyDescent="0.2">
      <c r="A88" s="97"/>
      <c r="B88" s="97"/>
      <c r="C88" s="101"/>
      <c r="D88" s="97"/>
      <c r="E88" s="97"/>
      <c r="F88" s="102"/>
      <c r="G88" s="102"/>
      <c r="H88" s="86" t="s">
        <v>142</v>
      </c>
    </row>
    <row r="89" spans="1:8" x14ac:dyDescent="0.2">
      <c r="A89" s="97"/>
      <c r="B89" s="97"/>
      <c r="C89" s="98" t="s">
        <v>159</v>
      </c>
      <c r="D89" s="97"/>
      <c r="E89" s="97"/>
      <c r="F89" s="102"/>
      <c r="G89" s="102"/>
      <c r="H89" s="86" t="s">
        <v>142</v>
      </c>
    </row>
    <row r="90" spans="1:8" x14ac:dyDescent="0.2">
      <c r="A90" s="92">
        <v>1</v>
      </c>
      <c r="B90" s="93"/>
      <c r="C90" s="93" t="s">
        <v>160</v>
      </c>
      <c r="D90" s="93"/>
      <c r="E90" s="104"/>
      <c r="F90" s="95">
        <v>5507.7867693899998</v>
      </c>
      <c r="G90" s="96">
        <v>3.35231E-2</v>
      </c>
      <c r="H90" s="86">
        <v>5.57</v>
      </c>
    </row>
    <row r="91" spans="1:8" x14ac:dyDescent="0.2">
      <c r="A91" s="97"/>
      <c r="B91" s="97"/>
      <c r="C91" s="98" t="s">
        <v>141</v>
      </c>
      <c r="D91" s="97"/>
      <c r="E91" s="97" t="s">
        <v>142</v>
      </c>
      <c r="F91" s="99">
        <v>5507.7867693899998</v>
      </c>
      <c r="G91" s="100">
        <v>3.35231E-2</v>
      </c>
      <c r="H91" s="86" t="s">
        <v>142</v>
      </c>
    </row>
    <row r="92" spans="1:8" x14ac:dyDescent="0.2">
      <c r="A92" s="97"/>
      <c r="B92" s="97"/>
      <c r="C92" s="101"/>
      <c r="D92" s="97"/>
      <c r="E92" s="97"/>
      <c r="F92" s="102"/>
      <c r="G92" s="102"/>
      <c r="H92" s="86" t="s">
        <v>142</v>
      </c>
    </row>
    <row r="93" spans="1:8" x14ac:dyDescent="0.2">
      <c r="A93" s="97"/>
      <c r="B93" s="97"/>
      <c r="C93" s="98" t="s">
        <v>161</v>
      </c>
      <c r="D93" s="97"/>
      <c r="E93" s="97"/>
      <c r="F93" s="99">
        <v>5507.7867693899998</v>
      </c>
      <c r="G93" s="100">
        <v>3.35231E-2</v>
      </c>
      <c r="H93" s="86" t="s">
        <v>142</v>
      </c>
    </row>
    <row r="94" spans="1:8" x14ac:dyDescent="0.2">
      <c r="A94" s="97"/>
      <c r="B94" s="97"/>
      <c r="C94" s="102"/>
      <c r="D94" s="97"/>
      <c r="E94" s="97"/>
      <c r="F94" s="97"/>
      <c r="G94" s="97"/>
      <c r="H94" s="86" t="s">
        <v>142</v>
      </c>
    </row>
    <row r="95" spans="1:8" x14ac:dyDescent="0.2">
      <c r="A95" s="97"/>
      <c r="B95" s="97"/>
      <c r="C95" s="98" t="s">
        <v>162</v>
      </c>
      <c r="D95" s="97"/>
      <c r="E95" s="97"/>
      <c r="F95" s="97"/>
      <c r="G95" s="97"/>
      <c r="H95" s="86" t="s">
        <v>142</v>
      </c>
    </row>
    <row r="96" spans="1:8" x14ac:dyDescent="0.2">
      <c r="A96" s="97"/>
      <c r="B96" s="97"/>
      <c r="C96" s="98" t="s">
        <v>163</v>
      </c>
      <c r="D96" s="97"/>
      <c r="E96" s="97"/>
      <c r="F96" s="97"/>
      <c r="G96" s="97"/>
      <c r="H96" s="86" t="s">
        <v>142</v>
      </c>
    </row>
    <row r="97" spans="1:17" x14ac:dyDescent="0.2">
      <c r="A97" s="97"/>
      <c r="B97" s="97"/>
      <c r="C97" s="98" t="s">
        <v>141</v>
      </c>
      <c r="D97" s="97"/>
      <c r="E97" s="97" t="s">
        <v>142</v>
      </c>
      <c r="F97" s="103" t="s">
        <v>144</v>
      </c>
      <c r="G97" s="100">
        <v>0</v>
      </c>
      <c r="H97" s="86" t="s">
        <v>142</v>
      </c>
    </row>
    <row r="98" spans="1:17" x14ac:dyDescent="0.2">
      <c r="A98" s="97"/>
      <c r="B98" s="97"/>
      <c r="C98" s="101"/>
      <c r="D98" s="97"/>
      <c r="E98" s="97"/>
      <c r="F98" s="102"/>
      <c r="G98" s="102"/>
      <c r="H98" s="86" t="s">
        <v>142</v>
      </c>
    </row>
    <row r="99" spans="1:17" x14ac:dyDescent="0.2">
      <c r="A99" s="97"/>
      <c r="B99" s="97"/>
      <c r="C99" s="98" t="s">
        <v>164</v>
      </c>
      <c r="D99" s="97"/>
      <c r="E99" s="97"/>
      <c r="F99" s="97"/>
      <c r="G99" s="97"/>
      <c r="H99" s="86" t="s">
        <v>142</v>
      </c>
    </row>
    <row r="100" spans="1:17" x14ac:dyDescent="0.2">
      <c r="A100" s="97"/>
      <c r="B100" s="97"/>
      <c r="C100" s="98" t="s">
        <v>165</v>
      </c>
      <c r="D100" s="97"/>
      <c r="E100" s="97"/>
      <c r="F100" s="97"/>
      <c r="G100" s="97"/>
      <c r="H100" s="86" t="s">
        <v>142</v>
      </c>
    </row>
    <row r="101" spans="1:17" x14ac:dyDescent="0.2">
      <c r="A101" s="97"/>
      <c r="B101" s="97"/>
      <c r="C101" s="98" t="s">
        <v>141</v>
      </c>
      <c r="D101" s="97"/>
      <c r="E101" s="97" t="s">
        <v>142</v>
      </c>
      <c r="F101" s="103" t="s">
        <v>144</v>
      </c>
      <c r="G101" s="100">
        <v>0</v>
      </c>
      <c r="H101" s="86" t="s">
        <v>142</v>
      </c>
    </row>
    <row r="102" spans="1:17" x14ac:dyDescent="0.2">
      <c r="A102" s="97"/>
      <c r="B102" s="97"/>
      <c r="C102" s="101"/>
      <c r="D102" s="97"/>
      <c r="E102" s="97"/>
      <c r="F102" s="102"/>
      <c r="G102" s="102"/>
      <c r="H102" s="86" t="s">
        <v>142</v>
      </c>
    </row>
    <row r="103" spans="1:17" x14ac:dyDescent="0.2">
      <c r="A103" s="97"/>
      <c r="B103" s="97"/>
      <c r="C103" s="98" t="s">
        <v>166</v>
      </c>
      <c r="D103" s="97"/>
      <c r="E103" s="97"/>
      <c r="F103" s="102"/>
      <c r="G103" s="102"/>
      <c r="H103" s="86" t="s">
        <v>142</v>
      </c>
    </row>
    <row r="104" spans="1:17" x14ac:dyDescent="0.2">
      <c r="A104" s="97"/>
      <c r="B104" s="97"/>
      <c r="C104" s="98" t="s">
        <v>141</v>
      </c>
      <c r="D104" s="97"/>
      <c r="E104" s="97" t="s">
        <v>142</v>
      </c>
      <c r="F104" s="103" t="s">
        <v>144</v>
      </c>
      <c r="G104" s="100">
        <v>0</v>
      </c>
      <c r="H104" s="86" t="s">
        <v>142</v>
      </c>
    </row>
    <row r="105" spans="1:17" x14ac:dyDescent="0.2">
      <c r="A105" s="97"/>
      <c r="B105" s="97"/>
      <c r="C105" s="101"/>
      <c r="D105" s="97"/>
      <c r="E105" s="97"/>
      <c r="F105" s="102"/>
      <c r="G105" s="102"/>
      <c r="H105" s="86" t="s">
        <v>142</v>
      </c>
    </row>
    <row r="106" spans="1:17" x14ac:dyDescent="0.2">
      <c r="A106" s="104"/>
      <c r="B106" s="93"/>
      <c r="C106" s="93" t="s">
        <v>167</v>
      </c>
      <c r="D106" s="93"/>
      <c r="E106" s="104"/>
      <c r="F106" s="95">
        <v>-305.11740199000002</v>
      </c>
      <c r="G106" s="96">
        <v>-1.85709E-3</v>
      </c>
      <c r="H106" s="86" t="s">
        <v>142</v>
      </c>
    </row>
    <row r="107" spans="1:17" x14ac:dyDescent="0.2">
      <c r="A107" s="101"/>
      <c r="B107" s="101"/>
      <c r="C107" s="98" t="s">
        <v>168</v>
      </c>
      <c r="D107" s="102"/>
      <c r="E107" s="102"/>
      <c r="F107" s="99">
        <v>164298.26586474001</v>
      </c>
      <c r="G107" s="105">
        <v>1.0000000499999999</v>
      </c>
      <c r="H107" s="86" t="s">
        <v>142</v>
      </c>
    </row>
    <row r="108" spans="1:17" ht="12.75" customHeight="1" x14ac:dyDescent="0.2">
      <c r="A108" s="106"/>
      <c r="B108" s="106"/>
      <c r="C108" s="107"/>
      <c r="D108" s="108"/>
      <c r="E108" s="108"/>
      <c r="F108" s="109"/>
      <c r="G108" s="110"/>
      <c r="H108" s="111"/>
    </row>
    <row r="109" spans="1:17" x14ac:dyDescent="0.2">
      <c r="A109" s="106"/>
      <c r="B109" s="200" t="s">
        <v>918</v>
      </c>
      <c r="C109" s="200"/>
      <c r="D109" s="200"/>
      <c r="E109" s="200"/>
      <c r="F109" s="200"/>
      <c r="G109" s="200"/>
      <c r="H109" s="200"/>
      <c r="J109" s="113"/>
    </row>
    <row r="110" spans="1:17" x14ac:dyDescent="0.2">
      <c r="A110" s="106"/>
      <c r="B110" s="200" t="s">
        <v>919</v>
      </c>
      <c r="C110" s="200"/>
      <c r="D110" s="200"/>
      <c r="E110" s="200"/>
      <c r="F110" s="200"/>
      <c r="G110" s="200"/>
      <c r="H110" s="200"/>
      <c r="J110" s="113"/>
    </row>
    <row r="111" spans="1:17" x14ac:dyDescent="0.2">
      <c r="A111" s="106"/>
      <c r="B111" s="200" t="s">
        <v>920</v>
      </c>
      <c r="C111" s="200"/>
      <c r="D111" s="200"/>
      <c r="E111" s="200"/>
      <c r="F111" s="200"/>
      <c r="G111" s="200"/>
      <c r="H111" s="200"/>
      <c r="J111" s="113"/>
    </row>
    <row r="112" spans="1:17" s="115" customFormat="1" ht="66.75" customHeight="1" x14ac:dyDescent="0.25">
      <c r="A112" s="114"/>
      <c r="B112" s="201" t="s">
        <v>921</v>
      </c>
      <c r="C112" s="201"/>
      <c r="D112" s="201"/>
      <c r="E112" s="201"/>
      <c r="F112" s="201"/>
      <c r="G112" s="201"/>
      <c r="H112" s="201"/>
      <c r="I112"/>
      <c r="J112" s="113"/>
      <c r="K112"/>
      <c r="L112"/>
      <c r="M112"/>
      <c r="N112"/>
      <c r="O112"/>
      <c r="P112"/>
      <c r="Q112"/>
    </row>
    <row r="113" spans="1:10" x14ac:dyDescent="0.2">
      <c r="A113" s="106"/>
      <c r="B113" s="200" t="s">
        <v>922</v>
      </c>
      <c r="C113" s="200"/>
      <c r="D113" s="200"/>
      <c r="E113" s="200"/>
      <c r="F113" s="200"/>
      <c r="G113" s="200"/>
      <c r="H113" s="200"/>
      <c r="J113" s="113"/>
    </row>
    <row r="114" spans="1:10" x14ac:dyDescent="0.2">
      <c r="A114" s="106"/>
      <c r="B114" s="106"/>
      <c r="C114" s="106"/>
      <c r="D114" s="108"/>
      <c r="E114" s="108"/>
      <c r="F114" s="108"/>
      <c r="G114" s="108"/>
    </row>
    <row r="115" spans="1:10" x14ac:dyDescent="0.2">
      <c r="A115" s="106"/>
      <c r="B115" s="202" t="s">
        <v>169</v>
      </c>
      <c r="C115" s="203"/>
      <c r="D115" s="204"/>
      <c r="E115" s="116"/>
      <c r="F115" s="108"/>
      <c r="G115" s="108"/>
    </row>
    <row r="116" spans="1:10" ht="27.75" customHeight="1" x14ac:dyDescent="0.2">
      <c r="A116" s="106"/>
      <c r="B116" s="205" t="s">
        <v>170</v>
      </c>
      <c r="C116" s="206"/>
      <c r="D116" s="85" t="s">
        <v>171</v>
      </c>
      <c r="E116" s="116"/>
      <c r="F116" s="108"/>
      <c r="G116" s="108"/>
    </row>
    <row r="117" spans="1:10" ht="12.75" customHeight="1" x14ac:dyDescent="0.2">
      <c r="A117" s="106"/>
      <c r="B117" s="205" t="s">
        <v>923</v>
      </c>
      <c r="C117" s="206"/>
      <c r="D117" s="85" t="s">
        <v>171</v>
      </c>
      <c r="E117" s="116"/>
      <c r="F117" s="108"/>
      <c r="G117" s="108"/>
    </row>
    <row r="118" spans="1:10" x14ac:dyDescent="0.2">
      <c r="A118" s="106"/>
      <c r="B118" s="205" t="s">
        <v>172</v>
      </c>
      <c r="C118" s="206"/>
      <c r="D118" s="117" t="s">
        <v>142</v>
      </c>
      <c r="E118" s="116"/>
      <c r="F118" s="108"/>
      <c r="G118" s="108"/>
    </row>
    <row r="119" spans="1:10" x14ac:dyDescent="0.2">
      <c r="A119" s="118"/>
      <c r="B119" s="119" t="s">
        <v>142</v>
      </c>
      <c r="C119" s="119" t="s">
        <v>924</v>
      </c>
      <c r="D119" s="119" t="s">
        <v>173</v>
      </c>
      <c r="E119" s="118"/>
      <c r="F119" s="118"/>
      <c r="G119" s="118"/>
      <c r="H119" s="118"/>
      <c r="J119" s="113"/>
    </row>
    <row r="120" spans="1:10" x14ac:dyDescent="0.2">
      <c r="A120" s="118"/>
      <c r="B120" s="120" t="s">
        <v>174</v>
      </c>
      <c r="C120" s="121">
        <v>45930</v>
      </c>
      <c r="D120" s="121">
        <v>45961</v>
      </c>
      <c r="E120" s="118"/>
      <c r="F120" s="118"/>
      <c r="G120" s="118"/>
      <c r="J120" s="113"/>
    </row>
    <row r="121" spans="1:10" x14ac:dyDescent="0.2">
      <c r="A121" s="122"/>
      <c r="B121" s="93" t="s">
        <v>175</v>
      </c>
      <c r="C121" s="123">
        <v>107.3895</v>
      </c>
      <c r="D121" s="123">
        <v>110.9708</v>
      </c>
      <c r="E121" s="122"/>
      <c r="F121" s="124"/>
      <c r="G121" s="125"/>
    </row>
    <row r="122" spans="1:10" x14ac:dyDescent="0.2">
      <c r="A122" s="122"/>
      <c r="B122" s="93" t="s">
        <v>1101</v>
      </c>
      <c r="C122" s="123">
        <v>33.158000000000001</v>
      </c>
      <c r="D122" s="123">
        <v>34.263800000000003</v>
      </c>
      <c r="E122" s="122"/>
      <c r="F122" s="124"/>
      <c r="G122" s="125"/>
    </row>
    <row r="123" spans="1:10" x14ac:dyDescent="0.2">
      <c r="A123" s="122"/>
      <c r="B123" s="93" t="s">
        <v>176</v>
      </c>
      <c r="C123" s="123">
        <v>97.792599999999993</v>
      </c>
      <c r="D123" s="123">
        <v>100.98009999999999</v>
      </c>
      <c r="E123" s="122"/>
      <c r="F123" s="124"/>
      <c r="G123" s="125"/>
    </row>
    <row r="124" spans="1:10" x14ac:dyDescent="0.2">
      <c r="A124" s="122"/>
      <c r="B124" s="93" t="s">
        <v>1102</v>
      </c>
      <c r="C124" s="123">
        <v>29.694400000000002</v>
      </c>
      <c r="D124" s="123">
        <v>30.662299999999998</v>
      </c>
      <c r="E124" s="122"/>
      <c r="F124" s="124"/>
      <c r="G124" s="125"/>
    </row>
    <row r="125" spans="1:10" x14ac:dyDescent="0.2">
      <c r="A125" s="122"/>
      <c r="B125" s="122"/>
      <c r="C125" s="122"/>
      <c r="D125" s="122"/>
      <c r="E125" s="122"/>
      <c r="F125" s="122"/>
      <c r="G125" s="122"/>
    </row>
    <row r="126" spans="1:10" x14ac:dyDescent="0.2">
      <c r="A126" s="118"/>
      <c r="B126" s="205" t="s">
        <v>925</v>
      </c>
      <c r="C126" s="206"/>
      <c r="D126" s="85" t="s">
        <v>171</v>
      </c>
      <c r="E126" s="118"/>
      <c r="F126" s="118"/>
      <c r="G126" s="118"/>
    </row>
    <row r="127" spans="1:10" x14ac:dyDescent="0.2">
      <c r="A127" s="118"/>
      <c r="B127" s="136"/>
      <c r="C127" s="136"/>
      <c r="D127" s="136"/>
      <c r="E127" s="118"/>
      <c r="F127" s="118"/>
      <c r="G127" s="118"/>
    </row>
    <row r="128" spans="1:10" x14ac:dyDescent="0.2">
      <c r="A128" s="118"/>
      <c r="B128" s="205" t="s">
        <v>179</v>
      </c>
      <c r="C128" s="206"/>
      <c r="D128" s="85" t="s">
        <v>171</v>
      </c>
      <c r="E128" s="131"/>
      <c r="F128" s="118"/>
      <c r="G128" s="118"/>
    </row>
    <row r="129" spans="1:7" x14ac:dyDescent="0.2">
      <c r="A129" s="118"/>
      <c r="B129" s="205" t="s">
        <v>180</v>
      </c>
      <c r="C129" s="206"/>
      <c r="D129" s="85" t="s">
        <v>171</v>
      </c>
      <c r="E129" s="131"/>
      <c r="F129" s="118"/>
      <c r="G129" s="118"/>
    </row>
    <row r="130" spans="1:7" ht="17.100000000000001" customHeight="1" x14ac:dyDescent="0.2">
      <c r="A130" s="118"/>
      <c r="B130" s="205" t="s">
        <v>181</v>
      </c>
      <c r="C130" s="206"/>
      <c r="D130" s="85" t="s">
        <v>171</v>
      </c>
      <c r="E130" s="131"/>
      <c r="F130" s="118"/>
      <c r="G130" s="118"/>
    </row>
    <row r="131" spans="1:7" ht="17.100000000000001" customHeight="1" x14ac:dyDescent="0.2">
      <c r="A131" s="118"/>
      <c r="B131" s="205" t="s">
        <v>182</v>
      </c>
      <c r="C131" s="206"/>
      <c r="D131" s="132">
        <v>0.2447</v>
      </c>
      <c r="E131" s="118"/>
      <c r="F131" s="112"/>
      <c r="G131" s="133"/>
    </row>
    <row r="133" spans="1:7" x14ac:dyDescent="0.2">
      <c r="B133" s="199" t="s">
        <v>926</v>
      </c>
      <c r="C133" s="199"/>
    </row>
    <row r="135" spans="1:7" ht="153.75" customHeight="1" x14ac:dyDescent="0.2"/>
    <row r="138" spans="1:7" x14ac:dyDescent="0.2">
      <c r="B138" s="134" t="s">
        <v>927</v>
      </c>
      <c r="C138" s="135"/>
      <c r="D138" s="134"/>
    </row>
    <row r="139" spans="1:7" x14ac:dyDescent="0.2">
      <c r="B139" s="134" t="s">
        <v>1083</v>
      </c>
      <c r="D139" s="134"/>
    </row>
    <row r="140" spans="1:7" ht="165" customHeight="1" x14ac:dyDescent="0.2"/>
    <row r="142" spans="1:7" ht="12.75" customHeight="1" x14ac:dyDescent="0.2"/>
    <row r="143" spans="1:7" ht="12.75" customHeight="1" x14ac:dyDescent="0.2"/>
    <row r="144" spans="1:7" ht="12.75" customHeight="1" x14ac:dyDescent="0.2"/>
    <row r="145" customFormat="1" ht="12.75" customHeight="1" x14ac:dyDescent="0.2"/>
    <row r="146" customFormat="1" ht="12.75" customHeight="1" x14ac:dyDescent="0.2"/>
    <row r="147" customFormat="1" ht="12.75" customHeight="1" x14ac:dyDescent="0.2"/>
  </sheetData>
  <mergeCells count="18">
    <mergeCell ref="B128:C128"/>
    <mergeCell ref="B129:C129"/>
    <mergeCell ref="B133:C133"/>
    <mergeCell ref="B131:C131"/>
    <mergeCell ref="A1:H1"/>
    <mergeCell ref="A2:H2"/>
    <mergeCell ref="A3:H3"/>
    <mergeCell ref="B126:C126"/>
    <mergeCell ref="B130:C130"/>
    <mergeCell ref="B109:H109"/>
    <mergeCell ref="B110:H110"/>
    <mergeCell ref="B117:C117"/>
    <mergeCell ref="B118:C118"/>
    <mergeCell ref="B111:H111"/>
    <mergeCell ref="B112:H112"/>
    <mergeCell ref="B113:H113"/>
    <mergeCell ref="B115:D115"/>
    <mergeCell ref="B116:C116"/>
  </mergeCells>
  <hyperlinks>
    <hyperlink ref="I1" location="Index!B2" display="Index" xr:uid="{56415B44-55BE-424A-BB82-95C8DC289BD5}"/>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5018A-3766-4186-AD50-241C91562823}">
  <sheetPr>
    <outlinePr summaryBelow="0" summaryRight="0"/>
  </sheetPr>
  <dimension ref="A1:Q163"/>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7.42578125" bestFit="1" customWidth="1"/>
    <col min="5" max="5" width="13.570312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827</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11</v>
      </c>
      <c r="C7" s="93" t="s">
        <v>12</v>
      </c>
      <c r="D7" s="93" t="s">
        <v>13</v>
      </c>
      <c r="E7" s="94">
        <v>1811705</v>
      </c>
      <c r="F7" s="95">
        <v>37221.479225000003</v>
      </c>
      <c r="G7" s="96">
        <v>7.9642599999999994E-2</v>
      </c>
      <c r="H7" s="86" t="s">
        <v>142</v>
      </c>
    </row>
    <row r="8" spans="1:9" x14ac:dyDescent="0.2">
      <c r="A8" s="92">
        <v>2</v>
      </c>
      <c r="B8" s="93" t="s">
        <v>320</v>
      </c>
      <c r="C8" s="93" t="s">
        <v>321</v>
      </c>
      <c r="D8" s="93" t="s">
        <v>35</v>
      </c>
      <c r="E8" s="94">
        <v>3285248</v>
      </c>
      <c r="F8" s="95">
        <v>32435.253504</v>
      </c>
      <c r="G8" s="96">
        <v>6.9401539999999998E-2</v>
      </c>
      <c r="H8" s="86" t="s">
        <v>142</v>
      </c>
    </row>
    <row r="9" spans="1:9" x14ac:dyDescent="0.2">
      <c r="A9" s="92">
        <v>3</v>
      </c>
      <c r="B9" s="93" t="s">
        <v>17</v>
      </c>
      <c r="C9" s="93" t="s">
        <v>18</v>
      </c>
      <c r="D9" s="93" t="s">
        <v>19</v>
      </c>
      <c r="E9" s="94">
        <v>1532287</v>
      </c>
      <c r="F9" s="95">
        <v>22775.913968000001</v>
      </c>
      <c r="G9" s="96">
        <v>4.8733499999999999E-2</v>
      </c>
      <c r="H9" s="86" t="s">
        <v>142</v>
      </c>
    </row>
    <row r="10" spans="1:9" x14ac:dyDescent="0.2">
      <c r="A10" s="92">
        <v>4</v>
      </c>
      <c r="B10" s="93" t="s">
        <v>322</v>
      </c>
      <c r="C10" s="93" t="s">
        <v>323</v>
      </c>
      <c r="D10" s="93" t="s">
        <v>35</v>
      </c>
      <c r="E10" s="94">
        <v>1751065</v>
      </c>
      <c r="F10" s="95">
        <v>21587.12932</v>
      </c>
      <c r="G10" s="96">
        <v>4.6189870000000001E-2</v>
      </c>
      <c r="H10" s="86" t="s">
        <v>142</v>
      </c>
    </row>
    <row r="11" spans="1:9" x14ac:dyDescent="0.2">
      <c r="A11" s="92">
        <v>5</v>
      </c>
      <c r="B11" s="93" t="s">
        <v>342</v>
      </c>
      <c r="C11" s="93" t="s">
        <v>343</v>
      </c>
      <c r="D11" s="93" t="s">
        <v>278</v>
      </c>
      <c r="E11" s="94">
        <v>6560070</v>
      </c>
      <c r="F11" s="95">
        <v>20844.622425000001</v>
      </c>
      <c r="G11" s="96">
        <v>4.4601130000000003E-2</v>
      </c>
      <c r="H11" s="86" t="s">
        <v>142</v>
      </c>
    </row>
    <row r="12" spans="1:9" ht="25.5" x14ac:dyDescent="0.2">
      <c r="A12" s="92">
        <v>6</v>
      </c>
      <c r="B12" s="93" t="s">
        <v>53</v>
      </c>
      <c r="C12" s="93" t="s">
        <v>54</v>
      </c>
      <c r="D12" s="93" t="s">
        <v>55</v>
      </c>
      <c r="E12" s="94">
        <v>1090073</v>
      </c>
      <c r="F12" s="95">
        <v>15822.409594999999</v>
      </c>
      <c r="G12" s="96">
        <v>3.3855129999999997E-2</v>
      </c>
      <c r="H12" s="86" t="s">
        <v>142</v>
      </c>
    </row>
    <row r="13" spans="1:9" x14ac:dyDescent="0.2">
      <c r="A13" s="92">
        <v>7</v>
      </c>
      <c r="B13" s="93" t="s">
        <v>464</v>
      </c>
      <c r="C13" s="93" t="s">
        <v>465</v>
      </c>
      <c r="D13" s="93" t="s">
        <v>278</v>
      </c>
      <c r="E13" s="94">
        <v>998415</v>
      </c>
      <c r="F13" s="95">
        <v>13761.153945</v>
      </c>
      <c r="G13" s="96">
        <v>2.9444669999999999E-2</v>
      </c>
      <c r="H13" s="86" t="s">
        <v>142</v>
      </c>
    </row>
    <row r="14" spans="1:9" x14ac:dyDescent="0.2">
      <c r="A14" s="92">
        <v>8</v>
      </c>
      <c r="B14" s="93" t="s">
        <v>287</v>
      </c>
      <c r="C14" s="93" t="s">
        <v>288</v>
      </c>
      <c r="D14" s="93" t="s">
        <v>186</v>
      </c>
      <c r="E14" s="94">
        <v>1836871</v>
      </c>
      <c r="F14" s="95">
        <v>13756.326918999999</v>
      </c>
      <c r="G14" s="96">
        <v>2.943434E-2</v>
      </c>
      <c r="H14" s="86" t="s">
        <v>142</v>
      </c>
    </row>
    <row r="15" spans="1:9" x14ac:dyDescent="0.2">
      <c r="A15" s="92">
        <v>9</v>
      </c>
      <c r="B15" s="93" t="s">
        <v>33</v>
      </c>
      <c r="C15" s="93" t="s">
        <v>34</v>
      </c>
      <c r="D15" s="93" t="s">
        <v>35</v>
      </c>
      <c r="E15" s="94">
        <v>948093</v>
      </c>
      <c r="F15" s="95">
        <v>12754.695129</v>
      </c>
      <c r="G15" s="96">
        <v>2.729115E-2</v>
      </c>
      <c r="H15" s="86" t="s">
        <v>142</v>
      </c>
    </row>
    <row r="16" spans="1:9" x14ac:dyDescent="0.2">
      <c r="A16" s="92">
        <v>10</v>
      </c>
      <c r="B16" s="93" t="s">
        <v>107</v>
      </c>
      <c r="C16" s="93" t="s">
        <v>108</v>
      </c>
      <c r="D16" s="93" t="s">
        <v>109</v>
      </c>
      <c r="E16" s="94">
        <v>164533</v>
      </c>
      <c r="F16" s="95">
        <v>12637.77973</v>
      </c>
      <c r="G16" s="96">
        <v>2.7040990000000001E-2</v>
      </c>
      <c r="H16" s="86" t="s">
        <v>142</v>
      </c>
    </row>
    <row r="17" spans="1:8" x14ac:dyDescent="0.2">
      <c r="A17" s="92">
        <v>11</v>
      </c>
      <c r="B17" s="93" t="s">
        <v>656</v>
      </c>
      <c r="C17" s="93" t="s">
        <v>657</v>
      </c>
      <c r="D17" s="93" t="s">
        <v>186</v>
      </c>
      <c r="E17" s="94">
        <v>545635</v>
      </c>
      <c r="F17" s="95">
        <v>11394.495704999999</v>
      </c>
      <c r="G17" s="96">
        <v>2.4380740000000001E-2</v>
      </c>
      <c r="H17" s="86" t="s">
        <v>142</v>
      </c>
    </row>
    <row r="18" spans="1:8" x14ac:dyDescent="0.2">
      <c r="A18" s="92">
        <v>12</v>
      </c>
      <c r="B18" s="93" t="s">
        <v>355</v>
      </c>
      <c r="C18" s="93" t="s">
        <v>356</v>
      </c>
      <c r="D18" s="93" t="s">
        <v>109</v>
      </c>
      <c r="E18" s="94">
        <v>1639820</v>
      </c>
      <c r="F18" s="95">
        <v>11118.799510000001</v>
      </c>
      <c r="G18" s="96">
        <v>2.3790840000000001E-2</v>
      </c>
      <c r="H18" s="86" t="s">
        <v>142</v>
      </c>
    </row>
    <row r="19" spans="1:8" x14ac:dyDescent="0.2">
      <c r="A19" s="92">
        <v>13</v>
      </c>
      <c r="B19" s="93" t="s">
        <v>393</v>
      </c>
      <c r="C19" s="93" t="s">
        <v>394</v>
      </c>
      <c r="D19" s="93" t="s">
        <v>186</v>
      </c>
      <c r="E19" s="94">
        <v>1193281</v>
      </c>
      <c r="F19" s="95">
        <v>11082.000647000001</v>
      </c>
      <c r="G19" s="96">
        <v>2.37121E-2</v>
      </c>
      <c r="H19" s="86" t="s">
        <v>142</v>
      </c>
    </row>
    <row r="20" spans="1:8" x14ac:dyDescent="0.2">
      <c r="A20" s="92">
        <v>14</v>
      </c>
      <c r="B20" s="93" t="s">
        <v>828</v>
      </c>
      <c r="C20" s="93" t="s">
        <v>829</v>
      </c>
      <c r="D20" s="93" t="s">
        <v>272</v>
      </c>
      <c r="E20" s="94">
        <v>1864265</v>
      </c>
      <c r="F20" s="95">
        <v>11020.602547500001</v>
      </c>
      <c r="G20" s="96">
        <v>2.3580730000000001E-2</v>
      </c>
      <c r="H20" s="86" t="s">
        <v>142</v>
      </c>
    </row>
    <row r="21" spans="1:8" x14ac:dyDescent="0.2">
      <c r="A21" s="92">
        <v>15</v>
      </c>
      <c r="B21" s="93" t="s">
        <v>418</v>
      </c>
      <c r="C21" s="93" t="s">
        <v>419</v>
      </c>
      <c r="D21" s="93" t="s">
        <v>48</v>
      </c>
      <c r="E21" s="94">
        <v>275874</v>
      </c>
      <c r="F21" s="95">
        <v>10336.171157999999</v>
      </c>
      <c r="G21" s="96">
        <v>2.211625E-2</v>
      </c>
      <c r="H21" s="86" t="s">
        <v>142</v>
      </c>
    </row>
    <row r="22" spans="1:8" x14ac:dyDescent="0.2">
      <c r="A22" s="92">
        <v>16</v>
      </c>
      <c r="B22" s="93" t="s">
        <v>371</v>
      </c>
      <c r="C22" s="93" t="s">
        <v>372</v>
      </c>
      <c r="D22" s="93" t="s">
        <v>204</v>
      </c>
      <c r="E22" s="94">
        <v>1608752</v>
      </c>
      <c r="F22" s="95">
        <v>10267.859640000001</v>
      </c>
      <c r="G22" s="96">
        <v>2.1970090000000001E-2</v>
      </c>
      <c r="H22" s="86" t="s">
        <v>142</v>
      </c>
    </row>
    <row r="23" spans="1:8" x14ac:dyDescent="0.2">
      <c r="A23" s="92">
        <v>17</v>
      </c>
      <c r="B23" s="93" t="s">
        <v>87</v>
      </c>
      <c r="C23" s="93" t="s">
        <v>88</v>
      </c>
      <c r="D23" s="93" t="s">
        <v>13</v>
      </c>
      <c r="E23" s="94">
        <v>2692219</v>
      </c>
      <c r="F23" s="95">
        <v>9788.9082839999992</v>
      </c>
      <c r="G23" s="96">
        <v>2.094528E-2</v>
      </c>
      <c r="H23" s="86" t="s">
        <v>142</v>
      </c>
    </row>
    <row r="24" spans="1:8" x14ac:dyDescent="0.2">
      <c r="A24" s="92">
        <v>18</v>
      </c>
      <c r="B24" s="93" t="s">
        <v>340</v>
      </c>
      <c r="C24" s="93" t="s">
        <v>341</v>
      </c>
      <c r="D24" s="93" t="s">
        <v>257</v>
      </c>
      <c r="E24" s="94">
        <v>504624</v>
      </c>
      <c r="F24" s="95">
        <v>9742.2709439999999</v>
      </c>
      <c r="G24" s="96">
        <v>2.0845490000000001E-2</v>
      </c>
      <c r="H24" s="86" t="s">
        <v>142</v>
      </c>
    </row>
    <row r="25" spans="1:8" x14ac:dyDescent="0.2">
      <c r="A25" s="92">
        <v>19</v>
      </c>
      <c r="B25" s="93" t="s">
        <v>211</v>
      </c>
      <c r="C25" s="93" t="s">
        <v>212</v>
      </c>
      <c r="D25" s="93" t="s">
        <v>73</v>
      </c>
      <c r="E25" s="94">
        <v>457842</v>
      </c>
      <c r="F25" s="95">
        <v>7703.6494919999996</v>
      </c>
      <c r="G25" s="96">
        <v>1.6483459999999998E-2</v>
      </c>
      <c r="H25" s="86" t="s">
        <v>142</v>
      </c>
    </row>
    <row r="26" spans="1:8" x14ac:dyDescent="0.2">
      <c r="A26" s="92">
        <v>20</v>
      </c>
      <c r="B26" s="93" t="s">
        <v>357</v>
      </c>
      <c r="C26" s="93" t="s">
        <v>358</v>
      </c>
      <c r="D26" s="93" t="s">
        <v>35</v>
      </c>
      <c r="E26" s="94">
        <v>13917467</v>
      </c>
      <c r="F26" s="95">
        <v>7214.8148928000001</v>
      </c>
      <c r="G26" s="96">
        <v>1.54375E-2</v>
      </c>
      <c r="H26" s="86" t="s">
        <v>142</v>
      </c>
    </row>
    <row r="27" spans="1:8" x14ac:dyDescent="0.2">
      <c r="A27" s="92">
        <v>21</v>
      </c>
      <c r="B27" s="93" t="s">
        <v>363</v>
      </c>
      <c r="C27" s="93" t="s">
        <v>364</v>
      </c>
      <c r="D27" s="93" t="s">
        <v>218</v>
      </c>
      <c r="E27" s="94">
        <v>2477742</v>
      </c>
      <c r="F27" s="95">
        <v>7087.5809909999998</v>
      </c>
      <c r="G27" s="96">
        <v>1.516526E-2</v>
      </c>
      <c r="H27" s="86" t="s">
        <v>142</v>
      </c>
    </row>
    <row r="28" spans="1:8" x14ac:dyDescent="0.2">
      <c r="A28" s="92">
        <v>22</v>
      </c>
      <c r="B28" s="93" t="s">
        <v>359</v>
      </c>
      <c r="C28" s="93" t="s">
        <v>360</v>
      </c>
      <c r="D28" s="93" t="s">
        <v>35</v>
      </c>
      <c r="E28" s="94">
        <v>1561198</v>
      </c>
      <c r="F28" s="95">
        <v>6453.2119329999996</v>
      </c>
      <c r="G28" s="96">
        <v>1.38079E-2</v>
      </c>
      <c r="H28" s="86" t="s">
        <v>142</v>
      </c>
    </row>
    <row r="29" spans="1:8" x14ac:dyDescent="0.2">
      <c r="A29" s="92">
        <v>23</v>
      </c>
      <c r="B29" s="93" t="s">
        <v>233</v>
      </c>
      <c r="C29" s="93" t="s">
        <v>234</v>
      </c>
      <c r="D29" s="93" t="s">
        <v>218</v>
      </c>
      <c r="E29" s="94">
        <v>663825</v>
      </c>
      <c r="F29" s="95">
        <v>6304.6779374999996</v>
      </c>
      <c r="G29" s="96">
        <v>1.349009E-2</v>
      </c>
      <c r="H29" s="86" t="s">
        <v>142</v>
      </c>
    </row>
    <row r="30" spans="1:8" x14ac:dyDescent="0.2">
      <c r="A30" s="92">
        <v>24</v>
      </c>
      <c r="B30" s="93" t="s">
        <v>83</v>
      </c>
      <c r="C30" s="93" t="s">
        <v>84</v>
      </c>
      <c r="D30" s="93" t="s">
        <v>61</v>
      </c>
      <c r="E30" s="94">
        <v>1343146</v>
      </c>
      <c r="F30" s="95">
        <v>6258.3887869999999</v>
      </c>
      <c r="G30" s="96">
        <v>1.339104E-2</v>
      </c>
      <c r="H30" s="86" t="s">
        <v>142</v>
      </c>
    </row>
    <row r="31" spans="1:8" x14ac:dyDescent="0.2">
      <c r="A31" s="92">
        <v>25</v>
      </c>
      <c r="B31" s="93" t="s">
        <v>690</v>
      </c>
      <c r="C31" s="93" t="s">
        <v>691</v>
      </c>
      <c r="D31" s="93" t="s">
        <v>204</v>
      </c>
      <c r="E31" s="94">
        <v>109074</v>
      </c>
      <c r="F31" s="95">
        <v>6200.3115299999999</v>
      </c>
      <c r="G31" s="96">
        <v>1.3266770000000001E-2</v>
      </c>
      <c r="H31" s="86" t="s">
        <v>142</v>
      </c>
    </row>
    <row r="32" spans="1:8" x14ac:dyDescent="0.2">
      <c r="A32" s="92">
        <v>26</v>
      </c>
      <c r="B32" s="93" t="s">
        <v>470</v>
      </c>
      <c r="C32" s="93" t="s">
        <v>471</v>
      </c>
      <c r="D32" s="93" t="s">
        <v>272</v>
      </c>
      <c r="E32" s="94">
        <v>1041746</v>
      </c>
      <c r="F32" s="95">
        <v>5931.7017239999996</v>
      </c>
      <c r="G32" s="96">
        <v>1.269203E-2</v>
      </c>
      <c r="H32" s="86" t="s">
        <v>142</v>
      </c>
    </row>
    <row r="33" spans="1:8" x14ac:dyDescent="0.2">
      <c r="A33" s="92">
        <v>27</v>
      </c>
      <c r="B33" s="93" t="s">
        <v>373</v>
      </c>
      <c r="C33" s="93" t="s">
        <v>374</v>
      </c>
      <c r="D33" s="93" t="s">
        <v>215</v>
      </c>
      <c r="E33" s="94">
        <v>213329</v>
      </c>
      <c r="F33" s="95">
        <v>5317.0119960000002</v>
      </c>
      <c r="G33" s="96">
        <v>1.137678E-2</v>
      </c>
      <c r="H33" s="86" t="s">
        <v>142</v>
      </c>
    </row>
    <row r="34" spans="1:8" x14ac:dyDescent="0.2">
      <c r="A34" s="92">
        <v>28</v>
      </c>
      <c r="B34" s="93" t="s">
        <v>326</v>
      </c>
      <c r="C34" s="93" t="s">
        <v>327</v>
      </c>
      <c r="D34" s="93" t="s">
        <v>204</v>
      </c>
      <c r="E34" s="94">
        <v>344194</v>
      </c>
      <c r="F34" s="95">
        <v>5101.9876619999995</v>
      </c>
      <c r="G34" s="96">
        <v>1.09167E-2</v>
      </c>
      <c r="H34" s="86" t="s">
        <v>142</v>
      </c>
    </row>
    <row r="35" spans="1:8" x14ac:dyDescent="0.2">
      <c r="A35" s="92">
        <v>29</v>
      </c>
      <c r="B35" s="93" t="s">
        <v>830</v>
      </c>
      <c r="C35" s="93" t="s">
        <v>831</v>
      </c>
      <c r="D35" s="93" t="s">
        <v>35</v>
      </c>
      <c r="E35" s="94">
        <v>3168712</v>
      </c>
      <c r="F35" s="95">
        <v>4960.9355071999998</v>
      </c>
      <c r="G35" s="96">
        <v>1.061489E-2</v>
      </c>
      <c r="H35" s="86" t="s">
        <v>142</v>
      </c>
    </row>
    <row r="36" spans="1:8" x14ac:dyDescent="0.2">
      <c r="A36" s="92">
        <v>30</v>
      </c>
      <c r="B36" s="93" t="s">
        <v>59</v>
      </c>
      <c r="C36" s="93" t="s">
        <v>60</v>
      </c>
      <c r="D36" s="93" t="s">
        <v>61</v>
      </c>
      <c r="E36" s="94">
        <v>87568</v>
      </c>
      <c r="F36" s="95">
        <v>4925.7</v>
      </c>
      <c r="G36" s="96">
        <v>1.053949E-2</v>
      </c>
      <c r="H36" s="86" t="s">
        <v>142</v>
      </c>
    </row>
    <row r="37" spans="1:8" x14ac:dyDescent="0.2">
      <c r="A37" s="92">
        <v>31</v>
      </c>
      <c r="B37" s="93" t="s">
        <v>444</v>
      </c>
      <c r="C37" s="93" t="s">
        <v>445</v>
      </c>
      <c r="D37" s="93" t="s">
        <v>35</v>
      </c>
      <c r="E37" s="94">
        <v>598186</v>
      </c>
      <c r="F37" s="95">
        <v>4754.3823279999997</v>
      </c>
      <c r="G37" s="96">
        <v>1.017293E-2</v>
      </c>
      <c r="H37" s="86" t="s">
        <v>142</v>
      </c>
    </row>
    <row r="38" spans="1:8" x14ac:dyDescent="0.2">
      <c r="A38" s="92">
        <v>32</v>
      </c>
      <c r="B38" s="93" t="s">
        <v>344</v>
      </c>
      <c r="C38" s="93" t="s">
        <v>345</v>
      </c>
      <c r="D38" s="93" t="s">
        <v>186</v>
      </c>
      <c r="E38" s="94">
        <v>279889</v>
      </c>
      <c r="F38" s="95">
        <v>4749.1565520000004</v>
      </c>
      <c r="G38" s="96">
        <v>1.0161750000000001E-2</v>
      </c>
      <c r="H38" s="86" t="s">
        <v>142</v>
      </c>
    </row>
    <row r="39" spans="1:8" x14ac:dyDescent="0.2">
      <c r="A39" s="92">
        <v>33</v>
      </c>
      <c r="B39" s="93" t="s">
        <v>638</v>
      </c>
      <c r="C39" s="93" t="s">
        <v>639</v>
      </c>
      <c r="D39" s="93" t="s">
        <v>186</v>
      </c>
      <c r="E39" s="94">
        <v>1260897</v>
      </c>
      <c r="F39" s="95">
        <v>4726.4724045000003</v>
      </c>
      <c r="G39" s="96">
        <v>1.0113209999999999E-2</v>
      </c>
      <c r="H39" s="86" t="s">
        <v>142</v>
      </c>
    </row>
    <row r="40" spans="1:8" x14ac:dyDescent="0.2">
      <c r="A40" s="92">
        <v>34</v>
      </c>
      <c r="B40" s="93" t="s">
        <v>395</v>
      </c>
      <c r="C40" s="93" t="s">
        <v>396</v>
      </c>
      <c r="D40" s="93" t="s">
        <v>257</v>
      </c>
      <c r="E40" s="94">
        <v>1096915</v>
      </c>
      <c r="F40" s="95">
        <v>4689.3116250000003</v>
      </c>
      <c r="G40" s="96">
        <v>1.00337E-2</v>
      </c>
      <c r="H40" s="86" t="s">
        <v>142</v>
      </c>
    </row>
    <row r="41" spans="1:8" x14ac:dyDescent="0.2">
      <c r="A41" s="92">
        <v>35</v>
      </c>
      <c r="B41" s="93" t="s">
        <v>202</v>
      </c>
      <c r="C41" s="93" t="s">
        <v>203</v>
      </c>
      <c r="D41" s="93" t="s">
        <v>204</v>
      </c>
      <c r="E41" s="94">
        <v>257972</v>
      </c>
      <c r="F41" s="95">
        <v>4587.0001320000001</v>
      </c>
      <c r="G41" s="96">
        <v>9.8147800000000004E-3</v>
      </c>
      <c r="H41" s="86" t="s">
        <v>142</v>
      </c>
    </row>
    <row r="42" spans="1:8" x14ac:dyDescent="0.2">
      <c r="A42" s="92">
        <v>36</v>
      </c>
      <c r="B42" s="93" t="s">
        <v>324</v>
      </c>
      <c r="C42" s="93" t="s">
        <v>325</v>
      </c>
      <c r="D42" s="93" t="s">
        <v>35</v>
      </c>
      <c r="E42" s="94">
        <v>216759</v>
      </c>
      <c r="F42" s="95">
        <v>4556.7076980000002</v>
      </c>
      <c r="G42" s="96">
        <v>9.7499600000000002E-3</v>
      </c>
      <c r="H42" s="86" t="s">
        <v>142</v>
      </c>
    </row>
    <row r="43" spans="1:8" x14ac:dyDescent="0.2">
      <c r="A43" s="92">
        <v>37</v>
      </c>
      <c r="B43" s="93" t="s">
        <v>399</v>
      </c>
      <c r="C43" s="93" t="s">
        <v>400</v>
      </c>
      <c r="D43" s="93" t="s">
        <v>218</v>
      </c>
      <c r="E43" s="94">
        <v>717133</v>
      </c>
      <c r="F43" s="95">
        <v>4255.1086555000002</v>
      </c>
      <c r="G43" s="96">
        <v>9.1046300000000007E-3</v>
      </c>
      <c r="H43" s="86" t="s">
        <v>142</v>
      </c>
    </row>
    <row r="44" spans="1:8" x14ac:dyDescent="0.2">
      <c r="A44" s="92">
        <v>38</v>
      </c>
      <c r="B44" s="93" t="s">
        <v>381</v>
      </c>
      <c r="C44" s="93" t="s">
        <v>382</v>
      </c>
      <c r="D44" s="93" t="s">
        <v>383</v>
      </c>
      <c r="E44" s="94">
        <v>352255</v>
      </c>
      <c r="F44" s="95">
        <v>4250.3088299999999</v>
      </c>
      <c r="G44" s="96">
        <v>9.0943599999999993E-3</v>
      </c>
      <c r="H44" s="86" t="s">
        <v>142</v>
      </c>
    </row>
    <row r="45" spans="1:8" x14ac:dyDescent="0.2">
      <c r="A45" s="92">
        <v>39</v>
      </c>
      <c r="B45" s="93" t="s">
        <v>750</v>
      </c>
      <c r="C45" s="93" t="s">
        <v>751</v>
      </c>
      <c r="D45" s="93" t="s">
        <v>109</v>
      </c>
      <c r="E45" s="94">
        <v>206251</v>
      </c>
      <c r="F45" s="95">
        <v>4063.9697040000001</v>
      </c>
      <c r="G45" s="96">
        <v>8.6956599999999992E-3</v>
      </c>
      <c r="H45" s="86" t="s">
        <v>142</v>
      </c>
    </row>
    <row r="46" spans="1:8" x14ac:dyDescent="0.2">
      <c r="A46" s="92">
        <v>40</v>
      </c>
      <c r="B46" s="93" t="s">
        <v>379</v>
      </c>
      <c r="C46" s="93" t="s">
        <v>380</v>
      </c>
      <c r="D46" s="93" t="s">
        <v>35</v>
      </c>
      <c r="E46" s="94">
        <v>7120524</v>
      </c>
      <c r="F46" s="95">
        <v>4057.9866275999998</v>
      </c>
      <c r="G46" s="96">
        <v>8.6828500000000006E-3</v>
      </c>
      <c r="H46" s="86" t="s">
        <v>142</v>
      </c>
    </row>
    <row r="47" spans="1:8" x14ac:dyDescent="0.2">
      <c r="A47" s="92">
        <v>41</v>
      </c>
      <c r="B47" s="93" t="s">
        <v>518</v>
      </c>
      <c r="C47" s="93" t="s">
        <v>519</v>
      </c>
      <c r="D47" s="93" t="s">
        <v>204</v>
      </c>
      <c r="E47" s="94">
        <v>275867</v>
      </c>
      <c r="F47" s="95">
        <v>3929.449548</v>
      </c>
      <c r="G47" s="96">
        <v>8.4078199999999999E-3</v>
      </c>
      <c r="H47" s="86" t="s">
        <v>142</v>
      </c>
    </row>
    <row r="48" spans="1:8" x14ac:dyDescent="0.2">
      <c r="A48" s="92">
        <v>42</v>
      </c>
      <c r="B48" s="93" t="s">
        <v>187</v>
      </c>
      <c r="C48" s="93" t="s">
        <v>188</v>
      </c>
      <c r="D48" s="93" t="s">
        <v>109</v>
      </c>
      <c r="E48" s="94">
        <v>331338</v>
      </c>
      <c r="F48" s="95">
        <v>3389.7534089999999</v>
      </c>
      <c r="G48" s="96">
        <v>7.2530399999999997E-3</v>
      </c>
      <c r="H48" s="86" t="s">
        <v>142</v>
      </c>
    </row>
    <row r="49" spans="1:8" x14ac:dyDescent="0.2">
      <c r="A49" s="92">
        <v>43</v>
      </c>
      <c r="B49" s="93" t="s">
        <v>483</v>
      </c>
      <c r="C49" s="93" t="s">
        <v>484</v>
      </c>
      <c r="D49" s="93" t="s">
        <v>215</v>
      </c>
      <c r="E49" s="94">
        <v>130000</v>
      </c>
      <c r="F49" s="95">
        <v>3322.15</v>
      </c>
      <c r="G49" s="96">
        <v>7.10839E-3</v>
      </c>
      <c r="H49" s="86" t="s">
        <v>142</v>
      </c>
    </row>
    <row r="50" spans="1:8" ht="25.5" x14ac:dyDescent="0.2">
      <c r="A50" s="92">
        <v>44</v>
      </c>
      <c r="B50" s="93" t="s">
        <v>388</v>
      </c>
      <c r="C50" s="93" t="s">
        <v>389</v>
      </c>
      <c r="D50" s="93" t="s">
        <v>390</v>
      </c>
      <c r="E50" s="94">
        <v>908373</v>
      </c>
      <c r="F50" s="95">
        <v>3027.6072089999998</v>
      </c>
      <c r="G50" s="96">
        <v>6.4781600000000002E-3</v>
      </c>
      <c r="H50" s="86" t="s">
        <v>142</v>
      </c>
    </row>
    <row r="51" spans="1:8" x14ac:dyDescent="0.2">
      <c r="A51" s="92">
        <v>45</v>
      </c>
      <c r="B51" s="93" t="s">
        <v>493</v>
      </c>
      <c r="C51" s="93" t="s">
        <v>494</v>
      </c>
      <c r="D51" s="93" t="s">
        <v>48</v>
      </c>
      <c r="E51" s="94">
        <v>887864</v>
      </c>
      <c r="F51" s="95">
        <v>2880.6747479999999</v>
      </c>
      <c r="G51" s="96">
        <v>6.1637699999999998E-3</v>
      </c>
      <c r="H51" s="86" t="s">
        <v>142</v>
      </c>
    </row>
    <row r="52" spans="1:8" ht="25.5" x14ac:dyDescent="0.2">
      <c r="A52" s="92">
        <v>46</v>
      </c>
      <c r="B52" s="93" t="s">
        <v>208</v>
      </c>
      <c r="C52" s="93" t="s">
        <v>209</v>
      </c>
      <c r="D52" s="93" t="s">
        <v>210</v>
      </c>
      <c r="E52" s="94">
        <v>154842</v>
      </c>
      <c r="F52" s="95">
        <v>2764.5490679999998</v>
      </c>
      <c r="G52" s="96">
        <v>5.9152900000000001E-3</v>
      </c>
      <c r="H52" s="86" t="s">
        <v>142</v>
      </c>
    </row>
    <row r="53" spans="1:8" x14ac:dyDescent="0.2">
      <c r="A53" s="92">
        <v>47</v>
      </c>
      <c r="B53" s="93" t="s">
        <v>489</v>
      </c>
      <c r="C53" s="93" t="s">
        <v>490</v>
      </c>
      <c r="D53" s="93" t="s">
        <v>215</v>
      </c>
      <c r="E53" s="94">
        <v>202966</v>
      </c>
      <c r="F53" s="95">
        <v>2532.2038160000002</v>
      </c>
      <c r="G53" s="96">
        <v>5.4181400000000001E-3</v>
      </c>
      <c r="H53" s="86" t="s">
        <v>142</v>
      </c>
    </row>
    <row r="54" spans="1:8" x14ac:dyDescent="0.2">
      <c r="A54" s="92">
        <v>48</v>
      </c>
      <c r="B54" s="93" t="s">
        <v>386</v>
      </c>
      <c r="C54" s="93" t="s">
        <v>387</v>
      </c>
      <c r="D54" s="93" t="s">
        <v>186</v>
      </c>
      <c r="E54" s="94">
        <v>127634</v>
      </c>
      <c r="F54" s="95">
        <v>2441.127884</v>
      </c>
      <c r="G54" s="96">
        <v>5.2232700000000003E-3</v>
      </c>
      <c r="H54" s="86" t="s">
        <v>142</v>
      </c>
    </row>
    <row r="55" spans="1:8" x14ac:dyDescent="0.2">
      <c r="A55" s="92">
        <v>49</v>
      </c>
      <c r="B55" s="93" t="s">
        <v>213</v>
      </c>
      <c r="C55" s="93" t="s">
        <v>214</v>
      </c>
      <c r="D55" s="93" t="s">
        <v>215</v>
      </c>
      <c r="E55" s="94">
        <v>94906</v>
      </c>
      <c r="F55" s="95">
        <v>2352.71974</v>
      </c>
      <c r="G55" s="96">
        <v>5.0340999999999997E-3</v>
      </c>
      <c r="H55" s="86" t="s">
        <v>142</v>
      </c>
    </row>
    <row r="56" spans="1:8" x14ac:dyDescent="0.2">
      <c r="A56" s="92">
        <v>50</v>
      </c>
      <c r="B56" s="93" t="s">
        <v>820</v>
      </c>
      <c r="C56" s="93" t="s">
        <v>821</v>
      </c>
      <c r="D56" s="93" t="s">
        <v>278</v>
      </c>
      <c r="E56" s="94">
        <v>467205</v>
      </c>
      <c r="F56" s="95">
        <v>1915.3068975000001</v>
      </c>
      <c r="G56" s="96">
        <v>4.0981699999999999E-3</v>
      </c>
      <c r="H56" s="86" t="s">
        <v>142</v>
      </c>
    </row>
    <row r="57" spans="1:8" x14ac:dyDescent="0.2">
      <c r="A57" s="92">
        <v>51</v>
      </c>
      <c r="B57" s="93" t="s">
        <v>336</v>
      </c>
      <c r="C57" s="93" t="s">
        <v>337</v>
      </c>
      <c r="D57" s="93" t="s">
        <v>215</v>
      </c>
      <c r="E57" s="94">
        <v>14544</v>
      </c>
      <c r="F57" s="95">
        <v>1344.37464</v>
      </c>
      <c r="G57" s="96">
        <v>2.8765499999999999E-3</v>
      </c>
      <c r="H57" s="86" t="s">
        <v>142</v>
      </c>
    </row>
    <row r="58" spans="1:8" x14ac:dyDescent="0.2">
      <c r="A58" s="97"/>
      <c r="B58" s="97"/>
      <c r="C58" s="98" t="s">
        <v>141</v>
      </c>
      <c r="D58" s="97"/>
      <c r="E58" s="97" t="s">
        <v>142</v>
      </c>
      <c r="F58" s="99">
        <v>436398.1661641</v>
      </c>
      <c r="G58" s="100">
        <v>0.93375887999999996</v>
      </c>
      <c r="H58" s="86" t="s">
        <v>142</v>
      </c>
    </row>
    <row r="59" spans="1:8" x14ac:dyDescent="0.2">
      <c r="A59" s="97"/>
      <c r="B59" s="97"/>
      <c r="C59" s="101"/>
      <c r="D59" s="97"/>
      <c r="E59" s="97"/>
      <c r="F59" s="102"/>
      <c r="G59" s="102"/>
      <c r="H59" s="86" t="s">
        <v>142</v>
      </c>
    </row>
    <row r="60" spans="1:8" x14ac:dyDescent="0.2">
      <c r="A60" s="97"/>
      <c r="B60" s="97"/>
      <c r="C60" s="98" t="s">
        <v>143</v>
      </c>
      <c r="D60" s="97"/>
      <c r="E60" s="97"/>
      <c r="F60" s="97"/>
      <c r="G60" s="97"/>
      <c r="H60" s="86" t="s">
        <v>142</v>
      </c>
    </row>
    <row r="61" spans="1:8" x14ac:dyDescent="0.2">
      <c r="A61" s="87">
        <v>1</v>
      </c>
      <c r="B61" s="88" t="s">
        <v>832</v>
      </c>
      <c r="C61" s="88" t="s">
        <v>1084</v>
      </c>
      <c r="D61" s="93" t="s">
        <v>218</v>
      </c>
      <c r="E61" s="94">
        <v>64187</v>
      </c>
      <c r="F61" s="95">
        <v>4555.9470453599997</v>
      </c>
      <c r="G61" s="96">
        <v>9.7483399999999994E-3</v>
      </c>
      <c r="H61" s="86" t="s">
        <v>142</v>
      </c>
    </row>
    <row r="62" spans="1:8" x14ac:dyDescent="0.2">
      <c r="A62" s="97"/>
      <c r="B62" s="97"/>
      <c r="C62" s="98" t="s">
        <v>141</v>
      </c>
      <c r="D62" s="97"/>
      <c r="E62" s="97" t="s">
        <v>142</v>
      </c>
      <c r="F62" s="99">
        <v>4555.9470453599997</v>
      </c>
      <c r="G62" s="100">
        <v>9.7483399999999994E-3</v>
      </c>
      <c r="H62" s="86" t="s">
        <v>142</v>
      </c>
    </row>
    <row r="63" spans="1:8" x14ac:dyDescent="0.2">
      <c r="A63" s="97"/>
      <c r="B63" s="97"/>
      <c r="C63" s="101"/>
      <c r="D63" s="97"/>
      <c r="E63" s="97"/>
      <c r="F63" s="102"/>
      <c r="G63" s="102"/>
      <c r="H63" s="86" t="s">
        <v>142</v>
      </c>
    </row>
    <row r="64" spans="1:8" x14ac:dyDescent="0.2">
      <c r="A64" s="97"/>
      <c r="B64" s="97"/>
      <c r="C64" s="98" t="s">
        <v>145</v>
      </c>
      <c r="D64" s="97"/>
      <c r="E64" s="97"/>
      <c r="F64" s="97"/>
      <c r="G64" s="97"/>
      <c r="H64" s="86" t="s">
        <v>142</v>
      </c>
    </row>
    <row r="65" spans="1:8" x14ac:dyDescent="0.2">
      <c r="A65" s="97"/>
      <c r="B65" s="97"/>
      <c r="C65" s="98" t="s">
        <v>141</v>
      </c>
      <c r="D65" s="97"/>
      <c r="E65" s="97" t="s">
        <v>142</v>
      </c>
      <c r="F65" s="103" t="s">
        <v>144</v>
      </c>
      <c r="G65" s="100">
        <v>0</v>
      </c>
      <c r="H65" s="86" t="s">
        <v>142</v>
      </c>
    </row>
    <row r="66" spans="1:8" x14ac:dyDescent="0.2">
      <c r="A66" s="97"/>
      <c r="B66" s="97"/>
      <c r="C66" s="101"/>
      <c r="D66" s="97"/>
      <c r="E66" s="97"/>
      <c r="F66" s="102"/>
      <c r="G66" s="102"/>
      <c r="H66" s="86" t="s">
        <v>142</v>
      </c>
    </row>
    <row r="67" spans="1:8" x14ac:dyDescent="0.2">
      <c r="A67" s="97"/>
      <c r="B67" s="97"/>
      <c r="C67" s="98" t="s">
        <v>146</v>
      </c>
      <c r="D67" s="97"/>
      <c r="E67" s="97"/>
      <c r="F67" s="97"/>
      <c r="G67" s="97"/>
      <c r="H67" s="86" t="s">
        <v>142</v>
      </c>
    </row>
    <row r="68" spans="1:8" x14ac:dyDescent="0.2">
      <c r="A68" s="97"/>
      <c r="B68" s="97"/>
      <c r="C68" s="98" t="s">
        <v>141</v>
      </c>
      <c r="D68" s="97"/>
      <c r="E68" s="97" t="s">
        <v>142</v>
      </c>
      <c r="F68" s="103" t="s">
        <v>144</v>
      </c>
      <c r="G68" s="100">
        <v>0</v>
      </c>
      <c r="H68" s="86" t="s">
        <v>142</v>
      </c>
    </row>
    <row r="69" spans="1:8" x14ac:dyDescent="0.2">
      <c r="A69" s="97"/>
      <c r="B69" s="97"/>
      <c r="C69" s="101"/>
      <c r="D69" s="97"/>
      <c r="E69" s="97"/>
      <c r="F69" s="102"/>
      <c r="G69" s="102"/>
      <c r="H69" s="86" t="s">
        <v>142</v>
      </c>
    </row>
    <row r="70" spans="1:8" x14ac:dyDescent="0.2">
      <c r="A70" s="97"/>
      <c r="B70" s="97"/>
      <c r="C70" s="98" t="s">
        <v>147</v>
      </c>
      <c r="D70" s="97"/>
      <c r="E70" s="97"/>
      <c r="F70" s="102"/>
      <c r="G70" s="102"/>
      <c r="H70" s="86" t="s">
        <v>142</v>
      </c>
    </row>
    <row r="71" spans="1:8" x14ac:dyDescent="0.2">
      <c r="A71" s="97"/>
      <c r="B71" s="97"/>
      <c r="C71" s="98" t="s">
        <v>141</v>
      </c>
      <c r="D71" s="97"/>
      <c r="E71" s="97" t="s">
        <v>142</v>
      </c>
      <c r="F71" s="103" t="s">
        <v>144</v>
      </c>
      <c r="G71" s="100">
        <v>0</v>
      </c>
      <c r="H71" s="86" t="s">
        <v>142</v>
      </c>
    </row>
    <row r="72" spans="1:8" x14ac:dyDescent="0.2">
      <c r="A72" s="97"/>
      <c r="B72" s="97"/>
      <c r="C72" s="101"/>
      <c r="D72" s="97"/>
      <c r="E72" s="97"/>
      <c r="F72" s="102"/>
      <c r="G72" s="102"/>
      <c r="H72" s="86" t="s">
        <v>142</v>
      </c>
    </row>
    <row r="73" spans="1:8" x14ac:dyDescent="0.2">
      <c r="A73" s="97"/>
      <c r="B73" s="97"/>
      <c r="C73" s="98" t="s">
        <v>148</v>
      </c>
      <c r="D73" s="97"/>
      <c r="E73" s="97"/>
      <c r="F73" s="102"/>
      <c r="G73" s="102"/>
      <c r="H73" s="86" t="s">
        <v>142</v>
      </c>
    </row>
    <row r="74" spans="1:8" x14ac:dyDescent="0.2">
      <c r="A74" s="92">
        <v>1</v>
      </c>
      <c r="B74" s="93"/>
      <c r="C74" s="93" t="s">
        <v>833</v>
      </c>
      <c r="D74" s="93" t="s">
        <v>497</v>
      </c>
      <c r="E74" s="94">
        <v>53125</v>
      </c>
      <c r="F74" s="95">
        <v>899.83124999999995</v>
      </c>
      <c r="G74" s="96">
        <v>1.9253600000000001E-3</v>
      </c>
      <c r="H74" s="86" t="s">
        <v>142</v>
      </c>
    </row>
    <row r="75" spans="1:8" x14ac:dyDescent="0.2">
      <c r="A75" s="97"/>
      <c r="B75" s="97"/>
      <c r="C75" s="98" t="s">
        <v>141</v>
      </c>
      <c r="D75" s="97"/>
      <c r="E75" s="97" t="s">
        <v>142</v>
      </c>
      <c r="F75" s="99">
        <v>899.83124999999995</v>
      </c>
      <c r="G75" s="100">
        <v>1.9253600000000001E-3</v>
      </c>
      <c r="H75" s="86" t="s">
        <v>142</v>
      </c>
    </row>
    <row r="76" spans="1:8" x14ac:dyDescent="0.2">
      <c r="A76" s="97"/>
      <c r="B76" s="97"/>
      <c r="C76" s="101"/>
      <c r="D76" s="97"/>
      <c r="E76" s="97"/>
      <c r="F76" s="102"/>
      <c r="G76" s="102"/>
      <c r="H76" s="86" t="s">
        <v>142</v>
      </c>
    </row>
    <row r="77" spans="1:8" x14ac:dyDescent="0.2">
      <c r="A77" s="97"/>
      <c r="B77" s="97"/>
      <c r="C77" s="98" t="s">
        <v>149</v>
      </c>
      <c r="D77" s="97"/>
      <c r="E77" s="97"/>
      <c r="F77" s="99">
        <v>441853.94445945998</v>
      </c>
      <c r="G77" s="100">
        <v>0.94543257999999997</v>
      </c>
      <c r="H77" s="86" t="s">
        <v>142</v>
      </c>
    </row>
    <row r="78" spans="1:8" x14ac:dyDescent="0.2">
      <c r="A78" s="97"/>
      <c r="B78" s="97"/>
      <c r="C78" s="101"/>
      <c r="D78" s="97"/>
      <c r="E78" s="97"/>
      <c r="F78" s="102"/>
      <c r="G78" s="102"/>
      <c r="H78" s="86" t="s">
        <v>142</v>
      </c>
    </row>
    <row r="79" spans="1:8" x14ac:dyDescent="0.2">
      <c r="A79" s="97"/>
      <c r="B79" s="97"/>
      <c r="C79" s="98" t="s">
        <v>150</v>
      </c>
      <c r="D79" s="97"/>
      <c r="E79" s="97"/>
      <c r="F79" s="102"/>
      <c r="G79" s="102"/>
      <c r="H79" s="86" t="s">
        <v>142</v>
      </c>
    </row>
    <row r="80" spans="1:8" x14ac:dyDescent="0.2">
      <c r="A80" s="97"/>
      <c r="B80" s="97"/>
      <c r="C80" s="98" t="s">
        <v>10</v>
      </c>
      <c r="D80" s="97"/>
      <c r="E80" s="97"/>
      <c r="F80" s="102"/>
      <c r="G80" s="102"/>
      <c r="H80" s="86" t="s">
        <v>142</v>
      </c>
    </row>
    <row r="81" spans="1:8" x14ac:dyDescent="0.2">
      <c r="A81" s="97"/>
      <c r="B81" s="97"/>
      <c r="C81" s="98" t="s">
        <v>141</v>
      </c>
      <c r="D81" s="97"/>
      <c r="E81" s="97" t="s">
        <v>142</v>
      </c>
      <c r="F81" s="103" t="s">
        <v>144</v>
      </c>
      <c r="G81" s="100">
        <v>0</v>
      </c>
      <c r="H81" s="86" t="s">
        <v>142</v>
      </c>
    </row>
    <row r="82" spans="1:8" x14ac:dyDescent="0.2">
      <c r="A82" s="97"/>
      <c r="B82" s="97"/>
      <c r="C82" s="101"/>
      <c r="D82" s="97"/>
      <c r="E82" s="97"/>
      <c r="F82" s="102"/>
      <c r="G82" s="102"/>
      <c r="H82" s="86" t="s">
        <v>142</v>
      </c>
    </row>
    <row r="83" spans="1:8" x14ac:dyDescent="0.2">
      <c r="A83" s="97"/>
      <c r="B83" s="97"/>
      <c r="C83" s="98" t="s">
        <v>151</v>
      </c>
      <c r="D83" s="97"/>
      <c r="E83" s="97"/>
      <c r="F83" s="97"/>
      <c r="G83" s="97"/>
      <c r="H83" s="86" t="s">
        <v>142</v>
      </c>
    </row>
    <row r="84" spans="1:8" x14ac:dyDescent="0.2">
      <c r="A84" s="97"/>
      <c r="B84" s="97"/>
      <c r="C84" s="98" t="s">
        <v>141</v>
      </c>
      <c r="D84" s="97"/>
      <c r="E84" s="97" t="s">
        <v>142</v>
      </c>
      <c r="F84" s="103" t="s">
        <v>144</v>
      </c>
      <c r="G84" s="100">
        <v>0</v>
      </c>
      <c r="H84" s="86" t="s">
        <v>142</v>
      </c>
    </row>
    <row r="85" spans="1:8" x14ac:dyDescent="0.2">
      <c r="A85" s="97"/>
      <c r="B85" s="97"/>
      <c r="C85" s="101"/>
      <c r="D85" s="97"/>
      <c r="E85" s="97"/>
      <c r="F85" s="102"/>
      <c r="G85" s="102"/>
      <c r="H85" s="86" t="s">
        <v>142</v>
      </c>
    </row>
    <row r="86" spans="1:8" x14ac:dyDescent="0.2">
      <c r="A86" s="97"/>
      <c r="B86" s="97"/>
      <c r="C86" s="98" t="s">
        <v>152</v>
      </c>
      <c r="D86" s="97"/>
      <c r="E86" s="97"/>
      <c r="F86" s="97"/>
      <c r="G86" s="97"/>
      <c r="H86" s="86" t="s">
        <v>142</v>
      </c>
    </row>
    <row r="87" spans="1:8" x14ac:dyDescent="0.2">
      <c r="A87" s="97"/>
      <c r="B87" s="97"/>
      <c r="C87" s="98" t="s">
        <v>141</v>
      </c>
      <c r="D87" s="97"/>
      <c r="E87" s="97" t="s">
        <v>142</v>
      </c>
      <c r="F87" s="103" t="s">
        <v>144</v>
      </c>
      <c r="G87" s="100">
        <v>0</v>
      </c>
      <c r="H87" s="86" t="s">
        <v>142</v>
      </c>
    </row>
    <row r="88" spans="1:8" x14ac:dyDescent="0.2">
      <c r="A88" s="97"/>
      <c r="B88" s="97"/>
      <c r="C88" s="101"/>
      <c r="D88" s="97"/>
      <c r="E88" s="97"/>
      <c r="F88" s="102"/>
      <c r="G88" s="102"/>
      <c r="H88" s="86" t="s">
        <v>142</v>
      </c>
    </row>
    <row r="89" spans="1:8" x14ac:dyDescent="0.2">
      <c r="A89" s="97"/>
      <c r="B89" s="97"/>
      <c r="C89" s="98" t="s">
        <v>153</v>
      </c>
      <c r="D89" s="97"/>
      <c r="E89" s="97"/>
      <c r="F89" s="102"/>
      <c r="G89" s="102"/>
      <c r="H89" s="86" t="s">
        <v>142</v>
      </c>
    </row>
    <row r="90" spans="1:8" x14ac:dyDescent="0.2">
      <c r="A90" s="97"/>
      <c r="B90" s="97"/>
      <c r="C90" s="98" t="s">
        <v>141</v>
      </c>
      <c r="D90" s="97"/>
      <c r="E90" s="97" t="s">
        <v>142</v>
      </c>
      <c r="F90" s="103" t="s">
        <v>144</v>
      </c>
      <c r="G90" s="100">
        <v>0</v>
      </c>
      <c r="H90" s="86" t="s">
        <v>142</v>
      </c>
    </row>
    <row r="91" spans="1:8" x14ac:dyDescent="0.2">
      <c r="A91" s="97"/>
      <c r="B91" s="97"/>
      <c r="C91" s="101"/>
      <c r="D91" s="97"/>
      <c r="E91" s="97"/>
      <c r="F91" s="102"/>
      <c r="G91" s="102"/>
      <c r="H91" s="86" t="s">
        <v>142</v>
      </c>
    </row>
    <row r="92" spans="1:8" x14ac:dyDescent="0.2">
      <c r="A92" s="97"/>
      <c r="B92" s="97"/>
      <c r="C92" s="98" t="s">
        <v>154</v>
      </c>
      <c r="D92" s="97"/>
      <c r="E92" s="97"/>
      <c r="F92" s="99">
        <v>0</v>
      </c>
      <c r="G92" s="100">
        <v>0</v>
      </c>
      <c r="H92" s="86" t="s">
        <v>142</v>
      </c>
    </row>
    <row r="93" spans="1:8" x14ac:dyDescent="0.2">
      <c r="A93" s="97"/>
      <c r="B93" s="97"/>
      <c r="C93" s="101"/>
      <c r="D93" s="97"/>
      <c r="E93" s="97"/>
      <c r="F93" s="102"/>
      <c r="G93" s="102"/>
      <c r="H93" s="86" t="s">
        <v>142</v>
      </c>
    </row>
    <row r="94" spans="1:8" x14ac:dyDescent="0.2">
      <c r="A94" s="97"/>
      <c r="B94" s="97"/>
      <c r="C94" s="98" t="s">
        <v>155</v>
      </c>
      <c r="D94" s="97"/>
      <c r="E94" s="97"/>
      <c r="F94" s="102"/>
      <c r="G94" s="102"/>
      <c r="H94" s="86" t="s">
        <v>142</v>
      </c>
    </row>
    <row r="95" spans="1:8" x14ac:dyDescent="0.2">
      <c r="A95" s="97"/>
      <c r="B95" s="97"/>
      <c r="C95" s="98" t="s">
        <v>156</v>
      </c>
      <c r="D95" s="97"/>
      <c r="E95" s="97"/>
      <c r="F95" s="102"/>
      <c r="G95" s="102"/>
      <c r="H95" s="86" t="s">
        <v>142</v>
      </c>
    </row>
    <row r="96" spans="1:8" x14ac:dyDescent="0.2">
      <c r="A96" s="97"/>
      <c r="B96" s="97"/>
      <c r="C96" s="98" t="s">
        <v>141</v>
      </c>
      <c r="D96" s="97"/>
      <c r="E96" s="97" t="s">
        <v>142</v>
      </c>
      <c r="F96" s="103" t="s">
        <v>144</v>
      </c>
      <c r="G96" s="100">
        <v>0</v>
      </c>
      <c r="H96" s="86" t="s">
        <v>142</v>
      </c>
    </row>
    <row r="97" spans="1:8" x14ac:dyDescent="0.2">
      <c r="A97" s="97"/>
      <c r="B97" s="97"/>
      <c r="C97" s="101"/>
      <c r="D97" s="97"/>
      <c r="E97" s="97"/>
      <c r="F97" s="102"/>
      <c r="G97" s="102"/>
      <c r="H97" s="86" t="s">
        <v>142</v>
      </c>
    </row>
    <row r="98" spans="1:8" x14ac:dyDescent="0.2">
      <c r="A98" s="97"/>
      <c r="B98" s="97"/>
      <c r="C98" s="98" t="s">
        <v>157</v>
      </c>
      <c r="D98" s="97"/>
      <c r="E98" s="97"/>
      <c r="F98" s="102"/>
      <c r="G98" s="102"/>
      <c r="H98" s="86" t="s">
        <v>142</v>
      </c>
    </row>
    <row r="99" spans="1:8" x14ac:dyDescent="0.2">
      <c r="A99" s="97"/>
      <c r="B99" s="97"/>
      <c r="C99" s="98" t="s">
        <v>141</v>
      </c>
      <c r="D99" s="97"/>
      <c r="E99" s="97" t="s">
        <v>142</v>
      </c>
      <c r="F99" s="103" t="s">
        <v>144</v>
      </c>
      <c r="G99" s="100">
        <v>0</v>
      </c>
      <c r="H99" s="86" t="s">
        <v>142</v>
      </c>
    </row>
    <row r="100" spans="1:8" x14ac:dyDescent="0.2">
      <c r="A100" s="97"/>
      <c r="B100" s="97"/>
      <c r="C100" s="101"/>
      <c r="D100" s="97"/>
      <c r="E100" s="97"/>
      <c r="F100" s="102"/>
      <c r="G100" s="102"/>
      <c r="H100" s="86" t="s">
        <v>142</v>
      </c>
    </row>
    <row r="101" spans="1:8" x14ac:dyDescent="0.2">
      <c r="A101" s="97"/>
      <c r="B101" s="97"/>
      <c r="C101" s="98" t="s">
        <v>158</v>
      </c>
      <c r="D101" s="97"/>
      <c r="E101" s="97"/>
      <c r="F101" s="102"/>
      <c r="G101" s="102"/>
      <c r="H101" s="86" t="s">
        <v>142</v>
      </c>
    </row>
    <row r="102" spans="1:8" x14ac:dyDescent="0.2">
      <c r="A102" s="97"/>
      <c r="B102" s="97"/>
      <c r="C102" s="98" t="s">
        <v>141</v>
      </c>
      <c r="D102" s="97"/>
      <c r="E102" s="97" t="s">
        <v>142</v>
      </c>
      <c r="F102" s="103" t="s">
        <v>144</v>
      </c>
      <c r="G102" s="100">
        <v>0</v>
      </c>
      <c r="H102" s="86" t="s">
        <v>142</v>
      </c>
    </row>
    <row r="103" spans="1:8" x14ac:dyDescent="0.2">
      <c r="A103" s="97"/>
      <c r="B103" s="97"/>
      <c r="C103" s="101"/>
      <c r="D103" s="97"/>
      <c r="E103" s="97"/>
      <c r="F103" s="102"/>
      <c r="G103" s="102"/>
      <c r="H103" s="86" t="s">
        <v>142</v>
      </c>
    </row>
    <row r="104" spans="1:8" x14ac:dyDescent="0.2">
      <c r="A104" s="97"/>
      <c r="B104" s="97"/>
      <c r="C104" s="98" t="s">
        <v>159</v>
      </c>
      <c r="D104" s="97"/>
      <c r="E104" s="97"/>
      <c r="F104" s="102"/>
      <c r="G104" s="102"/>
      <c r="H104" s="86" t="s">
        <v>142</v>
      </c>
    </row>
    <row r="105" spans="1:8" x14ac:dyDescent="0.2">
      <c r="A105" s="92">
        <v>1</v>
      </c>
      <c r="B105" s="93"/>
      <c r="C105" s="93" t="s">
        <v>160</v>
      </c>
      <c r="D105" s="93"/>
      <c r="E105" s="104"/>
      <c r="F105" s="95">
        <v>22187.700298971002</v>
      </c>
      <c r="G105" s="96">
        <v>4.7474910000000002E-2</v>
      </c>
      <c r="H105" s="86">
        <v>5.57</v>
      </c>
    </row>
    <row r="106" spans="1:8" x14ac:dyDescent="0.2">
      <c r="A106" s="97"/>
      <c r="B106" s="97"/>
      <c r="C106" s="98" t="s">
        <v>141</v>
      </c>
      <c r="D106" s="97"/>
      <c r="E106" s="97" t="s">
        <v>142</v>
      </c>
      <c r="F106" s="99">
        <v>22187.700298971002</v>
      </c>
      <c r="G106" s="100">
        <v>4.7474910000000002E-2</v>
      </c>
      <c r="H106" s="86" t="s">
        <v>142</v>
      </c>
    </row>
    <row r="107" spans="1:8" x14ac:dyDescent="0.2">
      <c r="A107" s="97"/>
      <c r="B107" s="97"/>
      <c r="C107" s="101"/>
      <c r="D107" s="97"/>
      <c r="E107" s="97"/>
      <c r="F107" s="102"/>
      <c r="G107" s="102"/>
      <c r="H107" s="86" t="s">
        <v>142</v>
      </c>
    </row>
    <row r="108" spans="1:8" x14ac:dyDescent="0.2">
      <c r="A108" s="97"/>
      <c r="B108" s="97"/>
      <c r="C108" s="98" t="s">
        <v>161</v>
      </c>
      <c r="D108" s="97"/>
      <c r="E108" s="97"/>
      <c r="F108" s="99">
        <v>22187.700298971002</v>
      </c>
      <c r="G108" s="100">
        <v>4.7474910000000002E-2</v>
      </c>
      <c r="H108" s="86" t="s">
        <v>142</v>
      </c>
    </row>
    <row r="109" spans="1:8" x14ac:dyDescent="0.2">
      <c r="A109" s="97"/>
      <c r="B109" s="97"/>
      <c r="C109" s="102"/>
      <c r="D109" s="97"/>
      <c r="E109" s="97"/>
      <c r="F109" s="97"/>
      <c r="G109" s="97"/>
      <c r="H109" s="86" t="s">
        <v>142</v>
      </c>
    </row>
    <row r="110" spans="1:8" x14ac:dyDescent="0.2">
      <c r="A110" s="97"/>
      <c r="B110" s="97"/>
      <c r="C110" s="98" t="s">
        <v>162</v>
      </c>
      <c r="D110" s="97"/>
      <c r="E110" s="97"/>
      <c r="F110" s="97"/>
      <c r="G110" s="97"/>
      <c r="H110" s="86" t="s">
        <v>142</v>
      </c>
    </row>
    <row r="111" spans="1:8" x14ac:dyDescent="0.2">
      <c r="A111" s="97"/>
      <c r="B111" s="97"/>
      <c r="C111" s="98" t="s">
        <v>163</v>
      </c>
      <c r="D111" s="97"/>
      <c r="E111" s="97"/>
      <c r="F111" s="97"/>
      <c r="G111" s="97"/>
      <c r="H111" s="86" t="s">
        <v>142</v>
      </c>
    </row>
    <row r="112" spans="1:8" x14ac:dyDescent="0.2">
      <c r="A112" s="92">
        <v>1</v>
      </c>
      <c r="B112" s="93" t="s">
        <v>498</v>
      </c>
      <c r="C112" s="93" t="s">
        <v>1147</v>
      </c>
      <c r="D112" s="93"/>
      <c r="E112" s="140">
        <v>33026302.7575</v>
      </c>
      <c r="F112" s="95">
        <v>5099.1950931519996</v>
      </c>
      <c r="G112" s="96">
        <v>1.091072E-2</v>
      </c>
      <c r="H112" s="86" t="s">
        <v>142</v>
      </c>
    </row>
    <row r="113" spans="1:10" x14ac:dyDescent="0.2">
      <c r="A113" s="97"/>
      <c r="B113" s="97"/>
      <c r="C113" s="98" t="s">
        <v>141</v>
      </c>
      <c r="D113" s="97"/>
      <c r="E113" s="97" t="s">
        <v>142</v>
      </c>
      <c r="F113" s="99">
        <v>5099.1950931519996</v>
      </c>
      <c r="G113" s="100">
        <v>1.091072E-2</v>
      </c>
      <c r="H113" s="86" t="s">
        <v>142</v>
      </c>
    </row>
    <row r="114" spans="1:10" x14ac:dyDescent="0.2">
      <c r="A114" s="97"/>
      <c r="B114" s="97"/>
      <c r="C114" s="101"/>
      <c r="D114" s="97"/>
      <c r="E114" s="97"/>
      <c r="F114" s="102"/>
      <c r="G114" s="102"/>
      <c r="H114" s="86" t="s">
        <v>142</v>
      </c>
    </row>
    <row r="115" spans="1:10" x14ac:dyDescent="0.2">
      <c r="A115" s="97"/>
      <c r="B115" s="97"/>
      <c r="C115" s="98" t="s">
        <v>164</v>
      </c>
      <c r="D115" s="97"/>
      <c r="E115" s="97"/>
      <c r="F115" s="97"/>
      <c r="G115" s="97"/>
      <c r="H115" s="86" t="s">
        <v>142</v>
      </c>
    </row>
    <row r="116" spans="1:10" x14ac:dyDescent="0.2">
      <c r="A116" s="97"/>
      <c r="B116" s="97"/>
      <c r="C116" s="98" t="s">
        <v>165</v>
      </c>
      <c r="D116" s="97"/>
      <c r="E116" s="97"/>
      <c r="F116" s="97"/>
      <c r="G116" s="97"/>
      <c r="H116" s="86" t="s">
        <v>142</v>
      </c>
    </row>
    <row r="117" spans="1:10" x14ac:dyDescent="0.2">
      <c r="A117" s="97"/>
      <c r="B117" s="97"/>
      <c r="C117" s="98" t="s">
        <v>141</v>
      </c>
      <c r="D117" s="97"/>
      <c r="E117" s="97" t="s">
        <v>142</v>
      </c>
      <c r="F117" s="103" t="s">
        <v>144</v>
      </c>
      <c r="G117" s="100">
        <v>0</v>
      </c>
      <c r="H117" s="86" t="s">
        <v>142</v>
      </c>
    </row>
    <row r="118" spans="1:10" x14ac:dyDescent="0.2">
      <c r="A118" s="97"/>
      <c r="B118" s="97"/>
      <c r="C118" s="101"/>
      <c r="D118" s="97"/>
      <c r="E118" s="97"/>
      <c r="F118" s="102"/>
      <c r="G118" s="102"/>
      <c r="H118" s="86" t="s">
        <v>142</v>
      </c>
    </row>
    <row r="119" spans="1:10" x14ac:dyDescent="0.2">
      <c r="A119" s="97"/>
      <c r="B119" s="97"/>
      <c r="C119" s="98" t="s">
        <v>166</v>
      </c>
      <c r="D119" s="97"/>
      <c r="E119" s="97"/>
      <c r="F119" s="102"/>
      <c r="G119" s="102"/>
      <c r="H119" s="86" t="s">
        <v>142</v>
      </c>
    </row>
    <row r="120" spans="1:10" x14ac:dyDescent="0.2">
      <c r="A120" s="97"/>
      <c r="B120" s="97"/>
      <c r="C120" s="98" t="s">
        <v>141</v>
      </c>
      <c r="D120" s="97"/>
      <c r="E120" s="97" t="s">
        <v>142</v>
      </c>
      <c r="F120" s="103" t="s">
        <v>144</v>
      </c>
      <c r="G120" s="100">
        <v>0</v>
      </c>
      <c r="H120" s="86" t="s">
        <v>142</v>
      </c>
    </row>
    <row r="121" spans="1:10" x14ac:dyDescent="0.2">
      <c r="A121" s="97"/>
      <c r="B121" s="97"/>
      <c r="C121" s="101"/>
      <c r="D121" s="97"/>
      <c r="E121" s="97"/>
      <c r="F121" s="102"/>
      <c r="G121" s="102"/>
      <c r="H121" s="86" t="s">
        <v>142</v>
      </c>
    </row>
    <row r="122" spans="1:10" x14ac:dyDescent="0.2">
      <c r="A122" s="104"/>
      <c r="B122" s="93"/>
      <c r="C122" s="93" t="s">
        <v>500</v>
      </c>
      <c r="D122" s="93"/>
      <c r="E122" s="104"/>
      <c r="F122" s="95">
        <v>24.999442599999998</v>
      </c>
      <c r="G122" s="96">
        <v>5.3489999999999998E-5</v>
      </c>
      <c r="H122" s="86" t="s">
        <v>142</v>
      </c>
    </row>
    <row r="123" spans="1:10" x14ac:dyDescent="0.2">
      <c r="A123" s="104"/>
      <c r="B123" s="93"/>
      <c r="C123" s="93" t="s">
        <v>167</v>
      </c>
      <c r="D123" s="93"/>
      <c r="E123" s="104"/>
      <c r="F123" s="95">
        <v>-1809.4550170299999</v>
      </c>
      <c r="G123" s="96">
        <v>-3.8716800000000002E-3</v>
      </c>
      <c r="H123" s="86" t="s">
        <v>142</v>
      </c>
    </row>
    <row r="124" spans="1:10" x14ac:dyDescent="0.2">
      <c r="A124" s="101"/>
      <c r="B124" s="101"/>
      <c r="C124" s="98" t="s">
        <v>168</v>
      </c>
      <c r="D124" s="102"/>
      <c r="E124" s="102"/>
      <c r="F124" s="99">
        <v>467356.384277153</v>
      </c>
      <c r="G124" s="105">
        <v>1.0000000200000001</v>
      </c>
      <c r="H124" s="86" t="s">
        <v>142</v>
      </c>
    </row>
    <row r="125" spans="1:10" ht="12.75" customHeight="1" x14ac:dyDescent="0.2">
      <c r="A125" s="106"/>
      <c r="B125" s="106"/>
      <c r="C125" s="107"/>
      <c r="D125" s="108"/>
      <c r="E125" s="108"/>
      <c r="F125" s="109"/>
      <c r="G125" s="110"/>
      <c r="H125" s="111"/>
    </row>
    <row r="126" spans="1:10" x14ac:dyDescent="0.2">
      <c r="A126" s="106"/>
      <c r="B126" s="200" t="s">
        <v>918</v>
      </c>
      <c r="C126" s="200"/>
      <c r="D126" s="200"/>
      <c r="E126" s="200"/>
      <c r="F126" s="200"/>
      <c r="G126" s="200"/>
      <c r="H126" s="200"/>
      <c r="J126" s="113"/>
    </row>
    <row r="127" spans="1:10" x14ac:dyDescent="0.2">
      <c r="A127" s="106"/>
      <c r="B127" s="200" t="s">
        <v>919</v>
      </c>
      <c r="C127" s="200"/>
      <c r="D127" s="200"/>
      <c r="E127" s="200"/>
      <c r="F127" s="200"/>
      <c r="G127" s="200"/>
      <c r="H127" s="200"/>
      <c r="J127" s="113"/>
    </row>
    <row r="128" spans="1:10" x14ac:dyDescent="0.2">
      <c r="A128" s="106"/>
      <c r="B128" s="200" t="s">
        <v>920</v>
      </c>
      <c r="C128" s="200"/>
      <c r="D128" s="200"/>
      <c r="E128" s="200"/>
      <c r="F128" s="200"/>
      <c r="G128" s="200"/>
      <c r="H128" s="200"/>
      <c r="J128" s="113"/>
    </row>
    <row r="129" spans="1:17" s="115" customFormat="1" ht="66.75" customHeight="1" x14ac:dyDescent="0.25">
      <c r="A129" s="114"/>
      <c r="B129" s="201" t="s">
        <v>921</v>
      </c>
      <c r="C129" s="201"/>
      <c r="D129" s="201"/>
      <c r="E129" s="201"/>
      <c r="F129" s="201"/>
      <c r="G129" s="201"/>
      <c r="H129" s="201"/>
      <c r="I129"/>
      <c r="J129" s="113"/>
      <c r="K129"/>
      <c r="L129"/>
      <c r="M129"/>
      <c r="N129"/>
      <c r="O129"/>
      <c r="P129"/>
      <c r="Q129"/>
    </row>
    <row r="130" spans="1:17" x14ac:dyDescent="0.2">
      <c r="A130" s="106"/>
      <c r="B130" s="200" t="s">
        <v>922</v>
      </c>
      <c r="C130" s="200"/>
      <c r="D130" s="200"/>
      <c r="E130" s="200"/>
      <c r="F130" s="200"/>
      <c r="G130" s="200"/>
      <c r="H130" s="200"/>
      <c r="J130" s="113"/>
    </row>
    <row r="131" spans="1:17" x14ac:dyDescent="0.2">
      <c r="A131" s="106"/>
      <c r="B131" s="106"/>
      <c r="C131" s="106"/>
      <c r="D131" s="108"/>
      <c r="E131" s="108"/>
      <c r="F131" s="108"/>
      <c r="G131" s="108"/>
    </row>
    <row r="132" spans="1:17" x14ac:dyDescent="0.2">
      <c r="A132" s="106"/>
      <c r="B132" s="202" t="s">
        <v>169</v>
      </c>
      <c r="C132" s="203"/>
      <c r="D132" s="204"/>
      <c r="E132" s="116"/>
      <c r="F132" s="108"/>
      <c r="G132" s="108"/>
    </row>
    <row r="133" spans="1:17" ht="27.75" customHeight="1" x14ac:dyDescent="0.2">
      <c r="A133" s="106"/>
      <c r="B133" s="205" t="s">
        <v>170</v>
      </c>
      <c r="C133" s="206"/>
      <c r="D133" s="85" t="s">
        <v>171</v>
      </c>
      <c r="E133" s="116"/>
      <c r="F133" s="108"/>
      <c r="G133" s="108"/>
    </row>
    <row r="134" spans="1:17" ht="12.75" customHeight="1" x14ac:dyDescent="0.2">
      <c r="A134" s="106"/>
      <c r="B134" s="205" t="s">
        <v>923</v>
      </c>
      <c r="C134" s="206"/>
      <c r="D134" s="85" t="s">
        <v>171</v>
      </c>
      <c r="E134" s="116"/>
      <c r="F134" s="108"/>
      <c r="G134" s="108"/>
    </row>
    <row r="135" spans="1:17" x14ac:dyDescent="0.2">
      <c r="A135" s="106"/>
      <c r="B135" s="205" t="s">
        <v>172</v>
      </c>
      <c r="C135" s="206"/>
      <c r="D135" s="117" t="s">
        <v>142</v>
      </c>
      <c r="E135" s="116"/>
      <c r="F135" s="108"/>
      <c r="G135" s="108"/>
    </row>
    <row r="136" spans="1:17" x14ac:dyDescent="0.2">
      <c r="A136" s="118"/>
      <c r="B136" s="119" t="s">
        <v>142</v>
      </c>
      <c r="C136" s="119" t="s">
        <v>924</v>
      </c>
      <c r="D136" s="119" t="s">
        <v>173</v>
      </c>
      <c r="E136" s="118"/>
      <c r="F136" s="118"/>
      <c r="G136" s="118"/>
      <c r="H136" s="118"/>
      <c r="J136" s="113"/>
    </row>
    <row r="137" spans="1:17" x14ac:dyDescent="0.2">
      <c r="A137" s="118"/>
      <c r="B137" s="120" t="s">
        <v>174</v>
      </c>
      <c r="C137" s="121">
        <v>45930</v>
      </c>
      <c r="D137" s="121">
        <v>45961</v>
      </c>
      <c r="E137" s="118"/>
      <c r="F137" s="118"/>
      <c r="G137" s="118"/>
      <c r="J137" s="113"/>
    </row>
    <row r="138" spans="1:17" x14ac:dyDescent="0.2">
      <c r="A138" s="122"/>
      <c r="B138" s="93" t="s">
        <v>175</v>
      </c>
      <c r="C138" s="123">
        <v>37.398600000000002</v>
      </c>
      <c r="D138" s="123">
        <v>39.104999999999997</v>
      </c>
      <c r="E138" s="122"/>
      <c r="F138" s="124"/>
      <c r="G138" s="125"/>
    </row>
    <row r="139" spans="1:17" x14ac:dyDescent="0.2">
      <c r="A139" s="122"/>
      <c r="B139" s="93" t="s">
        <v>1101</v>
      </c>
      <c r="C139" s="123">
        <v>25.668500000000002</v>
      </c>
      <c r="D139" s="123">
        <v>26.839700000000001</v>
      </c>
      <c r="E139" s="122"/>
      <c r="F139" s="124"/>
      <c r="G139" s="125"/>
    </row>
    <row r="140" spans="1:17" x14ac:dyDescent="0.2">
      <c r="A140" s="122"/>
      <c r="B140" s="93" t="s">
        <v>176</v>
      </c>
      <c r="C140" s="123">
        <v>34.471299999999999</v>
      </c>
      <c r="D140" s="123">
        <v>36.009300000000003</v>
      </c>
      <c r="E140" s="122"/>
      <c r="F140" s="124"/>
      <c r="G140" s="125"/>
    </row>
    <row r="141" spans="1:17" x14ac:dyDescent="0.2">
      <c r="A141" s="122"/>
      <c r="B141" s="93" t="s">
        <v>1102</v>
      </c>
      <c r="C141" s="123">
        <v>23.633500000000002</v>
      </c>
      <c r="D141" s="123">
        <v>24.687999999999999</v>
      </c>
      <c r="E141" s="122"/>
      <c r="F141" s="124"/>
      <c r="G141" s="125"/>
    </row>
    <row r="142" spans="1:17" x14ac:dyDescent="0.2">
      <c r="A142" s="122"/>
      <c r="B142" s="122"/>
      <c r="C142" s="122"/>
      <c r="D142" s="122"/>
      <c r="E142" s="122"/>
      <c r="F142" s="122"/>
      <c r="G142" s="122"/>
    </row>
    <row r="143" spans="1:17" x14ac:dyDescent="0.2">
      <c r="A143" s="118"/>
      <c r="B143" s="205" t="s">
        <v>925</v>
      </c>
      <c r="C143" s="206"/>
      <c r="D143" s="85" t="s">
        <v>171</v>
      </c>
      <c r="E143" s="118"/>
      <c r="F143" s="118"/>
      <c r="G143" s="118"/>
    </row>
    <row r="144" spans="1:17" x14ac:dyDescent="0.2">
      <c r="A144" s="118"/>
      <c r="B144" s="136"/>
      <c r="C144" s="136"/>
      <c r="D144" s="136"/>
      <c r="E144" s="118"/>
      <c r="F144" s="118"/>
      <c r="G144" s="118"/>
    </row>
    <row r="145" spans="1:8" x14ac:dyDescent="0.2">
      <c r="A145" s="118"/>
      <c r="B145" s="205" t="s">
        <v>179</v>
      </c>
      <c r="C145" s="206"/>
      <c r="D145" s="85" t="s">
        <v>956</v>
      </c>
      <c r="E145" s="118"/>
      <c r="F145" s="118"/>
      <c r="G145" s="118"/>
      <c r="H145" s="118"/>
    </row>
    <row r="146" spans="1:8" x14ac:dyDescent="0.2">
      <c r="A146" s="118"/>
      <c r="B146" s="205" t="s">
        <v>180</v>
      </c>
      <c r="C146" s="206"/>
      <c r="D146" s="147" t="str">
        <f>"Rs. "&amp;TEXT(F62,"0.00")&amp;" Lacs"</f>
        <v>Rs. 4555.95 Lacs</v>
      </c>
      <c r="E146" s="131"/>
      <c r="F146" s="118"/>
      <c r="G146" s="118"/>
      <c r="H146" s="118"/>
    </row>
    <row r="147" spans="1:8" x14ac:dyDescent="0.2">
      <c r="A147" s="118"/>
      <c r="B147" s="205" t="s">
        <v>181</v>
      </c>
      <c r="C147" s="206"/>
      <c r="D147" s="85" t="s">
        <v>171</v>
      </c>
      <c r="E147" s="131"/>
      <c r="F147" s="118"/>
      <c r="G147" s="118"/>
      <c r="H147" s="118"/>
    </row>
    <row r="148" spans="1:8" x14ac:dyDescent="0.2">
      <c r="A148" s="118"/>
      <c r="B148" s="205" t="s">
        <v>182</v>
      </c>
      <c r="C148" s="206"/>
      <c r="D148" s="132">
        <v>0.59740000000000004</v>
      </c>
      <c r="E148" s="118"/>
      <c r="F148" s="112"/>
      <c r="G148" s="133"/>
      <c r="H148" s="133"/>
    </row>
    <row r="150" spans="1:8" x14ac:dyDescent="0.2">
      <c r="B150" s="199" t="s">
        <v>926</v>
      </c>
      <c r="C150" s="199"/>
    </row>
    <row r="152" spans="1:8" ht="153.75" customHeight="1" x14ac:dyDescent="0.2"/>
    <row r="155" spans="1:8" x14ac:dyDescent="0.2">
      <c r="B155" s="134" t="s">
        <v>927</v>
      </c>
      <c r="C155" s="135"/>
      <c r="D155" s="134" t="s">
        <v>932</v>
      </c>
    </row>
    <row r="156" spans="1:8" x14ac:dyDescent="0.2">
      <c r="B156" s="134" t="s">
        <v>1085</v>
      </c>
      <c r="D156" s="134" t="s">
        <v>1086</v>
      </c>
    </row>
    <row r="157" spans="1:8" x14ac:dyDescent="0.2">
      <c r="B157" s="148"/>
    </row>
    <row r="158" spans="1:8" ht="165" customHeight="1" x14ac:dyDescent="0.2"/>
    <row r="160" spans="1:8" ht="12.75" customHeight="1" x14ac:dyDescent="0.2"/>
    <row r="161" customFormat="1" x14ac:dyDescent="0.2"/>
    <row r="162" customFormat="1" x14ac:dyDescent="0.2"/>
    <row r="163" customFormat="1" x14ac:dyDescent="0.2"/>
  </sheetData>
  <mergeCells count="18">
    <mergeCell ref="B145:C145"/>
    <mergeCell ref="B146:C146"/>
    <mergeCell ref="B150:C150"/>
    <mergeCell ref="B148:C148"/>
    <mergeCell ref="A1:H1"/>
    <mergeCell ref="A2:H2"/>
    <mergeCell ref="A3:H3"/>
    <mergeCell ref="B143:C143"/>
    <mergeCell ref="B147:C147"/>
    <mergeCell ref="B126:H126"/>
    <mergeCell ref="B127:H127"/>
    <mergeCell ref="B134:C134"/>
    <mergeCell ref="B135:C135"/>
    <mergeCell ref="B128:H128"/>
    <mergeCell ref="B129:H129"/>
    <mergeCell ref="B130:H130"/>
    <mergeCell ref="B132:D132"/>
    <mergeCell ref="B133:C133"/>
  </mergeCells>
  <hyperlinks>
    <hyperlink ref="I1" location="Index!B2" display="Index" xr:uid="{A9DCEA38-6371-4571-81EE-389C67C24E80}"/>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4AA53-85D4-4565-B3E9-20DA4BDD25F3}">
  <sheetPr>
    <outlinePr summaryBelow="0" summaryRight="0"/>
  </sheetPr>
  <dimension ref="A1:Q161"/>
  <sheetViews>
    <sheetView showGridLines="0" workbookViewId="0">
      <selection activeCell="D145" sqref="D145"/>
    </sheetView>
  </sheetViews>
  <sheetFormatPr defaultRowHeight="12.75" x14ac:dyDescent="0.2"/>
  <cols>
    <col min="1" max="1" width="5.85546875" bestFit="1" customWidth="1"/>
    <col min="2" max="2" width="19.7109375" bestFit="1" customWidth="1"/>
    <col min="3" max="3" width="45.85546875" customWidth="1"/>
    <col min="4" max="4" width="16.570312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834</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1294318</v>
      </c>
      <c r="F7" s="95">
        <v>12778.801614</v>
      </c>
      <c r="G7" s="96">
        <v>8.6285760000000003E-2</v>
      </c>
      <c r="H7" s="86" t="s">
        <v>142</v>
      </c>
    </row>
    <row r="8" spans="1:9" x14ac:dyDescent="0.2">
      <c r="A8" s="92">
        <v>2</v>
      </c>
      <c r="B8" s="93" t="s">
        <v>17</v>
      </c>
      <c r="C8" s="93" t="s">
        <v>18</v>
      </c>
      <c r="D8" s="93" t="s">
        <v>19</v>
      </c>
      <c r="E8" s="94">
        <v>592000</v>
      </c>
      <c r="F8" s="95">
        <v>8799.4879999999994</v>
      </c>
      <c r="G8" s="96">
        <v>5.9416410000000003E-2</v>
      </c>
      <c r="H8" s="86" t="s">
        <v>142</v>
      </c>
    </row>
    <row r="9" spans="1:9" x14ac:dyDescent="0.2">
      <c r="A9" s="92">
        <v>3</v>
      </c>
      <c r="B9" s="93" t="s">
        <v>33</v>
      </c>
      <c r="C9" s="93" t="s">
        <v>34</v>
      </c>
      <c r="D9" s="93" t="s">
        <v>35</v>
      </c>
      <c r="E9" s="94">
        <v>583000</v>
      </c>
      <c r="F9" s="95">
        <v>7843.0990000000002</v>
      </c>
      <c r="G9" s="96">
        <v>5.2958619999999998E-2</v>
      </c>
      <c r="H9" s="86" t="s">
        <v>142</v>
      </c>
    </row>
    <row r="10" spans="1:9" x14ac:dyDescent="0.2">
      <c r="A10" s="92">
        <v>4</v>
      </c>
      <c r="B10" s="93" t="s">
        <v>322</v>
      </c>
      <c r="C10" s="93" t="s">
        <v>323</v>
      </c>
      <c r="D10" s="93" t="s">
        <v>35</v>
      </c>
      <c r="E10" s="94">
        <v>520000</v>
      </c>
      <c r="F10" s="95">
        <v>6410.56</v>
      </c>
      <c r="G10" s="96">
        <v>4.3285749999999998E-2</v>
      </c>
      <c r="H10" s="86" t="s">
        <v>142</v>
      </c>
    </row>
    <row r="11" spans="1:9" x14ac:dyDescent="0.2">
      <c r="A11" s="92">
        <v>5</v>
      </c>
      <c r="B11" s="93" t="s">
        <v>11</v>
      </c>
      <c r="C11" s="93" t="s">
        <v>12</v>
      </c>
      <c r="D11" s="93" t="s">
        <v>13</v>
      </c>
      <c r="E11" s="94">
        <v>310165</v>
      </c>
      <c r="F11" s="95">
        <v>6372.3399250000002</v>
      </c>
      <c r="G11" s="96">
        <v>4.3027679999999999E-2</v>
      </c>
      <c r="H11" s="86" t="s">
        <v>142</v>
      </c>
    </row>
    <row r="12" spans="1:9" x14ac:dyDescent="0.2">
      <c r="A12" s="92">
        <v>6</v>
      </c>
      <c r="B12" s="93" t="s">
        <v>39</v>
      </c>
      <c r="C12" s="93" t="s">
        <v>40</v>
      </c>
      <c r="D12" s="93" t="s">
        <v>35</v>
      </c>
      <c r="E12" s="94">
        <v>595000</v>
      </c>
      <c r="F12" s="95">
        <v>5575.15</v>
      </c>
      <c r="G12" s="96">
        <v>3.7644850000000001E-2</v>
      </c>
      <c r="H12" s="86" t="s">
        <v>142</v>
      </c>
    </row>
    <row r="13" spans="1:9" x14ac:dyDescent="0.2">
      <c r="A13" s="92">
        <v>7</v>
      </c>
      <c r="B13" s="93" t="s">
        <v>14</v>
      </c>
      <c r="C13" s="93" t="s">
        <v>15</v>
      </c>
      <c r="D13" s="93" t="s">
        <v>16</v>
      </c>
      <c r="E13" s="94">
        <v>138000</v>
      </c>
      <c r="F13" s="95">
        <v>5562.6419999999998</v>
      </c>
      <c r="G13" s="96">
        <v>3.7560389999999999E-2</v>
      </c>
      <c r="H13" s="86" t="s">
        <v>142</v>
      </c>
    </row>
    <row r="14" spans="1:9" x14ac:dyDescent="0.2">
      <c r="A14" s="92">
        <v>8</v>
      </c>
      <c r="B14" s="93" t="s">
        <v>326</v>
      </c>
      <c r="C14" s="93" t="s">
        <v>327</v>
      </c>
      <c r="D14" s="93" t="s">
        <v>204</v>
      </c>
      <c r="E14" s="94">
        <v>352000</v>
      </c>
      <c r="F14" s="95">
        <v>5217.6959999999999</v>
      </c>
      <c r="G14" s="96">
        <v>3.5231230000000002E-2</v>
      </c>
      <c r="H14" s="86" t="s">
        <v>142</v>
      </c>
    </row>
    <row r="15" spans="1:9" x14ac:dyDescent="0.2">
      <c r="A15" s="92">
        <v>9</v>
      </c>
      <c r="B15" s="93" t="s">
        <v>420</v>
      </c>
      <c r="C15" s="93" t="s">
        <v>421</v>
      </c>
      <c r="D15" s="93" t="s">
        <v>422</v>
      </c>
      <c r="E15" s="94">
        <v>1210000</v>
      </c>
      <c r="F15" s="95">
        <v>5086.2349999999997</v>
      </c>
      <c r="G15" s="96">
        <v>3.4343569999999997E-2</v>
      </c>
      <c r="H15" s="86" t="s">
        <v>142</v>
      </c>
    </row>
    <row r="16" spans="1:9" x14ac:dyDescent="0.2">
      <c r="A16" s="92">
        <v>10</v>
      </c>
      <c r="B16" s="93" t="s">
        <v>20</v>
      </c>
      <c r="C16" s="93" t="s">
        <v>21</v>
      </c>
      <c r="D16" s="93" t="s">
        <v>22</v>
      </c>
      <c r="E16" s="94">
        <v>1215766</v>
      </c>
      <c r="F16" s="95">
        <v>4096.523537</v>
      </c>
      <c r="G16" s="96">
        <v>2.7660779999999999E-2</v>
      </c>
      <c r="H16" s="86" t="s">
        <v>142</v>
      </c>
    </row>
    <row r="17" spans="1:8" ht="25.5" x14ac:dyDescent="0.2">
      <c r="A17" s="92">
        <v>11</v>
      </c>
      <c r="B17" s="93" t="s">
        <v>23</v>
      </c>
      <c r="C17" s="93" t="s">
        <v>24</v>
      </c>
      <c r="D17" s="93" t="s">
        <v>25</v>
      </c>
      <c r="E17" s="94">
        <v>32000</v>
      </c>
      <c r="F17" s="95">
        <v>3823.04</v>
      </c>
      <c r="G17" s="96">
        <v>2.5814150000000001E-2</v>
      </c>
      <c r="H17" s="86" t="s">
        <v>142</v>
      </c>
    </row>
    <row r="18" spans="1:8" ht="25.5" x14ac:dyDescent="0.2">
      <c r="A18" s="92">
        <v>12</v>
      </c>
      <c r="B18" s="93" t="s">
        <v>436</v>
      </c>
      <c r="C18" s="93" t="s">
        <v>437</v>
      </c>
      <c r="D18" s="93" t="s">
        <v>225</v>
      </c>
      <c r="E18" s="94">
        <v>236775</v>
      </c>
      <c r="F18" s="95">
        <v>3554.7030749999999</v>
      </c>
      <c r="G18" s="96">
        <v>2.4002269999999999E-2</v>
      </c>
      <c r="H18" s="86" t="s">
        <v>142</v>
      </c>
    </row>
    <row r="19" spans="1:8" x14ac:dyDescent="0.2">
      <c r="A19" s="92">
        <v>13</v>
      </c>
      <c r="B19" s="93" t="s">
        <v>816</v>
      </c>
      <c r="C19" s="93" t="s">
        <v>817</v>
      </c>
      <c r="D19" s="93" t="s">
        <v>241</v>
      </c>
      <c r="E19" s="94">
        <v>19735</v>
      </c>
      <c r="F19" s="95">
        <v>3484.0169000000001</v>
      </c>
      <c r="G19" s="96">
        <v>2.3524980000000001E-2</v>
      </c>
      <c r="H19" s="86" t="s">
        <v>142</v>
      </c>
    </row>
    <row r="20" spans="1:8" x14ac:dyDescent="0.2">
      <c r="A20" s="92">
        <v>14</v>
      </c>
      <c r="B20" s="93" t="s">
        <v>76</v>
      </c>
      <c r="C20" s="93" t="s">
        <v>77</v>
      </c>
      <c r="D20" s="93" t="s">
        <v>78</v>
      </c>
      <c r="E20" s="94">
        <v>1700000</v>
      </c>
      <c r="F20" s="95">
        <v>3106.92</v>
      </c>
      <c r="G20" s="96">
        <v>2.0978719999999999E-2</v>
      </c>
      <c r="H20" s="86" t="s">
        <v>142</v>
      </c>
    </row>
    <row r="21" spans="1:8" ht="25.5" x14ac:dyDescent="0.2">
      <c r="A21" s="92">
        <v>15</v>
      </c>
      <c r="B21" s="93" t="s">
        <v>244</v>
      </c>
      <c r="C21" s="93" t="s">
        <v>245</v>
      </c>
      <c r="D21" s="93" t="s">
        <v>225</v>
      </c>
      <c r="E21" s="94">
        <v>54500</v>
      </c>
      <c r="F21" s="95">
        <v>3001.0425</v>
      </c>
      <c r="G21" s="96">
        <v>2.026381E-2</v>
      </c>
      <c r="H21" s="86" t="s">
        <v>142</v>
      </c>
    </row>
    <row r="22" spans="1:8" x14ac:dyDescent="0.2">
      <c r="A22" s="92">
        <v>16</v>
      </c>
      <c r="B22" s="93" t="s">
        <v>291</v>
      </c>
      <c r="C22" s="93" t="s">
        <v>292</v>
      </c>
      <c r="D22" s="93" t="s">
        <v>250</v>
      </c>
      <c r="E22" s="94">
        <v>530885</v>
      </c>
      <c r="F22" s="95">
        <v>2837.0494399999998</v>
      </c>
      <c r="G22" s="96">
        <v>1.9156490000000002E-2</v>
      </c>
      <c r="H22" s="86" t="s">
        <v>142</v>
      </c>
    </row>
    <row r="23" spans="1:8" x14ac:dyDescent="0.2">
      <c r="A23" s="92">
        <v>17</v>
      </c>
      <c r="B23" s="93" t="s">
        <v>516</v>
      </c>
      <c r="C23" s="93" t="s">
        <v>517</v>
      </c>
      <c r="D23" s="93" t="s">
        <v>232</v>
      </c>
      <c r="E23" s="94">
        <v>602000</v>
      </c>
      <c r="F23" s="95">
        <v>2827.2930000000001</v>
      </c>
      <c r="G23" s="96">
        <v>1.9090610000000001E-2</v>
      </c>
      <c r="H23" s="86" t="s">
        <v>142</v>
      </c>
    </row>
    <row r="24" spans="1:8" ht="25.5" x14ac:dyDescent="0.2">
      <c r="A24" s="92">
        <v>18</v>
      </c>
      <c r="B24" s="93" t="s">
        <v>103</v>
      </c>
      <c r="C24" s="93" t="s">
        <v>104</v>
      </c>
      <c r="D24" s="93" t="s">
        <v>25</v>
      </c>
      <c r="E24" s="94">
        <v>465833</v>
      </c>
      <c r="F24" s="95">
        <v>2633.819782</v>
      </c>
      <c r="G24" s="96">
        <v>1.7784230000000002E-2</v>
      </c>
      <c r="H24" s="86" t="s">
        <v>142</v>
      </c>
    </row>
    <row r="25" spans="1:8" x14ac:dyDescent="0.2">
      <c r="A25" s="92">
        <v>19</v>
      </c>
      <c r="B25" s="93" t="s">
        <v>93</v>
      </c>
      <c r="C25" s="93" t="s">
        <v>94</v>
      </c>
      <c r="D25" s="93" t="s">
        <v>58</v>
      </c>
      <c r="E25" s="94">
        <v>256337</v>
      </c>
      <c r="F25" s="95">
        <v>2563.1136630000001</v>
      </c>
      <c r="G25" s="96">
        <v>1.7306800000000001E-2</v>
      </c>
      <c r="H25" s="86" t="s">
        <v>142</v>
      </c>
    </row>
    <row r="26" spans="1:8" x14ac:dyDescent="0.2">
      <c r="A26" s="92">
        <v>20</v>
      </c>
      <c r="B26" s="93" t="s">
        <v>506</v>
      </c>
      <c r="C26" s="93" t="s">
        <v>507</v>
      </c>
      <c r="D26" s="93" t="s">
        <v>232</v>
      </c>
      <c r="E26" s="94">
        <v>170000</v>
      </c>
      <c r="F26" s="95">
        <v>2433.38</v>
      </c>
      <c r="G26" s="96">
        <v>1.6430810000000001E-2</v>
      </c>
      <c r="H26" s="86" t="s">
        <v>142</v>
      </c>
    </row>
    <row r="27" spans="1:8" x14ac:dyDescent="0.2">
      <c r="A27" s="92">
        <v>21</v>
      </c>
      <c r="B27" s="93" t="s">
        <v>432</v>
      </c>
      <c r="C27" s="93" t="s">
        <v>433</v>
      </c>
      <c r="D27" s="93" t="s">
        <v>204</v>
      </c>
      <c r="E27" s="94">
        <v>74734</v>
      </c>
      <c r="F27" s="95">
        <v>2285.3657199999998</v>
      </c>
      <c r="G27" s="96">
        <v>1.543138E-2</v>
      </c>
      <c r="H27" s="86" t="s">
        <v>142</v>
      </c>
    </row>
    <row r="28" spans="1:8" x14ac:dyDescent="0.2">
      <c r="A28" s="92">
        <v>22</v>
      </c>
      <c r="B28" s="93" t="s">
        <v>29</v>
      </c>
      <c r="C28" s="93" t="s">
        <v>30</v>
      </c>
      <c r="D28" s="93" t="s">
        <v>22</v>
      </c>
      <c r="E28" s="94">
        <v>768264</v>
      </c>
      <c r="F28" s="95">
        <v>2213.752716</v>
      </c>
      <c r="G28" s="96">
        <v>1.494783E-2</v>
      </c>
      <c r="H28" s="86" t="s">
        <v>142</v>
      </c>
    </row>
    <row r="29" spans="1:8" x14ac:dyDescent="0.2">
      <c r="A29" s="92">
        <v>23</v>
      </c>
      <c r="B29" s="93" t="s">
        <v>820</v>
      </c>
      <c r="C29" s="93" t="s">
        <v>821</v>
      </c>
      <c r="D29" s="93" t="s">
        <v>278</v>
      </c>
      <c r="E29" s="94">
        <v>540000</v>
      </c>
      <c r="F29" s="95">
        <v>2213.73</v>
      </c>
      <c r="G29" s="96">
        <v>1.494768E-2</v>
      </c>
      <c r="H29" s="86" t="s">
        <v>142</v>
      </c>
    </row>
    <row r="30" spans="1:8" x14ac:dyDescent="0.2">
      <c r="A30" s="92">
        <v>24</v>
      </c>
      <c r="B30" s="93" t="s">
        <v>750</v>
      </c>
      <c r="C30" s="93" t="s">
        <v>751</v>
      </c>
      <c r="D30" s="93" t="s">
        <v>109</v>
      </c>
      <c r="E30" s="94">
        <v>110000</v>
      </c>
      <c r="F30" s="95">
        <v>2167.44</v>
      </c>
      <c r="G30" s="96">
        <v>1.463511E-2</v>
      </c>
      <c r="H30" s="86" t="s">
        <v>142</v>
      </c>
    </row>
    <row r="31" spans="1:8" x14ac:dyDescent="0.2">
      <c r="A31" s="92">
        <v>25</v>
      </c>
      <c r="B31" s="93" t="s">
        <v>444</v>
      </c>
      <c r="C31" s="93" t="s">
        <v>445</v>
      </c>
      <c r="D31" s="93" t="s">
        <v>35</v>
      </c>
      <c r="E31" s="94">
        <v>270000</v>
      </c>
      <c r="F31" s="95">
        <v>2145.96</v>
      </c>
      <c r="G31" s="96">
        <v>1.4490070000000001E-2</v>
      </c>
      <c r="H31" s="86" t="s">
        <v>142</v>
      </c>
    </row>
    <row r="32" spans="1:8" ht="25.5" x14ac:dyDescent="0.2">
      <c r="A32" s="92">
        <v>26</v>
      </c>
      <c r="B32" s="93" t="s">
        <v>822</v>
      </c>
      <c r="C32" s="93" t="s">
        <v>823</v>
      </c>
      <c r="D32" s="93" t="s">
        <v>191</v>
      </c>
      <c r="E32" s="94">
        <v>268000</v>
      </c>
      <c r="F32" s="95">
        <v>1929.8679999999999</v>
      </c>
      <c r="G32" s="96">
        <v>1.3030969999999999E-2</v>
      </c>
      <c r="H32" s="86" t="s">
        <v>142</v>
      </c>
    </row>
    <row r="33" spans="1:8" x14ac:dyDescent="0.2">
      <c r="A33" s="92">
        <v>27</v>
      </c>
      <c r="B33" s="93" t="s">
        <v>423</v>
      </c>
      <c r="C33" s="93" t="s">
        <v>424</v>
      </c>
      <c r="D33" s="93" t="s">
        <v>204</v>
      </c>
      <c r="E33" s="94">
        <v>125000</v>
      </c>
      <c r="F33" s="95">
        <v>1926.875</v>
      </c>
      <c r="G33" s="96">
        <v>1.301076E-2</v>
      </c>
      <c r="H33" s="86" t="s">
        <v>142</v>
      </c>
    </row>
    <row r="34" spans="1:8" x14ac:dyDescent="0.2">
      <c r="A34" s="92">
        <v>28</v>
      </c>
      <c r="B34" s="93" t="s">
        <v>196</v>
      </c>
      <c r="C34" s="93" t="s">
        <v>197</v>
      </c>
      <c r="D34" s="93" t="s">
        <v>19</v>
      </c>
      <c r="E34" s="94">
        <v>380000</v>
      </c>
      <c r="F34" s="95">
        <v>1808.8</v>
      </c>
      <c r="G34" s="96">
        <v>1.2213480000000001E-2</v>
      </c>
      <c r="H34" s="86" t="s">
        <v>142</v>
      </c>
    </row>
    <row r="35" spans="1:8" x14ac:dyDescent="0.2">
      <c r="A35" s="92">
        <v>29</v>
      </c>
      <c r="B35" s="93" t="s">
        <v>430</v>
      </c>
      <c r="C35" s="93" t="s">
        <v>431</v>
      </c>
      <c r="D35" s="93" t="s">
        <v>241</v>
      </c>
      <c r="E35" s="94">
        <v>434000</v>
      </c>
      <c r="F35" s="95">
        <v>1779.4</v>
      </c>
      <c r="G35" s="96">
        <v>1.201497E-2</v>
      </c>
      <c r="H35" s="86" t="s">
        <v>142</v>
      </c>
    </row>
    <row r="36" spans="1:8" x14ac:dyDescent="0.2">
      <c r="A36" s="92">
        <v>30</v>
      </c>
      <c r="B36" s="93" t="s">
        <v>630</v>
      </c>
      <c r="C36" s="93" t="s">
        <v>631</v>
      </c>
      <c r="D36" s="93" t="s">
        <v>241</v>
      </c>
      <c r="E36" s="94">
        <v>32000</v>
      </c>
      <c r="F36" s="95">
        <v>1774.08</v>
      </c>
      <c r="G36" s="96">
        <v>1.197905E-2</v>
      </c>
      <c r="H36" s="86" t="s">
        <v>142</v>
      </c>
    </row>
    <row r="37" spans="1:8" x14ac:dyDescent="0.2">
      <c r="A37" s="92">
        <v>31</v>
      </c>
      <c r="B37" s="93" t="s">
        <v>835</v>
      </c>
      <c r="C37" s="93" t="s">
        <v>836</v>
      </c>
      <c r="D37" s="93" t="s">
        <v>135</v>
      </c>
      <c r="E37" s="94">
        <v>325000</v>
      </c>
      <c r="F37" s="95">
        <v>1680.25</v>
      </c>
      <c r="G37" s="96">
        <v>1.134548E-2</v>
      </c>
      <c r="H37" s="86" t="s">
        <v>142</v>
      </c>
    </row>
    <row r="38" spans="1:8" x14ac:dyDescent="0.2">
      <c r="A38" s="92">
        <v>32</v>
      </c>
      <c r="B38" s="93" t="s">
        <v>237</v>
      </c>
      <c r="C38" s="93" t="s">
        <v>238</v>
      </c>
      <c r="D38" s="93" t="s">
        <v>38</v>
      </c>
      <c r="E38" s="94">
        <v>335000</v>
      </c>
      <c r="F38" s="95">
        <v>1680.0250000000001</v>
      </c>
      <c r="G38" s="96">
        <v>1.134396E-2</v>
      </c>
      <c r="H38" s="86" t="s">
        <v>142</v>
      </c>
    </row>
    <row r="39" spans="1:8" x14ac:dyDescent="0.2">
      <c r="A39" s="92">
        <v>33</v>
      </c>
      <c r="B39" s="93" t="s">
        <v>818</v>
      </c>
      <c r="C39" s="93" t="s">
        <v>819</v>
      </c>
      <c r="D39" s="93" t="s">
        <v>35</v>
      </c>
      <c r="E39" s="94">
        <v>1058068</v>
      </c>
      <c r="F39" s="95">
        <v>1573.0296956</v>
      </c>
      <c r="G39" s="96">
        <v>1.0621500000000001E-2</v>
      </c>
      <c r="H39" s="86" t="s">
        <v>142</v>
      </c>
    </row>
    <row r="40" spans="1:8" ht="25.5" x14ac:dyDescent="0.2">
      <c r="A40" s="92">
        <v>34</v>
      </c>
      <c r="B40" s="93" t="s">
        <v>338</v>
      </c>
      <c r="C40" s="93" t="s">
        <v>339</v>
      </c>
      <c r="D40" s="93" t="s">
        <v>25</v>
      </c>
      <c r="E40" s="94">
        <v>53000</v>
      </c>
      <c r="F40" s="95">
        <v>1532.6010000000001</v>
      </c>
      <c r="G40" s="96">
        <v>1.034852E-2</v>
      </c>
      <c r="H40" s="86" t="s">
        <v>142</v>
      </c>
    </row>
    <row r="41" spans="1:8" x14ac:dyDescent="0.2">
      <c r="A41" s="92">
        <v>35</v>
      </c>
      <c r="B41" s="93" t="s">
        <v>837</v>
      </c>
      <c r="C41" s="93" t="s">
        <v>838</v>
      </c>
      <c r="D41" s="93" t="s">
        <v>48</v>
      </c>
      <c r="E41" s="94">
        <v>612000</v>
      </c>
      <c r="F41" s="95">
        <v>1517.5152</v>
      </c>
      <c r="G41" s="96">
        <v>1.024665E-2</v>
      </c>
      <c r="H41" s="86" t="s">
        <v>142</v>
      </c>
    </row>
    <row r="42" spans="1:8" x14ac:dyDescent="0.2">
      <c r="A42" s="92">
        <v>36</v>
      </c>
      <c r="B42" s="93" t="s">
        <v>839</v>
      </c>
      <c r="C42" s="93" t="s">
        <v>840</v>
      </c>
      <c r="D42" s="93" t="s">
        <v>78</v>
      </c>
      <c r="E42" s="94">
        <v>113589</v>
      </c>
      <c r="F42" s="95">
        <v>1450.4179409999999</v>
      </c>
      <c r="G42" s="96">
        <v>9.7935999999999995E-3</v>
      </c>
      <c r="H42" s="86" t="s">
        <v>142</v>
      </c>
    </row>
    <row r="43" spans="1:8" ht="25.5" x14ac:dyDescent="0.2">
      <c r="A43" s="92">
        <v>37</v>
      </c>
      <c r="B43" s="93" t="s">
        <v>289</v>
      </c>
      <c r="C43" s="93" t="s">
        <v>290</v>
      </c>
      <c r="D43" s="93" t="s">
        <v>191</v>
      </c>
      <c r="E43" s="94">
        <v>40000</v>
      </c>
      <c r="F43" s="95">
        <v>1430.96</v>
      </c>
      <c r="G43" s="96">
        <v>9.6622099999999992E-3</v>
      </c>
      <c r="H43" s="86" t="s">
        <v>142</v>
      </c>
    </row>
    <row r="44" spans="1:8" x14ac:dyDescent="0.2">
      <c r="A44" s="92">
        <v>38</v>
      </c>
      <c r="B44" s="93" t="s">
        <v>518</v>
      </c>
      <c r="C44" s="93" t="s">
        <v>519</v>
      </c>
      <c r="D44" s="93" t="s">
        <v>204</v>
      </c>
      <c r="E44" s="94">
        <v>100000</v>
      </c>
      <c r="F44" s="95">
        <v>1424.4</v>
      </c>
      <c r="G44" s="96">
        <v>9.6179200000000003E-3</v>
      </c>
      <c r="H44" s="86" t="s">
        <v>142</v>
      </c>
    </row>
    <row r="45" spans="1:8" x14ac:dyDescent="0.2">
      <c r="A45" s="92">
        <v>39</v>
      </c>
      <c r="B45" s="93" t="s">
        <v>508</v>
      </c>
      <c r="C45" s="93" t="s">
        <v>509</v>
      </c>
      <c r="D45" s="93" t="s">
        <v>38</v>
      </c>
      <c r="E45" s="94">
        <v>140000</v>
      </c>
      <c r="F45" s="95">
        <v>1406.65</v>
      </c>
      <c r="G45" s="96">
        <v>9.4980599999999991E-3</v>
      </c>
      <c r="H45" s="86" t="s">
        <v>142</v>
      </c>
    </row>
    <row r="46" spans="1:8" x14ac:dyDescent="0.2">
      <c r="A46" s="92">
        <v>40</v>
      </c>
      <c r="B46" s="93" t="s">
        <v>216</v>
      </c>
      <c r="C46" s="93" t="s">
        <v>217</v>
      </c>
      <c r="D46" s="93" t="s">
        <v>218</v>
      </c>
      <c r="E46" s="94">
        <v>235000</v>
      </c>
      <c r="F46" s="95">
        <v>1404.9475</v>
      </c>
      <c r="G46" s="96">
        <v>9.4865699999999997E-3</v>
      </c>
      <c r="H46" s="86" t="s">
        <v>142</v>
      </c>
    </row>
    <row r="47" spans="1:8" x14ac:dyDescent="0.2">
      <c r="A47" s="92">
        <v>41</v>
      </c>
      <c r="B47" s="93" t="s">
        <v>481</v>
      </c>
      <c r="C47" s="93" t="s">
        <v>482</v>
      </c>
      <c r="D47" s="93" t="s">
        <v>257</v>
      </c>
      <c r="E47" s="94">
        <v>112500</v>
      </c>
      <c r="F47" s="95">
        <v>1307.8125</v>
      </c>
      <c r="G47" s="96">
        <v>8.8306900000000004E-3</v>
      </c>
      <c r="H47" s="86" t="s">
        <v>142</v>
      </c>
    </row>
    <row r="48" spans="1:8" x14ac:dyDescent="0.2">
      <c r="A48" s="92">
        <v>42</v>
      </c>
      <c r="B48" s="93" t="s">
        <v>692</v>
      </c>
      <c r="C48" s="93" t="s">
        <v>693</v>
      </c>
      <c r="D48" s="93" t="s">
        <v>64</v>
      </c>
      <c r="E48" s="94">
        <v>274000</v>
      </c>
      <c r="F48" s="95">
        <v>1187.3789999999999</v>
      </c>
      <c r="G48" s="96">
        <v>8.0174900000000004E-3</v>
      </c>
      <c r="H48" s="86" t="s">
        <v>142</v>
      </c>
    </row>
    <row r="49" spans="1:8" x14ac:dyDescent="0.2">
      <c r="A49" s="92">
        <v>43</v>
      </c>
      <c r="B49" s="93" t="s">
        <v>841</v>
      </c>
      <c r="C49" s="93" t="s">
        <v>842</v>
      </c>
      <c r="D49" s="93" t="s">
        <v>48</v>
      </c>
      <c r="E49" s="94">
        <v>110000</v>
      </c>
      <c r="F49" s="95">
        <v>1177.6600000000001</v>
      </c>
      <c r="G49" s="96">
        <v>7.9518599999999998E-3</v>
      </c>
      <c r="H49" s="86" t="s">
        <v>142</v>
      </c>
    </row>
    <row r="50" spans="1:8" x14ac:dyDescent="0.2">
      <c r="A50" s="92">
        <v>44</v>
      </c>
      <c r="B50" s="93" t="s">
        <v>442</v>
      </c>
      <c r="C50" s="93" t="s">
        <v>443</v>
      </c>
      <c r="D50" s="93" t="s">
        <v>38</v>
      </c>
      <c r="E50" s="94">
        <v>434000</v>
      </c>
      <c r="F50" s="95">
        <v>1131.655</v>
      </c>
      <c r="G50" s="96">
        <v>7.6412299999999997E-3</v>
      </c>
      <c r="H50" s="86" t="s">
        <v>142</v>
      </c>
    </row>
    <row r="51" spans="1:8" ht="25.5" x14ac:dyDescent="0.2">
      <c r="A51" s="92">
        <v>45</v>
      </c>
      <c r="B51" s="93" t="s">
        <v>136</v>
      </c>
      <c r="C51" s="93" t="s">
        <v>137</v>
      </c>
      <c r="D51" s="93" t="s">
        <v>132</v>
      </c>
      <c r="E51" s="94">
        <v>294000</v>
      </c>
      <c r="F51" s="95">
        <v>992.54399999999998</v>
      </c>
      <c r="G51" s="96">
        <v>6.7019100000000002E-3</v>
      </c>
      <c r="H51" s="86" t="s">
        <v>142</v>
      </c>
    </row>
    <row r="52" spans="1:8" x14ac:dyDescent="0.2">
      <c r="A52" s="92">
        <v>46</v>
      </c>
      <c r="B52" s="93" t="s">
        <v>307</v>
      </c>
      <c r="C52" s="93" t="s">
        <v>308</v>
      </c>
      <c r="D52" s="93" t="s">
        <v>309</v>
      </c>
      <c r="E52" s="94">
        <v>35000</v>
      </c>
      <c r="F52" s="95">
        <v>947.94</v>
      </c>
      <c r="G52" s="96">
        <v>6.4007400000000002E-3</v>
      </c>
      <c r="H52" s="86" t="s">
        <v>142</v>
      </c>
    </row>
    <row r="53" spans="1:8" x14ac:dyDescent="0.2">
      <c r="A53" s="92">
        <v>47</v>
      </c>
      <c r="B53" s="93" t="s">
        <v>310</v>
      </c>
      <c r="C53" s="93" t="s">
        <v>311</v>
      </c>
      <c r="D53" s="93" t="s">
        <v>38</v>
      </c>
      <c r="E53" s="94">
        <v>35000</v>
      </c>
      <c r="F53" s="95">
        <v>749.28</v>
      </c>
      <c r="G53" s="96">
        <v>5.0593299999999999E-3</v>
      </c>
      <c r="H53" s="86" t="s">
        <v>142</v>
      </c>
    </row>
    <row r="54" spans="1:8" x14ac:dyDescent="0.2">
      <c r="A54" s="92">
        <v>48</v>
      </c>
      <c r="B54" s="93" t="s">
        <v>283</v>
      </c>
      <c r="C54" s="93" t="s">
        <v>284</v>
      </c>
      <c r="D54" s="93" t="s">
        <v>218</v>
      </c>
      <c r="E54" s="94">
        <v>454147</v>
      </c>
      <c r="F54" s="95">
        <v>734.80984599999999</v>
      </c>
      <c r="G54" s="96">
        <v>4.9616299999999999E-3</v>
      </c>
      <c r="H54" s="86" t="s">
        <v>142</v>
      </c>
    </row>
    <row r="55" spans="1:8" x14ac:dyDescent="0.2">
      <c r="A55" s="97"/>
      <c r="B55" s="97"/>
      <c r="C55" s="98" t="s">
        <v>141</v>
      </c>
      <c r="D55" s="97"/>
      <c r="E55" s="97" t="s">
        <v>142</v>
      </c>
      <c r="F55" s="99">
        <v>141582.06155459999</v>
      </c>
      <c r="G55" s="100">
        <v>0.95599856000000005</v>
      </c>
      <c r="H55" s="86" t="s">
        <v>142</v>
      </c>
    </row>
    <row r="56" spans="1:8" x14ac:dyDescent="0.2">
      <c r="A56" s="97"/>
      <c r="B56" s="97"/>
      <c r="C56" s="101"/>
      <c r="D56" s="97"/>
      <c r="E56" s="97"/>
      <c r="F56" s="102"/>
      <c r="G56" s="102"/>
      <c r="H56" s="86" t="s">
        <v>142</v>
      </c>
    </row>
    <row r="57" spans="1:8" x14ac:dyDescent="0.2">
      <c r="A57" s="97"/>
      <c r="B57" s="97"/>
      <c r="C57" s="98" t="s">
        <v>143</v>
      </c>
      <c r="D57" s="97"/>
      <c r="E57" s="97"/>
      <c r="F57" s="97"/>
      <c r="G57" s="97"/>
      <c r="H57" s="86" t="s">
        <v>142</v>
      </c>
    </row>
    <row r="58" spans="1:8" x14ac:dyDescent="0.2">
      <c r="A58" s="97"/>
      <c r="B58" s="97"/>
      <c r="C58" s="98" t="s">
        <v>141</v>
      </c>
      <c r="D58" s="97"/>
      <c r="E58" s="97" t="s">
        <v>142</v>
      </c>
      <c r="F58" s="103" t="s">
        <v>144</v>
      </c>
      <c r="G58" s="100">
        <v>0</v>
      </c>
      <c r="H58" s="86" t="s">
        <v>142</v>
      </c>
    </row>
    <row r="59" spans="1:8" x14ac:dyDescent="0.2">
      <c r="A59" s="97"/>
      <c r="B59" s="97"/>
      <c r="C59" s="101"/>
      <c r="D59" s="97"/>
      <c r="E59" s="97"/>
      <c r="F59" s="102"/>
      <c r="G59" s="102"/>
      <c r="H59" s="86" t="s">
        <v>142</v>
      </c>
    </row>
    <row r="60" spans="1:8" x14ac:dyDescent="0.2">
      <c r="A60" s="97"/>
      <c r="B60" s="97"/>
      <c r="C60" s="98" t="s">
        <v>145</v>
      </c>
      <c r="D60" s="97"/>
      <c r="E60" s="97"/>
      <c r="F60" s="97"/>
      <c r="G60" s="97"/>
      <c r="H60" s="86" t="s">
        <v>142</v>
      </c>
    </row>
    <row r="61" spans="1:8" x14ac:dyDescent="0.2">
      <c r="A61" s="97"/>
      <c r="B61" s="97"/>
      <c r="C61" s="98" t="s">
        <v>141</v>
      </c>
      <c r="D61" s="97"/>
      <c r="E61" s="97" t="s">
        <v>142</v>
      </c>
      <c r="F61" s="103" t="s">
        <v>144</v>
      </c>
      <c r="G61" s="100">
        <v>0</v>
      </c>
      <c r="H61" s="86" t="s">
        <v>142</v>
      </c>
    </row>
    <row r="62" spans="1:8" x14ac:dyDescent="0.2">
      <c r="A62" s="97"/>
      <c r="B62" s="97"/>
      <c r="C62" s="101"/>
      <c r="D62" s="97"/>
      <c r="E62" s="97"/>
      <c r="F62" s="102"/>
      <c r="G62" s="102"/>
      <c r="H62" s="86" t="s">
        <v>142</v>
      </c>
    </row>
    <row r="63" spans="1:8" x14ac:dyDescent="0.2">
      <c r="A63" s="97"/>
      <c r="B63" s="97"/>
      <c r="C63" s="98" t="s">
        <v>146</v>
      </c>
      <c r="D63" s="97"/>
      <c r="E63" s="97"/>
      <c r="F63" s="97"/>
      <c r="G63" s="97"/>
      <c r="H63" s="86" t="s">
        <v>142</v>
      </c>
    </row>
    <row r="64" spans="1:8" x14ac:dyDescent="0.2">
      <c r="A64" s="97"/>
      <c r="B64" s="97"/>
      <c r="C64" s="98" t="s">
        <v>141</v>
      </c>
      <c r="D64" s="97"/>
      <c r="E64" s="97" t="s">
        <v>142</v>
      </c>
      <c r="F64" s="103" t="s">
        <v>144</v>
      </c>
      <c r="G64" s="100">
        <v>0</v>
      </c>
      <c r="H64" s="86" t="s">
        <v>142</v>
      </c>
    </row>
    <row r="65" spans="1:8" x14ac:dyDescent="0.2">
      <c r="A65" s="97"/>
      <c r="B65" s="97"/>
      <c r="C65" s="101"/>
      <c r="D65" s="97"/>
      <c r="E65" s="97"/>
      <c r="F65" s="102"/>
      <c r="G65" s="102"/>
      <c r="H65" s="86" t="s">
        <v>142</v>
      </c>
    </row>
    <row r="66" spans="1:8" x14ac:dyDescent="0.2">
      <c r="A66" s="97"/>
      <c r="B66" s="97"/>
      <c r="C66" s="98" t="s">
        <v>147</v>
      </c>
      <c r="D66" s="97"/>
      <c r="E66" s="97"/>
      <c r="F66" s="102"/>
      <c r="G66" s="102"/>
      <c r="H66" s="86" t="s">
        <v>142</v>
      </c>
    </row>
    <row r="67" spans="1:8" x14ac:dyDescent="0.2">
      <c r="A67" s="97"/>
      <c r="B67" s="97"/>
      <c r="C67" s="98" t="s">
        <v>141</v>
      </c>
      <c r="D67" s="97"/>
      <c r="E67" s="97" t="s">
        <v>142</v>
      </c>
      <c r="F67" s="103" t="s">
        <v>144</v>
      </c>
      <c r="G67" s="100">
        <v>0</v>
      </c>
      <c r="H67" s="86" t="s">
        <v>142</v>
      </c>
    </row>
    <row r="68" spans="1:8" x14ac:dyDescent="0.2">
      <c r="A68" s="97"/>
      <c r="B68" s="97"/>
      <c r="C68" s="101"/>
      <c r="D68" s="97"/>
      <c r="E68" s="97"/>
      <c r="F68" s="102"/>
      <c r="G68" s="102"/>
      <c r="H68" s="86" t="s">
        <v>142</v>
      </c>
    </row>
    <row r="69" spans="1:8" x14ac:dyDescent="0.2">
      <c r="A69" s="97"/>
      <c r="B69" s="97"/>
      <c r="C69" s="98" t="s">
        <v>148</v>
      </c>
      <c r="D69" s="97"/>
      <c r="E69" s="97"/>
      <c r="F69" s="102"/>
      <c r="G69" s="102"/>
      <c r="H69" s="86" t="s">
        <v>142</v>
      </c>
    </row>
    <row r="70" spans="1:8" x14ac:dyDescent="0.2">
      <c r="A70" s="97"/>
      <c r="B70" s="97"/>
      <c r="C70" s="98" t="s">
        <v>141</v>
      </c>
      <c r="D70" s="97"/>
      <c r="E70" s="97" t="s">
        <v>142</v>
      </c>
      <c r="F70" s="103" t="s">
        <v>144</v>
      </c>
      <c r="G70" s="100">
        <v>0</v>
      </c>
      <c r="H70" s="86" t="s">
        <v>142</v>
      </c>
    </row>
    <row r="71" spans="1:8" x14ac:dyDescent="0.2">
      <c r="A71" s="97"/>
      <c r="B71" s="97"/>
      <c r="C71" s="101"/>
      <c r="D71" s="97"/>
      <c r="E71" s="97"/>
      <c r="F71" s="102"/>
      <c r="G71" s="102"/>
      <c r="H71" s="86" t="s">
        <v>142</v>
      </c>
    </row>
    <row r="72" spans="1:8" x14ac:dyDescent="0.2">
      <c r="A72" s="97"/>
      <c r="B72" s="97"/>
      <c r="C72" s="98" t="s">
        <v>149</v>
      </c>
      <c r="D72" s="97"/>
      <c r="E72" s="97"/>
      <c r="F72" s="99">
        <v>141582.06155459999</v>
      </c>
      <c r="G72" s="100">
        <v>0.95599856000000005</v>
      </c>
      <c r="H72" s="86" t="s">
        <v>142</v>
      </c>
    </row>
    <row r="73" spans="1:8" x14ac:dyDescent="0.2">
      <c r="A73" s="97"/>
      <c r="B73" s="97"/>
      <c r="C73" s="101"/>
      <c r="D73" s="97"/>
      <c r="E73" s="97"/>
      <c r="F73" s="102"/>
      <c r="G73" s="102"/>
      <c r="H73" s="86" t="s">
        <v>142</v>
      </c>
    </row>
    <row r="74" spans="1:8" x14ac:dyDescent="0.2">
      <c r="A74" s="97"/>
      <c r="B74" s="97"/>
      <c r="C74" s="98" t="s">
        <v>150</v>
      </c>
      <c r="D74" s="97"/>
      <c r="E74" s="97"/>
      <c r="F74" s="102"/>
      <c r="G74" s="102"/>
      <c r="H74" s="86" t="s">
        <v>142</v>
      </c>
    </row>
    <row r="75" spans="1:8" x14ac:dyDescent="0.2">
      <c r="A75" s="97"/>
      <c r="B75" s="97"/>
      <c r="C75" s="98" t="s">
        <v>10</v>
      </c>
      <c r="D75" s="97"/>
      <c r="E75" s="97"/>
      <c r="F75" s="102"/>
      <c r="G75" s="102"/>
      <c r="H75" s="86" t="s">
        <v>142</v>
      </c>
    </row>
    <row r="76" spans="1:8" x14ac:dyDescent="0.2">
      <c r="A76" s="97"/>
      <c r="B76" s="97"/>
      <c r="C76" s="98" t="s">
        <v>141</v>
      </c>
      <c r="D76" s="97"/>
      <c r="E76" s="97" t="s">
        <v>142</v>
      </c>
      <c r="F76" s="103" t="s">
        <v>144</v>
      </c>
      <c r="G76" s="100">
        <v>0</v>
      </c>
      <c r="H76" s="86" t="s">
        <v>142</v>
      </c>
    </row>
    <row r="77" spans="1:8" x14ac:dyDescent="0.2">
      <c r="A77" s="97"/>
      <c r="B77" s="97"/>
      <c r="C77" s="101"/>
      <c r="D77" s="97"/>
      <c r="E77" s="97"/>
      <c r="F77" s="102"/>
      <c r="G77" s="102"/>
      <c r="H77" s="86" t="s">
        <v>142</v>
      </c>
    </row>
    <row r="78" spans="1:8" x14ac:dyDescent="0.2">
      <c r="A78" s="97"/>
      <c r="B78" s="97"/>
      <c r="C78" s="98" t="s">
        <v>151</v>
      </c>
      <c r="D78" s="97"/>
      <c r="E78" s="97"/>
      <c r="F78" s="97"/>
      <c r="G78" s="97"/>
      <c r="H78" s="86" t="s">
        <v>142</v>
      </c>
    </row>
    <row r="79" spans="1:8" x14ac:dyDescent="0.2">
      <c r="A79" s="97"/>
      <c r="B79" s="97"/>
      <c r="C79" s="98" t="s">
        <v>141</v>
      </c>
      <c r="D79" s="97"/>
      <c r="E79" s="97" t="s">
        <v>142</v>
      </c>
      <c r="F79" s="103" t="s">
        <v>144</v>
      </c>
      <c r="G79" s="100">
        <v>0</v>
      </c>
      <c r="H79" s="86" t="s">
        <v>142</v>
      </c>
    </row>
    <row r="80" spans="1:8" x14ac:dyDescent="0.2">
      <c r="A80" s="97"/>
      <c r="B80" s="97"/>
      <c r="C80" s="101"/>
      <c r="D80" s="97"/>
      <c r="E80" s="97"/>
      <c r="F80" s="102"/>
      <c r="G80" s="102"/>
      <c r="H80" s="86" t="s">
        <v>142</v>
      </c>
    </row>
    <row r="81" spans="1:8" x14ac:dyDescent="0.2">
      <c r="A81" s="97"/>
      <c r="B81" s="97"/>
      <c r="C81" s="98" t="s">
        <v>152</v>
      </c>
      <c r="D81" s="97"/>
      <c r="E81" s="97"/>
      <c r="F81" s="97"/>
      <c r="G81" s="97"/>
      <c r="H81" s="86" t="s">
        <v>142</v>
      </c>
    </row>
    <row r="82" spans="1:8" x14ac:dyDescent="0.2">
      <c r="A82" s="97"/>
      <c r="B82" s="97"/>
      <c r="C82" s="98" t="s">
        <v>141</v>
      </c>
      <c r="D82" s="97"/>
      <c r="E82" s="97" t="s">
        <v>142</v>
      </c>
      <c r="F82" s="103" t="s">
        <v>144</v>
      </c>
      <c r="G82" s="100">
        <v>0</v>
      </c>
      <c r="H82" s="86" t="s">
        <v>142</v>
      </c>
    </row>
    <row r="83" spans="1:8" x14ac:dyDescent="0.2">
      <c r="A83" s="97"/>
      <c r="B83" s="97"/>
      <c r="C83" s="101"/>
      <c r="D83" s="97"/>
      <c r="E83" s="97"/>
      <c r="F83" s="102"/>
      <c r="G83" s="102"/>
      <c r="H83" s="86" t="s">
        <v>142</v>
      </c>
    </row>
    <row r="84" spans="1:8" x14ac:dyDescent="0.2">
      <c r="A84" s="97"/>
      <c r="B84" s="97"/>
      <c r="C84" s="98" t="s">
        <v>153</v>
      </c>
      <c r="D84" s="97"/>
      <c r="E84" s="97"/>
      <c r="F84" s="102"/>
      <c r="G84" s="102"/>
      <c r="H84" s="86" t="s">
        <v>142</v>
      </c>
    </row>
    <row r="85" spans="1:8" x14ac:dyDescent="0.2">
      <c r="A85" s="97"/>
      <c r="B85" s="97"/>
      <c r="C85" s="98" t="s">
        <v>141</v>
      </c>
      <c r="D85" s="97"/>
      <c r="E85" s="97" t="s">
        <v>142</v>
      </c>
      <c r="F85" s="103" t="s">
        <v>144</v>
      </c>
      <c r="G85" s="100">
        <v>0</v>
      </c>
      <c r="H85" s="86" t="s">
        <v>142</v>
      </c>
    </row>
    <row r="86" spans="1:8" x14ac:dyDescent="0.2">
      <c r="A86" s="97"/>
      <c r="B86" s="97"/>
      <c r="C86" s="101"/>
      <c r="D86" s="97"/>
      <c r="E86" s="97"/>
      <c r="F86" s="102"/>
      <c r="G86" s="102"/>
      <c r="H86" s="86" t="s">
        <v>142</v>
      </c>
    </row>
    <row r="87" spans="1:8" x14ac:dyDescent="0.2">
      <c r="A87" s="97"/>
      <c r="B87" s="97"/>
      <c r="C87" s="98" t="s">
        <v>154</v>
      </c>
      <c r="D87" s="97"/>
      <c r="E87" s="97"/>
      <c r="F87" s="99">
        <v>0</v>
      </c>
      <c r="G87" s="100">
        <v>0</v>
      </c>
      <c r="H87" s="86" t="s">
        <v>142</v>
      </c>
    </row>
    <row r="88" spans="1:8" x14ac:dyDescent="0.2">
      <c r="A88" s="97"/>
      <c r="B88" s="97"/>
      <c r="C88" s="101"/>
      <c r="D88" s="97"/>
      <c r="E88" s="97"/>
      <c r="F88" s="102"/>
      <c r="G88" s="102"/>
      <c r="H88" s="86" t="s">
        <v>142</v>
      </c>
    </row>
    <row r="89" spans="1:8" x14ac:dyDescent="0.2">
      <c r="A89" s="97"/>
      <c r="B89" s="97"/>
      <c r="C89" s="98" t="s">
        <v>155</v>
      </c>
      <c r="D89" s="97"/>
      <c r="E89" s="97"/>
      <c r="F89" s="102"/>
      <c r="G89" s="102"/>
      <c r="H89" s="86" t="s">
        <v>142</v>
      </c>
    </row>
    <row r="90" spans="1:8" x14ac:dyDescent="0.2">
      <c r="A90" s="97"/>
      <c r="B90" s="97"/>
      <c r="C90" s="98" t="s">
        <v>156</v>
      </c>
      <c r="D90" s="97"/>
      <c r="E90" s="97"/>
      <c r="F90" s="102"/>
      <c r="G90" s="102"/>
      <c r="H90" s="86" t="s">
        <v>142</v>
      </c>
    </row>
    <row r="91" spans="1:8" x14ac:dyDescent="0.2">
      <c r="A91" s="97"/>
      <c r="B91" s="97"/>
      <c r="C91" s="98" t="s">
        <v>141</v>
      </c>
      <c r="D91" s="97"/>
      <c r="E91" s="97" t="s">
        <v>142</v>
      </c>
      <c r="F91" s="103" t="s">
        <v>144</v>
      </c>
      <c r="G91" s="100">
        <v>0</v>
      </c>
      <c r="H91" s="86" t="s">
        <v>142</v>
      </c>
    </row>
    <row r="92" spans="1:8" x14ac:dyDescent="0.2">
      <c r="A92" s="97"/>
      <c r="B92" s="97"/>
      <c r="C92" s="101"/>
      <c r="D92" s="97"/>
      <c r="E92" s="97"/>
      <c r="F92" s="102"/>
      <c r="G92" s="102"/>
      <c r="H92" s="86" t="s">
        <v>142</v>
      </c>
    </row>
    <row r="93" spans="1:8" x14ac:dyDescent="0.2">
      <c r="A93" s="97"/>
      <c r="B93" s="97"/>
      <c r="C93" s="98" t="s">
        <v>157</v>
      </c>
      <c r="D93" s="97"/>
      <c r="E93" s="97"/>
      <c r="F93" s="102"/>
      <c r="G93" s="102"/>
      <c r="H93" s="86" t="s">
        <v>142</v>
      </c>
    </row>
    <row r="94" spans="1:8" x14ac:dyDescent="0.2">
      <c r="A94" s="97"/>
      <c r="B94" s="97"/>
      <c r="C94" s="98" t="s">
        <v>141</v>
      </c>
      <c r="D94" s="97"/>
      <c r="E94" s="97" t="s">
        <v>142</v>
      </c>
      <c r="F94" s="103" t="s">
        <v>144</v>
      </c>
      <c r="G94" s="100">
        <v>0</v>
      </c>
      <c r="H94" s="86" t="s">
        <v>142</v>
      </c>
    </row>
    <row r="95" spans="1:8" x14ac:dyDescent="0.2">
      <c r="A95" s="97"/>
      <c r="B95" s="97"/>
      <c r="C95" s="101"/>
      <c r="D95" s="97"/>
      <c r="E95" s="97"/>
      <c r="F95" s="102"/>
      <c r="G95" s="102"/>
      <c r="H95" s="86" t="s">
        <v>142</v>
      </c>
    </row>
    <row r="96" spans="1:8" x14ac:dyDescent="0.2">
      <c r="A96" s="97"/>
      <c r="B96" s="97"/>
      <c r="C96" s="98" t="s">
        <v>158</v>
      </c>
      <c r="D96" s="97"/>
      <c r="E96" s="97"/>
      <c r="F96" s="102"/>
      <c r="G96" s="102"/>
      <c r="H96" s="86" t="s">
        <v>142</v>
      </c>
    </row>
    <row r="97" spans="1:8" x14ac:dyDescent="0.2">
      <c r="A97" s="97"/>
      <c r="B97" s="97"/>
      <c r="C97" s="98" t="s">
        <v>141</v>
      </c>
      <c r="D97" s="97"/>
      <c r="E97" s="97" t="s">
        <v>142</v>
      </c>
      <c r="F97" s="103" t="s">
        <v>144</v>
      </c>
      <c r="G97" s="100">
        <v>0</v>
      </c>
      <c r="H97" s="86" t="s">
        <v>142</v>
      </c>
    </row>
    <row r="98" spans="1:8" x14ac:dyDescent="0.2">
      <c r="A98" s="97"/>
      <c r="B98" s="97"/>
      <c r="C98" s="101"/>
      <c r="D98" s="97"/>
      <c r="E98" s="97"/>
      <c r="F98" s="102"/>
      <c r="G98" s="102"/>
      <c r="H98" s="86" t="s">
        <v>142</v>
      </c>
    </row>
    <row r="99" spans="1:8" x14ac:dyDescent="0.2">
      <c r="A99" s="97"/>
      <c r="B99" s="97"/>
      <c r="C99" s="98" t="s">
        <v>159</v>
      </c>
      <c r="D99" s="97"/>
      <c r="E99" s="97"/>
      <c r="F99" s="102"/>
      <c r="G99" s="102"/>
      <c r="H99" s="86" t="s">
        <v>142</v>
      </c>
    </row>
    <row r="100" spans="1:8" x14ac:dyDescent="0.2">
      <c r="A100" s="92">
        <v>1</v>
      </c>
      <c r="B100" s="93"/>
      <c r="C100" s="93" t="s">
        <v>160</v>
      </c>
      <c r="D100" s="93"/>
      <c r="E100" s="104"/>
      <c r="F100" s="95">
        <v>6197.9645756890004</v>
      </c>
      <c r="G100" s="96">
        <v>4.1850249999999999E-2</v>
      </c>
      <c r="H100" s="86">
        <v>5.57</v>
      </c>
    </row>
    <row r="101" spans="1:8" x14ac:dyDescent="0.2">
      <c r="A101" s="97"/>
      <c r="B101" s="97"/>
      <c r="C101" s="98" t="s">
        <v>141</v>
      </c>
      <c r="D101" s="97"/>
      <c r="E101" s="97" t="s">
        <v>142</v>
      </c>
      <c r="F101" s="99">
        <v>6197.9645756890004</v>
      </c>
      <c r="G101" s="100">
        <v>4.1850249999999999E-2</v>
      </c>
      <c r="H101" s="86" t="s">
        <v>142</v>
      </c>
    </row>
    <row r="102" spans="1:8" x14ac:dyDescent="0.2">
      <c r="A102" s="97"/>
      <c r="B102" s="97"/>
      <c r="C102" s="101"/>
      <c r="D102" s="97"/>
      <c r="E102" s="97"/>
      <c r="F102" s="102"/>
      <c r="G102" s="102"/>
      <c r="H102" s="86" t="s">
        <v>142</v>
      </c>
    </row>
    <row r="103" spans="1:8" x14ac:dyDescent="0.2">
      <c r="A103" s="97"/>
      <c r="B103" s="97"/>
      <c r="C103" s="98" t="s">
        <v>161</v>
      </c>
      <c r="D103" s="97"/>
      <c r="E103" s="97"/>
      <c r="F103" s="99">
        <v>6197.9645756890004</v>
      </c>
      <c r="G103" s="100">
        <v>4.1850249999999999E-2</v>
      </c>
      <c r="H103" s="86" t="s">
        <v>142</v>
      </c>
    </row>
    <row r="104" spans="1:8" x14ac:dyDescent="0.2">
      <c r="A104" s="97"/>
      <c r="B104" s="97"/>
      <c r="C104" s="102"/>
      <c r="D104" s="97"/>
      <c r="E104" s="97"/>
      <c r="F104" s="97"/>
      <c r="G104" s="97"/>
      <c r="H104" s="86" t="s">
        <v>142</v>
      </c>
    </row>
    <row r="105" spans="1:8" x14ac:dyDescent="0.2">
      <c r="A105" s="97"/>
      <c r="B105" s="97"/>
      <c r="C105" s="98" t="s">
        <v>162</v>
      </c>
      <c r="D105" s="97"/>
      <c r="E105" s="97"/>
      <c r="F105" s="97"/>
      <c r="G105" s="97"/>
      <c r="H105" s="86" t="s">
        <v>142</v>
      </c>
    </row>
    <row r="106" spans="1:8" x14ac:dyDescent="0.2">
      <c r="A106" s="97"/>
      <c r="B106" s="97"/>
      <c r="C106" s="98" t="s">
        <v>163</v>
      </c>
      <c r="D106" s="97"/>
      <c r="E106" s="97"/>
      <c r="F106" s="97"/>
      <c r="G106" s="97"/>
      <c r="H106" s="86" t="s">
        <v>142</v>
      </c>
    </row>
    <row r="107" spans="1:8" x14ac:dyDescent="0.2">
      <c r="A107" s="97"/>
      <c r="B107" s="97"/>
      <c r="C107" s="98" t="s">
        <v>141</v>
      </c>
      <c r="D107" s="97"/>
      <c r="E107" s="97" t="s">
        <v>142</v>
      </c>
      <c r="F107" s="103" t="s">
        <v>144</v>
      </c>
      <c r="G107" s="100">
        <v>0</v>
      </c>
      <c r="H107" s="86" t="s">
        <v>142</v>
      </c>
    </row>
    <row r="108" spans="1:8" x14ac:dyDescent="0.2">
      <c r="A108" s="97"/>
      <c r="B108" s="97"/>
      <c r="C108" s="101"/>
      <c r="D108" s="97"/>
      <c r="E108" s="97"/>
      <c r="F108" s="102"/>
      <c r="G108" s="102"/>
      <c r="H108" s="86" t="s">
        <v>142</v>
      </c>
    </row>
    <row r="109" spans="1:8" x14ac:dyDescent="0.2">
      <c r="A109" s="97"/>
      <c r="B109" s="97"/>
      <c r="C109" s="98" t="s">
        <v>164</v>
      </c>
      <c r="D109" s="97"/>
      <c r="E109" s="97"/>
      <c r="F109" s="97"/>
      <c r="G109" s="97"/>
      <c r="H109" s="86" t="s">
        <v>142</v>
      </c>
    </row>
    <row r="110" spans="1:8" x14ac:dyDescent="0.2">
      <c r="A110" s="97"/>
      <c r="B110" s="97"/>
      <c r="C110" s="98" t="s">
        <v>165</v>
      </c>
      <c r="D110" s="97"/>
      <c r="E110" s="97"/>
      <c r="F110" s="97"/>
      <c r="G110" s="97"/>
      <c r="H110" s="86" t="s">
        <v>142</v>
      </c>
    </row>
    <row r="111" spans="1:8" x14ac:dyDescent="0.2">
      <c r="A111" s="97"/>
      <c r="B111" s="97"/>
      <c r="C111" s="98" t="s">
        <v>141</v>
      </c>
      <c r="D111" s="97"/>
      <c r="E111" s="97" t="s">
        <v>142</v>
      </c>
      <c r="F111" s="103" t="s">
        <v>144</v>
      </c>
      <c r="G111" s="100">
        <v>0</v>
      </c>
      <c r="H111" s="86" t="s">
        <v>142</v>
      </c>
    </row>
    <row r="112" spans="1:8" x14ac:dyDescent="0.2">
      <c r="A112" s="97"/>
      <c r="B112" s="97"/>
      <c r="C112" s="101"/>
      <c r="D112" s="97"/>
      <c r="E112" s="97"/>
      <c r="F112" s="102"/>
      <c r="G112" s="102"/>
      <c r="H112" s="86" t="s">
        <v>142</v>
      </c>
    </row>
    <row r="113" spans="1:17" x14ac:dyDescent="0.2">
      <c r="A113" s="97"/>
      <c r="B113" s="97"/>
      <c r="C113" s="98" t="s">
        <v>166</v>
      </c>
      <c r="D113" s="97"/>
      <c r="E113" s="97"/>
      <c r="F113" s="102"/>
      <c r="G113" s="102"/>
      <c r="H113" s="86" t="s">
        <v>142</v>
      </c>
    </row>
    <row r="114" spans="1:17" x14ac:dyDescent="0.2">
      <c r="A114" s="97"/>
      <c r="B114" s="97"/>
      <c r="C114" s="98" t="s">
        <v>141</v>
      </c>
      <c r="D114" s="97"/>
      <c r="E114" s="97" t="s">
        <v>142</v>
      </c>
      <c r="F114" s="103" t="s">
        <v>144</v>
      </c>
      <c r="G114" s="100">
        <v>0</v>
      </c>
      <c r="H114" s="86" t="s">
        <v>142</v>
      </c>
    </row>
    <row r="115" spans="1:17" x14ac:dyDescent="0.2">
      <c r="A115" s="97"/>
      <c r="B115" s="97"/>
      <c r="C115" s="101"/>
      <c r="D115" s="97"/>
      <c r="E115" s="97"/>
      <c r="F115" s="102"/>
      <c r="G115" s="102"/>
      <c r="H115" s="86" t="s">
        <v>142</v>
      </c>
    </row>
    <row r="116" spans="1:17" x14ac:dyDescent="0.2">
      <c r="A116" s="104"/>
      <c r="B116" s="93"/>
      <c r="C116" s="93" t="s">
        <v>167</v>
      </c>
      <c r="D116" s="93"/>
      <c r="E116" s="104"/>
      <c r="F116" s="95">
        <v>318.59140735</v>
      </c>
      <c r="G116" s="96">
        <v>2.1512100000000002E-3</v>
      </c>
      <c r="H116" s="86" t="s">
        <v>142</v>
      </c>
    </row>
    <row r="117" spans="1:17" x14ac:dyDescent="0.2">
      <c r="A117" s="101"/>
      <c r="B117" s="101"/>
      <c r="C117" s="98" t="s">
        <v>168</v>
      </c>
      <c r="D117" s="102"/>
      <c r="E117" s="102"/>
      <c r="F117" s="99">
        <v>148098.61753763899</v>
      </c>
      <c r="G117" s="105">
        <v>1.0000000200000001</v>
      </c>
      <c r="H117" s="86" t="s">
        <v>142</v>
      </c>
    </row>
    <row r="118" spans="1:17" ht="12.75" customHeight="1" x14ac:dyDescent="0.2">
      <c r="A118" s="106"/>
      <c r="B118" s="106"/>
      <c r="C118" s="107"/>
      <c r="D118" s="108"/>
      <c r="E118" s="108"/>
      <c r="F118" s="109"/>
      <c r="G118" s="110"/>
      <c r="H118" s="111"/>
    </row>
    <row r="119" spans="1:17" x14ac:dyDescent="0.2">
      <c r="A119" s="106"/>
      <c r="B119" s="200" t="s">
        <v>918</v>
      </c>
      <c r="C119" s="200"/>
      <c r="D119" s="200"/>
      <c r="E119" s="200"/>
      <c r="F119" s="200"/>
      <c r="G119" s="200"/>
      <c r="H119" s="200"/>
      <c r="J119" s="113"/>
    </row>
    <row r="120" spans="1:17" x14ac:dyDescent="0.2">
      <c r="A120" s="106"/>
      <c r="B120" s="200" t="s">
        <v>919</v>
      </c>
      <c r="C120" s="200"/>
      <c r="D120" s="200"/>
      <c r="E120" s="200"/>
      <c r="F120" s="200"/>
      <c r="G120" s="200"/>
      <c r="H120" s="200"/>
      <c r="J120" s="113"/>
    </row>
    <row r="121" spans="1:17" x14ac:dyDescent="0.2">
      <c r="A121" s="106"/>
      <c r="B121" s="200" t="s">
        <v>920</v>
      </c>
      <c r="C121" s="200"/>
      <c r="D121" s="200"/>
      <c r="E121" s="200"/>
      <c r="F121" s="200"/>
      <c r="G121" s="200"/>
      <c r="H121" s="200"/>
      <c r="J121" s="113"/>
    </row>
    <row r="122" spans="1:17" s="115" customFormat="1" ht="66.75" customHeight="1" x14ac:dyDescent="0.25">
      <c r="A122" s="114"/>
      <c r="B122" s="201" t="s">
        <v>921</v>
      </c>
      <c r="C122" s="201"/>
      <c r="D122" s="201"/>
      <c r="E122" s="201"/>
      <c r="F122" s="201"/>
      <c r="G122" s="201"/>
      <c r="H122" s="201"/>
      <c r="I122"/>
      <c r="J122" s="113"/>
      <c r="K122"/>
      <c r="L122"/>
      <c r="M122"/>
      <c r="N122"/>
      <c r="O122"/>
      <c r="P122"/>
      <c r="Q122"/>
    </row>
    <row r="123" spans="1:17" x14ac:dyDescent="0.2">
      <c r="A123" s="106"/>
      <c r="B123" s="200" t="s">
        <v>922</v>
      </c>
      <c r="C123" s="200"/>
      <c r="D123" s="200"/>
      <c r="E123" s="200"/>
      <c r="F123" s="200"/>
      <c r="G123" s="200"/>
      <c r="H123" s="200"/>
      <c r="J123" s="113"/>
    </row>
    <row r="124" spans="1:17" x14ac:dyDescent="0.2">
      <c r="A124" s="106"/>
      <c r="B124" s="106"/>
      <c r="C124" s="106"/>
      <c r="D124" s="108"/>
      <c r="E124" s="108"/>
      <c r="F124" s="108"/>
      <c r="G124" s="108"/>
    </row>
    <row r="125" spans="1:17" x14ac:dyDescent="0.2">
      <c r="A125" s="106"/>
      <c r="B125" s="202" t="s">
        <v>169</v>
      </c>
      <c r="C125" s="203"/>
      <c r="D125" s="204"/>
      <c r="E125" s="116"/>
      <c r="F125" s="108"/>
      <c r="G125" s="108"/>
    </row>
    <row r="126" spans="1:17" ht="27.75" customHeight="1" x14ac:dyDescent="0.2">
      <c r="A126" s="106"/>
      <c r="B126" s="205" t="s">
        <v>170</v>
      </c>
      <c r="C126" s="206"/>
      <c r="D126" s="85" t="s">
        <v>171</v>
      </c>
      <c r="E126" s="116"/>
      <c r="F126" s="108"/>
      <c r="G126" s="108"/>
    </row>
    <row r="127" spans="1:17" ht="12.75" customHeight="1" x14ac:dyDescent="0.2">
      <c r="A127" s="106"/>
      <c r="B127" s="205" t="s">
        <v>923</v>
      </c>
      <c r="C127" s="206"/>
      <c r="D127" s="85" t="s">
        <v>171</v>
      </c>
      <c r="E127" s="116"/>
      <c r="F127" s="108"/>
      <c r="G127" s="108"/>
    </row>
    <row r="128" spans="1:17" x14ac:dyDescent="0.2">
      <c r="A128" s="106"/>
      <c r="B128" s="205" t="s">
        <v>172</v>
      </c>
      <c r="C128" s="206"/>
      <c r="D128" s="117" t="s">
        <v>142</v>
      </c>
      <c r="E128" s="116"/>
      <c r="F128" s="108"/>
      <c r="G128" s="108"/>
    </row>
    <row r="129" spans="1:10" x14ac:dyDescent="0.2">
      <c r="A129" s="118"/>
      <c r="B129" s="119" t="s">
        <v>142</v>
      </c>
      <c r="C129" s="119" t="s">
        <v>924</v>
      </c>
      <c r="D129" s="119" t="s">
        <v>173</v>
      </c>
      <c r="E129" s="118"/>
      <c r="F129" s="118"/>
      <c r="G129" s="118"/>
      <c r="H129" s="118"/>
      <c r="J129" s="113"/>
    </row>
    <row r="130" spans="1:10" x14ac:dyDescent="0.2">
      <c r="A130" s="118"/>
      <c r="B130" s="120" t="s">
        <v>174</v>
      </c>
      <c r="C130" s="121">
        <v>45930</v>
      </c>
      <c r="D130" s="121">
        <v>45961</v>
      </c>
      <c r="E130" s="118"/>
      <c r="F130" s="118"/>
      <c r="G130" s="118"/>
      <c r="J130" s="113"/>
    </row>
    <row r="131" spans="1:10" x14ac:dyDescent="0.2">
      <c r="A131" s="122"/>
      <c r="B131" s="93" t="s">
        <v>175</v>
      </c>
      <c r="C131" s="123">
        <v>230.44820000000001</v>
      </c>
      <c r="D131" s="123">
        <v>238.67750000000001</v>
      </c>
      <c r="E131" s="122"/>
      <c r="F131" s="124"/>
      <c r="G131" s="125"/>
    </row>
    <row r="132" spans="1:10" x14ac:dyDescent="0.2">
      <c r="A132" s="122"/>
      <c r="B132" s="93" t="s">
        <v>1101</v>
      </c>
      <c r="C132" s="123">
        <v>20.337800000000001</v>
      </c>
      <c r="D132" s="123">
        <v>21.064</v>
      </c>
      <c r="E132" s="122"/>
      <c r="F132" s="124"/>
      <c r="G132" s="125"/>
    </row>
    <row r="133" spans="1:10" x14ac:dyDescent="0.2">
      <c r="A133" s="122"/>
      <c r="B133" s="93" t="s">
        <v>176</v>
      </c>
      <c r="C133" s="123">
        <v>217.32490000000001</v>
      </c>
      <c r="D133" s="123">
        <v>224.9862</v>
      </c>
      <c r="E133" s="122"/>
      <c r="F133" s="124"/>
      <c r="G133" s="125"/>
    </row>
    <row r="134" spans="1:10" x14ac:dyDescent="0.2">
      <c r="A134" s="122"/>
      <c r="B134" s="93" t="s">
        <v>1102</v>
      </c>
      <c r="C134" s="123">
        <v>16.720800000000001</v>
      </c>
      <c r="D134" s="123">
        <v>17.310300000000002</v>
      </c>
      <c r="E134" s="122"/>
      <c r="F134" s="124"/>
      <c r="G134" s="125"/>
    </row>
    <row r="135" spans="1:10" x14ac:dyDescent="0.2">
      <c r="A135" s="122"/>
      <c r="B135" s="122"/>
      <c r="C135" s="122"/>
      <c r="D135" s="122"/>
      <c r="E135" s="122"/>
      <c r="F135" s="122"/>
      <c r="G135" s="122"/>
    </row>
    <row r="136" spans="1:10" x14ac:dyDescent="0.2">
      <c r="A136" s="118"/>
      <c r="B136" s="205" t="s">
        <v>925</v>
      </c>
      <c r="C136" s="206"/>
      <c r="D136" s="85" t="s">
        <v>171</v>
      </c>
      <c r="E136" s="118"/>
      <c r="F136" s="118"/>
      <c r="G136" s="118"/>
    </row>
    <row r="137" spans="1:10" x14ac:dyDescent="0.2">
      <c r="A137" s="118"/>
      <c r="B137" s="136"/>
      <c r="C137" s="136"/>
      <c r="D137" s="136"/>
      <c r="E137" s="118"/>
      <c r="F137" s="118"/>
      <c r="G137" s="118"/>
    </row>
    <row r="138" spans="1:10" x14ac:dyDescent="0.2">
      <c r="A138" s="118"/>
      <c r="B138" s="205" t="s">
        <v>179</v>
      </c>
      <c r="C138" s="206"/>
      <c r="D138" s="85" t="s">
        <v>171</v>
      </c>
      <c r="E138" s="131"/>
      <c r="F138" s="118"/>
      <c r="G138" s="118"/>
    </row>
    <row r="139" spans="1:10" x14ac:dyDescent="0.2">
      <c r="A139" s="118"/>
      <c r="B139" s="205" t="s">
        <v>180</v>
      </c>
      <c r="C139" s="206"/>
      <c r="D139" s="85" t="s">
        <v>171</v>
      </c>
      <c r="E139" s="131"/>
      <c r="F139" s="118"/>
      <c r="G139" s="118"/>
    </row>
    <row r="140" spans="1:10" x14ac:dyDescent="0.2">
      <c r="A140" s="118"/>
      <c r="B140" s="205" t="s">
        <v>181</v>
      </c>
      <c r="C140" s="206"/>
      <c r="D140" s="85" t="s">
        <v>171</v>
      </c>
      <c r="E140" s="131"/>
      <c r="F140" s="118"/>
      <c r="G140" s="118"/>
    </row>
    <row r="141" spans="1:10" x14ac:dyDescent="0.2">
      <c r="A141" s="118"/>
      <c r="B141" s="205" t="s">
        <v>182</v>
      </c>
      <c r="C141" s="206"/>
      <c r="D141" s="132">
        <v>0.48907484932332151</v>
      </c>
      <c r="E141" s="118"/>
      <c r="F141" s="112"/>
      <c r="G141" s="133"/>
    </row>
    <row r="143" spans="1:10" x14ac:dyDescent="0.2">
      <c r="B143" s="199" t="s">
        <v>926</v>
      </c>
      <c r="C143" s="199"/>
    </row>
    <row r="145" spans="2:10" ht="153.75" customHeight="1" x14ac:dyDescent="0.2"/>
    <row r="148" spans="2:10" x14ac:dyDescent="0.2">
      <c r="B148" s="134" t="s">
        <v>927</v>
      </c>
      <c r="C148" s="135"/>
      <c r="D148" s="134"/>
    </row>
    <row r="149" spans="2:10" x14ac:dyDescent="0.2">
      <c r="B149" s="134" t="s">
        <v>1087</v>
      </c>
      <c r="D149" s="134"/>
    </row>
    <row r="150" spans="2:10" ht="165" customHeight="1" x14ac:dyDescent="0.2"/>
    <row r="152" spans="2:10" x14ac:dyDescent="0.2">
      <c r="J152" s="83"/>
    </row>
    <row r="156" spans="2:10" ht="14.25" customHeight="1" x14ac:dyDescent="0.2"/>
    <row r="157" spans="2:10" ht="14.25" customHeight="1" x14ac:dyDescent="0.2"/>
    <row r="158" spans="2:10" ht="12.75" customHeight="1" x14ac:dyDescent="0.2"/>
    <row r="159" spans="2:10" ht="12.75" customHeight="1" x14ac:dyDescent="0.2"/>
    <row r="160" spans="2:10" ht="12.75" customHeight="1" x14ac:dyDescent="0.2"/>
    <row r="161" customFormat="1" x14ac:dyDescent="0.2"/>
  </sheetData>
  <mergeCells count="18">
    <mergeCell ref="B138:C138"/>
    <mergeCell ref="B139:C139"/>
    <mergeCell ref="B143:C143"/>
    <mergeCell ref="B141:C141"/>
    <mergeCell ref="A1:H1"/>
    <mergeCell ref="A2:H2"/>
    <mergeCell ref="A3:H3"/>
    <mergeCell ref="B136:C136"/>
    <mergeCell ref="B140:C140"/>
    <mergeCell ref="B119:H119"/>
    <mergeCell ref="B120:H120"/>
    <mergeCell ref="B127:C127"/>
    <mergeCell ref="B128:C128"/>
    <mergeCell ref="B121:H121"/>
    <mergeCell ref="B122:H122"/>
    <mergeCell ref="B123:H123"/>
    <mergeCell ref="B125:D125"/>
    <mergeCell ref="B126:C126"/>
  </mergeCells>
  <hyperlinks>
    <hyperlink ref="I1" location="Index!B2" display="Index" xr:uid="{29D7510A-09BE-43FF-A68E-66AB4B92FB76}"/>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8C72-E138-4369-99DB-4D40E8270411}">
  <sheetPr>
    <outlinePr summaryBelow="0" summaryRight="0"/>
  </sheetPr>
  <dimension ref="A1:Q154"/>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52.7109375" customWidth="1"/>
    <col min="4" max="4" width="16.570312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843</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3180198</v>
      </c>
      <c r="F7" s="95">
        <v>31398.094853999999</v>
      </c>
      <c r="G7" s="96">
        <v>9.3495410000000001E-2</v>
      </c>
      <c r="H7" s="86" t="s">
        <v>142</v>
      </c>
    </row>
    <row r="8" spans="1:9" x14ac:dyDescent="0.2">
      <c r="A8" s="92">
        <v>2</v>
      </c>
      <c r="B8" s="93" t="s">
        <v>33</v>
      </c>
      <c r="C8" s="93" t="s">
        <v>34</v>
      </c>
      <c r="D8" s="93" t="s">
        <v>35</v>
      </c>
      <c r="E8" s="94">
        <v>2172271</v>
      </c>
      <c r="F8" s="95">
        <v>29223.561763000002</v>
      </c>
      <c r="G8" s="96">
        <v>8.7020210000000001E-2</v>
      </c>
      <c r="H8" s="86" t="s">
        <v>142</v>
      </c>
    </row>
    <row r="9" spans="1:9" x14ac:dyDescent="0.2">
      <c r="A9" s="92">
        <v>3</v>
      </c>
      <c r="B9" s="93" t="s">
        <v>11</v>
      </c>
      <c r="C9" s="93" t="s">
        <v>12</v>
      </c>
      <c r="D9" s="93" t="s">
        <v>13</v>
      </c>
      <c r="E9" s="94">
        <v>977000</v>
      </c>
      <c r="F9" s="95">
        <v>20072.465</v>
      </c>
      <c r="G9" s="96">
        <v>5.9770610000000002E-2</v>
      </c>
      <c r="H9" s="86" t="s">
        <v>142</v>
      </c>
    </row>
    <row r="10" spans="1:9" x14ac:dyDescent="0.2">
      <c r="A10" s="92">
        <v>4</v>
      </c>
      <c r="B10" s="93" t="s">
        <v>326</v>
      </c>
      <c r="C10" s="93" t="s">
        <v>327</v>
      </c>
      <c r="D10" s="93" t="s">
        <v>204</v>
      </c>
      <c r="E10" s="94">
        <v>1067000</v>
      </c>
      <c r="F10" s="95">
        <v>15816.141</v>
      </c>
      <c r="G10" s="96">
        <v>4.709638E-2</v>
      </c>
      <c r="H10" s="86" t="s">
        <v>142</v>
      </c>
    </row>
    <row r="11" spans="1:9" x14ac:dyDescent="0.2">
      <c r="A11" s="92">
        <v>5</v>
      </c>
      <c r="B11" s="93" t="s">
        <v>17</v>
      </c>
      <c r="C11" s="93" t="s">
        <v>18</v>
      </c>
      <c r="D11" s="93" t="s">
        <v>19</v>
      </c>
      <c r="E11" s="94">
        <v>1011076</v>
      </c>
      <c r="F11" s="95">
        <v>15028.633664000001</v>
      </c>
      <c r="G11" s="96">
        <v>4.4751390000000002E-2</v>
      </c>
      <c r="H11" s="86" t="s">
        <v>142</v>
      </c>
    </row>
    <row r="12" spans="1:9" x14ac:dyDescent="0.2">
      <c r="A12" s="92">
        <v>6</v>
      </c>
      <c r="B12" s="93" t="s">
        <v>39</v>
      </c>
      <c r="C12" s="93" t="s">
        <v>40</v>
      </c>
      <c r="D12" s="93" t="s">
        <v>35</v>
      </c>
      <c r="E12" s="94">
        <v>1307239</v>
      </c>
      <c r="F12" s="95">
        <v>12248.82943</v>
      </c>
      <c r="G12" s="96">
        <v>3.6473850000000002E-2</v>
      </c>
      <c r="H12" s="86" t="s">
        <v>142</v>
      </c>
    </row>
    <row r="13" spans="1:9" x14ac:dyDescent="0.2">
      <c r="A13" s="92">
        <v>7</v>
      </c>
      <c r="B13" s="93" t="s">
        <v>322</v>
      </c>
      <c r="C13" s="93" t="s">
        <v>323</v>
      </c>
      <c r="D13" s="93" t="s">
        <v>35</v>
      </c>
      <c r="E13" s="94">
        <v>976671</v>
      </c>
      <c r="F13" s="95">
        <v>12040.400088</v>
      </c>
      <c r="G13" s="96">
        <v>3.5853200000000002E-2</v>
      </c>
      <c r="H13" s="86" t="s">
        <v>142</v>
      </c>
    </row>
    <row r="14" spans="1:9" x14ac:dyDescent="0.2">
      <c r="A14" s="92">
        <v>8</v>
      </c>
      <c r="B14" s="93" t="s">
        <v>14</v>
      </c>
      <c r="C14" s="93" t="s">
        <v>15</v>
      </c>
      <c r="D14" s="93" t="s">
        <v>16</v>
      </c>
      <c r="E14" s="94">
        <v>277730</v>
      </c>
      <c r="F14" s="95">
        <v>11195.01857</v>
      </c>
      <c r="G14" s="96">
        <v>3.3335869999999997E-2</v>
      </c>
      <c r="H14" s="86" t="s">
        <v>142</v>
      </c>
    </row>
    <row r="15" spans="1:9" ht="25.5" x14ac:dyDescent="0.2">
      <c r="A15" s="92">
        <v>9</v>
      </c>
      <c r="B15" s="93" t="s">
        <v>346</v>
      </c>
      <c r="C15" s="93" t="s">
        <v>347</v>
      </c>
      <c r="D15" s="93" t="s">
        <v>225</v>
      </c>
      <c r="E15" s="94">
        <v>662000</v>
      </c>
      <c r="F15" s="95">
        <v>11192.433999999999</v>
      </c>
      <c r="G15" s="96">
        <v>3.3328169999999997E-2</v>
      </c>
      <c r="H15" s="86" t="s">
        <v>142</v>
      </c>
    </row>
    <row r="16" spans="1:9" x14ac:dyDescent="0.2">
      <c r="A16" s="92">
        <v>10</v>
      </c>
      <c r="B16" s="93" t="s">
        <v>428</v>
      </c>
      <c r="C16" s="93" t="s">
        <v>429</v>
      </c>
      <c r="D16" s="93" t="s">
        <v>272</v>
      </c>
      <c r="E16" s="94">
        <v>557008</v>
      </c>
      <c r="F16" s="95">
        <v>10893.405456</v>
      </c>
      <c r="G16" s="96">
        <v>3.2437750000000001E-2</v>
      </c>
      <c r="H16" s="86" t="s">
        <v>142</v>
      </c>
    </row>
    <row r="17" spans="1:8" x14ac:dyDescent="0.2">
      <c r="A17" s="92">
        <v>11</v>
      </c>
      <c r="B17" s="93" t="s">
        <v>732</v>
      </c>
      <c r="C17" s="93" t="s">
        <v>733</v>
      </c>
      <c r="D17" s="93" t="s">
        <v>278</v>
      </c>
      <c r="E17" s="94">
        <v>258923</v>
      </c>
      <c r="F17" s="95">
        <v>10754.366805</v>
      </c>
      <c r="G17" s="96">
        <v>3.2023719999999999E-2</v>
      </c>
      <c r="H17" s="86" t="s">
        <v>142</v>
      </c>
    </row>
    <row r="18" spans="1:8" x14ac:dyDescent="0.2">
      <c r="A18" s="92">
        <v>12</v>
      </c>
      <c r="B18" s="93" t="s">
        <v>31</v>
      </c>
      <c r="C18" s="93" t="s">
        <v>32</v>
      </c>
      <c r="D18" s="93" t="s">
        <v>19</v>
      </c>
      <c r="E18" s="94">
        <v>2949214</v>
      </c>
      <c r="F18" s="95">
        <v>10522.795552</v>
      </c>
      <c r="G18" s="96">
        <v>3.133416E-2</v>
      </c>
      <c r="H18" s="86" t="s">
        <v>142</v>
      </c>
    </row>
    <row r="19" spans="1:8" x14ac:dyDescent="0.2">
      <c r="A19" s="92">
        <v>13</v>
      </c>
      <c r="B19" s="93" t="s">
        <v>324</v>
      </c>
      <c r="C19" s="93" t="s">
        <v>325</v>
      </c>
      <c r="D19" s="93" t="s">
        <v>35</v>
      </c>
      <c r="E19" s="94">
        <v>496353</v>
      </c>
      <c r="F19" s="95">
        <v>10434.332766</v>
      </c>
      <c r="G19" s="96">
        <v>3.1070750000000001E-2</v>
      </c>
      <c r="H19" s="86" t="s">
        <v>142</v>
      </c>
    </row>
    <row r="20" spans="1:8" x14ac:dyDescent="0.2">
      <c r="A20" s="92">
        <v>14</v>
      </c>
      <c r="B20" s="93" t="s">
        <v>239</v>
      </c>
      <c r="C20" s="93" t="s">
        <v>240</v>
      </c>
      <c r="D20" s="93" t="s">
        <v>241</v>
      </c>
      <c r="E20" s="94">
        <v>278803</v>
      </c>
      <c r="F20" s="95">
        <v>9782.3608609999992</v>
      </c>
      <c r="G20" s="96">
        <v>2.912934E-2</v>
      </c>
      <c r="H20" s="86" t="s">
        <v>142</v>
      </c>
    </row>
    <row r="21" spans="1:8" x14ac:dyDescent="0.2">
      <c r="A21" s="92">
        <v>15</v>
      </c>
      <c r="B21" s="93" t="s">
        <v>334</v>
      </c>
      <c r="C21" s="93" t="s">
        <v>335</v>
      </c>
      <c r="D21" s="93" t="s">
        <v>241</v>
      </c>
      <c r="E21" s="94">
        <v>271223</v>
      </c>
      <c r="F21" s="95">
        <v>9458.0884559999995</v>
      </c>
      <c r="G21" s="96">
        <v>2.816374E-2</v>
      </c>
      <c r="H21" s="86" t="s">
        <v>142</v>
      </c>
    </row>
    <row r="22" spans="1:8" x14ac:dyDescent="0.2">
      <c r="A22" s="92">
        <v>16</v>
      </c>
      <c r="B22" s="93" t="s">
        <v>518</v>
      </c>
      <c r="C22" s="93" t="s">
        <v>519</v>
      </c>
      <c r="D22" s="93" t="s">
        <v>204</v>
      </c>
      <c r="E22" s="94">
        <v>596688</v>
      </c>
      <c r="F22" s="95">
        <v>8499.2238720000005</v>
      </c>
      <c r="G22" s="96">
        <v>2.5308489999999999E-2</v>
      </c>
      <c r="H22" s="86" t="s">
        <v>142</v>
      </c>
    </row>
    <row r="23" spans="1:8" x14ac:dyDescent="0.2">
      <c r="A23" s="92">
        <v>17</v>
      </c>
      <c r="B23" s="93" t="s">
        <v>59</v>
      </c>
      <c r="C23" s="93" t="s">
        <v>60</v>
      </c>
      <c r="D23" s="93" t="s">
        <v>61</v>
      </c>
      <c r="E23" s="94">
        <v>145000</v>
      </c>
      <c r="F23" s="95">
        <v>8156.25</v>
      </c>
      <c r="G23" s="96">
        <v>2.4287199999999998E-2</v>
      </c>
      <c r="H23" s="86" t="s">
        <v>142</v>
      </c>
    </row>
    <row r="24" spans="1:8" ht="25.5" x14ac:dyDescent="0.2">
      <c r="A24" s="92">
        <v>18</v>
      </c>
      <c r="B24" s="93" t="s">
        <v>23</v>
      </c>
      <c r="C24" s="93" t="s">
        <v>24</v>
      </c>
      <c r="D24" s="93" t="s">
        <v>25</v>
      </c>
      <c r="E24" s="94">
        <v>62000</v>
      </c>
      <c r="F24" s="95">
        <v>7407.14</v>
      </c>
      <c r="G24" s="96">
        <v>2.2056550000000001E-2</v>
      </c>
      <c r="H24" s="86" t="s">
        <v>142</v>
      </c>
    </row>
    <row r="25" spans="1:8" x14ac:dyDescent="0.2">
      <c r="A25" s="92">
        <v>19</v>
      </c>
      <c r="B25" s="93" t="s">
        <v>97</v>
      </c>
      <c r="C25" s="93" t="s">
        <v>98</v>
      </c>
      <c r="D25" s="93" t="s">
        <v>38</v>
      </c>
      <c r="E25" s="94">
        <v>109075</v>
      </c>
      <c r="F25" s="95">
        <v>7286.21</v>
      </c>
      <c r="G25" s="96">
        <v>2.1696449999999999E-2</v>
      </c>
      <c r="H25" s="86" t="s">
        <v>142</v>
      </c>
    </row>
    <row r="26" spans="1:8" ht="25.5" x14ac:dyDescent="0.2">
      <c r="A26" s="92">
        <v>20</v>
      </c>
      <c r="B26" s="93" t="s">
        <v>289</v>
      </c>
      <c r="C26" s="93" t="s">
        <v>290</v>
      </c>
      <c r="D26" s="93" t="s">
        <v>191</v>
      </c>
      <c r="E26" s="94">
        <v>202732</v>
      </c>
      <c r="F26" s="95">
        <v>7252.534568</v>
      </c>
      <c r="G26" s="96">
        <v>2.1596170000000001E-2</v>
      </c>
      <c r="H26" s="86" t="s">
        <v>142</v>
      </c>
    </row>
    <row r="27" spans="1:8" x14ac:dyDescent="0.2">
      <c r="A27" s="92">
        <v>21</v>
      </c>
      <c r="B27" s="93" t="s">
        <v>738</v>
      </c>
      <c r="C27" s="93" t="s">
        <v>739</v>
      </c>
      <c r="D27" s="93" t="s">
        <v>278</v>
      </c>
      <c r="E27" s="94">
        <v>145000</v>
      </c>
      <c r="F27" s="95">
        <v>6806.7349999999997</v>
      </c>
      <c r="G27" s="96">
        <v>2.0268700000000001E-2</v>
      </c>
      <c r="H27" s="86" t="s">
        <v>142</v>
      </c>
    </row>
    <row r="28" spans="1:8" ht="25.5" x14ac:dyDescent="0.2">
      <c r="A28" s="92">
        <v>22</v>
      </c>
      <c r="B28" s="93" t="s">
        <v>205</v>
      </c>
      <c r="C28" s="93" t="s">
        <v>206</v>
      </c>
      <c r="D28" s="93" t="s">
        <v>207</v>
      </c>
      <c r="E28" s="94">
        <v>943756</v>
      </c>
      <c r="F28" s="95">
        <v>6794.5713219999998</v>
      </c>
      <c r="G28" s="96">
        <v>2.0232480000000001E-2</v>
      </c>
      <c r="H28" s="86" t="s">
        <v>142</v>
      </c>
    </row>
    <row r="29" spans="1:8" x14ac:dyDescent="0.2">
      <c r="A29" s="92">
        <v>23</v>
      </c>
      <c r="B29" s="93" t="s">
        <v>20</v>
      </c>
      <c r="C29" s="93" t="s">
        <v>21</v>
      </c>
      <c r="D29" s="93" t="s">
        <v>22</v>
      </c>
      <c r="E29" s="94">
        <v>1967000</v>
      </c>
      <c r="F29" s="95">
        <v>6627.8064999999997</v>
      </c>
      <c r="G29" s="96">
        <v>1.9735889999999999E-2</v>
      </c>
      <c r="H29" s="86" t="s">
        <v>142</v>
      </c>
    </row>
    <row r="30" spans="1:8" x14ac:dyDescent="0.2">
      <c r="A30" s="92">
        <v>24</v>
      </c>
      <c r="B30" s="93" t="s">
        <v>820</v>
      </c>
      <c r="C30" s="93" t="s">
        <v>821</v>
      </c>
      <c r="D30" s="93" t="s">
        <v>278</v>
      </c>
      <c r="E30" s="94">
        <v>1598239</v>
      </c>
      <c r="F30" s="95">
        <v>6551.9807805</v>
      </c>
      <c r="G30" s="96">
        <v>1.9510110000000001E-2</v>
      </c>
      <c r="H30" s="86" t="s">
        <v>142</v>
      </c>
    </row>
    <row r="31" spans="1:8" x14ac:dyDescent="0.2">
      <c r="A31" s="92">
        <v>25</v>
      </c>
      <c r="B31" s="93" t="s">
        <v>510</v>
      </c>
      <c r="C31" s="93" t="s">
        <v>511</v>
      </c>
      <c r="D31" s="93" t="s">
        <v>241</v>
      </c>
      <c r="E31" s="94">
        <v>70454</v>
      </c>
      <c r="F31" s="95">
        <v>6265.1219499999997</v>
      </c>
      <c r="G31" s="96">
        <v>1.8655910000000001E-2</v>
      </c>
      <c r="H31" s="86" t="s">
        <v>142</v>
      </c>
    </row>
    <row r="32" spans="1:8" x14ac:dyDescent="0.2">
      <c r="A32" s="92">
        <v>26</v>
      </c>
      <c r="B32" s="93" t="s">
        <v>692</v>
      </c>
      <c r="C32" s="93" t="s">
        <v>693</v>
      </c>
      <c r="D32" s="93" t="s">
        <v>64</v>
      </c>
      <c r="E32" s="94">
        <v>1428942</v>
      </c>
      <c r="F32" s="95">
        <v>6192.3201570000001</v>
      </c>
      <c r="G32" s="96">
        <v>1.8439130000000001E-2</v>
      </c>
      <c r="H32" s="86" t="s">
        <v>142</v>
      </c>
    </row>
    <row r="33" spans="1:8" ht="25.5" x14ac:dyDescent="0.2">
      <c r="A33" s="92">
        <v>27</v>
      </c>
      <c r="B33" s="93" t="s">
        <v>742</v>
      </c>
      <c r="C33" s="93" t="s">
        <v>743</v>
      </c>
      <c r="D33" s="93" t="s">
        <v>225</v>
      </c>
      <c r="E33" s="94">
        <v>515708</v>
      </c>
      <c r="F33" s="95">
        <v>6176.1190079999997</v>
      </c>
      <c r="G33" s="96">
        <v>1.839089E-2</v>
      </c>
      <c r="H33" s="86" t="s">
        <v>142</v>
      </c>
    </row>
    <row r="34" spans="1:8" x14ac:dyDescent="0.2">
      <c r="A34" s="92">
        <v>28</v>
      </c>
      <c r="B34" s="93" t="s">
        <v>423</v>
      </c>
      <c r="C34" s="93" t="s">
        <v>424</v>
      </c>
      <c r="D34" s="93" t="s">
        <v>204</v>
      </c>
      <c r="E34" s="94">
        <v>285965</v>
      </c>
      <c r="F34" s="95">
        <v>4408.1504750000004</v>
      </c>
      <c r="G34" s="96">
        <v>1.312633E-2</v>
      </c>
      <c r="H34" s="86" t="s">
        <v>142</v>
      </c>
    </row>
    <row r="35" spans="1:8" ht="25.5" x14ac:dyDescent="0.2">
      <c r="A35" s="92">
        <v>29</v>
      </c>
      <c r="B35" s="93" t="s">
        <v>434</v>
      </c>
      <c r="C35" s="93" t="s">
        <v>435</v>
      </c>
      <c r="D35" s="93" t="s">
        <v>207</v>
      </c>
      <c r="E35" s="94">
        <v>319989</v>
      </c>
      <c r="F35" s="95">
        <v>3727.87185</v>
      </c>
      <c r="G35" s="96">
        <v>1.110064E-2</v>
      </c>
      <c r="H35" s="86" t="s">
        <v>142</v>
      </c>
    </row>
    <row r="36" spans="1:8" x14ac:dyDescent="0.2">
      <c r="A36" s="92">
        <v>30</v>
      </c>
      <c r="B36" s="93" t="s">
        <v>216</v>
      </c>
      <c r="C36" s="93" t="s">
        <v>217</v>
      </c>
      <c r="D36" s="93" t="s">
        <v>218</v>
      </c>
      <c r="E36" s="94">
        <v>586911</v>
      </c>
      <c r="F36" s="95">
        <v>3508.8474135000001</v>
      </c>
      <c r="G36" s="96">
        <v>1.044844E-2</v>
      </c>
      <c r="H36" s="86" t="s">
        <v>142</v>
      </c>
    </row>
    <row r="37" spans="1:8" x14ac:dyDescent="0.2">
      <c r="A37" s="92">
        <v>31</v>
      </c>
      <c r="B37" s="93" t="s">
        <v>69</v>
      </c>
      <c r="C37" s="93" t="s">
        <v>70</v>
      </c>
      <c r="D37" s="93" t="s">
        <v>58</v>
      </c>
      <c r="E37" s="94">
        <v>85031</v>
      </c>
      <c r="F37" s="95">
        <v>3428.44992</v>
      </c>
      <c r="G37" s="96">
        <v>1.0209040000000001E-2</v>
      </c>
      <c r="H37" s="86" t="s">
        <v>142</v>
      </c>
    </row>
    <row r="38" spans="1:8" x14ac:dyDescent="0.2">
      <c r="A38" s="92">
        <v>32</v>
      </c>
      <c r="B38" s="93" t="s">
        <v>248</v>
      </c>
      <c r="C38" s="93" t="s">
        <v>249</v>
      </c>
      <c r="D38" s="93" t="s">
        <v>250</v>
      </c>
      <c r="E38" s="94">
        <v>150611</v>
      </c>
      <c r="F38" s="95">
        <v>3378.2047299999999</v>
      </c>
      <c r="G38" s="96">
        <v>1.0059419999999999E-2</v>
      </c>
      <c r="H38" s="86" t="s">
        <v>142</v>
      </c>
    </row>
    <row r="39" spans="1:8" x14ac:dyDescent="0.2">
      <c r="A39" s="92">
        <v>33</v>
      </c>
      <c r="B39" s="93" t="s">
        <v>464</v>
      </c>
      <c r="C39" s="93" t="s">
        <v>465</v>
      </c>
      <c r="D39" s="93" t="s">
        <v>278</v>
      </c>
      <c r="E39" s="94">
        <v>235000</v>
      </c>
      <c r="F39" s="95">
        <v>3239.0050000000001</v>
      </c>
      <c r="G39" s="96">
        <v>9.6449199999999995E-3</v>
      </c>
      <c r="H39" s="86" t="s">
        <v>142</v>
      </c>
    </row>
    <row r="40" spans="1:8" x14ac:dyDescent="0.2">
      <c r="A40" s="97"/>
      <c r="B40" s="97"/>
      <c r="C40" s="98" t="s">
        <v>141</v>
      </c>
      <c r="D40" s="97"/>
      <c r="E40" s="97" t="s">
        <v>142</v>
      </c>
      <c r="F40" s="99">
        <v>325767.47081099998</v>
      </c>
      <c r="G40" s="100">
        <v>0.97005131</v>
      </c>
      <c r="H40" s="86" t="s">
        <v>142</v>
      </c>
    </row>
    <row r="41" spans="1:8" x14ac:dyDescent="0.2">
      <c r="A41" s="97"/>
      <c r="B41" s="97"/>
      <c r="C41" s="101"/>
      <c r="D41" s="97"/>
      <c r="E41" s="97"/>
      <c r="F41" s="102"/>
      <c r="G41" s="102"/>
      <c r="H41" s="86" t="s">
        <v>142</v>
      </c>
    </row>
    <row r="42" spans="1:8" x14ac:dyDescent="0.2">
      <c r="A42" s="97"/>
      <c r="B42" s="97"/>
      <c r="C42" s="98" t="s">
        <v>143</v>
      </c>
      <c r="D42" s="97"/>
      <c r="E42" s="97"/>
      <c r="F42" s="97"/>
      <c r="G42" s="97"/>
      <c r="H42" s="86" t="s">
        <v>142</v>
      </c>
    </row>
    <row r="43" spans="1:8" x14ac:dyDescent="0.2">
      <c r="A43" s="97"/>
      <c r="B43" s="97"/>
      <c r="C43" s="98" t="s">
        <v>141</v>
      </c>
      <c r="D43" s="97"/>
      <c r="E43" s="97" t="s">
        <v>142</v>
      </c>
      <c r="F43" s="103" t="s">
        <v>144</v>
      </c>
      <c r="G43" s="100">
        <v>0</v>
      </c>
      <c r="H43" s="86" t="s">
        <v>142</v>
      </c>
    </row>
    <row r="44" spans="1:8" x14ac:dyDescent="0.2">
      <c r="A44" s="97"/>
      <c r="B44" s="97"/>
      <c r="C44" s="101"/>
      <c r="D44" s="97"/>
      <c r="E44" s="97"/>
      <c r="F44" s="102"/>
      <c r="G44" s="102"/>
      <c r="H44" s="86" t="s">
        <v>142</v>
      </c>
    </row>
    <row r="45" spans="1:8" x14ac:dyDescent="0.2">
      <c r="A45" s="97"/>
      <c r="B45" s="97"/>
      <c r="C45" s="98" t="s">
        <v>145</v>
      </c>
      <c r="D45" s="97"/>
      <c r="E45" s="97"/>
      <c r="F45" s="97"/>
      <c r="G45" s="97"/>
      <c r="H45" s="86" t="s">
        <v>142</v>
      </c>
    </row>
    <row r="46" spans="1:8" x14ac:dyDescent="0.2">
      <c r="A46" s="97"/>
      <c r="B46" s="97"/>
      <c r="C46" s="98" t="s">
        <v>141</v>
      </c>
      <c r="D46" s="97"/>
      <c r="E46" s="97" t="s">
        <v>142</v>
      </c>
      <c r="F46" s="103" t="s">
        <v>144</v>
      </c>
      <c r="G46" s="100">
        <v>0</v>
      </c>
      <c r="H46" s="86" t="s">
        <v>142</v>
      </c>
    </row>
    <row r="47" spans="1:8" x14ac:dyDescent="0.2">
      <c r="A47" s="97"/>
      <c r="B47" s="97"/>
      <c r="C47" s="101"/>
      <c r="D47" s="97"/>
      <c r="E47" s="97"/>
      <c r="F47" s="102"/>
      <c r="G47" s="102"/>
      <c r="H47" s="86" t="s">
        <v>142</v>
      </c>
    </row>
    <row r="48" spans="1:8" x14ac:dyDescent="0.2">
      <c r="A48" s="97"/>
      <c r="B48" s="97"/>
      <c r="C48" s="98" t="s">
        <v>146</v>
      </c>
      <c r="D48" s="97"/>
      <c r="E48" s="97"/>
      <c r="F48" s="97"/>
      <c r="G48" s="97"/>
      <c r="H48" s="86" t="s">
        <v>142</v>
      </c>
    </row>
    <row r="49" spans="1:8" x14ac:dyDescent="0.2">
      <c r="A49" s="97"/>
      <c r="B49" s="97"/>
      <c r="C49" s="98" t="s">
        <v>141</v>
      </c>
      <c r="D49" s="97"/>
      <c r="E49" s="97" t="s">
        <v>142</v>
      </c>
      <c r="F49" s="103" t="s">
        <v>144</v>
      </c>
      <c r="G49" s="100">
        <v>0</v>
      </c>
      <c r="H49" s="86" t="s">
        <v>142</v>
      </c>
    </row>
    <row r="50" spans="1:8" x14ac:dyDescent="0.2">
      <c r="A50" s="97"/>
      <c r="B50" s="97"/>
      <c r="C50" s="101"/>
      <c r="D50" s="97"/>
      <c r="E50" s="97"/>
      <c r="F50" s="102"/>
      <c r="G50" s="102"/>
      <c r="H50" s="86" t="s">
        <v>142</v>
      </c>
    </row>
    <row r="51" spans="1:8" x14ac:dyDescent="0.2">
      <c r="A51" s="97"/>
      <c r="B51" s="97"/>
      <c r="C51" s="98" t="s">
        <v>147</v>
      </c>
      <c r="D51" s="97"/>
      <c r="E51" s="97"/>
      <c r="F51" s="102"/>
      <c r="G51" s="102"/>
      <c r="H51" s="86" t="s">
        <v>142</v>
      </c>
    </row>
    <row r="52" spans="1:8" x14ac:dyDescent="0.2">
      <c r="A52" s="97"/>
      <c r="B52" s="97"/>
      <c r="C52" s="98" t="s">
        <v>141</v>
      </c>
      <c r="D52" s="97"/>
      <c r="E52" s="97" t="s">
        <v>142</v>
      </c>
      <c r="F52" s="103" t="s">
        <v>144</v>
      </c>
      <c r="G52" s="100">
        <v>0</v>
      </c>
      <c r="H52" s="86" t="s">
        <v>142</v>
      </c>
    </row>
    <row r="53" spans="1:8" x14ac:dyDescent="0.2">
      <c r="A53" s="97"/>
      <c r="B53" s="97"/>
      <c r="C53" s="101"/>
      <c r="D53" s="97"/>
      <c r="E53" s="97"/>
      <c r="F53" s="102"/>
      <c r="G53" s="102"/>
      <c r="H53" s="86" t="s">
        <v>142</v>
      </c>
    </row>
    <row r="54" spans="1:8" x14ac:dyDescent="0.2">
      <c r="A54" s="97"/>
      <c r="B54" s="97"/>
      <c r="C54" s="98" t="s">
        <v>148</v>
      </c>
      <c r="D54" s="97"/>
      <c r="E54" s="97"/>
      <c r="F54" s="102"/>
      <c r="G54" s="102"/>
      <c r="H54" s="86" t="s">
        <v>142</v>
      </c>
    </row>
    <row r="55" spans="1:8" x14ac:dyDescent="0.2">
      <c r="A55" s="97"/>
      <c r="B55" s="97"/>
      <c r="C55" s="98" t="s">
        <v>141</v>
      </c>
      <c r="D55" s="97"/>
      <c r="E55" s="97" t="s">
        <v>142</v>
      </c>
      <c r="F55" s="103" t="s">
        <v>144</v>
      </c>
      <c r="G55" s="100">
        <v>0</v>
      </c>
      <c r="H55" s="86" t="s">
        <v>142</v>
      </c>
    </row>
    <row r="56" spans="1:8" x14ac:dyDescent="0.2">
      <c r="A56" s="97"/>
      <c r="B56" s="97"/>
      <c r="C56" s="101"/>
      <c r="D56" s="97"/>
      <c r="E56" s="97"/>
      <c r="F56" s="102"/>
      <c r="G56" s="102"/>
      <c r="H56" s="86" t="s">
        <v>142</v>
      </c>
    </row>
    <row r="57" spans="1:8" x14ac:dyDescent="0.2">
      <c r="A57" s="97"/>
      <c r="B57" s="97"/>
      <c r="C57" s="98" t="s">
        <v>149</v>
      </c>
      <c r="D57" s="97"/>
      <c r="E57" s="97"/>
      <c r="F57" s="99">
        <v>325880.01242997998</v>
      </c>
      <c r="G57" s="100">
        <v>0.97038643000000002</v>
      </c>
      <c r="H57" s="86" t="s">
        <v>142</v>
      </c>
    </row>
    <row r="58" spans="1:8" x14ac:dyDescent="0.2">
      <c r="A58" s="97"/>
      <c r="B58" s="97"/>
      <c r="C58" s="101"/>
      <c r="D58" s="97"/>
      <c r="E58" s="97"/>
      <c r="F58" s="102"/>
      <c r="G58" s="102"/>
      <c r="H58" s="86" t="s">
        <v>142</v>
      </c>
    </row>
    <row r="59" spans="1:8" x14ac:dyDescent="0.2">
      <c r="A59" s="97"/>
      <c r="B59" s="97"/>
      <c r="C59" s="98" t="s">
        <v>150</v>
      </c>
      <c r="D59" s="97"/>
      <c r="E59" s="97"/>
      <c r="F59" s="102"/>
      <c r="G59" s="102"/>
      <c r="H59" s="86" t="s">
        <v>142</v>
      </c>
    </row>
    <row r="60" spans="1:8" x14ac:dyDescent="0.2">
      <c r="A60" s="97"/>
      <c r="B60" s="97"/>
      <c r="C60" s="98" t="s">
        <v>10</v>
      </c>
      <c r="D60" s="97"/>
      <c r="E60" s="97"/>
      <c r="F60" s="102"/>
      <c r="G60" s="102"/>
      <c r="H60" s="86" t="s">
        <v>142</v>
      </c>
    </row>
    <row r="61" spans="1:8" x14ac:dyDescent="0.2">
      <c r="A61" s="97"/>
      <c r="B61" s="97"/>
      <c r="C61" s="98" t="s">
        <v>141</v>
      </c>
      <c r="D61" s="97"/>
      <c r="E61" s="97" t="s">
        <v>142</v>
      </c>
      <c r="F61" s="103" t="s">
        <v>144</v>
      </c>
      <c r="G61" s="100">
        <v>0</v>
      </c>
      <c r="H61" s="86" t="s">
        <v>142</v>
      </c>
    </row>
    <row r="62" spans="1:8" x14ac:dyDescent="0.2">
      <c r="A62" s="97"/>
      <c r="B62" s="97"/>
      <c r="C62" s="101"/>
      <c r="D62" s="97"/>
      <c r="E62" s="97"/>
      <c r="F62" s="102"/>
      <c r="G62" s="102"/>
      <c r="H62" s="86" t="s">
        <v>142</v>
      </c>
    </row>
    <row r="63" spans="1:8" x14ac:dyDescent="0.2">
      <c r="A63" s="97"/>
      <c r="B63" s="97"/>
      <c r="C63" s="98" t="s">
        <v>151</v>
      </c>
      <c r="D63" s="97"/>
      <c r="E63" s="97"/>
      <c r="F63" s="97"/>
      <c r="G63" s="97"/>
      <c r="H63" s="86" t="s">
        <v>142</v>
      </c>
    </row>
    <row r="64" spans="1:8" x14ac:dyDescent="0.2">
      <c r="A64" s="97"/>
      <c r="B64" s="97"/>
      <c r="C64" s="98" t="s">
        <v>141</v>
      </c>
      <c r="D64" s="97"/>
      <c r="E64" s="97" t="s">
        <v>142</v>
      </c>
      <c r="F64" s="103" t="s">
        <v>144</v>
      </c>
      <c r="G64" s="100">
        <v>0</v>
      </c>
      <c r="H64" s="86" t="s">
        <v>142</v>
      </c>
    </row>
    <row r="65" spans="1:8" x14ac:dyDescent="0.2">
      <c r="A65" s="97"/>
      <c r="B65" s="97"/>
      <c r="C65" s="101"/>
      <c r="D65" s="97"/>
      <c r="E65" s="97"/>
      <c r="F65" s="102"/>
      <c r="G65" s="102"/>
      <c r="H65" s="86" t="s">
        <v>142</v>
      </c>
    </row>
    <row r="66" spans="1:8" x14ac:dyDescent="0.2">
      <c r="A66" s="97"/>
      <c r="B66" s="97"/>
      <c r="C66" s="98" t="s">
        <v>152</v>
      </c>
      <c r="D66" s="97"/>
      <c r="E66" s="97"/>
      <c r="F66" s="97"/>
      <c r="G66" s="97"/>
      <c r="H66" s="86" t="s">
        <v>142</v>
      </c>
    </row>
    <row r="67" spans="1:8" x14ac:dyDescent="0.2">
      <c r="A67" s="97"/>
      <c r="B67" s="97"/>
      <c r="C67" s="98" t="s">
        <v>141</v>
      </c>
      <c r="D67" s="97"/>
      <c r="E67" s="97" t="s">
        <v>142</v>
      </c>
      <c r="F67" s="103" t="s">
        <v>144</v>
      </c>
      <c r="G67" s="100">
        <v>0</v>
      </c>
      <c r="H67" s="86" t="s">
        <v>142</v>
      </c>
    </row>
    <row r="68" spans="1:8" x14ac:dyDescent="0.2">
      <c r="A68" s="97"/>
      <c r="B68" s="97"/>
      <c r="C68" s="101"/>
      <c r="D68" s="97"/>
      <c r="E68" s="97"/>
      <c r="F68" s="102"/>
      <c r="G68" s="102"/>
      <c r="H68" s="86" t="s">
        <v>142</v>
      </c>
    </row>
    <row r="69" spans="1:8" x14ac:dyDescent="0.2">
      <c r="A69" s="97"/>
      <c r="B69" s="97"/>
      <c r="C69" s="98" t="s">
        <v>153</v>
      </c>
      <c r="D69" s="97"/>
      <c r="E69" s="97"/>
      <c r="F69" s="102"/>
      <c r="G69" s="102"/>
      <c r="H69" s="86" t="s">
        <v>142</v>
      </c>
    </row>
    <row r="70" spans="1:8" x14ac:dyDescent="0.2">
      <c r="A70" s="97"/>
      <c r="B70" s="97"/>
      <c r="C70" s="98" t="s">
        <v>141</v>
      </c>
      <c r="D70" s="97"/>
      <c r="E70" s="97" t="s">
        <v>142</v>
      </c>
      <c r="F70" s="103" t="s">
        <v>144</v>
      </c>
      <c r="G70" s="100">
        <v>0</v>
      </c>
      <c r="H70" s="86" t="s">
        <v>142</v>
      </c>
    </row>
    <row r="71" spans="1:8" ht="12.75" customHeight="1" x14ac:dyDescent="0.2">
      <c r="A71" s="84"/>
      <c r="B71" s="84"/>
      <c r="C71" s="137"/>
      <c r="D71" s="84"/>
      <c r="E71" s="84"/>
      <c r="F71" s="117"/>
      <c r="G71" s="117"/>
      <c r="H71" s="86" t="s">
        <v>142</v>
      </c>
    </row>
    <row r="72" spans="1:8" ht="12.75" customHeight="1" x14ac:dyDescent="0.2">
      <c r="A72" s="84"/>
      <c r="B72" s="84"/>
      <c r="C72" s="85" t="s">
        <v>929</v>
      </c>
      <c r="D72" s="84"/>
      <c r="E72" s="84"/>
      <c r="F72" s="84"/>
      <c r="G72" s="84"/>
      <c r="H72" s="86" t="s">
        <v>142</v>
      </c>
    </row>
    <row r="73" spans="1:8" ht="12.75" customHeight="1" x14ac:dyDescent="0.2">
      <c r="A73" s="87">
        <v>1</v>
      </c>
      <c r="B73" s="88" t="s">
        <v>317</v>
      </c>
      <c r="C73" s="88" t="s">
        <v>930</v>
      </c>
      <c r="D73" s="88" t="s">
        <v>241</v>
      </c>
      <c r="E73" s="89">
        <v>1115212</v>
      </c>
      <c r="F73" s="90">
        <v>112.54161898</v>
      </c>
      <c r="G73" s="91">
        <v>3.3512E-4</v>
      </c>
      <c r="H73" s="86" t="s">
        <v>142</v>
      </c>
    </row>
    <row r="74" spans="1:8" ht="12.75" customHeight="1" x14ac:dyDescent="0.2">
      <c r="A74" s="84"/>
      <c r="B74" s="84"/>
      <c r="C74" s="85" t="s">
        <v>141</v>
      </c>
      <c r="D74" s="84"/>
      <c r="E74" s="84" t="s">
        <v>142</v>
      </c>
      <c r="F74" s="138">
        <f>F73</f>
        <v>112.54161898</v>
      </c>
      <c r="G74" s="139">
        <f>G73</f>
        <v>3.3512E-4</v>
      </c>
      <c r="H74" s="86" t="s">
        <v>142</v>
      </c>
    </row>
    <row r="75" spans="1:8" x14ac:dyDescent="0.2">
      <c r="A75" s="97"/>
      <c r="B75" s="97"/>
      <c r="C75" s="101"/>
      <c r="D75" s="97"/>
      <c r="E75" s="97"/>
      <c r="F75" s="102"/>
      <c r="G75" s="102"/>
      <c r="H75" s="86" t="s">
        <v>142</v>
      </c>
    </row>
    <row r="76" spans="1:8" x14ac:dyDescent="0.2">
      <c r="A76" s="97"/>
      <c r="B76" s="97"/>
      <c r="C76" s="98" t="s">
        <v>154</v>
      </c>
      <c r="D76" s="97"/>
      <c r="E76" s="97"/>
      <c r="F76" s="99">
        <v>0</v>
      </c>
      <c r="G76" s="100">
        <v>0</v>
      </c>
      <c r="H76" s="86" t="s">
        <v>142</v>
      </c>
    </row>
    <row r="77" spans="1:8" x14ac:dyDescent="0.2">
      <c r="A77" s="97"/>
      <c r="B77" s="97"/>
      <c r="C77" s="101"/>
      <c r="D77" s="97"/>
      <c r="E77" s="97"/>
      <c r="F77" s="102"/>
      <c r="G77" s="102"/>
      <c r="H77" s="86" t="s">
        <v>142</v>
      </c>
    </row>
    <row r="78" spans="1:8" x14ac:dyDescent="0.2">
      <c r="A78" s="97"/>
      <c r="B78" s="97"/>
      <c r="C78" s="98" t="s">
        <v>155</v>
      </c>
      <c r="D78" s="97"/>
      <c r="E78" s="97"/>
      <c r="F78" s="102"/>
      <c r="G78" s="102"/>
      <c r="H78" s="86" t="s">
        <v>142</v>
      </c>
    </row>
    <row r="79" spans="1:8" x14ac:dyDescent="0.2">
      <c r="A79" s="97"/>
      <c r="B79" s="97"/>
      <c r="C79" s="98" t="s">
        <v>156</v>
      </c>
      <c r="D79" s="97"/>
      <c r="E79" s="97"/>
      <c r="F79" s="102"/>
      <c r="G79" s="102"/>
      <c r="H79" s="86" t="s">
        <v>142</v>
      </c>
    </row>
    <row r="80" spans="1:8" x14ac:dyDescent="0.2">
      <c r="A80" s="97"/>
      <c r="B80" s="97"/>
      <c r="C80" s="98" t="s">
        <v>141</v>
      </c>
      <c r="D80" s="97"/>
      <c r="E80" s="97" t="s">
        <v>142</v>
      </c>
      <c r="F80" s="103" t="s">
        <v>144</v>
      </c>
      <c r="G80" s="100">
        <v>0</v>
      </c>
      <c r="H80" s="86" t="s">
        <v>142</v>
      </c>
    </row>
    <row r="81" spans="1:8" x14ac:dyDescent="0.2">
      <c r="A81" s="97"/>
      <c r="B81" s="97"/>
      <c r="C81" s="101"/>
      <c r="D81" s="97"/>
      <c r="E81" s="97"/>
      <c r="F81" s="102"/>
      <c r="G81" s="102"/>
      <c r="H81" s="86" t="s">
        <v>142</v>
      </c>
    </row>
    <row r="82" spans="1:8" x14ac:dyDescent="0.2">
      <c r="A82" s="97"/>
      <c r="B82" s="97"/>
      <c r="C82" s="98" t="s">
        <v>157</v>
      </c>
      <c r="D82" s="97"/>
      <c r="E82" s="97"/>
      <c r="F82" s="102"/>
      <c r="G82" s="102"/>
      <c r="H82" s="86" t="s">
        <v>142</v>
      </c>
    </row>
    <row r="83" spans="1:8" x14ac:dyDescent="0.2">
      <c r="A83" s="97"/>
      <c r="B83" s="97"/>
      <c r="C83" s="98" t="s">
        <v>141</v>
      </c>
      <c r="D83" s="97"/>
      <c r="E83" s="97" t="s">
        <v>142</v>
      </c>
      <c r="F83" s="103" t="s">
        <v>144</v>
      </c>
      <c r="G83" s="100">
        <v>0</v>
      </c>
      <c r="H83" s="86" t="s">
        <v>142</v>
      </c>
    </row>
    <row r="84" spans="1:8" x14ac:dyDescent="0.2">
      <c r="A84" s="97"/>
      <c r="B84" s="97"/>
      <c r="C84" s="101"/>
      <c r="D84" s="97"/>
      <c r="E84" s="97"/>
      <c r="F84" s="102"/>
      <c r="G84" s="102"/>
      <c r="H84" s="86" t="s">
        <v>142</v>
      </c>
    </row>
    <row r="85" spans="1:8" x14ac:dyDescent="0.2">
      <c r="A85" s="97"/>
      <c r="B85" s="97"/>
      <c r="C85" s="98" t="s">
        <v>158</v>
      </c>
      <c r="D85" s="97"/>
      <c r="E85" s="97"/>
      <c r="F85" s="102"/>
      <c r="G85" s="102"/>
      <c r="H85" s="86" t="s">
        <v>142</v>
      </c>
    </row>
    <row r="86" spans="1:8" x14ac:dyDescent="0.2">
      <c r="A86" s="97"/>
      <c r="B86" s="97"/>
      <c r="C86" s="98" t="s">
        <v>141</v>
      </c>
      <c r="D86" s="97"/>
      <c r="E86" s="97" t="s">
        <v>142</v>
      </c>
      <c r="F86" s="103" t="s">
        <v>144</v>
      </c>
      <c r="G86" s="100">
        <v>0</v>
      </c>
      <c r="H86" s="86" t="s">
        <v>142</v>
      </c>
    </row>
    <row r="87" spans="1:8" x14ac:dyDescent="0.2">
      <c r="A87" s="97"/>
      <c r="B87" s="97"/>
      <c r="C87" s="101"/>
      <c r="D87" s="97"/>
      <c r="E87" s="97"/>
      <c r="F87" s="102"/>
      <c r="G87" s="102"/>
      <c r="H87" s="86" t="s">
        <v>142</v>
      </c>
    </row>
    <row r="88" spans="1:8" x14ac:dyDescent="0.2">
      <c r="A88" s="97"/>
      <c r="B88" s="97"/>
      <c r="C88" s="98" t="s">
        <v>159</v>
      </c>
      <c r="D88" s="97"/>
      <c r="E88" s="97"/>
      <c r="F88" s="102"/>
      <c r="G88" s="102"/>
      <c r="H88" s="86" t="s">
        <v>142</v>
      </c>
    </row>
    <row r="89" spans="1:8" x14ac:dyDescent="0.2">
      <c r="A89" s="92">
        <v>1</v>
      </c>
      <c r="B89" s="93"/>
      <c r="C89" s="93" t="s">
        <v>160</v>
      </c>
      <c r="D89" s="93"/>
      <c r="E89" s="104"/>
      <c r="F89" s="95">
        <v>5967.4871659840001</v>
      </c>
      <c r="G89" s="96">
        <v>1.7769630000000002E-2</v>
      </c>
      <c r="H89" s="86">
        <v>5.57</v>
      </c>
    </row>
    <row r="90" spans="1:8" x14ac:dyDescent="0.2">
      <c r="A90" s="97"/>
      <c r="B90" s="97"/>
      <c r="C90" s="98" t="s">
        <v>141</v>
      </c>
      <c r="D90" s="97"/>
      <c r="E90" s="97" t="s">
        <v>142</v>
      </c>
      <c r="F90" s="99">
        <v>5967.4871659840001</v>
      </c>
      <c r="G90" s="100">
        <v>1.7769630000000002E-2</v>
      </c>
      <c r="H90" s="86" t="s">
        <v>142</v>
      </c>
    </row>
    <row r="91" spans="1:8" x14ac:dyDescent="0.2">
      <c r="A91" s="97"/>
      <c r="B91" s="97"/>
      <c r="C91" s="101"/>
      <c r="D91" s="97"/>
      <c r="E91" s="97"/>
      <c r="F91" s="102"/>
      <c r="G91" s="102"/>
      <c r="H91" s="86" t="s">
        <v>142</v>
      </c>
    </row>
    <row r="92" spans="1:8" x14ac:dyDescent="0.2">
      <c r="A92" s="97"/>
      <c r="B92" s="97"/>
      <c r="C92" s="98" t="s">
        <v>161</v>
      </c>
      <c r="D92" s="97"/>
      <c r="E92" s="97"/>
      <c r="F92" s="99">
        <v>5967.4871659840001</v>
      </c>
      <c r="G92" s="100">
        <v>1.7769630000000002E-2</v>
      </c>
      <c r="H92" s="86" t="s">
        <v>142</v>
      </c>
    </row>
    <row r="93" spans="1:8" x14ac:dyDescent="0.2">
      <c r="A93" s="97"/>
      <c r="B93" s="97"/>
      <c r="C93" s="102"/>
      <c r="D93" s="97"/>
      <c r="E93" s="97"/>
      <c r="F93" s="97"/>
      <c r="G93" s="97"/>
      <c r="H93" s="86" t="s">
        <v>142</v>
      </c>
    </row>
    <row r="94" spans="1:8" x14ac:dyDescent="0.2">
      <c r="A94" s="97"/>
      <c r="B94" s="97"/>
      <c r="C94" s="98" t="s">
        <v>162</v>
      </c>
      <c r="D94" s="97"/>
      <c r="E94" s="97"/>
      <c r="F94" s="97"/>
      <c r="G94" s="97"/>
      <c r="H94" s="86" t="s">
        <v>142</v>
      </c>
    </row>
    <row r="95" spans="1:8" x14ac:dyDescent="0.2">
      <c r="A95" s="97"/>
      <c r="B95" s="97"/>
      <c r="C95" s="98" t="s">
        <v>163</v>
      </c>
      <c r="D95" s="97"/>
      <c r="E95" s="97"/>
      <c r="F95" s="97"/>
      <c r="G95" s="97"/>
      <c r="H95" s="86" t="s">
        <v>142</v>
      </c>
    </row>
    <row r="96" spans="1:8" x14ac:dyDescent="0.2">
      <c r="A96" s="97"/>
      <c r="B96" s="97"/>
      <c r="C96" s="98" t="s">
        <v>141</v>
      </c>
      <c r="D96" s="97"/>
      <c r="E96" s="97" t="s">
        <v>142</v>
      </c>
      <c r="F96" s="103" t="s">
        <v>144</v>
      </c>
      <c r="G96" s="100">
        <v>0</v>
      </c>
      <c r="H96" s="86" t="s">
        <v>142</v>
      </c>
    </row>
    <row r="97" spans="1:17" x14ac:dyDescent="0.2">
      <c r="A97" s="97"/>
      <c r="B97" s="97"/>
      <c r="C97" s="101"/>
      <c r="D97" s="97"/>
      <c r="E97" s="97"/>
      <c r="F97" s="102"/>
      <c r="G97" s="102"/>
      <c r="H97" s="86" t="s">
        <v>142</v>
      </c>
    </row>
    <row r="98" spans="1:17" x14ac:dyDescent="0.2">
      <c r="A98" s="97"/>
      <c r="B98" s="97"/>
      <c r="C98" s="98" t="s">
        <v>164</v>
      </c>
      <c r="D98" s="97"/>
      <c r="E98" s="97"/>
      <c r="F98" s="97"/>
      <c r="G98" s="97"/>
      <c r="H98" s="86" t="s">
        <v>142</v>
      </c>
    </row>
    <row r="99" spans="1:17" x14ac:dyDescent="0.2">
      <c r="A99" s="97"/>
      <c r="B99" s="97"/>
      <c r="C99" s="98" t="s">
        <v>165</v>
      </c>
      <c r="D99" s="97"/>
      <c r="E99" s="97"/>
      <c r="F99" s="97"/>
      <c r="G99" s="97"/>
      <c r="H99" s="86" t="s">
        <v>142</v>
      </c>
    </row>
    <row r="100" spans="1:17" x14ac:dyDescent="0.2">
      <c r="A100" s="97"/>
      <c r="B100" s="97"/>
      <c r="C100" s="98" t="s">
        <v>141</v>
      </c>
      <c r="D100" s="97"/>
      <c r="E100" s="97" t="s">
        <v>142</v>
      </c>
      <c r="F100" s="103" t="s">
        <v>144</v>
      </c>
      <c r="G100" s="100">
        <v>0</v>
      </c>
      <c r="H100" s="86" t="s">
        <v>142</v>
      </c>
    </row>
    <row r="101" spans="1:17" x14ac:dyDescent="0.2">
      <c r="A101" s="97"/>
      <c r="B101" s="97"/>
      <c r="C101" s="101"/>
      <c r="D101" s="97"/>
      <c r="E101" s="97"/>
      <c r="F101" s="102"/>
      <c r="G101" s="102"/>
      <c r="H101" s="86" t="s">
        <v>142</v>
      </c>
    </row>
    <row r="102" spans="1:17" x14ac:dyDescent="0.2">
      <c r="A102" s="97"/>
      <c r="B102" s="97"/>
      <c r="C102" s="98" t="s">
        <v>166</v>
      </c>
      <c r="D102" s="97"/>
      <c r="E102" s="97"/>
      <c r="F102" s="102"/>
      <c r="G102" s="102"/>
      <c r="H102" s="86" t="s">
        <v>142</v>
      </c>
    </row>
    <row r="103" spans="1:17" x14ac:dyDescent="0.2">
      <c r="A103" s="97"/>
      <c r="B103" s="97"/>
      <c r="C103" s="98" t="s">
        <v>141</v>
      </c>
      <c r="D103" s="97"/>
      <c r="E103" s="97" t="s">
        <v>142</v>
      </c>
      <c r="F103" s="103" t="s">
        <v>144</v>
      </c>
      <c r="G103" s="100">
        <v>0</v>
      </c>
      <c r="H103" s="86" t="s">
        <v>142</v>
      </c>
    </row>
    <row r="104" spans="1:17" x14ac:dyDescent="0.2">
      <c r="A104" s="97"/>
      <c r="B104" s="97"/>
      <c r="C104" s="101"/>
      <c r="D104" s="97"/>
      <c r="E104" s="97"/>
      <c r="F104" s="102"/>
      <c r="G104" s="102"/>
      <c r="H104" s="86" t="s">
        <v>142</v>
      </c>
    </row>
    <row r="105" spans="1:17" x14ac:dyDescent="0.2">
      <c r="A105" s="104"/>
      <c r="B105" s="93"/>
      <c r="C105" s="93" t="s">
        <v>167</v>
      </c>
      <c r="D105" s="93"/>
      <c r="E105" s="104"/>
      <c r="F105" s="95">
        <v>3977.4948605599998</v>
      </c>
      <c r="G105" s="96">
        <v>1.1843950000000001E-2</v>
      </c>
      <c r="H105" s="86" t="s">
        <v>142</v>
      </c>
    </row>
    <row r="106" spans="1:17" x14ac:dyDescent="0.2">
      <c r="A106" s="101"/>
      <c r="B106" s="101"/>
      <c r="C106" s="98" t="s">
        <v>168</v>
      </c>
      <c r="D106" s="102"/>
      <c r="E106" s="102"/>
      <c r="F106" s="99">
        <v>335824.99445652397</v>
      </c>
      <c r="G106" s="105">
        <v>1.0000000099999999</v>
      </c>
      <c r="H106" s="86" t="s">
        <v>142</v>
      </c>
    </row>
    <row r="107" spans="1:17" ht="12.75" customHeight="1" x14ac:dyDescent="0.2">
      <c r="A107" s="106"/>
      <c r="B107" s="106"/>
      <c r="C107" s="107"/>
      <c r="D107" s="108"/>
      <c r="E107" s="108"/>
      <c r="F107" s="109"/>
      <c r="G107" s="110"/>
      <c r="H107" s="111"/>
    </row>
    <row r="108" spans="1:17" x14ac:dyDescent="0.2">
      <c r="A108" s="106"/>
      <c r="B108" s="200" t="s">
        <v>918</v>
      </c>
      <c r="C108" s="200"/>
      <c r="D108" s="200"/>
      <c r="E108" s="200"/>
      <c r="F108" s="200"/>
      <c r="G108" s="200"/>
      <c r="H108" s="200"/>
      <c r="J108" s="113"/>
    </row>
    <row r="109" spans="1:17" x14ac:dyDescent="0.2">
      <c r="A109" s="106"/>
      <c r="B109" s="200" t="s">
        <v>919</v>
      </c>
      <c r="C109" s="200"/>
      <c r="D109" s="200"/>
      <c r="E109" s="200"/>
      <c r="F109" s="200"/>
      <c r="G109" s="200"/>
      <c r="H109" s="200"/>
      <c r="J109" s="113"/>
    </row>
    <row r="110" spans="1:17" x14ac:dyDescent="0.2">
      <c r="A110" s="106"/>
      <c r="B110" s="200" t="s">
        <v>920</v>
      </c>
      <c r="C110" s="200"/>
      <c r="D110" s="200"/>
      <c r="E110" s="200"/>
      <c r="F110" s="200"/>
      <c r="G110" s="200"/>
      <c r="H110" s="200"/>
      <c r="J110" s="113"/>
    </row>
    <row r="111" spans="1:17" s="115" customFormat="1" ht="66.75" customHeight="1" x14ac:dyDescent="0.25">
      <c r="A111" s="114"/>
      <c r="B111" s="201" t="s">
        <v>921</v>
      </c>
      <c r="C111" s="201"/>
      <c r="D111" s="201"/>
      <c r="E111" s="201"/>
      <c r="F111" s="201"/>
      <c r="G111" s="201"/>
      <c r="H111" s="201"/>
      <c r="I111"/>
      <c r="J111" s="113"/>
      <c r="K111"/>
      <c r="L111"/>
      <c r="M111"/>
      <c r="N111"/>
      <c r="O111"/>
      <c r="P111"/>
      <c r="Q111"/>
    </row>
    <row r="112" spans="1:17" x14ac:dyDescent="0.2">
      <c r="A112" s="106"/>
      <c r="B112" s="200" t="s">
        <v>922</v>
      </c>
      <c r="C112" s="200"/>
      <c r="D112" s="200"/>
      <c r="E112" s="200"/>
      <c r="F112" s="200"/>
      <c r="G112" s="200"/>
      <c r="H112" s="200"/>
      <c r="J112" s="113"/>
    </row>
    <row r="113" spans="1:10" x14ac:dyDescent="0.2">
      <c r="A113" s="106"/>
      <c r="B113" s="106"/>
      <c r="C113" s="106"/>
      <c r="D113" s="108"/>
      <c r="E113" s="108"/>
      <c r="F113" s="108"/>
      <c r="G113" s="108"/>
    </row>
    <row r="114" spans="1:10" x14ac:dyDescent="0.2">
      <c r="A114" s="106"/>
      <c r="B114" s="202" t="s">
        <v>169</v>
      </c>
      <c r="C114" s="203"/>
      <c r="D114" s="204"/>
      <c r="E114" s="116"/>
      <c r="F114" s="108"/>
      <c r="G114" s="108"/>
    </row>
    <row r="115" spans="1:10" ht="27.75" customHeight="1" x14ac:dyDescent="0.2">
      <c r="A115" s="106"/>
      <c r="B115" s="205" t="s">
        <v>170</v>
      </c>
      <c r="C115" s="206"/>
      <c r="D115" s="85" t="s">
        <v>171</v>
      </c>
      <c r="E115" s="116"/>
      <c r="F115" s="108"/>
      <c r="G115" s="108"/>
    </row>
    <row r="116" spans="1:10" ht="12.75" customHeight="1" x14ac:dyDescent="0.2">
      <c r="A116" s="106"/>
      <c r="B116" s="205" t="s">
        <v>923</v>
      </c>
      <c r="C116" s="206"/>
      <c r="D116" s="85" t="s">
        <v>171</v>
      </c>
      <c r="E116" s="116"/>
      <c r="F116" s="108"/>
      <c r="G116" s="108"/>
    </row>
    <row r="117" spans="1:10" x14ac:dyDescent="0.2">
      <c r="A117" s="106"/>
      <c r="B117" s="205" t="s">
        <v>172</v>
      </c>
      <c r="C117" s="206"/>
      <c r="D117" s="117" t="s">
        <v>142</v>
      </c>
      <c r="E117" s="116"/>
      <c r="F117" s="108"/>
      <c r="G117" s="108"/>
    </row>
    <row r="118" spans="1:10" x14ac:dyDescent="0.2">
      <c r="A118" s="118"/>
      <c r="B118" s="119" t="s">
        <v>142</v>
      </c>
      <c r="C118" s="119" t="s">
        <v>924</v>
      </c>
      <c r="D118" s="119" t="s">
        <v>173</v>
      </c>
      <c r="E118" s="118"/>
      <c r="F118" s="118"/>
      <c r="G118" s="118"/>
      <c r="H118" s="118"/>
      <c r="J118" s="113"/>
    </row>
    <row r="119" spans="1:10" x14ac:dyDescent="0.2">
      <c r="A119" s="118"/>
      <c r="B119" s="120" t="s">
        <v>174</v>
      </c>
      <c r="C119" s="121">
        <v>45930</v>
      </c>
      <c r="D119" s="121">
        <v>45961</v>
      </c>
      <c r="E119" s="118"/>
      <c r="F119" s="118"/>
      <c r="G119" s="118"/>
      <c r="J119" s="113"/>
    </row>
    <row r="120" spans="1:10" x14ac:dyDescent="0.2">
      <c r="A120" s="122"/>
      <c r="B120" s="93" t="s">
        <v>175</v>
      </c>
      <c r="C120" s="123">
        <v>22.3538</v>
      </c>
      <c r="D120" s="123">
        <v>23.0839</v>
      </c>
      <c r="E120" s="122"/>
      <c r="F120" s="124"/>
      <c r="G120" s="125"/>
    </row>
    <row r="121" spans="1:10" x14ac:dyDescent="0.2">
      <c r="A121" s="122"/>
      <c r="B121" s="93" t="s">
        <v>1101</v>
      </c>
      <c r="C121" s="123">
        <v>17.409500000000001</v>
      </c>
      <c r="D121" s="123">
        <v>16.760300000000001</v>
      </c>
      <c r="E121" s="122"/>
      <c r="F121" s="124"/>
      <c r="G121" s="125"/>
    </row>
    <row r="122" spans="1:10" x14ac:dyDescent="0.2">
      <c r="A122" s="122"/>
      <c r="B122" s="93" t="s">
        <v>176</v>
      </c>
      <c r="C122" s="123">
        <v>20.7683</v>
      </c>
      <c r="D122" s="123">
        <v>21.423500000000001</v>
      </c>
      <c r="E122" s="122"/>
      <c r="F122" s="124"/>
      <c r="G122" s="125"/>
    </row>
    <row r="123" spans="1:10" x14ac:dyDescent="0.2">
      <c r="A123" s="122"/>
      <c r="B123" s="93" t="s">
        <v>1102</v>
      </c>
      <c r="C123" s="123">
        <v>16.159099999999999</v>
      </c>
      <c r="D123" s="123">
        <v>15.53</v>
      </c>
      <c r="E123" s="122"/>
      <c r="F123" s="124"/>
      <c r="G123" s="125"/>
    </row>
    <row r="124" spans="1:10" x14ac:dyDescent="0.2">
      <c r="A124" s="122"/>
      <c r="B124" s="122"/>
      <c r="C124" s="122"/>
      <c r="D124" s="122"/>
      <c r="E124" s="122"/>
      <c r="F124" s="122"/>
      <c r="G124" s="122"/>
    </row>
    <row r="125" spans="1:10" x14ac:dyDescent="0.2">
      <c r="A125" s="122"/>
      <c r="B125" s="208" t="s">
        <v>925</v>
      </c>
      <c r="C125" s="209"/>
      <c r="D125" s="98" t="s">
        <v>142</v>
      </c>
      <c r="E125" s="122"/>
      <c r="F125" s="122"/>
      <c r="G125" s="122"/>
    </row>
    <row r="126" spans="1:10" x14ac:dyDescent="0.2">
      <c r="A126" s="122"/>
      <c r="B126" s="126" t="s">
        <v>174</v>
      </c>
      <c r="C126" s="127" t="s">
        <v>177</v>
      </c>
      <c r="D126" s="127" t="s">
        <v>178</v>
      </c>
      <c r="E126" s="122"/>
      <c r="F126" s="122"/>
      <c r="G126" s="122"/>
    </row>
    <row r="127" spans="1:10" x14ac:dyDescent="0.2">
      <c r="A127" s="122"/>
      <c r="B127" s="93" t="s">
        <v>1101</v>
      </c>
      <c r="C127" s="146">
        <v>1.218</v>
      </c>
      <c r="D127" s="146">
        <v>1.218</v>
      </c>
      <c r="E127" s="122"/>
      <c r="F127" s="124"/>
      <c r="G127" s="125"/>
    </row>
    <row r="128" spans="1:10" x14ac:dyDescent="0.2">
      <c r="A128" s="122"/>
      <c r="B128" s="93" t="s">
        <v>1102</v>
      </c>
      <c r="C128" s="146">
        <v>1.139</v>
      </c>
      <c r="D128" s="146">
        <v>1.139</v>
      </c>
      <c r="E128" s="122"/>
      <c r="F128" s="124"/>
      <c r="G128" s="125"/>
    </row>
    <row r="129" spans="1:10" x14ac:dyDescent="0.2">
      <c r="A129" s="122"/>
      <c r="B129" s="129"/>
      <c r="C129" s="129"/>
      <c r="D129" s="130"/>
      <c r="E129" s="122"/>
      <c r="F129" s="124"/>
      <c r="G129" s="125"/>
    </row>
    <row r="130" spans="1:10" x14ac:dyDescent="0.2">
      <c r="A130" s="118"/>
      <c r="B130" s="205" t="s">
        <v>179</v>
      </c>
      <c r="C130" s="206"/>
      <c r="D130" s="85" t="s">
        <v>171</v>
      </c>
      <c r="E130" s="131"/>
      <c r="F130" s="118"/>
      <c r="G130" s="118"/>
    </row>
    <row r="131" spans="1:10" x14ac:dyDescent="0.2">
      <c r="A131" s="118"/>
      <c r="B131" s="205" t="s">
        <v>180</v>
      </c>
      <c r="C131" s="206"/>
      <c r="D131" s="85" t="s">
        <v>171</v>
      </c>
      <c r="E131" s="131"/>
      <c r="F131" s="118"/>
      <c r="G131" s="118"/>
    </row>
    <row r="132" spans="1:10" x14ac:dyDescent="0.2">
      <c r="A132" s="118"/>
      <c r="B132" s="205" t="s">
        <v>181</v>
      </c>
      <c r="C132" s="206"/>
      <c r="D132" s="85" t="s">
        <v>171</v>
      </c>
      <c r="E132" s="131"/>
      <c r="F132" s="118"/>
      <c r="G132" s="118"/>
    </row>
    <row r="133" spans="1:10" x14ac:dyDescent="0.2">
      <c r="A133" s="118"/>
      <c r="B133" s="205" t="s">
        <v>182</v>
      </c>
      <c r="C133" s="206"/>
      <c r="D133" s="132">
        <v>0.47139999999999999</v>
      </c>
      <c r="E133" s="118"/>
      <c r="F133" s="112"/>
      <c r="G133" s="133"/>
    </row>
    <row r="135" spans="1:10" x14ac:dyDescent="0.2">
      <c r="B135" s="199" t="s">
        <v>926</v>
      </c>
      <c r="C135" s="199"/>
    </row>
    <row r="137" spans="1:10" ht="153.75" customHeight="1" x14ac:dyDescent="0.2"/>
    <row r="140" spans="1:10" x14ac:dyDescent="0.2">
      <c r="B140" s="134" t="s">
        <v>927</v>
      </c>
      <c r="C140" s="135"/>
      <c r="D140" s="134"/>
    </row>
    <row r="141" spans="1:10" x14ac:dyDescent="0.2">
      <c r="B141" s="134" t="s">
        <v>1088</v>
      </c>
      <c r="D141" s="134"/>
    </row>
    <row r="142" spans="1:10" ht="165" customHeight="1" x14ac:dyDescent="0.2"/>
    <row r="144" spans="1:10" x14ac:dyDescent="0.2">
      <c r="J144" s="83"/>
    </row>
    <row r="151" customFormat="1" ht="12.75" customHeight="1" x14ac:dyDescent="0.2"/>
    <row r="152" customFormat="1" ht="12.75" customHeight="1" x14ac:dyDescent="0.2"/>
    <row r="153" customFormat="1" ht="12.75" customHeight="1" x14ac:dyDescent="0.2"/>
    <row r="154" customFormat="1" ht="12.75" customHeight="1" x14ac:dyDescent="0.2"/>
  </sheetData>
  <mergeCells count="18">
    <mergeCell ref="B114:D114"/>
    <mergeCell ref="B115:C115"/>
    <mergeCell ref="B135:C135"/>
    <mergeCell ref="B133:C133"/>
    <mergeCell ref="B132:C132"/>
    <mergeCell ref="B131:C131"/>
    <mergeCell ref="A1:H1"/>
    <mergeCell ref="A2:H2"/>
    <mergeCell ref="A3:H3"/>
    <mergeCell ref="B125:C125"/>
    <mergeCell ref="B130:C130"/>
    <mergeCell ref="B108:H108"/>
    <mergeCell ref="B109:H109"/>
    <mergeCell ref="B116:C116"/>
    <mergeCell ref="B117:C117"/>
    <mergeCell ref="B110:H110"/>
    <mergeCell ref="B111:H111"/>
    <mergeCell ref="B112:H112"/>
  </mergeCells>
  <hyperlinks>
    <hyperlink ref="I1" location="Index!B2" display="Index" xr:uid="{78115824-5A22-41E0-B569-4C2479FDA773}"/>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8B2E-F9C6-4397-A6A8-F3C0F984E734}">
  <sheetPr>
    <outlinePr summaryBelow="0" summaryRight="0"/>
  </sheetPr>
  <dimension ref="A1:Q158"/>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7.710937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844</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11</v>
      </c>
      <c r="C7" s="93" t="s">
        <v>12</v>
      </c>
      <c r="D7" s="93" t="s">
        <v>13</v>
      </c>
      <c r="E7" s="94">
        <v>532285</v>
      </c>
      <c r="F7" s="95">
        <v>10935.795324999999</v>
      </c>
      <c r="G7" s="96">
        <v>5.9272690000000003E-2</v>
      </c>
      <c r="H7" s="86" t="s">
        <v>142</v>
      </c>
    </row>
    <row r="8" spans="1:9" x14ac:dyDescent="0.2">
      <c r="A8" s="92">
        <v>2</v>
      </c>
      <c r="B8" s="93" t="s">
        <v>342</v>
      </c>
      <c r="C8" s="93" t="s">
        <v>343</v>
      </c>
      <c r="D8" s="93" t="s">
        <v>278</v>
      </c>
      <c r="E8" s="94">
        <v>3037687</v>
      </c>
      <c r="F8" s="95">
        <v>9652.2504425000006</v>
      </c>
      <c r="G8" s="96">
        <v>5.2315800000000003E-2</v>
      </c>
      <c r="H8" s="86" t="s">
        <v>142</v>
      </c>
    </row>
    <row r="9" spans="1:9" x14ac:dyDescent="0.2">
      <c r="A9" s="92">
        <v>3</v>
      </c>
      <c r="B9" s="93" t="s">
        <v>324</v>
      </c>
      <c r="C9" s="93" t="s">
        <v>325</v>
      </c>
      <c r="D9" s="93" t="s">
        <v>35</v>
      </c>
      <c r="E9" s="94">
        <v>458868</v>
      </c>
      <c r="F9" s="95">
        <v>9646.3230960000001</v>
      </c>
      <c r="G9" s="96">
        <v>5.2283669999999997E-2</v>
      </c>
      <c r="H9" s="86" t="s">
        <v>142</v>
      </c>
    </row>
    <row r="10" spans="1:9" x14ac:dyDescent="0.2">
      <c r="A10" s="92">
        <v>4</v>
      </c>
      <c r="B10" s="93" t="s">
        <v>14</v>
      </c>
      <c r="C10" s="93" t="s">
        <v>15</v>
      </c>
      <c r="D10" s="93" t="s">
        <v>16</v>
      </c>
      <c r="E10" s="94">
        <v>218399</v>
      </c>
      <c r="F10" s="95">
        <v>8803.445291</v>
      </c>
      <c r="G10" s="96">
        <v>4.7715220000000003E-2</v>
      </c>
      <c r="H10" s="86" t="s">
        <v>142</v>
      </c>
    </row>
    <row r="11" spans="1:9" x14ac:dyDescent="0.2">
      <c r="A11" s="92">
        <v>5</v>
      </c>
      <c r="B11" s="93" t="s">
        <v>17</v>
      </c>
      <c r="C11" s="93" t="s">
        <v>18</v>
      </c>
      <c r="D11" s="93" t="s">
        <v>19</v>
      </c>
      <c r="E11" s="94">
        <v>450032</v>
      </c>
      <c r="F11" s="95">
        <v>6689.2756479999998</v>
      </c>
      <c r="G11" s="96">
        <v>3.6256289999999997E-2</v>
      </c>
      <c r="H11" s="86" t="s">
        <v>142</v>
      </c>
    </row>
    <row r="12" spans="1:9" x14ac:dyDescent="0.2">
      <c r="A12" s="92">
        <v>6</v>
      </c>
      <c r="B12" s="93" t="s">
        <v>46</v>
      </c>
      <c r="C12" s="93" t="s">
        <v>47</v>
      </c>
      <c r="D12" s="93" t="s">
        <v>48</v>
      </c>
      <c r="E12" s="94">
        <v>81788</v>
      </c>
      <c r="F12" s="95">
        <v>6572.8926199999996</v>
      </c>
      <c r="G12" s="96">
        <v>3.5625490000000003E-2</v>
      </c>
      <c r="H12" s="86" t="s">
        <v>142</v>
      </c>
    </row>
    <row r="13" spans="1:9" x14ac:dyDescent="0.2">
      <c r="A13" s="92">
        <v>7</v>
      </c>
      <c r="B13" s="93" t="s">
        <v>334</v>
      </c>
      <c r="C13" s="93" t="s">
        <v>335</v>
      </c>
      <c r="D13" s="93" t="s">
        <v>241</v>
      </c>
      <c r="E13" s="94">
        <v>181652</v>
      </c>
      <c r="F13" s="95">
        <v>6334.5685439999997</v>
      </c>
      <c r="G13" s="96">
        <v>3.4333759999999998E-2</v>
      </c>
      <c r="H13" s="86" t="s">
        <v>142</v>
      </c>
    </row>
    <row r="14" spans="1:9" x14ac:dyDescent="0.2">
      <c r="A14" s="92">
        <v>8</v>
      </c>
      <c r="B14" s="93" t="s">
        <v>425</v>
      </c>
      <c r="C14" s="93" t="s">
        <v>426</v>
      </c>
      <c r="D14" s="93" t="s">
        <v>427</v>
      </c>
      <c r="E14" s="94">
        <v>584396</v>
      </c>
      <c r="F14" s="95">
        <v>4954.8014860000003</v>
      </c>
      <c r="G14" s="96">
        <v>2.685533E-2</v>
      </c>
      <c r="H14" s="86" t="s">
        <v>142</v>
      </c>
    </row>
    <row r="15" spans="1:9" x14ac:dyDescent="0.2">
      <c r="A15" s="92">
        <v>9</v>
      </c>
      <c r="B15" s="93" t="s">
        <v>363</v>
      </c>
      <c r="C15" s="93" t="s">
        <v>364</v>
      </c>
      <c r="D15" s="93" t="s">
        <v>218</v>
      </c>
      <c r="E15" s="94">
        <v>1688302</v>
      </c>
      <c r="F15" s="95">
        <v>4829.3878709999999</v>
      </c>
      <c r="G15" s="96">
        <v>2.617558E-2</v>
      </c>
      <c r="H15" s="86" t="s">
        <v>142</v>
      </c>
    </row>
    <row r="16" spans="1:9" x14ac:dyDescent="0.2">
      <c r="A16" s="92">
        <v>10</v>
      </c>
      <c r="B16" s="93" t="s">
        <v>340</v>
      </c>
      <c r="C16" s="93" t="s">
        <v>341</v>
      </c>
      <c r="D16" s="93" t="s">
        <v>257</v>
      </c>
      <c r="E16" s="94">
        <v>238924</v>
      </c>
      <c r="F16" s="95">
        <v>4612.6667440000001</v>
      </c>
      <c r="G16" s="96">
        <v>2.5000939999999999E-2</v>
      </c>
      <c r="H16" s="86" t="s">
        <v>142</v>
      </c>
    </row>
    <row r="17" spans="1:8" ht="25.5" x14ac:dyDescent="0.2">
      <c r="A17" s="92">
        <v>11</v>
      </c>
      <c r="B17" s="93" t="s">
        <v>103</v>
      </c>
      <c r="C17" s="93" t="s">
        <v>104</v>
      </c>
      <c r="D17" s="93" t="s">
        <v>25</v>
      </c>
      <c r="E17" s="94">
        <v>778529</v>
      </c>
      <c r="F17" s="95">
        <v>4401.8029660000002</v>
      </c>
      <c r="G17" s="96">
        <v>2.3858049999999999E-2</v>
      </c>
      <c r="H17" s="86" t="s">
        <v>142</v>
      </c>
    </row>
    <row r="18" spans="1:8" ht="25.5" x14ac:dyDescent="0.2">
      <c r="A18" s="92">
        <v>12</v>
      </c>
      <c r="B18" s="93" t="s">
        <v>208</v>
      </c>
      <c r="C18" s="93" t="s">
        <v>209</v>
      </c>
      <c r="D18" s="93" t="s">
        <v>210</v>
      </c>
      <c r="E18" s="94">
        <v>234297</v>
      </c>
      <c r="F18" s="95">
        <v>4183.1386380000004</v>
      </c>
      <c r="G18" s="96">
        <v>2.2672870000000001E-2</v>
      </c>
      <c r="H18" s="86" t="s">
        <v>142</v>
      </c>
    </row>
    <row r="19" spans="1:8" x14ac:dyDescent="0.2">
      <c r="A19" s="92">
        <v>13</v>
      </c>
      <c r="B19" s="93" t="s">
        <v>506</v>
      </c>
      <c r="C19" s="93" t="s">
        <v>507</v>
      </c>
      <c r="D19" s="93" t="s">
        <v>232</v>
      </c>
      <c r="E19" s="94">
        <v>279909</v>
      </c>
      <c r="F19" s="95">
        <v>4006.6174259999998</v>
      </c>
      <c r="G19" s="96">
        <v>2.1716119999999998E-2</v>
      </c>
      <c r="H19" s="86" t="s">
        <v>142</v>
      </c>
    </row>
    <row r="20" spans="1:8" x14ac:dyDescent="0.2">
      <c r="A20" s="92">
        <v>14</v>
      </c>
      <c r="B20" s="93" t="s">
        <v>807</v>
      </c>
      <c r="C20" s="93" t="s">
        <v>808</v>
      </c>
      <c r="D20" s="93" t="s">
        <v>272</v>
      </c>
      <c r="E20" s="94">
        <v>546537</v>
      </c>
      <c r="F20" s="95">
        <v>3999.8310345</v>
      </c>
      <c r="G20" s="96">
        <v>2.167933E-2</v>
      </c>
      <c r="H20" s="86" t="s">
        <v>142</v>
      </c>
    </row>
    <row r="21" spans="1:8" x14ac:dyDescent="0.2">
      <c r="A21" s="92">
        <v>15</v>
      </c>
      <c r="B21" s="93" t="s">
        <v>508</v>
      </c>
      <c r="C21" s="93" t="s">
        <v>509</v>
      </c>
      <c r="D21" s="93" t="s">
        <v>38</v>
      </c>
      <c r="E21" s="94">
        <v>397564</v>
      </c>
      <c r="F21" s="95">
        <v>3994.5242899999998</v>
      </c>
      <c r="G21" s="96">
        <v>2.1650570000000001E-2</v>
      </c>
      <c r="H21" s="86" t="s">
        <v>142</v>
      </c>
    </row>
    <row r="22" spans="1:8" x14ac:dyDescent="0.2">
      <c r="A22" s="92">
        <v>16</v>
      </c>
      <c r="B22" s="93" t="s">
        <v>49</v>
      </c>
      <c r="C22" s="93" t="s">
        <v>50</v>
      </c>
      <c r="D22" s="93" t="s">
        <v>22</v>
      </c>
      <c r="E22" s="94">
        <v>956556</v>
      </c>
      <c r="F22" s="95">
        <v>3873.0952440000001</v>
      </c>
      <c r="G22" s="96">
        <v>2.0992420000000001E-2</v>
      </c>
      <c r="H22" s="86" t="s">
        <v>142</v>
      </c>
    </row>
    <row r="23" spans="1:8" x14ac:dyDescent="0.2">
      <c r="A23" s="92">
        <v>17</v>
      </c>
      <c r="B23" s="93" t="s">
        <v>83</v>
      </c>
      <c r="C23" s="93" t="s">
        <v>84</v>
      </c>
      <c r="D23" s="93" t="s">
        <v>61</v>
      </c>
      <c r="E23" s="94">
        <v>829451</v>
      </c>
      <c r="F23" s="95">
        <v>3864.8269344999999</v>
      </c>
      <c r="G23" s="96">
        <v>2.09476E-2</v>
      </c>
      <c r="H23" s="86" t="s">
        <v>142</v>
      </c>
    </row>
    <row r="24" spans="1:8" x14ac:dyDescent="0.2">
      <c r="A24" s="92">
        <v>18</v>
      </c>
      <c r="B24" s="93" t="s">
        <v>216</v>
      </c>
      <c r="C24" s="93" t="s">
        <v>217</v>
      </c>
      <c r="D24" s="93" t="s">
        <v>218</v>
      </c>
      <c r="E24" s="94">
        <v>604375</v>
      </c>
      <c r="F24" s="95">
        <v>3613.2559375000001</v>
      </c>
      <c r="G24" s="96">
        <v>1.9584069999999999E-2</v>
      </c>
      <c r="H24" s="86" t="s">
        <v>142</v>
      </c>
    </row>
    <row r="25" spans="1:8" x14ac:dyDescent="0.2">
      <c r="A25" s="92">
        <v>19</v>
      </c>
      <c r="B25" s="93" t="s">
        <v>26</v>
      </c>
      <c r="C25" s="93" t="s">
        <v>27</v>
      </c>
      <c r="D25" s="93" t="s">
        <v>28</v>
      </c>
      <c r="E25" s="94">
        <v>836771</v>
      </c>
      <c r="F25" s="95">
        <v>3565.4812310000002</v>
      </c>
      <c r="G25" s="96">
        <v>1.9325129999999999E-2</v>
      </c>
      <c r="H25" s="86" t="s">
        <v>142</v>
      </c>
    </row>
    <row r="26" spans="1:8" x14ac:dyDescent="0.2">
      <c r="A26" s="92">
        <v>20</v>
      </c>
      <c r="B26" s="93" t="s">
        <v>481</v>
      </c>
      <c r="C26" s="93" t="s">
        <v>482</v>
      </c>
      <c r="D26" s="93" t="s">
        <v>257</v>
      </c>
      <c r="E26" s="94">
        <v>296292</v>
      </c>
      <c r="F26" s="95">
        <v>3444.3944999999999</v>
      </c>
      <c r="G26" s="96">
        <v>1.8668830000000001E-2</v>
      </c>
      <c r="H26" s="86" t="s">
        <v>142</v>
      </c>
    </row>
    <row r="27" spans="1:8" x14ac:dyDescent="0.2">
      <c r="A27" s="92">
        <v>21</v>
      </c>
      <c r="B27" s="93" t="s">
        <v>230</v>
      </c>
      <c r="C27" s="93" t="s">
        <v>231</v>
      </c>
      <c r="D27" s="93" t="s">
        <v>232</v>
      </c>
      <c r="E27" s="94">
        <v>188178</v>
      </c>
      <c r="F27" s="95">
        <v>3382.3113720000001</v>
      </c>
      <c r="G27" s="96">
        <v>1.8332339999999999E-2</v>
      </c>
      <c r="H27" s="86" t="s">
        <v>142</v>
      </c>
    </row>
    <row r="28" spans="1:8" x14ac:dyDescent="0.2">
      <c r="A28" s="92">
        <v>22</v>
      </c>
      <c r="B28" s="93" t="s">
        <v>837</v>
      </c>
      <c r="C28" s="93" t="s">
        <v>838</v>
      </c>
      <c r="D28" s="93" t="s">
        <v>48</v>
      </c>
      <c r="E28" s="94">
        <v>1265269</v>
      </c>
      <c r="F28" s="95">
        <v>3137.3610124000002</v>
      </c>
      <c r="G28" s="96">
        <v>1.7004689999999999E-2</v>
      </c>
      <c r="H28" s="86" t="s">
        <v>142</v>
      </c>
    </row>
    <row r="29" spans="1:8" x14ac:dyDescent="0.2">
      <c r="A29" s="92">
        <v>23</v>
      </c>
      <c r="B29" s="93" t="s">
        <v>242</v>
      </c>
      <c r="C29" s="93" t="s">
        <v>243</v>
      </c>
      <c r="D29" s="93" t="s">
        <v>109</v>
      </c>
      <c r="E29" s="94">
        <v>99875</v>
      </c>
      <c r="F29" s="95">
        <v>3131.5806250000001</v>
      </c>
      <c r="G29" s="96">
        <v>1.697336E-2</v>
      </c>
      <c r="H29" s="86" t="s">
        <v>142</v>
      </c>
    </row>
    <row r="30" spans="1:8" x14ac:dyDescent="0.2">
      <c r="A30" s="92">
        <v>24</v>
      </c>
      <c r="B30" s="93" t="s">
        <v>251</v>
      </c>
      <c r="C30" s="93" t="s">
        <v>252</v>
      </c>
      <c r="D30" s="93" t="s">
        <v>38</v>
      </c>
      <c r="E30" s="94">
        <v>623711</v>
      </c>
      <c r="F30" s="95">
        <v>2948.5937524999999</v>
      </c>
      <c r="G30" s="96">
        <v>1.5981559999999999E-2</v>
      </c>
      <c r="H30" s="86" t="s">
        <v>142</v>
      </c>
    </row>
    <row r="31" spans="1:8" x14ac:dyDescent="0.2">
      <c r="A31" s="92">
        <v>25</v>
      </c>
      <c r="B31" s="93" t="s">
        <v>276</v>
      </c>
      <c r="C31" s="93" t="s">
        <v>277</v>
      </c>
      <c r="D31" s="93" t="s">
        <v>278</v>
      </c>
      <c r="E31" s="94">
        <v>1178268</v>
      </c>
      <c r="F31" s="95">
        <v>2921.3976791999999</v>
      </c>
      <c r="G31" s="96">
        <v>1.583416E-2</v>
      </c>
      <c r="H31" s="86" t="s">
        <v>142</v>
      </c>
    </row>
    <row r="32" spans="1:8" x14ac:dyDescent="0.2">
      <c r="A32" s="92">
        <v>26</v>
      </c>
      <c r="B32" s="93" t="s">
        <v>258</v>
      </c>
      <c r="C32" s="93" t="s">
        <v>259</v>
      </c>
      <c r="D32" s="93" t="s">
        <v>215</v>
      </c>
      <c r="E32" s="94">
        <v>270142</v>
      </c>
      <c r="F32" s="95">
        <v>2919.4245940000001</v>
      </c>
      <c r="G32" s="96">
        <v>1.5823460000000001E-2</v>
      </c>
      <c r="H32" s="86" t="s">
        <v>142</v>
      </c>
    </row>
    <row r="33" spans="1:8" x14ac:dyDescent="0.2">
      <c r="A33" s="92">
        <v>27</v>
      </c>
      <c r="B33" s="93" t="s">
        <v>845</v>
      </c>
      <c r="C33" s="93" t="s">
        <v>846</v>
      </c>
      <c r="D33" s="93" t="s">
        <v>109</v>
      </c>
      <c r="E33" s="94">
        <v>160489</v>
      </c>
      <c r="F33" s="95">
        <v>2820.4336859999999</v>
      </c>
      <c r="G33" s="96">
        <v>1.5286930000000001E-2</v>
      </c>
      <c r="H33" s="86" t="s">
        <v>142</v>
      </c>
    </row>
    <row r="34" spans="1:8" x14ac:dyDescent="0.2">
      <c r="A34" s="92">
        <v>28</v>
      </c>
      <c r="B34" s="93" t="s">
        <v>371</v>
      </c>
      <c r="C34" s="93" t="s">
        <v>372</v>
      </c>
      <c r="D34" s="93" t="s">
        <v>204</v>
      </c>
      <c r="E34" s="94">
        <v>435856</v>
      </c>
      <c r="F34" s="95">
        <v>2781.8509199999999</v>
      </c>
      <c r="G34" s="96">
        <v>1.5077810000000001E-2</v>
      </c>
      <c r="H34" s="86" t="s">
        <v>142</v>
      </c>
    </row>
    <row r="35" spans="1:8" x14ac:dyDescent="0.2">
      <c r="A35" s="92">
        <v>29</v>
      </c>
      <c r="B35" s="93" t="s">
        <v>118</v>
      </c>
      <c r="C35" s="93" t="s">
        <v>119</v>
      </c>
      <c r="D35" s="93" t="s">
        <v>58</v>
      </c>
      <c r="E35" s="94">
        <v>240195</v>
      </c>
      <c r="F35" s="95">
        <v>2686.8212699999999</v>
      </c>
      <c r="G35" s="96">
        <v>1.4562739999999999E-2</v>
      </c>
      <c r="H35" s="86" t="s">
        <v>142</v>
      </c>
    </row>
    <row r="36" spans="1:8" x14ac:dyDescent="0.2">
      <c r="A36" s="92">
        <v>30</v>
      </c>
      <c r="B36" s="93" t="s">
        <v>89</v>
      </c>
      <c r="C36" s="93" t="s">
        <v>90</v>
      </c>
      <c r="D36" s="93" t="s">
        <v>38</v>
      </c>
      <c r="E36" s="94">
        <v>20306</v>
      </c>
      <c r="F36" s="95">
        <v>2522.8174399999998</v>
      </c>
      <c r="G36" s="96">
        <v>1.367383E-2</v>
      </c>
      <c r="H36" s="86" t="s">
        <v>142</v>
      </c>
    </row>
    <row r="37" spans="1:8" x14ac:dyDescent="0.2">
      <c r="A37" s="92">
        <v>31</v>
      </c>
      <c r="B37" s="93" t="s">
        <v>756</v>
      </c>
      <c r="C37" s="93" t="s">
        <v>757</v>
      </c>
      <c r="D37" s="93" t="s">
        <v>278</v>
      </c>
      <c r="E37" s="94">
        <v>387376</v>
      </c>
      <c r="F37" s="95">
        <v>2495.6698799999999</v>
      </c>
      <c r="G37" s="96">
        <v>1.3526689999999999E-2</v>
      </c>
      <c r="H37" s="86" t="s">
        <v>142</v>
      </c>
    </row>
    <row r="38" spans="1:8" x14ac:dyDescent="0.2">
      <c r="A38" s="92">
        <v>32</v>
      </c>
      <c r="B38" s="93" t="s">
        <v>97</v>
      </c>
      <c r="C38" s="93" t="s">
        <v>98</v>
      </c>
      <c r="D38" s="93" t="s">
        <v>38</v>
      </c>
      <c r="E38" s="94">
        <v>36737</v>
      </c>
      <c r="F38" s="95">
        <v>2454.0315999999998</v>
      </c>
      <c r="G38" s="96">
        <v>1.3301E-2</v>
      </c>
      <c r="H38" s="86" t="s">
        <v>142</v>
      </c>
    </row>
    <row r="39" spans="1:8" x14ac:dyDescent="0.2">
      <c r="A39" s="92">
        <v>33</v>
      </c>
      <c r="B39" s="93" t="s">
        <v>483</v>
      </c>
      <c r="C39" s="93" t="s">
        <v>484</v>
      </c>
      <c r="D39" s="93" t="s">
        <v>215</v>
      </c>
      <c r="E39" s="94">
        <v>94065</v>
      </c>
      <c r="F39" s="95">
        <v>2403.8310750000001</v>
      </c>
      <c r="G39" s="96">
        <v>1.3028909999999999E-2</v>
      </c>
      <c r="H39" s="86" t="s">
        <v>142</v>
      </c>
    </row>
    <row r="40" spans="1:8" x14ac:dyDescent="0.2">
      <c r="A40" s="92">
        <v>34</v>
      </c>
      <c r="B40" s="93" t="s">
        <v>847</v>
      </c>
      <c r="C40" s="93" t="s">
        <v>848</v>
      </c>
      <c r="D40" s="93" t="s">
        <v>58</v>
      </c>
      <c r="E40" s="94">
        <v>1027189</v>
      </c>
      <c r="F40" s="95">
        <v>2342.2990767000001</v>
      </c>
      <c r="G40" s="96">
        <v>1.2695410000000001E-2</v>
      </c>
      <c r="H40" s="86" t="s">
        <v>142</v>
      </c>
    </row>
    <row r="41" spans="1:8" x14ac:dyDescent="0.2">
      <c r="A41" s="92">
        <v>35</v>
      </c>
      <c r="B41" s="93" t="s">
        <v>303</v>
      </c>
      <c r="C41" s="93" t="s">
        <v>304</v>
      </c>
      <c r="D41" s="93" t="s">
        <v>109</v>
      </c>
      <c r="E41" s="94">
        <v>431551</v>
      </c>
      <c r="F41" s="95">
        <v>2327.786094</v>
      </c>
      <c r="G41" s="96">
        <v>1.2616749999999999E-2</v>
      </c>
      <c r="H41" s="86" t="s">
        <v>142</v>
      </c>
    </row>
    <row r="42" spans="1:8" x14ac:dyDescent="0.2">
      <c r="A42" s="92">
        <v>36</v>
      </c>
      <c r="B42" s="93" t="s">
        <v>307</v>
      </c>
      <c r="C42" s="93" t="s">
        <v>308</v>
      </c>
      <c r="D42" s="93" t="s">
        <v>309</v>
      </c>
      <c r="E42" s="94">
        <v>80193</v>
      </c>
      <c r="F42" s="95">
        <v>2171.947212</v>
      </c>
      <c r="G42" s="96">
        <v>1.1772090000000001E-2</v>
      </c>
      <c r="H42" s="86" t="s">
        <v>142</v>
      </c>
    </row>
    <row r="43" spans="1:8" x14ac:dyDescent="0.2">
      <c r="A43" s="92">
        <v>37</v>
      </c>
      <c r="B43" s="93" t="s">
        <v>36</v>
      </c>
      <c r="C43" s="93" t="s">
        <v>37</v>
      </c>
      <c r="D43" s="93" t="s">
        <v>38</v>
      </c>
      <c r="E43" s="94">
        <v>133746</v>
      </c>
      <c r="F43" s="95">
        <v>2159.32917</v>
      </c>
      <c r="G43" s="96">
        <v>1.1703699999999999E-2</v>
      </c>
      <c r="H43" s="86" t="s">
        <v>142</v>
      </c>
    </row>
    <row r="44" spans="1:8" x14ac:dyDescent="0.2">
      <c r="A44" s="92">
        <v>38</v>
      </c>
      <c r="B44" s="93" t="s">
        <v>849</v>
      </c>
      <c r="C44" s="93" t="s">
        <v>850</v>
      </c>
      <c r="D44" s="93" t="s">
        <v>278</v>
      </c>
      <c r="E44" s="94">
        <v>1359085</v>
      </c>
      <c r="F44" s="95">
        <v>2143.9565874999998</v>
      </c>
      <c r="G44" s="96">
        <v>1.162038E-2</v>
      </c>
      <c r="H44" s="86" t="s">
        <v>142</v>
      </c>
    </row>
    <row r="45" spans="1:8" x14ac:dyDescent="0.2">
      <c r="A45" s="92">
        <v>39</v>
      </c>
      <c r="B45" s="93" t="s">
        <v>851</v>
      </c>
      <c r="C45" s="93" t="s">
        <v>852</v>
      </c>
      <c r="D45" s="93" t="s">
        <v>204</v>
      </c>
      <c r="E45" s="94">
        <v>173955</v>
      </c>
      <c r="F45" s="95">
        <v>2029.5329850000001</v>
      </c>
      <c r="G45" s="96">
        <v>1.10002E-2</v>
      </c>
      <c r="H45" s="86" t="s">
        <v>142</v>
      </c>
    </row>
    <row r="46" spans="1:8" x14ac:dyDescent="0.2">
      <c r="A46" s="92">
        <v>40</v>
      </c>
      <c r="B46" s="93" t="s">
        <v>853</v>
      </c>
      <c r="C46" s="93" t="s">
        <v>854</v>
      </c>
      <c r="D46" s="93" t="s">
        <v>383</v>
      </c>
      <c r="E46" s="94">
        <v>380989</v>
      </c>
      <c r="F46" s="95">
        <v>2014.8603264999999</v>
      </c>
      <c r="G46" s="96">
        <v>1.092067E-2</v>
      </c>
      <c r="H46" s="86" t="s">
        <v>142</v>
      </c>
    </row>
    <row r="47" spans="1:8" ht="25.5" x14ac:dyDescent="0.2">
      <c r="A47" s="92">
        <v>41</v>
      </c>
      <c r="B47" s="93" t="s">
        <v>273</v>
      </c>
      <c r="C47" s="93" t="s">
        <v>274</v>
      </c>
      <c r="D47" s="93" t="s">
        <v>275</v>
      </c>
      <c r="E47" s="94">
        <v>116569</v>
      </c>
      <c r="F47" s="95">
        <v>2014.7785960000001</v>
      </c>
      <c r="G47" s="96">
        <v>1.092023E-2</v>
      </c>
      <c r="H47" s="86" t="s">
        <v>142</v>
      </c>
    </row>
    <row r="48" spans="1:8" x14ac:dyDescent="0.2">
      <c r="A48" s="92">
        <v>42</v>
      </c>
      <c r="B48" s="93" t="s">
        <v>310</v>
      </c>
      <c r="C48" s="93" t="s">
        <v>311</v>
      </c>
      <c r="D48" s="93" t="s">
        <v>38</v>
      </c>
      <c r="E48" s="94">
        <v>80193</v>
      </c>
      <c r="F48" s="95">
        <v>1716.7717439999999</v>
      </c>
      <c r="G48" s="96">
        <v>9.3050100000000007E-3</v>
      </c>
      <c r="H48" s="86" t="s">
        <v>142</v>
      </c>
    </row>
    <row r="49" spans="1:8" ht="25.5" x14ac:dyDescent="0.2">
      <c r="A49" s="92">
        <v>43</v>
      </c>
      <c r="B49" s="93" t="s">
        <v>136</v>
      </c>
      <c r="C49" s="93" t="s">
        <v>137</v>
      </c>
      <c r="D49" s="93" t="s">
        <v>132</v>
      </c>
      <c r="E49" s="94">
        <v>351237</v>
      </c>
      <c r="F49" s="95">
        <v>1185.776112</v>
      </c>
      <c r="G49" s="96">
        <v>6.4269799999999997E-3</v>
      </c>
      <c r="H49" s="86" t="s">
        <v>142</v>
      </c>
    </row>
    <row r="50" spans="1:8" x14ac:dyDescent="0.2">
      <c r="A50" s="92">
        <v>44</v>
      </c>
      <c r="B50" s="93" t="s">
        <v>855</v>
      </c>
      <c r="C50" s="93" t="s">
        <v>856</v>
      </c>
      <c r="D50" s="93" t="s">
        <v>278</v>
      </c>
      <c r="E50" s="94">
        <v>130768</v>
      </c>
      <c r="F50" s="95">
        <v>1012.863544</v>
      </c>
      <c r="G50" s="96">
        <v>5.4897799999999997E-3</v>
      </c>
      <c r="H50" s="86" t="s">
        <v>142</v>
      </c>
    </row>
    <row r="51" spans="1:8" x14ac:dyDescent="0.2">
      <c r="A51" s="92">
        <v>45</v>
      </c>
      <c r="B51" s="93" t="s">
        <v>857</v>
      </c>
      <c r="C51" s="93" t="s">
        <v>858</v>
      </c>
      <c r="D51" s="93" t="s">
        <v>241</v>
      </c>
      <c r="E51" s="94">
        <v>13285</v>
      </c>
      <c r="F51" s="95">
        <v>83.197312499999995</v>
      </c>
      <c r="G51" s="96">
        <v>4.5093999999999999E-4</v>
      </c>
      <c r="H51" s="86" t="s">
        <v>142</v>
      </c>
    </row>
    <row r="52" spans="1:8" x14ac:dyDescent="0.2">
      <c r="A52" s="97"/>
      <c r="B52" s="97"/>
      <c r="C52" s="98" t="s">
        <v>141</v>
      </c>
      <c r="D52" s="97"/>
      <c r="E52" s="97" t="s">
        <v>142</v>
      </c>
      <c r="F52" s="99">
        <v>169787.59893529999</v>
      </c>
      <c r="G52" s="100">
        <v>0.92025937999999996</v>
      </c>
      <c r="H52" s="86" t="s">
        <v>142</v>
      </c>
    </row>
    <row r="53" spans="1:8" x14ac:dyDescent="0.2">
      <c r="A53" s="97"/>
      <c r="B53" s="97"/>
      <c r="C53" s="101"/>
      <c r="D53" s="97"/>
      <c r="E53" s="97"/>
      <c r="F53" s="102"/>
      <c r="G53" s="102"/>
      <c r="H53" s="86" t="s">
        <v>142</v>
      </c>
    </row>
    <row r="54" spans="1:8" x14ac:dyDescent="0.2">
      <c r="A54" s="97"/>
      <c r="B54" s="97"/>
      <c r="C54" s="98" t="s">
        <v>143</v>
      </c>
      <c r="D54" s="97"/>
      <c r="E54" s="97"/>
      <c r="F54" s="97"/>
      <c r="G54" s="97"/>
      <c r="H54" s="86" t="s">
        <v>142</v>
      </c>
    </row>
    <row r="55" spans="1:8" x14ac:dyDescent="0.2">
      <c r="A55" s="97"/>
      <c r="B55" s="97"/>
      <c r="C55" s="98" t="s">
        <v>141</v>
      </c>
      <c r="D55" s="97"/>
      <c r="E55" s="97" t="s">
        <v>142</v>
      </c>
      <c r="F55" s="103" t="s">
        <v>144</v>
      </c>
      <c r="G55" s="100">
        <v>0</v>
      </c>
      <c r="H55" s="86" t="s">
        <v>142</v>
      </c>
    </row>
    <row r="56" spans="1:8" x14ac:dyDescent="0.2">
      <c r="A56" s="97"/>
      <c r="B56" s="97"/>
      <c r="C56" s="101"/>
      <c r="D56" s="97"/>
      <c r="E56" s="97"/>
      <c r="F56" s="102"/>
      <c r="G56" s="102"/>
      <c r="H56" s="86" t="s">
        <v>142</v>
      </c>
    </row>
    <row r="57" spans="1:8" x14ac:dyDescent="0.2">
      <c r="A57" s="97"/>
      <c r="B57" s="97"/>
      <c r="C57" s="98" t="s">
        <v>145</v>
      </c>
      <c r="D57" s="97"/>
      <c r="E57" s="97"/>
      <c r="F57" s="97"/>
      <c r="G57" s="97"/>
      <c r="H57" s="86" t="s">
        <v>142</v>
      </c>
    </row>
    <row r="58" spans="1:8" x14ac:dyDescent="0.2">
      <c r="A58" s="97"/>
      <c r="B58" s="97"/>
      <c r="C58" s="98" t="s">
        <v>141</v>
      </c>
      <c r="D58" s="97"/>
      <c r="E58" s="97" t="s">
        <v>142</v>
      </c>
      <c r="F58" s="103" t="s">
        <v>144</v>
      </c>
      <c r="G58" s="100">
        <v>0</v>
      </c>
      <c r="H58" s="86" t="s">
        <v>142</v>
      </c>
    </row>
    <row r="59" spans="1:8" x14ac:dyDescent="0.2">
      <c r="A59" s="97"/>
      <c r="B59" s="97"/>
      <c r="C59" s="101"/>
      <c r="D59" s="97"/>
      <c r="E59" s="97"/>
      <c r="F59" s="102"/>
      <c r="G59" s="102"/>
      <c r="H59" s="86" t="s">
        <v>142</v>
      </c>
    </row>
    <row r="60" spans="1:8" x14ac:dyDescent="0.2">
      <c r="A60" s="97"/>
      <c r="B60" s="97"/>
      <c r="C60" s="98" t="s">
        <v>146</v>
      </c>
      <c r="D60" s="97"/>
      <c r="E60" s="97"/>
      <c r="F60" s="97"/>
      <c r="G60" s="97"/>
      <c r="H60" s="86" t="s">
        <v>142</v>
      </c>
    </row>
    <row r="61" spans="1:8" x14ac:dyDescent="0.2">
      <c r="A61" s="97"/>
      <c r="B61" s="97"/>
      <c r="C61" s="98" t="s">
        <v>141</v>
      </c>
      <c r="D61" s="97"/>
      <c r="E61" s="97" t="s">
        <v>142</v>
      </c>
      <c r="F61" s="103" t="s">
        <v>144</v>
      </c>
      <c r="G61" s="100">
        <v>0</v>
      </c>
      <c r="H61" s="86" t="s">
        <v>142</v>
      </c>
    </row>
    <row r="62" spans="1:8" x14ac:dyDescent="0.2">
      <c r="A62" s="97"/>
      <c r="B62" s="97"/>
      <c r="C62" s="101"/>
      <c r="D62" s="97"/>
      <c r="E62" s="97"/>
      <c r="F62" s="102"/>
      <c r="G62" s="102"/>
      <c r="H62" s="86" t="s">
        <v>142</v>
      </c>
    </row>
    <row r="63" spans="1:8" x14ac:dyDescent="0.2">
      <c r="A63" s="97"/>
      <c r="B63" s="97"/>
      <c r="C63" s="98" t="s">
        <v>147</v>
      </c>
      <c r="D63" s="97"/>
      <c r="E63" s="97"/>
      <c r="F63" s="102"/>
      <c r="G63" s="102"/>
      <c r="H63" s="86" t="s">
        <v>142</v>
      </c>
    </row>
    <row r="64" spans="1:8" x14ac:dyDescent="0.2">
      <c r="A64" s="97"/>
      <c r="B64" s="97"/>
      <c r="C64" s="98" t="s">
        <v>141</v>
      </c>
      <c r="D64" s="97"/>
      <c r="E64" s="97" t="s">
        <v>142</v>
      </c>
      <c r="F64" s="103" t="s">
        <v>144</v>
      </c>
      <c r="G64" s="100">
        <v>0</v>
      </c>
      <c r="H64" s="86" t="s">
        <v>142</v>
      </c>
    </row>
    <row r="65" spans="1:8" x14ac:dyDescent="0.2">
      <c r="A65" s="97"/>
      <c r="B65" s="97"/>
      <c r="C65" s="101"/>
      <c r="D65" s="97"/>
      <c r="E65" s="97"/>
      <c r="F65" s="102"/>
      <c r="G65" s="102"/>
      <c r="H65" s="86" t="s">
        <v>142</v>
      </c>
    </row>
    <row r="66" spans="1:8" x14ac:dyDescent="0.2">
      <c r="A66" s="97"/>
      <c r="B66" s="97"/>
      <c r="C66" s="98" t="s">
        <v>148</v>
      </c>
      <c r="D66" s="97"/>
      <c r="E66" s="97"/>
      <c r="F66" s="102"/>
      <c r="G66" s="102"/>
      <c r="H66" s="86" t="s">
        <v>142</v>
      </c>
    </row>
    <row r="67" spans="1:8" x14ac:dyDescent="0.2">
      <c r="A67" s="97"/>
      <c r="B67" s="97"/>
      <c r="C67" s="98" t="s">
        <v>141</v>
      </c>
      <c r="D67" s="97"/>
      <c r="E67" s="97" t="s">
        <v>142</v>
      </c>
      <c r="F67" s="103" t="s">
        <v>144</v>
      </c>
      <c r="G67" s="100">
        <v>0</v>
      </c>
      <c r="H67" s="86" t="s">
        <v>142</v>
      </c>
    </row>
    <row r="68" spans="1:8" x14ac:dyDescent="0.2">
      <c r="A68" s="97"/>
      <c r="B68" s="97"/>
      <c r="C68" s="101"/>
      <c r="D68" s="97"/>
      <c r="E68" s="97"/>
      <c r="F68" s="102"/>
      <c r="G68" s="102"/>
      <c r="H68" s="86" t="s">
        <v>142</v>
      </c>
    </row>
    <row r="69" spans="1:8" x14ac:dyDescent="0.2">
      <c r="A69" s="97"/>
      <c r="B69" s="97"/>
      <c r="C69" s="98" t="s">
        <v>149</v>
      </c>
      <c r="D69" s="97"/>
      <c r="E69" s="97"/>
      <c r="F69" s="99">
        <v>169787.59893529999</v>
      </c>
      <c r="G69" s="100">
        <v>0.92025937999999996</v>
      </c>
      <c r="H69" s="86" t="s">
        <v>142</v>
      </c>
    </row>
    <row r="70" spans="1:8" x14ac:dyDescent="0.2">
      <c r="A70" s="97"/>
      <c r="B70" s="97"/>
      <c r="C70" s="101"/>
      <c r="D70" s="97"/>
      <c r="E70" s="97"/>
      <c r="F70" s="102"/>
      <c r="G70" s="102"/>
      <c r="H70" s="86" t="s">
        <v>142</v>
      </c>
    </row>
    <row r="71" spans="1:8" x14ac:dyDescent="0.2">
      <c r="A71" s="97"/>
      <c r="B71" s="97"/>
      <c r="C71" s="98" t="s">
        <v>150</v>
      </c>
      <c r="D71" s="97"/>
      <c r="E71" s="97"/>
      <c r="F71" s="102"/>
      <c r="G71" s="102"/>
      <c r="H71" s="86" t="s">
        <v>142</v>
      </c>
    </row>
    <row r="72" spans="1:8" x14ac:dyDescent="0.2">
      <c r="A72" s="97"/>
      <c r="B72" s="97"/>
      <c r="C72" s="98" t="s">
        <v>10</v>
      </c>
      <c r="D72" s="97"/>
      <c r="E72" s="97"/>
      <c r="F72" s="102"/>
      <c r="G72" s="102"/>
      <c r="H72" s="86" t="s">
        <v>142</v>
      </c>
    </row>
    <row r="73" spans="1:8" x14ac:dyDescent="0.2">
      <c r="A73" s="97"/>
      <c r="B73" s="97"/>
      <c r="C73" s="98" t="s">
        <v>141</v>
      </c>
      <c r="D73" s="97"/>
      <c r="E73" s="97" t="s">
        <v>142</v>
      </c>
      <c r="F73" s="103" t="s">
        <v>144</v>
      </c>
      <c r="G73" s="100">
        <v>0</v>
      </c>
      <c r="H73" s="86" t="s">
        <v>142</v>
      </c>
    </row>
    <row r="74" spans="1:8" x14ac:dyDescent="0.2">
      <c r="A74" s="97"/>
      <c r="B74" s="97"/>
      <c r="C74" s="101"/>
      <c r="D74" s="97"/>
      <c r="E74" s="97"/>
      <c r="F74" s="102"/>
      <c r="G74" s="102"/>
      <c r="H74" s="86" t="s">
        <v>142</v>
      </c>
    </row>
    <row r="75" spans="1:8" x14ac:dyDescent="0.2">
      <c r="A75" s="97"/>
      <c r="B75" s="97"/>
      <c r="C75" s="98" t="s">
        <v>151</v>
      </c>
      <c r="D75" s="97"/>
      <c r="E75" s="97"/>
      <c r="F75" s="97"/>
      <c r="G75" s="97"/>
      <c r="H75" s="86" t="s">
        <v>142</v>
      </c>
    </row>
    <row r="76" spans="1:8" x14ac:dyDescent="0.2">
      <c r="A76" s="97"/>
      <c r="B76" s="97"/>
      <c r="C76" s="98" t="s">
        <v>141</v>
      </c>
      <c r="D76" s="97"/>
      <c r="E76" s="97" t="s">
        <v>142</v>
      </c>
      <c r="F76" s="103" t="s">
        <v>144</v>
      </c>
      <c r="G76" s="100">
        <v>0</v>
      </c>
      <c r="H76" s="86" t="s">
        <v>142</v>
      </c>
    </row>
    <row r="77" spans="1:8" x14ac:dyDescent="0.2">
      <c r="A77" s="97"/>
      <c r="B77" s="97"/>
      <c r="C77" s="101"/>
      <c r="D77" s="97"/>
      <c r="E77" s="97"/>
      <c r="F77" s="102"/>
      <c r="G77" s="102"/>
      <c r="H77" s="86" t="s">
        <v>142</v>
      </c>
    </row>
    <row r="78" spans="1:8" x14ac:dyDescent="0.2">
      <c r="A78" s="97"/>
      <c r="B78" s="97"/>
      <c r="C78" s="98" t="s">
        <v>152</v>
      </c>
      <c r="D78" s="97"/>
      <c r="E78" s="97"/>
      <c r="F78" s="97"/>
      <c r="G78" s="97"/>
      <c r="H78" s="86" t="s">
        <v>142</v>
      </c>
    </row>
    <row r="79" spans="1:8" x14ac:dyDescent="0.2">
      <c r="A79" s="97"/>
      <c r="B79" s="97"/>
      <c r="C79" s="98" t="s">
        <v>141</v>
      </c>
      <c r="D79" s="97"/>
      <c r="E79" s="97" t="s">
        <v>142</v>
      </c>
      <c r="F79" s="103" t="s">
        <v>144</v>
      </c>
      <c r="G79" s="100">
        <v>0</v>
      </c>
      <c r="H79" s="86" t="s">
        <v>142</v>
      </c>
    </row>
    <row r="80" spans="1:8" x14ac:dyDescent="0.2">
      <c r="A80" s="97"/>
      <c r="B80" s="97"/>
      <c r="C80" s="101"/>
      <c r="D80" s="97"/>
      <c r="E80" s="97"/>
      <c r="F80" s="102"/>
      <c r="G80" s="102"/>
      <c r="H80" s="86" t="s">
        <v>142</v>
      </c>
    </row>
    <row r="81" spans="1:8" x14ac:dyDescent="0.2">
      <c r="A81" s="97"/>
      <c r="B81" s="97"/>
      <c r="C81" s="98" t="s">
        <v>153</v>
      </c>
      <c r="D81" s="97"/>
      <c r="E81" s="97"/>
      <c r="F81" s="102"/>
      <c r="G81" s="102"/>
      <c r="H81" s="86" t="s">
        <v>142</v>
      </c>
    </row>
    <row r="82" spans="1:8" x14ac:dyDescent="0.2">
      <c r="A82" s="97"/>
      <c r="B82" s="97"/>
      <c r="C82" s="98" t="s">
        <v>141</v>
      </c>
      <c r="D82" s="97"/>
      <c r="E82" s="97" t="s">
        <v>142</v>
      </c>
      <c r="F82" s="103" t="s">
        <v>144</v>
      </c>
      <c r="G82" s="100">
        <v>0</v>
      </c>
      <c r="H82" s="86" t="s">
        <v>142</v>
      </c>
    </row>
    <row r="83" spans="1:8" x14ac:dyDescent="0.2">
      <c r="A83" s="97"/>
      <c r="B83" s="97"/>
      <c r="C83" s="101"/>
      <c r="D83" s="97"/>
      <c r="E83" s="97"/>
      <c r="F83" s="102"/>
      <c r="G83" s="102"/>
      <c r="H83" s="86" t="s">
        <v>142</v>
      </c>
    </row>
    <row r="84" spans="1:8" x14ac:dyDescent="0.2">
      <c r="A84" s="97"/>
      <c r="B84" s="97"/>
      <c r="C84" s="98" t="s">
        <v>154</v>
      </c>
      <c r="D84" s="97"/>
      <c r="E84" s="97"/>
      <c r="F84" s="99">
        <v>0</v>
      </c>
      <c r="G84" s="100">
        <v>0</v>
      </c>
      <c r="H84" s="86" t="s">
        <v>142</v>
      </c>
    </row>
    <row r="85" spans="1:8" x14ac:dyDescent="0.2">
      <c r="A85" s="97"/>
      <c r="B85" s="97"/>
      <c r="C85" s="101"/>
      <c r="D85" s="97"/>
      <c r="E85" s="97"/>
      <c r="F85" s="102"/>
      <c r="G85" s="102"/>
      <c r="H85" s="86" t="s">
        <v>142</v>
      </c>
    </row>
    <row r="86" spans="1:8" x14ac:dyDescent="0.2">
      <c r="A86" s="97"/>
      <c r="B86" s="97"/>
      <c r="C86" s="98" t="s">
        <v>155</v>
      </c>
      <c r="D86" s="97"/>
      <c r="E86" s="97"/>
      <c r="F86" s="102"/>
      <c r="G86" s="102"/>
      <c r="H86" s="86" t="s">
        <v>142</v>
      </c>
    </row>
    <row r="87" spans="1:8" x14ac:dyDescent="0.2">
      <c r="A87" s="97"/>
      <c r="B87" s="97"/>
      <c r="C87" s="98" t="s">
        <v>156</v>
      </c>
      <c r="D87" s="97"/>
      <c r="E87" s="97"/>
      <c r="F87" s="102"/>
      <c r="G87" s="102"/>
      <c r="H87" s="86" t="s">
        <v>142</v>
      </c>
    </row>
    <row r="88" spans="1:8" x14ac:dyDescent="0.2">
      <c r="A88" s="97"/>
      <c r="B88" s="97"/>
      <c r="C88" s="98" t="s">
        <v>141</v>
      </c>
      <c r="D88" s="97"/>
      <c r="E88" s="97" t="s">
        <v>142</v>
      </c>
      <c r="F88" s="103" t="s">
        <v>144</v>
      </c>
      <c r="G88" s="100">
        <v>0</v>
      </c>
      <c r="H88" s="86" t="s">
        <v>142</v>
      </c>
    </row>
    <row r="89" spans="1:8" x14ac:dyDescent="0.2">
      <c r="A89" s="97"/>
      <c r="B89" s="97"/>
      <c r="C89" s="101"/>
      <c r="D89" s="97"/>
      <c r="E89" s="97"/>
      <c r="F89" s="102"/>
      <c r="G89" s="102"/>
      <c r="H89" s="86" t="s">
        <v>142</v>
      </c>
    </row>
    <row r="90" spans="1:8" x14ac:dyDescent="0.2">
      <c r="A90" s="97"/>
      <c r="B90" s="97"/>
      <c r="C90" s="98" t="s">
        <v>157</v>
      </c>
      <c r="D90" s="97"/>
      <c r="E90" s="97"/>
      <c r="F90" s="102"/>
      <c r="G90" s="102"/>
      <c r="H90" s="86" t="s">
        <v>142</v>
      </c>
    </row>
    <row r="91" spans="1:8" x14ac:dyDescent="0.2">
      <c r="A91" s="97"/>
      <c r="B91" s="97"/>
      <c r="C91" s="98" t="s">
        <v>141</v>
      </c>
      <c r="D91" s="97"/>
      <c r="E91" s="97" t="s">
        <v>142</v>
      </c>
      <c r="F91" s="103" t="s">
        <v>144</v>
      </c>
      <c r="G91" s="100">
        <v>0</v>
      </c>
      <c r="H91" s="86" t="s">
        <v>142</v>
      </c>
    </row>
    <row r="92" spans="1:8" x14ac:dyDescent="0.2">
      <c r="A92" s="97"/>
      <c r="B92" s="97"/>
      <c r="C92" s="101"/>
      <c r="D92" s="97"/>
      <c r="E92" s="97"/>
      <c r="F92" s="102"/>
      <c r="G92" s="102"/>
      <c r="H92" s="86" t="s">
        <v>142</v>
      </c>
    </row>
    <row r="93" spans="1:8" x14ac:dyDescent="0.2">
      <c r="A93" s="97"/>
      <c r="B93" s="97"/>
      <c r="C93" s="98" t="s">
        <v>158</v>
      </c>
      <c r="D93" s="97"/>
      <c r="E93" s="97"/>
      <c r="F93" s="102"/>
      <c r="G93" s="102"/>
      <c r="H93" s="86" t="s">
        <v>142</v>
      </c>
    </row>
    <row r="94" spans="1:8" x14ac:dyDescent="0.2">
      <c r="A94" s="97"/>
      <c r="B94" s="97"/>
      <c r="C94" s="98" t="s">
        <v>141</v>
      </c>
      <c r="D94" s="97"/>
      <c r="E94" s="97" t="s">
        <v>142</v>
      </c>
      <c r="F94" s="103" t="s">
        <v>144</v>
      </c>
      <c r="G94" s="100">
        <v>0</v>
      </c>
      <c r="H94" s="86" t="s">
        <v>142</v>
      </c>
    </row>
    <row r="95" spans="1:8" x14ac:dyDescent="0.2">
      <c r="A95" s="97"/>
      <c r="B95" s="97"/>
      <c r="C95" s="101"/>
      <c r="D95" s="97"/>
      <c r="E95" s="97"/>
      <c r="F95" s="102"/>
      <c r="G95" s="102"/>
      <c r="H95" s="86" t="s">
        <v>142</v>
      </c>
    </row>
    <row r="96" spans="1:8" x14ac:dyDescent="0.2">
      <c r="A96" s="97"/>
      <c r="B96" s="97"/>
      <c r="C96" s="98" t="s">
        <v>159</v>
      </c>
      <c r="D96" s="97"/>
      <c r="E96" s="97"/>
      <c r="F96" s="102"/>
      <c r="G96" s="102"/>
      <c r="H96" s="86" t="s">
        <v>142</v>
      </c>
    </row>
    <row r="97" spans="1:8" x14ac:dyDescent="0.2">
      <c r="A97" s="92">
        <v>1</v>
      </c>
      <c r="B97" s="93"/>
      <c r="C97" s="93" t="s">
        <v>160</v>
      </c>
      <c r="D97" s="93"/>
      <c r="E97" s="104"/>
      <c r="F97" s="95">
        <v>12801.462315803999</v>
      </c>
      <c r="G97" s="96">
        <v>6.9384719999999997E-2</v>
      </c>
      <c r="H97" s="86">
        <v>5.57</v>
      </c>
    </row>
    <row r="98" spans="1:8" x14ac:dyDescent="0.2">
      <c r="A98" s="97"/>
      <c r="B98" s="97"/>
      <c r="C98" s="98" t="s">
        <v>141</v>
      </c>
      <c r="D98" s="97"/>
      <c r="E98" s="97" t="s">
        <v>142</v>
      </c>
      <c r="F98" s="99">
        <v>12801.462315803999</v>
      </c>
      <c r="G98" s="100">
        <v>6.9384719999999997E-2</v>
      </c>
      <c r="H98" s="86" t="s">
        <v>142</v>
      </c>
    </row>
    <row r="99" spans="1:8" x14ac:dyDescent="0.2">
      <c r="A99" s="97"/>
      <c r="B99" s="97"/>
      <c r="C99" s="101"/>
      <c r="D99" s="97"/>
      <c r="E99" s="97"/>
      <c r="F99" s="102"/>
      <c r="G99" s="102"/>
      <c r="H99" s="86" t="s">
        <v>142</v>
      </c>
    </row>
    <row r="100" spans="1:8" x14ac:dyDescent="0.2">
      <c r="A100" s="97"/>
      <c r="B100" s="97"/>
      <c r="C100" s="98" t="s">
        <v>161</v>
      </c>
      <c r="D100" s="97"/>
      <c r="E100" s="97"/>
      <c r="F100" s="99">
        <v>12801.462315803999</v>
      </c>
      <c r="G100" s="100">
        <v>6.9384719999999997E-2</v>
      </c>
      <c r="H100" s="86" t="s">
        <v>142</v>
      </c>
    </row>
    <row r="101" spans="1:8" x14ac:dyDescent="0.2">
      <c r="A101" s="97"/>
      <c r="B101" s="97"/>
      <c r="C101" s="102"/>
      <c r="D101" s="97"/>
      <c r="E101" s="97"/>
      <c r="F101" s="97"/>
      <c r="G101" s="97"/>
      <c r="H101" s="86" t="s">
        <v>142</v>
      </c>
    </row>
    <row r="102" spans="1:8" x14ac:dyDescent="0.2">
      <c r="A102" s="97"/>
      <c r="B102" s="97"/>
      <c r="C102" s="98" t="s">
        <v>162</v>
      </c>
      <c r="D102" s="97"/>
      <c r="E102" s="97"/>
      <c r="F102" s="97"/>
      <c r="G102" s="97"/>
      <c r="H102" s="86" t="s">
        <v>142</v>
      </c>
    </row>
    <row r="103" spans="1:8" x14ac:dyDescent="0.2">
      <c r="A103" s="97"/>
      <c r="B103" s="97"/>
      <c r="C103" s="98" t="s">
        <v>163</v>
      </c>
      <c r="D103" s="97"/>
      <c r="E103" s="97"/>
      <c r="F103" s="97"/>
      <c r="G103" s="97"/>
      <c r="H103" s="86" t="s">
        <v>142</v>
      </c>
    </row>
    <row r="104" spans="1:8" x14ac:dyDescent="0.2">
      <c r="A104" s="97"/>
      <c r="B104" s="97"/>
      <c r="C104" s="98" t="s">
        <v>141</v>
      </c>
      <c r="D104" s="97"/>
      <c r="E104" s="97" t="s">
        <v>142</v>
      </c>
      <c r="F104" s="103" t="s">
        <v>144</v>
      </c>
      <c r="G104" s="100">
        <v>0</v>
      </c>
      <c r="H104" s="86" t="s">
        <v>142</v>
      </c>
    </row>
    <row r="105" spans="1:8" x14ac:dyDescent="0.2">
      <c r="A105" s="97"/>
      <c r="B105" s="97"/>
      <c r="C105" s="101"/>
      <c r="D105" s="97"/>
      <c r="E105" s="97"/>
      <c r="F105" s="102"/>
      <c r="G105" s="102"/>
      <c r="H105" s="86" t="s">
        <v>142</v>
      </c>
    </row>
    <row r="106" spans="1:8" x14ac:dyDescent="0.2">
      <c r="A106" s="97"/>
      <c r="B106" s="97"/>
      <c r="C106" s="98" t="s">
        <v>164</v>
      </c>
      <c r="D106" s="97"/>
      <c r="E106" s="97"/>
      <c r="F106" s="97"/>
      <c r="G106" s="97"/>
      <c r="H106" s="86" t="s">
        <v>142</v>
      </c>
    </row>
    <row r="107" spans="1:8" x14ac:dyDescent="0.2">
      <c r="A107" s="97"/>
      <c r="B107" s="97"/>
      <c r="C107" s="98" t="s">
        <v>165</v>
      </c>
      <c r="D107" s="97"/>
      <c r="E107" s="97"/>
      <c r="F107" s="97"/>
      <c r="G107" s="97"/>
      <c r="H107" s="86" t="s">
        <v>142</v>
      </c>
    </row>
    <row r="108" spans="1:8" x14ac:dyDescent="0.2">
      <c r="A108" s="97"/>
      <c r="B108" s="97"/>
      <c r="C108" s="98" t="s">
        <v>141</v>
      </c>
      <c r="D108" s="97"/>
      <c r="E108" s="97" t="s">
        <v>142</v>
      </c>
      <c r="F108" s="103" t="s">
        <v>144</v>
      </c>
      <c r="G108" s="100">
        <v>0</v>
      </c>
      <c r="H108" s="86" t="s">
        <v>142</v>
      </c>
    </row>
    <row r="109" spans="1:8" x14ac:dyDescent="0.2">
      <c r="A109" s="97"/>
      <c r="B109" s="97"/>
      <c r="C109" s="101"/>
      <c r="D109" s="97"/>
      <c r="E109" s="97"/>
      <c r="F109" s="102"/>
      <c r="G109" s="102"/>
      <c r="H109" s="86" t="s">
        <v>142</v>
      </c>
    </row>
    <row r="110" spans="1:8" x14ac:dyDescent="0.2">
      <c r="A110" s="97"/>
      <c r="B110" s="97"/>
      <c r="C110" s="98" t="s">
        <v>166</v>
      </c>
      <c r="D110" s="97"/>
      <c r="E110" s="97"/>
      <c r="F110" s="102"/>
      <c r="G110" s="102"/>
      <c r="H110" s="86" t="s">
        <v>142</v>
      </c>
    </row>
    <row r="111" spans="1:8" x14ac:dyDescent="0.2">
      <c r="A111" s="97"/>
      <c r="B111" s="97"/>
      <c r="C111" s="98" t="s">
        <v>141</v>
      </c>
      <c r="D111" s="97"/>
      <c r="E111" s="97" t="s">
        <v>142</v>
      </c>
      <c r="F111" s="103" t="s">
        <v>144</v>
      </c>
      <c r="G111" s="100">
        <v>0</v>
      </c>
      <c r="H111" s="86" t="s">
        <v>142</v>
      </c>
    </row>
    <row r="112" spans="1:8" x14ac:dyDescent="0.2">
      <c r="A112" s="97"/>
      <c r="B112" s="97"/>
      <c r="C112" s="101"/>
      <c r="D112" s="97"/>
      <c r="E112" s="97"/>
      <c r="F112" s="102"/>
      <c r="G112" s="102"/>
      <c r="H112" s="86" t="s">
        <v>142</v>
      </c>
    </row>
    <row r="113" spans="1:17" x14ac:dyDescent="0.2">
      <c r="A113" s="104"/>
      <c r="B113" s="93"/>
      <c r="C113" s="93" t="s">
        <v>167</v>
      </c>
      <c r="D113" s="93"/>
      <c r="E113" s="104"/>
      <c r="F113" s="95">
        <v>1910.6648634999999</v>
      </c>
      <c r="G113" s="96">
        <v>1.0355919999999999E-2</v>
      </c>
      <c r="H113" s="86" t="s">
        <v>142</v>
      </c>
    </row>
    <row r="114" spans="1:17" x14ac:dyDescent="0.2">
      <c r="A114" s="101"/>
      <c r="B114" s="101"/>
      <c r="C114" s="98" t="s">
        <v>168</v>
      </c>
      <c r="D114" s="102"/>
      <c r="E114" s="102"/>
      <c r="F114" s="99">
        <v>184499.72611460401</v>
      </c>
      <c r="G114" s="105">
        <v>1.0000000200000001</v>
      </c>
      <c r="H114" s="86" t="s">
        <v>142</v>
      </c>
    </row>
    <row r="115" spans="1:17" ht="12.75" customHeight="1" x14ac:dyDescent="0.2">
      <c r="A115" s="106"/>
      <c r="B115" s="106"/>
      <c r="C115" s="107"/>
      <c r="D115" s="108"/>
      <c r="E115" s="108"/>
      <c r="F115" s="109"/>
      <c r="G115" s="110"/>
      <c r="H115" s="111"/>
    </row>
    <row r="116" spans="1:17" x14ac:dyDescent="0.2">
      <c r="A116" s="106"/>
      <c r="B116" s="200" t="s">
        <v>918</v>
      </c>
      <c r="C116" s="200"/>
      <c r="D116" s="200"/>
      <c r="E116" s="200"/>
      <c r="F116" s="200"/>
      <c r="G116" s="200"/>
      <c r="H116" s="200"/>
      <c r="J116" s="113"/>
    </row>
    <row r="117" spans="1:17" x14ac:dyDescent="0.2">
      <c r="A117" s="106"/>
      <c r="B117" s="200" t="s">
        <v>919</v>
      </c>
      <c r="C117" s="200"/>
      <c r="D117" s="200"/>
      <c r="E117" s="200"/>
      <c r="F117" s="200"/>
      <c r="G117" s="200"/>
      <c r="H117" s="200"/>
      <c r="J117" s="113"/>
    </row>
    <row r="118" spans="1:17" x14ac:dyDescent="0.2">
      <c r="A118" s="106"/>
      <c r="B118" s="200" t="s">
        <v>920</v>
      </c>
      <c r="C118" s="200"/>
      <c r="D118" s="200"/>
      <c r="E118" s="200"/>
      <c r="F118" s="200"/>
      <c r="G118" s="200"/>
      <c r="H118" s="200"/>
      <c r="J118" s="113"/>
    </row>
    <row r="119" spans="1:17" s="115" customFormat="1" ht="66.75" customHeight="1" x14ac:dyDescent="0.25">
      <c r="A119" s="114"/>
      <c r="B119" s="201" t="s">
        <v>921</v>
      </c>
      <c r="C119" s="201"/>
      <c r="D119" s="201"/>
      <c r="E119" s="201"/>
      <c r="F119" s="201"/>
      <c r="G119" s="201"/>
      <c r="H119" s="201"/>
      <c r="I119"/>
      <c r="J119" s="113"/>
      <c r="K119"/>
      <c r="L119"/>
      <c r="M119"/>
      <c r="N119"/>
      <c r="O119"/>
      <c r="P119"/>
      <c r="Q119"/>
    </row>
    <row r="120" spans="1:17" x14ac:dyDescent="0.2">
      <c r="A120" s="106"/>
      <c r="B120" s="200" t="s">
        <v>922</v>
      </c>
      <c r="C120" s="200"/>
      <c r="D120" s="200"/>
      <c r="E120" s="200"/>
      <c r="F120" s="200"/>
      <c r="G120" s="200"/>
      <c r="H120" s="200"/>
      <c r="J120" s="113"/>
    </row>
    <row r="121" spans="1:17" x14ac:dyDescent="0.2">
      <c r="A121" s="106"/>
      <c r="B121" s="106"/>
      <c r="C121" s="106"/>
      <c r="D121" s="108"/>
      <c r="E121" s="108"/>
      <c r="F121" s="108"/>
      <c r="G121" s="108"/>
    </row>
    <row r="122" spans="1:17" x14ac:dyDescent="0.2">
      <c r="A122" s="106"/>
      <c r="B122" s="202" t="s">
        <v>169</v>
      </c>
      <c r="C122" s="203"/>
      <c r="D122" s="204"/>
      <c r="E122" s="116"/>
      <c r="F122" s="108"/>
      <c r="G122" s="108"/>
    </row>
    <row r="123" spans="1:17" ht="27.75" customHeight="1" x14ac:dyDescent="0.2">
      <c r="A123" s="106"/>
      <c r="B123" s="205" t="s">
        <v>170</v>
      </c>
      <c r="C123" s="206"/>
      <c r="D123" s="85" t="s">
        <v>171</v>
      </c>
      <c r="E123" s="116"/>
      <c r="F123" s="108"/>
      <c r="G123" s="108"/>
    </row>
    <row r="124" spans="1:17" ht="12.75" customHeight="1" x14ac:dyDescent="0.2">
      <c r="A124" s="106"/>
      <c r="B124" s="205" t="s">
        <v>923</v>
      </c>
      <c r="C124" s="206"/>
      <c r="D124" s="85" t="s">
        <v>171</v>
      </c>
      <c r="E124" s="116"/>
      <c r="F124" s="108"/>
      <c r="G124" s="108"/>
    </row>
    <row r="125" spans="1:17" x14ac:dyDescent="0.2">
      <c r="A125" s="106"/>
      <c r="B125" s="205" t="s">
        <v>172</v>
      </c>
      <c r="C125" s="206"/>
      <c r="D125" s="117" t="s">
        <v>142</v>
      </c>
      <c r="E125" s="116"/>
      <c r="F125" s="108"/>
      <c r="G125" s="108"/>
    </row>
    <row r="126" spans="1:17" x14ac:dyDescent="0.2">
      <c r="A126" s="118"/>
      <c r="B126" s="119" t="s">
        <v>142</v>
      </c>
      <c r="C126" s="119" t="s">
        <v>924</v>
      </c>
      <c r="D126" s="119" t="s">
        <v>173</v>
      </c>
      <c r="E126" s="118"/>
      <c r="F126" s="118"/>
      <c r="G126" s="118"/>
      <c r="H126" s="118"/>
      <c r="J126" s="113"/>
    </row>
    <row r="127" spans="1:17" x14ac:dyDescent="0.2">
      <c r="A127" s="118"/>
      <c r="B127" s="120" t="s">
        <v>174</v>
      </c>
      <c r="C127" s="121">
        <v>45930</v>
      </c>
      <c r="D127" s="121">
        <v>45961</v>
      </c>
      <c r="E127" s="118"/>
      <c r="F127" s="118"/>
      <c r="G127" s="118"/>
      <c r="J127" s="113"/>
    </row>
    <row r="128" spans="1:17" x14ac:dyDescent="0.2">
      <c r="A128" s="122"/>
      <c r="B128" s="93" t="s">
        <v>175</v>
      </c>
      <c r="C128" s="123">
        <v>11.1189</v>
      </c>
      <c r="D128" s="123">
        <v>11.3689</v>
      </c>
      <c r="E128" s="122"/>
      <c r="F128" s="124"/>
      <c r="G128" s="125"/>
    </row>
    <row r="129" spans="1:7" x14ac:dyDescent="0.2">
      <c r="A129" s="122"/>
      <c r="B129" s="93" t="s">
        <v>1101</v>
      </c>
      <c r="C129" s="123">
        <v>11.1189</v>
      </c>
      <c r="D129" s="123">
        <v>11.3689</v>
      </c>
      <c r="E129" s="122"/>
      <c r="F129" s="124"/>
      <c r="G129" s="125"/>
    </row>
    <row r="130" spans="1:7" x14ac:dyDescent="0.2">
      <c r="A130" s="122"/>
      <c r="B130" s="93" t="s">
        <v>176</v>
      </c>
      <c r="C130" s="123">
        <v>10.895799999999999</v>
      </c>
      <c r="D130" s="123">
        <v>11.1257</v>
      </c>
      <c r="E130" s="122"/>
      <c r="F130" s="124"/>
      <c r="G130" s="125"/>
    </row>
    <row r="131" spans="1:7" x14ac:dyDescent="0.2">
      <c r="A131" s="122"/>
      <c r="B131" s="93" t="s">
        <v>1102</v>
      </c>
      <c r="C131" s="123">
        <v>10.895799999999999</v>
      </c>
      <c r="D131" s="123">
        <v>11.1257</v>
      </c>
      <c r="E131" s="122"/>
      <c r="F131" s="124"/>
      <c r="G131" s="125"/>
    </row>
    <row r="132" spans="1:7" x14ac:dyDescent="0.2">
      <c r="A132" s="122"/>
      <c r="B132" s="122"/>
      <c r="C132" s="122"/>
      <c r="D132" s="122"/>
      <c r="E132" s="122"/>
      <c r="F132" s="122"/>
      <c r="G132" s="122"/>
    </row>
    <row r="133" spans="1:7" x14ac:dyDescent="0.2">
      <c r="A133" s="118"/>
      <c r="B133" s="205" t="s">
        <v>925</v>
      </c>
      <c r="C133" s="206"/>
      <c r="D133" s="85" t="s">
        <v>171</v>
      </c>
      <c r="E133" s="118"/>
      <c r="F133" s="118"/>
      <c r="G133" s="118"/>
    </row>
    <row r="134" spans="1:7" x14ac:dyDescent="0.2">
      <c r="A134" s="118"/>
      <c r="B134" s="136"/>
      <c r="C134" s="136"/>
      <c r="D134" s="136"/>
      <c r="E134" s="118"/>
      <c r="F134" s="118"/>
      <c r="G134" s="118"/>
    </row>
    <row r="135" spans="1:7" x14ac:dyDescent="0.2">
      <c r="A135" s="118"/>
      <c r="B135" s="205" t="s">
        <v>179</v>
      </c>
      <c r="C135" s="206"/>
      <c r="D135" s="85" t="s">
        <v>171</v>
      </c>
      <c r="E135" s="131"/>
      <c r="F135" s="118"/>
      <c r="G135" s="118"/>
    </row>
    <row r="136" spans="1:7" x14ac:dyDescent="0.2">
      <c r="A136" s="118"/>
      <c r="B136" s="205" t="s">
        <v>180</v>
      </c>
      <c r="C136" s="206"/>
      <c r="D136" s="85" t="s">
        <v>171</v>
      </c>
      <c r="E136" s="131"/>
      <c r="F136" s="118"/>
      <c r="G136" s="118"/>
    </row>
    <row r="137" spans="1:7" ht="12.75" customHeight="1" x14ac:dyDescent="0.2">
      <c r="A137" s="118"/>
      <c r="B137" s="205" t="s">
        <v>181</v>
      </c>
      <c r="C137" s="206"/>
      <c r="D137" s="85" t="s">
        <v>171</v>
      </c>
      <c r="E137" s="131"/>
      <c r="F137" s="118"/>
      <c r="G137" s="118"/>
    </row>
    <row r="138" spans="1:7" x14ac:dyDescent="0.2">
      <c r="A138" s="118"/>
      <c r="B138" s="205" t="s">
        <v>182</v>
      </c>
      <c r="C138" s="206"/>
      <c r="D138" s="132">
        <v>0.38750000000000001</v>
      </c>
      <c r="E138" s="118"/>
      <c r="F138" s="112"/>
      <c r="G138" s="133"/>
    </row>
    <row r="140" spans="1:7" x14ac:dyDescent="0.2">
      <c r="B140" s="199" t="s">
        <v>926</v>
      </c>
      <c r="C140" s="199"/>
    </row>
    <row r="142" spans="1:7" ht="153.75" customHeight="1" x14ac:dyDescent="0.2"/>
    <row r="145" spans="2:4" x14ac:dyDescent="0.2">
      <c r="B145" s="134" t="s">
        <v>927</v>
      </c>
      <c r="C145" s="135"/>
      <c r="D145" s="134"/>
    </row>
    <row r="146" spans="2:4" x14ac:dyDescent="0.2">
      <c r="B146" s="134" t="s">
        <v>1089</v>
      </c>
      <c r="D146" s="134"/>
    </row>
    <row r="147" spans="2:4" ht="165" customHeight="1" x14ac:dyDescent="0.2"/>
    <row r="148" spans="2:4" ht="12.75" customHeight="1" x14ac:dyDescent="0.2"/>
    <row r="149" spans="2:4" ht="12.75" customHeight="1" x14ac:dyDescent="0.2"/>
    <row r="150" spans="2:4" ht="12.75" customHeight="1" x14ac:dyDescent="0.2"/>
    <row r="151" spans="2:4" ht="12.75" customHeight="1" x14ac:dyDescent="0.2"/>
    <row r="152" spans="2:4" ht="12.75" customHeight="1" x14ac:dyDescent="0.2"/>
    <row r="153" spans="2:4" ht="12.75" customHeight="1" x14ac:dyDescent="0.2"/>
    <row r="154" spans="2:4" ht="12.75" customHeight="1" x14ac:dyDescent="0.2"/>
    <row r="155" spans="2:4" ht="12.75" customHeight="1" x14ac:dyDescent="0.2"/>
    <row r="156" spans="2:4" ht="12.75" customHeight="1" x14ac:dyDescent="0.2"/>
    <row r="157" spans="2:4" ht="12.75" customHeight="1" x14ac:dyDescent="0.2"/>
    <row r="158" spans="2:4" ht="12.75" customHeight="1" x14ac:dyDescent="0.2"/>
  </sheetData>
  <mergeCells count="18">
    <mergeCell ref="B135:C135"/>
    <mergeCell ref="B136:C136"/>
    <mergeCell ref="B140:C140"/>
    <mergeCell ref="B138:C138"/>
    <mergeCell ref="A1:H1"/>
    <mergeCell ref="A2:H2"/>
    <mergeCell ref="A3:H3"/>
    <mergeCell ref="B133:C133"/>
    <mergeCell ref="B137:C137"/>
    <mergeCell ref="B116:H116"/>
    <mergeCell ref="B117:H117"/>
    <mergeCell ref="B124:C124"/>
    <mergeCell ref="B125:C125"/>
    <mergeCell ref="B118:H118"/>
    <mergeCell ref="B119:H119"/>
    <mergeCell ref="B120:H120"/>
    <mergeCell ref="B122:D122"/>
    <mergeCell ref="B123:C123"/>
  </mergeCells>
  <hyperlinks>
    <hyperlink ref="I1" location="Index!B2" display="Index" xr:uid="{74AC03EA-E13A-4ECB-A025-786F9BB02351}"/>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0B9E7-8608-4F59-A257-7D6A38C1B907}">
  <sheetPr>
    <outlinePr summaryBelow="0" summaryRight="0"/>
  </sheetPr>
  <dimension ref="A1:Q159"/>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7.7109375" bestFit="1"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859</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1882000</v>
      </c>
      <c r="F7" s="95">
        <v>18580.986000000001</v>
      </c>
      <c r="G7" s="96">
        <v>8.7243589999999996E-2</v>
      </c>
      <c r="H7" s="86" t="s">
        <v>142</v>
      </c>
    </row>
    <row r="8" spans="1:9" x14ac:dyDescent="0.2">
      <c r="A8" s="92">
        <v>2</v>
      </c>
      <c r="B8" s="93" t="s">
        <v>33</v>
      </c>
      <c r="C8" s="93" t="s">
        <v>34</v>
      </c>
      <c r="D8" s="93" t="s">
        <v>35</v>
      </c>
      <c r="E8" s="94">
        <v>1151000</v>
      </c>
      <c r="F8" s="95">
        <v>15484.403</v>
      </c>
      <c r="G8" s="96">
        <v>7.2704160000000004E-2</v>
      </c>
      <c r="H8" s="86" t="s">
        <v>142</v>
      </c>
    </row>
    <row r="9" spans="1:9" x14ac:dyDescent="0.2">
      <c r="A9" s="92">
        <v>3</v>
      </c>
      <c r="B9" s="93" t="s">
        <v>17</v>
      </c>
      <c r="C9" s="93" t="s">
        <v>18</v>
      </c>
      <c r="D9" s="93" t="s">
        <v>19</v>
      </c>
      <c r="E9" s="94">
        <v>682000</v>
      </c>
      <c r="F9" s="95">
        <v>10137.248</v>
      </c>
      <c r="G9" s="96">
        <v>4.759758E-2</v>
      </c>
      <c r="H9" s="86" t="s">
        <v>142</v>
      </c>
    </row>
    <row r="10" spans="1:9" x14ac:dyDescent="0.2">
      <c r="A10" s="92">
        <v>4</v>
      </c>
      <c r="B10" s="93" t="s">
        <v>11</v>
      </c>
      <c r="C10" s="93" t="s">
        <v>12</v>
      </c>
      <c r="D10" s="93" t="s">
        <v>13</v>
      </c>
      <c r="E10" s="94">
        <v>444000</v>
      </c>
      <c r="F10" s="95">
        <v>9121.98</v>
      </c>
      <c r="G10" s="96">
        <v>4.2830569999999998E-2</v>
      </c>
      <c r="H10" s="86" t="s">
        <v>142</v>
      </c>
    </row>
    <row r="11" spans="1:9" x14ac:dyDescent="0.2">
      <c r="A11" s="92">
        <v>5</v>
      </c>
      <c r="B11" s="93" t="s">
        <v>322</v>
      </c>
      <c r="C11" s="93" t="s">
        <v>323</v>
      </c>
      <c r="D11" s="93" t="s">
        <v>35</v>
      </c>
      <c r="E11" s="94">
        <v>665000</v>
      </c>
      <c r="F11" s="95">
        <v>8198.1200000000008</v>
      </c>
      <c r="G11" s="96">
        <v>3.8492760000000001E-2</v>
      </c>
      <c r="H11" s="86" t="s">
        <v>142</v>
      </c>
    </row>
    <row r="12" spans="1:9" x14ac:dyDescent="0.2">
      <c r="A12" s="92">
        <v>6</v>
      </c>
      <c r="B12" s="93" t="s">
        <v>14</v>
      </c>
      <c r="C12" s="93" t="s">
        <v>15</v>
      </c>
      <c r="D12" s="93" t="s">
        <v>16</v>
      </c>
      <c r="E12" s="94">
        <v>190000</v>
      </c>
      <c r="F12" s="95">
        <v>7658.71</v>
      </c>
      <c r="G12" s="96">
        <v>3.5960060000000002E-2</v>
      </c>
      <c r="H12" s="86" t="s">
        <v>142</v>
      </c>
    </row>
    <row r="13" spans="1:9" x14ac:dyDescent="0.2">
      <c r="A13" s="92">
        <v>7</v>
      </c>
      <c r="B13" s="93" t="s">
        <v>39</v>
      </c>
      <c r="C13" s="93" t="s">
        <v>40</v>
      </c>
      <c r="D13" s="93" t="s">
        <v>35</v>
      </c>
      <c r="E13" s="94">
        <v>796000</v>
      </c>
      <c r="F13" s="95">
        <v>7458.52</v>
      </c>
      <c r="G13" s="96">
        <v>3.5020099999999998E-2</v>
      </c>
      <c r="H13" s="86" t="s">
        <v>142</v>
      </c>
    </row>
    <row r="14" spans="1:9" x14ac:dyDescent="0.2">
      <c r="A14" s="92">
        <v>8</v>
      </c>
      <c r="B14" s="93" t="s">
        <v>326</v>
      </c>
      <c r="C14" s="93" t="s">
        <v>327</v>
      </c>
      <c r="D14" s="93" t="s">
        <v>204</v>
      </c>
      <c r="E14" s="94">
        <v>468500</v>
      </c>
      <c r="F14" s="95">
        <v>6944.5754999999999</v>
      </c>
      <c r="G14" s="96">
        <v>3.2606969999999999E-2</v>
      </c>
      <c r="H14" s="86" t="s">
        <v>142</v>
      </c>
    </row>
    <row r="15" spans="1:9" x14ac:dyDescent="0.2">
      <c r="A15" s="92">
        <v>9</v>
      </c>
      <c r="B15" s="93" t="s">
        <v>324</v>
      </c>
      <c r="C15" s="93" t="s">
        <v>325</v>
      </c>
      <c r="D15" s="93" t="s">
        <v>35</v>
      </c>
      <c r="E15" s="94">
        <v>300000</v>
      </c>
      <c r="F15" s="95">
        <v>6306.6</v>
      </c>
      <c r="G15" s="96">
        <v>2.9611479999999999E-2</v>
      </c>
      <c r="H15" s="86" t="s">
        <v>142</v>
      </c>
    </row>
    <row r="16" spans="1:9" x14ac:dyDescent="0.2">
      <c r="A16" s="92">
        <v>10</v>
      </c>
      <c r="B16" s="93" t="s">
        <v>420</v>
      </c>
      <c r="C16" s="93" t="s">
        <v>421</v>
      </c>
      <c r="D16" s="93" t="s">
        <v>422</v>
      </c>
      <c r="E16" s="94">
        <v>1440000</v>
      </c>
      <c r="F16" s="95">
        <v>6053.04</v>
      </c>
      <c r="G16" s="96">
        <v>2.842093E-2</v>
      </c>
      <c r="H16" s="86" t="s">
        <v>142</v>
      </c>
    </row>
    <row r="17" spans="1:8" ht="25.5" x14ac:dyDescent="0.2">
      <c r="A17" s="92">
        <v>11</v>
      </c>
      <c r="B17" s="93" t="s">
        <v>23</v>
      </c>
      <c r="C17" s="93" t="s">
        <v>24</v>
      </c>
      <c r="D17" s="93" t="s">
        <v>25</v>
      </c>
      <c r="E17" s="94">
        <v>42000</v>
      </c>
      <c r="F17" s="95">
        <v>5017.74</v>
      </c>
      <c r="G17" s="96">
        <v>2.355987E-2</v>
      </c>
      <c r="H17" s="86" t="s">
        <v>142</v>
      </c>
    </row>
    <row r="18" spans="1:8" x14ac:dyDescent="0.2">
      <c r="A18" s="92">
        <v>12</v>
      </c>
      <c r="B18" s="93" t="s">
        <v>334</v>
      </c>
      <c r="C18" s="93" t="s">
        <v>335</v>
      </c>
      <c r="D18" s="93" t="s">
        <v>241</v>
      </c>
      <c r="E18" s="94">
        <v>129976</v>
      </c>
      <c r="F18" s="95">
        <v>4532.523072</v>
      </c>
      <c r="G18" s="96">
        <v>2.1281629999999999E-2</v>
      </c>
      <c r="H18" s="86" t="s">
        <v>142</v>
      </c>
    </row>
    <row r="19" spans="1:8" ht="25.5" x14ac:dyDescent="0.2">
      <c r="A19" s="92">
        <v>13</v>
      </c>
      <c r="B19" s="93" t="s">
        <v>436</v>
      </c>
      <c r="C19" s="93" t="s">
        <v>437</v>
      </c>
      <c r="D19" s="93" t="s">
        <v>225</v>
      </c>
      <c r="E19" s="94">
        <v>256000</v>
      </c>
      <c r="F19" s="95">
        <v>3843.328</v>
      </c>
      <c r="G19" s="96">
        <v>1.8045640000000002E-2</v>
      </c>
      <c r="H19" s="86" t="s">
        <v>142</v>
      </c>
    </row>
    <row r="20" spans="1:8" x14ac:dyDescent="0.2">
      <c r="A20" s="92">
        <v>14</v>
      </c>
      <c r="B20" s="93" t="s">
        <v>816</v>
      </c>
      <c r="C20" s="93" t="s">
        <v>817</v>
      </c>
      <c r="D20" s="93" t="s">
        <v>241</v>
      </c>
      <c r="E20" s="94">
        <v>21000</v>
      </c>
      <c r="F20" s="95">
        <v>3707.34</v>
      </c>
      <c r="G20" s="96">
        <v>1.740713E-2</v>
      </c>
      <c r="H20" s="86" t="s">
        <v>142</v>
      </c>
    </row>
    <row r="21" spans="1:8" ht="25.5" x14ac:dyDescent="0.2">
      <c r="A21" s="92">
        <v>15</v>
      </c>
      <c r="B21" s="93" t="s">
        <v>346</v>
      </c>
      <c r="C21" s="93" t="s">
        <v>347</v>
      </c>
      <c r="D21" s="93" t="s">
        <v>225</v>
      </c>
      <c r="E21" s="94">
        <v>202000</v>
      </c>
      <c r="F21" s="95">
        <v>3415.2139999999999</v>
      </c>
      <c r="G21" s="96">
        <v>1.6035509999999999E-2</v>
      </c>
      <c r="H21" s="86" t="s">
        <v>142</v>
      </c>
    </row>
    <row r="22" spans="1:8" x14ac:dyDescent="0.2">
      <c r="A22" s="92">
        <v>16</v>
      </c>
      <c r="B22" s="93" t="s">
        <v>344</v>
      </c>
      <c r="C22" s="93" t="s">
        <v>345</v>
      </c>
      <c r="D22" s="93" t="s">
        <v>186</v>
      </c>
      <c r="E22" s="94">
        <v>191000</v>
      </c>
      <c r="F22" s="95">
        <v>3240.8879999999999</v>
      </c>
      <c r="G22" s="96">
        <v>1.521699E-2</v>
      </c>
      <c r="H22" s="86" t="s">
        <v>142</v>
      </c>
    </row>
    <row r="23" spans="1:8" x14ac:dyDescent="0.2">
      <c r="A23" s="92">
        <v>17</v>
      </c>
      <c r="B23" s="93" t="s">
        <v>20</v>
      </c>
      <c r="C23" s="93" t="s">
        <v>21</v>
      </c>
      <c r="D23" s="93" t="s">
        <v>22</v>
      </c>
      <c r="E23" s="94">
        <v>959000</v>
      </c>
      <c r="F23" s="95">
        <v>3231.3505</v>
      </c>
      <c r="G23" s="96">
        <v>1.517221E-2</v>
      </c>
      <c r="H23" s="86" t="s">
        <v>142</v>
      </c>
    </row>
    <row r="24" spans="1:8" x14ac:dyDescent="0.2">
      <c r="A24" s="92">
        <v>18</v>
      </c>
      <c r="B24" s="93" t="s">
        <v>818</v>
      </c>
      <c r="C24" s="93" t="s">
        <v>819</v>
      </c>
      <c r="D24" s="93" t="s">
        <v>35</v>
      </c>
      <c r="E24" s="94">
        <v>2126148</v>
      </c>
      <c r="F24" s="95">
        <v>3160.9442316</v>
      </c>
      <c r="G24" s="96">
        <v>1.484163E-2</v>
      </c>
      <c r="H24" s="86" t="s">
        <v>142</v>
      </c>
    </row>
    <row r="25" spans="1:8" x14ac:dyDescent="0.2">
      <c r="A25" s="92">
        <v>19</v>
      </c>
      <c r="B25" s="93" t="s">
        <v>820</v>
      </c>
      <c r="C25" s="93" t="s">
        <v>821</v>
      </c>
      <c r="D25" s="93" t="s">
        <v>278</v>
      </c>
      <c r="E25" s="94">
        <v>750000</v>
      </c>
      <c r="F25" s="95">
        <v>3074.625</v>
      </c>
      <c r="G25" s="96">
        <v>1.4436330000000001E-2</v>
      </c>
      <c r="H25" s="86" t="s">
        <v>142</v>
      </c>
    </row>
    <row r="26" spans="1:8" x14ac:dyDescent="0.2">
      <c r="A26" s="92">
        <v>20</v>
      </c>
      <c r="B26" s="93" t="s">
        <v>93</v>
      </c>
      <c r="C26" s="93" t="s">
        <v>94</v>
      </c>
      <c r="D26" s="93" t="s">
        <v>58</v>
      </c>
      <c r="E26" s="94">
        <v>298419</v>
      </c>
      <c r="F26" s="95">
        <v>2983.8915809999999</v>
      </c>
      <c r="G26" s="96">
        <v>1.401031E-2</v>
      </c>
      <c r="H26" s="86" t="s">
        <v>142</v>
      </c>
    </row>
    <row r="27" spans="1:8" x14ac:dyDescent="0.2">
      <c r="A27" s="92">
        <v>21</v>
      </c>
      <c r="B27" s="93" t="s">
        <v>750</v>
      </c>
      <c r="C27" s="93" t="s">
        <v>751</v>
      </c>
      <c r="D27" s="93" t="s">
        <v>109</v>
      </c>
      <c r="E27" s="94">
        <v>150000</v>
      </c>
      <c r="F27" s="95">
        <v>2955.6</v>
      </c>
      <c r="G27" s="96">
        <v>1.3877469999999999E-2</v>
      </c>
      <c r="H27" s="86" t="s">
        <v>142</v>
      </c>
    </row>
    <row r="28" spans="1:8" x14ac:dyDescent="0.2">
      <c r="A28" s="92">
        <v>22</v>
      </c>
      <c r="B28" s="93" t="s">
        <v>83</v>
      </c>
      <c r="C28" s="93" t="s">
        <v>84</v>
      </c>
      <c r="D28" s="93" t="s">
        <v>61</v>
      </c>
      <c r="E28" s="94">
        <v>629000</v>
      </c>
      <c r="F28" s="95">
        <v>2930.8254999999999</v>
      </c>
      <c r="G28" s="96">
        <v>1.376115E-2</v>
      </c>
      <c r="H28" s="86" t="s">
        <v>142</v>
      </c>
    </row>
    <row r="29" spans="1:8" ht="25.5" x14ac:dyDescent="0.2">
      <c r="A29" s="92">
        <v>23</v>
      </c>
      <c r="B29" s="93" t="s">
        <v>244</v>
      </c>
      <c r="C29" s="93" t="s">
        <v>245</v>
      </c>
      <c r="D29" s="93" t="s">
        <v>225</v>
      </c>
      <c r="E29" s="94">
        <v>53000</v>
      </c>
      <c r="F29" s="95">
        <v>2918.4450000000002</v>
      </c>
      <c r="G29" s="96">
        <v>1.370302E-2</v>
      </c>
      <c r="H29" s="86" t="s">
        <v>142</v>
      </c>
    </row>
    <row r="30" spans="1:8" ht="25.5" x14ac:dyDescent="0.2">
      <c r="A30" s="92">
        <v>24</v>
      </c>
      <c r="B30" s="93" t="s">
        <v>103</v>
      </c>
      <c r="C30" s="93" t="s">
        <v>104</v>
      </c>
      <c r="D30" s="93" t="s">
        <v>25</v>
      </c>
      <c r="E30" s="94">
        <v>515000</v>
      </c>
      <c r="F30" s="95">
        <v>2911.81</v>
      </c>
      <c r="G30" s="96">
        <v>1.3671869999999999E-2</v>
      </c>
      <c r="H30" s="86" t="s">
        <v>142</v>
      </c>
    </row>
    <row r="31" spans="1:8" x14ac:dyDescent="0.2">
      <c r="A31" s="92">
        <v>25</v>
      </c>
      <c r="B31" s="93" t="s">
        <v>506</v>
      </c>
      <c r="C31" s="93" t="s">
        <v>507</v>
      </c>
      <c r="D31" s="93" t="s">
        <v>232</v>
      </c>
      <c r="E31" s="94">
        <v>200000</v>
      </c>
      <c r="F31" s="95">
        <v>2862.8</v>
      </c>
      <c r="G31" s="96">
        <v>1.3441750000000001E-2</v>
      </c>
      <c r="H31" s="86" t="s">
        <v>142</v>
      </c>
    </row>
    <row r="32" spans="1:8" x14ac:dyDescent="0.2">
      <c r="A32" s="92">
        <v>26</v>
      </c>
      <c r="B32" s="93" t="s">
        <v>342</v>
      </c>
      <c r="C32" s="93" t="s">
        <v>343</v>
      </c>
      <c r="D32" s="93" t="s">
        <v>278</v>
      </c>
      <c r="E32" s="94">
        <v>863000</v>
      </c>
      <c r="F32" s="95">
        <v>2742.1824999999999</v>
      </c>
      <c r="G32" s="96">
        <v>1.287541E-2</v>
      </c>
      <c r="H32" s="86" t="s">
        <v>142</v>
      </c>
    </row>
    <row r="33" spans="1:8" x14ac:dyDescent="0.2">
      <c r="A33" s="92">
        <v>27</v>
      </c>
      <c r="B33" s="93" t="s">
        <v>291</v>
      </c>
      <c r="C33" s="93" t="s">
        <v>292</v>
      </c>
      <c r="D33" s="93" t="s">
        <v>250</v>
      </c>
      <c r="E33" s="94">
        <v>512642</v>
      </c>
      <c r="F33" s="95">
        <v>2739.5588480000001</v>
      </c>
      <c r="G33" s="96">
        <v>1.2863090000000001E-2</v>
      </c>
      <c r="H33" s="86" t="s">
        <v>142</v>
      </c>
    </row>
    <row r="34" spans="1:8" x14ac:dyDescent="0.2">
      <c r="A34" s="92">
        <v>28</v>
      </c>
      <c r="B34" s="93" t="s">
        <v>76</v>
      </c>
      <c r="C34" s="93" t="s">
        <v>77</v>
      </c>
      <c r="D34" s="93" t="s">
        <v>78</v>
      </c>
      <c r="E34" s="94">
        <v>1498000</v>
      </c>
      <c r="F34" s="95">
        <v>2737.7447999999999</v>
      </c>
      <c r="G34" s="96">
        <v>1.2854580000000001E-2</v>
      </c>
      <c r="H34" s="86" t="s">
        <v>142</v>
      </c>
    </row>
    <row r="35" spans="1:8" x14ac:dyDescent="0.2">
      <c r="A35" s="92">
        <v>29</v>
      </c>
      <c r="B35" s="93" t="s">
        <v>56</v>
      </c>
      <c r="C35" s="93" t="s">
        <v>57</v>
      </c>
      <c r="D35" s="93" t="s">
        <v>58</v>
      </c>
      <c r="E35" s="94">
        <v>63000</v>
      </c>
      <c r="F35" s="95">
        <v>2736.7829999999999</v>
      </c>
      <c r="G35" s="96">
        <v>1.285006E-2</v>
      </c>
      <c r="H35" s="86" t="s">
        <v>142</v>
      </c>
    </row>
    <row r="36" spans="1:8" ht="25.5" x14ac:dyDescent="0.2">
      <c r="A36" s="92">
        <v>30</v>
      </c>
      <c r="B36" s="93" t="s">
        <v>822</v>
      </c>
      <c r="C36" s="93" t="s">
        <v>823</v>
      </c>
      <c r="D36" s="93" t="s">
        <v>191</v>
      </c>
      <c r="E36" s="94">
        <v>362000</v>
      </c>
      <c r="F36" s="95">
        <v>2606.7620000000002</v>
      </c>
      <c r="G36" s="96">
        <v>1.223957E-2</v>
      </c>
      <c r="H36" s="86" t="s">
        <v>142</v>
      </c>
    </row>
    <row r="37" spans="1:8" x14ac:dyDescent="0.2">
      <c r="A37" s="92">
        <v>31</v>
      </c>
      <c r="B37" s="93" t="s">
        <v>516</v>
      </c>
      <c r="C37" s="93" t="s">
        <v>517</v>
      </c>
      <c r="D37" s="93" t="s">
        <v>232</v>
      </c>
      <c r="E37" s="94">
        <v>551000</v>
      </c>
      <c r="F37" s="95">
        <v>2587.7714999999998</v>
      </c>
      <c r="G37" s="96">
        <v>1.21504E-2</v>
      </c>
      <c r="H37" s="86" t="s">
        <v>142</v>
      </c>
    </row>
    <row r="38" spans="1:8" x14ac:dyDescent="0.2">
      <c r="A38" s="92">
        <v>32</v>
      </c>
      <c r="B38" s="93" t="s">
        <v>41</v>
      </c>
      <c r="C38" s="93" t="s">
        <v>42</v>
      </c>
      <c r="D38" s="93" t="s">
        <v>43</v>
      </c>
      <c r="E38" s="94">
        <v>85000</v>
      </c>
      <c r="F38" s="95">
        <v>2581.79</v>
      </c>
      <c r="G38" s="96">
        <v>1.2122320000000001E-2</v>
      </c>
      <c r="H38" s="86" t="s">
        <v>142</v>
      </c>
    </row>
    <row r="39" spans="1:8" x14ac:dyDescent="0.2">
      <c r="A39" s="92">
        <v>33</v>
      </c>
      <c r="B39" s="93" t="s">
        <v>216</v>
      </c>
      <c r="C39" s="93" t="s">
        <v>217</v>
      </c>
      <c r="D39" s="93" t="s">
        <v>218</v>
      </c>
      <c r="E39" s="94">
        <v>410000</v>
      </c>
      <c r="F39" s="95">
        <v>2451.1849999999999</v>
      </c>
      <c r="G39" s="96">
        <v>1.150909E-2</v>
      </c>
      <c r="H39" s="86" t="s">
        <v>142</v>
      </c>
    </row>
    <row r="40" spans="1:8" x14ac:dyDescent="0.2">
      <c r="A40" s="92">
        <v>34</v>
      </c>
      <c r="B40" s="93" t="s">
        <v>59</v>
      </c>
      <c r="C40" s="93" t="s">
        <v>60</v>
      </c>
      <c r="D40" s="93" t="s">
        <v>61</v>
      </c>
      <c r="E40" s="94">
        <v>43308</v>
      </c>
      <c r="F40" s="95">
        <v>2436.0749999999998</v>
      </c>
      <c r="G40" s="96">
        <v>1.1438139999999999E-2</v>
      </c>
      <c r="H40" s="86" t="s">
        <v>142</v>
      </c>
    </row>
    <row r="41" spans="1:8" x14ac:dyDescent="0.2">
      <c r="A41" s="92">
        <v>35</v>
      </c>
      <c r="B41" s="93" t="s">
        <v>518</v>
      </c>
      <c r="C41" s="93" t="s">
        <v>519</v>
      </c>
      <c r="D41" s="93" t="s">
        <v>204</v>
      </c>
      <c r="E41" s="94">
        <v>168601</v>
      </c>
      <c r="F41" s="95">
        <v>2401.5526439999999</v>
      </c>
      <c r="G41" s="96">
        <v>1.1276049999999999E-2</v>
      </c>
      <c r="H41" s="86" t="s">
        <v>142</v>
      </c>
    </row>
    <row r="42" spans="1:8" x14ac:dyDescent="0.2">
      <c r="A42" s="92">
        <v>36</v>
      </c>
      <c r="B42" s="93" t="s">
        <v>504</v>
      </c>
      <c r="C42" s="93" t="s">
        <v>505</v>
      </c>
      <c r="D42" s="93" t="s">
        <v>241</v>
      </c>
      <c r="E42" s="94">
        <v>13916</v>
      </c>
      <c r="F42" s="95">
        <v>2252.4437600000001</v>
      </c>
      <c r="G42" s="96">
        <v>1.0575930000000001E-2</v>
      </c>
      <c r="H42" s="86" t="s">
        <v>142</v>
      </c>
    </row>
    <row r="43" spans="1:8" ht="25.5" x14ac:dyDescent="0.2">
      <c r="A43" s="92">
        <v>37</v>
      </c>
      <c r="B43" s="93" t="s">
        <v>434</v>
      </c>
      <c r="C43" s="93" t="s">
        <v>435</v>
      </c>
      <c r="D43" s="93" t="s">
        <v>207</v>
      </c>
      <c r="E43" s="94">
        <v>193000</v>
      </c>
      <c r="F43" s="95">
        <v>2248.4499999999998</v>
      </c>
      <c r="G43" s="96">
        <v>1.0557179999999999E-2</v>
      </c>
      <c r="H43" s="86" t="s">
        <v>142</v>
      </c>
    </row>
    <row r="44" spans="1:8" x14ac:dyDescent="0.2">
      <c r="A44" s="92">
        <v>38</v>
      </c>
      <c r="B44" s="93" t="s">
        <v>508</v>
      </c>
      <c r="C44" s="93" t="s">
        <v>509</v>
      </c>
      <c r="D44" s="93" t="s">
        <v>38</v>
      </c>
      <c r="E44" s="94">
        <v>223000</v>
      </c>
      <c r="F44" s="95">
        <v>2240.5925000000002</v>
      </c>
      <c r="G44" s="96">
        <v>1.052029E-2</v>
      </c>
      <c r="H44" s="86" t="s">
        <v>142</v>
      </c>
    </row>
    <row r="45" spans="1:8" x14ac:dyDescent="0.2">
      <c r="A45" s="92">
        <v>39</v>
      </c>
      <c r="B45" s="93" t="s">
        <v>423</v>
      </c>
      <c r="C45" s="93" t="s">
        <v>424</v>
      </c>
      <c r="D45" s="93" t="s">
        <v>204</v>
      </c>
      <c r="E45" s="94">
        <v>142000</v>
      </c>
      <c r="F45" s="95">
        <v>2188.9299999999998</v>
      </c>
      <c r="G45" s="96">
        <v>1.0277720000000001E-2</v>
      </c>
      <c r="H45" s="86" t="s">
        <v>142</v>
      </c>
    </row>
    <row r="46" spans="1:8" x14ac:dyDescent="0.2">
      <c r="A46" s="92">
        <v>40</v>
      </c>
      <c r="B46" s="93" t="s">
        <v>283</v>
      </c>
      <c r="C46" s="93" t="s">
        <v>284</v>
      </c>
      <c r="D46" s="93" t="s">
        <v>218</v>
      </c>
      <c r="E46" s="94">
        <v>1334000</v>
      </c>
      <c r="F46" s="95">
        <v>2158.4119999999998</v>
      </c>
      <c r="G46" s="96">
        <v>1.013443E-2</v>
      </c>
      <c r="H46" s="86" t="s">
        <v>142</v>
      </c>
    </row>
    <row r="47" spans="1:8" x14ac:dyDescent="0.2">
      <c r="A47" s="92">
        <v>41</v>
      </c>
      <c r="B47" s="93" t="s">
        <v>328</v>
      </c>
      <c r="C47" s="93" t="s">
        <v>329</v>
      </c>
      <c r="D47" s="93" t="s">
        <v>28</v>
      </c>
      <c r="E47" s="94">
        <v>45000</v>
      </c>
      <c r="F47" s="95">
        <v>2105.91</v>
      </c>
      <c r="G47" s="96">
        <v>9.8879099999999998E-3</v>
      </c>
      <c r="H47" s="86" t="s">
        <v>142</v>
      </c>
    </row>
    <row r="48" spans="1:8" x14ac:dyDescent="0.2">
      <c r="A48" s="92">
        <v>42</v>
      </c>
      <c r="B48" s="93" t="s">
        <v>91</v>
      </c>
      <c r="C48" s="93" t="s">
        <v>92</v>
      </c>
      <c r="D48" s="93" t="s">
        <v>22</v>
      </c>
      <c r="E48" s="94">
        <v>154000</v>
      </c>
      <c r="F48" s="95">
        <v>2027.41</v>
      </c>
      <c r="G48" s="96">
        <v>9.5193299999999995E-3</v>
      </c>
      <c r="H48" s="86" t="s">
        <v>142</v>
      </c>
    </row>
    <row r="49" spans="1:8" x14ac:dyDescent="0.2">
      <c r="A49" s="92">
        <v>43</v>
      </c>
      <c r="B49" s="93" t="s">
        <v>444</v>
      </c>
      <c r="C49" s="93" t="s">
        <v>445</v>
      </c>
      <c r="D49" s="93" t="s">
        <v>35</v>
      </c>
      <c r="E49" s="94">
        <v>254000</v>
      </c>
      <c r="F49" s="95">
        <v>2018.7919999999999</v>
      </c>
      <c r="G49" s="96">
        <v>9.4788700000000004E-3</v>
      </c>
      <c r="H49" s="86" t="s">
        <v>142</v>
      </c>
    </row>
    <row r="50" spans="1:8" x14ac:dyDescent="0.2">
      <c r="A50" s="92">
        <v>44</v>
      </c>
      <c r="B50" s="93" t="s">
        <v>440</v>
      </c>
      <c r="C50" s="93" t="s">
        <v>441</v>
      </c>
      <c r="D50" s="93" t="s">
        <v>422</v>
      </c>
      <c r="E50" s="94">
        <v>80000</v>
      </c>
      <c r="F50" s="95">
        <v>1972.4</v>
      </c>
      <c r="G50" s="96">
        <v>9.2610399999999999E-3</v>
      </c>
      <c r="H50" s="86" t="s">
        <v>142</v>
      </c>
    </row>
    <row r="51" spans="1:8" x14ac:dyDescent="0.2">
      <c r="A51" s="92">
        <v>45</v>
      </c>
      <c r="B51" s="93" t="s">
        <v>340</v>
      </c>
      <c r="C51" s="93" t="s">
        <v>341</v>
      </c>
      <c r="D51" s="93" t="s">
        <v>257</v>
      </c>
      <c r="E51" s="94">
        <v>97186</v>
      </c>
      <c r="F51" s="95">
        <v>1876.2729159999999</v>
      </c>
      <c r="G51" s="96">
        <v>8.8096900000000002E-3</v>
      </c>
      <c r="H51" s="86" t="s">
        <v>142</v>
      </c>
    </row>
    <row r="52" spans="1:8" x14ac:dyDescent="0.2">
      <c r="A52" s="92">
        <v>46</v>
      </c>
      <c r="B52" s="93" t="s">
        <v>430</v>
      </c>
      <c r="C52" s="93" t="s">
        <v>431</v>
      </c>
      <c r="D52" s="93" t="s">
        <v>241</v>
      </c>
      <c r="E52" s="94">
        <v>452000</v>
      </c>
      <c r="F52" s="95">
        <v>1853.2</v>
      </c>
      <c r="G52" s="96">
        <v>8.70136E-3</v>
      </c>
      <c r="H52" s="86" t="s">
        <v>142</v>
      </c>
    </row>
    <row r="53" spans="1:8" ht="25.5" x14ac:dyDescent="0.2">
      <c r="A53" s="92">
        <v>47</v>
      </c>
      <c r="B53" s="93" t="s">
        <v>273</v>
      </c>
      <c r="C53" s="93" t="s">
        <v>274</v>
      </c>
      <c r="D53" s="93" t="s">
        <v>275</v>
      </c>
      <c r="E53" s="94">
        <v>105000</v>
      </c>
      <c r="F53" s="95">
        <v>1814.82</v>
      </c>
      <c r="G53" s="96">
        <v>8.5211499999999999E-3</v>
      </c>
      <c r="H53" s="86" t="s">
        <v>142</v>
      </c>
    </row>
    <row r="54" spans="1:8" ht="25.5" x14ac:dyDescent="0.2">
      <c r="A54" s="92">
        <v>48</v>
      </c>
      <c r="B54" s="93" t="s">
        <v>136</v>
      </c>
      <c r="C54" s="93" t="s">
        <v>137</v>
      </c>
      <c r="D54" s="93" t="s">
        <v>132</v>
      </c>
      <c r="E54" s="94">
        <v>397000</v>
      </c>
      <c r="F54" s="95">
        <v>1340.2719999999999</v>
      </c>
      <c r="G54" s="96">
        <v>6.293E-3</v>
      </c>
      <c r="H54" s="86" t="s">
        <v>142</v>
      </c>
    </row>
    <row r="55" spans="1:8" x14ac:dyDescent="0.2">
      <c r="A55" s="92">
        <v>49</v>
      </c>
      <c r="B55" s="93" t="s">
        <v>442</v>
      </c>
      <c r="C55" s="93" t="s">
        <v>443</v>
      </c>
      <c r="D55" s="93" t="s">
        <v>38</v>
      </c>
      <c r="E55" s="94">
        <v>452000</v>
      </c>
      <c r="F55" s="95">
        <v>1178.5899999999999</v>
      </c>
      <c r="G55" s="96">
        <v>5.5338499999999999E-3</v>
      </c>
      <c r="H55" s="86" t="s">
        <v>142</v>
      </c>
    </row>
    <row r="56" spans="1:8" x14ac:dyDescent="0.2">
      <c r="A56" s="92">
        <v>50</v>
      </c>
      <c r="B56" s="93" t="s">
        <v>213</v>
      </c>
      <c r="C56" s="93" t="s">
        <v>214</v>
      </c>
      <c r="D56" s="93" t="s">
        <v>215</v>
      </c>
      <c r="E56" s="94">
        <v>45000</v>
      </c>
      <c r="F56" s="95">
        <v>1115.55</v>
      </c>
      <c r="G56" s="96">
        <v>5.2378600000000004E-3</v>
      </c>
      <c r="H56" s="86" t="s">
        <v>142</v>
      </c>
    </row>
    <row r="57" spans="1:8" x14ac:dyDescent="0.2">
      <c r="A57" s="97"/>
      <c r="B57" s="97"/>
      <c r="C57" s="98" t="s">
        <v>141</v>
      </c>
      <c r="D57" s="97"/>
      <c r="E57" s="97" t="s">
        <v>142</v>
      </c>
      <c r="F57" s="99">
        <v>201144.9578526</v>
      </c>
      <c r="G57" s="100">
        <v>0.94443902999999996</v>
      </c>
      <c r="H57" s="86" t="s">
        <v>142</v>
      </c>
    </row>
    <row r="58" spans="1:8" x14ac:dyDescent="0.2">
      <c r="A58" s="97"/>
      <c r="B58" s="97"/>
      <c r="C58" s="101"/>
      <c r="D58" s="97"/>
      <c r="E58" s="97"/>
      <c r="F58" s="102"/>
      <c r="G58" s="102"/>
      <c r="H58" s="86" t="s">
        <v>142</v>
      </c>
    </row>
    <row r="59" spans="1:8" x14ac:dyDescent="0.2">
      <c r="A59" s="97"/>
      <c r="B59" s="97"/>
      <c r="C59" s="98" t="s">
        <v>143</v>
      </c>
      <c r="D59" s="97"/>
      <c r="E59" s="97"/>
      <c r="F59" s="97"/>
      <c r="G59" s="97"/>
      <c r="H59" s="86" t="s">
        <v>142</v>
      </c>
    </row>
    <row r="60" spans="1:8" x14ac:dyDescent="0.2">
      <c r="A60" s="97"/>
      <c r="B60" s="97"/>
      <c r="C60" s="98" t="s">
        <v>141</v>
      </c>
      <c r="D60" s="97"/>
      <c r="E60" s="97" t="s">
        <v>142</v>
      </c>
      <c r="F60" s="103" t="s">
        <v>144</v>
      </c>
      <c r="G60" s="100">
        <v>0</v>
      </c>
      <c r="H60" s="86" t="s">
        <v>142</v>
      </c>
    </row>
    <row r="61" spans="1:8" x14ac:dyDescent="0.2">
      <c r="A61" s="97"/>
      <c r="B61" s="97"/>
      <c r="C61" s="101"/>
      <c r="D61" s="97"/>
      <c r="E61" s="97"/>
      <c r="F61" s="102"/>
      <c r="G61" s="102"/>
      <c r="H61" s="86" t="s">
        <v>142</v>
      </c>
    </row>
    <row r="62" spans="1:8" x14ac:dyDescent="0.2">
      <c r="A62" s="97"/>
      <c r="B62" s="97"/>
      <c r="C62" s="98" t="s">
        <v>145</v>
      </c>
      <c r="D62" s="97"/>
      <c r="E62" s="97"/>
      <c r="F62" s="97"/>
      <c r="G62" s="97"/>
      <c r="H62" s="86" t="s">
        <v>142</v>
      </c>
    </row>
    <row r="63" spans="1:8" x14ac:dyDescent="0.2">
      <c r="A63" s="97"/>
      <c r="B63" s="97"/>
      <c r="C63" s="98" t="s">
        <v>141</v>
      </c>
      <c r="D63" s="97"/>
      <c r="E63" s="97" t="s">
        <v>142</v>
      </c>
      <c r="F63" s="103" t="s">
        <v>144</v>
      </c>
      <c r="G63" s="100">
        <v>0</v>
      </c>
      <c r="H63" s="86" t="s">
        <v>142</v>
      </c>
    </row>
    <row r="64" spans="1:8" x14ac:dyDescent="0.2">
      <c r="A64" s="97"/>
      <c r="B64" s="97"/>
      <c r="C64" s="101"/>
      <c r="D64" s="97"/>
      <c r="E64" s="97"/>
      <c r="F64" s="102"/>
      <c r="G64" s="102"/>
      <c r="H64" s="86" t="s">
        <v>142</v>
      </c>
    </row>
    <row r="65" spans="1:8" x14ac:dyDescent="0.2">
      <c r="A65" s="97"/>
      <c r="B65" s="97"/>
      <c r="C65" s="98" t="s">
        <v>146</v>
      </c>
      <c r="D65" s="97"/>
      <c r="E65" s="97"/>
      <c r="F65" s="97"/>
      <c r="G65" s="97"/>
      <c r="H65" s="86" t="s">
        <v>142</v>
      </c>
    </row>
    <row r="66" spans="1:8" x14ac:dyDescent="0.2">
      <c r="A66" s="97"/>
      <c r="B66" s="97"/>
      <c r="C66" s="98" t="s">
        <v>141</v>
      </c>
      <c r="D66" s="97"/>
      <c r="E66" s="97" t="s">
        <v>142</v>
      </c>
      <c r="F66" s="103" t="s">
        <v>144</v>
      </c>
      <c r="G66" s="100">
        <v>0</v>
      </c>
      <c r="H66" s="86" t="s">
        <v>142</v>
      </c>
    </row>
    <row r="67" spans="1:8" x14ac:dyDescent="0.2">
      <c r="A67" s="97"/>
      <c r="B67" s="97"/>
      <c r="C67" s="101"/>
      <c r="D67" s="97"/>
      <c r="E67" s="97"/>
      <c r="F67" s="102"/>
      <c r="G67" s="102"/>
      <c r="H67" s="86" t="s">
        <v>142</v>
      </c>
    </row>
    <row r="68" spans="1:8" x14ac:dyDescent="0.2">
      <c r="A68" s="97"/>
      <c r="B68" s="97"/>
      <c r="C68" s="98" t="s">
        <v>147</v>
      </c>
      <c r="D68" s="97"/>
      <c r="E68" s="97"/>
      <c r="F68" s="102"/>
      <c r="G68" s="102"/>
      <c r="H68" s="86" t="s">
        <v>142</v>
      </c>
    </row>
    <row r="69" spans="1:8" x14ac:dyDescent="0.2">
      <c r="A69" s="97"/>
      <c r="B69" s="97"/>
      <c r="C69" s="98" t="s">
        <v>141</v>
      </c>
      <c r="D69" s="97"/>
      <c r="E69" s="97" t="s">
        <v>142</v>
      </c>
      <c r="F69" s="103" t="s">
        <v>144</v>
      </c>
      <c r="G69" s="100">
        <v>0</v>
      </c>
      <c r="H69" s="86" t="s">
        <v>142</v>
      </c>
    </row>
    <row r="70" spans="1:8" x14ac:dyDescent="0.2">
      <c r="A70" s="97"/>
      <c r="B70" s="97"/>
      <c r="C70" s="101"/>
      <c r="D70" s="97"/>
      <c r="E70" s="97"/>
      <c r="F70" s="102"/>
      <c r="G70" s="102"/>
      <c r="H70" s="86" t="s">
        <v>142</v>
      </c>
    </row>
    <row r="71" spans="1:8" x14ac:dyDescent="0.2">
      <c r="A71" s="97"/>
      <c r="B71" s="97"/>
      <c r="C71" s="98" t="s">
        <v>148</v>
      </c>
      <c r="D71" s="97"/>
      <c r="E71" s="97"/>
      <c r="F71" s="102"/>
      <c r="G71" s="102"/>
      <c r="H71" s="86" t="s">
        <v>142</v>
      </c>
    </row>
    <row r="72" spans="1:8" x14ac:dyDescent="0.2">
      <c r="A72" s="97"/>
      <c r="B72" s="97"/>
      <c r="C72" s="98" t="s">
        <v>141</v>
      </c>
      <c r="D72" s="97"/>
      <c r="E72" s="97" t="s">
        <v>142</v>
      </c>
      <c r="F72" s="103" t="s">
        <v>144</v>
      </c>
      <c r="G72" s="100">
        <v>0</v>
      </c>
      <c r="H72" s="86" t="s">
        <v>142</v>
      </c>
    </row>
    <row r="73" spans="1:8" x14ac:dyDescent="0.2">
      <c r="A73" s="97"/>
      <c r="B73" s="97"/>
      <c r="C73" s="101"/>
      <c r="D73" s="97"/>
      <c r="E73" s="97"/>
      <c r="F73" s="102"/>
      <c r="G73" s="102"/>
      <c r="H73" s="86" t="s">
        <v>142</v>
      </c>
    </row>
    <row r="74" spans="1:8" x14ac:dyDescent="0.2">
      <c r="A74" s="97"/>
      <c r="B74" s="97"/>
      <c r="C74" s="98" t="s">
        <v>149</v>
      </c>
      <c r="D74" s="97"/>
      <c r="E74" s="97"/>
      <c r="F74" s="99">
        <v>201144.9578526</v>
      </c>
      <c r="G74" s="100">
        <v>0.94443902999999996</v>
      </c>
      <c r="H74" s="86" t="s">
        <v>142</v>
      </c>
    </row>
    <row r="75" spans="1:8" x14ac:dyDescent="0.2">
      <c r="A75" s="97"/>
      <c r="B75" s="97"/>
      <c r="C75" s="101"/>
      <c r="D75" s="97"/>
      <c r="E75" s="97"/>
      <c r="F75" s="102"/>
      <c r="G75" s="102"/>
      <c r="H75" s="86" t="s">
        <v>142</v>
      </c>
    </row>
    <row r="76" spans="1:8" x14ac:dyDescent="0.2">
      <c r="A76" s="97"/>
      <c r="B76" s="97"/>
      <c r="C76" s="98" t="s">
        <v>150</v>
      </c>
      <c r="D76" s="97"/>
      <c r="E76" s="97"/>
      <c r="F76" s="102"/>
      <c r="G76" s="102"/>
      <c r="H76" s="86" t="s">
        <v>142</v>
      </c>
    </row>
    <row r="77" spans="1:8" x14ac:dyDescent="0.2">
      <c r="A77" s="97"/>
      <c r="B77" s="97"/>
      <c r="C77" s="98" t="s">
        <v>10</v>
      </c>
      <c r="D77" s="97"/>
      <c r="E77" s="97"/>
      <c r="F77" s="102"/>
      <c r="G77" s="102"/>
      <c r="H77" s="86" t="s">
        <v>142</v>
      </c>
    </row>
    <row r="78" spans="1:8" x14ac:dyDescent="0.2">
      <c r="A78" s="97"/>
      <c r="B78" s="97"/>
      <c r="C78" s="98" t="s">
        <v>141</v>
      </c>
      <c r="D78" s="97"/>
      <c r="E78" s="97" t="s">
        <v>142</v>
      </c>
      <c r="F78" s="103" t="s">
        <v>144</v>
      </c>
      <c r="G78" s="100">
        <v>0</v>
      </c>
      <c r="H78" s="86" t="s">
        <v>142</v>
      </c>
    </row>
    <row r="79" spans="1:8" x14ac:dyDescent="0.2">
      <c r="A79" s="97"/>
      <c r="B79" s="97"/>
      <c r="C79" s="101"/>
      <c r="D79" s="97"/>
      <c r="E79" s="97"/>
      <c r="F79" s="102"/>
      <c r="G79" s="102"/>
      <c r="H79" s="86" t="s">
        <v>142</v>
      </c>
    </row>
    <row r="80" spans="1:8" x14ac:dyDescent="0.2">
      <c r="A80" s="97"/>
      <c r="B80" s="97"/>
      <c r="C80" s="98" t="s">
        <v>151</v>
      </c>
      <c r="D80" s="97"/>
      <c r="E80" s="97"/>
      <c r="F80" s="97"/>
      <c r="G80" s="97"/>
      <c r="H80" s="86" t="s">
        <v>142</v>
      </c>
    </row>
    <row r="81" spans="1:8" x14ac:dyDescent="0.2">
      <c r="A81" s="97"/>
      <c r="B81" s="97"/>
      <c r="C81" s="98" t="s">
        <v>141</v>
      </c>
      <c r="D81" s="97"/>
      <c r="E81" s="97" t="s">
        <v>142</v>
      </c>
      <c r="F81" s="103" t="s">
        <v>144</v>
      </c>
      <c r="G81" s="100">
        <v>0</v>
      </c>
      <c r="H81" s="86" t="s">
        <v>142</v>
      </c>
    </row>
    <row r="82" spans="1:8" x14ac:dyDescent="0.2">
      <c r="A82" s="97"/>
      <c r="B82" s="97"/>
      <c r="C82" s="101"/>
      <c r="D82" s="97"/>
      <c r="E82" s="97"/>
      <c r="F82" s="102"/>
      <c r="G82" s="102"/>
      <c r="H82" s="86" t="s">
        <v>142</v>
      </c>
    </row>
    <row r="83" spans="1:8" x14ac:dyDescent="0.2">
      <c r="A83" s="97"/>
      <c r="B83" s="97"/>
      <c r="C83" s="98" t="s">
        <v>152</v>
      </c>
      <c r="D83" s="97"/>
      <c r="E83" s="97"/>
      <c r="F83" s="97"/>
      <c r="G83" s="97"/>
      <c r="H83" s="86" t="s">
        <v>142</v>
      </c>
    </row>
    <row r="84" spans="1:8" x14ac:dyDescent="0.2">
      <c r="A84" s="97"/>
      <c r="B84" s="97"/>
      <c r="C84" s="98" t="s">
        <v>141</v>
      </c>
      <c r="D84" s="97"/>
      <c r="E84" s="97" t="s">
        <v>142</v>
      </c>
      <c r="F84" s="103" t="s">
        <v>144</v>
      </c>
      <c r="G84" s="100">
        <v>0</v>
      </c>
      <c r="H84" s="86" t="s">
        <v>142</v>
      </c>
    </row>
    <row r="85" spans="1:8" x14ac:dyDescent="0.2">
      <c r="A85" s="97"/>
      <c r="B85" s="97"/>
      <c r="C85" s="101"/>
      <c r="D85" s="97"/>
      <c r="E85" s="97"/>
      <c r="F85" s="102"/>
      <c r="G85" s="102"/>
      <c r="H85" s="86" t="s">
        <v>142</v>
      </c>
    </row>
    <row r="86" spans="1:8" x14ac:dyDescent="0.2">
      <c r="A86" s="97"/>
      <c r="B86" s="97"/>
      <c r="C86" s="98" t="s">
        <v>153</v>
      </c>
      <c r="D86" s="97"/>
      <c r="E86" s="97"/>
      <c r="F86" s="102"/>
      <c r="G86" s="102"/>
      <c r="H86" s="86" t="s">
        <v>142</v>
      </c>
    </row>
    <row r="87" spans="1:8" x14ac:dyDescent="0.2">
      <c r="A87" s="97"/>
      <c r="B87" s="97"/>
      <c r="C87" s="98" t="s">
        <v>141</v>
      </c>
      <c r="D87" s="97"/>
      <c r="E87" s="97" t="s">
        <v>142</v>
      </c>
      <c r="F87" s="103" t="s">
        <v>144</v>
      </c>
      <c r="G87" s="100">
        <v>0</v>
      </c>
      <c r="H87" s="86" t="s">
        <v>142</v>
      </c>
    </row>
    <row r="88" spans="1:8" x14ac:dyDescent="0.2">
      <c r="A88" s="97"/>
      <c r="B88" s="97"/>
      <c r="C88" s="101"/>
      <c r="D88" s="97"/>
      <c r="E88" s="97"/>
      <c r="F88" s="102"/>
      <c r="G88" s="102"/>
      <c r="H88" s="86" t="s">
        <v>142</v>
      </c>
    </row>
    <row r="89" spans="1:8" x14ac:dyDescent="0.2">
      <c r="A89" s="97"/>
      <c r="B89" s="97"/>
      <c r="C89" s="98" t="s">
        <v>154</v>
      </c>
      <c r="D89" s="97"/>
      <c r="E89" s="97"/>
      <c r="F89" s="99">
        <v>0</v>
      </c>
      <c r="G89" s="100">
        <v>0</v>
      </c>
      <c r="H89" s="86" t="s">
        <v>142</v>
      </c>
    </row>
    <row r="90" spans="1:8" x14ac:dyDescent="0.2">
      <c r="A90" s="97"/>
      <c r="B90" s="97"/>
      <c r="C90" s="101"/>
      <c r="D90" s="97"/>
      <c r="E90" s="97"/>
      <c r="F90" s="102"/>
      <c r="G90" s="102"/>
      <c r="H90" s="86" t="s">
        <v>142</v>
      </c>
    </row>
    <row r="91" spans="1:8" x14ac:dyDescent="0.2">
      <c r="A91" s="97"/>
      <c r="B91" s="97"/>
      <c r="C91" s="98" t="s">
        <v>155</v>
      </c>
      <c r="D91" s="97"/>
      <c r="E91" s="97"/>
      <c r="F91" s="102"/>
      <c r="G91" s="102"/>
      <c r="H91" s="86" t="s">
        <v>142</v>
      </c>
    </row>
    <row r="92" spans="1:8" x14ac:dyDescent="0.2">
      <c r="A92" s="97"/>
      <c r="B92" s="97"/>
      <c r="C92" s="98" t="s">
        <v>156</v>
      </c>
      <c r="D92" s="97"/>
      <c r="E92" s="97"/>
      <c r="F92" s="102"/>
      <c r="G92" s="102"/>
      <c r="H92" s="86" t="s">
        <v>142</v>
      </c>
    </row>
    <row r="93" spans="1:8" x14ac:dyDescent="0.2">
      <c r="A93" s="97"/>
      <c r="B93" s="97"/>
      <c r="C93" s="98" t="s">
        <v>141</v>
      </c>
      <c r="D93" s="97"/>
      <c r="E93" s="97" t="s">
        <v>142</v>
      </c>
      <c r="F93" s="103" t="s">
        <v>144</v>
      </c>
      <c r="G93" s="100">
        <v>0</v>
      </c>
      <c r="H93" s="86" t="s">
        <v>142</v>
      </c>
    </row>
    <row r="94" spans="1:8" x14ac:dyDescent="0.2">
      <c r="A94" s="97"/>
      <c r="B94" s="97"/>
      <c r="C94" s="101"/>
      <c r="D94" s="97"/>
      <c r="E94" s="97"/>
      <c r="F94" s="102"/>
      <c r="G94" s="102"/>
      <c r="H94" s="86" t="s">
        <v>142</v>
      </c>
    </row>
    <row r="95" spans="1:8" x14ac:dyDescent="0.2">
      <c r="A95" s="97"/>
      <c r="B95" s="97"/>
      <c r="C95" s="98" t="s">
        <v>157</v>
      </c>
      <c r="D95" s="97"/>
      <c r="E95" s="97"/>
      <c r="F95" s="102"/>
      <c r="G95" s="102"/>
      <c r="H95" s="86" t="s">
        <v>142</v>
      </c>
    </row>
    <row r="96" spans="1:8" x14ac:dyDescent="0.2">
      <c r="A96" s="97"/>
      <c r="B96" s="97"/>
      <c r="C96" s="98" t="s">
        <v>141</v>
      </c>
      <c r="D96" s="97"/>
      <c r="E96" s="97" t="s">
        <v>142</v>
      </c>
      <c r="F96" s="103" t="s">
        <v>144</v>
      </c>
      <c r="G96" s="100">
        <v>0</v>
      </c>
      <c r="H96" s="86" t="s">
        <v>142</v>
      </c>
    </row>
    <row r="97" spans="1:8" x14ac:dyDescent="0.2">
      <c r="A97" s="97"/>
      <c r="B97" s="97"/>
      <c r="C97" s="101"/>
      <c r="D97" s="97"/>
      <c r="E97" s="97"/>
      <c r="F97" s="102"/>
      <c r="G97" s="102"/>
      <c r="H97" s="86" t="s">
        <v>142</v>
      </c>
    </row>
    <row r="98" spans="1:8" x14ac:dyDescent="0.2">
      <c r="A98" s="97"/>
      <c r="B98" s="97"/>
      <c r="C98" s="98" t="s">
        <v>158</v>
      </c>
      <c r="D98" s="97"/>
      <c r="E98" s="97"/>
      <c r="F98" s="102"/>
      <c r="G98" s="102"/>
      <c r="H98" s="86" t="s">
        <v>142</v>
      </c>
    </row>
    <row r="99" spans="1:8" x14ac:dyDescent="0.2">
      <c r="A99" s="97"/>
      <c r="B99" s="97"/>
      <c r="C99" s="98" t="s">
        <v>141</v>
      </c>
      <c r="D99" s="97"/>
      <c r="E99" s="97" t="s">
        <v>142</v>
      </c>
      <c r="F99" s="103" t="s">
        <v>144</v>
      </c>
      <c r="G99" s="100">
        <v>0</v>
      </c>
      <c r="H99" s="86" t="s">
        <v>142</v>
      </c>
    </row>
    <row r="100" spans="1:8" x14ac:dyDescent="0.2">
      <c r="A100" s="97"/>
      <c r="B100" s="97"/>
      <c r="C100" s="101"/>
      <c r="D100" s="97"/>
      <c r="E100" s="97"/>
      <c r="F100" s="102"/>
      <c r="G100" s="102"/>
      <c r="H100" s="86" t="s">
        <v>142</v>
      </c>
    </row>
    <row r="101" spans="1:8" x14ac:dyDescent="0.2">
      <c r="A101" s="97"/>
      <c r="B101" s="97"/>
      <c r="C101" s="98" t="s">
        <v>159</v>
      </c>
      <c r="D101" s="97"/>
      <c r="E101" s="97"/>
      <c r="F101" s="102"/>
      <c r="G101" s="102"/>
      <c r="H101" s="86" t="s">
        <v>142</v>
      </c>
    </row>
    <row r="102" spans="1:8" x14ac:dyDescent="0.2">
      <c r="A102" s="92">
        <v>1</v>
      </c>
      <c r="B102" s="93"/>
      <c r="C102" s="93" t="s">
        <v>160</v>
      </c>
      <c r="D102" s="93"/>
      <c r="E102" s="104"/>
      <c r="F102" s="95">
        <v>10651.211351614</v>
      </c>
      <c r="G102" s="96">
        <v>5.0010800000000001E-2</v>
      </c>
      <c r="H102" s="86">
        <v>5.57</v>
      </c>
    </row>
    <row r="103" spans="1:8" x14ac:dyDescent="0.2">
      <c r="A103" s="97"/>
      <c r="B103" s="97"/>
      <c r="C103" s="98" t="s">
        <v>141</v>
      </c>
      <c r="D103" s="97"/>
      <c r="E103" s="97" t="s">
        <v>142</v>
      </c>
      <c r="F103" s="99">
        <v>10651.211351614</v>
      </c>
      <c r="G103" s="100">
        <v>5.0010800000000001E-2</v>
      </c>
      <c r="H103" s="86" t="s">
        <v>142</v>
      </c>
    </row>
    <row r="104" spans="1:8" x14ac:dyDescent="0.2">
      <c r="A104" s="97"/>
      <c r="B104" s="97"/>
      <c r="C104" s="101"/>
      <c r="D104" s="97"/>
      <c r="E104" s="97"/>
      <c r="F104" s="102"/>
      <c r="G104" s="102"/>
      <c r="H104" s="86" t="s">
        <v>142</v>
      </c>
    </row>
    <row r="105" spans="1:8" x14ac:dyDescent="0.2">
      <c r="A105" s="97"/>
      <c r="B105" s="97"/>
      <c r="C105" s="98" t="s">
        <v>161</v>
      </c>
      <c r="D105" s="97"/>
      <c r="E105" s="97"/>
      <c r="F105" s="99">
        <v>10651.211351614</v>
      </c>
      <c r="G105" s="100">
        <v>5.0010800000000001E-2</v>
      </c>
      <c r="H105" s="86" t="s">
        <v>142</v>
      </c>
    </row>
    <row r="106" spans="1:8" x14ac:dyDescent="0.2">
      <c r="A106" s="97"/>
      <c r="B106" s="97"/>
      <c r="C106" s="102"/>
      <c r="D106" s="97"/>
      <c r="E106" s="97"/>
      <c r="F106" s="97"/>
      <c r="G106" s="97"/>
      <c r="H106" s="86" t="s">
        <v>142</v>
      </c>
    </row>
    <row r="107" spans="1:8" x14ac:dyDescent="0.2">
      <c r="A107" s="97"/>
      <c r="B107" s="97"/>
      <c r="C107" s="98" t="s">
        <v>162</v>
      </c>
      <c r="D107" s="97"/>
      <c r="E107" s="97"/>
      <c r="F107" s="97"/>
      <c r="G107" s="97"/>
      <c r="H107" s="86" t="s">
        <v>142</v>
      </c>
    </row>
    <row r="108" spans="1:8" x14ac:dyDescent="0.2">
      <c r="A108" s="97"/>
      <c r="B108" s="97"/>
      <c r="C108" s="98" t="s">
        <v>163</v>
      </c>
      <c r="D108" s="97"/>
      <c r="E108" s="97"/>
      <c r="F108" s="97"/>
      <c r="G108" s="97"/>
      <c r="H108" s="86" t="s">
        <v>142</v>
      </c>
    </row>
    <row r="109" spans="1:8" x14ac:dyDescent="0.2">
      <c r="A109" s="97"/>
      <c r="B109" s="97"/>
      <c r="C109" s="98" t="s">
        <v>141</v>
      </c>
      <c r="D109" s="97"/>
      <c r="E109" s="97" t="s">
        <v>142</v>
      </c>
      <c r="F109" s="103" t="s">
        <v>144</v>
      </c>
      <c r="G109" s="100">
        <v>0</v>
      </c>
      <c r="H109" s="86" t="s">
        <v>142</v>
      </c>
    </row>
    <row r="110" spans="1:8" x14ac:dyDescent="0.2">
      <c r="A110" s="97"/>
      <c r="B110" s="97"/>
      <c r="C110" s="101"/>
      <c r="D110" s="97"/>
      <c r="E110" s="97"/>
      <c r="F110" s="102"/>
      <c r="G110" s="102"/>
      <c r="H110" s="86" t="s">
        <v>142</v>
      </c>
    </row>
    <row r="111" spans="1:8" x14ac:dyDescent="0.2">
      <c r="A111" s="97"/>
      <c r="B111" s="97"/>
      <c r="C111" s="98" t="s">
        <v>164</v>
      </c>
      <c r="D111" s="97"/>
      <c r="E111" s="97"/>
      <c r="F111" s="97"/>
      <c r="G111" s="97"/>
      <c r="H111" s="86" t="s">
        <v>142</v>
      </c>
    </row>
    <row r="112" spans="1:8" x14ac:dyDescent="0.2">
      <c r="A112" s="97"/>
      <c r="B112" s="97"/>
      <c r="C112" s="98" t="s">
        <v>165</v>
      </c>
      <c r="D112" s="97"/>
      <c r="E112" s="97"/>
      <c r="F112" s="97"/>
      <c r="G112" s="97"/>
      <c r="H112" s="86" t="s">
        <v>142</v>
      </c>
    </row>
    <row r="113" spans="1:17" x14ac:dyDescent="0.2">
      <c r="A113" s="97"/>
      <c r="B113" s="97"/>
      <c r="C113" s="98" t="s">
        <v>141</v>
      </c>
      <c r="D113" s="97"/>
      <c r="E113" s="97" t="s">
        <v>142</v>
      </c>
      <c r="F113" s="103" t="s">
        <v>144</v>
      </c>
      <c r="G113" s="100">
        <v>0</v>
      </c>
      <c r="H113" s="86" t="s">
        <v>142</v>
      </c>
    </row>
    <row r="114" spans="1:17" x14ac:dyDescent="0.2">
      <c r="A114" s="97"/>
      <c r="B114" s="97"/>
      <c r="C114" s="101"/>
      <c r="D114" s="97"/>
      <c r="E114" s="97"/>
      <c r="F114" s="102"/>
      <c r="G114" s="102"/>
      <c r="H114" s="86" t="s">
        <v>142</v>
      </c>
    </row>
    <row r="115" spans="1:17" x14ac:dyDescent="0.2">
      <c r="A115" s="97"/>
      <c r="B115" s="97"/>
      <c r="C115" s="98" t="s">
        <v>166</v>
      </c>
      <c r="D115" s="97"/>
      <c r="E115" s="97"/>
      <c r="F115" s="102"/>
      <c r="G115" s="102"/>
      <c r="H115" s="86" t="s">
        <v>142</v>
      </c>
    </row>
    <row r="116" spans="1:17" x14ac:dyDescent="0.2">
      <c r="A116" s="97"/>
      <c r="B116" s="97"/>
      <c r="C116" s="98" t="s">
        <v>141</v>
      </c>
      <c r="D116" s="97"/>
      <c r="E116" s="97" t="s">
        <v>142</v>
      </c>
      <c r="F116" s="103" t="s">
        <v>144</v>
      </c>
      <c r="G116" s="100">
        <v>0</v>
      </c>
      <c r="H116" s="86" t="s">
        <v>142</v>
      </c>
    </row>
    <row r="117" spans="1:17" x14ac:dyDescent="0.2">
      <c r="A117" s="97"/>
      <c r="B117" s="97"/>
      <c r="C117" s="101"/>
      <c r="D117" s="97"/>
      <c r="E117" s="97"/>
      <c r="F117" s="102"/>
      <c r="G117" s="102"/>
      <c r="H117" s="86" t="s">
        <v>142</v>
      </c>
    </row>
    <row r="118" spans="1:17" x14ac:dyDescent="0.2">
      <c r="A118" s="104"/>
      <c r="B118" s="93"/>
      <c r="C118" s="93" t="s">
        <v>167</v>
      </c>
      <c r="D118" s="93"/>
      <c r="E118" s="104"/>
      <c r="F118" s="95">
        <v>1182.0657752</v>
      </c>
      <c r="G118" s="96">
        <v>5.5501700000000001E-3</v>
      </c>
      <c r="H118" s="86" t="s">
        <v>142</v>
      </c>
    </row>
    <row r="119" spans="1:17" x14ac:dyDescent="0.2">
      <c r="A119" s="101"/>
      <c r="B119" s="101"/>
      <c r="C119" s="98" t="s">
        <v>168</v>
      </c>
      <c r="D119" s="102"/>
      <c r="E119" s="102"/>
      <c r="F119" s="99">
        <v>212978.234979414</v>
      </c>
      <c r="G119" s="105">
        <v>1</v>
      </c>
      <c r="H119" s="86" t="s">
        <v>142</v>
      </c>
    </row>
    <row r="120" spans="1:17" ht="12.75" customHeight="1" x14ac:dyDescent="0.2">
      <c r="A120" s="106"/>
      <c r="B120" s="106"/>
      <c r="C120" s="107"/>
      <c r="D120" s="108"/>
      <c r="E120" s="108"/>
      <c r="F120" s="109"/>
      <c r="G120" s="110"/>
      <c r="H120" s="111"/>
    </row>
    <row r="121" spans="1:17" x14ac:dyDescent="0.2">
      <c r="A121" s="106"/>
      <c r="B121" s="200" t="s">
        <v>918</v>
      </c>
      <c r="C121" s="200"/>
      <c r="D121" s="200"/>
      <c r="E121" s="200"/>
      <c r="F121" s="200"/>
      <c r="G121" s="200"/>
      <c r="H121" s="200"/>
      <c r="J121" s="113"/>
    </row>
    <row r="122" spans="1:17" x14ac:dyDescent="0.2">
      <c r="A122" s="106"/>
      <c r="B122" s="200" t="s">
        <v>919</v>
      </c>
      <c r="C122" s="200"/>
      <c r="D122" s="200"/>
      <c r="E122" s="200"/>
      <c r="F122" s="200"/>
      <c r="G122" s="200"/>
      <c r="H122" s="200"/>
      <c r="J122" s="113"/>
    </row>
    <row r="123" spans="1:17" x14ac:dyDescent="0.2">
      <c r="A123" s="106"/>
      <c r="B123" s="200" t="s">
        <v>920</v>
      </c>
      <c r="C123" s="200"/>
      <c r="D123" s="200"/>
      <c r="E123" s="200"/>
      <c r="F123" s="200"/>
      <c r="G123" s="200"/>
      <c r="H123" s="200"/>
      <c r="J123" s="113"/>
    </row>
    <row r="124" spans="1:17" s="115" customFormat="1" ht="66.75" customHeight="1" x14ac:dyDescent="0.25">
      <c r="A124" s="114"/>
      <c r="B124" s="201" t="s">
        <v>921</v>
      </c>
      <c r="C124" s="201"/>
      <c r="D124" s="201"/>
      <c r="E124" s="201"/>
      <c r="F124" s="201"/>
      <c r="G124" s="201"/>
      <c r="H124" s="201"/>
      <c r="I124"/>
      <c r="J124" s="113"/>
      <c r="K124"/>
      <c r="L124"/>
      <c r="M124"/>
      <c r="N124"/>
      <c r="O124"/>
      <c r="P124"/>
      <c r="Q124"/>
    </row>
    <row r="125" spans="1:17" x14ac:dyDescent="0.2">
      <c r="A125" s="106"/>
      <c r="B125" s="200" t="s">
        <v>922</v>
      </c>
      <c r="C125" s="200"/>
      <c r="D125" s="200"/>
      <c r="E125" s="200"/>
      <c r="F125" s="200"/>
      <c r="G125" s="200"/>
      <c r="H125" s="200"/>
      <c r="J125" s="113"/>
    </row>
    <row r="126" spans="1:17" x14ac:dyDescent="0.2">
      <c r="A126" s="106"/>
      <c r="B126" s="106"/>
      <c r="C126" s="106"/>
      <c r="D126" s="108"/>
      <c r="E126" s="108"/>
      <c r="F126" s="108"/>
      <c r="G126" s="108"/>
    </row>
    <row r="127" spans="1:17" x14ac:dyDescent="0.2">
      <c r="A127" s="106"/>
      <c r="B127" s="202" t="s">
        <v>169</v>
      </c>
      <c r="C127" s="203"/>
      <c r="D127" s="204"/>
      <c r="E127" s="116"/>
      <c r="F127" s="108"/>
      <c r="G127" s="108"/>
    </row>
    <row r="128" spans="1:17" ht="27.75" customHeight="1" x14ac:dyDescent="0.2">
      <c r="A128" s="106"/>
      <c r="B128" s="205" t="s">
        <v>170</v>
      </c>
      <c r="C128" s="206"/>
      <c r="D128" s="85" t="s">
        <v>171</v>
      </c>
      <c r="E128" s="116"/>
      <c r="F128" s="108"/>
      <c r="G128" s="108"/>
    </row>
    <row r="129" spans="1:10" ht="12.75" customHeight="1" x14ac:dyDescent="0.2">
      <c r="A129" s="106"/>
      <c r="B129" s="205" t="s">
        <v>923</v>
      </c>
      <c r="C129" s="206"/>
      <c r="D129" s="85" t="s">
        <v>171</v>
      </c>
      <c r="E129" s="116"/>
      <c r="F129" s="108"/>
      <c r="G129" s="108"/>
    </row>
    <row r="130" spans="1:10" x14ac:dyDescent="0.2">
      <c r="A130" s="106"/>
      <c r="B130" s="205" t="s">
        <v>172</v>
      </c>
      <c r="C130" s="206"/>
      <c r="D130" s="117" t="s">
        <v>142</v>
      </c>
      <c r="E130" s="116"/>
      <c r="F130" s="108"/>
      <c r="G130" s="108"/>
    </row>
    <row r="131" spans="1:10" x14ac:dyDescent="0.2">
      <c r="A131" s="118"/>
      <c r="B131" s="119" t="s">
        <v>142</v>
      </c>
      <c r="C131" s="119" t="s">
        <v>924</v>
      </c>
      <c r="D131" s="119" t="s">
        <v>173</v>
      </c>
      <c r="E131" s="118"/>
      <c r="F131" s="118"/>
      <c r="G131" s="118"/>
      <c r="H131" s="118"/>
      <c r="J131" s="113"/>
    </row>
    <row r="132" spans="1:10" x14ac:dyDescent="0.2">
      <c r="A132" s="118"/>
      <c r="B132" s="120" t="s">
        <v>174</v>
      </c>
      <c r="C132" s="121">
        <v>45930</v>
      </c>
      <c r="D132" s="121">
        <v>45961</v>
      </c>
      <c r="E132" s="118"/>
      <c r="F132" s="118"/>
      <c r="G132" s="118"/>
      <c r="J132" s="113"/>
    </row>
    <row r="133" spans="1:10" x14ac:dyDescent="0.2">
      <c r="A133" s="122"/>
      <c r="B133" s="93" t="s">
        <v>175</v>
      </c>
      <c r="C133" s="123">
        <v>15.331300000000001</v>
      </c>
      <c r="D133" s="123">
        <v>15.884</v>
      </c>
      <c r="E133" s="122"/>
      <c r="F133" s="124"/>
      <c r="G133" s="125"/>
    </row>
    <row r="134" spans="1:10" x14ac:dyDescent="0.2">
      <c r="A134" s="122"/>
      <c r="B134" s="93" t="s">
        <v>1101</v>
      </c>
      <c r="C134" s="123">
        <v>14.542199999999999</v>
      </c>
      <c r="D134" s="123">
        <v>15.0664</v>
      </c>
      <c r="E134" s="122"/>
      <c r="F134" s="124"/>
      <c r="G134" s="125"/>
    </row>
    <row r="135" spans="1:10" x14ac:dyDescent="0.2">
      <c r="A135" s="122"/>
      <c r="B135" s="93" t="s">
        <v>176</v>
      </c>
      <c r="C135" s="123">
        <v>14.6152</v>
      </c>
      <c r="D135" s="123">
        <v>15.1241</v>
      </c>
      <c r="E135" s="122"/>
      <c r="F135" s="124"/>
      <c r="G135" s="125"/>
    </row>
    <row r="136" spans="1:10" x14ac:dyDescent="0.2">
      <c r="A136" s="122"/>
      <c r="B136" s="93" t="s">
        <v>1102</v>
      </c>
      <c r="C136" s="123">
        <v>13.863099999999999</v>
      </c>
      <c r="D136" s="123">
        <v>14.3459</v>
      </c>
      <c r="E136" s="122"/>
      <c r="F136" s="124"/>
      <c r="G136" s="125"/>
    </row>
    <row r="137" spans="1:10" x14ac:dyDescent="0.2">
      <c r="A137" s="122"/>
      <c r="B137" s="122"/>
      <c r="C137" s="122"/>
      <c r="D137" s="122"/>
      <c r="E137" s="122"/>
      <c r="F137" s="122"/>
      <c r="G137" s="122"/>
    </row>
    <row r="138" spans="1:10" x14ac:dyDescent="0.2">
      <c r="A138" s="118"/>
      <c r="B138" s="205" t="s">
        <v>925</v>
      </c>
      <c r="C138" s="206"/>
      <c r="D138" s="85" t="s">
        <v>171</v>
      </c>
      <c r="E138" s="118"/>
      <c r="F138" s="118"/>
      <c r="G138" s="118"/>
    </row>
    <row r="139" spans="1:10" x14ac:dyDescent="0.2">
      <c r="A139" s="118"/>
      <c r="B139" s="136"/>
      <c r="C139" s="136"/>
      <c r="D139" s="136"/>
      <c r="E139" s="118"/>
      <c r="F139" s="118"/>
      <c r="G139" s="118"/>
    </row>
    <row r="140" spans="1:10" x14ac:dyDescent="0.2">
      <c r="A140" s="118"/>
      <c r="B140" s="205" t="s">
        <v>179</v>
      </c>
      <c r="C140" s="206"/>
      <c r="D140" s="85" t="s">
        <v>171</v>
      </c>
      <c r="E140" s="131"/>
      <c r="F140" s="118"/>
      <c r="G140" s="118"/>
    </row>
    <row r="141" spans="1:10" x14ac:dyDescent="0.2">
      <c r="A141" s="118"/>
      <c r="B141" s="205" t="s">
        <v>180</v>
      </c>
      <c r="C141" s="206"/>
      <c r="D141" s="85" t="s">
        <v>171</v>
      </c>
      <c r="E141" s="131"/>
      <c r="F141" s="118"/>
      <c r="G141" s="118"/>
    </row>
    <row r="142" spans="1:10" x14ac:dyDescent="0.2">
      <c r="A142" s="118"/>
      <c r="B142" s="205" t="s">
        <v>181</v>
      </c>
      <c r="C142" s="206"/>
      <c r="D142" s="85" t="s">
        <v>171</v>
      </c>
      <c r="E142" s="131"/>
      <c r="F142" s="118"/>
      <c r="G142" s="118"/>
    </row>
    <row r="143" spans="1:10" x14ac:dyDescent="0.2">
      <c r="A143" s="118"/>
      <c r="B143" s="205" t="s">
        <v>182</v>
      </c>
      <c r="C143" s="206"/>
      <c r="D143" s="132">
        <v>0.44569999999999999</v>
      </c>
      <c r="E143" s="118"/>
      <c r="F143" s="112"/>
      <c r="G143" s="133"/>
    </row>
    <row r="145" spans="2:4" x14ac:dyDescent="0.2">
      <c r="B145" s="199" t="s">
        <v>926</v>
      </c>
      <c r="C145" s="199"/>
    </row>
    <row r="147" spans="2:4" ht="153.75" customHeight="1" x14ac:dyDescent="0.2"/>
    <row r="150" spans="2:4" x14ac:dyDescent="0.2">
      <c r="B150" s="134" t="s">
        <v>927</v>
      </c>
      <c r="C150" s="135"/>
      <c r="D150" s="134"/>
    </row>
    <row r="151" spans="2:4" x14ac:dyDescent="0.2">
      <c r="B151" s="134" t="s">
        <v>1090</v>
      </c>
      <c r="D151" s="134"/>
    </row>
    <row r="152" spans="2:4" ht="165" customHeight="1" x14ac:dyDescent="0.2"/>
    <row r="153" spans="2:4" ht="12.75" customHeight="1" x14ac:dyDescent="0.2"/>
    <row r="154" spans="2:4" ht="12.75" customHeight="1" x14ac:dyDescent="0.2"/>
    <row r="155" spans="2:4" ht="12.75" customHeight="1" x14ac:dyDescent="0.2"/>
    <row r="156" spans="2:4" ht="12.75" customHeight="1" x14ac:dyDescent="0.2"/>
    <row r="157" spans="2:4" ht="12.75" customHeight="1" x14ac:dyDescent="0.2"/>
    <row r="158" spans="2:4" ht="12.75" customHeight="1" x14ac:dyDescent="0.2"/>
    <row r="159" spans="2:4" ht="12.75" customHeight="1" x14ac:dyDescent="0.2"/>
  </sheetData>
  <mergeCells count="18">
    <mergeCell ref="B140:C140"/>
    <mergeCell ref="B141:C141"/>
    <mergeCell ref="B145:C145"/>
    <mergeCell ref="B143:C143"/>
    <mergeCell ref="A1:H1"/>
    <mergeCell ref="A2:H2"/>
    <mergeCell ref="A3:H3"/>
    <mergeCell ref="B138:C138"/>
    <mergeCell ref="B142:C142"/>
    <mergeCell ref="B121:H121"/>
    <mergeCell ref="B122:H122"/>
    <mergeCell ref="B129:C129"/>
    <mergeCell ref="B130:C130"/>
    <mergeCell ref="B123:H123"/>
    <mergeCell ref="B124:H124"/>
    <mergeCell ref="B125:H125"/>
    <mergeCell ref="B127:D127"/>
    <mergeCell ref="B128:C128"/>
  </mergeCells>
  <hyperlinks>
    <hyperlink ref="I1" location="Index!B2" display="Index" xr:uid="{2A53BC10-969B-4F02-8938-31CD377585A7}"/>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52DE-03D4-4AC1-A087-4671F5B1259C}">
  <sheetPr>
    <outlinePr summaryBelow="0" summaryRight="0"/>
  </sheetPr>
  <dimension ref="A1:Q138"/>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7.42578125" bestFit="1" customWidth="1"/>
    <col min="5" max="5" width="12.4257812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860</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3114256</v>
      </c>
      <c r="F7" s="95">
        <v>30747.049488000001</v>
      </c>
      <c r="G7" s="96">
        <v>0.19204267999999999</v>
      </c>
      <c r="H7" s="86" t="s">
        <v>142</v>
      </c>
    </row>
    <row r="8" spans="1:9" x14ac:dyDescent="0.2">
      <c r="A8" s="92">
        <v>2</v>
      </c>
      <c r="B8" s="93" t="s">
        <v>33</v>
      </c>
      <c r="C8" s="93" t="s">
        <v>34</v>
      </c>
      <c r="D8" s="93" t="s">
        <v>35</v>
      </c>
      <c r="E8" s="94">
        <v>1391982</v>
      </c>
      <c r="F8" s="95">
        <v>18726.333846000001</v>
      </c>
      <c r="G8" s="96">
        <v>0.11696260999999999</v>
      </c>
      <c r="H8" s="86" t="s">
        <v>142</v>
      </c>
    </row>
    <row r="9" spans="1:9" x14ac:dyDescent="0.2">
      <c r="A9" s="92">
        <v>3</v>
      </c>
      <c r="B9" s="93" t="s">
        <v>322</v>
      </c>
      <c r="C9" s="93" t="s">
        <v>323</v>
      </c>
      <c r="D9" s="93" t="s">
        <v>35</v>
      </c>
      <c r="E9" s="94">
        <v>1297927</v>
      </c>
      <c r="F9" s="95">
        <v>16000.844056</v>
      </c>
      <c r="G9" s="96">
        <v>9.9939509999999995E-2</v>
      </c>
      <c r="H9" s="86" t="s">
        <v>142</v>
      </c>
    </row>
    <row r="10" spans="1:9" x14ac:dyDescent="0.2">
      <c r="A10" s="92">
        <v>4</v>
      </c>
      <c r="B10" s="93" t="s">
        <v>39</v>
      </c>
      <c r="C10" s="93" t="s">
        <v>40</v>
      </c>
      <c r="D10" s="93" t="s">
        <v>35</v>
      </c>
      <c r="E10" s="94">
        <v>1003469</v>
      </c>
      <c r="F10" s="95">
        <v>9402.5045300000002</v>
      </c>
      <c r="G10" s="96">
        <v>5.8727010000000003E-2</v>
      </c>
      <c r="H10" s="86" t="s">
        <v>142</v>
      </c>
    </row>
    <row r="11" spans="1:9" x14ac:dyDescent="0.2">
      <c r="A11" s="92">
        <v>5</v>
      </c>
      <c r="B11" s="93" t="s">
        <v>287</v>
      </c>
      <c r="C11" s="93" t="s">
        <v>288</v>
      </c>
      <c r="D11" s="93" t="s">
        <v>186</v>
      </c>
      <c r="E11" s="94">
        <v>1003598</v>
      </c>
      <c r="F11" s="95">
        <v>7515.9454219999998</v>
      </c>
      <c r="G11" s="96">
        <v>4.6943770000000003E-2</v>
      </c>
      <c r="H11" s="86" t="s">
        <v>142</v>
      </c>
    </row>
    <row r="12" spans="1:9" x14ac:dyDescent="0.2">
      <c r="A12" s="92">
        <v>6</v>
      </c>
      <c r="B12" s="93" t="s">
        <v>656</v>
      </c>
      <c r="C12" s="93" t="s">
        <v>657</v>
      </c>
      <c r="D12" s="93" t="s">
        <v>186</v>
      </c>
      <c r="E12" s="94">
        <v>341499</v>
      </c>
      <c r="F12" s="95">
        <v>7131.5236169999998</v>
      </c>
      <c r="G12" s="96">
        <v>4.4542709999999999E-2</v>
      </c>
      <c r="H12" s="86" t="s">
        <v>142</v>
      </c>
    </row>
    <row r="13" spans="1:9" x14ac:dyDescent="0.2">
      <c r="A13" s="92">
        <v>7</v>
      </c>
      <c r="B13" s="93" t="s">
        <v>359</v>
      </c>
      <c r="C13" s="93" t="s">
        <v>360</v>
      </c>
      <c r="D13" s="93" t="s">
        <v>35</v>
      </c>
      <c r="E13" s="94">
        <v>1644042</v>
      </c>
      <c r="F13" s="95">
        <v>6795.6476069999999</v>
      </c>
      <c r="G13" s="96">
        <v>4.2444860000000001E-2</v>
      </c>
      <c r="H13" s="86" t="s">
        <v>142</v>
      </c>
    </row>
    <row r="14" spans="1:9" x14ac:dyDescent="0.2">
      <c r="A14" s="92">
        <v>8</v>
      </c>
      <c r="B14" s="93" t="s">
        <v>462</v>
      </c>
      <c r="C14" s="93" t="s">
        <v>463</v>
      </c>
      <c r="D14" s="93" t="s">
        <v>35</v>
      </c>
      <c r="E14" s="94">
        <v>4243632</v>
      </c>
      <c r="F14" s="95">
        <v>6702.8167439999997</v>
      </c>
      <c r="G14" s="96">
        <v>4.1865050000000001E-2</v>
      </c>
      <c r="H14" s="86" t="s">
        <v>142</v>
      </c>
    </row>
    <row r="15" spans="1:9" x14ac:dyDescent="0.2">
      <c r="A15" s="92">
        <v>9</v>
      </c>
      <c r="B15" s="93" t="s">
        <v>393</v>
      </c>
      <c r="C15" s="93" t="s">
        <v>394</v>
      </c>
      <c r="D15" s="93" t="s">
        <v>186</v>
      </c>
      <c r="E15" s="94">
        <v>665351</v>
      </c>
      <c r="F15" s="95">
        <v>6179.1147369999999</v>
      </c>
      <c r="G15" s="96">
        <v>3.8594070000000001E-2</v>
      </c>
      <c r="H15" s="86" t="s">
        <v>142</v>
      </c>
    </row>
    <row r="16" spans="1:9" x14ac:dyDescent="0.2">
      <c r="A16" s="92">
        <v>10</v>
      </c>
      <c r="B16" s="93" t="s">
        <v>332</v>
      </c>
      <c r="C16" s="93" t="s">
        <v>333</v>
      </c>
      <c r="D16" s="93" t="s">
        <v>35</v>
      </c>
      <c r="E16" s="94">
        <v>2208626</v>
      </c>
      <c r="F16" s="95">
        <v>6148.8147840000001</v>
      </c>
      <c r="G16" s="96">
        <v>3.8404819999999999E-2</v>
      </c>
      <c r="H16" s="86" t="s">
        <v>142</v>
      </c>
    </row>
    <row r="17" spans="1:8" x14ac:dyDescent="0.2">
      <c r="A17" s="92">
        <v>11</v>
      </c>
      <c r="B17" s="93" t="s">
        <v>357</v>
      </c>
      <c r="C17" s="93" t="s">
        <v>358</v>
      </c>
      <c r="D17" s="93" t="s">
        <v>35</v>
      </c>
      <c r="E17" s="94">
        <v>10648600</v>
      </c>
      <c r="F17" s="95">
        <v>5520.2342399999998</v>
      </c>
      <c r="G17" s="96">
        <v>3.4478769999999999E-2</v>
      </c>
      <c r="H17" s="86" t="s">
        <v>142</v>
      </c>
    </row>
    <row r="18" spans="1:8" x14ac:dyDescent="0.2">
      <c r="A18" s="92">
        <v>12</v>
      </c>
      <c r="B18" s="93" t="s">
        <v>638</v>
      </c>
      <c r="C18" s="93" t="s">
        <v>639</v>
      </c>
      <c r="D18" s="93" t="s">
        <v>186</v>
      </c>
      <c r="E18" s="94">
        <v>1131406</v>
      </c>
      <c r="F18" s="95">
        <v>4241.0753910000003</v>
      </c>
      <c r="G18" s="96">
        <v>2.6489289999999999E-2</v>
      </c>
      <c r="H18" s="86" t="s">
        <v>142</v>
      </c>
    </row>
    <row r="19" spans="1:8" x14ac:dyDescent="0.2">
      <c r="A19" s="92">
        <v>13</v>
      </c>
      <c r="B19" s="93" t="s">
        <v>379</v>
      </c>
      <c r="C19" s="93" t="s">
        <v>380</v>
      </c>
      <c r="D19" s="93" t="s">
        <v>35</v>
      </c>
      <c r="E19" s="94">
        <v>7238410</v>
      </c>
      <c r="F19" s="95">
        <v>4125.1698589999996</v>
      </c>
      <c r="G19" s="96">
        <v>2.5765360000000001E-2</v>
      </c>
      <c r="H19" s="86" t="s">
        <v>142</v>
      </c>
    </row>
    <row r="20" spans="1:8" x14ac:dyDescent="0.2">
      <c r="A20" s="92">
        <v>14</v>
      </c>
      <c r="B20" s="93" t="s">
        <v>828</v>
      </c>
      <c r="C20" s="93" t="s">
        <v>829</v>
      </c>
      <c r="D20" s="93" t="s">
        <v>272</v>
      </c>
      <c r="E20" s="94">
        <v>636027</v>
      </c>
      <c r="F20" s="95">
        <v>3759.8736104999998</v>
      </c>
      <c r="G20" s="96">
        <v>2.3483759999999999E-2</v>
      </c>
      <c r="H20" s="86" t="s">
        <v>142</v>
      </c>
    </row>
    <row r="21" spans="1:8" x14ac:dyDescent="0.2">
      <c r="A21" s="92">
        <v>15</v>
      </c>
      <c r="B21" s="93" t="s">
        <v>324</v>
      </c>
      <c r="C21" s="93" t="s">
        <v>325</v>
      </c>
      <c r="D21" s="93" t="s">
        <v>35</v>
      </c>
      <c r="E21" s="94">
        <v>145590</v>
      </c>
      <c r="F21" s="95">
        <v>3060.5929799999999</v>
      </c>
      <c r="G21" s="96">
        <v>1.9116129999999999E-2</v>
      </c>
      <c r="H21" s="86" t="s">
        <v>142</v>
      </c>
    </row>
    <row r="22" spans="1:8" x14ac:dyDescent="0.2">
      <c r="A22" s="92">
        <v>16</v>
      </c>
      <c r="B22" s="93" t="s">
        <v>386</v>
      </c>
      <c r="C22" s="93" t="s">
        <v>387</v>
      </c>
      <c r="D22" s="93" t="s">
        <v>186</v>
      </c>
      <c r="E22" s="94">
        <v>126853</v>
      </c>
      <c r="F22" s="95">
        <v>2426.190478</v>
      </c>
      <c r="G22" s="96">
        <v>1.5153720000000001E-2</v>
      </c>
      <c r="H22" s="86" t="s">
        <v>142</v>
      </c>
    </row>
    <row r="23" spans="1:8" x14ac:dyDescent="0.2">
      <c r="A23" s="92">
        <v>17</v>
      </c>
      <c r="B23" s="93" t="s">
        <v>184</v>
      </c>
      <c r="C23" s="93" t="s">
        <v>185</v>
      </c>
      <c r="D23" s="93" t="s">
        <v>186</v>
      </c>
      <c r="E23" s="94">
        <v>763527</v>
      </c>
      <c r="F23" s="95">
        <v>2409.3094485000001</v>
      </c>
      <c r="G23" s="96">
        <v>1.5048280000000001E-2</v>
      </c>
      <c r="H23" s="86" t="s">
        <v>142</v>
      </c>
    </row>
    <row r="24" spans="1:8" x14ac:dyDescent="0.2">
      <c r="A24" s="92">
        <v>18</v>
      </c>
      <c r="B24" s="93" t="s">
        <v>502</v>
      </c>
      <c r="C24" s="93" t="s">
        <v>503</v>
      </c>
      <c r="D24" s="93" t="s">
        <v>186</v>
      </c>
      <c r="E24" s="94">
        <v>575710</v>
      </c>
      <c r="F24" s="95">
        <v>2321.5505750000002</v>
      </c>
      <c r="G24" s="96">
        <v>1.450015E-2</v>
      </c>
      <c r="H24" s="86" t="s">
        <v>142</v>
      </c>
    </row>
    <row r="25" spans="1:8" x14ac:dyDescent="0.2">
      <c r="A25" s="92">
        <v>19</v>
      </c>
      <c r="B25" s="93" t="s">
        <v>830</v>
      </c>
      <c r="C25" s="93" t="s">
        <v>831</v>
      </c>
      <c r="D25" s="93" t="s">
        <v>35</v>
      </c>
      <c r="E25" s="94">
        <v>1298392</v>
      </c>
      <c r="F25" s="95">
        <v>2032.7625152000001</v>
      </c>
      <c r="G25" s="96">
        <v>1.269641E-2</v>
      </c>
      <c r="H25" s="86" t="s">
        <v>142</v>
      </c>
    </row>
    <row r="26" spans="1:8" x14ac:dyDescent="0.2">
      <c r="A26" s="92">
        <v>20</v>
      </c>
      <c r="B26" s="93" t="s">
        <v>444</v>
      </c>
      <c r="C26" s="93" t="s">
        <v>445</v>
      </c>
      <c r="D26" s="93" t="s">
        <v>35</v>
      </c>
      <c r="E26" s="94">
        <v>241250</v>
      </c>
      <c r="F26" s="95">
        <v>1917.4549999999999</v>
      </c>
      <c r="G26" s="96">
        <v>1.1976209999999999E-2</v>
      </c>
      <c r="H26" s="86" t="s">
        <v>142</v>
      </c>
    </row>
    <row r="27" spans="1:8" x14ac:dyDescent="0.2">
      <c r="A27" s="92">
        <v>21</v>
      </c>
      <c r="B27" s="93" t="s">
        <v>373</v>
      </c>
      <c r="C27" s="93" t="s">
        <v>374</v>
      </c>
      <c r="D27" s="93" t="s">
        <v>215</v>
      </c>
      <c r="E27" s="94">
        <v>57171</v>
      </c>
      <c r="F27" s="95">
        <v>1424.9300040000001</v>
      </c>
      <c r="G27" s="96">
        <v>8.8999600000000002E-3</v>
      </c>
      <c r="H27" s="86" t="s">
        <v>142</v>
      </c>
    </row>
    <row r="28" spans="1:8" x14ac:dyDescent="0.2">
      <c r="A28" s="92">
        <v>22</v>
      </c>
      <c r="B28" s="93" t="s">
        <v>344</v>
      </c>
      <c r="C28" s="93" t="s">
        <v>345</v>
      </c>
      <c r="D28" s="93" t="s">
        <v>186</v>
      </c>
      <c r="E28" s="94">
        <v>71814</v>
      </c>
      <c r="F28" s="95">
        <v>1218.5399520000001</v>
      </c>
      <c r="G28" s="96">
        <v>7.6108699999999996E-3</v>
      </c>
      <c r="H28" s="86" t="s">
        <v>142</v>
      </c>
    </row>
    <row r="29" spans="1:8" x14ac:dyDescent="0.2">
      <c r="A29" s="92">
        <v>23</v>
      </c>
      <c r="B29" s="93" t="s">
        <v>861</v>
      </c>
      <c r="C29" s="93" t="s">
        <v>862</v>
      </c>
      <c r="D29" s="93" t="s">
        <v>186</v>
      </c>
      <c r="E29" s="94">
        <v>150011</v>
      </c>
      <c r="F29" s="95">
        <v>1097.0304430000001</v>
      </c>
      <c r="G29" s="96">
        <v>6.85193E-3</v>
      </c>
      <c r="H29" s="86" t="s">
        <v>142</v>
      </c>
    </row>
    <row r="30" spans="1:8" ht="25.5" x14ac:dyDescent="0.2">
      <c r="A30" s="92">
        <v>24</v>
      </c>
      <c r="B30" s="93" t="s">
        <v>208</v>
      </c>
      <c r="C30" s="93" t="s">
        <v>209</v>
      </c>
      <c r="D30" s="93" t="s">
        <v>210</v>
      </c>
      <c r="E30" s="94">
        <v>53169</v>
      </c>
      <c r="F30" s="95">
        <v>949.27932599999997</v>
      </c>
      <c r="G30" s="96">
        <v>5.9290899999999997E-3</v>
      </c>
      <c r="H30" s="86" t="s">
        <v>142</v>
      </c>
    </row>
    <row r="31" spans="1:8" x14ac:dyDescent="0.2">
      <c r="A31" s="92">
        <v>25</v>
      </c>
      <c r="B31" s="93" t="s">
        <v>213</v>
      </c>
      <c r="C31" s="93" t="s">
        <v>214</v>
      </c>
      <c r="D31" s="93" t="s">
        <v>215</v>
      </c>
      <c r="E31" s="94">
        <v>31843</v>
      </c>
      <c r="F31" s="95">
        <v>789.38797</v>
      </c>
      <c r="G31" s="96">
        <v>4.9304300000000004E-3</v>
      </c>
      <c r="H31" s="86" t="s">
        <v>142</v>
      </c>
    </row>
    <row r="32" spans="1:8" x14ac:dyDescent="0.2">
      <c r="A32" s="92">
        <v>26</v>
      </c>
      <c r="B32" s="93" t="s">
        <v>483</v>
      </c>
      <c r="C32" s="93" t="s">
        <v>484</v>
      </c>
      <c r="D32" s="93" t="s">
        <v>215</v>
      </c>
      <c r="E32" s="94">
        <v>20372</v>
      </c>
      <c r="F32" s="95">
        <v>520.60645999999997</v>
      </c>
      <c r="G32" s="96">
        <v>3.25165E-3</v>
      </c>
      <c r="H32" s="86" t="s">
        <v>142</v>
      </c>
    </row>
    <row r="33" spans="1:8" x14ac:dyDescent="0.2">
      <c r="A33" s="97"/>
      <c r="B33" s="97"/>
      <c r="C33" s="98" t="s">
        <v>141</v>
      </c>
      <c r="D33" s="97"/>
      <c r="E33" s="97" t="s">
        <v>142</v>
      </c>
      <c r="F33" s="99">
        <v>153164.58308320001</v>
      </c>
      <c r="G33" s="100">
        <v>0.95664910000000003</v>
      </c>
      <c r="H33" s="86" t="s">
        <v>142</v>
      </c>
    </row>
    <row r="34" spans="1:8" x14ac:dyDescent="0.2">
      <c r="A34" s="97"/>
      <c r="B34" s="97"/>
      <c r="C34" s="101"/>
      <c r="D34" s="97"/>
      <c r="E34" s="97"/>
      <c r="F34" s="102"/>
      <c r="G34" s="102"/>
      <c r="H34" s="86" t="s">
        <v>142</v>
      </c>
    </row>
    <row r="35" spans="1:8" x14ac:dyDescent="0.2">
      <c r="A35" s="97"/>
      <c r="B35" s="97"/>
      <c r="C35" s="98" t="s">
        <v>143</v>
      </c>
      <c r="D35" s="97"/>
      <c r="E35" s="97"/>
      <c r="F35" s="97"/>
      <c r="G35" s="97"/>
      <c r="H35" s="86" t="s">
        <v>142</v>
      </c>
    </row>
    <row r="36" spans="1:8" x14ac:dyDescent="0.2">
      <c r="A36" s="97"/>
      <c r="B36" s="97"/>
      <c r="C36" s="98" t="s">
        <v>141</v>
      </c>
      <c r="D36" s="97"/>
      <c r="E36" s="97" t="s">
        <v>142</v>
      </c>
      <c r="F36" s="103" t="s">
        <v>144</v>
      </c>
      <c r="G36" s="100">
        <v>0</v>
      </c>
      <c r="H36" s="86" t="s">
        <v>142</v>
      </c>
    </row>
    <row r="37" spans="1:8" x14ac:dyDescent="0.2">
      <c r="A37" s="97"/>
      <c r="B37" s="97"/>
      <c r="C37" s="101"/>
      <c r="D37" s="97"/>
      <c r="E37" s="97"/>
      <c r="F37" s="102"/>
      <c r="G37" s="102"/>
      <c r="H37" s="86" t="s">
        <v>142</v>
      </c>
    </row>
    <row r="38" spans="1:8" x14ac:dyDescent="0.2">
      <c r="A38" s="97"/>
      <c r="B38" s="97"/>
      <c r="C38" s="98" t="s">
        <v>145</v>
      </c>
      <c r="D38" s="97"/>
      <c r="E38" s="97"/>
      <c r="F38" s="97"/>
      <c r="G38" s="97"/>
      <c r="H38" s="86" t="s">
        <v>142</v>
      </c>
    </row>
    <row r="39" spans="1:8" x14ac:dyDescent="0.2">
      <c r="A39" s="97"/>
      <c r="B39" s="97"/>
      <c r="C39" s="98" t="s">
        <v>141</v>
      </c>
      <c r="D39" s="97"/>
      <c r="E39" s="97" t="s">
        <v>142</v>
      </c>
      <c r="F39" s="103" t="s">
        <v>144</v>
      </c>
      <c r="G39" s="100">
        <v>0</v>
      </c>
      <c r="H39" s="86" t="s">
        <v>142</v>
      </c>
    </row>
    <row r="40" spans="1:8" x14ac:dyDescent="0.2">
      <c r="A40" s="97"/>
      <c r="B40" s="97"/>
      <c r="C40" s="101"/>
      <c r="D40" s="97"/>
      <c r="E40" s="97"/>
      <c r="F40" s="102"/>
      <c r="G40" s="102"/>
      <c r="H40" s="86" t="s">
        <v>142</v>
      </c>
    </row>
    <row r="41" spans="1:8" x14ac:dyDescent="0.2">
      <c r="A41" s="97"/>
      <c r="B41" s="97"/>
      <c r="C41" s="98" t="s">
        <v>146</v>
      </c>
      <c r="D41" s="97"/>
      <c r="E41" s="97"/>
      <c r="F41" s="97"/>
      <c r="G41" s="97"/>
      <c r="H41" s="86" t="s">
        <v>142</v>
      </c>
    </row>
    <row r="42" spans="1:8" x14ac:dyDescent="0.2">
      <c r="A42" s="97"/>
      <c r="B42" s="97"/>
      <c r="C42" s="98" t="s">
        <v>141</v>
      </c>
      <c r="D42" s="97"/>
      <c r="E42" s="97" t="s">
        <v>142</v>
      </c>
      <c r="F42" s="103" t="s">
        <v>144</v>
      </c>
      <c r="G42" s="100">
        <v>0</v>
      </c>
      <c r="H42" s="86" t="s">
        <v>142</v>
      </c>
    </row>
    <row r="43" spans="1:8" x14ac:dyDescent="0.2">
      <c r="A43" s="97"/>
      <c r="B43" s="97"/>
      <c r="C43" s="101"/>
      <c r="D43" s="97"/>
      <c r="E43" s="97"/>
      <c r="F43" s="102"/>
      <c r="G43" s="102"/>
      <c r="H43" s="86" t="s">
        <v>142</v>
      </c>
    </row>
    <row r="44" spans="1:8" x14ac:dyDescent="0.2">
      <c r="A44" s="97"/>
      <c r="B44" s="97"/>
      <c r="C44" s="98" t="s">
        <v>147</v>
      </c>
      <c r="D44" s="97"/>
      <c r="E44" s="97"/>
      <c r="F44" s="102"/>
      <c r="G44" s="102"/>
      <c r="H44" s="86" t="s">
        <v>142</v>
      </c>
    </row>
    <row r="45" spans="1:8" x14ac:dyDescent="0.2">
      <c r="A45" s="97"/>
      <c r="B45" s="97"/>
      <c r="C45" s="98" t="s">
        <v>141</v>
      </c>
      <c r="D45" s="97"/>
      <c r="E45" s="97" t="s">
        <v>142</v>
      </c>
      <c r="F45" s="103" t="s">
        <v>144</v>
      </c>
      <c r="G45" s="100">
        <v>0</v>
      </c>
      <c r="H45" s="86" t="s">
        <v>142</v>
      </c>
    </row>
    <row r="46" spans="1:8" x14ac:dyDescent="0.2">
      <c r="A46" s="97"/>
      <c r="B46" s="97"/>
      <c r="C46" s="101"/>
      <c r="D46" s="97"/>
      <c r="E46" s="97"/>
      <c r="F46" s="102"/>
      <c r="G46" s="102"/>
      <c r="H46" s="86" t="s">
        <v>142</v>
      </c>
    </row>
    <row r="47" spans="1:8" x14ac:dyDescent="0.2">
      <c r="A47" s="97"/>
      <c r="B47" s="97"/>
      <c r="C47" s="98" t="s">
        <v>148</v>
      </c>
      <c r="D47" s="97"/>
      <c r="E47" s="97"/>
      <c r="F47" s="102"/>
      <c r="G47" s="102"/>
      <c r="H47" s="86" t="s">
        <v>142</v>
      </c>
    </row>
    <row r="48" spans="1:8" x14ac:dyDescent="0.2">
      <c r="A48" s="97"/>
      <c r="B48" s="97"/>
      <c r="C48" s="98" t="s">
        <v>141</v>
      </c>
      <c r="D48" s="97"/>
      <c r="E48" s="97" t="s">
        <v>142</v>
      </c>
      <c r="F48" s="103" t="s">
        <v>144</v>
      </c>
      <c r="G48" s="100">
        <v>0</v>
      </c>
      <c r="H48" s="86" t="s">
        <v>142</v>
      </c>
    </row>
    <row r="49" spans="1:8" x14ac:dyDescent="0.2">
      <c r="A49" s="97"/>
      <c r="B49" s="97"/>
      <c r="C49" s="101"/>
      <c r="D49" s="97"/>
      <c r="E49" s="97"/>
      <c r="F49" s="102"/>
      <c r="G49" s="102"/>
      <c r="H49" s="86" t="s">
        <v>142</v>
      </c>
    </row>
    <row r="50" spans="1:8" x14ac:dyDescent="0.2">
      <c r="A50" s="97"/>
      <c r="B50" s="97"/>
      <c r="C50" s="98" t="s">
        <v>149</v>
      </c>
      <c r="D50" s="97"/>
      <c r="E50" s="97"/>
      <c r="F50" s="99">
        <v>153164.58308320001</v>
      </c>
      <c r="G50" s="100">
        <v>0.95664910000000003</v>
      </c>
      <c r="H50" s="86" t="s">
        <v>142</v>
      </c>
    </row>
    <row r="51" spans="1:8" x14ac:dyDescent="0.2">
      <c r="A51" s="97"/>
      <c r="B51" s="97"/>
      <c r="C51" s="101"/>
      <c r="D51" s="97"/>
      <c r="E51" s="97"/>
      <c r="F51" s="102"/>
      <c r="G51" s="102"/>
      <c r="H51" s="86" t="s">
        <v>142</v>
      </c>
    </row>
    <row r="52" spans="1:8" x14ac:dyDescent="0.2">
      <c r="A52" s="97"/>
      <c r="B52" s="97"/>
      <c r="C52" s="98" t="s">
        <v>150</v>
      </c>
      <c r="D52" s="97"/>
      <c r="E52" s="97"/>
      <c r="F52" s="102"/>
      <c r="G52" s="102"/>
      <c r="H52" s="86" t="s">
        <v>142</v>
      </c>
    </row>
    <row r="53" spans="1:8" x14ac:dyDescent="0.2">
      <c r="A53" s="97"/>
      <c r="B53" s="97"/>
      <c r="C53" s="98" t="s">
        <v>10</v>
      </c>
      <c r="D53" s="97"/>
      <c r="E53" s="97"/>
      <c r="F53" s="102"/>
      <c r="G53" s="102"/>
      <c r="H53" s="86" t="s">
        <v>142</v>
      </c>
    </row>
    <row r="54" spans="1:8" x14ac:dyDescent="0.2">
      <c r="A54" s="97"/>
      <c r="B54" s="97"/>
      <c r="C54" s="98" t="s">
        <v>141</v>
      </c>
      <c r="D54" s="97"/>
      <c r="E54" s="97" t="s">
        <v>142</v>
      </c>
      <c r="F54" s="103" t="s">
        <v>144</v>
      </c>
      <c r="G54" s="100">
        <v>0</v>
      </c>
      <c r="H54" s="86" t="s">
        <v>142</v>
      </c>
    </row>
    <row r="55" spans="1:8" x14ac:dyDescent="0.2">
      <c r="A55" s="97"/>
      <c r="B55" s="97"/>
      <c r="C55" s="101"/>
      <c r="D55" s="97"/>
      <c r="E55" s="97"/>
      <c r="F55" s="102"/>
      <c r="G55" s="102"/>
      <c r="H55" s="86" t="s">
        <v>142</v>
      </c>
    </row>
    <row r="56" spans="1:8" x14ac:dyDescent="0.2">
      <c r="A56" s="97"/>
      <c r="B56" s="97"/>
      <c r="C56" s="98" t="s">
        <v>151</v>
      </c>
      <c r="D56" s="97"/>
      <c r="E56" s="97"/>
      <c r="F56" s="97"/>
      <c r="G56" s="97"/>
      <c r="H56" s="86" t="s">
        <v>142</v>
      </c>
    </row>
    <row r="57" spans="1:8" x14ac:dyDescent="0.2">
      <c r="A57" s="97"/>
      <c r="B57" s="97"/>
      <c r="C57" s="98" t="s">
        <v>141</v>
      </c>
      <c r="D57" s="97"/>
      <c r="E57" s="97" t="s">
        <v>142</v>
      </c>
      <c r="F57" s="103" t="s">
        <v>144</v>
      </c>
      <c r="G57" s="100">
        <v>0</v>
      </c>
      <c r="H57" s="86" t="s">
        <v>142</v>
      </c>
    </row>
    <row r="58" spans="1:8" x14ac:dyDescent="0.2">
      <c r="A58" s="97"/>
      <c r="B58" s="97"/>
      <c r="C58" s="101"/>
      <c r="D58" s="97"/>
      <c r="E58" s="97"/>
      <c r="F58" s="102"/>
      <c r="G58" s="102"/>
      <c r="H58" s="86" t="s">
        <v>142</v>
      </c>
    </row>
    <row r="59" spans="1:8" x14ac:dyDescent="0.2">
      <c r="A59" s="97"/>
      <c r="B59" s="97"/>
      <c r="C59" s="98" t="s">
        <v>152</v>
      </c>
      <c r="D59" s="97"/>
      <c r="E59" s="97"/>
      <c r="F59" s="97"/>
      <c r="G59" s="97"/>
      <c r="H59" s="86" t="s">
        <v>142</v>
      </c>
    </row>
    <row r="60" spans="1:8" x14ac:dyDescent="0.2">
      <c r="A60" s="97"/>
      <c r="B60" s="97"/>
      <c r="C60" s="98" t="s">
        <v>141</v>
      </c>
      <c r="D60" s="97"/>
      <c r="E60" s="97" t="s">
        <v>142</v>
      </c>
      <c r="F60" s="103" t="s">
        <v>144</v>
      </c>
      <c r="G60" s="100">
        <v>0</v>
      </c>
      <c r="H60" s="86" t="s">
        <v>142</v>
      </c>
    </row>
    <row r="61" spans="1:8" x14ac:dyDescent="0.2">
      <c r="A61" s="97"/>
      <c r="B61" s="97"/>
      <c r="C61" s="101"/>
      <c r="D61" s="97"/>
      <c r="E61" s="97"/>
      <c r="F61" s="102"/>
      <c r="G61" s="102"/>
      <c r="H61" s="86" t="s">
        <v>142</v>
      </c>
    </row>
    <row r="62" spans="1:8" x14ac:dyDescent="0.2">
      <c r="A62" s="97"/>
      <c r="B62" s="97"/>
      <c r="C62" s="98" t="s">
        <v>153</v>
      </c>
      <c r="D62" s="97"/>
      <c r="E62" s="97"/>
      <c r="F62" s="102"/>
      <c r="G62" s="102"/>
      <c r="H62" s="86" t="s">
        <v>142</v>
      </c>
    </row>
    <row r="63" spans="1:8" x14ac:dyDescent="0.2">
      <c r="A63" s="97"/>
      <c r="B63" s="97"/>
      <c r="C63" s="98" t="s">
        <v>141</v>
      </c>
      <c r="D63" s="97"/>
      <c r="E63" s="97" t="s">
        <v>142</v>
      </c>
      <c r="F63" s="103" t="s">
        <v>144</v>
      </c>
      <c r="G63" s="100">
        <v>0</v>
      </c>
      <c r="H63" s="86" t="s">
        <v>142</v>
      </c>
    </row>
    <row r="64" spans="1:8" x14ac:dyDescent="0.2">
      <c r="A64" s="97"/>
      <c r="B64" s="97"/>
      <c r="C64" s="101"/>
      <c r="D64" s="97"/>
      <c r="E64" s="97"/>
      <c r="F64" s="102"/>
      <c r="G64" s="102"/>
      <c r="H64" s="86" t="s">
        <v>142</v>
      </c>
    </row>
    <row r="65" spans="1:8" x14ac:dyDescent="0.2">
      <c r="A65" s="97"/>
      <c r="B65" s="97"/>
      <c r="C65" s="98" t="s">
        <v>154</v>
      </c>
      <c r="D65" s="97"/>
      <c r="E65" s="97"/>
      <c r="F65" s="99">
        <v>0</v>
      </c>
      <c r="G65" s="100">
        <v>0</v>
      </c>
      <c r="H65" s="86" t="s">
        <v>142</v>
      </c>
    </row>
    <row r="66" spans="1:8" x14ac:dyDescent="0.2">
      <c r="A66" s="97"/>
      <c r="B66" s="97"/>
      <c r="C66" s="101"/>
      <c r="D66" s="97"/>
      <c r="E66" s="97"/>
      <c r="F66" s="102"/>
      <c r="G66" s="102"/>
      <c r="H66" s="86" t="s">
        <v>142</v>
      </c>
    </row>
    <row r="67" spans="1:8" x14ac:dyDescent="0.2">
      <c r="A67" s="97"/>
      <c r="B67" s="97"/>
      <c r="C67" s="98" t="s">
        <v>155</v>
      </c>
      <c r="D67" s="97"/>
      <c r="E67" s="97"/>
      <c r="F67" s="102"/>
      <c r="G67" s="102"/>
      <c r="H67" s="86" t="s">
        <v>142</v>
      </c>
    </row>
    <row r="68" spans="1:8" x14ac:dyDescent="0.2">
      <c r="A68" s="97"/>
      <c r="B68" s="97"/>
      <c r="C68" s="98" t="s">
        <v>156</v>
      </c>
      <c r="D68" s="97"/>
      <c r="E68" s="97"/>
      <c r="F68" s="102"/>
      <c r="G68" s="102"/>
      <c r="H68" s="86" t="s">
        <v>142</v>
      </c>
    </row>
    <row r="69" spans="1:8" x14ac:dyDescent="0.2">
      <c r="A69" s="97"/>
      <c r="B69" s="97"/>
      <c r="C69" s="98" t="s">
        <v>141</v>
      </c>
      <c r="D69" s="97"/>
      <c r="E69" s="97" t="s">
        <v>142</v>
      </c>
      <c r="F69" s="103" t="s">
        <v>144</v>
      </c>
      <c r="G69" s="100">
        <v>0</v>
      </c>
      <c r="H69" s="86" t="s">
        <v>142</v>
      </c>
    </row>
    <row r="70" spans="1:8" x14ac:dyDescent="0.2">
      <c r="A70" s="97"/>
      <c r="B70" s="97"/>
      <c r="C70" s="101"/>
      <c r="D70" s="97"/>
      <c r="E70" s="97"/>
      <c r="F70" s="102"/>
      <c r="G70" s="102"/>
      <c r="H70" s="86" t="s">
        <v>142</v>
      </c>
    </row>
    <row r="71" spans="1:8" x14ac:dyDescent="0.2">
      <c r="A71" s="97"/>
      <c r="B71" s="97"/>
      <c r="C71" s="98" t="s">
        <v>157</v>
      </c>
      <c r="D71" s="97"/>
      <c r="E71" s="97"/>
      <c r="F71" s="102"/>
      <c r="G71" s="102"/>
      <c r="H71" s="86" t="s">
        <v>142</v>
      </c>
    </row>
    <row r="72" spans="1:8" x14ac:dyDescent="0.2">
      <c r="A72" s="97"/>
      <c r="B72" s="97"/>
      <c r="C72" s="98" t="s">
        <v>141</v>
      </c>
      <c r="D72" s="97"/>
      <c r="E72" s="97" t="s">
        <v>142</v>
      </c>
      <c r="F72" s="103" t="s">
        <v>144</v>
      </c>
      <c r="G72" s="100">
        <v>0</v>
      </c>
      <c r="H72" s="86" t="s">
        <v>142</v>
      </c>
    </row>
    <row r="73" spans="1:8" x14ac:dyDescent="0.2">
      <c r="A73" s="97"/>
      <c r="B73" s="97"/>
      <c r="C73" s="101"/>
      <c r="D73" s="97"/>
      <c r="E73" s="97"/>
      <c r="F73" s="102"/>
      <c r="G73" s="102"/>
      <c r="H73" s="86" t="s">
        <v>142</v>
      </c>
    </row>
    <row r="74" spans="1:8" x14ac:dyDescent="0.2">
      <c r="A74" s="97"/>
      <c r="B74" s="97"/>
      <c r="C74" s="98" t="s">
        <v>158</v>
      </c>
      <c r="D74" s="97"/>
      <c r="E74" s="97"/>
      <c r="F74" s="102"/>
      <c r="G74" s="102"/>
      <c r="H74" s="86" t="s">
        <v>142</v>
      </c>
    </row>
    <row r="75" spans="1:8" x14ac:dyDescent="0.2">
      <c r="A75" s="97"/>
      <c r="B75" s="97"/>
      <c r="C75" s="98" t="s">
        <v>141</v>
      </c>
      <c r="D75" s="97"/>
      <c r="E75" s="97" t="s">
        <v>142</v>
      </c>
      <c r="F75" s="103" t="s">
        <v>144</v>
      </c>
      <c r="G75" s="100">
        <v>0</v>
      </c>
      <c r="H75" s="86" t="s">
        <v>142</v>
      </c>
    </row>
    <row r="76" spans="1:8" x14ac:dyDescent="0.2">
      <c r="A76" s="97"/>
      <c r="B76" s="97"/>
      <c r="C76" s="101"/>
      <c r="D76" s="97"/>
      <c r="E76" s="97"/>
      <c r="F76" s="102"/>
      <c r="G76" s="102"/>
      <c r="H76" s="86" t="s">
        <v>142</v>
      </c>
    </row>
    <row r="77" spans="1:8" x14ac:dyDescent="0.2">
      <c r="A77" s="97"/>
      <c r="B77" s="97"/>
      <c r="C77" s="98" t="s">
        <v>159</v>
      </c>
      <c r="D77" s="97"/>
      <c r="E77" s="97"/>
      <c r="F77" s="102"/>
      <c r="G77" s="102"/>
      <c r="H77" s="86" t="s">
        <v>142</v>
      </c>
    </row>
    <row r="78" spans="1:8" x14ac:dyDescent="0.2">
      <c r="A78" s="92">
        <v>1</v>
      </c>
      <c r="B78" s="93"/>
      <c r="C78" s="93" t="s">
        <v>160</v>
      </c>
      <c r="D78" s="93"/>
      <c r="E78" s="104"/>
      <c r="F78" s="95">
        <v>5554.3138493050001</v>
      </c>
      <c r="G78" s="96">
        <v>3.4691630000000001E-2</v>
      </c>
      <c r="H78" s="86">
        <v>5.57</v>
      </c>
    </row>
    <row r="79" spans="1:8" x14ac:dyDescent="0.2">
      <c r="A79" s="97"/>
      <c r="B79" s="97"/>
      <c r="C79" s="98" t="s">
        <v>141</v>
      </c>
      <c r="D79" s="97"/>
      <c r="E79" s="97" t="s">
        <v>142</v>
      </c>
      <c r="F79" s="99">
        <v>5554.3138493050001</v>
      </c>
      <c r="G79" s="100">
        <v>3.4691630000000001E-2</v>
      </c>
      <c r="H79" s="86" t="s">
        <v>142</v>
      </c>
    </row>
    <row r="80" spans="1:8" x14ac:dyDescent="0.2">
      <c r="A80" s="97"/>
      <c r="B80" s="97"/>
      <c r="C80" s="101"/>
      <c r="D80" s="97"/>
      <c r="E80" s="97"/>
      <c r="F80" s="102"/>
      <c r="G80" s="102"/>
      <c r="H80" s="86" t="s">
        <v>142</v>
      </c>
    </row>
    <row r="81" spans="1:8" x14ac:dyDescent="0.2">
      <c r="A81" s="97"/>
      <c r="B81" s="97"/>
      <c r="C81" s="98" t="s">
        <v>161</v>
      </c>
      <c r="D81" s="97"/>
      <c r="E81" s="97"/>
      <c r="F81" s="99">
        <v>5554.3138493050001</v>
      </c>
      <c r="G81" s="100">
        <v>3.4691630000000001E-2</v>
      </c>
      <c r="H81" s="86" t="s">
        <v>142</v>
      </c>
    </row>
    <row r="82" spans="1:8" x14ac:dyDescent="0.2">
      <c r="A82" s="97"/>
      <c r="B82" s="97"/>
      <c r="C82" s="102"/>
      <c r="D82" s="97"/>
      <c r="E82" s="97"/>
      <c r="F82" s="97"/>
      <c r="G82" s="97"/>
      <c r="H82" s="86" t="s">
        <v>142</v>
      </c>
    </row>
    <row r="83" spans="1:8" x14ac:dyDescent="0.2">
      <c r="A83" s="97"/>
      <c r="B83" s="97"/>
      <c r="C83" s="98" t="s">
        <v>162</v>
      </c>
      <c r="D83" s="97"/>
      <c r="E83" s="97"/>
      <c r="F83" s="97"/>
      <c r="G83" s="97"/>
      <c r="H83" s="86" t="s">
        <v>142</v>
      </c>
    </row>
    <row r="84" spans="1:8" x14ac:dyDescent="0.2">
      <c r="A84" s="97"/>
      <c r="B84" s="97"/>
      <c r="C84" s="98" t="s">
        <v>163</v>
      </c>
      <c r="D84" s="97"/>
      <c r="E84" s="97"/>
      <c r="F84" s="97"/>
      <c r="G84" s="97"/>
      <c r="H84" s="86" t="s">
        <v>142</v>
      </c>
    </row>
    <row r="85" spans="1:8" x14ac:dyDescent="0.2">
      <c r="A85" s="92">
        <v>1</v>
      </c>
      <c r="B85" s="93" t="s">
        <v>498</v>
      </c>
      <c r="C85" s="93" t="s">
        <v>1147</v>
      </c>
      <c r="D85" s="93"/>
      <c r="E85" s="140">
        <v>9815428.0309999995</v>
      </c>
      <c r="F85" s="95">
        <v>1515.4824571300001</v>
      </c>
      <c r="G85" s="96">
        <v>9.4655399999999997E-3</v>
      </c>
      <c r="H85" s="86" t="s">
        <v>142</v>
      </c>
    </row>
    <row r="86" spans="1:8" x14ac:dyDescent="0.2">
      <c r="A86" s="97"/>
      <c r="B86" s="97"/>
      <c r="C86" s="98" t="s">
        <v>141</v>
      </c>
      <c r="D86" s="97"/>
      <c r="E86" s="97" t="s">
        <v>142</v>
      </c>
      <c r="F86" s="99">
        <v>1515.4824571300001</v>
      </c>
      <c r="G86" s="100">
        <v>9.4655399999999997E-3</v>
      </c>
      <c r="H86" s="86" t="s">
        <v>142</v>
      </c>
    </row>
    <row r="87" spans="1:8" x14ac:dyDescent="0.2">
      <c r="A87" s="97"/>
      <c r="B87" s="97"/>
      <c r="C87" s="101"/>
      <c r="D87" s="97"/>
      <c r="E87" s="97"/>
      <c r="F87" s="102"/>
      <c r="G87" s="102"/>
      <c r="H87" s="86" t="s">
        <v>142</v>
      </c>
    </row>
    <row r="88" spans="1:8" x14ac:dyDescent="0.2">
      <c r="A88" s="97"/>
      <c r="B88" s="97"/>
      <c r="C88" s="98" t="s">
        <v>164</v>
      </c>
      <c r="D88" s="97"/>
      <c r="E88" s="97"/>
      <c r="F88" s="97"/>
      <c r="G88" s="97"/>
      <c r="H88" s="86" t="s">
        <v>142</v>
      </c>
    </row>
    <row r="89" spans="1:8" x14ac:dyDescent="0.2">
      <c r="A89" s="97"/>
      <c r="B89" s="97"/>
      <c r="C89" s="98" t="s">
        <v>165</v>
      </c>
      <c r="D89" s="97"/>
      <c r="E89" s="97"/>
      <c r="F89" s="97"/>
      <c r="G89" s="97"/>
      <c r="H89" s="86" t="s">
        <v>142</v>
      </c>
    </row>
    <row r="90" spans="1:8" x14ac:dyDescent="0.2">
      <c r="A90" s="97"/>
      <c r="B90" s="97"/>
      <c r="C90" s="98" t="s">
        <v>141</v>
      </c>
      <c r="D90" s="97"/>
      <c r="E90" s="97" t="s">
        <v>142</v>
      </c>
      <c r="F90" s="103" t="s">
        <v>144</v>
      </c>
      <c r="G90" s="100">
        <v>0</v>
      </c>
      <c r="H90" s="86" t="s">
        <v>142</v>
      </c>
    </row>
    <row r="91" spans="1:8" x14ac:dyDescent="0.2">
      <c r="A91" s="97"/>
      <c r="B91" s="97"/>
      <c r="C91" s="101"/>
      <c r="D91" s="97"/>
      <c r="E91" s="97"/>
      <c r="F91" s="102"/>
      <c r="G91" s="102"/>
      <c r="H91" s="86" t="s">
        <v>142</v>
      </c>
    </row>
    <row r="92" spans="1:8" x14ac:dyDescent="0.2">
      <c r="A92" s="97"/>
      <c r="B92" s="97"/>
      <c r="C92" s="98" t="s">
        <v>166</v>
      </c>
      <c r="D92" s="97"/>
      <c r="E92" s="97"/>
      <c r="F92" s="102"/>
      <c r="G92" s="102"/>
      <c r="H92" s="86" t="s">
        <v>142</v>
      </c>
    </row>
    <row r="93" spans="1:8" x14ac:dyDescent="0.2">
      <c r="A93" s="97"/>
      <c r="B93" s="97"/>
      <c r="C93" s="98" t="s">
        <v>141</v>
      </c>
      <c r="D93" s="97"/>
      <c r="E93" s="97" t="s">
        <v>142</v>
      </c>
      <c r="F93" s="103" t="s">
        <v>144</v>
      </c>
      <c r="G93" s="100">
        <v>0</v>
      </c>
      <c r="H93" s="86" t="s">
        <v>142</v>
      </c>
    </row>
    <row r="94" spans="1:8" x14ac:dyDescent="0.2">
      <c r="A94" s="97"/>
      <c r="B94" s="97"/>
      <c r="C94" s="101"/>
      <c r="D94" s="97"/>
      <c r="E94" s="97"/>
      <c r="F94" s="102"/>
      <c r="G94" s="102"/>
      <c r="H94" s="86" t="s">
        <v>142</v>
      </c>
    </row>
    <row r="95" spans="1:8" x14ac:dyDescent="0.2">
      <c r="A95" s="104"/>
      <c r="B95" s="93"/>
      <c r="C95" s="93" t="s">
        <v>167</v>
      </c>
      <c r="D95" s="93"/>
      <c r="E95" s="104"/>
      <c r="F95" s="95">
        <v>-129.08286648000001</v>
      </c>
      <c r="G95" s="96">
        <v>-8.0623999999999995E-4</v>
      </c>
      <c r="H95" s="86" t="s">
        <v>142</v>
      </c>
    </row>
    <row r="96" spans="1:8" x14ac:dyDescent="0.2">
      <c r="A96" s="101"/>
      <c r="B96" s="101"/>
      <c r="C96" s="98" t="s">
        <v>168</v>
      </c>
      <c r="D96" s="102"/>
      <c r="E96" s="102"/>
      <c r="F96" s="99">
        <v>160105.296523155</v>
      </c>
      <c r="G96" s="105">
        <v>1.00000003</v>
      </c>
      <c r="H96" s="86" t="s">
        <v>142</v>
      </c>
    </row>
    <row r="97" spans="1:17" ht="12.75" customHeight="1" x14ac:dyDescent="0.2">
      <c r="A97" s="106"/>
      <c r="B97" s="106"/>
      <c r="C97" s="107"/>
      <c r="D97" s="108"/>
      <c r="E97" s="108"/>
      <c r="F97" s="109"/>
      <c r="G97" s="110"/>
      <c r="H97" s="111"/>
    </row>
    <row r="98" spans="1:17" x14ac:dyDescent="0.2">
      <c r="A98" s="106"/>
      <c r="B98" s="200" t="s">
        <v>918</v>
      </c>
      <c r="C98" s="200"/>
      <c r="D98" s="200"/>
      <c r="E98" s="200"/>
      <c r="F98" s="200"/>
      <c r="G98" s="200"/>
      <c r="H98" s="200"/>
      <c r="J98" s="113"/>
    </row>
    <row r="99" spans="1:17" x14ac:dyDescent="0.2">
      <c r="A99" s="106"/>
      <c r="B99" s="200" t="s">
        <v>919</v>
      </c>
      <c r="C99" s="200"/>
      <c r="D99" s="200"/>
      <c r="E99" s="200"/>
      <c r="F99" s="200"/>
      <c r="G99" s="200"/>
      <c r="H99" s="200"/>
      <c r="J99" s="113"/>
    </row>
    <row r="100" spans="1:17" x14ac:dyDescent="0.2">
      <c r="A100" s="106"/>
      <c r="B100" s="200" t="s">
        <v>920</v>
      </c>
      <c r="C100" s="200"/>
      <c r="D100" s="200"/>
      <c r="E100" s="200"/>
      <c r="F100" s="200"/>
      <c r="G100" s="200"/>
      <c r="H100" s="200"/>
      <c r="J100" s="113"/>
    </row>
    <row r="101" spans="1:17" s="115" customFormat="1" ht="66.75" customHeight="1" x14ac:dyDescent="0.25">
      <c r="A101" s="114"/>
      <c r="B101" s="201" t="s">
        <v>921</v>
      </c>
      <c r="C101" s="201"/>
      <c r="D101" s="201"/>
      <c r="E101" s="201"/>
      <c r="F101" s="201"/>
      <c r="G101" s="201"/>
      <c r="H101" s="201"/>
      <c r="I101"/>
      <c r="J101" s="113"/>
      <c r="K101"/>
      <c r="L101"/>
      <c r="M101"/>
      <c r="N101"/>
      <c r="O101"/>
      <c r="P101"/>
      <c r="Q101"/>
    </row>
    <row r="102" spans="1:17" x14ac:dyDescent="0.2">
      <c r="A102" s="106"/>
      <c r="B102" s="200" t="s">
        <v>922</v>
      </c>
      <c r="C102" s="200"/>
      <c r="D102" s="200"/>
      <c r="E102" s="200"/>
      <c r="F102" s="200"/>
      <c r="G102" s="200"/>
      <c r="H102" s="200"/>
      <c r="J102" s="113"/>
    </row>
    <row r="103" spans="1:17" x14ac:dyDescent="0.2">
      <c r="A103" s="106"/>
      <c r="B103" s="106"/>
      <c r="C103" s="106"/>
      <c r="D103" s="108"/>
      <c r="E103" s="108"/>
      <c r="F103" s="108"/>
      <c r="G103" s="108"/>
    </row>
    <row r="104" spans="1:17" x14ac:dyDescent="0.2">
      <c r="A104" s="106"/>
      <c r="B104" s="202" t="s">
        <v>169</v>
      </c>
      <c r="C104" s="203"/>
      <c r="D104" s="204"/>
      <c r="E104" s="116"/>
      <c r="F104" s="108"/>
      <c r="G104" s="108"/>
    </row>
    <row r="105" spans="1:17" ht="27.75" customHeight="1" x14ac:dyDescent="0.2">
      <c r="A105" s="106"/>
      <c r="B105" s="205" t="s">
        <v>170</v>
      </c>
      <c r="C105" s="206"/>
      <c r="D105" s="85" t="s">
        <v>171</v>
      </c>
      <c r="E105" s="116"/>
      <c r="F105" s="108"/>
      <c r="G105" s="108"/>
    </row>
    <row r="106" spans="1:17" ht="12.75" customHeight="1" x14ac:dyDescent="0.2">
      <c r="A106" s="106"/>
      <c r="B106" s="205" t="s">
        <v>923</v>
      </c>
      <c r="C106" s="206"/>
      <c r="D106" s="85" t="s">
        <v>171</v>
      </c>
      <c r="E106" s="116"/>
      <c r="F106" s="108"/>
      <c r="G106" s="108"/>
    </row>
    <row r="107" spans="1:17" x14ac:dyDescent="0.2">
      <c r="A107" s="106"/>
      <c r="B107" s="205" t="s">
        <v>172</v>
      </c>
      <c r="C107" s="206"/>
      <c r="D107" s="117" t="s">
        <v>142</v>
      </c>
      <c r="E107" s="116"/>
      <c r="F107" s="108"/>
      <c r="G107" s="108"/>
    </row>
    <row r="108" spans="1:17" x14ac:dyDescent="0.2">
      <c r="A108" s="118"/>
      <c r="B108" s="119" t="s">
        <v>142</v>
      </c>
      <c r="C108" s="119" t="s">
        <v>924</v>
      </c>
      <c r="D108" s="119" t="s">
        <v>173</v>
      </c>
      <c r="E108" s="118"/>
      <c r="F108" s="118"/>
      <c r="G108" s="118"/>
      <c r="H108" s="118"/>
      <c r="J108" s="113"/>
    </row>
    <row r="109" spans="1:17" x14ac:dyDescent="0.2">
      <c r="A109" s="118"/>
      <c r="B109" s="120" t="s">
        <v>174</v>
      </c>
      <c r="C109" s="121">
        <v>45930</v>
      </c>
      <c r="D109" s="121">
        <v>45961</v>
      </c>
      <c r="E109" s="118"/>
      <c r="F109" s="118"/>
      <c r="G109" s="118"/>
      <c r="J109" s="113"/>
    </row>
    <row r="110" spans="1:17" x14ac:dyDescent="0.2">
      <c r="A110" s="122"/>
      <c r="B110" s="93" t="s">
        <v>175</v>
      </c>
      <c r="C110" s="123">
        <v>113.3104</v>
      </c>
      <c r="D110" s="123">
        <v>120.173</v>
      </c>
      <c r="E110" s="122"/>
      <c r="F110" s="124"/>
      <c r="G110" s="125"/>
    </row>
    <row r="111" spans="1:17" x14ac:dyDescent="0.2">
      <c r="A111" s="122"/>
      <c r="B111" s="93" t="s">
        <v>1101</v>
      </c>
      <c r="C111" s="123">
        <v>35.7102</v>
      </c>
      <c r="D111" s="123">
        <v>37.872999999999998</v>
      </c>
      <c r="E111" s="122"/>
      <c r="F111" s="124"/>
      <c r="G111" s="125"/>
    </row>
    <row r="112" spans="1:17" x14ac:dyDescent="0.2">
      <c r="A112" s="122"/>
      <c r="B112" s="93" t="s">
        <v>176</v>
      </c>
      <c r="C112" s="123">
        <v>100.1508</v>
      </c>
      <c r="D112" s="123">
        <v>106.09739999999999</v>
      </c>
      <c r="E112" s="122"/>
      <c r="F112" s="124"/>
      <c r="G112" s="125"/>
    </row>
    <row r="113" spans="1:7" x14ac:dyDescent="0.2">
      <c r="A113" s="122"/>
      <c r="B113" s="93" t="s">
        <v>1102</v>
      </c>
      <c r="C113" s="123">
        <v>31.047899999999998</v>
      </c>
      <c r="D113" s="123">
        <v>32.891399999999997</v>
      </c>
      <c r="E113" s="122"/>
      <c r="F113" s="124"/>
      <c r="G113" s="125"/>
    </row>
    <row r="114" spans="1:7" x14ac:dyDescent="0.2">
      <c r="A114" s="122"/>
      <c r="B114" s="122"/>
      <c r="C114" s="122"/>
      <c r="D114" s="122"/>
      <c r="E114" s="122"/>
      <c r="F114" s="122"/>
      <c r="G114" s="122"/>
    </row>
    <row r="115" spans="1:7" x14ac:dyDescent="0.2">
      <c r="A115" s="118"/>
      <c r="B115" s="205" t="s">
        <v>925</v>
      </c>
      <c r="C115" s="206"/>
      <c r="D115" s="85" t="s">
        <v>171</v>
      </c>
      <c r="E115" s="118"/>
      <c r="F115" s="118"/>
      <c r="G115" s="118"/>
    </row>
    <row r="116" spans="1:7" x14ac:dyDescent="0.2">
      <c r="A116" s="118"/>
      <c r="B116" s="136"/>
      <c r="C116" s="136"/>
      <c r="D116" s="136"/>
      <c r="E116" s="118"/>
      <c r="F116" s="118"/>
      <c r="G116" s="118"/>
    </row>
    <row r="117" spans="1:7" x14ac:dyDescent="0.2">
      <c r="A117" s="118"/>
      <c r="B117" s="205" t="s">
        <v>179</v>
      </c>
      <c r="C117" s="206"/>
      <c r="D117" s="85" t="s">
        <v>171</v>
      </c>
      <c r="E117" s="131"/>
      <c r="F117" s="118"/>
      <c r="G117" s="118"/>
    </row>
    <row r="118" spans="1:7" x14ac:dyDescent="0.2">
      <c r="A118" s="118"/>
      <c r="B118" s="205" t="s">
        <v>180</v>
      </c>
      <c r="C118" s="206"/>
      <c r="D118" s="85" t="s">
        <v>171</v>
      </c>
      <c r="E118" s="131"/>
      <c r="F118" s="118"/>
      <c r="G118" s="118"/>
    </row>
    <row r="119" spans="1:7" x14ac:dyDescent="0.2">
      <c r="A119" s="118"/>
      <c r="B119" s="205" t="s">
        <v>181</v>
      </c>
      <c r="C119" s="206"/>
      <c r="D119" s="85" t="s">
        <v>171</v>
      </c>
      <c r="E119" s="131"/>
      <c r="F119" s="118"/>
      <c r="G119" s="118"/>
    </row>
    <row r="120" spans="1:7" x14ac:dyDescent="0.2">
      <c r="A120" s="118"/>
      <c r="B120" s="205" t="s">
        <v>182</v>
      </c>
      <c r="C120" s="206"/>
      <c r="D120" s="132">
        <v>0.48430000000000001</v>
      </c>
      <c r="E120" s="118"/>
      <c r="F120" s="112"/>
      <c r="G120" s="133"/>
    </row>
    <row r="122" spans="1:7" x14ac:dyDescent="0.2">
      <c r="B122" s="199" t="s">
        <v>926</v>
      </c>
      <c r="C122" s="199"/>
    </row>
    <row r="124" spans="1:7" ht="153.75" customHeight="1" x14ac:dyDescent="0.2"/>
    <row r="127" spans="1:7" x14ac:dyDescent="0.2">
      <c r="B127" s="134" t="s">
        <v>927</v>
      </c>
      <c r="C127" s="135"/>
      <c r="D127" s="134"/>
    </row>
    <row r="128" spans="1:7" x14ac:dyDescent="0.2">
      <c r="B128" s="134" t="s">
        <v>1091</v>
      </c>
      <c r="D128" s="134"/>
    </row>
    <row r="129" customFormat="1" ht="165" customHeight="1" x14ac:dyDescent="0.2"/>
    <row r="130" customFormat="1" ht="12.75" customHeight="1" x14ac:dyDescent="0.2"/>
    <row r="131" customFormat="1" ht="12.75" customHeight="1" x14ac:dyDescent="0.2"/>
    <row r="132" customFormat="1" ht="12.75" customHeight="1" x14ac:dyDescent="0.2"/>
    <row r="133" customFormat="1" ht="12.75" customHeight="1" x14ac:dyDescent="0.2"/>
    <row r="134" customFormat="1" ht="12.75" customHeight="1" x14ac:dyDescent="0.2"/>
    <row r="135" customFormat="1" ht="12.75" customHeight="1" x14ac:dyDescent="0.2"/>
    <row r="136" customFormat="1" ht="12.75" customHeight="1" x14ac:dyDescent="0.2"/>
    <row r="137" customFormat="1" ht="12.75" customHeight="1" x14ac:dyDescent="0.2"/>
    <row r="138" customFormat="1" ht="12.75" customHeight="1" x14ac:dyDescent="0.2"/>
  </sheetData>
  <mergeCells count="18">
    <mergeCell ref="B117:C117"/>
    <mergeCell ref="B118:C118"/>
    <mergeCell ref="B122:C122"/>
    <mergeCell ref="B120:C120"/>
    <mergeCell ref="A1:H1"/>
    <mergeCell ref="A2:H2"/>
    <mergeCell ref="A3:H3"/>
    <mergeCell ref="B115:C115"/>
    <mergeCell ref="B119:C119"/>
    <mergeCell ref="B98:H98"/>
    <mergeCell ref="B99:H99"/>
    <mergeCell ref="B106:C106"/>
    <mergeCell ref="B107:C107"/>
    <mergeCell ref="B100:H100"/>
    <mergeCell ref="B101:H101"/>
    <mergeCell ref="B102:H102"/>
    <mergeCell ref="B104:D104"/>
    <mergeCell ref="B105:C105"/>
  </mergeCells>
  <hyperlinks>
    <hyperlink ref="I1" location="Index!B2" display="Index" xr:uid="{C4C6A90C-0A21-42A4-B82D-3616FACB5AC2}"/>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80906-4794-48BD-9C21-978AA8B550C7}">
  <sheetPr>
    <outlinePr summaryBelow="0" summaryRight="0"/>
  </sheetPr>
  <dimension ref="A1:Q201"/>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7.7109375" bestFit="1" customWidth="1"/>
    <col min="5" max="5" width="13.570312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863</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1943455</v>
      </c>
      <c r="F7" s="95">
        <v>19187.731215</v>
      </c>
      <c r="G7" s="96">
        <v>6.5597589999999997E-2</v>
      </c>
      <c r="H7" s="86" t="s">
        <v>142</v>
      </c>
    </row>
    <row r="8" spans="1:9" x14ac:dyDescent="0.2">
      <c r="A8" s="92">
        <v>2</v>
      </c>
      <c r="B8" s="93" t="s">
        <v>33</v>
      </c>
      <c r="C8" s="93" t="s">
        <v>34</v>
      </c>
      <c r="D8" s="93" t="s">
        <v>35</v>
      </c>
      <c r="E8" s="94">
        <v>963260</v>
      </c>
      <c r="F8" s="95">
        <v>12958.736779999999</v>
      </c>
      <c r="G8" s="96">
        <v>4.4302370000000001E-2</v>
      </c>
      <c r="H8" s="86" t="s">
        <v>142</v>
      </c>
    </row>
    <row r="9" spans="1:9" x14ac:dyDescent="0.2">
      <c r="A9" s="92">
        <v>3</v>
      </c>
      <c r="B9" s="93" t="s">
        <v>11</v>
      </c>
      <c r="C9" s="93" t="s">
        <v>12</v>
      </c>
      <c r="D9" s="93" t="s">
        <v>13</v>
      </c>
      <c r="E9" s="94">
        <v>581390</v>
      </c>
      <c r="F9" s="95">
        <v>11944.65755</v>
      </c>
      <c r="G9" s="96">
        <v>4.0835509999999998E-2</v>
      </c>
      <c r="H9" s="86" t="s">
        <v>142</v>
      </c>
    </row>
    <row r="10" spans="1:9" x14ac:dyDescent="0.2">
      <c r="A10" s="92">
        <v>4</v>
      </c>
      <c r="B10" s="93" t="s">
        <v>334</v>
      </c>
      <c r="C10" s="93" t="s">
        <v>335</v>
      </c>
      <c r="D10" s="93" t="s">
        <v>241</v>
      </c>
      <c r="E10" s="94">
        <v>316250</v>
      </c>
      <c r="F10" s="95">
        <v>11028.27</v>
      </c>
      <c r="G10" s="96">
        <v>3.7702630000000001E-2</v>
      </c>
      <c r="H10" s="86" t="s">
        <v>142</v>
      </c>
    </row>
    <row r="11" spans="1:9" x14ac:dyDescent="0.2">
      <c r="A11" s="92">
        <v>5</v>
      </c>
      <c r="B11" s="93" t="s">
        <v>17</v>
      </c>
      <c r="C11" s="93" t="s">
        <v>18</v>
      </c>
      <c r="D11" s="93" t="s">
        <v>19</v>
      </c>
      <c r="E11" s="94">
        <v>704490</v>
      </c>
      <c r="F11" s="95">
        <v>10471.539360000001</v>
      </c>
      <c r="G11" s="96">
        <v>3.5799320000000003E-2</v>
      </c>
      <c r="H11" s="86" t="s">
        <v>142</v>
      </c>
    </row>
    <row r="12" spans="1:9" x14ac:dyDescent="0.2">
      <c r="A12" s="92">
        <v>6</v>
      </c>
      <c r="B12" s="93" t="s">
        <v>14</v>
      </c>
      <c r="C12" s="93" t="s">
        <v>15</v>
      </c>
      <c r="D12" s="93" t="s">
        <v>16</v>
      </c>
      <c r="E12" s="94">
        <v>253158</v>
      </c>
      <c r="F12" s="95">
        <v>10204.545822</v>
      </c>
      <c r="G12" s="96">
        <v>3.4886540000000001E-2</v>
      </c>
      <c r="H12" s="86" t="s">
        <v>142</v>
      </c>
    </row>
    <row r="13" spans="1:9" x14ac:dyDescent="0.2">
      <c r="A13" s="92">
        <v>7</v>
      </c>
      <c r="B13" s="93" t="s">
        <v>324</v>
      </c>
      <c r="C13" s="93" t="s">
        <v>325</v>
      </c>
      <c r="D13" s="93" t="s">
        <v>35</v>
      </c>
      <c r="E13" s="94">
        <v>328002</v>
      </c>
      <c r="F13" s="95">
        <v>6895.2580440000002</v>
      </c>
      <c r="G13" s="96">
        <v>2.3573E-2</v>
      </c>
      <c r="H13" s="86" t="s">
        <v>142</v>
      </c>
    </row>
    <row r="14" spans="1:9" x14ac:dyDescent="0.2">
      <c r="A14" s="92">
        <v>8</v>
      </c>
      <c r="B14" s="93" t="s">
        <v>322</v>
      </c>
      <c r="C14" s="93" t="s">
        <v>323</v>
      </c>
      <c r="D14" s="93" t="s">
        <v>35</v>
      </c>
      <c r="E14" s="94">
        <v>437500</v>
      </c>
      <c r="F14" s="95">
        <v>5393.5</v>
      </c>
      <c r="G14" s="96">
        <v>1.8438900000000001E-2</v>
      </c>
      <c r="H14" s="86" t="s">
        <v>142</v>
      </c>
    </row>
    <row r="15" spans="1:9" x14ac:dyDescent="0.2">
      <c r="A15" s="92">
        <v>9</v>
      </c>
      <c r="B15" s="93" t="s">
        <v>39</v>
      </c>
      <c r="C15" s="93" t="s">
        <v>40</v>
      </c>
      <c r="D15" s="93" t="s">
        <v>35</v>
      </c>
      <c r="E15" s="94">
        <v>525030</v>
      </c>
      <c r="F15" s="95">
        <v>4919.5311000000002</v>
      </c>
      <c r="G15" s="96">
        <v>1.6818530000000002E-2</v>
      </c>
      <c r="H15" s="86" t="s">
        <v>142</v>
      </c>
    </row>
    <row r="16" spans="1:9" x14ac:dyDescent="0.2">
      <c r="A16" s="92">
        <v>10</v>
      </c>
      <c r="B16" s="93" t="s">
        <v>330</v>
      </c>
      <c r="C16" s="93" t="s">
        <v>331</v>
      </c>
      <c r="D16" s="93" t="s">
        <v>186</v>
      </c>
      <c r="E16" s="94">
        <v>469250</v>
      </c>
      <c r="F16" s="95">
        <v>4893.3389999999999</v>
      </c>
      <c r="G16" s="96">
        <v>1.6728980000000001E-2</v>
      </c>
      <c r="H16" s="86" t="s">
        <v>142</v>
      </c>
    </row>
    <row r="17" spans="1:8" x14ac:dyDescent="0.2">
      <c r="A17" s="92">
        <v>11</v>
      </c>
      <c r="B17" s="93" t="s">
        <v>344</v>
      </c>
      <c r="C17" s="93" t="s">
        <v>345</v>
      </c>
      <c r="D17" s="93" t="s">
        <v>186</v>
      </c>
      <c r="E17" s="94">
        <v>257255</v>
      </c>
      <c r="F17" s="95">
        <v>4365.1028399999996</v>
      </c>
      <c r="G17" s="96">
        <v>1.492309E-2</v>
      </c>
      <c r="H17" s="86" t="s">
        <v>142</v>
      </c>
    </row>
    <row r="18" spans="1:8" x14ac:dyDescent="0.2">
      <c r="A18" s="92">
        <v>12</v>
      </c>
      <c r="B18" s="93" t="s">
        <v>440</v>
      </c>
      <c r="C18" s="93" t="s">
        <v>441</v>
      </c>
      <c r="D18" s="93" t="s">
        <v>422</v>
      </c>
      <c r="E18" s="94">
        <v>166906</v>
      </c>
      <c r="F18" s="95">
        <v>4115.0674300000001</v>
      </c>
      <c r="G18" s="96">
        <v>1.4068290000000001E-2</v>
      </c>
      <c r="H18" s="86" t="s">
        <v>142</v>
      </c>
    </row>
    <row r="19" spans="1:8" x14ac:dyDescent="0.2">
      <c r="A19" s="92">
        <v>13</v>
      </c>
      <c r="B19" s="93" t="s">
        <v>26</v>
      </c>
      <c r="C19" s="93" t="s">
        <v>27</v>
      </c>
      <c r="D19" s="93" t="s">
        <v>28</v>
      </c>
      <c r="E19" s="94">
        <v>893550</v>
      </c>
      <c r="F19" s="95">
        <v>3807.4165499999999</v>
      </c>
      <c r="G19" s="96">
        <v>1.301651E-2</v>
      </c>
      <c r="H19" s="86" t="s">
        <v>142</v>
      </c>
    </row>
    <row r="20" spans="1:8" ht="25.5" x14ac:dyDescent="0.2">
      <c r="A20" s="92">
        <v>14</v>
      </c>
      <c r="B20" s="93" t="s">
        <v>189</v>
      </c>
      <c r="C20" s="93" t="s">
        <v>190</v>
      </c>
      <c r="D20" s="93" t="s">
        <v>191</v>
      </c>
      <c r="E20" s="94">
        <v>178561</v>
      </c>
      <c r="F20" s="95">
        <v>3793.7070060000001</v>
      </c>
      <c r="G20" s="96">
        <v>1.2969639999999999E-2</v>
      </c>
      <c r="H20" s="86" t="s">
        <v>142</v>
      </c>
    </row>
    <row r="21" spans="1:8" x14ac:dyDescent="0.2">
      <c r="A21" s="92">
        <v>15</v>
      </c>
      <c r="B21" s="93" t="s">
        <v>56</v>
      </c>
      <c r="C21" s="93" t="s">
        <v>57</v>
      </c>
      <c r="D21" s="93" t="s">
        <v>58</v>
      </c>
      <c r="E21" s="94">
        <v>83749</v>
      </c>
      <c r="F21" s="95">
        <v>3638.1403089999999</v>
      </c>
      <c r="G21" s="96">
        <v>1.2437800000000001E-2</v>
      </c>
      <c r="H21" s="86" t="s">
        <v>142</v>
      </c>
    </row>
    <row r="22" spans="1:8" x14ac:dyDescent="0.2">
      <c r="A22" s="92">
        <v>16</v>
      </c>
      <c r="B22" s="93" t="s">
        <v>423</v>
      </c>
      <c r="C22" s="93" t="s">
        <v>424</v>
      </c>
      <c r="D22" s="93" t="s">
        <v>204</v>
      </c>
      <c r="E22" s="94">
        <v>225363</v>
      </c>
      <c r="F22" s="95">
        <v>3473.9706449999999</v>
      </c>
      <c r="G22" s="96">
        <v>1.187655E-2</v>
      </c>
      <c r="H22" s="86" t="s">
        <v>142</v>
      </c>
    </row>
    <row r="23" spans="1:8" x14ac:dyDescent="0.2">
      <c r="A23" s="92">
        <v>17</v>
      </c>
      <c r="B23" s="93" t="s">
        <v>59</v>
      </c>
      <c r="C23" s="93" t="s">
        <v>60</v>
      </c>
      <c r="D23" s="93" t="s">
        <v>61</v>
      </c>
      <c r="E23" s="94">
        <v>61497</v>
      </c>
      <c r="F23" s="95">
        <v>3459.2062500000002</v>
      </c>
      <c r="G23" s="96">
        <v>1.1826079999999999E-2</v>
      </c>
      <c r="H23" s="86" t="s">
        <v>142</v>
      </c>
    </row>
    <row r="24" spans="1:8" x14ac:dyDescent="0.2">
      <c r="A24" s="92">
        <v>18</v>
      </c>
      <c r="B24" s="93" t="s">
        <v>216</v>
      </c>
      <c r="C24" s="93" t="s">
        <v>217</v>
      </c>
      <c r="D24" s="93" t="s">
        <v>218</v>
      </c>
      <c r="E24" s="94">
        <v>558606</v>
      </c>
      <c r="F24" s="95">
        <v>3339.6259709999999</v>
      </c>
      <c r="G24" s="96">
        <v>1.141727E-2</v>
      </c>
      <c r="H24" s="86" t="s">
        <v>142</v>
      </c>
    </row>
    <row r="25" spans="1:8" x14ac:dyDescent="0.2">
      <c r="A25" s="92">
        <v>19</v>
      </c>
      <c r="B25" s="93" t="s">
        <v>502</v>
      </c>
      <c r="C25" s="93" t="s">
        <v>503</v>
      </c>
      <c r="D25" s="93" t="s">
        <v>186</v>
      </c>
      <c r="E25" s="94">
        <v>806290</v>
      </c>
      <c r="F25" s="95">
        <v>3251.3644250000002</v>
      </c>
      <c r="G25" s="96">
        <v>1.111552E-2</v>
      </c>
      <c r="H25" s="86" t="s">
        <v>142</v>
      </c>
    </row>
    <row r="26" spans="1:8" ht="25.5" x14ac:dyDescent="0.2">
      <c r="A26" s="92">
        <v>20</v>
      </c>
      <c r="B26" s="93" t="s">
        <v>23</v>
      </c>
      <c r="C26" s="93" t="s">
        <v>24</v>
      </c>
      <c r="D26" s="93" t="s">
        <v>25</v>
      </c>
      <c r="E26" s="94">
        <v>27040</v>
      </c>
      <c r="F26" s="95">
        <v>3230.4688000000001</v>
      </c>
      <c r="G26" s="96">
        <v>1.1044089999999999E-2</v>
      </c>
      <c r="H26" s="86" t="s">
        <v>142</v>
      </c>
    </row>
    <row r="27" spans="1:8" x14ac:dyDescent="0.2">
      <c r="A27" s="92">
        <v>21</v>
      </c>
      <c r="B27" s="93" t="s">
        <v>326</v>
      </c>
      <c r="C27" s="93" t="s">
        <v>327</v>
      </c>
      <c r="D27" s="93" t="s">
        <v>204</v>
      </c>
      <c r="E27" s="94">
        <v>212848</v>
      </c>
      <c r="F27" s="95">
        <v>3155.0459040000001</v>
      </c>
      <c r="G27" s="96">
        <v>1.0786240000000001E-2</v>
      </c>
      <c r="H27" s="86" t="s">
        <v>142</v>
      </c>
    </row>
    <row r="28" spans="1:8" ht="25.5" x14ac:dyDescent="0.2">
      <c r="A28" s="92">
        <v>22</v>
      </c>
      <c r="B28" s="93" t="s">
        <v>434</v>
      </c>
      <c r="C28" s="93" t="s">
        <v>435</v>
      </c>
      <c r="D28" s="93" t="s">
        <v>207</v>
      </c>
      <c r="E28" s="94">
        <v>263280</v>
      </c>
      <c r="F28" s="95">
        <v>3067.212</v>
      </c>
      <c r="G28" s="96">
        <v>1.0485960000000001E-2</v>
      </c>
      <c r="H28" s="86" t="s">
        <v>142</v>
      </c>
    </row>
    <row r="29" spans="1:8" x14ac:dyDescent="0.2">
      <c r="A29" s="92">
        <v>23</v>
      </c>
      <c r="B29" s="93" t="s">
        <v>213</v>
      </c>
      <c r="C29" s="93" t="s">
        <v>214</v>
      </c>
      <c r="D29" s="93" t="s">
        <v>215</v>
      </c>
      <c r="E29" s="94">
        <v>115545</v>
      </c>
      <c r="F29" s="95">
        <v>2864.3605499999999</v>
      </c>
      <c r="G29" s="96">
        <v>9.7924599999999994E-3</v>
      </c>
      <c r="H29" s="86" t="s">
        <v>142</v>
      </c>
    </row>
    <row r="30" spans="1:8" x14ac:dyDescent="0.2">
      <c r="A30" s="92">
        <v>24</v>
      </c>
      <c r="B30" s="93" t="s">
        <v>504</v>
      </c>
      <c r="C30" s="93" t="s">
        <v>505</v>
      </c>
      <c r="D30" s="93" t="s">
        <v>241</v>
      </c>
      <c r="E30" s="94">
        <v>16245</v>
      </c>
      <c r="F30" s="95">
        <v>2629.4157</v>
      </c>
      <c r="G30" s="96">
        <v>8.9892500000000007E-3</v>
      </c>
      <c r="H30" s="86" t="s">
        <v>142</v>
      </c>
    </row>
    <row r="31" spans="1:8" x14ac:dyDescent="0.2">
      <c r="A31" s="92">
        <v>25</v>
      </c>
      <c r="B31" s="93" t="s">
        <v>31</v>
      </c>
      <c r="C31" s="93" t="s">
        <v>32</v>
      </c>
      <c r="D31" s="93" t="s">
        <v>19</v>
      </c>
      <c r="E31" s="94">
        <v>734794</v>
      </c>
      <c r="F31" s="95">
        <v>2621.7449919999999</v>
      </c>
      <c r="G31" s="96">
        <v>8.9630300000000003E-3</v>
      </c>
      <c r="H31" s="86" t="s">
        <v>142</v>
      </c>
    </row>
    <row r="32" spans="1:8" x14ac:dyDescent="0.2">
      <c r="A32" s="92">
        <v>26</v>
      </c>
      <c r="B32" s="93" t="s">
        <v>46</v>
      </c>
      <c r="C32" s="93" t="s">
        <v>47</v>
      </c>
      <c r="D32" s="93" t="s">
        <v>48</v>
      </c>
      <c r="E32" s="94">
        <v>31340</v>
      </c>
      <c r="F32" s="95">
        <v>2518.6390999999999</v>
      </c>
      <c r="G32" s="96">
        <v>8.6105399999999999E-3</v>
      </c>
      <c r="H32" s="86" t="s">
        <v>142</v>
      </c>
    </row>
    <row r="33" spans="1:8" x14ac:dyDescent="0.2">
      <c r="A33" s="92">
        <v>27</v>
      </c>
      <c r="B33" s="93" t="s">
        <v>428</v>
      </c>
      <c r="C33" s="93" t="s">
        <v>429</v>
      </c>
      <c r="D33" s="93" t="s">
        <v>272</v>
      </c>
      <c r="E33" s="94">
        <v>117033</v>
      </c>
      <c r="F33" s="95">
        <v>2288.8143810000001</v>
      </c>
      <c r="G33" s="96">
        <v>7.8248299999999996E-3</v>
      </c>
      <c r="H33" s="86" t="s">
        <v>142</v>
      </c>
    </row>
    <row r="34" spans="1:8" ht="25.5" x14ac:dyDescent="0.2">
      <c r="A34" s="92">
        <v>28</v>
      </c>
      <c r="B34" s="93" t="s">
        <v>338</v>
      </c>
      <c r="C34" s="93" t="s">
        <v>339</v>
      </c>
      <c r="D34" s="93" t="s">
        <v>25</v>
      </c>
      <c r="E34" s="94">
        <v>78990</v>
      </c>
      <c r="F34" s="95">
        <v>2284.1538300000002</v>
      </c>
      <c r="G34" s="96">
        <v>7.8088999999999997E-3</v>
      </c>
      <c r="H34" s="86" t="s">
        <v>142</v>
      </c>
    </row>
    <row r="35" spans="1:8" x14ac:dyDescent="0.2">
      <c r="A35" s="92">
        <v>29</v>
      </c>
      <c r="B35" s="93" t="s">
        <v>506</v>
      </c>
      <c r="C35" s="93" t="s">
        <v>507</v>
      </c>
      <c r="D35" s="93" t="s">
        <v>232</v>
      </c>
      <c r="E35" s="94">
        <v>157765</v>
      </c>
      <c r="F35" s="95">
        <v>2258.2482100000002</v>
      </c>
      <c r="G35" s="96">
        <v>7.7203300000000001E-3</v>
      </c>
      <c r="H35" s="86" t="s">
        <v>142</v>
      </c>
    </row>
    <row r="36" spans="1:8" x14ac:dyDescent="0.2">
      <c r="A36" s="92">
        <v>30</v>
      </c>
      <c r="B36" s="93" t="s">
        <v>508</v>
      </c>
      <c r="C36" s="93" t="s">
        <v>509</v>
      </c>
      <c r="D36" s="93" t="s">
        <v>38</v>
      </c>
      <c r="E36" s="94">
        <v>219812</v>
      </c>
      <c r="F36" s="95">
        <v>2208.5610700000002</v>
      </c>
      <c r="G36" s="96">
        <v>7.5504600000000002E-3</v>
      </c>
      <c r="H36" s="86" t="s">
        <v>142</v>
      </c>
    </row>
    <row r="37" spans="1:8" x14ac:dyDescent="0.2">
      <c r="A37" s="92">
        <v>31</v>
      </c>
      <c r="B37" s="93" t="s">
        <v>49</v>
      </c>
      <c r="C37" s="93" t="s">
        <v>50</v>
      </c>
      <c r="D37" s="93" t="s">
        <v>22</v>
      </c>
      <c r="E37" s="94">
        <v>519000</v>
      </c>
      <c r="F37" s="95">
        <v>2101.431</v>
      </c>
      <c r="G37" s="96">
        <v>7.1842199999999998E-3</v>
      </c>
      <c r="H37" s="86" t="s">
        <v>142</v>
      </c>
    </row>
    <row r="38" spans="1:8" x14ac:dyDescent="0.2">
      <c r="A38" s="92">
        <v>32</v>
      </c>
      <c r="B38" s="93" t="s">
        <v>297</v>
      </c>
      <c r="C38" s="93" t="s">
        <v>298</v>
      </c>
      <c r="D38" s="93" t="s">
        <v>186</v>
      </c>
      <c r="E38" s="94">
        <v>42581</v>
      </c>
      <c r="F38" s="95">
        <v>2098.9026520000002</v>
      </c>
      <c r="G38" s="96">
        <v>7.17557E-3</v>
      </c>
      <c r="H38" s="86" t="s">
        <v>142</v>
      </c>
    </row>
    <row r="39" spans="1:8" x14ac:dyDescent="0.2">
      <c r="A39" s="92">
        <v>33</v>
      </c>
      <c r="B39" s="93" t="s">
        <v>512</v>
      </c>
      <c r="C39" s="93" t="s">
        <v>513</v>
      </c>
      <c r="D39" s="93" t="s">
        <v>186</v>
      </c>
      <c r="E39" s="94">
        <v>175535</v>
      </c>
      <c r="F39" s="95">
        <v>2097.8187849999999</v>
      </c>
      <c r="G39" s="96">
        <v>7.1718700000000003E-3</v>
      </c>
      <c r="H39" s="86" t="s">
        <v>142</v>
      </c>
    </row>
    <row r="40" spans="1:8" x14ac:dyDescent="0.2">
      <c r="A40" s="92">
        <v>34</v>
      </c>
      <c r="B40" s="93" t="s">
        <v>510</v>
      </c>
      <c r="C40" s="93" t="s">
        <v>511</v>
      </c>
      <c r="D40" s="93" t="s">
        <v>241</v>
      </c>
      <c r="E40" s="94">
        <v>23115</v>
      </c>
      <c r="F40" s="95">
        <v>2055.5013749999998</v>
      </c>
      <c r="G40" s="96">
        <v>7.0271999999999999E-3</v>
      </c>
      <c r="H40" s="86" t="s">
        <v>142</v>
      </c>
    </row>
    <row r="41" spans="1:8" ht="25.5" x14ac:dyDescent="0.2">
      <c r="A41" s="92">
        <v>35</v>
      </c>
      <c r="B41" s="93" t="s">
        <v>74</v>
      </c>
      <c r="C41" s="93" t="s">
        <v>75</v>
      </c>
      <c r="D41" s="93" t="s">
        <v>25</v>
      </c>
      <c r="E41" s="94">
        <v>31495</v>
      </c>
      <c r="F41" s="95">
        <v>1957.0993000000001</v>
      </c>
      <c r="G41" s="96">
        <v>6.6907900000000003E-3</v>
      </c>
      <c r="H41" s="86" t="s">
        <v>142</v>
      </c>
    </row>
    <row r="42" spans="1:8" ht="25.5" x14ac:dyDescent="0.2">
      <c r="A42" s="92">
        <v>36</v>
      </c>
      <c r="B42" s="93" t="s">
        <v>266</v>
      </c>
      <c r="C42" s="93" t="s">
        <v>267</v>
      </c>
      <c r="D42" s="93" t="s">
        <v>225</v>
      </c>
      <c r="E42" s="94">
        <v>80800</v>
      </c>
      <c r="F42" s="95">
        <v>1926.2719999999999</v>
      </c>
      <c r="G42" s="96">
        <v>6.5853999999999999E-3</v>
      </c>
      <c r="H42" s="86" t="s">
        <v>142</v>
      </c>
    </row>
    <row r="43" spans="1:8" x14ac:dyDescent="0.2">
      <c r="A43" s="92">
        <v>37</v>
      </c>
      <c r="B43" s="93" t="s">
        <v>264</v>
      </c>
      <c r="C43" s="93" t="s">
        <v>265</v>
      </c>
      <c r="D43" s="93" t="s">
        <v>38</v>
      </c>
      <c r="E43" s="94">
        <v>153000</v>
      </c>
      <c r="F43" s="95">
        <v>1889.856</v>
      </c>
      <c r="G43" s="96">
        <v>6.4609000000000003E-3</v>
      </c>
      <c r="H43" s="86" t="s">
        <v>142</v>
      </c>
    </row>
    <row r="44" spans="1:8" ht="25.5" x14ac:dyDescent="0.2">
      <c r="A44" s="92">
        <v>38</v>
      </c>
      <c r="B44" s="93" t="s">
        <v>346</v>
      </c>
      <c r="C44" s="93" t="s">
        <v>347</v>
      </c>
      <c r="D44" s="93" t="s">
        <v>225</v>
      </c>
      <c r="E44" s="94">
        <v>108725</v>
      </c>
      <c r="F44" s="95">
        <v>1838.213575</v>
      </c>
      <c r="G44" s="96">
        <v>6.2843500000000002E-3</v>
      </c>
      <c r="H44" s="86" t="s">
        <v>142</v>
      </c>
    </row>
    <row r="45" spans="1:8" ht="25.5" x14ac:dyDescent="0.2">
      <c r="A45" s="92">
        <v>39</v>
      </c>
      <c r="B45" s="93" t="s">
        <v>223</v>
      </c>
      <c r="C45" s="93" t="s">
        <v>224</v>
      </c>
      <c r="D45" s="93" t="s">
        <v>225</v>
      </c>
      <c r="E45" s="94">
        <v>86477</v>
      </c>
      <c r="F45" s="95">
        <v>1697.975895</v>
      </c>
      <c r="G45" s="96">
        <v>5.8049099999999999E-3</v>
      </c>
      <c r="H45" s="86" t="s">
        <v>142</v>
      </c>
    </row>
    <row r="46" spans="1:8" x14ac:dyDescent="0.2">
      <c r="A46" s="92">
        <v>40</v>
      </c>
      <c r="B46" s="93" t="s">
        <v>260</v>
      </c>
      <c r="C46" s="93" t="s">
        <v>261</v>
      </c>
      <c r="D46" s="93" t="s">
        <v>73</v>
      </c>
      <c r="E46" s="94">
        <v>90898</v>
      </c>
      <c r="F46" s="95">
        <v>1585.897406</v>
      </c>
      <c r="G46" s="96">
        <v>5.4217500000000004E-3</v>
      </c>
      <c r="H46" s="86" t="s">
        <v>142</v>
      </c>
    </row>
    <row r="47" spans="1:8" ht="25.5" x14ac:dyDescent="0.2">
      <c r="A47" s="92">
        <v>41</v>
      </c>
      <c r="B47" s="93" t="s">
        <v>514</v>
      </c>
      <c r="C47" s="93" t="s">
        <v>515</v>
      </c>
      <c r="D47" s="93" t="s">
        <v>275</v>
      </c>
      <c r="E47" s="94">
        <v>109610</v>
      </c>
      <c r="F47" s="95">
        <v>1583.42606</v>
      </c>
      <c r="G47" s="96">
        <v>5.4133000000000002E-3</v>
      </c>
      <c r="H47" s="86" t="s">
        <v>142</v>
      </c>
    </row>
    <row r="48" spans="1:8" x14ac:dyDescent="0.2">
      <c r="A48" s="92">
        <v>42</v>
      </c>
      <c r="B48" s="93" t="s">
        <v>516</v>
      </c>
      <c r="C48" s="93" t="s">
        <v>517</v>
      </c>
      <c r="D48" s="93" t="s">
        <v>232</v>
      </c>
      <c r="E48" s="94">
        <v>308375</v>
      </c>
      <c r="F48" s="95">
        <v>1448.2831874999999</v>
      </c>
      <c r="G48" s="96">
        <v>4.9512799999999997E-3</v>
      </c>
      <c r="H48" s="86" t="s">
        <v>142</v>
      </c>
    </row>
    <row r="49" spans="1:8" x14ac:dyDescent="0.2">
      <c r="A49" s="92">
        <v>43</v>
      </c>
      <c r="B49" s="93" t="s">
        <v>187</v>
      </c>
      <c r="C49" s="93" t="s">
        <v>188</v>
      </c>
      <c r="D49" s="93" t="s">
        <v>109</v>
      </c>
      <c r="E49" s="94">
        <v>140335</v>
      </c>
      <c r="F49" s="95">
        <v>1435.6972175000001</v>
      </c>
      <c r="G49" s="96">
        <v>4.9082600000000002E-3</v>
      </c>
      <c r="H49" s="86" t="s">
        <v>142</v>
      </c>
    </row>
    <row r="50" spans="1:8" x14ac:dyDescent="0.2">
      <c r="A50" s="92">
        <v>44</v>
      </c>
      <c r="B50" s="93" t="s">
        <v>483</v>
      </c>
      <c r="C50" s="93" t="s">
        <v>484</v>
      </c>
      <c r="D50" s="93" t="s">
        <v>215</v>
      </c>
      <c r="E50" s="94">
        <v>54858</v>
      </c>
      <c r="F50" s="95">
        <v>1401.8961899999999</v>
      </c>
      <c r="G50" s="96">
        <v>4.7927000000000004E-3</v>
      </c>
      <c r="H50" s="86" t="s">
        <v>142</v>
      </c>
    </row>
    <row r="51" spans="1:8" x14ac:dyDescent="0.2">
      <c r="A51" s="92">
        <v>45</v>
      </c>
      <c r="B51" s="93" t="s">
        <v>518</v>
      </c>
      <c r="C51" s="93" t="s">
        <v>519</v>
      </c>
      <c r="D51" s="93" t="s">
        <v>204</v>
      </c>
      <c r="E51" s="94">
        <v>64540</v>
      </c>
      <c r="F51" s="95">
        <v>919.30776000000003</v>
      </c>
      <c r="G51" s="96">
        <v>3.1428599999999999E-3</v>
      </c>
      <c r="H51" s="86" t="s">
        <v>142</v>
      </c>
    </row>
    <row r="52" spans="1:8" x14ac:dyDescent="0.2">
      <c r="A52" s="92">
        <v>46</v>
      </c>
      <c r="B52" s="93" t="s">
        <v>239</v>
      </c>
      <c r="C52" s="93" t="s">
        <v>240</v>
      </c>
      <c r="D52" s="93" t="s">
        <v>241</v>
      </c>
      <c r="E52" s="94">
        <v>23100</v>
      </c>
      <c r="F52" s="95">
        <v>810.50969999999995</v>
      </c>
      <c r="G52" s="96">
        <v>2.7709100000000001E-3</v>
      </c>
      <c r="H52" s="86" t="s">
        <v>142</v>
      </c>
    </row>
    <row r="53" spans="1:8" x14ac:dyDescent="0.2">
      <c r="A53" s="92">
        <v>47</v>
      </c>
      <c r="B53" s="93" t="s">
        <v>348</v>
      </c>
      <c r="C53" s="93" t="s">
        <v>349</v>
      </c>
      <c r="D53" s="93" t="s">
        <v>218</v>
      </c>
      <c r="E53" s="94">
        <v>109000</v>
      </c>
      <c r="F53" s="95">
        <v>808.56200000000001</v>
      </c>
      <c r="G53" s="96">
        <v>2.7642500000000002E-3</v>
      </c>
      <c r="H53" s="86" t="s">
        <v>142</v>
      </c>
    </row>
    <row r="54" spans="1:8" x14ac:dyDescent="0.2">
      <c r="A54" s="92">
        <v>48</v>
      </c>
      <c r="B54" s="93" t="s">
        <v>303</v>
      </c>
      <c r="C54" s="93" t="s">
        <v>304</v>
      </c>
      <c r="D54" s="93" t="s">
        <v>109</v>
      </c>
      <c r="E54" s="94">
        <v>147055</v>
      </c>
      <c r="F54" s="95">
        <v>793.21466999999996</v>
      </c>
      <c r="G54" s="96">
        <v>2.71178E-3</v>
      </c>
      <c r="H54" s="86" t="s">
        <v>142</v>
      </c>
    </row>
    <row r="55" spans="1:8" x14ac:dyDescent="0.2">
      <c r="A55" s="92">
        <v>49</v>
      </c>
      <c r="B55" s="93" t="s">
        <v>76</v>
      </c>
      <c r="C55" s="93" t="s">
        <v>77</v>
      </c>
      <c r="D55" s="93" t="s">
        <v>78</v>
      </c>
      <c r="E55" s="94">
        <v>416889</v>
      </c>
      <c r="F55" s="95">
        <v>761.90633639999999</v>
      </c>
      <c r="G55" s="96">
        <v>2.6047499999999999E-3</v>
      </c>
      <c r="H55" s="86" t="s">
        <v>142</v>
      </c>
    </row>
    <row r="56" spans="1:8" x14ac:dyDescent="0.2">
      <c r="A56" s="92">
        <v>50</v>
      </c>
      <c r="B56" s="93" t="s">
        <v>226</v>
      </c>
      <c r="C56" s="93" t="s">
        <v>227</v>
      </c>
      <c r="D56" s="93" t="s">
        <v>58</v>
      </c>
      <c r="E56" s="94">
        <v>9110</v>
      </c>
      <c r="F56" s="95">
        <v>701.83439999999996</v>
      </c>
      <c r="G56" s="96">
        <v>2.39938E-3</v>
      </c>
      <c r="H56" s="86" t="s">
        <v>142</v>
      </c>
    </row>
    <row r="57" spans="1:8" ht="25.5" x14ac:dyDescent="0.2">
      <c r="A57" s="92">
        <v>51</v>
      </c>
      <c r="B57" s="93" t="s">
        <v>208</v>
      </c>
      <c r="C57" s="93" t="s">
        <v>209</v>
      </c>
      <c r="D57" s="93" t="s">
        <v>210</v>
      </c>
      <c r="E57" s="94">
        <v>36190</v>
      </c>
      <c r="F57" s="95">
        <v>646.13625999999999</v>
      </c>
      <c r="G57" s="96">
        <v>2.2089599999999998E-3</v>
      </c>
      <c r="H57" s="86" t="s">
        <v>142</v>
      </c>
    </row>
    <row r="58" spans="1:8" x14ac:dyDescent="0.2">
      <c r="A58" s="92">
        <v>52</v>
      </c>
      <c r="B58" s="93" t="s">
        <v>196</v>
      </c>
      <c r="C58" s="93" t="s">
        <v>197</v>
      </c>
      <c r="D58" s="93" t="s">
        <v>19</v>
      </c>
      <c r="E58" s="94">
        <v>4781</v>
      </c>
      <c r="F58" s="95">
        <v>22.757560000000002</v>
      </c>
      <c r="G58" s="96">
        <v>7.7799999999999994E-5</v>
      </c>
      <c r="H58" s="86" t="s">
        <v>142</v>
      </c>
    </row>
    <row r="59" spans="1:8" x14ac:dyDescent="0.2">
      <c r="A59" s="97"/>
      <c r="B59" s="97"/>
      <c r="C59" s="98" t="s">
        <v>141</v>
      </c>
      <c r="D59" s="97"/>
      <c r="E59" s="97" t="s">
        <v>142</v>
      </c>
      <c r="F59" s="99">
        <v>190849.8741634</v>
      </c>
      <c r="G59" s="100">
        <v>0.65246340000000003</v>
      </c>
      <c r="H59" s="86" t="s">
        <v>142</v>
      </c>
    </row>
    <row r="60" spans="1:8" x14ac:dyDescent="0.2">
      <c r="A60" s="97"/>
      <c r="B60" s="97"/>
      <c r="C60" s="101"/>
      <c r="D60" s="97"/>
      <c r="E60" s="97"/>
      <c r="F60" s="102"/>
      <c r="G60" s="102"/>
      <c r="H60" s="86" t="s">
        <v>142</v>
      </c>
    </row>
    <row r="61" spans="1:8" x14ac:dyDescent="0.2">
      <c r="A61" s="97"/>
      <c r="B61" s="97"/>
      <c r="C61" s="98" t="s">
        <v>143</v>
      </c>
      <c r="D61" s="97"/>
      <c r="E61" s="97"/>
      <c r="F61" s="97"/>
      <c r="G61" s="97"/>
      <c r="H61" s="86" t="s">
        <v>142</v>
      </c>
    </row>
    <row r="62" spans="1:8" x14ac:dyDescent="0.2">
      <c r="A62" s="97"/>
      <c r="B62" s="97"/>
      <c r="C62" s="98" t="s">
        <v>141</v>
      </c>
      <c r="D62" s="97"/>
      <c r="E62" s="97" t="s">
        <v>142</v>
      </c>
      <c r="F62" s="103" t="s">
        <v>144</v>
      </c>
      <c r="G62" s="100">
        <v>0</v>
      </c>
      <c r="H62" s="86" t="s">
        <v>142</v>
      </c>
    </row>
    <row r="63" spans="1:8" x14ac:dyDescent="0.2">
      <c r="A63" s="97"/>
      <c r="B63" s="97"/>
      <c r="C63" s="101"/>
      <c r="D63" s="97"/>
      <c r="E63" s="97"/>
      <c r="F63" s="102"/>
      <c r="G63" s="102"/>
      <c r="H63" s="86" t="s">
        <v>142</v>
      </c>
    </row>
    <row r="64" spans="1:8" x14ac:dyDescent="0.2">
      <c r="A64" s="97"/>
      <c r="B64" s="97"/>
      <c r="C64" s="98" t="s">
        <v>145</v>
      </c>
      <c r="D64" s="97"/>
      <c r="E64" s="97"/>
      <c r="F64" s="97"/>
      <c r="G64" s="97"/>
      <c r="H64" s="86" t="s">
        <v>142</v>
      </c>
    </row>
    <row r="65" spans="1:8" x14ac:dyDescent="0.2">
      <c r="A65" s="97"/>
      <c r="B65" s="97"/>
      <c r="C65" s="98" t="s">
        <v>141</v>
      </c>
      <c r="D65" s="97"/>
      <c r="E65" s="97" t="s">
        <v>142</v>
      </c>
      <c r="F65" s="103" t="s">
        <v>144</v>
      </c>
      <c r="G65" s="100">
        <v>0</v>
      </c>
      <c r="H65" s="86" t="s">
        <v>142</v>
      </c>
    </row>
    <row r="66" spans="1:8" x14ac:dyDescent="0.2">
      <c r="A66" s="97"/>
      <c r="B66" s="97"/>
      <c r="C66" s="101"/>
      <c r="D66" s="97"/>
      <c r="E66" s="97"/>
      <c r="F66" s="102"/>
      <c r="G66" s="102"/>
      <c r="H66" s="86" t="s">
        <v>142</v>
      </c>
    </row>
    <row r="67" spans="1:8" x14ac:dyDescent="0.2">
      <c r="A67" s="97"/>
      <c r="B67" s="97"/>
      <c r="C67" s="98" t="s">
        <v>146</v>
      </c>
      <c r="D67" s="97"/>
      <c r="E67" s="97"/>
      <c r="F67" s="97"/>
      <c r="G67" s="97"/>
      <c r="H67" s="86" t="s">
        <v>142</v>
      </c>
    </row>
    <row r="68" spans="1:8" x14ac:dyDescent="0.2">
      <c r="A68" s="97"/>
      <c r="B68" s="97"/>
      <c r="C68" s="98" t="s">
        <v>141</v>
      </c>
      <c r="D68" s="97"/>
      <c r="E68" s="97" t="s">
        <v>142</v>
      </c>
      <c r="F68" s="103" t="s">
        <v>144</v>
      </c>
      <c r="G68" s="100">
        <v>0</v>
      </c>
      <c r="H68" s="86" t="s">
        <v>142</v>
      </c>
    </row>
    <row r="69" spans="1:8" x14ac:dyDescent="0.2">
      <c r="A69" s="97"/>
      <c r="B69" s="97"/>
      <c r="C69" s="101"/>
      <c r="D69" s="97"/>
      <c r="E69" s="97"/>
      <c r="F69" s="102"/>
      <c r="G69" s="102"/>
      <c r="H69" s="86" t="s">
        <v>142</v>
      </c>
    </row>
    <row r="70" spans="1:8" x14ac:dyDescent="0.2">
      <c r="A70" s="97"/>
      <c r="B70" s="97"/>
      <c r="C70" s="98" t="s">
        <v>147</v>
      </c>
      <c r="D70" s="97"/>
      <c r="E70" s="97"/>
      <c r="F70" s="102"/>
      <c r="G70" s="102"/>
      <c r="H70" s="86" t="s">
        <v>142</v>
      </c>
    </row>
    <row r="71" spans="1:8" x14ac:dyDescent="0.2">
      <c r="A71" s="97"/>
      <c r="B71" s="97"/>
      <c r="C71" s="98" t="s">
        <v>141</v>
      </c>
      <c r="D71" s="97"/>
      <c r="E71" s="97" t="s">
        <v>142</v>
      </c>
      <c r="F71" s="103" t="s">
        <v>144</v>
      </c>
      <c r="G71" s="100">
        <v>0</v>
      </c>
      <c r="H71" s="86" t="s">
        <v>142</v>
      </c>
    </row>
    <row r="72" spans="1:8" x14ac:dyDescent="0.2">
      <c r="A72" s="97"/>
      <c r="B72" s="97"/>
      <c r="C72" s="101"/>
      <c r="D72" s="97"/>
      <c r="E72" s="97"/>
      <c r="F72" s="102"/>
      <c r="G72" s="102"/>
      <c r="H72" s="86" t="s">
        <v>142</v>
      </c>
    </row>
    <row r="73" spans="1:8" x14ac:dyDescent="0.2">
      <c r="A73" s="97"/>
      <c r="B73" s="97"/>
      <c r="C73" s="98" t="s">
        <v>148</v>
      </c>
      <c r="D73" s="97"/>
      <c r="E73" s="97"/>
      <c r="F73" s="102"/>
      <c r="G73" s="102"/>
      <c r="H73" s="86" t="s">
        <v>142</v>
      </c>
    </row>
    <row r="74" spans="1:8" x14ac:dyDescent="0.2">
      <c r="A74" s="92">
        <v>1</v>
      </c>
      <c r="B74" s="93"/>
      <c r="C74" s="93" t="s">
        <v>1092</v>
      </c>
      <c r="D74" s="93" t="s">
        <v>497</v>
      </c>
      <c r="E74" s="94">
        <v>-5800</v>
      </c>
      <c r="F74" s="95">
        <v>-696.58</v>
      </c>
      <c r="G74" s="96">
        <f t="shared" ref="G74:G79" si="0">F74/$F$144</f>
        <v>-2.3814158929545979E-3</v>
      </c>
      <c r="H74" s="86" t="s">
        <v>142</v>
      </c>
    </row>
    <row r="75" spans="1:8" x14ac:dyDescent="0.2">
      <c r="A75" s="92">
        <v>2</v>
      </c>
      <c r="B75" s="93"/>
      <c r="C75" s="93" t="s">
        <v>1093</v>
      </c>
      <c r="D75" s="93" t="s">
        <v>497</v>
      </c>
      <c r="E75" s="94">
        <v>-23100</v>
      </c>
      <c r="F75" s="95">
        <v>-814.80629999999996</v>
      </c>
      <c r="G75" s="96">
        <f t="shared" si="0"/>
        <v>-2.7855991738199946E-3</v>
      </c>
      <c r="H75" s="86" t="s">
        <v>142</v>
      </c>
    </row>
    <row r="76" spans="1:8" x14ac:dyDescent="0.2">
      <c r="A76" s="92">
        <v>3</v>
      </c>
      <c r="B76" s="93"/>
      <c r="C76" s="93" t="s">
        <v>1031</v>
      </c>
      <c r="D76" s="93" t="s">
        <v>497</v>
      </c>
      <c r="E76" s="94">
        <v>-98800</v>
      </c>
      <c r="F76" s="95">
        <v>-2042.7888</v>
      </c>
      <c r="G76" s="96">
        <f t="shared" si="0"/>
        <v>-6.9837344084952933E-3</v>
      </c>
      <c r="H76" s="86" t="s">
        <v>142</v>
      </c>
    </row>
    <row r="77" spans="1:8" x14ac:dyDescent="0.2">
      <c r="A77" s="92">
        <v>4</v>
      </c>
      <c r="B77" s="93"/>
      <c r="C77" s="93" t="s">
        <v>1032</v>
      </c>
      <c r="D77" s="93" t="s">
        <v>497</v>
      </c>
      <c r="E77" s="94">
        <v>-50750</v>
      </c>
      <c r="F77" s="95">
        <v>-2057.4557500000001</v>
      </c>
      <c r="G77" s="96">
        <f t="shared" si="0"/>
        <v>-7.0338766862396594E-3</v>
      </c>
      <c r="H77" s="86" t="s">
        <v>142</v>
      </c>
    </row>
    <row r="78" spans="1:8" x14ac:dyDescent="0.2">
      <c r="A78" s="92">
        <v>5</v>
      </c>
      <c r="B78" s="93"/>
      <c r="C78" s="93" t="s">
        <v>1000</v>
      </c>
      <c r="D78" s="93" t="s">
        <v>497</v>
      </c>
      <c r="E78" s="94">
        <v>-126400</v>
      </c>
      <c r="F78" s="95">
        <v>-4436.8927999999996</v>
      </c>
      <c r="G78" s="96">
        <f t="shared" si="0"/>
        <v>-1.5168519092216006E-2</v>
      </c>
      <c r="H78" s="86" t="s">
        <v>142</v>
      </c>
    </row>
    <row r="79" spans="1:8" x14ac:dyDescent="0.2">
      <c r="A79" s="92">
        <v>6</v>
      </c>
      <c r="B79" s="93"/>
      <c r="C79" s="93" t="s">
        <v>1036</v>
      </c>
      <c r="D79" s="93" t="s">
        <v>497</v>
      </c>
      <c r="E79" s="94">
        <v>-437500</v>
      </c>
      <c r="F79" s="95">
        <v>-5427.625</v>
      </c>
      <c r="G79" s="96">
        <f t="shared" si="0"/>
        <v>-1.8555560647732779E-2</v>
      </c>
      <c r="H79" s="86" t="s">
        <v>142</v>
      </c>
    </row>
    <row r="80" spans="1:8" x14ac:dyDescent="0.2">
      <c r="A80" s="97"/>
      <c r="B80" s="97"/>
      <c r="C80" s="98" t="s">
        <v>141</v>
      </c>
      <c r="D80" s="97"/>
      <c r="E80" s="97" t="s">
        <v>142</v>
      </c>
      <c r="F80" s="99">
        <v>-15476.148649999999</v>
      </c>
      <c r="G80" s="100">
        <v>-5.2908709999999998E-2</v>
      </c>
      <c r="H80" s="86" t="s">
        <v>142</v>
      </c>
    </row>
    <row r="81" spans="1:8" x14ac:dyDescent="0.2">
      <c r="A81" s="97"/>
      <c r="B81" s="97"/>
      <c r="C81" s="101"/>
      <c r="D81" s="97"/>
      <c r="E81" s="97"/>
      <c r="F81" s="102"/>
      <c r="G81" s="102"/>
      <c r="H81" s="86" t="s">
        <v>142</v>
      </c>
    </row>
    <row r="82" spans="1:8" x14ac:dyDescent="0.2">
      <c r="A82" s="97"/>
      <c r="B82" s="97"/>
      <c r="C82" s="98" t="s">
        <v>149</v>
      </c>
      <c r="D82" s="97"/>
      <c r="E82" s="97"/>
      <c r="F82" s="99">
        <f>F59</f>
        <v>190849.8741634</v>
      </c>
      <c r="G82" s="100">
        <f>G59</f>
        <v>0.65246340000000003</v>
      </c>
      <c r="H82" s="86" t="s">
        <v>142</v>
      </c>
    </row>
    <row r="83" spans="1:8" x14ac:dyDescent="0.2">
      <c r="A83" s="97"/>
      <c r="B83" s="97"/>
      <c r="C83" s="101"/>
      <c r="D83" s="97"/>
      <c r="E83" s="97"/>
      <c r="F83" s="102"/>
      <c r="G83" s="102"/>
      <c r="H83" s="86" t="s">
        <v>142</v>
      </c>
    </row>
    <row r="84" spans="1:8" x14ac:dyDescent="0.2">
      <c r="A84" s="97"/>
      <c r="B84" s="97"/>
      <c r="C84" s="98" t="s">
        <v>150</v>
      </c>
      <c r="D84" s="97"/>
      <c r="E84" s="97"/>
      <c r="F84" s="102"/>
      <c r="G84" s="102"/>
      <c r="H84" s="86" t="s">
        <v>142</v>
      </c>
    </row>
    <row r="85" spans="1:8" x14ac:dyDescent="0.2">
      <c r="A85" s="97"/>
      <c r="B85" s="97"/>
      <c r="C85" s="98" t="s">
        <v>10</v>
      </c>
      <c r="D85" s="97"/>
      <c r="E85" s="97"/>
      <c r="F85" s="102"/>
      <c r="G85" s="102"/>
      <c r="H85" s="86" t="s">
        <v>142</v>
      </c>
    </row>
    <row r="86" spans="1:8" x14ac:dyDescent="0.2">
      <c r="A86" s="97"/>
      <c r="B86" s="97"/>
      <c r="C86" s="98" t="s">
        <v>141</v>
      </c>
      <c r="D86" s="97"/>
      <c r="E86" s="97" t="s">
        <v>142</v>
      </c>
      <c r="F86" s="103" t="s">
        <v>144</v>
      </c>
      <c r="G86" s="100">
        <v>0</v>
      </c>
      <c r="H86" s="86" t="s">
        <v>142</v>
      </c>
    </row>
    <row r="87" spans="1:8" x14ac:dyDescent="0.2">
      <c r="A87" s="97"/>
      <c r="B87" s="97"/>
      <c r="C87" s="101"/>
      <c r="D87" s="97"/>
      <c r="E87" s="97"/>
      <c r="F87" s="102"/>
      <c r="G87" s="102"/>
      <c r="H87" s="86" t="s">
        <v>142</v>
      </c>
    </row>
    <row r="88" spans="1:8" x14ac:dyDescent="0.2">
      <c r="A88" s="97"/>
      <c r="B88" s="97"/>
      <c r="C88" s="98" t="s">
        <v>151</v>
      </c>
      <c r="D88" s="97"/>
      <c r="E88" s="97"/>
      <c r="F88" s="97"/>
      <c r="G88" s="97"/>
      <c r="H88" s="86" t="s">
        <v>142</v>
      </c>
    </row>
    <row r="89" spans="1:8" x14ac:dyDescent="0.2">
      <c r="A89" s="97"/>
      <c r="B89" s="97"/>
      <c r="C89" s="98" t="s">
        <v>141</v>
      </c>
      <c r="D89" s="97"/>
      <c r="E89" s="97" t="s">
        <v>142</v>
      </c>
      <c r="F89" s="103" t="s">
        <v>144</v>
      </c>
      <c r="G89" s="100">
        <v>0</v>
      </c>
      <c r="H89" s="86" t="s">
        <v>142</v>
      </c>
    </row>
    <row r="90" spans="1:8" x14ac:dyDescent="0.2">
      <c r="A90" s="97"/>
      <c r="B90" s="97"/>
      <c r="C90" s="101"/>
      <c r="D90" s="97"/>
      <c r="E90" s="97"/>
      <c r="F90" s="102"/>
      <c r="G90" s="102"/>
      <c r="H90" s="86" t="s">
        <v>142</v>
      </c>
    </row>
    <row r="91" spans="1:8" x14ac:dyDescent="0.2">
      <c r="A91" s="97"/>
      <c r="B91" s="97"/>
      <c r="C91" s="98" t="s">
        <v>152</v>
      </c>
      <c r="D91" s="97"/>
      <c r="E91" s="97"/>
      <c r="F91" s="97"/>
      <c r="G91" s="97"/>
      <c r="H91" s="86" t="s">
        <v>142</v>
      </c>
    </row>
    <row r="92" spans="1:8" x14ac:dyDescent="0.2">
      <c r="A92" s="92">
        <v>1</v>
      </c>
      <c r="B92" s="93" t="s">
        <v>662</v>
      </c>
      <c r="C92" s="93" t="s">
        <v>1151</v>
      </c>
      <c r="D92" s="93" t="s">
        <v>601</v>
      </c>
      <c r="E92" s="94">
        <v>10500000</v>
      </c>
      <c r="F92" s="95">
        <v>10768.59</v>
      </c>
      <c r="G92" s="96">
        <v>3.6814859999999998E-2</v>
      </c>
      <c r="H92" s="86">
        <v>5.7949999999999999</v>
      </c>
    </row>
    <row r="93" spans="1:8" x14ac:dyDescent="0.2">
      <c r="A93" s="92">
        <v>2</v>
      </c>
      <c r="B93" s="93" t="s">
        <v>723</v>
      </c>
      <c r="C93" s="93" t="s">
        <v>1157</v>
      </c>
      <c r="D93" s="93" t="s">
        <v>601</v>
      </c>
      <c r="E93" s="94">
        <v>5000000</v>
      </c>
      <c r="F93" s="95">
        <v>5159.21</v>
      </c>
      <c r="G93" s="96">
        <v>1.7637920000000001E-2</v>
      </c>
      <c r="H93" s="86">
        <v>6.1285999999999996</v>
      </c>
    </row>
    <row r="94" spans="1:8" x14ac:dyDescent="0.2">
      <c r="A94" s="92">
        <v>3</v>
      </c>
      <c r="B94" s="93" t="s">
        <v>599</v>
      </c>
      <c r="C94" s="93" t="s">
        <v>600</v>
      </c>
      <c r="D94" s="93" t="s">
        <v>601</v>
      </c>
      <c r="E94" s="94">
        <v>4500000</v>
      </c>
      <c r="F94" s="95">
        <v>4644.9314999999997</v>
      </c>
      <c r="G94" s="96">
        <v>1.5879750000000002E-2</v>
      </c>
      <c r="H94" s="86">
        <v>6.7038000000000002</v>
      </c>
    </row>
    <row r="95" spans="1:8" x14ac:dyDescent="0.2">
      <c r="A95" s="92">
        <v>4</v>
      </c>
      <c r="B95" s="93" t="s">
        <v>676</v>
      </c>
      <c r="C95" s="93" t="s">
        <v>1155</v>
      </c>
      <c r="D95" s="93" t="s">
        <v>601</v>
      </c>
      <c r="E95" s="94">
        <v>3000000</v>
      </c>
      <c r="F95" s="95">
        <v>3141.4169999999999</v>
      </c>
      <c r="G95" s="96">
        <v>1.073964E-2</v>
      </c>
      <c r="H95" s="86">
        <v>6.3106999999999998</v>
      </c>
    </row>
    <row r="96" spans="1:8" x14ac:dyDescent="0.2">
      <c r="A96" s="92">
        <v>5</v>
      </c>
      <c r="B96" s="93" t="s">
        <v>864</v>
      </c>
      <c r="C96" s="93" t="s">
        <v>865</v>
      </c>
      <c r="D96" s="93" t="s">
        <v>601</v>
      </c>
      <c r="E96" s="94">
        <v>3000000</v>
      </c>
      <c r="F96" s="95">
        <v>3067.05</v>
      </c>
      <c r="G96" s="96">
        <v>1.0485400000000001E-2</v>
      </c>
      <c r="H96" s="86">
        <v>6.2222</v>
      </c>
    </row>
    <row r="97" spans="1:8" x14ac:dyDescent="0.2">
      <c r="A97" s="92">
        <v>6</v>
      </c>
      <c r="B97" s="93" t="s">
        <v>866</v>
      </c>
      <c r="C97" s="93" t="s">
        <v>867</v>
      </c>
      <c r="D97" s="93" t="s">
        <v>601</v>
      </c>
      <c r="E97" s="94">
        <v>2000000</v>
      </c>
      <c r="F97" s="95">
        <v>1986.29</v>
      </c>
      <c r="G97" s="96">
        <v>6.7905800000000001E-3</v>
      </c>
      <c r="H97" s="86">
        <v>6.2721999999999998</v>
      </c>
    </row>
    <row r="98" spans="1:8" x14ac:dyDescent="0.2">
      <c r="A98" s="92">
        <v>7</v>
      </c>
      <c r="B98" s="93" t="s">
        <v>721</v>
      </c>
      <c r="C98" s="93" t="s">
        <v>722</v>
      </c>
      <c r="D98" s="93" t="s">
        <v>601</v>
      </c>
      <c r="E98" s="94">
        <v>500000</v>
      </c>
      <c r="F98" s="95">
        <v>519.86400000000003</v>
      </c>
      <c r="G98" s="96">
        <v>1.7772700000000001E-3</v>
      </c>
      <c r="H98" s="86">
        <v>5.9819000000000004</v>
      </c>
    </row>
    <row r="99" spans="1:8" x14ac:dyDescent="0.2">
      <c r="A99" s="97"/>
      <c r="B99" s="97"/>
      <c r="C99" s="98" t="s">
        <v>141</v>
      </c>
      <c r="D99" s="97"/>
      <c r="E99" s="97" t="s">
        <v>142</v>
      </c>
      <c r="F99" s="99">
        <v>29287.352500000001</v>
      </c>
      <c r="G99" s="100">
        <v>0.10012542000000001</v>
      </c>
      <c r="H99" s="86" t="s">
        <v>142</v>
      </c>
    </row>
    <row r="100" spans="1:8" x14ac:dyDescent="0.2">
      <c r="A100" s="97"/>
      <c r="B100" s="97"/>
      <c r="C100" s="101"/>
      <c r="D100" s="97"/>
      <c r="E100" s="97"/>
      <c r="F100" s="102"/>
      <c r="G100" s="102"/>
      <c r="H100" s="86" t="s">
        <v>142</v>
      </c>
    </row>
    <row r="101" spans="1:8" x14ac:dyDescent="0.2">
      <c r="A101" s="97"/>
      <c r="B101" s="97"/>
      <c r="C101" s="98" t="s">
        <v>153</v>
      </c>
      <c r="D101" s="97"/>
      <c r="E101" s="97"/>
      <c r="F101" s="102"/>
      <c r="G101" s="102"/>
      <c r="H101" s="86" t="s">
        <v>142</v>
      </c>
    </row>
    <row r="102" spans="1:8" x14ac:dyDescent="0.2">
      <c r="A102" s="97"/>
      <c r="B102" s="97"/>
      <c r="C102" s="98" t="s">
        <v>141</v>
      </c>
      <c r="D102" s="97"/>
      <c r="E102" s="97" t="s">
        <v>142</v>
      </c>
      <c r="F102" s="103" t="s">
        <v>144</v>
      </c>
      <c r="G102" s="100">
        <v>0</v>
      </c>
      <c r="H102" s="86" t="s">
        <v>142</v>
      </c>
    </row>
    <row r="103" spans="1:8" ht="12.75" customHeight="1" x14ac:dyDescent="0.2">
      <c r="A103" s="84"/>
      <c r="B103" s="84"/>
      <c r="C103" s="137"/>
      <c r="D103" s="84"/>
      <c r="E103" s="84"/>
      <c r="F103" s="117"/>
      <c r="G103" s="117"/>
      <c r="H103" s="86" t="s">
        <v>142</v>
      </c>
    </row>
    <row r="104" spans="1:8" ht="12.75" customHeight="1" x14ac:dyDescent="0.2">
      <c r="A104" s="84"/>
      <c r="B104" s="84"/>
      <c r="C104" s="85" t="s">
        <v>929</v>
      </c>
      <c r="D104" s="84"/>
      <c r="E104" s="84"/>
      <c r="F104" s="84"/>
      <c r="G104" s="84"/>
      <c r="H104" s="86" t="s">
        <v>142</v>
      </c>
    </row>
    <row r="105" spans="1:8" ht="12.75" customHeight="1" x14ac:dyDescent="0.2">
      <c r="A105" s="87">
        <v>1</v>
      </c>
      <c r="B105" s="88" t="s">
        <v>317</v>
      </c>
      <c r="C105" s="88" t="s">
        <v>930</v>
      </c>
      <c r="D105" s="88" t="s">
        <v>241</v>
      </c>
      <c r="E105" s="89">
        <v>92400</v>
      </c>
      <c r="F105" s="90">
        <v>9.3245459999999998</v>
      </c>
      <c r="G105" s="91" t="s">
        <v>140</v>
      </c>
      <c r="H105" s="86" t="s">
        <v>142</v>
      </c>
    </row>
    <row r="106" spans="1:8" ht="12.75" customHeight="1" x14ac:dyDescent="0.2">
      <c r="A106" s="84"/>
      <c r="B106" s="84"/>
      <c r="C106" s="85" t="s">
        <v>141</v>
      </c>
      <c r="D106" s="84"/>
      <c r="E106" s="84" t="s">
        <v>142</v>
      </c>
      <c r="F106" s="138">
        <f>F105</f>
        <v>9.3245459999999998</v>
      </c>
      <c r="G106" s="139">
        <v>0</v>
      </c>
      <c r="H106" s="86" t="s">
        <v>142</v>
      </c>
    </row>
    <row r="107" spans="1:8" x14ac:dyDescent="0.2">
      <c r="A107" s="97"/>
      <c r="B107" s="97"/>
      <c r="C107" s="101"/>
      <c r="D107" s="97"/>
      <c r="E107" s="97"/>
      <c r="F107" s="102"/>
      <c r="G107" s="102"/>
      <c r="H107" s="86" t="s">
        <v>142</v>
      </c>
    </row>
    <row r="108" spans="1:8" x14ac:dyDescent="0.2">
      <c r="A108" s="97"/>
      <c r="B108" s="97"/>
      <c r="C108" s="98" t="s">
        <v>154</v>
      </c>
      <c r="D108" s="97"/>
      <c r="E108" s="97"/>
      <c r="F108" s="99">
        <v>29287.352500000001</v>
      </c>
      <c r="G108" s="100">
        <v>0.10012542000000001</v>
      </c>
      <c r="H108" s="86" t="s">
        <v>142</v>
      </c>
    </row>
    <row r="109" spans="1:8" x14ac:dyDescent="0.2">
      <c r="A109" s="97"/>
      <c r="B109" s="97"/>
      <c r="C109" s="101"/>
      <c r="D109" s="97"/>
      <c r="E109" s="97"/>
      <c r="F109" s="102"/>
      <c r="G109" s="102"/>
      <c r="H109" s="86" t="s">
        <v>142</v>
      </c>
    </row>
    <row r="110" spans="1:8" x14ac:dyDescent="0.2">
      <c r="A110" s="97"/>
      <c r="B110" s="97"/>
      <c r="C110" s="98" t="s">
        <v>155</v>
      </c>
      <c r="D110" s="97"/>
      <c r="E110" s="97"/>
      <c r="F110" s="102"/>
      <c r="G110" s="102"/>
      <c r="H110" s="86" t="s">
        <v>142</v>
      </c>
    </row>
    <row r="111" spans="1:8" x14ac:dyDescent="0.2">
      <c r="A111" s="97"/>
      <c r="B111" s="97"/>
      <c r="C111" s="98" t="s">
        <v>156</v>
      </c>
      <c r="D111" s="97"/>
      <c r="E111" s="97"/>
      <c r="F111" s="102"/>
      <c r="G111" s="102"/>
      <c r="H111" s="86" t="s">
        <v>142</v>
      </c>
    </row>
    <row r="112" spans="1:8" x14ac:dyDescent="0.2">
      <c r="A112" s="97"/>
      <c r="B112" s="97"/>
      <c r="C112" s="98" t="s">
        <v>141</v>
      </c>
      <c r="D112" s="97"/>
      <c r="E112" s="97" t="s">
        <v>142</v>
      </c>
      <c r="F112" s="103" t="s">
        <v>144</v>
      </c>
      <c r="G112" s="100">
        <v>0</v>
      </c>
      <c r="H112" s="86" t="s">
        <v>142</v>
      </c>
    </row>
    <row r="113" spans="1:8" x14ac:dyDescent="0.2">
      <c r="A113" s="97"/>
      <c r="B113" s="97"/>
      <c r="C113" s="101"/>
      <c r="D113" s="97"/>
      <c r="E113" s="97"/>
      <c r="F113" s="102"/>
      <c r="G113" s="102"/>
      <c r="H113" s="86" t="s">
        <v>142</v>
      </c>
    </row>
    <row r="114" spans="1:8" x14ac:dyDescent="0.2">
      <c r="A114" s="97"/>
      <c r="B114" s="97"/>
      <c r="C114" s="98" t="s">
        <v>157</v>
      </c>
      <c r="D114" s="97"/>
      <c r="E114" s="97"/>
      <c r="F114" s="102"/>
      <c r="G114" s="102"/>
      <c r="H114" s="86" t="s">
        <v>142</v>
      </c>
    </row>
    <row r="115" spans="1:8" x14ac:dyDescent="0.2">
      <c r="A115" s="97"/>
      <c r="B115" s="97"/>
      <c r="C115" s="98" t="s">
        <v>141</v>
      </c>
      <c r="D115" s="97"/>
      <c r="E115" s="97" t="s">
        <v>142</v>
      </c>
      <c r="F115" s="103" t="s">
        <v>144</v>
      </c>
      <c r="G115" s="100">
        <v>0</v>
      </c>
      <c r="H115" s="86" t="s">
        <v>142</v>
      </c>
    </row>
    <row r="116" spans="1:8" x14ac:dyDescent="0.2">
      <c r="A116" s="97"/>
      <c r="B116" s="97"/>
      <c r="C116" s="101"/>
      <c r="D116" s="97"/>
      <c r="E116" s="97"/>
      <c r="F116" s="102"/>
      <c r="G116" s="102"/>
      <c r="H116" s="86" t="s">
        <v>142</v>
      </c>
    </row>
    <row r="117" spans="1:8" x14ac:dyDescent="0.2">
      <c r="A117" s="97"/>
      <c r="B117" s="97"/>
      <c r="C117" s="98" t="s">
        <v>158</v>
      </c>
      <c r="D117" s="97"/>
      <c r="E117" s="97"/>
      <c r="F117" s="102"/>
      <c r="G117" s="102"/>
      <c r="H117" s="86" t="s">
        <v>142</v>
      </c>
    </row>
    <row r="118" spans="1:8" x14ac:dyDescent="0.2">
      <c r="A118" s="97"/>
      <c r="B118" s="97"/>
      <c r="C118" s="98" t="s">
        <v>141</v>
      </c>
      <c r="D118" s="97"/>
      <c r="E118" s="97" t="s">
        <v>142</v>
      </c>
      <c r="F118" s="103" t="s">
        <v>144</v>
      </c>
      <c r="G118" s="100">
        <v>0</v>
      </c>
      <c r="H118" s="86" t="s">
        <v>142</v>
      </c>
    </row>
    <row r="119" spans="1:8" x14ac:dyDescent="0.2">
      <c r="A119" s="97"/>
      <c r="B119" s="97"/>
      <c r="C119" s="101"/>
      <c r="D119" s="97"/>
      <c r="E119" s="97"/>
      <c r="F119" s="102"/>
      <c r="G119" s="102"/>
      <c r="H119" s="86" t="s">
        <v>142</v>
      </c>
    </row>
    <row r="120" spans="1:8" x14ac:dyDescent="0.2">
      <c r="A120" s="97"/>
      <c r="B120" s="97"/>
      <c r="C120" s="98" t="s">
        <v>159</v>
      </c>
      <c r="D120" s="97"/>
      <c r="E120" s="97"/>
      <c r="F120" s="102"/>
      <c r="G120" s="102"/>
      <c r="H120" s="86" t="s">
        <v>142</v>
      </c>
    </row>
    <row r="121" spans="1:8" x14ac:dyDescent="0.2">
      <c r="A121" s="92">
        <v>1</v>
      </c>
      <c r="B121" s="93"/>
      <c r="C121" s="93" t="s">
        <v>160</v>
      </c>
      <c r="D121" s="93"/>
      <c r="E121" s="104"/>
      <c r="F121" s="95">
        <v>6502.9951378810001</v>
      </c>
      <c r="G121" s="96">
        <v>2.2231959999999999E-2</v>
      </c>
      <c r="H121" s="86">
        <v>5.57</v>
      </c>
    </row>
    <row r="122" spans="1:8" x14ac:dyDescent="0.2">
      <c r="A122" s="97"/>
      <c r="B122" s="97"/>
      <c r="C122" s="98" t="s">
        <v>141</v>
      </c>
      <c r="D122" s="97"/>
      <c r="E122" s="97" t="s">
        <v>142</v>
      </c>
      <c r="F122" s="99">
        <v>6502.9951378810001</v>
      </c>
      <c r="G122" s="100">
        <v>2.2231959999999999E-2</v>
      </c>
      <c r="H122" s="86" t="s">
        <v>142</v>
      </c>
    </row>
    <row r="123" spans="1:8" x14ac:dyDescent="0.2">
      <c r="A123" s="97"/>
      <c r="B123" s="97"/>
      <c r="C123" s="101"/>
      <c r="D123" s="97"/>
      <c r="E123" s="97"/>
      <c r="F123" s="102"/>
      <c r="G123" s="102"/>
      <c r="H123" s="86" t="s">
        <v>142</v>
      </c>
    </row>
    <row r="124" spans="1:8" x14ac:dyDescent="0.2">
      <c r="A124" s="97"/>
      <c r="B124" s="97"/>
      <c r="C124" s="98" t="s">
        <v>161</v>
      </c>
      <c r="D124" s="97"/>
      <c r="E124" s="97"/>
      <c r="F124" s="99">
        <v>6502.9951378810001</v>
      </c>
      <c r="G124" s="100">
        <v>2.2231959999999999E-2</v>
      </c>
      <c r="H124" s="86" t="s">
        <v>142</v>
      </c>
    </row>
    <row r="125" spans="1:8" x14ac:dyDescent="0.2">
      <c r="A125" s="97"/>
      <c r="B125" s="97"/>
      <c r="C125" s="102"/>
      <c r="D125" s="97"/>
      <c r="E125" s="97"/>
      <c r="F125" s="97"/>
      <c r="G125" s="97"/>
      <c r="H125" s="86" t="s">
        <v>142</v>
      </c>
    </row>
    <row r="126" spans="1:8" x14ac:dyDescent="0.2">
      <c r="A126" s="97"/>
      <c r="B126" s="97"/>
      <c r="C126" s="98" t="s">
        <v>162</v>
      </c>
      <c r="D126" s="97"/>
      <c r="E126" s="97"/>
      <c r="F126" s="97"/>
      <c r="G126" s="97"/>
      <c r="H126" s="86" t="s">
        <v>142</v>
      </c>
    </row>
    <row r="127" spans="1:8" x14ac:dyDescent="0.2">
      <c r="A127" s="97"/>
      <c r="B127" s="97"/>
      <c r="C127" s="98" t="s">
        <v>163</v>
      </c>
      <c r="D127" s="97"/>
      <c r="E127" s="97"/>
      <c r="F127" s="97"/>
      <c r="G127" s="97"/>
      <c r="H127" s="86" t="s">
        <v>142</v>
      </c>
    </row>
    <row r="128" spans="1:8" x14ac:dyDescent="0.2">
      <c r="A128" s="92">
        <v>1</v>
      </c>
      <c r="B128" s="93" t="s">
        <v>868</v>
      </c>
      <c r="C128" s="93" t="s">
        <v>869</v>
      </c>
      <c r="D128" s="93"/>
      <c r="E128" s="140">
        <v>19705094</v>
      </c>
      <c r="F128" s="95">
        <v>20337.6275174</v>
      </c>
      <c r="G128" s="96">
        <v>6.9528770000000004E-2</v>
      </c>
      <c r="H128" s="86" t="s">
        <v>142</v>
      </c>
    </row>
    <row r="129" spans="1:8" x14ac:dyDescent="0.2">
      <c r="A129" s="92">
        <v>2</v>
      </c>
      <c r="B129" s="93" t="s">
        <v>870</v>
      </c>
      <c r="C129" s="93" t="s">
        <v>871</v>
      </c>
      <c r="D129" s="93"/>
      <c r="E129" s="140">
        <v>15998588</v>
      </c>
      <c r="F129" s="95">
        <v>16001.7877176</v>
      </c>
      <c r="G129" s="96">
        <v>5.4705719999999999E-2</v>
      </c>
      <c r="H129" s="86" t="s">
        <v>142</v>
      </c>
    </row>
    <row r="130" spans="1:8" x14ac:dyDescent="0.2">
      <c r="A130" s="92">
        <v>3</v>
      </c>
      <c r="B130" s="93" t="s">
        <v>872</v>
      </c>
      <c r="C130" s="93" t="s">
        <v>873</v>
      </c>
      <c r="D130" s="93"/>
      <c r="E130" s="140">
        <v>13123120</v>
      </c>
      <c r="F130" s="95">
        <v>13224.168024000001</v>
      </c>
      <c r="G130" s="96">
        <v>4.5209800000000001E-2</v>
      </c>
      <c r="H130" s="86" t="s">
        <v>142</v>
      </c>
    </row>
    <row r="131" spans="1:8" x14ac:dyDescent="0.2">
      <c r="A131" s="92">
        <v>4</v>
      </c>
      <c r="B131" s="93" t="s">
        <v>874</v>
      </c>
      <c r="C131" s="93" t="s">
        <v>875</v>
      </c>
      <c r="D131" s="93"/>
      <c r="E131" s="140">
        <v>10472712</v>
      </c>
      <c r="F131" s="95">
        <v>10812.0278688</v>
      </c>
      <c r="G131" s="96">
        <v>3.6963360000000001E-2</v>
      </c>
      <c r="H131" s="86" t="s">
        <v>142</v>
      </c>
    </row>
    <row r="132" spans="1:8" x14ac:dyDescent="0.2">
      <c r="A132" s="92">
        <v>5</v>
      </c>
      <c r="B132" s="93" t="s">
        <v>876</v>
      </c>
      <c r="C132" s="93" t="s">
        <v>877</v>
      </c>
      <c r="D132" s="93"/>
      <c r="E132" s="140">
        <v>4448000</v>
      </c>
      <c r="F132" s="95">
        <v>5228.1791999999996</v>
      </c>
      <c r="G132" s="96">
        <v>1.7873710000000001E-2</v>
      </c>
      <c r="H132" s="86" t="s">
        <v>142</v>
      </c>
    </row>
    <row r="133" spans="1:8" x14ac:dyDescent="0.2">
      <c r="A133" s="97"/>
      <c r="B133" s="97"/>
      <c r="C133" s="98" t="s">
        <v>141</v>
      </c>
      <c r="D133" s="97"/>
      <c r="E133" s="97" t="s">
        <v>142</v>
      </c>
      <c r="F133" s="99">
        <v>65603.790327800001</v>
      </c>
      <c r="G133" s="100">
        <v>0.22428136000000001</v>
      </c>
      <c r="H133" s="86" t="s">
        <v>142</v>
      </c>
    </row>
    <row r="134" spans="1:8" x14ac:dyDescent="0.2">
      <c r="A134" s="97"/>
      <c r="B134" s="97"/>
      <c r="C134" s="101"/>
      <c r="D134" s="97"/>
      <c r="E134" s="97"/>
      <c r="F134" s="102"/>
      <c r="G134" s="102"/>
      <c r="H134" s="86" t="s">
        <v>142</v>
      </c>
    </row>
    <row r="135" spans="1:8" x14ac:dyDescent="0.2">
      <c r="A135" s="97"/>
      <c r="B135" s="97"/>
      <c r="C135" s="98" t="s">
        <v>164</v>
      </c>
      <c r="D135" s="97"/>
      <c r="E135" s="97"/>
      <c r="F135" s="97"/>
      <c r="G135" s="97"/>
      <c r="H135" s="86" t="s">
        <v>142</v>
      </c>
    </row>
    <row r="136" spans="1:8" x14ac:dyDescent="0.2">
      <c r="A136" s="97"/>
      <c r="B136" s="97"/>
      <c r="C136" s="98" t="s">
        <v>165</v>
      </c>
      <c r="D136" s="97"/>
      <c r="E136" s="97"/>
      <c r="F136" s="97"/>
      <c r="G136" s="97"/>
      <c r="H136" s="86" t="s">
        <v>142</v>
      </c>
    </row>
    <row r="137" spans="1:8" x14ac:dyDescent="0.2">
      <c r="A137" s="97"/>
      <c r="B137" s="97"/>
      <c r="C137" s="98" t="s">
        <v>141</v>
      </c>
      <c r="D137" s="97"/>
      <c r="E137" s="97" t="s">
        <v>142</v>
      </c>
      <c r="F137" s="103" t="s">
        <v>144</v>
      </c>
      <c r="G137" s="100">
        <v>0</v>
      </c>
      <c r="H137" s="86" t="s">
        <v>142</v>
      </c>
    </row>
    <row r="138" spans="1:8" x14ac:dyDescent="0.2">
      <c r="A138" s="97"/>
      <c r="B138" s="97"/>
      <c r="C138" s="101"/>
      <c r="D138" s="97"/>
      <c r="E138" s="97"/>
      <c r="F138" s="102"/>
      <c r="G138" s="102"/>
      <c r="H138" s="86" t="s">
        <v>142</v>
      </c>
    </row>
    <row r="139" spans="1:8" x14ac:dyDescent="0.2">
      <c r="A139" s="97"/>
      <c r="B139" s="97"/>
      <c r="C139" s="98" t="s">
        <v>166</v>
      </c>
      <c r="D139" s="97"/>
      <c r="E139" s="97"/>
      <c r="F139" s="102"/>
      <c r="G139" s="102"/>
      <c r="H139" s="86" t="s">
        <v>142</v>
      </c>
    </row>
    <row r="140" spans="1:8" x14ac:dyDescent="0.2">
      <c r="A140" s="97"/>
      <c r="B140" s="97"/>
      <c r="C140" s="98" t="s">
        <v>141</v>
      </c>
      <c r="D140" s="97"/>
      <c r="E140" s="97" t="s">
        <v>142</v>
      </c>
      <c r="F140" s="103" t="s">
        <v>144</v>
      </c>
      <c r="G140" s="100">
        <v>0</v>
      </c>
      <c r="H140" s="86" t="s">
        <v>142</v>
      </c>
    </row>
    <row r="141" spans="1:8" x14ac:dyDescent="0.2">
      <c r="A141" s="97"/>
      <c r="B141" s="97"/>
      <c r="C141" s="101"/>
      <c r="D141" s="97"/>
      <c r="E141" s="97"/>
      <c r="F141" s="102"/>
      <c r="G141" s="102"/>
      <c r="H141" s="86" t="s">
        <v>142</v>
      </c>
    </row>
    <row r="142" spans="1:8" x14ac:dyDescent="0.2">
      <c r="A142" s="104"/>
      <c r="B142" s="93"/>
      <c r="C142" s="93" t="s">
        <v>500</v>
      </c>
      <c r="D142" s="93"/>
      <c r="E142" s="104"/>
      <c r="F142" s="95">
        <v>42.435811000000001</v>
      </c>
      <c r="G142" s="96">
        <v>1.4507999999999999E-4</v>
      </c>
      <c r="H142" s="86" t="s">
        <v>142</v>
      </c>
    </row>
    <row r="143" spans="1:8" x14ac:dyDescent="0.2">
      <c r="A143" s="104"/>
      <c r="B143" s="93"/>
      <c r="C143" s="88" t="s">
        <v>954</v>
      </c>
      <c r="D143" s="93"/>
      <c r="E143" s="104"/>
      <c r="F143" s="95">
        <f>15687.03241864+F80</f>
        <v>210.8837686400002</v>
      </c>
      <c r="G143" s="96">
        <f>F143/F144</f>
        <v>7.2095374286579707E-4</v>
      </c>
      <c r="H143" s="86" t="s">
        <v>142</v>
      </c>
    </row>
    <row r="144" spans="1:8" x14ac:dyDescent="0.2">
      <c r="A144" s="101"/>
      <c r="B144" s="101"/>
      <c r="C144" s="98" t="s">
        <v>168</v>
      </c>
      <c r="D144" s="102"/>
      <c r="E144" s="102"/>
      <c r="F144" s="99">
        <v>292506.65625472099</v>
      </c>
      <c r="G144" s="105">
        <v>1.0000000499999999</v>
      </c>
      <c r="H144" s="86" t="s">
        <v>142</v>
      </c>
    </row>
    <row r="145" spans="1:17" ht="12.75" customHeight="1" x14ac:dyDescent="0.2">
      <c r="A145" s="106"/>
      <c r="B145" s="106"/>
      <c r="C145" s="107"/>
      <c r="D145" s="108"/>
      <c r="E145" s="108"/>
      <c r="F145" s="109"/>
      <c r="G145" s="110"/>
      <c r="H145" s="111"/>
    </row>
    <row r="146" spans="1:17" x14ac:dyDescent="0.2">
      <c r="A146" s="106"/>
      <c r="B146" s="200" t="s">
        <v>918</v>
      </c>
      <c r="C146" s="200"/>
      <c r="D146" s="200"/>
      <c r="E146" s="200"/>
      <c r="F146" s="200"/>
      <c r="G146" s="200"/>
      <c r="H146" s="200"/>
      <c r="J146" s="113"/>
    </row>
    <row r="147" spans="1:17" x14ac:dyDescent="0.2">
      <c r="A147" s="106"/>
      <c r="B147" s="200" t="s">
        <v>919</v>
      </c>
      <c r="C147" s="200"/>
      <c r="D147" s="200"/>
      <c r="E147" s="200"/>
      <c r="F147" s="200"/>
      <c r="G147" s="200"/>
      <c r="H147" s="200"/>
      <c r="J147" s="113"/>
    </row>
    <row r="148" spans="1:17" x14ac:dyDescent="0.2">
      <c r="A148" s="106"/>
      <c r="B148" s="200" t="s">
        <v>920</v>
      </c>
      <c r="C148" s="200"/>
      <c r="D148" s="200"/>
      <c r="E148" s="200"/>
      <c r="F148" s="200"/>
      <c r="G148" s="200"/>
      <c r="H148" s="200"/>
      <c r="J148" s="113"/>
    </row>
    <row r="149" spans="1:17" s="115" customFormat="1" ht="66.75" customHeight="1" x14ac:dyDescent="0.25">
      <c r="A149" s="114"/>
      <c r="B149" s="201" t="s">
        <v>921</v>
      </c>
      <c r="C149" s="201"/>
      <c r="D149" s="201"/>
      <c r="E149" s="201"/>
      <c r="F149" s="201"/>
      <c r="G149" s="201"/>
      <c r="H149" s="201"/>
      <c r="I149"/>
      <c r="J149" s="113"/>
      <c r="K149"/>
      <c r="L149"/>
      <c r="M149"/>
      <c r="N149"/>
      <c r="O149"/>
      <c r="P149"/>
      <c r="Q149"/>
    </row>
    <row r="150" spans="1:17" x14ac:dyDescent="0.2">
      <c r="A150" s="106"/>
      <c r="B150" s="200" t="s">
        <v>922</v>
      </c>
      <c r="C150" s="200"/>
      <c r="D150" s="200"/>
      <c r="E150" s="200"/>
      <c r="F150" s="200"/>
      <c r="G150" s="200"/>
      <c r="H150" s="200"/>
      <c r="J150" s="113"/>
    </row>
    <row r="151" spans="1:17" x14ac:dyDescent="0.2">
      <c r="A151" s="106"/>
      <c r="B151" s="106"/>
      <c r="C151" s="106"/>
      <c r="D151" s="108"/>
      <c r="E151" s="108"/>
      <c r="F151" s="108"/>
      <c r="G151" s="108"/>
    </row>
    <row r="152" spans="1:17" x14ac:dyDescent="0.2">
      <c r="A152" s="106"/>
      <c r="B152" s="202" t="s">
        <v>169</v>
      </c>
      <c r="C152" s="203"/>
      <c r="D152" s="204"/>
      <c r="E152" s="116"/>
      <c r="F152" s="108"/>
      <c r="G152" s="108"/>
    </row>
    <row r="153" spans="1:17" ht="27.75" customHeight="1" x14ac:dyDescent="0.2">
      <c r="A153" s="106"/>
      <c r="B153" s="205" t="s">
        <v>170</v>
      </c>
      <c r="C153" s="206"/>
      <c r="D153" s="85" t="s">
        <v>171</v>
      </c>
      <c r="E153" s="116"/>
      <c r="F153" s="108"/>
      <c r="G153" s="108"/>
    </row>
    <row r="154" spans="1:17" ht="12.75" customHeight="1" x14ac:dyDescent="0.2">
      <c r="A154" s="106"/>
      <c r="B154" s="205" t="s">
        <v>923</v>
      </c>
      <c r="C154" s="206"/>
      <c r="D154" s="85" t="s">
        <v>171</v>
      </c>
      <c r="E154" s="116"/>
      <c r="F154" s="108"/>
      <c r="G154" s="108"/>
    </row>
    <row r="155" spans="1:17" x14ac:dyDescent="0.2">
      <c r="A155" s="106"/>
      <c r="B155" s="205" t="s">
        <v>172</v>
      </c>
      <c r="C155" s="206"/>
      <c r="D155" s="117" t="s">
        <v>142</v>
      </c>
      <c r="E155" s="116"/>
      <c r="F155" s="108"/>
      <c r="G155" s="108"/>
    </row>
    <row r="156" spans="1:17" x14ac:dyDescent="0.2">
      <c r="A156" s="118"/>
      <c r="B156" s="119" t="s">
        <v>142</v>
      </c>
      <c r="C156" s="119" t="s">
        <v>924</v>
      </c>
      <c r="D156" s="119" t="s">
        <v>173</v>
      </c>
      <c r="E156" s="118"/>
      <c r="F156" s="118"/>
      <c r="G156" s="118"/>
      <c r="H156" s="118"/>
      <c r="J156" s="113"/>
    </row>
    <row r="157" spans="1:17" x14ac:dyDescent="0.2">
      <c r="A157" s="118"/>
      <c r="B157" s="120" t="s">
        <v>174</v>
      </c>
      <c r="C157" s="121">
        <v>45930</v>
      </c>
      <c r="D157" s="121">
        <v>45961</v>
      </c>
      <c r="E157" s="118"/>
      <c r="F157" s="118"/>
      <c r="G157" s="118"/>
      <c r="J157" s="113"/>
    </row>
    <row r="158" spans="1:17" x14ac:dyDescent="0.2">
      <c r="A158" s="122"/>
      <c r="B158" s="93" t="s">
        <v>175</v>
      </c>
      <c r="C158" s="123">
        <v>12.889699999999999</v>
      </c>
      <c r="D158" s="123">
        <v>13.3531</v>
      </c>
      <c r="E158" s="122"/>
      <c r="F158" s="124"/>
      <c r="G158" s="125"/>
    </row>
    <row r="159" spans="1:17" x14ac:dyDescent="0.2">
      <c r="A159" s="122"/>
      <c r="B159" s="93" t="s">
        <v>1101</v>
      </c>
      <c r="C159" s="123">
        <v>12.889699999999999</v>
      </c>
      <c r="D159" s="123">
        <v>13.3531</v>
      </c>
      <c r="E159" s="122"/>
      <c r="F159" s="124"/>
      <c r="G159" s="125"/>
    </row>
    <row r="160" spans="1:17" x14ac:dyDescent="0.2">
      <c r="A160" s="122"/>
      <c r="B160" s="93" t="s">
        <v>176</v>
      </c>
      <c r="C160" s="123">
        <v>12.555</v>
      </c>
      <c r="D160" s="123">
        <v>12.9901</v>
      </c>
      <c r="E160" s="122"/>
      <c r="F160" s="124"/>
      <c r="G160" s="125"/>
    </row>
    <row r="161" spans="1:7" x14ac:dyDescent="0.2">
      <c r="A161" s="122"/>
      <c r="B161" s="93" t="s">
        <v>1102</v>
      </c>
      <c r="C161" s="123">
        <v>12.555</v>
      </c>
      <c r="D161" s="123">
        <v>12.9901</v>
      </c>
      <c r="E161" s="122"/>
      <c r="F161" s="124"/>
      <c r="G161" s="125"/>
    </row>
    <row r="162" spans="1:7" x14ac:dyDescent="0.2">
      <c r="A162" s="122"/>
      <c r="B162" s="122"/>
      <c r="C162" s="122"/>
      <c r="D162" s="122"/>
      <c r="E162" s="122"/>
      <c r="F162" s="122"/>
      <c r="G162" s="122"/>
    </row>
    <row r="163" spans="1:7" x14ac:dyDescent="0.2">
      <c r="A163" s="118"/>
      <c r="B163" s="205" t="s">
        <v>925</v>
      </c>
      <c r="C163" s="206"/>
      <c r="D163" s="85" t="s">
        <v>171</v>
      </c>
      <c r="E163" s="118"/>
      <c r="F163" s="118"/>
      <c r="G163" s="118"/>
    </row>
    <row r="164" spans="1:7" x14ac:dyDescent="0.2">
      <c r="A164" s="118"/>
      <c r="B164" s="136"/>
      <c r="C164" s="136"/>
      <c r="D164" s="136"/>
      <c r="E164" s="118"/>
      <c r="F164" s="118"/>
      <c r="G164" s="118"/>
    </row>
    <row r="165" spans="1:7" x14ac:dyDescent="0.2">
      <c r="A165" s="118"/>
      <c r="B165" s="205" t="s">
        <v>179</v>
      </c>
      <c r="C165" s="206"/>
      <c r="D165" s="85" t="s">
        <v>956</v>
      </c>
      <c r="E165" s="131"/>
      <c r="F165" s="118"/>
      <c r="G165" s="118"/>
    </row>
    <row r="166" spans="1:7" x14ac:dyDescent="0.2">
      <c r="A166" s="118"/>
      <c r="B166" s="205" t="s">
        <v>180</v>
      </c>
      <c r="C166" s="206"/>
      <c r="D166" s="85" t="s">
        <v>171</v>
      </c>
      <c r="E166" s="131"/>
      <c r="F166" s="118"/>
      <c r="G166" s="118"/>
    </row>
    <row r="167" spans="1:7" x14ac:dyDescent="0.2">
      <c r="A167" s="118"/>
      <c r="B167" s="205" t="s">
        <v>181</v>
      </c>
      <c r="C167" s="206"/>
      <c r="D167" s="85" t="s">
        <v>171</v>
      </c>
      <c r="E167" s="131"/>
      <c r="F167" s="118"/>
      <c r="G167" s="118"/>
    </row>
    <row r="168" spans="1:7" x14ac:dyDescent="0.2">
      <c r="A168" s="118"/>
      <c r="B168" s="205" t="s">
        <v>182</v>
      </c>
      <c r="C168" s="206"/>
      <c r="D168" s="132">
        <v>1.5458000000000001</v>
      </c>
      <c r="E168" s="118"/>
      <c r="F168" s="112"/>
      <c r="G168" s="133"/>
    </row>
    <row r="170" spans="1:7" x14ac:dyDescent="0.2">
      <c r="B170" s="214" t="s">
        <v>985</v>
      </c>
      <c r="C170" s="215"/>
      <c r="D170" s="216"/>
    </row>
    <row r="171" spans="1:7" ht="38.25" x14ac:dyDescent="0.2">
      <c r="B171" s="213" t="s">
        <v>986</v>
      </c>
      <c r="C171" s="213"/>
      <c r="D171" s="141" t="s">
        <v>863</v>
      </c>
    </row>
    <row r="172" spans="1:7" x14ac:dyDescent="0.2">
      <c r="B172" s="213" t="s">
        <v>987</v>
      </c>
      <c r="C172" s="213"/>
      <c r="D172" s="142"/>
    </row>
    <row r="173" spans="1:7" x14ac:dyDescent="0.2">
      <c r="B173" s="210"/>
      <c r="C173" s="212"/>
      <c r="D173" s="143"/>
    </row>
    <row r="174" spans="1:7" x14ac:dyDescent="0.2">
      <c r="B174" s="213" t="s">
        <v>988</v>
      </c>
      <c r="C174" s="213"/>
      <c r="D174" s="144">
        <v>6.0384733950136793</v>
      </c>
    </row>
    <row r="175" spans="1:7" x14ac:dyDescent="0.2">
      <c r="B175" s="210"/>
      <c r="C175" s="212"/>
      <c r="D175" s="143"/>
    </row>
    <row r="176" spans="1:7" x14ac:dyDescent="0.2">
      <c r="B176" s="213" t="s">
        <v>989</v>
      </c>
      <c r="C176" s="213"/>
      <c r="D176" s="144">
        <v>2.7357497996593301</v>
      </c>
    </row>
    <row r="177" spans="2:4" x14ac:dyDescent="0.2">
      <c r="B177" s="213" t="s">
        <v>990</v>
      </c>
      <c r="C177" s="213"/>
      <c r="D177" s="144">
        <v>3.2460717131627694</v>
      </c>
    </row>
    <row r="178" spans="2:4" x14ac:dyDescent="0.2">
      <c r="B178" s="210"/>
      <c r="C178" s="212"/>
      <c r="D178" s="143"/>
    </row>
    <row r="179" spans="2:4" x14ac:dyDescent="0.2">
      <c r="B179" s="213" t="s">
        <v>991</v>
      </c>
      <c r="C179" s="213"/>
      <c r="D179" s="145" t="s">
        <v>1160</v>
      </c>
    </row>
    <row r="180" spans="2:4" x14ac:dyDescent="0.2">
      <c r="B180" s="210" t="s">
        <v>992</v>
      </c>
      <c r="C180" s="211"/>
      <c r="D180" s="212"/>
    </row>
    <row r="182" spans="2:4" x14ac:dyDescent="0.2">
      <c r="B182" s="199" t="s">
        <v>926</v>
      </c>
      <c r="C182" s="199"/>
    </row>
    <row r="184" spans="2:4" ht="153.75" customHeight="1" x14ac:dyDescent="0.2"/>
    <row r="187" spans="2:4" x14ac:dyDescent="0.2">
      <c r="B187" s="134" t="s">
        <v>927</v>
      </c>
      <c r="C187" s="135"/>
      <c r="D187" s="134"/>
    </row>
    <row r="188" spans="2:4" x14ac:dyDescent="0.2">
      <c r="B188" s="134" t="s">
        <v>1094</v>
      </c>
      <c r="D188" s="134"/>
    </row>
    <row r="189" spans="2:4" ht="165" customHeight="1" x14ac:dyDescent="0.2"/>
    <row r="191" spans="2:4" ht="12.75" customHeight="1" x14ac:dyDescent="0.2"/>
    <row r="192" spans="2:4" ht="12.75" customHeigh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sheetData>
  <mergeCells count="29">
    <mergeCell ref="B179:C179"/>
    <mergeCell ref="B180:D180"/>
    <mergeCell ref="B182:C182"/>
    <mergeCell ref="B174:C174"/>
    <mergeCell ref="B175:C175"/>
    <mergeCell ref="B176:C176"/>
    <mergeCell ref="B177:C177"/>
    <mergeCell ref="B178:C178"/>
    <mergeCell ref="B170:D170"/>
    <mergeCell ref="B172:C172"/>
    <mergeCell ref="B173:C173"/>
    <mergeCell ref="B171:C171"/>
    <mergeCell ref="B168:C168"/>
    <mergeCell ref="A1:H1"/>
    <mergeCell ref="A2:H2"/>
    <mergeCell ref="A3:H3"/>
    <mergeCell ref="B163:C163"/>
    <mergeCell ref="B167:C167"/>
    <mergeCell ref="B146:H146"/>
    <mergeCell ref="B147:H147"/>
    <mergeCell ref="B154:C154"/>
    <mergeCell ref="B155:C155"/>
    <mergeCell ref="B148:H148"/>
    <mergeCell ref="B149:H149"/>
    <mergeCell ref="B150:H150"/>
    <mergeCell ref="B152:D152"/>
    <mergeCell ref="B153:C153"/>
    <mergeCell ref="B165:C165"/>
    <mergeCell ref="B166:C166"/>
  </mergeCells>
  <hyperlinks>
    <hyperlink ref="I1" location="Index!B2" display="Index" xr:uid="{8020BAA8-B2A0-4121-9106-AB47FEDA3534}"/>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0DEC3-BCD9-49F7-8A5D-E243B8185C40}">
  <sheetPr>
    <outlinePr summaryBelow="0" summaryRight="0"/>
  </sheetPr>
  <dimension ref="A1:Q177"/>
  <sheetViews>
    <sheetView showGridLines="0" workbookViewId="0">
      <selection activeCell="C8" sqref="C8"/>
    </sheetView>
  </sheetViews>
  <sheetFormatPr defaultRowHeight="12.75" x14ac:dyDescent="0.2"/>
  <cols>
    <col min="1" max="1" width="5.85546875" bestFit="1" customWidth="1"/>
    <col min="2" max="2" width="19.7109375" bestFit="1" customWidth="1"/>
    <col min="3" max="3" width="45.85546875" customWidth="1"/>
    <col min="4" max="4" width="17.85546875" customWidth="1"/>
    <col min="5" max="5" width="8.7109375" bestFit="1" customWidth="1"/>
    <col min="6" max="6" width="10.140625" bestFit="1" customWidth="1"/>
    <col min="7" max="7" width="14" bestFit="1" customWidth="1"/>
  </cols>
  <sheetData>
    <row r="1" spans="1:9" ht="15" x14ac:dyDescent="0.2">
      <c r="A1" s="207" t="s">
        <v>0</v>
      </c>
      <c r="B1" s="207"/>
      <c r="C1" s="207"/>
      <c r="D1" s="207"/>
      <c r="E1" s="207"/>
      <c r="F1" s="207"/>
      <c r="G1" s="207"/>
      <c r="H1" s="207"/>
      <c r="I1" s="1" t="s">
        <v>915</v>
      </c>
    </row>
    <row r="2" spans="1:9" ht="15" x14ac:dyDescent="0.2">
      <c r="A2" s="207" t="s">
        <v>878</v>
      </c>
      <c r="B2" s="207"/>
      <c r="C2" s="207"/>
      <c r="D2" s="207"/>
      <c r="E2" s="207"/>
      <c r="F2" s="207"/>
      <c r="G2" s="207"/>
      <c r="H2" s="207"/>
    </row>
    <row r="3" spans="1:9" ht="15" x14ac:dyDescent="0.2">
      <c r="A3" s="207" t="s">
        <v>916</v>
      </c>
      <c r="B3" s="207"/>
      <c r="C3" s="207"/>
      <c r="D3" s="207"/>
      <c r="E3" s="207"/>
      <c r="F3" s="207"/>
      <c r="G3" s="207"/>
      <c r="H3" s="207"/>
    </row>
    <row r="4" spans="1:9" s="83" customFormat="1" ht="30" x14ac:dyDescent="0.2">
      <c r="A4" s="81" t="s">
        <v>2</v>
      </c>
      <c r="B4" s="81" t="s">
        <v>3</v>
      </c>
      <c r="C4" s="81" t="s">
        <v>4</v>
      </c>
      <c r="D4" s="81" t="s">
        <v>5</v>
      </c>
      <c r="E4" s="81" t="s">
        <v>6</v>
      </c>
      <c r="F4" s="81" t="s">
        <v>7</v>
      </c>
      <c r="G4" s="81" t="s">
        <v>8</v>
      </c>
      <c r="H4" s="82" t="s">
        <v>914</v>
      </c>
    </row>
    <row r="5" spans="1:9" x14ac:dyDescent="0.2">
      <c r="A5" s="84"/>
      <c r="B5" s="84"/>
      <c r="C5" s="85" t="s">
        <v>9</v>
      </c>
      <c r="D5" s="84"/>
      <c r="E5" s="84"/>
      <c r="F5" s="84"/>
      <c r="G5" s="84"/>
      <c r="H5" s="86" t="s">
        <v>142</v>
      </c>
    </row>
    <row r="6" spans="1:9" x14ac:dyDescent="0.2">
      <c r="A6" s="87"/>
      <c r="B6" s="88"/>
      <c r="C6" s="88" t="s">
        <v>10</v>
      </c>
      <c r="D6" s="88"/>
      <c r="E6" s="89"/>
      <c r="F6" s="90"/>
      <c r="G6" s="91"/>
      <c r="H6" s="86" t="s">
        <v>142</v>
      </c>
    </row>
    <row r="7" spans="1:9" x14ac:dyDescent="0.2">
      <c r="A7" s="92">
        <v>1</v>
      </c>
      <c r="B7" s="93" t="s">
        <v>320</v>
      </c>
      <c r="C7" s="93" t="s">
        <v>321</v>
      </c>
      <c r="D7" s="93" t="s">
        <v>35</v>
      </c>
      <c r="E7" s="94">
        <v>596116</v>
      </c>
      <c r="F7" s="95">
        <v>5885.4532680000002</v>
      </c>
      <c r="G7" s="96">
        <v>6.1588320000000002E-2</v>
      </c>
      <c r="H7" s="86" t="s">
        <v>142</v>
      </c>
    </row>
    <row r="8" spans="1:9" x14ac:dyDescent="0.2">
      <c r="A8" s="92">
        <v>2</v>
      </c>
      <c r="B8" s="93" t="s">
        <v>17</v>
      </c>
      <c r="C8" s="93" t="s">
        <v>18</v>
      </c>
      <c r="D8" s="93" t="s">
        <v>19</v>
      </c>
      <c r="E8" s="94">
        <v>267359</v>
      </c>
      <c r="F8" s="95">
        <v>3974.0241759999999</v>
      </c>
      <c r="G8" s="96">
        <v>4.1586169999999999E-2</v>
      </c>
      <c r="H8" s="86" t="s">
        <v>142</v>
      </c>
    </row>
    <row r="9" spans="1:9" x14ac:dyDescent="0.2">
      <c r="A9" s="92">
        <v>3</v>
      </c>
      <c r="B9" s="93" t="s">
        <v>33</v>
      </c>
      <c r="C9" s="93" t="s">
        <v>34</v>
      </c>
      <c r="D9" s="93" t="s">
        <v>35</v>
      </c>
      <c r="E9" s="94">
        <v>289143</v>
      </c>
      <c r="F9" s="95">
        <v>3889.8407790000001</v>
      </c>
      <c r="G9" s="96">
        <v>4.0705230000000002E-2</v>
      </c>
      <c r="H9" s="86" t="s">
        <v>142</v>
      </c>
    </row>
    <row r="10" spans="1:9" x14ac:dyDescent="0.2">
      <c r="A10" s="92">
        <v>4</v>
      </c>
      <c r="B10" s="93" t="s">
        <v>326</v>
      </c>
      <c r="C10" s="93" t="s">
        <v>327</v>
      </c>
      <c r="D10" s="93" t="s">
        <v>204</v>
      </c>
      <c r="E10" s="94">
        <v>199493</v>
      </c>
      <c r="F10" s="95">
        <v>2957.0847389999999</v>
      </c>
      <c r="G10" s="96">
        <v>3.0944409999999999E-2</v>
      </c>
      <c r="H10" s="86" t="s">
        <v>142</v>
      </c>
    </row>
    <row r="11" spans="1:9" x14ac:dyDescent="0.2">
      <c r="A11" s="92">
        <v>5</v>
      </c>
      <c r="B11" s="93" t="s">
        <v>228</v>
      </c>
      <c r="C11" s="93" t="s">
        <v>229</v>
      </c>
      <c r="D11" s="93" t="s">
        <v>35</v>
      </c>
      <c r="E11" s="94">
        <v>278148</v>
      </c>
      <c r="F11" s="95">
        <v>2441.7222179999999</v>
      </c>
      <c r="G11" s="96">
        <v>2.5551399999999998E-2</v>
      </c>
      <c r="H11" s="86" t="s">
        <v>142</v>
      </c>
    </row>
    <row r="12" spans="1:9" x14ac:dyDescent="0.2">
      <c r="A12" s="92">
        <v>6</v>
      </c>
      <c r="B12" s="93" t="s">
        <v>26</v>
      </c>
      <c r="C12" s="93" t="s">
        <v>27</v>
      </c>
      <c r="D12" s="93" t="s">
        <v>28</v>
      </c>
      <c r="E12" s="94">
        <v>555822</v>
      </c>
      <c r="F12" s="95">
        <v>2368.3575420000002</v>
      </c>
      <c r="G12" s="96">
        <v>2.4783670000000001E-2</v>
      </c>
      <c r="H12" s="86" t="s">
        <v>142</v>
      </c>
    </row>
    <row r="13" spans="1:9" ht="25.5" x14ac:dyDescent="0.2">
      <c r="A13" s="92">
        <v>7</v>
      </c>
      <c r="B13" s="93" t="s">
        <v>130</v>
      </c>
      <c r="C13" s="93" t="s">
        <v>131</v>
      </c>
      <c r="D13" s="93" t="s">
        <v>132</v>
      </c>
      <c r="E13" s="94">
        <v>33625</v>
      </c>
      <c r="F13" s="95">
        <v>2254.3881249999999</v>
      </c>
      <c r="G13" s="96">
        <v>2.3591040000000001E-2</v>
      </c>
      <c r="H13" s="86" t="s">
        <v>142</v>
      </c>
    </row>
    <row r="14" spans="1:9" x14ac:dyDescent="0.2">
      <c r="A14" s="92">
        <v>8</v>
      </c>
      <c r="B14" s="93" t="s">
        <v>11</v>
      </c>
      <c r="C14" s="93" t="s">
        <v>12</v>
      </c>
      <c r="D14" s="93" t="s">
        <v>13</v>
      </c>
      <c r="E14" s="94">
        <v>104641</v>
      </c>
      <c r="F14" s="95">
        <v>2149.8493450000001</v>
      </c>
      <c r="G14" s="96">
        <v>2.2497099999999999E-2</v>
      </c>
      <c r="H14" s="86" t="s">
        <v>142</v>
      </c>
    </row>
    <row r="15" spans="1:9" ht="25.5" x14ac:dyDescent="0.2">
      <c r="A15" s="92">
        <v>9</v>
      </c>
      <c r="B15" s="93" t="s">
        <v>879</v>
      </c>
      <c r="C15" s="93" t="s">
        <v>880</v>
      </c>
      <c r="D15" s="93" t="s">
        <v>225</v>
      </c>
      <c r="E15" s="94">
        <v>76111</v>
      </c>
      <c r="F15" s="95">
        <v>1993.0426460000001</v>
      </c>
      <c r="G15" s="96">
        <v>2.085619E-2</v>
      </c>
      <c r="H15" s="86" t="s">
        <v>142</v>
      </c>
    </row>
    <row r="16" spans="1:9" ht="25.5" x14ac:dyDescent="0.2">
      <c r="A16" s="92">
        <v>10</v>
      </c>
      <c r="B16" s="93" t="s">
        <v>881</v>
      </c>
      <c r="C16" s="93" t="s">
        <v>882</v>
      </c>
      <c r="D16" s="93" t="s">
        <v>883</v>
      </c>
      <c r="E16" s="94">
        <v>64223</v>
      </c>
      <c r="F16" s="95">
        <v>1976.591271</v>
      </c>
      <c r="G16" s="96">
        <v>2.0684040000000001E-2</v>
      </c>
      <c r="H16" s="86" t="s">
        <v>142</v>
      </c>
    </row>
    <row r="17" spans="1:8" ht="25.5" x14ac:dyDescent="0.2">
      <c r="A17" s="92">
        <v>11</v>
      </c>
      <c r="B17" s="93" t="s">
        <v>797</v>
      </c>
      <c r="C17" s="93" t="s">
        <v>798</v>
      </c>
      <c r="D17" s="93" t="s">
        <v>275</v>
      </c>
      <c r="E17" s="94">
        <v>14165</v>
      </c>
      <c r="F17" s="95">
        <v>1965.8187</v>
      </c>
      <c r="G17" s="96">
        <v>2.0571309999999999E-2</v>
      </c>
      <c r="H17" s="86" t="s">
        <v>142</v>
      </c>
    </row>
    <row r="18" spans="1:8" x14ac:dyDescent="0.2">
      <c r="A18" s="92">
        <v>12</v>
      </c>
      <c r="B18" s="93" t="s">
        <v>884</v>
      </c>
      <c r="C18" s="93" t="s">
        <v>885</v>
      </c>
      <c r="D18" s="93" t="s">
        <v>35</v>
      </c>
      <c r="E18" s="94">
        <v>1353256</v>
      </c>
      <c r="F18" s="95">
        <v>1892.9344928</v>
      </c>
      <c r="G18" s="96">
        <v>1.9808610000000001E-2</v>
      </c>
      <c r="H18" s="86" t="s">
        <v>142</v>
      </c>
    </row>
    <row r="19" spans="1:8" x14ac:dyDescent="0.2">
      <c r="A19" s="92">
        <v>13</v>
      </c>
      <c r="B19" s="93" t="s">
        <v>818</v>
      </c>
      <c r="C19" s="93" t="s">
        <v>819</v>
      </c>
      <c r="D19" s="93" t="s">
        <v>35</v>
      </c>
      <c r="E19" s="94">
        <v>1160770</v>
      </c>
      <c r="F19" s="95">
        <v>1725.7167589999999</v>
      </c>
      <c r="G19" s="96">
        <v>1.805876E-2</v>
      </c>
      <c r="H19" s="86" t="s">
        <v>142</v>
      </c>
    </row>
    <row r="20" spans="1:8" x14ac:dyDescent="0.2">
      <c r="A20" s="92">
        <v>14</v>
      </c>
      <c r="B20" s="93" t="s">
        <v>781</v>
      </c>
      <c r="C20" s="93" t="s">
        <v>782</v>
      </c>
      <c r="D20" s="93" t="s">
        <v>427</v>
      </c>
      <c r="E20" s="94">
        <v>353284</v>
      </c>
      <c r="F20" s="95">
        <v>1683.3982599999999</v>
      </c>
      <c r="G20" s="96">
        <v>1.761592E-2</v>
      </c>
      <c r="H20" s="86" t="s">
        <v>142</v>
      </c>
    </row>
    <row r="21" spans="1:8" x14ac:dyDescent="0.2">
      <c r="A21" s="92">
        <v>15</v>
      </c>
      <c r="B21" s="93" t="s">
        <v>87</v>
      </c>
      <c r="C21" s="93" t="s">
        <v>88</v>
      </c>
      <c r="D21" s="93" t="s">
        <v>13</v>
      </c>
      <c r="E21" s="94">
        <v>449473</v>
      </c>
      <c r="F21" s="95">
        <v>1634.2838280000001</v>
      </c>
      <c r="G21" s="96">
        <v>1.7101959999999999E-2</v>
      </c>
      <c r="H21" s="86" t="s">
        <v>142</v>
      </c>
    </row>
    <row r="22" spans="1:8" x14ac:dyDescent="0.2">
      <c r="A22" s="92">
        <v>16</v>
      </c>
      <c r="B22" s="93" t="s">
        <v>886</v>
      </c>
      <c r="C22" s="93" t="s">
        <v>887</v>
      </c>
      <c r="D22" s="93" t="s">
        <v>186</v>
      </c>
      <c r="E22" s="94">
        <v>604124</v>
      </c>
      <c r="F22" s="95">
        <v>1634.0950075999999</v>
      </c>
      <c r="G22" s="96">
        <v>1.7099980000000001E-2</v>
      </c>
      <c r="H22" s="86" t="s">
        <v>142</v>
      </c>
    </row>
    <row r="23" spans="1:8" x14ac:dyDescent="0.2">
      <c r="A23" s="92">
        <v>17</v>
      </c>
      <c r="B23" s="93" t="s">
        <v>62</v>
      </c>
      <c r="C23" s="93" t="s">
        <v>63</v>
      </c>
      <c r="D23" s="93" t="s">
        <v>64</v>
      </c>
      <c r="E23" s="94">
        <v>637943</v>
      </c>
      <c r="F23" s="95">
        <v>1629.1150391000001</v>
      </c>
      <c r="G23" s="96">
        <v>1.704787E-2</v>
      </c>
      <c r="H23" s="86" t="s">
        <v>142</v>
      </c>
    </row>
    <row r="24" spans="1:8" x14ac:dyDescent="0.2">
      <c r="A24" s="92">
        <v>18</v>
      </c>
      <c r="B24" s="93" t="s">
        <v>76</v>
      </c>
      <c r="C24" s="93" t="s">
        <v>77</v>
      </c>
      <c r="D24" s="93" t="s">
        <v>78</v>
      </c>
      <c r="E24" s="94">
        <v>869292</v>
      </c>
      <c r="F24" s="95">
        <v>1588.7180592</v>
      </c>
      <c r="G24" s="96">
        <v>1.662514E-2</v>
      </c>
      <c r="H24" s="86" t="s">
        <v>142</v>
      </c>
    </row>
    <row r="25" spans="1:8" x14ac:dyDescent="0.2">
      <c r="A25" s="92">
        <v>19</v>
      </c>
      <c r="B25" s="93" t="s">
        <v>888</v>
      </c>
      <c r="C25" s="93" t="s">
        <v>889</v>
      </c>
      <c r="D25" s="93" t="s">
        <v>78</v>
      </c>
      <c r="E25" s="94">
        <v>542188</v>
      </c>
      <c r="F25" s="95">
        <v>1524.9037499999999</v>
      </c>
      <c r="G25" s="96">
        <v>1.5957349999999999E-2</v>
      </c>
      <c r="H25" s="86" t="s">
        <v>142</v>
      </c>
    </row>
    <row r="26" spans="1:8" x14ac:dyDescent="0.2">
      <c r="A26" s="92">
        <v>20</v>
      </c>
      <c r="B26" s="93" t="s">
        <v>681</v>
      </c>
      <c r="C26" s="93" t="s">
        <v>682</v>
      </c>
      <c r="D26" s="93" t="s">
        <v>683</v>
      </c>
      <c r="E26" s="94">
        <v>390983</v>
      </c>
      <c r="F26" s="95">
        <v>1519.5554294999999</v>
      </c>
      <c r="G26" s="96">
        <v>1.5901390000000001E-2</v>
      </c>
      <c r="H26" s="86" t="s">
        <v>142</v>
      </c>
    </row>
    <row r="27" spans="1:8" x14ac:dyDescent="0.2">
      <c r="A27" s="92">
        <v>21</v>
      </c>
      <c r="B27" s="93" t="s">
        <v>638</v>
      </c>
      <c r="C27" s="93" t="s">
        <v>639</v>
      </c>
      <c r="D27" s="93" t="s">
        <v>186</v>
      </c>
      <c r="E27" s="94">
        <v>398878</v>
      </c>
      <c r="F27" s="95">
        <v>1495.1941830000001</v>
      </c>
      <c r="G27" s="96">
        <v>1.5646460000000001E-2</v>
      </c>
      <c r="H27" s="86" t="s">
        <v>142</v>
      </c>
    </row>
    <row r="28" spans="1:8" x14ac:dyDescent="0.2">
      <c r="A28" s="92">
        <v>22</v>
      </c>
      <c r="B28" s="93" t="s">
        <v>446</v>
      </c>
      <c r="C28" s="93" t="s">
        <v>447</v>
      </c>
      <c r="D28" s="93" t="s">
        <v>204</v>
      </c>
      <c r="E28" s="94">
        <v>616275</v>
      </c>
      <c r="F28" s="95">
        <v>1483.1890424999999</v>
      </c>
      <c r="G28" s="96">
        <v>1.5520829999999999E-2</v>
      </c>
      <c r="H28" s="86" t="s">
        <v>142</v>
      </c>
    </row>
    <row r="29" spans="1:8" x14ac:dyDescent="0.2">
      <c r="A29" s="92">
        <v>23</v>
      </c>
      <c r="B29" s="93" t="s">
        <v>890</v>
      </c>
      <c r="C29" s="93" t="s">
        <v>891</v>
      </c>
      <c r="D29" s="93" t="s">
        <v>186</v>
      </c>
      <c r="E29" s="94">
        <v>450126</v>
      </c>
      <c r="F29" s="95">
        <v>1459.3084919999999</v>
      </c>
      <c r="G29" s="96">
        <v>1.527093E-2</v>
      </c>
      <c r="H29" s="86" t="s">
        <v>142</v>
      </c>
    </row>
    <row r="30" spans="1:8" x14ac:dyDescent="0.2">
      <c r="A30" s="92">
        <v>24</v>
      </c>
      <c r="B30" s="93" t="s">
        <v>336</v>
      </c>
      <c r="C30" s="93" t="s">
        <v>337</v>
      </c>
      <c r="D30" s="93" t="s">
        <v>215</v>
      </c>
      <c r="E30" s="94">
        <v>15469</v>
      </c>
      <c r="F30" s="95">
        <v>1429.877015</v>
      </c>
      <c r="G30" s="96">
        <v>1.4962949999999999E-2</v>
      </c>
      <c r="H30" s="86" t="s">
        <v>142</v>
      </c>
    </row>
    <row r="31" spans="1:8" x14ac:dyDescent="0.2">
      <c r="A31" s="92">
        <v>25</v>
      </c>
      <c r="B31" s="93" t="s">
        <v>41</v>
      </c>
      <c r="C31" s="93" t="s">
        <v>42</v>
      </c>
      <c r="D31" s="93" t="s">
        <v>43</v>
      </c>
      <c r="E31" s="94">
        <v>44885</v>
      </c>
      <c r="F31" s="95">
        <v>1363.33699</v>
      </c>
      <c r="G31" s="96">
        <v>1.4266640000000001E-2</v>
      </c>
      <c r="H31" s="86" t="s">
        <v>142</v>
      </c>
    </row>
    <row r="32" spans="1:8" x14ac:dyDescent="0.2">
      <c r="A32" s="92">
        <v>26</v>
      </c>
      <c r="B32" s="93" t="s">
        <v>892</v>
      </c>
      <c r="C32" s="93" t="s">
        <v>893</v>
      </c>
      <c r="D32" s="93" t="s">
        <v>215</v>
      </c>
      <c r="E32" s="94">
        <v>153631</v>
      </c>
      <c r="F32" s="95">
        <v>1343.963988</v>
      </c>
      <c r="G32" s="96">
        <v>1.4063910000000001E-2</v>
      </c>
      <c r="H32" s="86" t="s">
        <v>142</v>
      </c>
    </row>
    <row r="33" spans="1:8" x14ac:dyDescent="0.2">
      <c r="A33" s="92">
        <v>27</v>
      </c>
      <c r="B33" s="93" t="s">
        <v>253</v>
      </c>
      <c r="C33" s="93" t="s">
        <v>254</v>
      </c>
      <c r="D33" s="93" t="s">
        <v>215</v>
      </c>
      <c r="E33" s="94">
        <v>134702</v>
      </c>
      <c r="F33" s="95">
        <v>1317.3855599999999</v>
      </c>
      <c r="G33" s="96">
        <v>1.3785779999999999E-2</v>
      </c>
      <c r="H33" s="86" t="s">
        <v>142</v>
      </c>
    </row>
    <row r="34" spans="1:8" ht="25.5" x14ac:dyDescent="0.2">
      <c r="A34" s="92">
        <v>28</v>
      </c>
      <c r="B34" s="93" t="s">
        <v>894</v>
      </c>
      <c r="C34" s="93" t="s">
        <v>895</v>
      </c>
      <c r="D34" s="93" t="s">
        <v>132</v>
      </c>
      <c r="E34" s="94">
        <v>73558</v>
      </c>
      <c r="F34" s="95">
        <v>1316.32041</v>
      </c>
      <c r="G34" s="96">
        <v>1.377463E-2</v>
      </c>
      <c r="H34" s="86" t="s">
        <v>142</v>
      </c>
    </row>
    <row r="35" spans="1:8" x14ac:dyDescent="0.2">
      <c r="A35" s="92">
        <v>29</v>
      </c>
      <c r="B35" s="93" t="s">
        <v>213</v>
      </c>
      <c r="C35" s="93" t="s">
        <v>214</v>
      </c>
      <c r="D35" s="93" t="s">
        <v>215</v>
      </c>
      <c r="E35" s="94">
        <v>51155</v>
      </c>
      <c r="F35" s="95">
        <v>1268.1324500000001</v>
      </c>
      <c r="G35" s="96">
        <v>1.327037E-2</v>
      </c>
      <c r="H35" s="86" t="s">
        <v>142</v>
      </c>
    </row>
    <row r="36" spans="1:8" x14ac:dyDescent="0.2">
      <c r="A36" s="92">
        <v>30</v>
      </c>
      <c r="B36" s="93" t="s">
        <v>634</v>
      </c>
      <c r="C36" s="93" t="s">
        <v>635</v>
      </c>
      <c r="D36" s="93" t="s">
        <v>28</v>
      </c>
      <c r="E36" s="94">
        <v>80722</v>
      </c>
      <c r="F36" s="95">
        <v>1234.965878</v>
      </c>
      <c r="G36" s="96">
        <v>1.29233E-2</v>
      </c>
      <c r="H36" s="86" t="s">
        <v>142</v>
      </c>
    </row>
    <row r="37" spans="1:8" ht="25.5" x14ac:dyDescent="0.2">
      <c r="A37" s="92">
        <v>31</v>
      </c>
      <c r="B37" s="93" t="s">
        <v>896</v>
      </c>
      <c r="C37" s="93" t="s">
        <v>897</v>
      </c>
      <c r="D37" s="93" t="s">
        <v>225</v>
      </c>
      <c r="E37" s="94">
        <v>64913</v>
      </c>
      <c r="F37" s="95">
        <v>1227.6346559999999</v>
      </c>
      <c r="G37" s="96">
        <v>1.284658E-2</v>
      </c>
      <c r="H37" s="86" t="s">
        <v>142</v>
      </c>
    </row>
    <row r="38" spans="1:8" x14ac:dyDescent="0.2">
      <c r="A38" s="92">
        <v>32</v>
      </c>
      <c r="B38" s="93" t="s">
        <v>270</v>
      </c>
      <c r="C38" s="93" t="s">
        <v>271</v>
      </c>
      <c r="D38" s="93" t="s">
        <v>272</v>
      </c>
      <c r="E38" s="94">
        <v>78522</v>
      </c>
      <c r="F38" s="95">
        <v>1214.3427300000001</v>
      </c>
      <c r="G38" s="96">
        <v>1.270749E-2</v>
      </c>
      <c r="H38" s="86" t="s">
        <v>142</v>
      </c>
    </row>
    <row r="39" spans="1:8" x14ac:dyDescent="0.2">
      <c r="A39" s="92">
        <v>33</v>
      </c>
      <c r="B39" s="93" t="s">
        <v>845</v>
      </c>
      <c r="C39" s="93" t="s">
        <v>846</v>
      </c>
      <c r="D39" s="93" t="s">
        <v>109</v>
      </c>
      <c r="E39" s="94">
        <v>68928</v>
      </c>
      <c r="F39" s="95">
        <v>1211.340672</v>
      </c>
      <c r="G39" s="96">
        <v>1.2676069999999999E-2</v>
      </c>
      <c r="H39" s="86" t="s">
        <v>142</v>
      </c>
    </row>
    <row r="40" spans="1:8" x14ac:dyDescent="0.2">
      <c r="A40" s="92">
        <v>34</v>
      </c>
      <c r="B40" s="93" t="s">
        <v>696</v>
      </c>
      <c r="C40" s="93" t="s">
        <v>697</v>
      </c>
      <c r="D40" s="93" t="s">
        <v>215</v>
      </c>
      <c r="E40" s="94">
        <v>22383</v>
      </c>
      <c r="F40" s="95">
        <v>1203.9815699999999</v>
      </c>
      <c r="G40" s="96">
        <v>1.259906E-2</v>
      </c>
      <c r="H40" s="86" t="s">
        <v>142</v>
      </c>
    </row>
    <row r="41" spans="1:8" x14ac:dyDescent="0.2">
      <c r="A41" s="92">
        <v>35</v>
      </c>
      <c r="B41" s="93" t="s">
        <v>783</v>
      </c>
      <c r="C41" s="93" t="s">
        <v>784</v>
      </c>
      <c r="D41" s="93" t="s">
        <v>186</v>
      </c>
      <c r="E41" s="94">
        <v>383464</v>
      </c>
      <c r="F41" s="95">
        <v>1176.4675520000001</v>
      </c>
      <c r="G41" s="96">
        <v>1.231114E-2</v>
      </c>
      <c r="H41" s="86" t="s">
        <v>142</v>
      </c>
    </row>
    <row r="42" spans="1:8" x14ac:dyDescent="0.2">
      <c r="A42" s="92">
        <v>36</v>
      </c>
      <c r="B42" s="93" t="s">
        <v>67</v>
      </c>
      <c r="C42" s="93" t="s">
        <v>68</v>
      </c>
      <c r="D42" s="93" t="s">
        <v>43</v>
      </c>
      <c r="E42" s="94">
        <v>6400</v>
      </c>
      <c r="F42" s="95">
        <v>1137.7919999999999</v>
      </c>
      <c r="G42" s="96">
        <v>1.1906419999999999E-2</v>
      </c>
      <c r="H42" s="86" t="s">
        <v>142</v>
      </c>
    </row>
    <row r="43" spans="1:8" x14ac:dyDescent="0.2">
      <c r="A43" s="92">
        <v>37</v>
      </c>
      <c r="B43" s="93" t="s">
        <v>898</v>
      </c>
      <c r="C43" s="93" t="s">
        <v>899</v>
      </c>
      <c r="D43" s="93" t="s">
        <v>232</v>
      </c>
      <c r="E43" s="94">
        <v>29458</v>
      </c>
      <c r="F43" s="95">
        <v>922.47726999999998</v>
      </c>
      <c r="G43" s="96">
        <v>9.6532600000000003E-3</v>
      </c>
      <c r="H43" s="86" t="s">
        <v>142</v>
      </c>
    </row>
    <row r="44" spans="1:8" ht="25.5" x14ac:dyDescent="0.2">
      <c r="A44" s="92">
        <v>38</v>
      </c>
      <c r="B44" s="93" t="s">
        <v>658</v>
      </c>
      <c r="C44" s="93" t="s">
        <v>659</v>
      </c>
      <c r="D44" s="93" t="s">
        <v>225</v>
      </c>
      <c r="E44" s="94">
        <v>13659</v>
      </c>
      <c r="F44" s="95">
        <v>920.34342000000004</v>
      </c>
      <c r="G44" s="96">
        <v>9.6309299999999994E-3</v>
      </c>
      <c r="H44" s="86" t="s">
        <v>142</v>
      </c>
    </row>
    <row r="45" spans="1:8" x14ac:dyDescent="0.2">
      <c r="A45" s="92">
        <v>39</v>
      </c>
      <c r="B45" s="93" t="s">
        <v>900</v>
      </c>
      <c r="C45" s="93" t="s">
        <v>901</v>
      </c>
      <c r="D45" s="93" t="s">
        <v>186</v>
      </c>
      <c r="E45" s="94">
        <v>28695</v>
      </c>
      <c r="F45" s="95">
        <v>912.12796500000002</v>
      </c>
      <c r="G45" s="96">
        <v>9.5449599999999999E-3</v>
      </c>
      <c r="H45" s="86" t="s">
        <v>142</v>
      </c>
    </row>
    <row r="46" spans="1:8" x14ac:dyDescent="0.2">
      <c r="A46" s="92">
        <v>40</v>
      </c>
      <c r="B46" s="93" t="s">
        <v>202</v>
      </c>
      <c r="C46" s="93" t="s">
        <v>203</v>
      </c>
      <c r="D46" s="93" t="s">
        <v>204</v>
      </c>
      <c r="E46" s="94">
        <v>50906</v>
      </c>
      <c r="F46" s="95">
        <v>905.15958599999999</v>
      </c>
      <c r="G46" s="96">
        <v>9.4720399999999993E-3</v>
      </c>
      <c r="H46" s="86" t="s">
        <v>142</v>
      </c>
    </row>
    <row r="47" spans="1:8" x14ac:dyDescent="0.2">
      <c r="A47" s="92">
        <v>41</v>
      </c>
      <c r="B47" s="93" t="s">
        <v>644</v>
      </c>
      <c r="C47" s="93" t="s">
        <v>645</v>
      </c>
      <c r="D47" s="93" t="s">
        <v>35</v>
      </c>
      <c r="E47" s="94">
        <v>655489</v>
      </c>
      <c r="F47" s="95">
        <v>897.95438109999998</v>
      </c>
      <c r="G47" s="96">
        <v>9.3966399999999995E-3</v>
      </c>
      <c r="H47" s="86" t="s">
        <v>142</v>
      </c>
    </row>
    <row r="48" spans="1:8" x14ac:dyDescent="0.2">
      <c r="A48" s="92">
        <v>42</v>
      </c>
      <c r="B48" s="93" t="s">
        <v>902</v>
      </c>
      <c r="C48" s="93" t="s">
        <v>903</v>
      </c>
      <c r="D48" s="93" t="s">
        <v>186</v>
      </c>
      <c r="E48" s="94">
        <v>377334</v>
      </c>
      <c r="F48" s="95">
        <v>894.28157999999996</v>
      </c>
      <c r="G48" s="96">
        <v>9.3582100000000005E-3</v>
      </c>
      <c r="H48" s="86" t="s">
        <v>142</v>
      </c>
    </row>
    <row r="49" spans="1:8" x14ac:dyDescent="0.2">
      <c r="A49" s="92">
        <v>43</v>
      </c>
      <c r="B49" s="93" t="s">
        <v>630</v>
      </c>
      <c r="C49" s="93" t="s">
        <v>631</v>
      </c>
      <c r="D49" s="93" t="s">
        <v>241</v>
      </c>
      <c r="E49" s="94">
        <v>15573</v>
      </c>
      <c r="F49" s="95">
        <v>863.36712</v>
      </c>
      <c r="G49" s="96">
        <v>9.0346999999999997E-3</v>
      </c>
      <c r="H49" s="86" t="s">
        <v>142</v>
      </c>
    </row>
    <row r="50" spans="1:8" x14ac:dyDescent="0.2">
      <c r="A50" s="92">
        <v>44</v>
      </c>
      <c r="B50" s="93" t="s">
        <v>656</v>
      </c>
      <c r="C50" s="93" t="s">
        <v>657</v>
      </c>
      <c r="D50" s="93" t="s">
        <v>186</v>
      </c>
      <c r="E50" s="94">
        <v>40126</v>
      </c>
      <c r="F50" s="95">
        <v>837.95125800000005</v>
      </c>
      <c r="G50" s="96">
        <v>8.7687400000000006E-3</v>
      </c>
      <c r="H50" s="86" t="s">
        <v>142</v>
      </c>
    </row>
    <row r="51" spans="1:8" x14ac:dyDescent="0.2">
      <c r="A51" s="92">
        <v>45</v>
      </c>
      <c r="B51" s="93" t="s">
        <v>328</v>
      </c>
      <c r="C51" s="93" t="s">
        <v>329</v>
      </c>
      <c r="D51" s="93" t="s">
        <v>28</v>
      </c>
      <c r="E51" s="94">
        <v>17868</v>
      </c>
      <c r="F51" s="95">
        <v>836.18666399999995</v>
      </c>
      <c r="G51" s="96">
        <v>8.7502699999999992E-3</v>
      </c>
      <c r="H51" s="86" t="s">
        <v>142</v>
      </c>
    </row>
    <row r="52" spans="1:8" ht="25.5" x14ac:dyDescent="0.2">
      <c r="A52" s="92">
        <v>46</v>
      </c>
      <c r="B52" s="93" t="s">
        <v>223</v>
      </c>
      <c r="C52" s="93" t="s">
        <v>224</v>
      </c>
      <c r="D52" s="93" t="s">
        <v>225</v>
      </c>
      <c r="E52" s="94">
        <v>42547</v>
      </c>
      <c r="F52" s="95">
        <v>835.41034500000001</v>
      </c>
      <c r="G52" s="96">
        <v>8.7421500000000006E-3</v>
      </c>
      <c r="H52" s="86" t="s">
        <v>142</v>
      </c>
    </row>
    <row r="53" spans="1:8" x14ac:dyDescent="0.2">
      <c r="A53" s="92">
        <v>47</v>
      </c>
      <c r="B53" s="93" t="s">
        <v>423</v>
      </c>
      <c r="C53" s="93" t="s">
        <v>424</v>
      </c>
      <c r="D53" s="93" t="s">
        <v>204</v>
      </c>
      <c r="E53" s="94">
        <v>53808</v>
      </c>
      <c r="F53" s="95">
        <v>829.45032000000003</v>
      </c>
      <c r="G53" s="96">
        <v>8.6797799999999998E-3</v>
      </c>
      <c r="H53" s="86" t="s">
        <v>142</v>
      </c>
    </row>
    <row r="54" spans="1:8" x14ac:dyDescent="0.2">
      <c r="A54" s="92">
        <v>48</v>
      </c>
      <c r="B54" s="93" t="s">
        <v>107</v>
      </c>
      <c r="C54" s="93" t="s">
        <v>108</v>
      </c>
      <c r="D54" s="93" t="s">
        <v>109</v>
      </c>
      <c r="E54" s="94">
        <v>10713</v>
      </c>
      <c r="F54" s="95">
        <v>822.86553000000004</v>
      </c>
      <c r="G54" s="96">
        <v>8.6108799999999996E-3</v>
      </c>
      <c r="H54" s="86" t="s">
        <v>142</v>
      </c>
    </row>
    <row r="55" spans="1:8" x14ac:dyDescent="0.2">
      <c r="A55" s="92">
        <v>49</v>
      </c>
      <c r="B55" s="93" t="s">
        <v>770</v>
      </c>
      <c r="C55" s="93" t="s">
        <v>771</v>
      </c>
      <c r="D55" s="93" t="s">
        <v>272</v>
      </c>
      <c r="E55" s="94">
        <v>41175</v>
      </c>
      <c r="F55" s="95">
        <v>820.90597500000001</v>
      </c>
      <c r="G55" s="96">
        <v>8.59037E-3</v>
      </c>
      <c r="H55" s="86" t="s">
        <v>142</v>
      </c>
    </row>
    <row r="56" spans="1:8" ht="25.5" x14ac:dyDescent="0.2">
      <c r="A56" s="92">
        <v>50</v>
      </c>
      <c r="B56" s="93" t="s">
        <v>822</v>
      </c>
      <c r="C56" s="93" t="s">
        <v>823</v>
      </c>
      <c r="D56" s="93" t="s">
        <v>191</v>
      </c>
      <c r="E56" s="94">
        <v>113994</v>
      </c>
      <c r="F56" s="95">
        <v>820.87079400000005</v>
      </c>
      <c r="G56" s="96">
        <v>8.5900000000000004E-3</v>
      </c>
      <c r="H56" s="86" t="s">
        <v>142</v>
      </c>
    </row>
    <row r="57" spans="1:8" x14ac:dyDescent="0.2">
      <c r="A57" s="92">
        <v>51</v>
      </c>
      <c r="B57" s="93" t="s">
        <v>779</v>
      </c>
      <c r="C57" s="93" t="s">
        <v>780</v>
      </c>
      <c r="D57" s="93" t="s">
        <v>73</v>
      </c>
      <c r="E57" s="94">
        <v>68108</v>
      </c>
      <c r="F57" s="95">
        <v>815.86573199999998</v>
      </c>
      <c r="G57" s="96">
        <v>8.5376299999999992E-3</v>
      </c>
      <c r="H57" s="86" t="s">
        <v>142</v>
      </c>
    </row>
    <row r="58" spans="1:8" ht="25.5" x14ac:dyDescent="0.2">
      <c r="A58" s="92">
        <v>52</v>
      </c>
      <c r="B58" s="93" t="s">
        <v>436</v>
      </c>
      <c r="C58" s="93" t="s">
        <v>437</v>
      </c>
      <c r="D58" s="93" t="s">
        <v>225</v>
      </c>
      <c r="E58" s="94">
        <v>53656</v>
      </c>
      <c r="F58" s="95">
        <v>805.53752799999995</v>
      </c>
      <c r="G58" s="96">
        <v>8.4295499999999992E-3</v>
      </c>
      <c r="H58" s="86" t="s">
        <v>142</v>
      </c>
    </row>
    <row r="59" spans="1:8" x14ac:dyDescent="0.2">
      <c r="A59" s="92">
        <v>53</v>
      </c>
      <c r="B59" s="93" t="s">
        <v>432</v>
      </c>
      <c r="C59" s="93" t="s">
        <v>433</v>
      </c>
      <c r="D59" s="93" t="s">
        <v>204</v>
      </c>
      <c r="E59" s="94">
        <v>26321</v>
      </c>
      <c r="F59" s="95">
        <v>804.89617999999996</v>
      </c>
      <c r="G59" s="96">
        <v>8.4228399999999991E-3</v>
      </c>
      <c r="H59" s="86" t="s">
        <v>142</v>
      </c>
    </row>
    <row r="60" spans="1:8" x14ac:dyDescent="0.2">
      <c r="A60" s="92">
        <v>54</v>
      </c>
      <c r="B60" s="93" t="s">
        <v>904</v>
      </c>
      <c r="C60" s="93" t="s">
        <v>905</v>
      </c>
      <c r="D60" s="93" t="s">
        <v>135</v>
      </c>
      <c r="E60" s="94">
        <v>587040</v>
      </c>
      <c r="F60" s="95">
        <v>803.36424</v>
      </c>
      <c r="G60" s="96">
        <v>8.4068000000000007E-3</v>
      </c>
      <c r="H60" s="86" t="s">
        <v>142</v>
      </c>
    </row>
    <row r="61" spans="1:8" x14ac:dyDescent="0.2">
      <c r="A61" s="92">
        <v>55</v>
      </c>
      <c r="B61" s="93" t="s">
        <v>906</v>
      </c>
      <c r="C61" s="93" t="s">
        <v>907</v>
      </c>
      <c r="D61" s="93" t="s">
        <v>22</v>
      </c>
      <c r="E61" s="94">
        <v>304707</v>
      </c>
      <c r="F61" s="95">
        <v>799.24646099999995</v>
      </c>
      <c r="G61" s="96">
        <v>8.3637099999999999E-3</v>
      </c>
      <c r="H61" s="86" t="s">
        <v>142</v>
      </c>
    </row>
    <row r="62" spans="1:8" ht="25.5" x14ac:dyDescent="0.2">
      <c r="A62" s="92">
        <v>56</v>
      </c>
      <c r="B62" s="93" t="s">
        <v>350</v>
      </c>
      <c r="C62" s="93" t="s">
        <v>351</v>
      </c>
      <c r="D62" s="93" t="s">
        <v>55</v>
      </c>
      <c r="E62" s="94">
        <v>267669</v>
      </c>
      <c r="F62" s="95">
        <v>775.83859649999999</v>
      </c>
      <c r="G62" s="96">
        <v>8.1187599999999992E-3</v>
      </c>
      <c r="H62" s="86" t="s">
        <v>142</v>
      </c>
    </row>
    <row r="63" spans="1:8" x14ac:dyDescent="0.2">
      <c r="A63" s="92">
        <v>57</v>
      </c>
      <c r="B63" s="93" t="s">
        <v>908</v>
      </c>
      <c r="C63" s="93" t="s">
        <v>909</v>
      </c>
      <c r="D63" s="93" t="s">
        <v>309</v>
      </c>
      <c r="E63" s="94">
        <v>1022492</v>
      </c>
      <c r="F63" s="95">
        <v>774.94668679999995</v>
      </c>
      <c r="G63" s="96">
        <v>8.1094300000000008E-3</v>
      </c>
      <c r="H63" s="86" t="s">
        <v>142</v>
      </c>
    </row>
    <row r="64" spans="1:8" x14ac:dyDescent="0.2">
      <c r="A64" s="92">
        <v>58</v>
      </c>
      <c r="B64" s="93" t="s">
        <v>692</v>
      </c>
      <c r="C64" s="93" t="s">
        <v>693</v>
      </c>
      <c r="D64" s="93" t="s">
        <v>64</v>
      </c>
      <c r="E64" s="94">
        <v>178424</v>
      </c>
      <c r="F64" s="95">
        <v>773.20040400000005</v>
      </c>
      <c r="G64" s="96">
        <v>8.0911500000000001E-3</v>
      </c>
      <c r="H64" s="86" t="s">
        <v>142</v>
      </c>
    </row>
    <row r="65" spans="1:8" ht="25.5" x14ac:dyDescent="0.2">
      <c r="A65" s="92">
        <v>59</v>
      </c>
      <c r="B65" s="93" t="s">
        <v>305</v>
      </c>
      <c r="C65" s="93" t="s">
        <v>306</v>
      </c>
      <c r="D65" s="93" t="s">
        <v>225</v>
      </c>
      <c r="E65" s="94">
        <v>79215</v>
      </c>
      <c r="F65" s="95">
        <v>771.91056749999996</v>
      </c>
      <c r="G65" s="96">
        <v>8.0776600000000004E-3</v>
      </c>
      <c r="H65" s="86" t="s">
        <v>142</v>
      </c>
    </row>
    <row r="66" spans="1:8" ht="25.5" x14ac:dyDescent="0.2">
      <c r="A66" s="92">
        <v>60</v>
      </c>
      <c r="B66" s="93" t="s">
        <v>910</v>
      </c>
      <c r="C66" s="93" t="s">
        <v>911</v>
      </c>
      <c r="D66" s="93" t="s">
        <v>225</v>
      </c>
      <c r="E66" s="94">
        <v>60602</v>
      </c>
      <c r="F66" s="95">
        <v>770.37262399999997</v>
      </c>
      <c r="G66" s="96">
        <v>8.0615600000000006E-3</v>
      </c>
      <c r="H66" s="86" t="s">
        <v>142</v>
      </c>
    </row>
    <row r="67" spans="1:8" ht="25.5" x14ac:dyDescent="0.2">
      <c r="A67" s="92">
        <v>61</v>
      </c>
      <c r="B67" s="93" t="s">
        <v>713</v>
      </c>
      <c r="C67" s="93" t="s">
        <v>714</v>
      </c>
      <c r="D67" s="93" t="s">
        <v>225</v>
      </c>
      <c r="E67" s="94">
        <v>65902</v>
      </c>
      <c r="F67" s="95">
        <v>750.55787799999996</v>
      </c>
      <c r="G67" s="96">
        <v>7.8542100000000004E-3</v>
      </c>
      <c r="H67" s="86" t="s">
        <v>142</v>
      </c>
    </row>
    <row r="68" spans="1:8" ht="25.5" x14ac:dyDescent="0.2">
      <c r="A68" s="92">
        <v>62</v>
      </c>
      <c r="B68" s="93" t="s">
        <v>189</v>
      </c>
      <c r="C68" s="93" t="s">
        <v>190</v>
      </c>
      <c r="D68" s="93" t="s">
        <v>191</v>
      </c>
      <c r="E68" s="94">
        <v>35059</v>
      </c>
      <c r="F68" s="95">
        <v>744.86351400000001</v>
      </c>
      <c r="G68" s="96">
        <v>7.7946200000000004E-3</v>
      </c>
      <c r="H68" s="86" t="s">
        <v>142</v>
      </c>
    </row>
    <row r="69" spans="1:8" ht="25.5" x14ac:dyDescent="0.2">
      <c r="A69" s="92">
        <v>63</v>
      </c>
      <c r="B69" s="93" t="s">
        <v>912</v>
      </c>
      <c r="C69" s="93" t="s">
        <v>913</v>
      </c>
      <c r="D69" s="93" t="s">
        <v>25</v>
      </c>
      <c r="E69" s="94">
        <v>38804</v>
      </c>
      <c r="F69" s="95">
        <v>730.09726000000001</v>
      </c>
      <c r="G69" s="96">
        <v>7.6401000000000004E-3</v>
      </c>
      <c r="H69" s="86" t="s">
        <v>142</v>
      </c>
    </row>
    <row r="70" spans="1:8" x14ac:dyDescent="0.2">
      <c r="A70" s="92">
        <v>64</v>
      </c>
      <c r="B70" s="93" t="s">
        <v>246</v>
      </c>
      <c r="C70" s="93" t="s">
        <v>247</v>
      </c>
      <c r="D70" s="93" t="s">
        <v>186</v>
      </c>
      <c r="E70" s="94">
        <v>126355</v>
      </c>
      <c r="F70" s="95">
        <v>721.42387250000002</v>
      </c>
      <c r="G70" s="96">
        <v>7.5493399999999999E-3</v>
      </c>
      <c r="H70" s="86" t="s">
        <v>142</v>
      </c>
    </row>
    <row r="71" spans="1:8" x14ac:dyDescent="0.2">
      <c r="A71" s="92">
        <v>65</v>
      </c>
      <c r="B71" s="93" t="s">
        <v>29</v>
      </c>
      <c r="C71" s="93" t="s">
        <v>30</v>
      </c>
      <c r="D71" s="93" t="s">
        <v>22</v>
      </c>
      <c r="E71" s="94">
        <v>248490</v>
      </c>
      <c r="F71" s="95">
        <v>716.02393500000005</v>
      </c>
      <c r="G71" s="96">
        <v>7.4928299999999998E-3</v>
      </c>
      <c r="H71" s="86" t="s">
        <v>142</v>
      </c>
    </row>
    <row r="72" spans="1:8" x14ac:dyDescent="0.2">
      <c r="A72" s="92">
        <v>66</v>
      </c>
      <c r="B72" s="93" t="s">
        <v>502</v>
      </c>
      <c r="C72" s="93" t="s">
        <v>503</v>
      </c>
      <c r="D72" s="93" t="s">
        <v>186</v>
      </c>
      <c r="E72" s="94">
        <v>176255</v>
      </c>
      <c r="F72" s="95">
        <v>710.74828749999995</v>
      </c>
      <c r="G72" s="96">
        <v>7.4376199999999998E-3</v>
      </c>
      <c r="H72" s="86" t="s">
        <v>142</v>
      </c>
    </row>
    <row r="73" spans="1:8" ht="25.5" x14ac:dyDescent="0.2">
      <c r="A73" s="92">
        <v>67</v>
      </c>
      <c r="B73" s="93" t="s">
        <v>742</v>
      </c>
      <c r="C73" s="93" t="s">
        <v>743</v>
      </c>
      <c r="D73" s="93" t="s">
        <v>225</v>
      </c>
      <c r="E73" s="94">
        <v>57251</v>
      </c>
      <c r="F73" s="95">
        <v>685.63797599999998</v>
      </c>
      <c r="G73" s="96">
        <v>7.1748599999999999E-3</v>
      </c>
      <c r="H73" s="86" t="s">
        <v>142</v>
      </c>
    </row>
    <row r="74" spans="1:8" x14ac:dyDescent="0.2">
      <c r="A74" s="97"/>
      <c r="B74" s="97"/>
      <c r="C74" s="98" t="s">
        <v>141</v>
      </c>
      <c r="D74" s="97"/>
      <c r="E74" s="97" t="s">
        <v>142</v>
      </c>
      <c r="F74" s="99">
        <v>92646.010573599997</v>
      </c>
      <c r="G74" s="100">
        <v>0.96949401999999996</v>
      </c>
      <c r="H74" s="86" t="s">
        <v>142</v>
      </c>
    </row>
    <row r="75" spans="1:8" x14ac:dyDescent="0.2">
      <c r="A75" s="97"/>
      <c r="B75" s="97"/>
      <c r="C75" s="101"/>
      <c r="D75" s="97"/>
      <c r="E75" s="97"/>
      <c r="F75" s="102"/>
      <c r="G75" s="102"/>
      <c r="H75" s="86" t="s">
        <v>142</v>
      </c>
    </row>
    <row r="76" spans="1:8" x14ac:dyDescent="0.2">
      <c r="A76" s="97"/>
      <c r="B76" s="97"/>
      <c r="C76" s="98" t="s">
        <v>143</v>
      </c>
      <c r="D76" s="97"/>
      <c r="E76" s="97"/>
      <c r="F76" s="97"/>
      <c r="G76" s="97"/>
      <c r="H76" s="86" t="s">
        <v>142</v>
      </c>
    </row>
    <row r="77" spans="1:8" x14ac:dyDescent="0.2">
      <c r="A77" s="97"/>
      <c r="B77" s="97"/>
      <c r="C77" s="98" t="s">
        <v>141</v>
      </c>
      <c r="D77" s="97"/>
      <c r="E77" s="97" t="s">
        <v>142</v>
      </c>
      <c r="F77" s="103" t="s">
        <v>144</v>
      </c>
      <c r="G77" s="100">
        <v>0</v>
      </c>
      <c r="H77" s="86" t="s">
        <v>142</v>
      </c>
    </row>
    <row r="78" spans="1:8" x14ac:dyDescent="0.2">
      <c r="A78" s="97"/>
      <c r="B78" s="97"/>
      <c r="C78" s="101"/>
      <c r="D78" s="97"/>
      <c r="E78" s="97"/>
      <c r="F78" s="102"/>
      <c r="G78" s="102"/>
      <c r="H78" s="86" t="s">
        <v>142</v>
      </c>
    </row>
    <row r="79" spans="1:8" x14ac:dyDescent="0.2">
      <c r="A79" s="97"/>
      <c r="B79" s="97"/>
      <c r="C79" s="98" t="s">
        <v>145</v>
      </c>
      <c r="D79" s="97"/>
      <c r="E79" s="97"/>
      <c r="F79" s="97"/>
      <c r="G79" s="97"/>
      <c r="H79" s="86" t="s">
        <v>142</v>
      </c>
    </row>
    <row r="80" spans="1:8" x14ac:dyDescent="0.2">
      <c r="A80" s="97"/>
      <c r="B80" s="97"/>
      <c r="C80" s="98" t="s">
        <v>141</v>
      </c>
      <c r="D80" s="97"/>
      <c r="E80" s="97" t="s">
        <v>142</v>
      </c>
      <c r="F80" s="103" t="s">
        <v>144</v>
      </c>
      <c r="G80" s="100">
        <v>0</v>
      </c>
      <c r="H80" s="86" t="s">
        <v>142</v>
      </c>
    </row>
    <row r="81" spans="1:8" x14ac:dyDescent="0.2">
      <c r="A81" s="97"/>
      <c r="B81" s="97"/>
      <c r="C81" s="101"/>
      <c r="D81" s="97"/>
      <c r="E81" s="97"/>
      <c r="F81" s="102"/>
      <c r="G81" s="102"/>
      <c r="H81" s="86" t="s">
        <v>142</v>
      </c>
    </row>
    <row r="82" spans="1:8" x14ac:dyDescent="0.2">
      <c r="A82" s="97"/>
      <c r="B82" s="97"/>
      <c r="C82" s="98" t="s">
        <v>146</v>
      </c>
      <c r="D82" s="97"/>
      <c r="E82" s="97"/>
      <c r="F82" s="97"/>
      <c r="G82" s="97"/>
      <c r="H82" s="86" t="s">
        <v>142</v>
      </c>
    </row>
    <row r="83" spans="1:8" x14ac:dyDescent="0.2">
      <c r="A83" s="97"/>
      <c r="B83" s="97"/>
      <c r="C83" s="98" t="s">
        <v>141</v>
      </c>
      <c r="D83" s="97"/>
      <c r="E83" s="97" t="s">
        <v>142</v>
      </c>
      <c r="F83" s="103" t="s">
        <v>144</v>
      </c>
      <c r="G83" s="100">
        <v>0</v>
      </c>
      <c r="H83" s="86" t="s">
        <v>142</v>
      </c>
    </row>
    <row r="84" spans="1:8" x14ac:dyDescent="0.2">
      <c r="A84" s="97"/>
      <c r="B84" s="97"/>
      <c r="C84" s="101"/>
      <c r="D84" s="97"/>
      <c r="E84" s="97"/>
      <c r="F84" s="102"/>
      <c r="G84" s="102"/>
      <c r="H84" s="86" t="s">
        <v>142</v>
      </c>
    </row>
    <row r="85" spans="1:8" x14ac:dyDescent="0.2">
      <c r="A85" s="97"/>
      <c r="B85" s="97"/>
      <c r="C85" s="98" t="s">
        <v>147</v>
      </c>
      <c r="D85" s="97"/>
      <c r="E85" s="97"/>
      <c r="F85" s="102"/>
      <c r="G85" s="102"/>
      <c r="H85" s="86" t="s">
        <v>142</v>
      </c>
    </row>
    <row r="86" spans="1:8" x14ac:dyDescent="0.2">
      <c r="A86" s="97"/>
      <c r="B86" s="97"/>
      <c r="C86" s="98" t="s">
        <v>141</v>
      </c>
      <c r="D86" s="97"/>
      <c r="E86" s="97" t="s">
        <v>142</v>
      </c>
      <c r="F86" s="103" t="s">
        <v>144</v>
      </c>
      <c r="G86" s="100">
        <v>0</v>
      </c>
      <c r="H86" s="86" t="s">
        <v>142</v>
      </c>
    </row>
    <row r="87" spans="1:8" x14ac:dyDescent="0.2">
      <c r="A87" s="97"/>
      <c r="B87" s="97"/>
      <c r="C87" s="101"/>
      <c r="D87" s="97"/>
      <c r="E87" s="97"/>
      <c r="F87" s="102"/>
      <c r="G87" s="102"/>
      <c r="H87" s="86" t="s">
        <v>142</v>
      </c>
    </row>
    <row r="88" spans="1:8" x14ac:dyDescent="0.2">
      <c r="A88" s="97"/>
      <c r="B88" s="97"/>
      <c r="C88" s="98" t="s">
        <v>148</v>
      </c>
      <c r="D88" s="97"/>
      <c r="E88" s="97"/>
      <c r="F88" s="102"/>
      <c r="G88" s="102"/>
      <c r="H88" s="86" t="s">
        <v>142</v>
      </c>
    </row>
    <row r="89" spans="1:8" x14ac:dyDescent="0.2">
      <c r="A89" s="97"/>
      <c r="B89" s="97"/>
      <c r="C89" s="98" t="s">
        <v>141</v>
      </c>
      <c r="D89" s="97"/>
      <c r="E89" s="97" t="s">
        <v>142</v>
      </c>
      <c r="F89" s="103" t="s">
        <v>144</v>
      </c>
      <c r="G89" s="100">
        <v>0</v>
      </c>
      <c r="H89" s="86" t="s">
        <v>142</v>
      </c>
    </row>
    <row r="90" spans="1:8" x14ac:dyDescent="0.2">
      <c r="A90" s="97"/>
      <c r="B90" s="97"/>
      <c r="C90" s="101"/>
      <c r="D90" s="97"/>
      <c r="E90" s="97"/>
      <c r="F90" s="102"/>
      <c r="G90" s="102"/>
      <c r="H90" s="86" t="s">
        <v>142</v>
      </c>
    </row>
    <row r="91" spans="1:8" x14ac:dyDescent="0.2">
      <c r="A91" s="97"/>
      <c r="B91" s="97"/>
      <c r="C91" s="98" t="s">
        <v>149</v>
      </c>
      <c r="D91" s="97"/>
      <c r="E91" s="97"/>
      <c r="F91" s="99">
        <v>92646.010573599997</v>
      </c>
      <c r="G91" s="100">
        <v>0.96949401999999996</v>
      </c>
      <c r="H91" s="86" t="s">
        <v>142</v>
      </c>
    </row>
    <row r="92" spans="1:8" x14ac:dyDescent="0.2">
      <c r="A92" s="97"/>
      <c r="B92" s="97"/>
      <c r="C92" s="101"/>
      <c r="D92" s="97"/>
      <c r="E92" s="97"/>
      <c r="F92" s="102"/>
      <c r="G92" s="102"/>
      <c r="H92" s="86" t="s">
        <v>142</v>
      </c>
    </row>
    <row r="93" spans="1:8" x14ac:dyDescent="0.2">
      <c r="A93" s="97"/>
      <c r="B93" s="97"/>
      <c r="C93" s="98" t="s">
        <v>150</v>
      </c>
      <c r="D93" s="97"/>
      <c r="E93" s="97"/>
      <c r="F93" s="102"/>
      <c r="G93" s="102"/>
      <c r="H93" s="86" t="s">
        <v>142</v>
      </c>
    </row>
    <row r="94" spans="1:8" x14ac:dyDescent="0.2">
      <c r="A94" s="97"/>
      <c r="B94" s="97"/>
      <c r="C94" s="98" t="s">
        <v>10</v>
      </c>
      <c r="D94" s="97"/>
      <c r="E94" s="97"/>
      <c r="F94" s="102"/>
      <c r="G94" s="102"/>
      <c r="H94" s="86" t="s">
        <v>142</v>
      </c>
    </row>
    <row r="95" spans="1:8" x14ac:dyDescent="0.2">
      <c r="A95" s="97"/>
      <c r="B95" s="97"/>
      <c r="C95" s="98" t="s">
        <v>141</v>
      </c>
      <c r="D95" s="97"/>
      <c r="E95" s="97" t="s">
        <v>142</v>
      </c>
      <c r="F95" s="103" t="s">
        <v>144</v>
      </c>
      <c r="G95" s="100">
        <v>0</v>
      </c>
      <c r="H95" s="86" t="s">
        <v>142</v>
      </c>
    </row>
    <row r="96" spans="1:8" x14ac:dyDescent="0.2">
      <c r="A96" s="97"/>
      <c r="B96" s="97"/>
      <c r="C96" s="101"/>
      <c r="D96" s="97"/>
      <c r="E96" s="97"/>
      <c r="F96" s="102"/>
      <c r="G96" s="102"/>
      <c r="H96" s="86" t="s">
        <v>142</v>
      </c>
    </row>
    <row r="97" spans="1:8" x14ac:dyDescent="0.2">
      <c r="A97" s="97"/>
      <c r="B97" s="97"/>
      <c r="C97" s="98" t="s">
        <v>151</v>
      </c>
      <c r="D97" s="97"/>
      <c r="E97" s="97"/>
      <c r="F97" s="97"/>
      <c r="G97" s="97"/>
      <c r="H97" s="86" t="s">
        <v>142</v>
      </c>
    </row>
    <row r="98" spans="1:8" x14ac:dyDescent="0.2">
      <c r="A98" s="97"/>
      <c r="B98" s="97"/>
      <c r="C98" s="98" t="s">
        <v>141</v>
      </c>
      <c r="D98" s="97"/>
      <c r="E98" s="97" t="s">
        <v>142</v>
      </c>
      <c r="F98" s="103" t="s">
        <v>144</v>
      </c>
      <c r="G98" s="100">
        <v>0</v>
      </c>
      <c r="H98" s="86" t="s">
        <v>142</v>
      </c>
    </row>
    <row r="99" spans="1:8" x14ac:dyDescent="0.2">
      <c r="A99" s="97"/>
      <c r="B99" s="97"/>
      <c r="C99" s="101"/>
      <c r="D99" s="97"/>
      <c r="E99" s="97"/>
      <c r="F99" s="102"/>
      <c r="G99" s="102"/>
      <c r="H99" s="86" t="s">
        <v>142</v>
      </c>
    </row>
    <row r="100" spans="1:8" x14ac:dyDescent="0.2">
      <c r="A100" s="97"/>
      <c r="B100" s="97"/>
      <c r="C100" s="98" t="s">
        <v>152</v>
      </c>
      <c r="D100" s="97"/>
      <c r="E100" s="97"/>
      <c r="F100" s="97"/>
      <c r="G100" s="97"/>
      <c r="H100" s="86" t="s">
        <v>142</v>
      </c>
    </row>
    <row r="101" spans="1:8" x14ac:dyDescent="0.2">
      <c r="A101" s="97"/>
      <c r="B101" s="97"/>
      <c r="C101" s="98" t="s">
        <v>141</v>
      </c>
      <c r="D101" s="97"/>
      <c r="E101" s="97" t="s">
        <v>142</v>
      </c>
      <c r="F101" s="103" t="s">
        <v>144</v>
      </c>
      <c r="G101" s="100">
        <v>0</v>
      </c>
      <c r="H101" s="86" t="s">
        <v>142</v>
      </c>
    </row>
    <row r="102" spans="1:8" x14ac:dyDescent="0.2">
      <c r="A102" s="97"/>
      <c r="B102" s="97"/>
      <c r="C102" s="101"/>
      <c r="D102" s="97"/>
      <c r="E102" s="97"/>
      <c r="F102" s="102"/>
      <c r="G102" s="102"/>
      <c r="H102" s="86" t="s">
        <v>142</v>
      </c>
    </row>
    <row r="103" spans="1:8" x14ac:dyDescent="0.2">
      <c r="A103" s="97"/>
      <c r="B103" s="97"/>
      <c r="C103" s="98" t="s">
        <v>153</v>
      </c>
      <c r="D103" s="97"/>
      <c r="E103" s="97"/>
      <c r="F103" s="102"/>
      <c r="G103" s="102"/>
      <c r="H103" s="86" t="s">
        <v>142</v>
      </c>
    </row>
    <row r="104" spans="1:8" x14ac:dyDescent="0.2">
      <c r="A104" s="97"/>
      <c r="B104" s="97"/>
      <c r="C104" s="98" t="s">
        <v>141</v>
      </c>
      <c r="D104" s="97"/>
      <c r="E104" s="97" t="s">
        <v>142</v>
      </c>
      <c r="F104" s="103" t="s">
        <v>144</v>
      </c>
      <c r="G104" s="100">
        <v>0</v>
      </c>
      <c r="H104" s="86" t="s">
        <v>142</v>
      </c>
    </row>
    <row r="105" spans="1:8" x14ac:dyDescent="0.2">
      <c r="A105" s="97"/>
      <c r="B105" s="97"/>
      <c r="C105" s="101"/>
      <c r="D105" s="97"/>
      <c r="E105" s="97"/>
      <c r="F105" s="102"/>
      <c r="G105" s="102"/>
      <c r="H105" s="86" t="s">
        <v>142</v>
      </c>
    </row>
    <row r="106" spans="1:8" x14ac:dyDescent="0.2">
      <c r="A106" s="97"/>
      <c r="B106" s="97"/>
      <c r="C106" s="98" t="s">
        <v>154</v>
      </c>
      <c r="D106" s="97"/>
      <c r="E106" s="97"/>
      <c r="F106" s="99">
        <v>0</v>
      </c>
      <c r="G106" s="100">
        <v>0</v>
      </c>
      <c r="H106" s="86" t="s">
        <v>142</v>
      </c>
    </row>
    <row r="107" spans="1:8" x14ac:dyDescent="0.2">
      <c r="A107" s="97"/>
      <c r="B107" s="97"/>
      <c r="C107" s="101"/>
      <c r="D107" s="97"/>
      <c r="E107" s="97"/>
      <c r="F107" s="102"/>
      <c r="G107" s="102"/>
      <c r="H107" s="86" t="s">
        <v>142</v>
      </c>
    </row>
    <row r="108" spans="1:8" x14ac:dyDescent="0.2">
      <c r="A108" s="97"/>
      <c r="B108" s="97"/>
      <c r="C108" s="98" t="s">
        <v>155</v>
      </c>
      <c r="D108" s="97"/>
      <c r="E108" s="97"/>
      <c r="F108" s="102"/>
      <c r="G108" s="102"/>
      <c r="H108" s="86" t="s">
        <v>142</v>
      </c>
    </row>
    <row r="109" spans="1:8" x14ac:dyDescent="0.2">
      <c r="A109" s="97"/>
      <c r="B109" s="97"/>
      <c r="C109" s="98" t="s">
        <v>156</v>
      </c>
      <c r="D109" s="97"/>
      <c r="E109" s="97"/>
      <c r="F109" s="102"/>
      <c r="G109" s="102"/>
      <c r="H109" s="86" t="s">
        <v>142</v>
      </c>
    </row>
    <row r="110" spans="1:8" x14ac:dyDescent="0.2">
      <c r="A110" s="97"/>
      <c r="B110" s="97"/>
      <c r="C110" s="98" t="s">
        <v>141</v>
      </c>
      <c r="D110" s="97"/>
      <c r="E110" s="97" t="s">
        <v>142</v>
      </c>
      <c r="F110" s="103" t="s">
        <v>144</v>
      </c>
      <c r="G110" s="100">
        <v>0</v>
      </c>
      <c r="H110" s="86" t="s">
        <v>142</v>
      </c>
    </row>
    <row r="111" spans="1:8" x14ac:dyDescent="0.2">
      <c r="A111" s="97"/>
      <c r="B111" s="97"/>
      <c r="C111" s="101"/>
      <c r="D111" s="97"/>
      <c r="E111" s="97"/>
      <c r="F111" s="102"/>
      <c r="G111" s="102"/>
      <c r="H111" s="86" t="s">
        <v>142</v>
      </c>
    </row>
    <row r="112" spans="1:8" x14ac:dyDescent="0.2">
      <c r="A112" s="97"/>
      <c r="B112" s="97"/>
      <c r="C112" s="98" t="s">
        <v>157</v>
      </c>
      <c r="D112" s="97"/>
      <c r="E112" s="97"/>
      <c r="F112" s="102"/>
      <c r="G112" s="102"/>
      <c r="H112" s="86" t="s">
        <v>142</v>
      </c>
    </row>
    <row r="113" spans="1:8" x14ac:dyDescent="0.2">
      <c r="A113" s="97"/>
      <c r="B113" s="97"/>
      <c r="C113" s="98" t="s">
        <v>141</v>
      </c>
      <c r="D113" s="97"/>
      <c r="E113" s="97" t="s">
        <v>142</v>
      </c>
      <c r="F113" s="103" t="s">
        <v>144</v>
      </c>
      <c r="G113" s="100">
        <v>0</v>
      </c>
      <c r="H113" s="86" t="s">
        <v>142</v>
      </c>
    </row>
    <row r="114" spans="1:8" x14ac:dyDescent="0.2">
      <c r="A114" s="97"/>
      <c r="B114" s="97"/>
      <c r="C114" s="101"/>
      <c r="D114" s="97"/>
      <c r="E114" s="97"/>
      <c r="F114" s="102"/>
      <c r="G114" s="102"/>
      <c r="H114" s="86" t="s">
        <v>142</v>
      </c>
    </row>
    <row r="115" spans="1:8" x14ac:dyDescent="0.2">
      <c r="A115" s="97"/>
      <c r="B115" s="97"/>
      <c r="C115" s="98" t="s">
        <v>158</v>
      </c>
      <c r="D115" s="97"/>
      <c r="E115" s="97"/>
      <c r="F115" s="102"/>
      <c r="G115" s="102"/>
      <c r="H115" s="86" t="s">
        <v>142</v>
      </c>
    </row>
    <row r="116" spans="1:8" x14ac:dyDescent="0.2">
      <c r="A116" s="97"/>
      <c r="B116" s="97"/>
      <c r="C116" s="98" t="s">
        <v>141</v>
      </c>
      <c r="D116" s="97"/>
      <c r="E116" s="97" t="s">
        <v>142</v>
      </c>
      <c r="F116" s="103" t="s">
        <v>144</v>
      </c>
      <c r="G116" s="100">
        <v>0</v>
      </c>
      <c r="H116" s="86" t="s">
        <v>142</v>
      </c>
    </row>
    <row r="117" spans="1:8" x14ac:dyDescent="0.2">
      <c r="A117" s="97"/>
      <c r="B117" s="97"/>
      <c r="C117" s="101"/>
      <c r="D117" s="97"/>
      <c r="E117" s="97"/>
      <c r="F117" s="102"/>
      <c r="G117" s="102"/>
      <c r="H117" s="86" t="s">
        <v>142</v>
      </c>
    </row>
    <row r="118" spans="1:8" x14ac:dyDescent="0.2">
      <c r="A118" s="97"/>
      <c r="B118" s="97"/>
      <c r="C118" s="98" t="s">
        <v>159</v>
      </c>
      <c r="D118" s="97"/>
      <c r="E118" s="97"/>
      <c r="F118" s="102"/>
      <c r="G118" s="102"/>
      <c r="H118" s="86" t="s">
        <v>142</v>
      </c>
    </row>
    <row r="119" spans="1:8" x14ac:dyDescent="0.2">
      <c r="A119" s="92">
        <v>1</v>
      </c>
      <c r="B119" s="93"/>
      <c r="C119" s="93" t="s">
        <v>160</v>
      </c>
      <c r="D119" s="93"/>
      <c r="E119" s="104"/>
      <c r="F119" s="95">
        <v>2555.4347093020001</v>
      </c>
      <c r="G119" s="96">
        <v>2.6741339999999999E-2</v>
      </c>
      <c r="H119" s="86">
        <v>5.57</v>
      </c>
    </row>
    <row r="120" spans="1:8" x14ac:dyDescent="0.2">
      <c r="A120" s="97"/>
      <c r="B120" s="97"/>
      <c r="C120" s="98" t="s">
        <v>141</v>
      </c>
      <c r="D120" s="97"/>
      <c r="E120" s="97" t="s">
        <v>142</v>
      </c>
      <c r="F120" s="99">
        <v>2555.4347093020001</v>
      </c>
      <c r="G120" s="100">
        <v>2.6741339999999999E-2</v>
      </c>
      <c r="H120" s="86" t="s">
        <v>142</v>
      </c>
    </row>
    <row r="121" spans="1:8" x14ac:dyDescent="0.2">
      <c r="A121" s="97"/>
      <c r="B121" s="97"/>
      <c r="C121" s="101"/>
      <c r="D121" s="97"/>
      <c r="E121" s="97"/>
      <c r="F121" s="102"/>
      <c r="G121" s="102"/>
      <c r="H121" s="86" t="s">
        <v>142</v>
      </c>
    </row>
    <row r="122" spans="1:8" x14ac:dyDescent="0.2">
      <c r="A122" s="97"/>
      <c r="B122" s="97"/>
      <c r="C122" s="98" t="s">
        <v>161</v>
      </c>
      <c r="D122" s="97"/>
      <c r="E122" s="97"/>
      <c r="F122" s="99">
        <v>2555.4347093020001</v>
      </c>
      <c r="G122" s="100">
        <v>2.6741339999999999E-2</v>
      </c>
      <c r="H122" s="86" t="s">
        <v>142</v>
      </c>
    </row>
    <row r="123" spans="1:8" x14ac:dyDescent="0.2">
      <c r="A123" s="97"/>
      <c r="B123" s="97"/>
      <c r="C123" s="102"/>
      <c r="D123" s="97"/>
      <c r="E123" s="97"/>
      <c r="F123" s="97"/>
      <c r="G123" s="97"/>
      <c r="H123" s="86" t="s">
        <v>142</v>
      </c>
    </row>
    <row r="124" spans="1:8" x14ac:dyDescent="0.2">
      <c r="A124" s="97"/>
      <c r="B124" s="97"/>
      <c r="C124" s="98" t="s">
        <v>162</v>
      </c>
      <c r="D124" s="97"/>
      <c r="E124" s="97"/>
      <c r="F124" s="97"/>
      <c r="G124" s="97"/>
      <c r="H124" s="86" t="s">
        <v>142</v>
      </c>
    </row>
    <row r="125" spans="1:8" x14ac:dyDescent="0.2">
      <c r="A125" s="97"/>
      <c r="B125" s="97"/>
      <c r="C125" s="98" t="s">
        <v>163</v>
      </c>
      <c r="D125" s="97"/>
      <c r="E125" s="97"/>
      <c r="F125" s="97"/>
      <c r="G125" s="97"/>
      <c r="H125" s="86" t="s">
        <v>142</v>
      </c>
    </row>
    <row r="126" spans="1:8" x14ac:dyDescent="0.2">
      <c r="A126" s="97"/>
      <c r="B126" s="97"/>
      <c r="C126" s="98" t="s">
        <v>141</v>
      </c>
      <c r="D126" s="97"/>
      <c r="E126" s="97" t="s">
        <v>142</v>
      </c>
      <c r="F126" s="103" t="s">
        <v>144</v>
      </c>
      <c r="G126" s="100">
        <v>0</v>
      </c>
      <c r="H126" s="86" t="s">
        <v>142</v>
      </c>
    </row>
    <row r="127" spans="1:8" x14ac:dyDescent="0.2">
      <c r="A127" s="97"/>
      <c r="B127" s="97"/>
      <c r="C127" s="101"/>
      <c r="D127" s="97"/>
      <c r="E127" s="97"/>
      <c r="F127" s="102"/>
      <c r="G127" s="102"/>
      <c r="H127" s="86" t="s">
        <v>142</v>
      </c>
    </row>
    <row r="128" spans="1:8" x14ac:dyDescent="0.2">
      <c r="A128" s="97"/>
      <c r="B128" s="97"/>
      <c r="C128" s="98" t="s">
        <v>164</v>
      </c>
      <c r="D128" s="97"/>
      <c r="E128" s="97"/>
      <c r="F128" s="97"/>
      <c r="G128" s="97"/>
      <c r="H128" s="86" t="s">
        <v>142</v>
      </c>
    </row>
    <row r="129" spans="1:17" x14ac:dyDescent="0.2">
      <c r="A129" s="97"/>
      <c r="B129" s="97"/>
      <c r="C129" s="98" t="s">
        <v>165</v>
      </c>
      <c r="D129" s="97"/>
      <c r="E129" s="97"/>
      <c r="F129" s="97"/>
      <c r="G129" s="97"/>
      <c r="H129" s="86" t="s">
        <v>142</v>
      </c>
    </row>
    <row r="130" spans="1:17" x14ac:dyDescent="0.2">
      <c r="A130" s="97"/>
      <c r="B130" s="97"/>
      <c r="C130" s="98" t="s">
        <v>141</v>
      </c>
      <c r="D130" s="97"/>
      <c r="E130" s="97" t="s">
        <v>142</v>
      </c>
      <c r="F130" s="103" t="s">
        <v>144</v>
      </c>
      <c r="G130" s="100">
        <v>0</v>
      </c>
      <c r="H130" s="86" t="s">
        <v>142</v>
      </c>
    </row>
    <row r="131" spans="1:17" x14ac:dyDescent="0.2">
      <c r="A131" s="97"/>
      <c r="B131" s="97"/>
      <c r="C131" s="101"/>
      <c r="D131" s="97"/>
      <c r="E131" s="97"/>
      <c r="F131" s="102"/>
      <c r="G131" s="102"/>
      <c r="H131" s="86" t="s">
        <v>142</v>
      </c>
    </row>
    <row r="132" spans="1:17" x14ac:dyDescent="0.2">
      <c r="A132" s="97"/>
      <c r="B132" s="97"/>
      <c r="C132" s="98" t="s">
        <v>166</v>
      </c>
      <c r="D132" s="97"/>
      <c r="E132" s="97"/>
      <c r="F132" s="102"/>
      <c r="G132" s="102"/>
      <c r="H132" s="86" t="s">
        <v>142</v>
      </c>
    </row>
    <row r="133" spans="1:17" x14ac:dyDescent="0.2">
      <c r="A133" s="97"/>
      <c r="B133" s="97"/>
      <c r="C133" s="98" t="s">
        <v>141</v>
      </c>
      <c r="D133" s="97"/>
      <c r="E133" s="97" t="s">
        <v>142</v>
      </c>
      <c r="F133" s="103" t="s">
        <v>144</v>
      </c>
      <c r="G133" s="100">
        <v>0</v>
      </c>
      <c r="H133" s="86" t="s">
        <v>142</v>
      </c>
    </row>
    <row r="134" spans="1:17" x14ac:dyDescent="0.2">
      <c r="A134" s="97"/>
      <c r="B134" s="97"/>
      <c r="C134" s="101"/>
      <c r="D134" s="97"/>
      <c r="E134" s="97"/>
      <c r="F134" s="102"/>
      <c r="G134" s="102"/>
      <c r="H134" s="86" t="s">
        <v>142</v>
      </c>
    </row>
    <row r="135" spans="1:17" x14ac:dyDescent="0.2">
      <c r="A135" s="104"/>
      <c r="B135" s="93"/>
      <c r="C135" s="93" t="s">
        <v>167</v>
      </c>
      <c r="D135" s="93"/>
      <c r="E135" s="104"/>
      <c r="F135" s="95">
        <v>359.75442864000001</v>
      </c>
      <c r="G135" s="96">
        <v>3.76465E-3</v>
      </c>
      <c r="H135" s="86" t="s">
        <v>142</v>
      </c>
    </row>
    <row r="136" spans="1:17" x14ac:dyDescent="0.2">
      <c r="A136" s="101"/>
      <c r="B136" s="101"/>
      <c r="C136" s="98" t="s">
        <v>168</v>
      </c>
      <c r="D136" s="102"/>
      <c r="E136" s="102"/>
      <c r="F136" s="99">
        <v>95561.199711541994</v>
      </c>
      <c r="G136" s="105">
        <v>1.0000000099999999</v>
      </c>
      <c r="H136" s="86" t="s">
        <v>142</v>
      </c>
    </row>
    <row r="137" spans="1:17" ht="12.75" customHeight="1" x14ac:dyDescent="0.2">
      <c r="A137" s="106"/>
      <c r="B137" s="106"/>
      <c r="C137" s="107"/>
      <c r="D137" s="108"/>
      <c r="E137" s="108"/>
      <c r="F137" s="109"/>
      <c r="G137" s="110"/>
      <c r="H137" s="111"/>
    </row>
    <row r="138" spans="1:17" x14ac:dyDescent="0.2">
      <c r="A138" s="106"/>
      <c r="B138" s="200" t="s">
        <v>918</v>
      </c>
      <c r="C138" s="200"/>
      <c r="D138" s="200"/>
      <c r="E138" s="200"/>
      <c r="F138" s="200"/>
      <c r="G138" s="200"/>
      <c r="H138" s="200"/>
      <c r="J138" s="113"/>
    </row>
    <row r="139" spans="1:17" x14ac:dyDescent="0.2">
      <c r="A139" s="106"/>
      <c r="B139" s="200" t="s">
        <v>919</v>
      </c>
      <c r="C139" s="200"/>
      <c r="D139" s="200"/>
      <c r="E139" s="200"/>
      <c r="F139" s="200"/>
      <c r="G139" s="200"/>
      <c r="H139" s="200"/>
      <c r="J139" s="113"/>
    </row>
    <row r="140" spans="1:17" x14ac:dyDescent="0.2">
      <c r="A140" s="106"/>
      <c r="B140" s="200" t="s">
        <v>920</v>
      </c>
      <c r="C140" s="200"/>
      <c r="D140" s="200"/>
      <c r="E140" s="200"/>
      <c r="F140" s="200"/>
      <c r="G140" s="200"/>
      <c r="H140" s="200"/>
      <c r="J140" s="113"/>
    </row>
    <row r="141" spans="1:17" s="115" customFormat="1" ht="66.75" customHeight="1" x14ac:dyDescent="0.25">
      <c r="A141" s="114"/>
      <c r="B141" s="201" t="s">
        <v>921</v>
      </c>
      <c r="C141" s="201"/>
      <c r="D141" s="201"/>
      <c r="E141" s="201"/>
      <c r="F141" s="201"/>
      <c r="G141" s="201"/>
      <c r="H141" s="201"/>
      <c r="I141"/>
      <c r="J141" s="113"/>
      <c r="K141"/>
      <c r="L141"/>
      <c r="M141"/>
      <c r="N141"/>
      <c r="O141"/>
      <c r="P141"/>
      <c r="Q141"/>
    </row>
    <row r="142" spans="1:17" x14ac:dyDescent="0.2">
      <c r="A142" s="106"/>
      <c r="B142" s="200" t="s">
        <v>922</v>
      </c>
      <c r="C142" s="200"/>
      <c r="D142" s="200"/>
      <c r="E142" s="200"/>
      <c r="F142" s="200"/>
      <c r="G142" s="200"/>
      <c r="H142" s="200"/>
      <c r="J142" s="113"/>
    </row>
    <row r="143" spans="1:17" x14ac:dyDescent="0.2">
      <c r="A143" s="106"/>
      <c r="B143" s="106"/>
      <c r="C143" s="106"/>
      <c r="D143" s="108"/>
      <c r="E143" s="108"/>
      <c r="F143" s="108"/>
      <c r="G143" s="108"/>
    </row>
    <row r="144" spans="1:17" x14ac:dyDescent="0.2">
      <c r="A144" s="106"/>
      <c r="B144" s="202" t="s">
        <v>169</v>
      </c>
      <c r="C144" s="203"/>
      <c r="D144" s="204"/>
      <c r="E144" s="116"/>
      <c r="F144" s="108"/>
      <c r="G144" s="108"/>
    </row>
    <row r="145" spans="1:10" ht="27.75" customHeight="1" x14ac:dyDescent="0.2">
      <c r="A145" s="106"/>
      <c r="B145" s="205" t="s">
        <v>170</v>
      </c>
      <c r="C145" s="206"/>
      <c r="D145" s="85" t="s">
        <v>171</v>
      </c>
      <c r="E145" s="116"/>
      <c r="F145" s="108"/>
      <c r="G145" s="108"/>
    </row>
    <row r="146" spans="1:10" ht="12.75" customHeight="1" x14ac:dyDescent="0.2">
      <c r="A146" s="106"/>
      <c r="B146" s="205" t="s">
        <v>923</v>
      </c>
      <c r="C146" s="206"/>
      <c r="D146" s="85" t="s">
        <v>171</v>
      </c>
      <c r="E146" s="116"/>
      <c r="F146" s="108"/>
      <c r="G146" s="108"/>
    </row>
    <row r="147" spans="1:10" x14ac:dyDescent="0.2">
      <c r="A147" s="106"/>
      <c r="B147" s="205" t="s">
        <v>172</v>
      </c>
      <c r="C147" s="206"/>
      <c r="D147" s="117" t="s">
        <v>142</v>
      </c>
      <c r="E147" s="116"/>
      <c r="F147" s="108"/>
      <c r="G147" s="108"/>
    </row>
    <row r="148" spans="1:10" x14ac:dyDescent="0.2">
      <c r="A148" s="118"/>
      <c r="B148" s="119" t="s">
        <v>142</v>
      </c>
      <c r="C148" s="119" t="s">
        <v>924</v>
      </c>
      <c r="D148" s="119" t="s">
        <v>173</v>
      </c>
      <c r="E148" s="118"/>
      <c r="F148" s="118"/>
      <c r="G148" s="118"/>
      <c r="H148" s="118"/>
      <c r="J148" s="113"/>
    </row>
    <row r="149" spans="1:10" x14ac:dyDescent="0.2">
      <c r="A149" s="118"/>
      <c r="B149" s="120" t="s">
        <v>174</v>
      </c>
      <c r="C149" s="121">
        <v>45930</v>
      </c>
      <c r="D149" s="121">
        <v>45961</v>
      </c>
      <c r="E149" s="118"/>
      <c r="F149" s="118"/>
      <c r="G149" s="118"/>
      <c r="J149" s="113"/>
    </row>
    <row r="150" spans="1:10" x14ac:dyDescent="0.2">
      <c r="A150" s="122"/>
      <c r="B150" s="93" t="s">
        <v>175</v>
      </c>
      <c r="C150" s="123">
        <v>9.9892000000000003</v>
      </c>
      <c r="D150" s="123">
        <v>10.3462</v>
      </c>
      <c r="E150" s="122"/>
      <c r="F150" s="124"/>
      <c r="G150" s="125"/>
    </row>
    <row r="151" spans="1:10" x14ac:dyDescent="0.2">
      <c r="A151" s="122"/>
      <c r="B151" s="93" t="s">
        <v>1101</v>
      </c>
      <c r="C151" s="123">
        <v>9.9892000000000003</v>
      </c>
      <c r="D151" s="123">
        <v>10.3462</v>
      </c>
      <c r="E151" s="122"/>
      <c r="F151" s="124"/>
      <c r="G151" s="125"/>
    </row>
    <row r="152" spans="1:10" x14ac:dyDescent="0.2">
      <c r="A152" s="122"/>
      <c r="B152" s="93" t="s">
        <v>176</v>
      </c>
      <c r="C152" s="123">
        <v>9.9564000000000004</v>
      </c>
      <c r="D152" s="123">
        <v>10.2974</v>
      </c>
      <c r="E152" s="122"/>
      <c r="F152" s="124"/>
      <c r="G152" s="125"/>
    </row>
    <row r="153" spans="1:10" x14ac:dyDescent="0.2">
      <c r="A153" s="122"/>
      <c r="B153" s="93" t="s">
        <v>1102</v>
      </c>
      <c r="C153" s="123">
        <v>9.9564000000000004</v>
      </c>
      <c r="D153" s="123">
        <v>10.2974</v>
      </c>
      <c r="E153" s="122"/>
      <c r="F153" s="124"/>
      <c r="G153" s="125"/>
    </row>
    <row r="154" spans="1:10" x14ac:dyDescent="0.2">
      <c r="A154" s="122"/>
      <c r="B154" s="122"/>
      <c r="C154" s="122"/>
      <c r="D154" s="122"/>
      <c r="E154" s="122"/>
      <c r="F154" s="122"/>
      <c r="G154" s="122"/>
    </row>
    <row r="155" spans="1:10" x14ac:dyDescent="0.2">
      <c r="A155" s="118"/>
      <c r="B155" s="205" t="s">
        <v>925</v>
      </c>
      <c r="C155" s="206"/>
      <c r="D155" s="85" t="s">
        <v>171</v>
      </c>
      <c r="E155" s="118"/>
      <c r="F155" s="118"/>
      <c r="G155" s="118"/>
    </row>
    <row r="156" spans="1:10" x14ac:dyDescent="0.2">
      <c r="A156" s="118"/>
      <c r="B156" s="136"/>
      <c r="C156" s="136"/>
      <c r="D156" s="136"/>
      <c r="E156" s="118"/>
      <c r="F156" s="118"/>
      <c r="G156" s="118"/>
    </row>
    <row r="157" spans="1:10" x14ac:dyDescent="0.2">
      <c r="A157" s="118"/>
      <c r="B157" s="205" t="s">
        <v>179</v>
      </c>
      <c r="C157" s="206"/>
      <c r="D157" s="85" t="s">
        <v>171</v>
      </c>
      <c r="E157" s="131"/>
      <c r="F157" s="118"/>
      <c r="G157" s="118"/>
    </row>
    <row r="158" spans="1:10" x14ac:dyDescent="0.2">
      <c r="A158" s="118"/>
      <c r="B158" s="205" t="s">
        <v>180</v>
      </c>
      <c r="C158" s="206"/>
      <c r="D158" s="85" t="s">
        <v>171</v>
      </c>
      <c r="E158" s="131"/>
      <c r="F158" s="118"/>
      <c r="G158" s="118"/>
    </row>
    <row r="159" spans="1:10" ht="17.100000000000001" customHeight="1" x14ac:dyDescent="0.2">
      <c r="A159" s="118"/>
      <c r="B159" s="205" t="s">
        <v>181</v>
      </c>
      <c r="C159" s="206"/>
      <c r="D159" s="85" t="s">
        <v>171</v>
      </c>
      <c r="E159" s="131"/>
      <c r="F159" s="118"/>
      <c r="G159" s="118"/>
    </row>
    <row r="160" spans="1:10" ht="17.100000000000001" customHeight="1" x14ac:dyDescent="0.2">
      <c r="A160" s="118"/>
      <c r="B160" s="205" t="s">
        <v>182</v>
      </c>
      <c r="C160" s="206"/>
      <c r="D160" s="132">
        <v>0.19589999999999999</v>
      </c>
      <c r="E160" s="118"/>
      <c r="F160" s="112"/>
      <c r="G160" s="133"/>
    </row>
    <row r="163" spans="2:4" x14ac:dyDescent="0.2">
      <c r="B163" s="199" t="s">
        <v>926</v>
      </c>
      <c r="C163" s="199"/>
    </row>
    <row r="165" spans="2:4" ht="153.75" customHeight="1" x14ac:dyDescent="0.2"/>
    <row r="168" spans="2:4" x14ac:dyDescent="0.2">
      <c r="B168" s="134" t="s">
        <v>927</v>
      </c>
      <c r="C168" s="135"/>
      <c r="D168" s="134"/>
    </row>
    <row r="169" spans="2:4" x14ac:dyDescent="0.2">
      <c r="B169" s="134" t="s">
        <v>1095</v>
      </c>
      <c r="D169" s="134"/>
    </row>
    <row r="170" spans="2:4" ht="165" customHeight="1" x14ac:dyDescent="0.2"/>
    <row r="171" spans="2:4" ht="12.75" customHeight="1" x14ac:dyDescent="0.2"/>
    <row r="172" spans="2:4" ht="12.75" customHeight="1" x14ac:dyDescent="0.2"/>
    <row r="173" spans="2:4" ht="12.75" customHeight="1" x14ac:dyDescent="0.2"/>
    <row r="174" spans="2:4" ht="12.75" customHeight="1" x14ac:dyDescent="0.2"/>
    <row r="175" spans="2:4" ht="12.75" customHeight="1" x14ac:dyDescent="0.2"/>
    <row r="176" spans="2:4" ht="12.75" customHeight="1" x14ac:dyDescent="0.2"/>
    <row r="177" customFormat="1" x14ac:dyDescent="0.2"/>
  </sheetData>
  <mergeCells count="18">
    <mergeCell ref="B157:C157"/>
    <mergeCell ref="B158:C158"/>
    <mergeCell ref="B163:C163"/>
    <mergeCell ref="B160:C160"/>
    <mergeCell ref="A1:H1"/>
    <mergeCell ref="A2:H2"/>
    <mergeCell ref="A3:H3"/>
    <mergeCell ref="B155:C155"/>
    <mergeCell ref="B159:C159"/>
    <mergeCell ref="B138:H138"/>
    <mergeCell ref="B139:H139"/>
    <mergeCell ref="B146:C146"/>
    <mergeCell ref="B147:C147"/>
    <mergeCell ref="B140:H140"/>
    <mergeCell ref="B141:H141"/>
    <mergeCell ref="B142:H142"/>
    <mergeCell ref="B144:D144"/>
    <mergeCell ref="B145:C145"/>
  </mergeCells>
  <hyperlinks>
    <hyperlink ref="I1" location="Index!B2" display="Index" xr:uid="{AEF53534-9464-47EC-8957-91E65E72FF24}"/>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91DAE-20EB-4093-9057-E81DC9A6190D}">
  <sheetPr>
    <pageSetUpPr fitToPage="1"/>
  </sheetPr>
  <dimension ref="A1:K217"/>
  <sheetViews>
    <sheetView zoomScaleNormal="100" workbookViewId="0">
      <selection activeCell="C194" sqref="C194"/>
    </sheetView>
  </sheetViews>
  <sheetFormatPr defaultColWidth="9.140625" defaultRowHeight="13.5" x14ac:dyDescent="0.25"/>
  <cols>
    <col min="1" max="1" width="23.85546875" style="23" customWidth="1"/>
    <col min="2" max="2" width="54.7109375" style="23" customWidth="1"/>
    <col min="3" max="3" width="24" style="23" customWidth="1"/>
    <col min="4" max="4" width="20.140625" style="23" bestFit="1" customWidth="1"/>
    <col min="5" max="5" width="16.5703125" style="23" customWidth="1"/>
    <col min="6" max="6" width="18.7109375" style="23" bestFit="1" customWidth="1"/>
    <col min="7" max="7" width="17.5703125" style="23" customWidth="1"/>
    <col min="8" max="8" width="15.5703125" style="23" bestFit="1" customWidth="1"/>
    <col min="9" max="9" width="13.5703125" style="23" customWidth="1"/>
    <col min="10" max="10" width="20.5703125" style="23" customWidth="1"/>
    <col min="11" max="11" width="12.42578125" style="23" bestFit="1" customWidth="1"/>
    <col min="12" max="16384" width="9.140625" style="23"/>
  </cols>
  <sheetData>
    <row r="1" spans="1:10" x14ac:dyDescent="0.25">
      <c r="F1" s="22" t="s">
        <v>956</v>
      </c>
    </row>
    <row r="2" spans="1:10" x14ac:dyDescent="0.25">
      <c r="A2" s="242" t="s">
        <v>1162</v>
      </c>
      <c r="B2" s="242"/>
      <c r="C2" s="242"/>
      <c r="D2" s="242"/>
      <c r="E2" s="242"/>
      <c r="F2" s="242"/>
    </row>
    <row r="3" spans="1:10" x14ac:dyDescent="0.25">
      <c r="A3" s="242" t="s">
        <v>1163</v>
      </c>
      <c r="B3" s="242"/>
      <c r="C3" s="242"/>
      <c r="D3" s="242"/>
      <c r="E3" s="242"/>
      <c r="F3" s="242"/>
    </row>
    <row r="4" spans="1:10" x14ac:dyDescent="0.25">
      <c r="A4" s="22"/>
      <c r="B4" s="22"/>
      <c r="C4" s="22"/>
      <c r="D4" s="22"/>
      <c r="E4" s="22"/>
      <c r="F4" s="22"/>
    </row>
    <row r="5" spans="1:10" x14ac:dyDescent="0.25">
      <c r="A5" s="242" t="s">
        <v>1164</v>
      </c>
      <c r="B5" s="242"/>
      <c r="C5" s="242"/>
      <c r="D5" s="242"/>
      <c r="E5" s="242"/>
      <c r="F5" s="242"/>
    </row>
    <row r="6" spans="1:10" x14ac:dyDescent="0.25">
      <c r="A6" s="22" t="s">
        <v>1165</v>
      </c>
    </row>
    <row r="8" spans="1:10" s="22" customFormat="1" ht="27" x14ac:dyDescent="0.25">
      <c r="A8" s="24" t="s">
        <v>1166</v>
      </c>
      <c r="B8" s="24" t="s">
        <v>1167</v>
      </c>
      <c r="C8" s="24" t="s">
        <v>1168</v>
      </c>
      <c r="D8" s="25" t="s">
        <v>1169</v>
      </c>
      <c r="E8" s="25" t="s">
        <v>1170</v>
      </c>
      <c r="F8" s="25" t="s">
        <v>1171</v>
      </c>
    </row>
    <row r="9" spans="1:10" x14ac:dyDescent="0.25">
      <c r="A9" s="26" t="s">
        <v>626</v>
      </c>
      <c r="B9" s="26" t="s">
        <v>1029</v>
      </c>
      <c r="C9" s="27" t="s">
        <v>1172</v>
      </c>
      <c r="D9" s="28">
        <v>2554.89</v>
      </c>
      <c r="E9" s="29">
        <v>2492</v>
      </c>
      <c r="F9" s="30">
        <v>171.37943999999999</v>
      </c>
      <c r="J9" s="31"/>
    </row>
    <row r="10" spans="1:10" x14ac:dyDescent="0.25">
      <c r="A10" s="26" t="s">
        <v>626</v>
      </c>
      <c r="B10" s="26" t="s">
        <v>1013</v>
      </c>
      <c r="C10" s="27" t="s">
        <v>1172</v>
      </c>
      <c r="D10" s="28">
        <v>1449.57</v>
      </c>
      <c r="E10" s="29">
        <v>1460</v>
      </c>
      <c r="F10" s="30">
        <v>63.926212499999998</v>
      </c>
    </row>
    <row r="11" spans="1:10" x14ac:dyDescent="0.25">
      <c r="A11" s="26" t="s">
        <v>626</v>
      </c>
      <c r="B11" s="26" t="s">
        <v>943</v>
      </c>
      <c r="C11" s="27" t="s">
        <v>1172</v>
      </c>
      <c r="D11" s="28">
        <v>8059.32</v>
      </c>
      <c r="E11" s="29">
        <v>8009.5</v>
      </c>
      <c r="F11" s="30">
        <v>48.312275</v>
      </c>
    </row>
    <row r="12" spans="1:10" x14ac:dyDescent="0.25">
      <c r="A12" s="26" t="s">
        <v>626</v>
      </c>
      <c r="B12" s="26" t="s">
        <v>1036</v>
      </c>
      <c r="C12" s="27" t="s">
        <v>1172</v>
      </c>
      <c r="D12" s="28">
        <v>1268.3399999999999</v>
      </c>
      <c r="E12" s="29">
        <v>1240.5999999999999</v>
      </c>
      <c r="F12" s="30">
        <v>236.51371490000002</v>
      </c>
    </row>
    <row r="13" spans="1:10" x14ac:dyDescent="0.25">
      <c r="A13" s="26" t="s">
        <v>626</v>
      </c>
      <c r="B13" s="26" t="s">
        <v>1035</v>
      </c>
      <c r="C13" s="27" t="s">
        <v>1172</v>
      </c>
      <c r="D13" s="28">
        <v>1088.1199999999999</v>
      </c>
      <c r="E13" s="29">
        <v>1049.5999999999999</v>
      </c>
      <c r="F13" s="30">
        <v>231.75758999999999</v>
      </c>
    </row>
    <row r="14" spans="1:10" x14ac:dyDescent="0.25">
      <c r="A14" s="26" t="s">
        <v>626</v>
      </c>
      <c r="B14" s="26" t="s">
        <v>996</v>
      </c>
      <c r="C14" s="27" t="s">
        <v>1172</v>
      </c>
      <c r="D14" s="28">
        <v>2191.34</v>
      </c>
      <c r="E14" s="29">
        <v>2102</v>
      </c>
      <c r="F14" s="30">
        <v>12.969250000000001</v>
      </c>
    </row>
    <row r="15" spans="1:10" x14ac:dyDescent="0.25">
      <c r="A15" s="26" t="s">
        <v>626</v>
      </c>
      <c r="B15" s="26" t="s">
        <v>1011</v>
      </c>
      <c r="C15" s="27" t="s">
        <v>1172</v>
      </c>
      <c r="D15" s="28">
        <v>271.02999999999997</v>
      </c>
      <c r="E15" s="29">
        <v>279.7</v>
      </c>
      <c r="F15" s="30">
        <v>54.422039000000005</v>
      </c>
    </row>
    <row r="16" spans="1:10" x14ac:dyDescent="0.25">
      <c r="A16" s="26" t="s">
        <v>626</v>
      </c>
      <c r="B16" s="26" t="s">
        <v>1024</v>
      </c>
      <c r="C16" s="27" t="s">
        <v>1172</v>
      </c>
      <c r="D16" s="28">
        <v>1537.18</v>
      </c>
      <c r="E16" s="29">
        <v>1541.1</v>
      </c>
      <c r="F16" s="30">
        <v>138.88482300000001</v>
      </c>
    </row>
    <row r="17" spans="1:6" x14ac:dyDescent="0.25">
      <c r="A17" s="26" t="s">
        <v>626</v>
      </c>
      <c r="B17" s="26" t="s">
        <v>1031</v>
      </c>
      <c r="C17" s="27" t="s">
        <v>1172</v>
      </c>
      <c r="D17" s="28">
        <v>2062.5</v>
      </c>
      <c r="E17" s="29">
        <v>2067.6</v>
      </c>
      <c r="F17" s="30">
        <v>128.13440400000002</v>
      </c>
    </row>
    <row r="18" spans="1:6" x14ac:dyDescent="0.25">
      <c r="A18" s="26" t="s">
        <v>626</v>
      </c>
      <c r="B18" s="26" t="s">
        <v>1003</v>
      </c>
      <c r="C18" s="27" t="s">
        <v>1172</v>
      </c>
      <c r="D18" s="28">
        <v>6043.4</v>
      </c>
      <c r="E18" s="29">
        <v>5871.5</v>
      </c>
      <c r="F18" s="30">
        <v>32.360077500000003</v>
      </c>
    </row>
    <row r="19" spans="1:6" x14ac:dyDescent="0.25">
      <c r="A19" s="26" t="s">
        <v>626</v>
      </c>
      <c r="B19" s="26" t="s">
        <v>1015</v>
      </c>
      <c r="C19" s="27" t="s">
        <v>1172</v>
      </c>
      <c r="D19" s="28">
        <v>2512.36</v>
      </c>
      <c r="E19" s="29">
        <v>2495.3000000000002</v>
      </c>
      <c r="F19" s="30">
        <v>104.4151416</v>
      </c>
    </row>
    <row r="20" spans="1:6" x14ac:dyDescent="0.25">
      <c r="A20" s="26" t="s">
        <v>626</v>
      </c>
      <c r="B20" s="26" t="s">
        <v>1007</v>
      </c>
      <c r="C20" s="27" t="s">
        <v>1172</v>
      </c>
      <c r="D20" s="28">
        <v>126.86</v>
      </c>
      <c r="E20" s="29">
        <v>137.69</v>
      </c>
      <c r="F20" s="30">
        <v>46.674815000000002</v>
      </c>
    </row>
    <row r="21" spans="1:6" x14ac:dyDescent="0.25">
      <c r="A21" s="26" t="s">
        <v>626</v>
      </c>
      <c r="B21" s="26" t="s">
        <v>1009</v>
      </c>
      <c r="C21" s="27" t="s">
        <v>1172</v>
      </c>
      <c r="D21" s="28">
        <v>1590.44</v>
      </c>
      <c r="E21" s="29">
        <v>1507.3</v>
      </c>
      <c r="F21" s="30">
        <v>41.935240200000003</v>
      </c>
    </row>
    <row r="22" spans="1:6" x14ac:dyDescent="0.25">
      <c r="A22" s="26" t="s">
        <v>626</v>
      </c>
      <c r="B22" s="26" t="s">
        <v>995</v>
      </c>
      <c r="C22" s="27" t="s">
        <v>1172</v>
      </c>
      <c r="D22" s="28">
        <v>6624</v>
      </c>
      <c r="E22" s="29">
        <v>6789.5</v>
      </c>
      <c r="F22" s="30">
        <v>2.3917449999999998</v>
      </c>
    </row>
    <row r="23" spans="1:6" x14ac:dyDescent="0.25">
      <c r="A23" s="26" t="s">
        <v>626</v>
      </c>
      <c r="B23" s="26" t="s">
        <v>998</v>
      </c>
      <c r="C23" s="27" t="s">
        <v>1172</v>
      </c>
      <c r="D23" s="28">
        <v>774.2</v>
      </c>
      <c r="E23" s="29">
        <v>761.15</v>
      </c>
      <c r="F23" s="30">
        <v>17.193359399999999</v>
      </c>
    </row>
    <row r="24" spans="1:6" x14ac:dyDescent="0.25">
      <c r="A24" s="26" t="s">
        <v>626</v>
      </c>
      <c r="B24" s="26" t="s">
        <v>1005</v>
      </c>
      <c r="C24" s="27" t="s">
        <v>1172</v>
      </c>
      <c r="D24" s="28">
        <v>337.91</v>
      </c>
      <c r="E24" s="29">
        <v>319.89999999999998</v>
      </c>
      <c r="F24" s="30">
        <v>49.261097700000008</v>
      </c>
    </row>
    <row r="25" spans="1:6" x14ac:dyDescent="0.25">
      <c r="A25" s="26" t="s">
        <v>626</v>
      </c>
      <c r="B25" s="26" t="s">
        <v>1028</v>
      </c>
      <c r="C25" s="27" t="s">
        <v>1172</v>
      </c>
      <c r="D25" s="28">
        <v>563.42999999999995</v>
      </c>
      <c r="E25" s="29">
        <v>568.75</v>
      </c>
      <c r="F25" s="30">
        <v>120.277366</v>
      </c>
    </row>
    <row r="26" spans="1:6" x14ac:dyDescent="0.25">
      <c r="A26" s="26" t="s">
        <v>626</v>
      </c>
      <c r="B26" s="26" t="s">
        <v>1034</v>
      </c>
      <c r="C26" s="27" t="s">
        <v>1172</v>
      </c>
      <c r="D26" s="28">
        <v>1006.59</v>
      </c>
      <c r="E26" s="29">
        <v>993.9</v>
      </c>
      <c r="F26" s="30">
        <v>215.84209920000001</v>
      </c>
    </row>
    <row r="27" spans="1:6" x14ac:dyDescent="0.25">
      <c r="A27" s="26" t="s">
        <v>626</v>
      </c>
      <c r="B27" s="26" t="s">
        <v>1027</v>
      </c>
      <c r="C27" s="27" t="s">
        <v>1172</v>
      </c>
      <c r="D27" s="28">
        <v>5646.2</v>
      </c>
      <c r="E27" s="29">
        <v>5579</v>
      </c>
      <c r="F27" s="30">
        <v>109.189035</v>
      </c>
    </row>
    <row r="28" spans="1:6" x14ac:dyDescent="0.25">
      <c r="A28" s="26" t="s">
        <v>626</v>
      </c>
      <c r="B28" s="26" t="s">
        <v>1030</v>
      </c>
      <c r="C28" s="27" t="s">
        <v>1172</v>
      </c>
      <c r="D28" s="28">
        <v>787.45</v>
      </c>
      <c r="E28" s="29">
        <v>853.4</v>
      </c>
      <c r="F28" s="30">
        <v>125.591228</v>
      </c>
    </row>
    <row r="29" spans="1:6" x14ac:dyDescent="0.25">
      <c r="A29" s="26" t="s">
        <v>626</v>
      </c>
      <c r="B29" s="26" t="s">
        <v>1022</v>
      </c>
      <c r="C29" s="27" t="s">
        <v>1172</v>
      </c>
      <c r="D29" s="28">
        <v>4748.2</v>
      </c>
      <c r="E29" s="29">
        <v>4712</v>
      </c>
      <c r="F29" s="30">
        <v>99.599940000000004</v>
      </c>
    </row>
    <row r="30" spans="1:6" x14ac:dyDescent="0.25">
      <c r="A30" s="26" t="s">
        <v>626</v>
      </c>
      <c r="B30" s="26" t="s">
        <v>1012</v>
      </c>
      <c r="C30" s="27" t="s">
        <v>1172</v>
      </c>
      <c r="D30" s="28">
        <v>2611.6</v>
      </c>
      <c r="E30" s="29">
        <v>2462.4</v>
      </c>
      <c r="F30" s="30">
        <v>55.038563999999994</v>
      </c>
    </row>
    <row r="31" spans="1:6" x14ac:dyDescent="0.25">
      <c r="A31" s="26" t="s">
        <v>626</v>
      </c>
      <c r="B31" s="26" t="s">
        <v>1038</v>
      </c>
      <c r="C31" s="27" t="s">
        <v>1172</v>
      </c>
      <c r="D31" s="28">
        <v>1391.86</v>
      </c>
      <c r="E31" s="29">
        <v>1354.4</v>
      </c>
      <c r="F31" s="30">
        <v>377.66136799999998</v>
      </c>
    </row>
    <row r="32" spans="1:6" x14ac:dyDescent="0.25">
      <c r="A32" s="26" t="s">
        <v>626</v>
      </c>
      <c r="B32" s="26" t="s">
        <v>1019</v>
      </c>
      <c r="C32" s="27" t="s">
        <v>1172</v>
      </c>
      <c r="D32" s="28">
        <v>742.64</v>
      </c>
      <c r="E32" s="29">
        <v>746.9</v>
      </c>
      <c r="F32" s="30">
        <v>81.856269999999995</v>
      </c>
    </row>
    <row r="33" spans="1:6" x14ac:dyDescent="0.25">
      <c r="A33" s="26" t="s">
        <v>626</v>
      </c>
      <c r="B33" s="26" t="s">
        <v>1014</v>
      </c>
      <c r="C33" s="27" t="s">
        <v>1172</v>
      </c>
      <c r="D33" s="28">
        <v>718.56</v>
      </c>
      <c r="E33" s="29">
        <v>719.75</v>
      </c>
      <c r="F33" s="30">
        <v>59.082327699999993</v>
      </c>
    </row>
    <row r="34" spans="1:6" x14ac:dyDescent="0.25">
      <c r="A34" s="26" t="s">
        <v>626</v>
      </c>
      <c r="B34" s="26" t="s">
        <v>1006</v>
      </c>
      <c r="C34" s="27" t="s">
        <v>1172</v>
      </c>
      <c r="D34" s="28">
        <v>379.69</v>
      </c>
      <c r="E34" s="29">
        <v>366.15</v>
      </c>
      <c r="F34" s="30">
        <v>48.775964100000003</v>
      </c>
    </row>
    <row r="35" spans="1:6" x14ac:dyDescent="0.25">
      <c r="A35" s="26" t="s">
        <v>626</v>
      </c>
      <c r="B35" s="26" t="s">
        <v>1016</v>
      </c>
      <c r="C35" s="27" t="s">
        <v>1172</v>
      </c>
      <c r="D35" s="28">
        <v>764.22</v>
      </c>
      <c r="E35" s="29">
        <v>798.3</v>
      </c>
      <c r="F35" s="30">
        <v>90.287424500000014</v>
      </c>
    </row>
    <row r="36" spans="1:6" x14ac:dyDescent="0.25">
      <c r="A36" s="26" t="s">
        <v>626</v>
      </c>
      <c r="B36" s="26" t="s">
        <v>1037</v>
      </c>
      <c r="C36" s="27" t="s">
        <v>1172</v>
      </c>
      <c r="D36" s="28">
        <v>421.42</v>
      </c>
      <c r="E36" s="29">
        <v>423</v>
      </c>
      <c r="F36" s="30">
        <v>348.46111999999999</v>
      </c>
    </row>
    <row r="37" spans="1:6" x14ac:dyDescent="0.25">
      <c r="A37" s="26" t="s">
        <v>626</v>
      </c>
      <c r="B37" s="26" t="s">
        <v>999</v>
      </c>
      <c r="C37" s="27" t="s">
        <v>1172</v>
      </c>
      <c r="D37" s="28">
        <v>534.24</v>
      </c>
      <c r="E37" s="29">
        <v>530.70000000000005</v>
      </c>
      <c r="F37" s="30">
        <v>22.17681</v>
      </c>
    </row>
    <row r="38" spans="1:6" x14ac:dyDescent="0.25">
      <c r="A38" s="26" t="s">
        <v>626</v>
      </c>
      <c r="B38" s="26" t="s">
        <v>1023</v>
      </c>
      <c r="C38" s="27" t="s">
        <v>1172</v>
      </c>
      <c r="D38" s="28">
        <v>2236.1999999999998</v>
      </c>
      <c r="E38" s="29">
        <v>2116.1999999999998</v>
      </c>
      <c r="F38" s="30">
        <v>85.050156000000001</v>
      </c>
    </row>
    <row r="39" spans="1:6" x14ac:dyDescent="0.25">
      <c r="A39" s="26" t="s">
        <v>626</v>
      </c>
      <c r="B39" s="26" t="s">
        <v>1032</v>
      </c>
      <c r="C39" s="27" t="s">
        <v>1172</v>
      </c>
      <c r="D39" s="28">
        <v>3941.08</v>
      </c>
      <c r="E39" s="29">
        <v>4054.1</v>
      </c>
      <c r="F39" s="30">
        <v>141.4176468</v>
      </c>
    </row>
    <row r="40" spans="1:6" x14ac:dyDescent="0.25">
      <c r="A40" s="26" t="s">
        <v>626</v>
      </c>
      <c r="B40" s="26" t="s">
        <v>1000</v>
      </c>
      <c r="C40" s="27" t="s">
        <v>1172</v>
      </c>
      <c r="D40" s="28">
        <v>3658.13</v>
      </c>
      <c r="E40" s="29">
        <v>3510.2</v>
      </c>
      <c r="F40" s="30">
        <v>24.528886</v>
      </c>
    </row>
    <row r="41" spans="1:6" x14ac:dyDescent="0.25">
      <c r="A41" s="26" t="s">
        <v>626</v>
      </c>
      <c r="B41" s="26" t="s">
        <v>1021</v>
      </c>
      <c r="C41" s="27" t="s">
        <v>1172</v>
      </c>
      <c r="D41" s="28">
        <v>1553.64</v>
      </c>
      <c r="E41" s="29">
        <v>1552.5</v>
      </c>
      <c r="F41" s="30">
        <v>83.377319999999997</v>
      </c>
    </row>
    <row r="42" spans="1:6" x14ac:dyDescent="0.25">
      <c r="A42" s="26" t="s">
        <v>626</v>
      </c>
      <c r="B42" s="26" t="s">
        <v>1026</v>
      </c>
      <c r="C42" s="27" t="s">
        <v>1172</v>
      </c>
      <c r="D42" s="28">
        <v>240.16</v>
      </c>
      <c r="E42" s="29">
        <v>234.64</v>
      </c>
      <c r="F42" s="30">
        <v>137.54975999999999</v>
      </c>
    </row>
    <row r="43" spans="1:6" x14ac:dyDescent="0.25">
      <c r="A43" s="26" t="s">
        <v>626</v>
      </c>
      <c r="B43" s="26" t="s">
        <v>994</v>
      </c>
      <c r="C43" s="27" t="s">
        <v>1172</v>
      </c>
      <c r="D43" s="28">
        <v>1301.2</v>
      </c>
      <c r="E43" s="29">
        <v>1280</v>
      </c>
      <c r="F43" s="30">
        <v>1.1282000000000001</v>
      </c>
    </row>
    <row r="44" spans="1:6" x14ac:dyDescent="0.25">
      <c r="A44" s="26" t="s">
        <v>626</v>
      </c>
      <c r="B44" s="26" t="s">
        <v>997</v>
      </c>
      <c r="C44" s="27" t="s">
        <v>1172</v>
      </c>
      <c r="D44" s="28">
        <v>40685</v>
      </c>
      <c r="E44" s="29">
        <v>40690</v>
      </c>
      <c r="F44" s="30">
        <v>14.202337500000001</v>
      </c>
    </row>
    <row r="45" spans="1:6" x14ac:dyDescent="0.25">
      <c r="A45" s="26" t="s">
        <v>626</v>
      </c>
      <c r="B45" s="26" t="s">
        <v>1001</v>
      </c>
      <c r="C45" s="27" t="s">
        <v>1172</v>
      </c>
      <c r="D45" s="28">
        <v>907.73</v>
      </c>
      <c r="E45" s="29">
        <v>932.1</v>
      </c>
      <c r="F45" s="30">
        <v>36.2674272</v>
      </c>
    </row>
    <row r="46" spans="1:6" x14ac:dyDescent="0.25">
      <c r="A46" s="26" t="s">
        <v>626</v>
      </c>
      <c r="B46" s="26" t="s">
        <v>1017</v>
      </c>
      <c r="C46" s="27" t="s">
        <v>1172</v>
      </c>
      <c r="D46" s="28">
        <v>284.11</v>
      </c>
      <c r="E46" s="29">
        <v>285.89999999999998</v>
      </c>
      <c r="F46" s="30">
        <v>71.687019000000006</v>
      </c>
    </row>
    <row r="47" spans="1:6" x14ac:dyDescent="0.25">
      <c r="A47" s="26" t="s">
        <v>626</v>
      </c>
      <c r="B47" s="26" t="s">
        <v>1008</v>
      </c>
      <c r="C47" s="27" t="s">
        <v>1172</v>
      </c>
      <c r="D47" s="28">
        <v>120.11</v>
      </c>
      <c r="E47" s="29">
        <v>123.35</v>
      </c>
      <c r="F47" s="30">
        <v>47.149920000000002</v>
      </c>
    </row>
    <row r="48" spans="1:6" x14ac:dyDescent="0.25">
      <c r="A48" s="26" t="s">
        <v>626</v>
      </c>
      <c r="B48" s="26" t="s">
        <v>1020</v>
      </c>
      <c r="C48" s="27" t="s">
        <v>1172</v>
      </c>
      <c r="D48" s="28">
        <v>326.83999999999997</v>
      </c>
      <c r="E48" s="29">
        <v>327.9</v>
      </c>
      <c r="F48" s="30">
        <v>176.26947429999998</v>
      </c>
    </row>
    <row r="49" spans="1:6" x14ac:dyDescent="0.25">
      <c r="A49" s="26" t="s">
        <v>626</v>
      </c>
      <c r="B49" s="26" t="s">
        <v>1018</v>
      </c>
      <c r="C49" s="27" t="s">
        <v>1172</v>
      </c>
      <c r="D49" s="28">
        <v>370.94</v>
      </c>
      <c r="E49" s="29">
        <v>376.5</v>
      </c>
      <c r="F49" s="30">
        <v>93.859760399999985</v>
      </c>
    </row>
    <row r="50" spans="1:6" x14ac:dyDescent="0.25">
      <c r="A50" s="26" t="s">
        <v>626</v>
      </c>
      <c r="B50" s="26" t="s">
        <v>1039</v>
      </c>
      <c r="C50" s="27" t="s">
        <v>1172</v>
      </c>
      <c r="D50" s="28">
        <v>1486.67</v>
      </c>
      <c r="E50" s="29">
        <v>1496</v>
      </c>
      <c r="F50" s="30">
        <v>491.87509999999997</v>
      </c>
    </row>
    <row r="51" spans="1:6" x14ac:dyDescent="0.25">
      <c r="A51" s="26" t="s">
        <v>626</v>
      </c>
      <c r="B51" s="26" t="s">
        <v>1002</v>
      </c>
      <c r="C51" s="27" t="s">
        <v>1172</v>
      </c>
      <c r="D51" s="28">
        <v>183.21</v>
      </c>
      <c r="E51" s="29">
        <v>189.94</v>
      </c>
      <c r="F51" s="30">
        <v>58.004746799999999</v>
      </c>
    </row>
    <row r="52" spans="1:6" x14ac:dyDescent="0.25">
      <c r="A52" s="26" t="s">
        <v>626</v>
      </c>
      <c r="B52" s="26" t="s">
        <v>1033</v>
      </c>
      <c r="C52" s="27" t="s">
        <v>1172</v>
      </c>
      <c r="D52" s="28">
        <v>917.32</v>
      </c>
      <c r="E52" s="29">
        <v>942.85</v>
      </c>
      <c r="F52" s="30">
        <v>190.7715843</v>
      </c>
    </row>
    <row r="53" spans="1:6" x14ac:dyDescent="0.25">
      <c r="A53" s="26" t="s">
        <v>626</v>
      </c>
      <c r="B53" s="26" t="s">
        <v>1025</v>
      </c>
      <c r="C53" s="27" t="s">
        <v>1172</v>
      </c>
      <c r="D53" s="28">
        <v>1704.71</v>
      </c>
      <c r="E53" s="29">
        <v>1700.2</v>
      </c>
      <c r="F53" s="30">
        <v>98.682562999999988</v>
      </c>
    </row>
    <row r="54" spans="1:6" x14ac:dyDescent="0.25">
      <c r="A54" s="26" t="s">
        <v>626</v>
      </c>
      <c r="B54" s="26" t="s">
        <v>1004</v>
      </c>
      <c r="C54" s="27" t="s">
        <v>1172</v>
      </c>
      <c r="D54" s="28">
        <v>1156.69</v>
      </c>
      <c r="E54" s="29">
        <v>1171.9000000000001</v>
      </c>
      <c r="F54" s="30">
        <v>35.241754800000002</v>
      </c>
    </row>
    <row r="55" spans="1:6" x14ac:dyDescent="0.25">
      <c r="A55" s="26" t="s">
        <v>626</v>
      </c>
      <c r="B55" s="26" t="s">
        <v>1010</v>
      </c>
      <c r="C55" s="27" t="s">
        <v>1172</v>
      </c>
      <c r="D55" s="28">
        <v>176.46</v>
      </c>
      <c r="E55" s="29">
        <v>183.89</v>
      </c>
      <c r="F55" s="30">
        <v>46.717207500000001</v>
      </c>
    </row>
    <row r="56" spans="1:6" x14ac:dyDescent="0.25">
      <c r="A56" s="26"/>
      <c r="B56" s="26"/>
      <c r="C56" s="27"/>
      <c r="D56" s="28"/>
      <c r="E56" s="29"/>
      <c r="F56" s="30"/>
    </row>
    <row r="57" spans="1:6" x14ac:dyDescent="0.25">
      <c r="A57" s="26" t="s">
        <v>667</v>
      </c>
      <c r="B57" s="26" t="s">
        <v>996</v>
      </c>
      <c r="C57" s="27" t="s">
        <v>1172</v>
      </c>
      <c r="D57" s="28">
        <v>2163.02</v>
      </c>
      <c r="E57" s="29">
        <v>2102</v>
      </c>
      <c r="F57" s="30">
        <v>357.58075000000002</v>
      </c>
    </row>
    <row r="58" spans="1:6" x14ac:dyDescent="0.25">
      <c r="A58" s="26" t="s">
        <v>667</v>
      </c>
      <c r="B58" s="26" t="s">
        <v>1011</v>
      </c>
      <c r="C58" s="27" t="s">
        <v>1172</v>
      </c>
      <c r="D58" s="28">
        <v>271.44</v>
      </c>
      <c r="E58" s="29">
        <v>279.7</v>
      </c>
      <c r="F58" s="30">
        <v>497.57292800000005</v>
      </c>
    </row>
    <row r="59" spans="1:6" x14ac:dyDescent="0.25">
      <c r="A59" s="26" t="s">
        <v>667</v>
      </c>
      <c r="B59" s="26" t="s">
        <v>1031</v>
      </c>
      <c r="C59" s="27" t="s">
        <v>1172</v>
      </c>
      <c r="D59" s="28">
        <v>2033.01</v>
      </c>
      <c r="E59" s="29">
        <v>2067.6</v>
      </c>
      <c r="F59" s="30">
        <v>469.248966</v>
      </c>
    </row>
    <row r="60" spans="1:6" x14ac:dyDescent="0.25">
      <c r="A60" s="26" t="s">
        <v>667</v>
      </c>
      <c r="B60" s="26" t="s">
        <v>1007</v>
      </c>
      <c r="C60" s="27" t="s">
        <v>1172</v>
      </c>
      <c r="D60" s="28">
        <v>128.80000000000001</v>
      </c>
      <c r="E60" s="29">
        <v>137.69</v>
      </c>
      <c r="F60" s="30">
        <v>530.22589840000001</v>
      </c>
    </row>
    <row r="61" spans="1:6" x14ac:dyDescent="0.25">
      <c r="A61" s="26" t="s">
        <v>667</v>
      </c>
      <c r="B61" s="26" t="s">
        <v>1009</v>
      </c>
      <c r="C61" s="27" t="s">
        <v>1172</v>
      </c>
      <c r="D61" s="28">
        <v>1588.86</v>
      </c>
      <c r="E61" s="29">
        <v>1507.3</v>
      </c>
      <c r="F61" s="30">
        <v>342.47112829999998</v>
      </c>
    </row>
    <row r="62" spans="1:6" x14ac:dyDescent="0.25">
      <c r="A62" s="26" t="s">
        <v>667</v>
      </c>
      <c r="B62" s="26" t="s">
        <v>1005</v>
      </c>
      <c r="C62" s="27" t="s">
        <v>1172</v>
      </c>
      <c r="D62" s="28">
        <v>327.88</v>
      </c>
      <c r="E62" s="29">
        <v>319.89999999999998</v>
      </c>
      <c r="F62" s="30">
        <v>671.4105168000001</v>
      </c>
    </row>
    <row r="63" spans="1:6" x14ac:dyDescent="0.25">
      <c r="A63" s="26" t="s">
        <v>667</v>
      </c>
      <c r="B63" s="26" t="s">
        <v>1022</v>
      </c>
      <c r="C63" s="27" t="s">
        <v>1172</v>
      </c>
      <c r="D63" s="28">
        <v>4738.1000000000004</v>
      </c>
      <c r="E63" s="29">
        <v>4712</v>
      </c>
      <c r="F63" s="30">
        <v>311.98216500000001</v>
      </c>
    </row>
    <row r="64" spans="1:6" x14ac:dyDescent="0.25">
      <c r="A64" s="26" t="s">
        <v>667</v>
      </c>
      <c r="B64" s="26" t="s">
        <v>1038</v>
      </c>
      <c r="C64" s="27" t="s">
        <v>1172</v>
      </c>
      <c r="D64" s="28">
        <v>1378.52</v>
      </c>
      <c r="E64" s="29">
        <v>1354.4</v>
      </c>
      <c r="F64" s="30">
        <v>541.42603199999996</v>
      </c>
    </row>
    <row r="65" spans="1:6" x14ac:dyDescent="0.25">
      <c r="A65" s="26" t="s">
        <v>667</v>
      </c>
      <c r="B65" s="26" t="s">
        <v>1023</v>
      </c>
      <c r="C65" s="27" t="s">
        <v>1172</v>
      </c>
      <c r="D65" s="28">
        <v>2186.09</v>
      </c>
      <c r="E65" s="29">
        <v>2116.1999999999998</v>
      </c>
      <c r="F65" s="30">
        <v>413.31391599999995</v>
      </c>
    </row>
    <row r="66" spans="1:6" x14ac:dyDescent="0.25">
      <c r="A66" s="26" t="s">
        <v>667</v>
      </c>
      <c r="B66" s="26" t="s">
        <v>1044</v>
      </c>
      <c r="C66" s="27" t="s">
        <v>1172</v>
      </c>
      <c r="D66" s="28">
        <v>9120.2900000000009</v>
      </c>
      <c r="E66" s="29">
        <v>9299</v>
      </c>
      <c r="F66" s="30">
        <v>265.09116719999997</v>
      </c>
    </row>
    <row r="67" spans="1:6" x14ac:dyDescent="0.25">
      <c r="A67" s="26" t="s">
        <v>667</v>
      </c>
      <c r="B67" s="26" t="s">
        <v>1043</v>
      </c>
      <c r="C67" s="27" t="s">
        <v>1172</v>
      </c>
      <c r="D67" s="28">
        <v>590.54</v>
      </c>
      <c r="E67" s="29">
        <v>606.4</v>
      </c>
      <c r="F67" s="30">
        <v>86.590475999999995</v>
      </c>
    </row>
    <row r="68" spans="1:6" x14ac:dyDescent="0.25">
      <c r="A68" s="26" t="s">
        <v>667</v>
      </c>
      <c r="B68" s="26" t="s">
        <v>1039</v>
      </c>
      <c r="C68" s="27" t="s">
        <v>1172</v>
      </c>
      <c r="D68" s="28">
        <v>1455.96</v>
      </c>
      <c r="E68" s="29">
        <v>1496</v>
      </c>
      <c r="F68" s="30">
        <v>387.69779999999997</v>
      </c>
    </row>
    <row r="69" spans="1:6" x14ac:dyDescent="0.25">
      <c r="A69" s="26" t="s">
        <v>667</v>
      </c>
      <c r="B69" s="26" t="s">
        <v>1045</v>
      </c>
      <c r="C69" s="27" t="s">
        <v>1172</v>
      </c>
      <c r="D69" s="28">
        <v>3099.56</v>
      </c>
      <c r="E69" s="29">
        <v>3075.6</v>
      </c>
      <c r="F69" s="30">
        <v>238.30454550000002</v>
      </c>
    </row>
    <row r="70" spans="1:6" x14ac:dyDescent="0.25">
      <c r="A70" s="26"/>
      <c r="B70" s="26"/>
      <c r="C70" s="27"/>
      <c r="D70" s="28"/>
      <c r="E70" s="29"/>
      <c r="F70" s="30"/>
    </row>
    <row r="71" spans="1:6" x14ac:dyDescent="0.25">
      <c r="A71" s="26" t="s">
        <v>710</v>
      </c>
      <c r="B71" s="26" t="s">
        <v>1063</v>
      </c>
      <c r="C71" s="27" t="s">
        <v>1172</v>
      </c>
      <c r="D71" s="28">
        <v>1098.5</v>
      </c>
      <c r="E71" s="29">
        <v>1147.5999999999999</v>
      </c>
      <c r="F71" s="30">
        <v>112.10551</v>
      </c>
    </row>
    <row r="72" spans="1:6" x14ac:dyDescent="0.25">
      <c r="A72" s="26" t="s">
        <v>710</v>
      </c>
      <c r="B72" s="26" t="s">
        <v>1036</v>
      </c>
      <c r="C72" s="27" t="s">
        <v>1172</v>
      </c>
      <c r="D72" s="28">
        <v>1257.6600000000001</v>
      </c>
      <c r="E72" s="29">
        <v>1240.5999999999999</v>
      </c>
      <c r="F72" s="30">
        <v>818.9116487</v>
      </c>
    </row>
    <row r="73" spans="1:6" x14ac:dyDescent="0.25">
      <c r="A73" s="26" t="s">
        <v>710</v>
      </c>
      <c r="B73" s="26" t="s">
        <v>1035</v>
      </c>
      <c r="C73" s="27" t="s">
        <v>1172</v>
      </c>
      <c r="D73" s="28">
        <v>1098.99</v>
      </c>
      <c r="E73" s="29">
        <v>1049.5999999999999</v>
      </c>
      <c r="F73" s="30">
        <v>108.24606</v>
      </c>
    </row>
    <row r="74" spans="1:6" x14ac:dyDescent="0.25">
      <c r="A74" s="26" t="s">
        <v>710</v>
      </c>
      <c r="B74" s="26" t="s">
        <v>996</v>
      </c>
      <c r="C74" s="27" t="s">
        <v>1172</v>
      </c>
      <c r="D74" s="28">
        <v>2180.61</v>
      </c>
      <c r="E74" s="29">
        <v>2102</v>
      </c>
      <c r="F74" s="30">
        <v>61.140749999999997</v>
      </c>
    </row>
    <row r="75" spans="1:6" x14ac:dyDescent="0.25">
      <c r="A75" s="26" t="s">
        <v>710</v>
      </c>
      <c r="B75" s="26" t="s">
        <v>1011</v>
      </c>
      <c r="C75" s="27" t="s">
        <v>1172</v>
      </c>
      <c r="D75" s="28">
        <v>268.57</v>
      </c>
      <c r="E75" s="29">
        <v>279.7</v>
      </c>
      <c r="F75" s="30">
        <v>216.13324060000002</v>
      </c>
    </row>
    <row r="76" spans="1:6" x14ac:dyDescent="0.25">
      <c r="A76" s="26" t="s">
        <v>710</v>
      </c>
      <c r="B76" s="26" t="s">
        <v>1031</v>
      </c>
      <c r="C76" s="27" t="s">
        <v>1172</v>
      </c>
      <c r="D76" s="28">
        <v>2035.98</v>
      </c>
      <c r="E76" s="29">
        <v>2067.6</v>
      </c>
      <c r="F76" s="30">
        <v>1603.4115959999999</v>
      </c>
    </row>
    <row r="77" spans="1:6" x14ac:dyDescent="0.25">
      <c r="A77" s="26" t="s">
        <v>710</v>
      </c>
      <c r="B77" s="26" t="s">
        <v>995</v>
      </c>
      <c r="C77" s="27" t="s">
        <v>1172</v>
      </c>
      <c r="D77" s="28">
        <v>6585.17</v>
      </c>
      <c r="E77" s="29">
        <v>6789.5</v>
      </c>
      <c r="F77" s="30">
        <v>3.5876174999999999</v>
      </c>
    </row>
    <row r="78" spans="1:6" x14ac:dyDescent="0.25">
      <c r="A78" s="26" t="s">
        <v>710</v>
      </c>
      <c r="B78" s="26" t="s">
        <v>1005</v>
      </c>
      <c r="C78" s="27" t="s">
        <v>1172</v>
      </c>
      <c r="D78" s="28">
        <v>329.95</v>
      </c>
      <c r="E78" s="29">
        <v>319.89999999999998</v>
      </c>
      <c r="F78" s="30">
        <v>138.66086760000002</v>
      </c>
    </row>
    <row r="79" spans="1:6" x14ac:dyDescent="0.25">
      <c r="A79" s="26" t="s">
        <v>710</v>
      </c>
      <c r="B79" s="26" t="s">
        <v>1028</v>
      </c>
      <c r="C79" s="27" t="s">
        <v>1172</v>
      </c>
      <c r="D79" s="28">
        <v>563.96</v>
      </c>
      <c r="E79" s="29">
        <v>568.75</v>
      </c>
      <c r="F79" s="30">
        <v>109.34305999999999</v>
      </c>
    </row>
    <row r="80" spans="1:6" x14ac:dyDescent="0.25">
      <c r="A80" s="26" t="s">
        <v>710</v>
      </c>
      <c r="B80" s="26" t="s">
        <v>1034</v>
      </c>
      <c r="C80" s="27" t="s">
        <v>1172</v>
      </c>
      <c r="D80" s="28">
        <v>1007.54</v>
      </c>
      <c r="E80" s="29">
        <v>993.9</v>
      </c>
      <c r="F80" s="30">
        <v>260.16681600000004</v>
      </c>
    </row>
    <row r="81" spans="1:6" x14ac:dyDescent="0.25">
      <c r="A81" s="26" t="s">
        <v>710</v>
      </c>
      <c r="B81" s="26" t="s">
        <v>1030</v>
      </c>
      <c r="C81" s="27" t="s">
        <v>1172</v>
      </c>
      <c r="D81" s="28">
        <v>825.71</v>
      </c>
      <c r="E81" s="29">
        <v>853.4</v>
      </c>
      <c r="F81" s="30">
        <v>231.69416200000001</v>
      </c>
    </row>
    <row r="82" spans="1:6" x14ac:dyDescent="0.25">
      <c r="A82" s="26" t="s">
        <v>710</v>
      </c>
      <c r="B82" s="26" t="s">
        <v>1022</v>
      </c>
      <c r="C82" s="27" t="s">
        <v>1172</v>
      </c>
      <c r="D82" s="28">
        <v>4858.22</v>
      </c>
      <c r="E82" s="29">
        <v>4712</v>
      </c>
      <c r="F82" s="30">
        <v>73.235249999999994</v>
      </c>
    </row>
    <row r="83" spans="1:6" x14ac:dyDescent="0.25">
      <c r="A83" s="26" t="s">
        <v>710</v>
      </c>
      <c r="B83" s="26" t="s">
        <v>1012</v>
      </c>
      <c r="C83" s="27" t="s">
        <v>1172</v>
      </c>
      <c r="D83" s="28">
        <v>2515.69</v>
      </c>
      <c r="E83" s="29">
        <v>2462.4</v>
      </c>
      <c r="F83" s="30">
        <v>137.59640999999999</v>
      </c>
    </row>
    <row r="84" spans="1:6" x14ac:dyDescent="0.25">
      <c r="A84" s="26" t="s">
        <v>710</v>
      </c>
      <c r="B84" s="26" t="s">
        <v>1038</v>
      </c>
      <c r="C84" s="27" t="s">
        <v>1172</v>
      </c>
      <c r="D84" s="28">
        <v>1386.09</v>
      </c>
      <c r="E84" s="29">
        <v>1354.4</v>
      </c>
      <c r="F84" s="30">
        <v>930.78487599999994</v>
      </c>
    </row>
    <row r="85" spans="1:6" x14ac:dyDescent="0.25">
      <c r="A85" s="26" t="s">
        <v>710</v>
      </c>
      <c r="B85" s="26" t="s">
        <v>1037</v>
      </c>
      <c r="C85" s="27" t="s">
        <v>1172</v>
      </c>
      <c r="D85" s="28">
        <v>417.14</v>
      </c>
      <c r="E85" s="29">
        <v>423</v>
      </c>
      <c r="F85" s="30">
        <v>212.41808</v>
      </c>
    </row>
    <row r="86" spans="1:6" x14ac:dyDescent="0.25">
      <c r="A86" s="26" t="s">
        <v>710</v>
      </c>
      <c r="B86" s="26" t="s">
        <v>1064</v>
      </c>
      <c r="C86" s="27" t="s">
        <v>1172</v>
      </c>
      <c r="D86" s="28">
        <v>1146.24</v>
      </c>
      <c r="E86" s="29">
        <v>1212.2</v>
      </c>
      <c r="F86" s="30">
        <v>190.61787360000002</v>
      </c>
    </row>
    <row r="87" spans="1:6" x14ac:dyDescent="0.25">
      <c r="A87" s="26" t="s">
        <v>710</v>
      </c>
      <c r="B87" s="26" t="s">
        <v>1023</v>
      </c>
      <c r="C87" s="27" t="s">
        <v>1172</v>
      </c>
      <c r="D87" s="28">
        <v>2185.5</v>
      </c>
      <c r="E87" s="29">
        <v>2116.1999999999998</v>
      </c>
      <c r="F87" s="30">
        <v>205.91090399999999</v>
      </c>
    </row>
    <row r="88" spans="1:6" x14ac:dyDescent="0.25">
      <c r="A88" s="26" t="s">
        <v>710</v>
      </c>
      <c r="B88" s="26" t="s">
        <v>1032</v>
      </c>
      <c r="C88" s="27" t="s">
        <v>1172</v>
      </c>
      <c r="D88" s="28">
        <v>3942.74</v>
      </c>
      <c r="E88" s="29">
        <v>4054.1</v>
      </c>
      <c r="F88" s="30">
        <v>225.26704800000002</v>
      </c>
    </row>
    <row r="89" spans="1:6" x14ac:dyDescent="0.25">
      <c r="A89" s="26" t="s">
        <v>710</v>
      </c>
      <c r="B89" s="26" t="s">
        <v>1000</v>
      </c>
      <c r="C89" s="27" t="s">
        <v>1172</v>
      </c>
      <c r="D89" s="28">
        <v>3655.96</v>
      </c>
      <c r="E89" s="29">
        <v>3510.2</v>
      </c>
      <c r="F89" s="30">
        <v>251.74383</v>
      </c>
    </row>
    <row r="90" spans="1:6" x14ac:dyDescent="0.25">
      <c r="A90" s="26" t="s">
        <v>710</v>
      </c>
      <c r="B90" s="26" t="s">
        <v>1062</v>
      </c>
      <c r="C90" s="27" t="s">
        <v>1172</v>
      </c>
      <c r="D90" s="28">
        <v>339.4</v>
      </c>
      <c r="E90" s="29">
        <v>335.45</v>
      </c>
      <c r="F90" s="30">
        <v>106.4944447</v>
      </c>
    </row>
    <row r="91" spans="1:6" x14ac:dyDescent="0.25">
      <c r="A91" s="26" t="s">
        <v>710</v>
      </c>
      <c r="B91" s="26" t="s">
        <v>1001</v>
      </c>
      <c r="C91" s="27" t="s">
        <v>1172</v>
      </c>
      <c r="D91" s="28">
        <v>908.43</v>
      </c>
      <c r="E91" s="29">
        <v>932.1</v>
      </c>
      <c r="F91" s="30">
        <v>42.3119984</v>
      </c>
    </row>
    <row r="92" spans="1:6" x14ac:dyDescent="0.25">
      <c r="A92" s="26" t="s">
        <v>710</v>
      </c>
      <c r="B92" s="26" t="s">
        <v>1039</v>
      </c>
      <c r="C92" s="27" t="s">
        <v>1172</v>
      </c>
      <c r="D92" s="28">
        <v>1461.36</v>
      </c>
      <c r="E92" s="29">
        <v>1496</v>
      </c>
      <c r="F92" s="30">
        <v>1323.9748</v>
      </c>
    </row>
    <row r="93" spans="1:6" x14ac:dyDescent="0.25">
      <c r="A93" s="26" t="s">
        <v>710</v>
      </c>
      <c r="B93" s="26" t="s">
        <v>1033</v>
      </c>
      <c r="C93" s="27" t="s">
        <v>1172</v>
      </c>
      <c r="D93" s="28">
        <v>909.44</v>
      </c>
      <c r="E93" s="29">
        <v>942.85</v>
      </c>
      <c r="F93" s="30">
        <v>605.98032660000001</v>
      </c>
    </row>
    <row r="94" spans="1:6" x14ac:dyDescent="0.25">
      <c r="A94" s="26"/>
      <c r="B94" s="26"/>
      <c r="C94" s="27"/>
      <c r="D94" s="28"/>
      <c r="E94" s="29"/>
      <c r="F94" s="30"/>
    </row>
    <row r="95" spans="1:6" x14ac:dyDescent="0.25">
      <c r="A95" s="26" t="s">
        <v>863</v>
      </c>
      <c r="B95" s="26" t="s">
        <v>1036</v>
      </c>
      <c r="C95" s="27" t="s">
        <v>1172</v>
      </c>
      <c r="D95" s="28">
        <v>1251.3900000000001</v>
      </c>
      <c r="E95" s="29">
        <v>1240.5999999999999</v>
      </c>
      <c r="F95" s="30">
        <v>956.99190999999996</v>
      </c>
    </row>
    <row r="96" spans="1:6" x14ac:dyDescent="0.25">
      <c r="A96" s="26" t="s">
        <v>863</v>
      </c>
      <c r="B96" s="26" t="s">
        <v>1031</v>
      </c>
      <c r="C96" s="27" t="s">
        <v>1172</v>
      </c>
      <c r="D96" s="28">
        <v>2094.65</v>
      </c>
      <c r="E96" s="29">
        <v>2067.6</v>
      </c>
      <c r="F96" s="30">
        <v>360.16156800000005</v>
      </c>
    </row>
    <row r="97" spans="1:6" x14ac:dyDescent="0.25">
      <c r="A97" s="26" t="s">
        <v>863</v>
      </c>
      <c r="B97" s="26" t="s">
        <v>1032</v>
      </c>
      <c r="C97" s="27" t="s">
        <v>1172</v>
      </c>
      <c r="D97" s="28">
        <v>3952.75</v>
      </c>
      <c r="E97" s="29">
        <v>4054.1</v>
      </c>
      <c r="F97" s="30">
        <v>362.93024399999996</v>
      </c>
    </row>
    <row r="98" spans="1:6" x14ac:dyDescent="0.25">
      <c r="A98" s="26" t="s">
        <v>863</v>
      </c>
      <c r="B98" s="26" t="s">
        <v>1000</v>
      </c>
      <c r="C98" s="27" t="s">
        <v>1172</v>
      </c>
      <c r="D98" s="28">
        <v>3614.5</v>
      </c>
      <c r="E98" s="29">
        <v>3510.2</v>
      </c>
      <c r="F98" s="30">
        <v>815.90820799999995</v>
      </c>
    </row>
    <row r="99" spans="1:6" x14ac:dyDescent="0.25">
      <c r="A99" s="26" t="s">
        <v>863</v>
      </c>
      <c r="B99" s="26" t="s">
        <v>1093</v>
      </c>
      <c r="C99" s="27" t="s">
        <v>1172</v>
      </c>
      <c r="D99" s="28">
        <v>3640.7</v>
      </c>
      <c r="E99" s="29">
        <v>3527.3</v>
      </c>
      <c r="F99" s="30">
        <v>143.7825972</v>
      </c>
    </row>
    <row r="100" spans="1:6" x14ac:dyDescent="0.25">
      <c r="A100" s="26" t="s">
        <v>863</v>
      </c>
      <c r="B100" s="26" t="s">
        <v>1092</v>
      </c>
      <c r="C100" s="27" t="s">
        <v>1172</v>
      </c>
      <c r="D100" s="28">
        <v>12021</v>
      </c>
      <c r="E100" s="29">
        <v>12010</v>
      </c>
      <c r="F100" s="30">
        <v>122.92288000000001</v>
      </c>
    </row>
    <row r="101" spans="1:6" x14ac:dyDescent="0.25">
      <c r="F101" s="31"/>
    </row>
    <row r="102" spans="1:6" x14ac:dyDescent="0.25">
      <c r="A102" s="22" t="s">
        <v>1173</v>
      </c>
      <c r="D102" s="32"/>
      <c r="E102" s="32"/>
      <c r="F102" s="32"/>
    </row>
    <row r="104" spans="1:6" x14ac:dyDescent="0.25">
      <c r="A104" s="33" t="s">
        <v>1166</v>
      </c>
      <c r="B104" s="33" t="s">
        <v>1174</v>
      </c>
    </row>
    <row r="105" spans="1:6" x14ac:dyDescent="0.25">
      <c r="A105" s="26" t="s">
        <v>626</v>
      </c>
      <c r="B105" s="34">
        <v>77.165579000000008</v>
      </c>
    </row>
    <row r="106" spans="1:6" x14ac:dyDescent="0.25">
      <c r="A106" s="26" t="s">
        <v>667</v>
      </c>
      <c r="B106" s="34">
        <v>15.498526999999999</v>
      </c>
    </row>
    <row r="107" spans="1:6" x14ac:dyDescent="0.25">
      <c r="A107" s="35" t="s">
        <v>710</v>
      </c>
      <c r="B107" s="34">
        <v>38.096862000000002</v>
      </c>
    </row>
    <row r="108" spans="1:6" x14ac:dyDescent="0.25">
      <c r="A108" s="35" t="s">
        <v>863</v>
      </c>
      <c r="B108" s="34">
        <v>5.2908710000000001</v>
      </c>
    </row>
    <row r="110" spans="1:6" x14ac:dyDescent="0.25">
      <c r="A110" s="22" t="s">
        <v>1175</v>
      </c>
    </row>
    <row r="111" spans="1:6" x14ac:dyDescent="0.25">
      <c r="A111" s="22"/>
    </row>
    <row r="112" spans="1:6" ht="67.5" x14ac:dyDescent="0.25">
      <c r="A112" s="24" t="s">
        <v>1166</v>
      </c>
      <c r="B112" s="25" t="s">
        <v>1176</v>
      </c>
      <c r="C112" s="25" t="s">
        <v>1177</v>
      </c>
      <c r="D112" s="25" t="s">
        <v>1178</v>
      </c>
      <c r="E112" s="25" t="s">
        <v>1179</v>
      </c>
      <c r="F112" s="25" t="s">
        <v>1180</v>
      </c>
    </row>
    <row r="113" spans="1:11" x14ac:dyDescent="0.25">
      <c r="A113" s="26" t="s">
        <v>183</v>
      </c>
      <c r="B113" s="36">
        <v>1100</v>
      </c>
      <c r="C113" s="36">
        <v>1100</v>
      </c>
      <c r="D113" s="37">
        <v>5527.46</v>
      </c>
      <c r="E113" s="37">
        <v>5542.56</v>
      </c>
      <c r="F113" s="37">
        <v>15.100000000000364</v>
      </c>
      <c r="G113" s="38"/>
      <c r="H113" s="39"/>
      <c r="I113" s="40"/>
      <c r="J113" s="40"/>
      <c r="K113" s="40"/>
    </row>
    <row r="114" spans="1:11" x14ac:dyDescent="0.25">
      <c r="A114" s="41" t="s">
        <v>1112</v>
      </c>
      <c r="B114" s="42">
        <v>1519</v>
      </c>
      <c r="C114" s="42">
        <v>1519</v>
      </c>
      <c r="D114" s="43">
        <v>11160.27</v>
      </c>
      <c r="E114" s="43">
        <v>10317.200000000001</v>
      </c>
      <c r="F114" s="43">
        <v>-843.06999999999971</v>
      </c>
      <c r="G114" s="38"/>
      <c r="H114" s="39"/>
      <c r="I114" s="40"/>
      <c r="J114" s="40"/>
      <c r="K114" s="40"/>
    </row>
    <row r="115" spans="1:11" x14ac:dyDescent="0.25">
      <c r="A115" s="41" t="s">
        <v>501</v>
      </c>
      <c r="B115" s="42">
        <v>23720</v>
      </c>
      <c r="C115" s="42">
        <v>23719.5</v>
      </c>
      <c r="D115" s="43">
        <v>197216.33</v>
      </c>
      <c r="E115" s="43">
        <v>195852.42</v>
      </c>
      <c r="F115" s="43">
        <v>-1363.9099999999744</v>
      </c>
      <c r="G115" s="38"/>
      <c r="H115" s="39"/>
      <c r="I115" s="40"/>
      <c r="J115" s="40"/>
      <c r="K115" s="40"/>
    </row>
    <row r="116" spans="1:11" x14ac:dyDescent="0.25">
      <c r="A116" s="41" t="s">
        <v>626</v>
      </c>
      <c r="B116" s="42">
        <v>20549</v>
      </c>
      <c r="C116" s="42">
        <v>20549</v>
      </c>
      <c r="D116" s="43">
        <v>144576.85999999999</v>
      </c>
      <c r="E116" s="43">
        <v>142891.45000000001</v>
      </c>
      <c r="F116" s="43">
        <v>-1715.8668249999744</v>
      </c>
      <c r="G116" s="38"/>
      <c r="H116" s="39"/>
      <c r="I116" s="40"/>
      <c r="J116" s="40"/>
      <c r="K116" s="40"/>
    </row>
    <row r="117" spans="1:11" x14ac:dyDescent="0.25">
      <c r="A117" s="41" t="s">
        <v>667</v>
      </c>
      <c r="B117" s="42">
        <v>23154</v>
      </c>
      <c r="C117" s="42">
        <v>23153.666666666668</v>
      </c>
      <c r="D117" s="43">
        <v>175079.43</v>
      </c>
      <c r="E117" s="43">
        <v>173737.66</v>
      </c>
      <c r="F117" s="43">
        <v>-1496.1175249999894</v>
      </c>
      <c r="G117" s="38"/>
      <c r="H117" s="39"/>
      <c r="I117" s="40"/>
      <c r="J117" s="40"/>
      <c r="K117" s="40"/>
    </row>
    <row r="118" spans="1:11" x14ac:dyDescent="0.25">
      <c r="A118" s="41" t="s">
        <v>710</v>
      </c>
      <c r="B118" s="42">
        <v>37911.199999999997</v>
      </c>
      <c r="C118" s="42">
        <v>37911.199999999997</v>
      </c>
      <c r="D118" s="43">
        <v>277698.12</v>
      </c>
      <c r="E118" s="43">
        <v>274614.05</v>
      </c>
      <c r="F118" s="43">
        <v>-3118.0190125000072</v>
      </c>
      <c r="G118" s="38"/>
      <c r="H118" s="39"/>
      <c r="I118" s="40"/>
      <c r="J118" s="40"/>
      <c r="K118" s="40"/>
    </row>
    <row r="119" spans="1:11" x14ac:dyDescent="0.25">
      <c r="A119" s="41" t="s">
        <v>863</v>
      </c>
      <c r="B119" s="42">
        <v>21667</v>
      </c>
      <c r="C119" s="42">
        <v>21667</v>
      </c>
      <c r="D119" s="43">
        <v>146601.59</v>
      </c>
      <c r="E119" s="43">
        <v>143794.20000000001</v>
      </c>
      <c r="F119" s="43">
        <v>-2834.482374999985</v>
      </c>
      <c r="G119" s="38"/>
      <c r="H119" s="39"/>
      <c r="I119" s="40"/>
      <c r="J119" s="40"/>
      <c r="K119" s="40"/>
    </row>
    <row r="120" spans="1:11" x14ac:dyDescent="0.25">
      <c r="A120" s="41" t="s">
        <v>1181</v>
      </c>
      <c r="B120" s="42">
        <v>1732</v>
      </c>
      <c r="C120" s="42">
        <v>1732</v>
      </c>
      <c r="D120" s="43">
        <v>14918.9</v>
      </c>
      <c r="E120" s="43">
        <v>15250.73</v>
      </c>
      <c r="F120" s="43">
        <v>331.82999999999993</v>
      </c>
      <c r="G120" s="38"/>
      <c r="H120" s="39"/>
      <c r="I120" s="40"/>
      <c r="J120" s="40"/>
      <c r="K120" s="40"/>
    </row>
    <row r="121" spans="1:11" x14ac:dyDescent="0.25">
      <c r="A121" s="44"/>
      <c r="B121" s="45"/>
      <c r="C121" s="45"/>
      <c r="F121" s="46"/>
    </row>
    <row r="122" spans="1:11" x14ac:dyDescent="0.25">
      <c r="A122" s="22" t="s">
        <v>1182</v>
      </c>
      <c r="B122" s="45"/>
    </row>
    <row r="123" spans="1:11" x14ac:dyDescent="0.25">
      <c r="A123" s="44"/>
      <c r="B123" s="45"/>
    </row>
    <row r="124" spans="1:11" ht="27" x14ac:dyDescent="0.25">
      <c r="A124" s="47" t="s">
        <v>1166</v>
      </c>
      <c r="B124" s="47" t="s">
        <v>1167</v>
      </c>
      <c r="C124" s="47" t="s">
        <v>1168</v>
      </c>
      <c r="D124" s="48" t="s">
        <v>1169</v>
      </c>
      <c r="E124" s="48" t="s">
        <v>1170</v>
      </c>
      <c r="F124" s="48" t="s">
        <v>1171</v>
      </c>
    </row>
    <row r="125" spans="1:11" x14ac:dyDescent="0.25">
      <c r="A125" s="41" t="s">
        <v>827</v>
      </c>
      <c r="B125" s="41" t="s">
        <v>1183</v>
      </c>
      <c r="C125" s="49" t="s">
        <v>1184</v>
      </c>
      <c r="D125" s="28">
        <v>1690.15</v>
      </c>
      <c r="E125" s="29">
        <v>1693.8</v>
      </c>
      <c r="F125" s="30">
        <v>185.067848</v>
      </c>
    </row>
    <row r="126" spans="1:11" x14ac:dyDescent="0.25">
      <c r="A126" s="26" t="s">
        <v>454</v>
      </c>
      <c r="B126" s="26" t="s">
        <v>943</v>
      </c>
      <c r="C126" s="27" t="s">
        <v>1184</v>
      </c>
      <c r="D126" s="28">
        <v>7886.27</v>
      </c>
      <c r="E126" s="29">
        <v>8009.5</v>
      </c>
      <c r="F126" s="30">
        <v>821.13059250000003</v>
      </c>
    </row>
    <row r="127" spans="1:11" x14ac:dyDescent="0.25">
      <c r="A127" s="44"/>
      <c r="B127" s="45"/>
    </row>
    <row r="128" spans="1:11" x14ac:dyDescent="0.25">
      <c r="A128" s="22" t="s">
        <v>1185</v>
      </c>
    </row>
    <row r="130" spans="1:8" x14ac:dyDescent="0.25">
      <c r="A130" s="33" t="s">
        <v>1166</v>
      </c>
      <c r="B130" s="33" t="s">
        <v>1174</v>
      </c>
    </row>
    <row r="131" spans="1:8" x14ac:dyDescent="0.25">
      <c r="A131" s="26" t="s">
        <v>827</v>
      </c>
      <c r="B131" s="34">
        <v>0.19253600000000001</v>
      </c>
    </row>
    <row r="132" spans="1:8" x14ac:dyDescent="0.25">
      <c r="A132" s="26" t="s">
        <v>454</v>
      </c>
      <c r="B132" s="34">
        <v>0.85465199999999997</v>
      </c>
    </row>
    <row r="133" spans="1:8" x14ac:dyDescent="0.25">
      <c r="A133" s="44"/>
      <c r="B133" s="45"/>
    </row>
    <row r="134" spans="1:8" x14ac:dyDescent="0.25">
      <c r="A134" s="44"/>
      <c r="B134" s="45"/>
    </row>
    <row r="135" spans="1:8" x14ac:dyDescent="0.25">
      <c r="A135" s="22" t="s">
        <v>1186</v>
      </c>
    </row>
    <row r="136" spans="1:8" x14ac:dyDescent="0.25">
      <c r="A136" s="22"/>
    </row>
    <row r="137" spans="1:8" ht="54" x14ac:dyDescent="0.25">
      <c r="A137" s="24" t="s">
        <v>1166</v>
      </c>
      <c r="B137" s="25" t="s">
        <v>1176</v>
      </c>
      <c r="C137" s="25" t="s">
        <v>1177</v>
      </c>
      <c r="D137" s="25" t="s">
        <v>1178</v>
      </c>
      <c r="E137" s="25" t="s">
        <v>1187</v>
      </c>
      <c r="F137" s="25" t="s">
        <v>1188</v>
      </c>
      <c r="G137" s="38"/>
      <c r="H137" s="39">
        <v>0</v>
      </c>
    </row>
    <row r="138" spans="1:8" x14ac:dyDescent="0.25">
      <c r="A138" s="50" t="s">
        <v>183</v>
      </c>
      <c r="B138" s="51">
        <v>9294</v>
      </c>
      <c r="C138" s="51">
        <v>9294</v>
      </c>
      <c r="D138" s="51">
        <v>55434.49</v>
      </c>
      <c r="E138" s="51">
        <v>57598.7</v>
      </c>
      <c r="F138" s="51">
        <v>2164.2099999999991</v>
      </c>
      <c r="G138" s="38"/>
      <c r="H138" s="39"/>
    </row>
    <row r="139" spans="1:8" x14ac:dyDescent="0.25">
      <c r="A139" s="50" t="s">
        <v>1112</v>
      </c>
      <c r="B139" s="51">
        <v>5570</v>
      </c>
      <c r="C139" s="51">
        <v>5570</v>
      </c>
      <c r="D139" s="51">
        <v>40505.69</v>
      </c>
      <c r="E139" s="51">
        <v>40772.76</v>
      </c>
      <c r="F139" s="51">
        <v>267.06999999999971</v>
      </c>
      <c r="G139" s="38"/>
      <c r="H139" s="39"/>
    </row>
    <row r="140" spans="1:8" x14ac:dyDescent="0.25">
      <c r="A140" s="50" t="s">
        <v>454</v>
      </c>
      <c r="B140" s="51">
        <v>3745</v>
      </c>
      <c r="C140" s="51">
        <v>3745</v>
      </c>
      <c r="D140" s="51">
        <v>18115.18</v>
      </c>
      <c r="E140" s="51">
        <v>19302.509999999998</v>
      </c>
      <c r="F140" s="51">
        <v>1187.3299999999981</v>
      </c>
      <c r="G140" s="38"/>
      <c r="H140" s="39"/>
    </row>
    <row r="141" spans="1:8" x14ac:dyDescent="0.25">
      <c r="A141" s="50" t="s">
        <v>501</v>
      </c>
      <c r="B141" s="51">
        <v>24102</v>
      </c>
      <c r="C141" s="51">
        <v>24102</v>
      </c>
      <c r="D141" s="51">
        <v>181370.55</v>
      </c>
      <c r="E141" s="51">
        <v>181681.11</v>
      </c>
      <c r="F141" s="51">
        <v>310.55999999999767</v>
      </c>
      <c r="G141" s="38"/>
      <c r="H141" s="39"/>
    </row>
    <row r="142" spans="1:8" x14ac:dyDescent="0.25">
      <c r="A142" s="50" t="s">
        <v>667</v>
      </c>
      <c r="B142" s="51">
        <v>4200</v>
      </c>
      <c r="C142" s="51">
        <v>4200</v>
      </c>
      <c r="D142" s="51">
        <v>31640.18</v>
      </c>
      <c r="E142" s="51">
        <v>31493.4</v>
      </c>
      <c r="F142" s="51">
        <v>-146.77999999999884</v>
      </c>
      <c r="G142" s="38"/>
      <c r="H142" s="39"/>
    </row>
    <row r="143" spans="1:8" x14ac:dyDescent="0.25">
      <c r="A143" s="50" t="s">
        <v>710</v>
      </c>
      <c r="B143" s="51">
        <v>976</v>
      </c>
      <c r="C143" s="51">
        <v>976</v>
      </c>
      <c r="D143" s="51">
        <v>5641.74</v>
      </c>
      <c r="E143" s="51">
        <v>5728.39</v>
      </c>
      <c r="F143" s="51">
        <v>86.650000000000546</v>
      </c>
      <c r="G143" s="38"/>
      <c r="H143" s="39"/>
    </row>
    <row r="144" spans="1:8" x14ac:dyDescent="0.25">
      <c r="A144" s="50" t="s">
        <v>827</v>
      </c>
      <c r="B144" s="51">
        <v>5186</v>
      </c>
      <c r="C144" s="51">
        <v>5186</v>
      </c>
      <c r="D144" s="51">
        <v>24685.31</v>
      </c>
      <c r="E144" s="51">
        <v>26198.45</v>
      </c>
      <c r="F144" s="51">
        <v>1513.1399999999994</v>
      </c>
      <c r="G144" s="38"/>
      <c r="H144" s="39"/>
    </row>
    <row r="145" spans="1:8" x14ac:dyDescent="0.25">
      <c r="A145" s="50" t="s">
        <v>844</v>
      </c>
      <c r="B145" s="51">
        <v>159</v>
      </c>
      <c r="C145" s="51">
        <v>159</v>
      </c>
      <c r="D145" s="51">
        <v>932.47</v>
      </c>
      <c r="E145" s="51">
        <v>954.77</v>
      </c>
      <c r="F145" s="51">
        <v>22.299999999999955</v>
      </c>
      <c r="G145" s="38"/>
      <c r="H145" s="39"/>
    </row>
    <row r="146" spans="1:8" x14ac:dyDescent="0.25">
      <c r="A146" s="50" t="s">
        <v>860</v>
      </c>
      <c r="B146" s="51">
        <v>2206</v>
      </c>
      <c r="C146" s="51">
        <v>2206</v>
      </c>
      <c r="D146" s="51">
        <v>9548.2900000000009</v>
      </c>
      <c r="E146" s="51">
        <v>9573.99</v>
      </c>
      <c r="F146" s="51">
        <v>25.699999999998909</v>
      </c>
      <c r="G146" s="38"/>
      <c r="H146" s="39"/>
    </row>
    <row r="147" spans="1:8" x14ac:dyDescent="0.25">
      <c r="A147" s="50" t="s">
        <v>863</v>
      </c>
      <c r="B147" s="51">
        <v>482</v>
      </c>
      <c r="C147" s="51">
        <v>482</v>
      </c>
      <c r="D147" s="51">
        <v>3585.37</v>
      </c>
      <c r="E147" s="51">
        <v>3664.29</v>
      </c>
      <c r="F147" s="51">
        <v>78.920000000000073</v>
      </c>
      <c r="G147" s="38"/>
      <c r="H147" s="39"/>
    </row>
    <row r="148" spans="1:8" x14ac:dyDescent="0.25">
      <c r="A148" s="50" t="s">
        <v>746</v>
      </c>
      <c r="B148" s="51">
        <v>744</v>
      </c>
      <c r="C148" s="51">
        <v>744</v>
      </c>
      <c r="D148" s="51">
        <v>4568.3599999999997</v>
      </c>
      <c r="E148" s="51">
        <v>4625.18</v>
      </c>
      <c r="F148" s="51">
        <v>56.820000000000618</v>
      </c>
      <c r="G148" s="38"/>
      <c r="H148" s="39"/>
    </row>
    <row r="149" spans="1:8" x14ac:dyDescent="0.25">
      <c r="A149" s="50" t="s">
        <v>1181</v>
      </c>
      <c r="B149" s="51">
        <v>120</v>
      </c>
      <c r="C149" s="51">
        <v>120</v>
      </c>
      <c r="D149" s="51">
        <v>1066.52</v>
      </c>
      <c r="E149" s="51">
        <v>1091.03</v>
      </c>
      <c r="F149" s="51">
        <v>24.509999999999991</v>
      </c>
      <c r="G149" s="38"/>
      <c r="H149" s="39"/>
    </row>
    <row r="150" spans="1:8" x14ac:dyDescent="0.25">
      <c r="A150" s="50" t="s">
        <v>824</v>
      </c>
      <c r="B150" s="51">
        <v>249</v>
      </c>
      <c r="C150" s="51">
        <v>249</v>
      </c>
      <c r="D150" s="51">
        <v>1956.56</v>
      </c>
      <c r="E150" s="51">
        <v>1967.44</v>
      </c>
      <c r="F150" s="51">
        <v>10.880000000000109</v>
      </c>
      <c r="G150" s="38"/>
      <c r="H150" s="39"/>
    </row>
    <row r="151" spans="1:8" x14ac:dyDescent="0.25">
      <c r="A151" s="50" t="s">
        <v>680</v>
      </c>
      <c r="B151" s="51">
        <v>129</v>
      </c>
      <c r="C151" s="51">
        <v>129</v>
      </c>
      <c r="D151" s="51">
        <v>791.9</v>
      </c>
      <c r="E151" s="51">
        <v>752.65</v>
      </c>
      <c r="F151" s="51">
        <v>-39.25</v>
      </c>
      <c r="G151" s="38"/>
      <c r="H151" s="39"/>
    </row>
    <row r="152" spans="1:8" x14ac:dyDescent="0.25">
      <c r="A152" s="50" t="s">
        <v>843</v>
      </c>
      <c r="B152" s="51">
        <v>680</v>
      </c>
      <c r="C152" s="51">
        <v>680</v>
      </c>
      <c r="D152" s="51">
        <v>7530.51</v>
      </c>
      <c r="E152" s="51">
        <v>7506.55</v>
      </c>
      <c r="F152" s="51">
        <v>-23.960000000000036</v>
      </c>
      <c r="G152" s="38"/>
      <c r="H152" s="39"/>
    </row>
    <row r="153" spans="1:8" x14ac:dyDescent="0.25">
      <c r="A153" s="50" t="s">
        <v>859</v>
      </c>
      <c r="B153" s="51">
        <v>240</v>
      </c>
      <c r="C153" s="51">
        <v>240</v>
      </c>
      <c r="D153" s="51">
        <v>2241.2199999999998</v>
      </c>
      <c r="E153" s="51">
        <v>2297.7199999999998</v>
      </c>
      <c r="F153" s="51">
        <v>56.5</v>
      </c>
      <c r="G153" s="38"/>
      <c r="H153" s="39"/>
    </row>
    <row r="154" spans="1:8" x14ac:dyDescent="0.25">
      <c r="B154" s="52"/>
      <c r="C154" s="52"/>
      <c r="D154" s="46"/>
      <c r="E154" s="46"/>
      <c r="F154" s="46"/>
      <c r="G154" s="38"/>
      <c r="H154" s="39"/>
    </row>
    <row r="155" spans="1:8" x14ac:dyDescent="0.25">
      <c r="A155" s="53"/>
      <c r="B155" s="54"/>
      <c r="C155" s="54"/>
      <c r="D155" s="55"/>
      <c r="E155" s="55"/>
      <c r="F155" s="55"/>
      <c r="G155" s="39"/>
    </row>
    <row r="156" spans="1:8" x14ac:dyDescent="0.25">
      <c r="A156" s="22" t="s">
        <v>1189</v>
      </c>
      <c r="C156" s="56"/>
    </row>
    <row r="157" spans="1:8" hidden="1" x14ac:dyDescent="0.25"/>
    <row r="158" spans="1:8" ht="27" hidden="1" x14ac:dyDescent="0.25">
      <c r="A158" s="25" t="s">
        <v>1166</v>
      </c>
      <c r="B158" s="25" t="s">
        <v>1167</v>
      </c>
      <c r="C158" s="25" t="s">
        <v>1190</v>
      </c>
      <c r="D158" s="25" t="s">
        <v>1191</v>
      </c>
      <c r="E158" s="25" t="s">
        <v>1192</v>
      </c>
      <c r="F158" s="25" t="s">
        <v>1193</v>
      </c>
    </row>
    <row r="159" spans="1:8" hidden="1" x14ac:dyDescent="0.25">
      <c r="A159" s="51" t="s">
        <v>679</v>
      </c>
      <c r="B159" s="51" t="s">
        <v>679</v>
      </c>
      <c r="C159" s="51" t="s">
        <v>679</v>
      </c>
      <c r="D159" s="51" t="s">
        <v>679</v>
      </c>
      <c r="E159" s="51" t="s">
        <v>679</v>
      </c>
      <c r="F159" s="51" t="s">
        <v>679</v>
      </c>
    </row>
    <row r="160" spans="1:8" hidden="1" x14ac:dyDescent="0.25">
      <c r="C160" s="56"/>
      <c r="D160" s="56"/>
      <c r="E160" s="57"/>
      <c r="F160" s="57"/>
    </row>
    <row r="161" spans="1:6" hidden="1" x14ac:dyDescent="0.25">
      <c r="C161" s="56"/>
      <c r="D161" s="56"/>
      <c r="E161" s="57"/>
      <c r="F161" s="57"/>
    </row>
    <row r="162" spans="1:6" hidden="1" x14ac:dyDescent="0.25">
      <c r="A162" s="22" t="s">
        <v>1194</v>
      </c>
      <c r="F162" s="23" t="s">
        <v>1195</v>
      </c>
    </row>
    <row r="163" spans="1:6" hidden="1" x14ac:dyDescent="0.25">
      <c r="A163" s="22"/>
    </row>
    <row r="164" spans="1:6" hidden="1" x14ac:dyDescent="0.25">
      <c r="A164" s="33" t="s">
        <v>1166</v>
      </c>
      <c r="B164" s="33" t="s">
        <v>1174</v>
      </c>
    </row>
    <row r="165" spans="1:6" hidden="1" x14ac:dyDescent="0.25">
      <c r="A165" s="51" t="s">
        <v>679</v>
      </c>
      <c r="B165" s="51" t="s">
        <v>679</v>
      </c>
    </row>
    <row r="166" spans="1:6" hidden="1" x14ac:dyDescent="0.25">
      <c r="B166" s="58"/>
      <c r="C166" s="59"/>
    </row>
    <row r="167" spans="1:6" hidden="1" x14ac:dyDescent="0.25">
      <c r="A167" s="22" t="s">
        <v>1196</v>
      </c>
    </row>
    <row r="168" spans="1:6" hidden="1" x14ac:dyDescent="0.25"/>
    <row r="169" spans="1:6" ht="40.5" hidden="1" x14ac:dyDescent="0.25">
      <c r="A169" s="24" t="s">
        <v>1166</v>
      </c>
      <c r="B169" s="25" t="s">
        <v>1197</v>
      </c>
      <c r="C169" s="25" t="s">
        <v>1198</v>
      </c>
      <c r="D169" s="25" t="s">
        <v>1199</v>
      </c>
      <c r="E169" s="25" t="s">
        <v>1200</v>
      </c>
    </row>
    <row r="170" spans="1:6" hidden="1" x14ac:dyDescent="0.25">
      <c r="A170" s="60"/>
      <c r="B170" s="51"/>
      <c r="C170" s="30"/>
      <c r="D170" s="61"/>
      <c r="E170" s="61">
        <v>0</v>
      </c>
    </row>
    <row r="171" spans="1:6" hidden="1" x14ac:dyDescent="0.25">
      <c r="A171" s="62"/>
      <c r="B171" s="63"/>
      <c r="C171" s="64"/>
      <c r="D171" s="64"/>
      <c r="E171" s="65"/>
    </row>
    <row r="172" spans="1:6" hidden="1" x14ac:dyDescent="0.25">
      <c r="A172" s="62"/>
      <c r="B172" s="63"/>
      <c r="C172" s="64"/>
      <c r="D172" s="64"/>
      <c r="E172" s="65"/>
    </row>
    <row r="174" spans="1:6" x14ac:dyDescent="0.25">
      <c r="A174" s="22" t="s">
        <v>1201</v>
      </c>
    </row>
    <row r="175" spans="1:6" hidden="1" x14ac:dyDescent="0.25"/>
    <row r="176" spans="1:6" ht="27" hidden="1" x14ac:dyDescent="0.25">
      <c r="A176" s="25" t="s">
        <v>1166</v>
      </c>
      <c r="B176" s="25" t="s">
        <v>1167</v>
      </c>
      <c r="C176" s="25" t="s">
        <v>1190</v>
      </c>
      <c r="D176" s="25" t="s">
        <v>1191</v>
      </c>
      <c r="E176" s="25" t="s">
        <v>1192</v>
      </c>
      <c r="F176" s="25" t="s">
        <v>1193</v>
      </c>
    </row>
    <row r="177" spans="1:7" hidden="1" x14ac:dyDescent="0.25">
      <c r="A177" s="26" t="s">
        <v>679</v>
      </c>
      <c r="B177" s="26" t="s">
        <v>679</v>
      </c>
      <c r="C177" s="26" t="s">
        <v>679</v>
      </c>
      <c r="D177" s="26" t="s">
        <v>679</v>
      </c>
      <c r="E177" s="26" t="s">
        <v>679</v>
      </c>
      <c r="F177" s="26" t="s">
        <v>679</v>
      </c>
    </row>
    <row r="178" spans="1:7" hidden="1" x14ac:dyDescent="0.25">
      <c r="B178" s="66"/>
      <c r="C178" s="67"/>
      <c r="D178" s="68"/>
      <c r="E178" s="57"/>
      <c r="F178" s="57"/>
    </row>
    <row r="179" spans="1:7" hidden="1" x14ac:dyDescent="0.25">
      <c r="A179" s="22" t="s">
        <v>1202</v>
      </c>
    </row>
    <row r="180" spans="1:7" hidden="1" x14ac:dyDescent="0.25">
      <c r="A180" s="22"/>
    </row>
    <row r="181" spans="1:7" hidden="1" x14ac:dyDescent="0.25">
      <c r="A181" s="33" t="s">
        <v>1166</v>
      </c>
      <c r="B181" s="33" t="s">
        <v>1174</v>
      </c>
    </row>
    <row r="182" spans="1:7" hidden="1" x14ac:dyDescent="0.25">
      <c r="A182" s="26" t="s">
        <v>679</v>
      </c>
      <c r="B182" s="26" t="s">
        <v>679</v>
      </c>
    </row>
    <row r="183" spans="1:7" hidden="1" x14ac:dyDescent="0.25">
      <c r="A183" s="44"/>
      <c r="B183" s="59"/>
    </row>
    <row r="184" spans="1:7" hidden="1" x14ac:dyDescent="0.25">
      <c r="A184" s="22" t="s">
        <v>1203</v>
      </c>
    </row>
    <row r="185" spans="1:7" hidden="1" x14ac:dyDescent="0.25"/>
    <row r="186" spans="1:7" ht="40.5" hidden="1" x14ac:dyDescent="0.25">
      <c r="A186" s="24" t="s">
        <v>1166</v>
      </c>
      <c r="B186" s="25" t="s">
        <v>1197</v>
      </c>
      <c r="C186" s="25" t="s">
        <v>1204</v>
      </c>
      <c r="D186" s="25" t="s">
        <v>1205</v>
      </c>
      <c r="E186" s="25" t="s">
        <v>1200</v>
      </c>
    </row>
    <row r="187" spans="1:7" hidden="1" x14ac:dyDescent="0.25">
      <c r="A187" s="26"/>
      <c r="B187" s="51"/>
      <c r="C187" s="30"/>
      <c r="D187" s="51"/>
      <c r="E187" s="51"/>
    </row>
    <row r="188" spans="1:7" hidden="1" x14ac:dyDescent="0.25">
      <c r="F188" s="31"/>
    </row>
    <row r="189" spans="1:7" x14ac:dyDescent="0.25">
      <c r="E189" s="69"/>
      <c r="F189" s="40"/>
    </row>
    <row r="190" spans="1:7" x14ac:dyDescent="0.25">
      <c r="A190" s="22" t="s">
        <v>1206</v>
      </c>
    </row>
    <row r="191" spans="1:7" ht="26.25" x14ac:dyDescent="0.25">
      <c r="A191" s="70" t="s">
        <v>1207</v>
      </c>
      <c r="B191" s="71" t="s">
        <v>1208</v>
      </c>
      <c r="C191" s="71" t="s">
        <v>1209</v>
      </c>
      <c r="D191" s="72" t="s">
        <v>1210</v>
      </c>
      <c r="E191" s="72" t="s">
        <v>1211</v>
      </c>
      <c r="F191" s="71" t="s">
        <v>1212</v>
      </c>
      <c r="G191" s="71" t="s">
        <v>1213</v>
      </c>
    </row>
    <row r="192" spans="1:7" x14ac:dyDescent="0.25">
      <c r="A192" s="73" t="s">
        <v>1214</v>
      </c>
      <c r="B192" s="73" t="s">
        <v>1215</v>
      </c>
      <c r="C192" s="73" t="s">
        <v>1216</v>
      </c>
      <c r="D192" s="73" t="s">
        <v>1217</v>
      </c>
      <c r="E192" s="73" t="s">
        <v>1218</v>
      </c>
      <c r="F192" s="37">
        <v>2500</v>
      </c>
      <c r="G192" s="74">
        <v>46101</v>
      </c>
    </row>
    <row r="193" spans="1:7" x14ac:dyDescent="0.25">
      <c r="A193" s="73" t="s">
        <v>1214</v>
      </c>
      <c r="B193" s="73" t="s">
        <v>1215</v>
      </c>
      <c r="C193" s="73" t="s">
        <v>1216</v>
      </c>
      <c r="D193" s="73" t="s">
        <v>1217</v>
      </c>
      <c r="E193" s="73" t="s">
        <v>1218</v>
      </c>
      <c r="F193" s="37">
        <v>2500</v>
      </c>
      <c r="G193" s="74">
        <v>46168</v>
      </c>
    </row>
    <row r="194" spans="1:7" x14ac:dyDescent="0.25">
      <c r="A194" s="73" t="s">
        <v>1214</v>
      </c>
      <c r="B194" s="73" t="s">
        <v>1215</v>
      </c>
      <c r="C194" s="73" t="s">
        <v>1219</v>
      </c>
      <c r="D194" s="73" t="s">
        <v>1217</v>
      </c>
      <c r="E194" s="73" t="s">
        <v>1218</v>
      </c>
      <c r="F194" s="37">
        <v>2500</v>
      </c>
      <c r="G194" s="74">
        <v>46087</v>
      </c>
    </row>
    <row r="195" spans="1:7" x14ac:dyDescent="0.25">
      <c r="A195" s="73" t="s">
        <v>1214</v>
      </c>
      <c r="B195" s="73" t="s">
        <v>1215</v>
      </c>
      <c r="C195" s="73" t="s">
        <v>1220</v>
      </c>
      <c r="D195" s="73" t="s">
        <v>1217</v>
      </c>
      <c r="E195" s="73" t="s">
        <v>1218</v>
      </c>
      <c r="F195" s="37">
        <v>2500</v>
      </c>
      <c r="G195" s="74">
        <v>46002</v>
      </c>
    </row>
    <row r="196" spans="1:7" x14ac:dyDescent="0.25">
      <c r="D196" s="40"/>
    </row>
    <row r="197" spans="1:7" x14ac:dyDescent="0.25">
      <c r="A197" s="22" t="s">
        <v>1221</v>
      </c>
      <c r="D197" s="40"/>
    </row>
    <row r="198" spans="1:7" hidden="1" x14ac:dyDescent="0.25">
      <c r="D198" s="40"/>
    </row>
    <row r="199" spans="1:7" ht="27" hidden="1" x14ac:dyDescent="0.25">
      <c r="A199" s="24" t="s">
        <v>1166</v>
      </c>
      <c r="B199" s="25" t="s">
        <v>1167</v>
      </c>
      <c r="C199" s="25" t="s">
        <v>1168</v>
      </c>
      <c r="D199" s="25" t="s">
        <v>1222</v>
      </c>
      <c r="E199" s="25" t="s">
        <v>1223</v>
      </c>
      <c r="F199" s="25" t="s">
        <v>1224</v>
      </c>
    </row>
    <row r="200" spans="1:7" hidden="1" x14ac:dyDescent="0.25">
      <c r="A200" s="75" t="s">
        <v>679</v>
      </c>
      <c r="B200" s="75" t="s">
        <v>679</v>
      </c>
      <c r="C200" s="75" t="s">
        <v>679</v>
      </c>
      <c r="D200" s="75" t="s">
        <v>679</v>
      </c>
      <c r="E200" s="75" t="s">
        <v>679</v>
      </c>
      <c r="F200" s="75" t="s">
        <v>679</v>
      </c>
    </row>
    <row r="201" spans="1:7" hidden="1" x14ac:dyDescent="0.25">
      <c r="D201" s="40"/>
    </row>
    <row r="202" spans="1:7" hidden="1" x14ac:dyDescent="0.25">
      <c r="A202" s="22" t="s">
        <v>1225</v>
      </c>
      <c r="D202" s="40"/>
    </row>
    <row r="203" spans="1:7" hidden="1" x14ac:dyDescent="0.25">
      <c r="A203" s="22"/>
      <c r="D203" s="40"/>
    </row>
    <row r="204" spans="1:7" hidden="1" x14ac:dyDescent="0.25">
      <c r="A204" s="33" t="s">
        <v>1166</v>
      </c>
      <c r="B204" s="33" t="s">
        <v>1174</v>
      </c>
      <c r="D204" s="40"/>
    </row>
    <row r="205" spans="1:7" hidden="1" x14ac:dyDescent="0.25">
      <c r="A205" s="75" t="s">
        <v>679</v>
      </c>
      <c r="B205" s="75" t="s">
        <v>679</v>
      </c>
      <c r="D205" s="40"/>
    </row>
    <row r="206" spans="1:7" x14ac:dyDescent="0.25">
      <c r="D206" s="40"/>
    </row>
    <row r="207" spans="1:7" hidden="1" x14ac:dyDescent="0.25">
      <c r="A207" s="22" t="s">
        <v>1226</v>
      </c>
      <c r="D207" s="40"/>
    </row>
    <row r="208" spans="1:7" hidden="1" x14ac:dyDescent="0.25">
      <c r="D208" s="40"/>
    </row>
    <row r="209" spans="1:9" ht="67.5" hidden="1" x14ac:dyDescent="0.25">
      <c r="A209" s="24" t="s">
        <v>1166</v>
      </c>
      <c r="B209" s="25" t="s">
        <v>1176</v>
      </c>
      <c r="C209" s="25" t="s">
        <v>1177</v>
      </c>
      <c r="D209" s="25" t="s">
        <v>1178</v>
      </c>
      <c r="E209" s="25" t="s">
        <v>1179</v>
      </c>
      <c r="F209" s="25" t="s">
        <v>1180</v>
      </c>
    </row>
    <row r="210" spans="1:9" hidden="1" x14ac:dyDescent="0.25">
      <c r="A210" s="76"/>
      <c r="B210" s="76"/>
      <c r="C210" s="36"/>
      <c r="D210" s="77"/>
      <c r="E210" s="78"/>
      <c r="F210" s="79"/>
      <c r="H210" s="39"/>
      <c r="I210" s="40"/>
    </row>
    <row r="211" spans="1:9" hidden="1" x14ac:dyDescent="0.25">
      <c r="D211" s="40"/>
    </row>
    <row r="212" spans="1:9" hidden="1" x14ac:dyDescent="0.25">
      <c r="D212" s="40"/>
    </row>
    <row r="213" spans="1:9" hidden="1" x14ac:dyDescent="0.25">
      <c r="A213" s="22" t="s">
        <v>1227</v>
      </c>
      <c r="D213" s="40"/>
    </row>
    <row r="214" spans="1:9" hidden="1" x14ac:dyDescent="0.25">
      <c r="D214" s="40"/>
    </row>
    <row r="215" spans="1:9" ht="67.5" hidden="1" x14ac:dyDescent="0.25">
      <c r="A215" s="24" t="s">
        <v>1166</v>
      </c>
      <c r="B215" s="25" t="s">
        <v>1176</v>
      </c>
      <c r="C215" s="25" t="s">
        <v>1177</v>
      </c>
      <c r="D215" s="25" t="s">
        <v>1178</v>
      </c>
      <c r="E215" s="25" t="s">
        <v>1179</v>
      </c>
      <c r="F215" s="25" t="s">
        <v>1180</v>
      </c>
    </row>
    <row r="216" spans="1:9" hidden="1" x14ac:dyDescent="0.25">
      <c r="A216" s="27"/>
      <c r="B216" s="51"/>
      <c r="C216" s="51"/>
      <c r="D216" s="80"/>
      <c r="E216" s="80"/>
      <c r="F216" s="80"/>
    </row>
    <row r="217" spans="1:9" x14ac:dyDescent="0.25">
      <c r="A217" s="23" t="s">
        <v>1228</v>
      </c>
    </row>
  </sheetData>
  <mergeCells count="3">
    <mergeCell ref="A2:F2"/>
    <mergeCell ref="A3:F3"/>
    <mergeCell ref="A5:F5"/>
  </mergeCells>
  <printOptions horizontalCentered="1"/>
  <pageMargins left="0.17" right="0.15748031496062992" top="0.43307086614173229" bottom="0.47244094488188981" header="0.31496062992125984" footer="0.31496062992125984"/>
  <pageSetup paperSize="9" scale="42" fitToHeight="3" orientation="portrait" r:id="rId1"/>
  <headerFooter>
    <oddHeader>&amp;L&amp;"Calibri"&amp;10&amp;KFF0000 "Sensitivity: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Index</vt:lpstr>
      <vt:lpstr>CAPEXG</vt:lpstr>
      <vt:lpstr>GLOB</vt:lpstr>
      <vt:lpstr>MIDCAP</vt:lpstr>
      <vt:lpstr>MULTIP</vt:lpstr>
      <vt:lpstr>SLTADV3</vt:lpstr>
      <vt:lpstr>SLTADV4</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SUNMFF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2025-11-03T15:25:39Z</dcterms:created>
  <dcterms:modified xsi:type="dcterms:W3CDTF">2025-11-07T15:56:27Z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a6dec7-ad36-4603-99ea-a4fb4d4185bf_Enabled">
    <vt:lpwstr>true</vt:lpwstr>
  </property>
  <property fmtid="{D5CDD505-2E9C-101B-9397-08002B2CF9AE}" pid="3" name="MSIP_Label_3fa6dec7-ad36-4603-99ea-a4fb4d4185bf_SetDate">
    <vt:lpwstr>2025-11-03T15:25:39Z</vt:lpwstr>
  </property>
  <property fmtid="{D5CDD505-2E9C-101B-9397-08002B2CF9AE}" pid="4" name="MSIP_Label_3fa6dec7-ad36-4603-99ea-a4fb4d4185bf_Method">
    <vt:lpwstr>Privileged</vt:lpwstr>
  </property>
  <property fmtid="{D5CDD505-2E9C-101B-9397-08002B2CF9AE}" pid="5" name="MSIP_Label_3fa6dec7-ad36-4603-99ea-a4fb4d4185bf_Name">
    <vt:lpwstr>Internal Use Only</vt:lpwstr>
  </property>
  <property fmtid="{D5CDD505-2E9C-101B-9397-08002B2CF9AE}" pid="6" name="MSIP_Label_3fa6dec7-ad36-4603-99ea-a4fb4d4185bf_SiteId">
    <vt:lpwstr>b8d87d45-aff7-4067-8708-1c35bbaab723</vt:lpwstr>
  </property>
  <property fmtid="{D5CDD505-2E9C-101B-9397-08002B2CF9AE}" pid="7" name="MSIP_Label_3fa6dec7-ad36-4603-99ea-a4fb4d4185bf_ActionId">
    <vt:lpwstr>9d771d30-3b48-4577-a843-64b84fef9a52</vt:lpwstr>
  </property>
  <property fmtid="{D5CDD505-2E9C-101B-9397-08002B2CF9AE}" pid="8" name="MSIP_Label_3fa6dec7-ad36-4603-99ea-a4fb4d4185bf_ContentBits">
    <vt:lpwstr>1</vt:lpwstr>
  </property>
  <property fmtid="{D5CDD505-2E9C-101B-9397-08002B2CF9AE}" pid="9" name="MSIP_Label_3fa6dec7-ad36-4603-99ea-a4fb4d4185bf_Tag">
    <vt:lpwstr>10, 0, 1, 1</vt:lpwstr>
  </property>
</Properties>
</file>