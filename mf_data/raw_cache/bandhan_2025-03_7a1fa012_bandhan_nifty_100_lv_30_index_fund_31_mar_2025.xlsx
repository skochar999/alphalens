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0AC1A491-1454-4A46-A67C-E60940D1E2FD}" xr6:coauthVersionLast="47" xr6:coauthVersionMax="47" xr10:uidLastSave="{00000000-0000-0000-0000-000000000000}"/>
  <bookViews>
    <workbookView xWindow="-108" yWindow="-108" windowWidth="41496" windowHeight="16896" xr2:uid="{2DCEA130-BB96-4157-BE6A-EB91C40749F8}"/>
  </bookViews>
  <sheets>
    <sheet name="IDF283" sheetId="1" r:id="rId1"/>
  </sheets>
  <definedNames>
    <definedName name="JR_PAGE_ANCHOR_0_50">'IDF283'!$A$2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</calcChain>
</file>

<file path=xl/sharedStrings.xml><?xml version="1.0" encoding="utf-8"?>
<sst xmlns="http://schemas.openxmlformats.org/spreadsheetml/2006/main" count="202" uniqueCount="175">
  <si>
    <t>IDF283</t>
  </si>
  <si>
    <t>INDEX</t>
  </si>
  <si>
    <t>Portfolio Statement as on March 31,2025</t>
  </si>
  <si>
    <t>Bandhan Nifty100 Low Volatility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</si>
  <si>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</si>
  <si>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</si>
  <si>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</si>
  <si>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</si>
  <si>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</si>
  <si>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</si>
  <si>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</si>
  <si>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</si>
  <si>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</si>
  <si>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</si>
  <si>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</si>
  <si>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</si>
  <si>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</si>
  <si>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NEST02</t>
  </si>
  <si>
    <t>Nestle India Limited</t>
  </si>
  <si>
    <t>INE239A01024</t>
  </si>
  <si>
    <t>Food Products</t>
  </si>
  <si>
    <t>SPIL03</t>
  </si>
  <si>
    <t>Sun Pharmaceutical Industries Limited</t>
  </si>
  <si>
    <t>INE044A01036</t>
  </si>
  <si>
    <t>Pharmaceuticals &amp; Biotechnology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</si>
  <si>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</si>
  <si>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</si>
  <si>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</si>
  <si>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</si>
  <si>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</si>
  <si>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</si>
  <si>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</si>
  <si>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HLEL02</t>
  </si>
  <si>
    <t>Hindustan Unilever Limited</t>
  </si>
  <si>
    <t>INE030A01027</t>
  </si>
  <si>
    <t>BRIT03</t>
  </si>
  <si>
    <t>Britannia Industries Limited</t>
  </si>
  <si>
    <t>INE216A01030</t>
  </si>
  <si>
    <t>ASPA02</t>
  </si>
  <si>
    <t>Asian Paints Limited</t>
  </si>
  <si>
    <t>INE021A01026</t>
  </si>
  <si>
    <t>Consumer Durables</t>
  </si>
  <si>
    <t>DRRL03</t>
  </si>
  <si>
    <t>Dr. Reddy's Laboratories Limited</t>
  </si>
  <si>
    <t>INE089A01031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</si>
  <si>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</si>
  <si>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</si>
  <si>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</si>
  <si>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</si>
  <si>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</si>
  <si>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</si>
  <si>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</si>
  <si>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</si>
  <si>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</si>
  <si>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</si>
  <si>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</si>
  <si>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</si>
  <si>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</si>
  <si>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</si>
  <si>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</si>
  <si>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</si>
  <si>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</si>
  <si>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</si>
  <si>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</si>
  <si>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Finance</t>
  </si>
  <si>
    <t>MAUD01</t>
  </si>
  <si>
    <t>Maruti Suzuki India Limited</t>
  </si>
  <si>
    <t>INE585B01010</t>
  </si>
  <si>
    <t>Automobiles</t>
  </si>
  <si>
    <t>INFS02</t>
  </si>
  <si>
    <t>Infosys Limited</t>
  </si>
  <si>
    <t>INE009A01021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</si>
  <si>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</si>
  <si>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</si>
  <si>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</si>
  <si>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</si>
  <si>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</si>
  <si>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</si>
  <si>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</si>
  <si>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HCLT02</t>
  </si>
  <si>
    <t>HCL Technologies Limited</t>
  </si>
  <si>
    <t>INE860A01027</t>
  </si>
  <si>
    <t>HERO02</t>
  </si>
  <si>
    <t>Hero MotoCorp Limited</t>
  </si>
  <si>
    <t>INE158A01026</t>
  </si>
  <si>
    <t>ULCC01</t>
  </si>
  <si>
    <t>UltraTech Cement Limited</t>
  </si>
  <si>
    <t>INE481G01011</t>
  </si>
  <si>
    <t>Cement &amp; Cement Products</t>
  </si>
  <si>
    <t>MOTI02</t>
  </si>
  <si>
    <t>Bosch Limited</t>
  </si>
  <si>
    <t>INE323A01026</t>
  </si>
  <si>
    <t>Auto Components</t>
  </si>
  <si>
    <t>CIPL03</t>
  </si>
  <si>
    <t>Cipla Limited</t>
  </si>
  <si>
    <t>INE059A01026</t>
  </si>
  <si>
    <t>KOMA02</t>
  </si>
  <si>
    <t>Kotak Mahindra Bank Limited</t>
  </si>
  <si>
    <t>INE237A01028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</si>
  <si>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</si>
  <si>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</si>
  <si>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</si>
  <si>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</si>
  <si>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</si>
  <si>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</si>
  <si>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</si>
  <si>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DABU02</t>
  </si>
  <si>
    <t>Dabur India Limited</t>
  </si>
  <si>
    <t>INE016A01026</t>
  </si>
  <si>
    <t>Personal Products</t>
  </si>
  <si>
    <t>BALN01</t>
  </si>
  <si>
    <t>Bajaj Auto Limited</t>
  </si>
  <si>
    <t>INE917I01010</t>
  </si>
  <si>
    <t>LARS02</t>
  </si>
  <si>
    <t>Larsen &amp; Toubro Limited</t>
  </si>
  <si>
    <t>INE018A01030</t>
  </si>
  <si>
    <t>Construction</t>
  </si>
  <si>
    <t>WIPR02</t>
  </si>
  <si>
    <t>Wipro Limited</t>
  </si>
  <si>
    <t>INE075A01022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</si>
  <si>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</si>
  <si>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</si>
  <si>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</si>
  <si>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</si>
  <si>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</si>
  <si>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</si>
  <si>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</si>
  <si>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</si>
  <si>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</si>
  <si>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</si>
  <si>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</si>
  <si>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</si>
  <si>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</si>
  <si>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</si>
  <si>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</si>
  <si>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</si>
  <si>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</si>
  <si>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</si>
  <si>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Tata Group</t>
  </si>
  <si>
    <t>Bajaj Group</t>
  </si>
  <si>
    <t>ITC Group</t>
  </si>
  <si>
    <t>Nestle Group</t>
  </si>
  <si>
    <t>Sun Pharma Group</t>
  </si>
  <si>
    <t>ICICI Group</t>
  </si>
  <si>
    <t>HDFC Group</t>
  </si>
  <si>
    <t>Name and exposure to top 4 Sectors</t>
  </si>
  <si>
    <t>Name of the Sector</t>
  </si>
  <si>
    <t>Fast Moving Consumer Goods</t>
  </si>
  <si>
    <t>Financial Services</t>
  </si>
  <si>
    <t>Healthcare</t>
  </si>
  <si>
    <t>Information Technology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</si>
  <si>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</si>
  <si>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</si>
  <si>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</si>
  <si>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</si>
  <si>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</si>
  <si>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</si>
  <si>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</si>
  <si>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IDF283-AG</t>
  </si>
  <si>
    <t>Growth</t>
  </si>
  <si>
    <t>IDF283-AD</t>
  </si>
  <si>
    <t>IDCW #</t>
  </si>
  <si>
    <t>Direct Plan</t>
  </si>
  <si>
    <t>IDF283-ZG</t>
  </si>
  <si>
    <t>IDF283-ZD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</si>
  <si>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</si>
  <si>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</si>
  <si>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</si>
  <si>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</si>
  <si>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0.2 times and aggregate for all asset category is 0.2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</si>
  <si>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</si>
  <si>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</si>
  <si>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NIFTY100 LOW VOLATILITY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</si>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</sst>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2" fillId="0" borderId="0" xfId="0" applyFont="1" applyProtection="1">
      <protection locked="0"/>
    </xf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0" fontId="16" fillId="0" borderId="24" xfId="1" applyFont="1" applyBorder="1"/>
    <xf numFmtId="168" fontId="13" fillId="0" borderId="0" xfId="1" applyNumberFormat="1" applyFont="1"/>
    <xf numFmtId="0" fontId="3" fillId="0" borderId="0" xfId="1" applyFont="1"/>
    <xf numFmtId="166" fontId="14" fillId="0" borderId="25" xfId="1" applyNumberFormat="1" applyFont="1" applyBorder="1"/>
    <xf numFmtId="0" fontId="13" fillId="0" borderId="24" xfId="1" applyFont="1" applyBorder="1"/>
    <xf numFmtId="168" fontId="13" fillId="0" borderId="0" xfId="2" applyNumberFormat="1" applyFont="1"/>
    <xf numFmtId="168" fontId="13" fillId="0" borderId="0" xfId="3" applyNumberFormat="1" applyFont="1"/>
    <xf numFmtId="4" fontId="13" fillId="0" borderId="0" xfId="1" applyNumberFormat="1" applyFont="1"/>
    <xf numFmtId="169" fontId="14" fillId="0" borderId="0" xfId="1" applyNumberFormat="1" applyFont="1"/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0" fontId="18" fillId="0" borderId="0" xfId="1" applyNumberFormat="1" applyFont="1"/>
    <xf numFmtId="0" fontId="13" fillId="0" borderId="24" xfId="2" applyFont="1" applyBorder="1"/>
    <xf numFmtId="0" fontId="11" fillId="0" borderId="0" xfId="0" applyFont="1"/>
  </cellXfs>
  <cellStyles count="5">
    <cellStyle name="Comma 5" xfId="4" xr:uid="{961F0A82-57C7-440D-A43D-B73161B4088F}"/>
    <cellStyle name="Normal" xfId="0" builtinId="0"/>
    <cellStyle name="Normal 3 2 2" xfId="2" xr:uid="{A1217555-39DC-4847-BBB0-8BCEC7D3029C}"/>
    <cellStyle name="Normal 3 2 3" xfId="3" xr:uid="{8D853565-603B-4D59-BD5B-9DE5E9AFF645}"/>
    <cellStyle name="Normal 7" xfId="1" xr:uid="{64EFAE2D-626F-410B-9860-0A91EEEA85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711D9-1859-4491-AF7F-E6C2233724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289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7</xdr:col>
      <xdr:colOff>571500</xdr:colOff>
      <xdr:row>116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859EFC-CD9E-4647-BD44-44E22E555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80289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8234-55E4-4F70-AA7F-DB9B42F36F57}">
  <sheetPr codeName="Sheet44">
    <outlinePr summaryBelow="0"/>
  </sheetPr>
  <dimension ref="A1:H105"/>
  <sheetViews>
    <sheetView tabSelected="1" topLeftCell="A94" workbookViewId="0">
      <selection activeCell="E94" sqref="E94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1335746</v>
      </c>
      <c r="F8" s="19">
        <v>5473.22</v>
      </c>
      <c r="G8" s="20">
        <v>4.0099999999999997E-2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239609</v>
      </c>
      <c r="F9" s="19">
        <v>5393</v>
      </c>
      <c r="G9" s="20">
        <v>3.95E-2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303908</v>
      </c>
      <c r="F10" s="19">
        <v>5271.89</v>
      </c>
      <c r="G10" s="20">
        <v>3.8699999999999998E-2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390190</v>
      </c>
      <c r="F11" s="19">
        <v>5261.13</v>
      </c>
      <c r="G11" s="20">
        <v>3.8600000000000002E-2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28</v>
      </c>
      <c r="E12" s="18">
        <v>284664</v>
      </c>
      <c r="F12" s="19">
        <v>5204.2299999999996</v>
      </c>
      <c r="G12" s="20">
        <v>3.8199999999999998E-2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16</v>
      </c>
      <c r="E13" s="18">
        <v>227172</v>
      </c>
      <c r="F13" s="19">
        <v>5131.47</v>
      </c>
      <c r="G13" s="20">
        <v>3.7600000000000001E-2</v>
      </c>
      <c r="H13" s="21"/>
    </row>
    <row r="14" spans="1:8" ht="12.9" customHeight="1" x14ac:dyDescent="0.25">
      <c r="A14" s="16" t="s">
        <v>35</v>
      </c>
      <c r="B14" s="17" t="s">
        <v>36</v>
      </c>
      <c r="C14" s="13" t="s">
        <v>37</v>
      </c>
      <c r="D14" s="14" t="s">
        <v>20</v>
      </c>
      <c r="E14" s="18">
        <v>102687</v>
      </c>
      <c r="F14" s="19">
        <v>5069.55</v>
      </c>
      <c r="G14" s="20">
        <v>3.7199999999999997E-2</v>
      </c>
      <c r="H14" s="21"/>
    </row>
    <row r="15" spans="1:8" ht="12.9" customHeight="1" x14ac:dyDescent="0.25">
      <c r="A15" s="16" t="s">
        <v>38</v>
      </c>
      <c r="B15" s="17" t="s">
        <v>39</v>
      </c>
      <c r="C15" s="13" t="s">
        <v>40</v>
      </c>
      <c r="D15" s="14" t="s">
        <v>41</v>
      </c>
      <c r="E15" s="18">
        <v>212098</v>
      </c>
      <c r="F15" s="19">
        <v>4964.47</v>
      </c>
      <c r="G15" s="20">
        <v>3.6400000000000002E-2</v>
      </c>
      <c r="H15" s="21"/>
    </row>
    <row r="16" spans="1:8" ht="12.9" customHeight="1" x14ac:dyDescent="0.25">
      <c r="A16" s="16" t="s">
        <v>42</v>
      </c>
      <c r="B16" s="17" t="s">
        <v>43</v>
      </c>
      <c r="C16" s="13" t="s">
        <v>44</v>
      </c>
      <c r="D16" s="14" t="s">
        <v>24</v>
      </c>
      <c r="E16" s="18">
        <v>433789</v>
      </c>
      <c r="F16" s="19">
        <v>4963.41</v>
      </c>
      <c r="G16" s="20">
        <v>3.6400000000000002E-2</v>
      </c>
      <c r="H16" s="21"/>
    </row>
    <row r="17" spans="1:8" ht="12.9" customHeight="1" x14ac:dyDescent="0.25">
      <c r="A17" s="16" t="s">
        <v>45</v>
      </c>
      <c r="B17" s="17" t="s">
        <v>46</v>
      </c>
      <c r="C17" s="13" t="s">
        <v>47</v>
      </c>
      <c r="D17" s="14" t="s">
        <v>48</v>
      </c>
      <c r="E17" s="18">
        <v>134892</v>
      </c>
      <c r="F17" s="19">
        <v>4864.41</v>
      </c>
      <c r="G17" s="20">
        <v>3.5700000000000003E-2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52</v>
      </c>
      <c r="E18" s="18">
        <v>376684</v>
      </c>
      <c r="F18" s="19">
        <v>4803.1000000000004</v>
      </c>
      <c r="G18" s="20">
        <v>3.5200000000000002E-2</v>
      </c>
      <c r="H18" s="21"/>
    </row>
    <row r="19" spans="1:8" ht="12.9" customHeight="1" x14ac:dyDescent="0.25">
      <c r="A19" s="16" t="s">
        <v>53</v>
      </c>
      <c r="B19" s="17" t="s">
        <v>54</v>
      </c>
      <c r="C19" s="13" t="s">
        <v>55</v>
      </c>
      <c r="D19" s="14" t="s">
        <v>56</v>
      </c>
      <c r="E19" s="18">
        <v>70624</v>
      </c>
      <c r="F19" s="19">
        <v>4672.63</v>
      </c>
      <c r="G19" s="20">
        <v>3.4299999999999997E-2</v>
      </c>
      <c r="H19" s="21"/>
    </row>
    <row r="20" spans="1:8" ht="12.9" customHeight="1" x14ac:dyDescent="0.25">
      <c r="A20" s="16" t="s">
        <v>57</v>
      </c>
      <c r="B20" s="17" t="s">
        <v>58</v>
      </c>
      <c r="C20" s="13" t="s">
        <v>59</v>
      </c>
      <c r="D20" s="14" t="s">
        <v>60</v>
      </c>
      <c r="E20" s="18">
        <v>259470</v>
      </c>
      <c r="F20" s="19">
        <v>4497.6499999999996</v>
      </c>
      <c r="G20" s="20">
        <v>3.3000000000000002E-2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64</v>
      </c>
      <c r="E21" s="18">
        <v>220768</v>
      </c>
      <c r="F21" s="19">
        <v>4431.59</v>
      </c>
      <c r="G21" s="20">
        <v>3.2500000000000001E-2</v>
      </c>
      <c r="H21" s="21"/>
    </row>
    <row r="22" spans="1:8" ht="12.9" customHeight="1" x14ac:dyDescent="0.25">
      <c r="A22" s="16" t="s">
        <v>65</v>
      </c>
      <c r="B22" s="17" t="s">
        <v>66</v>
      </c>
      <c r="C22" s="13" t="s">
        <v>67</v>
      </c>
      <c r="D22" s="14" t="s">
        <v>68</v>
      </c>
      <c r="E22" s="18">
        <v>38268</v>
      </c>
      <c r="F22" s="19">
        <v>4409.3</v>
      </c>
      <c r="G22" s="20">
        <v>3.2300000000000002E-2</v>
      </c>
      <c r="H22" s="21"/>
    </row>
    <row r="23" spans="1:8" ht="12.9" customHeight="1" x14ac:dyDescent="0.25">
      <c r="A23" s="16" t="s">
        <v>69</v>
      </c>
      <c r="B23" s="17" t="s">
        <v>70</v>
      </c>
      <c r="C23" s="13" t="s">
        <v>71</v>
      </c>
      <c r="D23" s="14" t="s">
        <v>48</v>
      </c>
      <c r="E23" s="18">
        <v>279536</v>
      </c>
      <c r="F23" s="19">
        <v>4390.53</v>
      </c>
      <c r="G23" s="20">
        <v>3.2199999999999999E-2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75</v>
      </c>
      <c r="E24" s="18">
        <v>283406</v>
      </c>
      <c r="F24" s="19">
        <v>4386.7</v>
      </c>
      <c r="G24" s="20">
        <v>3.2199999999999999E-2</v>
      </c>
      <c r="H24" s="21"/>
    </row>
    <row r="25" spans="1:8" ht="12.9" customHeight="1" x14ac:dyDescent="0.25">
      <c r="A25" s="16" t="s">
        <v>76</v>
      </c>
      <c r="B25" s="17" t="s">
        <v>77</v>
      </c>
      <c r="C25" s="13" t="s">
        <v>78</v>
      </c>
      <c r="D25" s="14" t="s">
        <v>41</v>
      </c>
      <c r="E25" s="18">
        <v>142335</v>
      </c>
      <c r="F25" s="19">
        <v>4360.22</v>
      </c>
      <c r="G25" s="20">
        <v>3.2000000000000001E-2</v>
      </c>
      <c r="H25" s="21"/>
    </row>
    <row r="26" spans="1:8" ht="12.9" customHeight="1" x14ac:dyDescent="0.25">
      <c r="A26" s="16" t="s">
        <v>79</v>
      </c>
      <c r="B26" s="17" t="s">
        <v>80</v>
      </c>
      <c r="C26" s="13" t="s">
        <v>81</v>
      </c>
      <c r="D26" s="14" t="s">
        <v>48</v>
      </c>
      <c r="E26" s="18">
        <v>273401</v>
      </c>
      <c r="F26" s="19">
        <v>4353.91</v>
      </c>
      <c r="G26" s="20">
        <v>3.1899999999999998E-2</v>
      </c>
      <c r="H26" s="21"/>
    </row>
    <row r="27" spans="1:8" ht="12.9" customHeight="1" x14ac:dyDescent="0.25">
      <c r="A27" s="16" t="s">
        <v>82</v>
      </c>
      <c r="B27" s="17" t="s">
        <v>83</v>
      </c>
      <c r="C27" s="13" t="s">
        <v>84</v>
      </c>
      <c r="D27" s="14" t="s">
        <v>68</v>
      </c>
      <c r="E27" s="18">
        <v>116836</v>
      </c>
      <c r="F27" s="19">
        <v>4349.75</v>
      </c>
      <c r="G27" s="20">
        <v>3.1899999999999998E-2</v>
      </c>
      <c r="H27" s="21"/>
    </row>
    <row r="28" spans="1:8" ht="12.9" customHeight="1" x14ac:dyDescent="0.25">
      <c r="A28" s="16" t="s">
        <v>85</v>
      </c>
      <c r="B28" s="17" t="s">
        <v>86</v>
      </c>
      <c r="C28" s="13" t="s">
        <v>87</v>
      </c>
      <c r="D28" s="14" t="s">
        <v>88</v>
      </c>
      <c r="E28" s="18">
        <v>37160</v>
      </c>
      <c r="F28" s="19">
        <v>4276.95</v>
      </c>
      <c r="G28" s="20">
        <v>3.1399999999999997E-2</v>
      </c>
      <c r="H28" s="21"/>
    </row>
    <row r="29" spans="1:8" ht="12.9" customHeight="1" x14ac:dyDescent="0.25">
      <c r="A29" s="16" t="s">
        <v>89</v>
      </c>
      <c r="B29" s="17" t="s">
        <v>90</v>
      </c>
      <c r="C29" s="13" t="s">
        <v>91</v>
      </c>
      <c r="D29" s="14" t="s">
        <v>92</v>
      </c>
      <c r="E29" s="18">
        <v>14971</v>
      </c>
      <c r="F29" s="19">
        <v>4245.54</v>
      </c>
      <c r="G29" s="20">
        <v>3.1099999999999999E-2</v>
      </c>
      <c r="H29" s="21"/>
    </row>
    <row r="30" spans="1:8" ht="12.9" customHeight="1" x14ac:dyDescent="0.25">
      <c r="A30" s="16" t="s">
        <v>93</v>
      </c>
      <c r="B30" s="17" t="s">
        <v>94</v>
      </c>
      <c r="C30" s="13" t="s">
        <v>95</v>
      </c>
      <c r="D30" s="14" t="s">
        <v>24</v>
      </c>
      <c r="E30" s="18">
        <v>289674</v>
      </c>
      <c r="F30" s="19">
        <v>4177.68</v>
      </c>
      <c r="G30" s="20">
        <v>3.0599999999999999E-2</v>
      </c>
      <c r="H30" s="21"/>
    </row>
    <row r="31" spans="1:8" ht="12.9" customHeight="1" x14ac:dyDescent="0.25">
      <c r="A31" s="16" t="s">
        <v>96</v>
      </c>
      <c r="B31" s="17" t="s">
        <v>97</v>
      </c>
      <c r="C31" s="13" t="s">
        <v>98</v>
      </c>
      <c r="D31" s="14" t="s">
        <v>28</v>
      </c>
      <c r="E31" s="18">
        <v>191828</v>
      </c>
      <c r="F31" s="19">
        <v>4164.97</v>
      </c>
      <c r="G31" s="20">
        <v>3.0499999999999999E-2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102</v>
      </c>
      <c r="E32" s="18">
        <v>145559</v>
      </c>
      <c r="F32" s="19">
        <v>4147.41</v>
      </c>
      <c r="G32" s="20">
        <v>3.04E-2</v>
      </c>
      <c r="H32" s="21"/>
    </row>
    <row r="33" spans="1:8" ht="12.9" customHeight="1" x14ac:dyDescent="0.25">
      <c r="A33" s="16" t="s">
        <v>103</v>
      </c>
      <c r="B33" s="17" t="s">
        <v>104</v>
      </c>
      <c r="C33" s="13" t="s">
        <v>105</v>
      </c>
      <c r="D33" s="14" t="s">
        <v>24</v>
      </c>
      <c r="E33" s="18">
        <v>126630</v>
      </c>
      <c r="F33" s="19">
        <v>4087.55</v>
      </c>
      <c r="G33" s="20">
        <v>0.03</v>
      </c>
      <c r="H33" s="21"/>
    </row>
    <row r="34" spans="1:8" ht="12.9" customHeight="1" x14ac:dyDescent="0.25">
      <c r="A34" s="16" t="s">
        <v>106</v>
      </c>
      <c r="B34" s="17" t="s">
        <v>107</v>
      </c>
      <c r="C34" s="13" t="s">
        <v>108</v>
      </c>
      <c r="D34" s="14" t="s">
        <v>109</v>
      </c>
      <c r="E34" s="18">
        <v>806914</v>
      </c>
      <c r="F34" s="19">
        <v>4087.02</v>
      </c>
      <c r="G34" s="20">
        <v>0.03</v>
      </c>
      <c r="H34" s="21"/>
    </row>
    <row r="35" spans="1:8" ht="12.9" customHeight="1" x14ac:dyDescent="0.25">
      <c r="A35" s="16" t="s">
        <v>110</v>
      </c>
      <c r="B35" s="17" t="s">
        <v>111</v>
      </c>
      <c r="C35" s="13" t="s">
        <v>112</v>
      </c>
      <c r="D35" s="14" t="s">
        <v>68</v>
      </c>
      <c r="E35" s="18">
        <v>47206</v>
      </c>
      <c r="F35" s="19">
        <v>3719.29</v>
      </c>
      <c r="G35" s="20">
        <v>2.7300000000000001E-2</v>
      </c>
      <c r="H35" s="21"/>
    </row>
    <row r="36" spans="1:8" ht="12.9" customHeight="1" x14ac:dyDescent="0.25">
      <c r="A36" s="16" t="s">
        <v>113</v>
      </c>
      <c r="B36" s="17" t="s">
        <v>114</v>
      </c>
      <c r="C36" s="13" t="s">
        <v>115</v>
      </c>
      <c r="D36" s="14" t="s">
        <v>116</v>
      </c>
      <c r="E36" s="18">
        <v>105245</v>
      </c>
      <c r="F36" s="19">
        <v>3675.47</v>
      </c>
      <c r="G36" s="20">
        <v>2.69E-2</v>
      </c>
      <c r="H36" s="21"/>
    </row>
    <row r="37" spans="1:8" ht="12.9" customHeight="1" x14ac:dyDescent="0.25">
      <c r="A37" s="16" t="s">
        <v>117</v>
      </c>
      <c r="B37" s="17" t="s">
        <v>118</v>
      </c>
      <c r="C37" s="13" t="s">
        <v>119</v>
      </c>
      <c r="D37" s="14" t="s">
        <v>48</v>
      </c>
      <c r="E37" s="18">
        <v>1356993</v>
      </c>
      <c r="F37" s="19">
        <v>3558.71</v>
      </c>
      <c r="G37" s="20">
        <v>2.6100000000000002E-2</v>
      </c>
      <c r="H37" s="21"/>
    </row>
    <row r="38" spans="1:8" ht="12.9" customHeight="1" x14ac:dyDescent="0.25">
      <c r="A38" s="5"/>
      <c r="B38" s="22" t="s">
        <v>120</v>
      </c>
      <c r="C38" s="23"/>
      <c r="D38" s="22"/>
      <c r="E38" s="22"/>
      <c r="F38" s="24">
        <v>136392.75</v>
      </c>
      <c r="G38" s="25">
        <v>1.0002</v>
      </c>
      <c r="H38" s="26"/>
    </row>
    <row r="39" spans="1:8" ht="12.9" customHeight="1" x14ac:dyDescent="0.25">
      <c r="A39" s="5"/>
      <c r="B39" s="12" t="s">
        <v>121</v>
      </c>
      <c r="C39" s="27"/>
      <c r="D39" s="28"/>
      <c r="E39" s="28"/>
      <c r="F39" s="29" t="s">
        <v>122</v>
      </c>
      <c r="G39" s="29" t="s">
        <v>122</v>
      </c>
      <c r="H39" s="26" t="s">
        <v>122</v>
      </c>
    </row>
    <row r="40" spans="1:8" ht="12.9" customHeight="1" x14ac:dyDescent="0.25">
      <c r="A40" s="5"/>
      <c r="B40" s="22" t="s">
        <v>120</v>
      </c>
      <c r="C40" s="27"/>
      <c r="D40" s="28"/>
      <c r="E40" s="28"/>
      <c r="F40" s="29" t="s">
        <v>122</v>
      </c>
      <c r="G40" s="29" t="s">
        <v>122</v>
      </c>
      <c r="H40" s="26" t="s">
        <v>122</v>
      </c>
    </row>
    <row r="41" spans="1:8" ht="12.9" customHeight="1" x14ac:dyDescent="0.25">
      <c r="A41" s="5"/>
      <c r="B41" s="22" t="s">
        <v>123</v>
      </c>
      <c r="C41" s="27"/>
      <c r="D41" s="28"/>
      <c r="E41" s="30"/>
      <c r="F41" s="31">
        <v>136392.75</v>
      </c>
      <c r="G41" s="32">
        <v>1.0002</v>
      </c>
      <c r="H41" s="33"/>
    </row>
    <row r="42" spans="1:8" ht="12.9" customHeight="1" x14ac:dyDescent="0.25">
      <c r="A42" s="5"/>
      <c r="B42" s="12" t="s">
        <v>124</v>
      </c>
      <c r="C42" s="13"/>
      <c r="D42" s="14"/>
      <c r="E42" s="14"/>
      <c r="F42" s="14"/>
      <c r="G42" s="14"/>
      <c r="H42" s="15"/>
    </row>
    <row r="43" spans="1:8" ht="12.9" customHeight="1" x14ac:dyDescent="0.25">
      <c r="A43" s="5"/>
      <c r="B43" s="34" t="s">
        <v>125</v>
      </c>
      <c r="C43" s="13"/>
      <c r="D43" s="14"/>
      <c r="E43" s="14"/>
      <c r="F43" s="14"/>
      <c r="G43" s="14"/>
      <c r="H43" s="15"/>
    </row>
    <row r="44" spans="1:8" ht="12.9" customHeight="1" x14ac:dyDescent="0.25">
      <c r="A44" s="16" t="s">
        <v>126</v>
      </c>
      <c r="B44" s="17" t="s">
        <v>127</v>
      </c>
      <c r="C44" s="13"/>
      <c r="D44" s="14"/>
      <c r="E44" s="35"/>
      <c r="F44" s="19">
        <v>774.54</v>
      </c>
      <c r="G44" s="20">
        <v>5.7000000000000002E-3</v>
      </c>
      <c r="H44" s="21">
        <v>6.680705399675263E-2</v>
      </c>
    </row>
    <row r="45" spans="1:8" ht="12.9" customHeight="1" x14ac:dyDescent="0.25">
      <c r="A45" s="5"/>
      <c r="B45" s="22" t="s">
        <v>123</v>
      </c>
      <c r="C45" s="27"/>
      <c r="D45" s="28"/>
      <c r="E45" s="30"/>
      <c r="F45" s="31">
        <v>774.54</v>
      </c>
      <c r="G45" s="32">
        <v>5.7000000000000002E-3</v>
      </c>
      <c r="H45" s="33"/>
    </row>
    <row r="46" spans="1:8" ht="12.9" customHeight="1" x14ac:dyDescent="0.25">
      <c r="A46" s="5"/>
      <c r="B46" s="34" t="s">
        <v>128</v>
      </c>
      <c r="C46" s="36"/>
      <c r="D46" s="37"/>
      <c r="E46" s="37"/>
      <c r="F46" s="37"/>
      <c r="G46" s="37"/>
      <c r="H46" s="38"/>
    </row>
    <row r="47" spans="1:8" ht="12.9" customHeight="1" x14ac:dyDescent="0.25">
      <c r="A47" s="5"/>
      <c r="B47" s="28" t="s">
        <v>129</v>
      </c>
      <c r="C47" s="27"/>
      <c r="D47" s="28"/>
      <c r="E47" s="28"/>
      <c r="F47" s="24">
        <v>4.24</v>
      </c>
      <c r="G47" s="39" t="s">
        <v>130</v>
      </c>
      <c r="H47" s="38"/>
    </row>
    <row r="48" spans="1:8" ht="12.9" customHeight="1" x14ac:dyDescent="0.25">
      <c r="A48" s="5"/>
      <c r="B48" s="22" t="s">
        <v>120</v>
      </c>
      <c r="C48" s="23"/>
      <c r="D48" s="22"/>
      <c r="E48" s="22"/>
      <c r="F48" s="24">
        <v>4.24</v>
      </c>
      <c r="G48" s="39" t="s">
        <v>130</v>
      </c>
      <c r="H48" s="38"/>
    </row>
    <row r="49" spans="1:8" ht="12.9" customHeight="1" x14ac:dyDescent="0.25">
      <c r="A49" s="5"/>
      <c r="B49" s="22" t="s">
        <v>131</v>
      </c>
      <c r="C49" s="27"/>
      <c r="D49" s="28"/>
      <c r="E49" s="28"/>
      <c r="F49" s="24">
        <v>-782.3</v>
      </c>
      <c r="G49" s="40">
        <v>-5.8999999999999999E-3</v>
      </c>
      <c r="H49" s="38"/>
    </row>
    <row r="50" spans="1:8" ht="12.9" customHeight="1" thickBot="1" x14ac:dyDescent="0.3">
      <c r="A50" s="5"/>
      <c r="B50" s="41" t="s">
        <v>132</v>
      </c>
      <c r="C50" s="42"/>
      <c r="D50" s="43"/>
      <c r="E50" s="43"/>
      <c r="F50" s="44">
        <v>136389.2278584888</v>
      </c>
      <c r="G50" s="45">
        <v>1</v>
      </c>
      <c r="H50" s="46"/>
    </row>
    <row r="51" spans="1:8" ht="12.9" customHeight="1" x14ac:dyDescent="0.25">
      <c r="A51" s="5"/>
      <c r="B51" s="47"/>
      <c r="C51" s="5"/>
      <c r="D51" s="5"/>
      <c r="E51" s="5"/>
      <c r="F51" s="5"/>
      <c r="G51" s="5"/>
      <c r="H51" s="5"/>
    </row>
    <row r="52" spans="1:8" ht="12.9" customHeight="1" x14ac:dyDescent="0.25">
      <c r="A52" s="5"/>
      <c r="B52" s="47" t="s">
        <v>133</v>
      </c>
      <c r="C52" s="5"/>
      <c r="D52" s="5"/>
      <c r="E52" s="5"/>
      <c r="F52" s="5"/>
      <c r="G52" s="5"/>
      <c r="H52" s="5"/>
    </row>
    <row r="53" spans="1:8" ht="12.9" customHeight="1" x14ac:dyDescent="0.25">
      <c r="A53" s="5"/>
      <c r="B53" s="47"/>
      <c r="C53" s="5"/>
      <c r="D53" s="5"/>
      <c r="E53" s="5"/>
      <c r="F53" s="5"/>
      <c r="G53" s="5"/>
      <c r="H53" s="5"/>
    </row>
    <row r="54" spans="1:8" x14ac:dyDescent="0.25">
      <c r="B54" s="48" t="s">
        <v>134</v>
      </c>
      <c r="C54" s="5"/>
    </row>
    <row r="55" spans="1:8" x14ac:dyDescent="0.25">
      <c r="B55" s="49" t="s">
        <v>135</v>
      </c>
      <c r="C55" s="49" t="s">
        <v>9</v>
      </c>
    </row>
    <row r="56" spans="1:8" x14ac:dyDescent="0.25">
      <c r="B56" s="50" t="str">
        <f t="shared" ref="B56:B62" si="0">+B8</f>
        <v>ITC Limited</v>
      </c>
      <c r="C56" s="51">
        <f t="shared" ref="C56:C62" si="1">+G8</f>
        <v>4.0099999999999997E-2</v>
      </c>
    </row>
    <row r="57" spans="1:8" x14ac:dyDescent="0.25">
      <c r="B57" s="50" t="str">
        <f t="shared" si="0"/>
        <v>Nestle India Limited</v>
      </c>
      <c r="C57" s="51">
        <f t="shared" si="1"/>
        <v>3.95E-2</v>
      </c>
    </row>
    <row r="58" spans="1:8" x14ac:dyDescent="0.25">
      <c r="B58" s="50" t="str">
        <f t="shared" si="0"/>
        <v>Sun Pharmaceutical Industries Limited</v>
      </c>
      <c r="C58" s="51">
        <f t="shared" si="1"/>
        <v>3.8699999999999998E-2</v>
      </c>
    </row>
    <row r="59" spans="1:8" x14ac:dyDescent="0.25">
      <c r="B59" s="50" t="str">
        <f t="shared" si="0"/>
        <v>ICICI Bank Limited</v>
      </c>
      <c r="C59" s="51">
        <f t="shared" si="1"/>
        <v>3.8600000000000002E-2</v>
      </c>
    </row>
    <row r="60" spans="1:8" x14ac:dyDescent="0.25">
      <c r="B60" s="50" t="str">
        <f t="shared" si="0"/>
        <v>HDFC Bank Limited</v>
      </c>
      <c r="C60" s="51">
        <f t="shared" si="1"/>
        <v>3.8199999999999998E-2</v>
      </c>
    </row>
    <row r="61" spans="1:8" x14ac:dyDescent="0.25">
      <c r="B61" s="50" t="str">
        <f t="shared" si="0"/>
        <v>Hindustan Unilever Limited</v>
      </c>
      <c r="C61" s="51">
        <f t="shared" si="1"/>
        <v>3.7600000000000001E-2</v>
      </c>
    </row>
    <row r="62" spans="1:8" x14ac:dyDescent="0.25">
      <c r="B62" s="50" t="str">
        <f t="shared" si="0"/>
        <v>Britannia Industries Limited</v>
      </c>
      <c r="C62" s="51">
        <f t="shared" si="1"/>
        <v>3.7199999999999997E-2</v>
      </c>
    </row>
    <row r="64" spans="1:8" x14ac:dyDescent="0.25">
      <c r="B64" s="48" t="s">
        <v>136</v>
      </c>
    </row>
    <row r="65" spans="1:8" x14ac:dyDescent="0.25">
      <c r="B65" s="49" t="s">
        <v>137</v>
      </c>
      <c r="C65" s="49" t="s">
        <v>9</v>
      </c>
    </row>
    <row r="66" spans="1:8" x14ac:dyDescent="0.25">
      <c r="B66" s="50" t="s">
        <v>138</v>
      </c>
      <c r="C66" s="51">
        <v>6.770000000000001E-2</v>
      </c>
    </row>
    <row r="67" spans="1:8" x14ac:dyDescent="0.25">
      <c r="B67" s="50" t="s">
        <v>139</v>
      </c>
      <c r="C67" s="51">
        <v>5.9800000000000006E-2</v>
      </c>
    </row>
    <row r="68" spans="1:8" x14ac:dyDescent="0.25">
      <c r="B68" s="50" t="s">
        <v>140</v>
      </c>
      <c r="C68" s="51">
        <v>4.0099999999999997E-2</v>
      </c>
    </row>
    <row r="69" spans="1:8" x14ac:dyDescent="0.25">
      <c r="B69" s="50" t="s">
        <v>141</v>
      </c>
      <c r="C69" s="51">
        <v>3.95E-2</v>
      </c>
    </row>
    <row r="70" spans="1:8" x14ac:dyDescent="0.25">
      <c r="B70" s="50" t="s">
        <v>142</v>
      </c>
      <c r="C70" s="51">
        <v>3.8699999999999998E-2</v>
      </c>
    </row>
    <row r="71" spans="1:8" x14ac:dyDescent="0.25">
      <c r="B71" s="50" t="s">
        <v>143</v>
      </c>
      <c r="C71" s="51">
        <v>3.8600000000000002E-2</v>
      </c>
    </row>
    <row r="72" spans="1:8" x14ac:dyDescent="0.25">
      <c r="B72" s="50" t="s">
        <v>144</v>
      </c>
      <c r="C72" s="51">
        <v>3.8199999999999998E-2</v>
      </c>
    </row>
    <row r="74" spans="1:8" x14ac:dyDescent="0.25">
      <c r="B74" s="48" t="s">
        <v>145</v>
      </c>
    </row>
    <row r="75" spans="1:8" x14ac:dyDescent="0.25">
      <c r="B75" s="49" t="s">
        <v>146</v>
      </c>
      <c r="C75" s="49" t="s">
        <v>9</v>
      </c>
    </row>
    <row r="76" spans="1:8" x14ac:dyDescent="0.25">
      <c r="B76" s="50" t="s">
        <v>147</v>
      </c>
      <c r="C76" s="51">
        <v>0.18440000000000001</v>
      </c>
    </row>
    <row r="77" spans="1:8" x14ac:dyDescent="0.25">
      <c r="B77" s="50" t="s">
        <v>148</v>
      </c>
      <c r="C77" s="51">
        <v>0.17200000000000001</v>
      </c>
    </row>
    <row r="78" spans="1:8" x14ac:dyDescent="0.25">
      <c r="B78" s="50" t="s">
        <v>149</v>
      </c>
      <c r="C78" s="51">
        <v>0.16999999999999998</v>
      </c>
    </row>
    <row r="79" spans="1:8" x14ac:dyDescent="0.25">
      <c r="B79" s="50" t="s">
        <v>150</v>
      </c>
      <c r="C79" s="51">
        <v>0.12590000000000001</v>
      </c>
    </row>
    <row r="80" spans="1:8" ht="12.9" customHeight="1" thickBot="1" x14ac:dyDescent="0.3">
      <c r="A80" s="5"/>
      <c r="B80" s="47"/>
      <c r="C80" s="5"/>
      <c r="D80" s="5"/>
      <c r="E80" s="5"/>
      <c r="F80" s="5"/>
      <c r="G80" s="5"/>
      <c r="H80" s="5"/>
    </row>
    <row r="81" spans="1:6" x14ac:dyDescent="0.25">
      <c r="A81" s="52"/>
      <c r="B81" s="53" t="s">
        <v>151</v>
      </c>
      <c r="C81" s="54"/>
      <c r="D81" s="54"/>
      <c r="E81" s="55"/>
      <c r="F81" s="56"/>
    </row>
    <row r="82" spans="1:6" x14ac:dyDescent="0.25">
      <c r="A82" s="52"/>
      <c r="B82" s="57" t="s">
        <v>152</v>
      </c>
      <c r="C82" s="58"/>
      <c r="D82" s="58"/>
      <c r="E82" s="58"/>
      <c r="F82" s="59"/>
    </row>
    <row r="83" spans="1:6" x14ac:dyDescent="0.25">
      <c r="A83" s="52"/>
      <c r="B83" s="60" t="s">
        <v>153</v>
      </c>
      <c r="C83" s="58"/>
      <c r="D83" s="58"/>
      <c r="E83" s="61"/>
      <c r="F83" s="59"/>
    </row>
    <row r="84" spans="1:6" ht="14.4" thickBot="1" x14ac:dyDescent="0.3">
      <c r="A84" s="52"/>
      <c r="B84" s="62" t="s">
        <v>154</v>
      </c>
      <c r="C84" s="63"/>
      <c r="D84" s="63"/>
      <c r="E84" s="63"/>
      <c r="F84" s="64"/>
    </row>
    <row r="85" spans="1:6" x14ac:dyDescent="0.25">
      <c r="A85" s="52"/>
      <c r="B85" s="65" t="s">
        <v>155</v>
      </c>
      <c r="C85" s="66" t="s">
        <v>156</v>
      </c>
      <c r="D85" s="66"/>
      <c r="E85" s="67"/>
      <c r="F85" s="68"/>
    </row>
    <row r="86" spans="1:6" ht="14.4" thickBot="1" x14ac:dyDescent="0.3">
      <c r="A86" s="52"/>
      <c r="B86" s="69"/>
      <c r="C86" s="70">
        <v>45747</v>
      </c>
      <c r="D86" s="70">
        <v>45565</v>
      </c>
      <c r="E86" s="70"/>
      <c r="F86" s="71"/>
    </row>
    <row r="87" spans="1:6" x14ac:dyDescent="0.25">
      <c r="A87" s="52"/>
      <c r="B87" s="72" t="s">
        <v>157</v>
      </c>
      <c r="C87" s="73"/>
      <c r="D87" s="73"/>
      <c r="E87" s="74"/>
      <c r="F87" s="75"/>
    </row>
    <row r="88" spans="1:6" x14ac:dyDescent="0.25">
      <c r="A88" s="52" t="s">
        <v>158</v>
      </c>
      <c r="B88" s="76" t="s">
        <v>159</v>
      </c>
      <c r="C88" s="77">
        <v>14.391999999999999</v>
      </c>
      <c r="D88" s="77">
        <v>16.444800000000001</v>
      </c>
      <c r="E88" s="74"/>
      <c r="F88" s="75"/>
    </row>
    <row r="89" spans="1:6" x14ac:dyDescent="0.25">
      <c r="A89" s="52" t="s">
        <v>160</v>
      </c>
      <c r="B89" s="76" t="s">
        <v>161</v>
      </c>
      <c r="C89" s="77">
        <v>14.3917</v>
      </c>
      <c r="D89" s="77">
        <v>16.444400000000002</v>
      </c>
      <c r="E89" s="74"/>
      <c r="F89" s="75"/>
    </row>
    <row r="90" spans="1:6" x14ac:dyDescent="0.25">
      <c r="A90" s="52"/>
      <c r="B90" s="76"/>
      <c r="C90" s="78"/>
      <c r="D90" s="78"/>
      <c r="E90" s="74"/>
      <c r="F90" s="75"/>
    </row>
    <row r="91" spans="1:6" x14ac:dyDescent="0.25">
      <c r="A91" s="52"/>
      <c r="B91" s="72" t="s">
        <v>162</v>
      </c>
      <c r="C91" s="78"/>
      <c r="D91" s="78"/>
      <c r="E91" s="74"/>
      <c r="F91" s="75"/>
    </row>
    <row r="92" spans="1:6" x14ac:dyDescent="0.25">
      <c r="A92" s="52" t="s">
        <v>163</v>
      </c>
      <c r="B92" s="76" t="s">
        <v>159</v>
      </c>
      <c r="C92" s="77">
        <v>14.658099999999999</v>
      </c>
      <c r="D92" s="77">
        <v>16.691700000000001</v>
      </c>
      <c r="E92" s="74"/>
      <c r="F92" s="75"/>
    </row>
    <row r="93" spans="1:6" x14ac:dyDescent="0.25">
      <c r="A93" s="52" t="s">
        <v>164</v>
      </c>
      <c r="B93" s="76" t="s">
        <v>161</v>
      </c>
      <c r="C93" s="77">
        <v>14.600899999999999</v>
      </c>
      <c r="D93" s="77">
        <v>16.635200000000001</v>
      </c>
      <c r="E93" s="74"/>
      <c r="F93" s="75"/>
    </row>
    <row r="94" spans="1:6" x14ac:dyDescent="0.25">
      <c r="A94" s="52"/>
      <c r="B94" s="76" t="s">
        <v>165</v>
      </c>
      <c r="C94" s="79"/>
      <c r="D94" s="73"/>
      <c r="E94" s="80"/>
      <c r="F94" s="75"/>
    </row>
    <row r="95" spans="1:6" ht="14.4" thickBot="1" x14ac:dyDescent="0.3">
      <c r="A95" s="52"/>
      <c r="B95" s="62"/>
      <c r="C95" s="81"/>
      <c r="D95" s="81"/>
      <c r="E95" s="82"/>
      <c r="F95" s="83"/>
    </row>
    <row r="96" spans="1:6" x14ac:dyDescent="0.25">
      <c r="A96" s="52"/>
      <c r="B96" s="76" t="s">
        <v>166</v>
      </c>
      <c r="C96" s="84"/>
      <c r="D96" s="73"/>
      <c r="E96" s="85"/>
      <c r="F96" s="86"/>
    </row>
    <row r="97" spans="1:6" x14ac:dyDescent="0.25">
      <c r="A97" s="52"/>
      <c r="B97" s="76" t="s">
        <v>167</v>
      </c>
      <c r="C97" s="58"/>
      <c r="D97" s="73"/>
      <c r="E97" s="61"/>
      <c r="F97" s="75"/>
    </row>
    <row r="98" spans="1:6" x14ac:dyDescent="0.25">
      <c r="A98" s="52"/>
      <c r="B98" s="76" t="s">
        <v>168</v>
      </c>
      <c r="C98" s="58"/>
      <c r="D98" s="87"/>
      <c r="E98" s="61"/>
      <c r="F98" s="75"/>
    </row>
    <row r="99" spans="1:6" x14ac:dyDescent="0.25">
      <c r="A99" s="52"/>
      <c r="B99" s="88" t="s">
        <v>169</v>
      </c>
      <c r="C99" s="58"/>
      <c r="D99" s="87"/>
      <c r="E99" s="61"/>
      <c r="F99" s="75"/>
    </row>
    <row r="100" spans="1:6" x14ac:dyDescent="0.25">
      <c r="A100" s="52"/>
      <c r="B100" s="76" t="s">
        <v>170</v>
      </c>
      <c r="C100" s="58"/>
      <c r="D100" s="58"/>
      <c r="E100" s="58"/>
      <c r="F100" s="59"/>
    </row>
    <row r="101" spans="1:6" x14ac:dyDescent="0.25">
      <c r="A101" s="52"/>
      <c r="B101" s="76" t="s">
        <v>171</v>
      </c>
      <c r="C101" s="58"/>
      <c r="D101" s="58"/>
      <c r="E101" s="58"/>
      <c r="F101" s="59"/>
    </row>
    <row r="102" spans="1:6" ht="14.4" thickBot="1" x14ac:dyDescent="0.3">
      <c r="A102" s="52"/>
      <c r="B102" s="62"/>
      <c r="C102" s="63"/>
      <c r="D102" s="63"/>
      <c r="E102" s="63"/>
      <c r="F102" s="64"/>
    </row>
    <row r="104" spans="1:6" x14ac:dyDescent="0.25">
      <c r="F104" s="89" t="s">
        <v>172</v>
      </c>
    </row>
    <row r="105" spans="1:6" x14ac:dyDescent="0.25">
      <c r="B105" s="89" t="s">
        <v>173</v>
      </c>
      <c r="F105" s="89" t="s">
        <v>174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IDF283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2025-04-07T18:45:24Z</dcterms:created>
  <dcterms:modified xsi:type="dcterms:W3CDTF">2025-04-07T18:45:25Z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8520426d-050a-4bcc-9609-07ac902fc5a1</vt:lpwstr>
  </property>
  <property fmtid="{D5CDD505-2E9C-101B-9397-08002B2CF9AE}" pid="8" name="MSIP_Label_af1741f6-9e47-426e-a683-937c37d4ebc5_ContentBits">
    <vt:lpwstr>3</vt:lpwstr>
  </property>
</Properties>
</file>