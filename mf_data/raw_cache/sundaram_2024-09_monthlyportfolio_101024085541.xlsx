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132.201.0.2\fasundaram\DEBT_BACKOFFICE\Debt_Factsheets\2024 - Monthly Portfolio\9. 30092024\"/>
    </mc:Choice>
  </mc:AlternateContent>
  <xr:revisionPtr revIDLastSave="0" documentId="13_ncr:1_{5523E787-D90F-4FBE-8F82-EA47514C4FBC}" xr6:coauthVersionLast="47" xr6:coauthVersionMax="47" xr10:uidLastSave="{00000000-0000-0000-0000-000000000000}"/>
  <bookViews>
    <workbookView xWindow="-120" yWindow="-120" windowWidth="24240" windowHeight="13020" tabRatio="896" xr2:uid="{AB917388-EA19-4CB7-8E55-F13B57E77B61}"/>
  </bookViews>
  <sheets>
    <sheet name="Index" sheetId="30" r:id="rId1"/>
    <sheet name="CAPEXG" sheetId="1" r:id="rId2"/>
    <sheet name="GLOB" sheetId="33" r:id="rId3"/>
    <sheet name="MIDCAP" sheetId="2" r:id="rId4"/>
    <sheet name="MULTIP" sheetId="3" r:id="rId5"/>
    <sheet name="SLTADV3" sheetId="4" r:id="rId6"/>
    <sheet name="SLTADV4" sheetId="5" r:id="rId7"/>
    <sheet name="SLTAX1" sheetId="6" r:id="rId8"/>
    <sheet name="SLTAX3" sheetId="8" r:id="rId9"/>
    <sheet name="SLTAX2" sheetId="7" r:id="rId10"/>
    <sheet name="SLTAX4" sheetId="9" r:id="rId11"/>
    <sheet name="SLTAX5" sheetId="10" r:id="rId12"/>
    <sheet name="SLTAX6" sheetId="11" r:id="rId13"/>
    <sheet name="SMILE" sheetId="12" r:id="rId14"/>
    <sheet name="SPAHF" sheetId="13" r:id="rId15"/>
    <sheet name="SPARF" sheetId="14" r:id="rId16"/>
    <sheet name="SPBAF" sheetId="15" r:id="rId17"/>
    <sheet name="SPDYF" sheetId="16" r:id="rId18"/>
    <sheet name="SPESF" sheetId="17" r:id="rId19"/>
    <sheet name="SPFOCUS" sheetId="18" r:id="rId20"/>
    <sheet name="SPMUCF" sheetId="19" r:id="rId21"/>
    <sheet name="SPSN100" sheetId="20" r:id="rId22"/>
    <sheet name="SPTAX" sheetId="21" r:id="rId23"/>
    <sheet name="SRURAL" sheetId="22" r:id="rId24"/>
    <sheet name="SSFUND" sheetId="23" r:id="rId25"/>
    <sheet name="STAX" sheetId="24" r:id="rId26"/>
    <sheet name="SUNBCF" sheetId="25" r:id="rId27"/>
    <sheet name="SUNCYF" sheetId="26" r:id="rId28"/>
    <sheet name="SUNFCF" sheetId="27" r:id="rId29"/>
    <sheet name="SUNFOP" sheetId="28" r:id="rId30"/>
    <sheet name="SUNMAF" sheetId="29" r:id="rId31"/>
    <sheet name="Annexure-A" sheetId="34" r:id="rId32"/>
  </sheets>
  <definedNames>
    <definedName name="_xlnm._FilterDatabase" localSheetId="31" hidden="1">'Annexure-A'!$A$8:$L$99</definedName>
    <definedName name="_xlnm._FilterDatabase" localSheetId="0" hidden="1">Index!$A$1:$C$28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1" i="34" l="1"/>
  <c r="F154" i="34"/>
  <c r="G154" i="34" s="1"/>
  <c r="E154" i="34"/>
  <c r="D154" i="34"/>
  <c r="C154" i="34"/>
  <c r="G153" i="34"/>
  <c r="F152" i="34"/>
  <c r="G152" i="34" s="1"/>
  <c r="E152" i="34"/>
  <c r="D152" i="34"/>
  <c r="C152" i="34"/>
  <c r="I151" i="34"/>
  <c r="G151" i="34"/>
  <c r="F151" i="34"/>
  <c r="E151" i="34"/>
  <c r="D151" i="34"/>
  <c r="C151" i="34"/>
  <c r="F150" i="34"/>
  <c r="G150" i="34" s="1"/>
  <c r="E150" i="34"/>
  <c r="D150" i="34"/>
  <c r="C150" i="34"/>
  <c r="F149" i="34"/>
  <c r="G149" i="34" s="1"/>
  <c r="E149" i="34"/>
  <c r="D149" i="34"/>
  <c r="C149" i="34"/>
  <c r="G148" i="34"/>
  <c r="G147" i="34"/>
  <c r="F147" i="34"/>
  <c r="E147" i="34"/>
  <c r="D147" i="34"/>
  <c r="C147" i="34"/>
  <c r="I146" i="34"/>
  <c r="F146" i="34"/>
  <c r="G146" i="34" s="1"/>
  <c r="E146" i="34"/>
  <c r="D146" i="34"/>
  <c r="I145" i="34" s="1"/>
  <c r="C146" i="34"/>
  <c r="F145" i="34"/>
  <c r="G145" i="34" s="1"/>
  <c r="E145" i="34"/>
  <c r="D145" i="34"/>
  <c r="C145" i="34"/>
  <c r="I144" i="34" s="1"/>
  <c r="G123" i="34"/>
  <c r="G122" i="34"/>
  <c r="F121" i="34"/>
  <c r="G121" i="34" s="1"/>
  <c r="E121" i="34"/>
  <c r="D121" i="34"/>
  <c r="C121" i="34"/>
  <c r="G120" i="34"/>
  <c r="F119" i="34"/>
  <c r="G119" i="34" s="1"/>
  <c r="E119" i="34"/>
  <c r="D119" i="34"/>
  <c r="C119" i="34"/>
  <c r="F118" i="34"/>
  <c r="G118" i="34" s="1"/>
  <c r="E118" i="34"/>
  <c r="D118" i="34"/>
  <c r="C118" i="34"/>
  <c r="F117" i="34"/>
  <c r="G117" i="34" s="1"/>
  <c r="E117" i="34"/>
  <c r="D117" i="34"/>
  <c r="C117" i="34"/>
  <c r="G116" i="34"/>
  <c r="F115" i="34"/>
  <c r="G115" i="34" s="1"/>
  <c r="E115" i="34"/>
  <c r="D115" i="34"/>
  <c r="C115" i="34"/>
  <c r="G114" i="34"/>
  <c r="F113" i="34"/>
  <c r="G113" i="34" s="1"/>
  <c r="E113" i="34"/>
  <c r="D113" i="34"/>
  <c r="C113" i="34"/>
  <c r="M1" i="1" l="1" a="1"/>
  <c r="M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<sst xmlns="http://schemas.openxmlformats.org/spreadsheetml/2006/main" count="12845" uniqueCount="1184">
  <si>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</si>
  <si>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</si>
  <si>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</si>
  <si>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</si>
  <si>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</si>
  <si>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</si>
  <si>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</si>
  <si>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</si>
  <si>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</si>
  <si>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</si>
  <si>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</si>
  <si>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</si>
  <si>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</si>
  <si>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</si>
  <si>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INE397D01024</t>
  </si>
  <si>
    <t>Bharti Airtel Ltd</t>
  </si>
  <si>
    <t>Telecom - Services</t>
  </si>
  <si>
    <t>INE733E01010</t>
  </si>
  <si>
    <t>NTPC LTD</t>
  </si>
  <si>
    <t>Power</t>
  </si>
  <si>
    <t>INE002A01018</t>
  </si>
  <si>
    <t>Reliance Industries Ltd</t>
  </si>
  <si>
    <t>Petroleum Products</t>
  </si>
  <si>
    <t>INE481G01011</t>
  </si>
  <si>
    <t>Ultratech Cement Ltd</t>
  </si>
  <si>
    <t>Cement &amp; Cement Products</t>
  </si>
  <si>
    <t>INE752E01010</t>
  </si>
  <si>
    <t>Power Grid Corporation of India Ltd</t>
  </si>
  <si>
    <t>INE029A01011</t>
  </si>
  <si>
    <t>Bharat Petroleum Corporation Ltd</t>
  </si>
  <si>
    <t>INE284A01012</t>
  </si>
  <si>
    <t>ESAB India Ltd</t>
  </si>
  <si>
    <t>Industrial Products</t>
  </si>
  <si>
    <t>INE371P01015</t>
  </si>
  <si>
    <t>Amber Enterprises India Ltd</t>
  </si>
  <si>
    <t>Consumer Durables</t>
  </si>
  <si>
    <t>INE263A01024</t>
  </si>
  <si>
    <t>Bharat Electronics Ltd</t>
  </si>
  <si>
    <t>Aerospace &amp; Defense</t>
  </si>
  <si>
    <t>INE999A01023</t>
  </si>
  <si>
    <t>KSB LTD</t>
  </si>
  <si>
    <t>INE343G01021</t>
  </si>
  <si>
    <t>Bharti Hexacom Ltd</t>
  </si>
  <si>
    <t>INE791I01019</t>
  </si>
  <si>
    <t>Brigade Enterprises Ltd</t>
  </si>
  <si>
    <t>Realty</t>
  </si>
  <si>
    <t>INE090A01021</t>
  </si>
  <si>
    <t>ICICI Bank Ltd</t>
  </si>
  <si>
    <t>Banks</t>
  </si>
  <si>
    <t>INE245A01021</t>
  </si>
  <si>
    <t>TATA Power Company Ltd</t>
  </si>
  <si>
    <t>INE868B01028</t>
  </si>
  <si>
    <t>NCC Ltd</t>
  </si>
  <si>
    <t>INE200A01026</t>
  </si>
  <si>
    <t>GE T&amp;D India Ltd</t>
  </si>
  <si>
    <t>Electrical Equipment</t>
  </si>
  <si>
    <t>INE213A01029</t>
  </si>
  <si>
    <t>Oil &amp; Natural Gas Corporation Ltd</t>
  </si>
  <si>
    <t>Oil</t>
  </si>
  <si>
    <t>INE419M01027</t>
  </si>
  <si>
    <t>TD Power Systems Ltd</t>
  </si>
  <si>
    <t>INE220B01022</t>
  </si>
  <si>
    <t>Kalpataru Projects International Ltd</t>
  </si>
  <si>
    <t>INE062A01020</t>
  </si>
  <si>
    <t>State Bank of India</t>
  </si>
  <si>
    <t>INE129A01019</t>
  </si>
  <si>
    <t>GAIL (India) Ltd</t>
  </si>
  <si>
    <t>Gas</t>
  </si>
  <si>
    <t>INE00LO01017</t>
  </si>
  <si>
    <t>Craftsman Automation Ltd</t>
  </si>
  <si>
    <t>Auto Components</t>
  </si>
  <si>
    <t>INE926X01010</t>
  </si>
  <si>
    <t>H.G. Infra Engineering Ltd</t>
  </si>
  <si>
    <t>INE003A01024</t>
  </si>
  <si>
    <t>Siemens Ltd</t>
  </si>
  <si>
    <t>INE146L01010</t>
  </si>
  <si>
    <t>Kirloskar Oil Engines Ltd</t>
  </si>
  <si>
    <t>INE823G01014</t>
  </si>
  <si>
    <t>JK Cement Ltd</t>
  </si>
  <si>
    <t>INE671H01015</t>
  </si>
  <si>
    <t>Sobha Ltd</t>
  </si>
  <si>
    <t>INE372A01015</t>
  </si>
  <si>
    <t>Apar Industries Ltd</t>
  </si>
  <si>
    <t>INE646L01027</t>
  </si>
  <si>
    <t>Interglobe Aviation Ltd</t>
  </si>
  <si>
    <t>Transport Services</t>
  </si>
  <si>
    <t>INE671A01010</t>
  </si>
  <si>
    <t>Honeywell Automation India Ltd</t>
  </si>
  <si>
    <t>Industrial Manufacturing</t>
  </si>
  <si>
    <t>INE878B01027</t>
  </si>
  <si>
    <t>KEI Industries Ltd</t>
  </si>
  <si>
    <t>INE742F01042</t>
  </si>
  <si>
    <t>Adani Ports and Special Economic Zone Ltd</t>
  </si>
  <si>
    <t>Transport Infrastructure</t>
  </si>
  <si>
    <t>INE811A01020</t>
  </si>
  <si>
    <t>Kirlosakar Pneumatic Company Ltd</t>
  </si>
  <si>
    <t>INE111A01025</t>
  </si>
  <si>
    <t>Container Corporation of India Ltd</t>
  </si>
  <si>
    <t>INE07Y701011</t>
  </si>
  <si>
    <t>Hitachi Energy India Ltd</t>
  </si>
  <si>
    <t>INE536A01023</t>
  </si>
  <si>
    <t>Grindwell Norton Ltd</t>
  </si>
  <si>
    <t>INE522F01014</t>
  </si>
  <si>
    <t>Coal India Ltd</t>
  </si>
  <si>
    <t>Consumable Fuels</t>
  </si>
  <si>
    <t>INE298A01020</t>
  </si>
  <si>
    <t>Cummins India Ltd</t>
  </si>
  <si>
    <t>INE067A01029</t>
  </si>
  <si>
    <t>CG Power and Industrial Solutions Ltd</t>
  </si>
  <si>
    <t>INE152A01029</t>
  </si>
  <si>
    <t>Thermax Ltd</t>
  </si>
  <si>
    <t>INE195J01029</t>
  </si>
  <si>
    <t>PNC Infratech Ltd</t>
  </si>
  <si>
    <t>INE079A01024</t>
  </si>
  <si>
    <t>Ambuja Cements Ltd</t>
  </si>
  <si>
    <t>INE224A01026</t>
  </si>
  <si>
    <t>Greaves Cotton Ltd</t>
  </si>
  <si>
    <t>INE284S01014</t>
  </si>
  <si>
    <t>S.J.S. Enterprises Ltd</t>
  </si>
  <si>
    <t>INE020B01018</t>
  </si>
  <si>
    <t>REC Ltd</t>
  </si>
  <si>
    <t>Finance</t>
  </si>
  <si>
    <t>INE00M201021</t>
  </si>
  <si>
    <t>Sterling and Wilson Renewable Energy Ltd</t>
  </si>
  <si>
    <t>INE148O01028</t>
  </si>
  <si>
    <t>Delhivery Ltd</t>
  </si>
  <si>
    <t>INE152M01016</t>
  </si>
  <si>
    <t>Triveni Turbine Ltd</t>
  </si>
  <si>
    <t>INE513A01022</t>
  </si>
  <si>
    <t>Schaeffler India Ltd</t>
  </si>
  <si>
    <t>INE117A01022</t>
  </si>
  <si>
    <t>ABB India Ltd</t>
  </si>
  <si>
    <t>INE749A01030</t>
  </si>
  <si>
    <t>Jindal Steel &amp; Power Ltd</t>
  </si>
  <si>
    <t>Ferrous Metals</t>
  </si>
  <si>
    <t>INE121J01017</t>
  </si>
  <si>
    <t>Indus Towers Ltd (Prev Bharti Infratel Ltd)</t>
  </si>
  <si>
    <t>INE702C01027</t>
  </si>
  <si>
    <t>APL Apollo Tubes Ltd</t>
  </si>
  <si>
    <t>INE087A01019</t>
  </si>
  <si>
    <t>Kesoram Industries Ltd</t>
  </si>
  <si>
    <t>INE257A01026</t>
  </si>
  <si>
    <t>Bharat Heavy Electricals Ltd</t>
  </si>
  <si>
    <t>INE0BS701011</t>
  </si>
  <si>
    <t>Premier Energies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</si>
  <si>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</si>
  <si>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</si>
  <si>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</si>
  <si>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</si>
  <si>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</si>
  <si>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</si>
  <si>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</si>
  <si>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</si>
  <si>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</si>
  <si>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</si>
  <si>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</si>
  <si>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</si>
  <si>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</si>
  <si>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</si>
  <si>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</si>
  <si>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</si>
  <si>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</si>
  <si>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</si>
  <si>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</si>
  <si>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</si>
  <si>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</si>
  <si>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</si>
  <si>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</si>
  <si>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</si>
  <si>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</si>
  <si>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</si>
  <si>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</si>
  <si>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</si>
  <si>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INF173K01GU0</t>
  </si>
  <si>
    <t>Sundaram Liquid Fund - Direct Growth</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</si>
  <si>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</si>
  <si>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</si>
  <si>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</si>
  <si>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</si>
  <si>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</si>
  <si>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</si>
  <si>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</si>
  <si>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</si>
  <si>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</si>
  <si>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</si>
  <si>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</si>
  <si>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</si>
  <si>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</si>
  <si>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</si>
  <si>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</si>
  <si>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</si>
  <si>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</si>
  <si>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</si>
  <si>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</si>
  <si>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INE303R01014</t>
  </si>
  <si>
    <t>Kalyan Jewellers India Ltd</t>
  </si>
  <si>
    <t>INE974X01010</t>
  </si>
  <si>
    <t>Tube Investments of India Ltd</t>
  </si>
  <si>
    <t>INE849A01020</t>
  </si>
  <si>
    <t>Trent Ltd</t>
  </si>
  <si>
    <t>Retailing</t>
  </si>
  <si>
    <t>INE171A01029</t>
  </si>
  <si>
    <t>The Federal Bank Ltd</t>
  </si>
  <si>
    <t>INE326A01037</t>
  </si>
  <si>
    <t>Lupin Ltd</t>
  </si>
  <si>
    <t>Pharmaceuticals &amp; Biotechnology</t>
  </si>
  <si>
    <t>INE169A01031</t>
  </si>
  <si>
    <t>Coromandel International Ltd</t>
  </si>
  <si>
    <t>Fertilizers &amp; Agrochemicals</t>
  </si>
  <si>
    <t>INE061F01013</t>
  </si>
  <si>
    <t>Fortis Health Care Ltd</t>
  </si>
  <si>
    <t>Healthcare Services</t>
  </si>
  <si>
    <t>INE949L01017</t>
  </si>
  <si>
    <t>AU Small Finance Bank Ltd</t>
  </si>
  <si>
    <t>INE262H01021</t>
  </si>
  <si>
    <t>Persistent Systems Ltd</t>
  </si>
  <si>
    <t>It - Software</t>
  </si>
  <si>
    <t>INE093I01010</t>
  </si>
  <si>
    <t>Oberoi Realty Ltd</t>
  </si>
  <si>
    <t>INE562A01011</t>
  </si>
  <si>
    <t>Indian Bank</t>
  </si>
  <si>
    <t>INE813H01021</t>
  </si>
  <si>
    <t>Torrent Power Ltd</t>
  </si>
  <si>
    <t>INE105A01035</t>
  </si>
  <si>
    <t>TVS Holdings Ltd</t>
  </si>
  <si>
    <t>INE010B01027</t>
  </si>
  <si>
    <t>Zydus Lifesciences Ltd</t>
  </si>
  <si>
    <t>INE094A01015</t>
  </si>
  <si>
    <t>Hindustan Petroleum Corporation Ltd</t>
  </si>
  <si>
    <t>INE540L01014</t>
  </si>
  <si>
    <t>Alkem Laboratories Ltd</t>
  </si>
  <si>
    <t>INE417T01026</t>
  </si>
  <si>
    <t>PB Fintech Ltd</t>
  </si>
  <si>
    <t>Financial Technology (Fintech)</t>
  </si>
  <si>
    <t>INE721A01013</t>
  </si>
  <si>
    <t>Shriram Finance Ltd</t>
  </si>
  <si>
    <t>INE797F01020</t>
  </si>
  <si>
    <t>Jubilant Foodworks Ltd</t>
  </si>
  <si>
    <t>Leisure Services</t>
  </si>
  <si>
    <t>INE596I01012</t>
  </si>
  <si>
    <t>Computer Age Management Services Ltd</t>
  </si>
  <si>
    <t>Capital Markets</t>
  </si>
  <si>
    <t>INE663F01024</t>
  </si>
  <si>
    <t>Info Edge (India) Ltd</t>
  </si>
  <si>
    <t>INE149A01033</t>
  </si>
  <si>
    <t>Cholamandalam Financial Holdings Ltd</t>
  </si>
  <si>
    <t>INE134E01011</t>
  </si>
  <si>
    <t>Power Finance Corporation Ltd</t>
  </si>
  <si>
    <t>INE774D01024</t>
  </si>
  <si>
    <t>Mahindra &amp; Mahindra Financial Services Ltd</t>
  </si>
  <si>
    <t>INE356A01018</t>
  </si>
  <si>
    <t>MphasiS Ltd</t>
  </si>
  <si>
    <t>INE027H01010</t>
  </si>
  <si>
    <t>Max Healthcare Institute Ltd</t>
  </si>
  <si>
    <t>INE427F01016</t>
  </si>
  <si>
    <t>Chalet Hotels Ltd</t>
  </si>
  <si>
    <t>INE288B01029</t>
  </si>
  <si>
    <t>Deepak Nitrite Ltd</t>
  </si>
  <si>
    <t>Chemicals &amp; Petrochemicals</t>
  </si>
  <si>
    <t>INE686F01025</t>
  </si>
  <si>
    <t>United Breweries Ltd</t>
  </si>
  <si>
    <t>Beverages</t>
  </si>
  <si>
    <t>INE438A01022</t>
  </si>
  <si>
    <t>Apollo Tyres Ltd</t>
  </si>
  <si>
    <t>INE342J01019</t>
  </si>
  <si>
    <t>ZF Commercial Vehicle Control Systems I Ltd</t>
  </si>
  <si>
    <t>INE455K01017</t>
  </si>
  <si>
    <t>Polycab India Ltd</t>
  </si>
  <si>
    <t>INE494B01023</t>
  </si>
  <si>
    <t>TVS Motor Company Ltd</t>
  </si>
  <si>
    <t>Automobiles</t>
  </si>
  <si>
    <t>INE226A01021</t>
  </si>
  <si>
    <t>Voltas Ltd</t>
  </si>
  <si>
    <t>INE692A01016</t>
  </si>
  <si>
    <t>Union Bank of India</t>
  </si>
  <si>
    <t>INE121A01024</t>
  </si>
  <si>
    <t>Cholamandalam Investment and Finance Company Ltd</t>
  </si>
  <si>
    <t>INE405E01023</t>
  </si>
  <si>
    <t>UNO Minda Ltd</t>
  </si>
  <si>
    <t>INE118H01025</t>
  </si>
  <si>
    <t>BSE Ltd</t>
  </si>
  <si>
    <t>INE473B01035</t>
  </si>
  <si>
    <t>Hatsun Agro Product Ltd</t>
  </si>
  <si>
    <t>Food Products</t>
  </si>
  <si>
    <t>INE591G01017</t>
  </si>
  <si>
    <t>Coforge Ltd</t>
  </si>
  <si>
    <t>INE195A01028</t>
  </si>
  <si>
    <t>Supreme Industries Ltd</t>
  </si>
  <si>
    <t>INE196A01026</t>
  </si>
  <si>
    <t>Marico Ltd</t>
  </si>
  <si>
    <t>Agricultural Food &amp; Other Products</t>
  </si>
  <si>
    <t>INE216P01012</t>
  </si>
  <si>
    <t>Aavas Financiers Ltd</t>
  </si>
  <si>
    <t>INE180A01020</t>
  </si>
  <si>
    <t>Max Financial Services Ltd</t>
  </si>
  <si>
    <t>Insurance</t>
  </si>
  <si>
    <t>INE811K01011</t>
  </si>
  <si>
    <t>Prestige Estates Projects Ltd</t>
  </si>
  <si>
    <t>INE246F01010</t>
  </si>
  <si>
    <t>Gujarat State Petronet Ltd</t>
  </si>
  <si>
    <t>INE872J01023</t>
  </si>
  <si>
    <t>Devyani international limited</t>
  </si>
  <si>
    <t>INE006I01046</t>
  </si>
  <si>
    <t>Astral Ltd</t>
  </si>
  <si>
    <t>INE947Q01028</t>
  </si>
  <si>
    <t>Laurus Labs Ltd</t>
  </si>
  <si>
    <t>INE012A01025</t>
  </si>
  <si>
    <t>ACC Ltd</t>
  </si>
  <si>
    <t>INE603J01030</t>
  </si>
  <si>
    <t>PI Industries Ltd</t>
  </si>
  <si>
    <t>INE073K01018</t>
  </si>
  <si>
    <t>Sona BLW Precision Forgings Ltd</t>
  </si>
  <si>
    <t>INE0LXG01040</t>
  </si>
  <si>
    <t>Ola Electric Mobility Ltd</t>
  </si>
  <si>
    <t>INE115A01026</t>
  </si>
  <si>
    <t>LIC Housing Finance Ltd</t>
  </si>
  <si>
    <t>INE600L01024</t>
  </si>
  <si>
    <t>Dr Lal Path Labs Ltd</t>
  </si>
  <si>
    <t>INE531A01024</t>
  </si>
  <si>
    <t>Kansai Nerolac Paints Ltd</t>
  </si>
  <si>
    <t>INE376G01013</t>
  </si>
  <si>
    <t>Biocon Ltd</t>
  </si>
  <si>
    <t>INE670A01012</t>
  </si>
  <si>
    <t>Tata Elxsi Ltd</t>
  </si>
  <si>
    <t>INE048G01026</t>
  </si>
  <si>
    <t>Navin Fluorine International Ltd</t>
  </si>
  <si>
    <t>INE040H01021</t>
  </si>
  <si>
    <t>Suzlon Energy Ltd</t>
  </si>
  <si>
    <t>INE465A01025</t>
  </si>
  <si>
    <t>Bharat Forge Ltd</t>
  </si>
  <si>
    <t>INE058A01010</t>
  </si>
  <si>
    <t>Sanofi India Ltd</t>
  </si>
  <si>
    <t>INE217B01036</t>
  </si>
  <si>
    <t>Kajaria Ceramics Ltd</t>
  </si>
  <si>
    <t>INE053A01029</t>
  </si>
  <si>
    <t>The Indian Hotels Company Ltd</t>
  </si>
  <si>
    <t>INE726G01019</t>
  </si>
  <si>
    <t>ICICI Prudential Life Insurance Company Ltd</t>
  </si>
  <si>
    <t>INE0UOS01011</t>
  </si>
  <si>
    <t>Sanofi Consumer Healthcare India Ltd</t>
  </si>
  <si>
    <t>INE844O01030</t>
  </si>
  <si>
    <t>Gujarat Gas Co Ltd</t>
  </si>
  <si>
    <t>Margin Money For Derivatives</t>
  </si>
  <si>
    <t>INE040A01034</t>
  </si>
  <si>
    <t>HDFC Bank Ltd</t>
  </si>
  <si>
    <t>INE758T01015</t>
  </si>
  <si>
    <t>Zomato Ltd</t>
  </si>
  <si>
    <t>INE009A01021</t>
  </si>
  <si>
    <t>Infosys Ltd</t>
  </si>
  <si>
    <t>INE238A01034</t>
  </si>
  <si>
    <t>Axis Bank Ltd</t>
  </si>
  <si>
    <t>INE237A01028</t>
  </si>
  <si>
    <t>Kotak Mahindra Bank Ltd</t>
  </si>
  <si>
    <t>INE044A01036</t>
  </si>
  <si>
    <t>Sun Pharmaceutical Industries Ltd</t>
  </si>
  <si>
    <t>INE467B01029</t>
  </si>
  <si>
    <t>Tata Consultancy Services Ltd</t>
  </si>
  <si>
    <t>INE200M01039</t>
  </si>
  <si>
    <t>Varun Beverages Ltd</t>
  </si>
  <si>
    <t>INE038A01020</t>
  </si>
  <si>
    <t>Hindalco Industries Ltd</t>
  </si>
  <si>
    <t>Non - Ferrous Metals</t>
  </si>
  <si>
    <t>INE745G01035</t>
  </si>
  <si>
    <t>Multi Commodity Exchange of India Ltd</t>
  </si>
  <si>
    <t>INE155A01022</t>
  </si>
  <si>
    <t>Tata Motors Ltd</t>
  </si>
  <si>
    <t>INE154A01025</t>
  </si>
  <si>
    <t>ITC Ltd</t>
  </si>
  <si>
    <t>Diversified Fmcg</t>
  </si>
  <si>
    <t>INE089A01023</t>
  </si>
  <si>
    <t>Dr. Reddys Laboratories Ltd</t>
  </si>
  <si>
    <t>INE158A01026</t>
  </si>
  <si>
    <t>Hero MotoCorp Ltd</t>
  </si>
  <si>
    <t>INE321T01012</t>
  </si>
  <si>
    <t>DOMS Industries Ltd</t>
  </si>
  <si>
    <t>Household Products</t>
  </si>
  <si>
    <t>INE317I01021</t>
  </si>
  <si>
    <t>Metro Brands Ltd</t>
  </si>
  <si>
    <t>INE030A01027</t>
  </si>
  <si>
    <t>Hindustan UniLever Ltd</t>
  </si>
  <si>
    <t>INE406A01037</t>
  </si>
  <si>
    <t>Aurobindo Pharma Ltd</t>
  </si>
  <si>
    <t>INE066F01020</t>
  </si>
  <si>
    <t>Hindustan Aeronautics Ltd</t>
  </si>
  <si>
    <t>INE081A01020</t>
  </si>
  <si>
    <t>Tata Steel Ltd</t>
  </si>
  <si>
    <t>INE880J01026</t>
  </si>
  <si>
    <t>JSW Infrastructure Ltd</t>
  </si>
  <si>
    <t>INE280A01028</t>
  </si>
  <si>
    <t>Titan Company Ltd</t>
  </si>
  <si>
    <t>INE208A01029</t>
  </si>
  <si>
    <t>Ashok Leyland Ltd</t>
  </si>
  <si>
    <t>Agricultural, Commercial &amp; Construction Vehicles</t>
  </si>
  <si>
    <t>INE00WC01027</t>
  </si>
  <si>
    <t>Affle (India) Ltd</t>
  </si>
  <si>
    <t>It - Services</t>
  </si>
  <si>
    <t>INE761H01022</t>
  </si>
  <si>
    <t>Page Industries Ltd</t>
  </si>
  <si>
    <t>Textiles &amp; Apparels</t>
  </si>
  <si>
    <t>INE387A01021</t>
  </si>
  <si>
    <t>Sundram Fasteners Ltd</t>
  </si>
  <si>
    <t>INE893J01029</t>
  </si>
  <si>
    <t>Mold-Tek Packaging Ltd</t>
  </si>
  <si>
    <t>INE047A01021</t>
  </si>
  <si>
    <t>Grasim Industries Ltd</t>
  </si>
  <si>
    <t>INE377Y01014</t>
  </si>
  <si>
    <t>BAJAJ HOUSING FINANCE LTD</t>
  </si>
  <si>
    <t>INE429E01023</t>
  </si>
  <si>
    <t>Safari Industries (India) Ltd</t>
  </si>
  <si>
    <t>INE806T01020</t>
  </si>
  <si>
    <t>Sapphire Foods India Ltd</t>
  </si>
  <si>
    <t>INE914M01019</t>
  </si>
  <si>
    <t>Aster DM Healthcare Ltd</t>
  </si>
  <si>
    <t>INE063P01018</t>
  </si>
  <si>
    <t>Equitas Small Finance Bank Limited</t>
  </si>
  <si>
    <t>INE191H01014</t>
  </si>
  <si>
    <t>PVR INOX Ltd</t>
  </si>
  <si>
    <t>Entertainment</t>
  </si>
  <si>
    <t>INE045A01017</t>
  </si>
  <si>
    <t>Ador Welding Ltd</t>
  </si>
  <si>
    <t>INE551W01018</t>
  </si>
  <si>
    <t>Ujjivan Small Finance Bank Ltd</t>
  </si>
  <si>
    <t>INE0CLI01024</t>
  </si>
  <si>
    <t>Rate Gain Travel Technologies Ltd</t>
  </si>
  <si>
    <t>INE679A01013</t>
  </si>
  <si>
    <t>CSB Bank Ltd</t>
  </si>
  <si>
    <t>INE572A01036</t>
  </si>
  <si>
    <t>JB Chemicals &amp; Pharmaceuticals Ltd</t>
  </si>
  <si>
    <t>INE477A01020</t>
  </si>
  <si>
    <t>Can Fin Homes Ltd</t>
  </si>
  <si>
    <t>INE199A01012</t>
  </si>
  <si>
    <t>Procter &amp; Gamble Health Ltd</t>
  </si>
  <si>
    <t>INE732I01013</t>
  </si>
  <si>
    <t>Angel One Ltd</t>
  </si>
  <si>
    <t>INE285J01028</t>
  </si>
  <si>
    <t>SIS Ltd</t>
  </si>
  <si>
    <t>Commercial Services &amp; Supplies</t>
  </si>
  <si>
    <t>INE743M01012</t>
  </si>
  <si>
    <t>RHI Magnesita India Ltd</t>
  </si>
  <si>
    <t>INE274F01020</t>
  </si>
  <si>
    <t>Westlife Foodworld Ltd</t>
  </si>
  <si>
    <t>INE348B01021</t>
  </si>
  <si>
    <t>Century Plyboards (India) Ltd</t>
  </si>
  <si>
    <t>INE836A01035</t>
  </si>
  <si>
    <t>Birlasoft Ltd</t>
  </si>
  <si>
    <t>INE295F01017</t>
  </si>
  <si>
    <t>Butterfly Gandhimathi Appliances Ltd</t>
  </si>
  <si>
    <t>INE741K01010</t>
  </si>
  <si>
    <t>Creditaccess Grameen Ltd</t>
  </si>
  <si>
    <t>INE481N01025</t>
  </si>
  <si>
    <t>Home First Finance Company Ltd</t>
  </si>
  <si>
    <t>INE688A01022</t>
  </si>
  <si>
    <t>Transport Corporation of India Ltd</t>
  </si>
  <si>
    <t>INE211B01039</t>
  </si>
  <si>
    <t>The Phoenix Mills Ltd</t>
  </si>
  <si>
    <t>INE120A01034</t>
  </si>
  <si>
    <t>Carborundum Universal Ltd</t>
  </si>
  <si>
    <t>INE227C01017</t>
  </si>
  <si>
    <t>MM Forgings Ltd</t>
  </si>
  <si>
    <t>INE123W01016</t>
  </si>
  <si>
    <t>SBI Life Insurance Company Ltd</t>
  </si>
  <si>
    <t>INE860A01027</t>
  </si>
  <si>
    <t>HCL Technologies Ltd</t>
  </si>
  <si>
    <t>INE028A01039</t>
  </si>
  <si>
    <t>Bank of Baroda</t>
  </si>
  <si>
    <t>INE059A01026</t>
  </si>
  <si>
    <t>Cipla Ltd</t>
  </si>
  <si>
    <t>INE192A01025</t>
  </si>
  <si>
    <t>TATA Consumer Products Ltd</t>
  </si>
  <si>
    <t>INE340A01012</t>
  </si>
  <si>
    <t>Birla Corporation Ltd</t>
  </si>
  <si>
    <t>INE095A01012</t>
  </si>
  <si>
    <t>IndusInd Bank Ltd</t>
  </si>
  <si>
    <t>IN9397D01014</t>
  </si>
  <si>
    <t>INE075A01022</t>
  </si>
  <si>
    <t>Wipro Ltd</t>
  </si>
  <si>
    <t>Sundaram Long Term Micro Cap Tax Advantage Fund Series III</t>
  </si>
  <si>
    <t>INE386D01027</t>
  </si>
  <si>
    <t>Shivalik Bimetal Controls Ltd</t>
  </si>
  <si>
    <t>INE782A01015</t>
  </si>
  <si>
    <t>Johnson Controls-Hitachi AirConditioning India Ltd</t>
  </si>
  <si>
    <t>Sundaram Long Term Micro Cap Tax Advantage Fund Series IV</t>
  </si>
  <si>
    <t>Sundaram Long Term Micro Cap Tax Advantage Fund Series V</t>
  </si>
  <si>
    <t>Sundaram Long Term Micro Cap Tax Advantage Fund Series VI</t>
  </si>
  <si>
    <t>Sundaram Small Cap Fund</t>
  </si>
  <si>
    <t>INE482A01020</t>
  </si>
  <si>
    <t>Ceat Ltd</t>
  </si>
  <si>
    <t>INE944F01028</t>
  </si>
  <si>
    <t>Radico Khaitan Ltd</t>
  </si>
  <si>
    <t>INE136B01020</t>
  </si>
  <si>
    <t>Cyient Ltd</t>
  </si>
  <si>
    <t>INE126A01031</t>
  </si>
  <si>
    <t>EID Parry India Ltd</t>
  </si>
  <si>
    <t>INE177F01017</t>
  </si>
  <si>
    <t>Kovai Medical Center &amp; Hospital Ltd</t>
  </si>
  <si>
    <t>INE342G01023</t>
  </si>
  <si>
    <t>NIIT Learning Systems Ltd</t>
  </si>
  <si>
    <t>Other Consumer Services</t>
  </si>
  <si>
    <t>INE572E01012</t>
  </si>
  <si>
    <t>PNB Housing Finance Ltd</t>
  </si>
  <si>
    <t>INE098F01031</t>
  </si>
  <si>
    <t>Amrutanjan Health Care Ltd</t>
  </si>
  <si>
    <t>INE602W01019</t>
  </si>
  <si>
    <t>Senco Gold Ltd</t>
  </si>
  <si>
    <t>INE640A01023</t>
  </si>
  <si>
    <t>SKF India Ltd</t>
  </si>
  <si>
    <t>INE084A01016</t>
  </si>
  <si>
    <t>Bank of India</t>
  </si>
  <si>
    <t>INE142Z01019</t>
  </si>
  <si>
    <t>Orient Electric Ltd</t>
  </si>
  <si>
    <t>INE094J01016</t>
  </si>
  <si>
    <t>UTI Asset Management Co Ltd</t>
  </si>
  <si>
    <t>INE322A01010</t>
  </si>
  <si>
    <t>Gillette India Ltd</t>
  </si>
  <si>
    <t>Personal Products</t>
  </si>
  <si>
    <t>INE976G01028</t>
  </si>
  <si>
    <t>RBL Bank Ltd</t>
  </si>
  <si>
    <t>INE00F201020</t>
  </si>
  <si>
    <t>Prudent Corporate Advisory Services Ltd</t>
  </si>
  <si>
    <t>INE0J5401028</t>
  </si>
  <si>
    <t>Honasa Consumer Ltd</t>
  </si>
  <si>
    <t>INE136S01016</t>
  </si>
  <si>
    <t>Neogen Chemicals Ltd</t>
  </si>
  <si>
    <t>INE548C01032</t>
  </si>
  <si>
    <t>Emami Ltd</t>
  </si>
  <si>
    <t>INE930H01031</t>
  </si>
  <si>
    <t>K.P.R. Mill Ltd</t>
  </si>
  <si>
    <t>INE119A01028</t>
  </si>
  <si>
    <t>Balrampur Chini Mills Ltd</t>
  </si>
  <si>
    <t>INE456Z01021</t>
  </si>
  <si>
    <t>Medi Assist Healthcare Services Ltd</t>
  </si>
  <si>
    <t>INE0LMW01024</t>
  </si>
  <si>
    <t>Cello World Ltd</t>
  </si>
  <si>
    <t>INE503A01015</t>
  </si>
  <si>
    <t>DCB Bank Ltd</t>
  </si>
  <si>
    <t>INE586V01016</t>
  </si>
  <si>
    <t>TCI Express Ltd</t>
  </si>
  <si>
    <t>INE616N01034</t>
  </si>
  <si>
    <t>INOX India Ltd</t>
  </si>
  <si>
    <t>IN9671H01013</t>
  </si>
  <si>
    <t>IN002024Z057</t>
  </si>
  <si>
    <t>Sovereign</t>
  </si>
  <si>
    <t>Sundaram Aggressive Hybrid Fund</t>
  </si>
  <si>
    <t>INE854D01024</t>
  </si>
  <si>
    <t>United Spirits Ltd</t>
  </si>
  <si>
    <t>INE917I01010</t>
  </si>
  <si>
    <t>Bajaj Auto Ltd</t>
  </si>
  <si>
    <t>INE585B01010</t>
  </si>
  <si>
    <t>Maruti Suzuki India Ltd</t>
  </si>
  <si>
    <t>INE101A01026</t>
  </si>
  <si>
    <t>Mahindra &amp; Mahindra Ltd</t>
  </si>
  <si>
    <t>INE669C01036</t>
  </si>
  <si>
    <t>Tech Mahindra Ltd</t>
  </si>
  <si>
    <t>INE183A01024</t>
  </si>
  <si>
    <t>Finolex Industries Ltd</t>
  </si>
  <si>
    <t>INE852S01026</t>
  </si>
  <si>
    <t>INE261F08EF5</t>
  </si>
  <si>
    <t>National Bank for Agriculture &amp; Rural Development - 7.8% - 15/03/2027</t>
  </si>
  <si>
    <t>ICRA AAA</t>
  </si>
  <si>
    <t>INE261F08DX0</t>
  </si>
  <si>
    <t>National Bank for Agriculture &amp; Rural Development - 7.58% - 31/07/2026</t>
  </si>
  <si>
    <t>CRISIL AAA</t>
  </si>
  <si>
    <t>INE296A07SV1</t>
  </si>
  <si>
    <t>Bajaj Finance Ltd - 7.82% - 31/01/2034**</t>
  </si>
  <si>
    <t>INE134E08MB9</t>
  </si>
  <si>
    <t>Power Finance Corporation Ltd - 7.82% - 06/03/2038**</t>
  </si>
  <si>
    <t>INE0KUG08027</t>
  </si>
  <si>
    <t>National Bank for Financing Infrastructure and Development - 7.65% - 22/12/2038**</t>
  </si>
  <si>
    <t>INE115A07QH6</t>
  </si>
  <si>
    <t>LIC Housing Finance Ltd - 8.025% - 23/03/2033**</t>
  </si>
  <si>
    <t>INE134E08MX3</t>
  </si>
  <si>
    <t>Power Finance Corporation Ltd - 7.6% - 13/04/2029**</t>
  </si>
  <si>
    <t>INE134E08NB7</t>
  </si>
  <si>
    <t>Power Finance Corporation Ltd - 7.32% - 15/07/2039**</t>
  </si>
  <si>
    <t>INE556F08KM1</t>
  </si>
  <si>
    <t>Small Industries Development Bank of India - 7.79% - 14/05/2027**</t>
  </si>
  <si>
    <t>INE261F08DV4</t>
  </si>
  <si>
    <t>National Bank for Agriculture &amp; Rural Development - 7.62% - 31/01/2028**</t>
  </si>
  <si>
    <t>INE040A08955</t>
  </si>
  <si>
    <t>HDFC Bank Ltd - 7.7% - 16/05/2028</t>
  </si>
  <si>
    <t>INE556F08KH1</t>
  </si>
  <si>
    <t>Small Industries Development Bank of India - 7.43% - 31/08/2026</t>
  </si>
  <si>
    <t>INE040A08AH8</t>
  </si>
  <si>
    <t>HDFC Bank Ltd (Prev HDFC Ltd) - 7.4% - 02/06/2025**</t>
  </si>
  <si>
    <t>INE0KUG08035</t>
  </si>
  <si>
    <t>National Bank for Financing Infrastructure and Development - 7.43% - 04/07/2034</t>
  </si>
  <si>
    <t>INE296A07SU3</t>
  </si>
  <si>
    <t>Bajaj Finance Ltd - 7.87% - 08/02/2034</t>
  </si>
  <si>
    <t>INE121A07RZ4</t>
  </si>
  <si>
    <t>Cholamandalam Investment and Finance Co Ltd - 8.54% - 12/04/2029</t>
  </si>
  <si>
    <t>ICRA AA+</t>
  </si>
  <si>
    <t>INE053F08338</t>
  </si>
  <si>
    <t>Indian Railway Finance Corporation Ltd - 7.68% - 24/11/2026**</t>
  </si>
  <si>
    <t>INE020B08FF1</t>
  </si>
  <si>
    <t>REC LTD - 7.56% - 31/08/2027</t>
  </si>
  <si>
    <t>INE053F08296</t>
  </si>
  <si>
    <t>Indian Railway Finance Corporation Ltd - 7.74% - 15/04/2038**</t>
  </si>
  <si>
    <t>INE040A08666</t>
  </si>
  <si>
    <t>HDFC Bank Ltd (Prev HDFC Ltd) - 7.8% - 03/05/2033**</t>
  </si>
  <si>
    <t>INE134E08MJ2</t>
  </si>
  <si>
    <t>Power Finance Corporation Ltd - 7.77% - 15/04/2028**</t>
  </si>
  <si>
    <t>INE752E08734</t>
  </si>
  <si>
    <t>Power Grid Corporation of India Ltd - 7.35% - 12/03/2034**</t>
  </si>
  <si>
    <t>INE134E08MC7</t>
  </si>
  <si>
    <t>Power Finance Corporation Ltd - 7.77% - 15/07/2026**</t>
  </si>
  <si>
    <t>INE115A07QD5</t>
  </si>
  <si>
    <t>LIC Housing Finance Ltd - 7.82% - 28/11/2025**</t>
  </si>
  <si>
    <t>INE041007100</t>
  </si>
  <si>
    <t>Embassy Office Parks REIT - 7.77% - 05/06/2025**</t>
  </si>
  <si>
    <t>INE040A08989</t>
  </si>
  <si>
    <t>HDFC Bank Ltd (Prev HDFC Ltd) - 7.35% - 10/02/2025**</t>
  </si>
  <si>
    <t>INE261F08DP6</t>
  </si>
  <si>
    <t>National Bank for Agriculture &amp; Rural Development - 7.35% - 08/07/2025**</t>
  </si>
  <si>
    <t>INE115A07PI6</t>
  </si>
  <si>
    <t>LIC Housing Finance Ltd - 6.17% - 03/09/2026**</t>
  </si>
  <si>
    <t>INE018A08BA7</t>
  </si>
  <si>
    <t>Larsen &amp; Toubro Ltd - 7.7% - 28/04/2025**</t>
  </si>
  <si>
    <t>INE020B08EI8</t>
  </si>
  <si>
    <t>REC LTD - 7.51% - 31/07/2026**</t>
  </si>
  <si>
    <t>INE020B08EL2</t>
  </si>
  <si>
    <t>REC LTD - 7.44% - 30/04/2026</t>
  </si>
  <si>
    <t>INE557F08FS6</t>
  </si>
  <si>
    <t>National Housing Bank - 7.4% - 16/07/2026</t>
  </si>
  <si>
    <t>INE556F08KE8</t>
  </si>
  <si>
    <t>Small Industries Development Bank of India - 7.47% - 25/11/2025**</t>
  </si>
  <si>
    <t>IN0020230085</t>
  </si>
  <si>
    <t>7.18%  Government Securities - 14/08/2033</t>
  </si>
  <si>
    <t>IN0020240019</t>
  </si>
  <si>
    <t>7.10% Central Government Securities 08/04/2034</t>
  </si>
  <si>
    <t>IN0020240027</t>
  </si>
  <si>
    <t>IN0020230077</t>
  </si>
  <si>
    <t>7.18%  Government Securities - 24/07/2037</t>
  </si>
  <si>
    <t>IN0020230051</t>
  </si>
  <si>
    <t>7.30% Government Securities - 19/06/2053</t>
  </si>
  <si>
    <t>IN0020220011</t>
  </si>
  <si>
    <t>IN0020240035</t>
  </si>
  <si>
    <t>7.34% Central Government Securities 22/04/2064</t>
  </si>
  <si>
    <t>IN0020240076</t>
  </si>
  <si>
    <t>7.02% Central Government Securities 18/06/2031</t>
  </si>
  <si>
    <t>IN0020210160</t>
  </si>
  <si>
    <t>IN3120230484</t>
  </si>
  <si>
    <t>7.44% Tamil Nadu State Government Securities -20/03/2034</t>
  </si>
  <si>
    <t>INE040A16FA5</t>
  </si>
  <si>
    <t>HDFC Bank Ltd - 24/06/2025**</t>
  </si>
  <si>
    <t>CRISIL A1+</t>
  </si>
  <si>
    <t>INE115A14EX5</t>
  </si>
  <si>
    <t>LIC Housing Finance Ltd - 21/03/2025**</t>
  </si>
  <si>
    <t>Individual &amp; HUF</t>
  </si>
  <si>
    <t>Others</t>
  </si>
  <si>
    <t>INE423A01024</t>
  </si>
  <si>
    <t>Adani Enterprises</t>
  </si>
  <si>
    <t>Metals &amp; Minerals Trading</t>
  </si>
  <si>
    <t>INE271C01023</t>
  </si>
  <si>
    <t>DLF Ltd</t>
  </si>
  <si>
    <t>INE522D01027</t>
  </si>
  <si>
    <t>Manappuram Finance Ltd</t>
  </si>
  <si>
    <t>INE205A01025</t>
  </si>
  <si>
    <t>Vedanta Ltd</t>
  </si>
  <si>
    <t>Diversified Metals</t>
  </si>
  <si>
    <t>INE674K01013</t>
  </si>
  <si>
    <t>Aditya Birla Capital Ltd</t>
  </si>
  <si>
    <t>INE476A01022</t>
  </si>
  <si>
    <t>Canara Bank</t>
  </si>
  <si>
    <t>INE296A01024</t>
  </si>
  <si>
    <t>Bajaj Finance Ltd</t>
  </si>
  <si>
    <t>INE242A01010</t>
  </si>
  <si>
    <t>Indian Oil Corporation Ltd</t>
  </si>
  <si>
    <t>Stock Future</t>
  </si>
  <si>
    <t>IN0020220037</t>
  </si>
  <si>
    <t>7.38% Central Government Securities 20/06/2027</t>
  </si>
  <si>
    <t>IN0020230119</t>
  </si>
  <si>
    <t>7.33% Government Securities-30/10/2026</t>
  </si>
  <si>
    <t>IN002023Z307</t>
  </si>
  <si>
    <t>IN002023Z315</t>
  </si>
  <si>
    <t>IN002023Z489</t>
  </si>
  <si>
    <t>IN002024Z032</t>
  </si>
  <si>
    <t>IN002024Z040</t>
  </si>
  <si>
    <t>Sundaram Balanced Advantage Fund</t>
  </si>
  <si>
    <t>INE918I01026</t>
  </si>
  <si>
    <t>Bajaj Finserv Ltd</t>
  </si>
  <si>
    <t>INE020B08FD6</t>
  </si>
  <si>
    <t>REC LTD - 7.58% - 31/05/2029**</t>
  </si>
  <si>
    <t>IN0020230135</t>
  </si>
  <si>
    <t>IN0020230036</t>
  </si>
  <si>
    <t>7.17% Government Securities - 17/04/20230</t>
  </si>
  <si>
    <t>-</t>
  </si>
  <si>
    <t>Sundaram Dividend Yield Fund</t>
  </si>
  <si>
    <t>INE486A01021</t>
  </si>
  <si>
    <t>CESC Ltd</t>
  </si>
  <si>
    <t>INE472A01039</t>
  </si>
  <si>
    <t>Blue Star Ltd</t>
  </si>
  <si>
    <t>INE848E01016</t>
  </si>
  <si>
    <t>NHPC Ltd</t>
  </si>
  <si>
    <t>INE216A01030</t>
  </si>
  <si>
    <t>Britannia Industries Ltd</t>
  </si>
  <si>
    <t>INE239A01024</t>
  </si>
  <si>
    <t>Nestle India Ltd</t>
  </si>
  <si>
    <t>INE274J01014</t>
  </si>
  <si>
    <t>Oil India Ltd</t>
  </si>
  <si>
    <t>INE02CF01010</t>
  </si>
  <si>
    <t>IDIA00069477</t>
  </si>
  <si>
    <t>IDIA00069480</t>
  </si>
  <si>
    <t>INE759J01022</t>
  </si>
  <si>
    <t>Sundaram Equity Savings Fund</t>
  </si>
  <si>
    <t>INE725G01011</t>
  </si>
  <si>
    <t>ICRA Ltd</t>
  </si>
  <si>
    <t>INE451A01017</t>
  </si>
  <si>
    <t>Force Motors Ltd</t>
  </si>
  <si>
    <t>INE634S01028</t>
  </si>
  <si>
    <t>Mankind Pharma Ltd</t>
  </si>
  <si>
    <t>INE795G01014</t>
  </si>
  <si>
    <t>HDFC Life Insurance Company Ltd</t>
  </si>
  <si>
    <t>INE00R701025</t>
  </si>
  <si>
    <t>Dalmia Cement (Bharat) Ltd.</t>
  </si>
  <si>
    <t>INE142M01025</t>
  </si>
  <si>
    <t>Tata Technologies Ltd</t>
  </si>
  <si>
    <t>INE019A01038</t>
  </si>
  <si>
    <t>JSW Steel Ltd</t>
  </si>
  <si>
    <t>INE021A01026</t>
  </si>
  <si>
    <t>Asian Paints Ltd</t>
  </si>
  <si>
    <t>INE261F08EA6</t>
  </si>
  <si>
    <t>National Bank for Agriculture &amp; Rural Development - 7.5% - 31/08/2026**</t>
  </si>
  <si>
    <t>IN0020230101</t>
  </si>
  <si>
    <t>7.37% Government Securities-23/10/2028</t>
  </si>
  <si>
    <t>INE237A164V7</t>
  </si>
  <si>
    <t>IN002024Z164</t>
  </si>
  <si>
    <t>364 Days - T Bill - 18/07/2025</t>
  </si>
  <si>
    <t>INE192R01011</t>
  </si>
  <si>
    <t>Avenue Supermarts Ltd</t>
  </si>
  <si>
    <t>Sundaram Multi Cap Fund</t>
  </si>
  <si>
    <t>INE112L01020</t>
  </si>
  <si>
    <t>Metropolis Healthcare Ltd</t>
  </si>
  <si>
    <t>INE011K01018</t>
  </si>
  <si>
    <t>Tega Industries Ltd</t>
  </si>
  <si>
    <t>INE668F01031</t>
  </si>
  <si>
    <t>Jyothy Laboratories Ltd</t>
  </si>
  <si>
    <t>INE147E01013</t>
  </si>
  <si>
    <t>INE348C01011</t>
  </si>
  <si>
    <t>Paper, Forest &amp; Jute Products</t>
  </si>
  <si>
    <t>INE604A01011</t>
  </si>
  <si>
    <t>INE431E01011</t>
  </si>
  <si>
    <t>Healthcare Equipment &amp; Supplies</t>
  </si>
  <si>
    <t>IDIA00069356</t>
  </si>
  <si>
    <t>INE406B01019</t>
  </si>
  <si>
    <t>IDIA00069359</t>
  </si>
  <si>
    <t>INE775A01035</t>
  </si>
  <si>
    <t>Samvardhana Motherson International Ltd</t>
  </si>
  <si>
    <t>INE066A01021</t>
  </si>
  <si>
    <t>Eicher Motors Ltd</t>
  </si>
  <si>
    <t>INE160A01022</t>
  </si>
  <si>
    <t>Punjab National Bank</t>
  </si>
  <si>
    <t>INE335Y01020</t>
  </si>
  <si>
    <t>Indian Railway Catering &amp; Tourism Corporation Ltd</t>
  </si>
  <si>
    <t>INE318A01026</t>
  </si>
  <si>
    <t>Pidilite Industries Ltd</t>
  </si>
  <si>
    <t>INE685A01028</t>
  </si>
  <si>
    <t>Torrent Pharmaceuticals Ltd</t>
  </si>
  <si>
    <t>INE053F01010</t>
  </si>
  <si>
    <t>Indian Railway Finance Corporation Ltd</t>
  </si>
  <si>
    <t>INE361B01024</t>
  </si>
  <si>
    <t>Divis Laboratories Ltd</t>
  </si>
  <si>
    <t>INE323A01026</t>
  </si>
  <si>
    <t>Bosch Ltd</t>
  </si>
  <si>
    <t>INE070A01015</t>
  </si>
  <si>
    <t>Shree Cement Ltd</t>
  </si>
  <si>
    <t>INE758E01017</t>
  </si>
  <si>
    <t>Jio Financial Services Ltd</t>
  </si>
  <si>
    <t>INE437A01024</t>
  </si>
  <si>
    <t>Apollo Hospitals Enterprise Ltd</t>
  </si>
  <si>
    <t>INE0J1Y01017</t>
  </si>
  <si>
    <t>LIC of India Ltd</t>
  </si>
  <si>
    <t>INE214T01019</t>
  </si>
  <si>
    <t>LTIMindtree Ltd</t>
  </si>
  <si>
    <t>INE016A01026</t>
  </si>
  <si>
    <t>Dabur India Ltd</t>
  </si>
  <si>
    <t>INE118A01012</t>
  </si>
  <si>
    <t>Bajaj Holdings &amp; Investment Ltd</t>
  </si>
  <si>
    <t>INE814H01011</t>
  </si>
  <si>
    <t>Adani Power Ltd</t>
  </si>
  <si>
    <t>INE176B01034</t>
  </si>
  <si>
    <t>Havells India Ltd</t>
  </si>
  <si>
    <t>INE765G01017</t>
  </si>
  <si>
    <t>ICICI Lombard General Insurance Company Ltd</t>
  </si>
  <si>
    <t>INE102D01028</t>
  </si>
  <si>
    <t>Godrej Consumer Products Ltd</t>
  </si>
  <si>
    <t>INE399L01023</t>
  </si>
  <si>
    <t>Adani Total Gas Ltd</t>
  </si>
  <si>
    <t>INE931S01010</t>
  </si>
  <si>
    <t>Adani Energy Solutions Ltd</t>
  </si>
  <si>
    <t>INE121E01018</t>
  </si>
  <si>
    <t>JSW Energy Ltd</t>
  </si>
  <si>
    <t>INE364U01010</t>
  </si>
  <si>
    <t>Adani Green Energy Ltd</t>
  </si>
  <si>
    <t>INE670K01029</t>
  </si>
  <si>
    <t>Macrotech Developers Ltd</t>
  </si>
  <si>
    <t>Sundaram ELSS Tax Saver Fund</t>
  </si>
  <si>
    <t>INE571A01038</t>
  </si>
  <si>
    <t>IPCA Laboratories Ltd</t>
  </si>
  <si>
    <t>INE258A01016</t>
  </si>
  <si>
    <t>BEML Ltd</t>
  </si>
  <si>
    <t>INE176A01028</t>
  </si>
  <si>
    <t>Bata India Ltd</t>
  </si>
  <si>
    <t>Sundaram Consumption Fund</t>
  </si>
  <si>
    <t>INE02YR01019</t>
  </si>
  <si>
    <t>Electronics Mart India Ltd</t>
  </si>
  <si>
    <t>Sundaram Services Fund</t>
  </si>
  <si>
    <t>INE466L01038</t>
  </si>
  <si>
    <t>360 ONE WAM Ltd (Prev IIFL Wealth Management Ltd)</t>
  </si>
  <si>
    <t>INE127D01025</t>
  </si>
  <si>
    <t>HDFC Asset Management Company Ltd</t>
  </si>
  <si>
    <t>MU0295S00016</t>
  </si>
  <si>
    <t>Sundaram Diversified Equity</t>
  </si>
  <si>
    <t>Sundaram Large Cap Fund</t>
  </si>
  <si>
    <t>Sundaram Business Cycle Fund</t>
  </si>
  <si>
    <t>INE410P01011</t>
  </si>
  <si>
    <t>Narayana Hrudayalaya Ltd</t>
  </si>
  <si>
    <t>INE388Y01029</t>
  </si>
  <si>
    <t>FSN E–Commerce Ventures Ltd(NYKAA)</t>
  </si>
  <si>
    <t>INE885A01032</t>
  </si>
  <si>
    <t>Amara Raja Energy &amp; Mobility Ltd</t>
  </si>
  <si>
    <t>INE371A01025</t>
  </si>
  <si>
    <t>Graphite India Ltd</t>
  </si>
  <si>
    <t>INE074A01025</t>
  </si>
  <si>
    <t>Praj Industries Ltd</t>
  </si>
  <si>
    <t>Sundaram Flexi Cap Fund</t>
  </si>
  <si>
    <t>INE109C01017</t>
  </si>
  <si>
    <t>Arman Financial Services Ltd</t>
  </si>
  <si>
    <t>Sundaram Financial Services Opportunities Fund</t>
  </si>
  <si>
    <t>INE763G01038</t>
  </si>
  <si>
    <t>ICICI Securities Ltd</t>
  </si>
  <si>
    <t>INE298J01013</t>
  </si>
  <si>
    <t>Nippon Life India Asset Management Ltd</t>
  </si>
  <si>
    <t>Institutional Plan - Growth</t>
  </si>
  <si>
    <t>Sundaram Multi Asset Allocation Fund</t>
  </si>
  <si>
    <t>INF204KB17I5</t>
  </si>
  <si>
    <t>Nippon India ETF Gold Bees</t>
  </si>
  <si>
    <t>INF200KA16D8</t>
  </si>
  <si>
    <t>SBI-ETF GOLD</t>
  </si>
  <si>
    <t>INF179KC1981</t>
  </si>
  <si>
    <t>HDFC Gold Exchange Traded Fund</t>
  </si>
  <si>
    <t>INF174KA1HJ8</t>
  </si>
  <si>
    <t>Kotak Mutual Fund - Gold Exchange Traded Fund</t>
  </si>
  <si>
    <t>INF740KA1SW3</t>
  </si>
  <si>
    <t>DSP-GOLD ETF</t>
  </si>
  <si>
    <t>S.NO.</t>
  </si>
  <si>
    <t>ACRONYM</t>
  </si>
  <si>
    <t>SCHEME NAME</t>
  </si>
  <si>
    <t>CAPEXG</t>
  </si>
  <si>
    <t>GLOB</t>
  </si>
  <si>
    <t>Sundaram Global Brand Fund</t>
  </si>
  <si>
    <t>MIDCAP</t>
  </si>
  <si>
    <t>MULTIP</t>
  </si>
  <si>
    <t>Sundaram Large And Mid Cap Fund</t>
  </si>
  <si>
    <t>SLTADV3</t>
  </si>
  <si>
    <t>SLTADV4</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</si>
  <si>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</si>
  <si>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</si>
  <si>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</si>
  <si>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</si>
  <si>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</si>
  <si>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</si>
  <si>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</si>
  <si>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</si>
  <si>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</si>
  <si>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</si>
  <si>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</si>
  <si>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</si>
  <si>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</si>
  <si>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</si>
  <si>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</si>
  <si>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</si>
  <si>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</si>
  <si>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</si>
  <si>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</si>
  <si>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</si>
  <si>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</si>
  <si>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</si>
  <si>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</si>
  <si>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</si>
  <si>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</si>
  <si>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</si>
  <si>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</si>
  <si>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</si>
  <si>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SUNCYF</t>
  </si>
  <si>
    <t>Index</t>
  </si>
  <si>
    <t>Scheme Riskometer</t>
  </si>
  <si>
    <t>YTM (%)</t>
  </si>
  <si>
    <t>Monthly Portfolio Statement for the month ended 30 September 2024</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</si>
  <si>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</si>
  <si>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</si>
  <si>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</si>
  <si>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</si>
  <si>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</si>
  <si>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</si>
  <si>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</si>
  <si>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d) IDCW declared during the period (Rupees per unit)</t>
  </si>
  <si>
    <t>Sundaram Liquid Fund - Direct Growth*</t>
  </si>
  <si>
    <t>Bharti Airtel Ltd - Partly Paid Right Shares</t>
  </si>
  <si>
    <t>Benchmark Riskometer - Nifty Small Cap 100</t>
  </si>
  <si>
    <t xml:space="preserve"> Benchmark Riskometer - BSE 500 INDEX</t>
  </si>
  <si>
    <t>Benchmark Riskometer - BSE 500 INDEX</t>
  </si>
  <si>
    <t>Tier I Benchmark Riskometer - Nifty Large Mid Cap 250 INDEX</t>
  </si>
  <si>
    <t>Tier II Benchmark Riskometer - Nifty Large Mid Cap 250 INDEX</t>
  </si>
  <si>
    <t>Tier I Benchmark Riskometer - Nifty Mid Cap 150 TRI</t>
  </si>
  <si>
    <t>Tier II Benchmark Riskometer - Nifty Mid Cap 100 TRI</t>
  </si>
  <si>
    <t>Benchmark Riskometer - NIFTY Infrastructure TRI</t>
  </si>
  <si>
    <t>Tier I Benchmark Riskometer - Nifty Small Cap 250 TRI</t>
  </si>
  <si>
    <t>Tier II Benchmark Riskometer - Nifty Small Cap 100 TRI</t>
  </si>
  <si>
    <t>b) Total value and percentage of illiquid equity shares @</t>
  </si>
  <si>
    <t>Annexure-A</t>
  </si>
  <si>
    <t>Benchmark Riskometer - CRISIL Hybrid 35 Plus 65 - Aggressive Index</t>
  </si>
  <si>
    <t>(f) Convertible Debenture</t>
  </si>
  <si>
    <t>INE121A08PJ0</t>
  </si>
  <si>
    <t>7.5% Cholamandalam Investment and Company Ltd - 30/09/2026</t>
  </si>
  <si>
    <t>Unrated</t>
  </si>
  <si>
    <t>g) Derivative</t>
  </si>
  <si>
    <t>7.72% Central Government Securities_Floating Rate Bond - 04/10/2028 ~</t>
  </si>
  <si>
    <t>Cash and Other Net Current Assets^</t>
  </si>
  <si>
    <t>Refer below point i)</t>
  </si>
  <si>
    <t>Direct Plan - Monthly IDCW</t>
  </si>
  <si>
    <t>Regular Plan - Monthly IDCW</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</si>
  <si>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</si>
  <si>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</si>
  <si>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</si>
  <si>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</si>
  <si>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</si>
  <si>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</si>
  <si>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</si>
  <si>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</si>
  <si>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</si>
  <si>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</si>
  <si>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</si>
  <si>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</si>
  <si>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</si>
  <si>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</si>
  <si>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</si>
  <si>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</si>
  <si>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</si>
  <si>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</si>
  <si>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</si>
  <si>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</si>
  <si>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</si>
  <si>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</si>
  <si>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</si>
  <si>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</si>
  <si>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 xml:space="preserve">As on (Date) </t>
  </si>
  <si>
    <t>*** in case of semi annual YTM,  it will be annualised </t>
  </si>
  <si>
    <t>ACC Limited October 2024</t>
  </si>
  <si>
    <t>ITC Limited October 2024</t>
  </si>
  <si>
    <t>Indian Oil Corporation Ltd October 2024</t>
  </si>
  <si>
    <t>NTPC Limited October 2024</t>
  </si>
  <si>
    <t>Bajaj Finance Limited October 2024</t>
  </si>
  <si>
    <t xml:space="preserve">	State Bank Of India Limited October 2024</t>
  </si>
  <si>
    <t xml:space="preserve">	Mahindra &amp; Mahindra Limited October 2024</t>
  </si>
  <si>
    <t>Bharat Electronics Limited October 2024</t>
  </si>
  <si>
    <t xml:space="preserve">	Tata Steel Limited October 2024</t>
  </si>
  <si>
    <t>Larsen and Toubro Ltd October 2024</t>
  </si>
  <si>
    <t>Kotak Mahindra Bank Limited October 2024</t>
  </si>
  <si>
    <t>Canara Bank October 2024</t>
  </si>
  <si>
    <t>Aurobindo Pharma Limited October 2024</t>
  </si>
  <si>
    <t>Tata Power Company Ltd October 2024</t>
  </si>
  <si>
    <t>Axis Bank Limited October 2024</t>
  </si>
  <si>
    <t>Aditya Birla Capital Limited October 2024</t>
  </si>
  <si>
    <t>Tata Motors Limited October 2024</t>
  </si>
  <si>
    <t>The Indian Hotels Company Limited October 2024</t>
  </si>
  <si>
    <t>Maruti Suzuki India Limited October 2024</t>
  </si>
  <si>
    <t>Bank of Baroda October 2024</t>
  </si>
  <si>
    <t>Vedanta Ltd Pre Sesa Sterlite Limited October 2024</t>
  </si>
  <si>
    <t>Manappuram Finance Limited October 2024</t>
  </si>
  <si>
    <t>DLF Limited October 2024</t>
  </si>
  <si>
    <t>Adani Enterprises Limited October 2024</t>
  </si>
  <si>
    <t>Ambuja Cements Limited October 2024</t>
  </si>
  <si>
    <t>Reliance Industries Limited October 2024</t>
  </si>
  <si>
    <t>Indus Towers Limited October 2024</t>
  </si>
  <si>
    <t>HDFC Bank Limited October 2024</t>
  </si>
  <si>
    <t>Benchmark Riskometer - NIFTY 50 Arbitrage INDEX</t>
  </si>
  <si>
    <t>Sundaram Arbitrage Fund</t>
  </si>
  <si>
    <t>Benchmark Riskometer - NIFTY 50 Hybrid Composite Debt 50 : 50 INDEX</t>
  </si>
  <si>
    <t>INE041025011</t>
  </si>
  <si>
    <t>Embassy Office Parks (REIT)</t>
  </si>
  <si>
    <t>IndusInd Bank Limited October 2024</t>
  </si>
  <si>
    <t>Bajaj Finserv Limited October 2024</t>
  </si>
  <si>
    <t>Cipla Limited October 2024</t>
  </si>
  <si>
    <t>INE0GGX23010</t>
  </si>
  <si>
    <t>Power Grid Infrastructure Investment Trust (InvIT)</t>
  </si>
  <si>
    <t>Crystal Cable Industries Ltd @</t>
  </si>
  <si>
    <t>Sandur Laminates Ltd @</t>
  </si>
  <si>
    <t>Minerava Holdings Ltd @</t>
  </si>
  <si>
    <t>Tirrihannah Company Ltd @</t>
  </si>
  <si>
    <t>21.50% Dewan Rubber Ltd</t>
  </si>
  <si>
    <t>Not Available</t>
  </si>
  <si>
    <t>Chemox Chemicals Industries</t>
  </si>
  <si>
    <t>Tier I Benchmark Riskometer - NIFTY 500</t>
  </si>
  <si>
    <t>Tier II Benchmark Riskometer - NIFTY IDCW Opportunities 50 TRI</t>
  </si>
  <si>
    <t>Benchmark Riskometer - Nifty Equity Savings INDEX</t>
  </si>
  <si>
    <t>Bharat Forge Limited October 2024</t>
  </si>
  <si>
    <t>JSW Steel Limited October 2024</t>
  </si>
  <si>
    <t>Sun Pharmaceutical Industries Limited October 2024</t>
  </si>
  <si>
    <t>Bajaj Auto Limited October 2024</t>
  </si>
  <si>
    <t xml:space="preserve">	United Spirits Limited October 2024</t>
  </si>
  <si>
    <t>Interglobe Aviation Ltd October 2024</t>
  </si>
  <si>
    <t>HDFC Life Insurance Company Limited October 2024</t>
  </si>
  <si>
    <t>Hindustan Petroleum Corpn Limited October 2024</t>
  </si>
  <si>
    <t>Hindalco Industries Limited October 2024</t>
  </si>
  <si>
    <t>HCL Technologies Limited October 2024</t>
  </si>
  <si>
    <t>TATA Consultancy Services Limited October 2024</t>
  </si>
  <si>
    <t xml:space="preserve">	Hindustan Unilever Limited October 2024</t>
  </si>
  <si>
    <t>Infosys Limited October 2024</t>
  </si>
  <si>
    <t>Bharti Airtel Limited October 2024</t>
  </si>
  <si>
    <t>Tier I Benchmark Riskometer - Nifty 500 TRI</t>
  </si>
  <si>
    <t xml:space="preserve"> Tier II Benchmark Riskometer - Nifty Large MID CAP 250 TRI</t>
  </si>
  <si>
    <t>Tier I Benchmark Riskometer - Nifty 500 MultiCap 50:25:25</t>
  </si>
  <si>
    <t>Tier II Benchmark Riskometer - Nifty 500 MultiCap 50:25:25</t>
  </si>
  <si>
    <t>Chennai Super Kings Ltd @</t>
  </si>
  <si>
    <t>Crescent Finstock Ltd @</t>
  </si>
  <si>
    <t>Mukerian Papers Ltd @</t>
  </si>
  <si>
    <t>Balmer Lawrie Freight Containers Ltd @</t>
  </si>
  <si>
    <t>Sangam Health Care Products Ltd @</t>
  </si>
  <si>
    <t>Precision Fasteners Ltd @</t>
  </si>
  <si>
    <t>Virtual Dynamics Software Ltd @</t>
  </si>
  <si>
    <t>Noble Brothers Impex Ltd @</t>
  </si>
  <si>
    <t>15% Premier Vinyl Ltd</t>
  </si>
  <si>
    <t>Benchmark Riskometer - Nifty 100 Equal Weight TRI</t>
  </si>
  <si>
    <t>Tier II Benchmark Riskometer - NIFTY 500</t>
  </si>
  <si>
    <t>18% Jord Engineering Ltd</t>
  </si>
  <si>
    <t>Benchmark Riskometer - Nifty India Consumption TRI</t>
  </si>
  <si>
    <t>Tier I Benchmark Riskometer - NIFTY Services Sector Index</t>
  </si>
  <si>
    <t>Tier II Benchmark Riskometer - NIFTY 500 MULTICAP 50:25:25</t>
  </si>
  <si>
    <t>Make My Trip Ltd (USD)</t>
  </si>
  <si>
    <t>Tier I Benchmark Riskometer - Nifty 100 TRI INDEX</t>
  </si>
  <si>
    <t>Tier II Benchmark Riskometer - Nifty 100 TRI INDEX</t>
  </si>
  <si>
    <t>Tier I Benchmark Riskometer - Nifty_500_ TRI</t>
  </si>
  <si>
    <t>Tier II Benchmark Riskometer - Nifty 500 TRI</t>
  </si>
  <si>
    <t>Benchmark Riskometer - Nifty Financial Services</t>
  </si>
  <si>
    <r>
      <t xml:space="preserve">Benchmark Riskometer - </t>
    </r>
    <r>
      <rPr>
        <sz val="11"/>
        <color theme="1"/>
        <rFont val="Aptos Narrow"/>
        <family val="2"/>
        <scheme val="minor"/>
      </rPr>
      <t>NIFTY 500 TRI (65%) + NIFTY Short Duration Debt Index (10%) + Domestic Prices of Gold (25%)</t>
    </r>
  </si>
  <si>
    <t>UltraTech Cement Limited October 2024</t>
  </si>
  <si>
    <t>Hindustan Aeronautics Limited October 2024</t>
  </si>
  <si>
    <t>TVS Motor Company Limited October 2024</t>
  </si>
  <si>
    <t>Direct Plan - IDCW</t>
  </si>
  <si>
    <t>Regular Plan - IDCW</t>
  </si>
  <si>
    <t>Direct Plan - Halfyearly IDCW</t>
  </si>
  <si>
    <t>Regular Plan - Halfyearly IDCW</t>
  </si>
  <si>
    <t>Direct Plan - Quarterly IDCW</t>
  </si>
  <si>
    <t>Regular Plan - Quarterly IDCW</t>
  </si>
  <si>
    <t>Institutional Plan - IDCW</t>
  </si>
  <si>
    <t>YTM (%) *</t>
  </si>
  <si>
    <t>Hindustan Dorr Oliver Ltd @</t>
  </si>
  <si>
    <t>SG9999013908</t>
  </si>
  <si>
    <t>Sundaram Global Brand Fund - Master Class</t>
  </si>
  <si>
    <t>Benchmark Riskometer - MSCI ACWI TRI</t>
  </si>
  <si>
    <t>(a) Investments in Foreign Securities - Units of Mutual Funds</t>
  </si>
  <si>
    <t>364 Days - T Bill - 02/05/2025*</t>
  </si>
  <si>
    <t>7.10% Central Government Securities 18/04/2029*</t>
  </si>
  <si>
    <t>7.23% Central Government Securities 15/04/2039*</t>
  </si>
  <si>
    <t>364 Days-T Bill - 10/10/2024*</t>
  </si>
  <si>
    <t>364 Days-T Bill - 17/10/2024*</t>
  </si>
  <si>
    <t>7.38% Central Government Securities 20/06/2027*</t>
  </si>
  <si>
    <t>364 Days- T Bill-13/02/2025*</t>
  </si>
  <si>
    <t>364 Days - T Bill - 18/04/2025*</t>
  </si>
  <si>
    <t>364 Days - T Bill - 24/04/2025*</t>
  </si>
  <si>
    <t>7.32% Government Securities-13/11/2030*</t>
  </si>
  <si>
    <t>7.18%  Government Securities - 14/08/2033*</t>
  </si>
  <si>
    <t>7.10% Central Government Securities 08/04/2034*</t>
  </si>
  <si>
    <t>7.37% Government Securities-23/10/2028*</t>
  </si>
  <si>
    <t>i) Exposure to securities classified as below investment grade or default as on 30-Sep-2024</t>
  </si>
  <si>
    <t>% to AUM as on 30-Sep-2024</t>
  </si>
  <si>
    <t>30-Sep-2024</t>
  </si>
  <si>
    <t>Direct Plan - Half Yearly IDCW</t>
  </si>
  <si>
    <t>Regular Plan - Half Yearly IDCW</t>
  </si>
  <si>
    <t>Kotak Mahindra Bank Ltd - 15/01/2025</t>
  </si>
  <si>
    <t>DERIVATIVES DISCLOSURE</t>
  </si>
  <si>
    <t>Disclosure regarding Derivative positions pursuant to SEBI Circular no CIR/IMD/DF/11/2010 dated August18,2010</t>
  </si>
  <si>
    <t>DETAILS OF INVESTMENTS IN DERIVATIVE INSTRUMENTS</t>
  </si>
  <si>
    <t>A. Hedging Positions through Futures as on September 30,2024 :</t>
  </si>
  <si>
    <t>Scheme Name</t>
  </si>
  <si>
    <t>Underlying</t>
  </si>
  <si>
    <t>Long/Short</t>
  </si>
  <si>
    <t>Futures Price When Purchased</t>
  </si>
  <si>
    <t>Current Price of the contract</t>
  </si>
  <si>
    <t>Margin maintained in       (Rs in Lakhs)*</t>
  </si>
  <si>
    <t>Adani Enterprises Ltd OCT-2024</t>
  </si>
  <si>
    <t>Short</t>
  </si>
  <si>
    <t>Aditya Birla Capital Ltd OCT-2024</t>
  </si>
  <si>
    <t>Associated Cement Co. Ltd OCT-2024</t>
  </si>
  <si>
    <t>Aurobindo Pharma Ltd-Equ OCT-2024</t>
  </si>
  <si>
    <t>Axis Bank Ltd  OCT-2024</t>
  </si>
  <si>
    <t>Bajaj Finance Ltd OCT-2024</t>
  </si>
  <si>
    <t>Bank of Baroda OCT-2024</t>
  </si>
  <si>
    <t>Bharat Electronics Ltd OCT-2024</t>
  </si>
  <si>
    <t>Canara Bank OCT-2024</t>
  </si>
  <si>
    <t>DLF Ltd OCT-2024</t>
  </si>
  <si>
    <t>Gujarat Ambuja Cement Co.Ltd OCT-2024</t>
  </si>
  <si>
    <t>HDFC Bank Ltd OCT-2024</t>
  </si>
  <si>
    <t>Indian Hotels Company Ltd OCT-2024</t>
  </si>
  <si>
    <t>Indian Oil Corporation Ltd OCT-2024</t>
  </si>
  <si>
    <t>Indus Towers Ltd OCT-2024</t>
  </si>
  <si>
    <t>ITC Ltd OCT-2024</t>
  </si>
  <si>
    <t>Kotak Mahindra Bank Ltd OCT-2024</t>
  </si>
  <si>
    <t>Larsen &amp; Toubro Ltd OCT-2024</t>
  </si>
  <si>
    <t>Mahindra &amp; Mahindra Ltd OCT-2024</t>
  </si>
  <si>
    <t>Manappuram Finance Limited OCT-2024</t>
  </si>
  <si>
    <t>Maruti Suzuki India Ltd OCT-2024</t>
  </si>
  <si>
    <t>NTPC Ltd OCT-2024</t>
  </si>
  <si>
    <t>Reliance Industries Ltd OCT-2024</t>
  </si>
  <si>
    <t>State Bank Of India Ltd OCT-2024</t>
  </si>
  <si>
    <t>Tata Motors Ltd OCT-2024</t>
  </si>
  <si>
    <t>TATA Power Co Ltd OCT-2024</t>
  </si>
  <si>
    <t>Tata Steel Ltd OCT-2024</t>
  </si>
  <si>
    <t>Vedanta Ltd Pre Sesa Sterlite Ltd  OCT-2024</t>
  </si>
  <si>
    <t>Bajaj Finserv Ltd OCT-2024</t>
  </si>
  <si>
    <t>Cipla Ltd OCT-2024</t>
  </si>
  <si>
    <t>IndusInd Bank Ltd OCT-2024</t>
  </si>
  <si>
    <t>Bajaj Auto Ltd OCT-2024</t>
  </si>
  <si>
    <t>Bharat Forge Ltd OCT-2024</t>
  </si>
  <si>
    <t>Bharti Airtel Ltd OCT-2024</t>
  </si>
  <si>
    <t>HCL Technologies Ltd OCT-2024</t>
  </si>
  <si>
    <t>HDFC Life Insurance Company Ltd OCT-2024</t>
  </si>
  <si>
    <t>Hindalco Industries Ltd OCT-2024</t>
  </si>
  <si>
    <t>Hindustan Petroleum Corpn Ltd OCT-2024</t>
  </si>
  <si>
    <t>Hindustan Unilever Ltd OCT-2024</t>
  </si>
  <si>
    <t>Infosys Ltd OCT-2024</t>
  </si>
  <si>
    <t>Interglobe Aviation Ltd OCT-2024</t>
  </si>
  <si>
    <t>JSW Steel Ltd OCT-2024</t>
  </si>
  <si>
    <t>Sun Pharmaceuticals Ltd OCT-2024</t>
  </si>
  <si>
    <t>TATA Consultancy Services Ltd OCT-2024</t>
  </si>
  <si>
    <t>United Spirits Ltd OCT-2024</t>
  </si>
  <si>
    <t>Vedanta Ltd Pre Sesa Sterlite Ltd OCT-2024</t>
  </si>
  <si>
    <t>Sundaram Financial Opp Fund</t>
  </si>
  <si>
    <t>Hindustan Aeronautics Ltd OCT-2024</t>
  </si>
  <si>
    <t>TVS Motor Company Ltd   OCT-2024</t>
  </si>
  <si>
    <t>Ultra Tech Cement Ltd OCT-2024</t>
  </si>
  <si>
    <t xml:space="preserve">Total percentage of existing assets hedged through futures as a percentage of net assets </t>
  </si>
  <si>
    <t>%</t>
  </si>
  <si>
    <t>For the period ended September 30,2024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</si>
  <si>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</si>
  <si>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</si>
  <si>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</si>
  <si>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</si>
  <si>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</si>
  <si>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Sundaram Small cap Fund</t>
  </si>
  <si>
    <t>Sundaram Large and Midcap Fund</t>
  </si>
  <si>
    <t>B. Other than hedging positions through futures as on September 30,2024 :</t>
  </si>
  <si>
    <t>Margin maintained in       (Rs. in Lakhs) *</t>
  </si>
  <si>
    <t>Long</t>
  </si>
  <si>
    <t>Total percentage of existing assets due to non-hedging positions as a percentage of net assets</t>
  </si>
  <si>
    <t>For the period ended September 30,2024 following were the non-hedging transactions through futures which have been squared off / expired</t>
  </si>
  <si>
    <t>Gross Notional value of contracts where futures were sold      ( Rs. in Lakhs)</t>
  </si>
  <si>
    <t>Net Profit / (Loss) value on all contracts combined      (Rs. in lakhs)</t>
  </si>
  <si>
    <t>Sundaram Multip Cap Fund</t>
  </si>
  <si>
    <t>C. Hedging Positions through Put Options as on September 30,2024 :</t>
  </si>
  <si>
    <t>Call/Put</t>
  </si>
  <si>
    <t>Number of Contracts</t>
  </si>
  <si>
    <t>Option Price when purchased</t>
  </si>
  <si>
    <t>Current Option Price</t>
  </si>
  <si>
    <t>Total % of existing assets hedged through Put Options</t>
  </si>
  <si>
    <t xml:space="preserve"> </t>
  </si>
  <si>
    <t>For the period ended  September 30,2024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</si>
  <si>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</si>
  <si>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</si>
  <si>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</si>
  <si>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</si>
  <si>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September 30,2024 :</t>
  </si>
  <si>
    <t xml:space="preserve">Total Exposure through Options other than hedging as a percentage of net assets </t>
  </si>
  <si>
    <t>For the period ended September 30,2024 , the following non hedging transactions through options which have been already exercised/expired</t>
  </si>
  <si>
    <t>Gross Notional value of contracts  bought(Rs. in Lakhs)</t>
  </si>
  <si>
    <t>Gross Notional value of contracts  sold (Rs. in Lakhs)</t>
  </si>
  <si>
    <t>E. Hedging Positions through Swaps as on September 30,2024 - Nil</t>
  </si>
  <si>
    <t>F. Hedging Positions through Interest Rate Futures as on September 30,2024 :</t>
  </si>
  <si>
    <t xml:space="preserve">Futures Price
When Purchased </t>
  </si>
  <si>
    <t>Current Price of
the contract</t>
  </si>
  <si>
    <t>Margin maintained
in (Rs. in Lakhs)</t>
  </si>
  <si>
    <t>Total percentage of existing assets hedged through Interest Rate Futures a Percentage of net assets</t>
  </si>
  <si>
    <t>For the period ended September 30,2024 following were the hedging transactions through Interest Rate Futures which have been squared off/ expired</t>
  </si>
  <si>
    <t>For the period ended September 30,2024 following were the Non Hedging transactions through Interest Rate Futures which have been squared off/ expired</t>
  </si>
  <si>
    <t>* Note: Margin maintained denotes security specific margin.</t>
  </si>
  <si>
    <t>Sundaram Long Term Tax Advantage Fund Series III</t>
  </si>
  <si>
    <t>Sundaram Long Term Tax Advantage Fund Series IV</t>
  </si>
  <si>
    <t>Average Maturity  (years) - only for Debt portion (years)</t>
  </si>
  <si>
    <t>Rs. 0.00 lacs/ #</t>
  </si>
  <si>
    <t>Rs. 11,241.70 Lacs</t>
  </si>
  <si>
    <t>Rs. 5.38 lacs/ #</t>
  </si>
  <si>
    <t>Rs. 112.49 lacs/ 0.04%</t>
  </si>
  <si>
    <t>Rs. 65.75 lacs / 0.05%</t>
  </si>
  <si>
    <t>Rs. 2946.19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</si>
</sst>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 #,##0.00_ ;_ * \-#,##0.00_ ;_ * &quot;-&quot;??_ ;_ @_ "/>
    <numFmt numFmtId="164" formatCode="[$-1014009]General"/>
    <numFmt numFmtId="165" formatCode="[$-1014009]###0;\(###0\)"/>
    <numFmt numFmtId="166" formatCode="[$-1014009]###0.00;\(###0.00\)"/>
    <numFmt numFmtId="167" formatCode="[$-1014009]###0.00%;\(###0.00%\)"/>
    <numFmt numFmtId="168" formatCode="[$-1014009]###0.0000;\(###0.0000\)"/>
    <numFmt numFmtId="169" formatCode="[$-1014009]#,##0.00\ %;\(#,##0.00\)"/>
    <numFmt numFmtId="170" formatCode="[$-1014009]#.0000"/>
    <numFmt numFmtId="171" formatCode="[$-1014009]#,##0.00%"/>
    <numFmt numFmtId="172" formatCode="[$-1014009]#,##0.000000;\-#,##0.000000"/>
    <numFmt numFmtId="173" formatCode="[$-1014009]#,##0.00;\(#,##0.00\)"/>
    <numFmt numFmtId="174" formatCode="_(* #,##0_);_(* \(#,##0\);_(* &quot;-&quot;??_);_(@_)"/>
    <numFmt numFmtId="175" formatCode="[$-1014009]#,##0.0000;\(#,##0.0000\)"/>
    <numFmt numFmtId="176" formatCode="0.000"/>
    <numFmt numFmtId="177" formatCode="_(* #,##0.00_);_(* \(#,##0.00\);_(* &quot;-&quot;??_);_(@_)"/>
    <numFmt numFmtId="178" formatCode="#,##0.000"/>
    <numFmt numFmtId="179" formatCode="0.000000000"/>
    <numFmt numFmtId="180" formatCode="#,##0.0000;\(#,##0.0000\)"/>
    <numFmt numFmtId="181" formatCode="_(* #,##0.000_);_(* \(#,##0.000\);_(* &quot;-&quot;??_);_(@_)"/>
  </numFmts>
  <fonts count="33"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1"/>
      <name val="Aptos Narrow"/>
      <family val="2"/>
      <scheme val="minor"/>
    </font>
    <font>
      <u/>
      <sz val="10"/>
      <color theme="10"/>
      <name val="Arial"/>
      <charset val="1"/>
    </font>
    <font>
      <b/>
      <sz val="11"/>
      <name val="Aptos Narrow"/>
      <family val="2"/>
      <scheme val="minor"/>
    </font>
    <font>
      <sz val="10"/>
      <name val="Arial"/>
      <family val="2"/>
    </font>
    <font>
      <sz val="11"/>
      <name val="Aptos Narrow"/>
      <family val="2"/>
      <scheme val="minor"/>
    </font>
    <font>
      <u/>
      <sz val="10"/>
      <color theme="10"/>
      <name val="Arial"/>
      <family val="2"/>
    </font>
    <font>
      <u/>
      <sz val="11"/>
      <color theme="10"/>
      <name val="Aptos Narrow"/>
      <family val="2"/>
      <scheme val="minor"/>
    </font>
    <font>
      <u/>
      <sz val="11"/>
      <color rgb="FF002060"/>
      <name val="Aptos Narrow"/>
      <family val="2"/>
      <scheme val="minor"/>
    </font>
    <font>
      <b/>
      <sz val="10"/>
      <name val="Arial"/>
      <family val="2"/>
    </font>
    <font>
      <b/>
      <sz val="11"/>
      <color indexed="8"/>
      <name val="Calibri"/>
      <family val="2"/>
    </font>
    <font>
      <sz val="10"/>
      <color indexed="8"/>
      <name val="Calibri"/>
      <family val="2"/>
    </font>
    <font>
      <b/>
      <i/>
      <sz val="10"/>
      <color indexed="8"/>
      <name val="Calibri"/>
      <family val="2"/>
    </font>
    <font>
      <b/>
      <sz val="10"/>
      <color indexed="8"/>
      <name val="Calibri"/>
      <family val="2"/>
    </font>
    <font>
      <sz val="10"/>
      <name val="Calibri"/>
      <family val="2"/>
    </font>
    <font>
      <sz val="10"/>
      <color theme="1"/>
      <name val="Calibri"/>
      <family val="2"/>
    </font>
    <font>
      <b/>
      <sz val="10"/>
      <color theme="1"/>
      <name val="Calibri"/>
      <family val="2"/>
    </font>
    <font>
      <b/>
      <sz val="10"/>
      <name val="Calibri"/>
      <family val="2"/>
    </font>
    <font>
      <b/>
      <sz val="10"/>
      <color theme="1"/>
      <name val="Aptos Narrow"/>
      <family val="2"/>
      <scheme val="minor"/>
    </font>
    <font>
      <sz val="10"/>
      <name val="Aptos Narrow"/>
      <family val="2"/>
      <scheme val="minor"/>
    </font>
    <font>
      <sz val="10"/>
      <color theme="1"/>
      <name val="Aptos Narrow"/>
      <family val="2"/>
      <scheme val="minor"/>
    </font>
    <font>
      <b/>
      <sz val="10"/>
      <name val="Aptos Narrow"/>
      <family val="2"/>
      <scheme val="minor"/>
    </font>
    <font>
      <sz val="11"/>
      <color indexed="8"/>
      <name val="Calibri"/>
      <family val="2"/>
    </font>
  </fonts>
  <fills count="4">
    <fill>
      <patternFill patternType="none"/>
    </fill>
    <fill>
      <patternFill patternType="gray125"/>
    </fill>
    <fill>
      <patternFill patternType="solid">
        <fgColor indexed="9"/>
      </patternFill>
    </fill>
    <fill>
      <patternFill patternType="solid">
        <fgColor theme="2"/>
        <bgColor indexed="64"/>
      </patternFill>
    </fill>
  </fills>
  <borders count="26">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style="thin">
        <color indexed="8"/>
      </left>
      <right style="thin">
        <color indexed="8"/>
      </right>
      <top/>
      <bottom/>
      <diagonal/>
    </border>
    <border>
      <left style="thin">
        <color indexed="8"/>
      </left>
      <right style="thin">
        <color indexed="8"/>
      </right>
      <top style="thin">
        <color indexed="64"/>
      </top>
      <bottom style="thin">
        <color indexed="64"/>
      </bottom>
      <diagonal/>
    </border>
  </borders>
  <cellStyleXfs count="13">
    <xf numFmtId="0" fontId="0" fillId="0" borderId="0">
      <alignment wrapText="1"/>
    </xf>
    <xf numFmtId="43" fontId="10" fillId="0" borderId="0" applyFont="0" applyFill="0" applyBorder="0" applyAlignment="0" applyProtection="0"/>
    <xf numFmtId="9" fontId="10" fillId="0" borderId="0" applyFont="0" applyFill="0" applyBorder="0" applyAlignment="0" applyProtection="0"/>
    <xf numFmtId="0" fontId="12" fillId="0" borderId="0" applyNumberFormat="0" applyFill="0" applyBorder="0" applyAlignment="0" applyProtection="0">
      <alignment wrapText="1"/>
    </xf>
    <xf numFmtId="0" fontId="4" fillId="0" borderId="0"/>
    <xf numFmtId="0" fontId="14" fillId="0" borderId="0">
      <alignment wrapText="1"/>
    </xf>
    <xf numFmtId="0" fontId="16" fillId="0" borderId="0" applyNumberFormat="0" applyFill="0" applyBorder="0" applyAlignment="0" applyProtection="0">
      <alignment wrapText="1"/>
    </xf>
    <xf numFmtId="0" fontId="14" fillId="0" borderId="0">
      <alignment wrapText="1"/>
    </xf>
    <xf numFmtId="0" fontId="14" fillId="0" borderId="0">
      <alignment wrapText="1"/>
    </xf>
    <xf numFmtId="43" fontId="3" fillId="0" borderId="0" applyFont="0" applyFill="0" applyBorder="0" applyAlignment="0" applyProtection="0"/>
    <xf numFmtId="0" fontId="2" fillId="0" borderId="0"/>
    <xf numFmtId="0" fontId="14" fillId="0" borderId="0"/>
    <xf numFmtId="177" fontId="32" fillId="0" borderId="0" applyFont="0" applyFill="0" applyBorder="0" applyAlignment="0" applyProtection="0"/>
  </cellStyleXfs>
  <cellXfs count="293">
    <xf numFmtId="0" fontId="0" fillId="0" borderId="0" xfId="0">
      <alignment wrapText="1"/>
    </xf>
    <xf numFmtId="0" fontId="13" fillId="0" borderId="7" xfId="4" applyFont="1" applyBorder="1" applyAlignment="1">
      <alignment horizontal="center" vertical="center"/>
    </xf>
    <xf numFmtId="0" fontId="15" fillId="0" borderId="0" xfId="5" applyFont="1">
      <alignment wrapText="1"/>
    </xf>
    <xf numFmtId="0" fontId="15" fillId="0" borderId="7" xfId="5" applyFont="1" applyBorder="1" applyAlignment="1">
      <alignment horizontal="center" wrapText="1"/>
    </xf>
    <xf numFmtId="0" fontId="17" fillId="0" borderId="7" xfId="6" applyFont="1" applyBorder="1" applyAlignment="1"/>
    <xf numFmtId="0" fontId="15" fillId="0" borderId="7" xfId="5" applyFont="1" applyBorder="1" applyAlignment="1"/>
    <xf numFmtId="0" fontId="12" fillId="0" borderId="7" xfId="3" applyBorder="1" applyAlignment="1"/>
    <xf numFmtId="0" fontId="18" fillId="0" borderId="0" xfId="6" applyFont="1" applyFill="1" applyBorder="1" applyAlignment="1">
      <alignment horizontal="center" vertical="center" wrapText="1"/>
    </xf>
    <xf numFmtId="0" fontId="19" fillId="3" borderId="0" xfId="0" applyFont="1" applyFill="1" applyAlignment="1">
      <alignment horizontal="center" vertical="center" wrapText="1"/>
    </xf>
    <xf numFmtId="0" fontId="13" fillId="3" borderId="0" xfId="7" applyFont="1" applyFill="1" applyAlignment="1">
      <alignment horizontal="center" vertical="center" wrapText="1"/>
    </xf>
    <xf numFmtId="0" fontId="0" fillId="0" borderId="0" xfId="0" applyAlignment="1">
      <alignment horizontal="center" vertical="center" wrapText="1"/>
    </xf>
    <xf numFmtId="0" fontId="11" fillId="3" borderId="0" xfId="0" applyFont="1" applyFill="1" applyAlignment="1">
      <alignment horizontal="center" vertical="center"/>
    </xf>
    <xf numFmtId="0" fontId="19" fillId="0" borderId="0" xfId="0" applyFont="1" applyAlignment="1">
      <alignment horizontal="center" vertical="center" wrapText="1"/>
    </xf>
    <xf numFmtId="0" fontId="4" fillId="0" borderId="0" xfId="4" applyAlignment="1">
      <alignment wrapText="1"/>
    </xf>
    <xf numFmtId="0" fontId="24" fillId="0" borderId="0" xfId="0" applyFont="1">
      <alignment wrapText="1"/>
    </xf>
    <xf numFmtId="0" fontId="24" fillId="0" borderId="0" xfId="0" applyFont="1" applyAlignment="1">
      <alignment vertical="center" wrapText="1"/>
    </xf>
    <xf numFmtId="10" fontId="25" fillId="0" borderId="7" xfId="2" applyNumberFormat="1" applyFont="1" applyFill="1" applyBorder="1" applyAlignment="1">
      <alignment vertical="center"/>
    </xf>
    <xf numFmtId="174" fontId="25" fillId="0" borderId="0" xfId="1" applyNumberFormat="1" applyFont="1" applyFill="1"/>
    <xf numFmtId="43" fontId="25" fillId="0" borderId="0" xfId="1" applyFont="1" applyFill="1"/>
    <xf numFmtId="4" fontId="24" fillId="0" borderId="7" xfId="9" applyNumberFormat="1" applyFont="1" applyFill="1" applyBorder="1" applyAlignment="1">
      <alignment horizontal="center" vertical="center"/>
    </xf>
    <xf numFmtId="10" fontId="24" fillId="0" borderId="7" xfId="9" applyNumberFormat="1" applyFont="1" applyFill="1" applyBorder="1" applyAlignment="1">
      <alignment horizontal="center" vertical="center"/>
    </xf>
    <xf numFmtId="4" fontId="29" fillId="0" borderId="7" xfId="9" applyNumberFormat="1" applyFont="1" applyFill="1" applyBorder="1" applyAlignment="1">
      <alignment horizontal="center" vertical="center"/>
    </xf>
    <xf numFmtId="10" fontId="29" fillId="0" borderId="7" xfId="9" applyNumberFormat="1" applyFont="1" applyFill="1" applyBorder="1" applyAlignment="1">
      <alignment horizontal="center" vertical="center"/>
    </xf>
    <xf numFmtId="174" fontId="30" fillId="0" borderId="0" xfId="1" applyNumberFormat="1" applyFont="1" applyFill="1"/>
    <xf numFmtId="43" fontId="30" fillId="0" borderId="0" xfId="1" applyFont="1" applyFill="1"/>
    <xf numFmtId="43" fontId="29" fillId="0" borderId="11" xfId="9" applyFont="1" applyFill="1" applyBorder="1" applyAlignment="1">
      <alignment horizontal="right" vertical="center"/>
    </xf>
    <xf numFmtId="43" fontId="29" fillId="0" borderId="11" xfId="9" applyFont="1" applyFill="1" applyBorder="1" applyAlignment="1">
      <alignment horizontal="center" vertical="center"/>
    </xf>
    <xf numFmtId="0" fontId="0" fillId="3" borderId="0" xfId="0" applyFill="1">
      <alignment wrapText="1"/>
    </xf>
    <xf numFmtId="0" fontId="0" fillId="3" borderId="0" xfId="0" applyFill="1" applyAlignment="1">
      <alignment horizontal="center" vertical="center" wrapText="1"/>
    </xf>
    <xf numFmtId="0" fontId="19" fillId="3" borderId="0" xfId="0" applyFont="1" applyFill="1" applyAlignment="1">
      <alignment horizontal="center" wrapText="1"/>
    </xf>
    <xf numFmtId="0" fontId="14" fillId="0" borderId="0" xfId="5">
      <alignment wrapText="1"/>
    </xf>
    <xf numFmtId="0" fontId="29" fillId="0" borderId="0" xfId="10" applyFont="1"/>
    <xf numFmtId="0" fontId="31" fillId="0" borderId="0" xfId="10" applyFont="1"/>
    <xf numFmtId="0" fontId="31" fillId="0" borderId="18" xfId="10" applyFont="1" applyBorder="1" applyAlignment="1">
      <alignment horizontal="center" vertical="top"/>
    </xf>
    <xf numFmtId="0" fontId="31" fillId="0" borderId="18" xfId="10" applyFont="1" applyBorder="1" applyAlignment="1">
      <alignment horizontal="center" vertical="top" wrapText="1"/>
    </xf>
    <xf numFmtId="0" fontId="29" fillId="0" borderId="18" xfId="10" applyFont="1" applyBorder="1" applyAlignment="1">
      <alignment horizontal="left" vertical="top"/>
    </xf>
    <xf numFmtId="0" fontId="29" fillId="0" borderId="18" xfId="10" applyFont="1" applyBorder="1" applyAlignment="1">
      <alignment horizontal="center" vertical="top"/>
    </xf>
    <xf numFmtId="173" fontId="21" fillId="2" borderId="14" xfId="11" applyNumberFormat="1" applyFont="1" applyFill="1" applyBorder="1" applyAlignment="1">
      <alignment horizontal="right" vertical="center" wrapText="1" readingOrder="1"/>
    </xf>
    <xf numFmtId="2" fontId="21" fillId="2" borderId="14" xfId="11" applyNumberFormat="1" applyFont="1" applyFill="1" applyBorder="1" applyAlignment="1">
      <alignment horizontal="right" vertical="center" wrapText="1" readingOrder="1"/>
    </xf>
    <xf numFmtId="2" fontId="29" fillId="0" borderId="18" xfId="10" applyNumberFormat="1" applyFont="1" applyBorder="1" applyAlignment="1">
      <alignment horizontal="right" vertical="top" wrapText="1"/>
    </xf>
    <xf numFmtId="0" fontId="21" fillId="2" borderId="18" xfId="10" applyFont="1" applyFill="1" applyBorder="1" applyAlignment="1">
      <alignment horizontal="left" vertical="center" readingOrder="1"/>
    </xf>
    <xf numFmtId="0" fontId="21" fillId="2" borderId="21" xfId="10" applyFont="1" applyFill="1" applyBorder="1" applyAlignment="1">
      <alignment horizontal="left" vertical="center" readingOrder="1"/>
    </xf>
    <xf numFmtId="175" fontId="21" fillId="2" borderId="14" xfId="11" applyNumberFormat="1" applyFont="1" applyFill="1" applyBorder="1" applyAlignment="1">
      <alignment horizontal="right" vertical="center" wrapText="1" readingOrder="1"/>
    </xf>
    <xf numFmtId="176" fontId="29" fillId="0" borderId="18" xfId="10" applyNumberFormat="1" applyFont="1" applyBorder="1" applyAlignment="1">
      <alignment horizontal="right" vertical="top" wrapText="1"/>
    </xf>
    <xf numFmtId="0" fontId="21" fillId="2" borderId="14" xfId="10" applyFont="1" applyFill="1" applyBorder="1" applyAlignment="1">
      <alignment horizontal="left" vertical="center" readingOrder="1"/>
    </xf>
    <xf numFmtId="173" fontId="21" fillId="2" borderId="14" xfId="10" applyNumberFormat="1" applyFont="1" applyFill="1" applyBorder="1" applyAlignment="1">
      <alignment horizontal="right" vertical="center" readingOrder="1"/>
    </xf>
    <xf numFmtId="175" fontId="21" fillId="2" borderId="14" xfId="10" applyNumberFormat="1" applyFont="1" applyFill="1" applyBorder="1" applyAlignment="1">
      <alignment horizontal="right" vertical="center" readingOrder="1"/>
    </xf>
    <xf numFmtId="175" fontId="21" fillId="2" borderId="22" xfId="10" applyNumberFormat="1" applyFont="1" applyFill="1" applyBorder="1" applyAlignment="1">
      <alignment horizontal="right" vertical="center" readingOrder="1"/>
    </xf>
    <xf numFmtId="2" fontId="29" fillId="0" borderId="23" xfId="10" applyNumberFormat="1" applyFont="1" applyBorder="1" applyAlignment="1">
      <alignment horizontal="right" vertical="top" wrapText="1"/>
    </xf>
    <xf numFmtId="2" fontId="29" fillId="0" borderId="14" xfId="10" applyNumberFormat="1" applyFont="1" applyBorder="1" applyAlignment="1">
      <alignment horizontal="right" vertical="top" wrapText="1"/>
    </xf>
    <xf numFmtId="4" fontId="21" fillId="2" borderId="14" xfId="10" applyNumberFormat="1" applyFont="1" applyFill="1" applyBorder="1" applyAlignment="1">
      <alignment horizontal="right" vertical="center" readingOrder="1"/>
    </xf>
    <xf numFmtId="0" fontId="21" fillId="2" borderId="14" xfId="10" applyFont="1" applyFill="1" applyBorder="1" applyAlignment="1">
      <alignment horizontal="left" vertical="center" wrapText="1" readingOrder="1"/>
    </xf>
    <xf numFmtId="173" fontId="21" fillId="2" borderId="14" xfId="10" applyNumberFormat="1" applyFont="1" applyFill="1" applyBorder="1" applyAlignment="1">
      <alignment horizontal="right" vertical="center" wrapText="1" readingOrder="1"/>
    </xf>
    <xf numFmtId="2" fontId="21" fillId="2" borderId="14" xfId="10" applyNumberFormat="1" applyFont="1" applyFill="1" applyBorder="1" applyAlignment="1">
      <alignment horizontal="right" vertical="center" wrapText="1" readingOrder="1"/>
    </xf>
    <xf numFmtId="173" fontId="21" fillId="0" borderId="14" xfId="10" applyNumberFormat="1" applyFont="1" applyBorder="1" applyAlignment="1">
      <alignment horizontal="right" vertical="center" wrapText="1" readingOrder="1"/>
    </xf>
    <xf numFmtId="2" fontId="29" fillId="0" borderId="0" xfId="10" applyNumberFormat="1" applyFont="1" applyAlignment="1">
      <alignment horizontal="left" vertical="top"/>
    </xf>
    <xf numFmtId="173" fontId="21" fillId="0" borderId="24" xfId="10" applyNumberFormat="1" applyFont="1" applyBorder="1" applyAlignment="1">
      <alignment horizontal="right" vertical="center" wrapText="1" readingOrder="1"/>
    </xf>
    <xf numFmtId="4" fontId="21" fillId="2" borderId="14" xfId="10" applyNumberFormat="1" applyFont="1" applyFill="1" applyBorder="1" applyAlignment="1">
      <alignment horizontal="right" vertical="center" wrapText="1" readingOrder="1"/>
    </xf>
    <xf numFmtId="2" fontId="29" fillId="0" borderId="25" xfId="10" applyNumberFormat="1" applyFont="1" applyBorder="1" applyAlignment="1">
      <alignment horizontal="right" vertical="top" wrapText="1"/>
    </xf>
    <xf numFmtId="173" fontId="29" fillId="0" borderId="0" xfId="10" applyNumberFormat="1" applyFont="1"/>
    <xf numFmtId="0" fontId="31" fillId="0" borderId="18" xfId="10" applyFont="1" applyBorder="1" applyAlignment="1">
      <alignment horizontal="center"/>
    </xf>
    <xf numFmtId="2" fontId="29" fillId="0" borderId="18" xfId="10" applyNumberFormat="1" applyFont="1" applyBorder="1" applyAlignment="1">
      <alignment horizontal="center"/>
    </xf>
    <xf numFmtId="0" fontId="29" fillId="0" borderId="18" xfId="10" applyFont="1" applyBorder="1"/>
    <xf numFmtId="37" fontId="29" fillId="0" borderId="18" xfId="12" applyNumberFormat="1" applyFont="1" applyFill="1" applyBorder="1" applyAlignment="1">
      <alignment horizontal="center"/>
    </xf>
    <xf numFmtId="4" fontId="29" fillId="0" borderId="18" xfId="10" applyNumberFormat="1" applyFont="1" applyBorder="1"/>
    <xf numFmtId="177" fontId="29" fillId="0" borderId="18" xfId="12" applyFont="1" applyFill="1" applyBorder="1"/>
    <xf numFmtId="177" fontId="29" fillId="0" borderId="0" xfId="12" applyFont="1" applyFill="1" applyBorder="1"/>
    <xf numFmtId="177" fontId="29" fillId="0" borderId="0" xfId="10" applyNumberFormat="1" applyFont="1"/>
    <xf numFmtId="4" fontId="29" fillId="0" borderId="0" xfId="10" applyNumberFormat="1" applyFont="1"/>
    <xf numFmtId="0" fontId="29" fillId="0" borderId="18" xfId="12" applyNumberFormat="1" applyFont="1" applyFill="1" applyBorder="1" applyAlignment="1">
      <alignment horizontal="center"/>
    </xf>
    <xf numFmtId="4" fontId="29" fillId="0" borderId="18" xfId="12" applyNumberFormat="1" applyFont="1" applyFill="1" applyBorder="1"/>
    <xf numFmtId="1" fontId="29" fillId="0" borderId="18" xfId="10" applyNumberFormat="1" applyFont="1" applyBorder="1" applyAlignment="1">
      <alignment horizontal="center"/>
    </xf>
    <xf numFmtId="2" fontId="29" fillId="0" borderId="18" xfId="10" applyNumberFormat="1" applyFont="1" applyBorder="1" applyAlignment="1">
      <alignment horizontal="right"/>
    </xf>
    <xf numFmtId="177" fontId="29" fillId="0" borderId="18" xfId="12" applyFont="1" applyFill="1" applyBorder="1" applyAlignment="1">
      <alignment horizontal="center" vertical="top" wrapText="1"/>
    </xf>
    <xf numFmtId="178" fontId="29" fillId="0" borderId="18" xfId="12" applyNumberFormat="1" applyFont="1" applyFill="1" applyBorder="1"/>
    <xf numFmtId="179" fontId="29" fillId="0" borderId="0" xfId="10" applyNumberFormat="1" applyFont="1"/>
    <xf numFmtId="0" fontId="29" fillId="0" borderId="0" xfId="10" applyFont="1" applyAlignment="1" applyProtection="1">
      <alignment horizontal="left"/>
      <protection locked="0"/>
    </xf>
    <xf numFmtId="0" fontId="29" fillId="0" borderId="0" xfId="10" applyFont="1" applyAlignment="1">
      <alignment horizontal="center" vertical="top"/>
    </xf>
    <xf numFmtId="177" fontId="29" fillId="0" borderId="0" xfId="12" applyFont="1" applyFill="1" applyBorder="1" applyAlignment="1" applyProtection="1">
      <alignment horizontal="left"/>
      <protection locked="0"/>
    </xf>
    <xf numFmtId="4" fontId="29" fillId="0" borderId="0" xfId="10" applyNumberFormat="1" applyFont="1" applyAlignment="1">
      <alignment horizontal="right" vertical="center"/>
    </xf>
    <xf numFmtId="173" fontId="21" fillId="2" borderId="14" xfId="10" applyNumberFormat="1" applyFont="1" applyFill="1" applyBorder="1" applyAlignment="1">
      <alignment horizontal="center" vertical="center" wrapText="1" readingOrder="1"/>
    </xf>
    <xf numFmtId="0" fontId="29" fillId="0" borderId="0" xfId="10" applyFont="1" applyAlignment="1">
      <alignment horizontal="left" vertical="top"/>
    </xf>
    <xf numFmtId="10" fontId="29" fillId="0" borderId="0" xfId="10" applyNumberFormat="1" applyFont="1" applyAlignment="1">
      <alignment horizontal="center"/>
    </xf>
    <xf numFmtId="43" fontId="29" fillId="0" borderId="0" xfId="10" applyNumberFormat="1" applyFont="1"/>
    <xf numFmtId="0" fontId="29" fillId="0" borderId="18" xfId="10" applyFont="1" applyBorder="1" applyAlignment="1">
      <alignment horizontal="center"/>
    </xf>
    <xf numFmtId="177" fontId="31" fillId="0" borderId="0" xfId="12" applyFont="1" applyFill="1" applyBorder="1"/>
    <xf numFmtId="0" fontId="31" fillId="0" borderId="0" xfId="10" applyFont="1" applyAlignment="1">
      <alignment vertical="top" wrapText="1"/>
    </xf>
    <xf numFmtId="0" fontId="29" fillId="0" borderId="0" xfId="10" applyFont="1" applyAlignment="1">
      <alignment horizontal="center"/>
    </xf>
    <xf numFmtId="2" fontId="29" fillId="0" borderId="0" xfId="10" applyNumberFormat="1" applyFont="1" applyAlignment="1">
      <alignment horizontal="right"/>
    </xf>
    <xf numFmtId="0" fontId="29" fillId="0" borderId="0" xfId="10" applyFont="1" applyAlignment="1">
      <alignment horizontal="right" vertical="top" wrapText="1"/>
    </xf>
    <xf numFmtId="0" fontId="29" fillId="0" borderId="18" xfId="10" applyFont="1" applyBorder="1" applyAlignment="1">
      <alignment horizontal="center" vertical="top" wrapText="1"/>
    </xf>
    <xf numFmtId="180" fontId="29" fillId="0" borderId="0" xfId="10" applyNumberFormat="1" applyFont="1" applyAlignment="1">
      <alignment horizontal="right" vertical="top" wrapText="1"/>
    </xf>
    <xf numFmtId="2" fontId="29" fillId="0" borderId="0" xfId="10" applyNumberFormat="1" applyFont="1" applyAlignment="1">
      <alignment horizontal="center"/>
    </xf>
    <xf numFmtId="0" fontId="29" fillId="0" borderId="18" xfId="10" applyFont="1" applyBorder="1" applyAlignment="1">
      <alignment horizontal="left"/>
    </xf>
    <xf numFmtId="2" fontId="29" fillId="0" borderId="18" xfId="10" applyNumberFormat="1" applyFont="1" applyBorder="1" applyAlignment="1">
      <alignment horizontal="center" vertical="top" wrapText="1"/>
    </xf>
    <xf numFmtId="0" fontId="29" fillId="0" borderId="0" xfId="10" applyFont="1" applyAlignment="1">
      <alignment horizontal="left"/>
    </xf>
    <xf numFmtId="0" fontId="29" fillId="0" borderId="0" xfId="10" applyFont="1" applyAlignment="1">
      <alignment horizontal="right" vertical="top"/>
    </xf>
    <xf numFmtId="2" fontId="29" fillId="0" borderId="0" xfId="10" applyNumberFormat="1" applyFont="1" applyAlignment="1">
      <alignment horizontal="right" vertical="top"/>
    </xf>
    <xf numFmtId="181" fontId="29" fillId="0" borderId="0" xfId="12" applyNumberFormat="1" applyFont="1" applyFill="1" applyBorder="1" applyAlignment="1">
      <alignment horizontal="center" vertical="top" wrapText="1"/>
    </xf>
    <xf numFmtId="0" fontId="29" fillId="0" borderId="0" xfId="10" applyFont="1" applyAlignment="1">
      <alignment horizontal="left" vertical="top" wrapText="1"/>
    </xf>
    <xf numFmtId="174" fontId="29" fillId="0" borderId="0" xfId="12" applyNumberFormat="1" applyFont="1" applyFill="1" applyBorder="1" applyAlignment="1">
      <alignment horizontal="right" vertical="top" wrapText="1"/>
    </xf>
    <xf numFmtId="2" fontId="29" fillId="0" borderId="0" xfId="10" applyNumberFormat="1" applyFont="1"/>
    <xf numFmtId="4" fontId="29" fillId="0" borderId="0" xfId="12" applyNumberFormat="1" applyFont="1" applyFill="1" applyBorder="1"/>
    <xf numFmtId="0" fontId="29" fillId="0" borderId="18" xfId="10" applyFont="1" applyBorder="1" applyAlignment="1">
      <alignment vertical="top" wrapText="1"/>
    </xf>
    <xf numFmtId="2" fontId="29" fillId="0" borderId="18" xfId="10" applyNumberFormat="1" applyFont="1" applyBorder="1" applyAlignment="1">
      <alignment vertical="top" wrapText="1"/>
    </xf>
    <xf numFmtId="177" fontId="29" fillId="0" borderId="18" xfId="12" applyFont="1" applyFill="1" applyBorder="1" applyAlignment="1"/>
    <xf numFmtId="4" fontId="29" fillId="0" borderId="18" xfId="10" applyNumberFormat="1" applyFont="1" applyBorder="1" applyAlignment="1">
      <alignment horizontal="center"/>
    </xf>
    <xf numFmtId="4" fontId="29" fillId="0" borderId="18" xfId="12" applyNumberFormat="1" applyFont="1" applyFill="1" applyBorder="1" applyAlignment="1">
      <alignment horizontal="center"/>
    </xf>
    <xf numFmtId="4" fontId="31" fillId="0" borderId="18" xfId="10" applyNumberFormat="1" applyFont="1" applyBorder="1" applyAlignment="1">
      <alignment horizontal="center" vertical="top" wrapText="1"/>
    </xf>
    <xf numFmtId="4" fontId="29" fillId="0" borderId="18" xfId="10" applyNumberFormat="1" applyFont="1" applyBorder="1" applyAlignment="1">
      <alignment horizontal="center" vertical="top" wrapText="1"/>
    </xf>
    <xf numFmtId="0" fontId="25" fillId="0" borderId="8" xfId="1" applyNumberFormat="1" applyFont="1" applyFill="1" applyBorder="1" applyAlignment="1">
      <alignment horizontal="center" vertical="center"/>
    </xf>
    <xf numFmtId="0" fontId="25" fillId="0" borderId="9" xfId="1" applyNumberFormat="1" applyFont="1" applyFill="1" applyBorder="1" applyAlignment="1">
      <alignment horizontal="center" vertical="center"/>
    </xf>
    <xf numFmtId="0" fontId="31" fillId="0" borderId="0" xfId="10" applyFont="1" applyAlignment="1">
      <alignment horizontal="center"/>
    </xf>
    <xf numFmtId="0" fontId="5" fillId="0" borderId="7" xfId="0" applyFont="1" applyFill="1" applyBorder="1" applyAlignment="1">
      <alignment horizontal="center" vertical="center" wrapText="1" readingOrder="1"/>
    </xf>
    <xf numFmtId="0" fontId="0" fillId="0" borderId="0" xfId="0" applyFill="1">
      <alignment wrapText="1"/>
    </xf>
    <xf numFmtId="0" fontId="5" fillId="0" borderId="7" xfId="0" applyFont="1" applyFill="1" applyBorder="1" applyAlignment="1">
      <alignment horizontal="center" vertical="center" wrapText="1" readingOrder="1"/>
    </xf>
    <xf numFmtId="0" fontId="20" fillId="0" borderId="7" xfId="0" applyFont="1" applyFill="1" applyBorder="1" applyAlignment="1">
      <alignment horizontal="center" vertical="center" wrapText="1" readingOrder="1"/>
    </xf>
    <xf numFmtId="0" fontId="0" fillId="0" borderId="0" xfId="0" applyFill="1" applyAlignment="1">
      <alignment horizontal="center" vertical="center" wrapText="1"/>
    </xf>
    <xf numFmtId="0" fontId="6" fillId="0" borderId="4" xfId="0" applyFont="1" applyFill="1" applyBorder="1" applyAlignment="1">
      <alignment horizontal="right" vertical="top" wrapText="1" readingOrder="1"/>
    </xf>
    <xf numFmtId="0" fontId="7" fillId="0" borderId="4" xfId="0" applyFont="1" applyFill="1" applyBorder="1" applyAlignment="1">
      <alignment horizontal="left" vertical="center" wrapText="1" readingOrder="1"/>
    </xf>
    <xf numFmtId="166" fontId="21" fillId="0" borderId="7" xfId="0" applyNumberFormat="1" applyFont="1" applyFill="1" applyBorder="1" applyAlignment="1">
      <alignment horizontal="right" vertical="center" wrapText="1" readingOrder="1"/>
    </xf>
    <xf numFmtId="164" fontId="6" fillId="0" borderId="4" xfId="0" applyNumberFormat="1" applyFont="1" applyFill="1" applyBorder="1" applyAlignment="1">
      <alignment horizontal="right" vertical="center" wrapText="1" readingOrder="1"/>
    </xf>
    <xf numFmtId="0" fontId="6" fillId="0" borderId="4" xfId="0" applyFont="1" applyFill="1" applyBorder="1" applyAlignment="1">
      <alignment horizontal="left" vertical="center" wrapText="1" readingOrder="1"/>
    </xf>
    <xf numFmtId="165" fontId="6" fillId="0" borderId="4" xfId="0" applyNumberFormat="1" applyFont="1" applyFill="1" applyBorder="1" applyAlignment="1">
      <alignment horizontal="right" vertical="center" wrapText="1" readingOrder="1"/>
    </xf>
    <xf numFmtId="166" fontId="6" fillId="0" borderId="4" xfId="0" applyNumberFormat="1" applyFont="1" applyFill="1" applyBorder="1" applyAlignment="1">
      <alignment horizontal="right" vertical="center" wrapText="1" readingOrder="1"/>
    </xf>
    <xf numFmtId="167" fontId="6" fillId="0" borderId="4" xfId="0" applyNumberFormat="1" applyFont="1" applyFill="1" applyBorder="1" applyAlignment="1">
      <alignment horizontal="right" vertical="center" wrapText="1" readingOrder="1"/>
    </xf>
    <xf numFmtId="166" fontId="7" fillId="0" borderId="4" xfId="0" applyNumberFormat="1" applyFont="1" applyFill="1" applyBorder="1" applyAlignment="1">
      <alignment horizontal="right" vertical="center" wrapText="1" readingOrder="1"/>
    </xf>
    <xf numFmtId="167" fontId="7" fillId="0" borderId="4" xfId="0" applyNumberFormat="1" applyFont="1" applyFill="1" applyBorder="1" applyAlignment="1">
      <alignment horizontal="right" vertical="center" wrapText="1" readingOrder="1"/>
    </xf>
    <xf numFmtId="0" fontId="8" fillId="0" borderId="4" xfId="0" applyFont="1" applyFill="1" applyBorder="1" applyAlignment="1">
      <alignment horizontal="left" vertical="center" wrapText="1" readingOrder="1"/>
    </xf>
    <xf numFmtId="0" fontId="8" fillId="0" borderId="4" xfId="0" applyFont="1" applyFill="1" applyBorder="1" applyAlignment="1">
      <alignment horizontal="right" vertical="center" wrapText="1" readingOrder="1"/>
    </xf>
    <xf numFmtId="0" fontId="7" fillId="0" borderId="4" xfId="0" applyFont="1" applyFill="1" applyBorder="1" applyAlignment="1">
      <alignment horizontal="right" vertical="center" wrapText="1" readingOrder="1"/>
    </xf>
    <xf numFmtId="0" fontId="6" fillId="0" borderId="4" xfId="0" applyFont="1" applyFill="1" applyBorder="1" applyAlignment="1">
      <alignment horizontal="right" vertical="center" wrapText="1" readingOrder="1"/>
    </xf>
    <xf numFmtId="168" fontId="6" fillId="0" borderId="4" xfId="0" applyNumberFormat="1" applyFont="1" applyFill="1" applyBorder="1" applyAlignment="1">
      <alignment horizontal="right" vertical="center" wrapText="1" readingOrder="1"/>
    </xf>
    <xf numFmtId="169" fontId="7" fillId="0" borderId="4" xfId="0" applyNumberFormat="1" applyFont="1" applyFill="1" applyBorder="1" applyAlignment="1">
      <alignment horizontal="right" vertical="center" wrapText="1" readingOrder="1"/>
    </xf>
    <xf numFmtId="0" fontId="8" fillId="0" borderId="5" xfId="0" applyFont="1" applyFill="1" applyBorder="1" applyAlignment="1">
      <alignment horizontal="left" vertical="center" wrapText="1" readingOrder="1"/>
    </xf>
    <xf numFmtId="0" fontId="8" fillId="0" borderId="5" xfId="0" applyFont="1" applyFill="1" applyBorder="1" applyAlignment="1">
      <alignment horizontal="right" vertical="center" wrapText="1" readingOrder="1"/>
    </xf>
    <xf numFmtId="0" fontId="22" fillId="0" borderId="0" xfId="0" applyFont="1" applyFill="1" applyAlignment="1">
      <alignment horizontal="left" vertical="center" wrapText="1" readingOrder="1"/>
    </xf>
    <xf numFmtId="0" fontId="21" fillId="0" borderId="0" xfId="0" applyFont="1" applyFill="1" applyAlignment="1">
      <alignment horizontal="left" vertical="center" wrapText="1" readingOrder="1"/>
    </xf>
    <xf numFmtId="0" fontId="22" fillId="0" borderId="0" xfId="4" applyFont="1" applyFill="1" applyAlignment="1">
      <alignment horizontal="left" vertical="center" wrapText="1" readingOrder="1"/>
    </xf>
    <xf numFmtId="0" fontId="21" fillId="0" borderId="0" xfId="0" applyFont="1" applyFill="1" applyAlignment="1">
      <alignment horizontal="justify" vertical="top" wrapText="1" readingOrder="1"/>
    </xf>
    <xf numFmtId="0" fontId="8" fillId="0" borderId="0" xfId="0" applyFont="1" applyFill="1" applyAlignment="1">
      <alignment horizontal="left" vertical="center" wrapText="1" readingOrder="1"/>
    </xf>
    <xf numFmtId="0" fontId="8" fillId="0" borderId="0" xfId="0" applyFont="1" applyFill="1" applyAlignment="1">
      <alignment horizontal="right" vertical="center" wrapText="1" readingOrder="1"/>
    </xf>
    <xf numFmtId="0" fontId="7" fillId="0" borderId="1" xfId="0" applyFont="1" applyFill="1" applyBorder="1" applyAlignment="1">
      <alignment horizontal="left" vertical="center" wrapText="1" readingOrder="1"/>
    </xf>
    <xf numFmtId="0" fontId="7" fillId="0" borderId="2" xfId="0" applyFont="1" applyFill="1" applyBorder="1" applyAlignment="1">
      <alignment horizontal="left" vertical="center" wrapText="1" readingOrder="1"/>
    </xf>
    <xf numFmtId="0" fontId="7" fillId="0" borderId="3" xfId="0" applyFont="1" applyFill="1" applyBorder="1" applyAlignment="1">
      <alignment horizontal="left" vertical="center" wrapText="1" readingOrder="1"/>
    </xf>
    <xf numFmtId="0" fontId="8" fillId="0" borderId="6" xfId="0" applyFont="1" applyFill="1" applyBorder="1" applyAlignment="1">
      <alignment horizontal="right" vertical="center" wrapText="1" readingOrder="1"/>
    </xf>
    <xf numFmtId="0" fontId="6" fillId="0" borderId="1" xfId="0" applyFont="1" applyFill="1" applyBorder="1" applyAlignment="1">
      <alignment horizontal="left" vertical="center" wrapText="1" readingOrder="1"/>
    </xf>
    <xf numFmtId="0" fontId="6" fillId="0" borderId="3" xfId="0" applyFont="1" applyFill="1" applyBorder="1" applyAlignment="1">
      <alignment horizontal="left" vertical="center" wrapText="1" readingOrder="1"/>
    </xf>
    <xf numFmtId="0" fontId="21" fillId="0" borderId="1" xfId="0" applyFont="1" applyFill="1" applyBorder="1" applyAlignment="1">
      <alignment horizontal="left" vertical="center" wrapText="1" readingOrder="1"/>
    </xf>
    <xf numFmtId="0" fontId="21" fillId="0" borderId="3" xfId="0" applyFont="1" applyFill="1" applyBorder="1" applyAlignment="1">
      <alignment horizontal="left" vertical="center" wrapText="1" readingOrder="1"/>
    </xf>
    <xf numFmtId="0" fontId="23" fillId="0" borderId="4" xfId="0" applyFont="1" applyFill="1" applyBorder="1" applyAlignment="1">
      <alignment horizontal="left" vertical="center" wrapText="1" readingOrder="1"/>
    </xf>
    <xf numFmtId="0" fontId="21" fillId="0" borderId="0" xfId="0" applyFont="1" applyFill="1" applyAlignment="1">
      <alignment horizontal="right" vertical="top" wrapText="1" readingOrder="1"/>
    </xf>
    <xf numFmtId="0" fontId="23" fillId="0" borderId="4" xfId="0" applyFont="1" applyFill="1" applyBorder="1" applyAlignment="1">
      <alignment horizontal="right" vertical="top" wrapText="1" readingOrder="1"/>
    </xf>
    <xf numFmtId="0" fontId="6" fillId="0" borderId="0" xfId="0" applyFont="1" applyFill="1" applyAlignment="1">
      <alignment horizontal="right" vertical="top" wrapText="1" readingOrder="1"/>
    </xf>
    <xf numFmtId="0" fontId="7" fillId="0" borderId="4" xfId="0" applyFont="1" applyFill="1" applyBorder="1" applyAlignment="1">
      <alignment horizontal="left" vertical="top" wrapText="1" readingOrder="1"/>
    </xf>
    <xf numFmtId="15" fontId="7" fillId="0" borderId="4" xfId="0" applyNumberFormat="1" applyFont="1" applyFill="1" applyBorder="1" applyAlignment="1">
      <alignment horizontal="right" vertical="top" wrapText="1" readingOrder="1"/>
    </xf>
    <xf numFmtId="170" fontId="6" fillId="0" borderId="4" xfId="0" applyNumberFormat="1" applyFont="1" applyFill="1" applyBorder="1" applyAlignment="1">
      <alignment horizontal="right" vertical="center" wrapText="1" readingOrder="1"/>
    </xf>
    <xf numFmtId="0" fontId="6" fillId="0" borderId="0" xfId="0" applyFont="1" applyFill="1" applyAlignment="1">
      <alignment horizontal="left" vertical="center" wrapText="1" readingOrder="1"/>
    </xf>
    <xf numFmtId="0" fontId="6" fillId="0" borderId="0" xfId="0" applyFont="1" applyFill="1" applyAlignment="1">
      <alignment horizontal="right" vertical="center" wrapText="1" readingOrder="1"/>
    </xf>
    <xf numFmtId="0" fontId="21" fillId="0" borderId="0" xfId="0" applyFont="1" applyFill="1" applyAlignment="1">
      <alignment horizontal="left" vertical="center" wrapText="1" readingOrder="1"/>
    </xf>
    <xf numFmtId="0" fontId="21" fillId="0" borderId="6" xfId="0" applyFont="1" applyFill="1" applyBorder="1" applyAlignment="1">
      <alignment horizontal="right" vertical="top" wrapText="1" readingOrder="1"/>
    </xf>
    <xf numFmtId="171" fontId="23" fillId="0" borderId="4" xfId="0" applyNumberFormat="1" applyFont="1" applyFill="1" applyBorder="1" applyAlignment="1">
      <alignment horizontal="left" vertical="center" wrapText="1" readingOrder="1"/>
    </xf>
    <xf numFmtId="0" fontId="21" fillId="0" borderId="0" xfId="0" applyFont="1" applyFill="1" applyAlignment="1">
      <alignment horizontal="right" vertical="center" wrapText="1" readingOrder="1"/>
    </xf>
    <xf numFmtId="0" fontId="20" fillId="0" borderId="18" xfId="0" applyFont="1" applyFill="1" applyBorder="1" applyAlignment="1">
      <alignment horizontal="center" vertical="center" wrapText="1" readingOrder="1"/>
    </xf>
    <xf numFmtId="0" fontId="14" fillId="0" borderId="0" xfId="5" applyFill="1">
      <alignment wrapText="1"/>
    </xf>
    <xf numFmtId="0" fontId="20" fillId="0" borderId="18" xfId="0" applyFont="1" applyFill="1" applyBorder="1" applyAlignment="1">
      <alignment horizontal="center" vertical="center" wrapText="1" readingOrder="1"/>
    </xf>
    <xf numFmtId="0" fontId="14" fillId="0" borderId="0" xfId="5" applyFill="1" applyAlignment="1">
      <alignment horizontal="center" vertical="center" wrapText="1"/>
    </xf>
    <xf numFmtId="0" fontId="21" fillId="0" borderId="14" xfId="5" applyFont="1" applyFill="1" applyBorder="1" applyAlignment="1">
      <alignment horizontal="right" vertical="top" wrapText="1" readingOrder="1"/>
    </xf>
    <xf numFmtId="0" fontId="23" fillId="0" borderId="14" xfId="5" applyFont="1" applyFill="1" applyBorder="1" applyAlignment="1">
      <alignment horizontal="left" vertical="center" wrapText="1" readingOrder="1"/>
    </xf>
    <xf numFmtId="166" fontId="21" fillId="0" borderId="18" xfId="0" applyNumberFormat="1" applyFont="1" applyFill="1" applyBorder="1" applyAlignment="1">
      <alignment horizontal="right" vertical="center" wrapText="1" readingOrder="1"/>
    </xf>
    <xf numFmtId="0" fontId="23" fillId="0" borderId="14" xfId="5" applyFont="1" applyFill="1" applyBorder="1" applyAlignment="1">
      <alignment horizontal="right" vertical="center" wrapText="1" readingOrder="1"/>
    </xf>
    <xf numFmtId="167" fontId="23" fillId="0" borderId="14" xfId="5" applyNumberFormat="1" applyFont="1" applyFill="1" applyBorder="1" applyAlignment="1">
      <alignment horizontal="right" vertical="center" wrapText="1" readingOrder="1"/>
    </xf>
    <xf numFmtId="0" fontId="22" fillId="0" borderId="14" xfId="5" applyFont="1" applyFill="1" applyBorder="1" applyAlignment="1">
      <alignment horizontal="left" vertical="center" wrapText="1" readingOrder="1"/>
    </xf>
    <xf numFmtId="0" fontId="22" fillId="0" borderId="14" xfId="5" applyFont="1" applyFill="1" applyBorder="1" applyAlignment="1">
      <alignment horizontal="right" vertical="center" wrapText="1" readingOrder="1"/>
    </xf>
    <xf numFmtId="166" fontId="23" fillId="0" borderId="14" xfId="5" applyNumberFormat="1" applyFont="1" applyFill="1" applyBorder="1" applyAlignment="1">
      <alignment horizontal="right" vertical="center" wrapText="1" readingOrder="1"/>
    </xf>
    <xf numFmtId="164" fontId="21" fillId="0" borderId="14" xfId="5" applyNumberFormat="1" applyFont="1" applyFill="1" applyBorder="1" applyAlignment="1">
      <alignment horizontal="right" vertical="center" wrapText="1" readingOrder="1"/>
    </xf>
    <xf numFmtId="0" fontId="21" fillId="0" borderId="14" xfId="5" applyFont="1" applyFill="1" applyBorder="1" applyAlignment="1">
      <alignment horizontal="left" vertical="center" wrapText="1" readingOrder="1"/>
    </xf>
    <xf numFmtId="0" fontId="21" fillId="0" borderId="14" xfId="5" applyFont="1" applyFill="1" applyBorder="1" applyAlignment="1">
      <alignment horizontal="right" vertical="center" wrapText="1" readingOrder="1"/>
    </xf>
    <xf numFmtId="166" fontId="21" fillId="0" borderId="14" xfId="5" applyNumberFormat="1" applyFont="1" applyFill="1" applyBorder="1" applyAlignment="1">
      <alignment horizontal="right" vertical="center" wrapText="1" readingOrder="1"/>
    </xf>
    <xf numFmtId="167" fontId="21" fillId="0" borderId="14" xfId="5" applyNumberFormat="1" applyFont="1" applyFill="1" applyBorder="1" applyAlignment="1">
      <alignment horizontal="right" vertical="center" wrapText="1" readingOrder="1"/>
    </xf>
    <xf numFmtId="168" fontId="21" fillId="0" borderId="14" xfId="5" applyNumberFormat="1" applyFont="1" applyFill="1" applyBorder="1" applyAlignment="1">
      <alignment horizontal="right" vertical="center" wrapText="1" readingOrder="1"/>
    </xf>
    <xf numFmtId="169" fontId="23" fillId="0" borderId="14" xfId="5" applyNumberFormat="1" applyFont="1" applyFill="1" applyBorder="1" applyAlignment="1">
      <alignment horizontal="right" vertical="center" wrapText="1" readingOrder="1"/>
    </xf>
    <xf numFmtId="0" fontId="22" fillId="0" borderId="20" xfId="5" applyFont="1" applyFill="1" applyBorder="1" applyAlignment="1">
      <alignment horizontal="left" vertical="center" wrapText="1" readingOrder="1"/>
    </xf>
    <xf numFmtId="0" fontId="22" fillId="0" borderId="20" xfId="5" applyFont="1" applyFill="1" applyBorder="1" applyAlignment="1">
      <alignment horizontal="right" vertical="center" wrapText="1" readingOrder="1"/>
    </xf>
    <xf numFmtId="0" fontId="22" fillId="0" borderId="0" xfId="5" applyFont="1" applyFill="1" applyAlignment="1">
      <alignment horizontal="left" vertical="center" wrapText="1" readingOrder="1"/>
    </xf>
    <xf numFmtId="0" fontId="22" fillId="0" borderId="0" xfId="5" applyFont="1" applyFill="1" applyAlignment="1">
      <alignment horizontal="right" vertical="center" wrapText="1" readingOrder="1"/>
    </xf>
    <xf numFmtId="0" fontId="23" fillId="0" borderId="12" xfId="5" applyFont="1" applyFill="1" applyBorder="1" applyAlignment="1">
      <alignment horizontal="left" vertical="center" wrapText="1" readingOrder="1"/>
    </xf>
    <xf numFmtId="0" fontId="23" fillId="0" borderId="19" xfId="5" applyFont="1" applyFill="1" applyBorder="1" applyAlignment="1">
      <alignment horizontal="left" vertical="center" wrapText="1" readingOrder="1"/>
    </xf>
    <xf numFmtId="0" fontId="23" fillId="0" borderId="13" xfId="5" applyFont="1" applyFill="1" applyBorder="1" applyAlignment="1">
      <alignment horizontal="left" vertical="center" wrapText="1" readingOrder="1"/>
    </xf>
    <xf numFmtId="0" fontId="22" fillId="0" borderId="6" xfId="5" applyFont="1" applyFill="1" applyBorder="1" applyAlignment="1">
      <alignment horizontal="right" vertical="center" wrapText="1" readingOrder="1"/>
    </xf>
    <xf numFmtId="0" fontId="21" fillId="0" borderId="12" xfId="5" applyFont="1" applyFill="1" applyBorder="1" applyAlignment="1">
      <alignment horizontal="left" vertical="center" wrapText="1" readingOrder="1"/>
    </xf>
    <xf numFmtId="0" fontId="21" fillId="0" borderId="13" xfId="5" applyFont="1" applyFill="1" applyBorder="1" applyAlignment="1">
      <alignment horizontal="left" vertical="center" wrapText="1" readingOrder="1"/>
    </xf>
    <xf numFmtId="0" fontId="21" fillId="0" borderId="0" xfId="5" applyFont="1" applyFill="1" applyAlignment="1">
      <alignment horizontal="right" vertical="top" wrapText="1" readingOrder="1"/>
    </xf>
    <xf numFmtId="170" fontId="21" fillId="0" borderId="14" xfId="5" applyNumberFormat="1" applyFont="1" applyFill="1" applyBorder="1" applyAlignment="1">
      <alignment horizontal="right" vertical="center" wrapText="1" readingOrder="1"/>
    </xf>
    <xf numFmtId="0" fontId="21" fillId="0" borderId="0" xfId="5" applyFont="1" applyFill="1" applyAlignment="1">
      <alignment horizontal="left" vertical="center" wrapText="1" readingOrder="1"/>
    </xf>
    <xf numFmtId="0" fontId="21" fillId="0" borderId="0" xfId="5" applyFont="1" applyFill="1" applyAlignment="1">
      <alignment horizontal="right" vertical="center" wrapText="1" readingOrder="1"/>
    </xf>
    <xf numFmtId="0" fontId="23" fillId="0" borderId="14" xfId="0" applyFont="1" applyFill="1" applyBorder="1" applyAlignment="1">
      <alignment horizontal="left" vertical="center" wrapText="1" readingOrder="1"/>
    </xf>
    <xf numFmtId="0" fontId="21" fillId="0" borderId="12" xfId="0" applyFont="1" applyFill="1" applyBorder="1" applyAlignment="1">
      <alignment horizontal="left" vertical="center" wrapText="1" readingOrder="1"/>
    </xf>
    <xf numFmtId="0" fontId="21" fillId="0" borderId="13" xfId="0" applyFont="1" applyFill="1" applyBorder="1" applyAlignment="1">
      <alignment horizontal="left" vertical="center" wrapText="1" readingOrder="1"/>
    </xf>
    <xf numFmtId="171" fontId="23" fillId="0" borderId="14" xfId="0" applyNumberFormat="1" applyFont="1" applyFill="1" applyBorder="1" applyAlignment="1">
      <alignment horizontal="left" vertical="center" wrapText="1" readingOrder="1"/>
    </xf>
    <xf numFmtId="0" fontId="21" fillId="0" borderId="4" xfId="0" applyFont="1" applyFill="1" applyBorder="1" applyAlignment="1">
      <alignment horizontal="left" vertical="center" wrapText="1" readingOrder="1"/>
    </xf>
    <xf numFmtId="0" fontId="0" fillId="0" borderId="0" xfId="0" applyFill="1" applyAlignment="1">
      <alignment horizontal="center" vertical="top" readingOrder="1"/>
    </xf>
    <xf numFmtId="0" fontId="6" fillId="0" borderId="6" xfId="0" applyFont="1" applyFill="1" applyBorder="1" applyAlignment="1">
      <alignment horizontal="right" vertical="top" wrapText="1" readingOrder="1"/>
    </xf>
    <xf numFmtId="171" fontId="7" fillId="0" borderId="4" xfId="0" applyNumberFormat="1" applyFont="1" applyFill="1" applyBorder="1" applyAlignment="1">
      <alignment horizontal="left" vertical="center" wrapText="1" readingOrder="1"/>
    </xf>
    <xf numFmtId="0" fontId="6" fillId="0" borderId="0" xfId="0" applyFont="1" applyFill="1" applyAlignment="1">
      <alignment horizontal="left" vertical="center" wrapText="1" readingOrder="1"/>
    </xf>
    <xf numFmtId="0" fontId="20" fillId="0" borderId="7" xfId="0" applyFont="1" applyFill="1" applyBorder="1" applyAlignment="1">
      <alignment horizontal="center" vertical="center" wrapText="1" readingOrder="1"/>
    </xf>
    <xf numFmtId="0" fontId="22" fillId="0" borderId="6" xfId="0" applyFont="1" applyFill="1" applyBorder="1" applyAlignment="1">
      <alignment horizontal="right" vertical="center" wrapText="1" readingOrder="1"/>
    </xf>
    <xf numFmtId="0" fontId="22" fillId="0" borderId="0" xfId="0" applyFont="1" applyFill="1" applyAlignment="1">
      <alignment horizontal="right" vertical="center" wrapText="1" readingOrder="1"/>
    </xf>
    <xf numFmtId="0" fontId="21" fillId="0" borderId="4" xfId="0" applyFont="1" applyFill="1" applyBorder="1" applyAlignment="1">
      <alignment horizontal="right" vertical="center" wrapText="1" readingOrder="1"/>
    </xf>
    <xf numFmtId="167" fontId="23" fillId="0" borderId="4" xfId="0" applyNumberFormat="1" applyFont="1" applyFill="1" applyBorder="1" applyAlignment="1">
      <alignment horizontal="right" vertical="center" wrapText="1" readingOrder="1"/>
    </xf>
    <xf numFmtId="0" fontId="9" fillId="0" borderId="4" xfId="0" applyFont="1" applyFill="1" applyBorder="1" applyAlignment="1">
      <alignment horizontal="left" vertical="center" wrapText="1" readingOrder="1"/>
    </xf>
    <xf numFmtId="0" fontId="9" fillId="0" borderId="4" xfId="0" applyFont="1" applyFill="1" applyBorder="1" applyAlignment="1">
      <alignment horizontal="right" vertical="center" wrapText="1" readingOrder="1"/>
    </xf>
    <xf numFmtId="172" fontId="6" fillId="0" borderId="4" xfId="0" applyNumberFormat="1" applyFont="1" applyFill="1" applyBorder="1" applyAlignment="1">
      <alignment horizontal="right" vertical="center" wrapText="1" readingOrder="1"/>
    </xf>
    <xf numFmtId="0" fontId="6" fillId="0" borderId="5" xfId="0" applyFont="1" applyFill="1" applyBorder="1" applyAlignment="1">
      <alignment horizontal="left" vertical="center" wrapText="1" readingOrder="1"/>
    </xf>
    <xf numFmtId="0" fontId="7" fillId="0" borderId="5" xfId="0" applyFont="1" applyFill="1" applyBorder="1" applyAlignment="1">
      <alignment horizontal="left" vertical="center" wrapText="1" readingOrder="1"/>
    </xf>
    <xf numFmtId="0" fontId="24" fillId="0" borderId="0" xfId="0" applyFont="1" applyFill="1">
      <alignment wrapText="1"/>
    </xf>
    <xf numFmtId="0" fontId="25" fillId="0" borderId="0" xfId="0" applyFont="1" applyFill="1" applyAlignment="1">
      <alignment vertical="center"/>
    </xf>
    <xf numFmtId="0" fontId="24" fillId="0" borderId="0" xfId="0" applyFont="1" applyFill="1" applyAlignment="1">
      <alignment vertical="center" wrapText="1"/>
    </xf>
    <xf numFmtId="0" fontId="26" fillId="0" borderId="7" xfId="0" applyFont="1" applyFill="1" applyBorder="1" applyAlignment="1">
      <alignment horizontal="center" vertical="center" wrapText="1"/>
    </xf>
    <xf numFmtId="0" fontId="24" fillId="0" borderId="7" xfId="0" applyFont="1" applyFill="1" applyBorder="1" applyAlignment="1">
      <alignment vertical="center" wrapText="1"/>
    </xf>
    <xf numFmtId="0" fontId="24" fillId="0" borderId="7" xfId="0" applyFont="1" applyFill="1" applyBorder="1" applyAlignment="1">
      <alignment vertical="center"/>
    </xf>
    <xf numFmtId="2" fontId="24" fillId="0" borderId="7" xfId="0" applyNumberFormat="1" applyFont="1" applyFill="1" applyBorder="1" applyAlignment="1">
      <alignment vertical="center"/>
    </xf>
    <xf numFmtId="4" fontId="24" fillId="0" borderId="7" xfId="0" applyNumberFormat="1" applyFont="1" applyFill="1" applyBorder="1" applyAlignment="1">
      <alignment vertical="center"/>
    </xf>
    <xf numFmtId="0" fontId="26" fillId="0" borderId="7" xfId="4" applyFont="1" applyFill="1" applyBorder="1" applyAlignment="1">
      <alignment horizontal="center" vertical="center"/>
    </xf>
    <xf numFmtId="0" fontId="26" fillId="0" borderId="8" xfId="4" applyFont="1" applyFill="1" applyBorder="1" applyAlignment="1">
      <alignment horizontal="center" vertical="center" wrapText="1"/>
    </xf>
    <xf numFmtId="0" fontId="26" fillId="0" borderId="9" xfId="4" applyFont="1" applyFill="1" applyBorder="1" applyAlignment="1">
      <alignment horizontal="center" vertical="center" wrapText="1"/>
    </xf>
    <xf numFmtId="0" fontId="26" fillId="0" borderId="7" xfId="4" applyFont="1" applyFill="1" applyBorder="1" applyAlignment="1">
      <alignment horizontal="center" vertical="center"/>
    </xf>
    <xf numFmtId="0" fontId="25" fillId="0" borderId="7" xfId="4" applyFont="1" applyFill="1" applyBorder="1" applyAlignment="1">
      <alignment vertical="center"/>
    </xf>
    <xf numFmtId="0" fontId="25" fillId="0" borderId="7" xfId="4" applyFont="1" applyFill="1" applyBorder="1" applyAlignment="1">
      <alignment vertical="center" wrapText="1"/>
    </xf>
    <xf numFmtId="0" fontId="26" fillId="0" borderId="8" xfId="4" applyFont="1" applyFill="1" applyBorder="1" applyAlignment="1">
      <alignment horizontal="center" vertical="center"/>
    </xf>
    <xf numFmtId="0" fontId="26" fillId="0" borderId="10" xfId="4" applyFont="1" applyFill="1" applyBorder="1" applyAlignment="1">
      <alignment horizontal="center" vertical="center"/>
    </xf>
    <xf numFmtId="0" fontId="26" fillId="0" borderId="9" xfId="4" applyFont="1" applyFill="1" applyBorder="1" applyAlignment="1">
      <alignment horizontal="center" vertical="center"/>
    </xf>
    <xf numFmtId="0" fontId="26" fillId="0" borderId="7" xfId="4" applyFont="1" applyFill="1" applyBorder="1" applyAlignment="1">
      <alignment horizontal="center" vertical="center" wrapText="1"/>
    </xf>
    <xf numFmtId="0" fontId="13" fillId="0" borderId="0" xfId="5" applyFont="1" applyFill="1" applyAlignment="1">
      <alignment horizontal="center" vertical="center"/>
    </xf>
    <xf numFmtId="0" fontId="25" fillId="0" borderId="7" xfId="4" applyFont="1" applyFill="1" applyBorder="1" applyAlignment="1">
      <alignment horizontal="left" vertical="center"/>
    </xf>
    <xf numFmtId="2" fontId="25" fillId="0" borderId="7" xfId="4" applyNumberFormat="1" applyFont="1" applyFill="1" applyBorder="1" applyAlignment="1">
      <alignment horizontal="right" vertical="center" wrapText="1"/>
    </xf>
    <xf numFmtId="4" fontId="25" fillId="0" borderId="7" xfId="4" applyNumberFormat="1" applyFont="1" applyFill="1" applyBorder="1" applyAlignment="1">
      <alignment horizontal="right" vertical="center"/>
    </xf>
    <xf numFmtId="10" fontId="25" fillId="0" borderId="7" xfId="2" applyNumberFormat="1" applyFont="1" applyFill="1" applyBorder="1" applyAlignment="1">
      <alignment vertical="center" wrapText="1"/>
    </xf>
    <xf numFmtId="4" fontId="15" fillId="0" borderId="0" xfId="4" applyNumberFormat="1" applyFont="1" applyFill="1" applyAlignment="1">
      <alignment vertical="center"/>
    </xf>
    <xf numFmtId="0" fontId="25" fillId="0" borderId="8" xfId="4" applyFont="1" applyFill="1" applyBorder="1" applyAlignment="1">
      <alignment horizontal="left" vertical="center" wrapText="1"/>
    </xf>
    <xf numFmtId="0" fontId="25" fillId="0" borderId="10" xfId="4" applyFont="1" applyFill="1" applyBorder="1" applyAlignment="1">
      <alignment horizontal="left" vertical="center" wrapText="1"/>
    </xf>
    <xf numFmtId="0" fontId="25" fillId="0" borderId="9" xfId="4" applyFont="1" applyFill="1" applyBorder="1" applyAlignment="1">
      <alignment horizontal="left" vertical="center" wrapText="1"/>
    </xf>
    <xf numFmtId="0" fontId="27" fillId="0" borderId="8" xfId="0" applyFont="1" applyFill="1" applyBorder="1" applyAlignment="1">
      <alignment horizontal="center" vertical="center"/>
    </xf>
    <xf numFmtId="0" fontId="27" fillId="0" borderId="10" xfId="0" applyFont="1" applyFill="1" applyBorder="1" applyAlignment="1">
      <alignment horizontal="center" vertical="center"/>
    </xf>
    <xf numFmtId="0" fontId="27" fillId="0" borderId="9" xfId="0" applyFont="1" applyFill="1" applyBorder="1" applyAlignment="1">
      <alignment horizontal="center" vertical="center"/>
    </xf>
    <xf numFmtId="0" fontId="21" fillId="0" borderId="7" xfId="0" applyFont="1" applyFill="1" applyBorder="1" applyAlignment="1">
      <alignment horizontal="left" vertical="center" wrapText="1" readingOrder="1"/>
    </xf>
    <xf numFmtId="0" fontId="24" fillId="0" borderId="7" xfId="0" applyFont="1" applyFill="1" applyBorder="1" applyAlignment="1">
      <alignment horizontal="justify" vertical="center"/>
    </xf>
    <xf numFmtId="0" fontId="21" fillId="0" borderId="8" xfId="0" applyFont="1" applyFill="1" applyBorder="1" applyAlignment="1">
      <alignment horizontal="left" vertical="center" wrapText="1" readingOrder="1"/>
    </xf>
    <xf numFmtId="0" fontId="21" fillId="0" borderId="9" xfId="0" applyFont="1" applyFill="1" applyBorder="1" applyAlignment="1">
      <alignment horizontal="left" vertical="center" wrapText="1" readingOrder="1"/>
    </xf>
    <xf numFmtId="0" fontId="24" fillId="0" borderId="7" xfId="0" applyFont="1" applyFill="1" applyBorder="1" applyAlignment="1">
      <alignment horizontal="justify" vertical="center" wrapText="1"/>
    </xf>
    <xf numFmtId="173" fontId="23" fillId="0" borderId="4" xfId="0" applyNumberFormat="1" applyFont="1" applyFill="1" applyBorder="1" applyAlignment="1">
      <alignment horizontal="left" vertical="center" wrapText="1" readingOrder="1"/>
    </xf>
    <xf numFmtId="0" fontId="27" fillId="0" borderId="7" xfId="0" applyFont="1" applyFill="1" applyBorder="1" applyAlignment="1">
      <alignment horizontal="justify" vertical="center" wrapText="1"/>
    </xf>
    <xf numFmtId="14" fontId="24" fillId="0" borderId="7" xfId="0" quotePrefix="1" applyNumberFormat="1" applyFont="1" applyFill="1" applyBorder="1" applyAlignment="1">
      <alignment horizontal="justify" vertical="center" wrapText="1"/>
    </xf>
    <xf numFmtId="0" fontId="21" fillId="0" borderId="10" xfId="0" applyFont="1" applyFill="1" applyBorder="1" applyAlignment="1">
      <alignment horizontal="left" vertical="center" wrapText="1" readingOrder="1"/>
    </xf>
    <xf numFmtId="0" fontId="23" fillId="0" borderId="4" xfId="8" applyFont="1" applyFill="1" applyBorder="1" applyAlignment="1">
      <alignment horizontal="left" vertical="center" wrapText="1" readingOrder="1"/>
    </xf>
    <xf numFmtId="0" fontId="21" fillId="0" borderId="14" xfId="0" applyFont="1" applyFill="1" applyBorder="1" applyAlignment="1">
      <alignment horizontal="left" vertical="center" wrapText="1" readingOrder="1"/>
    </xf>
    <xf numFmtId="0" fontId="0" fillId="0" borderId="0" xfId="0" applyFill="1" applyAlignment="1">
      <alignment vertical="center" wrapText="1"/>
    </xf>
    <xf numFmtId="0" fontId="25" fillId="0" borderId="0" xfId="0" applyFont="1" applyFill="1" applyAlignment="1"/>
    <xf numFmtId="0" fontId="24" fillId="0" borderId="7" xfId="0" applyFont="1" applyFill="1" applyBorder="1">
      <alignment wrapText="1"/>
    </xf>
    <xf numFmtId="165" fontId="21" fillId="0" borderId="4" xfId="0" applyNumberFormat="1" applyFont="1" applyFill="1" applyBorder="1" applyAlignment="1">
      <alignment horizontal="right" vertical="center" wrapText="1" readingOrder="1"/>
    </xf>
    <xf numFmtId="166" fontId="21" fillId="0" borderId="4" xfId="0" applyNumberFormat="1" applyFont="1" applyFill="1" applyBorder="1" applyAlignment="1">
      <alignment horizontal="right" vertical="center" wrapText="1" readingOrder="1"/>
    </xf>
    <xf numFmtId="167" fontId="24" fillId="0" borderId="4" xfId="0" applyNumberFormat="1" applyFont="1" applyFill="1" applyBorder="1" applyAlignment="1">
      <alignment horizontal="right" vertical="center" wrapText="1" readingOrder="1"/>
    </xf>
    <xf numFmtId="164" fontId="21" fillId="0" borderId="7" xfId="0" applyNumberFormat="1" applyFont="1" applyFill="1" applyBorder="1" applyAlignment="1">
      <alignment horizontal="right" vertical="center" wrapText="1" readingOrder="1"/>
    </xf>
    <xf numFmtId="167" fontId="21" fillId="0" borderId="4" xfId="0" applyNumberFormat="1" applyFont="1" applyFill="1" applyBorder="1" applyAlignment="1">
      <alignment horizontal="right" vertical="center" wrapText="1" readingOrder="1"/>
    </xf>
    <xf numFmtId="0" fontId="26" fillId="0" borderId="7" xfId="0" applyFont="1" applyFill="1" applyBorder="1" applyAlignment="1">
      <alignment horizontal="left" wrapText="1"/>
    </xf>
    <xf numFmtId="0" fontId="26" fillId="0" borderId="7" xfId="0" applyFont="1" applyFill="1" applyBorder="1" applyAlignment="1">
      <alignment horizontal="center" wrapText="1"/>
    </xf>
    <xf numFmtId="0" fontId="24" fillId="0" borderId="7" xfId="0" applyFont="1" applyFill="1" applyBorder="1" applyAlignment="1">
      <alignment horizontal="left" vertical="center" wrapText="1"/>
    </xf>
    <xf numFmtId="0" fontId="24" fillId="0" borderId="7" xfId="0" applyFont="1" applyFill="1" applyBorder="1" applyAlignment="1">
      <alignment horizontal="center" vertical="center"/>
    </xf>
    <xf numFmtId="4" fontId="24" fillId="0" borderId="7" xfId="0" applyNumberFormat="1" applyFont="1" applyFill="1" applyBorder="1" applyAlignment="1">
      <alignment horizontal="center" vertical="center"/>
    </xf>
    <xf numFmtId="0" fontId="24" fillId="0" borderId="0" xfId="0" applyFont="1" applyFill="1" applyAlignment="1"/>
    <xf numFmtId="0" fontId="28" fillId="0" borderId="7" xfId="0" applyFont="1" applyFill="1" applyBorder="1" applyAlignment="1">
      <alignment horizontal="center" vertical="center" wrapText="1"/>
    </xf>
    <xf numFmtId="0" fontId="29" fillId="0" borderId="7" xfId="0" applyFont="1" applyFill="1" applyBorder="1" applyAlignment="1">
      <alignment horizontal="left" vertical="center"/>
    </xf>
    <xf numFmtId="0" fontId="29" fillId="0" borderId="7" xfId="0" applyFont="1" applyFill="1" applyBorder="1" applyAlignment="1">
      <alignment horizontal="center" vertical="center"/>
    </xf>
    <xf numFmtId="4" fontId="29" fillId="0" borderId="7" xfId="0" applyNumberFormat="1" applyFont="1" applyFill="1" applyBorder="1" applyAlignment="1">
      <alignment horizontal="center" vertical="center"/>
    </xf>
    <xf numFmtId="0" fontId="23" fillId="0" borderId="4" xfId="0" applyFont="1" applyFill="1" applyBorder="1" applyAlignment="1">
      <alignment horizontal="left" vertical="center" readingOrder="1"/>
    </xf>
    <xf numFmtId="0" fontId="30" fillId="0" borderId="0" xfId="0" applyFont="1" applyFill="1" applyAlignment="1"/>
    <xf numFmtId="0" fontId="28" fillId="0" borderId="11" xfId="0" applyFont="1" applyFill="1" applyBorder="1" applyAlignment="1">
      <alignment horizontal="center" wrapText="1"/>
    </xf>
    <xf numFmtId="0" fontId="29" fillId="0" borderId="11" xfId="0" applyFont="1" applyFill="1" applyBorder="1" applyAlignment="1">
      <alignment horizontal="left" vertical="center"/>
    </xf>
    <xf numFmtId="0" fontId="29" fillId="0" borderId="11" xfId="0" applyFont="1" applyFill="1" applyBorder="1" applyAlignment="1">
      <alignment horizontal="center" vertical="center"/>
    </xf>
    <xf numFmtId="4" fontId="29" fillId="0" borderId="11" xfId="0" applyNumberFormat="1" applyFont="1" applyFill="1" applyBorder="1" applyAlignment="1">
      <alignment horizontal="right" vertical="center"/>
    </xf>
    <xf numFmtId="166" fontId="23" fillId="0" borderId="4" xfId="0" applyNumberFormat="1" applyFont="1" applyFill="1" applyBorder="1" applyAlignment="1">
      <alignment horizontal="left" vertical="center" wrapText="1" readingOrder="1"/>
    </xf>
    <xf numFmtId="0" fontId="27" fillId="0" borderId="15" xfId="0" applyFont="1" applyFill="1" applyBorder="1" applyAlignment="1">
      <alignment horizontal="center" vertical="center"/>
    </xf>
    <xf numFmtId="0" fontId="27" fillId="0" borderId="16" xfId="0" applyFont="1" applyFill="1" applyBorder="1" applyAlignment="1">
      <alignment horizontal="center" vertical="center"/>
    </xf>
    <xf numFmtId="0" fontId="27" fillId="0" borderId="17" xfId="0" applyFont="1" applyFill="1" applyBorder="1" applyAlignment="1">
      <alignment horizontal="center" vertical="center"/>
    </xf>
    <xf numFmtId="0" fontId="21" fillId="0" borderId="18" xfId="0" applyFont="1" applyFill="1" applyBorder="1" applyAlignment="1">
      <alignment horizontal="left" vertical="center" wrapText="1" readingOrder="1"/>
    </xf>
    <xf numFmtId="0" fontId="24" fillId="0" borderId="18" xfId="0" applyFont="1" applyFill="1" applyBorder="1" applyAlignment="1">
      <alignment horizontal="justify" vertical="center"/>
    </xf>
    <xf numFmtId="0" fontId="24" fillId="0" borderId="18" xfId="0" applyFont="1" applyFill="1" applyBorder="1">
      <alignment wrapText="1"/>
    </xf>
    <xf numFmtId="0" fontId="21" fillId="0" borderId="15" xfId="0" applyFont="1" applyFill="1" applyBorder="1" applyAlignment="1">
      <alignment horizontal="left" vertical="center" wrapText="1" readingOrder="1"/>
    </xf>
    <xf numFmtId="0" fontId="21" fillId="0" borderId="17" xfId="0" applyFont="1" applyFill="1" applyBorder="1" applyAlignment="1">
      <alignment horizontal="left" vertical="center" wrapText="1" readingOrder="1"/>
    </xf>
    <xf numFmtId="0" fontId="24" fillId="0" borderId="18" xfId="0" applyFont="1" applyFill="1" applyBorder="1" applyAlignment="1">
      <alignment horizontal="justify" vertical="center" wrapText="1"/>
    </xf>
    <xf numFmtId="173" fontId="23" fillId="0" borderId="14" xfId="0" applyNumberFormat="1" applyFont="1" applyFill="1" applyBorder="1" applyAlignment="1">
      <alignment horizontal="left" vertical="center" wrapText="1" readingOrder="1"/>
    </xf>
    <xf numFmtId="14" fontId="24" fillId="0" borderId="18" xfId="0" quotePrefix="1" applyNumberFormat="1" applyFont="1" applyFill="1" applyBorder="1" applyAlignment="1">
      <alignment horizontal="justify" vertical="center" wrapText="1"/>
    </xf>
    <xf numFmtId="0" fontId="21" fillId="0" borderId="16" xfId="0" applyFont="1" applyFill="1" applyBorder="1" applyAlignment="1">
      <alignment horizontal="left" vertical="center" wrapText="1" readingOrder="1"/>
    </xf>
  </cellXfs>
  <cellStyles count="13">
    <cellStyle name="Comma" xfId="1" builtinId="3"/>
    <cellStyle name="Comma 2" xfId="9" xr:uid="{31C4F26D-5475-4643-A507-125620875053}"/>
    <cellStyle name="Comma 3" xfId="12" xr:uid="{56DA4F90-AF45-4A97-915D-EFF6D4B32C34}"/>
    <cellStyle name="Hyperlink" xfId="3" builtinId="8"/>
    <cellStyle name="Hyperlink 2" xfId="6" xr:uid="{E25968BE-2873-4CA5-9106-27A6A1779A2B}"/>
    <cellStyle name="Normal" xfId="0" builtinId="0"/>
    <cellStyle name="Normal 2" xfId="5" xr:uid="{F28401CF-C9DD-4ACF-977B-E11144C569BD}"/>
    <cellStyle name="Normal 2 2" xfId="8" xr:uid="{43ABB537-2E74-48DC-A360-4A51F21E390F}"/>
    <cellStyle name="Normal 2 2 3 2 2" xfId="4" xr:uid="{8E603B4B-71F3-457A-BF0B-08F49D11BB15}"/>
    <cellStyle name="Normal 2 3" xfId="11" xr:uid="{DE6A493A-0D69-455C-B5C9-EA0FEC4BF100}"/>
    <cellStyle name="Normal 3" xfId="7" xr:uid="{0B2E9214-9EFB-4552-BBF7-9EE374AE2C33}"/>
    <cellStyle name="Normal 4" xfId="10" xr:uid="{BB6FD31D-68D3-494B-A653-ECE1A7BA53E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9</xdr:col>
      <xdr:colOff>66675</xdr:colOff>
      <xdr:row>2</xdr:row>
      <xdr:rowOff>123825</xdr:rowOff>
    </xdr:from>
    <xdr:to>
      <xdr:col>9</xdr:col>
      <xdr:colOff>3350617</xdr:colOff>
      <xdr:row>11</xdr:row>
      <xdr:rowOff>149225</xdr:rowOff>
    </xdr:to>
    <xdr:pic>
      <xdr:nvPicPr>
        <xdr:cNvPr id="2" name="Picture 1">
          <a:extLst>
            <a:ext uri="{FF2B5EF4-FFF2-40B4-BE49-F238E27FC236}">
              <a16:creationId xmlns:a16="http://schemas.microsoft.com/office/drawing/2014/main" id="{FEECD93F-0655-45CF-8899-1D516BEB8D21}"/>
            </a:ext>
          </a:extLst>
        </xdr:cNvPr>
        <xdr:cNvPicPr>
          <a:picLocks noChangeAspect="1"/>
        </xdr:cNvPicPr>
      </xdr:nvPicPr>
      <xdr:blipFill>
        <a:blip xmlns:r="http://schemas.openxmlformats.org/officeDocument/2006/relationships" r:embed="rId1"/>
        <a:stretch>
          <a:fillRect/>
        </a:stretch>
      </xdr:blipFill>
      <xdr:spPr>
        <a:xfrm>
          <a:off x="9077325" y="504825"/>
          <a:ext cx="3283942" cy="1892300"/>
        </a:xfrm>
        <a:prstGeom prst="rect">
          <a:avLst/>
        </a:prstGeom>
      </xdr:spPr>
    </xdr:pic>
    <xdr:clientData/>
  </xdr:twoCellAnchor>
  <xdr:twoCellAnchor editAs="oneCell">
    <xdr:from>
      <xdr:col>9</xdr:col>
      <xdr:colOff>47625</xdr:colOff>
      <xdr:row>15</xdr:row>
      <xdr:rowOff>104775</xdr:rowOff>
    </xdr:from>
    <xdr:to>
      <xdr:col>9</xdr:col>
      <xdr:colOff>3371850</xdr:colOff>
      <xdr:row>26</xdr:row>
      <xdr:rowOff>76200</xdr:rowOff>
    </xdr:to>
    <xdr:pic>
      <xdr:nvPicPr>
        <xdr:cNvPr id="3" name="Picture 2">
          <a:extLst>
            <a:ext uri="{FF2B5EF4-FFF2-40B4-BE49-F238E27FC236}">
              <a16:creationId xmlns:a16="http://schemas.microsoft.com/office/drawing/2014/main" id="{7620475F-6335-461C-9778-FD14BA1985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058275" y="2867025"/>
          <a:ext cx="332422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104775</xdr:colOff>
      <xdr:row>2</xdr:row>
      <xdr:rowOff>104775</xdr:rowOff>
    </xdr:from>
    <xdr:to>
      <xdr:col>9</xdr:col>
      <xdr:colOff>3346448</xdr:colOff>
      <xdr:row>13</xdr:row>
      <xdr:rowOff>98425</xdr:rowOff>
    </xdr:to>
    <xdr:pic>
      <xdr:nvPicPr>
        <xdr:cNvPr id="2" name="Picture 1">
          <a:extLst>
            <a:ext uri="{FF2B5EF4-FFF2-40B4-BE49-F238E27FC236}">
              <a16:creationId xmlns:a16="http://schemas.microsoft.com/office/drawing/2014/main" id="{DF456C51-BA68-45AD-B62B-1CCCFF44274E}"/>
            </a:ext>
          </a:extLst>
        </xdr:cNvPr>
        <xdr:cNvPicPr>
          <a:picLocks noChangeAspect="1"/>
        </xdr:cNvPicPr>
      </xdr:nvPicPr>
      <xdr:blipFill>
        <a:blip xmlns:r="http://schemas.openxmlformats.org/officeDocument/2006/relationships" r:embed="rId1"/>
        <a:stretch>
          <a:fillRect/>
        </a:stretch>
      </xdr:blipFill>
      <xdr:spPr>
        <a:xfrm>
          <a:off x="10048875" y="485775"/>
          <a:ext cx="3241673" cy="2051050"/>
        </a:xfrm>
        <a:prstGeom prst="rect">
          <a:avLst/>
        </a:prstGeom>
      </xdr:spPr>
    </xdr:pic>
    <xdr:clientData/>
  </xdr:twoCellAnchor>
  <xdr:twoCellAnchor editAs="oneCell">
    <xdr:from>
      <xdr:col>9</xdr:col>
      <xdr:colOff>57150</xdr:colOff>
      <xdr:row>17</xdr:row>
      <xdr:rowOff>9525</xdr:rowOff>
    </xdr:from>
    <xdr:to>
      <xdr:col>9</xdr:col>
      <xdr:colOff>3324225</xdr:colOff>
      <xdr:row>28</xdr:row>
      <xdr:rowOff>104775</xdr:rowOff>
    </xdr:to>
    <xdr:pic>
      <xdr:nvPicPr>
        <xdr:cNvPr id="3" name="Picture 2">
          <a:extLst>
            <a:ext uri="{FF2B5EF4-FFF2-40B4-BE49-F238E27FC236}">
              <a16:creationId xmlns:a16="http://schemas.microsoft.com/office/drawing/2014/main" id="{1625C56D-46F4-441C-ACB9-467CB8DE4F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0" y="3324225"/>
          <a:ext cx="326707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28574</xdr:colOff>
      <xdr:row>2</xdr:row>
      <xdr:rowOff>66675</xdr:rowOff>
    </xdr:from>
    <xdr:to>
      <xdr:col>9</xdr:col>
      <xdr:colOff>3333749</xdr:colOff>
      <xdr:row>11</xdr:row>
      <xdr:rowOff>238125</xdr:rowOff>
    </xdr:to>
    <xdr:pic>
      <xdr:nvPicPr>
        <xdr:cNvPr id="2" name="Picture 1">
          <a:extLst>
            <a:ext uri="{FF2B5EF4-FFF2-40B4-BE49-F238E27FC236}">
              <a16:creationId xmlns:a16="http://schemas.microsoft.com/office/drawing/2014/main" id="{43A145A2-600F-4953-8F3E-40048288399B}"/>
            </a:ext>
          </a:extLst>
        </xdr:cNvPr>
        <xdr:cNvPicPr>
          <a:picLocks noChangeAspect="1"/>
        </xdr:cNvPicPr>
      </xdr:nvPicPr>
      <xdr:blipFill>
        <a:blip xmlns:r="http://schemas.openxmlformats.org/officeDocument/2006/relationships" r:embed="rId1"/>
        <a:stretch>
          <a:fillRect/>
        </a:stretch>
      </xdr:blipFill>
      <xdr:spPr>
        <a:xfrm>
          <a:off x="9953624" y="447675"/>
          <a:ext cx="3305175" cy="1876425"/>
        </a:xfrm>
        <a:prstGeom prst="rect">
          <a:avLst/>
        </a:prstGeom>
      </xdr:spPr>
    </xdr:pic>
    <xdr:clientData/>
  </xdr:twoCellAnchor>
  <xdr:twoCellAnchor editAs="oneCell">
    <xdr:from>
      <xdr:col>9</xdr:col>
      <xdr:colOff>47625</xdr:colOff>
      <xdr:row>14</xdr:row>
      <xdr:rowOff>104775</xdr:rowOff>
    </xdr:from>
    <xdr:to>
      <xdr:col>9</xdr:col>
      <xdr:colOff>3314700</xdr:colOff>
      <xdr:row>22</xdr:row>
      <xdr:rowOff>304800</xdr:rowOff>
    </xdr:to>
    <xdr:pic>
      <xdr:nvPicPr>
        <xdr:cNvPr id="3" name="Picture 2">
          <a:extLst>
            <a:ext uri="{FF2B5EF4-FFF2-40B4-BE49-F238E27FC236}">
              <a16:creationId xmlns:a16="http://schemas.microsoft.com/office/drawing/2014/main" id="{7F9222E7-2515-4763-89FB-F71B36576C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72675" y="3514725"/>
          <a:ext cx="32670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25</xdr:row>
      <xdr:rowOff>57151</xdr:rowOff>
    </xdr:from>
    <xdr:to>
      <xdr:col>9</xdr:col>
      <xdr:colOff>3314701</xdr:colOff>
      <xdr:row>33</xdr:row>
      <xdr:rowOff>142875</xdr:rowOff>
    </xdr:to>
    <xdr:pic>
      <xdr:nvPicPr>
        <xdr:cNvPr id="4" name="Picture 3">
          <a:extLst>
            <a:ext uri="{FF2B5EF4-FFF2-40B4-BE49-F238E27FC236}">
              <a16:creationId xmlns:a16="http://schemas.microsoft.com/office/drawing/2014/main" id="{00772FF9-A018-4A8D-9317-ED5FEF4581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82201" y="6229351"/>
          <a:ext cx="3257550" cy="1543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38100</xdr:colOff>
      <xdr:row>2</xdr:row>
      <xdr:rowOff>104775</xdr:rowOff>
    </xdr:from>
    <xdr:to>
      <xdr:col>9</xdr:col>
      <xdr:colOff>3324225</xdr:colOff>
      <xdr:row>12</xdr:row>
      <xdr:rowOff>101600</xdr:rowOff>
    </xdr:to>
    <xdr:pic>
      <xdr:nvPicPr>
        <xdr:cNvPr id="2" name="Picture 1">
          <a:extLst>
            <a:ext uri="{FF2B5EF4-FFF2-40B4-BE49-F238E27FC236}">
              <a16:creationId xmlns:a16="http://schemas.microsoft.com/office/drawing/2014/main" id="{207BF39C-DFD3-468B-87B1-D7AF3E467D89}"/>
            </a:ext>
          </a:extLst>
        </xdr:cNvPr>
        <xdr:cNvPicPr>
          <a:picLocks noChangeAspect="1"/>
        </xdr:cNvPicPr>
      </xdr:nvPicPr>
      <xdr:blipFill>
        <a:blip xmlns:r="http://schemas.openxmlformats.org/officeDocument/2006/relationships" r:embed="rId1"/>
        <a:stretch>
          <a:fillRect/>
        </a:stretch>
      </xdr:blipFill>
      <xdr:spPr>
        <a:xfrm>
          <a:off x="9982200" y="485775"/>
          <a:ext cx="3286125" cy="2025650"/>
        </a:xfrm>
        <a:prstGeom prst="rect">
          <a:avLst/>
        </a:prstGeom>
      </xdr:spPr>
    </xdr:pic>
    <xdr:clientData/>
  </xdr:twoCellAnchor>
  <xdr:twoCellAnchor editAs="oneCell">
    <xdr:from>
      <xdr:col>9</xdr:col>
      <xdr:colOff>47626</xdr:colOff>
      <xdr:row>14</xdr:row>
      <xdr:rowOff>114300</xdr:rowOff>
    </xdr:from>
    <xdr:to>
      <xdr:col>9</xdr:col>
      <xdr:colOff>3352800</xdr:colOff>
      <xdr:row>24</xdr:row>
      <xdr:rowOff>57150</xdr:rowOff>
    </xdr:to>
    <xdr:pic>
      <xdr:nvPicPr>
        <xdr:cNvPr id="3" name="Picture 2">
          <a:extLst>
            <a:ext uri="{FF2B5EF4-FFF2-40B4-BE49-F238E27FC236}">
              <a16:creationId xmlns:a16="http://schemas.microsoft.com/office/drawing/2014/main" id="{4B4C921A-341E-4177-ADF0-5FF2AA6A94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91726" y="3219450"/>
          <a:ext cx="3305174"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28</xdr:row>
      <xdr:rowOff>0</xdr:rowOff>
    </xdr:from>
    <xdr:ext cx="3273721" cy="1809750"/>
    <xdr:pic>
      <xdr:nvPicPr>
        <xdr:cNvPr id="4" name="Picture 3">
          <a:extLst>
            <a:ext uri="{FF2B5EF4-FFF2-40B4-BE49-F238E27FC236}">
              <a16:creationId xmlns:a16="http://schemas.microsoft.com/office/drawing/2014/main" id="{CB1E6AB1-102D-4CBA-94CB-7065D90C07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82200" y="6343650"/>
          <a:ext cx="3273721"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47624</xdr:colOff>
      <xdr:row>2</xdr:row>
      <xdr:rowOff>66675</xdr:rowOff>
    </xdr:from>
    <xdr:to>
      <xdr:col>9</xdr:col>
      <xdr:colOff>3352799</xdr:colOff>
      <xdr:row>12</xdr:row>
      <xdr:rowOff>85725</xdr:rowOff>
    </xdr:to>
    <xdr:pic>
      <xdr:nvPicPr>
        <xdr:cNvPr id="2" name="Picture 1">
          <a:extLst>
            <a:ext uri="{FF2B5EF4-FFF2-40B4-BE49-F238E27FC236}">
              <a16:creationId xmlns:a16="http://schemas.microsoft.com/office/drawing/2014/main" id="{FCCB1C6C-C25D-4033-ACE5-0D8EFDBF1633}"/>
            </a:ext>
          </a:extLst>
        </xdr:cNvPr>
        <xdr:cNvPicPr>
          <a:picLocks noChangeAspect="1"/>
        </xdr:cNvPicPr>
      </xdr:nvPicPr>
      <xdr:blipFill>
        <a:blip xmlns:r="http://schemas.openxmlformats.org/officeDocument/2006/relationships" r:embed="rId1"/>
        <a:stretch>
          <a:fillRect/>
        </a:stretch>
      </xdr:blipFill>
      <xdr:spPr>
        <a:xfrm>
          <a:off x="9991724" y="447675"/>
          <a:ext cx="3305175" cy="1914525"/>
        </a:xfrm>
        <a:prstGeom prst="rect">
          <a:avLst/>
        </a:prstGeom>
      </xdr:spPr>
    </xdr:pic>
    <xdr:clientData/>
  </xdr:twoCellAnchor>
  <xdr:twoCellAnchor editAs="oneCell">
    <xdr:from>
      <xdr:col>9</xdr:col>
      <xdr:colOff>38099</xdr:colOff>
      <xdr:row>17</xdr:row>
      <xdr:rowOff>123826</xdr:rowOff>
    </xdr:from>
    <xdr:to>
      <xdr:col>9</xdr:col>
      <xdr:colOff>3343274</xdr:colOff>
      <xdr:row>25</xdr:row>
      <xdr:rowOff>228600</xdr:rowOff>
    </xdr:to>
    <xdr:pic>
      <xdr:nvPicPr>
        <xdr:cNvPr id="3" name="Picture 2">
          <a:extLst>
            <a:ext uri="{FF2B5EF4-FFF2-40B4-BE49-F238E27FC236}">
              <a16:creationId xmlns:a16="http://schemas.microsoft.com/office/drawing/2014/main" id="{3BB11FA3-3A70-472E-8399-29736CAA64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82199" y="3371851"/>
          <a:ext cx="3305175"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9</xdr:col>
      <xdr:colOff>3331567</xdr:colOff>
      <xdr:row>11</xdr:row>
      <xdr:rowOff>158750</xdr:rowOff>
    </xdr:to>
    <xdr:pic>
      <xdr:nvPicPr>
        <xdr:cNvPr id="2" name="Picture 1">
          <a:extLst>
            <a:ext uri="{FF2B5EF4-FFF2-40B4-BE49-F238E27FC236}">
              <a16:creationId xmlns:a16="http://schemas.microsoft.com/office/drawing/2014/main" id="{9838F950-E5CB-4AE8-B0B0-2E2122F24DD7}"/>
            </a:ext>
          </a:extLst>
        </xdr:cNvPr>
        <xdr:cNvPicPr>
          <a:picLocks noChangeAspect="1"/>
        </xdr:cNvPicPr>
      </xdr:nvPicPr>
      <xdr:blipFill>
        <a:blip xmlns:r="http://schemas.openxmlformats.org/officeDocument/2006/relationships" r:embed="rId1"/>
        <a:stretch>
          <a:fillRect/>
        </a:stretch>
      </xdr:blipFill>
      <xdr:spPr>
        <a:xfrm>
          <a:off x="9991725" y="485775"/>
          <a:ext cx="3283942" cy="1920875"/>
        </a:xfrm>
        <a:prstGeom prst="rect">
          <a:avLst/>
        </a:prstGeom>
      </xdr:spPr>
    </xdr:pic>
    <xdr:clientData/>
  </xdr:twoCellAnchor>
  <xdr:twoCellAnchor editAs="oneCell">
    <xdr:from>
      <xdr:col>9</xdr:col>
      <xdr:colOff>57150</xdr:colOff>
      <xdr:row>15</xdr:row>
      <xdr:rowOff>66673</xdr:rowOff>
    </xdr:from>
    <xdr:to>
      <xdr:col>9</xdr:col>
      <xdr:colOff>3333750</xdr:colOff>
      <xdr:row>24</xdr:row>
      <xdr:rowOff>104774</xdr:rowOff>
    </xdr:to>
    <xdr:pic>
      <xdr:nvPicPr>
        <xdr:cNvPr id="3" name="Picture 2">
          <a:extLst>
            <a:ext uri="{FF2B5EF4-FFF2-40B4-BE49-F238E27FC236}">
              <a16:creationId xmlns:a16="http://schemas.microsoft.com/office/drawing/2014/main" id="{7CE5CC4E-5150-40A1-BC8C-9C5A55FDD2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0" y="3381373"/>
          <a:ext cx="3276600" cy="1847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38100</xdr:colOff>
      <xdr:row>2</xdr:row>
      <xdr:rowOff>114301</xdr:rowOff>
    </xdr:from>
    <xdr:to>
      <xdr:col>9</xdr:col>
      <xdr:colOff>3322042</xdr:colOff>
      <xdr:row>11</xdr:row>
      <xdr:rowOff>130175</xdr:rowOff>
    </xdr:to>
    <xdr:pic>
      <xdr:nvPicPr>
        <xdr:cNvPr id="2" name="Picture 1">
          <a:extLst>
            <a:ext uri="{FF2B5EF4-FFF2-40B4-BE49-F238E27FC236}">
              <a16:creationId xmlns:a16="http://schemas.microsoft.com/office/drawing/2014/main" id="{118AB781-E504-41B1-86F4-DDA04D6A4CCA}"/>
            </a:ext>
          </a:extLst>
        </xdr:cNvPr>
        <xdr:cNvPicPr>
          <a:picLocks noChangeAspect="1"/>
        </xdr:cNvPicPr>
      </xdr:nvPicPr>
      <xdr:blipFill>
        <a:blip xmlns:r="http://schemas.openxmlformats.org/officeDocument/2006/relationships" r:embed="rId1"/>
        <a:stretch>
          <a:fillRect/>
        </a:stretch>
      </xdr:blipFill>
      <xdr:spPr>
        <a:xfrm>
          <a:off x="10172700" y="495301"/>
          <a:ext cx="3283942" cy="1882774"/>
        </a:xfrm>
        <a:prstGeom prst="rect">
          <a:avLst/>
        </a:prstGeom>
      </xdr:spPr>
    </xdr:pic>
    <xdr:clientData/>
  </xdr:twoCellAnchor>
  <xdr:twoCellAnchor editAs="oneCell">
    <xdr:from>
      <xdr:col>9</xdr:col>
      <xdr:colOff>95250</xdr:colOff>
      <xdr:row>16</xdr:row>
      <xdr:rowOff>123824</xdr:rowOff>
    </xdr:from>
    <xdr:to>
      <xdr:col>9</xdr:col>
      <xdr:colOff>3343275</xdr:colOff>
      <xdr:row>26</xdr:row>
      <xdr:rowOff>38100</xdr:rowOff>
    </xdr:to>
    <xdr:pic>
      <xdr:nvPicPr>
        <xdr:cNvPr id="3" name="Picture 2">
          <a:extLst>
            <a:ext uri="{FF2B5EF4-FFF2-40B4-BE49-F238E27FC236}">
              <a16:creationId xmlns:a16="http://schemas.microsoft.com/office/drawing/2014/main" id="{9BB699A4-C992-4DED-AC07-E2BD1E088F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29850" y="3209924"/>
          <a:ext cx="3248025" cy="1857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57150</xdr:colOff>
      <xdr:row>2</xdr:row>
      <xdr:rowOff>38100</xdr:rowOff>
    </xdr:from>
    <xdr:to>
      <xdr:col>9</xdr:col>
      <xdr:colOff>3343275</xdr:colOff>
      <xdr:row>11</xdr:row>
      <xdr:rowOff>34925</xdr:rowOff>
    </xdr:to>
    <xdr:pic>
      <xdr:nvPicPr>
        <xdr:cNvPr id="2" name="Picture 1">
          <a:extLst>
            <a:ext uri="{FF2B5EF4-FFF2-40B4-BE49-F238E27FC236}">
              <a16:creationId xmlns:a16="http://schemas.microsoft.com/office/drawing/2014/main" id="{836AB6DD-CB81-4CC2-B405-A192AC68A2ED}"/>
            </a:ext>
          </a:extLst>
        </xdr:cNvPr>
        <xdr:cNvPicPr>
          <a:picLocks noChangeAspect="1"/>
        </xdr:cNvPicPr>
      </xdr:nvPicPr>
      <xdr:blipFill>
        <a:blip xmlns:r="http://schemas.openxmlformats.org/officeDocument/2006/relationships" r:embed="rId1"/>
        <a:stretch>
          <a:fillRect/>
        </a:stretch>
      </xdr:blipFill>
      <xdr:spPr>
        <a:xfrm>
          <a:off x="10429875" y="419100"/>
          <a:ext cx="3286125" cy="1863725"/>
        </a:xfrm>
        <a:prstGeom prst="rect">
          <a:avLst/>
        </a:prstGeom>
      </xdr:spPr>
    </xdr:pic>
    <xdr:clientData/>
  </xdr:twoCellAnchor>
  <xdr:twoCellAnchor editAs="oneCell">
    <xdr:from>
      <xdr:col>9</xdr:col>
      <xdr:colOff>38099</xdr:colOff>
      <xdr:row>15</xdr:row>
      <xdr:rowOff>19050</xdr:rowOff>
    </xdr:from>
    <xdr:to>
      <xdr:col>9</xdr:col>
      <xdr:colOff>3343275</xdr:colOff>
      <xdr:row>24</xdr:row>
      <xdr:rowOff>238124</xdr:rowOff>
    </xdr:to>
    <xdr:pic>
      <xdr:nvPicPr>
        <xdr:cNvPr id="3" name="Picture 2">
          <a:extLst>
            <a:ext uri="{FF2B5EF4-FFF2-40B4-BE49-F238E27FC236}">
              <a16:creationId xmlns:a16="http://schemas.microsoft.com/office/drawing/2014/main" id="{67B9E5BB-C3F5-4EC8-92CC-88E0B820B3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410824" y="2781300"/>
          <a:ext cx="3305176" cy="1866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2</xdr:row>
      <xdr:rowOff>76200</xdr:rowOff>
    </xdr:from>
    <xdr:to>
      <xdr:col>9</xdr:col>
      <xdr:colOff>3331567</xdr:colOff>
      <xdr:row>12</xdr:row>
      <xdr:rowOff>63500</xdr:rowOff>
    </xdr:to>
    <xdr:pic>
      <xdr:nvPicPr>
        <xdr:cNvPr id="2" name="Picture 1">
          <a:extLst>
            <a:ext uri="{FF2B5EF4-FFF2-40B4-BE49-F238E27FC236}">
              <a16:creationId xmlns:a16="http://schemas.microsoft.com/office/drawing/2014/main" id="{7580E8C9-809A-40FE-9616-89FE97DB7974}"/>
            </a:ext>
          </a:extLst>
        </xdr:cNvPr>
        <xdr:cNvPicPr>
          <a:picLocks noChangeAspect="1"/>
        </xdr:cNvPicPr>
      </xdr:nvPicPr>
      <xdr:blipFill>
        <a:blip xmlns:r="http://schemas.openxmlformats.org/officeDocument/2006/relationships" r:embed="rId1"/>
        <a:stretch>
          <a:fillRect/>
        </a:stretch>
      </xdr:blipFill>
      <xdr:spPr>
        <a:xfrm>
          <a:off x="10020300" y="457200"/>
          <a:ext cx="3283942" cy="2044700"/>
        </a:xfrm>
        <a:prstGeom prst="rect">
          <a:avLst/>
        </a:prstGeom>
      </xdr:spPr>
    </xdr:pic>
    <xdr:clientData/>
  </xdr:twoCellAnchor>
  <xdr:twoCellAnchor editAs="oneCell">
    <xdr:from>
      <xdr:col>9</xdr:col>
      <xdr:colOff>85725</xdr:colOff>
      <xdr:row>15</xdr:row>
      <xdr:rowOff>295274</xdr:rowOff>
    </xdr:from>
    <xdr:to>
      <xdr:col>9</xdr:col>
      <xdr:colOff>3324225</xdr:colOff>
      <xdr:row>26</xdr:row>
      <xdr:rowOff>28574</xdr:rowOff>
    </xdr:to>
    <xdr:pic>
      <xdr:nvPicPr>
        <xdr:cNvPr id="3" name="Picture 2">
          <a:extLst>
            <a:ext uri="{FF2B5EF4-FFF2-40B4-BE49-F238E27FC236}">
              <a16:creationId xmlns:a16="http://schemas.microsoft.com/office/drawing/2014/main" id="{0BA2FF14-16D3-45F1-9D21-D3F915233A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248024"/>
          <a:ext cx="323850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57150</xdr:colOff>
      <xdr:row>2</xdr:row>
      <xdr:rowOff>114300</xdr:rowOff>
    </xdr:from>
    <xdr:to>
      <xdr:col>9</xdr:col>
      <xdr:colOff>3352800</xdr:colOff>
      <xdr:row>11</xdr:row>
      <xdr:rowOff>111125</xdr:rowOff>
    </xdr:to>
    <xdr:pic>
      <xdr:nvPicPr>
        <xdr:cNvPr id="2" name="Picture 1">
          <a:extLst>
            <a:ext uri="{FF2B5EF4-FFF2-40B4-BE49-F238E27FC236}">
              <a16:creationId xmlns:a16="http://schemas.microsoft.com/office/drawing/2014/main" id="{B508EB55-6707-485B-981B-F3B4680D7D60}"/>
            </a:ext>
          </a:extLst>
        </xdr:cNvPr>
        <xdr:cNvPicPr>
          <a:picLocks noChangeAspect="1"/>
        </xdr:cNvPicPr>
      </xdr:nvPicPr>
      <xdr:blipFill>
        <a:blip xmlns:r="http://schemas.openxmlformats.org/officeDocument/2006/relationships" r:embed="rId1"/>
        <a:stretch>
          <a:fillRect/>
        </a:stretch>
      </xdr:blipFill>
      <xdr:spPr>
        <a:xfrm>
          <a:off x="10610850" y="495300"/>
          <a:ext cx="3295650" cy="1863725"/>
        </a:xfrm>
        <a:prstGeom prst="rect">
          <a:avLst/>
        </a:prstGeom>
      </xdr:spPr>
    </xdr:pic>
    <xdr:clientData/>
  </xdr:twoCellAnchor>
  <xdr:twoCellAnchor editAs="oneCell">
    <xdr:from>
      <xdr:col>9</xdr:col>
      <xdr:colOff>28575</xdr:colOff>
      <xdr:row>14</xdr:row>
      <xdr:rowOff>38100</xdr:rowOff>
    </xdr:from>
    <xdr:to>
      <xdr:col>9</xdr:col>
      <xdr:colOff>3352800</xdr:colOff>
      <xdr:row>23</xdr:row>
      <xdr:rowOff>76200</xdr:rowOff>
    </xdr:to>
    <xdr:pic>
      <xdr:nvPicPr>
        <xdr:cNvPr id="3" name="Picture 2">
          <a:extLst>
            <a:ext uri="{FF2B5EF4-FFF2-40B4-BE49-F238E27FC236}">
              <a16:creationId xmlns:a16="http://schemas.microsoft.com/office/drawing/2014/main" id="{D1936843-D466-490B-B9AA-A637B590F0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82275" y="2638425"/>
          <a:ext cx="33242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47625</xdr:colOff>
      <xdr:row>2</xdr:row>
      <xdr:rowOff>142875</xdr:rowOff>
    </xdr:from>
    <xdr:to>
      <xdr:col>9</xdr:col>
      <xdr:colOff>3331567</xdr:colOff>
      <xdr:row>13</xdr:row>
      <xdr:rowOff>15875</xdr:rowOff>
    </xdr:to>
    <xdr:pic>
      <xdr:nvPicPr>
        <xdr:cNvPr id="2" name="Picture 1">
          <a:extLst>
            <a:ext uri="{FF2B5EF4-FFF2-40B4-BE49-F238E27FC236}">
              <a16:creationId xmlns:a16="http://schemas.microsoft.com/office/drawing/2014/main" id="{14BA8EBB-4471-41E9-9D68-828E95DD0D77}"/>
            </a:ext>
          </a:extLst>
        </xdr:cNvPr>
        <xdr:cNvPicPr>
          <a:picLocks noChangeAspect="1"/>
        </xdr:cNvPicPr>
      </xdr:nvPicPr>
      <xdr:blipFill>
        <a:blip xmlns:r="http://schemas.openxmlformats.org/officeDocument/2006/relationships" r:embed="rId1"/>
        <a:stretch>
          <a:fillRect/>
        </a:stretch>
      </xdr:blipFill>
      <xdr:spPr>
        <a:xfrm>
          <a:off x="10125075" y="523875"/>
          <a:ext cx="3283942" cy="1930400"/>
        </a:xfrm>
        <a:prstGeom prst="rect">
          <a:avLst/>
        </a:prstGeom>
      </xdr:spPr>
    </xdr:pic>
    <xdr:clientData/>
  </xdr:twoCellAnchor>
  <xdr:twoCellAnchor editAs="oneCell">
    <xdr:from>
      <xdr:col>9</xdr:col>
      <xdr:colOff>38100</xdr:colOff>
      <xdr:row>16</xdr:row>
      <xdr:rowOff>66674</xdr:rowOff>
    </xdr:from>
    <xdr:to>
      <xdr:col>9</xdr:col>
      <xdr:colOff>3343275</xdr:colOff>
      <xdr:row>25</xdr:row>
      <xdr:rowOff>57149</xdr:rowOff>
    </xdr:to>
    <xdr:pic>
      <xdr:nvPicPr>
        <xdr:cNvPr id="3" name="Picture 2">
          <a:extLst>
            <a:ext uri="{FF2B5EF4-FFF2-40B4-BE49-F238E27FC236}">
              <a16:creationId xmlns:a16="http://schemas.microsoft.com/office/drawing/2014/main" id="{9CFCEEE3-B001-4D24-ABB8-EC83824792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152774"/>
          <a:ext cx="3305175"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57150</xdr:colOff>
      <xdr:row>2</xdr:row>
      <xdr:rowOff>85725</xdr:rowOff>
    </xdr:from>
    <xdr:to>
      <xdr:col>9</xdr:col>
      <xdr:colOff>3324225</xdr:colOff>
      <xdr:row>12</xdr:row>
      <xdr:rowOff>53975</xdr:rowOff>
    </xdr:to>
    <xdr:pic>
      <xdr:nvPicPr>
        <xdr:cNvPr id="2" name="Picture 1">
          <a:extLst>
            <a:ext uri="{FF2B5EF4-FFF2-40B4-BE49-F238E27FC236}">
              <a16:creationId xmlns:a16="http://schemas.microsoft.com/office/drawing/2014/main" id="{243D98A9-BD6F-41A7-9F80-17F3172179D1}"/>
            </a:ext>
          </a:extLst>
        </xdr:cNvPr>
        <xdr:cNvPicPr>
          <a:picLocks noChangeAspect="1"/>
        </xdr:cNvPicPr>
      </xdr:nvPicPr>
      <xdr:blipFill>
        <a:blip xmlns:r="http://schemas.openxmlformats.org/officeDocument/2006/relationships" r:embed="rId1"/>
        <a:stretch>
          <a:fillRect/>
        </a:stretch>
      </xdr:blipFill>
      <xdr:spPr>
        <a:xfrm>
          <a:off x="10239375" y="466725"/>
          <a:ext cx="3267075" cy="1863725"/>
        </a:xfrm>
        <a:prstGeom prst="rect">
          <a:avLst/>
        </a:prstGeom>
      </xdr:spPr>
    </xdr:pic>
    <xdr:clientData/>
  </xdr:twoCellAnchor>
  <xdr:twoCellAnchor editAs="oneCell">
    <xdr:from>
      <xdr:col>9</xdr:col>
      <xdr:colOff>28575</xdr:colOff>
      <xdr:row>14</xdr:row>
      <xdr:rowOff>123825</xdr:rowOff>
    </xdr:from>
    <xdr:to>
      <xdr:col>9</xdr:col>
      <xdr:colOff>3352800</xdr:colOff>
      <xdr:row>24</xdr:row>
      <xdr:rowOff>180975</xdr:rowOff>
    </xdr:to>
    <xdr:pic>
      <xdr:nvPicPr>
        <xdr:cNvPr id="3" name="Picture 2">
          <a:extLst>
            <a:ext uri="{FF2B5EF4-FFF2-40B4-BE49-F238E27FC236}">
              <a16:creationId xmlns:a16="http://schemas.microsoft.com/office/drawing/2014/main" id="{B040FC2D-6721-40C3-A459-21643F3CD6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0" y="2724150"/>
          <a:ext cx="33242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13</xdr:row>
      <xdr:rowOff>82550</xdr:rowOff>
    </xdr:to>
    <xdr:pic>
      <xdr:nvPicPr>
        <xdr:cNvPr id="2" name="Picture 1">
          <a:extLst>
            <a:ext uri="{FF2B5EF4-FFF2-40B4-BE49-F238E27FC236}">
              <a16:creationId xmlns:a16="http://schemas.microsoft.com/office/drawing/2014/main" id="{C3FB2443-F32D-4D7B-9538-ECF7A4F03561}"/>
            </a:ext>
          </a:extLst>
        </xdr:cNvPr>
        <xdr:cNvPicPr>
          <a:picLocks noChangeAspect="1"/>
        </xdr:cNvPicPr>
      </xdr:nvPicPr>
      <xdr:blipFill>
        <a:blip xmlns:r="http://schemas.openxmlformats.org/officeDocument/2006/relationships" r:embed="rId1"/>
        <a:stretch>
          <a:fillRect/>
        </a:stretch>
      </xdr:blipFill>
      <xdr:spPr>
        <a:xfrm>
          <a:off x="9982200"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27</xdr:row>
      <xdr:rowOff>9525</xdr:rowOff>
    </xdr:to>
    <xdr:pic>
      <xdr:nvPicPr>
        <xdr:cNvPr id="3" name="Picture 2">
          <a:extLst>
            <a:ext uri="{FF2B5EF4-FFF2-40B4-BE49-F238E27FC236}">
              <a16:creationId xmlns:a16="http://schemas.microsoft.com/office/drawing/2014/main" id="{3DE314E9-1C35-421D-962C-3C00355BC1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0300" y="34671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7D473973-DDA8-40ED-A681-3B370BBB18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1" y="6095999"/>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9</xdr:col>
      <xdr:colOff>38100</xdr:colOff>
      <xdr:row>16</xdr:row>
      <xdr:rowOff>123825</xdr:rowOff>
    </xdr:from>
    <xdr:to>
      <xdr:col>9</xdr:col>
      <xdr:colOff>3333751</xdr:colOff>
      <xdr:row>27</xdr:row>
      <xdr:rowOff>133350</xdr:rowOff>
    </xdr:to>
    <xdr:pic>
      <xdr:nvPicPr>
        <xdr:cNvPr id="2" name="Picture 1">
          <a:extLst>
            <a:ext uri="{FF2B5EF4-FFF2-40B4-BE49-F238E27FC236}">
              <a16:creationId xmlns:a16="http://schemas.microsoft.com/office/drawing/2014/main" id="{64AC64DC-FE32-4285-882A-4EEDA72B7D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67975" y="3371850"/>
          <a:ext cx="329565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66676</xdr:colOff>
      <xdr:row>2</xdr:row>
      <xdr:rowOff>95248</xdr:rowOff>
    </xdr:from>
    <xdr:to>
      <xdr:col>9</xdr:col>
      <xdr:colOff>3324226</xdr:colOff>
      <xdr:row>13</xdr:row>
      <xdr:rowOff>171450</xdr:rowOff>
    </xdr:to>
    <xdr:pic>
      <xdr:nvPicPr>
        <xdr:cNvPr id="3" name="Picture 2">
          <a:extLst>
            <a:ext uri="{FF2B5EF4-FFF2-40B4-BE49-F238E27FC236}">
              <a16:creationId xmlns:a16="http://schemas.microsoft.com/office/drawing/2014/main" id="{EEF7491F-1985-49BD-ADCB-6E14178CA880}"/>
            </a:ext>
          </a:extLst>
        </xdr:cNvPr>
        <xdr:cNvPicPr>
          <a:picLocks noChangeAspect="1"/>
        </xdr:cNvPicPr>
      </xdr:nvPicPr>
      <xdr:blipFill>
        <a:blip xmlns:r="http://schemas.openxmlformats.org/officeDocument/2006/relationships" r:embed="rId2"/>
        <a:stretch>
          <a:fillRect/>
        </a:stretch>
      </xdr:blipFill>
      <xdr:spPr>
        <a:xfrm>
          <a:off x="10496551" y="476248"/>
          <a:ext cx="3257550" cy="213360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47625</xdr:colOff>
      <xdr:row>14</xdr:row>
      <xdr:rowOff>133351</xdr:rowOff>
    </xdr:from>
    <xdr:to>
      <xdr:col>9</xdr:col>
      <xdr:colOff>3333750</xdr:colOff>
      <xdr:row>25</xdr:row>
      <xdr:rowOff>9525</xdr:rowOff>
    </xdr:to>
    <xdr:pic>
      <xdr:nvPicPr>
        <xdr:cNvPr id="2" name="Picture 1">
          <a:extLst>
            <a:ext uri="{FF2B5EF4-FFF2-40B4-BE49-F238E27FC236}">
              <a16:creationId xmlns:a16="http://schemas.microsoft.com/office/drawing/2014/main" id="{A11201AB-3F18-43F8-B825-F84F4B6104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63300" y="2895601"/>
          <a:ext cx="3286125" cy="18192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104776</xdr:rowOff>
    </xdr:from>
    <xdr:to>
      <xdr:col>9</xdr:col>
      <xdr:colOff>3352800</xdr:colOff>
      <xdr:row>11</xdr:row>
      <xdr:rowOff>76200</xdr:rowOff>
    </xdr:to>
    <xdr:pic>
      <xdr:nvPicPr>
        <xdr:cNvPr id="3" name="Picture 2">
          <a:extLst>
            <a:ext uri="{FF2B5EF4-FFF2-40B4-BE49-F238E27FC236}">
              <a16:creationId xmlns:a16="http://schemas.microsoft.com/office/drawing/2014/main" id="{E4E57792-890A-4DA4-A17A-A5416AE206C2}"/>
            </a:ext>
          </a:extLst>
        </xdr:cNvPr>
        <xdr:cNvPicPr>
          <a:picLocks noChangeAspect="1"/>
        </xdr:cNvPicPr>
      </xdr:nvPicPr>
      <xdr:blipFill>
        <a:blip xmlns:r="http://schemas.openxmlformats.org/officeDocument/2006/relationships" r:embed="rId2"/>
        <a:stretch>
          <a:fillRect/>
        </a:stretch>
      </xdr:blipFill>
      <xdr:spPr>
        <a:xfrm>
          <a:off x="11163300" y="485776"/>
          <a:ext cx="3305175" cy="200024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38099</xdr:colOff>
      <xdr:row>17</xdr:row>
      <xdr:rowOff>76199</xdr:rowOff>
    </xdr:from>
    <xdr:to>
      <xdr:col>9</xdr:col>
      <xdr:colOff>3343275</xdr:colOff>
      <xdr:row>27</xdr:row>
      <xdr:rowOff>85724</xdr:rowOff>
    </xdr:to>
    <xdr:pic>
      <xdr:nvPicPr>
        <xdr:cNvPr id="2" name="Picture 1">
          <a:extLst>
            <a:ext uri="{FF2B5EF4-FFF2-40B4-BE49-F238E27FC236}">
              <a16:creationId xmlns:a16="http://schemas.microsoft.com/office/drawing/2014/main" id="{A94DED63-3056-4DB6-A98D-C280FC94AE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44199" y="3162299"/>
          <a:ext cx="33051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76200</xdr:rowOff>
    </xdr:from>
    <xdr:to>
      <xdr:col>9</xdr:col>
      <xdr:colOff>3333750</xdr:colOff>
      <xdr:row>13</xdr:row>
      <xdr:rowOff>38100</xdr:rowOff>
    </xdr:to>
    <xdr:pic>
      <xdr:nvPicPr>
        <xdr:cNvPr id="3" name="Picture 2">
          <a:extLst>
            <a:ext uri="{FF2B5EF4-FFF2-40B4-BE49-F238E27FC236}">
              <a16:creationId xmlns:a16="http://schemas.microsoft.com/office/drawing/2014/main" id="{181C13B8-1E93-4C55-B3D9-8C5B8C261F8D}"/>
            </a:ext>
          </a:extLst>
        </xdr:cNvPr>
        <xdr:cNvPicPr>
          <a:picLocks noChangeAspect="1"/>
        </xdr:cNvPicPr>
      </xdr:nvPicPr>
      <xdr:blipFill>
        <a:blip xmlns:r="http://schemas.openxmlformats.org/officeDocument/2006/relationships" r:embed="rId2"/>
        <a:stretch>
          <a:fillRect/>
        </a:stretch>
      </xdr:blipFill>
      <xdr:spPr>
        <a:xfrm>
          <a:off x="10763250" y="457200"/>
          <a:ext cx="3276600" cy="20193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47625</xdr:colOff>
      <xdr:row>2</xdr:row>
      <xdr:rowOff>66675</xdr:rowOff>
    </xdr:from>
    <xdr:to>
      <xdr:col>9</xdr:col>
      <xdr:colOff>3343275</xdr:colOff>
      <xdr:row>13</xdr:row>
      <xdr:rowOff>9525</xdr:rowOff>
    </xdr:to>
    <xdr:pic>
      <xdr:nvPicPr>
        <xdr:cNvPr id="2" name="Picture 1">
          <a:extLst>
            <a:ext uri="{FF2B5EF4-FFF2-40B4-BE49-F238E27FC236}">
              <a16:creationId xmlns:a16="http://schemas.microsoft.com/office/drawing/2014/main" id="{B4CBFFA7-EE6B-4C01-AEB2-92F677636116}"/>
            </a:ext>
          </a:extLst>
        </xdr:cNvPr>
        <xdr:cNvPicPr>
          <a:picLocks noChangeAspect="1"/>
        </xdr:cNvPicPr>
      </xdr:nvPicPr>
      <xdr:blipFill>
        <a:blip xmlns:r="http://schemas.openxmlformats.org/officeDocument/2006/relationships" r:embed="rId1"/>
        <a:stretch>
          <a:fillRect/>
        </a:stretch>
      </xdr:blipFill>
      <xdr:spPr>
        <a:xfrm>
          <a:off x="10391775" y="447675"/>
          <a:ext cx="3295650" cy="2000250"/>
        </a:xfrm>
        <a:prstGeom prst="rect">
          <a:avLst/>
        </a:prstGeom>
      </xdr:spPr>
    </xdr:pic>
    <xdr:clientData/>
  </xdr:twoCellAnchor>
  <xdr:twoCellAnchor editAs="oneCell">
    <xdr:from>
      <xdr:col>9</xdr:col>
      <xdr:colOff>76200</xdr:colOff>
      <xdr:row>16</xdr:row>
      <xdr:rowOff>76200</xdr:rowOff>
    </xdr:from>
    <xdr:to>
      <xdr:col>9</xdr:col>
      <xdr:colOff>3352800</xdr:colOff>
      <xdr:row>27</xdr:row>
      <xdr:rowOff>0</xdr:rowOff>
    </xdr:to>
    <xdr:pic>
      <xdr:nvPicPr>
        <xdr:cNvPr id="3" name="Picture 2">
          <a:extLst>
            <a:ext uri="{FF2B5EF4-FFF2-40B4-BE49-F238E27FC236}">
              <a16:creationId xmlns:a16="http://schemas.microsoft.com/office/drawing/2014/main" id="{791E44BC-F5A6-44B7-9C94-229A2C84DF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420350" y="3000375"/>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50801</xdr:colOff>
      <xdr:row>29</xdr:row>
      <xdr:rowOff>47626</xdr:rowOff>
    </xdr:from>
    <xdr:ext cx="3273424" cy="1743074"/>
    <xdr:pic>
      <xdr:nvPicPr>
        <xdr:cNvPr id="4" name="Picture 3">
          <a:extLst>
            <a:ext uri="{FF2B5EF4-FFF2-40B4-BE49-F238E27FC236}">
              <a16:creationId xmlns:a16="http://schemas.microsoft.com/office/drawing/2014/main" id="{FB046749-7AD6-4288-B498-AB5F9D02B9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94951" y="5267326"/>
          <a:ext cx="3273424"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9</xdr:col>
      <xdr:colOff>57149</xdr:colOff>
      <xdr:row>19</xdr:row>
      <xdr:rowOff>152400</xdr:rowOff>
    </xdr:from>
    <xdr:to>
      <xdr:col>9</xdr:col>
      <xdr:colOff>3314701</xdr:colOff>
      <xdr:row>28</xdr:row>
      <xdr:rowOff>123825</xdr:rowOff>
    </xdr:to>
    <xdr:pic>
      <xdr:nvPicPr>
        <xdr:cNvPr id="2" name="Picture 1">
          <a:extLst>
            <a:ext uri="{FF2B5EF4-FFF2-40B4-BE49-F238E27FC236}">
              <a16:creationId xmlns:a16="http://schemas.microsoft.com/office/drawing/2014/main" id="{A0EBA269-2C09-4239-B36A-932846F03F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699" y="3562350"/>
          <a:ext cx="3257552"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95252</xdr:rowOff>
    </xdr:from>
    <xdr:to>
      <xdr:col>9</xdr:col>
      <xdr:colOff>3352801</xdr:colOff>
      <xdr:row>13</xdr:row>
      <xdr:rowOff>123828</xdr:rowOff>
    </xdr:to>
    <xdr:pic>
      <xdr:nvPicPr>
        <xdr:cNvPr id="4" name="Picture 3">
          <a:extLst>
            <a:ext uri="{FF2B5EF4-FFF2-40B4-BE49-F238E27FC236}">
              <a16:creationId xmlns:a16="http://schemas.microsoft.com/office/drawing/2014/main" id="{56CC6932-D607-4829-B57E-C828EB669D9A}"/>
            </a:ext>
          </a:extLst>
        </xdr:cNvPr>
        <xdr:cNvPicPr>
          <a:picLocks/>
        </xdr:cNvPicPr>
      </xdr:nvPicPr>
      <xdr:blipFill>
        <a:blip xmlns:r="http://schemas.openxmlformats.org/officeDocument/2006/relationships" r:embed="rId2"/>
        <a:stretch>
          <a:fillRect/>
        </a:stretch>
      </xdr:blipFill>
      <xdr:spPr>
        <a:xfrm>
          <a:off x="8886825" y="476252"/>
          <a:ext cx="3267076" cy="20859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57150</xdr:colOff>
      <xdr:row>2</xdr:row>
      <xdr:rowOff>76201</xdr:rowOff>
    </xdr:from>
    <xdr:to>
      <xdr:col>9</xdr:col>
      <xdr:colOff>3343275</xdr:colOff>
      <xdr:row>13</xdr:row>
      <xdr:rowOff>57150</xdr:rowOff>
    </xdr:to>
    <xdr:pic>
      <xdr:nvPicPr>
        <xdr:cNvPr id="2" name="Picture 1">
          <a:extLst>
            <a:ext uri="{FF2B5EF4-FFF2-40B4-BE49-F238E27FC236}">
              <a16:creationId xmlns:a16="http://schemas.microsoft.com/office/drawing/2014/main" id="{4D0C19B6-0777-4616-B1EF-165209B0E493}"/>
            </a:ext>
          </a:extLst>
        </xdr:cNvPr>
        <xdr:cNvPicPr>
          <a:picLocks noChangeAspect="1"/>
        </xdr:cNvPicPr>
      </xdr:nvPicPr>
      <xdr:blipFill>
        <a:blip xmlns:r="http://schemas.openxmlformats.org/officeDocument/2006/relationships" r:embed="rId1"/>
        <a:stretch>
          <a:fillRect/>
        </a:stretch>
      </xdr:blipFill>
      <xdr:spPr>
        <a:xfrm>
          <a:off x="10229850" y="457201"/>
          <a:ext cx="3286125" cy="2038349"/>
        </a:xfrm>
        <a:prstGeom prst="rect">
          <a:avLst/>
        </a:prstGeom>
      </xdr:spPr>
    </xdr:pic>
    <xdr:clientData/>
  </xdr:twoCellAnchor>
  <xdr:twoCellAnchor editAs="oneCell">
    <xdr:from>
      <xdr:col>9</xdr:col>
      <xdr:colOff>76200</xdr:colOff>
      <xdr:row>15</xdr:row>
      <xdr:rowOff>85725</xdr:rowOff>
    </xdr:from>
    <xdr:to>
      <xdr:col>9</xdr:col>
      <xdr:colOff>3343274</xdr:colOff>
      <xdr:row>23</xdr:row>
      <xdr:rowOff>57149</xdr:rowOff>
    </xdr:to>
    <xdr:pic>
      <xdr:nvPicPr>
        <xdr:cNvPr id="3" name="Picture 2">
          <a:extLst>
            <a:ext uri="{FF2B5EF4-FFF2-40B4-BE49-F238E27FC236}">
              <a16:creationId xmlns:a16="http://schemas.microsoft.com/office/drawing/2014/main" id="{85356548-7C52-4AF7-AD59-C9291CD0F7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48900" y="3009900"/>
          <a:ext cx="3267074"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66675</xdr:colOff>
      <xdr:row>28</xdr:row>
      <xdr:rowOff>47626</xdr:rowOff>
    </xdr:from>
    <xdr:ext cx="3257550" cy="1724024"/>
    <xdr:pic>
      <xdr:nvPicPr>
        <xdr:cNvPr id="4" name="Picture 3">
          <a:extLst>
            <a:ext uri="{FF2B5EF4-FFF2-40B4-BE49-F238E27FC236}">
              <a16:creationId xmlns:a16="http://schemas.microsoft.com/office/drawing/2014/main" id="{07737F98-587F-4452-89B7-28414ADE8F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39375" y="5915026"/>
          <a:ext cx="325755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9</xdr:col>
      <xdr:colOff>57151</xdr:colOff>
      <xdr:row>2</xdr:row>
      <xdr:rowOff>161925</xdr:rowOff>
    </xdr:from>
    <xdr:to>
      <xdr:col>9</xdr:col>
      <xdr:colOff>3343275</xdr:colOff>
      <xdr:row>13</xdr:row>
      <xdr:rowOff>130175</xdr:rowOff>
    </xdr:to>
    <xdr:pic>
      <xdr:nvPicPr>
        <xdr:cNvPr id="2" name="Picture 1">
          <a:extLst>
            <a:ext uri="{FF2B5EF4-FFF2-40B4-BE49-F238E27FC236}">
              <a16:creationId xmlns:a16="http://schemas.microsoft.com/office/drawing/2014/main" id="{2819C103-F52D-4EE0-A817-FC0E50A5D91F}"/>
            </a:ext>
          </a:extLst>
        </xdr:cNvPr>
        <xdr:cNvPicPr>
          <a:picLocks noChangeAspect="1"/>
        </xdr:cNvPicPr>
      </xdr:nvPicPr>
      <xdr:blipFill>
        <a:blip xmlns:r="http://schemas.openxmlformats.org/officeDocument/2006/relationships" r:embed="rId1"/>
        <a:stretch>
          <a:fillRect/>
        </a:stretch>
      </xdr:blipFill>
      <xdr:spPr>
        <a:xfrm>
          <a:off x="10229851" y="542925"/>
          <a:ext cx="3286124" cy="2025650"/>
        </a:xfrm>
        <a:prstGeom prst="rect">
          <a:avLst/>
        </a:prstGeom>
      </xdr:spPr>
    </xdr:pic>
    <xdr:clientData/>
  </xdr:twoCellAnchor>
  <xdr:twoCellAnchor editAs="oneCell">
    <xdr:from>
      <xdr:col>9</xdr:col>
      <xdr:colOff>38101</xdr:colOff>
      <xdr:row>16</xdr:row>
      <xdr:rowOff>31751</xdr:rowOff>
    </xdr:from>
    <xdr:to>
      <xdr:col>9</xdr:col>
      <xdr:colOff>3362325</xdr:colOff>
      <xdr:row>27</xdr:row>
      <xdr:rowOff>28574</xdr:rowOff>
    </xdr:to>
    <xdr:pic>
      <xdr:nvPicPr>
        <xdr:cNvPr id="3" name="Picture 2">
          <a:extLst>
            <a:ext uri="{FF2B5EF4-FFF2-40B4-BE49-F238E27FC236}">
              <a16:creationId xmlns:a16="http://schemas.microsoft.com/office/drawing/2014/main" id="{08D08A07-50B0-42E0-BA34-6337B416D6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1" y="3708401"/>
          <a:ext cx="3324224" cy="1806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57150</xdr:colOff>
      <xdr:row>30</xdr:row>
      <xdr:rowOff>9525</xdr:rowOff>
    </xdr:from>
    <xdr:ext cx="3276600" cy="1724025"/>
    <xdr:pic>
      <xdr:nvPicPr>
        <xdr:cNvPr id="4" name="Picture 3">
          <a:extLst>
            <a:ext uri="{FF2B5EF4-FFF2-40B4-BE49-F238E27FC236}">
              <a16:creationId xmlns:a16="http://schemas.microsoft.com/office/drawing/2014/main" id="{54846A0B-F6D3-4489-AB2B-D8DBBC489F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29850" y="6619875"/>
          <a:ext cx="327660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9</xdr:col>
      <xdr:colOff>57149</xdr:colOff>
      <xdr:row>2</xdr:row>
      <xdr:rowOff>38101</xdr:rowOff>
    </xdr:from>
    <xdr:to>
      <xdr:col>9</xdr:col>
      <xdr:colOff>3324224</xdr:colOff>
      <xdr:row>10</xdr:row>
      <xdr:rowOff>263526</xdr:rowOff>
    </xdr:to>
    <xdr:pic>
      <xdr:nvPicPr>
        <xdr:cNvPr id="2" name="Picture 1">
          <a:extLst>
            <a:ext uri="{FF2B5EF4-FFF2-40B4-BE49-F238E27FC236}">
              <a16:creationId xmlns:a16="http://schemas.microsoft.com/office/drawing/2014/main" id="{37AA2A2E-CAB7-4CFE-B6D1-5F297F54AD54}"/>
            </a:ext>
          </a:extLst>
        </xdr:cNvPr>
        <xdr:cNvPicPr>
          <a:picLocks noChangeAspect="1"/>
        </xdr:cNvPicPr>
      </xdr:nvPicPr>
      <xdr:blipFill>
        <a:blip xmlns:r="http://schemas.openxmlformats.org/officeDocument/2006/relationships" r:embed="rId1"/>
        <a:stretch>
          <a:fillRect/>
        </a:stretch>
      </xdr:blipFill>
      <xdr:spPr>
        <a:xfrm>
          <a:off x="10734674" y="419101"/>
          <a:ext cx="3267075" cy="1930400"/>
        </a:xfrm>
        <a:prstGeom prst="rect">
          <a:avLst/>
        </a:prstGeom>
      </xdr:spPr>
    </xdr:pic>
    <xdr:clientData/>
  </xdr:twoCellAnchor>
  <xdr:twoCellAnchor editAs="oneCell">
    <xdr:from>
      <xdr:col>9</xdr:col>
      <xdr:colOff>85726</xdr:colOff>
      <xdr:row>13</xdr:row>
      <xdr:rowOff>352425</xdr:rowOff>
    </xdr:from>
    <xdr:to>
      <xdr:col>9</xdr:col>
      <xdr:colOff>3362326</xdr:colOff>
      <xdr:row>23</xdr:row>
      <xdr:rowOff>66675</xdr:rowOff>
    </xdr:to>
    <xdr:pic>
      <xdr:nvPicPr>
        <xdr:cNvPr id="3" name="Picture 2">
          <a:extLst>
            <a:ext uri="{FF2B5EF4-FFF2-40B4-BE49-F238E27FC236}">
              <a16:creationId xmlns:a16="http://schemas.microsoft.com/office/drawing/2014/main" id="{7565A2A8-29A6-4563-BAC4-D9FDB5AACF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763251" y="2733675"/>
          <a:ext cx="32766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57149</xdr:colOff>
      <xdr:row>2</xdr:row>
      <xdr:rowOff>38101</xdr:rowOff>
    </xdr:from>
    <xdr:to>
      <xdr:col>9</xdr:col>
      <xdr:colOff>3324224</xdr:colOff>
      <xdr:row>10</xdr:row>
      <xdr:rowOff>263526</xdr:rowOff>
    </xdr:to>
    <xdr:pic>
      <xdr:nvPicPr>
        <xdr:cNvPr id="2" name="Picture 1">
          <a:extLst>
            <a:ext uri="{FF2B5EF4-FFF2-40B4-BE49-F238E27FC236}">
              <a16:creationId xmlns:a16="http://schemas.microsoft.com/office/drawing/2014/main" id="{3A8FBE69-8D73-4D02-9FF3-AA69AAD3A853}"/>
            </a:ext>
          </a:extLst>
        </xdr:cNvPr>
        <xdr:cNvPicPr>
          <a:picLocks noChangeAspect="1"/>
        </xdr:cNvPicPr>
      </xdr:nvPicPr>
      <xdr:blipFill>
        <a:blip xmlns:r="http://schemas.openxmlformats.org/officeDocument/2006/relationships" r:embed="rId1"/>
        <a:stretch>
          <a:fillRect/>
        </a:stretch>
      </xdr:blipFill>
      <xdr:spPr>
        <a:xfrm>
          <a:off x="10734674" y="419101"/>
          <a:ext cx="3267075" cy="1930400"/>
        </a:xfrm>
        <a:prstGeom prst="rect">
          <a:avLst/>
        </a:prstGeom>
      </xdr:spPr>
    </xdr:pic>
    <xdr:clientData/>
  </xdr:twoCellAnchor>
  <xdr:twoCellAnchor editAs="oneCell">
    <xdr:from>
      <xdr:col>9</xdr:col>
      <xdr:colOff>85726</xdr:colOff>
      <xdr:row>13</xdr:row>
      <xdr:rowOff>352425</xdr:rowOff>
    </xdr:from>
    <xdr:to>
      <xdr:col>9</xdr:col>
      <xdr:colOff>3362326</xdr:colOff>
      <xdr:row>23</xdr:row>
      <xdr:rowOff>228600</xdr:rowOff>
    </xdr:to>
    <xdr:pic>
      <xdr:nvPicPr>
        <xdr:cNvPr id="3" name="Picture 2">
          <a:extLst>
            <a:ext uri="{FF2B5EF4-FFF2-40B4-BE49-F238E27FC236}">
              <a16:creationId xmlns:a16="http://schemas.microsoft.com/office/drawing/2014/main" id="{B4BDF083-12E1-4BA3-9464-0F35791A78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763251" y="2733675"/>
          <a:ext cx="32766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47625</xdr:rowOff>
    </xdr:from>
    <xdr:to>
      <xdr:col>9</xdr:col>
      <xdr:colOff>3362325</xdr:colOff>
      <xdr:row>11</xdr:row>
      <xdr:rowOff>19050</xdr:rowOff>
    </xdr:to>
    <xdr:pic>
      <xdr:nvPicPr>
        <xdr:cNvPr id="4" name="Picture 3">
          <a:extLst>
            <a:ext uri="{FF2B5EF4-FFF2-40B4-BE49-F238E27FC236}">
              <a16:creationId xmlns:a16="http://schemas.microsoft.com/office/drawing/2014/main" id="{35DC31EF-BA81-4564-A041-17AB7ADE4F9B}"/>
            </a:ext>
          </a:extLst>
        </xdr:cNvPr>
        <xdr:cNvPicPr>
          <a:picLocks noChangeAspect="1"/>
        </xdr:cNvPicPr>
      </xdr:nvPicPr>
      <xdr:blipFill>
        <a:blip xmlns:r="http://schemas.openxmlformats.org/officeDocument/2006/relationships" r:embed="rId1"/>
        <a:stretch>
          <a:fillRect/>
        </a:stretch>
      </xdr:blipFill>
      <xdr:spPr>
        <a:xfrm>
          <a:off x="10458450" y="428625"/>
          <a:ext cx="3305175" cy="2000250"/>
        </a:xfrm>
        <a:prstGeom prst="rect">
          <a:avLst/>
        </a:prstGeom>
      </xdr:spPr>
    </xdr:pic>
    <xdr:clientData/>
  </xdr:twoCellAnchor>
  <xdr:twoCellAnchor editAs="oneCell">
    <xdr:from>
      <xdr:col>9</xdr:col>
      <xdr:colOff>38100</xdr:colOff>
      <xdr:row>16</xdr:row>
      <xdr:rowOff>28575</xdr:rowOff>
    </xdr:from>
    <xdr:to>
      <xdr:col>9</xdr:col>
      <xdr:colOff>3333750</xdr:colOff>
      <xdr:row>25</xdr:row>
      <xdr:rowOff>19050</xdr:rowOff>
    </xdr:to>
    <xdr:pic>
      <xdr:nvPicPr>
        <xdr:cNvPr id="5" name="Picture 4">
          <a:extLst>
            <a:ext uri="{FF2B5EF4-FFF2-40B4-BE49-F238E27FC236}">
              <a16:creationId xmlns:a16="http://schemas.microsoft.com/office/drawing/2014/main" id="{8BCD71C4-B927-4A32-995F-57F3AB5410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439400" y="3276600"/>
          <a:ext cx="3295650"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47625</xdr:colOff>
      <xdr:row>29</xdr:row>
      <xdr:rowOff>1</xdr:rowOff>
    </xdr:from>
    <xdr:ext cx="3314700" cy="1771650"/>
    <xdr:pic>
      <xdr:nvPicPr>
        <xdr:cNvPr id="6" name="Picture 5">
          <a:extLst>
            <a:ext uri="{FF2B5EF4-FFF2-40B4-BE49-F238E27FC236}">
              <a16:creationId xmlns:a16="http://schemas.microsoft.com/office/drawing/2014/main" id="{084B8F59-65A7-4546-95C3-2B3DAA6AD7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448925" y="5676901"/>
          <a:ext cx="33147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9</xdr:col>
      <xdr:colOff>57150</xdr:colOff>
      <xdr:row>2</xdr:row>
      <xdr:rowOff>161925</xdr:rowOff>
    </xdr:from>
    <xdr:to>
      <xdr:col>9</xdr:col>
      <xdr:colOff>3343275</xdr:colOff>
      <xdr:row>13</xdr:row>
      <xdr:rowOff>76200</xdr:rowOff>
    </xdr:to>
    <xdr:pic>
      <xdr:nvPicPr>
        <xdr:cNvPr id="2" name="Picture 1">
          <a:extLst>
            <a:ext uri="{FF2B5EF4-FFF2-40B4-BE49-F238E27FC236}">
              <a16:creationId xmlns:a16="http://schemas.microsoft.com/office/drawing/2014/main" id="{0E76993B-F06C-439A-B76E-678CB7F43A0D}"/>
            </a:ext>
          </a:extLst>
        </xdr:cNvPr>
        <xdr:cNvPicPr>
          <a:picLocks noChangeAspect="1"/>
        </xdr:cNvPicPr>
      </xdr:nvPicPr>
      <xdr:blipFill>
        <a:blip xmlns:r="http://schemas.openxmlformats.org/officeDocument/2006/relationships" r:embed="rId1"/>
        <a:stretch>
          <a:fillRect/>
        </a:stretch>
      </xdr:blipFill>
      <xdr:spPr>
        <a:xfrm>
          <a:off x="10563225" y="542925"/>
          <a:ext cx="3286125" cy="1971675"/>
        </a:xfrm>
        <a:prstGeom prst="rect">
          <a:avLst/>
        </a:prstGeom>
      </xdr:spPr>
    </xdr:pic>
    <xdr:clientData/>
  </xdr:twoCellAnchor>
  <xdr:twoCellAnchor editAs="oneCell">
    <xdr:from>
      <xdr:col>9</xdr:col>
      <xdr:colOff>47624</xdr:colOff>
      <xdr:row>19</xdr:row>
      <xdr:rowOff>123826</xdr:rowOff>
    </xdr:from>
    <xdr:to>
      <xdr:col>9</xdr:col>
      <xdr:colOff>3352800</xdr:colOff>
      <xdr:row>30</xdr:row>
      <xdr:rowOff>28576</xdr:rowOff>
    </xdr:to>
    <xdr:pic>
      <xdr:nvPicPr>
        <xdr:cNvPr id="3" name="Picture 2">
          <a:extLst>
            <a:ext uri="{FF2B5EF4-FFF2-40B4-BE49-F238E27FC236}">
              <a16:creationId xmlns:a16="http://schemas.microsoft.com/office/drawing/2014/main" id="{2AE4F7DF-1FA2-461E-A90E-824362BD24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53699" y="3695701"/>
          <a:ext cx="3305176"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47624</xdr:colOff>
      <xdr:row>2</xdr:row>
      <xdr:rowOff>85724</xdr:rowOff>
    </xdr:from>
    <xdr:to>
      <xdr:col>9</xdr:col>
      <xdr:colOff>3352800</xdr:colOff>
      <xdr:row>12</xdr:row>
      <xdr:rowOff>38099</xdr:rowOff>
    </xdr:to>
    <xdr:pic>
      <xdr:nvPicPr>
        <xdr:cNvPr id="2" name="Picture 1">
          <a:extLst>
            <a:ext uri="{FF2B5EF4-FFF2-40B4-BE49-F238E27FC236}">
              <a16:creationId xmlns:a16="http://schemas.microsoft.com/office/drawing/2014/main" id="{F2E0E8D5-CD21-46A4-A1F9-0B70943A0A87}"/>
            </a:ext>
          </a:extLst>
        </xdr:cNvPr>
        <xdr:cNvPicPr>
          <a:picLocks noChangeAspect="1"/>
        </xdr:cNvPicPr>
      </xdr:nvPicPr>
      <xdr:blipFill>
        <a:blip xmlns:r="http://schemas.openxmlformats.org/officeDocument/2006/relationships" r:embed="rId1"/>
        <a:stretch>
          <a:fillRect/>
        </a:stretch>
      </xdr:blipFill>
      <xdr:spPr>
        <a:xfrm>
          <a:off x="10220324" y="466724"/>
          <a:ext cx="3305176" cy="2009775"/>
        </a:xfrm>
        <a:prstGeom prst="rect">
          <a:avLst/>
        </a:prstGeom>
      </xdr:spPr>
    </xdr:pic>
    <xdr:clientData/>
  </xdr:twoCellAnchor>
  <xdr:twoCellAnchor editAs="oneCell">
    <xdr:from>
      <xdr:col>9</xdr:col>
      <xdr:colOff>47624</xdr:colOff>
      <xdr:row>14</xdr:row>
      <xdr:rowOff>152401</xdr:rowOff>
    </xdr:from>
    <xdr:to>
      <xdr:col>9</xdr:col>
      <xdr:colOff>3352800</xdr:colOff>
      <xdr:row>24</xdr:row>
      <xdr:rowOff>47625</xdr:rowOff>
    </xdr:to>
    <xdr:pic>
      <xdr:nvPicPr>
        <xdr:cNvPr id="3" name="Picture 2">
          <a:extLst>
            <a:ext uri="{FF2B5EF4-FFF2-40B4-BE49-F238E27FC236}">
              <a16:creationId xmlns:a16="http://schemas.microsoft.com/office/drawing/2014/main" id="{5E6A718E-A57F-4837-86A7-56F2D5D12D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20324" y="3076576"/>
          <a:ext cx="3305176"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47627</xdr:colOff>
      <xdr:row>27</xdr:row>
      <xdr:rowOff>28575</xdr:rowOff>
    </xdr:from>
    <xdr:ext cx="3286124" cy="1695450"/>
    <xdr:pic>
      <xdr:nvPicPr>
        <xdr:cNvPr id="4" name="Picture 3">
          <a:extLst>
            <a:ext uri="{FF2B5EF4-FFF2-40B4-BE49-F238E27FC236}">
              <a16:creationId xmlns:a16="http://schemas.microsoft.com/office/drawing/2014/main" id="{52D43157-CF51-4C9B-AE97-48F2D12EC1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20327" y="5410200"/>
          <a:ext cx="3286124"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9</xdr:col>
      <xdr:colOff>3362325</xdr:colOff>
      <xdr:row>12</xdr:row>
      <xdr:rowOff>73025</xdr:rowOff>
    </xdr:to>
    <xdr:pic>
      <xdr:nvPicPr>
        <xdr:cNvPr id="2" name="Picture 1">
          <a:extLst>
            <a:ext uri="{FF2B5EF4-FFF2-40B4-BE49-F238E27FC236}">
              <a16:creationId xmlns:a16="http://schemas.microsoft.com/office/drawing/2014/main" id="{621B86A5-DD2E-4F92-B8F4-DB61D0BECC03}"/>
            </a:ext>
          </a:extLst>
        </xdr:cNvPr>
        <xdr:cNvPicPr>
          <a:picLocks noChangeAspect="1"/>
        </xdr:cNvPicPr>
      </xdr:nvPicPr>
      <xdr:blipFill>
        <a:blip xmlns:r="http://schemas.openxmlformats.org/officeDocument/2006/relationships" r:embed="rId1"/>
        <a:stretch>
          <a:fillRect/>
        </a:stretch>
      </xdr:blipFill>
      <xdr:spPr>
        <a:xfrm>
          <a:off x="10610850" y="485775"/>
          <a:ext cx="3314700" cy="2025650"/>
        </a:xfrm>
        <a:prstGeom prst="rect">
          <a:avLst/>
        </a:prstGeom>
      </xdr:spPr>
    </xdr:pic>
    <xdr:clientData/>
  </xdr:twoCellAnchor>
  <xdr:twoCellAnchor editAs="oneCell">
    <xdr:from>
      <xdr:col>9</xdr:col>
      <xdr:colOff>38100</xdr:colOff>
      <xdr:row>13</xdr:row>
      <xdr:rowOff>304801</xdr:rowOff>
    </xdr:from>
    <xdr:to>
      <xdr:col>9</xdr:col>
      <xdr:colOff>3352800</xdr:colOff>
      <xdr:row>21</xdr:row>
      <xdr:rowOff>244476</xdr:rowOff>
    </xdr:to>
    <xdr:pic>
      <xdr:nvPicPr>
        <xdr:cNvPr id="3" name="Picture 2">
          <a:extLst>
            <a:ext uri="{FF2B5EF4-FFF2-40B4-BE49-F238E27FC236}">
              <a16:creationId xmlns:a16="http://schemas.microsoft.com/office/drawing/2014/main" id="{51F4F37C-242D-43CA-9CF7-73AB18BF3F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601325" y="2762251"/>
          <a:ext cx="331470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25</xdr:row>
      <xdr:rowOff>200026</xdr:rowOff>
    </xdr:from>
    <xdr:ext cx="3324225" cy="1724024"/>
    <xdr:pic>
      <xdr:nvPicPr>
        <xdr:cNvPr id="4" name="Picture 3">
          <a:extLst>
            <a:ext uri="{FF2B5EF4-FFF2-40B4-BE49-F238E27FC236}">
              <a16:creationId xmlns:a16="http://schemas.microsoft.com/office/drawing/2014/main" id="{0DDC5897-306E-412C-8FCF-E2344966D9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601325" y="5029201"/>
          <a:ext cx="3324225"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9</xdr:col>
      <xdr:colOff>31750</xdr:colOff>
      <xdr:row>14</xdr:row>
      <xdr:rowOff>69851</xdr:rowOff>
    </xdr:from>
    <xdr:to>
      <xdr:col>9</xdr:col>
      <xdr:colOff>3333749</xdr:colOff>
      <xdr:row>22</xdr:row>
      <xdr:rowOff>292101</xdr:rowOff>
    </xdr:to>
    <xdr:pic>
      <xdr:nvPicPr>
        <xdr:cNvPr id="2" name="Picture 1">
          <a:extLst>
            <a:ext uri="{FF2B5EF4-FFF2-40B4-BE49-F238E27FC236}">
              <a16:creationId xmlns:a16="http://schemas.microsoft.com/office/drawing/2014/main" id="{066C159E-52AE-4E65-881A-5EDF8CD1C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4450" y="2832101"/>
          <a:ext cx="3301999"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66675</xdr:colOff>
      <xdr:row>25</xdr:row>
      <xdr:rowOff>311150</xdr:rowOff>
    </xdr:from>
    <xdr:ext cx="3295650" cy="1762125"/>
    <xdr:pic>
      <xdr:nvPicPr>
        <xdr:cNvPr id="3" name="Picture 2">
          <a:extLst>
            <a:ext uri="{FF2B5EF4-FFF2-40B4-BE49-F238E27FC236}">
              <a16:creationId xmlns:a16="http://schemas.microsoft.com/office/drawing/2014/main" id="{ABF6F562-77E9-4488-8AAB-19DC91A708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39375" y="5207000"/>
          <a:ext cx="32956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2</xdr:row>
      <xdr:rowOff>95250</xdr:rowOff>
    </xdr:from>
    <xdr:to>
      <xdr:col>9</xdr:col>
      <xdr:colOff>3331567</xdr:colOff>
      <xdr:row>11</xdr:row>
      <xdr:rowOff>171450</xdr:rowOff>
    </xdr:to>
    <xdr:pic>
      <xdr:nvPicPr>
        <xdr:cNvPr id="4" name="Picture 3">
          <a:extLst>
            <a:ext uri="{FF2B5EF4-FFF2-40B4-BE49-F238E27FC236}">
              <a16:creationId xmlns:a16="http://schemas.microsoft.com/office/drawing/2014/main" id="{4D401749-7203-4117-A5B5-324307323CC0}"/>
            </a:ext>
          </a:extLst>
        </xdr:cNvPr>
        <xdr:cNvPicPr>
          <a:picLocks noChangeAspect="1"/>
        </xdr:cNvPicPr>
      </xdr:nvPicPr>
      <xdr:blipFill>
        <a:blip xmlns:r="http://schemas.openxmlformats.org/officeDocument/2006/relationships" r:embed="rId2"/>
        <a:stretch>
          <a:fillRect/>
        </a:stretch>
      </xdr:blipFill>
      <xdr:spPr>
        <a:xfrm>
          <a:off x="10220325" y="476250"/>
          <a:ext cx="3283942" cy="19431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50800</xdr:colOff>
      <xdr:row>16</xdr:row>
      <xdr:rowOff>88901</xdr:rowOff>
    </xdr:from>
    <xdr:to>
      <xdr:col>9</xdr:col>
      <xdr:colOff>3352799</xdr:colOff>
      <xdr:row>25</xdr:row>
      <xdr:rowOff>149226</xdr:rowOff>
    </xdr:to>
    <xdr:pic>
      <xdr:nvPicPr>
        <xdr:cNvPr id="2" name="Picture 1">
          <a:extLst>
            <a:ext uri="{FF2B5EF4-FFF2-40B4-BE49-F238E27FC236}">
              <a16:creationId xmlns:a16="http://schemas.microsoft.com/office/drawing/2014/main" id="{7576AF02-CB0A-4403-AD52-26D79CC97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109075" y="3013076"/>
          <a:ext cx="3301999"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95250</xdr:rowOff>
    </xdr:from>
    <xdr:to>
      <xdr:col>9</xdr:col>
      <xdr:colOff>3331567</xdr:colOff>
      <xdr:row>12</xdr:row>
      <xdr:rowOff>142875</xdr:rowOff>
    </xdr:to>
    <xdr:pic>
      <xdr:nvPicPr>
        <xdr:cNvPr id="3" name="Picture 2">
          <a:extLst>
            <a:ext uri="{FF2B5EF4-FFF2-40B4-BE49-F238E27FC236}">
              <a16:creationId xmlns:a16="http://schemas.microsoft.com/office/drawing/2014/main" id="{19C2A204-E282-4AD3-B8E7-99FDE52DFDD7}"/>
            </a:ext>
          </a:extLst>
        </xdr:cNvPr>
        <xdr:cNvPicPr>
          <a:picLocks noChangeAspect="1"/>
        </xdr:cNvPicPr>
      </xdr:nvPicPr>
      <xdr:blipFill>
        <a:blip xmlns:r="http://schemas.openxmlformats.org/officeDocument/2006/relationships" r:embed="rId2"/>
        <a:stretch>
          <a:fillRect/>
        </a:stretch>
      </xdr:blipFill>
      <xdr:spPr>
        <a:xfrm>
          <a:off x="10467975" y="476250"/>
          <a:ext cx="3283942" cy="19431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28576</xdr:colOff>
      <xdr:row>15</xdr:row>
      <xdr:rowOff>47622</xdr:rowOff>
    </xdr:from>
    <xdr:to>
      <xdr:col>9</xdr:col>
      <xdr:colOff>3371850</xdr:colOff>
      <xdr:row>24</xdr:row>
      <xdr:rowOff>152400</xdr:rowOff>
    </xdr:to>
    <xdr:pic>
      <xdr:nvPicPr>
        <xdr:cNvPr id="2" name="Picture 1">
          <a:extLst>
            <a:ext uri="{FF2B5EF4-FFF2-40B4-BE49-F238E27FC236}">
              <a16:creationId xmlns:a16="http://schemas.microsoft.com/office/drawing/2014/main" id="{EC8E0538-B99B-4723-BF57-89F976E0412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725151" y="2809872"/>
          <a:ext cx="3343274" cy="17526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28575</xdr:colOff>
      <xdr:row>25</xdr:row>
      <xdr:rowOff>161924</xdr:rowOff>
    </xdr:from>
    <xdr:to>
      <xdr:col>9</xdr:col>
      <xdr:colOff>3352800</xdr:colOff>
      <xdr:row>34</xdr:row>
      <xdr:rowOff>104775</xdr:rowOff>
    </xdr:to>
    <xdr:pic>
      <xdr:nvPicPr>
        <xdr:cNvPr id="3" name="Picture 2">
          <a:extLst>
            <a:ext uri="{FF2B5EF4-FFF2-40B4-BE49-F238E27FC236}">
              <a16:creationId xmlns:a16="http://schemas.microsoft.com/office/drawing/2014/main" id="{DF0DFB78-A0EE-4ED3-B964-3C7B4C24B0A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725150" y="5057774"/>
          <a:ext cx="3324225" cy="1724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19049</xdr:colOff>
      <xdr:row>2</xdr:row>
      <xdr:rowOff>57149</xdr:rowOff>
    </xdr:from>
    <xdr:to>
      <xdr:col>9</xdr:col>
      <xdr:colOff>3362324</xdr:colOff>
      <xdr:row>12</xdr:row>
      <xdr:rowOff>190500</xdr:rowOff>
    </xdr:to>
    <xdr:pic>
      <xdr:nvPicPr>
        <xdr:cNvPr id="4" name="Picture 3">
          <a:extLst>
            <a:ext uri="{FF2B5EF4-FFF2-40B4-BE49-F238E27FC236}">
              <a16:creationId xmlns:a16="http://schemas.microsoft.com/office/drawing/2014/main" id="{09704A63-6917-4FBD-98A3-8936A300BF74}"/>
            </a:ext>
          </a:extLst>
        </xdr:cNvPr>
        <xdr:cNvPicPr>
          <a:picLocks noChangeAspect="1"/>
        </xdr:cNvPicPr>
      </xdr:nvPicPr>
      <xdr:blipFill>
        <a:blip xmlns:r="http://schemas.openxmlformats.org/officeDocument/2006/relationships" r:embed="rId2"/>
        <a:stretch>
          <a:fillRect/>
        </a:stretch>
      </xdr:blipFill>
      <xdr:spPr>
        <a:xfrm>
          <a:off x="10715624" y="438149"/>
          <a:ext cx="3343275" cy="202882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9</xdr:col>
      <xdr:colOff>28575</xdr:colOff>
      <xdr:row>2</xdr:row>
      <xdr:rowOff>85726</xdr:rowOff>
    </xdr:from>
    <xdr:to>
      <xdr:col>9</xdr:col>
      <xdr:colOff>3362324</xdr:colOff>
      <xdr:row>12</xdr:row>
      <xdr:rowOff>0</xdr:rowOff>
    </xdr:to>
    <xdr:pic>
      <xdr:nvPicPr>
        <xdr:cNvPr id="2" name="Picture 1">
          <a:extLst>
            <a:ext uri="{FF2B5EF4-FFF2-40B4-BE49-F238E27FC236}">
              <a16:creationId xmlns:a16="http://schemas.microsoft.com/office/drawing/2014/main" id="{A818E912-7A04-4F95-986A-A3755AA43791}"/>
            </a:ext>
          </a:extLst>
        </xdr:cNvPr>
        <xdr:cNvPicPr>
          <a:picLocks noChangeAspect="1"/>
        </xdr:cNvPicPr>
      </xdr:nvPicPr>
      <xdr:blipFill>
        <a:blip xmlns:r="http://schemas.openxmlformats.org/officeDocument/2006/relationships" r:embed="rId1"/>
        <a:stretch>
          <a:fillRect/>
        </a:stretch>
      </xdr:blipFill>
      <xdr:spPr>
        <a:xfrm>
          <a:off x="10687050" y="466726"/>
          <a:ext cx="3333749" cy="1781174"/>
        </a:xfrm>
        <a:prstGeom prst="rect">
          <a:avLst/>
        </a:prstGeom>
      </xdr:spPr>
    </xdr:pic>
    <xdr:clientData/>
  </xdr:twoCellAnchor>
  <xdr:twoCellAnchor editAs="oneCell">
    <xdr:from>
      <xdr:col>9</xdr:col>
      <xdr:colOff>28575</xdr:colOff>
      <xdr:row>16</xdr:row>
      <xdr:rowOff>47627</xdr:rowOff>
    </xdr:from>
    <xdr:to>
      <xdr:col>9</xdr:col>
      <xdr:colOff>3343275</xdr:colOff>
      <xdr:row>26</xdr:row>
      <xdr:rowOff>142876</xdr:rowOff>
    </xdr:to>
    <xdr:pic>
      <xdr:nvPicPr>
        <xdr:cNvPr id="3" name="Picture 2">
          <a:extLst>
            <a:ext uri="{FF2B5EF4-FFF2-40B4-BE49-F238E27FC236}">
              <a16:creationId xmlns:a16="http://schemas.microsoft.com/office/drawing/2014/main" id="{732F76CC-CDB5-410A-B646-F157C4B047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687050" y="2943227"/>
          <a:ext cx="3314700"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9</xdr:col>
      <xdr:colOff>28575</xdr:colOff>
      <xdr:row>14</xdr:row>
      <xdr:rowOff>57150</xdr:rowOff>
    </xdr:from>
    <xdr:to>
      <xdr:col>9</xdr:col>
      <xdr:colOff>3362325</xdr:colOff>
      <xdr:row>25</xdr:row>
      <xdr:rowOff>73025</xdr:rowOff>
    </xdr:to>
    <xdr:pic>
      <xdr:nvPicPr>
        <xdr:cNvPr id="2" name="Picture 1">
          <a:extLst>
            <a:ext uri="{FF2B5EF4-FFF2-40B4-BE49-F238E27FC236}">
              <a16:creationId xmlns:a16="http://schemas.microsoft.com/office/drawing/2014/main" id="{58CF7FCA-B172-4ACF-8186-795A4D98DF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15675" y="3067050"/>
          <a:ext cx="3333750" cy="182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38099</xdr:colOff>
      <xdr:row>2</xdr:row>
      <xdr:rowOff>85725</xdr:rowOff>
    </xdr:from>
    <xdr:to>
      <xdr:col>9</xdr:col>
      <xdr:colOff>3362324</xdr:colOff>
      <xdr:row>12</xdr:row>
      <xdr:rowOff>114300</xdr:rowOff>
    </xdr:to>
    <xdr:pic>
      <xdr:nvPicPr>
        <xdr:cNvPr id="3" name="Picture 2">
          <a:extLst>
            <a:ext uri="{FF2B5EF4-FFF2-40B4-BE49-F238E27FC236}">
              <a16:creationId xmlns:a16="http://schemas.microsoft.com/office/drawing/2014/main" id="{9C6E2825-F23F-4113-A12A-CD49A1A0212B}"/>
            </a:ext>
          </a:extLst>
        </xdr:cNvPr>
        <xdr:cNvPicPr>
          <a:picLocks noChangeAspect="1"/>
        </xdr:cNvPicPr>
      </xdr:nvPicPr>
      <xdr:blipFill>
        <a:blip xmlns:r="http://schemas.openxmlformats.org/officeDocument/2006/relationships" r:embed="rId2"/>
        <a:stretch>
          <a:fillRect/>
        </a:stretch>
      </xdr:blipFill>
      <xdr:spPr>
        <a:xfrm>
          <a:off x="11125199" y="466725"/>
          <a:ext cx="3324225" cy="1924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E1517-78D6-46C3-A0FF-1D0636122743}">
  <dimension ref="A1:C31"/>
  <sheetViews>
    <sheetView tabSelected="1" zoomScale="110" zoomScaleNormal="110" workbookViewId="0">
      <pane ySplit="1" topLeftCell="A2" activePane="bottomLeft" state="frozen"/>
      <selection pane="bottomLeft" activeCell="C8" sqref="C8"/>
    </sheetView>
  </sheetViews>
  <sheetFormatPr defaultColWidth="9.140625" defaultRowHeight="15" x14ac:dyDescent="0.25"/>
  <cols>
    <col min="1" max="1" width="6.140625" style="2" bestFit="1" customWidth="1"/>
    <col min="2" max="2" width="10.42578125" style="2" bestFit="1" customWidth="1"/>
    <col min="3" max="3" width="56.85546875" style="2" bestFit="1" customWidth="1"/>
    <col min="4" max="16384" width="9.140625" style="2"/>
  </cols>
  <sheetData>
    <row r="1" spans="1:3" x14ac:dyDescent="0.25">
      <c r="A1" s="1" t="s">
        <v>844</v>
      </c>
      <c r="B1" s="1" t="s">
        <v>845</v>
      </c>
      <c r="C1" s="1" t="s">
        <v>846</v>
      </c>
    </row>
    <row r="2" spans="1:3" x14ac:dyDescent="0.25">
      <c r="A2" s="3">
        <v>1</v>
      </c>
      <c r="B2" s="4" t="s">
        <v>847</v>
      </c>
      <c r="C2" s="5" t="s">
        <v>1</v>
      </c>
    </row>
    <row r="3" spans="1:3" x14ac:dyDescent="0.25">
      <c r="A3" s="3">
        <v>2</v>
      </c>
      <c r="B3" s="4" t="s">
        <v>848</v>
      </c>
      <c r="C3" s="5" t="s">
        <v>849</v>
      </c>
    </row>
    <row r="4" spans="1:3" x14ac:dyDescent="0.25">
      <c r="A4" s="3">
        <v>3</v>
      </c>
      <c r="B4" s="4" t="s">
        <v>850</v>
      </c>
      <c r="C4" s="5" t="s">
        <v>193</v>
      </c>
    </row>
    <row r="5" spans="1:3" x14ac:dyDescent="0.25">
      <c r="A5" s="3">
        <v>4</v>
      </c>
      <c r="B5" s="4" t="s">
        <v>851</v>
      </c>
      <c r="C5" s="5" t="s">
        <v>852</v>
      </c>
    </row>
    <row r="6" spans="1:3" x14ac:dyDescent="0.25">
      <c r="A6" s="3">
        <v>5</v>
      </c>
      <c r="B6" s="4" t="s">
        <v>853</v>
      </c>
      <c r="C6" s="5" t="s">
        <v>1175</v>
      </c>
    </row>
    <row r="7" spans="1:3" x14ac:dyDescent="0.25">
      <c r="A7" s="3">
        <v>6</v>
      </c>
      <c r="B7" s="4" t="s">
        <v>854</v>
      </c>
      <c r="C7" s="5" t="s">
        <v>1176</v>
      </c>
    </row>
    <row r="8" spans="1:3" x14ac:dyDescent="0.25">
      <c r="A8" s="3">
        <v>7</v>
      </c>
      <c r="B8" s="4" t="s">
        <v>855</v>
      </c>
      <c r="C8" s="5" t="s">
        <v>856</v>
      </c>
    </row>
    <row r="9" spans="1:3" x14ac:dyDescent="0.25">
      <c r="A9" s="3">
        <v>8</v>
      </c>
      <c r="B9" s="4" t="s">
        <v>857</v>
      </c>
      <c r="C9" s="5" t="s">
        <v>858</v>
      </c>
    </row>
    <row r="10" spans="1:3" x14ac:dyDescent="0.25">
      <c r="A10" s="3">
        <v>9</v>
      </c>
      <c r="B10" s="4" t="s">
        <v>859</v>
      </c>
      <c r="C10" s="5" t="s">
        <v>476</v>
      </c>
    </row>
    <row r="11" spans="1:3" x14ac:dyDescent="0.25">
      <c r="A11" s="3">
        <v>10</v>
      </c>
      <c r="B11" s="4" t="s">
        <v>860</v>
      </c>
      <c r="C11" s="5" t="s">
        <v>481</v>
      </c>
    </row>
    <row r="12" spans="1:3" x14ac:dyDescent="0.25">
      <c r="A12" s="3">
        <v>11</v>
      </c>
      <c r="B12" s="4" t="s">
        <v>861</v>
      </c>
      <c r="C12" s="5" t="s">
        <v>482</v>
      </c>
    </row>
    <row r="13" spans="1:3" x14ac:dyDescent="0.25">
      <c r="A13" s="3">
        <v>12</v>
      </c>
      <c r="B13" s="4" t="s">
        <v>862</v>
      </c>
      <c r="C13" s="5" t="s">
        <v>483</v>
      </c>
    </row>
    <row r="14" spans="1:3" x14ac:dyDescent="0.25">
      <c r="A14" s="3">
        <v>13</v>
      </c>
      <c r="B14" s="4" t="s">
        <v>863</v>
      </c>
      <c r="C14" s="5" t="s">
        <v>484</v>
      </c>
    </row>
    <row r="15" spans="1:3" x14ac:dyDescent="0.25">
      <c r="A15" s="3">
        <v>14</v>
      </c>
      <c r="B15" s="4" t="s">
        <v>864</v>
      </c>
      <c r="C15" s="5" t="s">
        <v>542</v>
      </c>
    </row>
    <row r="16" spans="1:3" x14ac:dyDescent="0.25">
      <c r="A16" s="3">
        <v>15</v>
      </c>
      <c r="B16" s="4" t="s">
        <v>865</v>
      </c>
      <c r="C16" s="5" t="s">
        <v>866</v>
      </c>
    </row>
    <row r="17" spans="1:3" x14ac:dyDescent="0.25">
      <c r="A17" s="3">
        <v>16</v>
      </c>
      <c r="B17" s="4" t="s">
        <v>867</v>
      </c>
      <c r="C17" s="5" t="s">
        <v>677</v>
      </c>
    </row>
    <row r="18" spans="1:3" x14ac:dyDescent="0.25">
      <c r="A18" s="3">
        <v>17</v>
      </c>
      <c r="B18" s="4" t="s">
        <v>868</v>
      </c>
      <c r="C18" s="5" t="s">
        <v>686</v>
      </c>
    </row>
    <row r="19" spans="1:3" x14ac:dyDescent="0.25">
      <c r="A19" s="3">
        <v>18</v>
      </c>
      <c r="B19" s="4" t="s">
        <v>869</v>
      </c>
      <c r="C19" s="5" t="s">
        <v>703</v>
      </c>
    </row>
    <row r="20" spans="1:3" x14ac:dyDescent="0.25">
      <c r="A20" s="3">
        <v>19</v>
      </c>
      <c r="B20" s="4" t="s">
        <v>870</v>
      </c>
      <c r="C20" s="5" t="s">
        <v>871</v>
      </c>
    </row>
    <row r="21" spans="1:3" x14ac:dyDescent="0.25">
      <c r="A21" s="3">
        <v>20</v>
      </c>
      <c r="B21" s="4" t="s">
        <v>872</v>
      </c>
      <c r="C21" s="5" t="s">
        <v>729</v>
      </c>
    </row>
    <row r="22" spans="1:3" x14ac:dyDescent="0.25">
      <c r="A22" s="3">
        <v>21</v>
      </c>
      <c r="B22" s="4" t="s">
        <v>873</v>
      </c>
      <c r="C22" s="5" t="s">
        <v>874</v>
      </c>
    </row>
    <row r="23" spans="1:3" x14ac:dyDescent="0.25">
      <c r="A23" s="3">
        <v>22</v>
      </c>
      <c r="B23" s="4" t="s">
        <v>875</v>
      </c>
      <c r="C23" s="5" t="s">
        <v>795</v>
      </c>
    </row>
    <row r="24" spans="1:3" x14ac:dyDescent="0.25">
      <c r="A24" s="3">
        <v>23</v>
      </c>
      <c r="B24" s="4" t="s">
        <v>876</v>
      </c>
      <c r="C24" s="5" t="s">
        <v>802</v>
      </c>
    </row>
    <row r="25" spans="1:3" x14ac:dyDescent="0.25">
      <c r="A25" s="3">
        <v>24</v>
      </c>
      <c r="B25" s="4" t="s">
        <v>877</v>
      </c>
      <c r="C25" s="5" t="s">
        <v>805</v>
      </c>
    </row>
    <row r="26" spans="1:3" x14ac:dyDescent="0.25">
      <c r="A26" s="3">
        <v>25</v>
      </c>
      <c r="B26" s="4" t="s">
        <v>878</v>
      </c>
      <c r="C26" s="5" t="s">
        <v>811</v>
      </c>
    </row>
    <row r="27" spans="1:3" x14ac:dyDescent="0.25">
      <c r="A27" s="3">
        <v>26</v>
      </c>
      <c r="B27" s="4" t="s">
        <v>879</v>
      </c>
      <c r="C27" s="5" t="s">
        <v>812</v>
      </c>
    </row>
    <row r="28" spans="1:3" x14ac:dyDescent="0.25">
      <c r="A28" s="3">
        <v>27</v>
      </c>
      <c r="B28" s="4" t="s">
        <v>880</v>
      </c>
      <c r="C28" s="5" t="s">
        <v>824</v>
      </c>
    </row>
    <row r="29" spans="1:3" x14ac:dyDescent="0.25">
      <c r="A29" s="3">
        <v>28</v>
      </c>
      <c r="B29" s="4" t="s">
        <v>881</v>
      </c>
      <c r="C29" s="5" t="s">
        <v>827</v>
      </c>
    </row>
    <row r="30" spans="1:3" x14ac:dyDescent="0.25">
      <c r="A30" s="3">
        <v>29</v>
      </c>
      <c r="B30" s="4" t="s">
        <v>882</v>
      </c>
      <c r="C30" s="5" t="s">
        <v>833</v>
      </c>
    </row>
    <row r="31" spans="1:3" x14ac:dyDescent="0.25">
      <c r="A31" s="3">
        <v>30</v>
      </c>
      <c r="B31" s="6" t="s">
        <v>883</v>
      </c>
      <c r="C31" s="5" t="s">
        <v>813</v>
      </c>
    </row>
  </sheetData>
  <hyperlinks>
    <hyperlink ref="B4" location="MIDCAP!A1" display="MIDCAP" xr:uid="{BD648CA6-F11A-4DB5-94DA-5DA080530B0F}"/>
    <hyperlink ref="B5" location="MULTIP!A1" display="MULTIP" xr:uid="{D7E7AD69-35C9-4292-AA0F-9413BD3F8A0B}"/>
    <hyperlink ref="B6" location="SLTADV3!A1" display="SLTADV3" xr:uid="{5B917357-FC39-4145-9A8D-801637F6B2E7}"/>
    <hyperlink ref="B7" location="SLTADV4!A1" display="SLTADV4" xr:uid="{3EF13AA5-FB58-4765-B4B9-164517B983BC}"/>
    <hyperlink ref="B8" location="SLTAX1!A1" display="SLTAX1" xr:uid="{773CC5A9-1852-43D3-8F4E-48AA5A421AA8}"/>
    <hyperlink ref="B9" location="SLTAX2!A1" display="SLTAX2" xr:uid="{9FDC3FFB-8235-4FED-8EEE-65DDB3B1D419}"/>
    <hyperlink ref="B10" location="SLTAX3!A1" display="SLTAX3" xr:uid="{0244D46E-1C27-4BA0-9904-38A8695B9F33}"/>
    <hyperlink ref="B11" location="SLTAX4!A1" display="SLTAX4" xr:uid="{85EB7034-E1E5-456D-947F-A5D9313BF2F3}"/>
    <hyperlink ref="B12" location="SLTAX5!A1" display="SLTAX5" xr:uid="{AC5E12C0-7560-46FA-BEA5-B7291DC7E2E8}"/>
    <hyperlink ref="B13" location="SLTAX6!A1" display="SLTAX6" xr:uid="{1D0A6470-E209-494A-A6C9-01D726D85035}"/>
    <hyperlink ref="B14" location="SMILE!A1" display="SMILE" xr:uid="{5BCA2A81-410E-40A8-B47C-4ABD53E84EE3}"/>
    <hyperlink ref="B15" location="SPAHF!A1" display="SPAHF" xr:uid="{D663DB87-6D2E-4A4A-8699-BC2E8BED207F}"/>
    <hyperlink ref="B16" location="SPARF!A1" display="SPARF" xr:uid="{05F9EB96-9E1F-45DB-9196-F92CC0E3F025}"/>
    <hyperlink ref="B17" location="SPBAF!A1" display="SPBAF" xr:uid="{5935322E-8B90-4837-8E67-027F7A64C0D1}"/>
    <hyperlink ref="B19" location="SPESF!A1" display="SPESF" xr:uid="{5CCFC404-5541-4A99-806B-01E4AC8C5963}"/>
    <hyperlink ref="B20" location="SPFOCUS!A1" display="SPFOCUS" xr:uid="{8D88B703-A111-4ACA-91B5-263EAFC78E06}"/>
    <hyperlink ref="B21" location="SPMUCF!A1" display="SPMUCF" xr:uid="{BFC6A94D-76BF-4C52-9674-297F90541F20}"/>
    <hyperlink ref="B22" location="SPSN100!A1" display="SPSN100" xr:uid="{FAD36CAD-9A02-4075-87AA-8D6407304D84}"/>
    <hyperlink ref="B23" location="SPTAX!A1" display="SPTAX" xr:uid="{C23649D3-169F-43C1-97AA-03FB57F2951C}"/>
    <hyperlink ref="B24" location="SRURAL!A1" display="SRURAL" xr:uid="{60163194-EA1C-4657-9735-23F94B794A20}"/>
    <hyperlink ref="B25" location="SSFUND!A1" display="SSFUND" xr:uid="{B0EDB8E6-BDF1-465B-8986-098D27F9223E}"/>
    <hyperlink ref="B26" location="STAX!A1" display="STAX" xr:uid="{8A6F6051-8DE0-4C84-A22A-09E3B806902B}"/>
    <hyperlink ref="B27" location="SUNBCF!A1" display="SUNBCF" xr:uid="{D6762AB7-B6BA-4857-A95E-D60E0C727B8D}"/>
    <hyperlink ref="B29" location="SUNFOP!A1" display="SUNFOP" xr:uid="{C6B904B2-0C81-473C-83A8-58B5C3FB4CF8}"/>
    <hyperlink ref="B3" location="GLOB!A1" display="GLOB" xr:uid="{11CAC0A0-770C-48F6-9D63-62EBE205BDFE}"/>
    <hyperlink ref="B28" location="SUNFCF!A1" display="SUNFCF" xr:uid="{99391FC3-DED5-480C-9F15-149C85A31E4B}"/>
    <hyperlink ref="B18" location="SPDYF!A1" display="SPDYF" xr:uid="{30FB3667-EBD5-4FB4-85B8-869388BF080C}"/>
    <hyperlink ref="B30" location="SUNMAF!A1" display="SUNMAF" xr:uid="{23248867-0A3D-4C59-825C-1FEA58527489}"/>
    <hyperlink ref="B2" location="CAPEXG!A1" display="CAPEXG" xr:uid="{95D0883A-6F04-4A87-BA2E-D3B961F98AF3}"/>
    <hyperlink ref="B31" location="SUNCYF!A1" display="SUNCYF" xr:uid="{4FBB4452-263F-4100-90F8-6F9A9B8832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FFC5B-0B5D-4285-8D71-E2BC6436E7D2}">
  <sheetPr>
    <outlinePr summaryBelow="0" summaryRight="0"/>
  </sheetPr>
  <dimension ref="A1:Q155"/>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39.140625" style="114" bestFit="1" customWidth="1"/>
    <col min="4" max="4" width="17.7109375" style="114" bestFit="1" customWidth="1"/>
    <col min="5" max="5" width="10.4257812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3" ht="15" x14ac:dyDescent="0.2">
      <c r="A1" s="113" t="s">
        <v>0</v>
      </c>
      <c r="B1" s="113"/>
      <c r="C1" s="113"/>
      <c r="D1" s="113"/>
      <c r="E1" s="113"/>
      <c r="F1" s="113"/>
      <c r="G1" s="113"/>
      <c r="H1" s="113"/>
      <c r="I1" s="7" t="s">
        <v>884</v>
      </c>
      <c r="J1" s="8"/>
      <c r="M1" t="str" cm="1">
        <f t="array" aca="1" ref="M1" ca="1">MID(CELL("filename"),FIND("]",CELL("filename"))+1,255)</f>
        <v>SUNMAF</v>
      </c>
    </row>
    <row r="2" spans="1:13" ht="15" x14ac:dyDescent="0.2">
      <c r="A2" s="113" t="s">
        <v>1</v>
      </c>
      <c r="B2" s="113"/>
      <c r="C2" s="113"/>
      <c r="D2" s="113"/>
      <c r="E2" s="113"/>
      <c r="F2" s="113"/>
      <c r="G2" s="113"/>
      <c r="H2" s="113"/>
      <c r="J2" s="9" t="s">
        <v>885</v>
      </c>
    </row>
    <row r="3" spans="1:13" ht="15" x14ac:dyDescent="0.2">
      <c r="A3" s="113" t="s">
        <v>887</v>
      </c>
      <c r="B3" s="113"/>
      <c r="C3" s="113"/>
      <c r="D3" s="113"/>
      <c r="E3" s="113"/>
      <c r="F3" s="113"/>
      <c r="G3" s="113"/>
      <c r="H3" s="113"/>
      <c r="J3" s="8"/>
    </row>
    <row r="4" spans="1:13" s="10" customFormat="1" ht="30" x14ac:dyDescent="0.2">
      <c r="A4" s="115" t="s">
        <v>2</v>
      </c>
      <c r="B4" s="115" t="s">
        <v>3</v>
      </c>
      <c r="C4" s="115" t="s">
        <v>4</v>
      </c>
      <c r="D4" s="115" t="s">
        <v>5</v>
      </c>
      <c r="E4" s="115" t="s">
        <v>6</v>
      </c>
      <c r="F4" s="115" t="s">
        <v>7</v>
      </c>
      <c r="G4" s="115" t="s">
        <v>8</v>
      </c>
      <c r="H4" s="116" t="s">
        <v>886</v>
      </c>
      <c r="I4" s="117"/>
      <c r="J4" s="8"/>
    </row>
    <row r="5" spans="1:13" x14ac:dyDescent="0.2">
      <c r="A5" s="118"/>
      <c r="B5" s="118"/>
      <c r="C5" s="119" t="s">
        <v>9</v>
      </c>
      <c r="D5" s="118"/>
      <c r="E5" s="118"/>
      <c r="F5" s="118"/>
      <c r="G5" s="118"/>
      <c r="H5" s="120" t="s">
        <v>151</v>
      </c>
      <c r="J5" s="8"/>
    </row>
    <row r="6" spans="1:13" x14ac:dyDescent="0.2">
      <c r="A6" s="118"/>
      <c r="B6" s="118"/>
      <c r="C6" s="119" t="s">
        <v>10</v>
      </c>
      <c r="D6" s="118"/>
      <c r="E6" s="118"/>
      <c r="F6" s="118"/>
      <c r="G6" s="118"/>
      <c r="H6" s="120" t="s">
        <v>151</v>
      </c>
      <c r="J6" s="8"/>
    </row>
    <row r="7" spans="1:13" x14ac:dyDescent="0.2">
      <c r="A7" s="121">
        <v>1</v>
      </c>
      <c r="B7" s="122" t="s">
        <v>11</v>
      </c>
      <c r="C7" s="122" t="s">
        <v>12</v>
      </c>
      <c r="D7" s="122" t="s">
        <v>13</v>
      </c>
      <c r="E7" s="123">
        <v>205000</v>
      </c>
      <c r="F7" s="124">
        <v>7534.8774999999996</v>
      </c>
      <c r="G7" s="125">
        <v>7.0586830000000003E-2</v>
      </c>
      <c r="H7" s="120" t="s">
        <v>151</v>
      </c>
      <c r="J7" s="8"/>
    </row>
    <row r="8" spans="1:13" x14ac:dyDescent="0.2">
      <c r="A8" s="121">
        <v>2</v>
      </c>
      <c r="B8" s="122" t="s">
        <v>14</v>
      </c>
      <c r="C8" s="122" t="s">
        <v>15</v>
      </c>
      <c r="D8" s="122" t="s">
        <v>16</v>
      </c>
      <c r="E8" s="123">
        <v>425000</v>
      </c>
      <c r="F8" s="124">
        <v>7265.5874999999996</v>
      </c>
      <c r="G8" s="125">
        <v>6.8064109999999997E-2</v>
      </c>
      <c r="H8" s="120" t="s">
        <v>151</v>
      </c>
      <c r="J8" s="8"/>
    </row>
    <row r="9" spans="1:13" x14ac:dyDescent="0.2">
      <c r="A9" s="121">
        <v>3</v>
      </c>
      <c r="B9" s="122" t="s">
        <v>17</v>
      </c>
      <c r="C9" s="122" t="s">
        <v>18</v>
      </c>
      <c r="D9" s="122" t="s">
        <v>19</v>
      </c>
      <c r="E9" s="123">
        <v>1465000</v>
      </c>
      <c r="F9" s="124">
        <v>6492.88</v>
      </c>
      <c r="G9" s="125">
        <v>6.0825379999999998E-2</v>
      </c>
      <c r="H9" s="120" t="s">
        <v>151</v>
      </c>
      <c r="J9" s="8"/>
    </row>
    <row r="10" spans="1:13" x14ac:dyDescent="0.2">
      <c r="A10" s="121">
        <v>4</v>
      </c>
      <c r="B10" s="122" t="s">
        <v>20</v>
      </c>
      <c r="C10" s="122" t="s">
        <v>21</v>
      </c>
      <c r="D10" s="122" t="s">
        <v>22</v>
      </c>
      <c r="E10" s="123">
        <v>206000</v>
      </c>
      <c r="F10" s="124">
        <v>6083.4889999999996</v>
      </c>
      <c r="G10" s="125">
        <v>5.6990199999999998E-2</v>
      </c>
      <c r="H10" s="120" t="s">
        <v>151</v>
      </c>
      <c r="J10" s="8"/>
    </row>
    <row r="11" spans="1:13" ht="25.5" x14ac:dyDescent="0.2">
      <c r="A11" s="121">
        <v>5</v>
      </c>
      <c r="B11" s="122" t="s">
        <v>23</v>
      </c>
      <c r="C11" s="122" t="s">
        <v>24</v>
      </c>
      <c r="D11" s="122" t="s">
        <v>25</v>
      </c>
      <c r="E11" s="123">
        <v>32000</v>
      </c>
      <c r="F11" s="124">
        <v>3776.64</v>
      </c>
      <c r="G11" s="125">
        <v>3.5379609999999999E-2</v>
      </c>
      <c r="H11" s="120" t="s">
        <v>151</v>
      </c>
      <c r="J11" s="8"/>
    </row>
    <row r="12" spans="1:13" ht="15" x14ac:dyDescent="0.2">
      <c r="A12" s="121">
        <v>6</v>
      </c>
      <c r="B12" s="122" t="s">
        <v>26</v>
      </c>
      <c r="C12" s="122" t="s">
        <v>27</v>
      </c>
      <c r="D12" s="122" t="s">
        <v>19</v>
      </c>
      <c r="E12" s="123">
        <v>750000</v>
      </c>
      <c r="F12" s="124">
        <v>2646.375</v>
      </c>
      <c r="G12" s="125">
        <v>2.4791270000000001E-2</v>
      </c>
      <c r="H12" s="120" t="s">
        <v>151</v>
      </c>
      <c r="J12" s="11"/>
    </row>
    <row r="13" spans="1:13" x14ac:dyDescent="0.2">
      <c r="A13" s="121">
        <v>7</v>
      </c>
      <c r="B13" s="122" t="s">
        <v>28</v>
      </c>
      <c r="C13" s="122" t="s">
        <v>29</v>
      </c>
      <c r="D13" s="122" t="s">
        <v>22</v>
      </c>
      <c r="E13" s="123">
        <v>575000</v>
      </c>
      <c r="F13" s="124">
        <v>2127.2125000000001</v>
      </c>
      <c r="G13" s="125">
        <v>1.9927750000000001E-2</v>
      </c>
      <c r="H13" s="120" t="s">
        <v>151</v>
      </c>
      <c r="J13" s="8"/>
    </row>
    <row r="14" spans="1:13" x14ac:dyDescent="0.2">
      <c r="A14" s="121">
        <v>8</v>
      </c>
      <c r="B14" s="122" t="s">
        <v>30</v>
      </c>
      <c r="C14" s="122" t="s">
        <v>31</v>
      </c>
      <c r="D14" s="122" t="s">
        <v>32</v>
      </c>
      <c r="E14" s="123">
        <v>31400</v>
      </c>
      <c r="F14" s="124">
        <v>1941.0695000000001</v>
      </c>
      <c r="G14" s="125">
        <v>1.8183959999999999E-2</v>
      </c>
      <c r="H14" s="120" t="s">
        <v>151</v>
      </c>
      <c r="J14" s="8"/>
    </row>
    <row r="15" spans="1:13" x14ac:dyDescent="0.2">
      <c r="A15" s="121">
        <v>9</v>
      </c>
      <c r="B15" s="122" t="s">
        <v>33</v>
      </c>
      <c r="C15" s="122" t="s">
        <v>34</v>
      </c>
      <c r="D15" s="122" t="s">
        <v>35</v>
      </c>
      <c r="E15" s="123">
        <v>40000</v>
      </c>
      <c r="F15" s="124">
        <v>1923.64</v>
      </c>
      <c r="G15" s="125">
        <v>1.8020680000000001E-2</v>
      </c>
      <c r="H15" s="120" t="s">
        <v>151</v>
      </c>
      <c r="J15" s="8" t="s">
        <v>905</v>
      </c>
    </row>
    <row r="16" spans="1:13" x14ac:dyDescent="0.2">
      <c r="A16" s="121">
        <v>10</v>
      </c>
      <c r="B16" s="122" t="s">
        <v>36</v>
      </c>
      <c r="C16" s="122" t="s">
        <v>37</v>
      </c>
      <c r="D16" s="122" t="s">
        <v>38</v>
      </c>
      <c r="E16" s="123">
        <v>650000</v>
      </c>
      <c r="F16" s="124">
        <v>1853.15</v>
      </c>
      <c r="G16" s="125">
        <v>1.736033E-2</v>
      </c>
      <c r="H16" s="120" t="s">
        <v>151</v>
      </c>
      <c r="J16" s="8"/>
    </row>
    <row r="17" spans="1:10" x14ac:dyDescent="0.2">
      <c r="A17" s="121">
        <v>11</v>
      </c>
      <c r="B17" s="122" t="s">
        <v>39</v>
      </c>
      <c r="C17" s="122" t="s">
        <v>40</v>
      </c>
      <c r="D17" s="122" t="s">
        <v>32</v>
      </c>
      <c r="E17" s="123">
        <v>205000</v>
      </c>
      <c r="F17" s="124">
        <v>1843.5650000000001</v>
      </c>
      <c r="G17" s="125">
        <v>1.7270540000000001E-2</v>
      </c>
      <c r="H17" s="120" t="s">
        <v>151</v>
      </c>
      <c r="J17" s="8"/>
    </row>
    <row r="18" spans="1:10" x14ac:dyDescent="0.2">
      <c r="A18" s="121">
        <v>12</v>
      </c>
      <c r="B18" s="122" t="s">
        <v>41</v>
      </c>
      <c r="C18" s="122" t="s">
        <v>42</v>
      </c>
      <c r="D18" s="122" t="s">
        <v>16</v>
      </c>
      <c r="E18" s="123">
        <v>126000</v>
      </c>
      <c r="F18" s="124">
        <v>1818.81</v>
      </c>
      <c r="G18" s="125">
        <v>1.7038640000000001E-2</v>
      </c>
      <c r="H18" s="120" t="s">
        <v>151</v>
      </c>
      <c r="J18" s="8"/>
    </row>
    <row r="19" spans="1:10" x14ac:dyDescent="0.2">
      <c r="A19" s="121">
        <v>13</v>
      </c>
      <c r="B19" s="122" t="s">
        <v>43</v>
      </c>
      <c r="C19" s="122" t="s">
        <v>44</v>
      </c>
      <c r="D19" s="122" t="s">
        <v>45</v>
      </c>
      <c r="E19" s="123">
        <v>127695</v>
      </c>
      <c r="F19" s="124">
        <v>1809.5019975</v>
      </c>
      <c r="G19" s="125">
        <v>1.6951440000000002E-2</v>
      </c>
      <c r="H19" s="120" t="s">
        <v>151</v>
      </c>
      <c r="J19" s="8"/>
    </row>
    <row r="20" spans="1:10" x14ac:dyDescent="0.2">
      <c r="A20" s="121">
        <v>14</v>
      </c>
      <c r="B20" s="122" t="s">
        <v>46</v>
      </c>
      <c r="C20" s="122" t="s">
        <v>47</v>
      </c>
      <c r="D20" s="122" t="s">
        <v>48</v>
      </c>
      <c r="E20" s="123">
        <v>138000</v>
      </c>
      <c r="F20" s="124">
        <v>1756.74</v>
      </c>
      <c r="G20" s="125">
        <v>1.6457159999999998E-2</v>
      </c>
      <c r="H20" s="120" t="s">
        <v>151</v>
      </c>
      <c r="J20" s="8"/>
    </row>
    <row r="21" spans="1:10" x14ac:dyDescent="0.2">
      <c r="A21" s="121">
        <v>15</v>
      </c>
      <c r="B21" s="122" t="s">
        <v>49</v>
      </c>
      <c r="C21" s="122" t="s">
        <v>50</v>
      </c>
      <c r="D21" s="122" t="s">
        <v>19</v>
      </c>
      <c r="E21" s="123">
        <v>350000</v>
      </c>
      <c r="F21" s="124">
        <v>1689.1</v>
      </c>
      <c r="G21" s="125">
        <v>1.5823509999999999E-2</v>
      </c>
      <c r="H21" s="120" t="s">
        <v>151</v>
      </c>
      <c r="J21" s="8"/>
    </row>
    <row r="22" spans="1:10" ht="15" x14ac:dyDescent="0.2">
      <c r="A22" s="121">
        <v>16</v>
      </c>
      <c r="B22" s="122" t="s">
        <v>51</v>
      </c>
      <c r="C22" s="122" t="s">
        <v>52</v>
      </c>
      <c r="D22" s="122" t="s">
        <v>13</v>
      </c>
      <c r="E22" s="123">
        <v>530000</v>
      </c>
      <c r="F22" s="124">
        <v>1599.2750000000001</v>
      </c>
      <c r="G22" s="125">
        <v>1.498203E-2</v>
      </c>
      <c r="H22" s="120" t="s">
        <v>151</v>
      </c>
      <c r="J22" s="11"/>
    </row>
    <row r="23" spans="1:10" x14ac:dyDescent="0.2">
      <c r="A23" s="121">
        <v>17</v>
      </c>
      <c r="B23" s="122" t="s">
        <v>53</v>
      </c>
      <c r="C23" s="122" t="s">
        <v>54</v>
      </c>
      <c r="D23" s="122" t="s">
        <v>55</v>
      </c>
      <c r="E23" s="123">
        <v>94000</v>
      </c>
      <c r="F23" s="124">
        <v>1580.14</v>
      </c>
      <c r="G23" s="125">
        <v>1.480277E-2</v>
      </c>
      <c r="H23" s="120" t="s">
        <v>151</v>
      </c>
      <c r="J23" s="8"/>
    </row>
    <row r="24" spans="1:10" x14ac:dyDescent="0.2">
      <c r="A24" s="121">
        <v>18</v>
      </c>
      <c r="B24" s="122" t="s">
        <v>56</v>
      </c>
      <c r="C24" s="122" t="s">
        <v>57</v>
      </c>
      <c r="D24" s="122" t="s">
        <v>58</v>
      </c>
      <c r="E24" s="123">
        <v>530000</v>
      </c>
      <c r="F24" s="124">
        <v>1577.28</v>
      </c>
      <c r="G24" s="125">
        <v>1.4775979999999999E-2</v>
      </c>
      <c r="H24" s="120" t="s">
        <v>151</v>
      </c>
      <c r="J24" s="8"/>
    </row>
    <row r="25" spans="1:10" x14ac:dyDescent="0.2">
      <c r="A25" s="121">
        <v>19</v>
      </c>
      <c r="B25" s="122" t="s">
        <v>59</v>
      </c>
      <c r="C25" s="122" t="s">
        <v>60</v>
      </c>
      <c r="D25" s="122" t="s">
        <v>55</v>
      </c>
      <c r="E25" s="123">
        <v>370000</v>
      </c>
      <c r="F25" s="124">
        <v>1550.855</v>
      </c>
      <c r="G25" s="125">
        <v>1.452843E-2</v>
      </c>
      <c r="H25" s="120" t="s">
        <v>151</v>
      </c>
      <c r="J25" s="8"/>
    </row>
    <row r="26" spans="1:10" x14ac:dyDescent="0.2">
      <c r="A26" s="121">
        <v>20</v>
      </c>
      <c r="B26" s="122" t="s">
        <v>61</v>
      </c>
      <c r="C26" s="122" t="s">
        <v>62</v>
      </c>
      <c r="D26" s="122" t="s">
        <v>13</v>
      </c>
      <c r="E26" s="123">
        <v>110000</v>
      </c>
      <c r="F26" s="124">
        <v>1503.9749999999999</v>
      </c>
      <c r="G26" s="125">
        <v>1.4089259999999999E-2</v>
      </c>
      <c r="H26" s="120" t="s">
        <v>151</v>
      </c>
      <c r="J26" s="8"/>
    </row>
    <row r="27" spans="1:10" x14ac:dyDescent="0.2">
      <c r="A27" s="121">
        <v>21</v>
      </c>
      <c r="B27" s="122" t="s">
        <v>63</v>
      </c>
      <c r="C27" s="122" t="s">
        <v>64</v>
      </c>
      <c r="D27" s="122" t="s">
        <v>48</v>
      </c>
      <c r="E27" s="123">
        <v>190000</v>
      </c>
      <c r="F27" s="124">
        <v>1497.01</v>
      </c>
      <c r="G27" s="125">
        <v>1.402401E-2</v>
      </c>
      <c r="H27" s="120" t="s">
        <v>151</v>
      </c>
      <c r="J27" s="8"/>
    </row>
    <row r="28" spans="1:10" x14ac:dyDescent="0.2">
      <c r="A28" s="121">
        <v>22</v>
      </c>
      <c r="B28" s="122" t="s">
        <v>65</v>
      </c>
      <c r="C28" s="122" t="s">
        <v>66</v>
      </c>
      <c r="D28" s="122" t="s">
        <v>67</v>
      </c>
      <c r="E28" s="123">
        <v>620000</v>
      </c>
      <c r="F28" s="124">
        <v>1489.798</v>
      </c>
      <c r="G28" s="125">
        <v>1.395645E-2</v>
      </c>
      <c r="H28" s="120" t="s">
        <v>151</v>
      </c>
      <c r="J28" s="8"/>
    </row>
    <row r="29" spans="1:10" x14ac:dyDescent="0.2">
      <c r="A29" s="121">
        <v>23</v>
      </c>
      <c r="B29" s="122" t="s">
        <v>68</v>
      </c>
      <c r="C29" s="122" t="s">
        <v>69</v>
      </c>
      <c r="D29" s="122" t="s">
        <v>70</v>
      </c>
      <c r="E29" s="123">
        <v>23000</v>
      </c>
      <c r="F29" s="124">
        <v>1489.1579999999999</v>
      </c>
      <c r="G29" s="125">
        <v>1.395045E-2</v>
      </c>
      <c r="H29" s="120" t="s">
        <v>151</v>
      </c>
      <c r="J29" s="8"/>
    </row>
    <row r="30" spans="1:10" x14ac:dyDescent="0.2">
      <c r="A30" s="121">
        <v>24</v>
      </c>
      <c r="B30" s="122" t="s">
        <v>71</v>
      </c>
      <c r="C30" s="122" t="s">
        <v>72</v>
      </c>
      <c r="D30" s="122" t="s">
        <v>13</v>
      </c>
      <c r="E30" s="123">
        <v>95750</v>
      </c>
      <c r="F30" s="124">
        <v>1482.832375</v>
      </c>
      <c r="G30" s="125">
        <v>1.3891189999999999E-2</v>
      </c>
      <c r="H30" s="120" t="s">
        <v>151</v>
      </c>
      <c r="J30" s="8"/>
    </row>
    <row r="31" spans="1:10" x14ac:dyDescent="0.2">
      <c r="A31" s="121">
        <v>25</v>
      </c>
      <c r="B31" s="122" t="s">
        <v>73</v>
      </c>
      <c r="C31" s="122" t="s">
        <v>74</v>
      </c>
      <c r="D31" s="122" t="s">
        <v>55</v>
      </c>
      <c r="E31" s="123">
        <v>20000</v>
      </c>
      <c r="F31" s="124">
        <v>1450</v>
      </c>
      <c r="G31" s="125">
        <v>1.3583619999999999E-2</v>
      </c>
      <c r="H31" s="120" t="s">
        <v>151</v>
      </c>
      <c r="J31" s="8"/>
    </row>
    <row r="32" spans="1:10" x14ac:dyDescent="0.2">
      <c r="A32" s="121">
        <v>26</v>
      </c>
      <c r="B32" s="122" t="s">
        <v>75</v>
      </c>
      <c r="C32" s="122" t="s">
        <v>76</v>
      </c>
      <c r="D32" s="122" t="s">
        <v>32</v>
      </c>
      <c r="E32" s="123">
        <v>113419</v>
      </c>
      <c r="F32" s="124">
        <v>1394.259767</v>
      </c>
      <c r="G32" s="125">
        <v>1.3061440000000001E-2</v>
      </c>
      <c r="H32" s="120" t="s">
        <v>151</v>
      </c>
      <c r="J32" s="8"/>
    </row>
    <row r="33" spans="1:10" ht="25.5" x14ac:dyDescent="0.2">
      <c r="A33" s="121">
        <v>27</v>
      </c>
      <c r="B33" s="122" t="s">
        <v>77</v>
      </c>
      <c r="C33" s="122" t="s">
        <v>78</v>
      </c>
      <c r="D33" s="122" t="s">
        <v>25</v>
      </c>
      <c r="E33" s="123">
        <v>30000</v>
      </c>
      <c r="F33" s="124">
        <v>1392.99</v>
      </c>
      <c r="G33" s="125">
        <v>1.304955E-2</v>
      </c>
      <c r="H33" s="120" t="s">
        <v>151</v>
      </c>
      <c r="J33" s="8"/>
    </row>
    <row r="34" spans="1:10" x14ac:dyDescent="0.2">
      <c r="A34" s="121">
        <v>28</v>
      </c>
      <c r="B34" s="122" t="s">
        <v>79</v>
      </c>
      <c r="C34" s="122" t="s">
        <v>80</v>
      </c>
      <c r="D34" s="122" t="s">
        <v>45</v>
      </c>
      <c r="E34" s="123">
        <v>70000</v>
      </c>
      <c r="F34" s="124">
        <v>1358.28</v>
      </c>
      <c r="G34" s="125">
        <v>1.272438E-2</v>
      </c>
      <c r="H34" s="120" t="s">
        <v>151</v>
      </c>
      <c r="J34" s="8"/>
    </row>
    <row r="35" spans="1:10" x14ac:dyDescent="0.2">
      <c r="A35" s="121">
        <v>29</v>
      </c>
      <c r="B35" s="122" t="s">
        <v>81</v>
      </c>
      <c r="C35" s="122" t="s">
        <v>82</v>
      </c>
      <c r="D35" s="122" t="s">
        <v>55</v>
      </c>
      <c r="E35" s="123">
        <v>14000</v>
      </c>
      <c r="F35" s="124">
        <v>1334.0039999999999</v>
      </c>
      <c r="G35" s="125">
        <v>1.249697E-2</v>
      </c>
      <c r="H35" s="120" t="s">
        <v>151</v>
      </c>
      <c r="J35" s="8"/>
    </row>
    <row r="36" spans="1:10" x14ac:dyDescent="0.2">
      <c r="A36" s="121">
        <v>30</v>
      </c>
      <c r="B36" s="122" t="s">
        <v>83</v>
      </c>
      <c r="C36" s="122" t="s">
        <v>84</v>
      </c>
      <c r="D36" s="122" t="s">
        <v>85</v>
      </c>
      <c r="E36" s="123">
        <v>27000</v>
      </c>
      <c r="F36" s="124">
        <v>1292.6115</v>
      </c>
      <c r="G36" s="125">
        <v>1.2109200000000001E-2</v>
      </c>
      <c r="H36" s="120" t="s">
        <v>151</v>
      </c>
      <c r="J36" s="8"/>
    </row>
    <row r="37" spans="1:10" ht="25.5" x14ac:dyDescent="0.2">
      <c r="A37" s="121">
        <v>31</v>
      </c>
      <c r="B37" s="122" t="s">
        <v>86</v>
      </c>
      <c r="C37" s="122" t="s">
        <v>87</v>
      </c>
      <c r="D37" s="122" t="s">
        <v>88</v>
      </c>
      <c r="E37" s="123">
        <v>2600</v>
      </c>
      <c r="F37" s="124">
        <v>1273.4670000000001</v>
      </c>
      <c r="G37" s="125">
        <v>1.192986E-2</v>
      </c>
      <c r="H37" s="120" t="s">
        <v>151</v>
      </c>
      <c r="J37" s="8"/>
    </row>
    <row r="38" spans="1:10" x14ac:dyDescent="0.2">
      <c r="A38" s="121">
        <v>32</v>
      </c>
      <c r="B38" s="122" t="s">
        <v>89</v>
      </c>
      <c r="C38" s="122" t="s">
        <v>90</v>
      </c>
      <c r="D38" s="122" t="s">
        <v>32</v>
      </c>
      <c r="E38" s="123">
        <v>29000</v>
      </c>
      <c r="F38" s="124">
        <v>1246.2170000000001</v>
      </c>
      <c r="G38" s="125">
        <v>1.167458E-2</v>
      </c>
      <c r="H38" s="120" t="s">
        <v>151</v>
      </c>
      <c r="J38" s="8"/>
    </row>
    <row r="39" spans="1:10" ht="25.5" x14ac:dyDescent="0.2">
      <c r="A39" s="121">
        <v>33</v>
      </c>
      <c r="B39" s="122" t="s">
        <v>91</v>
      </c>
      <c r="C39" s="122" t="s">
        <v>92</v>
      </c>
      <c r="D39" s="122" t="s">
        <v>93</v>
      </c>
      <c r="E39" s="123">
        <v>85000</v>
      </c>
      <c r="F39" s="124">
        <v>1230.97</v>
      </c>
      <c r="G39" s="125">
        <v>1.153174E-2</v>
      </c>
      <c r="H39" s="120" t="s">
        <v>151</v>
      </c>
      <c r="J39" s="8"/>
    </row>
    <row r="40" spans="1:10" x14ac:dyDescent="0.2">
      <c r="A40" s="121">
        <v>34</v>
      </c>
      <c r="B40" s="122" t="s">
        <v>94</v>
      </c>
      <c r="C40" s="122" t="s">
        <v>95</v>
      </c>
      <c r="D40" s="122" t="s">
        <v>32</v>
      </c>
      <c r="E40" s="123">
        <v>92441</v>
      </c>
      <c r="F40" s="124">
        <v>1225.952542</v>
      </c>
      <c r="G40" s="125">
        <v>1.148474E-2</v>
      </c>
      <c r="H40" s="120" t="s">
        <v>151</v>
      </c>
      <c r="J40" s="8"/>
    </row>
    <row r="41" spans="1:10" x14ac:dyDescent="0.2">
      <c r="A41" s="121">
        <v>35</v>
      </c>
      <c r="B41" s="122" t="s">
        <v>96</v>
      </c>
      <c r="C41" s="122" t="s">
        <v>97</v>
      </c>
      <c r="D41" s="122" t="s">
        <v>85</v>
      </c>
      <c r="E41" s="123">
        <v>130000</v>
      </c>
      <c r="F41" s="124">
        <v>1193.79</v>
      </c>
      <c r="G41" s="125">
        <v>1.1183439999999999E-2</v>
      </c>
      <c r="H41" s="120" t="s">
        <v>151</v>
      </c>
      <c r="J41" s="8"/>
    </row>
    <row r="42" spans="1:10" x14ac:dyDescent="0.2">
      <c r="A42" s="121">
        <v>36</v>
      </c>
      <c r="B42" s="122" t="s">
        <v>98</v>
      </c>
      <c r="C42" s="122" t="s">
        <v>99</v>
      </c>
      <c r="D42" s="122" t="s">
        <v>55</v>
      </c>
      <c r="E42" s="123">
        <v>8000</v>
      </c>
      <c r="F42" s="124">
        <v>1163.624</v>
      </c>
      <c r="G42" s="125">
        <v>1.090084E-2</v>
      </c>
      <c r="H42" s="120" t="s">
        <v>151</v>
      </c>
      <c r="J42" s="8"/>
    </row>
    <row r="43" spans="1:10" x14ac:dyDescent="0.2">
      <c r="A43" s="121">
        <v>37</v>
      </c>
      <c r="B43" s="122" t="s">
        <v>100</v>
      </c>
      <c r="C43" s="122" t="s">
        <v>101</v>
      </c>
      <c r="D43" s="122" t="s">
        <v>32</v>
      </c>
      <c r="E43" s="123">
        <v>48000</v>
      </c>
      <c r="F43" s="124">
        <v>1154.6400000000001</v>
      </c>
      <c r="G43" s="125">
        <v>1.081668E-2</v>
      </c>
      <c r="H43" s="120" t="s">
        <v>151</v>
      </c>
      <c r="J43" s="8"/>
    </row>
    <row r="44" spans="1:10" x14ac:dyDescent="0.2">
      <c r="A44" s="121">
        <v>38</v>
      </c>
      <c r="B44" s="122" t="s">
        <v>102</v>
      </c>
      <c r="C44" s="122" t="s">
        <v>103</v>
      </c>
      <c r="D44" s="122" t="s">
        <v>104</v>
      </c>
      <c r="E44" s="123">
        <v>225000</v>
      </c>
      <c r="F44" s="124">
        <v>1147.8375000000001</v>
      </c>
      <c r="G44" s="125">
        <v>1.0752960000000001E-2</v>
      </c>
      <c r="H44" s="120" t="s">
        <v>151</v>
      </c>
      <c r="J44" s="8"/>
    </row>
    <row r="45" spans="1:10" x14ac:dyDescent="0.2">
      <c r="A45" s="121">
        <v>39</v>
      </c>
      <c r="B45" s="122" t="s">
        <v>105</v>
      </c>
      <c r="C45" s="122" t="s">
        <v>106</v>
      </c>
      <c r="D45" s="122" t="s">
        <v>32</v>
      </c>
      <c r="E45" s="123">
        <v>30000</v>
      </c>
      <c r="F45" s="124">
        <v>1141.8150000000001</v>
      </c>
      <c r="G45" s="125">
        <v>1.0696539999999999E-2</v>
      </c>
      <c r="H45" s="120" t="s">
        <v>151</v>
      </c>
      <c r="J45" s="8"/>
    </row>
    <row r="46" spans="1:10" x14ac:dyDescent="0.2">
      <c r="A46" s="121">
        <v>40</v>
      </c>
      <c r="B46" s="122" t="s">
        <v>107</v>
      </c>
      <c r="C46" s="122" t="s">
        <v>108</v>
      </c>
      <c r="D46" s="122" t="s">
        <v>55</v>
      </c>
      <c r="E46" s="123">
        <v>150000</v>
      </c>
      <c r="F46" s="124">
        <v>1138.575</v>
      </c>
      <c r="G46" s="125">
        <v>1.0666190000000001E-2</v>
      </c>
      <c r="H46" s="120" t="s">
        <v>151</v>
      </c>
      <c r="J46" s="8"/>
    </row>
    <row r="47" spans="1:10" x14ac:dyDescent="0.2">
      <c r="A47" s="121">
        <v>41</v>
      </c>
      <c r="B47" s="122" t="s">
        <v>109</v>
      </c>
      <c r="C47" s="122" t="s">
        <v>110</v>
      </c>
      <c r="D47" s="122" t="s">
        <v>55</v>
      </c>
      <c r="E47" s="123">
        <v>22000</v>
      </c>
      <c r="F47" s="124">
        <v>1122.0440000000001</v>
      </c>
      <c r="G47" s="125">
        <v>1.0511319999999999E-2</v>
      </c>
      <c r="H47" s="120" t="s">
        <v>151</v>
      </c>
      <c r="J47" s="8"/>
    </row>
    <row r="48" spans="1:10" x14ac:dyDescent="0.2">
      <c r="A48" s="121">
        <v>42</v>
      </c>
      <c r="B48" s="122" t="s">
        <v>111</v>
      </c>
      <c r="C48" s="122" t="s">
        <v>112</v>
      </c>
      <c r="D48" s="122" t="s">
        <v>13</v>
      </c>
      <c r="E48" s="123">
        <v>250000</v>
      </c>
      <c r="F48" s="124">
        <v>1115.75</v>
      </c>
      <c r="G48" s="125">
        <v>1.0452360000000001E-2</v>
      </c>
      <c r="H48" s="120" t="s">
        <v>151</v>
      </c>
      <c r="J48" s="8"/>
    </row>
    <row r="49" spans="1:10" ht="25.5" x14ac:dyDescent="0.2">
      <c r="A49" s="121">
        <v>43</v>
      </c>
      <c r="B49" s="122" t="s">
        <v>113</v>
      </c>
      <c r="C49" s="122" t="s">
        <v>114</v>
      </c>
      <c r="D49" s="122" t="s">
        <v>25</v>
      </c>
      <c r="E49" s="123">
        <v>175000</v>
      </c>
      <c r="F49" s="124">
        <v>1106.9625000000001</v>
      </c>
      <c r="G49" s="125">
        <v>1.0370040000000001E-2</v>
      </c>
      <c r="H49" s="120" t="s">
        <v>151</v>
      </c>
      <c r="J49" s="8"/>
    </row>
    <row r="50" spans="1:10" x14ac:dyDescent="0.2">
      <c r="A50" s="121">
        <v>44</v>
      </c>
      <c r="B50" s="122" t="s">
        <v>115</v>
      </c>
      <c r="C50" s="122" t="s">
        <v>116</v>
      </c>
      <c r="D50" s="122" t="s">
        <v>32</v>
      </c>
      <c r="E50" s="123">
        <v>600000</v>
      </c>
      <c r="F50" s="124">
        <v>1047.42</v>
      </c>
      <c r="G50" s="125">
        <v>9.8122399999999999E-3</v>
      </c>
      <c r="H50" s="120" t="s">
        <v>151</v>
      </c>
      <c r="J50" s="8"/>
    </row>
    <row r="51" spans="1:10" x14ac:dyDescent="0.2">
      <c r="A51" s="121">
        <v>45</v>
      </c>
      <c r="B51" s="122" t="s">
        <v>117</v>
      </c>
      <c r="C51" s="122" t="s">
        <v>118</v>
      </c>
      <c r="D51" s="122" t="s">
        <v>70</v>
      </c>
      <c r="E51" s="123">
        <v>104000</v>
      </c>
      <c r="F51" s="124">
        <v>1041.9760000000001</v>
      </c>
      <c r="G51" s="125">
        <v>9.7612399999999992E-3</v>
      </c>
      <c r="H51" s="120" t="s">
        <v>151</v>
      </c>
      <c r="J51" s="8"/>
    </row>
    <row r="52" spans="1:10" x14ac:dyDescent="0.2">
      <c r="A52" s="121">
        <v>46</v>
      </c>
      <c r="B52" s="122" t="s">
        <v>119</v>
      </c>
      <c r="C52" s="122" t="s">
        <v>120</v>
      </c>
      <c r="D52" s="122" t="s">
        <v>121</v>
      </c>
      <c r="E52" s="123">
        <v>184999</v>
      </c>
      <c r="F52" s="124">
        <v>1025.8194550000001</v>
      </c>
      <c r="G52" s="125">
        <v>9.6098899999999994E-3</v>
      </c>
      <c r="H52" s="120" t="s">
        <v>151</v>
      </c>
      <c r="J52" s="8"/>
    </row>
    <row r="53" spans="1:10" x14ac:dyDescent="0.2">
      <c r="A53" s="121">
        <v>47</v>
      </c>
      <c r="B53" s="122" t="s">
        <v>122</v>
      </c>
      <c r="C53" s="122" t="s">
        <v>123</v>
      </c>
      <c r="D53" s="122" t="s">
        <v>13</v>
      </c>
      <c r="E53" s="123">
        <v>165000</v>
      </c>
      <c r="F53" s="124">
        <v>1017.06</v>
      </c>
      <c r="G53" s="125">
        <v>9.5278299999999993E-3</v>
      </c>
      <c r="H53" s="120" t="s">
        <v>151</v>
      </c>
      <c r="J53" s="8"/>
    </row>
    <row r="54" spans="1:10" x14ac:dyDescent="0.2">
      <c r="A54" s="121">
        <v>48</v>
      </c>
      <c r="B54" s="122" t="s">
        <v>124</v>
      </c>
      <c r="C54" s="122" t="s">
        <v>125</v>
      </c>
      <c r="D54" s="122" t="s">
        <v>85</v>
      </c>
      <c r="E54" s="123">
        <v>235000</v>
      </c>
      <c r="F54" s="124">
        <v>998.75</v>
      </c>
      <c r="G54" s="125">
        <v>9.3562999999999997E-3</v>
      </c>
      <c r="H54" s="120" t="s">
        <v>151</v>
      </c>
      <c r="J54" s="8"/>
    </row>
    <row r="55" spans="1:10" x14ac:dyDescent="0.2">
      <c r="A55" s="121">
        <v>49</v>
      </c>
      <c r="B55" s="122" t="s">
        <v>126</v>
      </c>
      <c r="C55" s="122" t="s">
        <v>127</v>
      </c>
      <c r="D55" s="122" t="s">
        <v>55</v>
      </c>
      <c r="E55" s="123">
        <v>145000</v>
      </c>
      <c r="F55" s="124">
        <v>993.10500000000002</v>
      </c>
      <c r="G55" s="125">
        <v>9.3034199999999997E-3</v>
      </c>
      <c r="H55" s="120" t="s">
        <v>151</v>
      </c>
      <c r="J55" s="8"/>
    </row>
    <row r="56" spans="1:10" x14ac:dyDescent="0.2">
      <c r="A56" s="121">
        <v>50</v>
      </c>
      <c r="B56" s="122" t="s">
        <v>128</v>
      </c>
      <c r="C56" s="122" t="s">
        <v>129</v>
      </c>
      <c r="D56" s="122" t="s">
        <v>70</v>
      </c>
      <c r="E56" s="123">
        <v>25000</v>
      </c>
      <c r="F56" s="124">
        <v>978.42499999999995</v>
      </c>
      <c r="G56" s="125">
        <v>9.1658999999999994E-3</v>
      </c>
      <c r="H56" s="120" t="s">
        <v>151</v>
      </c>
      <c r="J56" s="8"/>
    </row>
    <row r="57" spans="1:10" x14ac:dyDescent="0.2">
      <c r="A57" s="121">
        <v>51</v>
      </c>
      <c r="B57" s="122" t="s">
        <v>130</v>
      </c>
      <c r="C57" s="122" t="s">
        <v>131</v>
      </c>
      <c r="D57" s="122" t="s">
        <v>55</v>
      </c>
      <c r="E57" s="123">
        <v>12000</v>
      </c>
      <c r="F57" s="124">
        <v>966.6</v>
      </c>
      <c r="G57" s="125">
        <v>9.0551199999999998E-3</v>
      </c>
      <c r="H57" s="120" t="s">
        <v>151</v>
      </c>
      <c r="J57" s="8"/>
    </row>
    <row r="58" spans="1:10" x14ac:dyDescent="0.2">
      <c r="A58" s="121">
        <v>52</v>
      </c>
      <c r="B58" s="122" t="s">
        <v>132</v>
      </c>
      <c r="C58" s="122" t="s">
        <v>133</v>
      </c>
      <c r="D58" s="122" t="s">
        <v>134</v>
      </c>
      <c r="E58" s="123">
        <v>92972</v>
      </c>
      <c r="F58" s="124">
        <v>966.58339799999999</v>
      </c>
      <c r="G58" s="125">
        <v>9.0549700000000007E-3</v>
      </c>
      <c r="H58" s="120" t="s">
        <v>151</v>
      </c>
      <c r="J58" s="8"/>
    </row>
    <row r="59" spans="1:10" x14ac:dyDescent="0.2">
      <c r="A59" s="121">
        <v>53</v>
      </c>
      <c r="B59" s="122" t="s">
        <v>135</v>
      </c>
      <c r="C59" s="122" t="s">
        <v>136</v>
      </c>
      <c r="D59" s="122" t="s">
        <v>16</v>
      </c>
      <c r="E59" s="123">
        <v>240897</v>
      </c>
      <c r="F59" s="124">
        <v>945.64117350000004</v>
      </c>
      <c r="G59" s="125">
        <v>8.8587800000000001E-3</v>
      </c>
      <c r="H59" s="120" t="s">
        <v>151</v>
      </c>
      <c r="J59" s="8"/>
    </row>
    <row r="60" spans="1:10" x14ac:dyDescent="0.2">
      <c r="A60" s="121">
        <v>54</v>
      </c>
      <c r="B60" s="122" t="s">
        <v>137</v>
      </c>
      <c r="C60" s="122" t="s">
        <v>138</v>
      </c>
      <c r="D60" s="122" t="s">
        <v>32</v>
      </c>
      <c r="E60" s="123">
        <v>58000</v>
      </c>
      <c r="F60" s="124">
        <v>918.80700000000002</v>
      </c>
      <c r="G60" s="125">
        <v>8.6073999999999994E-3</v>
      </c>
      <c r="H60" s="120" t="s">
        <v>151</v>
      </c>
      <c r="J60" s="8"/>
    </row>
    <row r="61" spans="1:10" ht="25.5" x14ac:dyDescent="0.2">
      <c r="A61" s="121">
        <v>55</v>
      </c>
      <c r="B61" s="122" t="s">
        <v>139</v>
      </c>
      <c r="C61" s="122" t="s">
        <v>140</v>
      </c>
      <c r="D61" s="122" t="s">
        <v>25</v>
      </c>
      <c r="E61" s="123">
        <v>391000</v>
      </c>
      <c r="F61" s="124">
        <v>875.80089999999996</v>
      </c>
      <c r="G61" s="125">
        <v>8.2045099999999999E-3</v>
      </c>
      <c r="H61" s="120" t="s">
        <v>151</v>
      </c>
      <c r="J61" s="8"/>
    </row>
    <row r="62" spans="1:10" x14ac:dyDescent="0.2">
      <c r="A62" s="121">
        <v>56</v>
      </c>
      <c r="B62" s="122" t="s">
        <v>141</v>
      </c>
      <c r="C62" s="122" t="s">
        <v>142</v>
      </c>
      <c r="D62" s="122" t="s">
        <v>55</v>
      </c>
      <c r="E62" s="123">
        <v>300000</v>
      </c>
      <c r="F62" s="124">
        <v>839.1</v>
      </c>
      <c r="G62" s="125">
        <v>7.8607E-3</v>
      </c>
      <c r="H62" s="120" t="s">
        <v>151</v>
      </c>
      <c r="J62" s="8"/>
    </row>
    <row r="63" spans="1:10" x14ac:dyDescent="0.2">
      <c r="A63" s="121">
        <v>57</v>
      </c>
      <c r="B63" s="122" t="s">
        <v>143</v>
      </c>
      <c r="C63" s="122" t="s">
        <v>144</v>
      </c>
      <c r="D63" s="122" t="s">
        <v>55</v>
      </c>
      <c r="E63" s="123">
        <v>65000</v>
      </c>
      <c r="F63" s="124">
        <v>703.88499999999999</v>
      </c>
      <c r="G63" s="125">
        <v>6.594E-3</v>
      </c>
      <c r="H63" s="120" t="s">
        <v>151</v>
      </c>
      <c r="J63" s="8"/>
    </row>
    <row r="64" spans="1:10" x14ac:dyDescent="0.2">
      <c r="A64" s="121">
        <v>58</v>
      </c>
      <c r="B64" s="122" t="s">
        <v>145</v>
      </c>
      <c r="C64" s="122" t="s">
        <v>146</v>
      </c>
      <c r="D64" s="122" t="s">
        <v>35</v>
      </c>
      <c r="E64" s="123">
        <v>120000</v>
      </c>
      <c r="F64" s="124">
        <v>465.84</v>
      </c>
      <c r="G64" s="125">
        <v>4.3639999999999998E-3</v>
      </c>
      <c r="H64" s="120" t="s">
        <v>151</v>
      </c>
      <c r="J64" s="8"/>
    </row>
    <row r="65" spans="1:10" x14ac:dyDescent="0.2">
      <c r="A65" s="118"/>
      <c r="B65" s="118"/>
      <c r="C65" s="119" t="s">
        <v>150</v>
      </c>
      <c r="D65" s="118"/>
      <c r="E65" s="118" t="s">
        <v>151</v>
      </c>
      <c r="F65" s="126">
        <v>101601.56410799999</v>
      </c>
      <c r="G65" s="127">
        <v>0.9518047300000001</v>
      </c>
      <c r="H65" s="120" t="s">
        <v>151</v>
      </c>
      <c r="J65" s="8"/>
    </row>
    <row r="66" spans="1:10" x14ac:dyDescent="0.2">
      <c r="A66" s="118"/>
      <c r="B66" s="118"/>
      <c r="C66" s="128"/>
      <c r="D66" s="118"/>
      <c r="E66" s="118"/>
      <c r="F66" s="129"/>
      <c r="G66" s="129"/>
      <c r="H66" s="120" t="s">
        <v>151</v>
      </c>
      <c r="J66" s="8"/>
    </row>
    <row r="67" spans="1:10" x14ac:dyDescent="0.2">
      <c r="A67" s="118"/>
      <c r="B67" s="118"/>
      <c r="C67" s="119" t="s">
        <v>152</v>
      </c>
      <c r="D67" s="118"/>
      <c r="E67" s="118"/>
      <c r="F67" s="118"/>
      <c r="G67" s="118"/>
      <c r="H67" s="120" t="s">
        <v>151</v>
      </c>
      <c r="J67" s="8"/>
    </row>
    <row r="68" spans="1:10" x14ac:dyDescent="0.2">
      <c r="A68" s="118"/>
      <c r="B68" s="118"/>
      <c r="C68" s="119" t="s">
        <v>150</v>
      </c>
      <c r="D68" s="118"/>
      <c r="E68" s="118" t="s">
        <v>151</v>
      </c>
      <c r="F68" s="130" t="s">
        <v>153</v>
      </c>
      <c r="G68" s="127">
        <v>0</v>
      </c>
      <c r="H68" s="120" t="s">
        <v>151</v>
      </c>
      <c r="J68" s="8"/>
    </row>
    <row r="69" spans="1:10" x14ac:dyDescent="0.2">
      <c r="A69" s="118"/>
      <c r="B69" s="118"/>
      <c r="C69" s="128"/>
      <c r="D69" s="118"/>
      <c r="E69" s="118"/>
      <c r="F69" s="129"/>
      <c r="G69" s="129"/>
      <c r="H69" s="120" t="s">
        <v>151</v>
      </c>
      <c r="J69" s="8"/>
    </row>
    <row r="70" spans="1:10" x14ac:dyDescent="0.2">
      <c r="A70" s="118"/>
      <c r="B70" s="118"/>
      <c r="C70" s="119" t="s">
        <v>154</v>
      </c>
      <c r="D70" s="118"/>
      <c r="E70" s="118"/>
      <c r="F70" s="118"/>
      <c r="G70" s="118"/>
      <c r="H70" s="120" t="s">
        <v>151</v>
      </c>
      <c r="J70" s="8"/>
    </row>
    <row r="71" spans="1:10" x14ac:dyDescent="0.2">
      <c r="A71" s="121">
        <v>1</v>
      </c>
      <c r="B71" s="122" t="s">
        <v>147</v>
      </c>
      <c r="C71" s="122" t="s">
        <v>1046</v>
      </c>
      <c r="D71" s="122" t="s">
        <v>148</v>
      </c>
      <c r="E71" s="123">
        <v>559425</v>
      </c>
      <c r="F71" s="124">
        <v>1.1189000000000001E-5</v>
      </c>
      <c r="G71" s="131" t="s">
        <v>149</v>
      </c>
      <c r="J71" s="8"/>
    </row>
    <row r="72" spans="1:10" x14ac:dyDescent="0.2">
      <c r="A72" s="118"/>
      <c r="B72" s="118"/>
      <c r="C72" s="119" t="s">
        <v>150</v>
      </c>
      <c r="D72" s="118"/>
      <c r="E72" s="118" t="s">
        <v>151</v>
      </c>
      <c r="F72" s="130" t="s">
        <v>153</v>
      </c>
      <c r="G72" s="127">
        <v>0</v>
      </c>
      <c r="H72" s="120" t="s">
        <v>151</v>
      </c>
      <c r="J72" s="8"/>
    </row>
    <row r="73" spans="1:10" x14ac:dyDescent="0.2">
      <c r="A73" s="118"/>
      <c r="B73" s="118"/>
      <c r="C73" s="128"/>
      <c r="D73" s="118"/>
      <c r="E73" s="118"/>
      <c r="F73" s="129"/>
      <c r="G73" s="129"/>
      <c r="H73" s="120" t="s">
        <v>151</v>
      </c>
      <c r="J73" s="8"/>
    </row>
    <row r="74" spans="1:10" x14ac:dyDescent="0.2">
      <c r="A74" s="118"/>
      <c r="B74" s="118"/>
      <c r="C74" s="119" t="s">
        <v>155</v>
      </c>
      <c r="D74" s="118"/>
      <c r="E74" s="118"/>
      <c r="F74" s="118"/>
      <c r="G74" s="118"/>
      <c r="H74" s="120" t="s">
        <v>151</v>
      </c>
      <c r="J74" s="8"/>
    </row>
    <row r="75" spans="1:10" x14ac:dyDescent="0.2">
      <c r="A75" s="118"/>
      <c r="B75" s="118"/>
      <c r="C75" s="119" t="s">
        <v>150</v>
      </c>
      <c r="D75" s="118"/>
      <c r="E75" s="118" t="s">
        <v>151</v>
      </c>
      <c r="F75" s="130" t="s">
        <v>153</v>
      </c>
      <c r="G75" s="127">
        <v>0</v>
      </c>
      <c r="H75" s="120" t="s">
        <v>151</v>
      </c>
      <c r="J75" s="8"/>
    </row>
    <row r="76" spans="1:10" x14ac:dyDescent="0.2">
      <c r="A76" s="118"/>
      <c r="B76" s="118"/>
      <c r="C76" s="128"/>
      <c r="D76" s="118"/>
      <c r="E76" s="118"/>
      <c r="F76" s="129"/>
      <c r="G76" s="129"/>
      <c r="H76" s="120" t="s">
        <v>151</v>
      </c>
      <c r="J76" s="8"/>
    </row>
    <row r="77" spans="1:10" x14ac:dyDescent="0.2">
      <c r="A77" s="118"/>
      <c r="B77" s="118"/>
      <c r="C77" s="119" t="s">
        <v>156</v>
      </c>
      <c r="D77" s="118"/>
      <c r="E77" s="118"/>
      <c r="F77" s="129"/>
      <c r="G77" s="129"/>
      <c r="H77" s="120" t="s">
        <v>151</v>
      </c>
      <c r="J77" s="8"/>
    </row>
    <row r="78" spans="1:10" x14ac:dyDescent="0.2">
      <c r="A78" s="118"/>
      <c r="B78" s="118"/>
      <c r="C78" s="119" t="s">
        <v>150</v>
      </c>
      <c r="D78" s="118"/>
      <c r="E78" s="118" t="s">
        <v>151</v>
      </c>
      <c r="F78" s="130" t="s">
        <v>153</v>
      </c>
      <c r="G78" s="127">
        <v>0</v>
      </c>
      <c r="H78" s="120" t="s">
        <v>151</v>
      </c>
      <c r="J78" s="8"/>
    </row>
    <row r="79" spans="1:10" x14ac:dyDescent="0.2">
      <c r="A79" s="118"/>
      <c r="B79" s="118"/>
      <c r="C79" s="128"/>
      <c r="D79" s="118"/>
      <c r="E79" s="118"/>
      <c r="F79" s="129"/>
      <c r="G79" s="129"/>
      <c r="H79" s="120" t="s">
        <v>151</v>
      </c>
      <c r="J79" s="8"/>
    </row>
    <row r="80" spans="1:10" x14ac:dyDescent="0.2">
      <c r="A80" s="118"/>
      <c r="B80" s="118"/>
      <c r="C80" s="119" t="s">
        <v>157</v>
      </c>
      <c r="D80" s="118"/>
      <c r="E80" s="118"/>
      <c r="F80" s="129"/>
      <c r="G80" s="129"/>
      <c r="H80" s="120" t="s">
        <v>151</v>
      </c>
      <c r="J80" s="8"/>
    </row>
    <row r="81" spans="1:10" x14ac:dyDescent="0.2">
      <c r="A81" s="118"/>
      <c r="B81" s="118"/>
      <c r="C81" s="119" t="s">
        <v>150</v>
      </c>
      <c r="D81" s="118"/>
      <c r="E81" s="118" t="s">
        <v>151</v>
      </c>
      <c r="F81" s="130" t="s">
        <v>153</v>
      </c>
      <c r="G81" s="127">
        <v>0</v>
      </c>
      <c r="H81" s="120" t="s">
        <v>151</v>
      </c>
      <c r="J81" s="8"/>
    </row>
    <row r="82" spans="1:10" x14ac:dyDescent="0.2">
      <c r="A82" s="118"/>
      <c r="B82" s="118"/>
      <c r="C82" s="128"/>
      <c r="D82" s="118"/>
      <c r="E82" s="118"/>
      <c r="F82" s="129"/>
      <c r="G82" s="129"/>
      <c r="H82" s="120" t="s">
        <v>151</v>
      </c>
      <c r="J82" s="8"/>
    </row>
    <row r="83" spans="1:10" x14ac:dyDescent="0.2">
      <c r="A83" s="118"/>
      <c r="B83" s="118"/>
      <c r="C83" s="119" t="s">
        <v>158</v>
      </c>
      <c r="D83" s="118"/>
      <c r="E83" s="118"/>
      <c r="F83" s="126">
        <v>101601.564119189</v>
      </c>
      <c r="G83" s="127">
        <v>0.95180472999999999</v>
      </c>
      <c r="H83" s="120" t="s">
        <v>151</v>
      </c>
      <c r="J83" s="8"/>
    </row>
    <row r="84" spans="1:10" x14ac:dyDescent="0.2">
      <c r="A84" s="118"/>
      <c r="B84" s="118"/>
      <c r="C84" s="128"/>
      <c r="D84" s="118"/>
      <c r="E84" s="118"/>
      <c r="F84" s="129"/>
      <c r="G84" s="129"/>
      <c r="H84" s="120" t="s">
        <v>151</v>
      </c>
      <c r="J84" s="8"/>
    </row>
    <row r="85" spans="1:10" x14ac:dyDescent="0.2">
      <c r="A85" s="118"/>
      <c r="B85" s="118"/>
      <c r="C85" s="119" t="s">
        <v>159</v>
      </c>
      <c r="D85" s="118"/>
      <c r="E85" s="118"/>
      <c r="F85" s="129"/>
      <c r="G85" s="129"/>
      <c r="H85" s="120" t="s">
        <v>151</v>
      </c>
      <c r="J85" s="8"/>
    </row>
    <row r="86" spans="1:10" x14ac:dyDescent="0.2">
      <c r="A86" s="118"/>
      <c r="B86" s="118"/>
      <c r="C86" s="119" t="s">
        <v>10</v>
      </c>
      <c r="D86" s="118"/>
      <c r="E86" s="118"/>
      <c r="F86" s="129"/>
      <c r="G86" s="129"/>
      <c r="H86" s="120" t="s">
        <v>151</v>
      </c>
      <c r="J86" s="8"/>
    </row>
    <row r="87" spans="1:10" x14ac:dyDescent="0.2">
      <c r="A87" s="118"/>
      <c r="B87" s="118"/>
      <c r="C87" s="119" t="s">
        <v>150</v>
      </c>
      <c r="D87" s="118"/>
      <c r="E87" s="118" t="s">
        <v>151</v>
      </c>
      <c r="F87" s="130" t="s">
        <v>153</v>
      </c>
      <c r="G87" s="127">
        <v>0</v>
      </c>
      <c r="H87" s="120" t="s">
        <v>151</v>
      </c>
      <c r="J87" s="8"/>
    </row>
    <row r="88" spans="1:10" x14ac:dyDescent="0.2">
      <c r="A88" s="118"/>
      <c r="B88" s="118"/>
      <c r="C88" s="128"/>
      <c r="D88" s="118"/>
      <c r="E88" s="118"/>
      <c r="F88" s="129"/>
      <c r="G88" s="129"/>
      <c r="H88" s="120" t="s">
        <v>151</v>
      </c>
      <c r="J88" s="8"/>
    </row>
    <row r="89" spans="1:10" x14ac:dyDescent="0.2">
      <c r="A89" s="118"/>
      <c r="B89" s="118"/>
      <c r="C89" s="119" t="s">
        <v>160</v>
      </c>
      <c r="D89" s="118"/>
      <c r="E89" s="118"/>
      <c r="F89" s="118"/>
      <c r="G89" s="118"/>
      <c r="H89" s="120" t="s">
        <v>151</v>
      </c>
      <c r="J89" s="8"/>
    </row>
    <row r="90" spans="1:10" x14ac:dyDescent="0.2">
      <c r="A90" s="118"/>
      <c r="B90" s="118"/>
      <c r="C90" s="119" t="s">
        <v>150</v>
      </c>
      <c r="D90" s="118"/>
      <c r="E90" s="118" t="s">
        <v>151</v>
      </c>
      <c r="F90" s="130" t="s">
        <v>153</v>
      </c>
      <c r="G90" s="127">
        <v>0</v>
      </c>
      <c r="H90" s="120" t="s">
        <v>151</v>
      </c>
      <c r="J90" s="8"/>
    </row>
    <row r="91" spans="1:10" x14ac:dyDescent="0.2">
      <c r="A91" s="118"/>
      <c r="B91" s="118"/>
      <c r="C91" s="128"/>
      <c r="D91" s="118"/>
      <c r="E91" s="118"/>
      <c r="F91" s="129"/>
      <c r="G91" s="129"/>
      <c r="H91" s="120" t="s">
        <v>151</v>
      </c>
      <c r="J91" s="8"/>
    </row>
    <row r="92" spans="1:10" x14ac:dyDescent="0.2">
      <c r="A92" s="118"/>
      <c r="B92" s="118"/>
      <c r="C92" s="119" t="s">
        <v>161</v>
      </c>
      <c r="D92" s="118"/>
      <c r="E92" s="118"/>
      <c r="F92" s="118"/>
      <c r="G92" s="118"/>
      <c r="H92" s="120" t="s">
        <v>151</v>
      </c>
      <c r="J92" s="8"/>
    </row>
    <row r="93" spans="1:10" x14ac:dyDescent="0.2">
      <c r="A93" s="118"/>
      <c r="B93" s="118"/>
      <c r="C93" s="119" t="s">
        <v>150</v>
      </c>
      <c r="D93" s="118"/>
      <c r="E93" s="118" t="s">
        <v>151</v>
      </c>
      <c r="F93" s="130" t="s">
        <v>153</v>
      </c>
      <c r="G93" s="127">
        <v>0</v>
      </c>
      <c r="H93" s="120" t="s">
        <v>151</v>
      </c>
      <c r="J93" s="8"/>
    </row>
    <row r="94" spans="1:10" x14ac:dyDescent="0.2">
      <c r="A94" s="118"/>
      <c r="B94" s="118"/>
      <c r="C94" s="128"/>
      <c r="D94" s="118"/>
      <c r="E94" s="118"/>
      <c r="F94" s="129"/>
      <c r="G94" s="129"/>
      <c r="H94" s="120" t="s">
        <v>151</v>
      </c>
      <c r="J94" s="8"/>
    </row>
    <row r="95" spans="1:10" x14ac:dyDescent="0.2">
      <c r="A95" s="118"/>
      <c r="B95" s="118"/>
      <c r="C95" s="119" t="s">
        <v>162</v>
      </c>
      <c r="D95" s="118"/>
      <c r="E95" s="118"/>
      <c r="F95" s="129"/>
      <c r="G95" s="129"/>
      <c r="H95" s="120" t="s">
        <v>151</v>
      </c>
      <c r="J95" s="8"/>
    </row>
    <row r="96" spans="1:10" x14ac:dyDescent="0.2">
      <c r="A96" s="118"/>
      <c r="B96" s="118"/>
      <c r="C96" s="119" t="s">
        <v>150</v>
      </c>
      <c r="D96" s="118"/>
      <c r="E96" s="118" t="s">
        <v>151</v>
      </c>
      <c r="F96" s="130" t="s">
        <v>153</v>
      </c>
      <c r="G96" s="127">
        <v>0</v>
      </c>
      <c r="H96" s="120" t="s">
        <v>151</v>
      </c>
      <c r="J96" s="8"/>
    </row>
    <row r="97" spans="1:10" x14ac:dyDescent="0.2">
      <c r="A97" s="118"/>
      <c r="B97" s="118"/>
      <c r="C97" s="128"/>
      <c r="D97" s="118"/>
      <c r="E97" s="118"/>
      <c r="F97" s="129"/>
      <c r="G97" s="129"/>
      <c r="H97" s="120" t="s">
        <v>151</v>
      </c>
      <c r="J97" s="8"/>
    </row>
    <row r="98" spans="1:10" x14ac:dyDescent="0.2">
      <c r="A98" s="118"/>
      <c r="B98" s="118"/>
      <c r="C98" s="119" t="s">
        <v>163</v>
      </c>
      <c r="D98" s="118"/>
      <c r="E98" s="118"/>
      <c r="F98" s="126">
        <v>0</v>
      </c>
      <c r="G98" s="127">
        <v>0</v>
      </c>
      <c r="H98" s="120" t="s">
        <v>151</v>
      </c>
      <c r="J98" s="8"/>
    </row>
    <row r="99" spans="1:10" x14ac:dyDescent="0.2">
      <c r="A99" s="118"/>
      <c r="B99" s="118"/>
      <c r="C99" s="128"/>
      <c r="D99" s="118"/>
      <c r="E99" s="118"/>
      <c r="F99" s="129"/>
      <c r="G99" s="129"/>
      <c r="H99" s="120" t="s">
        <v>151</v>
      </c>
      <c r="J99" s="8"/>
    </row>
    <row r="100" spans="1:10" x14ac:dyDescent="0.2">
      <c r="A100" s="118"/>
      <c r="B100" s="118"/>
      <c r="C100" s="119" t="s">
        <v>164</v>
      </c>
      <c r="D100" s="118"/>
      <c r="E100" s="118"/>
      <c r="F100" s="129"/>
      <c r="G100" s="129"/>
      <c r="H100" s="120" t="s">
        <v>151</v>
      </c>
      <c r="J100" s="8"/>
    </row>
    <row r="101" spans="1:10" x14ac:dyDescent="0.2">
      <c r="A101" s="118"/>
      <c r="B101" s="118"/>
      <c r="C101" s="119" t="s">
        <v>165</v>
      </c>
      <c r="D101" s="118"/>
      <c r="E101" s="118"/>
      <c r="F101" s="129"/>
      <c r="G101" s="129"/>
      <c r="H101" s="120" t="s">
        <v>151</v>
      </c>
      <c r="J101" s="8"/>
    </row>
    <row r="102" spans="1:10" x14ac:dyDescent="0.2">
      <c r="A102" s="118"/>
      <c r="B102" s="118"/>
      <c r="C102" s="119" t="s">
        <v>150</v>
      </c>
      <c r="D102" s="118"/>
      <c r="E102" s="118" t="s">
        <v>151</v>
      </c>
      <c r="F102" s="130" t="s">
        <v>153</v>
      </c>
      <c r="G102" s="127">
        <v>0</v>
      </c>
      <c r="H102" s="120" t="s">
        <v>151</v>
      </c>
      <c r="J102" s="8"/>
    </row>
    <row r="103" spans="1:10" x14ac:dyDescent="0.2">
      <c r="A103" s="118"/>
      <c r="B103" s="118"/>
      <c r="C103" s="128"/>
      <c r="D103" s="118"/>
      <c r="E103" s="118"/>
      <c r="F103" s="129"/>
      <c r="G103" s="129"/>
      <c r="H103" s="120" t="s">
        <v>151</v>
      </c>
      <c r="J103" s="8"/>
    </row>
    <row r="104" spans="1:10" x14ac:dyDescent="0.2">
      <c r="A104" s="118"/>
      <c r="B104" s="118"/>
      <c r="C104" s="119" t="s">
        <v>166</v>
      </c>
      <c r="D104" s="118"/>
      <c r="E104" s="118"/>
      <c r="F104" s="129"/>
      <c r="G104" s="129"/>
      <c r="H104" s="120" t="s">
        <v>151</v>
      </c>
      <c r="J104" s="8"/>
    </row>
    <row r="105" spans="1:10" x14ac:dyDescent="0.2">
      <c r="A105" s="118"/>
      <c r="B105" s="118"/>
      <c r="C105" s="119" t="s">
        <v>150</v>
      </c>
      <c r="D105" s="118"/>
      <c r="E105" s="118" t="s">
        <v>151</v>
      </c>
      <c r="F105" s="130" t="s">
        <v>153</v>
      </c>
      <c r="G105" s="127">
        <v>0</v>
      </c>
      <c r="H105" s="120" t="s">
        <v>151</v>
      </c>
      <c r="J105" s="8"/>
    </row>
    <row r="106" spans="1:10" x14ac:dyDescent="0.2">
      <c r="A106" s="118"/>
      <c r="B106" s="118"/>
      <c r="C106" s="128"/>
      <c r="D106" s="118"/>
      <c r="E106" s="118"/>
      <c r="F106" s="129"/>
      <c r="G106" s="129"/>
      <c r="H106" s="120" t="s">
        <v>151</v>
      </c>
      <c r="J106" s="8"/>
    </row>
    <row r="107" spans="1:10" x14ac:dyDescent="0.2">
      <c r="A107" s="118"/>
      <c r="B107" s="118"/>
      <c r="C107" s="119" t="s">
        <v>167</v>
      </c>
      <c r="D107" s="118"/>
      <c r="E107" s="118"/>
      <c r="F107" s="129"/>
      <c r="G107" s="129"/>
      <c r="H107" s="120" t="s">
        <v>151</v>
      </c>
      <c r="J107" s="8"/>
    </row>
    <row r="108" spans="1:10" x14ac:dyDescent="0.2">
      <c r="A108" s="118"/>
      <c r="B108" s="118"/>
      <c r="C108" s="119" t="s">
        <v>150</v>
      </c>
      <c r="D108" s="118"/>
      <c r="E108" s="118" t="s">
        <v>151</v>
      </c>
      <c r="F108" s="130" t="s">
        <v>153</v>
      </c>
      <c r="G108" s="127">
        <v>0</v>
      </c>
      <c r="H108" s="120" t="s">
        <v>151</v>
      </c>
      <c r="J108" s="8"/>
    </row>
    <row r="109" spans="1:10" x14ac:dyDescent="0.2">
      <c r="A109" s="118"/>
      <c r="B109" s="118"/>
      <c r="C109" s="128"/>
      <c r="D109" s="118"/>
      <c r="E109" s="118"/>
      <c r="F109" s="129"/>
      <c r="G109" s="129"/>
      <c r="H109" s="120" t="s">
        <v>151</v>
      </c>
      <c r="J109" s="8"/>
    </row>
    <row r="110" spans="1:10" x14ac:dyDescent="0.2">
      <c r="A110" s="118"/>
      <c r="B110" s="118"/>
      <c r="C110" s="119" t="s">
        <v>168</v>
      </c>
      <c r="D110" s="118"/>
      <c r="E110" s="118"/>
      <c r="F110" s="129"/>
      <c r="G110" s="129"/>
      <c r="H110" s="120" t="s">
        <v>151</v>
      </c>
      <c r="J110" s="8"/>
    </row>
    <row r="111" spans="1:10" x14ac:dyDescent="0.2">
      <c r="A111" s="121">
        <v>1</v>
      </c>
      <c r="B111" s="122"/>
      <c r="C111" s="122" t="s">
        <v>169</v>
      </c>
      <c r="D111" s="122"/>
      <c r="E111" s="131"/>
      <c r="F111" s="124">
        <v>3232.2996730099999</v>
      </c>
      <c r="G111" s="125">
        <v>3.028022E-2</v>
      </c>
      <c r="H111" s="120">
        <v>6.61</v>
      </c>
      <c r="J111" s="8"/>
    </row>
    <row r="112" spans="1:10" x14ac:dyDescent="0.2">
      <c r="A112" s="118"/>
      <c r="B112" s="118"/>
      <c r="C112" s="119" t="s">
        <v>150</v>
      </c>
      <c r="D112" s="118"/>
      <c r="E112" s="118" t="s">
        <v>151</v>
      </c>
      <c r="F112" s="126">
        <v>3232.2996730099999</v>
      </c>
      <c r="G112" s="127">
        <v>3.028022E-2</v>
      </c>
      <c r="H112" s="120" t="s">
        <v>151</v>
      </c>
      <c r="J112" s="8"/>
    </row>
    <row r="113" spans="1:10" x14ac:dyDescent="0.2">
      <c r="A113" s="118"/>
      <c r="B113" s="118"/>
      <c r="C113" s="128"/>
      <c r="D113" s="118"/>
      <c r="E113" s="118"/>
      <c r="F113" s="129"/>
      <c r="G113" s="129"/>
      <c r="H113" s="120" t="s">
        <v>151</v>
      </c>
      <c r="J113" s="8"/>
    </row>
    <row r="114" spans="1:10" x14ac:dyDescent="0.2">
      <c r="A114" s="118"/>
      <c r="B114" s="118"/>
      <c r="C114" s="119" t="s">
        <v>170</v>
      </c>
      <c r="D114" s="118"/>
      <c r="E114" s="118"/>
      <c r="F114" s="126">
        <v>3232.2996730099999</v>
      </c>
      <c r="G114" s="127">
        <v>3.028022E-2</v>
      </c>
      <c r="H114" s="120" t="s">
        <v>151</v>
      </c>
      <c r="J114" s="8"/>
    </row>
    <row r="115" spans="1:10" x14ac:dyDescent="0.2">
      <c r="A115" s="118"/>
      <c r="B115" s="118"/>
      <c r="C115" s="129"/>
      <c r="D115" s="118"/>
      <c r="E115" s="118"/>
      <c r="F115" s="118"/>
      <c r="G115" s="118"/>
      <c r="H115" s="120" t="s">
        <v>151</v>
      </c>
      <c r="J115" s="8"/>
    </row>
    <row r="116" spans="1:10" x14ac:dyDescent="0.2">
      <c r="A116" s="118"/>
      <c r="B116" s="118"/>
      <c r="C116" s="119" t="s">
        <v>171</v>
      </c>
      <c r="D116" s="118"/>
      <c r="E116" s="118"/>
      <c r="F116" s="118"/>
      <c r="G116" s="118"/>
      <c r="H116" s="120" t="s">
        <v>151</v>
      </c>
      <c r="J116" s="8"/>
    </row>
    <row r="117" spans="1:10" x14ac:dyDescent="0.2">
      <c r="A117" s="118"/>
      <c r="B117" s="118"/>
      <c r="C117" s="119" t="s">
        <v>172</v>
      </c>
      <c r="D117" s="118"/>
      <c r="E117" s="118"/>
      <c r="F117" s="118"/>
      <c r="G117" s="118"/>
      <c r="H117" s="120" t="s">
        <v>151</v>
      </c>
      <c r="J117" s="8"/>
    </row>
    <row r="118" spans="1:10" x14ac:dyDescent="0.2">
      <c r="A118" s="121">
        <v>1</v>
      </c>
      <c r="B118" s="122" t="s">
        <v>173</v>
      </c>
      <c r="C118" s="122" t="s">
        <v>174</v>
      </c>
      <c r="D118" s="122"/>
      <c r="E118" s="132">
        <v>90502.766900000002</v>
      </c>
      <c r="F118" s="124">
        <v>2000.541036633</v>
      </c>
      <c r="G118" s="125">
        <v>1.8741089999999998E-2</v>
      </c>
      <c r="H118" s="120" t="s">
        <v>151</v>
      </c>
      <c r="J118" s="8"/>
    </row>
    <row r="119" spans="1:10" x14ac:dyDescent="0.2">
      <c r="A119" s="118"/>
      <c r="B119" s="118"/>
      <c r="C119" s="119" t="s">
        <v>150</v>
      </c>
      <c r="D119" s="118"/>
      <c r="E119" s="118" t="s">
        <v>151</v>
      </c>
      <c r="F119" s="126">
        <v>2000.541036633</v>
      </c>
      <c r="G119" s="127">
        <v>1.8741089999999998E-2</v>
      </c>
      <c r="H119" s="120" t="s">
        <v>151</v>
      </c>
      <c r="J119" s="8"/>
    </row>
    <row r="120" spans="1:10" x14ac:dyDescent="0.2">
      <c r="A120" s="118"/>
      <c r="B120" s="118"/>
      <c r="C120" s="128"/>
      <c r="D120" s="118"/>
      <c r="E120" s="118"/>
      <c r="F120" s="129"/>
      <c r="G120" s="129"/>
      <c r="H120" s="120" t="s">
        <v>151</v>
      </c>
      <c r="J120" s="8"/>
    </row>
    <row r="121" spans="1:10" x14ac:dyDescent="0.2">
      <c r="A121" s="118"/>
      <c r="B121" s="118"/>
      <c r="C121" s="119" t="s">
        <v>175</v>
      </c>
      <c r="D121" s="118"/>
      <c r="E121" s="118"/>
      <c r="F121" s="118"/>
      <c r="G121" s="118"/>
      <c r="H121" s="120" t="s">
        <v>151</v>
      </c>
      <c r="J121" s="8"/>
    </row>
    <row r="122" spans="1:10" x14ac:dyDescent="0.2">
      <c r="A122" s="118"/>
      <c r="B122" s="118"/>
      <c r="C122" s="119" t="s">
        <v>176</v>
      </c>
      <c r="D122" s="118"/>
      <c r="E122" s="118"/>
      <c r="F122" s="118"/>
      <c r="G122" s="118"/>
      <c r="H122" s="120" t="s">
        <v>151</v>
      </c>
      <c r="J122" s="8"/>
    </row>
    <row r="123" spans="1:10" x14ac:dyDescent="0.2">
      <c r="A123" s="118"/>
      <c r="B123" s="118"/>
      <c r="C123" s="119" t="s">
        <v>150</v>
      </c>
      <c r="D123" s="118"/>
      <c r="E123" s="118" t="s">
        <v>151</v>
      </c>
      <c r="F123" s="130" t="s">
        <v>153</v>
      </c>
      <c r="G123" s="127">
        <v>0</v>
      </c>
      <c r="H123" s="120" t="s">
        <v>151</v>
      </c>
      <c r="J123" s="8"/>
    </row>
    <row r="124" spans="1:10" x14ac:dyDescent="0.2">
      <c r="A124" s="118"/>
      <c r="B124" s="118"/>
      <c r="C124" s="128"/>
      <c r="D124" s="118"/>
      <c r="E124" s="118"/>
      <c r="F124" s="129"/>
      <c r="G124" s="129"/>
      <c r="H124" s="120" t="s">
        <v>151</v>
      </c>
      <c r="J124" s="8"/>
    </row>
    <row r="125" spans="1:10" x14ac:dyDescent="0.2">
      <c r="A125" s="118"/>
      <c r="B125" s="118"/>
      <c r="C125" s="119" t="s">
        <v>177</v>
      </c>
      <c r="D125" s="118"/>
      <c r="E125" s="118"/>
      <c r="F125" s="129"/>
      <c r="G125" s="129"/>
      <c r="H125" s="120" t="s">
        <v>151</v>
      </c>
      <c r="J125" s="8"/>
    </row>
    <row r="126" spans="1:10" x14ac:dyDescent="0.2">
      <c r="A126" s="118"/>
      <c r="B126" s="118"/>
      <c r="C126" s="119" t="s">
        <v>150</v>
      </c>
      <c r="D126" s="118"/>
      <c r="E126" s="118" t="s">
        <v>151</v>
      </c>
      <c r="F126" s="130" t="s">
        <v>153</v>
      </c>
      <c r="G126" s="127">
        <v>0</v>
      </c>
      <c r="H126" s="120" t="s">
        <v>151</v>
      </c>
      <c r="J126" s="8"/>
    </row>
    <row r="127" spans="1:10" x14ac:dyDescent="0.2">
      <c r="A127" s="118"/>
      <c r="B127" s="118"/>
      <c r="C127" s="128"/>
      <c r="D127" s="118"/>
      <c r="E127" s="118"/>
      <c r="F127" s="129"/>
      <c r="G127" s="129"/>
      <c r="H127" s="120" t="s">
        <v>151</v>
      </c>
      <c r="J127" s="8"/>
    </row>
    <row r="128" spans="1:10" x14ac:dyDescent="0.2">
      <c r="A128" s="118"/>
      <c r="B128" s="122"/>
      <c r="C128" s="122"/>
      <c r="D128" s="119"/>
      <c r="E128" s="118"/>
      <c r="F128" s="122"/>
      <c r="G128" s="131"/>
      <c r="H128" s="120" t="s">
        <v>151</v>
      </c>
      <c r="J128" s="8"/>
    </row>
    <row r="129" spans="1:17" x14ac:dyDescent="0.2">
      <c r="A129" s="131"/>
      <c r="B129" s="122"/>
      <c r="C129" s="122" t="s">
        <v>178</v>
      </c>
      <c r="D129" s="122"/>
      <c r="E129" s="131"/>
      <c r="F129" s="124">
        <v>-88.175733769999994</v>
      </c>
      <c r="G129" s="125">
        <v>-8.2602999999999995E-4</v>
      </c>
      <c r="H129" s="120" t="s">
        <v>151</v>
      </c>
      <c r="J129" s="8"/>
    </row>
    <row r="130" spans="1:17" x14ac:dyDescent="0.2">
      <c r="A130" s="128"/>
      <c r="B130" s="128"/>
      <c r="C130" s="119" t="s">
        <v>179</v>
      </c>
      <c r="D130" s="129"/>
      <c r="E130" s="129"/>
      <c r="F130" s="126">
        <v>106746.22909506199</v>
      </c>
      <c r="G130" s="133">
        <v>1.0000000099999999</v>
      </c>
      <c r="H130" s="120" t="s">
        <v>151</v>
      </c>
      <c r="J130" s="8"/>
    </row>
    <row r="131" spans="1:17" x14ac:dyDescent="0.2">
      <c r="A131" s="134"/>
      <c r="B131" s="134"/>
      <c r="C131" s="134"/>
      <c r="D131" s="135"/>
      <c r="E131" s="135"/>
      <c r="F131" s="135"/>
      <c r="G131" s="135"/>
      <c r="J131" s="8"/>
    </row>
    <row r="132" spans="1:17" x14ac:dyDescent="0.2">
      <c r="A132" s="136"/>
      <c r="B132" s="137" t="s">
        <v>888</v>
      </c>
      <c r="C132" s="137"/>
      <c r="D132" s="137"/>
      <c r="E132" s="137"/>
      <c r="F132" s="137"/>
      <c r="G132" s="137"/>
      <c r="H132" s="137"/>
      <c r="J132" s="8"/>
    </row>
    <row r="133" spans="1:17" x14ac:dyDescent="0.2">
      <c r="A133" s="136"/>
      <c r="B133" s="137" t="s">
        <v>889</v>
      </c>
      <c r="C133" s="137"/>
      <c r="D133" s="137"/>
      <c r="E133" s="137"/>
      <c r="F133" s="137"/>
      <c r="G133" s="137"/>
      <c r="H133" s="137"/>
      <c r="J133" s="8"/>
    </row>
    <row r="134" spans="1:17" x14ac:dyDescent="0.2">
      <c r="A134" s="136"/>
      <c r="B134" s="137" t="s">
        <v>890</v>
      </c>
      <c r="C134" s="137"/>
      <c r="D134" s="137"/>
      <c r="E134" s="137"/>
      <c r="F134" s="137"/>
      <c r="G134" s="137"/>
      <c r="H134" s="137"/>
      <c r="J134" s="8"/>
    </row>
    <row r="135" spans="1:17" s="13" customFormat="1" ht="15" x14ac:dyDescent="0.25">
      <c r="A135" s="138"/>
      <c r="B135" s="139" t="s">
        <v>891</v>
      </c>
      <c r="C135" s="139"/>
      <c r="D135" s="139"/>
      <c r="E135" s="139"/>
      <c r="F135" s="139"/>
      <c r="G135" s="139"/>
      <c r="H135" s="139"/>
      <c r="I135" s="114"/>
      <c r="J135" s="8"/>
      <c r="K135"/>
      <c r="L135"/>
      <c r="M135"/>
      <c r="N135"/>
      <c r="O135"/>
      <c r="P135"/>
      <c r="Q135"/>
    </row>
    <row r="136" spans="1:17" x14ac:dyDescent="0.2">
      <c r="A136" s="136"/>
      <c r="B136" s="137" t="s">
        <v>892</v>
      </c>
      <c r="C136" s="137"/>
      <c r="D136" s="137"/>
      <c r="E136" s="137"/>
      <c r="F136" s="137"/>
      <c r="G136" s="137"/>
      <c r="H136" s="137"/>
      <c r="J136" s="8"/>
    </row>
    <row r="137" spans="1:17" x14ac:dyDescent="0.2">
      <c r="A137" s="140"/>
      <c r="B137" s="140"/>
      <c r="C137" s="140"/>
      <c r="D137" s="141"/>
      <c r="E137" s="141"/>
      <c r="F137" s="141"/>
      <c r="G137" s="141"/>
      <c r="J137" s="8"/>
    </row>
    <row r="138" spans="1:17" x14ac:dyDescent="0.2">
      <c r="A138" s="140"/>
      <c r="B138" s="142" t="s">
        <v>180</v>
      </c>
      <c r="C138" s="143"/>
      <c r="D138" s="144"/>
      <c r="E138" s="145"/>
      <c r="F138" s="141"/>
      <c r="G138" s="141"/>
      <c r="J138" s="8"/>
    </row>
    <row r="139" spans="1:17" ht="25.5" customHeight="1" x14ac:dyDescent="0.2">
      <c r="A139" s="140"/>
      <c r="B139" s="146" t="s">
        <v>181</v>
      </c>
      <c r="C139" s="147"/>
      <c r="D139" s="119" t="s">
        <v>182</v>
      </c>
      <c r="E139" s="145"/>
      <c r="F139" s="141"/>
      <c r="G139" s="141"/>
      <c r="J139" s="8"/>
    </row>
    <row r="140" spans="1:17" x14ac:dyDescent="0.2">
      <c r="A140" s="140"/>
      <c r="B140" s="148" t="s">
        <v>893</v>
      </c>
      <c r="C140" s="149"/>
      <c r="D140" s="150" t="s">
        <v>1178</v>
      </c>
      <c r="E140" s="145"/>
      <c r="F140" s="141"/>
      <c r="G140" s="141"/>
      <c r="J140" s="8"/>
    </row>
    <row r="141" spans="1:17" x14ac:dyDescent="0.2">
      <c r="A141" s="140"/>
      <c r="B141" s="146" t="s">
        <v>184</v>
      </c>
      <c r="C141" s="147"/>
      <c r="D141" s="129" t="s">
        <v>151</v>
      </c>
      <c r="E141" s="145"/>
      <c r="F141" s="141"/>
      <c r="G141" s="141"/>
      <c r="J141" s="8"/>
    </row>
    <row r="142" spans="1:17" x14ac:dyDescent="0.2">
      <c r="A142" s="151"/>
      <c r="B142" s="152" t="s">
        <v>151</v>
      </c>
      <c r="C142" s="152" t="s">
        <v>894</v>
      </c>
      <c r="D142" s="152" t="s">
        <v>185</v>
      </c>
      <c r="E142" s="151"/>
      <c r="F142" s="151"/>
      <c r="G142" s="151"/>
      <c r="H142" s="151"/>
      <c r="J142" s="8"/>
    </row>
    <row r="143" spans="1:17" x14ac:dyDescent="0.2">
      <c r="A143" s="153"/>
      <c r="B143" s="154" t="s">
        <v>186</v>
      </c>
      <c r="C143" s="155">
        <v>45535</v>
      </c>
      <c r="D143" s="155">
        <v>45565</v>
      </c>
      <c r="E143" s="153"/>
      <c r="F143" s="153"/>
      <c r="G143" s="153"/>
      <c r="J143" s="8"/>
    </row>
    <row r="144" spans="1:17" x14ac:dyDescent="0.2">
      <c r="A144" s="153"/>
      <c r="B144" s="122" t="s">
        <v>187</v>
      </c>
      <c r="C144" s="156">
        <v>103.9757</v>
      </c>
      <c r="D144" s="156">
        <v>106.09529999999999</v>
      </c>
      <c r="E144" s="153"/>
      <c r="F144" s="157"/>
      <c r="G144" s="158"/>
      <c r="J144" s="8"/>
    </row>
    <row r="145" spans="1:10" x14ac:dyDescent="0.2">
      <c r="A145" s="153"/>
      <c r="B145" s="122" t="s">
        <v>1038</v>
      </c>
      <c r="C145" s="156">
        <v>69.287099999999995</v>
      </c>
      <c r="D145" s="156">
        <v>70.699600000000004</v>
      </c>
      <c r="E145" s="153"/>
      <c r="F145" s="157"/>
      <c r="G145" s="158"/>
      <c r="J145" s="8"/>
    </row>
    <row r="146" spans="1:10" x14ac:dyDescent="0.2">
      <c r="A146" s="153"/>
      <c r="B146" s="122" t="s">
        <v>188</v>
      </c>
      <c r="C146" s="156">
        <v>97.768699999999995</v>
      </c>
      <c r="D146" s="156">
        <v>99.714200000000005</v>
      </c>
      <c r="E146" s="153"/>
      <c r="F146" s="157"/>
      <c r="G146" s="158"/>
      <c r="J146" s="8"/>
    </row>
    <row r="147" spans="1:10" x14ac:dyDescent="0.2">
      <c r="A147" s="153"/>
      <c r="B147" s="122" t="s">
        <v>1039</v>
      </c>
      <c r="C147" s="156">
        <v>64.819999999999993</v>
      </c>
      <c r="D147" s="156">
        <v>66.109899999999996</v>
      </c>
      <c r="E147" s="153"/>
      <c r="F147" s="157"/>
      <c r="G147" s="158"/>
      <c r="J147" s="8"/>
    </row>
    <row r="148" spans="1:10" x14ac:dyDescent="0.2">
      <c r="A148" s="153"/>
      <c r="B148" s="153"/>
      <c r="C148" s="153"/>
      <c r="D148" s="153"/>
      <c r="E148" s="153"/>
      <c r="F148" s="153"/>
      <c r="G148" s="153"/>
      <c r="J148" s="8"/>
    </row>
    <row r="149" spans="1:10" x14ac:dyDescent="0.2">
      <c r="A149" s="151"/>
      <c r="B149" s="148" t="s">
        <v>895</v>
      </c>
      <c r="C149" s="149"/>
      <c r="D149" s="150" t="s">
        <v>182</v>
      </c>
      <c r="E149" s="151"/>
      <c r="F149" s="151"/>
      <c r="G149" s="151"/>
      <c r="J149" s="8"/>
    </row>
    <row r="150" spans="1:10" x14ac:dyDescent="0.2">
      <c r="A150" s="151"/>
      <c r="B150" s="159"/>
      <c r="C150" s="159"/>
      <c r="D150" s="151"/>
      <c r="E150" s="151"/>
      <c r="F150" s="151"/>
      <c r="G150" s="151"/>
      <c r="J150" s="8"/>
    </row>
    <row r="151" spans="1:10" x14ac:dyDescent="0.2">
      <c r="A151" s="151"/>
      <c r="B151" s="148" t="s">
        <v>189</v>
      </c>
      <c r="C151" s="149"/>
      <c r="D151" s="150" t="s">
        <v>182</v>
      </c>
      <c r="E151" s="160"/>
      <c r="F151" s="151"/>
      <c r="G151" s="151"/>
      <c r="J151" s="8"/>
    </row>
    <row r="152" spans="1:10" x14ac:dyDescent="0.2">
      <c r="A152" s="151"/>
      <c r="B152" s="148" t="s">
        <v>190</v>
      </c>
      <c r="C152" s="149"/>
      <c r="D152" s="150" t="s">
        <v>182</v>
      </c>
      <c r="E152" s="160"/>
      <c r="F152" s="151"/>
      <c r="G152" s="151"/>
      <c r="J152" s="8"/>
    </row>
    <row r="153" spans="1:10" x14ac:dyDescent="0.2">
      <c r="A153" s="151"/>
      <c r="B153" s="148" t="s">
        <v>191</v>
      </c>
      <c r="C153" s="149"/>
      <c r="D153" s="150" t="s">
        <v>182</v>
      </c>
      <c r="E153" s="160"/>
      <c r="F153" s="151"/>
      <c r="G153" s="151"/>
      <c r="J153" s="8"/>
    </row>
    <row r="154" spans="1:10" x14ac:dyDescent="0.2">
      <c r="A154" s="151"/>
      <c r="B154" s="148" t="s">
        <v>192</v>
      </c>
      <c r="C154" s="149"/>
      <c r="D154" s="161">
        <v>0.35090611514594805</v>
      </c>
      <c r="E154" s="151"/>
      <c r="F154" s="159"/>
      <c r="G154" s="162"/>
      <c r="J154" s="8"/>
    </row>
    <row r="155" spans="1:10" x14ac:dyDescent="0.2">
      <c r="J155" s="8"/>
    </row>
  </sheetData>
  <mergeCells count="17">
    <mergeCell ref="B140:C140"/>
    <mergeCell ref="B141:C141"/>
    <mergeCell ref="B149:C149"/>
    <mergeCell ref="B153:C153"/>
    <mergeCell ref="B154:C154"/>
    <mergeCell ref="B151:C151"/>
    <mergeCell ref="B152:C152"/>
    <mergeCell ref="B139:C139"/>
    <mergeCell ref="A1:H1"/>
    <mergeCell ref="A2:H2"/>
    <mergeCell ref="A3:H3"/>
    <mergeCell ref="B132:H132"/>
    <mergeCell ref="B133:H133"/>
    <mergeCell ref="B134:H134"/>
    <mergeCell ref="B135:H135"/>
    <mergeCell ref="B136:H136"/>
    <mergeCell ref="B138:D138"/>
  </mergeCells>
  <hyperlinks>
    <hyperlink ref="I1" location="Index!B2" display="Index" xr:uid="{430C676D-5073-4C5E-ABC3-D93F5FBFA46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6718-EE0D-47B5-BA96-605C664BBF15}">
  <sheetPr>
    <outlinePr summaryBelow="0" summaryRight="0"/>
  </sheetPr>
  <dimension ref="A1:Q99"/>
  <sheetViews>
    <sheetView showGridLines="0" workbookViewId="0">
      <selection sqref="A1:H1"/>
    </sheetView>
  </sheetViews>
  <sheetFormatPr defaultRowHeight="12.75" x14ac:dyDescent="0.2"/>
  <cols>
    <col min="1" max="1" width="5.85546875" style="164" bestFit="1" customWidth="1"/>
    <col min="2" max="2" width="19.7109375" style="164" bestFit="1" customWidth="1"/>
    <col min="3" max="3" width="39.140625" style="164" bestFit="1" customWidth="1"/>
    <col min="4" max="4" width="15.42578125" style="164" customWidth="1"/>
    <col min="5" max="5" width="12.42578125" style="164" bestFit="1" customWidth="1"/>
    <col min="6" max="6" width="10.140625" style="164" bestFit="1" customWidth="1"/>
    <col min="7" max="7" width="14" style="164" bestFit="1" customWidth="1"/>
    <col min="8" max="8" width="8.42578125" style="164" bestFit="1" customWidth="1"/>
    <col min="9" max="9" width="5.7109375" style="164" bestFit="1" customWidth="1"/>
    <col min="10" max="10" width="50.7109375" style="12" customWidth="1"/>
    <col min="11" max="256" width="9.140625" style="30"/>
    <col min="257" max="257" width="6.85546875" style="30" customWidth="1"/>
    <col min="258" max="258" width="20.5703125" style="30" customWidth="1"/>
    <col min="259" max="259" width="34.28515625" style="30" customWidth="1"/>
    <col min="260" max="260" width="17.85546875" style="30" customWidth="1"/>
    <col min="261" max="262" width="19.140625" style="30" customWidth="1"/>
    <col min="263" max="263" width="16.42578125" style="30" customWidth="1"/>
    <col min="264" max="512" width="9.140625" style="30"/>
    <col min="513" max="513" width="6.85546875" style="30" customWidth="1"/>
    <col min="514" max="514" width="20.5703125" style="30" customWidth="1"/>
    <col min="515" max="515" width="34.28515625" style="30" customWidth="1"/>
    <col min="516" max="516" width="17.85546875" style="30" customWidth="1"/>
    <col min="517" max="518" width="19.140625" style="30" customWidth="1"/>
    <col min="519" max="519" width="16.42578125" style="30" customWidth="1"/>
    <col min="520" max="768" width="9.140625" style="30"/>
    <col min="769" max="769" width="6.85546875" style="30" customWidth="1"/>
    <col min="770" max="770" width="20.5703125" style="30" customWidth="1"/>
    <col min="771" max="771" width="34.28515625" style="30" customWidth="1"/>
    <col min="772" max="772" width="17.85546875" style="30" customWidth="1"/>
    <col min="773" max="774" width="19.140625" style="30" customWidth="1"/>
    <col min="775" max="775" width="16.42578125" style="30" customWidth="1"/>
    <col min="776" max="1024" width="9.140625" style="30"/>
    <col min="1025" max="1025" width="6.85546875" style="30" customWidth="1"/>
    <col min="1026" max="1026" width="20.5703125" style="30" customWidth="1"/>
    <col min="1027" max="1027" width="34.28515625" style="30" customWidth="1"/>
    <col min="1028" max="1028" width="17.85546875" style="30" customWidth="1"/>
    <col min="1029" max="1030" width="19.140625" style="30" customWidth="1"/>
    <col min="1031" max="1031" width="16.42578125" style="30" customWidth="1"/>
    <col min="1032" max="1280" width="9.140625" style="30"/>
    <col min="1281" max="1281" width="6.85546875" style="30" customWidth="1"/>
    <col min="1282" max="1282" width="20.5703125" style="30" customWidth="1"/>
    <col min="1283" max="1283" width="34.28515625" style="30" customWidth="1"/>
    <col min="1284" max="1284" width="17.85546875" style="30" customWidth="1"/>
    <col min="1285" max="1286" width="19.140625" style="30" customWidth="1"/>
    <col min="1287" max="1287" width="16.42578125" style="30" customWidth="1"/>
    <col min="1288" max="1536" width="9.140625" style="30"/>
    <col min="1537" max="1537" width="6.85546875" style="30" customWidth="1"/>
    <col min="1538" max="1538" width="20.5703125" style="30" customWidth="1"/>
    <col min="1539" max="1539" width="34.28515625" style="30" customWidth="1"/>
    <col min="1540" max="1540" width="17.85546875" style="30" customWidth="1"/>
    <col min="1541" max="1542" width="19.140625" style="30" customWidth="1"/>
    <col min="1543" max="1543" width="16.42578125" style="30" customWidth="1"/>
    <col min="1544" max="1792" width="9.140625" style="30"/>
    <col min="1793" max="1793" width="6.85546875" style="30" customWidth="1"/>
    <col min="1794" max="1794" width="20.5703125" style="30" customWidth="1"/>
    <col min="1795" max="1795" width="34.28515625" style="30" customWidth="1"/>
    <col min="1796" max="1796" width="17.85546875" style="30" customWidth="1"/>
    <col min="1797" max="1798" width="19.140625" style="30" customWidth="1"/>
    <col min="1799" max="1799" width="16.42578125" style="30" customWidth="1"/>
    <col min="1800" max="2048" width="9.140625" style="30"/>
    <col min="2049" max="2049" width="6.85546875" style="30" customWidth="1"/>
    <col min="2050" max="2050" width="20.5703125" style="30" customWidth="1"/>
    <col min="2051" max="2051" width="34.28515625" style="30" customWidth="1"/>
    <col min="2052" max="2052" width="17.85546875" style="30" customWidth="1"/>
    <col min="2053" max="2054" width="19.140625" style="30" customWidth="1"/>
    <col min="2055" max="2055" width="16.42578125" style="30" customWidth="1"/>
    <col min="2056" max="2304" width="9.140625" style="30"/>
    <col min="2305" max="2305" width="6.85546875" style="30" customWidth="1"/>
    <col min="2306" max="2306" width="20.5703125" style="30" customWidth="1"/>
    <col min="2307" max="2307" width="34.28515625" style="30" customWidth="1"/>
    <col min="2308" max="2308" width="17.85546875" style="30" customWidth="1"/>
    <col min="2309" max="2310" width="19.140625" style="30" customWidth="1"/>
    <col min="2311" max="2311" width="16.42578125" style="30" customWidth="1"/>
    <col min="2312" max="2560" width="9.140625" style="30"/>
    <col min="2561" max="2561" width="6.85546875" style="30" customWidth="1"/>
    <col min="2562" max="2562" width="20.5703125" style="30" customWidth="1"/>
    <col min="2563" max="2563" width="34.28515625" style="30" customWidth="1"/>
    <col min="2564" max="2564" width="17.85546875" style="30" customWidth="1"/>
    <col min="2565" max="2566" width="19.140625" style="30" customWidth="1"/>
    <col min="2567" max="2567" width="16.42578125" style="30" customWidth="1"/>
    <col min="2568" max="2816" width="9.140625" style="30"/>
    <col min="2817" max="2817" width="6.85546875" style="30" customWidth="1"/>
    <col min="2818" max="2818" width="20.5703125" style="30" customWidth="1"/>
    <col min="2819" max="2819" width="34.28515625" style="30" customWidth="1"/>
    <col min="2820" max="2820" width="17.85546875" style="30" customWidth="1"/>
    <col min="2821" max="2822" width="19.140625" style="30" customWidth="1"/>
    <col min="2823" max="2823" width="16.42578125" style="30" customWidth="1"/>
    <col min="2824" max="3072" width="9.140625" style="30"/>
    <col min="3073" max="3073" width="6.85546875" style="30" customWidth="1"/>
    <col min="3074" max="3074" width="20.5703125" style="30" customWidth="1"/>
    <col min="3075" max="3075" width="34.28515625" style="30" customWidth="1"/>
    <col min="3076" max="3076" width="17.85546875" style="30" customWidth="1"/>
    <col min="3077" max="3078" width="19.140625" style="30" customWidth="1"/>
    <col min="3079" max="3079" width="16.42578125" style="30" customWidth="1"/>
    <col min="3080" max="3328" width="9.140625" style="30"/>
    <col min="3329" max="3329" width="6.85546875" style="30" customWidth="1"/>
    <col min="3330" max="3330" width="20.5703125" style="30" customWidth="1"/>
    <col min="3331" max="3331" width="34.28515625" style="30" customWidth="1"/>
    <col min="3332" max="3332" width="17.85546875" style="30" customWidth="1"/>
    <col min="3333" max="3334" width="19.140625" style="30" customWidth="1"/>
    <col min="3335" max="3335" width="16.42578125" style="30" customWidth="1"/>
    <col min="3336" max="3584" width="9.140625" style="30"/>
    <col min="3585" max="3585" width="6.85546875" style="30" customWidth="1"/>
    <col min="3586" max="3586" width="20.5703125" style="30" customWidth="1"/>
    <col min="3587" max="3587" width="34.28515625" style="30" customWidth="1"/>
    <col min="3588" max="3588" width="17.85546875" style="30" customWidth="1"/>
    <col min="3589" max="3590" width="19.140625" style="30" customWidth="1"/>
    <col min="3591" max="3591" width="16.42578125" style="30" customWidth="1"/>
    <col min="3592" max="3840" width="9.140625" style="30"/>
    <col min="3841" max="3841" width="6.85546875" style="30" customWidth="1"/>
    <col min="3842" max="3842" width="20.5703125" style="30" customWidth="1"/>
    <col min="3843" max="3843" width="34.28515625" style="30" customWidth="1"/>
    <col min="3844" max="3844" width="17.85546875" style="30" customWidth="1"/>
    <col min="3845" max="3846" width="19.140625" style="30" customWidth="1"/>
    <col min="3847" max="3847" width="16.42578125" style="30" customWidth="1"/>
    <col min="3848" max="4096" width="9.140625" style="30"/>
    <col min="4097" max="4097" width="6.85546875" style="30" customWidth="1"/>
    <col min="4098" max="4098" width="20.5703125" style="30" customWidth="1"/>
    <col min="4099" max="4099" width="34.28515625" style="30" customWidth="1"/>
    <col min="4100" max="4100" width="17.85546875" style="30" customWidth="1"/>
    <col min="4101" max="4102" width="19.140625" style="30" customWidth="1"/>
    <col min="4103" max="4103" width="16.42578125" style="30" customWidth="1"/>
    <col min="4104" max="4352" width="9.140625" style="30"/>
    <col min="4353" max="4353" width="6.85546875" style="30" customWidth="1"/>
    <col min="4354" max="4354" width="20.5703125" style="30" customWidth="1"/>
    <col min="4355" max="4355" width="34.28515625" style="30" customWidth="1"/>
    <col min="4356" max="4356" width="17.85546875" style="30" customWidth="1"/>
    <col min="4357" max="4358" width="19.140625" style="30" customWidth="1"/>
    <col min="4359" max="4359" width="16.42578125" style="30" customWidth="1"/>
    <col min="4360" max="4608" width="9.140625" style="30"/>
    <col min="4609" max="4609" width="6.85546875" style="30" customWidth="1"/>
    <col min="4610" max="4610" width="20.5703125" style="30" customWidth="1"/>
    <col min="4611" max="4611" width="34.28515625" style="30" customWidth="1"/>
    <col min="4612" max="4612" width="17.85546875" style="30" customWidth="1"/>
    <col min="4613" max="4614" width="19.140625" style="30" customWidth="1"/>
    <col min="4615" max="4615" width="16.42578125" style="30" customWidth="1"/>
    <col min="4616" max="4864" width="9.140625" style="30"/>
    <col min="4865" max="4865" width="6.85546875" style="30" customWidth="1"/>
    <col min="4866" max="4866" width="20.5703125" style="30" customWidth="1"/>
    <col min="4867" max="4867" width="34.28515625" style="30" customWidth="1"/>
    <col min="4868" max="4868" width="17.85546875" style="30" customWidth="1"/>
    <col min="4869" max="4870" width="19.140625" style="30" customWidth="1"/>
    <col min="4871" max="4871" width="16.42578125" style="30" customWidth="1"/>
    <col min="4872" max="5120" width="9.140625" style="30"/>
    <col min="5121" max="5121" width="6.85546875" style="30" customWidth="1"/>
    <col min="5122" max="5122" width="20.5703125" style="30" customWidth="1"/>
    <col min="5123" max="5123" width="34.28515625" style="30" customWidth="1"/>
    <col min="5124" max="5124" width="17.85546875" style="30" customWidth="1"/>
    <col min="5125" max="5126" width="19.140625" style="30" customWidth="1"/>
    <col min="5127" max="5127" width="16.42578125" style="30" customWidth="1"/>
    <col min="5128" max="5376" width="9.140625" style="30"/>
    <col min="5377" max="5377" width="6.85546875" style="30" customWidth="1"/>
    <col min="5378" max="5378" width="20.5703125" style="30" customWidth="1"/>
    <col min="5379" max="5379" width="34.28515625" style="30" customWidth="1"/>
    <col min="5380" max="5380" width="17.85546875" style="30" customWidth="1"/>
    <col min="5381" max="5382" width="19.140625" style="30" customWidth="1"/>
    <col min="5383" max="5383" width="16.42578125" style="30" customWidth="1"/>
    <col min="5384" max="5632" width="9.140625" style="30"/>
    <col min="5633" max="5633" width="6.85546875" style="30" customWidth="1"/>
    <col min="5634" max="5634" width="20.5703125" style="30" customWidth="1"/>
    <col min="5635" max="5635" width="34.28515625" style="30" customWidth="1"/>
    <col min="5636" max="5636" width="17.85546875" style="30" customWidth="1"/>
    <col min="5637" max="5638" width="19.140625" style="30" customWidth="1"/>
    <col min="5639" max="5639" width="16.42578125" style="30" customWidth="1"/>
    <col min="5640" max="5888" width="9.140625" style="30"/>
    <col min="5889" max="5889" width="6.85546875" style="30" customWidth="1"/>
    <col min="5890" max="5890" width="20.5703125" style="30" customWidth="1"/>
    <col min="5891" max="5891" width="34.28515625" style="30" customWidth="1"/>
    <col min="5892" max="5892" width="17.85546875" style="30" customWidth="1"/>
    <col min="5893" max="5894" width="19.140625" style="30" customWidth="1"/>
    <col min="5895" max="5895" width="16.42578125" style="30" customWidth="1"/>
    <col min="5896" max="6144" width="9.140625" style="30"/>
    <col min="6145" max="6145" width="6.85546875" style="30" customWidth="1"/>
    <col min="6146" max="6146" width="20.5703125" style="30" customWidth="1"/>
    <col min="6147" max="6147" width="34.28515625" style="30" customWidth="1"/>
    <col min="6148" max="6148" width="17.85546875" style="30" customWidth="1"/>
    <col min="6149" max="6150" width="19.140625" style="30" customWidth="1"/>
    <col min="6151" max="6151" width="16.42578125" style="30" customWidth="1"/>
    <col min="6152" max="6400" width="9.140625" style="30"/>
    <col min="6401" max="6401" width="6.85546875" style="30" customWidth="1"/>
    <col min="6402" max="6402" width="20.5703125" style="30" customWidth="1"/>
    <col min="6403" max="6403" width="34.28515625" style="30" customWidth="1"/>
    <col min="6404" max="6404" width="17.85546875" style="30" customWidth="1"/>
    <col min="6405" max="6406" width="19.140625" style="30" customWidth="1"/>
    <col min="6407" max="6407" width="16.42578125" style="30" customWidth="1"/>
    <col min="6408" max="6656" width="9.140625" style="30"/>
    <col min="6657" max="6657" width="6.85546875" style="30" customWidth="1"/>
    <col min="6658" max="6658" width="20.5703125" style="30" customWidth="1"/>
    <col min="6659" max="6659" width="34.28515625" style="30" customWidth="1"/>
    <col min="6660" max="6660" width="17.85546875" style="30" customWidth="1"/>
    <col min="6661" max="6662" width="19.140625" style="30" customWidth="1"/>
    <col min="6663" max="6663" width="16.42578125" style="30" customWidth="1"/>
    <col min="6664" max="6912" width="9.140625" style="30"/>
    <col min="6913" max="6913" width="6.85546875" style="30" customWidth="1"/>
    <col min="6914" max="6914" width="20.5703125" style="30" customWidth="1"/>
    <col min="6915" max="6915" width="34.28515625" style="30" customWidth="1"/>
    <col min="6916" max="6916" width="17.85546875" style="30" customWidth="1"/>
    <col min="6917" max="6918" width="19.140625" style="30" customWidth="1"/>
    <col min="6919" max="6919" width="16.42578125" style="30" customWidth="1"/>
    <col min="6920" max="7168" width="9.140625" style="30"/>
    <col min="7169" max="7169" width="6.85546875" style="30" customWidth="1"/>
    <col min="7170" max="7170" width="20.5703125" style="30" customWidth="1"/>
    <col min="7171" max="7171" width="34.28515625" style="30" customWidth="1"/>
    <col min="7172" max="7172" width="17.85546875" style="30" customWidth="1"/>
    <col min="7173" max="7174" width="19.140625" style="30" customWidth="1"/>
    <col min="7175" max="7175" width="16.42578125" style="30" customWidth="1"/>
    <col min="7176" max="7424" width="9.140625" style="30"/>
    <col min="7425" max="7425" width="6.85546875" style="30" customWidth="1"/>
    <col min="7426" max="7426" width="20.5703125" style="30" customWidth="1"/>
    <col min="7427" max="7427" width="34.28515625" style="30" customWidth="1"/>
    <col min="7428" max="7428" width="17.85546875" style="30" customWidth="1"/>
    <col min="7429" max="7430" width="19.140625" style="30" customWidth="1"/>
    <col min="7431" max="7431" width="16.42578125" style="30" customWidth="1"/>
    <col min="7432" max="7680" width="9.140625" style="30"/>
    <col min="7681" max="7681" width="6.85546875" style="30" customWidth="1"/>
    <col min="7682" max="7682" width="20.5703125" style="30" customWidth="1"/>
    <col min="7683" max="7683" width="34.28515625" style="30" customWidth="1"/>
    <col min="7684" max="7684" width="17.85546875" style="30" customWidth="1"/>
    <col min="7685" max="7686" width="19.140625" style="30" customWidth="1"/>
    <col min="7687" max="7687" width="16.42578125" style="30" customWidth="1"/>
    <col min="7688" max="7936" width="9.140625" style="30"/>
    <col min="7937" max="7937" width="6.85546875" style="30" customWidth="1"/>
    <col min="7938" max="7938" width="20.5703125" style="30" customWidth="1"/>
    <col min="7939" max="7939" width="34.28515625" style="30" customWidth="1"/>
    <col min="7940" max="7940" width="17.85546875" style="30" customWidth="1"/>
    <col min="7941" max="7942" width="19.140625" style="30" customWidth="1"/>
    <col min="7943" max="7943" width="16.42578125" style="30" customWidth="1"/>
    <col min="7944" max="8192" width="9.140625" style="30"/>
    <col min="8193" max="8193" width="6.85546875" style="30" customWidth="1"/>
    <col min="8194" max="8194" width="20.5703125" style="30" customWidth="1"/>
    <col min="8195" max="8195" width="34.28515625" style="30" customWidth="1"/>
    <col min="8196" max="8196" width="17.85546875" style="30" customWidth="1"/>
    <col min="8197" max="8198" width="19.140625" style="30" customWidth="1"/>
    <col min="8199" max="8199" width="16.42578125" style="30" customWidth="1"/>
    <col min="8200" max="8448" width="9.140625" style="30"/>
    <col min="8449" max="8449" width="6.85546875" style="30" customWidth="1"/>
    <col min="8450" max="8450" width="20.5703125" style="30" customWidth="1"/>
    <col min="8451" max="8451" width="34.28515625" style="30" customWidth="1"/>
    <col min="8452" max="8452" width="17.85546875" style="30" customWidth="1"/>
    <col min="8453" max="8454" width="19.140625" style="30" customWidth="1"/>
    <col min="8455" max="8455" width="16.42578125" style="30" customWidth="1"/>
    <col min="8456" max="8704" width="9.140625" style="30"/>
    <col min="8705" max="8705" width="6.85546875" style="30" customWidth="1"/>
    <col min="8706" max="8706" width="20.5703125" style="30" customWidth="1"/>
    <col min="8707" max="8707" width="34.28515625" style="30" customWidth="1"/>
    <col min="8708" max="8708" width="17.85546875" style="30" customWidth="1"/>
    <col min="8709" max="8710" width="19.140625" style="30" customWidth="1"/>
    <col min="8711" max="8711" width="16.42578125" style="30" customWidth="1"/>
    <col min="8712" max="8960" width="9.140625" style="30"/>
    <col min="8961" max="8961" width="6.85546875" style="30" customWidth="1"/>
    <col min="8962" max="8962" width="20.5703125" style="30" customWidth="1"/>
    <col min="8963" max="8963" width="34.28515625" style="30" customWidth="1"/>
    <col min="8964" max="8964" width="17.85546875" style="30" customWidth="1"/>
    <col min="8965" max="8966" width="19.140625" style="30" customWidth="1"/>
    <col min="8967" max="8967" width="16.42578125" style="30" customWidth="1"/>
    <col min="8968" max="9216" width="9.140625" style="30"/>
    <col min="9217" max="9217" width="6.85546875" style="30" customWidth="1"/>
    <col min="9218" max="9218" width="20.5703125" style="30" customWidth="1"/>
    <col min="9219" max="9219" width="34.28515625" style="30" customWidth="1"/>
    <col min="9220" max="9220" width="17.85546875" style="30" customWidth="1"/>
    <col min="9221" max="9222" width="19.140625" style="30" customWidth="1"/>
    <col min="9223" max="9223" width="16.42578125" style="30" customWidth="1"/>
    <col min="9224" max="9472" width="9.140625" style="30"/>
    <col min="9473" max="9473" width="6.85546875" style="30" customWidth="1"/>
    <col min="9474" max="9474" width="20.5703125" style="30" customWidth="1"/>
    <col min="9475" max="9475" width="34.28515625" style="30" customWidth="1"/>
    <col min="9476" max="9476" width="17.85546875" style="30" customWidth="1"/>
    <col min="9477" max="9478" width="19.140625" style="30" customWidth="1"/>
    <col min="9479" max="9479" width="16.42578125" style="30" customWidth="1"/>
    <col min="9480" max="9728" width="9.140625" style="30"/>
    <col min="9729" max="9729" width="6.85546875" style="30" customWidth="1"/>
    <col min="9730" max="9730" width="20.5703125" style="30" customWidth="1"/>
    <col min="9731" max="9731" width="34.28515625" style="30" customWidth="1"/>
    <col min="9732" max="9732" width="17.85546875" style="30" customWidth="1"/>
    <col min="9733" max="9734" width="19.140625" style="30" customWidth="1"/>
    <col min="9735" max="9735" width="16.42578125" style="30" customWidth="1"/>
    <col min="9736" max="9984" width="9.140625" style="30"/>
    <col min="9985" max="9985" width="6.85546875" style="30" customWidth="1"/>
    <col min="9986" max="9986" width="20.5703125" style="30" customWidth="1"/>
    <col min="9987" max="9987" width="34.28515625" style="30" customWidth="1"/>
    <col min="9988" max="9988" width="17.85546875" style="30" customWidth="1"/>
    <col min="9989" max="9990" width="19.140625" style="30" customWidth="1"/>
    <col min="9991" max="9991" width="16.42578125" style="30" customWidth="1"/>
    <col min="9992" max="10240" width="9.140625" style="30"/>
    <col min="10241" max="10241" width="6.85546875" style="30" customWidth="1"/>
    <col min="10242" max="10242" width="20.5703125" style="30" customWidth="1"/>
    <col min="10243" max="10243" width="34.28515625" style="30" customWidth="1"/>
    <col min="10244" max="10244" width="17.85546875" style="30" customWidth="1"/>
    <col min="10245" max="10246" width="19.140625" style="30" customWidth="1"/>
    <col min="10247" max="10247" width="16.42578125" style="30" customWidth="1"/>
    <col min="10248" max="10496" width="9.140625" style="30"/>
    <col min="10497" max="10497" width="6.85546875" style="30" customWidth="1"/>
    <col min="10498" max="10498" width="20.5703125" style="30" customWidth="1"/>
    <col min="10499" max="10499" width="34.28515625" style="30" customWidth="1"/>
    <col min="10500" max="10500" width="17.85546875" style="30" customWidth="1"/>
    <col min="10501" max="10502" width="19.140625" style="30" customWidth="1"/>
    <col min="10503" max="10503" width="16.42578125" style="30" customWidth="1"/>
    <col min="10504" max="10752" width="9.140625" style="30"/>
    <col min="10753" max="10753" width="6.85546875" style="30" customWidth="1"/>
    <col min="10754" max="10754" width="20.5703125" style="30" customWidth="1"/>
    <col min="10755" max="10755" width="34.28515625" style="30" customWidth="1"/>
    <col min="10756" max="10756" width="17.85546875" style="30" customWidth="1"/>
    <col min="10757" max="10758" width="19.140625" style="30" customWidth="1"/>
    <col min="10759" max="10759" width="16.42578125" style="30" customWidth="1"/>
    <col min="10760" max="11008" width="9.140625" style="30"/>
    <col min="11009" max="11009" width="6.85546875" style="30" customWidth="1"/>
    <col min="11010" max="11010" width="20.5703125" style="30" customWidth="1"/>
    <col min="11011" max="11011" width="34.28515625" style="30" customWidth="1"/>
    <col min="11012" max="11012" width="17.85546875" style="30" customWidth="1"/>
    <col min="11013" max="11014" width="19.140625" style="30" customWidth="1"/>
    <col min="11015" max="11015" width="16.42578125" style="30" customWidth="1"/>
    <col min="11016" max="11264" width="9.140625" style="30"/>
    <col min="11265" max="11265" width="6.85546875" style="30" customWidth="1"/>
    <col min="11266" max="11266" width="20.5703125" style="30" customWidth="1"/>
    <col min="11267" max="11267" width="34.28515625" style="30" customWidth="1"/>
    <col min="11268" max="11268" width="17.85546875" style="30" customWidth="1"/>
    <col min="11269" max="11270" width="19.140625" style="30" customWidth="1"/>
    <col min="11271" max="11271" width="16.42578125" style="30" customWidth="1"/>
    <col min="11272" max="11520" width="9.140625" style="30"/>
    <col min="11521" max="11521" width="6.85546875" style="30" customWidth="1"/>
    <col min="11522" max="11522" width="20.5703125" style="30" customWidth="1"/>
    <col min="11523" max="11523" width="34.28515625" style="30" customWidth="1"/>
    <col min="11524" max="11524" width="17.85546875" style="30" customWidth="1"/>
    <col min="11525" max="11526" width="19.140625" style="30" customWidth="1"/>
    <col min="11527" max="11527" width="16.42578125" style="30" customWidth="1"/>
    <col min="11528" max="11776" width="9.140625" style="30"/>
    <col min="11777" max="11777" width="6.85546875" style="30" customWidth="1"/>
    <col min="11778" max="11778" width="20.5703125" style="30" customWidth="1"/>
    <col min="11779" max="11779" width="34.28515625" style="30" customWidth="1"/>
    <col min="11780" max="11780" width="17.85546875" style="30" customWidth="1"/>
    <col min="11781" max="11782" width="19.140625" style="30" customWidth="1"/>
    <col min="11783" max="11783" width="16.42578125" style="30" customWidth="1"/>
    <col min="11784" max="12032" width="9.140625" style="30"/>
    <col min="12033" max="12033" width="6.85546875" style="30" customWidth="1"/>
    <col min="12034" max="12034" width="20.5703125" style="30" customWidth="1"/>
    <col min="12035" max="12035" width="34.28515625" style="30" customWidth="1"/>
    <col min="12036" max="12036" width="17.85546875" style="30" customWidth="1"/>
    <col min="12037" max="12038" width="19.140625" style="30" customWidth="1"/>
    <col min="12039" max="12039" width="16.42578125" style="30" customWidth="1"/>
    <col min="12040" max="12288" width="9.140625" style="30"/>
    <col min="12289" max="12289" width="6.85546875" style="30" customWidth="1"/>
    <col min="12290" max="12290" width="20.5703125" style="30" customWidth="1"/>
    <col min="12291" max="12291" width="34.28515625" style="30" customWidth="1"/>
    <col min="12292" max="12292" width="17.85546875" style="30" customWidth="1"/>
    <col min="12293" max="12294" width="19.140625" style="30" customWidth="1"/>
    <col min="12295" max="12295" width="16.42578125" style="30" customWidth="1"/>
    <col min="12296" max="12544" width="9.140625" style="30"/>
    <col min="12545" max="12545" width="6.85546875" style="30" customWidth="1"/>
    <col min="12546" max="12546" width="20.5703125" style="30" customWidth="1"/>
    <col min="12547" max="12547" width="34.28515625" style="30" customWidth="1"/>
    <col min="12548" max="12548" width="17.85546875" style="30" customWidth="1"/>
    <col min="12549" max="12550" width="19.140625" style="30" customWidth="1"/>
    <col min="12551" max="12551" width="16.42578125" style="30" customWidth="1"/>
    <col min="12552" max="12800" width="9.140625" style="30"/>
    <col min="12801" max="12801" width="6.85546875" style="30" customWidth="1"/>
    <col min="12802" max="12802" width="20.5703125" style="30" customWidth="1"/>
    <col min="12803" max="12803" width="34.28515625" style="30" customWidth="1"/>
    <col min="12804" max="12804" width="17.85546875" style="30" customWidth="1"/>
    <col min="12805" max="12806" width="19.140625" style="30" customWidth="1"/>
    <col min="12807" max="12807" width="16.42578125" style="30" customWidth="1"/>
    <col min="12808" max="13056" width="9.140625" style="30"/>
    <col min="13057" max="13057" width="6.85546875" style="30" customWidth="1"/>
    <col min="13058" max="13058" width="20.5703125" style="30" customWidth="1"/>
    <col min="13059" max="13059" width="34.28515625" style="30" customWidth="1"/>
    <col min="13060" max="13060" width="17.85546875" style="30" customWidth="1"/>
    <col min="13061" max="13062" width="19.140625" style="30" customWidth="1"/>
    <col min="13063" max="13063" width="16.42578125" style="30" customWidth="1"/>
    <col min="13064" max="13312" width="9.140625" style="30"/>
    <col min="13313" max="13313" width="6.85546875" style="30" customWidth="1"/>
    <col min="13314" max="13314" width="20.5703125" style="30" customWidth="1"/>
    <col min="13315" max="13315" width="34.28515625" style="30" customWidth="1"/>
    <col min="13316" max="13316" width="17.85546875" style="30" customWidth="1"/>
    <col min="13317" max="13318" width="19.140625" style="30" customWidth="1"/>
    <col min="13319" max="13319" width="16.42578125" style="30" customWidth="1"/>
    <col min="13320" max="13568" width="9.140625" style="30"/>
    <col min="13569" max="13569" width="6.85546875" style="30" customWidth="1"/>
    <col min="13570" max="13570" width="20.5703125" style="30" customWidth="1"/>
    <col min="13571" max="13571" width="34.28515625" style="30" customWidth="1"/>
    <col min="13572" max="13572" width="17.85546875" style="30" customWidth="1"/>
    <col min="13573" max="13574" width="19.140625" style="30" customWidth="1"/>
    <col min="13575" max="13575" width="16.42578125" style="30" customWidth="1"/>
    <col min="13576" max="13824" width="9.140625" style="30"/>
    <col min="13825" max="13825" width="6.85546875" style="30" customWidth="1"/>
    <col min="13826" max="13826" width="20.5703125" style="30" customWidth="1"/>
    <col min="13827" max="13827" width="34.28515625" style="30" customWidth="1"/>
    <col min="13828" max="13828" width="17.85546875" style="30" customWidth="1"/>
    <col min="13829" max="13830" width="19.140625" style="30" customWidth="1"/>
    <col min="13831" max="13831" width="16.42578125" style="30" customWidth="1"/>
    <col min="13832" max="14080" width="9.140625" style="30"/>
    <col min="14081" max="14081" width="6.85546875" style="30" customWidth="1"/>
    <col min="14082" max="14082" width="20.5703125" style="30" customWidth="1"/>
    <col min="14083" max="14083" width="34.28515625" style="30" customWidth="1"/>
    <col min="14084" max="14084" width="17.85546875" style="30" customWidth="1"/>
    <col min="14085" max="14086" width="19.140625" style="30" customWidth="1"/>
    <col min="14087" max="14087" width="16.42578125" style="30" customWidth="1"/>
    <col min="14088" max="14336" width="9.140625" style="30"/>
    <col min="14337" max="14337" width="6.85546875" style="30" customWidth="1"/>
    <col min="14338" max="14338" width="20.5703125" style="30" customWidth="1"/>
    <col min="14339" max="14339" width="34.28515625" style="30" customWidth="1"/>
    <col min="14340" max="14340" width="17.85546875" style="30" customWidth="1"/>
    <col min="14341" max="14342" width="19.140625" style="30" customWidth="1"/>
    <col min="14343" max="14343" width="16.42578125" style="30" customWidth="1"/>
    <col min="14344" max="14592" width="9.140625" style="30"/>
    <col min="14593" max="14593" width="6.85546875" style="30" customWidth="1"/>
    <col min="14594" max="14594" width="20.5703125" style="30" customWidth="1"/>
    <col min="14595" max="14595" width="34.28515625" style="30" customWidth="1"/>
    <col min="14596" max="14596" width="17.85546875" style="30" customWidth="1"/>
    <col min="14597" max="14598" width="19.140625" style="30" customWidth="1"/>
    <col min="14599" max="14599" width="16.42578125" style="30" customWidth="1"/>
    <col min="14600" max="14848" width="9.140625" style="30"/>
    <col min="14849" max="14849" width="6.85546875" style="30" customWidth="1"/>
    <col min="14850" max="14850" width="20.5703125" style="30" customWidth="1"/>
    <col min="14851" max="14851" width="34.28515625" style="30" customWidth="1"/>
    <col min="14852" max="14852" width="17.85546875" style="30" customWidth="1"/>
    <col min="14853" max="14854" width="19.140625" style="30" customWidth="1"/>
    <col min="14855" max="14855" width="16.42578125" style="30" customWidth="1"/>
    <col min="14856" max="15104" width="9.140625" style="30"/>
    <col min="15105" max="15105" width="6.85546875" style="30" customWidth="1"/>
    <col min="15106" max="15106" width="20.5703125" style="30" customWidth="1"/>
    <col min="15107" max="15107" width="34.28515625" style="30" customWidth="1"/>
    <col min="15108" max="15108" width="17.85546875" style="30" customWidth="1"/>
    <col min="15109" max="15110" width="19.140625" style="30" customWidth="1"/>
    <col min="15111" max="15111" width="16.42578125" style="30" customWidth="1"/>
    <col min="15112" max="15360" width="9.140625" style="30"/>
    <col min="15361" max="15361" width="6.85546875" style="30" customWidth="1"/>
    <col min="15362" max="15362" width="20.5703125" style="30" customWidth="1"/>
    <col min="15363" max="15363" width="34.28515625" style="30" customWidth="1"/>
    <col min="15364" max="15364" width="17.85546875" style="30" customWidth="1"/>
    <col min="15365" max="15366" width="19.140625" style="30" customWidth="1"/>
    <col min="15367" max="15367" width="16.42578125" style="30" customWidth="1"/>
    <col min="15368" max="15616" width="9.140625" style="30"/>
    <col min="15617" max="15617" width="6.85546875" style="30" customWidth="1"/>
    <col min="15618" max="15618" width="20.5703125" style="30" customWidth="1"/>
    <col min="15619" max="15619" width="34.28515625" style="30" customWidth="1"/>
    <col min="15620" max="15620" width="17.85546875" style="30" customWidth="1"/>
    <col min="15621" max="15622" width="19.140625" style="30" customWidth="1"/>
    <col min="15623" max="15623" width="16.42578125" style="30" customWidth="1"/>
    <col min="15624" max="15872" width="9.140625" style="30"/>
    <col min="15873" max="15873" width="6.85546875" style="30" customWidth="1"/>
    <col min="15874" max="15874" width="20.5703125" style="30" customWidth="1"/>
    <col min="15875" max="15875" width="34.28515625" style="30" customWidth="1"/>
    <col min="15876" max="15876" width="17.85546875" style="30" customWidth="1"/>
    <col min="15877" max="15878" width="19.140625" style="30" customWidth="1"/>
    <col min="15879" max="15879" width="16.42578125" style="30" customWidth="1"/>
    <col min="15880" max="16128" width="9.140625" style="30"/>
    <col min="16129" max="16129" width="6.85546875" style="30" customWidth="1"/>
    <col min="16130" max="16130" width="20.5703125" style="30" customWidth="1"/>
    <col min="16131" max="16131" width="34.28515625" style="30" customWidth="1"/>
    <col min="16132" max="16132" width="17.85546875" style="30" customWidth="1"/>
    <col min="16133" max="16134" width="19.140625" style="30" customWidth="1"/>
    <col min="16135" max="16135" width="16.42578125" style="30" customWidth="1"/>
    <col min="16136" max="16384" width="9.140625" style="30"/>
  </cols>
  <sheetData>
    <row r="1" spans="1:10" customFormat="1" ht="15" x14ac:dyDescent="0.2">
      <c r="A1" s="163" t="s">
        <v>0</v>
      </c>
      <c r="B1" s="163"/>
      <c r="C1" s="163"/>
      <c r="D1" s="163"/>
      <c r="E1" s="163"/>
      <c r="F1" s="163"/>
      <c r="G1" s="163"/>
      <c r="H1" s="163"/>
      <c r="I1" s="7" t="s">
        <v>884</v>
      </c>
      <c r="J1" s="8"/>
    </row>
    <row r="2" spans="1:10" customFormat="1" ht="15" x14ac:dyDescent="0.2">
      <c r="A2" s="163" t="s">
        <v>849</v>
      </c>
      <c r="B2" s="163"/>
      <c r="C2" s="163"/>
      <c r="D2" s="163"/>
      <c r="E2" s="163"/>
      <c r="F2" s="163"/>
      <c r="G2" s="163"/>
      <c r="H2" s="163"/>
      <c r="I2" s="164"/>
      <c r="J2" s="9" t="s">
        <v>885</v>
      </c>
    </row>
    <row r="3" spans="1:10" customFormat="1" ht="15" customHeight="1" x14ac:dyDescent="0.2">
      <c r="A3" s="113" t="s">
        <v>887</v>
      </c>
      <c r="B3" s="113"/>
      <c r="C3" s="113"/>
      <c r="D3" s="113"/>
      <c r="E3" s="113"/>
      <c r="F3" s="113"/>
      <c r="G3" s="113"/>
      <c r="H3" s="113"/>
      <c r="I3" s="164"/>
      <c r="J3" s="8"/>
    </row>
    <row r="4" spans="1:10" s="10" customFormat="1" ht="30" x14ac:dyDescent="0.2">
      <c r="A4" s="165" t="s">
        <v>2</v>
      </c>
      <c r="B4" s="165" t="s">
        <v>3</v>
      </c>
      <c r="C4" s="165" t="s">
        <v>4</v>
      </c>
      <c r="D4" s="165" t="s">
        <v>5</v>
      </c>
      <c r="E4" s="165" t="s">
        <v>6</v>
      </c>
      <c r="F4" s="165" t="s">
        <v>7</v>
      </c>
      <c r="G4" s="165" t="s">
        <v>8</v>
      </c>
      <c r="H4" s="165" t="s">
        <v>886</v>
      </c>
      <c r="I4" s="166"/>
      <c r="J4" s="8"/>
    </row>
    <row r="5" spans="1:10" x14ac:dyDescent="0.2">
      <c r="A5" s="167"/>
      <c r="B5" s="167"/>
      <c r="C5" s="168" t="s">
        <v>9</v>
      </c>
      <c r="D5" s="167"/>
      <c r="E5" s="167"/>
      <c r="F5" s="167"/>
      <c r="G5" s="167"/>
      <c r="H5" s="169" t="s">
        <v>151</v>
      </c>
      <c r="J5" s="8"/>
    </row>
    <row r="6" spans="1:10" x14ac:dyDescent="0.2">
      <c r="A6" s="167"/>
      <c r="B6" s="167"/>
      <c r="C6" s="168" t="s">
        <v>10</v>
      </c>
      <c r="D6" s="167"/>
      <c r="E6" s="167"/>
      <c r="F6" s="167"/>
      <c r="G6" s="167"/>
      <c r="H6" s="169" t="s">
        <v>151</v>
      </c>
      <c r="J6" s="8"/>
    </row>
    <row r="7" spans="1:10" x14ac:dyDescent="0.2">
      <c r="A7" s="167"/>
      <c r="B7" s="167"/>
      <c r="C7" s="168" t="s">
        <v>150</v>
      </c>
      <c r="D7" s="167"/>
      <c r="E7" s="167" t="s">
        <v>151</v>
      </c>
      <c r="F7" s="170" t="s">
        <v>153</v>
      </c>
      <c r="G7" s="171">
        <v>0</v>
      </c>
      <c r="H7" s="169" t="s">
        <v>151</v>
      </c>
      <c r="J7" s="8"/>
    </row>
    <row r="8" spans="1:10" x14ac:dyDescent="0.2">
      <c r="A8" s="167"/>
      <c r="B8" s="167"/>
      <c r="C8" s="172"/>
      <c r="D8" s="167"/>
      <c r="E8" s="167"/>
      <c r="F8" s="173"/>
      <c r="G8" s="173"/>
      <c r="H8" s="169" t="s">
        <v>151</v>
      </c>
      <c r="J8" s="8"/>
    </row>
    <row r="9" spans="1:10" x14ac:dyDescent="0.2">
      <c r="A9" s="167"/>
      <c r="B9" s="167"/>
      <c r="C9" s="168" t="s">
        <v>152</v>
      </c>
      <c r="D9" s="167"/>
      <c r="E9" s="167"/>
      <c r="F9" s="167"/>
      <c r="G9" s="167"/>
      <c r="H9" s="169" t="s">
        <v>151</v>
      </c>
      <c r="J9" s="8"/>
    </row>
    <row r="10" spans="1:10" x14ac:dyDescent="0.2">
      <c r="A10" s="167"/>
      <c r="B10" s="167"/>
      <c r="C10" s="168" t="s">
        <v>150</v>
      </c>
      <c r="D10" s="167"/>
      <c r="E10" s="167" t="s">
        <v>151</v>
      </c>
      <c r="F10" s="170" t="s">
        <v>153</v>
      </c>
      <c r="G10" s="171">
        <v>0</v>
      </c>
      <c r="H10" s="169" t="s">
        <v>151</v>
      </c>
      <c r="J10" s="8"/>
    </row>
    <row r="11" spans="1:10" x14ac:dyDescent="0.2">
      <c r="A11" s="167"/>
      <c r="B11" s="167"/>
      <c r="C11" s="172"/>
      <c r="D11" s="167"/>
      <c r="E11" s="167"/>
      <c r="F11" s="173"/>
      <c r="G11" s="173"/>
      <c r="H11" s="169" t="s">
        <v>151</v>
      </c>
      <c r="J11" s="8"/>
    </row>
    <row r="12" spans="1:10" ht="15" x14ac:dyDescent="0.2">
      <c r="A12" s="167"/>
      <c r="B12" s="167"/>
      <c r="C12" s="168" t="s">
        <v>154</v>
      </c>
      <c r="D12" s="167"/>
      <c r="E12" s="167"/>
      <c r="F12" s="167"/>
      <c r="G12" s="167"/>
      <c r="H12" s="169" t="s">
        <v>151</v>
      </c>
      <c r="J12" s="11"/>
    </row>
    <row r="13" spans="1:10" x14ac:dyDescent="0.2">
      <c r="A13" s="167"/>
      <c r="B13" s="167"/>
      <c r="C13" s="168" t="s">
        <v>150</v>
      </c>
      <c r="D13" s="167"/>
      <c r="E13" s="167" t="s">
        <v>151</v>
      </c>
      <c r="F13" s="170" t="s">
        <v>153</v>
      </c>
      <c r="G13" s="171">
        <v>0</v>
      </c>
      <c r="H13" s="169" t="s">
        <v>151</v>
      </c>
      <c r="J13" s="8"/>
    </row>
    <row r="14" spans="1:10" x14ac:dyDescent="0.2">
      <c r="A14" s="167"/>
      <c r="B14" s="167"/>
      <c r="C14" s="172"/>
      <c r="D14" s="167"/>
      <c r="E14" s="167"/>
      <c r="F14" s="173"/>
      <c r="G14" s="173"/>
      <c r="H14" s="169" t="s">
        <v>151</v>
      </c>
      <c r="J14" s="8"/>
    </row>
    <row r="15" spans="1:10" x14ac:dyDescent="0.2">
      <c r="A15" s="167"/>
      <c r="B15" s="167"/>
      <c r="C15" s="168" t="s">
        <v>155</v>
      </c>
      <c r="D15" s="167"/>
      <c r="E15" s="167"/>
      <c r="F15" s="167"/>
      <c r="G15" s="167"/>
      <c r="H15" s="169" t="s">
        <v>151</v>
      </c>
      <c r="J15" s="8"/>
    </row>
    <row r="16" spans="1:10" x14ac:dyDescent="0.2">
      <c r="A16" s="167"/>
      <c r="B16" s="167"/>
      <c r="C16" s="168" t="s">
        <v>150</v>
      </c>
      <c r="D16" s="167"/>
      <c r="E16" s="167" t="s">
        <v>151</v>
      </c>
      <c r="F16" s="170" t="s">
        <v>153</v>
      </c>
      <c r="G16" s="171">
        <v>0</v>
      </c>
      <c r="H16" s="169" t="s">
        <v>151</v>
      </c>
      <c r="J16" s="8" t="s">
        <v>1049</v>
      </c>
    </row>
    <row r="17" spans="1:10" x14ac:dyDescent="0.2">
      <c r="A17" s="167"/>
      <c r="B17" s="167"/>
      <c r="C17" s="172"/>
      <c r="D17" s="167"/>
      <c r="E17" s="167"/>
      <c r="F17" s="173"/>
      <c r="G17" s="173"/>
      <c r="H17" s="169" t="s">
        <v>151</v>
      </c>
      <c r="J17" s="8"/>
    </row>
    <row r="18" spans="1:10" x14ac:dyDescent="0.2">
      <c r="A18" s="167"/>
      <c r="B18" s="167"/>
      <c r="C18" s="168" t="s">
        <v>156</v>
      </c>
      <c r="D18" s="167"/>
      <c r="E18" s="167"/>
      <c r="F18" s="173"/>
      <c r="G18" s="173"/>
      <c r="H18" s="169" t="s">
        <v>151</v>
      </c>
      <c r="J18" s="8"/>
    </row>
    <row r="19" spans="1:10" x14ac:dyDescent="0.2">
      <c r="A19" s="167"/>
      <c r="B19" s="167"/>
      <c r="C19" s="168" t="s">
        <v>150</v>
      </c>
      <c r="D19" s="167"/>
      <c r="E19" s="167" t="s">
        <v>151</v>
      </c>
      <c r="F19" s="170" t="s">
        <v>153</v>
      </c>
      <c r="G19" s="171">
        <v>0</v>
      </c>
      <c r="H19" s="169" t="s">
        <v>151</v>
      </c>
      <c r="J19" s="8"/>
    </row>
    <row r="20" spans="1:10" x14ac:dyDescent="0.2">
      <c r="A20" s="167"/>
      <c r="B20" s="167"/>
      <c r="C20" s="172"/>
      <c r="D20" s="167"/>
      <c r="E20" s="167"/>
      <c r="F20" s="173"/>
      <c r="G20" s="173"/>
      <c r="H20" s="169" t="s">
        <v>151</v>
      </c>
      <c r="J20" s="8"/>
    </row>
    <row r="21" spans="1:10" x14ac:dyDescent="0.2">
      <c r="A21" s="167"/>
      <c r="B21" s="167"/>
      <c r="C21" s="168" t="s">
        <v>157</v>
      </c>
      <c r="D21" s="167"/>
      <c r="E21" s="167"/>
      <c r="F21" s="173"/>
      <c r="G21" s="173"/>
      <c r="H21" s="169" t="s">
        <v>151</v>
      </c>
      <c r="J21" s="8"/>
    </row>
    <row r="22" spans="1:10" ht="15" x14ac:dyDescent="0.2">
      <c r="A22" s="167"/>
      <c r="B22" s="167"/>
      <c r="C22" s="168" t="s">
        <v>150</v>
      </c>
      <c r="D22" s="167"/>
      <c r="E22" s="167" t="s">
        <v>151</v>
      </c>
      <c r="F22" s="170" t="s">
        <v>153</v>
      </c>
      <c r="G22" s="171">
        <v>0</v>
      </c>
      <c r="H22" s="169" t="s">
        <v>151</v>
      </c>
      <c r="J22" s="11"/>
    </row>
    <row r="23" spans="1:10" x14ac:dyDescent="0.2">
      <c r="A23" s="167"/>
      <c r="B23" s="167"/>
      <c r="C23" s="172"/>
      <c r="D23" s="167"/>
      <c r="E23" s="167"/>
      <c r="F23" s="173"/>
      <c r="G23" s="173"/>
      <c r="H23" s="169" t="s">
        <v>151</v>
      </c>
      <c r="J23" s="8"/>
    </row>
    <row r="24" spans="1:10" x14ac:dyDescent="0.2">
      <c r="A24" s="167"/>
      <c r="B24" s="167"/>
      <c r="C24" s="168" t="s">
        <v>158</v>
      </c>
      <c r="D24" s="167"/>
      <c r="E24" s="167"/>
      <c r="F24" s="174">
        <v>0</v>
      </c>
      <c r="G24" s="171">
        <v>0</v>
      </c>
      <c r="H24" s="169" t="s">
        <v>151</v>
      </c>
      <c r="J24" s="8"/>
    </row>
    <row r="25" spans="1:10" x14ac:dyDescent="0.2">
      <c r="A25" s="167"/>
      <c r="B25" s="167"/>
      <c r="C25" s="172"/>
      <c r="D25" s="167"/>
      <c r="E25" s="167"/>
      <c r="F25" s="173"/>
      <c r="G25" s="173"/>
      <c r="H25" s="169" t="s">
        <v>151</v>
      </c>
      <c r="J25" s="8"/>
    </row>
    <row r="26" spans="1:10" x14ac:dyDescent="0.2">
      <c r="A26" s="167"/>
      <c r="B26" s="167"/>
      <c r="C26" s="168" t="s">
        <v>159</v>
      </c>
      <c r="D26" s="167"/>
      <c r="E26" s="167"/>
      <c r="F26" s="173"/>
      <c r="G26" s="173"/>
      <c r="H26" s="169" t="s">
        <v>151</v>
      </c>
      <c r="J26" s="8"/>
    </row>
    <row r="27" spans="1:10" x14ac:dyDescent="0.2">
      <c r="A27" s="167"/>
      <c r="B27" s="167"/>
      <c r="C27" s="168" t="s">
        <v>10</v>
      </c>
      <c r="D27" s="167"/>
      <c r="E27" s="167"/>
      <c r="F27" s="173"/>
      <c r="G27" s="173"/>
      <c r="H27" s="169" t="s">
        <v>151</v>
      </c>
      <c r="J27" s="8"/>
    </row>
    <row r="28" spans="1:10" x14ac:dyDescent="0.2">
      <c r="A28" s="167"/>
      <c r="B28" s="167"/>
      <c r="C28" s="168" t="s">
        <v>150</v>
      </c>
      <c r="D28" s="167"/>
      <c r="E28" s="167" t="s">
        <v>151</v>
      </c>
      <c r="F28" s="170" t="s">
        <v>153</v>
      </c>
      <c r="G28" s="171">
        <v>0</v>
      </c>
      <c r="H28" s="169" t="s">
        <v>151</v>
      </c>
      <c r="J28" s="8"/>
    </row>
    <row r="29" spans="1:10" x14ac:dyDescent="0.2">
      <c r="A29" s="167"/>
      <c r="B29" s="167"/>
      <c r="C29" s="172"/>
      <c r="D29" s="167"/>
      <c r="E29" s="167"/>
      <c r="F29" s="173"/>
      <c r="G29" s="173"/>
      <c r="H29" s="169" t="s">
        <v>151</v>
      </c>
      <c r="J29" s="8"/>
    </row>
    <row r="30" spans="1:10" x14ac:dyDescent="0.2">
      <c r="A30" s="167"/>
      <c r="B30" s="167"/>
      <c r="C30" s="168" t="s">
        <v>160</v>
      </c>
      <c r="D30" s="167"/>
      <c r="E30" s="167"/>
      <c r="F30" s="167"/>
      <c r="G30" s="167"/>
      <c r="H30" s="169" t="s">
        <v>151</v>
      </c>
      <c r="J30" s="8"/>
    </row>
    <row r="31" spans="1:10" x14ac:dyDescent="0.2">
      <c r="A31" s="167"/>
      <c r="B31" s="167"/>
      <c r="C31" s="168" t="s">
        <v>150</v>
      </c>
      <c r="D31" s="167"/>
      <c r="E31" s="167" t="s">
        <v>151</v>
      </c>
      <c r="F31" s="170" t="s">
        <v>153</v>
      </c>
      <c r="G31" s="171">
        <v>0</v>
      </c>
      <c r="H31" s="169" t="s">
        <v>151</v>
      </c>
      <c r="J31" s="8"/>
    </row>
    <row r="32" spans="1:10" x14ac:dyDescent="0.2">
      <c r="A32" s="167"/>
      <c r="B32" s="167"/>
      <c r="C32" s="172"/>
      <c r="D32" s="167"/>
      <c r="E32" s="167"/>
      <c r="F32" s="173"/>
      <c r="G32" s="173"/>
      <c r="H32" s="169" t="s">
        <v>151</v>
      </c>
      <c r="J32" s="8"/>
    </row>
    <row r="33" spans="1:10" x14ac:dyDescent="0.2">
      <c r="A33" s="167"/>
      <c r="B33" s="167"/>
      <c r="C33" s="168" t="s">
        <v>161</v>
      </c>
      <c r="D33" s="167"/>
      <c r="E33" s="167"/>
      <c r="F33" s="167"/>
      <c r="G33" s="167"/>
      <c r="H33" s="169" t="s">
        <v>151</v>
      </c>
      <c r="J33" s="8"/>
    </row>
    <row r="34" spans="1:10" x14ac:dyDescent="0.2">
      <c r="A34" s="167"/>
      <c r="B34" s="167"/>
      <c r="C34" s="168" t="s">
        <v>150</v>
      </c>
      <c r="D34" s="167"/>
      <c r="E34" s="167" t="s">
        <v>151</v>
      </c>
      <c r="F34" s="170" t="s">
        <v>153</v>
      </c>
      <c r="G34" s="171">
        <v>0</v>
      </c>
      <c r="H34" s="169" t="s">
        <v>151</v>
      </c>
      <c r="J34" s="8"/>
    </row>
    <row r="35" spans="1:10" x14ac:dyDescent="0.2">
      <c r="A35" s="167"/>
      <c r="B35" s="167"/>
      <c r="C35" s="172"/>
      <c r="D35" s="167"/>
      <c r="E35" s="167"/>
      <c r="F35" s="173"/>
      <c r="G35" s="173"/>
      <c r="H35" s="169" t="s">
        <v>151</v>
      </c>
      <c r="J35" s="8"/>
    </row>
    <row r="36" spans="1:10" x14ac:dyDescent="0.2">
      <c r="A36" s="167"/>
      <c r="B36" s="167"/>
      <c r="C36" s="168" t="s">
        <v>162</v>
      </c>
      <c r="D36" s="167"/>
      <c r="E36" s="167"/>
      <c r="F36" s="173"/>
      <c r="G36" s="173"/>
      <c r="H36" s="169" t="s">
        <v>151</v>
      </c>
      <c r="J36" s="8"/>
    </row>
    <row r="37" spans="1:10" x14ac:dyDescent="0.2">
      <c r="A37" s="167"/>
      <c r="B37" s="167"/>
      <c r="C37" s="168" t="s">
        <v>150</v>
      </c>
      <c r="D37" s="167"/>
      <c r="E37" s="167" t="s">
        <v>151</v>
      </c>
      <c r="F37" s="170" t="s">
        <v>153</v>
      </c>
      <c r="G37" s="171">
        <v>0</v>
      </c>
      <c r="H37" s="169" t="s">
        <v>151</v>
      </c>
      <c r="J37" s="8"/>
    </row>
    <row r="38" spans="1:10" x14ac:dyDescent="0.2">
      <c r="A38" s="167"/>
      <c r="B38" s="167"/>
      <c r="C38" s="172"/>
      <c r="D38" s="167"/>
      <c r="E38" s="167"/>
      <c r="F38" s="173"/>
      <c r="G38" s="173"/>
      <c r="H38" s="169" t="s">
        <v>151</v>
      </c>
      <c r="J38" s="8"/>
    </row>
    <row r="39" spans="1:10" x14ac:dyDescent="0.2">
      <c r="A39" s="167"/>
      <c r="B39" s="167"/>
      <c r="C39" s="168" t="s">
        <v>163</v>
      </c>
      <c r="D39" s="167"/>
      <c r="E39" s="167"/>
      <c r="F39" s="174">
        <v>0</v>
      </c>
      <c r="G39" s="171">
        <v>0</v>
      </c>
      <c r="H39" s="169" t="s">
        <v>151</v>
      </c>
      <c r="J39" s="8"/>
    </row>
    <row r="40" spans="1:10" x14ac:dyDescent="0.2">
      <c r="A40" s="167"/>
      <c r="B40" s="167"/>
      <c r="C40" s="172"/>
      <c r="D40" s="167"/>
      <c r="E40" s="167"/>
      <c r="F40" s="173"/>
      <c r="G40" s="173"/>
      <c r="H40" s="169" t="s">
        <v>151</v>
      </c>
      <c r="J40" s="8"/>
    </row>
    <row r="41" spans="1:10" x14ac:dyDescent="0.2">
      <c r="A41" s="167"/>
      <c r="B41" s="167"/>
      <c r="C41" s="168" t="s">
        <v>164</v>
      </c>
      <c r="D41" s="167"/>
      <c r="E41" s="167"/>
      <c r="F41" s="173"/>
      <c r="G41" s="173"/>
      <c r="H41" s="169" t="s">
        <v>151</v>
      </c>
      <c r="J41" s="8"/>
    </row>
    <row r="42" spans="1:10" x14ac:dyDescent="0.2">
      <c r="A42" s="167"/>
      <c r="B42" s="167"/>
      <c r="C42" s="168" t="s">
        <v>165</v>
      </c>
      <c r="D42" s="167"/>
      <c r="E42" s="167"/>
      <c r="F42" s="173"/>
      <c r="G42" s="173"/>
      <c r="H42" s="169" t="s">
        <v>151</v>
      </c>
      <c r="J42" s="8"/>
    </row>
    <row r="43" spans="1:10" x14ac:dyDescent="0.2">
      <c r="A43" s="167"/>
      <c r="B43" s="167"/>
      <c r="C43" s="168" t="s">
        <v>150</v>
      </c>
      <c r="D43" s="167"/>
      <c r="E43" s="167" t="s">
        <v>151</v>
      </c>
      <c r="F43" s="170" t="s">
        <v>153</v>
      </c>
      <c r="G43" s="171">
        <v>0</v>
      </c>
      <c r="H43" s="169" t="s">
        <v>151</v>
      </c>
      <c r="J43" s="8"/>
    </row>
    <row r="44" spans="1:10" x14ac:dyDescent="0.2">
      <c r="A44" s="167"/>
      <c r="B44" s="167"/>
      <c r="C44" s="172"/>
      <c r="D44" s="167"/>
      <c r="E44" s="167"/>
      <c r="F44" s="173"/>
      <c r="G44" s="173"/>
      <c r="H44" s="169" t="s">
        <v>151</v>
      </c>
      <c r="J44" s="8"/>
    </row>
    <row r="45" spans="1:10" x14ac:dyDescent="0.2">
      <c r="A45" s="167"/>
      <c r="B45" s="167"/>
      <c r="C45" s="168" t="s">
        <v>166</v>
      </c>
      <c r="D45" s="167"/>
      <c r="E45" s="167"/>
      <c r="F45" s="173"/>
      <c r="G45" s="173"/>
      <c r="H45" s="169" t="s">
        <v>151</v>
      </c>
      <c r="J45" s="8"/>
    </row>
    <row r="46" spans="1:10" x14ac:dyDescent="0.2">
      <c r="A46" s="167"/>
      <c r="B46" s="167"/>
      <c r="C46" s="168" t="s">
        <v>150</v>
      </c>
      <c r="D46" s="167"/>
      <c r="E46" s="167" t="s">
        <v>151</v>
      </c>
      <c r="F46" s="170" t="s">
        <v>153</v>
      </c>
      <c r="G46" s="171">
        <v>0</v>
      </c>
      <c r="H46" s="169" t="s">
        <v>151</v>
      </c>
      <c r="J46" s="8"/>
    </row>
    <row r="47" spans="1:10" x14ac:dyDescent="0.2">
      <c r="A47" s="167"/>
      <c r="B47" s="167"/>
      <c r="C47" s="172"/>
      <c r="D47" s="167"/>
      <c r="E47" s="167"/>
      <c r="F47" s="173"/>
      <c r="G47" s="173"/>
      <c r="H47" s="169" t="s">
        <v>151</v>
      </c>
      <c r="J47" s="8"/>
    </row>
    <row r="48" spans="1:10" x14ac:dyDescent="0.2">
      <c r="A48" s="167"/>
      <c r="B48" s="167"/>
      <c r="C48" s="168" t="s">
        <v>167</v>
      </c>
      <c r="D48" s="167"/>
      <c r="E48" s="167"/>
      <c r="F48" s="173"/>
      <c r="G48" s="173"/>
      <c r="H48" s="169" t="s">
        <v>151</v>
      </c>
      <c r="J48" s="8"/>
    </row>
    <row r="49" spans="1:10" x14ac:dyDescent="0.2">
      <c r="A49" s="167"/>
      <c r="B49" s="167"/>
      <c r="C49" s="168" t="s">
        <v>150</v>
      </c>
      <c r="D49" s="167"/>
      <c r="E49" s="167" t="s">
        <v>151</v>
      </c>
      <c r="F49" s="170" t="s">
        <v>153</v>
      </c>
      <c r="G49" s="171">
        <v>0</v>
      </c>
      <c r="H49" s="169" t="s">
        <v>151</v>
      </c>
      <c r="J49" s="8"/>
    </row>
    <row r="50" spans="1:10" x14ac:dyDescent="0.2">
      <c r="A50" s="167"/>
      <c r="B50" s="167"/>
      <c r="C50" s="172"/>
      <c r="D50" s="167"/>
      <c r="E50" s="167"/>
      <c r="F50" s="173"/>
      <c r="G50" s="173"/>
      <c r="H50" s="169" t="s">
        <v>151</v>
      </c>
      <c r="J50" s="8"/>
    </row>
    <row r="51" spans="1:10" x14ac:dyDescent="0.2">
      <c r="A51" s="167"/>
      <c r="B51" s="167"/>
      <c r="C51" s="168" t="s">
        <v>168</v>
      </c>
      <c r="D51" s="167"/>
      <c r="E51" s="167"/>
      <c r="F51" s="173"/>
      <c r="G51" s="173"/>
      <c r="H51" s="169" t="s">
        <v>151</v>
      </c>
      <c r="J51" s="8"/>
    </row>
    <row r="52" spans="1:10" x14ac:dyDescent="0.2">
      <c r="A52" s="175">
        <v>1</v>
      </c>
      <c r="B52" s="176"/>
      <c r="C52" s="176" t="s">
        <v>169</v>
      </c>
      <c r="D52" s="176"/>
      <c r="E52" s="177"/>
      <c r="F52" s="178">
        <v>237.725781001</v>
      </c>
      <c r="G52" s="179">
        <v>2.0757350000000001E-2</v>
      </c>
      <c r="H52" s="120">
        <v>6.61</v>
      </c>
      <c r="J52" s="8"/>
    </row>
    <row r="53" spans="1:10" x14ac:dyDescent="0.2">
      <c r="A53" s="167"/>
      <c r="B53" s="167"/>
      <c r="C53" s="168" t="s">
        <v>150</v>
      </c>
      <c r="D53" s="167"/>
      <c r="E53" s="167" t="s">
        <v>151</v>
      </c>
      <c r="F53" s="174">
        <v>237.725781001</v>
      </c>
      <c r="G53" s="171">
        <v>2.0757350000000001E-2</v>
      </c>
      <c r="H53" s="169" t="s">
        <v>151</v>
      </c>
      <c r="J53" s="8"/>
    </row>
    <row r="54" spans="1:10" x14ac:dyDescent="0.2">
      <c r="A54" s="167"/>
      <c r="B54" s="167"/>
      <c r="C54" s="172"/>
      <c r="D54" s="167"/>
      <c r="E54" s="167"/>
      <c r="F54" s="173"/>
      <c r="G54" s="173"/>
      <c r="H54" s="169" t="s">
        <v>151</v>
      </c>
      <c r="J54" s="8"/>
    </row>
    <row r="55" spans="1:10" x14ac:dyDescent="0.2">
      <c r="A55" s="167"/>
      <c r="B55" s="167"/>
      <c r="C55" s="168" t="s">
        <v>170</v>
      </c>
      <c r="D55" s="167"/>
      <c r="E55" s="167"/>
      <c r="F55" s="174">
        <v>237.725781001</v>
      </c>
      <c r="G55" s="171">
        <v>2.0757350000000001E-2</v>
      </c>
      <c r="H55" s="169" t="s">
        <v>151</v>
      </c>
      <c r="J55" s="8"/>
    </row>
    <row r="56" spans="1:10" x14ac:dyDescent="0.2">
      <c r="A56" s="167"/>
      <c r="B56" s="167"/>
      <c r="C56" s="173"/>
      <c r="D56" s="167"/>
      <c r="E56" s="167"/>
      <c r="F56" s="167"/>
      <c r="G56" s="167"/>
      <c r="H56" s="169" t="s">
        <v>151</v>
      </c>
      <c r="J56" s="8"/>
    </row>
    <row r="57" spans="1:10" x14ac:dyDescent="0.2">
      <c r="A57" s="167"/>
      <c r="B57" s="167"/>
      <c r="C57" s="168" t="s">
        <v>171</v>
      </c>
      <c r="D57" s="167"/>
      <c r="E57" s="167"/>
      <c r="F57" s="167"/>
      <c r="G57" s="167"/>
      <c r="H57" s="169" t="s">
        <v>151</v>
      </c>
      <c r="J57" s="8"/>
    </row>
    <row r="58" spans="1:10" ht="25.5" x14ac:dyDescent="0.2">
      <c r="A58" s="167"/>
      <c r="B58" s="167"/>
      <c r="C58" s="168" t="s">
        <v>1050</v>
      </c>
      <c r="D58" s="167"/>
      <c r="E58" s="167"/>
      <c r="F58" s="167"/>
      <c r="G58" s="167"/>
      <c r="H58" s="169" t="s">
        <v>151</v>
      </c>
      <c r="J58" s="8"/>
    </row>
    <row r="59" spans="1:10" x14ac:dyDescent="0.2">
      <c r="A59" s="175">
        <v>1</v>
      </c>
      <c r="B59" s="176" t="s">
        <v>1047</v>
      </c>
      <c r="C59" s="176" t="s">
        <v>1048</v>
      </c>
      <c r="D59" s="176"/>
      <c r="E59" s="180">
        <v>8832595.0219999999</v>
      </c>
      <c r="F59" s="178">
        <v>11241.701848868001</v>
      </c>
      <c r="G59" s="179">
        <v>0.98158425000000005</v>
      </c>
      <c r="H59" s="169" t="s">
        <v>151</v>
      </c>
      <c r="J59" s="8"/>
    </row>
    <row r="60" spans="1:10" x14ac:dyDescent="0.2">
      <c r="A60" s="167"/>
      <c r="B60" s="167"/>
      <c r="C60" s="168" t="s">
        <v>150</v>
      </c>
      <c r="D60" s="167"/>
      <c r="E60" s="167" t="s">
        <v>151</v>
      </c>
      <c r="F60" s="174">
        <v>11241.701848868001</v>
      </c>
      <c r="G60" s="171">
        <v>0.98158425000000005</v>
      </c>
      <c r="H60" s="169" t="s">
        <v>151</v>
      </c>
      <c r="J60" s="8"/>
    </row>
    <row r="61" spans="1:10" x14ac:dyDescent="0.2">
      <c r="A61" s="167"/>
      <c r="B61" s="167"/>
      <c r="C61" s="172"/>
      <c r="D61" s="167"/>
      <c r="E61" s="167"/>
      <c r="F61" s="173"/>
      <c r="G61" s="173"/>
      <c r="H61" s="169" t="s">
        <v>151</v>
      </c>
      <c r="J61" s="8"/>
    </row>
    <row r="62" spans="1:10" x14ac:dyDescent="0.2">
      <c r="A62" s="167"/>
      <c r="B62" s="167"/>
      <c r="C62" s="168" t="s">
        <v>175</v>
      </c>
      <c r="D62" s="167"/>
      <c r="E62" s="167"/>
      <c r="F62" s="167"/>
      <c r="G62" s="167"/>
      <c r="H62" s="169" t="s">
        <v>151</v>
      </c>
      <c r="J62" s="8"/>
    </row>
    <row r="63" spans="1:10" x14ac:dyDescent="0.2">
      <c r="A63" s="167"/>
      <c r="B63" s="167"/>
      <c r="C63" s="168" t="s">
        <v>176</v>
      </c>
      <c r="D63" s="167"/>
      <c r="E63" s="167"/>
      <c r="F63" s="167"/>
      <c r="G63" s="167"/>
      <c r="H63" s="169" t="s">
        <v>151</v>
      </c>
      <c r="J63" s="8"/>
    </row>
    <row r="64" spans="1:10" x14ac:dyDescent="0.2">
      <c r="A64" s="167"/>
      <c r="B64" s="167"/>
      <c r="C64" s="168" t="s">
        <v>150</v>
      </c>
      <c r="D64" s="167"/>
      <c r="E64" s="167" t="s">
        <v>151</v>
      </c>
      <c r="F64" s="170" t="s">
        <v>153</v>
      </c>
      <c r="G64" s="171">
        <v>0</v>
      </c>
      <c r="H64" s="169" t="s">
        <v>151</v>
      </c>
      <c r="J64" s="8"/>
    </row>
    <row r="65" spans="1:17" x14ac:dyDescent="0.2">
      <c r="A65" s="167"/>
      <c r="B65" s="167"/>
      <c r="C65" s="172"/>
      <c r="D65" s="167"/>
      <c r="E65" s="167"/>
      <c r="F65" s="173"/>
      <c r="G65" s="173"/>
      <c r="H65" s="169" t="s">
        <v>151</v>
      </c>
      <c r="J65" s="8"/>
    </row>
    <row r="66" spans="1:17" x14ac:dyDescent="0.2">
      <c r="A66" s="167"/>
      <c r="B66" s="167"/>
      <c r="C66" s="168" t="s">
        <v>177</v>
      </c>
      <c r="D66" s="167"/>
      <c r="E66" s="167"/>
      <c r="F66" s="173"/>
      <c r="G66" s="173"/>
      <c r="H66" s="169" t="s">
        <v>151</v>
      </c>
      <c r="J66" s="8"/>
    </row>
    <row r="67" spans="1:17" x14ac:dyDescent="0.2">
      <c r="A67" s="167"/>
      <c r="B67" s="167"/>
      <c r="C67" s="168" t="s">
        <v>150</v>
      </c>
      <c r="D67" s="167"/>
      <c r="E67" s="167" t="s">
        <v>151</v>
      </c>
      <c r="F67" s="170" t="s">
        <v>153</v>
      </c>
      <c r="G67" s="171">
        <v>0</v>
      </c>
      <c r="H67" s="169" t="s">
        <v>151</v>
      </c>
      <c r="J67" s="8"/>
    </row>
    <row r="68" spans="1:17" x14ac:dyDescent="0.2">
      <c r="A68" s="167"/>
      <c r="B68" s="167"/>
      <c r="C68" s="172"/>
      <c r="D68" s="167"/>
      <c r="E68" s="167"/>
      <c r="F68" s="173"/>
      <c r="G68" s="173"/>
      <c r="H68" s="169" t="s">
        <v>151</v>
      </c>
      <c r="J68" s="8"/>
    </row>
    <row r="69" spans="1:17" x14ac:dyDescent="0.2">
      <c r="A69" s="177"/>
      <c r="B69" s="176"/>
      <c r="C69" s="176" t="s">
        <v>178</v>
      </c>
      <c r="D69" s="176"/>
      <c r="E69" s="177"/>
      <c r="F69" s="178">
        <v>-26.817401699000001</v>
      </c>
      <c r="G69" s="179">
        <v>-2.3416000000000001E-3</v>
      </c>
      <c r="H69" s="169" t="s">
        <v>151</v>
      </c>
      <c r="J69" s="8"/>
    </row>
    <row r="70" spans="1:17" x14ac:dyDescent="0.2">
      <c r="A70" s="172"/>
      <c r="B70" s="172"/>
      <c r="C70" s="168" t="s">
        <v>179</v>
      </c>
      <c r="D70" s="173"/>
      <c r="E70" s="173"/>
      <c r="F70" s="174">
        <v>11452.61022817</v>
      </c>
      <c r="G70" s="181">
        <v>1</v>
      </c>
      <c r="H70" s="169" t="s">
        <v>151</v>
      </c>
      <c r="J70" s="8"/>
    </row>
    <row r="71" spans="1:17" x14ac:dyDescent="0.2">
      <c r="A71" s="182"/>
      <c r="B71" s="182"/>
      <c r="C71" s="182"/>
      <c r="D71" s="183"/>
      <c r="E71" s="183"/>
      <c r="F71" s="183"/>
      <c r="G71" s="183"/>
      <c r="J71" s="8"/>
    </row>
    <row r="72" spans="1:17" customFormat="1" ht="12.75" customHeight="1" x14ac:dyDescent="0.2">
      <c r="A72" s="136"/>
      <c r="B72" s="137" t="s">
        <v>888</v>
      </c>
      <c r="C72" s="137"/>
      <c r="D72" s="137"/>
      <c r="E72" s="137"/>
      <c r="F72" s="137"/>
      <c r="G72" s="137"/>
      <c r="H72" s="137"/>
      <c r="I72" s="114"/>
      <c r="J72" s="8"/>
    </row>
    <row r="73" spans="1:17" customFormat="1" ht="14.1" customHeight="1" x14ac:dyDescent="0.2">
      <c r="A73" s="136"/>
      <c r="B73" s="137" t="s">
        <v>889</v>
      </c>
      <c r="C73" s="137"/>
      <c r="D73" s="137"/>
      <c r="E73" s="137"/>
      <c r="F73" s="137"/>
      <c r="G73" s="137"/>
      <c r="H73" s="137"/>
      <c r="I73" s="114"/>
      <c r="J73" s="8"/>
    </row>
    <row r="74" spans="1:17" customFormat="1" ht="17.100000000000001" customHeight="1" x14ac:dyDescent="0.2">
      <c r="A74" s="136"/>
      <c r="B74" s="137" t="s">
        <v>890</v>
      </c>
      <c r="C74" s="137"/>
      <c r="D74" s="137"/>
      <c r="E74" s="137"/>
      <c r="F74" s="137"/>
      <c r="G74" s="137"/>
      <c r="H74" s="137"/>
      <c r="I74" s="114"/>
      <c r="J74" s="8"/>
    </row>
    <row r="75" spans="1:17" s="13" customFormat="1" ht="65.25" customHeight="1" x14ac:dyDescent="0.25">
      <c r="A75" s="138"/>
      <c r="B75" s="139" t="s">
        <v>891</v>
      </c>
      <c r="C75" s="139"/>
      <c r="D75" s="139"/>
      <c r="E75" s="139"/>
      <c r="F75" s="139"/>
      <c r="G75" s="139"/>
      <c r="H75" s="139"/>
      <c r="I75" s="114"/>
      <c r="J75" s="8"/>
      <c r="K75"/>
      <c r="L75"/>
      <c r="M75"/>
      <c r="N75"/>
      <c r="O75"/>
      <c r="P75"/>
      <c r="Q75"/>
    </row>
    <row r="76" spans="1:17" customFormat="1" ht="12.75" customHeight="1" x14ac:dyDescent="0.2">
      <c r="A76" s="136"/>
      <c r="B76" s="137" t="s">
        <v>892</v>
      </c>
      <c r="C76" s="137"/>
      <c r="D76" s="137"/>
      <c r="E76" s="137"/>
      <c r="F76" s="137"/>
      <c r="G76" s="137"/>
      <c r="H76" s="137"/>
      <c r="I76" s="114"/>
      <c r="J76" s="8"/>
    </row>
    <row r="77" spans="1:17" x14ac:dyDescent="0.2">
      <c r="A77" s="184"/>
      <c r="B77" s="184"/>
      <c r="C77" s="184"/>
      <c r="D77" s="185"/>
      <c r="E77" s="185"/>
      <c r="F77" s="185"/>
      <c r="G77" s="185"/>
      <c r="J77" s="8"/>
    </row>
    <row r="78" spans="1:17" x14ac:dyDescent="0.2">
      <c r="A78" s="184"/>
      <c r="B78" s="186" t="s">
        <v>180</v>
      </c>
      <c r="C78" s="187"/>
      <c r="D78" s="188"/>
      <c r="E78" s="189"/>
      <c r="F78" s="185"/>
      <c r="G78" s="185"/>
      <c r="J78" s="8"/>
    </row>
    <row r="79" spans="1:17" x14ac:dyDescent="0.2">
      <c r="A79" s="184"/>
      <c r="B79" s="190" t="s">
        <v>181</v>
      </c>
      <c r="C79" s="191"/>
      <c r="D79" s="168" t="s">
        <v>182</v>
      </c>
      <c r="E79" s="189"/>
      <c r="F79" s="185"/>
      <c r="G79" s="185"/>
      <c r="J79" s="8"/>
    </row>
    <row r="80" spans="1:17" x14ac:dyDescent="0.2">
      <c r="A80" s="184"/>
      <c r="B80" s="190" t="s">
        <v>183</v>
      </c>
      <c r="C80" s="191"/>
      <c r="D80" s="168" t="s">
        <v>182</v>
      </c>
      <c r="E80" s="189"/>
      <c r="F80" s="185"/>
      <c r="G80" s="185"/>
      <c r="J80" s="8"/>
    </row>
    <row r="81" spans="1:10" x14ac:dyDescent="0.2">
      <c r="A81" s="184"/>
      <c r="B81" s="190" t="s">
        <v>184</v>
      </c>
      <c r="C81" s="191"/>
      <c r="D81" s="173" t="s">
        <v>151</v>
      </c>
      <c r="E81" s="189"/>
      <c r="F81" s="185"/>
      <c r="G81" s="185"/>
      <c r="J81" s="8"/>
    </row>
    <row r="82" spans="1:10" customFormat="1" x14ac:dyDescent="0.2">
      <c r="A82" s="151"/>
      <c r="B82" s="152" t="s">
        <v>151</v>
      </c>
      <c r="C82" s="152" t="s">
        <v>894</v>
      </c>
      <c r="D82" s="152" t="s">
        <v>185</v>
      </c>
      <c r="E82" s="151"/>
      <c r="F82" s="151"/>
      <c r="G82" s="151"/>
      <c r="H82" s="151"/>
      <c r="I82" s="114"/>
      <c r="J82" s="8"/>
    </row>
    <row r="83" spans="1:10" customFormat="1" x14ac:dyDescent="0.2">
      <c r="A83" s="153"/>
      <c r="B83" s="154" t="s">
        <v>186</v>
      </c>
      <c r="C83" s="155">
        <v>45535</v>
      </c>
      <c r="D83" s="155">
        <v>45565</v>
      </c>
      <c r="E83" s="153"/>
      <c r="F83" s="153"/>
      <c r="G83" s="153"/>
      <c r="H83" s="114"/>
      <c r="I83" s="114"/>
      <c r="J83" s="8"/>
    </row>
    <row r="84" spans="1:10" x14ac:dyDescent="0.2">
      <c r="A84" s="192"/>
      <c r="B84" s="176" t="s">
        <v>187</v>
      </c>
      <c r="C84" s="193">
        <v>33.611800000000002</v>
      </c>
      <c r="D84" s="193">
        <v>34.118899999999996</v>
      </c>
      <c r="E84" s="192"/>
      <c r="F84" s="194"/>
      <c r="G84" s="195"/>
      <c r="J84" s="8"/>
    </row>
    <row r="85" spans="1:10" x14ac:dyDescent="0.2">
      <c r="A85" s="192"/>
      <c r="B85" s="176" t="s">
        <v>1038</v>
      </c>
      <c r="C85" s="193">
        <v>29.892199999999999</v>
      </c>
      <c r="D85" s="193">
        <v>30.3432</v>
      </c>
      <c r="E85" s="192"/>
      <c r="F85" s="194"/>
      <c r="G85" s="195"/>
      <c r="J85" s="8"/>
    </row>
    <row r="86" spans="1:10" x14ac:dyDescent="0.2">
      <c r="A86" s="192"/>
      <c r="B86" s="176" t="s">
        <v>188</v>
      </c>
      <c r="C86" s="193">
        <v>30.9391</v>
      </c>
      <c r="D86" s="193">
        <v>31.3813</v>
      </c>
      <c r="E86" s="192"/>
      <c r="F86" s="194"/>
      <c r="G86" s="195"/>
      <c r="J86" s="8"/>
    </row>
    <row r="87" spans="1:10" x14ac:dyDescent="0.2">
      <c r="A87" s="192"/>
      <c r="B87" s="176" t="s">
        <v>1039</v>
      </c>
      <c r="C87" s="193">
        <v>26.5122</v>
      </c>
      <c r="D87" s="193">
        <v>26.891200000000001</v>
      </c>
      <c r="E87" s="192"/>
      <c r="F87" s="194"/>
      <c r="G87" s="195"/>
      <c r="J87" s="8"/>
    </row>
    <row r="88" spans="1:10" x14ac:dyDescent="0.2">
      <c r="A88" s="192"/>
      <c r="B88" s="192"/>
      <c r="C88" s="192"/>
      <c r="D88" s="192"/>
      <c r="E88" s="192"/>
      <c r="F88" s="192"/>
      <c r="G88" s="192"/>
      <c r="J88" s="8"/>
    </row>
    <row r="89" spans="1:10" x14ac:dyDescent="0.2">
      <c r="A89" s="192"/>
      <c r="B89" s="190" t="s">
        <v>895</v>
      </c>
      <c r="C89" s="191"/>
      <c r="D89" s="196" t="s">
        <v>182</v>
      </c>
      <c r="E89" s="192"/>
      <c r="F89" s="192"/>
      <c r="G89" s="192"/>
      <c r="J89" s="8"/>
    </row>
    <row r="90" spans="1:10" x14ac:dyDescent="0.2">
      <c r="A90" s="192"/>
      <c r="B90" s="194"/>
      <c r="C90" s="194"/>
      <c r="D90" s="192"/>
      <c r="E90" s="192"/>
      <c r="F90" s="192"/>
      <c r="G90" s="192"/>
      <c r="J90" s="8"/>
    </row>
    <row r="91" spans="1:10" customFormat="1" ht="29.1" customHeight="1" x14ac:dyDescent="0.2">
      <c r="A91" s="151"/>
      <c r="B91" s="197" t="s">
        <v>189</v>
      </c>
      <c r="C91" s="198"/>
      <c r="D91" s="196" t="s">
        <v>182</v>
      </c>
      <c r="E91" s="160"/>
      <c r="F91" s="151"/>
      <c r="G91" s="151"/>
      <c r="H91" s="114"/>
      <c r="I91" s="164"/>
      <c r="J91" s="8"/>
    </row>
    <row r="92" spans="1:10" customFormat="1" ht="29.1" customHeight="1" x14ac:dyDescent="0.2">
      <c r="A92" s="151"/>
      <c r="B92" s="197" t="s">
        <v>190</v>
      </c>
      <c r="C92" s="198"/>
      <c r="D92" s="196" t="s">
        <v>1179</v>
      </c>
      <c r="E92" s="160"/>
      <c r="F92" s="151"/>
      <c r="G92" s="151"/>
      <c r="H92" s="114"/>
      <c r="I92" s="164"/>
      <c r="J92" s="8"/>
    </row>
    <row r="93" spans="1:10" customFormat="1" ht="17.100000000000001" customHeight="1" x14ac:dyDescent="0.2">
      <c r="A93" s="151"/>
      <c r="B93" s="197" t="s">
        <v>191</v>
      </c>
      <c r="C93" s="198"/>
      <c r="D93" s="196" t="s">
        <v>182</v>
      </c>
      <c r="E93" s="160"/>
      <c r="F93" s="151"/>
      <c r="G93" s="151"/>
      <c r="H93" s="114"/>
      <c r="I93" s="164"/>
      <c r="J93" s="8"/>
    </row>
    <row r="94" spans="1:10" customFormat="1" ht="17.100000000000001" customHeight="1" x14ac:dyDescent="0.2">
      <c r="A94" s="151"/>
      <c r="B94" s="197" t="s">
        <v>192</v>
      </c>
      <c r="C94" s="198"/>
      <c r="D94" s="199">
        <v>0</v>
      </c>
      <c r="E94" s="151"/>
      <c r="F94" s="159"/>
      <c r="G94" s="162"/>
      <c r="H94" s="114"/>
      <c r="I94" s="164"/>
      <c r="J94" s="8"/>
    </row>
    <row r="95" spans="1:10" customFormat="1" x14ac:dyDescent="0.2">
      <c r="A95" s="114"/>
      <c r="B95" s="114"/>
      <c r="C95" s="114"/>
      <c r="D95" s="114"/>
      <c r="E95" s="114"/>
      <c r="F95" s="114"/>
      <c r="G95" s="114"/>
      <c r="H95" s="114"/>
      <c r="I95" s="164"/>
      <c r="J95" s="8"/>
    </row>
    <row r="96" spans="1:10" customFormat="1" x14ac:dyDescent="0.2">
      <c r="A96" s="114"/>
      <c r="B96" s="114"/>
      <c r="C96" s="114"/>
      <c r="D96" s="114"/>
      <c r="E96" s="114"/>
      <c r="F96" s="114"/>
      <c r="G96" s="114"/>
      <c r="H96" s="114"/>
      <c r="I96" s="164"/>
      <c r="J96" s="12"/>
    </row>
    <row r="97" spans="1:10" customFormat="1" x14ac:dyDescent="0.2">
      <c r="A97" s="114"/>
      <c r="B97" s="114"/>
      <c r="C97" s="114"/>
      <c r="D97" s="114"/>
      <c r="E97" s="114"/>
      <c r="F97" s="114"/>
      <c r="G97" s="114"/>
      <c r="H97" s="114"/>
      <c r="I97" s="164"/>
      <c r="J97" s="12"/>
    </row>
    <row r="98" spans="1:10" customFormat="1" x14ac:dyDescent="0.2">
      <c r="A98" s="114"/>
      <c r="B98" s="114"/>
      <c r="C98" s="114"/>
      <c r="D98" s="114"/>
      <c r="E98" s="114"/>
      <c r="F98" s="114"/>
      <c r="G98" s="114"/>
      <c r="H98" s="114"/>
      <c r="I98" s="164"/>
      <c r="J98" s="12"/>
    </row>
    <row r="99" spans="1:10" customFormat="1" x14ac:dyDescent="0.2">
      <c r="A99" s="114"/>
      <c r="B99" s="114"/>
      <c r="C99" s="114"/>
      <c r="D99" s="114"/>
      <c r="E99" s="114"/>
      <c r="F99" s="114"/>
      <c r="G99" s="114"/>
      <c r="H99" s="114"/>
      <c r="I99" s="164"/>
      <c r="J99" s="12"/>
    </row>
  </sheetData>
  <mergeCells count="17">
    <mergeCell ref="B89:C89"/>
    <mergeCell ref="B93:C93"/>
    <mergeCell ref="B94:C94"/>
    <mergeCell ref="B91:C91"/>
    <mergeCell ref="B92:C92"/>
    <mergeCell ref="B74:H74"/>
    <mergeCell ref="B75:H75"/>
    <mergeCell ref="B76:H76"/>
    <mergeCell ref="B80:C80"/>
    <mergeCell ref="B81:C81"/>
    <mergeCell ref="B78:D78"/>
    <mergeCell ref="B79:C79"/>
    <mergeCell ref="A1:H1"/>
    <mergeCell ref="A2:H2"/>
    <mergeCell ref="A3:H3"/>
    <mergeCell ref="B72:H72"/>
    <mergeCell ref="B73:H73"/>
  </mergeCells>
  <hyperlinks>
    <hyperlink ref="I1" location="Index!B3" display="Index" xr:uid="{4A0F5B51-5316-4827-BD67-7EBF17C16A9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5A02D-D7E3-4D72-ABBF-257006C4DFB1}">
  <sheetPr>
    <outlinePr summaryBelow="0" summaryRight="0"/>
  </sheetPr>
  <dimension ref="A1:Q177"/>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42.5703125" style="114" customWidth="1"/>
    <col min="4" max="4" width="17.7109375" style="114" bestFit="1" customWidth="1"/>
    <col min="5" max="5" width="12.42578125" style="114" bestFit="1" customWidth="1"/>
    <col min="6" max="6" width="10.425781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193</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194</v>
      </c>
      <c r="C7" s="122" t="s">
        <v>195</v>
      </c>
      <c r="D7" s="122" t="s">
        <v>35</v>
      </c>
      <c r="E7" s="123">
        <v>7611667</v>
      </c>
      <c r="F7" s="124">
        <v>55584.198267500004</v>
      </c>
      <c r="G7" s="125">
        <v>4.2335930000000001E-2</v>
      </c>
      <c r="H7" s="120" t="s">
        <v>151</v>
      </c>
      <c r="J7" s="8"/>
    </row>
    <row r="8" spans="1:10" x14ac:dyDescent="0.2">
      <c r="A8" s="121">
        <v>2</v>
      </c>
      <c r="B8" s="122" t="s">
        <v>105</v>
      </c>
      <c r="C8" s="122" t="s">
        <v>106</v>
      </c>
      <c r="D8" s="122" t="s">
        <v>32</v>
      </c>
      <c r="E8" s="123">
        <v>1177160</v>
      </c>
      <c r="F8" s="124">
        <v>44803.298179999998</v>
      </c>
      <c r="G8" s="125">
        <v>3.412461E-2</v>
      </c>
      <c r="H8" s="120" t="s">
        <v>151</v>
      </c>
      <c r="J8" s="8"/>
    </row>
    <row r="9" spans="1:10" x14ac:dyDescent="0.2">
      <c r="A9" s="121">
        <v>3</v>
      </c>
      <c r="B9" s="122" t="s">
        <v>196</v>
      </c>
      <c r="C9" s="122" t="s">
        <v>197</v>
      </c>
      <c r="D9" s="122" t="s">
        <v>70</v>
      </c>
      <c r="E9" s="123">
        <v>938332</v>
      </c>
      <c r="F9" s="124">
        <v>40686.544686000001</v>
      </c>
      <c r="G9" s="125">
        <v>3.0989070000000001E-2</v>
      </c>
      <c r="H9" s="120" t="s">
        <v>151</v>
      </c>
      <c r="J9" s="8"/>
    </row>
    <row r="10" spans="1:10" x14ac:dyDescent="0.2">
      <c r="A10" s="121">
        <v>4</v>
      </c>
      <c r="B10" s="122" t="s">
        <v>198</v>
      </c>
      <c r="C10" s="122" t="s">
        <v>199</v>
      </c>
      <c r="D10" s="122" t="s">
        <v>200</v>
      </c>
      <c r="E10" s="123">
        <v>525627</v>
      </c>
      <c r="F10" s="124">
        <v>39814.405555500001</v>
      </c>
      <c r="G10" s="125">
        <v>3.0324799999999999E-2</v>
      </c>
      <c r="H10" s="120" t="s">
        <v>151</v>
      </c>
      <c r="J10" s="8"/>
    </row>
    <row r="11" spans="1:10" x14ac:dyDescent="0.2">
      <c r="A11" s="121">
        <v>5</v>
      </c>
      <c r="B11" s="122" t="s">
        <v>201</v>
      </c>
      <c r="C11" s="122" t="s">
        <v>202</v>
      </c>
      <c r="D11" s="122" t="s">
        <v>48</v>
      </c>
      <c r="E11" s="123">
        <v>20011397</v>
      </c>
      <c r="F11" s="124">
        <v>39368.421318100001</v>
      </c>
      <c r="G11" s="125">
        <v>2.9985120000000001E-2</v>
      </c>
      <c r="H11" s="120" t="s">
        <v>151</v>
      </c>
      <c r="J11" s="8"/>
    </row>
    <row r="12" spans="1:10" ht="25.5" x14ac:dyDescent="0.2">
      <c r="A12" s="121">
        <v>6</v>
      </c>
      <c r="B12" s="122" t="s">
        <v>203</v>
      </c>
      <c r="C12" s="122" t="s">
        <v>204</v>
      </c>
      <c r="D12" s="122" t="s">
        <v>205</v>
      </c>
      <c r="E12" s="123">
        <v>1388200</v>
      </c>
      <c r="F12" s="124">
        <v>30416.850200000001</v>
      </c>
      <c r="G12" s="125">
        <v>2.3167119999999999E-2</v>
      </c>
      <c r="H12" s="120" t="s">
        <v>151</v>
      </c>
      <c r="J12" s="11"/>
    </row>
    <row r="13" spans="1:10" ht="25.5" x14ac:dyDescent="0.2">
      <c r="A13" s="121">
        <v>7</v>
      </c>
      <c r="B13" s="122" t="s">
        <v>206</v>
      </c>
      <c r="C13" s="122" t="s">
        <v>207</v>
      </c>
      <c r="D13" s="122" t="s">
        <v>208</v>
      </c>
      <c r="E13" s="123">
        <v>1747182</v>
      </c>
      <c r="F13" s="124">
        <v>29259.183363</v>
      </c>
      <c r="G13" s="125">
        <v>2.2285369999999999E-2</v>
      </c>
      <c r="H13" s="120" t="s">
        <v>151</v>
      </c>
      <c r="J13" s="8"/>
    </row>
    <row r="14" spans="1:10" x14ac:dyDescent="0.2">
      <c r="A14" s="121">
        <v>8</v>
      </c>
      <c r="B14" s="122" t="s">
        <v>209</v>
      </c>
      <c r="C14" s="122" t="s">
        <v>210</v>
      </c>
      <c r="D14" s="122" t="s">
        <v>211</v>
      </c>
      <c r="E14" s="123">
        <v>4543631</v>
      </c>
      <c r="F14" s="124">
        <v>27947.874281</v>
      </c>
      <c r="G14" s="125">
        <v>2.1286610000000001E-2</v>
      </c>
      <c r="H14" s="120" t="s">
        <v>151</v>
      </c>
      <c r="J14" s="8" t="s">
        <v>903</v>
      </c>
    </row>
    <row r="15" spans="1:10" x14ac:dyDescent="0.2">
      <c r="A15" s="121">
        <v>9</v>
      </c>
      <c r="B15" s="122" t="s">
        <v>212</v>
      </c>
      <c r="C15" s="122" t="s">
        <v>213</v>
      </c>
      <c r="D15" s="122" t="s">
        <v>48</v>
      </c>
      <c r="E15" s="123">
        <v>3755252</v>
      </c>
      <c r="F15" s="124">
        <v>27796.375304000001</v>
      </c>
      <c r="G15" s="125">
        <v>2.1171220000000001E-2</v>
      </c>
      <c r="H15" s="120" t="s">
        <v>151</v>
      </c>
      <c r="J15" s="8"/>
    </row>
    <row r="16" spans="1:10" x14ac:dyDescent="0.2">
      <c r="A16" s="121">
        <v>10</v>
      </c>
      <c r="B16" s="122" t="s">
        <v>214</v>
      </c>
      <c r="C16" s="122" t="s">
        <v>215</v>
      </c>
      <c r="D16" s="122" t="s">
        <v>216</v>
      </c>
      <c r="E16" s="123">
        <v>496000</v>
      </c>
      <c r="F16" s="124">
        <v>27033.984</v>
      </c>
      <c r="G16" s="125">
        <v>2.0590540000000001E-2</v>
      </c>
      <c r="H16" s="120" t="s">
        <v>151</v>
      </c>
      <c r="J16" s="8"/>
    </row>
    <row r="17" spans="1:10" x14ac:dyDescent="0.2">
      <c r="A17" s="121">
        <v>11</v>
      </c>
      <c r="B17" s="122" t="s">
        <v>217</v>
      </c>
      <c r="C17" s="122" t="s">
        <v>218</v>
      </c>
      <c r="D17" s="122" t="s">
        <v>45</v>
      </c>
      <c r="E17" s="123">
        <v>1389543</v>
      </c>
      <c r="F17" s="124">
        <v>26292.932646000001</v>
      </c>
      <c r="G17" s="125">
        <v>2.0026120000000001E-2</v>
      </c>
      <c r="H17" s="120" t="s">
        <v>151</v>
      </c>
      <c r="J17" s="8"/>
    </row>
    <row r="18" spans="1:10" x14ac:dyDescent="0.2">
      <c r="A18" s="121">
        <v>12</v>
      </c>
      <c r="B18" s="122" t="s">
        <v>219</v>
      </c>
      <c r="C18" s="122" t="s">
        <v>220</v>
      </c>
      <c r="D18" s="122" t="s">
        <v>48</v>
      </c>
      <c r="E18" s="123">
        <v>4614433</v>
      </c>
      <c r="F18" s="124">
        <v>24181.9361365</v>
      </c>
      <c r="G18" s="125">
        <v>1.841827E-2</v>
      </c>
      <c r="H18" s="120" t="s">
        <v>151</v>
      </c>
      <c r="J18" s="8"/>
    </row>
    <row r="19" spans="1:10" x14ac:dyDescent="0.2">
      <c r="A19" s="121">
        <v>13</v>
      </c>
      <c r="B19" s="122" t="s">
        <v>221</v>
      </c>
      <c r="C19" s="122" t="s">
        <v>222</v>
      </c>
      <c r="D19" s="122" t="s">
        <v>19</v>
      </c>
      <c r="E19" s="123">
        <v>1278583</v>
      </c>
      <c r="F19" s="124">
        <v>24011.78874</v>
      </c>
      <c r="G19" s="125">
        <v>1.8288680000000002E-2</v>
      </c>
      <c r="H19" s="120" t="s">
        <v>151</v>
      </c>
      <c r="J19" s="8"/>
    </row>
    <row r="20" spans="1:10" x14ac:dyDescent="0.2">
      <c r="A20" s="121">
        <v>14</v>
      </c>
      <c r="B20" s="122" t="s">
        <v>223</v>
      </c>
      <c r="C20" s="122" t="s">
        <v>224</v>
      </c>
      <c r="D20" s="122" t="s">
        <v>121</v>
      </c>
      <c r="E20" s="123">
        <v>151505</v>
      </c>
      <c r="F20" s="124">
        <v>21674.6840625</v>
      </c>
      <c r="G20" s="125">
        <v>1.650861E-2</v>
      </c>
      <c r="H20" s="120" t="s">
        <v>151</v>
      </c>
      <c r="J20" s="8"/>
    </row>
    <row r="21" spans="1:10" ht="25.5" x14ac:dyDescent="0.2">
      <c r="A21" s="121">
        <v>15</v>
      </c>
      <c r="B21" s="122" t="s">
        <v>225</v>
      </c>
      <c r="C21" s="122" t="s">
        <v>226</v>
      </c>
      <c r="D21" s="122" t="s">
        <v>205</v>
      </c>
      <c r="E21" s="123">
        <v>1885000</v>
      </c>
      <c r="F21" s="124">
        <v>20142.1675</v>
      </c>
      <c r="G21" s="125">
        <v>1.534136E-2</v>
      </c>
      <c r="H21" s="120" t="s">
        <v>151</v>
      </c>
      <c r="J21" s="8"/>
    </row>
    <row r="22" spans="1:10" ht="15" x14ac:dyDescent="0.2">
      <c r="A22" s="121">
        <v>16</v>
      </c>
      <c r="B22" s="122" t="s">
        <v>227</v>
      </c>
      <c r="C22" s="122" t="s">
        <v>228</v>
      </c>
      <c r="D22" s="122" t="s">
        <v>22</v>
      </c>
      <c r="E22" s="123">
        <v>4535492</v>
      </c>
      <c r="F22" s="124">
        <v>19981.110005999999</v>
      </c>
      <c r="G22" s="125">
        <v>1.521869E-2</v>
      </c>
      <c r="H22" s="120" t="s">
        <v>151</v>
      </c>
      <c r="J22" s="11"/>
    </row>
    <row r="23" spans="1:10" ht="25.5" x14ac:dyDescent="0.2">
      <c r="A23" s="121">
        <v>17</v>
      </c>
      <c r="B23" s="122" t="s">
        <v>229</v>
      </c>
      <c r="C23" s="122" t="s">
        <v>230</v>
      </c>
      <c r="D23" s="122" t="s">
        <v>205</v>
      </c>
      <c r="E23" s="123">
        <v>329521</v>
      </c>
      <c r="F23" s="124">
        <v>19945.247088</v>
      </c>
      <c r="G23" s="125">
        <v>1.5191380000000001E-2</v>
      </c>
      <c r="H23" s="120" t="s">
        <v>151</v>
      </c>
      <c r="J23" s="8"/>
    </row>
    <row r="24" spans="1:10" ht="25.5" x14ac:dyDescent="0.2">
      <c r="A24" s="121">
        <v>18</v>
      </c>
      <c r="B24" s="122" t="s">
        <v>231</v>
      </c>
      <c r="C24" s="122" t="s">
        <v>232</v>
      </c>
      <c r="D24" s="122" t="s">
        <v>233</v>
      </c>
      <c r="E24" s="123">
        <v>1211495</v>
      </c>
      <c r="F24" s="124">
        <v>19625.613252499999</v>
      </c>
      <c r="G24" s="125">
        <v>1.494793E-2</v>
      </c>
      <c r="H24" s="120" t="s">
        <v>151</v>
      </c>
      <c r="J24" s="8"/>
    </row>
    <row r="25" spans="1:10" x14ac:dyDescent="0.2">
      <c r="A25" s="121">
        <v>19</v>
      </c>
      <c r="B25" s="122" t="s">
        <v>124</v>
      </c>
      <c r="C25" s="122" t="s">
        <v>125</v>
      </c>
      <c r="D25" s="122" t="s">
        <v>85</v>
      </c>
      <c r="E25" s="123">
        <v>4487545</v>
      </c>
      <c r="F25" s="124">
        <v>19072.06625</v>
      </c>
      <c r="G25" s="125">
        <v>1.4526320000000001E-2</v>
      </c>
      <c r="H25" s="120" t="s">
        <v>151</v>
      </c>
      <c r="J25" s="8" t="s">
        <v>904</v>
      </c>
    </row>
    <row r="26" spans="1:10" x14ac:dyDescent="0.2">
      <c r="A26" s="121">
        <v>20</v>
      </c>
      <c r="B26" s="122" t="s">
        <v>234</v>
      </c>
      <c r="C26" s="122" t="s">
        <v>235</v>
      </c>
      <c r="D26" s="122" t="s">
        <v>121</v>
      </c>
      <c r="E26" s="123">
        <v>531870</v>
      </c>
      <c r="F26" s="124">
        <v>19024.723965000001</v>
      </c>
      <c r="G26" s="125">
        <v>1.449026E-2</v>
      </c>
      <c r="H26" s="120" t="s">
        <v>151</v>
      </c>
      <c r="J26" s="8"/>
    </row>
    <row r="27" spans="1:10" x14ac:dyDescent="0.2">
      <c r="A27" s="121">
        <v>21</v>
      </c>
      <c r="B27" s="122" t="s">
        <v>236</v>
      </c>
      <c r="C27" s="122" t="s">
        <v>237</v>
      </c>
      <c r="D27" s="122" t="s">
        <v>238</v>
      </c>
      <c r="E27" s="123">
        <v>2758889</v>
      </c>
      <c r="F27" s="124">
        <v>18812.864090999999</v>
      </c>
      <c r="G27" s="125">
        <v>1.432889E-2</v>
      </c>
      <c r="H27" s="120" t="s">
        <v>151</v>
      </c>
      <c r="J27" s="8"/>
    </row>
    <row r="28" spans="1:10" x14ac:dyDescent="0.2">
      <c r="A28" s="121">
        <v>22</v>
      </c>
      <c r="B28" s="122" t="s">
        <v>239</v>
      </c>
      <c r="C28" s="122" t="s">
        <v>240</v>
      </c>
      <c r="D28" s="122" t="s">
        <v>241</v>
      </c>
      <c r="E28" s="123">
        <v>403395</v>
      </c>
      <c r="F28" s="124">
        <v>17786.088945</v>
      </c>
      <c r="G28" s="125">
        <v>1.3546849999999999E-2</v>
      </c>
      <c r="H28" s="120" t="s">
        <v>151</v>
      </c>
      <c r="J28" s="8"/>
    </row>
    <row r="29" spans="1:10" x14ac:dyDescent="0.2">
      <c r="A29" s="121">
        <v>23</v>
      </c>
      <c r="B29" s="122" t="s">
        <v>242</v>
      </c>
      <c r="C29" s="122" t="s">
        <v>243</v>
      </c>
      <c r="D29" s="122" t="s">
        <v>200</v>
      </c>
      <c r="E29" s="123">
        <v>214946</v>
      </c>
      <c r="F29" s="124">
        <v>17412.130622000001</v>
      </c>
      <c r="G29" s="125">
        <v>1.3262019999999999E-2</v>
      </c>
      <c r="H29" s="120" t="s">
        <v>151</v>
      </c>
      <c r="J29" s="8"/>
    </row>
    <row r="30" spans="1:10" x14ac:dyDescent="0.2">
      <c r="A30" s="121">
        <v>24</v>
      </c>
      <c r="B30" s="122" t="s">
        <v>244</v>
      </c>
      <c r="C30" s="122" t="s">
        <v>245</v>
      </c>
      <c r="D30" s="122" t="s">
        <v>121</v>
      </c>
      <c r="E30" s="123">
        <v>837251</v>
      </c>
      <c r="F30" s="124">
        <v>17110.898687000001</v>
      </c>
      <c r="G30" s="125">
        <v>1.303258E-2</v>
      </c>
      <c r="H30" s="120" t="s">
        <v>151</v>
      </c>
      <c r="J30" s="8"/>
    </row>
    <row r="31" spans="1:10" x14ac:dyDescent="0.2">
      <c r="A31" s="121">
        <v>25</v>
      </c>
      <c r="B31" s="122" t="s">
        <v>246</v>
      </c>
      <c r="C31" s="122" t="s">
        <v>247</v>
      </c>
      <c r="D31" s="122" t="s">
        <v>121</v>
      </c>
      <c r="E31" s="123">
        <v>3445139</v>
      </c>
      <c r="F31" s="124">
        <v>16814.000889499999</v>
      </c>
      <c r="G31" s="125">
        <v>1.280645E-2</v>
      </c>
      <c r="H31" s="120" t="s">
        <v>151</v>
      </c>
      <c r="J31" s="8"/>
    </row>
    <row r="32" spans="1:10" x14ac:dyDescent="0.2">
      <c r="A32" s="121">
        <v>26</v>
      </c>
      <c r="B32" s="122" t="s">
        <v>100</v>
      </c>
      <c r="C32" s="122" t="s">
        <v>101</v>
      </c>
      <c r="D32" s="122" t="s">
        <v>32</v>
      </c>
      <c r="E32" s="123">
        <v>689789</v>
      </c>
      <c r="F32" s="124">
        <v>16592.874394999999</v>
      </c>
      <c r="G32" s="125">
        <v>1.263803E-2</v>
      </c>
      <c r="H32" s="120" t="s">
        <v>151</v>
      </c>
      <c r="J32" s="8"/>
    </row>
    <row r="33" spans="1:10" x14ac:dyDescent="0.2">
      <c r="A33" s="121">
        <v>27</v>
      </c>
      <c r="B33" s="122" t="s">
        <v>248</v>
      </c>
      <c r="C33" s="122" t="s">
        <v>249</v>
      </c>
      <c r="D33" s="122" t="s">
        <v>121</v>
      </c>
      <c r="E33" s="123">
        <v>4889922</v>
      </c>
      <c r="F33" s="124">
        <v>16545.051087</v>
      </c>
      <c r="G33" s="125">
        <v>1.2601599999999999E-2</v>
      </c>
      <c r="H33" s="120" t="s">
        <v>151</v>
      </c>
      <c r="J33" s="8"/>
    </row>
    <row r="34" spans="1:10" x14ac:dyDescent="0.2">
      <c r="A34" s="121">
        <v>28</v>
      </c>
      <c r="B34" s="122" t="s">
        <v>250</v>
      </c>
      <c r="C34" s="122" t="s">
        <v>251</v>
      </c>
      <c r="D34" s="122" t="s">
        <v>216</v>
      </c>
      <c r="E34" s="123">
        <v>528688</v>
      </c>
      <c r="F34" s="124">
        <v>15915.623551999999</v>
      </c>
      <c r="G34" s="125">
        <v>1.21222E-2</v>
      </c>
      <c r="H34" s="120" t="s">
        <v>151</v>
      </c>
      <c r="J34" s="8"/>
    </row>
    <row r="35" spans="1:10" x14ac:dyDescent="0.2">
      <c r="A35" s="121">
        <v>29</v>
      </c>
      <c r="B35" s="122" t="s">
        <v>252</v>
      </c>
      <c r="C35" s="122" t="s">
        <v>253</v>
      </c>
      <c r="D35" s="122" t="s">
        <v>211</v>
      </c>
      <c r="E35" s="123">
        <v>1603545</v>
      </c>
      <c r="F35" s="124">
        <v>15806.944837499999</v>
      </c>
      <c r="G35" s="125">
        <v>1.203942E-2</v>
      </c>
      <c r="H35" s="120" t="s">
        <v>151</v>
      </c>
      <c r="J35" s="8"/>
    </row>
    <row r="36" spans="1:10" x14ac:dyDescent="0.2">
      <c r="A36" s="121">
        <v>30</v>
      </c>
      <c r="B36" s="122" t="s">
        <v>254</v>
      </c>
      <c r="C36" s="122" t="s">
        <v>255</v>
      </c>
      <c r="D36" s="122" t="s">
        <v>238</v>
      </c>
      <c r="E36" s="123">
        <v>1791031</v>
      </c>
      <c r="F36" s="124">
        <v>15758.386253500001</v>
      </c>
      <c r="G36" s="125">
        <v>1.200244E-2</v>
      </c>
      <c r="H36" s="120" t="s">
        <v>151</v>
      </c>
      <c r="J36" s="8"/>
    </row>
    <row r="37" spans="1:10" x14ac:dyDescent="0.2">
      <c r="A37" s="121">
        <v>31</v>
      </c>
      <c r="B37" s="122" t="s">
        <v>36</v>
      </c>
      <c r="C37" s="122" t="s">
        <v>37</v>
      </c>
      <c r="D37" s="122" t="s">
        <v>38</v>
      </c>
      <c r="E37" s="123">
        <v>5364231</v>
      </c>
      <c r="F37" s="124">
        <v>15293.422581000001</v>
      </c>
      <c r="G37" s="125">
        <v>1.16483E-2</v>
      </c>
      <c r="H37" s="120" t="s">
        <v>151</v>
      </c>
      <c r="J37" s="8"/>
    </row>
    <row r="38" spans="1:10" ht="25.5" x14ac:dyDescent="0.2">
      <c r="A38" s="121">
        <v>32</v>
      </c>
      <c r="B38" s="122" t="s">
        <v>256</v>
      </c>
      <c r="C38" s="122" t="s">
        <v>257</v>
      </c>
      <c r="D38" s="122" t="s">
        <v>258</v>
      </c>
      <c r="E38" s="123">
        <v>517174</v>
      </c>
      <c r="F38" s="124">
        <v>15034.765353999999</v>
      </c>
      <c r="G38" s="125">
        <v>1.1451289999999999E-2</v>
      </c>
      <c r="H38" s="120" t="s">
        <v>151</v>
      </c>
      <c r="J38" s="8"/>
    </row>
    <row r="39" spans="1:10" x14ac:dyDescent="0.2">
      <c r="A39" s="121">
        <v>33</v>
      </c>
      <c r="B39" s="122" t="s">
        <v>259</v>
      </c>
      <c r="C39" s="122" t="s">
        <v>260</v>
      </c>
      <c r="D39" s="122" t="s">
        <v>261</v>
      </c>
      <c r="E39" s="123">
        <v>689899</v>
      </c>
      <c r="F39" s="124">
        <v>15008.407795499999</v>
      </c>
      <c r="G39" s="125">
        <v>1.1431210000000001E-2</v>
      </c>
      <c r="H39" s="120" t="s">
        <v>151</v>
      </c>
      <c r="J39" s="8"/>
    </row>
    <row r="40" spans="1:10" x14ac:dyDescent="0.2">
      <c r="A40" s="121">
        <v>34</v>
      </c>
      <c r="B40" s="122" t="s">
        <v>262</v>
      </c>
      <c r="C40" s="122" t="s">
        <v>263</v>
      </c>
      <c r="D40" s="122" t="s">
        <v>70</v>
      </c>
      <c r="E40" s="123">
        <v>2721024</v>
      </c>
      <c r="F40" s="124">
        <v>14907.129983999999</v>
      </c>
      <c r="G40" s="125">
        <v>1.1354080000000001E-2</v>
      </c>
      <c r="H40" s="120" t="s">
        <v>151</v>
      </c>
      <c r="J40" s="8"/>
    </row>
    <row r="41" spans="1:10" x14ac:dyDescent="0.2">
      <c r="A41" s="121">
        <v>35</v>
      </c>
      <c r="B41" s="122" t="s">
        <v>264</v>
      </c>
      <c r="C41" s="122" t="s">
        <v>265</v>
      </c>
      <c r="D41" s="122" t="s">
        <v>70</v>
      </c>
      <c r="E41" s="123">
        <v>91595</v>
      </c>
      <c r="F41" s="124">
        <v>14552.522005000001</v>
      </c>
      <c r="G41" s="125">
        <v>1.108399E-2</v>
      </c>
      <c r="H41" s="120" t="s">
        <v>151</v>
      </c>
      <c r="J41" s="8"/>
    </row>
    <row r="42" spans="1:10" ht="25.5" x14ac:dyDescent="0.2">
      <c r="A42" s="121">
        <v>36</v>
      </c>
      <c r="B42" s="122" t="s">
        <v>77</v>
      </c>
      <c r="C42" s="122" t="s">
        <v>78</v>
      </c>
      <c r="D42" s="122" t="s">
        <v>25</v>
      </c>
      <c r="E42" s="123">
        <v>307948</v>
      </c>
      <c r="F42" s="124">
        <v>14298.949484000001</v>
      </c>
      <c r="G42" s="125">
        <v>1.0890850000000001E-2</v>
      </c>
      <c r="H42" s="120" t="s">
        <v>151</v>
      </c>
      <c r="J42" s="8"/>
    </row>
    <row r="43" spans="1:10" x14ac:dyDescent="0.2">
      <c r="A43" s="121">
        <v>37</v>
      </c>
      <c r="B43" s="122" t="s">
        <v>266</v>
      </c>
      <c r="C43" s="122" t="s">
        <v>267</v>
      </c>
      <c r="D43" s="122" t="s">
        <v>32</v>
      </c>
      <c r="E43" s="123">
        <v>200075</v>
      </c>
      <c r="F43" s="124">
        <v>13915.616400000001</v>
      </c>
      <c r="G43" s="125">
        <v>1.059889E-2</v>
      </c>
      <c r="H43" s="120" t="s">
        <v>151</v>
      </c>
      <c r="J43" s="8"/>
    </row>
    <row r="44" spans="1:10" x14ac:dyDescent="0.2">
      <c r="A44" s="121">
        <v>38</v>
      </c>
      <c r="B44" s="122" t="s">
        <v>132</v>
      </c>
      <c r="C44" s="122" t="s">
        <v>133</v>
      </c>
      <c r="D44" s="122" t="s">
        <v>134</v>
      </c>
      <c r="E44" s="123">
        <v>1322508</v>
      </c>
      <c r="F44" s="124">
        <v>13749.454422000001</v>
      </c>
      <c r="G44" s="125">
        <v>1.047233E-2</v>
      </c>
      <c r="H44" s="120" t="s">
        <v>151</v>
      </c>
      <c r="J44" s="8"/>
    </row>
    <row r="45" spans="1:10" x14ac:dyDescent="0.2">
      <c r="A45" s="121">
        <v>39</v>
      </c>
      <c r="B45" s="122" t="s">
        <v>107</v>
      </c>
      <c r="C45" s="122" t="s">
        <v>108</v>
      </c>
      <c r="D45" s="122" t="s">
        <v>55</v>
      </c>
      <c r="E45" s="123">
        <v>1792422</v>
      </c>
      <c r="F45" s="124">
        <v>13605.379191</v>
      </c>
      <c r="G45" s="125">
        <v>1.036259E-2</v>
      </c>
      <c r="H45" s="120" t="s">
        <v>151</v>
      </c>
      <c r="J45" s="8"/>
    </row>
    <row r="46" spans="1:10" x14ac:dyDescent="0.2">
      <c r="A46" s="121">
        <v>40</v>
      </c>
      <c r="B46" s="122" t="s">
        <v>268</v>
      </c>
      <c r="C46" s="122" t="s">
        <v>269</v>
      </c>
      <c r="D46" s="122" t="s">
        <v>270</v>
      </c>
      <c r="E46" s="123">
        <v>474240</v>
      </c>
      <c r="F46" s="124">
        <v>13467.70464</v>
      </c>
      <c r="G46" s="125">
        <v>1.025773E-2</v>
      </c>
      <c r="H46" s="120" t="s">
        <v>151</v>
      </c>
      <c r="J46" s="8"/>
    </row>
    <row r="47" spans="1:10" x14ac:dyDescent="0.2">
      <c r="A47" s="121">
        <v>41</v>
      </c>
      <c r="B47" s="122" t="s">
        <v>271</v>
      </c>
      <c r="C47" s="122" t="s">
        <v>272</v>
      </c>
      <c r="D47" s="122" t="s">
        <v>35</v>
      </c>
      <c r="E47" s="123">
        <v>718117</v>
      </c>
      <c r="F47" s="124">
        <v>13249.976767</v>
      </c>
      <c r="G47" s="125">
        <v>1.0091899999999999E-2</v>
      </c>
      <c r="H47" s="120" t="s">
        <v>151</v>
      </c>
      <c r="J47" s="8"/>
    </row>
    <row r="48" spans="1:10" x14ac:dyDescent="0.2">
      <c r="A48" s="121">
        <v>42</v>
      </c>
      <c r="B48" s="122" t="s">
        <v>53</v>
      </c>
      <c r="C48" s="122" t="s">
        <v>54</v>
      </c>
      <c r="D48" s="122" t="s">
        <v>55</v>
      </c>
      <c r="E48" s="123">
        <v>780000</v>
      </c>
      <c r="F48" s="124">
        <v>13111.8</v>
      </c>
      <c r="G48" s="125">
        <v>9.9866599999999996E-3</v>
      </c>
      <c r="H48" s="120" t="s">
        <v>151</v>
      </c>
      <c r="J48" s="8"/>
    </row>
    <row r="49" spans="1:10" x14ac:dyDescent="0.2">
      <c r="A49" s="121">
        <v>43</v>
      </c>
      <c r="B49" s="122" t="s">
        <v>273</v>
      </c>
      <c r="C49" s="122" t="s">
        <v>274</v>
      </c>
      <c r="D49" s="122" t="s">
        <v>48</v>
      </c>
      <c r="E49" s="123">
        <v>10644981</v>
      </c>
      <c r="F49" s="124">
        <v>13068.843173699999</v>
      </c>
      <c r="G49" s="125">
        <v>9.9539399999999997E-3</v>
      </c>
      <c r="H49" s="120" t="s">
        <v>151</v>
      </c>
      <c r="J49" s="8"/>
    </row>
    <row r="50" spans="1:10" ht="25.5" x14ac:dyDescent="0.2">
      <c r="A50" s="121">
        <v>44</v>
      </c>
      <c r="B50" s="122" t="s">
        <v>275</v>
      </c>
      <c r="C50" s="122" t="s">
        <v>276</v>
      </c>
      <c r="D50" s="122" t="s">
        <v>121</v>
      </c>
      <c r="E50" s="123">
        <v>808005</v>
      </c>
      <c r="F50" s="124">
        <v>12992.7204</v>
      </c>
      <c r="G50" s="125">
        <v>9.8959600000000005E-3</v>
      </c>
      <c r="H50" s="120" t="s">
        <v>151</v>
      </c>
      <c r="J50" s="8"/>
    </row>
    <row r="51" spans="1:10" x14ac:dyDescent="0.2">
      <c r="A51" s="121">
        <v>45</v>
      </c>
      <c r="B51" s="122" t="s">
        <v>277</v>
      </c>
      <c r="C51" s="122" t="s">
        <v>278</v>
      </c>
      <c r="D51" s="122" t="s">
        <v>70</v>
      </c>
      <c r="E51" s="123">
        <v>1118982</v>
      </c>
      <c r="F51" s="124">
        <v>12327.265203000001</v>
      </c>
      <c r="G51" s="125">
        <v>9.3891100000000009E-3</v>
      </c>
      <c r="H51" s="120" t="s">
        <v>151</v>
      </c>
      <c r="J51" s="8"/>
    </row>
    <row r="52" spans="1:10" x14ac:dyDescent="0.2">
      <c r="A52" s="121">
        <v>46</v>
      </c>
      <c r="B52" s="122" t="s">
        <v>128</v>
      </c>
      <c r="C52" s="122" t="s">
        <v>129</v>
      </c>
      <c r="D52" s="122" t="s">
        <v>70</v>
      </c>
      <c r="E52" s="123">
        <v>313672</v>
      </c>
      <c r="F52" s="124">
        <v>12276.181064</v>
      </c>
      <c r="G52" s="125">
        <v>9.3501999999999995E-3</v>
      </c>
      <c r="H52" s="120" t="s">
        <v>151</v>
      </c>
      <c r="J52" s="8"/>
    </row>
    <row r="53" spans="1:10" x14ac:dyDescent="0.2">
      <c r="A53" s="121">
        <v>47</v>
      </c>
      <c r="B53" s="122" t="s">
        <v>279</v>
      </c>
      <c r="C53" s="122" t="s">
        <v>280</v>
      </c>
      <c r="D53" s="122" t="s">
        <v>241</v>
      </c>
      <c r="E53" s="123">
        <v>328943</v>
      </c>
      <c r="F53" s="124">
        <v>12120.3982495</v>
      </c>
      <c r="G53" s="125">
        <v>9.2315499999999998E-3</v>
      </c>
      <c r="H53" s="120" t="s">
        <v>151</v>
      </c>
      <c r="J53" s="8"/>
    </row>
    <row r="54" spans="1:10" x14ac:dyDescent="0.2">
      <c r="A54" s="121">
        <v>48</v>
      </c>
      <c r="B54" s="122" t="s">
        <v>281</v>
      </c>
      <c r="C54" s="122" t="s">
        <v>282</v>
      </c>
      <c r="D54" s="122" t="s">
        <v>283</v>
      </c>
      <c r="E54" s="123">
        <v>1001424</v>
      </c>
      <c r="F54" s="124">
        <v>11910.937056000001</v>
      </c>
      <c r="G54" s="125">
        <v>9.0720100000000001E-3</v>
      </c>
      <c r="H54" s="120" t="s">
        <v>151</v>
      </c>
      <c r="J54" s="8"/>
    </row>
    <row r="55" spans="1:10" x14ac:dyDescent="0.2">
      <c r="A55" s="121">
        <v>49</v>
      </c>
      <c r="B55" s="122" t="s">
        <v>284</v>
      </c>
      <c r="C55" s="122" t="s">
        <v>285</v>
      </c>
      <c r="D55" s="122" t="s">
        <v>216</v>
      </c>
      <c r="E55" s="123">
        <v>167758</v>
      </c>
      <c r="F55" s="124">
        <v>11770.656191</v>
      </c>
      <c r="G55" s="125">
        <v>8.9651699999999997E-3</v>
      </c>
      <c r="H55" s="120" t="s">
        <v>151</v>
      </c>
      <c r="J55" s="8"/>
    </row>
    <row r="56" spans="1:10" x14ac:dyDescent="0.2">
      <c r="A56" s="121">
        <v>50</v>
      </c>
      <c r="B56" s="122" t="s">
        <v>286</v>
      </c>
      <c r="C56" s="122" t="s">
        <v>287</v>
      </c>
      <c r="D56" s="122" t="s">
        <v>32</v>
      </c>
      <c r="E56" s="123">
        <v>213026</v>
      </c>
      <c r="F56" s="124">
        <v>11336.498129</v>
      </c>
      <c r="G56" s="125">
        <v>8.6344899999999999E-3</v>
      </c>
      <c r="H56" s="120" t="s">
        <v>151</v>
      </c>
      <c r="J56" s="8"/>
    </row>
    <row r="57" spans="1:10" x14ac:dyDescent="0.2">
      <c r="A57" s="121">
        <v>51</v>
      </c>
      <c r="B57" s="122" t="s">
        <v>141</v>
      </c>
      <c r="C57" s="122" t="s">
        <v>142</v>
      </c>
      <c r="D57" s="122" t="s">
        <v>55</v>
      </c>
      <c r="E57" s="123">
        <v>4000000</v>
      </c>
      <c r="F57" s="124">
        <v>11188</v>
      </c>
      <c r="G57" s="125">
        <v>8.5213900000000002E-3</v>
      </c>
      <c r="H57" s="120" t="s">
        <v>151</v>
      </c>
      <c r="J57" s="8"/>
    </row>
    <row r="58" spans="1:10" ht="25.5" x14ac:dyDescent="0.2">
      <c r="A58" s="121">
        <v>52</v>
      </c>
      <c r="B58" s="122" t="s">
        <v>288</v>
      </c>
      <c r="C58" s="122" t="s">
        <v>289</v>
      </c>
      <c r="D58" s="122" t="s">
        <v>290</v>
      </c>
      <c r="E58" s="123">
        <v>1600000</v>
      </c>
      <c r="F58" s="124">
        <v>11126.4</v>
      </c>
      <c r="G58" s="125">
        <v>8.4744699999999996E-3</v>
      </c>
      <c r="H58" s="120" t="s">
        <v>151</v>
      </c>
      <c r="J58" s="8"/>
    </row>
    <row r="59" spans="1:10" x14ac:dyDescent="0.2">
      <c r="A59" s="121">
        <v>53</v>
      </c>
      <c r="B59" s="122" t="s">
        <v>291</v>
      </c>
      <c r="C59" s="122" t="s">
        <v>292</v>
      </c>
      <c r="D59" s="122" t="s">
        <v>121</v>
      </c>
      <c r="E59" s="123">
        <v>611549</v>
      </c>
      <c r="F59" s="124">
        <v>11108.481810499999</v>
      </c>
      <c r="G59" s="125">
        <v>8.4608200000000008E-3</v>
      </c>
      <c r="H59" s="120" t="s">
        <v>151</v>
      </c>
      <c r="J59" s="8"/>
    </row>
    <row r="60" spans="1:10" x14ac:dyDescent="0.2">
      <c r="A60" s="121">
        <v>54</v>
      </c>
      <c r="B60" s="122" t="s">
        <v>293</v>
      </c>
      <c r="C60" s="122" t="s">
        <v>294</v>
      </c>
      <c r="D60" s="122" t="s">
        <v>295</v>
      </c>
      <c r="E60" s="123">
        <v>913734</v>
      </c>
      <c r="F60" s="124">
        <v>10882.57194</v>
      </c>
      <c r="G60" s="125">
        <v>8.2887499999999992E-3</v>
      </c>
      <c r="H60" s="120" t="s">
        <v>151</v>
      </c>
      <c r="J60" s="8"/>
    </row>
    <row r="61" spans="1:10" x14ac:dyDescent="0.2">
      <c r="A61" s="121">
        <v>55</v>
      </c>
      <c r="B61" s="122" t="s">
        <v>296</v>
      </c>
      <c r="C61" s="122" t="s">
        <v>297</v>
      </c>
      <c r="D61" s="122" t="s">
        <v>45</v>
      </c>
      <c r="E61" s="123">
        <v>574284</v>
      </c>
      <c r="F61" s="124">
        <v>10596.97551</v>
      </c>
      <c r="G61" s="125">
        <v>8.0712300000000004E-3</v>
      </c>
      <c r="H61" s="120" t="s">
        <v>151</v>
      </c>
      <c r="J61" s="8"/>
    </row>
    <row r="62" spans="1:10" x14ac:dyDescent="0.2">
      <c r="A62" s="121">
        <v>56</v>
      </c>
      <c r="B62" s="122" t="s">
        <v>298</v>
      </c>
      <c r="C62" s="122" t="s">
        <v>299</v>
      </c>
      <c r="D62" s="122" t="s">
        <v>67</v>
      </c>
      <c r="E62" s="123">
        <v>2397401</v>
      </c>
      <c r="F62" s="124">
        <v>10190.1529505</v>
      </c>
      <c r="G62" s="125">
        <v>7.7613700000000001E-3</v>
      </c>
      <c r="H62" s="120" t="s">
        <v>151</v>
      </c>
      <c r="J62" s="8"/>
    </row>
    <row r="63" spans="1:10" x14ac:dyDescent="0.2">
      <c r="A63" s="121">
        <v>57</v>
      </c>
      <c r="B63" s="122" t="s">
        <v>300</v>
      </c>
      <c r="C63" s="122" t="s">
        <v>301</v>
      </c>
      <c r="D63" s="122" t="s">
        <v>238</v>
      </c>
      <c r="E63" s="123">
        <v>5147346</v>
      </c>
      <c r="F63" s="124">
        <v>10076.444529599999</v>
      </c>
      <c r="G63" s="125">
        <v>7.6747600000000001E-3</v>
      </c>
      <c r="H63" s="120" t="s">
        <v>151</v>
      </c>
      <c r="J63" s="8"/>
    </row>
    <row r="64" spans="1:10" x14ac:dyDescent="0.2">
      <c r="A64" s="121">
        <v>58</v>
      </c>
      <c r="B64" s="122" t="s">
        <v>302</v>
      </c>
      <c r="C64" s="122" t="s">
        <v>303</v>
      </c>
      <c r="D64" s="122" t="s">
        <v>32</v>
      </c>
      <c r="E64" s="123">
        <v>505581</v>
      </c>
      <c r="F64" s="124">
        <v>10058.7867855</v>
      </c>
      <c r="G64" s="125">
        <v>7.6613200000000001E-3</v>
      </c>
      <c r="H64" s="120" t="s">
        <v>151</v>
      </c>
      <c r="J64" s="8"/>
    </row>
    <row r="65" spans="1:10" ht="25.5" x14ac:dyDescent="0.2">
      <c r="A65" s="121">
        <v>59</v>
      </c>
      <c r="B65" s="122" t="s">
        <v>304</v>
      </c>
      <c r="C65" s="122" t="s">
        <v>305</v>
      </c>
      <c r="D65" s="122" t="s">
        <v>205</v>
      </c>
      <c r="E65" s="123">
        <v>2119699</v>
      </c>
      <c r="F65" s="124">
        <v>9826.9245640000008</v>
      </c>
      <c r="G65" s="125">
        <v>7.4847200000000003E-3</v>
      </c>
      <c r="H65" s="120" t="s">
        <v>151</v>
      </c>
      <c r="J65" s="8"/>
    </row>
    <row r="66" spans="1:10" ht="25.5" x14ac:dyDescent="0.2">
      <c r="A66" s="121">
        <v>60</v>
      </c>
      <c r="B66" s="122" t="s">
        <v>306</v>
      </c>
      <c r="C66" s="122" t="s">
        <v>307</v>
      </c>
      <c r="D66" s="122" t="s">
        <v>25</v>
      </c>
      <c r="E66" s="123">
        <v>387328</v>
      </c>
      <c r="F66" s="124">
        <v>9735.2956159999994</v>
      </c>
      <c r="G66" s="125">
        <v>7.4149300000000001E-3</v>
      </c>
      <c r="H66" s="120" t="s">
        <v>151</v>
      </c>
      <c r="J66" s="8"/>
    </row>
    <row r="67" spans="1:10" ht="25.5" x14ac:dyDescent="0.2">
      <c r="A67" s="121">
        <v>61</v>
      </c>
      <c r="B67" s="122" t="s">
        <v>308</v>
      </c>
      <c r="C67" s="122" t="s">
        <v>309</v>
      </c>
      <c r="D67" s="122" t="s">
        <v>208</v>
      </c>
      <c r="E67" s="123">
        <v>206644</v>
      </c>
      <c r="F67" s="124">
        <v>9620.8280300000006</v>
      </c>
      <c r="G67" s="125">
        <v>7.3277400000000001E-3</v>
      </c>
      <c r="H67" s="120" t="s">
        <v>151</v>
      </c>
      <c r="J67" s="8"/>
    </row>
    <row r="68" spans="1:10" x14ac:dyDescent="0.2">
      <c r="A68" s="121">
        <v>62</v>
      </c>
      <c r="B68" s="122" t="s">
        <v>96</v>
      </c>
      <c r="C68" s="122" t="s">
        <v>97</v>
      </c>
      <c r="D68" s="122" t="s">
        <v>85</v>
      </c>
      <c r="E68" s="123">
        <v>1018061</v>
      </c>
      <c r="F68" s="124">
        <v>9348.854163</v>
      </c>
      <c r="G68" s="125">
        <v>7.1205900000000004E-3</v>
      </c>
      <c r="H68" s="120" t="s">
        <v>151</v>
      </c>
      <c r="J68" s="8"/>
    </row>
    <row r="69" spans="1:10" x14ac:dyDescent="0.2">
      <c r="A69" s="121">
        <v>63</v>
      </c>
      <c r="B69" s="122" t="s">
        <v>310</v>
      </c>
      <c r="C69" s="122" t="s">
        <v>311</v>
      </c>
      <c r="D69" s="122" t="s">
        <v>70</v>
      </c>
      <c r="E69" s="123">
        <v>1112556</v>
      </c>
      <c r="F69" s="124">
        <v>8270.7413039999992</v>
      </c>
      <c r="G69" s="125">
        <v>6.2994399999999999E-3</v>
      </c>
      <c r="H69" s="120" t="s">
        <v>151</v>
      </c>
      <c r="J69" s="8"/>
    </row>
    <row r="70" spans="1:10" x14ac:dyDescent="0.2">
      <c r="A70" s="121">
        <v>64</v>
      </c>
      <c r="B70" s="122" t="s">
        <v>312</v>
      </c>
      <c r="C70" s="122" t="s">
        <v>313</v>
      </c>
      <c r="D70" s="122" t="s">
        <v>270</v>
      </c>
      <c r="E70" s="123">
        <v>8256749</v>
      </c>
      <c r="F70" s="124">
        <v>8225.3733537999997</v>
      </c>
      <c r="G70" s="125">
        <v>6.2648900000000004E-3</v>
      </c>
      <c r="H70" s="120" t="s">
        <v>151</v>
      </c>
      <c r="J70" s="8"/>
    </row>
    <row r="71" spans="1:10" x14ac:dyDescent="0.2">
      <c r="A71" s="121">
        <v>65</v>
      </c>
      <c r="B71" s="122" t="s">
        <v>314</v>
      </c>
      <c r="C71" s="122" t="s">
        <v>315</v>
      </c>
      <c r="D71" s="122" t="s">
        <v>121</v>
      </c>
      <c r="E71" s="123">
        <v>1169263</v>
      </c>
      <c r="F71" s="124">
        <v>7745.7827434999999</v>
      </c>
      <c r="G71" s="125">
        <v>5.8996099999999996E-3</v>
      </c>
      <c r="H71" s="120" t="s">
        <v>151</v>
      </c>
      <c r="J71" s="8"/>
    </row>
    <row r="72" spans="1:10" x14ac:dyDescent="0.2">
      <c r="A72" s="121">
        <v>66</v>
      </c>
      <c r="B72" s="122" t="s">
        <v>316</v>
      </c>
      <c r="C72" s="122" t="s">
        <v>317</v>
      </c>
      <c r="D72" s="122" t="s">
        <v>211</v>
      </c>
      <c r="E72" s="123">
        <v>219508</v>
      </c>
      <c r="F72" s="124">
        <v>7249.6907160000001</v>
      </c>
      <c r="G72" s="125">
        <v>5.5217599999999997E-3</v>
      </c>
      <c r="H72" s="120" t="s">
        <v>151</v>
      </c>
      <c r="J72" s="8"/>
    </row>
    <row r="73" spans="1:10" x14ac:dyDescent="0.2">
      <c r="A73" s="121">
        <v>67</v>
      </c>
      <c r="B73" s="122" t="s">
        <v>318</v>
      </c>
      <c r="C73" s="122" t="s">
        <v>319</v>
      </c>
      <c r="D73" s="122" t="s">
        <v>35</v>
      </c>
      <c r="E73" s="123">
        <v>2130968</v>
      </c>
      <c r="F73" s="124">
        <v>6595.3459599999996</v>
      </c>
      <c r="G73" s="125">
        <v>5.0233700000000001E-3</v>
      </c>
      <c r="H73" s="120" t="s">
        <v>151</v>
      </c>
      <c r="J73" s="8"/>
    </row>
    <row r="74" spans="1:10" x14ac:dyDescent="0.2">
      <c r="A74" s="121">
        <v>68</v>
      </c>
      <c r="B74" s="122" t="s">
        <v>137</v>
      </c>
      <c r="C74" s="122" t="s">
        <v>138</v>
      </c>
      <c r="D74" s="122" t="s">
        <v>32</v>
      </c>
      <c r="E74" s="123">
        <v>404954</v>
      </c>
      <c r="F74" s="124">
        <v>6415.0787909999999</v>
      </c>
      <c r="G74" s="125">
        <v>4.8860700000000002E-3</v>
      </c>
      <c r="H74" s="120" t="s">
        <v>151</v>
      </c>
      <c r="J74" s="8"/>
    </row>
    <row r="75" spans="1:10" ht="25.5" x14ac:dyDescent="0.2">
      <c r="A75" s="121">
        <v>69</v>
      </c>
      <c r="B75" s="122" t="s">
        <v>320</v>
      </c>
      <c r="C75" s="122" t="s">
        <v>321</v>
      </c>
      <c r="D75" s="122" t="s">
        <v>205</v>
      </c>
      <c r="E75" s="123">
        <v>1738432</v>
      </c>
      <c r="F75" s="124">
        <v>6312.2465920000004</v>
      </c>
      <c r="G75" s="125">
        <v>4.8077500000000004E-3</v>
      </c>
      <c r="H75" s="120" t="s">
        <v>151</v>
      </c>
      <c r="J75" s="8"/>
    </row>
    <row r="76" spans="1:10" x14ac:dyDescent="0.2">
      <c r="A76" s="121">
        <v>70</v>
      </c>
      <c r="B76" s="122" t="s">
        <v>33</v>
      </c>
      <c r="C76" s="122" t="s">
        <v>34</v>
      </c>
      <c r="D76" s="122" t="s">
        <v>35</v>
      </c>
      <c r="E76" s="123">
        <v>116291</v>
      </c>
      <c r="F76" s="124">
        <v>5592.5504810000002</v>
      </c>
      <c r="G76" s="125">
        <v>4.2595899999999997E-3</v>
      </c>
      <c r="H76" s="120" t="s">
        <v>151</v>
      </c>
      <c r="J76" s="8"/>
    </row>
    <row r="77" spans="1:10" x14ac:dyDescent="0.2">
      <c r="A77" s="121">
        <v>71</v>
      </c>
      <c r="B77" s="122" t="s">
        <v>322</v>
      </c>
      <c r="C77" s="122" t="s">
        <v>323</v>
      </c>
      <c r="D77" s="122" t="s">
        <v>216</v>
      </c>
      <c r="E77" s="123">
        <v>68265</v>
      </c>
      <c r="F77" s="124">
        <v>5273.0957925000002</v>
      </c>
      <c r="G77" s="125">
        <v>4.0162699999999997E-3</v>
      </c>
      <c r="H77" s="120" t="s">
        <v>151</v>
      </c>
      <c r="J77" s="8"/>
    </row>
    <row r="78" spans="1:10" ht="25.5" x14ac:dyDescent="0.2">
      <c r="A78" s="121">
        <v>72</v>
      </c>
      <c r="B78" s="122" t="s">
        <v>324</v>
      </c>
      <c r="C78" s="122" t="s">
        <v>325</v>
      </c>
      <c r="D78" s="122" t="s">
        <v>258</v>
      </c>
      <c r="E78" s="123">
        <v>138929</v>
      </c>
      <c r="F78" s="124">
        <v>4781.0331415000001</v>
      </c>
      <c r="G78" s="125">
        <v>3.6414899999999998E-3</v>
      </c>
      <c r="H78" s="120" t="s">
        <v>151</v>
      </c>
      <c r="J78" s="8"/>
    </row>
    <row r="79" spans="1:10" x14ac:dyDescent="0.2">
      <c r="A79" s="121">
        <v>73</v>
      </c>
      <c r="B79" s="122" t="s">
        <v>41</v>
      </c>
      <c r="C79" s="122" t="s">
        <v>42</v>
      </c>
      <c r="D79" s="122" t="s">
        <v>16</v>
      </c>
      <c r="E79" s="123">
        <v>328662</v>
      </c>
      <c r="F79" s="124">
        <v>4744.2359699999997</v>
      </c>
      <c r="G79" s="125">
        <v>3.6134700000000001E-3</v>
      </c>
      <c r="H79" s="120" t="s">
        <v>151</v>
      </c>
      <c r="J79" s="8"/>
    </row>
    <row r="80" spans="1:10" x14ac:dyDescent="0.2">
      <c r="A80" s="121">
        <v>74</v>
      </c>
      <c r="B80" s="122" t="s">
        <v>326</v>
      </c>
      <c r="C80" s="122" t="s">
        <v>327</v>
      </c>
      <c r="D80" s="122" t="s">
        <v>55</v>
      </c>
      <c r="E80" s="123">
        <v>5893738</v>
      </c>
      <c r="F80" s="124">
        <v>4717.937269</v>
      </c>
      <c r="G80" s="125">
        <v>3.5934399999999998E-3</v>
      </c>
      <c r="H80" s="120" t="s">
        <v>151</v>
      </c>
      <c r="J80" s="8"/>
    </row>
    <row r="81" spans="1:10" x14ac:dyDescent="0.2">
      <c r="A81" s="121">
        <v>75</v>
      </c>
      <c r="B81" s="122" t="s">
        <v>328</v>
      </c>
      <c r="C81" s="122" t="s">
        <v>329</v>
      </c>
      <c r="D81" s="122" t="s">
        <v>70</v>
      </c>
      <c r="E81" s="123">
        <v>298156</v>
      </c>
      <c r="F81" s="124">
        <v>4521.8338960000001</v>
      </c>
      <c r="G81" s="125">
        <v>3.44407E-3</v>
      </c>
      <c r="H81" s="120" t="s">
        <v>151</v>
      </c>
      <c r="J81" s="8"/>
    </row>
    <row r="82" spans="1:10" ht="25.5" x14ac:dyDescent="0.2">
      <c r="A82" s="121">
        <v>76</v>
      </c>
      <c r="B82" s="122" t="s">
        <v>330</v>
      </c>
      <c r="C82" s="122" t="s">
        <v>331</v>
      </c>
      <c r="D82" s="122" t="s">
        <v>205</v>
      </c>
      <c r="E82" s="123">
        <v>60062</v>
      </c>
      <c r="F82" s="124">
        <v>4233.6802870000001</v>
      </c>
      <c r="G82" s="125">
        <v>3.2246000000000002E-3</v>
      </c>
      <c r="H82" s="120" t="s">
        <v>151</v>
      </c>
      <c r="J82" s="8"/>
    </row>
    <row r="83" spans="1:10" x14ac:dyDescent="0.2">
      <c r="A83" s="121">
        <v>77</v>
      </c>
      <c r="B83" s="122" t="s">
        <v>332</v>
      </c>
      <c r="C83" s="122" t="s">
        <v>333</v>
      </c>
      <c r="D83" s="122" t="s">
        <v>35</v>
      </c>
      <c r="E83" s="123">
        <v>287562</v>
      </c>
      <c r="F83" s="124">
        <v>4215.3713580000003</v>
      </c>
      <c r="G83" s="125">
        <v>3.2106499999999998E-3</v>
      </c>
      <c r="H83" s="120" t="s">
        <v>151</v>
      </c>
      <c r="J83" s="8"/>
    </row>
    <row r="84" spans="1:10" x14ac:dyDescent="0.2">
      <c r="A84" s="121">
        <v>78</v>
      </c>
      <c r="B84" s="122" t="s">
        <v>334</v>
      </c>
      <c r="C84" s="122" t="s">
        <v>335</v>
      </c>
      <c r="D84" s="122" t="s">
        <v>238</v>
      </c>
      <c r="E84" s="123">
        <v>604722</v>
      </c>
      <c r="F84" s="124">
        <v>4140.5315339999997</v>
      </c>
      <c r="G84" s="125">
        <v>3.15365E-3</v>
      </c>
      <c r="H84" s="120" t="s">
        <v>151</v>
      </c>
      <c r="J84" s="8"/>
    </row>
    <row r="85" spans="1:10" x14ac:dyDescent="0.2">
      <c r="A85" s="121">
        <v>79</v>
      </c>
      <c r="B85" s="122" t="s">
        <v>135</v>
      </c>
      <c r="C85" s="122" t="s">
        <v>136</v>
      </c>
      <c r="D85" s="122" t="s">
        <v>16</v>
      </c>
      <c r="E85" s="123">
        <v>1006185</v>
      </c>
      <c r="F85" s="124">
        <v>3949.7792175</v>
      </c>
      <c r="G85" s="125">
        <v>3.0083699999999998E-3</v>
      </c>
      <c r="H85" s="120" t="s">
        <v>151</v>
      </c>
      <c r="J85" s="8"/>
    </row>
    <row r="86" spans="1:10" x14ac:dyDescent="0.2">
      <c r="A86" s="121">
        <v>80</v>
      </c>
      <c r="B86" s="122" t="s">
        <v>336</v>
      </c>
      <c r="C86" s="122" t="s">
        <v>337</v>
      </c>
      <c r="D86" s="122" t="s">
        <v>295</v>
      </c>
      <c r="E86" s="123">
        <v>503403</v>
      </c>
      <c r="F86" s="124">
        <v>3927.2985045</v>
      </c>
      <c r="G86" s="125">
        <v>2.99124E-3</v>
      </c>
      <c r="H86" s="120" t="s">
        <v>151</v>
      </c>
      <c r="J86" s="8"/>
    </row>
    <row r="87" spans="1:10" ht="25.5" x14ac:dyDescent="0.2">
      <c r="A87" s="121">
        <v>81</v>
      </c>
      <c r="B87" s="122" t="s">
        <v>338</v>
      </c>
      <c r="C87" s="122" t="s">
        <v>339</v>
      </c>
      <c r="D87" s="122" t="s">
        <v>205</v>
      </c>
      <c r="E87" s="123">
        <v>60062</v>
      </c>
      <c r="F87" s="124">
        <v>3030.42821</v>
      </c>
      <c r="G87" s="125">
        <v>2.3081400000000002E-3</v>
      </c>
      <c r="H87" s="120" t="s">
        <v>151</v>
      </c>
      <c r="J87" s="8"/>
    </row>
    <row r="88" spans="1:10" x14ac:dyDescent="0.2">
      <c r="A88" s="121">
        <v>82</v>
      </c>
      <c r="B88" s="122" t="s">
        <v>340</v>
      </c>
      <c r="C88" s="122" t="s">
        <v>341</v>
      </c>
      <c r="D88" s="122" t="s">
        <v>67</v>
      </c>
      <c r="E88" s="123">
        <v>321233</v>
      </c>
      <c r="F88" s="124">
        <v>1986.504872</v>
      </c>
      <c r="G88" s="125">
        <v>1.5130300000000001E-3</v>
      </c>
      <c r="H88" s="120" t="s">
        <v>151</v>
      </c>
      <c r="J88" s="8"/>
    </row>
    <row r="89" spans="1:10" x14ac:dyDescent="0.2">
      <c r="A89" s="118"/>
      <c r="B89" s="118"/>
      <c r="C89" s="119" t="s">
        <v>150</v>
      </c>
      <c r="D89" s="118"/>
      <c r="E89" s="118" t="s">
        <v>151</v>
      </c>
      <c r="F89" s="126">
        <v>1242905.1521431999</v>
      </c>
      <c r="G89" s="127">
        <v>0.94666373000000004</v>
      </c>
      <c r="H89" s="120" t="s">
        <v>151</v>
      </c>
      <c r="J89" s="8"/>
    </row>
    <row r="90" spans="1:10" x14ac:dyDescent="0.2">
      <c r="A90" s="118"/>
      <c r="B90" s="118"/>
      <c r="C90" s="128"/>
      <c r="D90" s="118"/>
      <c r="E90" s="118"/>
      <c r="F90" s="129"/>
      <c r="G90" s="129"/>
      <c r="H90" s="120" t="s">
        <v>151</v>
      </c>
      <c r="J90" s="8"/>
    </row>
    <row r="91" spans="1:10" x14ac:dyDescent="0.2">
      <c r="A91" s="118"/>
      <c r="B91" s="118"/>
      <c r="C91" s="119" t="s">
        <v>152</v>
      </c>
      <c r="D91" s="118"/>
      <c r="E91" s="118"/>
      <c r="F91" s="118"/>
      <c r="G91" s="118"/>
      <c r="H91" s="120" t="s">
        <v>151</v>
      </c>
      <c r="J91" s="8"/>
    </row>
    <row r="92" spans="1:10" x14ac:dyDescent="0.2">
      <c r="A92" s="118"/>
      <c r="B92" s="118"/>
      <c r="C92" s="119" t="s">
        <v>150</v>
      </c>
      <c r="D92" s="118"/>
      <c r="E92" s="118" t="s">
        <v>151</v>
      </c>
      <c r="F92" s="130" t="s">
        <v>153</v>
      </c>
      <c r="G92" s="127">
        <v>0</v>
      </c>
      <c r="H92" s="120" t="s">
        <v>151</v>
      </c>
      <c r="J92" s="8"/>
    </row>
    <row r="93" spans="1:10" x14ac:dyDescent="0.2">
      <c r="A93" s="118"/>
      <c r="B93" s="118"/>
      <c r="C93" s="128"/>
      <c r="D93" s="118"/>
      <c r="E93" s="118"/>
      <c r="F93" s="129"/>
      <c r="G93" s="129"/>
      <c r="H93" s="120" t="s">
        <v>151</v>
      </c>
      <c r="J93" s="8"/>
    </row>
    <row r="94" spans="1:10" x14ac:dyDescent="0.2">
      <c r="A94" s="118"/>
      <c r="B94" s="118"/>
      <c r="C94" s="119" t="s">
        <v>154</v>
      </c>
      <c r="D94" s="118"/>
      <c r="E94" s="118"/>
      <c r="F94" s="118"/>
      <c r="G94" s="118"/>
      <c r="H94" s="120" t="s">
        <v>151</v>
      </c>
      <c r="J94" s="8"/>
    </row>
    <row r="95" spans="1:10" x14ac:dyDescent="0.2">
      <c r="A95" s="118"/>
      <c r="B95" s="118"/>
      <c r="C95" s="119" t="s">
        <v>150</v>
      </c>
      <c r="D95" s="118"/>
      <c r="E95" s="118" t="s">
        <v>151</v>
      </c>
      <c r="F95" s="130" t="s">
        <v>153</v>
      </c>
      <c r="G95" s="127">
        <v>0</v>
      </c>
      <c r="H95" s="120" t="s">
        <v>151</v>
      </c>
      <c r="J95" s="8"/>
    </row>
    <row r="96" spans="1:10" x14ac:dyDescent="0.2">
      <c r="A96" s="118"/>
      <c r="B96" s="118"/>
      <c r="C96" s="128"/>
      <c r="D96" s="118"/>
      <c r="E96" s="118"/>
      <c r="F96" s="129"/>
      <c r="G96" s="129"/>
      <c r="H96" s="120" t="s">
        <v>151</v>
      </c>
      <c r="J96" s="8"/>
    </row>
    <row r="97" spans="1:10" x14ac:dyDescent="0.2">
      <c r="A97" s="118"/>
      <c r="B97" s="118"/>
      <c r="C97" s="119" t="s">
        <v>155</v>
      </c>
      <c r="D97" s="118"/>
      <c r="E97" s="118"/>
      <c r="F97" s="118"/>
      <c r="G97" s="118"/>
      <c r="H97" s="120" t="s">
        <v>151</v>
      </c>
      <c r="J97" s="8"/>
    </row>
    <row r="98" spans="1:10" x14ac:dyDescent="0.2">
      <c r="A98" s="118"/>
      <c r="B98" s="118"/>
      <c r="C98" s="119" t="s">
        <v>150</v>
      </c>
      <c r="D98" s="118"/>
      <c r="E98" s="118" t="s">
        <v>151</v>
      </c>
      <c r="F98" s="130" t="s">
        <v>153</v>
      </c>
      <c r="G98" s="127">
        <v>0</v>
      </c>
      <c r="H98" s="120" t="s">
        <v>151</v>
      </c>
      <c r="J98" s="8"/>
    </row>
    <row r="99" spans="1:10" x14ac:dyDescent="0.2">
      <c r="A99" s="118"/>
      <c r="B99" s="118"/>
      <c r="C99" s="128"/>
      <c r="D99" s="118"/>
      <c r="E99" s="118"/>
      <c r="F99" s="129"/>
      <c r="G99" s="129"/>
      <c r="H99" s="120" t="s">
        <v>151</v>
      </c>
      <c r="J99" s="8"/>
    </row>
    <row r="100" spans="1:10" x14ac:dyDescent="0.2">
      <c r="A100" s="118"/>
      <c r="B100" s="118"/>
      <c r="C100" s="119" t="s">
        <v>156</v>
      </c>
      <c r="D100" s="118"/>
      <c r="E100" s="118"/>
      <c r="F100" s="129"/>
      <c r="G100" s="129"/>
      <c r="H100" s="120" t="s">
        <v>151</v>
      </c>
      <c r="J100" s="8"/>
    </row>
    <row r="101" spans="1:10" x14ac:dyDescent="0.2">
      <c r="A101" s="118"/>
      <c r="B101" s="118"/>
      <c r="C101" s="119" t="s">
        <v>150</v>
      </c>
      <c r="D101" s="118"/>
      <c r="E101" s="118" t="s">
        <v>151</v>
      </c>
      <c r="F101" s="130" t="s">
        <v>153</v>
      </c>
      <c r="G101" s="127">
        <v>0</v>
      </c>
      <c r="H101" s="120" t="s">
        <v>151</v>
      </c>
      <c r="J101" s="8"/>
    </row>
    <row r="102" spans="1:10" x14ac:dyDescent="0.2">
      <c r="A102" s="118"/>
      <c r="B102" s="118"/>
      <c r="C102" s="128"/>
      <c r="D102" s="118"/>
      <c r="E102" s="118"/>
      <c r="F102" s="129"/>
      <c r="G102" s="129"/>
      <c r="H102" s="120" t="s">
        <v>151</v>
      </c>
      <c r="J102" s="8"/>
    </row>
    <row r="103" spans="1:10" x14ac:dyDescent="0.2">
      <c r="A103" s="118"/>
      <c r="B103" s="118"/>
      <c r="C103" s="119" t="s">
        <v>157</v>
      </c>
      <c r="D103" s="118"/>
      <c r="E103" s="118"/>
      <c r="F103" s="129"/>
      <c r="G103" s="129"/>
      <c r="H103" s="120" t="s">
        <v>151</v>
      </c>
      <c r="J103" s="8"/>
    </row>
    <row r="104" spans="1:10" x14ac:dyDescent="0.2">
      <c r="A104" s="118"/>
      <c r="B104" s="118"/>
      <c r="C104" s="119" t="s">
        <v>150</v>
      </c>
      <c r="D104" s="118"/>
      <c r="E104" s="118" t="s">
        <v>151</v>
      </c>
      <c r="F104" s="130" t="s">
        <v>153</v>
      </c>
      <c r="G104" s="127">
        <v>0</v>
      </c>
      <c r="H104" s="120" t="s">
        <v>151</v>
      </c>
      <c r="J104" s="8"/>
    </row>
    <row r="105" spans="1:10" x14ac:dyDescent="0.2">
      <c r="A105" s="118"/>
      <c r="B105" s="118"/>
      <c r="C105" s="128"/>
      <c r="D105" s="118"/>
      <c r="E105" s="118"/>
      <c r="F105" s="129"/>
      <c r="G105" s="129"/>
      <c r="H105" s="120" t="s">
        <v>151</v>
      </c>
      <c r="J105" s="8"/>
    </row>
    <row r="106" spans="1:10" x14ac:dyDescent="0.2">
      <c r="A106" s="118"/>
      <c r="B106" s="118"/>
      <c r="C106" s="119" t="s">
        <v>158</v>
      </c>
      <c r="D106" s="118"/>
      <c r="E106" s="118"/>
      <c r="F106" s="126">
        <v>1242905.1521431999</v>
      </c>
      <c r="G106" s="127">
        <v>0.94666373000000004</v>
      </c>
      <c r="H106" s="120" t="s">
        <v>151</v>
      </c>
      <c r="J106" s="8"/>
    </row>
    <row r="107" spans="1:10" x14ac:dyDescent="0.2">
      <c r="A107" s="118"/>
      <c r="B107" s="118"/>
      <c r="C107" s="128"/>
      <c r="D107" s="118"/>
      <c r="E107" s="118"/>
      <c r="F107" s="129"/>
      <c r="G107" s="129"/>
      <c r="H107" s="120" t="s">
        <v>151</v>
      </c>
      <c r="J107" s="8"/>
    </row>
    <row r="108" spans="1:10" x14ac:dyDescent="0.2">
      <c r="A108" s="118"/>
      <c r="B108" s="118"/>
      <c r="C108" s="119" t="s">
        <v>159</v>
      </c>
      <c r="D108" s="118"/>
      <c r="E108" s="118"/>
      <c r="F108" s="129"/>
      <c r="G108" s="129"/>
      <c r="H108" s="120" t="s">
        <v>151</v>
      </c>
      <c r="J108" s="8"/>
    </row>
    <row r="109" spans="1:10" x14ac:dyDescent="0.2">
      <c r="A109" s="118"/>
      <c r="B109" s="118"/>
      <c r="C109" s="119" t="s">
        <v>10</v>
      </c>
      <c r="D109" s="118"/>
      <c r="E109" s="118"/>
      <c r="F109" s="129"/>
      <c r="G109" s="129"/>
      <c r="H109" s="120" t="s">
        <v>151</v>
      </c>
      <c r="J109" s="8"/>
    </row>
    <row r="110" spans="1:10" x14ac:dyDescent="0.2">
      <c r="A110" s="118"/>
      <c r="B110" s="118"/>
      <c r="C110" s="119" t="s">
        <v>150</v>
      </c>
      <c r="D110" s="118"/>
      <c r="E110" s="118" t="s">
        <v>151</v>
      </c>
      <c r="F110" s="130" t="s">
        <v>153</v>
      </c>
      <c r="G110" s="127">
        <v>0</v>
      </c>
      <c r="H110" s="120" t="s">
        <v>151</v>
      </c>
      <c r="J110" s="8"/>
    </row>
    <row r="111" spans="1:10" x14ac:dyDescent="0.2">
      <c r="A111" s="118"/>
      <c r="B111" s="118"/>
      <c r="C111" s="128"/>
      <c r="D111" s="118"/>
      <c r="E111" s="118"/>
      <c r="F111" s="129"/>
      <c r="G111" s="129"/>
      <c r="H111" s="120" t="s">
        <v>151</v>
      </c>
      <c r="J111" s="8"/>
    </row>
    <row r="112" spans="1:10" x14ac:dyDescent="0.2">
      <c r="A112" s="118"/>
      <c r="B112" s="118"/>
      <c r="C112" s="119" t="s">
        <v>160</v>
      </c>
      <c r="D112" s="118"/>
      <c r="E112" s="118"/>
      <c r="F112" s="118"/>
      <c r="G112" s="118"/>
      <c r="H112" s="120" t="s">
        <v>151</v>
      </c>
      <c r="J112" s="8"/>
    </row>
    <row r="113" spans="1:10" x14ac:dyDescent="0.2">
      <c r="A113" s="118"/>
      <c r="B113" s="118"/>
      <c r="C113" s="119" t="s">
        <v>150</v>
      </c>
      <c r="D113" s="118"/>
      <c r="E113" s="118" t="s">
        <v>151</v>
      </c>
      <c r="F113" s="130" t="s">
        <v>153</v>
      </c>
      <c r="G113" s="127">
        <v>0</v>
      </c>
      <c r="H113" s="120" t="s">
        <v>151</v>
      </c>
      <c r="J113" s="8"/>
    </row>
    <row r="114" spans="1:10" x14ac:dyDescent="0.2">
      <c r="A114" s="118"/>
      <c r="B114" s="118"/>
      <c r="C114" s="128"/>
      <c r="D114" s="118"/>
      <c r="E114" s="118"/>
      <c r="F114" s="129"/>
      <c r="G114" s="129"/>
      <c r="H114" s="120" t="s">
        <v>151</v>
      </c>
      <c r="J114" s="8"/>
    </row>
    <row r="115" spans="1:10" x14ac:dyDescent="0.2">
      <c r="A115" s="118"/>
      <c r="B115" s="118"/>
      <c r="C115" s="119" t="s">
        <v>161</v>
      </c>
      <c r="D115" s="118"/>
      <c r="E115" s="118"/>
      <c r="F115" s="118"/>
      <c r="G115" s="118"/>
      <c r="H115" s="120" t="s">
        <v>151</v>
      </c>
      <c r="J115" s="8"/>
    </row>
    <row r="116" spans="1:10" x14ac:dyDescent="0.2">
      <c r="A116" s="118"/>
      <c r="B116" s="118"/>
      <c r="C116" s="119" t="s">
        <v>150</v>
      </c>
      <c r="D116" s="118"/>
      <c r="E116" s="118" t="s">
        <v>151</v>
      </c>
      <c r="F116" s="130" t="s">
        <v>153</v>
      </c>
      <c r="G116" s="127">
        <v>0</v>
      </c>
      <c r="H116" s="120" t="s">
        <v>151</v>
      </c>
      <c r="J116" s="8"/>
    </row>
    <row r="117" spans="1:10" x14ac:dyDescent="0.2">
      <c r="A117" s="118"/>
      <c r="B117" s="118"/>
      <c r="C117" s="128"/>
      <c r="D117" s="118"/>
      <c r="E117" s="118"/>
      <c r="F117" s="129"/>
      <c r="G117" s="129"/>
      <c r="H117" s="120" t="s">
        <v>151</v>
      </c>
      <c r="J117" s="8"/>
    </row>
    <row r="118" spans="1:10" x14ac:dyDescent="0.2">
      <c r="A118" s="118"/>
      <c r="B118" s="118"/>
      <c r="C118" s="119" t="s">
        <v>162</v>
      </c>
      <c r="D118" s="118"/>
      <c r="E118" s="118"/>
      <c r="F118" s="129"/>
      <c r="G118" s="129"/>
      <c r="H118" s="120" t="s">
        <v>151</v>
      </c>
      <c r="J118" s="8"/>
    </row>
    <row r="119" spans="1:10" x14ac:dyDescent="0.2">
      <c r="A119" s="118"/>
      <c r="B119" s="118"/>
      <c r="C119" s="119" t="s">
        <v>150</v>
      </c>
      <c r="D119" s="118"/>
      <c r="E119" s="118" t="s">
        <v>151</v>
      </c>
      <c r="F119" s="130" t="s">
        <v>153</v>
      </c>
      <c r="G119" s="127">
        <v>0</v>
      </c>
      <c r="H119" s="120" t="s">
        <v>151</v>
      </c>
      <c r="J119" s="8"/>
    </row>
    <row r="120" spans="1:10" x14ac:dyDescent="0.2">
      <c r="A120" s="118"/>
      <c r="B120" s="118"/>
      <c r="C120" s="128"/>
      <c r="D120" s="118"/>
      <c r="E120" s="118"/>
      <c r="F120" s="129"/>
      <c r="G120" s="129"/>
      <c r="H120" s="120" t="s">
        <v>151</v>
      </c>
      <c r="J120" s="8"/>
    </row>
    <row r="121" spans="1:10" x14ac:dyDescent="0.2">
      <c r="A121" s="118"/>
      <c r="B121" s="118"/>
      <c r="C121" s="119" t="s">
        <v>163</v>
      </c>
      <c r="D121" s="118"/>
      <c r="E121" s="118"/>
      <c r="F121" s="126">
        <v>0</v>
      </c>
      <c r="G121" s="127">
        <v>0</v>
      </c>
      <c r="H121" s="120" t="s">
        <v>151</v>
      </c>
      <c r="J121" s="8"/>
    </row>
    <row r="122" spans="1:10" x14ac:dyDescent="0.2">
      <c r="A122" s="118"/>
      <c r="B122" s="118"/>
      <c r="C122" s="128"/>
      <c r="D122" s="118"/>
      <c r="E122" s="118"/>
      <c r="F122" s="129"/>
      <c r="G122" s="129"/>
      <c r="H122" s="120" t="s">
        <v>151</v>
      </c>
      <c r="J122" s="8"/>
    </row>
    <row r="123" spans="1:10" x14ac:dyDescent="0.2">
      <c r="A123" s="118"/>
      <c r="B123" s="118"/>
      <c r="C123" s="119" t="s">
        <v>164</v>
      </c>
      <c r="D123" s="118"/>
      <c r="E123" s="118"/>
      <c r="F123" s="129"/>
      <c r="G123" s="129"/>
      <c r="H123" s="120" t="s">
        <v>151</v>
      </c>
      <c r="J123" s="8"/>
    </row>
    <row r="124" spans="1:10" x14ac:dyDescent="0.2">
      <c r="A124" s="118"/>
      <c r="B124" s="118"/>
      <c r="C124" s="119" t="s">
        <v>165</v>
      </c>
      <c r="D124" s="118"/>
      <c r="E124" s="118"/>
      <c r="F124" s="129"/>
      <c r="G124" s="129"/>
      <c r="H124" s="120" t="s">
        <v>151</v>
      </c>
      <c r="J124" s="8"/>
    </row>
    <row r="125" spans="1:10" x14ac:dyDescent="0.2">
      <c r="A125" s="118"/>
      <c r="B125" s="118"/>
      <c r="C125" s="119" t="s">
        <v>150</v>
      </c>
      <c r="D125" s="118"/>
      <c r="E125" s="118" t="s">
        <v>151</v>
      </c>
      <c r="F125" s="130" t="s">
        <v>153</v>
      </c>
      <c r="G125" s="127">
        <v>0</v>
      </c>
      <c r="H125" s="120" t="s">
        <v>151</v>
      </c>
      <c r="J125" s="8"/>
    </row>
    <row r="126" spans="1:10" x14ac:dyDescent="0.2">
      <c r="A126" s="118"/>
      <c r="B126" s="118"/>
      <c r="C126" s="128"/>
      <c r="D126" s="118"/>
      <c r="E126" s="118"/>
      <c r="F126" s="129"/>
      <c r="G126" s="129"/>
      <c r="H126" s="120" t="s">
        <v>151</v>
      </c>
      <c r="J126" s="8"/>
    </row>
    <row r="127" spans="1:10" x14ac:dyDescent="0.2">
      <c r="A127" s="118"/>
      <c r="B127" s="118"/>
      <c r="C127" s="119" t="s">
        <v>166</v>
      </c>
      <c r="D127" s="118"/>
      <c r="E127" s="118"/>
      <c r="F127" s="129"/>
      <c r="G127" s="129"/>
      <c r="H127" s="120" t="s">
        <v>151</v>
      </c>
      <c r="J127" s="8"/>
    </row>
    <row r="128" spans="1:10" x14ac:dyDescent="0.2">
      <c r="A128" s="118"/>
      <c r="B128" s="118"/>
      <c r="C128" s="119" t="s">
        <v>150</v>
      </c>
      <c r="D128" s="118"/>
      <c r="E128" s="118" t="s">
        <v>151</v>
      </c>
      <c r="F128" s="130" t="s">
        <v>153</v>
      </c>
      <c r="G128" s="127">
        <v>0</v>
      </c>
      <c r="H128" s="120" t="s">
        <v>151</v>
      </c>
      <c r="J128" s="8"/>
    </row>
    <row r="129" spans="1:10" x14ac:dyDescent="0.2">
      <c r="A129" s="118"/>
      <c r="B129" s="118"/>
      <c r="C129" s="128"/>
      <c r="D129" s="118"/>
      <c r="E129" s="118"/>
      <c r="F129" s="129"/>
      <c r="G129" s="129"/>
      <c r="H129" s="120" t="s">
        <v>151</v>
      </c>
      <c r="J129" s="8"/>
    </row>
    <row r="130" spans="1:10" x14ac:dyDescent="0.2">
      <c r="A130" s="118"/>
      <c r="B130" s="118"/>
      <c r="C130" s="119" t="s">
        <v>167</v>
      </c>
      <c r="D130" s="118"/>
      <c r="E130" s="118"/>
      <c r="F130" s="129"/>
      <c r="G130" s="129"/>
      <c r="H130" s="120" t="s">
        <v>151</v>
      </c>
      <c r="J130" s="8"/>
    </row>
    <row r="131" spans="1:10" x14ac:dyDescent="0.2">
      <c r="A131" s="118"/>
      <c r="B131" s="118"/>
      <c r="C131" s="119" t="s">
        <v>150</v>
      </c>
      <c r="D131" s="118"/>
      <c r="E131" s="118" t="s">
        <v>151</v>
      </c>
      <c r="F131" s="130" t="s">
        <v>153</v>
      </c>
      <c r="G131" s="127">
        <v>0</v>
      </c>
      <c r="H131" s="120" t="s">
        <v>151</v>
      </c>
      <c r="J131" s="8"/>
    </row>
    <row r="132" spans="1:10" x14ac:dyDescent="0.2">
      <c r="A132" s="118"/>
      <c r="B132" s="118"/>
      <c r="C132" s="128"/>
      <c r="D132" s="118"/>
      <c r="E132" s="118"/>
      <c r="F132" s="129"/>
      <c r="G132" s="129"/>
      <c r="H132" s="120" t="s">
        <v>151</v>
      </c>
      <c r="J132" s="8"/>
    </row>
    <row r="133" spans="1:10" x14ac:dyDescent="0.2">
      <c r="A133" s="118"/>
      <c r="B133" s="118"/>
      <c r="C133" s="119" t="s">
        <v>168</v>
      </c>
      <c r="D133" s="118"/>
      <c r="E133" s="118"/>
      <c r="F133" s="129"/>
      <c r="G133" s="129"/>
      <c r="H133" s="120" t="s">
        <v>151</v>
      </c>
      <c r="J133" s="8"/>
    </row>
    <row r="134" spans="1:10" x14ac:dyDescent="0.2">
      <c r="A134" s="121">
        <v>1</v>
      </c>
      <c r="B134" s="122"/>
      <c r="C134" s="122" t="s">
        <v>169</v>
      </c>
      <c r="D134" s="122"/>
      <c r="E134" s="131"/>
      <c r="F134" s="124">
        <v>12265.281866025</v>
      </c>
      <c r="G134" s="125">
        <v>9.3419000000000002E-3</v>
      </c>
      <c r="H134" s="120">
        <v>6.61</v>
      </c>
      <c r="J134" s="8"/>
    </row>
    <row r="135" spans="1:10" x14ac:dyDescent="0.2">
      <c r="A135" s="118"/>
      <c r="B135" s="118"/>
      <c r="C135" s="119" t="s">
        <v>150</v>
      </c>
      <c r="D135" s="118"/>
      <c r="E135" s="118" t="s">
        <v>151</v>
      </c>
      <c r="F135" s="126">
        <v>12265.281866025</v>
      </c>
      <c r="G135" s="127">
        <v>9.3419000000000002E-3</v>
      </c>
      <c r="H135" s="120" t="s">
        <v>151</v>
      </c>
      <c r="J135" s="8"/>
    </row>
    <row r="136" spans="1:10" x14ac:dyDescent="0.2">
      <c r="A136" s="118"/>
      <c r="B136" s="118"/>
      <c r="C136" s="128"/>
      <c r="D136" s="118"/>
      <c r="E136" s="118"/>
      <c r="F136" s="129"/>
      <c r="G136" s="129"/>
      <c r="H136" s="120" t="s">
        <v>151</v>
      </c>
      <c r="J136" s="8"/>
    </row>
    <row r="137" spans="1:10" x14ac:dyDescent="0.2">
      <c r="A137" s="118"/>
      <c r="B137" s="118"/>
      <c r="C137" s="119" t="s">
        <v>170</v>
      </c>
      <c r="D137" s="118"/>
      <c r="E137" s="118"/>
      <c r="F137" s="126">
        <v>12265.281866025</v>
      </c>
      <c r="G137" s="127">
        <v>9.3419000000000002E-3</v>
      </c>
      <c r="H137" s="120" t="s">
        <v>151</v>
      </c>
      <c r="J137" s="8"/>
    </row>
    <row r="138" spans="1:10" x14ac:dyDescent="0.2">
      <c r="A138" s="118"/>
      <c r="B138" s="118"/>
      <c r="C138" s="129"/>
      <c r="D138" s="118"/>
      <c r="E138" s="118"/>
      <c r="F138" s="118"/>
      <c r="G138" s="118"/>
      <c r="H138" s="120" t="s">
        <v>151</v>
      </c>
      <c r="J138" s="8"/>
    </row>
    <row r="139" spans="1:10" x14ac:dyDescent="0.2">
      <c r="A139" s="118"/>
      <c r="B139" s="118"/>
      <c r="C139" s="119" t="s">
        <v>171</v>
      </c>
      <c r="D139" s="118"/>
      <c r="E139" s="118"/>
      <c r="F139" s="118"/>
      <c r="G139" s="118"/>
      <c r="H139" s="120" t="s">
        <v>151</v>
      </c>
      <c r="J139" s="8"/>
    </row>
    <row r="140" spans="1:10" x14ac:dyDescent="0.2">
      <c r="A140" s="118"/>
      <c r="B140" s="118"/>
      <c r="C140" s="119" t="s">
        <v>172</v>
      </c>
      <c r="D140" s="118"/>
      <c r="E140" s="118"/>
      <c r="F140" s="118"/>
      <c r="G140" s="118"/>
      <c r="H140" s="120" t="s">
        <v>151</v>
      </c>
      <c r="J140" s="8"/>
    </row>
    <row r="141" spans="1:10" x14ac:dyDescent="0.2">
      <c r="A141" s="121">
        <v>1</v>
      </c>
      <c r="B141" s="122" t="s">
        <v>173</v>
      </c>
      <c r="C141" s="200" t="s">
        <v>896</v>
      </c>
      <c r="D141" s="122"/>
      <c r="E141" s="132">
        <v>2608605.2344999998</v>
      </c>
      <c r="F141" s="124">
        <v>57662.566557314</v>
      </c>
      <c r="G141" s="125">
        <v>4.391892E-2</v>
      </c>
      <c r="H141" s="120" t="s">
        <v>151</v>
      </c>
      <c r="J141" s="8"/>
    </row>
    <row r="142" spans="1:10" x14ac:dyDescent="0.2">
      <c r="A142" s="118"/>
      <c r="B142" s="118"/>
      <c r="C142" s="119" t="s">
        <v>150</v>
      </c>
      <c r="D142" s="118"/>
      <c r="E142" s="118" t="s">
        <v>151</v>
      </c>
      <c r="F142" s="126">
        <v>57662.566557314</v>
      </c>
      <c r="G142" s="127">
        <v>4.391892E-2</v>
      </c>
      <c r="H142" s="120" t="s">
        <v>151</v>
      </c>
      <c r="J142" s="8"/>
    </row>
    <row r="143" spans="1:10" x14ac:dyDescent="0.2">
      <c r="A143" s="118"/>
      <c r="B143" s="118"/>
      <c r="C143" s="128"/>
      <c r="D143" s="118"/>
      <c r="E143" s="118"/>
      <c r="F143" s="129"/>
      <c r="G143" s="129"/>
      <c r="H143" s="120" t="s">
        <v>151</v>
      </c>
      <c r="J143" s="8"/>
    </row>
    <row r="144" spans="1:10" x14ac:dyDescent="0.2">
      <c r="A144" s="118"/>
      <c r="B144" s="118"/>
      <c r="C144" s="119" t="s">
        <v>175</v>
      </c>
      <c r="D144" s="118"/>
      <c r="E144" s="118"/>
      <c r="F144" s="118"/>
      <c r="G144" s="118"/>
      <c r="H144" s="120" t="s">
        <v>151</v>
      </c>
      <c r="J144" s="8"/>
    </row>
    <row r="145" spans="1:17" x14ac:dyDescent="0.2">
      <c r="A145" s="118"/>
      <c r="B145" s="118"/>
      <c r="C145" s="119" t="s">
        <v>176</v>
      </c>
      <c r="D145" s="118"/>
      <c r="E145" s="118"/>
      <c r="F145" s="118"/>
      <c r="G145" s="118"/>
      <c r="H145" s="120" t="s">
        <v>151</v>
      </c>
      <c r="J145" s="8"/>
    </row>
    <row r="146" spans="1:17" x14ac:dyDescent="0.2">
      <c r="A146" s="118"/>
      <c r="B146" s="118"/>
      <c r="C146" s="119" t="s">
        <v>150</v>
      </c>
      <c r="D146" s="118"/>
      <c r="E146" s="118" t="s">
        <v>151</v>
      </c>
      <c r="F146" s="130" t="s">
        <v>153</v>
      </c>
      <c r="G146" s="127">
        <v>0</v>
      </c>
      <c r="H146" s="120" t="s">
        <v>151</v>
      </c>
      <c r="J146" s="8"/>
    </row>
    <row r="147" spans="1:17" x14ac:dyDescent="0.2">
      <c r="A147" s="118"/>
      <c r="B147" s="118"/>
      <c r="C147" s="128"/>
      <c r="D147" s="118"/>
      <c r="E147" s="118"/>
      <c r="F147" s="129"/>
      <c r="G147" s="129"/>
      <c r="H147" s="120" t="s">
        <v>151</v>
      </c>
      <c r="J147" s="8"/>
    </row>
    <row r="148" spans="1:17" x14ac:dyDescent="0.2">
      <c r="A148" s="118"/>
      <c r="B148" s="118"/>
      <c r="C148" s="119" t="s">
        <v>177</v>
      </c>
      <c r="D148" s="118"/>
      <c r="E148" s="118"/>
      <c r="F148" s="129"/>
      <c r="G148" s="129"/>
      <c r="H148" s="120" t="s">
        <v>151</v>
      </c>
      <c r="J148" s="8"/>
    </row>
    <row r="149" spans="1:17" x14ac:dyDescent="0.2">
      <c r="A149" s="118"/>
      <c r="B149" s="118"/>
      <c r="C149" s="119" t="s">
        <v>150</v>
      </c>
      <c r="D149" s="118"/>
      <c r="E149" s="118" t="s">
        <v>151</v>
      </c>
      <c r="F149" s="130" t="s">
        <v>153</v>
      </c>
      <c r="G149" s="127">
        <v>0</v>
      </c>
      <c r="H149" s="120" t="s">
        <v>151</v>
      </c>
      <c r="J149" s="8"/>
    </row>
    <row r="150" spans="1:17" x14ac:dyDescent="0.2">
      <c r="A150" s="118"/>
      <c r="B150" s="118"/>
      <c r="C150" s="128"/>
      <c r="D150" s="118"/>
      <c r="E150" s="118"/>
      <c r="F150" s="129"/>
      <c r="G150" s="129"/>
      <c r="H150" s="120" t="s">
        <v>151</v>
      </c>
      <c r="J150" s="8"/>
    </row>
    <row r="151" spans="1:17" x14ac:dyDescent="0.2">
      <c r="A151" s="131"/>
      <c r="B151" s="122"/>
      <c r="C151" s="122" t="s">
        <v>342</v>
      </c>
      <c r="D151" s="122"/>
      <c r="E151" s="131"/>
      <c r="F151" s="124">
        <v>3499.9996707</v>
      </c>
      <c r="G151" s="125">
        <v>2.6657899999999999E-3</v>
      </c>
      <c r="H151" s="120" t="s">
        <v>151</v>
      </c>
      <c r="J151" s="8"/>
    </row>
    <row r="152" spans="1:17" x14ac:dyDescent="0.2">
      <c r="A152" s="131"/>
      <c r="B152" s="122"/>
      <c r="C152" s="122" t="s">
        <v>178</v>
      </c>
      <c r="D152" s="122"/>
      <c r="E152" s="131"/>
      <c r="F152" s="124">
        <v>-3400.86091025</v>
      </c>
      <c r="G152" s="125">
        <v>-2.5902799999999999E-3</v>
      </c>
      <c r="H152" s="120" t="s">
        <v>151</v>
      </c>
      <c r="J152" s="8"/>
    </row>
    <row r="153" spans="1:17" x14ac:dyDescent="0.2">
      <c r="A153" s="128"/>
      <c r="B153" s="128"/>
      <c r="C153" s="119" t="s">
        <v>179</v>
      </c>
      <c r="D153" s="129"/>
      <c r="E153" s="129"/>
      <c r="F153" s="126">
        <v>1312932.139326989</v>
      </c>
      <c r="G153" s="133">
        <v>1.0000000600000001</v>
      </c>
      <c r="H153" s="120" t="s">
        <v>151</v>
      </c>
      <c r="J153" s="8"/>
    </row>
    <row r="154" spans="1:17" x14ac:dyDescent="0.2">
      <c r="A154" s="134"/>
      <c r="B154" s="134"/>
      <c r="C154" s="134"/>
      <c r="D154" s="135"/>
      <c r="E154" s="135"/>
      <c r="F154" s="135"/>
      <c r="G154" s="135"/>
      <c r="J154" s="8"/>
    </row>
    <row r="155" spans="1:17" x14ac:dyDescent="0.2">
      <c r="A155" s="136"/>
      <c r="B155" s="137" t="s">
        <v>888</v>
      </c>
      <c r="C155" s="137"/>
      <c r="D155" s="137"/>
      <c r="E155" s="137"/>
      <c r="F155" s="137"/>
      <c r="G155" s="137"/>
      <c r="H155" s="137"/>
      <c r="J155" s="8"/>
    </row>
    <row r="156" spans="1:17" x14ac:dyDescent="0.2">
      <c r="A156" s="136"/>
      <c r="B156" s="137" t="s">
        <v>889</v>
      </c>
      <c r="C156" s="137"/>
      <c r="D156" s="137"/>
      <c r="E156" s="137"/>
      <c r="F156" s="137"/>
      <c r="G156" s="137"/>
      <c r="H156" s="137"/>
      <c r="J156" s="8"/>
    </row>
    <row r="157" spans="1:17" x14ac:dyDescent="0.2">
      <c r="A157" s="136"/>
      <c r="B157" s="137" t="s">
        <v>890</v>
      </c>
      <c r="C157" s="137"/>
      <c r="D157" s="137"/>
      <c r="E157" s="137"/>
      <c r="F157" s="137"/>
      <c r="G157" s="137"/>
      <c r="H157" s="137"/>
      <c r="J157" s="8"/>
    </row>
    <row r="158" spans="1:17" s="13" customFormat="1" ht="67.5" customHeight="1" x14ac:dyDescent="0.25">
      <c r="A158" s="138"/>
      <c r="B158" s="139" t="s">
        <v>891</v>
      </c>
      <c r="C158" s="139"/>
      <c r="D158" s="139"/>
      <c r="E158" s="139"/>
      <c r="F158" s="139"/>
      <c r="G158" s="139"/>
      <c r="H158" s="139"/>
      <c r="I158" s="114"/>
      <c r="J158" s="8"/>
      <c r="K158"/>
      <c r="L158"/>
      <c r="M158"/>
      <c r="N158"/>
      <c r="O158"/>
      <c r="P158"/>
      <c r="Q158"/>
    </row>
    <row r="159" spans="1:17" x14ac:dyDescent="0.2">
      <c r="A159" s="136"/>
      <c r="B159" s="137" t="s">
        <v>892</v>
      </c>
      <c r="C159" s="137"/>
      <c r="D159" s="137"/>
      <c r="E159" s="137"/>
      <c r="F159" s="137"/>
      <c r="G159" s="137"/>
      <c r="H159" s="137"/>
      <c r="J159" s="8"/>
    </row>
    <row r="160" spans="1:17" x14ac:dyDescent="0.2">
      <c r="A160" s="140"/>
      <c r="B160" s="140"/>
      <c r="C160" s="140"/>
      <c r="D160" s="141"/>
      <c r="E160" s="141"/>
      <c r="F160" s="141"/>
      <c r="G160" s="141"/>
      <c r="J160" s="8"/>
    </row>
    <row r="161" spans="1:10" x14ac:dyDescent="0.2">
      <c r="A161" s="140"/>
      <c r="B161" s="142" t="s">
        <v>180</v>
      </c>
      <c r="C161" s="143"/>
      <c r="D161" s="144"/>
      <c r="E161" s="145"/>
      <c r="F161" s="141"/>
      <c r="G161" s="141"/>
      <c r="J161" s="8"/>
    </row>
    <row r="162" spans="1:10" ht="24.75" customHeight="1" x14ac:dyDescent="0.2">
      <c r="A162" s="140"/>
      <c r="B162" s="146" t="s">
        <v>181</v>
      </c>
      <c r="C162" s="147"/>
      <c r="D162" s="119" t="s">
        <v>182</v>
      </c>
      <c r="E162" s="145"/>
      <c r="F162" s="141"/>
      <c r="G162" s="141"/>
      <c r="J162" s="8"/>
    </row>
    <row r="163" spans="1:10" x14ac:dyDescent="0.2">
      <c r="A163" s="140"/>
      <c r="B163" s="148" t="s">
        <v>893</v>
      </c>
      <c r="C163" s="149"/>
      <c r="D163" s="119" t="s">
        <v>182</v>
      </c>
      <c r="E163" s="145"/>
      <c r="F163" s="141"/>
      <c r="G163" s="141"/>
      <c r="J163" s="8"/>
    </row>
    <row r="164" spans="1:10" x14ac:dyDescent="0.2">
      <c r="A164" s="140"/>
      <c r="B164" s="146" t="s">
        <v>184</v>
      </c>
      <c r="C164" s="147"/>
      <c r="D164" s="129" t="s">
        <v>151</v>
      </c>
      <c r="E164" s="145"/>
      <c r="F164" s="141"/>
      <c r="G164" s="141"/>
      <c r="J164" s="8"/>
    </row>
    <row r="165" spans="1:10" x14ac:dyDescent="0.2">
      <c r="A165" s="151"/>
      <c r="B165" s="152" t="s">
        <v>151</v>
      </c>
      <c r="C165" s="152" t="s">
        <v>894</v>
      </c>
      <c r="D165" s="152" t="s">
        <v>185</v>
      </c>
      <c r="E165" s="151"/>
      <c r="F165" s="151"/>
      <c r="G165" s="151"/>
      <c r="H165" s="151"/>
      <c r="J165" s="8"/>
    </row>
    <row r="166" spans="1:10" x14ac:dyDescent="0.2">
      <c r="A166" s="153"/>
      <c r="B166" s="154" t="s">
        <v>186</v>
      </c>
      <c r="C166" s="155">
        <v>45535</v>
      </c>
      <c r="D166" s="155">
        <v>45565</v>
      </c>
      <c r="E166" s="153"/>
      <c r="F166" s="153"/>
      <c r="G166" s="153"/>
      <c r="J166" s="8"/>
    </row>
    <row r="167" spans="1:10" x14ac:dyDescent="0.2">
      <c r="A167" s="153"/>
      <c r="B167" s="122" t="s">
        <v>187</v>
      </c>
      <c r="C167" s="156">
        <v>1499.6965</v>
      </c>
      <c r="D167" s="156">
        <v>1552.4458</v>
      </c>
      <c r="E167" s="153"/>
      <c r="F167" s="157"/>
      <c r="G167" s="158"/>
    </row>
    <row r="168" spans="1:10" x14ac:dyDescent="0.2">
      <c r="A168" s="153"/>
      <c r="B168" s="122" t="s">
        <v>1038</v>
      </c>
      <c r="C168" s="156">
        <v>81.375399999999999</v>
      </c>
      <c r="D168" s="156">
        <v>84.2376</v>
      </c>
      <c r="E168" s="153"/>
      <c r="F168" s="157"/>
      <c r="G168" s="158"/>
    </row>
    <row r="169" spans="1:10" x14ac:dyDescent="0.2">
      <c r="A169" s="153"/>
      <c r="B169" s="122" t="s">
        <v>188</v>
      </c>
      <c r="C169" s="156">
        <v>1383.6133</v>
      </c>
      <c r="D169" s="156">
        <v>1431.3025</v>
      </c>
      <c r="E169" s="153"/>
      <c r="F169" s="157"/>
      <c r="G169" s="158"/>
    </row>
    <row r="170" spans="1:10" x14ac:dyDescent="0.2">
      <c r="A170" s="153"/>
      <c r="B170" s="122" t="s">
        <v>1039</v>
      </c>
      <c r="C170" s="156">
        <v>74.027199999999993</v>
      </c>
      <c r="D170" s="156">
        <v>76.578699999999998</v>
      </c>
      <c r="E170" s="153"/>
      <c r="F170" s="157"/>
      <c r="G170" s="158"/>
    </row>
    <row r="171" spans="1:10" x14ac:dyDescent="0.2">
      <c r="A171" s="153"/>
      <c r="B171" s="153"/>
      <c r="C171" s="153"/>
      <c r="D171" s="153"/>
      <c r="E171" s="153"/>
      <c r="F171" s="153"/>
      <c r="G171" s="153"/>
    </row>
    <row r="172" spans="1:10" x14ac:dyDescent="0.2">
      <c r="A172" s="151"/>
      <c r="B172" s="148" t="s">
        <v>895</v>
      </c>
      <c r="C172" s="149"/>
      <c r="D172" s="150" t="s">
        <v>182</v>
      </c>
      <c r="E172" s="151"/>
      <c r="F172" s="151"/>
      <c r="G172" s="151"/>
    </row>
    <row r="173" spans="1:10" x14ac:dyDescent="0.2">
      <c r="A173" s="151"/>
      <c r="B173" s="201"/>
      <c r="C173" s="201"/>
      <c r="D173" s="201"/>
      <c r="E173" s="151"/>
      <c r="F173" s="151"/>
      <c r="G173" s="151"/>
    </row>
    <row r="174" spans="1:10" x14ac:dyDescent="0.2">
      <c r="A174" s="151"/>
      <c r="B174" s="148" t="s">
        <v>189</v>
      </c>
      <c r="C174" s="149"/>
      <c r="D174" s="150" t="s">
        <v>182</v>
      </c>
      <c r="E174" s="201"/>
      <c r="F174" s="201"/>
      <c r="G174" s="201"/>
    </row>
    <row r="175" spans="1:10" x14ac:dyDescent="0.2">
      <c r="A175" s="151"/>
      <c r="B175" s="148" t="s">
        <v>190</v>
      </c>
      <c r="C175" s="149"/>
      <c r="D175" s="150" t="s">
        <v>182</v>
      </c>
      <c r="E175" s="151"/>
      <c r="F175" s="151"/>
      <c r="G175" s="151"/>
    </row>
    <row r="176" spans="1:10" x14ac:dyDescent="0.2">
      <c r="A176" s="151"/>
      <c r="B176" s="148" t="s">
        <v>191</v>
      </c>
      <c r="C176" s="149"/>
      <c r="D176" s="150" t="s">
        <v>182</v>
      </c>
      <c r="E176" s="160"/>
      <c r="F176" s="151"/>
      <c r="G176" s="151"/>
    </row>
    <row r="177" spans="1:7" x14ac:dyDescent="0.2">
      <c r="A177" s="151"/>
      <c r="B177" s="148" t="s">
        <v>192</v>
      </c>
      <c r="C177" s="149"/>
      <c r="D177" s="161">
        <v>0.39445112327960064</v>
      </c>
      <c r="E177" s="160"/>
      <c r="F177" s="151"/>
      <c r="G177" s="151"/>
    </row>
  </sheetData>
  <mergeCells count="17">
    <mergeCell ref="B176:C176"/>
    <mergeCell ref="B177:C177"/>
    <mergeCell ref="B175:C175"/>
    <mergeCell ref="B162:C162"/>
    <mergeCell ref="A1:H1"/>
    <mergeCell ref="A2:H2"/>
    <mergeCell ref="A3:H3"/>
    <mergeCell ref="B174:C174"/>
    <mergeCell ref="B155:H155"/>
    <mergeCell ref="B156:H156"/>
    <mergeCell ref="B157:H157"/>
    <mergeCell ref="B158:H158"/>
    <mergeCell ref="B159:H159"/>
    <mergeCell ref="B161:D161"/>
    <mergeCell ref="B163:C163"/>
    <mergeCell ref="B164:C164"/>
    <mergeCell ref="B172:C172"/>
  </mergeCells>
  <hyperlinks>
    <hyperlink ref="I1" location="Index!B2" display="Index" xr:uid="{38750E24-036D-4421-948B-30D815CA7DE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B3E42-6F20-4F03-B5E7-B2DE9DB9E428}">
  <sheetPr>
    <outlinePr summaryBelow="0" summaryRight="0"/>
  </sheetPr>
  <dimension ref="A1:Q179"/>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37.85546875" style="114" customWidth="1"/>
    <col min="4" max="4" width="17.7109375" style="114" bestFit="1" customWidth="1"/>
    <col min="5" max="5" width="11.4257812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852</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343</v>
      </c>
      <c r="C7" s="122" t="s">
        <v>344</v>
      </c>
      <c r="D7" s="122" t="s">
        <v>48</v>
      </c>
      <c r="E7" s="123">
        <v>1875000</v>
      </c>
      <c r="F7" s="124">
        <v>32475.9375</v>
      </c>
      <c r="G7" s="125">
        <v>4.4746660000000001E-2</v>
      </c>
      <c r="H7" s="120" t="s">
        <v>151</v>
      </c>
      <c r="J7" s="8"/>
    </row>
    <row r="8" spans="1:10" x14ac:dyDescent="0.2">
      <c r="A8" s="121">
        <v>2</v>
      </c>
      <c r="B8" s="122" t="s">
        <v>46</v>
      </c>
      <c r="C8" s="122" t="s">
        <v>47</v>
      </c>
      <c r="D8" s="122" t="s">
        <v>48</v>
      </c>
      <c r="E8" s="123">
        <v>2225000</v>
      </c>
      <c r="F8" s="124">
        <v>28324.25</v>
      </c>
      <c r="G8" s="125">
        <v>3.90263E-2</v>
      </c>
      <c r="H8" s="120" t="s">
        <v>151</v>
      </c>
      <c r="J8" s="8"/>
    </row>
    <row r="9" spans="1:10" x14ac:dyDescent="0.2">
      <c r="A9" s="121">
        <v>3</v>
      </c>
      <c r="B9" s="122" t="s">
        <v>20</v>
      </c>
      <c r="C9" s="122" t="s">
        <v>21</v>
      </c>
      <c r="D9" s="122" t="s">
        <v>22</v>
      </c>
      <c r="E9" s="123">
        <v>800000</v>
      </c>
      <c r="F9" s="124">
        <v>23625.200000000001</v>
      </c>
      <c r="G9" s="125">
        <v>3.2551759999999999E-2</v>
      </c>
      <c r="H9" s="120" t="s">
        <v>151</v>
      </c>
      <c r="J9" s="8"/>
    </row>
    <row r="10" spans="1:10" x14ac:dyDescent="0.2">
      <c r="A10" s="121">
        <v>4</v>
      </c>
      <c r="B10" s="122" t="s">
        <v>345</v>
      </c>
      <c r="C10" s="122" t="s">
        <v>346</v>
      </c>
      <c r="D10" s="122" t="s">
        <v>200</v>
      </c>
      <c r="E10" s="123">
        <v>6943496</v>
      </c>
      <c r="F10" s="124">
        <v>18976.574568</v>
      </c>
      <c r="G10" s="125">
        <v>2.614669E-2</v>
      </c>
      <c r="H10" s="120" t="s">
        <v>151</v>
      </c>
      <c r="J10" s="8"/>
    </row>
    <row r="11" spans="1:10" x14ac:dyDescent="0.2">
      <c r="A11" s="121">
        <v>5</v>
      </c>
      <c r="B11" s="122" t="s">
        <v>63</v>
      </c>
      <c r="C11" s="122" t="s">
        <v>64</v>
      </c>
      <c r="D11" s="122" t="s">
        <v>48</v>
      </c>
      <c r="E11" s="123">
        <v>2300000</v>
      </c>
      <c r="F11" s="124">
        <v>18121.7</v>
      </c>
      <c r="G11" s="125">
        <v>2.4968810000000001E-2</v>
      </c>
      <c r="H11" s="120" t="s">
        <v>151</v>
      </c>
      <c r="J11" s="8"/>
    </row>
    <row r="12" spans="1:10" ht="15" x14ac:dyDescent="0.2">
      <c r="A12" s="121">
        <v>6</v>
      </c>
      <c r="B12" s="122" t="s">
        <v>347</v>
      </c>
      <c r="C12" s="122" t="s">
        <v>348</v>
      </c>
      <c r="D12" s="122" t="s">
        <v>216</v>
      </c>
      <c r="E12" s="123">
        <v>900000</v>
      </c>
      <c r="F12" s="124">
        <v>16880.400000000001</v>
      </c>
      <c r="G12" s="125">
        <v>2.3258500000000001E-2</v>
      </c>
      <c r="H12" s="120" t="s">
        <v>151</v>
      </c>
      <c r="J12" s="11"/>
    </row>
    <row r="13" spans="1:10" x14ac:dyDescent="0.2">
      <c r="A13" s="121">
        <v>7</v>
      </c>
      <c r="B13" s="122" t="s">
        <v>14</v>
      </c>
      <c r="C13" s="122" t="s">
        <v>15</v>
      </c>
      <c r="D13" s="122" t="s">
        <v>16</v>
      </c>
      <c r="E13" s="123">
        <v>900000</v>
      </c>
      <c r="F13" s="124">
        <v>15385.95</v>
      </c>
      <c r="G13" s="125">
        <v>2.1199389999999999E-2</v>
      </c>
      <c r="H13" s="120" t="s">
        <v>151</v>
      </c>
      <c r="J13" s="8"/>
    </row>
    <row r="14" spans="1:10" ht="25.5" x14ac:dyDescent="0.2">
      <c r="A14" s="121">
        <v>8</v>
      </c>
      <c r="B14" s="122" t="s">
        <v>11</v>
      </c>
      <c r="C14" s="122" t="s">
        <v>12</v>
      </c>
      <c r="D14" s="122" t="s">
        <v>13</v>
      </c>
      <c r="E14" s="123">
        <v>415000</v>
      </c>
      <c r="F14" s="124">
        <v>15253.532499999999</v>
      </c>
      <c r="G14" s="125">
        <v>2.1016940000000001E-2</v>
      </c>
      <c r="H14" s="120" t="s">
        <v>151</v>
      </c>
      <c r="J14" s="8" t="s">
        <v>901</v>
      </c>
    </row>
    <row r="15" spans="1:10" x14ac:dyDescent="0.2">
      <c r="A15" s="121">
        <v>9</v>
      </c>
      <c r="B15" s="122" t="s">
        <v>277</v>
      </c>
      <c r="C15" s="122" t="s">
        <v>278</v>
      </c>
      <c r="D15" s="122" t="s">
        <v>70</v>
      </c>
      <c r="E15" s="123">
        <v>1220000</v>
      </c>
      <c r="F15" s="124">
        <v>13440.13</v>
      </c>
      <c r="G15" s="125">
        <v>1.8518360000000001E-2</v>
      </c>
      <c r="H15" s="120" t="s">
        <v>151</v>
      </c>
      <c r="J15" s="8"/>
    </row>
    <row r="16" spans="1:10" x14ac:dyDescent="0.2">
      <c r="A16" s="121">
        <v>10</v>
      </c>
      <c r="B16" s="122" t="s">
        <v>349</v>
      </c>
      <c r="C16" s="122" t="s">
        <v>350</v>
      </c>
      <c r="D16" s="122" t="s">
        <v>48</v>
      </c>
      <c r="E16" s="123">
        <v>1000000</v>
      </c>
      <c r="F16" s="124">
        <v>12322</v>
      </c>
      <c r="G16" s="125">
        <v>1.697775E-2</v>
      </c>
      <c r="H16" s="120" t="s">
        <v>151</v>
      </c>
      <c r="J16" s="8"/>
    </row>
    <row r="17" spans="1:10" x14ac:dyDescent="0.2">
      <c r="A17" s="121">
        <v>11</v>
      </c>
      <c r="B17" s="122" t="s">
        <v>17</v>
      </c>
      <c r="C17" s="122" t="s">
        <v>18</v>
      </c>
      <c r="D17" s="122" t="s">
        <v>19</v>
      </c>
      <c r="E17" s="123">
        <v>2775000</v>
      </c>
      <c r="F17" s="124">
        <v>12298.8</v>
      </c>
      <c r="G17" s="125">
        <v>1.6945789999999999E-2</v>
      </c>
      <c r="H17" s="120" t="s">
        <v>151</v>
      </c>
      <c r="J17" s="8"/>
    </row>
    <row r="18" spans="1:10" ht="25.5" x14ac:dyDescent="0.2">
      <c r="A18" s="121">
        <v>12</v>
      </c>
      <c r="B18" s="122" t="s">
        <v>203</v>
      </c>
      <c r="C18" s="122" t="s">
        <v>204</v>
      </c>
      <c r="D18" s="122" t="s">
        <v>205</v>
      </c>
      <c r="E18" s="123">
        <v>540541</v>
      </c>
      <c r="F18" s="124">
        <v>11843.793851</v>
      </c>
      <c r="G18" s="125">
        <v>1.6318860000000001E-2</v>
      </c>
      <c r="H18" s="120" t="s">
        <v>151</v>
      </c>
      <c r="J18" s="8"/>
    </row>
    <row r="19" spans="1:10" x14ac:dyDescent="0.2">
      <c r="A19" s="121">
        <v>13</v>
      </c>
      <c r="B19" s="122" t="s">
        <v>351</v>
      </c>
      <c r="C19" s="122" t="s">
        <v>352</v>
      </c>
      <c r="D19" s="122" t="s">
        <v>48</v>
      </c>
      <c r="E19" s="123">
        <v>633843</v>
      </c>
      <c r="F19" s="124">
        <v>11751.132298500001</v>
      </c>
      <c r="G19" s="125">
        <v>1.6191190000000001E-2</v>
      </c>
      <c r="H19" s="120" t="s">
        <v>151</v>
      </c>
      <c r="J19" s="8"/>
    </row>
    <row r="20" spans="1:10" ht="25.5" x14ac:dyDescent="0.2">
      <c r="A20" s="121">
        <v>14</v>
      </c>
      <c r="B20" s="122" t="s">
        <v>353</v>
      </c>
      <c r="C20" s="122" t="s">
        <v>354</v>
      </c>
      <c r="D20" s="122" t="s">
        <v>205</v>
      </c>
      <c r="E20" s="123">
        <v>600000</v>
      </c>
      <c r="F20" s="124">
        <v>11560.2</v>
      </c>
      <c r="G20" s="125">
        <v>1.5928109999999999E-2</v>
      </c>
      <c r="H20" s="120" t="s">
        <v>151</v>
      </c>
      <c r="J20" s="8"/>
    </row>
    <row r="21" spans="1:10" x14ac:dyDescent="0.2">
      <c r="A21" s="121">
        <v>15</v>
      </c>
      <c r="B21" s="122" t="s">
        <v>242</v>
      </c>
      <c r="C21" s="122" t="s">
        <v>243</v>
      </c>
      <c r="D21" s="122" t="s">
        <v>200</v>
      </c>
      <c r="E21" s="123">
        <v>140000</v>
      </c>
      <c r="F21" s="124">
        <v>11340.98</v>
      </c>
      <c r="G21" s="125">
        <v>1.5626060000000001E-2</v>
      </c>
      <c r="H21" s="120" t="s">
        <v>151</v>
      </c>
      <c r="J21" s="8"/>
    </row>
    <row r="22" spans="1:10" ht="15" x14ac:dyDescent="0.2">
      <c r="A22" s="121">
        <v>16</v>
      </c>
      <c r="B22" s="122" t="s">
        <v>355</v>
      </c>
      <c r="C22" s="122" t="s">
        <v>356</v>
      </c>
      <c r="D22" s="122" t="s">
        <v>216</v>
      </c>
      <c r="E22" s="123">
        <v>265000</v>
      </c>
      <c r="F22" s="124">
        <v>11311.525</v>
      </c>
      <c r="G22" s="125">
        <v>1.5585480000000001E-2</v>
      </c>
      <c r="H22" s="120" t="s">
        <v>151</v>
      </c>
      <c r="J22" s="11"/>
    </row>
    <row r="23" spans="1:10" x14ac:dyDescent="0.2">
      <c r="A23" s="121">
        <v>17</v>
      </c>
      <c r="B23" s="122" t="s">
        <v>214</v>
      </c>
      <c r="C23" s="122" t="s">
        <v>215</v>
      </c>
      <c r="D23" s="122" t="s">
        <v>216</v>
      </c>
      <c r="E23" s="123">
        <v>207000</v>
      </c>
      <c r="F23" s="124">
        <v>11282.328</v>
      </c>
      <c r="G23" s="125">
        <v>1.554525E-2</v>
      </c>
      <c r="H23" s="120" t="s">
        <v>151</v>
      </c>
      <c r="J23" s="8"/>
    </row>
    <row r="24" spans="1:10" x14ac:dyDescent="0.2">
      <c r="A24" s="121">
        <v>18</v>
      </c>
      <c r="B24" s="122" t="s">
        <v>357</v>
      </c>
      <c r="C24" s="122" t="s">
        <v>358</v>
      </c>
      <c r="D24" s="122" t="s">
        <v>261</v>
      </c>
      <c r="E24" s="123">
        <v>1687500</v>
      </c>
      <c r="F24" s="124">
        <v>10231.3125</v>
      </c>
      <c r="G24" s="125">
        <v>1.4097119999999999E-2</v>
      </c>
      <c r="H24" s="120" t="s">
        <v>151</v>
      </c>
      <c r="J24" s="8"/>
    </row>
    <row r="25" spans="1:10" x14ac:dyDescent="0.2">
      <c r="A25" s="121">
        <v>19</v>
      </c>
      <c r="B25" s="122" t="s">
        <v>359</v>
      </c>
      <c r="C25" s="122" t="s">
        <v>360</v>
      </c>
      <c r="D25" s="122" t="s">
        <v>361</v>
      </c>
      <c r="E25" s="123">
        <v>1350000</v>
      </c>
      <c r="F25" s="124">
        <v>10208.700000000001</v>
      </c>
      <c r="G25" s="125">
        <v>1.4065960000000001E-2</v>
      </c>
      <c r="H25" s="120" t="s">
        <v>151</v>
      </c>
      <c r="J25" s="8"/>
    </row>
    <row r="26" spans="1:10" x14ac:dyDescent="0.2">
      <c r="A26" s="121">
        <v>20</v>
      </c>
      <c r="B26" s="122" t="s">
        <v>217</v>
      </c>
      <c r="C26" s="122" t="s">
        <v>218</v>
      </c>
      <c r="D26" s="122" t="s">
        <v>45</v>
      </c>
      <c r="E26" s="123">
        <v>530000</v>
      </c>
      <c r="F26" s="124">
        <v>10028.66</v>
      </c>
      <c r="G26" s="125">
        <v>1.3817899999999999E-2</v>
      </c>
      <c r="H26" s="120" t="s">
        <v>151</v>
      </c>
      <c r="J26" s="8"/>
    </row>
    <row r="27" spans="1:10" ht="25.5" x14ac:dyDescent="0.2">
      <c r="A27" s="121">
        <v>21</v>
      </c>
      <c r="B27" s="122" t="s">
        <v>196</v>
      </c>
      <c r="C27" s="122" t="s">
        <v>197</v>
      </c>
      <c r="D27" s="122" t="s">
        <v>70</v>
      </c>
      <c r="E27" s="123">
        <v>230000</v>
      </c>
      <c r="F27" s="124">
        <v>9972.9150000000009</v>
      </c>
      <c r="G27" s="125">
        <v>1.3741089999999999E-2</v>
      </c>
      <c r="H27" s="120" t="s">
        <v>151</v>
      </c>
      <c r="J27" s="8" t="s">
        <v>902</v>
      </c>
    </row>
    <row r="28" spans="1:10" x14ac:dyDescent="0.2">
      <c r="A28" s="121">
        <v>22</v>
      </c>
      <c r="B28" s="122" t="s">
        <v>362</v>
      </c>
      <c r="C28" s="122" t="s">
        <v>363</v>
      </c>
      <c r="D28" s="122" t="s">
        <v>241</v>
      </c>
      <c r="E28" s="123">
        <v>167500</v>
      </c>
      <c r="F28" s="124">
        <v>9481.0025000000005</v>
      </c>
      <c r="G28" s="125">
        <v>1.306331E-2</v>
      </c>
      <c r="H28" s="120" t="s">
        <v>151</v>
      </c>
      <c r="J28" s="8"/>
    </row>
    <row r="29" spans="1:10" x14ac:dyDescent="0.2">
      <c r="A29" s="121">
        <v>23</v>
      </c>
      <c r="B29" s="122" t="s">
        <v>259</v>
      </c>
      <c r="C29" s="122" t="s">
        <v>260</v>
      </c>
      <c r="D29" s="122" t="s">
        <v>261</v>
      </c>
      <c r="E29" s="123">
        <v>427342</v>
      </c>
      <c r="F29" s="124">
        <v>9296.6115389999995</v>
      </c>
      <c r="G29" s="125">
        <v>1.2809249999999999E-2</v>
      </c>
      <c r="H29" s="120" t="s">
        <v>151</v>
      </c>
      <c r="J29" s="8"/>
    </row>
    <row r="30" spans="1:10" x14ac:dyDescent="0.2">
      <c r="A30" s="121">
        <v>24</v>
      </c>
      <c r="B30" s="122" t="s">
        <v>262</v>
      </c>
      <c r="C30" s="122" t="s">
        <v>263</v>
      </c>
      <c r="D30" s="122" t="s">
        <v>70</v>
      </c>
      <c r="E30" s="123">
        <v>1650000</v>
      </c>
      <c r="F30" s="124">
        <v>9039.5249999999996</v>
      </c>
      <c r="G30" s="125">
        <v>1.2455020000000001E-2</v>
      </c>
      <c r="H30" s="120" t="s">
        <v>151</v>
      </c>
      <c r="J30" s="8"/>
    </row>
    <row r="31" spans="1:10" x14ac:dyDescent="0.2">
      <c r="A31" s="121">
        <v>25</v>
      </c>
      <c r="B31" s="122" t="s">
        <v>250</v>
      </c>
      <c r="C31" s="122" t="s">
        <v>251</v>
      </c>
      <c r="D31" s="122" t="s">
        <v>216</v>
      </c>
      <c r="E31" s="123">
        <v>295000</v>
      </c>
      <c r="F31" s="124">
        <v>8880.68</v>
      </c>
      <c r="G31" s="125">
        <v>1.2236159999999999E-2</v>
      </c>
      <c r="H31" s="120" t="s">
        <v>151</v>
      </c>
      <c r="J31" s="8"/>
    </row>
    <row r="32" spans="1:10" ht="25.5" x14ac:dyDescent="0.2">
      <c r="A32" s="121">
        <v>26</v>
      </c>
      <c r="B32" s="122" t="s">
        <v>23</v>
      </c>
      <c r="C32" s="122" t="s">
        <v>24</v>
      </c>
      <c r="D32" s="122" t="s">
        <v>25</v>
      </c>
      <c r="E32" s="123">
        <v>75000</v>
      </c>
      <c r="F32" s="124">
        <v>8851.5</v>
      </c>
      <c r="G32" s="125">
        <v>1.219596E-2</v>
      </c>
      <c r="H32" s="120" t="s">
        <v>151</v>
      </c>
      <c r="J32" s="8"/>
    </row>
    <row r="33" spans="1:10" ht="25.5" x14ac:dyDescent="0.2">
      <c r="A33" s="121">
        <v>27</v>
      </c>
      <c r="B33" s="122" t="s">
        <v>275</v>
      </c>
      <c r="C33" s="122" t="s">
        <v>276</v>
      </c>
      <c r="D33" s="122" t="s">
        <v>121</v>
      </c>
      <c r="E33" s="123">
        <v>550000</v>
      </c>
      <c r="F33" s="124">
        <v>8844</v>
      </c>
      <c r="G33" s="125">
        <v>1.2185619999999999E-2</v>
      </c>
      <c r="H33" s="120" t="s">
        <v>151</v>
      </c>
      <c r="J33" s="8"/>
    </row>
    <row r="34" spans="1:10" x14ac:dyDescent="0.2">
      <c r="A34" s="121">
        <v>28</v>
      </c>
      <c r="B34" s="122" t="s">
        <v>41</v>
      </c>
      <c r="C34" s="122" t="s">
        <v>42</v>
      </c>
      <c r="D34" s="122" t="s">
        <v>16</v>
      </c>
      <c r="E34" s="123">
        <v>600000</v>
      </c>
      <c r="F34" s="124">
        <v>8661</v>
      </c>
      <c r="G34" s="125">
        <v>1.193348E-2</v>
      </c>
      <c r="H34" s="120" t="s">
        <v>151</v>
      </c>
      <c r="J34" s="8"/>
    </row>
    <row r="35" spans="1:10" ht="25.5" x14ac:dyDescent="0.2">
      <c r="A35" s="121">
        <v>29</v>
      </c>
      <c r="B35" s="122" t="s">
        <v>229</v>
      </c>
      <c r="C35" s="122" t="s">
        <v>230</v>
      </c>
      <c r="D35" s="122" t="s">
        <v>205</v>
      </c>
      <c r="E35" s="123">
        <v>140000</v>
      </c>
      <c r="F35" s="124">
        <v>8473.92</v>
      </c>
      <c r="G35" s="125">
        <v>1.1675710000000001E-2</v>
      </c>
      <c r="H35" s="120" t="s">
        <v>151</v>
      </c>
      <c r="J35" s="8"/>
    </row>
    <row r="36" spans="1:10" x14ac:dyDescent="0.2">
      <c r="A36" s="121">
        <v>30</v>
      </c>
      <c r="B36" s="122" t="s">
        <v>252</v>
      </c>
      <c r="C36" s="122" t="s">
        <v>253</v>
      </c>
      <c r="D36" s="122" t="s">
        <v>211</v>
      </c>
      <c r="E36" s="123">
        <v>850000</v>
      </c>
      <c r="F36" s="124">
        <v>8378.875</v>
      </c>
      <c r="G36" s="125">
        <v>1.1544749999999999E-2</v>
      </c>
      <c r="H36" s="120" t="s">
        <v>151</v>
      </c>
      <c r="J36" s="8"/>
    </row>
    <row r="37" spans="1:10" x14ac:dyDescent="0.2">
      <c r="A37" s="121">
        <v>31</v>
      </c>
      <c r="B37" s="122" t="s">
        <v>266</v>
      </c>
      <c r="C37" s="122" t="s">
        <v>267</v>
      </c>
      <c r="D37" s="122" t="s">
        <v>32</v>
      </c>
      <c r="E37" s="123">
        <v>120000</v>
      </c>
      <c r="F37" s="124">
        <v>8346.24</v>
      </c>
      <c r="G37" s="125">
        <v>1.1499789999999999E-2</v>
      </c>
      <c r="H37" s="120" t="s">
        <v>151</v>
      </c>
      <c r="J37" s="8"/>
    </row>
    <row r="38" spans="1:10" x14ac:dyDescent="0.2">
      <c r="A38" s="121">
        <v>32</v>
      </c>
      <c r="B38" s="122" t="s">
        <v>201</v>
      </c>
      <c r="C38" s="122" t="s">
        <v>202</v>
      </c>
      <c r="D38" s="122" t="s">
        <v>48</v>
      </c>
      <c r="E38" s="123">
        <v>4200000</v>
      </c>
      <c r="F38" s="124">
        <v>8262.66</v>
      </c>
      <c r="G38" s="125">
        <v>1.138463E-2</v>
      </c>
      <c r="H38" s="120" t="s">
        <v>151</v>
      </c>
      <c r="J38" s="8"/>
    </row>
    <row r="39" spans="1:10" x14ac:dyDescent="0.2">
      <c r="A39" s="121">
        <v>33</v>
      </c>
      <c r="B39" s="122" t="s">
        <v>334</v>
      </c>
      <c r="C39" s="122" t="s">
        <v>335</v>
      </c>
      <c r="D39" s="122" t="s">
        <v>238</v>
      </c>
      <c r="E39" s="123">
        <v>1200000</v>
      </c>
      <c r="F39" s="124">
        <v>8216.4</v>
      </c>
      <c r="G39" s="125">
        <v>1.132089E-2</v>
      </c>
      <c r="H39" s="120" t="s">
        <v>151</v>
      </c>
      <c r="J39" s="8"/>
    </row>
    <row r="40" spans="1:10" x14ac:dyDescent="0.2">
      <c r="A40" s="121">
        <v>34</v>
      </c>
      <c r="B40" s="122" t="s">
        <v>236</v>
      </c>
      <c r="C40" s="122" t="s">
        <v>237</v>
      </c>
      <c r="D40" s="122" t="s">
        <v>238</v>
      </c>
      <c r="E40" s="123">
        <v>1200000</v>
      </c>
      <c r="F40" s="124">
        <v>8182.8</v>
      </c>
      <c r="G40" s="125">
        <v>1.1274589999999999E-2</v>
      </c>
      <c r="H40" s="120" t="s">
        <v>151</v>
      </c>
      <c r="J40" s="8"/>
    </row>
    <row r="41" spans="1:10" ht="25.5" x14ac:dyDescent="0.2">
      <c r="A41" s="121">
        <v>35</v>
      </c>
      <c r="B41" s="122" t="s">
        <v>308</v>
      </c>
      <c r="C41" s="122" t="s">
        <v>309</v>
      </c>
      <c r="D41" s="122" t="s">
        <v>208</v>
      </c>
      <c r="E41" s="123">
        <v>174000</v>
      </c>
      <c r="F41" s="124">
        <v>8101.0050000000001</v>
      </c>
      <c r="G41" s="125">
        <v>1.1161890000000001E-2</v>
      </c>
      <c r="H41" s="120" t="s">
        <v>151</v>
      </c>
      <c r="J41" s="8"/>
    </row>
    <row r="42" spans="1:10" x14ac:dyDescent="0.2">
      <c r="A42" s="121">
        <v>36</v>
      </c>
      <c r="B42" s="122" t="s">
        <v>364</v>
      </c>
      <c r="C42" s="122" t="s">
        <v>365</v>
      </c>
      <c r="D42" s="122" t="s">
        <v>270</v>
      </c>
      <c r="E42" s="123">
        <v>825000</v>
      </c>
      <c r="F42" s="124">
        <v>8040.8625000000002</v>
      </c>
      <c r="G42" s="125">
        <v>1.107903E-2</v>
      </c>
      <c r="H42" s="120" t="s">
        <v>151</v>
      </c>
      <c r="J42" s="8"/>
    </row>
    <row r="43" spans="1:10" x14ac:dyDescent="0.2">
      <c r="A43" s="121">
        <v>37</v>
      </c>
      <c r="B43" s="122" t="s">
        <v>366</v>
      </c>
      <c r="C43" s="122" t="s">
        <v>367</v>
      </c>
      <c r="D43" s="122" t="s">
        <v>368</v>
      </c>
      <c r="E43" s="123">
        <v>1545000</v>
      </c>
      <c r="F43" s="124">
        <v>8005.4174999999996</v>
      </c>
      <c r="G43" s="125">
        <v>1.103019E-2</v>
      </c>
      <c r="H43" s="120" t="s">
        <v>151</v>
      </c>
      <c r="J43" s="8"/>
    </row>
    <row r="44" spans="1:10" x14ac:dyDescent="0.2">
      <c r="A44" s="121">
        <v>38</v>
      </c>
      <c r="B44" s="122" t="s">
        <v>209</v>
      </c>
      <c r="C44" s="122" t="s">
        <v>210</v>
      </c>
      <c r="D44" s="122" t="s">
        <v>211</v>
      </c>
      <c r="E44" s="123">
        <v>1300000</v>
      </c>
      <c r="F44" s="124">
        <v>7996.3</v>
      </c>
      <c r="G44" s="125">
        <v>1.101763E-2</v>
      </c>
      <c r="H44" s="120" t="s">
        <v>151</v>
      </c>
      <c r="J44" s="8"/>
    </row>
    <row r="45" spans="1:10" x14ac:dyDescent="0.2">
      <c r="A45" s="121">
        <v>39</v>
      </c>
      <c r="B45" s="122" t="s">
        <v>227</v>
      </c>
      <c r="C45" s="122" t="s">
        <v>228</v>
      </c>
      <c r="D45" s="122" t="s">
        <v>22</v>
      </c>
      <c r="E45" s="123">
        <v>1795775</v>
      </c>
      <c r="F45" s="124">
        <v>7911.2867624999999</v>
      </c>
      <c r="G45" s="125">
        <v>1.0900490000000001E-2</v>
      </c>
      <c r="H45" s="120" t="s">
        <v>151</v>
      </c>
      <c r="J45" s="8"/>
    </row>
    <row r="46" spans="1:10" ht="25.5" x14ac:dyDescent="0.2">
      <c r="A46" s="121">
        <v>40</v>
      </c>
      <c r="B46" s="122" t="s">
        <v>369</v>
      </c>
      <c r="C46" s="122" t="s">
        <v>370</v>
      </c>
      <c r="D46" s="122" t="s">
        <v>205</v>
      </c>
      <c r="E46" s="123">
        <v>115000</v>
      </c>
      <c r="F46" s="124">
        <v>7764.34</v>
      </c>
      <c r="G46" s="125">
        <v>1.0698020000000001E-2</v>
      </c>
      <c r="H46" s="120" t="s">
        <v>151</v>
      </c>
      <c r="J46" s="8"/>
    </row>
    <row r="47" spans="1:10" x14ac:dyDescent="0.2">
      <c r="A47" s="121">
        <v>41</v>
      </c>
      <c r="B47" s="122" t="s">
        <v>33</v>
      </c>
      <c r="C47" s="122" t="s">
        <v>34</v>
      </c>
      <c r="D47" s="122" t="s">
        <v>35</v>
      </c>
      <c r="E47" s="123">
        <v>160000</v>
      </c>
      <c r="F47" s="124">
        <v>7694.56</v>
      </c>
      <c r="G47" s="125">
        <v>1.0601879999999999E-2</v>
      </c>
      <c r="H47" s="120" t="s">
        <v>151</v>
      </c>
      <c r="J47" s="8"/>
    </row>
    <row r="48" spans="1:10" x14ac:dyDescent="0.2">
      <c r="A48" s="121">
        <v>42</v>
      </c>
      <c r="B48" s="122" t="s">
        <v>310</v>
      </c>
      <c r="C48" s="122" t="s">
        <v>311</v>
      </c>
      <c r="D48" s="122" t="s">
        <v>70</v>
      </c>
      <c r="E48" s="123">
        <v>1030000</v>
      </c>
      <c r="F48" s="124">
        <v>7657.02</v>
      </c>
      <c r="G48" s="125">
        <v>1.0550149999999999E-2</v>
      </c>
      <c r="H48" s="120" t="s">
        <v>151</v>
      </c>
      <c r="J48" s="8"/>
    </row>
    <row r="49" spans="1:10" x14ac:dyDescent="0.2">
      <c r="A49" s="121">
        <v>43</v>
      </c>
      <c r="B49" s="122" t="s">
        <v>130</v>
      </c>
      <c r="C49" s="122" t="s">
        <v>131</v>
      </c>
      <c r="D49" s="122" t="s">
        <v>55</v>
      </c>
      <c r="E49" s="123">
        <v>93000</v>
      </c>
      <c r="F49" s="124">
        <v>7491.15</v>
      </c>
      <c r="G49" s="125">
        <v>1.032161E-2</v>
      </c>
      <c r="H49" s="120" t="s">
        <v>151</v>
      </c>
      <c r="J49" s="8"/>
    </row>
    <row r="50" spans="1:10" x14ac:dyDescent="0.2">
      <c r="A50" s="121">
        <v>44</v>
      </c>
      <c r="B50" s="122" t="s">
        <v>28</v>
      </c>
      <c r="C50" s="122" t="s">
        <v>29</v>
      </c>
      <c r="D50" s="122" t="s">
        <v>22</v>
      </c>
      <c r="E50" s="123">
        <v>2012000</v>
      </c>
      <c r="F50" s="124">
        <v>7443.3940000000002</v>
      </c>
      <c r="G50" s="125">
        <v>1.0255810000000001E-2</v>
      </c>
      <c r="H50" s="120" t="s">
        <v>151</v>
      </c>
      <c r="J50" s="8"/>
    </row>
    <row r="51" spans="1:10" x14ac:dyDescent="0.2">
      <c r="A51" s="121">
        <v>45</v>
      </c>
      <c r="B51" s="122" t="s">
        <v>371</v>
      </c>
      <c r="C51" s="122" t="s">
        <v>372</v>
      </c>
      <c r="D51" s="122" t="s">
        <v>270</v>
      </c>
      <c r="E51" s="123">
        <v>130000</v>
      </c>
      <c r="F51" s="124">
        <v>7426.12</v>
      </c>
      <c r="G51" s="125">
        <v>1.023201E-2</v>
      </c>
      <c r="H51" s="120" t="s">
        <v>151</v>
      </c>
      <c r="J51" s="8"/>
    </row>
    <row r="52" spans="1:10" x14ac:dyDescent="0.2">
      <c r="A52" s="121">
        <v>46</v>
      </c>
      <c r="B52" s="122" t="s">
        <v>105</v>
      </c>
      <c r="C52" s="122" t="s">
        <v>106</v>
      </c>
      <c r="D52" s="122" t="s">
        <v>32</v>
      </c>
      <c r="E52" s="123">
        <v>195000</v>
      </c>
      <c r="F52" s="124">
        <v>7421.7974999999997</v>
      </c>
      <c r="G52" s="125">
        <v>1.022605E-2</v>
      </c>
      <c r="H52" s="120" t="s">
        <v>151</v>
      </c>
      <c r="J52" s="8"/>
    </row>
    <row r="53" spans="1:10" x14ac:dyDescent="0.2">
      <c r="A53" s="121">
        <v>47</v>
      </c>
      <c r="B53" s="122" t="s">
        <v>373</v>
      </c>
      <c r="C53" s="122" t="s">
        <v>374</v>
      </c>
      <c r="D53" s="122" t="s">
        <v>375</v>
      </c>
      <c r="E53" s="123">
        <v>269524</v>
      </c>
      <c r="F53" s="124">
        <v>7278.4956199999997</v>
      </c>
      <c r="G53" s="125">
        <v>1.002861E-2</v>
      </c>
      <c r="H53" s="120" t="s">
        <v>151</v>
      </c>
      <c r="J53" s="8"/>
    </row>
    <row r="54" spans="1:10" x14ac:dyDescent="0.2">
      <c r="A54" s="121">
        <v>48</v>
      </c>
      <c r="B54" s="122" t="s">
        <v>128</v>
      </c>
      <c r="C54" s="122" t="s">
        <v>129</v>
      </c>
      <c r="D54" s="122" t="s">
        <v>70</v>
      </c>
      <c r="E54" s="123">
        <v>176000</v>
      </c>
      <c r="F54" s="124">
        <v>6888.1120000000001</v>
      </c>
      <c r="G54" s="125">
        <v>9.4907199999999994E-3</v>
      </c>
      <c r="H54" s="120" t="s">
        <v>151</v>
      </c>
      <c r="J54" s="8"/>
    </row>
    <row r="55" spans="1:10" x14ac:dyDescent="0.2">
      <c r="A55" s="121">
        <v>49</v>
      </c>
      <c r="B55" s="122" t="s">
        <v>75</v>
      </c>
      <c r="C55" s="122" t="s">
        <v>76</v>
      </c>
      <c r="D55" s="122" t="s">
        <v>32</v>
      </c>
      <c r="E55" s="123">
        <v>550300</v>
      </c>
      <c r="F55" s="124">
        <v>6764.8379000000004</v>
      </c>
      <c r="G55" s="125">
        <v>9.3208700000000002E-3</v>
      </c>
      <c r="H55" s="120" t="s">
        <v>151</v>
      </c>
      <c r="J55" s="8"/>
    </row>
    <row r="56" spans="1:10" x14ac:dyDescent="0.2">
      <c r="A56" s="121">
        <v>50</v>
      </c>
      <c r="B56" s="122" t="s">
        <v>376</v>
      </c>
      <c r="C56" s="122" t="s">
        <v>377</v>
      </c>
      <c r="D56" s="122" t="s">
        <v>35</v>
      </c>
      <c r="E56" s="123">
        <v>500000</v>
      </c>
      <c r="F56" s="124">
        <v>6378.25</v>
      </c>
      <c r="G56" s="125">
        <v>8.7882099999999994E-3</v>
      </c>
      <c r="H56" s="120" t="s">
        <v>151</v>
      </c>
      <c r="J56" s="8"/>
    </row>
    <row r="57" spans="1:10" x14ac:dyDescent="0.2">
      <c r="A57" s="121">
        <v>51</v>
      </c>
      <c r="B57" s="122" t="s">
        <v>141</v>
      </c>
      <c r="C57" s="122" t="s">
        <v>142</v>
      </c>
      <c r="D57" s="122" t="s">
        <v>55</v>
      </c>
      <c r="E57" s="123">
        <v>2250000</v>
      </c>
      <c r="F57" s="124">
        <v>6293.25</v>
      </c>
      <c r="G57" s="125">
        <v>8.6710999999999993E-3</v>
      </c>
      <c r="H57" s="120" t="s">
        <v>151</v>
      </c>
      <c r="J57" s="8"/>
    </row>
    <row r="58" spans="1:10" x14ac:dyDescent="0.2">
      <c r="A58" s="121">
        <v>52</v>
      </c>
      <c r="B58" s="122" t="s">
        <v>378</v>
      </c>
      <c r="C58" s="122" t="s">
        <v>379</v>
      </c>
      <c r="D58" s="122" t="s">
        <v>368</v>
      </c>
      <c r="E58" s="123">
        <v>210000</v>
      </c>
      <c r="F58" s="124">
        <v>6212.43</v>
      </c>
      <c r="G58" s="125">
        <v>8.5597399999999997E-3</v>
      </c>
      <c r="H58" s="120" t="s">
        <v>151</v>
      </c>
      <c r="J58" s="8"/>
    </row>
    <row r="59" spans="1:10" ht="25.5" x14ac:dyDescent="0.2">
      <c r="A59" s="121">
        <v>53</v>
      </c>
      <c r="B59" s="122" t="s">
        <v>380</v>
      </c>
      <c r="C59" s="122" t="s">
        <v>381</v>
      </c>
      <c r="D59" s="122" t="s">
        <v>205</v>
      </c>
      <c r="E59" s="123">
        <v>425000</v>
      </c>
      <c r="F59" s="124">
        <v>6207.9750000000004</v>
      </c>
      <c r="G59" s="125">
        <v>8.5535999999999997E-3</v>
      </c>
      <c r="H59" s="120" t="s">
        <v>151</v>
      </c>
      <c r="J59" s="8"/>
    </row>
    <row r="60" spans="1:10" x14ac:dyDescent="0.2">
      <c r="A60" s="121">
        <v>54</v>
      </c>
      <c r="B60" s="122" t="s">
        <v>382</v>
      </c>
      <c r="C60" s="122" t="s">
        <v>383</v>
      </c>
      <c r="D60" s="122" t="s">
        <v>38</v>
      </c>
      <c r="E60" s="123">
        <v>140000</v>
      </c>
      <c r="F60" s="124">
        <v>6188.91</v>
      </c>
      <c r="G60" s="125">
        <v>8.5273299999999996E-3</v>
      </c>
      <c r="H60" s="120" t="s">
        <v>151</v>
      </c>
      <c r="J60" s="8"/>
    </row>
    <row r="61" spans="1:10" x14ac:dyDescent="0.2">
      <c r="A61" s="121">
        <v>55</v>
      </c>
      <c r="B61" s="122" t="s">
        <v>119</v>
      </c>
      <c r="C61" s="122" t="s">
        <v>120</v>
      </c>
      <c r="D61" s="122" t="s">
        <v>121</v>
      </c>
      <c r="E61" s="123">
        <v>1100000</v>
      </c>
      <c r="F61" s="124">
        <v>6099.5</v>
      </c>
      <c r="G61" s="125">
        <v>8.4041399999999992E-3</v>
      </c>
      <c r="H61" s="120" t="s">
        <v>151</v>
      </c>
      <c r="J61" s="8"/>
    </row>
    <row r="62" spans="1:10" x14ac:dyDescent="0.2">
      <c r="A62" s="121">
        <v>56</v>
      </c>
      <c r="B62" s="122" t="s">
        <v>296</v>
      </c>
      <c r="C62" s="122" t="s">
        <v>297</v>
      </c>
      <c r="D62" s="122" t="s">
        <v>45</v>
      </c>
      <c r="E62" s="123">
        <v>329000</v>
      </c>
      <c r="F62" s="124">
        <v>6070.8725000000004</v>
      </c>
      <c r="G62" s="125">
        <v>8.3646899999999993E-3</v>
      </c>
      <c r="H62" s="120" t="s">
        <v>151</v>
      </c>
      <c r="J62" s="8"/>
    </row>
    <row r="63" spans="1:10" x14ac:dyDescent="0.2">
      <c r="A63" s="121">
        <v>57</v>
      </c>
      <c r="B63" s="122" t="s">
        <v>384</v>
      </c>
      <c r="C63" s="122" t="s">
        <v>385</v>
      </c>
      <c r="D63" s="122" t="s">
        <v>134</v>
      </c>
      <c r="E63" s="123">
        <v>3600000</v>
      </c>
      <c r="F63" s="124">
        <v>6067.8</v>
      </c>
      <c r="G63" s="125">
        <v>8.3604600000000001E-3</v>
      </c>
      <c r="H63" s="120" t="s">
        <v>151</v>
      </c>
      <c r="J63" s="8"/>
    </row>
    <row r="64" spans="1:10" x14ac:dyDescent="0.2">
      <c r="A64" s="121">
        <v>58</v>
      </c>
      <c r="B64" s="122" t="s">
        <v>194</v>
      </c>
      <c r="C64" s="122" t="s">
        <v>195</v>
      </c>
      <c r="D64" s="122" t="s">
        <v>35</v>
      </c>
      <c r="E64" s="123">
        <v>829572</v>
      </c>
      <c r="F64" s="124">
        <v>6057.9495299999999</v>
      </c>
      <c r="G64" s="125">
        <v>8.3468899999999992E-3</v>
      </c>
      <c r="H64" s="120" t="s">
        <v>151</v>
      </c>
      <c r="J64" s="8"/>
    </row>
    <row r="65" spans="1:10" x14ac:dyDescent="0.2">
      <c r="A65" s="121">
        <v>59</v>
      </c>
      <c r="B65" s="122" t="s">
        <v>293</v>
      </c>
      <c r="C65" s="122" t="s">
        <v>294</v>
      </c>
      <c r="D65" s="122" t="s">
        <v>295</v>
      </c>
      <c r="E65" s="123">
        <v>501344</v>
      </c>
      <c r="F65" s="124">
        <v>5971.0070400000004</v>
      </c>
      <c r="G65" s="125">
        <v>8.2270999999999993E-3</v>
      </c>
      <c r="H65" s="120" t="s">
        <v>151</v>
      </c>
      <c r="J65" s="8"/>
    </row>
    <row r="66" spans="1:10" x14ac:dyDescent="0.2">
      <c r="A66" s="121">
        <v>60</v>
      </c>
      <c r="B66" s="122" t="s">
        <v>124</v>
      </c>
      <c r="C66" s="122" t="s">
        <v>125</v>
      </c>
      <c r="D66" s="122" t="s">
        <v>85</v>
      </c>
      <c r="E66" s="123">
        <v>1400000</v>
      </c>
      <c r="F66" s="124">
        <v>5950</v>
      </c>
      <c r="G66" s="125">
        <v>8.1981499999999995E-3</v>
      </c>
      <c r="H66" s="120" t="s">
        <v>151</v>
      </c>
      <c r="J66" s="8"/>
    </row>
    <row r="67" spans="1:10" ht="25.5" x14ac:dyDescent="0.2">
      <c r="A67" s="121">
        <v>61</v>
      </c>
      <c r="B67" s="122" t="s">
        <v>386</v>
      </c>
      <c r="C67" s="122" t="s">
        <v>387</v>
      </c>
      <c r="D67" s="122" t="s">
        <v>93</v>
      </c>
      <c r="E67" s="123">
        <v>1700000</v>
      </c>
      <c r="F67" s="124">
        <v>5866.7</v>
      </c>
      <c r="G67" s="125">
        <v>8.0833799999999994E-3</v>
      </c>
      <c r="H67" s="120" t="s">
        <v>151</v>
      </c>
      <c r="J67" s="8"/>
    </row>
    <row r="68" spans="1:10" x14ac:dyDescent="0.2">
      <c r="A68" s="121">
        <v>62</v>
      </c>
      <c r="B68" s="122" t="s">
        <v>53</v>
      </c>
      <c r="C68" s="122" t="s">
        <v>54</v>
      </c>
      <c r="D68" s="122" t="s">
        <v>55</v>
      </c>
      <c r="E68" s="123">
        <v>340000</v>
      </c>
      <c r="F68" s="124">
        <v>5715.4</v>
      </c>
      <c r="G68" s="125">
        <v>7.8749100000000006E-3</v>
      </c>
      <c r="H68" s="120" t="s">
        <v>151</v>
      </c>
      <c r="J68" s="8"/>
    </row>
    <row r="69" spans="1:10" x14ac:dyDescent="0.2">
      <c r="A69" s="121">
        <v>63</v>
      </c>
      <c r="B69" s="122" t="s">
        <v>126</v>
      </c>
      <c r="C69" s="122" t="s">
        <v>127</v>
      </c>
      <c r="D69" s="122" t="s">
        <v>55</v>
      </c>
      <c r="E69" s="123">
        <v>830000</v>
      </c>
      <c r="F69" s="124">
        <v>5684.67</v>
      </c>
      <c r="G69" s="125">
        <v>7.8325700000000005E-3</v>
      </c>
      <c r="H69" s="120" t="s">
        <v>151</v>
      </c>
      <c r="J69" s="8"/>
    </row>
    <row r="70" spans="1:10" ht="25.5" x14ac:dyDescent="0.2">
      <c r="A70" s="121">
        <v>64</v>
      </c>
      <c r="B70" s="122" t="s">
        <v>288</v>
      </c>
      <c r="C70" s="122" t="s">
        <v>289</v>
      </c>
      <c r="D70" s="122" t="s">
        <v>290</v>
      </c>
      <c r="E70" s="123">
        <v>814000</v>
      </c>
      <c r="F70" s="124">
        <v>5660.5559999999996</v>
      </c>
      <c r="G70" s="125">
        <v>7.7993400000000001E-3</v>
      </c>
      <c r="H70" s="120" t="s">
        <v>151</v>
      </c>
      <c r="J70" s="8"/>
    </row>
    <row r="71" spans="1:10" x14ac:dyDescent="0.2">
      <c r="A71" s="121">
        <v>65</v>
      </c>
      <c r="B71" s="122" t="s">
        <v>312</v>
      </c>
      <c r="C71" s="122" t="s">
        <v>313</v>
      </c>
      <c r="D71" s="122" t="s">
        <v>270</v>
      </c>
      <c r="E71" s="123">
        <v>5663245</v>
      </c>
      <c r="F71" s="124">
        <v>5641.7246690000002</v>
      </c>
      <c r="G71" s="125">
        <v>7.7733999999999998E-3</v>
      </c>
      <c r="H71" s="120" t="s">
        <v>151</v>
      </c>
      <c r="J71" s="8"/>
    </row>
    <row r="72" spans="1:10" x14ac:dyDescent="0.2">
      <c r="A72" s="121">
        <v>66</v>
      </c>
      <c r="B72" s="122" t="s">
        <v>328</v>
      </c>
      <c r="C72" s="122" t="s">
        <v>329</v>
      </c>
      <c r="D72" s="122" t="s">
        <v>70</v>
      </c>
      <c r="E72" s="123">
        <v>370000</v>
      </c>
      <c r="F72" s="124">
        <v>5611.42</v>
      </c>
      <c r="G72" s="125">
        <v>7.7316399999999997E-3</v>
      </c>
      <c r="H72" s="120" t="s">
        <v>151</v>
      </c>
      <c r="J72" s="8"/>
    </row>
    <row r="73" spans="1:10" x14ac:dyDescent="0.2">
      <c r="A73" s="121">
        <v>67</v>
      </c>
      <c r="B73" s="122" t="s">
        <v>388</v>
      </c>
      <c r="C73" s="122" t="s">
        <v>389</v>
      </c>
      <c r="D73" s="122" t="s">
        <v>35</v>
      </c>
      <c r="E73" s="123">
        <v>146498</v>
      </c>
      <c r="F73" s="124">
        <v>5602.0102710000001</v>
      </c>
      <c r="G73" s="125">
        <v>7.7186800000000003E-3</v>
      </c>
      <c r="H73" s="120" t="s">
        <v>151</v>
      </c>
      <c r="J73" s="8"/>
    </row>
    <row r="74" spans="1:10" x14ac:dyDescent="0.2">
      <c r="A74" s="121">
        <v>68</v>
      </c>
      <c r="B74" s="122" t="s">
        <v>316</v>
      </c>
      <c r="C74" s="122" t="s">
        <v>317</v>
      </c>
      <c r="D74" s="122" t="s">
        <v>211</v>
      </c>
      <c r="E74" s="123">
        <v>166500</v>
      </c>
      <c r="F74" s="124">
        <v>5498.9955</v>
      </c>
      <c r="G74" s="125">
        <v>7.5767400000000002E-3</v>
      </c>
      <c r="H74" s="120" t="s">
        <v>151</v>
      </c>
      <c r="J74" s="8"/>
    </row>
    <row r="75" spans="1:10" x14ac:dyDescent="0.2">
      <c r="A75" s="121">
        <v>69</v>
      </c>
      <c r="B75" s="122" t="s">
        <v>332</v>
      </c>
      <c r="C75" s="122" t="s">
        <v>333</v>
      </c>
      <c r="D75" s="122" t="s">
        <v>35</v>
      </c>
      <c r="E75" s="123">
        <v>346000</v>
      </c>
      <c r="F75" s="124">
        <v>5072.0140000000001</v>
      </c>
      <c r="G75" s="125">
        <v>6.9884300000000003E-3</v>
      </c>
      <c r="H75" s="120" t="s">
        <v>151</v>
      </c>
      <c r="J75" s="8"/>
    </row>
    <row r="76" spans="1:10" ht="51" x14ac:dyDescent="0.2">
      <c r="A76" s="121">
        <v>70</v>
      </c>
      <c r="B76" s="122" t="s">
        <v>390</v>
      </c>
      <c r="C76" s="122" t="s">
        <v>391</v>
      </c>
      <c r="D76" s="122" t="s">
        <v>392</v>
      </c>
      <c r="E76" s="123">
        <v>2100000</v>
      </c>
      <c r="F76" s="124">
        <v>4943.3999999999996</v>
      </c>
      <c r="G76" s="125">
        <v>6.8112199999999998E-3</v>
      </c>
      <c r="H76" s="120" t="s">
        <v>151</v>
      </c>
      <c r="J76" s="8"/>
    </row>
    <row r="77" spans="1:10" x14ac:dyDescent="0.2">
      <c r="A77" s="121">
        <v>71</v>
      </c>
      <c r="B77" s="122" t="s">
        <v>393</v>
      </c>
      <c r="C77" s="122" t="s">
        <v>394</v>
      </c>
      <c r="D77" s="122" t="s">
        <v>395</v>
      </c>
      <c r="E77" s="123">
        <v>300000</v>
      </c>
      <c r="F77" s="124">
        <v>4765.2</v>
      </c>
      <c r="G77" s="125">
        <v>6.5656899999999999E-3</v>
      </c>
      <c r="H77" s="120" t="s">
        <v>151</v>
      </c>
      <c r="J77" s="8"/>
    </row>
    <row r="78" spans="1:10" x14ac:dyDescent="0.2">
      <c r="A78" s="121">
        <v>72</v>
      </c>
      <c r="B78" s="122" t="s">
        <v>396</v>
      </c>
      <c r="C78" s="122" t="s">
        <v>397</v>
      </c>
      <c r="D78" s="122" t="s">
        <v>398</v>
      </c>
      <c r="E78" s="123">
        <v>11000</v>
      </c>
      <c r="F78" s="124">
        <v>4719.4620000000004</v>
      </c>
      <c r="G78" s="125">
        <v>6.5026700000000003E-3</v>
      </c>
      <c r="H78" s="120" t="s">
        <v>151</v>
      </c>
      <c r="J78" s="8"/>
    </row>
    <row r="79" spans="1:10" x14ac:dyDescent="0.2">
      <c r="A79" s="121">
        <v>73</v>
      </c>
      <c r="B79" s="122" t="s">
        <v>399</v>
      </c>
      <c r="C79" s="122" t="s">
        <v>400</v>
      </c>
      <c r="D79" s="122" t="s">
        <v>70</v>
      </c>
      <c r="E79" s="123">
        <v>328185</v>
      </c>
      <c r="F79" s="124">
        <v>4503.3545700000004</v>
      </c>
      <c r="G79" s="125">
        <v>6.2049100000000001E-3</v>
      </c>
      <c r="H79" s="120" t="s">
        <v>151</v>
      </c>
      <c r="J79" s="8"/>
    </row>
    <row r="80" spans="1:10" x14ac:dyDescent="0.2">
      <c r="A80" s="121">
        <v>74</v>
      </c>
      <c r="B80" s="122" t="s">
        <v>221</v>
      </c>
      <c r="C80" s="122" t="s">
        <v>222</v>
      </c>
      <c r="D80" s="122" t="s">
        <v>19</v>
      </c>
      <c r="E80" s="123">
        <v>235000</v>
      </c>
      <c r="F80" s="124">
        <v>4413.3</v>
      </c>
      <c r="G80" s="125">
        <v>6.0808199999999998E-3</v>
      </c>
      <c r="H80" s="120" t="s">
        <v>151</v>
      </c>
      <c r="J80" s="8"/>
    </row>
    <row r="81" spans="1:10" x14ac:dyDescent="0.2">
      <c r="A81" s="121">
        <v>75</v>
      </c>
      <c r="B81" s="122" t="s">
        <v>102</v>
      </c>
      <c r="C81" s="122" t="s">
        <v>103</v>
      </c>
      <c r="D81" s="122" t="s">
        <v>104</v>
      </c>
      <c r="E81" s="123">
        <v>825000</v>
      </c>
      <c r="F81" s="124">
        <v>4208.7375000000002</v>
      </c>
      <c r="G81" s="125">
        <v>5.7989699999999996E-3</v>
      </c>
      <c r="H81" s="120" t="s">
        <v>151</v>
      </c>
      <c r="J81" s="8"/>
    </row>
    <row r="82" spans="1:10" x14ac:dyDescent="0.2">
      <c r="A82" s="121">
        <v>76</v>
      </c>
      <c r="B82" s="122" t="s">
        <v>401</v>
      </c>
      <c r="C82" s="122" t="s">
        <v>402</v>
      </c>
      <c r="D82" s="122" t="s">
        <v>32</v>
      </c>
      <c r="E82" s="123">
        <v>456821</v>
      </c>
      <c r="F82" s="124">
        <v>3452.8815285000001</v>
      </c>
      <c r="G82" s="125">
        <v>4.7575200000000003E-3</v>
      </c>
      <c r="H82" s="120" t="s">
        <v>151</v>
      </c>
      <c r="J82" s="8"/>
    </row>
    <row r="83" spans="1:10" x14ac:dyDescent="0.2">
      <c r="A83" s="121">
        <v>77</v>
      </c>
      <c r="B83" s="122" t="s">
        <v>49</v>
      </c>
      <c r="C83" s="122" t="s">
        <v>50</v>
      </c>
      <c r="D83" s="122" t="s">
        <v>19</v>
      </c>
      <c r="E83" s="123">
        <v>650000</v>
      </c>
      <c r="F83" s="124">
        <v>3136.9</v>
      </c>
      <c r="G83" s="125">
        <v>4.3221500000000003E-3</v>
      </c>
      <c r="H83" s="120" t="s">
        <v>151</v>
      </c>
      <c r="J83" s="8"/>
    </row>
    <row r="84" spans="1:10" ht="25.5" x14ac:dyDescent="0.2">
      <c r="A84" s="121">
        <v>78</v>
      </c>
      <c r="B84" s="122" t="s">
        <v>403</v>
      </c>
      <c r="C84" s="122" t="s">
        <v>404</v>
      </c>
      <c r="D84" s="122" t="s">
        <v>25</v>
      </c>
      <c r="E84" s="123">
        <v>110660</v>
      </c>
      <c r="F84" s="124">
        <v>3093.5556299999998</v>
      </c>
      <c r="G84" s="125">
        <v>4.2624300000000002E-3</v>
      </c>
      <c r="H84" s="120" t="s">
        <v>151</v>
      </c>
      <c r="J84" s="8"/>
    </row>
    <row r="85" spans="1:10" x14ac:dyDescent="0.2">
      <c r="A85" s="121">
        <v>79</v>
      </c>
      <c r="B85" s="122" t="s">
        <v>248</v>
      </c>
      <c r="C85" s="122" t="s">
        <v>249</v>
      </c>
      <c r="D85" s="122" t="s">
        <v>121</v>
      </c>
      <c r="E85" s="123">
        <v>880000</v>
      </c>
      <c r="F85" s="124">
        <v>2977.48</v>
      </c>
      <c r="G85" s="125">
        <v>4.1024900000000003E-3</v>
      </c>
      <c r="H85" s="120" t="s">
        <v>151</v>
      </c>
      <c r="J85" s="8"/>
    </row>
    <row r="86" spans="1:10" x14ac:dyDescent="0.2">
      <c r="A86" s="121">
        <v>80</v>
      </c>
      <c r="B86" s="122" t="s">
        <v>405</v>
      </c>
      <c r="C86" s="122" t="s">
        <v>406</v>
      </c>
      <c r="D86" s="122" t="s">
        <v>121</v>
      </c>
      <c r="E86" s="123">
        <v>1429646</v>
      </c>
      <c r="F86" s="124">
        <v>2202.5126276000001</v>
      </c>
      <c r="G86" s="125">
        <v>3.0347099999999999E-3</v>
      </c>
      <c r="H86" s="120" t="s">
        <v>151</v>
      </c>
      <c r="J86" s="8"/>
    </row>
    <row r="87" spans="1:10" ht="25.5" x14ac:dyDescent="0.2">
      <c r="A87" s="121">
        <v>81</v>
      </c>
      <c r="B87" s="122" t="s">
        <v>231</v>
      </c>
      <c r="C87" s="122" t="s">
        <v>232</v>
      </c>
      <c r="D87" s="122" t="s">
        <v>233</v>
      </c>
      <c r="E87" s="123">
        <v>50000</v>
      </c>
      <c r="F87" s="124">
        <v>809.97500000000002</v>
      </c>
      <c r="G87" s="125">
        <v>1.1160199999999999E-3</v>
      </c>
      <c r="H87" s="120" t="s">
        <v>151</v>
      </c>
      <c r="J87" s="8"/>
    </row>
    <row r="88" spans="1:10" x14ac:dyDescent="0.2">
      <c r="A88" s="118"/>
      <c r="B88" s="118"/>
      <c r="C88" s="119" t="s">
        <v>150</v>
      </c>
      <c r="D88" s="118"/>
      <c r="E88" s="118" t="s">
        <v>151</v>
      </c>
      <c r="F88" s="126">
        <v>704514.12740510004</v>
      </c>
      <c r="G88" s="127">
        <v>0.97070818999999997</v>
      </c>
      <c r="H88" s="120" t="s">
        <v>151</v>
      </c>
      <c r="J88" s="8"/>
    </row>
    <row r="89" spans="1:10" x14ac:dyDescent="0.2">
      <c r="A89" s="118"/>
      <c r="B89" s="118"/>
      <c r="C89" s="128"/>
      <c r="D89" s="118"/>
      <c r="E89" s="118"/>
      <c r="F89" s="129"/>
      <c r="G89" s="129"/>
      <c r="H89" s="120" t="s">
        <v>151</v>
      </c>
      <c r="J89" s="8"/>
    </row>
    <row r="90" spans="1:10" x14ac:dyDescent="0.2">
      <c r="A90" s="118"/>
      <c r="B90" s="118"/>
      <c r="C90" s="119" t="s">
        <v>152</v>
      </c>
      <c r="D90" s="118"/>
      <c r="E90" s="118"/>
      <c r="F90" s="118"/>
      <c r="G90" s="118"/>
      <c r="H90" s="120" t="s">
        <v>151</v>
      </c>
      <c r="J90" s="8"/>
    </row>
    <row r="91" spans="1:10" x14ac:dyDescent="0.2">
      <c r="A91" s="118"/>
      <c r="B91" s="118"/>
      <c r="C91" s="119" t="s">
        <v>150</v>
      </c>
      <c r="D91" s="118"/>
      <c r="E91" s="118" t="s">
        <v>151</v>
      </c>
      <c r="F91" s="130" t="s">
        <v>153</v>
      </c>
      <c r="G91" s="127">
        <v>0</v>
      </c>
      <c r="H91" s="120" t="s">
        <v>151</v>
      </c>
      <c r="J91" s="8"/>
    </row>
    <row r="92" spans="1:10" x14ac:dyDescent="0.2">
      <c r="A92" s="118"/>
      <c r="B92" s="118"/>
      <c r="C92" s="128"/>
      <c r="D92" s="118"/>
      <c r="E92" s="118"/>
      <c r="F92" s="129"/>
      <c r="G92" s="129"/>
      <c r="H92" s="120" t="s">
        <v>151</v>
      </c>
      <c r="J92" s="8"/>
    </row>
    <row r="93" spans="1:10" x14ac:dyDescent="0.2">
      <c r="A93" s="118"/>
      <c r="B93" s="118"/>
      <c r="C93" s="119" t="s">
        <v>154</v>
      </c>
      <c r="D93" s="118"/>
      <c r="E93" s="118"/>
      <c r="F93" s="118"/>
      <c r="G93" s="118"/>
      <c r="H93" s="120" t="s">
        <v>151</v>
      </c>
      <c r="J93" s="8"/>
    </row>
    <row r="94" spans="1:10" x14ac:dyDescent="0.2">
      <c r="A94" s="118"/>
      <c r="B94" s="118"/>
      <c r="C94" s="119" t="s">
        <v>150</v>
      </c>
      <c r="D94" s="118"/>
      <c r="E94" s="118" t="s">
        <v>151</v>
      </c>
      <c r="F94" s="130" t="s">
        <v>153</v>
      </c>
      <c r="G94" s="127">
        <v>0</v>
      </c>
      <c r="H94" s="120" t="s">
        <v>151</v>
      </c>
      <c r="J94" s="8"/>
    </row>
    <row r="95" spans="1:10" x14ac:dyDescent="0.2">
      <c r="A95" s="118"/>
      <c r="B95" s="118"/>
      <c r="C95" s="128"/>
      <c r="D95" s="118"/>
      <c r="E95" s="118"/>
      <c r="F95" s="129"/>
      <c r="G95" s="129"/>
      <c r="H95" s="120" t="s">
        <v>151</v>
      </c>
      <c r="J95" s="8"/>
    </row>
    <row r="96" spans="1:10" x14ac:dyDescent="0.2">
      <c r="A96" s="118"/>
      <c r="B96" s="118"/>
      <c r="C96" s="119" t="s">
        <v>155</v>
      </c>
      <c r="D96" s="118"/>
      <c r="E96" s="118"/>
      <c r="F96" s="118"/>
      <c r="G96" s="118"/>
      <c r="H96" s="120" t="s">
        <v>151</v>
      </c>
      <c r="J96" s="8"/>
    </row>
    <row r="97" spans="1:10" x14ac:dyDescent="0.2">
      <c r="A97" s="118"/>
      <c r="B97" s="118"/>
      <c r="C97" s="119" t="s">
        <v>150</v>
      </c>
      <c r="D97" s="118"/>
      <c r="E97" s="118" t="s">
        <v>151</v>
      </c>
      <c r="F97" s="130" t="s">
        <v>153</v>
      </c>
      <c r="G97" s="127">
        <v>0</v>
      </c>
      <c r="H97" s="120" t="s">
        <v>151</v>
      </c>
      <c r="J97" s="8"/>
    </row>
    <row r="98" spans="1:10" x14ac:dyDescent="0.2">
      <c r="A98" s="118"/>
      <c r="B98" s="118"/>
      <c r="C98" s="128"/>
      <c r="D98" s="118"/>
      <c r="E98" s="118"/>
      <c r="F98" s="129"/>
      <c r="G98" s="129"/>
      <c r="H98" s="120" t="s">
        <v>151</v>
      </c>
      <c r="J98" s="8"/>
    </row>
    <row r="99" spans="1:10" x14ac:dyDescent="0.2">
      <c r="A99" s="118"/>
      <c r="B99" s="118"/>
      <c r="C99" s="119" t="s">
        <v>156</v>
      </c>
      <c r="D99" s="118"/>
      <c r="E99" s="118"/>
      <c r="F99" s="129"/>
      <c r="G99" s="129"/>
      <c r="H99" s="120" t="s">
        <v>151</v>
      </c>
      <c r="J99" s="8"/>
    </row>
    <row r="100" spans="1:10" x14ac:dyDescent="0.2">
      <c r="A100" s="118"/>
      <c r="B100" s="118"/>
      <c r="C100" s="119" t="s">
        <v>150</v>
      </c>
      <c r="D100" s="118"/>
      <c r="E100" s="118" t="s">
        <v>151</v>
      </c>
      <c r="F100" s="130" t="s">
        <v>153</v>
      </c>
      <c r="G100" s="127">
        <v>0</v>
      </c>
      <c r="H100" s="120" t="s">
        <v>151</v>
      </c>
      <c r="J100" s="8"/>
    </row>
    <row r="101" spans="1:10" x14ac:dyDescent="0.2">
      <c r="A101" s="118"/>
      <c r="B101" s="118"/>
      <c r="C101" s="128"/>
      <c r="D101" s="118"/>
      <c r="E101" s="118"/>
      <c r="F101" s="129"/>
      <c r="G101" s="129"/>
      <c r="H101" s="120" t="s">
        <v>151</v>
      </c>
      <c r="J101" s="8"/>
    </row>
    <row r="102" spans="1:10" x14ac:dyDescent="0.2">
      <c r="A102" s="118"/>
      <c r="B102" s="118"/>
      <c r="C102" s="119" t="s">
        <v>157</v>
      </c>
      <c r="D102" s="118"/>
      <c r="E102" s="118"/>
      <c r="F102" s="129"/>
      <c r="G102" s="129"/>
      <c r="H102" s="120" t="s">
        <v>151</v>
      </c>
      <c r="J102" s="8"/>
    </row>
    <row r="103" spans="1:10" x14ac:dyDescent="0.2">
      <c r="A103" s="118"/>
      <c r="B103" s="118"/>
      <c r="C103" s="119" t="s">
        <v>150</v>
      </c>
      <c r="D103" s="118"/>
      <c r="E103" s="118" t="s">
        <v>151</v>
      </c>
      <c r="F103" s="130" t="s">
        <v>153</v>
      </c>
      <c r="G103" s="127">
        <v>0</v>
      </c>
      <c r="H103" s="120" t="s">
        <v>151</v>
      </c>
      <c r="J103" s="8"/>
    </row>
    <row r="104" spans="1:10" x14ac:dyDescent="0.2">
      <c r="A104" s="118"/>
      <c r="B104" s="118"/>
      <c r="C104" s="128"/>
      <c r="D104" s="118"/>
      <c r="E104" s="118"/>
      <c r="F104" s="129"/>
      <c r="G104" s="129"/>
      <c r="H104" s="120" t="s">
        <v>151</v>
      </c>
      <c r="J104" s="8"/>
    </row>
    <row r="105" spans="1:10" x14ac:dyDescent="0.2">
      <c r="A105" s="118"/>
      <c r="B105" s="118"/>
      <c r="C105" s="119" t="s">
        <v>158</v>
      </c>
      <c r="D105" s="118"/>
      <c r="E105" s="118"/>
      <c r="F105" s="126">
        <v>704514.12740510004</v>
      </c>
      <c r="G105" s="127">
        <v>0.97070818999999997</v>
      </c>
      <c r="H105" s="120" t="s">
        <v>151</v>
      </c>
      <c r="J105" s="8"/>
    </row>
    <row r="106" spans="1:10" x14ac:dyDescent="0.2">
      <c r="A106" s="118"/>
      <c r="B106" s="118"/>
      <c r="C106" s="128"/>
      <c r="D106" s="118"/>
      <c r="E106" s="118"/>
      <c r="F106" s="129"/>
      <c r="G106" s="129"/>
      <c r="H106" s="120" t="s">
        <v>151</v>
      </c>
      <c r="J106" s="8"/>
    </row>
    <row r="107" spans="1:10" x14ac:dyDescent="0.2">
      <c r="A107" s="118"/>
      <c r="B107" s="118"/>
      <c r="C107" s="119" t="s">
        <v>159</v>
      </c>
      <c r="D107" s="118"/>
      <c r="E107" s="118"/>
      <c r="F107" s="129"/>
      <c r="G107" s="129"/>
      <c r="H107" s="120" t="s">
        <v>151</v>
      </c>
      <c r="J107" s="8"/>
    </row>
    <row r="108" spans="1:10" x14ac:dyDescent="0.2">
      <c r="A108" s="118"/>
      <c r="B108" s="118"/>
      <c r="C108" s="119" t="s">
        <v>10</v>
      </c>
      <c r="D108" s="118"/>
      <c r="E108" s="118"/>
      <c r="F108" s="129"/>
      <c r="G108" s="129"/>
      <c r="H108" s="120" t="s">
        <v>151</v>
      </c>
      <c r="J108" s="8"/>
    </row>
    <row r="109" spans="1:10" x14ac:dyDescent="0.2">
      <c r="A109" s="118"/>
      <c r="B109" s="118"/>
      <c r="C109" s="119" t="s">
        <v>150</v>
      </c>
      <c r="D109" s="118"/>
      <c r="E109" s="118" t="s">
        <v>151</v>
      </c>
      <c r="F109" s="130" t="s">
        <v>153</v>
      </c>
      <c r="G109" s="127">
        <v>0</v>
      </c>
      <c r="H109" s="120" t="s">
        <v>151</v>
      </c>
      <c r="J109" s="8"/>
    </row>
    <row r="110" spans="1:10" x14ac:dyDescent="0.2">
      <c r="A110" s="118"/>
      <c r="B110" s="118"/>
      <c r="C110" s="128"/>
      <c r="D110" s="118"/>
      <c r="E110" s="118"/>
      <c r="F110" s="129"/>
      <c r="G110" s="129"/>
      <c r="H110" s="120" t="s">
        <v>151</v>
      </c>
      <c r="J110" s="8"/>
    </row>
    <row r="111" spans="1:10" x14ac:dyDescent="0.2">
      <c r="A111" s="118"/>
      <c r="B111" s="118"/>
      <c r="C111" s="119" t="s">
        <v>160</v>
      </c>
      <c r="D111" s="118"/>
      <c r="E111" s="118"/>
      <c r="F111" s="118"/>
      <c r="G111" s="118"/>
      <c r="H111" s="120" t="s">
        <v>151</v>
      </c>
      <c r="J111" s="8"/>
    </row>
    <row r="112" spans="1:10" x14ac:dyDescent="0.2">
      <c r="A112" s="118"/>
      <c r="B112" s="118"/>
      <c r="C112" s="119" t="s">
        <v>150</v>
      </c>
      <c r="D112" s="118"/>
      <c r="E112" s="118" t="s">
        <v>151</v>
      </c>
      <c r="F112" s="130" t="s">
        <v>153</v>
      </c>
      <c r="G112" s="127">
        <v>0</v>
      </c>
      <c r="H112" s="120" t="s">
        <v>151</v>
      </c>
      <c r="J112" s="8"/>
    </row>
    <row r="113" spans="1:10" x14ac:dyDescent="0.2">
      <c r="A113" s="118"/>
      <c r="B113" s="118"/>
      <c r="C113" s="128"/>
      <c r="D113" s="118"/>
      <c r="E113" s="118"/>
      <c r="F113" s="129"/>
      <c r="G113" s="129"/>
      <c r="H113" s="120" t="s">
        <v>151</v>
      </c>
      <c r="J113" s="8"/>
    </row>
    <row r="114" spans="1:10" x14ac:dyDescent="0.2">
      <c r="A114" s="118"/>
      <c r="B114" s="118"/>
      <c r="C114" s="119" t="s">
        <v>161</v>
      </c>
      <c r="D114" s="118"/>
      <c r="E114" s="118"/>
      <c r="F114" s="118"/>
      <c r="G114" s="118"/>
      <c r="H114" s="120" t="s">
        <v>151</v>
      </c>
      <c r="J114" s="8"/>
    </row>
    <row r="115" spans="1:10" x14ac:dyDescent="0.2">
      <c r="A115" s="118"/>
      <c r="B115" s="118"/>
      <c r="C115" s="119" t="s">
        <v>150</v>
      </c>
      <c r="D115" s="118"/>
      <c r="E115" s="118" t="s">
        <v>151</v>
      </c>
      <c r="F115" s="130" t="s">
        <v>153</v>
      </c>
      <c r="G115" s="127">
        <v>0</v>
      </c>
      <c r="H115" s="120" t="s">
        <v>151</v>
      </c>
      <c r="J115" s="8"/>
    </row>
    <row r="116" spans="1:10" x14ac:dyDescent="0.2">
      <c r="A116" s="118"/>
      <c r="B116" s="118"/>
      <c r="C116" s="128"/>
      <c r="D116" s="118"/>
      <c r="E116" s="118"/>
      <c r="F116" s="129"/>
      <c r="G116" s="129"/>
      <c r="H116" s="120" t="s">
        <v>151</v>
      </c>
      <c r="J116" s="8"/>
    </row>
    <row r="117" spans="1:10" x14ac:dyDescent="0.2">
      <c r="A117" s="118"/>
      <c r="B117" s="118"/>
      <c r="C117" s="119" t="s">
        <v>162</v>
      </c>
      <c r="D117" s="118"/>
      <c r="E117" s="118"/>
      <c r="F117" s="129"/>
      <c r="G117" s="129"/>
      <c r="H117" s="120" t="s">
        <v>151</v>
      </c>
      <c r="J117" s="8"/>
    </row>
    <row r="118" spans="1:10" x14ac:dyDescent="0.2">
      <c r="A118" s="118"/>
      <c r="B118" s="118"/>
      <c r="C118" s="119" t="s">
        <v>150</v>
      </c>
      <c r="D118" s="118"/>
      <c r="E118" s="118" t="s">
        <v>151</v>
      </c>
      <c r="F118" s="130" t="s">
        <v>153</v>
      </c>
      <c r="G118" s="127">
        <v>0</v>
      </c>
      <c r="H118" s="120" t="s">
        <v>151</v>
      </c>
      <c r="J118" s="8"/>
    </row>
    <row r="119" spans="1:10" x14ac:dyDescent="0.2">
      <c r="A119" s="118"/>
      <c r="B119" s="118"/>
      <c r="C119" s="128"/>
      <c r="D119" s="118"/>
      <c r="E119" s="118"/>
      <c r="F119" s="129"/>
      <c r="G119" s="129"/>
      <c r="H119" s="120" t="s">
        <v>151</v>
      </c>
      <c r="J119" s="8"/>
    </row>
    <row r="120" spans="1:10" x14ac:dyDescent="0.2">
      <c r="A120" s="118"/>
      <c r="B120" s="118"/>
      <c r="C120" s="119" t="s">
        <v>163</v>
      </c>
      <c r="D120" s="118"/>
      <c r="E120" s="118"/>
      <c r="F120" s="126">
        <v>0</v>
      </c>
      <c r="G120" s="127">
        <v>0</v>
      </c>
      <c r="H120" s="120" t="s">
        <v>151</v>
      </c>
      <c r="J120" s="8"/>
    </row>
    <row r="121" spans="1:10" x14ac:dyDescent="0.2">
      <c r="A121" s="118"/>
      <c r="B121" s="118"/>
      <c r="C121" s="128"/>
      <c r="D121" s="118"/>
      <c r="E121" s="118"/>
      <c r="F121" s="129"/>
      <c r="G121" s="129"/>
      <c r="H121" s="120" t="s">
        <v>151</v>
      </c>
      <c r="J121" s="8"/>
    </row>
    <row r="122" spans="1:10" x14ac:dyDescent="0.2">
      <c r="A122" s="118"/>
      <c r="B122" s="118"/>
      <c r="C122" s="119" t="s">
        <v>164</v>
      </c>
      <c r="D122" s="118"/>
      <c r="E122" s="118"/>
      <c r="F122" s="129"/>
      <c r="G122" s="129"/>
      <c r="H122" s="120" t="s">
        <v>151</v>
      </c>
      <c r="J122" s="8"/>
    </row>
    <row r="123" spans="1:10" x14ac:dyDescent="0.2">
      <c r="A123" s="118"/>
      <c r="B123" s="118"/>
      <c r="C123" s="119" t="s">
        <v>165</v>
      </c>
      <c r="D123" s="118"/>
      <c r="E123" s="118"/>
      <c r="F123" s="129"/>
      <c r="G123" s="129"/>
      <c r="H123" s="120" t="s">
        <v>151</v>
      </c>
      <c r="J123" s="8"/>
    </row>
    <row r="124" spans="1:10" x14ac:dyDescent="0.2">
      <c r="A124" s="118"/>
      <c r="B124" s="118"/>
      <c r="C124" s="119" t="s">
        <v>150</v>
      </c>
      <c r="D124" s="118"/>
      <c r="E124" s="118" t="s">
        <v>151</v>
      </c>
      <c r="F124" s="130" t="s">
        <v>153</v>
      </c>
      <c r="G124" s="127">
        <v>0</v>
      </c>
      <c r="H124" s="120" t="s">
        <v>151</v>
      </c>
      <c r="J124" s="8"/>
    </row>
    <row r="125" spans="1:10" x14ac:dyDescent="0.2">
      <c r="A125" s="118"/>
      <c r="B125" s="118"/>
      <c r="C125" s="128"/>
      <c r="D125" s="118"/>
      <c r="E125" s="118"/>
      <c r="F125" s="129"/>
      <c r="G125" s="129"/>
      <c r="H125" s="120" t="s">
        <v>151</v>
      </c>
      <c r="J125" s="8"/>
    </row>
    <row r="126" spans="1:10" x14ac:dyDescent="0.2">
      <c r="A126" s="118"/>
      <c r="B126" s="118"/>
      <c r="C126" s="119" t="s">
        <v>166</v>
      </c>
      <c r="D126" s="118"/>
      <c r="E126" s="118"/>
      <c r="F126" s="129"/>
      <c r="G126" s="129"/>
      <c r="H126" s="120" t="s">
        <v>151</v>
      </c>
      <c r="J126" s="8"/>
    </row>
    <row r="127" spans="1:10" x14ac:dyDescent="0.2">
      <c r="A127" s="118"/>
      <c r="B127" s="118"/>
      <c r="C127" s="119" t="s">
        <v>150</v>
      </c>
      <c r="D127" s="118"/>
      <c r="E127" s="118" t="s">
        <v>151</v>
      </c>
      <c r="F127" s="130" t="s">
        <v>153</v>
      </c>
      <c r="G127" s="127">
        <v>0</v>
      </c>
      <c r="H127" s="120" t="s">
        <v>151</v>
      </c>
      <c r="J127" s="8"/>
    </row>
    <row r="128" spans="1:10" x14ac:dyDescent="0.2">
      <c r="A128" s="118"/>
      <c r="B128" s="118"/>
      <c r="C128" s="128"/>
      <c r="D128" s="118"/>
      <c r="E128" s="118"/>
      <c r="F128" s="129"/>
      <c r="G128" s="129"/>
      <c r="H128" s="120" t="s">
        <v>151</v>
      </c>
      <c r="J128" s="8"/>
    </row>
    <row r="129" spans="1:10" x14ac:dyDescent="0.2">
      <c r="A129" s="118"/>
      <c r="B129" s="118"/>
      <c r="C129" s="119" t="s">
        <v>167</v>
      </c>
      <c r="D129" s="118"/>
      <c r="E129" s="118"/>
      <c r="F129" s="129"/>
      <c r="G129" s="129"/>
      <c r="H129" s="120" t="s">
        <v>151</v>
      </c>
      <c r="J129" s="8"/>
    </row>
    <row r="130" spans="1:10" x14ac:dyDescent="0.2">
      <c r="A130" s="118"/>
      <c r="B130" s="118"/>
      <c r="C130" s="119" t="s">
        <v>150</v>
      </c>
      <c r="D130" s="118"/>
      <c r="E130" s="118" t="s">
        <v>151</v>
      </c>
      <c r="F130" s="130" t="s">
        <v>153</v>
      </c>
      <c r="G130" s="127">
        <v>0</v>
      </c>
      <c r="H130" s="120" t="s">
        <v>151</v>
      </c>
      <c r="J130" s="8"/>
    </row>
    <row r="131" spans="1:10" x14ac:dyDescent="0.2">
      <c r="A131" s="118"/>
      <c r="B131" s="118"/>
      <c r="C131" s="128"/>
      <c r="D131" s="118"/>
      <c r="E131" s="118"/>
      <c r="F131" s="129"/>
      <c r="G131" s="129"/>
      <c r="H131" s="120" t="s">
        <v>151</v>
      </c>
      <c r="J131" s="8"/>
    </row>
    <row r="132" spans="1:10" x14ac:dyDescent="0.2">
      <c r="A132" s="118"/>
      <c r="B132" s="118"/>
      <c r="C132" s="119" t="s">
        <v>168</v>
      </c>
      <c r="D132" s="118"/>
      <c r="E132" s="118"/>
      <c r="F132" s="129"/>
      <c r="G132" s="129"/>
      <c r="H132" s="120" t="s">
        <v>151</v>
      </c>
      <c r="J132" s="8"/>
    </row>
    <row r="133" spans="1:10" x14ac:dyDescent="0.2">
      <c r="A133" s="121">
        <v>1</v>
      </c>
      <c r="B133" s="122"/>
      <c r="C133" s="122" t="s">
        <v>169</v>
      </c>
      <c r="D133" s="122"/>
      <c r="E133" s="131"/>
      <c r="F133" s="124">
        <v>2610.1090719939998</v>
      </c>
      <c r="G133" s="125">
        <v>3.5963100000000001E-3</v>
      </c>
      <c r="H133" s="120">
        <v>6.61</v>
      </c>
      <c r="J133" s="8"/>
    </row>
    <row r="134" spans="1:10" x14ac:dyDescent="0.2">
      <c r="A134" s="118"/>
      <c r="B134" s="118"/>
      <c r="C134" s="119" t="s">
        <v>150</v>
      </c>
      <c r="D134" s="118"/>
      <c r="E134" s="118" t="s">
        <v>151</v>
      </c>
      <c r="F134" s="126">
        <v>2610.1090719939998</v>
      </c>
      <c r="G134" s="127">
        <v>3.5963100000000001E-3</v>
      </c>
      <c r="H134" s="120" t="s">
        <v>151</v>
      </c>
      <c r="J134" s="8"/>
    </row>
    <row r="135" spans="1:10" x14ac:dyDescent="0.2">
      <c r="A135" s="118"/>
      <c r="B135" s="118"/>
      <c r="C135" s="128"/>
      <c r="D135" s="118"/>
      <c r="E135" s="118"/>
      <c r="F135" s="129"/>
      <c r="G135" s="129"/>
      <c r="H135" s="120" t="s">
        <v>151</v>
      </c>
      <c r="J135" s="8"/>
    </row>
    <row r="136" spans="1:10" x14ac:dyDescent="0.2">
      <c r="A136" s="118"/>
      <c r="B136" s="118"/>
      <c r="C136" s="119" t="s">
        <v>170</v>
      </c>
      <c r="D136" s="118"/>
      <c r="E136" s="118"/>
      <c r="F136" s="126">
        <v>2610.1090719939998</v>
      </c>
      <c r="G136" s="127">
        <v>3.5963100000000001E-3</v>
      </c>
      <c r="H136" s="120" t="s">
        <v>151</v>
      </c>
      <c r="J136" s="8"/>
    </row>
    <row r="137" spans="1:10" x14ac:dyDescent="0.2">
      <c r="A137" s="118"/>
      <c r="B137" s="118"/>
      <c r="C137" s="129"/>
      <c r="D137" s="118"/>
      <c r="E137" s="118"/>
      <c r="F137" s="118"/>
      <c r="G137" s="118"/>
      <c r="H137" s="120" t="s">
        <v>151</v>
      </c>
      <c r="J137" s="8"/>
    </row>
    <row r="138" spans="1:10" x14ac:dyDescent="0.2">
      <c r="A138" s="118"/>
      <c r="B138" s="118"/>
      <c r="C138" s="119" t="s">
        <v>171</v>
      </c>
      <c r="D138" s="118"/>
      <c r="E138" s="118"/>
      <c r="F138" s="118"/>
      <c r="G138" s="118"/>
      <c r="H138" s="120" t="s">
        <v>151</v>
      </c>
      <c r="J138" s="8"/>
    </row>
    <row r="139" spans="1:10" x14ac:dyDescent="0.2">
      <c r="A139" s="118"/>
      <c r="B139" s="118"/>
      <c r="C139" s="119" t="s">
        <v>172</v>
      </c>
      <c r="D139" s="118"/>
      <c r="E139" s="118"/>
      <c r="F139" s="118"/>
      <c r="G139" s="118"/>
      <c r="H139" s="120" t="s">
        <v>151</v>
      </c>
      <c r="J139" s="8"/>
    </row>
    <row r="140" spans="1:10" x14ac:dyDescent="0.2">
      <c r="A140" s="121">
        <v>1</v>
      </c>
      <c r="B140" s="122" t="s">
        <v>173</v>
      </c>
      <c r="C140" s="122" t="s">
        <v>174</v>
      </c>
      <c r="D140" s="122"/>
      <c r="E140" s="132">
        <v>633828.08349999995</v>
      </c>
      <c r="F140" s="124">
        <v>14010.611328747</v>
      </c>
      <c r="G140" s="125">
        <v>1.9304390000000001E-2</v>
      </c>
      <c r="H140" s="120" t="s">
        <v>151</v>
      </c>
      <c r="J140" s="8"/>
    </row>
    <row r="141" spans="1:10" x14ac:dyDescent="0.2">
      <c r="A141" s="118"/>
      <c r="B141" s="118"/>
      <c r="C141" s="119" t="s">
        <v>150</v>
      </c>
      <c r="D141" s="118"/>
      <c r="E141" s="118" t="s">
        <v>151</v>
      </c>
      <c r="F141" s="126">
        <v>14010.611328747</v>
      </c>
      <c r="G141" s="127">
        <v>1.9304390000000001E-2</v>
      </c>
      <c r="H141" s="120" t="s">
        <v>151</v>
      </c>
      <c r="J141" s="8"/>
    </row>
    <row r="142" spans="1:10" x14ac:dyDescent="0.2">
      <c r="A142" s="118"/>
      <c r="B142" s="118"/>
      <c r="C142" s="128"/>
      <c r="D142" s="118"/>
      <c r="E142" s="118"/>
      <c r="F142" s="129"/>
      <c r="G142" s="129"/>
      <c r="H142" s="120" t="s">
        <v>151</v>
      </c>
      <c r="J142" s="8"/>
    </row>
    <row r="143" spans="1:10" x14ac:dyDescent="0.2">
      <c r="A143" s="118"/>
      <c r="B143" s="118"/>
      <c r="C143" s="119" t="s">
        <v>175</v>
      </c>
      <c r="D143" s="118"/>
      <c r="E143" s="118"/>
      <c r="F143" s="118"/>
      <c r="G143" s="118"/>
      <c r="H143" s="120" t="s">
        <v>151</v>
      </c>
      <c r="J143" s="8"/>
    </row>
    <row r="144" spans="1:10" x14ac:dyDescent="0.2">
      <c r="A144" s="118"/>
      <c r="B144" s="118"/>
      <c r="C144" s="119" t="s">
        <v>176</v>
      </c>
      <c r="D144" s="118"/>
      <c r="E144" s="118"/>
      <c r="F144" s="118"/>
      <c r="G144" s="118"/>
      <c r="H144" s="120" t="s">
        <v>151</v>
      </c>
      <c r="J144" s="8"/>
    </row>
    <row r="145" spans="1:17" x14ac:dyDescent="0.2">
      <c r="A145" s="118"/>
      <c r="B145" s="118"/>
      <c r="C145" s="119" t="s">
        <v>150</v>
      </c>
      <c r="D145" s="118"/>
      <c r="E145" s="118" t="s">
        <v>151</v>
      </c>
      <c r="F145" s="130" t="s">
        <v>153</v>
      </c>
      <c r="G145" s="127">
        <v>0</v>
      </c>
      <c r="H145" s="120" t="s">
        <v>151</v>
      </c>
      <c r="J145" s="8"/>
    </row>
    <row r="146" spans="1:17" x14ac:dyDescent="0.2">
      <c r="A146" s="118"/>
      <c r="B146" s="118"/>
      <c r="C146" s="128"/>
      <c r="D146" s="118"/>
      <c r="E146" s="118"/>
      <c r="F146" s="129"/>
      <c r="G146" s="129"/>
      <c r="H146" s="120" t="s">
        <v>151</v>
      </c>
      <c r="J146" s="8"/>
    </row>
    <row r="147" spans="1:17" ht="25.5" x14ac:dyDescent="0.2">
      <c r="A147" s="118"/>
      <c r="B147" s="118"/>
      <c r="C147" s="119" t="s">
        <v>177</v>
      </c>
      <c r="D147" s="118"/>
      <c r="E147" s="118"/>
      <c r="F147" s="129"/>
      <c r="G147" s="129"/>
      <c r="H147" s="120" t="s">
        <v>151</v>
      </c>
      <c r="J147" s="8"/>
    </row>
    <row r="148" spans="1:17" x14ac:dyDescent="0.2">
      <c r="A148" s="118"/>
      <c r="B148" s="118"/>
      <c r="C148" s="119" t="s">
        <v>150</v>
      </c>
      <c r="D148" s="118"/>
      <c r="E148" s="118" t="s">
        <v>151</v>
      </c>
      <c r="F148" s="130" t="s">
        <v>153</v>
      </c>
      <c r="G148" s="127">
        <v>0</v>
      </c>
      <c r="H148" s="120" t="s">
        <v>151</v>
      </c>
      <c r="J148" s="8"/>
    </row>
    <row r="149" spans="1:17" x14ac:dyDescent="0.2">
      <c r="A149" s="118"/>
      <c r="B149" s="118"/>
      <c r="C149" s="128"/>
      <c r="D149" s="118"/>
      <c r="E149" s="118"/>
      <c r="F149" s="129"/>
      <c r="G149" s="129"/>
      <c r="H149" s="120" t="s">
        <v>151</v>
      </c>
      <c r="J149" s="8"/>
    </row>
    <row r="150" spans="1:17" x14ac:dyDescent="0.2">
      <c r="A150" s="131"/>
      <c r="B150" s="122"/>
      <c r="C150" s="122" t="s">
        <v>342</v>
      </c>
      <c r="D150" s="122"/>
      <c r="E150" s="131"/>
      <c r="F150" s="124">
        <v>5000.0001247999999</v>
      </c>
      <c r="G150" s="125">
        <v>6.8891999999999998E-3</v>
      </c>
      <c r="H150" s="120" t="s">
        <v>151</v>
      </c>
      <c r="J150" s="8"/>
    </row>
    <row r="151" spans="1:17" x14ac:dyDescent="0.2">
      <c r="A151" s="131"/>
      <c r="B151" s="122"/>
      <c r="C151" s="122" t="s">
        <v>178</v>
      </c>
      <c r="D151" s="122"/>
      <c r="E151" s="131"/>
      <c r="F151" s="124">
        <v>-361.46769439000002</v>
      </c>
      <c r="G151" s="125">
        <v>-4.9804999999999999E-4</v>
      </c>
      <c r="H151" s="120" t="s">
        <v>151</v>
      </c>
      <c r="J151" s="8"/>
    </row>
    <row r="152" spans="1:17" x14ac:dyDescent="0.2">
      <c r="A152" s="128"/>
      <c r="B152" s="128"/>
      <c r="C152" s="119" t="s">
        <v>179</v>
      </c>
      <c r="D152" s="129"/>
      <c r="E152" s="129"/>
      <c r="F152" s="126">
        <v>725773.38023625105</v>
      </c>
      <c r="G152" s="133">
        <v>1.00000004</v>
      </c>
      <c r="H152" s="120" t="s">
        <v>151</v>
      </c>
      <c r="J152" s="8"/>
    </row>
    <row r="153" spans="1:17" x14ac:dyDescent="0.2">
      <c r="A153" s="134"/>
      <c r="B153" s="134"/>
      <c r="C153" s="134"/>
      <c r="D153" s="135"/>
      <c r="E153" s="135"/>
      <c r="F153" s="135"/>
      <c r="G153" s="135"/>
      <c r="J153" s="8"/>
    </row>
    <row r="154" spans="1:17" x14ac:dyDescent="0.2">
      <c r="A154" s="136"/>
      <c r="B154" s="137" t="s">
        <v>888</v>
      </c>
      <c r="C154" s="137"/>
      <c r="D154" s="137"/>
      <c r="E154" s="137"/>
      <c r="F154" s="137"/>
      <c r="G154" s="137"/>
      <c r="H154" s="137"/>
      <c r="J154" s="8"/>
    </row>
    <row r="155" spans="1:17" x14ac:dyDescent="0.2">
      <c r="A155" s="136"/>
      <c r="B155" s="137" t="s">
        <v>889</v>
      </c>
      <c r="C155" s="137"/>
      <c r="D155" s="137"/>
      <c r="E155" s="137"/>
      <c r="F155" s="137"/>
      <c r="G155" s="137"/>
      <c r="H155" s="137"/>
      <c r="J155" s="8"/>
    </row>
    <row r="156" spans="1:17" x14ac:dyDescent="0.2">
      <c r="A156" s="136"/>
      <c r="B156" s="137" t="s">
        <v>890</v>
      </c>
      <c r="C156" s="137"/>
      <c r="D156" s="137"/>
      <c r="E156" s="137"/>
      <c r="F156" s="137"/>
      <c r="G156" s="137"/>
      <c r="H156" s="137"/>
      <c r="J156" s="8"/>
    </row>
    <row r="157" spans="1:17" s="13" customFormat="1" ht="65.25" customHeight="1" x14ac:dyDescent="0.25">
      <c r="A157" s="138"/>
      <c r="B157" s="139" t="s">
        <v>891</v>
      </c>
      <c r="C157" s="139"/>
      <c r="D157" s="139"/>
      <c r="E157" s="139"/>
      <c r="F157" s="139"/>
      <c r="G157" s="139"/>
      <c r="H157" s="139"/>
      <c r="I157" s="114"/>
      <c r="J157" s="8"/>
      <c r="K157"/>
      <c r="L157"/>
      <c r="M157"/>
      <c r="N157"/>
      <c r="O157"/>
      <c r="P157"/>
      <c r="Q157"/>
    </row>
    <row r="158" spans="1:17" x14ac:dyDescent="0.2">
      <c r="A158" s="136"/>
      <c r="B158" s="137" t="s">
        <v>892</v>
      </c>
      <c r="C158" s="137"/>
      <c r="D158" s="137"/>
      <c r="E158" s="137"/>
      <c r="F158" s="137"/>
      <c r="G158" s="137"/>
      <c r="H158" s="137"/>
      <c r="J158" s="8"/>
    </row>
    <row r="159" spans="1:17" x14ac:dyDescent="0.2">
      <c r="A159" s="140"/>
      <c r="B159" s="140"/>
      <c r="C159" s="140"/>
      <c r="D159" s="141"/>
      <c r="E159" s="141"/>
      <c r="F159" s="141"/>
      <c r="G159" s="141"/>
      <c r="J159" s="8"/>
    </row>
    <row r="160" spans="1:17" x14ac:dyDescent="0.2">
      <c r="A160" s="140"/>
      <c r="B160" s="142" t="s">
        <v>180</v>
      </c>
      <c r="C160" s="143"/>
      <c r="D160" s="144"/>
      <c r="E160" s="145"/>
      <c r="F160" s="141"/>
      <c r="G160" s="141"/>
      <c r="J160" s="8"/>
    </row>
    <row r="161" spans="1:10" ht="24.75" customHeight="1" x14ac:dyDescent="0.2">
      <c r="A161" s="140"/>
      <c r="B161" s="146" t="s">
        <v>181</v>
      </c>
      <c r="C161" s="147"/>
      <c r="D161" s="119" t="s">
        <v>182</v>
      </c>
      <c r="E161" s="145"/>
      <c r="F161" s="141"/>
      <c r="G161" s="141"/>
      <c r="J161" s="8"/>
    </row>
    <row r="162" spans="1:10" x14ac:dyDescent="0.2">
      <c r="A162" s="140"/>
      <c r="B162" s="146" t="s">
        <v>183</v>
      </c>
      <c r="C162" s="147"/>
      <c r="D162" s="119" t="s">
        <v>182</v>
      </c>
      <c r="E162" s="145"/>
      <c r="F162" s="141"/>
      <c r="G162" s="141"/>
      <c r="J162" s="8"/>
    </row>
    <row r="163" spans="1:10" x14ac:dyDescent="0.2">
      <c r="A163" s="140"/>
      <c r="B163" s="146" t="s">
        <v>184</v>
      </c>
      <c r="C163" s="147"/>
      <c r="D163" s="129" t="s">
        <v>151</v>
      </c>
      <c r="E163" s="145"/>
      <c r="F163" s="141"/>
      <c r="G163" s="141"/>
      <c r="J163" s="8"/>
    </row>
    <row r="164" spans="1:10" x14ac:dyDescent="0.2">
      <c r="A164" s="151"/>
      <c r="B164" s="152" t="s">
        <v>151</v>
      </c>
      <c r="C164" s="152" t="s">
        <v>894</v>
      </c>
      <c r="D164" s="152" t="s">
        <v>185</v>
      </c>
      <c r="E164" s="151"/>
      <c r="F164" s="151"/>
      <c r="G164" s="151"/>
      <c r="H164" s="151"/>
      <c r="J164" s="8"/>
    </row>
    <row r="165" spans="1:10" x14ac:dyDescent="0.2">
      <c r="A165" s="153"/>
      <c r="B165" s="154" t="s">
        <v>186</v>
      </c>
      <c r="C165" s="155">
        <v>45535</v>
      </c>
      <c r="D165" s="155">
        <v>45565</v>
      </c>
      <c r="E165" s="153"/>
      <c r="F165" s="153"/>
      <c r="G165" s="153"/>
      <c r="J165" s="8"/>
    </row>
    <row r="166" spans="1:10" x14ac:dyDescent="0.2">
      <c r="A166" s="153"/>
      <c r="B166" s="122" t="s">
        <v>187</v>
      </c>
      <c r="C166" s="156">
        <v>96.864199999999997</v>
      </c>
      <c r="D166" s="156">
        <v>99.123900000000006</v>
      </c>
      <c r="E166" s="153"/>
      <c r="F166" s="157"/>
      <c r="G166" s="158"/>
      <c r="J166" s="8"/>
    </row>
    <row r="167" spans="1:10" x14ac:dyDescent="0.2">
      <c r="A167" s="153"/>
      <c r="B167" s="122" t="s">
        <v>1038</v>
      </c>
      <c r="C167" s="156">
        <v>38.683799999999998</v>
      </c>
      <c r="D167" s="156">
        <v>39.586199999999998</v>
      </c>
      <c r="E167" s="153"/>
      <c r="F167" s="157"/>
      <c r="G167" s="158"/>
      <c r="J167" s="8"/>
    </row>
    <row r="168" spans="1:10" x14ac:dyDescent="0.2">
      <c r="A168" s="153"/>
      <c r="B168" s="122" t="s">
        <v>188</v>
      </c>
      <c r="C168" s="156">
        <v>86.910700000000006</v>
      </c>
      <c r="D168" s="156">
        <v>88.860100000000003</v>
      </c>
      <c r="E168" s="153"/>
      <c r="F168" s="157"/>
      <c r="G168" s="158"/>
      <c r="J168" s="8"/>
    </row>
    <row r="169" spans="1:10" x14ac:dyDescent="0.2">
      <c r="A169" s="153"/>
      <c r="B169" s="122" t="s">
        <v>1039</v>
      </c>
      <c r="C169" s="156">
        <v>33.976599999999998</v>
      </c>
      <c r="D169" s="156">
        <v>34.738700000000001</v>
      </c>
      <c r="E169" s="153"/>
      <c r="F169" s="157"/>
      <c r="G169" s="158"/>
      <c r="J169" s="8"/>
    </row>
    <row r="170" spans="1:10" x14ac:dyDescent="0.2">
      <c r="A170" s="153"/>
      <c r="B170" s="153"/>
      <c r="C170" s="153"/>
      <c r="D170" s="153"/>
      <c r="E170" s="153"/>
      <c r="F170" s="153"/>
      <c r="G170" s="153"/>
      <c r="J170" s="8"/>
    </row>
    <row r="171" spans="1:10" x14ac:dyDescent="0.2">
      <c r="A171" s="153"/>
      <c r="B171" s="146" t="s">
        <v>895</v>
      </c>
      <c r="C171" s="147"/>
      <c r="D171" s="119" t="s">
        <v>182</v>
      </c>
      <c r="E171" s="153"/>
      <c r="F171" s="153"/>
      <c r="G171" s="153"/>
      <c r="J171" s="8"/>
    </row>
    <row r="172" spans="1:10" x14ac:dyDescent="0.2">
      <c r="A172" s="153"/>
      <c r="B172" s="157"/>
      <c r="C172" s="157"/>
      <c r="D172" s="153"/>
      <c r="E172" s="153"/>
      <c r="F172" s="153"/>
      <c r="G172" s="153"/>
      <c r="J172" s="8"/>
    </row>
    <row r="173" spans="1:10" x14ac:dyDescent="0.2">
      <c r="A173" s="153"/>
      <c r="B173" s="146" t="s">
        <v>189</v>
      </c>
      <c r="C173" s="147"/>
      <c r="D173" s="119" t="s">
        <v>182</v>
      </c>
      <c r="E173" s="202"/>
      <c r="F173" s="153"/>
      <c r="G173" s="153"/>
      <c r="J173" s="8"/>
    </row>
    <row r="174" spans="1:10" x14ac:dyDescent="0.2">
      <c r="A174" s="153"/>
      <c r="B174" s="146" t="s">
        <v>190</v>
      </c>
      <c r="C174" s="147"/>
      <c r="D174" s="119" t="s">
        <v>182</v>
      </c>
      <c r="E174" s="202"/>
      <c r="F174" s="153"/>
      <c r="G174" s="153"/>
      <c r="J174" s="8"/>
    </row>
    <row r="175" spans="1:10" x14ac:dyDescent="0.2">
      <c r="A175" s="153"/>
      <c r="B175" s="146" t="s">
        <v>191</v>
      </c>
      <c r="C175" s="147"/>
      <c r="D175" s="119" t="s">
        <v>182</v>
      </c>
      <c r="E175" s="202"/>
      <c r="F175" s="153"/>
      <c r="G175" s="153"/>
      <c r="J175" s="8"/>
    </row>
    <row r="176" spans="1:10" x14ac:dyDescent="0.2">
      <c r="A176" s="153"/>
      <c r="B176" s="146" t="s">
        <v>192</v>
      </c>
      <c r="C176" s="147"/>
      <c r="D176" s="203">
        <v>0.36259477054667644</v>
      </c>
      <c r="E176" s="153"/>
      <c r="F176" s="157"/>
      <c r="G176" s="158"/>
      <c r="J176" s="8"/>
    </row>
    <row r="177" spans="10:10" x14ac:dyDescent="0.2">
      <c r="J177" s="8"/>
    </row>
    <row r="178" spans="10:10" x14ac:dyDescent="0.2">
      <c r="J178" s="8"/>
    </row>
    <row r="179" spans="10:10" x14ac:dyDescent="0.2">
      <c r="J179" s="8"/>
    </row>
  </sheetData>
  <mergeCells count="17">
    <mergeCell ref="B162:C162"/>
    <mergeCell ref="B163:C163"/>
    <mergeCell ref="B171:C171"/>
    <mergeCell ref="B175:C175"/>
    <mergeCell ref="B176:C176"/>
    <mergeCell ref="B173:C173"/>
    <mergeCell ref="B174:C174"/>
    <mergeCell ref="B161:C161"/>
    <mergeCell ref="A1:H1"/>
    <mergeCell ref="A2:H2"/>
    <mergeCell ref="A3:H3"/>
    <mergeCell ref="B154:H154"/>
    <mergeCell ref="B155:H155"/>
    <mergeCell ref="B156:H156"/>
    <mergeCell ref="B157:H157"/>
    <mergeCell ref="B158:H158"/>
    <mergeCell ref="B160:D160"/>
  </mergeCells>
  <hyperlinks>
    <hyperlink ref="I1" location="Index!B2" display="Index" xr:uid="{63E29403-9872-4539-907E-385CF714E45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47CB-2E1F-4FB9-BDC7-4A17C6726708}">
  <sheetPr>
    <outlinePr summaryBelow="0" summaryRight="0"/>
  </sheetPr>
  <dimension ref="A1:Q138"/>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36.85546875" style="114" bestFit="1" customWidth="1"/>
    <col min="4" max="4" width="17.570312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1175</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362</v>
      </c>
      <c r="C7" s="122" t="s">
        <v>363</v>
      </c>
      <c r="D7" s="122" t="s">
        <v>241</v>
      </c>
      <c r="E7" s="123">
        <v>4353</v>
      </c>
      <c r="F7" s="124">
        <v>246.39285899999999</v>
      </c>
      <c r="G7" s="125">
        <v>6.2838130000000006E-2</v>
      </c>
      <c r="H7" s="120" t="s">
        <v>151</v>
      </c>
      <c r="J7" s="8"/>
    </row>
    <row r="8" spans="1:10" x14ac:dyDescent="0.2">
      <c r="A8" s="121">
        <v>2</v>
      </c>
      <c r="B8" s="122" t="s">
        <v>89</v>
      </c>
      <c r="C8" s="122" t="s">
        <v>90</v>
      </c>
      <c r="D8" s="122" t="s">
        <v>32</v>
      </c>
      <c r="E8" s="123">
        <v>4013</v>
      </c>
      <c r="F8" s="124">
        <v>172.450649</v>
      </c>
      <c r="G8" s="125">
        <v>4.3980480000000002E-2</v>
      </c>
      <c r="H8" s="120" t="s">
        <v>151</v>
      </c>
      <c r="J8" s="8"/>
    </row>
    <row r="9" spans="1:10" x14ac:dyDescent="0.2">
      <c r="A9" s="121">
        <v>3</v>
      </c>
      <c r="B9" s="122" t="s">
        <v>407</v>
      </c>
      <c r="C9" s="122" t="s">
        <v>408</v>
      </c>
      <c r="D9" s="122" t="s">
        <v>35</v>
      </c>
      <c r="E9" s="123">
        <v>7210</v>
      </c>
      <c r="F9" s="124">
        <v>169.510705</v>
      </c>
      <c r="G9" s="125">
        <v>4.3230699999999997E-2</v>
      </c>
      <c r="H9" s="120" t="s">
        <v>151</v>
      </c>
      <c r="J9" s="8"/>
    </row>
    <row r="10" spans="1:10" x14ac:dyDescent="0.2">
      <c r="A10" s="121">
        <v>4</v>
      </c>
      <c r="B10" s="122" t="s">
        <v>145</v>
      </c>
      <c r="C10" s="122" t="s">
        <v>146</v>
      </c>
      <c r="D10" s="122" t="s">
        <v>35</v>
      </c>
      <c r="E10" s="123">
        <v>43192</v>
      </c>
      <c r="F10" s="124">
        <v>167.671344</v>
      </c>
      <c r="G10" s="125">
        <v>4.2761609999999999E-2</v>
      </c>
      <c r="H10" s="120" t="s">
        <v>151</v>
      </c>
      <c r="J10" s="8"/>
    </row>
    <row r="11" spans="1:10" x14ac:dyDescent="0.2">
      <c r="A11" s="121">
        <v>5</v>
      </c>
      <c r="B11" s="122" t="s">
        <v>39</v>
      </c>
      <c r="C11" s="122" t="s">
        <v>40</v>
      </c>
      <c r="D11" s="122" t="s">
        <v>32</v>
      </c>
      <c r="E11" s="123">
        <v>18540</v>
      </c>
      <c r="F11" s="124">
        <v>166.73022</v>
      </c>
      <c r="G11" s="125">
        <v>4.2521589999999998E-2</v>
      </c>
      <c r="H11" s="120" t="s">
        <v>151</v>
      </c>
      <c r="J11" s="8"/>
    </row>
    <row r="12" spans="1:10" ht="15" x14ac:dyDescent="0.2">
      <c r="A12" s="121">
        <v>6</v>
      </c>
      <c r="B12" s="122" t="s">
        <v>223</v>
      </c>
      <c r="C12" s="122" t="s">
        <v>224</v>
      </c>
      <c r="D12" s="122" t="s">
        <v>121</v>
      </c>
      <c r="E12" s="123">
        <v>1151</v>
      </c>
      <c r="F12" s="124">
        <v>164.66493750000001</v>
      </c>
      <c r="G12" s="125">
        <v>4.1994879999999998E-2</v>
      </c>
      <c r="H12" s="120" t="s">
        <v>151</v>
      </c>
      <c r="J12" s="11"/>
    </row>
    <row r="13" spans="1:10" x14ac:dyDescent="0.2">
      <c r="A13" s="121">
        <v>7</v>
      </c>
      <c r="B13" s="122" t="s">
        <v>409</v>
      </c>
      <c r="C13" s="122" t="s">
        <v>410</v>
      </c>
      <c r="D13" s="122" t="s">
        <v>238</v>
      </c>
      <c r="E13" s="123">
        <v>44850</v>
      </c>
      <c r="F13" s="124">
        <v>160.18177499999999</v>
      </c>
      <c r="G13" s="125">
        <v>4.0851520000000002E-2</v>
      </c>
      <c r="H13" s="120" t="s">
        <v>151</v>
      </c>
    </row>
    <row r="14" spans="1:10" x14ac:dyDescent="0.2">
      <c r="A14" s="121">
        <v>8</v>
      </c>
      <c r="B14" s="122" t="s">
        <v>393</v>
      </c>
      <c r="C14" s="122" t="s">
        <v>394</v>
      </c>
      <c r="D14" s="122" t="s">
        <v>395</v>
      </c>
      <c r="E14" s="123">
        <v>9566</v>
      </c>
      <c r="F14" s="124">
        <v>151.94634400000001</v>
      </c>
      <c r="G14" s="125">
        <v>3.8751220000000003E-2</v>
      </c>
      <c r="H14" s="120" t="s">
        <v>151</v>
      </c>
      <c r="J14" s="8"/>
    </row>
    <row r="15" spans="1:10" x14ac:dyDescent="0.2">
      <c r="A15" s="121">
        <v>9</v>
      </c>
      <c r="B15" s="122" t="s">
        <v>411</v>
      </c>
      <c r="C15" s="122" t="s">
        <v>412</v>
      </c>
      <c r="D15" s="122" t="s">
        <v>211</v>
      </c>
      <c r="E15" s="123">
        <v>31964</v>
      </c>
      <c r="F15" s="124">
        <v>132.68256400000001</v>
      </c>
      <c r="G15" s="125">
        <v>3.3838340000000001E-2</v>
      </c>
      <c r="H15" s="120" t="s">
        <v>151</v>
      </c>
      <c r="J15" s="8"/>
    </row>
    <row r="16" spans="1:10" x14ac:dyDescent="0.2">
      <c r="A16" s="121">
        <v>10</v>
      </c>
      <c r="B16" s="122" t="s">
        <v>413</v>
      </c>
      <c r="C16" s="122" t="s">
        <v>414</v>
      </c>
      <c r="D16" s="122" t="s">
        <v>48</v>
      </c>
      <c r="E16" s="123">
        <v>149355</v>
      </c>
      <c r="F16" s="124">
        <v>115.3169955</v>
      </c>
      <c r="G16" s="125">
        <v>2.9409560000000001E-2</v>
      </c>
      <c r="H16" s="120" t="s">
        <v>151</v>
      </c>
      <c r="J16" s="8"/>
    </row>
    <row r="17" spans="1:10" x14ac:dyDescent="0.2">
      <c r="A17" s="121">
        <v>11</v>
      </c>
      <c r="B17" s="122" t="s">
        <v>415</v>
      </c>
      <c r="C17" s="122" t="s">
        <v>416</v>
      </c>
      <c r="D17" s="122" t="s">
        <v>417</v>
      </c>
      <c r="E17" s="123">
        <v>6861</v>
      </c>
      <c r="F17" s="124">
        <v>114.1430265</v>
      </c>
      <c r="G17" s="125">
        <v>2.911016E-2</v>
      </c>
      <c r="H17" s="120" t="s">
        <v>151</v>
      </c>
      <c r="J17" s="8" t="s">
        <v>900</v>
      </c>
    </row>
    <row r="18" spans="1:10" x14ac:dyDescent="0.2">
      <c r="A18" s="121">
        <v>12</v>
      </c>
      <c r="B18" s="122" t="s">
        <v>418</v>
      </c>
      <c r="C18" s="122" t="s">
        <v>419</v>
      </c>
      <c r="D18" s="122" t="s">
        <v>32</v>
      </c>
      <c r="E18" s="123">
        <v>8019</v>
      </c>
      <c r="F18" s="124">
        <v>110.124927</v>
      </c>
      <c r="G18" s="125">
        <v>2.8085410000000002E-2</v>
      </c>
      <c r="H18" s="120" t="s">
        <v>151</v>
      </c>
      <c r="J18" s="8"/>
    </row>
    <row r="19" spans="1:10" x14ac:dyDescent="0.2">
      <c r="A19" s="121">
        <v>13</v>
      </c>
      <c r="B19" s="122" t="s">
        <v>420</v>
      </c>
      <c r="C19" s="122" t="s">
        <v>421</v>
      </c>
      <c r="D19" s="122" t="s">
        <v>48</v>
      </c>
      <c r="E19" s="123">
        <v>268914</v>
      </c>
      <c r="F19" s="124">
        <v>108.7219302</v>
      </c>
      <c r="G19" s="125">
        <v>2.7727600000000002E-2</v>
      </c>
      <c r="H19" s="120" t="s">
        <v>151</v>
      </c>
      <c r="J19" s="8"/>
    </row>
    <row r="20" spans="1:10" x14ac:dyDescent="0.2">
      <c r="A20" s="121">
        <v>14</v>
      </c>
      <c r="B20" s="122" t="s">
        <v>422</v>
      </c>
      <c r="C20" s="122" t="s">
        <v>423</v>
      </c>
      <c r="D20" s="122" t="s">
        <v>216</v>
      </c>
      <c r="E20" s="123">
        <v>14636</v>
      </c>
      <c r="F20" s="124">
        <v>107.296516</v>
      </c>
      <c r="G20" s="125">
        <v>2.7364079999999999E-2</v>
      </c>
      <c r="H20" s="120" t="s">
        <v>151</v>
      </c>
      <c r="J20" s="8"/>
    </row>
    <row r="21" spans="1:10" x14ac:dyDescent="0.2">
      <c r="A21" s="121">
        <v>15</v>
      </c>
      <c r="B21" s="122" t="s">
        <v>424</v>
      </c>
      <c r="C21" s="122" t="s">
        <v>425</v>
      </c>
      <c r="D21" s="122" t="s">
        <v>48</v>
      </c>
      <c r="E21" s="123">
        <v>33313</v>
      </c>
      <c r="F21" s="124">
        <v>104.3862855</v>
      </c>
      <c r="G21" s="125">
        <v>2.6621869999999999E-2</v>
      </c>
      <c r="H21" s="120" t="s">
        <v>151</v>
      </c>
      <c r="J21" s="8"/>
    </row>
    <row r="22" spans="1:10" ht="15" x14ac:dyDescent="0.2">
      <c r="A22" s="121">
        <v>16</v>
      </c>
      <c r="B22" s="122" t="s">
        <v>43</v>
      </c>
      <c r="C22" s="122" t="s">
        <v>44</v>
      </c>
      <c r="D22" s="122" t="s">
        <v>45</v>
      </c>
      <c r="E22" s="123">
        <v>7207</v>
      </c>
      <c r="F22" s="124">
        <v>102.12679350000001</v>
      </c>
      <c r="G22" s="125">
        <v>2.604563E-2</v>
      </c>
      <c r="H22" s="120" t="s">
        <v>151</v>
      </c>
      <c r="J22" s="11"/>
    </row>
    <row r="23" spans="1:10" ht="25.5" x14ac:dyDescent="0.2">
      <c r="A23" s="121">
        <v>17</v>
      </c>
      <c r="B23" s="122" t="s">
        <v>324</v>
      </c>
      <c r="C23" s="122" t="s">
        <v>325</v>
      </c>
      <c r="D23" s="122" t="s">
        <v>258</v>
      </c>
      <c r="E23" s="123">
        <v>2940</v>
      </c>
      <c r="F23" s="124">
        <v>101.17569</v>
      </c>
      <c r="G23" s="125">
        <v>2.5803070000000001E-2</v>
      </c>
      <c r="H23" s="120" t="s">
        <v>151</v>
      </c>
      <c r="J23" s="8"/>
    </row>
    <row r="24" spans="1:10" ht="25.5" x14ac:dyDescent="0.2">
      <c r="A24" s="121">
        <v>18</v>
      </c>
      <c r="B24" s="122" t="s">
        <v>426</v>
      </c>
      <c r="C24" s="122" t="s">
        <v>427</v>
      </c>
      <c r="D24" s="122" t="s">
        <v>205</v>
      </c>
      <c r="E24" s="123">
        <v>5362</v>
      </c>
      <c r="F24" s="124">
        <v>100.53749999999999</v>
      </c>
      <c r="G24" s="125">
        <v>2.5640309999999999E-2</v>
      </c>
      <c r="H24" s="120" t="s">
        <v>151</v>
      </c>
      <c r="J24" s="8"/>
    </row>
    <row r="25" spans="1:10" x14ac:dyDescent="0.2">
      <c r="A25" s="121">
        <v>19</v>
      </c>
      <c r="B25" s="122" t="s">
        <v>428</v>
      </c>
      <c r="C25" s="122" t="s">
        <v>429</v>
      </c>
      <c r="D25" s="122" t="s">
        <v>121</v>
      </c>
      <c r="E25" s="123">
        <v>11094</v>
      </c>
      <c r="F25" s="124">
        <v>98.986215000000001</v>
      </c>
      <c r="G25" s="125">
        <v>2.5244679999999999E-2</v>
      </c>
      <c r="H25" s="120" t="s">
        <v>151</v>
      </c>
      <c r="J25" s="8"/>
    </row>
    <row r="26" spans="1:10" ht="25.5" x14ac:dyDescent="0.2">
      <c r="A26" s="121">
        <v>20</v>
      </c>
      <c r="B26" s="122" t="s">
        <v>430</v>
      </c>
      <c r="C26" s="122" t="s">
        <v>431</v>
      </c>
      <c r="D26" s="122" t="s">
        <v>205</v>
      </c>
      <c r="E26" s="123">
        <v>1748</v>
      </c>
      <c r="F26" s="124">
        <v>94.840361999999999</v>
      </c>
      <c r="G26" s="125">
        <v>2.418735E-2</v>
      </c>
      <c r="H26" s="120" t="s">
        <v>151</v>
      </c>
      <c r="J26" s="8"/>
    </row>
    <row r="27" spans="1:10" x14ac:dyDescent="0.2">
      <c r="A27" s="121">
        <v>21</v>
      </c>
      <c r="B27" s="122" t="s">
        <v>432</v>
      </c>
      <c r="C27" s="122" t="s">
        <v>433</v>
      </c>
      <c r="D27" s="122" t="s">
        <v>241</v>
      </c>
      <c r="E27" s="123">
        <v>3672</v>
      </c>
      <c r="F27" s="124">
        <v>94.065624</v>
      </c>
      <c r="G27" s="125">
        <v>2.3989770000000001E-2</v>
      </c>
      <c r="H27" s="120" t="s">
        <v>151</v>
      </c>
      <c r="J27" s="8"/>
    </row>
    <row r="28" spans="1:10" ht="25.5" x14ac:dyDescent="0.2">
      <c r="A28" s="121">
        <v>22</v>
      </c>
      <c r="B28" s="122" t="s">
        <v>434</v>
      </c>
      <c r="C28" s="122" t="s">
        <v>435</v>
      </c>
      <c r="D28" s="122" t="s">
        <v>436</v>
      </c>
      <c r="E28" s="123">
        <v>22120</v>
      </c>
      <c r="F28" s="124">
        <v>92.37312</v>
      </c>
      <c r="G28" s="125">
        <v>2.355813E-2</v>
      </c>
      <c r="H28" s="120" t="s">
        <v>151</v>
      </c>
      <c r="J28" s="8"/>
    </row>
    <row r="29" spans="1:10" ht="25.5" x14ac:dyDescent="0.2">
      <c r="A29" s="121">
        <v>23</v>
      </c>
      <c r="B29" s="122" t="s">
        <v>77</v>
      </c>
      <c r="C29" s="122" t="s">
        <v>78</v>
      </c>
      <c r="D29" s="122" t="s">
        <v>25</v>
      </c>
      <c r="E29" s="123">
        <v>1736</v>
      </c>
      <c r="F29" s="124">
        <v>80.607687999999996</v>
      </c>
      <c r="G29" s="125">
        <v>2.0557559999999999E-2</v>
      </c>
      <c r="H29" s="120" t="s">
        <v>151</v>
      </c>
      <c r="J29" s="8"/>
    </row>
    <row r="30" spans="1:10" x14ac:dyDescent="0.2">
      <c r="A30" s="121">
        <v>24</v>
      </c>
      <c r="B30" s="122" t="s">
        <v>437</v>
      </c>
      <c r="C30" s="122" t="s">
        <v>438</v>
      </c>
      <c r="D30" s="122" t="s">
        <v>32</v>
      </c>
      <c r="E30" s="123">
        <v>12724</v>
      </c>
      <c r="F30" s="124">
        <v>77.145612</v>
      </c>
      <c r="G30" s="125">
        <v>1.967462E-2</v>
      </c>
      <c r="H30" s="120" t="s">
        <v>151</v>
      </c>
      <c r="J30" s="8"/>
    </row>
    <row r="31" spans="1:10" x14ac:dyDescent="0.2">
      <c r="A31" s="121">
        <v>25</v>
      </c>
      <c r="B31" s="122" t="s">
        <v>439</v>
      </c>
      <c r="C31" s="122" t="s">
        <v>440</v>
      </c>
      <c r="D31" s="122" t="s">
        <v>238</v>
      </c>
      <c r="E31" s="123">
        <v>8151</v>
      </c>
      <c r="F31" s="124">
        <v>76.973968499999998</v>
      </c>
      <c r="G31" s="125">
        <v>1.9630849999999998E-2</v>
      </c>
      <c r="H31" s="120" t="s">
        <v>151</v>
      </c>
      <c r="J31" s="8"/>
    </row>
    <row r="32" spans="1:10" ht="25.5" x14ac:dyDescent="0.2">
      <c r="A32" s="121">
        <v>26</v>
      </c>
      <c r="B32" s="122" t="s">
        <v>304</v>
      </c>
      <c r="C32" s="122" t="s">
        <v>305</v>
      </c>
      <c r="D32" s="122" t="s">
        <v>205</v>
      </c>
      <c r="E32" s="123">
        <v>16491</v>
      </c>
      <c r="F32" s="124">
        <v>76.452275999999998</v>
      </c>
      <c r="G32" s="125">
        <v>1.9497799999999999E-2</v>
      </c>
      <c r="H32" s="120" t="s">
        <v>151</v>
      </c>
      <c r="J32" s="8"/>
    </row>
    <row r="33" spans="1:10" x14ac:dyDescent="0.2">
      <c r="A33" s="121">
        <v>27</v>
      </c>
      <c r="B33" s="122" t="s">
        <v>244</v>
      </c>
      <c r="C33" s="122" t="s">
        <v>245</v>
      </c>
      <c r="D33" s="122" t="s">
        <v>121</v>
      </c>
      <c r="E33" s="123">
        <v>3675</v>
      </c>
      <c r="F33" s="124">
        <v>75.105975000000001</v>
      </c>
      <c r="G33" s="125">
        <v>1.915445E-2</v>
      </c>
      <c r="H33" s="120" t="s">
        <v>151</v>
      </c>
      <c r="J33" s="8"/>
    </row>
    <row r="34" spans="1:10" x14ac:dyDescent="0.2">
      <c r="A34" s="121">
        <v>28</v>
      </c>
      <c r="B34" s="122" t="s">
        <v>441</v>
      </c>
      <c r="C34" s="122" t="s">
        <v>442</v>
      </c>
      <c r="D34" s="122" t="s">
        <v>35</v>
      </c>
      <c r="E34" s="123">
        <v>8402</v>
      </c>
      <c r="F34" s="124">
        <v>74.697980999999999</v>
      </c>
      <c r="G34" s="125">
        <v>1.9050399999999999E-2</v>
      </c>
      <c r="H34" s="120" t="s">
        <v>151</v>
      </c>
      <c r="J34" s="8"/>
    </row>
    <row r="35" spans="1:10" x14ac:dyDescent="0.2">
      <c r="A35" s="121">
        <v>29</v>
      </c>
      <c r="B35" s="122" t="s">
        <v>443</v>
      </c>
      <c r="C35" s="122" t="s">
        <v>444</v>
      </c>
      <c r="D35" s="122" t="s">
        <v>216</v>
      </c>
      <c r="E35" s="123">
        <v>11397</v>
      </c>
      <c r="F35" s="124">
        <v>68.598543000000006</v>
      </c>
      <c r="G35" s="125">
        <v>1.7494840000000001E-2</v>
      </c>
      <c r="H35" s="120" t="s">
        <v>151</v>
      </c>
      <c r="J35" s="8"/>
    </row>
    <row r="36" spans="1:10" x14ac:dyDescent="0.2">
      <c r="A36" s="121">
        <v>30</v>
      </c>
      <c r="B36" s="122" t="s">
        <v>445</v>
      </c>
      <c r="C36" s="122" t="s">
        <v>446</v>
      </c>
      <c r="D36" s="122" t="s">
        <v>35</v>
      </c>
      <c r="E36" s="123">
        <v>6126</v>
      </c>
      <c r="F36" s="124">
        <v>60.123626999999999</v>
      </c>
      <c r="G36" s="125">
        <v>1.533347E-2</v>
      </c>
      <c r="H36" s="120" t="s">
        <v>151</v>
      </c>
      <c r="J36" s="8"/>
    </row>
    <row r="37" spans="1:10" x14ac:dyDescent="0.2">
      <c r="A37" s="121">
        <v>31</v>
      </c>
      <c r="B37" s="122" t="s">
        <v>100</v>
      </c>
      <c r="C37" s="122" t="s">
        <v>101</v>
      </c>
      <c r="D37" s="122" t="s">
        <v>32</v>
      </c>
      <c r="E37" s="123">
        <v>2356</v>
      </c>
      <c r="F37" s="124">
        <v>56.673580000000001</v>
      </c>
      <c r="G37" s="125">
        <v>1.4453590000000001E-2</v>
      </c>
      <c r="H37" s="120" t="s">
        <v>151</v>
      </c>
      <c r="J37" s="8"/>
    </row>
    <row r="38" spans="1:10" x14ac:dyDescent="0.2">
      <c r="A38" s="121">
        <v>32</v>
      </c>
      <c r="B38" s="122" t="s">
        <v>447</v>
      </c>
      <c r="C38" s="122" t="s">
        <v>448</v>
      </c>
      <c r="D38" s="122" t="s">
        <v>121</v>
      </c>
      <c r="E38" s="123">
        <v>4638</v>
      </c>
      <c r="F38" s="124">
        <v>55.544688000000001</v>
      </c>
      <c r="G38" s="125">
        <v>1.416569E-2</v>
      </c>
      <c r="H38" s="120" t="s">
        <v>151</v>
      </c>
      <c r="J38" s="8"/>
    </row>
    <row r="39" spans="1:10" x14ac:dyDescent="0.2">
      <c r="A39" s="121">
        <v>33</v>
      </c>
      <c r="B39" s="122" t="s">
        <v>449</v>
      </c>
      <c r="C39" s="122" t="s">
        <v>450</v>
      </c>
      <c r="D39" s="122" t="s">
        <v>121</v>
      </c>
      <c r="E39" s="123">
        <v>4394</v>
      </c>
      <c r="F39" s="124">
        <v>52.130415999999997</v>
      </c>
      <c r="G39" s="125">
        <v>1.329494E-2</v>
      </c>
      <c r="H39" s="120" t="s">
        <v>151</v>
      </c>
      <c r="J39" s="8"/>
    </row>
    <row r="40" spans="1:10" x14ac:dyDescent="0.2">
      <c r="A40" s="121">
        <v>34</v>
      </c>
      <c r="B40" s="122" t="s">
        <v>384</v>
      </c>
      <c r="C40" s="122" t="s">
        <v>385</v>
      </c>
      <c r="D40" s="122" t="s">
        <v>134</v>
      </c>
      <c r="E40" s="123">
        <v>27808</v>
      </c>
      <c r="F40" s="124">
        <v>46.870384000000001</v>
      </c>
      <c r="G40" s="125">
        <v>1.1953460000000001E-2</v>
      </c>
      <c r="H40" s="120" t="s">
        <v>151</v>
      </c>
      <c r="J40" s="8"/>
    </row>
    <row r="41" spans="1:10" x14ac:dyDescent="0.2">
      <c r="A41" s="121">
        <v>35</v>
      </c>
      <c r="B41" s="122" t="s">
        <v>451</v>
      </c>
      <c r="C41" s="122" t="s">
        <v>452</v>
      </c>
      <c r="D41" s="122" t="s">
        <v>85</v>
      </c>
      <c r="E41" s="123">
        <v>3959</v>
      </c>
      <c r="F41" s="124">
        <v>42.385053999999997</v>
      </c>
      <c r="G41" s="125">
        <v>1.0809559999999999E-2</v>
      </c>
      <c r="H41" s="120" t="s">
        <v>151</v>
      </c>
      <c r="J41" s="8"/>
    </row>
    <row r="42" spans="1:10" x14ac:dyDescent="0.2">
      <c r="A42" s="121">
        <v>36</v>
      </c>
      <c r="B42" s="122" t="s">
        <v>453</v>
      </c>
      <c r="C42" s="122" t="s">
        <v>454</v>
      </c>
      <c r="D42" s="122" t="s">
        <v>45</v>
      </c>
      <c r="E42" s="123">
        <v>2178</v>
      </c>
      <c r="F42" s="124">
        <v>40.198256999999998</v>
      </c>
      <c r="G42" s="125">
        <v>1.025185E-2</v>
      </c>
      <c r="H42" s="120" t="s">
        <v>151</v>
      </c>
      <c r="J42" s="8"/>
    </row>
    <row r="43" spans="1:10" x14ac:dyDescent="0.2">
      <c r="A43" s="121">
        <v>37</v>
      </c>
      <c r="B43" s="122" t="s">
        <v>455</v>
      </c>
      <c r="C43" s="122" t="s">
        <v>456</v>
      </c>
      <c r="D43" s="122" t="s">
        <v>32</v>
      </c>
      <c r="E43" s="123">
        <v>2283</v>
      </c>
      <c r="F43" s="124">
        <v>34.208472</v>
      </c>
      <c r="G43" s="125">
        <v>8.7242699999999992E-3</v>
      </c>
      <c r="H43" s="120" t="s">
        <v>151</v>
      </c>
      <c r="J43" s="8"/>
    </row>
    <row r="44" spans="1:10" x14ac:dyDescent="0.2">
      <c r="A44" s="121">
        <v>38</v>
      </c>
      <c r="B44" s="122" t="s">
        <v>457</v>
      </c>
      <c r="C44" s="122" t="s">
        <v>458</v>
      </c>
      <c r="D44" s="122" t="s">
        <v>70</v>
      </c>
      <c r="E44" s="123">
        <v>4214</v>
      </c>
      <c r="F44" s="124">
        <v>25.281893</v>
      </c>
      <c r="G44" s="125">
        <v>6.4476999999999998E-3</v>
      </c>
      <c r="H44" s="120" t="s">
        <v>151</v>
      </c>
      <c r="J44" s="8"/>
    </row>
    <row r="45" spans="1:10" x14ac:dyDescent="0.2">
      <c r="A45" s="118"/>
      <c r="B45" s="118"/>
      <c r="C45" s="119" t="s">
        <v>150</v>
      </c>
      <c r="D45" s="118"/>
      <c r="E45" s="118" t="s">
        <v>151</v>
      </c>
      <c r="F45" s="126">
        <v>3819.3247971999999</v>
      </c>
      <c r="G45" s="127">
        <v>0.97405114000000004</v>
      </c>
      <c r="H45" s="120" t="s">
        <v>151</v>
      </c>
      <c r="J45" s="8"/>
    </row>
    <row r="46" spans="1:10" x14ac:dyDescent="0.2">
      <c r="A46" s="118"/>
      <c r="B46" s="118"/>
      <c r="C46" s="128"/>
      <c r="D46" s="118"/>
      <c r="E46" s="118"/>
      <c r="F46" s="129"/>
      <c r="G46" s="129"/>
      <c r="H46" s="120" t="s">
        <v>151</v>
      </c>
      <c r="J46" s="8"/>
    </row>
    <row r="47" spans="1:10" x14ac:dyDescent="0.2">
      <c r="A47" s="118"/>
      <c r="B47" s="118"/>
      <c r="C47" s="119" t="s">
        <v>152</v>
      </c>
      <c r="D47" s="118"/>
      <c r="E47" s="118"/>
      <c r="F47" s="118"/>
      <c r="G47" s="118"/>
      <c r="H47" s="120" t="s">
        <v>151</v>
      </c>
      <c r="J47" s="8"/>
    </row>
    <row r="48" spans="1:10" x14ac:dyDescent="0.2">
      <c r="A48" s="118"/>
      <c r="B48" s="118"/>
      <c r="C48" s="119" t="s">
        <v>150</v>
      </c>
      <c r="D48" s="118"/>
      <c r="E48" s="118" t="s">
        <v>151</v>
      </c>
      <c r="F48" s="130" t="s">
        <v>153</v>
      </c>
      <c r="G48" s="127">
        <v>0</v>
      </c>
      <c r="H48" s="120" t="s">
        <v>151</v>
      </c>
      <c r="J48" s="8"/>
    </row>
    <row r="49" spans="1:10" x14ac:dyDescent="0.2">
      <c r="A49" s="118"/>
      <c r="B49" s="118"/>
      <c r="C49" s="128"/>
      <c r="D49" s="118"/>
      <c r="E49" s="118"/>
      <c r="F49" s="129"/>
      <c r="G49" s="129"/>
      <c r="H49" s="120" t="s">
        <v>151</v>
      </c>
      <c r="J49" s="8"/>
    </row>
    <row r="50" spans="1:10" x14ac:dyDescent="0.2">
      <c r="A50" s="118"/>
      <c r="B50" s="118"/>
      <c r="C50" s="119" t="s">
        <v>154</v>
      </c>
      <c r="D50" s="118"/>
      <c r="E50" s="118"/>
      <c r="F50" s="118"/>
      <c r="G50" s="118"/>
      <c r="H50" s="120" t="s">
        <v>151</v>
      </c>
      <c r="J50" s="8"/>
    </row>
    <row r="51" spans="1:10" x14ac:dyDescent="0.2">
      <c r="A51" s="118"/>
      <c r="B51" s="118"/>
      <c r="C51" s="119" t="s">
        <v>150</v>
      </c>
      <c r="D51" s="118"/>
      <c r="E51" s="118" t="s">
        <v>151</v>
      </c>
      <c r="F51" s="130" t="s">
        <v>153</v>
      </c>
      <c r="G51" s="127">
        <v>0</v>
      </c>
      <c r="H51" s="120" t="s">
        <v>151</v>
      </c>
      <c r="J51" s="8"/>
    </row>
    <row r="52" spans="1:10" x14ac:dyDescent="0.2">
      <c r="A52" s="118"/>
      <c r="B52" s="118"/>
      <c r="C52" s="128"/>
      <c r="D52" s="118"/>
      <c r="E52" s="118"/>
      <c r="F52" s="129"/>
      <c r="G52" s="129"/>
      <c r="H52" s="120" t="s">
        <v>151</v>
      </c>
      <c r="J52" s="8"/>
    </row>
    <row r="53" spans="1:10" x14ac:dyDescent="0.2">
      <c r="A53" s="118"/>
      <c r="B53" s="118"/>
      <c r="C53" s="119" t="s">
        <v>155</v>
      </c>
      <c r="D53" s="118"/>
      <c r="E53" s="118"/>
      <c r="F53" s="118"/>
      <c r="G53" s="118"/>
      <c r="H53" s="120" t="s">
        <v>151</v>
      </c>
      <c r="J53" s="8"/>
    </row>
    <row r="54" spans="1:10" x14ac:dyDescent="0.2">
      <c r="A54" s="118"/>
      <c r="B54" s="118"/>
      <c r="C54" s="119" t="s">
        <v>150</v>
      </c>
      <c r="D54" s="118"/>
      <c r="E54" s="118" t="s">
        <v>151</v>
      </c>
      <c r="F54" s="130" t="s">
        <v>153</v>
      </c>
      <c r="G54" s="127">
        <v>0</v>
      </c>
      <c r="H54" s="120" t="s">
        <v>151</v>
      </c>
      <c r="J54" s="8"/>
    </row>
    <row r="55" spans="1:10" x14ac:dyDescent="0.2">
      <c r="A55" s="118"/>
      <c r="B55" s="118"/>
      <c r="C55" s="128"/>
      <c r="D55" s="118"/>
      <c r="E55" s="118"/>
      <c r="F55" s="129"/>
      <c r="G55" s="129"/>
      <c r="H55" s="120" t="s">
        <v>151</v>
      </c>
      <c r="J55" s="8"/>
    </row>
    <row r="56" spans="1:10" x14ac:dyDescent="0.2">
      <c r="A56" s="118"/>
      <c r="B56" s="118"/>
      <c r="C56" s="119" t="s">
        <v>156</v>
      </c>
      <c r="D56" s="118"/>
      <c r="E56" s="118"/>
      <c r="F56" s="129"/>
      <c r="G56" s="129"/>
      <c r="H56" s="120" t="s">
        <v>151</v>
      </c>
      <c r="J56" s="8"/>
    </row>
    <row r="57" spans="1:10" x14ac:dyDescent="0.2">
      <c r="A57" s="118"/>
      <c r="B57" s="118"/>
      <c r="C57" s="119" t="s">
        <v>150</v>
      </c>
      <c r="D57" s="118"/>
      <c r="E57" s="118" t="s">
        <v>151</v>
      </c>
      <c r="F57" s="130" t="s">
        <v>153</v>
      </c>
      <c r="G57" s="127">
        <v>0</v>
      </c>
      <c r="H57" s="120" t="s">
        <v>151</v>
      </c>
      <c r="J57" s="8"/>
    </row>
    <row r="58" spans="1:10" x14ac:dyDescent="0.2">
      <c r="A58" s="118"/>
      <c r="B58" s="118"/>
      <c r="C58" s="128"/>
      <c r="D58" s="118"/>
      <c r="E58" s="118"/>
      <c r="F58" s="129"/>
      <c r="G58" s="129"/>
      <c r="H58" s="120" t="s">
        <v>151</v>
      </c>
      <c r="J58" s="8"/>
    </row>
    <row r="59" spans="1:10" x14ac:dyDescent="0.2">
      <c r="A59" s="118"/>
      <c r="B59" s="118"/>
      <c r="C59" s="119" t="s">
        <v>157</v>
      </c>
      <c r="D59" s="118"/>
      <c r="E59" s="118"/>
      <c r="F59" s="129"/>
      <c r="G59" s="129"/>
      <c r="H59" s="120" t="s">
        <v>151</v>
      </c>
      <c r="J59" s="8"/>
    </row>
    <row r="60" spans="1:10" x14ac:dyDescent="0.2">
      <c r="A60" s="118"/>
      <c r="B60" s="118"/>
      <c r="C60" s="119" t="s">
        <v>150</v>
      </c>
      <c r="D60" s="118"/>
      <c r="E60" s="118" t="s">
        <v>151</v>
      </c>
      <c r="F60" s="130" t="s">
        <v>153</v>
      </c>
      <c r="G60" s="127">
        <v>0</v>
      </c>
      <c r="H60" s="120" t="s">
        <v>151</v>
      </c>
      <c r="J60" s="8"/>
    </row>
    <row r="61" spans="1:10" x14ac:dyDescent="0.2">
      <c r="A61" s="118"/>
      <c r="B61" s="118"/>
      <c r="C61" s="128"/>
      <c r="D61" s="118"/>
      <c r="E61" s="118"/>
      <c r="F61" s="129"/>
      <c r="G61" s="129"/>
      <c r="H61" s="120" t="s">
        <v>151</v>
      </c>
      <c r="J61" s="8"/>
    </row>
    <row r="62" spans="1:10" x14ac:dyDescent="0.2">
      <c r="A62" s="118"/>
      <c r="B62" s="118"/>
      <c r="C62" s="119" t="s">
        <v>158</v>
      </c>
      <c r="D62" s="118"/>
      <c r="E62" s="118"/>
      <c r="F62" s="126">
        <v>3819.3247971999999</v>
      </c>
      <c r="G62" s="127">
        <v>0.97405114000000004</v>
      </c>
      <c r="H62" s="120" t="s">
        <v>151</v>
      </c>
      <c r="J62" s="8"/>
    </row>
    <row r="63" spans="1:10" x14ac:dyDescent="0.2">
      <c r="A63" s="118"/>
      <c r="B63" s="118"/>
      <c r="C63" s="128"/>
      <c r="D63" s="118"/>
      <c r="E63" s="118"/>
      <c r="F63" s="129"/>
      <c r="G63" s="129"/>
      <c r="H63" s="120" t="s">
        <v>151</v>
      </c>
      <c r="J63" s="8"/>
    </row>
    <row r="64" spans="1:10" x14ac:dyDescent="0.2">
      <c r="A64" s="118"/>
      <c r="B64" s="118"/>
      <c r="C64" s="119" t="s">
        <v>159</v>
      </c>
      <c r="D64" s="118"/>
      <c r="E64" s="118"/>
      <c r="F64" s="129"/>
      <c r="G64" s="129"/>
      <c r="H64" s="120" t="s">
        <v>151</v>
      </c>
      <c r="J64" s="8"/>
    </row>
    <row r="65" spans="1:10" x14ac:dyDescent="0.2">
      <c r="A65" s="118"/>
      <c r="B65" s="118"/>
      <c r="C65" s="119" t="s">
        <v>10</v>
      </c>
      <c r="D65" s="118"/>
      <c r="E65" s="118"/>
      <c r="F65" s="129"/>
      <c r="G65" s="129"/>
      <c r="H65" s="120" t="s">
        <v>151</v>
      </c>
      <c r="J65" s="8"/>
    </row>
    <row r="66" spans="1:10" x14ac:dyDescent="0.2">
      <c r="A66" s="118"/>
      <c r="B66" s="118"/>
      <c r="C66" s="119" t="s">
        <v>150</v>
      </c>
      <c r="D66" s="118"/>
      <c r="E66" s="118" t="s">
        <v>151</v>
      </c>
      <c r="F66" s="130" t="s">
        <v>153</v>
      </c>
      <c r="G66" s="127">
        <v>0</v>
      </c>
      <c r="H66" s="120" t="s">
        <v>151</v>
      </c>
      <c r="J66" s="8"/>
    </row>
    <row r="67" spans="1:10" x14ac:dyDescent="0.2">
      <c r="A67" s="118"/>
      <c r="B67" s="118"/>
      <c r="C67" s="128"/>
      <c r="D67" s="118"/>
      <c r="E67" s="118"/>
      <c r="F67" s="129"/>
      <c r="G67" s="129"/>
      <c r="H67" s="120" t="s">
        <v>151</v>
      </c>
      <c r="J67" s="8"/>
    </row>
    <row r="68" spans="1:10" x14ac:dyDescent="0.2">
      <c r="A68" s="118"/>
      <c r="B68" s="118"/>
      <c r="C68" s="119" t="s">
        <v>160</v>
      </c>
      <c r="D68" s="118"/>
      <c r="E68" s="118"/>
      <c r="F68" s="118"/>
      <c r="G68" s="118"/>
      <c r="H68" s="120" t="s">
        <v>151</v>
      </c>
      <c r="J68" s="8"/>
    </row>
    <row r="69" spans="1:10" x14ac:dyDescent="0.2">
      <c r="A69" s="118"/>
      <c r="B69" s="118"/>
      <c r="C69" s="119" t="s">
        <v>150</v>
      </c>
      <c r="D69" s="118"/>
      <c r="E69" s="118" t="s">
        <v>151</v>
      </c>
      <c r="F69" s="130" t="s">
        <v>153</v>
      </c>
      <c r="G69" s="127">
        <v>0</v>
      </c>
      <c r="H69" s="120" t="s">
        <v>151</v>
      </c>
      <c r="J69" s="8"/>
    </row>
    <row r="70" spans="1:10" x14ac:dyDescent="0.2">
      <c r="A70" s="118"/>
      <c r="B70" s="118"/>
      <c r="C70" s="128"/>
      <c r="D70" s="118"/>
      <c r="E70" s="118"/>
      <c r="F70" s="129"/>
      <c r="G70" s="129"/>
      <c r="H70" s="120" t="s">
        <v>151</v>
      </c>
      <c r="J70" s="8"/>
    </row>
    <row r="71" spans="1:10" x14ac:dyDescent="0.2">
      <c r="A71" s="118"/>
      <c r="B71" s="118"/>
      <c r="C71" s="119" t="s">
        <v>161</v>
      </c>
      <c r="D71" s="118"/>
      <c r="E71" s="118"/>
      <c r="F71" s="118"/>
      <c r="G71" s="118"/>
      <c r="H71" s="120" t="s">
        <v>151</v>
      </c>
      <c r="J71" s="8"/>
    </row>
    <row r="72" spans="1:10" x14ac:dyDescent="0.2">
      <c r="A72" s="118"/>
      <c r="B72" s="118"/>
      <c r="C72" s="119" t="s">
        <v>150</v>
      </c>
      <c r="D72" s="118"/>
      <c r="E72" s="118" t="s">
        <v>151</v>
      </c>
      <c r="F72" s="130" t="s">
        <v>153</v>
      </c>
      <c r="G72" s="127">
        <v>0</v>
      </c>
      <c r="H72" s="120" t="s">
        <v>151</v>
      </c>
      <c r="J72" s="8"/>
    </row>
    <row r="73" spans="1:10" x14ac:dyDescent="0.2">
      <c r="A73" s="118"/>
      <c r="B73" s="118"/>
      <c r="C73" s="128"/>
      <c r="D73" s="118"/>
      <c r="E73" s="118"/>
      <c r="F73" s="129"/>
      <c r="G73" s="129"/>
      <c r="H73" s="120" t="s">
        <v>151</v>
      </c>
      <c r="J73" s="8"/>
    </row>
    <row r="74" spans="1:10" x14ac:dyDescent="0.2">
      <c r="A74" s="118"/>
      <c r="B74" s="118"/>
      <c r="C74" s="119" t="s">
        <v>162</v>
      </c>
      <c r="D74" s="118"/>
      <c r="E74" s="118"/>
      <c r="F74" s="129"/>
      <c r="G74" s="129"/>
      <c r="H74" s="120" t="s">
        <v>151</v>
      </c>
      <c r="J74" s="8"/>
    </row>
    <row r="75" spans="1:10" x14ac:dyDescent="0.2">
      <c r="A75" s="118"/>
      <c r="B75" s="118"/>
      <c r="C75" s="119" t="s">
        <v>150</v>
      </c>
      <c r="D75" s="118"/>
      <c r="E75" s="118" t="s">
        <v>151</v>
      </c>
      <c r="F75" s="130" t="s">
        <v>153</v>
      </c>
      <c r="G75" s="127">
        <v>0</v>
      </c>
      <c r="H75" s="120" t="s">
        <v>151</v>
      </c>
      <c r="J75" s="8"/>
    </row>
    <row r="76" spans="1:10" x14ac:dyDescent="0.2">
      <c r="A76" s="118"/>
      <c r="B76" s="118"/>
      <c r="C76" s="128"/>
      <c r="D76" s="118"/>
      <c r="E76" s="118"/>
      <c r="F76" s="129"/>
      <c r="G76" s="129"/>
      <c r="H76" s="120" t="s">
        <v>151</v>
      </c>
      <c r="J76" s="8"/>
    </row>
    <row r="77" spans="1:10" x14ac:dyDescent="0.2">
      <c r="A77" s="118"/>
      <c r="B77" s="118"/>
      <c r="C77" s="119" t="s">
        <v>163</v>
      </c>
      <c r="D77" s="118"/>
      <c r="E77" s="118"/>
      <c r="F77" s="126">
        <v>0</v>
      </c>
      <c r="G77" s="127">
        <v>0</v>
      </c>
      <c r="H77" s="120" t="s">
        <v>151</v>
      </c>
      <c r="J77" s="8"/>
    </row>
    <row r="78" spans="1:10" x14ac:dyDescent="0.2">
      <c r="A78" s="118"/>
      <c r="B78" s="118"/>
      <c r="C78" s="128"/>
      <c r="D78" s="118"/>
      <c r="E78" s="118"/>
      <c r="F78" s="129"/>
      <c r="G78" s="129"/>
      <c r="H78" s="120" t="s">
        <v>151</v>
      </c>
      <c r="J78" s="8"/>
    </row>
    <row r="79" spans="1:10" x14ac:dyDescent="0.2">
      <c r="A79" s="118"/>
      <c r="B79" s="118"/>
      <c r="C79" s="119" t="s">
        <v>164</v>
      </c>
      <c r="D79" s="118"/>
      <c r="E79" s="118"/>
      <c r="F79" s="129"/>
      <c r="G79" s="129"/>
      <c r="H79" s="120" t="s">
        <v>151</v>
      </c>
      <c r="J79" s="8"/>
    </row>
    <row r="80" spans="1:10" x14ac:dyDescent="0.2">
      <c r="A80" s="118"/>
      <c r="B80" s="118"/>
      <c r="C80" s="119" t="s">
        <v>165</v>
      </c>
      <c r="D80" s="118"/>
      <c r="E80" s="118"/>
      <c r="F80" s="129"/>
      <c r="G80" s="129"/>
      <c r="H80" s="120" t="s">
        <v>151</v>
      </c>
      <c r="J80" s="8"/>
    </row>
    <row r="81" spans="1:10" x14ac:dyDescent="0.2">
      <c r="A81" s="118"/>
      <c r="B81" s="118"/>
      <c r="C81" s="119" t="s">
        <v>150</v>
      </c>
      <c r="D81" s="118"/>
      <c r="E81" s="118" t="s">
        <v>151</v>
      </c>
      <c r="F81" s="130" t="s">
        <v>153</v>
      </c>
      <c r="G81" s="127">
        <v>0</v>
      </c>
      <c r="H81" s="120" t="s">
        <v>151</v>
      </c>
      <c r="J81" s="8"/>
    </row>
    <row r="82" spans="1:10" x14ac:dyDescent="0.2">
      <c r="A82" s="118"/>
      <c r="B82" s="118"/>
      <c r="C82" s="128"/>
      <c r="D82" s="118"/>
      <c r="E82" s="118"/>
      <c r="F82" s="129"/>
      <c r="G82" s="129"/>
      <c r="H82" s="120" t="s">
        <v>151</v>
      </c>
      <c r="J82" s="8"/>
    </row>
    <row r="83" spans="1:10" x14ac:dyDescent="0.2">
      <c r="A83" s="118"/>
      <c r="B83" s="118"/>
      <c r="C83" s="119" t="s">
        <v>166</v>
      </c>
      <c r="D83" s="118"/>
      <c r="E83" s="118"/>
      <c r="F83" s="129"/>
      <c r="G83" s="129"/>
      <c r="H83" s="120" t="s">
        <v>151</v>
      </c>
      <c r="J83" s="8"/>
    </row>
    <row r="84" spans="1:10" x14ac:dyDescent="0.2">
      <c r="A84" s="118"/>
      <c r="B84" s="118"/>
      <c r="C84" s="119" t="s">
        <v>150</v>
      </c>
      <c r="D84" s="118"/>
      <c r="E84" s="118" t="s">
        <v>151</v>
      </c>
      <c r="F84" s="130" t="s">
        <v>153</v>
      </c>
      <c r="G84" s="127">
        <v>0</v>
      </c>
      <c r="H84" s="120" t="s">
        <v>151</v>
      </c>
      <c r="J84" s="8"/>
    </row>
    <row r="85" spans="1:10" x14ac:dyDescent="0.2">
      <c r="A85" s="118"/>
      <c r="B85" s="118"/>
      <c r="C85" s="128"/>
      <c r="D85" s="118"/>
      <c r="E85" s="118"/>
      <c r="F85" s="129"/>
      <c r="G85" s="129"/>
      <c r="H85" s="120" t="s">
        <v>151</v>
      </c>
      <c r="J85" s="8"/>
    </row>
    <row r="86" spans="1:10" x14ac:dyDescent="0.2">
      <c r="A86" s="118"/>
      <c r="B86" s="118"/>
      <c r="C86" s="119" t="s">
        <v>167</v>
      </c>
      <c r="D86" s="118"/>
      <c r="E86" s="118"/>
      <c r="F86" s="129"/>
      <c r="G86" s="129"/>
      <c r="H86" s="120" t="s">
        <v>151</v>
      </c>
      <c r="J86" s="8"/>
    </row>
    <row r="87" spans="1:10" x14ac:dyDescent="0.2">
      <c r="A87" s="118"/>
      <c r="B87" s="118"/>
      <c r="C87" s="119" t="s">
        <v>150</v>
      </c>
      <c r="D87" s="118"/>
      <c r="E87" s="118" t="s">
        <v>151</v>
      </c>
      <c r="F87" s="130" t="s">
        <v>153</v>
      </c>
      <c r="G87" s="127">
        <v>0</v>
      </c>
      <c r="H87" s="120" t="s">
        <v>151</v>
      </c>
      <c r="J87" s="8"/>
    </row>
    <row r="88" spans="1:10" x14ac:dyDescent="0.2">
      <c r="A88" s="118"/>
      <c r="B88" s="118"/>
      <c r="C88" s="128"/>
      <c r="D88" s="118"/>
      <c r="E88" s="118"/>
      <c r="F88" s="129"/>
      <c r="G88" s="129"/>
      <c r="H88" s="120" t="s">
        <v>151</v>
      </c>
      <c r="J88" s="8"/>
    </row>
    <row r="89" spans="1:10" x14ac:dyDescent="0.2">
      <c r="A89" s="118"/>
      <c r="B89" s="118"/>
      <c r="C89" s="119" t="s">
        <v>168</v>
      </c>
      <c r="D89" s="118"/>
      <c r="E89" s="118"/>
      <c r="F89" s="129"/>
      <c r="G89" s="129"/>
      <c r="H89" s="120" t="s">
        <v>151</v>
      </c>
      <c r="J89" s="8"/>
    </row>
    <row r="90" spans="1:10" x14ac:dyDescent="0.2">
      <c r="A90" s="121">
        <v>1</v>
      </c>
      <c r="B90" s="122"/>
      <c r="C90" s="122" t="s">
        <v>169</v>
      </c>
      <c r="D90" s="122"/>
      <c r="E90" s="131"/>
      <c r="F90" s="124">
        <v>103.54904000000001</v>
      </c>
      <c r="G90" s="125">
        <v>2.6408350000000001E-2</v>
      </c>
      <c r="H90" s="120">
        <v>6.61</v>
      </c>
      <c r="J90" s="8"/>
    </row>
    <row r="91" spans="1:10" x14ac:dyDescent="0.2">
      <c r="A91" s="118"/>
      <c r="B91" s="118"/>
      <c r="C91" s="119" t="s">
        <v>150</v>
      </c>
      <c r="D91" s="118"/>
      <c r="E91" s="118" t="s">
        <v>151</v>
      </c>
      <c r="F91" s="126">
        <v>103.54904000000001</v>
      </c>
      <c r="G91" s="127">
        <v>2.6408350000000001E-2</v>
      </c>
      <c r="H91" s="120" t="s">
        <v>151</v>
      </c>
      <c r="J91" s="8"/>
    </row>
    <row r="92" spans="1:10" x14ac:dyDescent="0.2">
      <c r="A92" s="118"/>
      <c r="B92" s="118"/>
      <c r="C92" s="128"/>
      <c r="D92" s="118"/>
      <c r="E92" s="118"/>
      <c r="F92" s="129"/>
      <c r="G92" s="129"/>
      <c r="H92" s="120" t="s">
        <v>151</v>
      </c>
      <c r="J92" s="8"/>
    </row>
    <row r="93" spans="1:10" x14ac:dyDescent="0.2">
      <c r="A93" s="118"/>
      <c r="B93" s="118"/>
      <c r="C93" s="119" t="s">
        <v>170</v>
      </c>
      <c r="D93" s="118"/>
      <c r="E93" s="118"/>
      <c r="F93" s="126">
        <v>103.54904000000001</v>
      </c>
      <c r="G93" s="127">
        <v>2.6408350000000001E-2</v>
      </c>
      <c r="H93" s="120" t="s">
        <v>151</v>
      </c>
      <c r="J93" s="8"/>
    </row>
    <row r="94" spans="1:10" x14ac:dyDescent="0.2">
      <c r="A94" s="118"/>
      <c r="B94" s="118"/>
      <c r="C94" s="129"/>
      <c r="D94" s="118"/>
      <c r="E94" s="118"/>
      <c r="F94" s="118"/>
      <c r="G94" s="118"/>
      <c r="H94" s="120" t="s">
        <v>151</v>
      </c>
      <c r="J94" s="8"/>
    </row>
    <row r="95" spans="1:10" x14ac:dyDescent="0.2">
      <c r="A95" s="118"/>
      <c r="B95" s="118"/>
      <c r="C95" s="119" t="s">
        <v>171</v>
      </c>
      <c r="D95" s="118"/>
      <c r="E95" s="118"/>
      <c r="F95" s="118"/>
      <c r="G95" s="118"/>
      <c r="H95" s="120" t="s">
        <v>151</v>
      </c>
      <c r="J95" s="8"/>
    </row>
    <row r="96" spans="1:10" x14ac:dyDescent="0.2">
      <c r="A96" s="118"/>
      <c r="B96" s="118"/>
      <c r="C96" s="119" t="s">
        <v>172</v>
      </c>
      <c r="D96" s="118"/>
      <c r="E96" s="118"/>
      <c r="F96" s="118"/>
      <c r="G96" s="118"/>
      <c r="H96" s="120" t="s">
        <v>151</v>
      </c>
      <c r="J96" s="8"/>
    </row>
    <row r="97" spans="1:17" x14ac:dyDescent="0.2">
      <c r="A97" s="118"/>
      <c r="B97" s="118"/>
      <c r="C97" s="119" t="s">
        <v>150</v>
      </c>
      <c r="D97" s="118"/>
      <c r="E97" s="118" t="s">
        <v>151</v>
      </c>
      <c r="F97" s="130" t="s">
        <v>153</v>
      </c>
      <c r="G97" s="127">
        <v>0</v>
      </c>
      <c r="H97" s="120" t="s">
        <v>151</v>
      </c>
      <c r="J97" s="8"/>
    </row>
    <row r="98" spans="1:17" x14ac:dyDescent="0.2">
      <c r="A98" s="118"/>
      <c r="B98" s="118"/>
      <c r="C98" s="128"/>
      <c r="D98" s="118"/>
      <c r="E98" s="118"/>
      <c r="F98" s="129"/>
      <c r="G98" s="129"/>
      <c r="H98" s="120" t="s">
        <v>151</v>
      </c>
      <c r="J98" s="8"/>
    </row>
    <row r="99" spans="1:17" x14ac:dyDescent="0.2">
      <c r="A99" s="118"/>
      <c r="B99" s="118"/>
      <c r="C99" s="119" t="s">
        <v>175</v>
      </c>
      <c r="D99" s="118"/>
      <c r="E99" s="118"/>
      <c r="F99" s="118"/>
      <c r="G99" s="118"/>
      <c r="H99" s="120" t="s">
        <v>151</v>
      </c>
      <c r="J99" s="8"/>
    </row>
    <row r="100" spans="1:17" x14ac:dyDescent="0.2">
      <c r="A100" s="118"/>
      <c r="B100" s="118"/>
      <c r="C100" s="119" t="s">
        <v>176</v>
      </c>
      <c r="D100" s="118"/>
      <c r="E100" s="118"/>
      <c r="F100" s="118"/>
      <c r="G100" s="118"/>
      <c r="H100" s="120" t="s">
        <v>151</v>
      </c>
      <c r="J100" s="8"/>
    </row>
    <row r="101" spans="1:17" x14ac:dyDescent="0.2">
      <c r="A101" s="118"/>
      <c r="B101" s="118"/>
      <c r="C101" s="119" t="s">
        <v>150</v>
      </c>
      <c r="D101" s="118"/>
      <c r="E101" s="118" t="s">
        <v>151</v>
      </c>
      <c r="F101" s="130" t="s">
        <v>153</v>
      </c>
      <c r="G101" s="127">
        <v>0</v>
      </c>
      <c r="H101" s="120" t="s">
        <v>151</v>
      </c>
      <c r="J101" s="8"/>
    </row>
    <row r="102" spans="1:17" x14ac:dyDescent="0.2">
      <c r="A102" s="118"/>
      <c r="B102" s="118"/>
      <c r="C102" s="128"/>
      <c r="D102" s="118"/>
      <c r="E102" s="118"/>
      <c r="F102" s="129"/>
      <c r="G102" s="129"/>
      <c r="H102" s="120" t="s">
        <v>151</v>
      </c>
      <c r="J102" s="8"/>
    </row>
    <row r="103" spans="1:17" ht="25.5" x14ac:dyDescent="0.2">
      <c r="A103" s="118"/>
      <c r="B103" s="118"/>
      <c r="C103" s="119" t="s">
        <v>177</v>
      </c>
      <c r="D103" s="118"/>
      <c r="E103" s="118"/>
      <c r="F103" s="129"/>
      <c r="G103" s="129"/>
      <c r="H103" s="120" t="s">
        <v>151</v>
      </c>
      <c r="J103" s="8"/>
    </row>
    <row r="104" spans="1:17" x14ac:dyDescent="0.2">
      <c r="A104" s="118"/>
      <c r="B104" s="118"/>
      <c r="C104" s="119" t="s">
        <v>150</v>
      </c>
      <c r="D104" s="118"/>
      <c r="E104" s="118" t="s">
        <v>151</v>
      </c>
      <c r="F104" s="130" t="s">
        <v>153</v>
      </c>
      <c r="G104" s="127">
        <v>0</v>
      </c>
      <c r="H104" s="120" t="s">
        <v>151</v>
      </c>
      <c r="J104" s="8"/>
    </row>
    <row r="105" spans="1:17" x14ac:dyDescent="0.2">
      <c r="A105" s="118"/>
      <c r="B105" s="118"/>
      <c r="C105" s="128"/>
      <c r="D105" s="118"/>
      <c r="E105" s="118"/>
      <c r="F105" s="129"/>
      <c r="G105" s="129"/>
      <c r="H105" s="120" t="s">
        <v>151</v>
      </c>
      <c r="J105" s="8"/>
    </row>
    <row r="106" spans="1:17" x14ac:dyDescent="0.2">
      <c r="A106" s="131"/>
      <c r="B106" s="122"/>
      <c r="C106" s="122" t="s">
        <v>178</v>
      </c>
      <c r="D106" s="122"/>
      <c r="E106" s="131"/>
      <c r="F106" s="124">
        <v>-1.80162745</v>
      </c>
      <c r="G106" s="125">
        <v>-4.5947000000000002E-4</v>
      </c>
      <c r="H106" s="120" t="s">
        <v>151</v>
      </c>
      <c r="J106" s="8"/>
    </row>
    <row r="107" spans="1:17" x14ac:dyDescent="0.2">
      <c r="A107" s="128"/>
      <c r="B107" s="128"/>
      <c r="C107" s="119" t="s">
        <v>179</v>
      </c>
      <c r="D107" s="129"/>
      <c r="E107" s="129"/>
      <c r="F107" s="126">
        <v>3921.0722097500002</v>
      </c>
      <c r="G107" s="133">
        <v>1.0000000200000001</v>
      </c>
      <c r="H107" s="120" t="s">
        <v>151</v>
      </c>
      <c r="J107" s="8"/>
    </row>
    <row r="108" spans="1:17" x14ac:dyDescent="0.2">
      <c r="A108" s="134"/>
      <c r="B108" s="134"/>
      <c r="C108" s="134"/>
      <c r="D108" s="135"/>
      <c r="E108" s="135"/>
      <c r="F108" s="135"/>
      <c r="G108" s="135"/>
      <c r="J108" s="8"/>
    </row>
    <row r="109" spans="1:17" x14ac:dyDescent="0.2">
      <c r="A109" s="136"/>
      <c r="B109" s="137" t="s">
        <v>888</v>
      </c>
      <c r="C109" s="137"/>
      <c r="D109" s="137"/>
      <c r="E109" s="137"/>
      <c r="F109" s="137"/>
      <c r="G109" s="137"/>
      <c r="H109" s="137"/>
      <c r="J109" s="8"/>
    </row>
    <row r="110" spans="1:17" x14ac:dyDescent="0.2">
      <c r="A110" s="136"/>
      <c r="B110" s="137" t="s">
        <v>889</v>
      </c>
      <c r="C110" s="137"/>
      <c r="D110" s="137"/>
      <c r="E110" s="137"/>
      <c r="F110" s="137"/>
      <c r="G110" s="137"/>
      <c r="H110" s="137"/>
      <c r="J110" s="8"/>
    </row>
    <row r="111" spans="1:17" x14ac:dyDescent="0.2">
      <c r="A111" s="136"/>
      <c r="B111" s="137" t="s">
        <v>890</v>
      </c>
      <c r="C111" s="137"/>
      <c r="D111" s="137"/>
      <c r="E111" s="137"/>
      <c r="F111" s="137"/>
      <c r="G111" s="137"/>
      <c r="H111" s="137"/>
      <c r="J111" s="8"/>
    </row>
    <row r="112" spans="1:17" s="13" customFormat="1" ht="66" customHeight="1" x14ac:dyDescent="0.25">
      <c r="A112" s="138"/>
      <c r="B112" s="139" t="s">
        <v>891</v>
      </c>
      <c r="C112" s="139"/>
      <c r="D112" s="139"/>
      <c r="E112" s="139"/>
      <c r="F112" s="139"/>
      <c r="G112" s="139"/>
      <c r="H112" s="139"/>
      <c r="I112" s="114"/>
      <c r="J112" s="8"/>
      <c r="K112"/>
      <c r="L112"/>
      <c r="M112"/>
      <c r="N112"/>
      <c r="O112"/>
      <c r="P112"/>
      <c r="Q112"/>
    </row>
    <row r="113" spans="1:10" x14ac:dyDescent="0.2">
      <c r="A113" s="136"/>
      <c r="B113" s="137" t="s">
        <v>892</v>
      </c>
      <c r="C113" s="137"/>
      <c r="D113" s="137"/>
      <c r="E113" s="137"/>
      <c r="F113" s="137"/>
      <c r="G113" s="137"/>
      <c r="H113" s="137"/>
      <c r="J113" s="8"/>
    </row>
    <row r="114" spans="1:10" x14ac:dyDescent="0.2">
      <c r="A114" s="140"/>
      <c r="B114" s="140"/>
      <c r="C114" s="140"/>
      <c r="D114" s="141"/>
      <c r="E114" s="141"/>
      <c r="F114" s="141"/>
      <c r="G114" s="141"/>
      <c r="J114" s="8"/>
    </row>
    <row r="115" spans="1:10" x14ac:dyDescent="0.2">
      <c r="A115" s="140"/>
      <c r="B115" s="142" t="s">
        <v>180</v>
      </c>
      <c r="C115" s="143"/>
      <c r="D115" s="144"/>
      <c r="E115" s="145"/>
      <c r="F115" s="141"/>
      <c r="G115" s="141"/>
      <c r="J115" s="8"/>
    </row>
    <row r="116" spans="1:10" ht="26.25" customHeight="1" x14ac:dyDescent="0.2">
      <c r="A116" s="140"/>
      <c r="B116" s="146" t="s">
        <v>181</v>
      </c>
      <c r="C116" s="147"/>
      <c r="D116" s="119" t="s">
        <v>182</v>
      </c>
      <c r="E116" s="145"/>
      <c r="F116" s="141"/>
      <c r="G116" s="141"/>
      <c r="J116" s="8"/>
    </row>
    <row r="117" spans="1:10" x14ac:dyDescent="0.2">
      <c r="A117" s="140"/>
      <c r="B117" s="148" t="s">
        <v>893</v>
      </c>
      <c r="C117" s="149"/>
      <c r="D117" s="119" t="s">
        <v>182</v>
      </c>
      <c r="E117" s="145"/>
      <c r="F117" s="141"/>
      <c r="G117" s="141"/>
      <c r="J117" s="8"/>
    </row>
    <row r="118" spans="1:10" x14ac:dyDescent="0.2">
      <c r="A118" s="140"/>
      <c r="B118" s="146" t="s">
        <v>184</v>
      </c>
      <c r="C118" s="147"/>
      <c r="D118" s="129" t="s">
        <v>151</v>
      </c>
      <c r="E118" s="145"/>
      <c r="F118" s="141"/>
      <c r="G118" s="141"/>
      <c r="J118" s="8"/>
    </row>
    <row r="119" spans="1:10" x14ac:dyDescent="0.2">
      <c r="A119" s="151"/>
      <c r="B119" s="152" t="s">
        <v>151</v>
      </c>
      <c r="C119" s="152" t="s">
        <v>894</v>
      </c>
      <c r="D119" s="152" t="s">
        <v>185</v>
      </c>
      <c r="E119" s="151"/>
      <c r="F119" s="151"/>
      <c r="G119" s="151"/>
      <c r="H119" s="151"/>
      <c r="J119" s="8"/>
    </row>
    <row r="120" spans="1:10" x14ac:dyDescent="0.2">
      <c r="A120" s="153"/>
      <c r="B120" s="154" t="s">
        <v>186</v>
      </c>
      <c r="C120" s="155">
        <v>45535</v>
      </c>
      <c r="D120" s="155">
        <v>45565</v>
      </c>
      <c r="E120" s="153"/>
      <c r="F120" s="153"/>
      <c r="G120" s="153"/>
      <c r="J120" s="8"/>
    </row>
    <row r="121" spans="1:10" x14ac:dyDescent="0.2">
      <c r="A121" s="153"/>
      <c r="B121" s="122" t="s">
        <v>187</v>
      </c>
      <c r="C121" s="156">
        <v>29.6722</v>
      </c>
      <c r="D121" s="156">
        <v>30.0688</v>
      </c>
      <c r="E121" s="153"/>
      <c r="F121" s="157"/>
      <c r="G121" s="158"/>
      <c r="J121" s="8"/>
    </row>
    <row r="122" spans="1:10" x14ac:dyDescent="0.2">
      <c r="A122" s="153"/>
      <c r="B122" s="122" t="s">
        <v>1038</v>
      </c>
      <c r="C122" s="156">
        <v>28.247900000000001</v>
      </c>
      <c r="D122" s="156">
        <v>28.625399999999999</v>
      </c>
      <c r="E122" s="153"/>
      <c r="F122" s="157"/>
      <c r="G122" s="158"/>
      <c r="J122" s="8"/>
    </row>
    <row r="123" spans="1:10" x14ac:dyDescent="0.2">
      <c r="A123" s="153"/>
      <c r="B123" s="122" t="s">
        <v>188</v>
      </c>
      <c r="C123" s="156">
        <v>28.803000000000001</v>
      </c>
      <c r="D123" s="156">
        <v>29.182500000000001</v>
      </c>
      <c r="E123" s="153"/>
      <c r="F123" s="157"/>
      <c r="G123" s="158"/>
      <c r="J123" s="8"/>
    </row>
    <row r="124" spans="1:10" x14ac:dyDescent="0.2">
      <c r="A124" s="153"/>
      <c r="B124" s="122" t="s">
        <v>1039</v>
      </c>
      <c r="C124" s="156">
        <v>27.3812</v>
      </c>
      <c r="D124" s="156">
        <v>27.741900000000001</v>
      </c>
      <c r="E124" s="153"/>
      <c r="F124" s="157"/>
      <c r="G124" s="158"/>
      <c r="J124" s="8"/>
    </row>
    <row r="125" spans="1:10" x14ac:dyDescent="0.2">
      <c r="A125" s="153"/>
      <c r="B125" s="153"/>
      <c r="C125" s="153"/>
      <c r="D125" s="153"/>
      <c r="E125" s="153"/>
      <c r="F125" s="153"/>
      <c r="G125" s="153"/>
      <c r="J125" s="8"/>
    </row>
    <row r="126" spans="1:10" x14ac:dyDescent="0.2">
      <c r="A126" s="151"/>
      <c r="B126" s="148" t="s">
        <v>895</v>
      </c>
      <c r="C126" s="149"/>
      <c r="D126" s="150" t="s">
        <v>182</v>
      </c>
      <c r="E126" s="151"/>
      <c r="F126" s="151"/>
      <c r="G126" s="151"/>
      <c r="J126" s="8"/>
    </row>
    <row r="127" spans="1:10" x14ac:dyDescent="0.2">
      <c r="A127" s="151"/>
      <c r="B127" s="201"/>
      <c r="C127" s="201"/>
      <c r="D127" s="201"/>
      <c r="E127" s="151"/>
      <c r="F127" s="151"/>
      <c r="G127" s="151"/>
      <c r="J127" s="8"/>
    </row>
    <row r="128" spans="1:10" x14ac:dyDescent="0.2">
      <c r="A128" s="151"/>
      <c r="B128" s="148" t="s">
        <v>189</v>
      </c>
      <c r="C128" s="149"/>
      <c r="D128" s="150" t="s">
        <v>182</v>
      </c>
      <c r="E128" s="160"/>
      <c r="F128" s="151"/>
      <c r="G128" s="151"/>
      <c r="J128" s="8"/>
    </row>
    <row r="129" spans="1:10" x14ac:dyDescent="0.2">
      <c r="A129" s="151"/>
      <c r="B129" s="148" t="s">
        <v>190</v>
      </c>
      <c r="C129" s="149"/>
      <c r="D129" s="150" t="s">
        <v>182</v>
      </c>
      <c r="E129" s="160"/>
      <c r="F129" s="151"/>
      <c r="G129" s="151"/>
      <c r="J129" s="8"/>
    </row>
    <row r="130" spans="1:10" x14ac:dyDescent="0.2">
      <c r="A130" s="151"/>
      <c r="B130" s="148" t="s">
        <v>191</v>
      </c>
      <c r="C130" s="149"/>
      <c r="D130" s="150" t="s">
        <v>182</v>
      </c>
      <c r="E130" s="160"/>
      <c r="F130" s="151"/>
      <c r="G130" s="151"/>
      <c r="J130" s="8"/>
    </row>
    <row r="131" spans="1:10" x14ac:dyDescent="0.2">
      <c r="A131" s="151"/>
      <c r="B131" s="148" t="s">
        <v>192</v>
      </c>
      <c r="C131" s="149"/>
      <c r="D131" s="161">
        <v>0.2643954836672458</v>
      </c>
      <c r="E131" s="151"/>
      <c r="F131" s="159"/>
      <c r="G131" s="162"/>
      <c r="J131" s="8"/>
    </row>
    <row r="132" spans="1:10" x14ac:dyDescent="0.2">
      <c r="J132" s="8"/>
    </row>
    <row r="133" spans="1:10" x14ac:dyDescent="0.2">
      <c r="J133" s="8"/>
    </row>
    <row r="134" spans="1:10" x14ac:dyDescent="0.2">
      <c r="J134" s="8"/>
    </row>
    <row r="135" spans="1:10" x14ac:dyDescent="0.2">
      <c r="J135" s="8"/>
    </row>
    <row r="136" spans="1:10" x14ac:dyDescent="0.2">
      <c r="J136" s="8"/>
    </row>
    <row r="137" spans="1:10" x14ac:dyDescent="0.2">
      <c r="J137" s="8"/>
    </row>
    <row r="138" spans="1:10" x14ac:dyDescent="0.2">
      <c r="J138" s="8"/>
    </row>
  </sheetData>
  <mergeCells count="17">
    <mergeCell ref="B117:C117"/>
    <mergeCell ref="B118:C118"/>
    <mergeCell ref="B126:C126"/>
    <mergeCell ref="B130:C130"/>
    <mergeCell ref="B131:C131"/>
    <mergeCell ref="B128:C128"/>
    <mergeCell ref="B129:C129"/>
    <mergeCell ref="B116:C116"/>
    <mergeCell ref="A1:H1"/>
    <mergeCell ref="A2:H2"/>
    <mergeCell ref="A3:H3"/>
    <mergeCell ref="B109:H109"/>
    <mergeCell ref="B110:H110"/>
    <mergeCell ref="B111:H111"/>
    <mergeCell ref="B112:H112"/>
    <mergeCell ref="B113:H113"/>
    <mergeCell ref="B115:D115"/>
  </mergeCells>
  <hyperlinks>
    <hyperlink ref="I1" location="Index!B2" display="Index" xr:uid="{A2717923-1C31-46A8-8A2A-AD3C0FA0F00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B247-55A5-4498-9C98-98693EA02EE2}">
  <sheetPr>
    <outlinePr summaryBelow="0" summaryRight="0"/>
  </sheetPr>
  <dimension ref="A1:Q139"/>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32.7109375" style="114" bestFit="1" customWidth="1"/>
    <col min="4" max="4" width="17.570312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1176</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ht="25.5" x14ac:dyDescent="0.2">
      <c r="A6" s="118"/>
      <c r="B6" s="118"/>
      <c r="C6" s="119" t="s">
        <v>10</v>
      </c>
      <c r="D6" s="118"/>
      <c r="E6" s="118"/>
      <c r="F6" s="118"/>
      <c r="G6" s="118"/>
      <c r="H6" s="120" t="s">
        <v>151</v>
      </c>
      <c r="J6" s="8"/>
    </row>
    <row r="7" spans="1:10" x14ac:dyDescent="0.2">
      <c r="A7" s="121">
        <v>1</v>
      </c>
      <c r="B7" s="122" t="s">
        <v>362</v>
      </c>
      <c r="C7" s="122" t="s">
        <v>363</v>
      </c>
      <c r="D7" s="122" t="s">
        <v>241</v>
      </c>
      <c r="E7" s="123">
        <v>2572</v>
      </c>
      <c r="F7" s="124">
        <v>145.58291600000001</v>
      </c>
      <c r="G7" s="125">
        <v>5.9126049999999999E-2</v>
      </c>
      <c r="H7" s="120" t="s">
        <v>151</v>
      </c>
      <c r="J7" s="8"/>
    </row>
    <row r="8" spans="1:10" x14ac:dyDescent="0.2">
      <c r="A8" s="121">
        <v>2</v>
      </c>
      <c r="B8" s="122" t="s">
        <v>407</v>
      </c>
      <c r="C8" s="122" t="s">
        <v>408</v>
      </c>
      <c r="D8" s="122" t="s">
        <v>35</v>
      </c>
      <c r="E8" s="123">
        <v>5638</v>
      </c>
      <c r="F8" s="124">
        <v>132.552199</v>
      </c>
      <c r="G8" s="125">
        <v>5.3833840000000001E-2</v>
      </c>
      <c r="H8" s="120" t="s">
        <v>151</v>
      </c>
      <c r="J8" s="8"/>
    </row>
    <row r="9" spans="1:10" x14ac:dyDescent="0.2">
      <c r="A9" s="121">
        <v>3</v>
      </c>
      <c r="B9" s="122" t="s">
        <v>145</v>
      </c>
      <c r="C9" s="122" t="s">
        <v>146</v>
      </c>
      <c r="D9" s="122" t="s">
        <v>35</v>
      </c>
      <c r="E9" s="123">
        <v>27896</v>
      </c>
      <c r="F9" s="124">
        <v>108.292272</v>
      </c>
      <c r="G9" s="125">
        <v>4.3981079999999999E-2</v>
      </c>
      <c r="H9" s="120" t="s">
        <v>151</v>
      </c>
      <c r="J9" s="8"/>
    </row>
    <row r="10" spans="1:10" x14ac:dyDescent="0.2">
      <c r="A10" s="121">
        <v>4</v>
      </c>
      <c r="B10" s="122" t="s">
        <v>409</v>
      </c>
      <c r="C10" s="122" t="s">
        <v>410</v>
      </c>
      <c r="D10" s="122" t="s">
        <v>238</v>
      </c>
      <c r="E10" s="123">
        <v>30085</v>
      </c>
      <c r="F10" s="124">
        <v>107.4485775</v>
      </c>
      <c r="G10" s="125">
        <v>4.3638429999999999E-2</v>
      </c>
      <c r="H10" s="120" t="s">
        <v>151</v>
      </c>
      <c r="J10" s="8"/>
    </row>
    <row r="11" spans="1:10" x14ac:dyDescent="0.2">
      <c r="A11" s="121">
        <v>5</v>
      </c>
      <c r="B11" s="122" t="s">
        <v>393</v>
      </c>
      <c r="C11" s="122" t="s">
        <v>394</v>
      </c>
      <c r="D11" s="122" t="s">
        <v>395</v>
      </c>
      <c r="E11" s="123">
        <v>6568</v>
      </c>
      <c r="F11" s="124">
        <v>104.32611199999999</v>
      </c>
      <c r="G11" s="125">
        <v>4.2370289999999998E-2</v>
      </c>
      <c r="H11" s="120" t="s">
        <v>151</v>
      </c>
      <c r="J11" s="8"/>
    </row>
    <row r="12" spans="1:10" ht="15" x14ac:dyDescent="0.2">
      <c r="A12" s="121">
        <v>6</v>
      </c>
      <c r="B12" s="122" t="s">
        <v>223</v>
      </c>
      <c r="C12" s="122" t="s">
        <v>224</v>
      </c>
      <c r="D12" s="122" t="s">
        <v>121</v>
      </c>
      <c r="E12" s="123">
        <v>700</v>
      </c>
      <c r="F12" s="124">
        <v>100.14375</v>
      </c>
      <c r="G12" s="125">
        <v>4.0671690000000003E-2</v>
      </c>
      <c r="H12" s="120" t="s">
        <v>151</v>
      </c>
      <c r="J12" s="11"/>
    </row>
    <row r="13" spans="1:10" x14ac:dyDescent="0.2">
      <c r="A13" s="121">
        <v>7</v>
      </c>
      <c r="B13" s="122" t="s">
        <v>39</v>
      </c>
      <c r="C13" s="122" t="s">
        <v>40</v>
      </c>
      <c r="D13" s="122" t="s">
        <v>32</v>
      </c>
      <c r="E13" s="123">
        <v>10955</v>
      </c>
      <c r="F13" s="124">
        <v>98.518315000000001</v>
      </c>
      <c r="G13" s="125">
        <v>4.001155E-2</v>
      </c>
      <c r="H13" s="120" t="s">
        <v>151</v>
      </c>
      <c r="J13" s="8"/>
    </row>
    <row r="14" spans="1:10" x14ac:dyDescent="0.2">
      <c r="A14" s="121">
        <v>8</v>
      </c>
      <c r="B14" s="122" t="s">
        <v>411</v>
      </c>
      <c r="C14" s="122" t="s">
        <v>412</v>
      </c>
      <c r="D14" s="122" t="s">
        <v>211</v>
      </c>
      <c r="E14" s="123">
        <v>21323</v>
      </c>
      <c r="F14" s="124">
        <v>88.511773000000005</v>
      </c>
      <c r="G14" s="125">
        <v>3.5947560000000003E-2</v>
      </c>
      <c r="H14" s="120" t="s">
        <v>151</v>
      </c>
      <c r="J14" s="8"/>
    </row>
    <row r="15" spans="1:10" x14ac:dyDescent="0.2">
      <c r="A15" s="121">
        <v>9</v>
      </c>
      <c r="B15" s="122" t="s">
        <v>89</v>
      </c>
      <c r="C15" s="122" t="s">
        <v>90</v>
      </c>
      <c r="D15" s="122" t="s">
        <v>32</v>
      </c>
      <c r="E15" s="123">
        <v>1987</v>
      </c>
      <c r="F15" s="124">
        <v>85.387350999999995</v>
      </c>
      <c r="G15" s="125">
        <v>3.4678630000000002E-2</v>
      </c>
      <c r="H15" s="120" t="s">
        <v>151</v>
      </c>
      <c r="J15" s="8" t="s">
        <v>899</v>
      </c>
    </row>
    <row r="16" spans="1:10" x14ac:dyDescent="0.2">
      <c r="A16" s="121">
        <v>10</v>
      </c>
      <c r="B16" s="122" t="s">
        <v>413</v>
      </c>
      <c r="C16" s="122" t="s">
        <v>414</v>
      </c>
      <c r="D16" s="122" t="s">
        <v>48</v>
      </c>
      <c r="E16" s="123">
        <v>101192</v>
      </c>
      <c r="F16" s="124">
        <v>78.130343199999999</v>
      </c>
      <c r="G16" s="125">
        <v>3.173132E-2</v>
      </c>
      <c r="H16" s="120" t="s">
        <v>151</v>
      </c>
      <c r="J16" s="8"/>
    </row>
    <row r="17" spans="1:10" x14ac:dyDescent="0.2">
      <c r="A17" s="121">
        <v>11</v>
      </c>
      <c r="B17" s="122" t="s">
        <v>415</v>
      </c>
      <c r="C17" s="122" t="s">
        <v>416</v>
      </c>
      <c r="D17" s="122" t="s">
        <v>417</v>
      </c>
      <c r="E17" s="123">
        <v>4462</v>
      </c>
      <c r="F17" s="124">
        <v>74.232062999999997</v>
      </c>
      <c r="G17" s="125">
        <v>3.0148100000000001E-2</v>
      </c>
      <c r="H17" s="120" t="s">
        <v>151</v>
      </c>
      <c r="J17" s="8"/>
    </row>
    <row r="18" spans="1:10" x14ac:dyDescent="0.2">
      <c r="A18" s="121">
        <v>12</v>
      </c>
      <c r="B18" s="122" t="s">
        <v>420</v>
      </c>
      <c r="C18" s="122" t="s">
        <v>421</v>
      </c>
      <c r="D18" s="122" t="s">
        <v>48</v>
      </c>
      <c r="E18" s="123">
        <v>178820</v>
      </c>
      <c r="F18" s="124">
        <v>72.296925999999999</v>
      </c>
      <c r="G18" s="125">
        <v>2.9362180000000002E-2</v>
      </c>
      <c r="H18" s="120" t="s">
        <v>151</v>
      </c>
      <c r="J18" s="8"/>
    </row>
    <row r="19" spans="1:10" x14ac:dyDescent="0.2">
      <c r="A19" s="121">
        <v>13</v>
      </c>
      <c r="B19" s="122" t="s">
        <v>418</v>
      </c>
      <c r="C19" s="122" t="s">
        <v>419</v>
      </c>
      <c r="D19" s="122" t="s">
        <v>32</v>
      </c>
      <c r="E19" s="123">
        <v>5262</v>
      </c>
      <c r="F19" s="124">
        <v>72.263046000000003</v>
      </c>
      <c r="G19" s="125">
        <v>2.934842E-2</v>
      </c>
      <c r="H19" s="120" t="s">
        <v>151</v>
      </c>
      <c r="J19" s="8"/>
    </row>
    <row r="20" spans="1:10" x14ac:dyDescent="0.2">
      <c r="A20" s="121">
        <v>14</v>
      </c>
      <c r="B20" s="122" t="s">
        <v>422</v>
      </c>
      <c r="C20" s="122" t="s">
        <v>423</v>
      </c>
      <c r="D20" s="122" t="s">
        <v>216</v>
      </c>
      <c r="E20" s="123">
        <v>9732</v>
      </c>
      <c r="F20" s="124">
        <v>71.345292000000001</v>
      </c>
      <c r="G20" s="125">
        <v>2.8975689999999998E-2</v>
      </c>
      <c r="H20" s="120" t="s">
        <v>151</v>
      </c>
      <c r="J20" s="8"/>
    </row>
    <row r="21" spans="1:10" x14ac:dyDescent="0.2">
      <c r="A21" s="121">
        <v>15</v>
      </c>
      <c r="B21" s="122" t="s">
        <v>43</v>
      </c>
      <c r="C21" s="122" t="s">
        <v>44</v>
      </c>
      <c r="D21" s="122" t="s">
        <v>45</v>
      </c>
      <c r="E21" s="123">
        <v>5006</v>
      </c>
      <c r="F21" s="124">
        <v>70.937522999999999</v>
      </c>
      <c r="G21" s="125">
        <v>2.8810079999999998E-2</v>
      </c>
      <c r="H21" s="120" t="s">
        <v>151</v>
      </c>
      <c r="J21" s="8"/>
    </row>
    <row r="22" spans="1:10" ht="15" x14ac:dyDescent="0.2">
      <c r="A22" s="121">
        <v>16</v>
      </c>
      <c r="B22" s="122" t="s">
        <v>424</v>
      </c>
      <c r="C22" s="122" t="s">
        <v>425</v>
      </c>
      <c r="D22" s="122" t="s">
        <v>48</v>
      </c>
      <c r="E22" s="123">
        <v>22305</v>
      </c>
      <c r="F22" s="124">
        <v>69.892717500000003</v>
      </c>
      <c r="G22" s="125">
        <v>2.8385750000000001E-2</v>
      </c>
      <c r="H22" s="120" t="s">
        <v>151</v>
      </c>
      <c r="J22" s="11"/>
    </row>
    <row r="23" spans="1:10" ht="25.5" x14ac:dyDescent="0.2">
      <c r="A23" s="121">
        <v>17</v>
      </c>
      <c r="B23" s="122" t="s">
        <v>324</v>
      </c>
      <c r="C23" s="122" t="s">
        <v>325</v>
      </c>
      <c r="D23" s="122" t="s">
        <v>258</v>
      </c>
      <c r="E23" s="123">
        <v>1976</v>
      </c>
      <c r="F23" s="124">
        <v>68.001075999999998</v>
      </c>
      <c r="G23" s="125">
        <v>2.7617490000000001E-2</v>
      </c>
      <c r="H23" s="120" t="s">
        <v>151</v>
      </c>
      <c r="J23" s="8"/>
    </row>
    <row r="24" spans="1:10" ht="25.5" x14ac:dyDescent="0.2">
      <c r="A24" s="121">
        <v>18</v>
      </c>
      <c r="B24" s="122" t="s">
        <v>430</v>
      </c>
      <c r="C24" s="122" t="s">
        <v>431</v>
      </c>
      <c r="D24" s="122" t="s">
        <v>205</v>
      </c>
      <c r="E24" s="123">
        <v>1238</v>
      </c>
      <c r="F24" s="124">
        <v>67.169546999999994</v>
      </c>
      <c r="G24" s="125">
        <v>2.727978E-2</v>
      </c>
      <c r="H24" s="120" t="s">
        <v>151</v>
      </c>
      <c r="J24" s="8"/>
    </row>
    <row r="25" spans="1:10" ht="25.5" x14ac:dyDescent="0.2">
      <c r="A25" s="121">
        <v>19</v>
      </c>
      <c r="B25" s="122" t="s">
        <v>426</v>
      </c>
      <c r="C25" s="122" t="s">
        <v>427</v>
      </c>
      <c r="D25" s="122" t="s">
        <v>205</v>
      </c>
      <c r="E25" s="123">
        <v>3299</v>
      </c>
      <c r="F25" s="124">
        <v>61.856250000000003</v>
      </c>
      <c r="G25" s="125">
        <v>2.5121870000000001E-2</v>
      </c>
      <c r="H25" s="120" t="s">
        <v>151</v>
      </c>
      <c r="J25" s="8"/>
    </row>
    <row r="26" spans="1:10" ht="25.5" x14ac:dyDescent="0.2">
      <c r="A26" s="121">
        <v>20</v>
      </c>
      <c r="B26" s="122" t="s">
        <v>434</v>
      </c>
      <c r="C26" s="122" t="s">
        <v>435</v>
      </c>
      <c r="D26" s="122" t="s">
        <v>436</v>
      </c>
      <c r="E26" s="123">
        <v>14767</v>
      </c>
      <c r="F26" s="124">
        <v>61.666992</v>
      </c>
      <c r="G26" s="125">
        <v>2.5045009999999999E-2</v>
      </c>
      <c r="H26" s="120" t="s">
        <v>151</v>
      </c>
      <c r="J26" s="8"/>
    </row>
    <row r="27" spans="1:10" x14ac:dyDescent="0.2">
      <c r="A27" s="121">
        <v>21</v>
      </c>
      <c r="B27" s="122" t="s">
        <v>432</v>
      </c>
      <c r="C27" s="122" t="s">
        <v>433</v>
      </c>
      <c r="D27" s="122" t="s">
        <v>241</v>
      </c>
      <c r="E27" s="123">
        <v>2367</v>
      </c>
      <c r="F27" s="124">
        <v>60.635438999999998</v>
      </c>
      <c r="G27" s="125">
        <v>2.4626060000000002E-2</v>
      </c>
      <c r="H27" s="120" t="s">
        <v>151</v>
      </c>
      <c r="J27" s="8"/>
    </row>
    <row r="28" spans="1:10" x14ac:dyDescent="0.2">
      <c r="A28" s="121">
        <v>22</v>
      </c>
      <c r="B28" s="122" t="s">
        <v>428</v>
      </c>
      <c r="C28" s="122" t="s">
        <v>429</v>
      </c>
      <c r="D28" s="122" t="s">
        <v>121</v>
      </c>
      <c r="E28" s="123">
        <v>6232</v>
      </c>
      <c r="F28" s="124">
        <v>55.605020000000003</v>
      </c>
      <c r="G28" s="125">
        <v>2.2583039999999999E-2</v>
      </c>
      <c r="H28" s="120" t="s">
        <v>151</v>
      </c>
      <c r="J28" s="8"/>
    </row>
    <row r="29" spans="1:10" x14ac:dyDescent="0.2">
      <c r="A29" s="121">
        <v>23</v>
      </c>
      <c r="B29" s="122" t="s">
        <v>441</v>
      </c>
      <c r="C29" s="122" t="s">
        <v>442</v>
      </c>
      <c r="D29" s="122" t="s">
        <v>35</v>
      </c>
      <c r="E29" s="123">
        <v>5778</v>
      </c>
      <c r="F29" s="124">
        <v>51.369309000000001</v>
      </c>
      <c r="G29" s="125">
        <v>2.0862780000000001E-2</v>
      </c>
      <c r="H29" s="120" t="s">
        <v>151</v>
      </c>
      <c r="J29" s="8"/>
    </row>
    <row r="30" spans="1:10" x14ac:dyDescent="0.2">
      <c r="A30" s="121">
        <v>24</v>
      </c>
      <c r="B30" s="122" t="s">
        <v>437</v>
      </c>
      <c r="C30" s="122" t="s">
        <v>438</v>
      </c>
      <c r="D30" s="122" t="s">
        <v>32</v>
      </c>
      <c r="E30" s="123">
        <v>8416</v>
      </c>
      <c r="F30" s="124">
        <v>51.026207999999997</v>
      </c>
      <c r="G30" s="125">
        <v>2.0723430000000001E-2</v>
      </c>
      <c r="H30" s="120" t="s">
        <v>151</v>
      </c>
      <c r="J30" s="8"/>
    </row>
    <row r="31" spans="1:10" x14ac:dyDescent="0.2">
      <c r="A31" s="121">
        <v>25</v>
      </c>
      <c r="B31" s="122" t="s">
        <v>244</v>
      </c>
      <c r="C31" s="122" t="s">
        <v>245</v>
      </c>
      <c r="D31" s="122" t="s">
        <v>121</v>
      </c>
      <c r="E31" s="123">
        <v>2453</v>
      </c>
      <c r="F31" s="124">
        <v>50.131960999999997</v>
      </c>
      <c r="G31" s="125">
        <v>2.036025E-2</v>
      </c>
      <c r="H31" s="120" t="s">
        <v>151</v>
      </c>
      <c r="J31" s="8"/>
    </row>
    <row r="32" spans="1:10" x14ac:dyDescent="0.2">
      <c r="A32" s="121">
        <v>26</v>
      </c>
      <c r="B32" s="122" t="s">
        <v>439</v>
      </c>
      <c r="C32" s="122" t="s">
        <v>440</v>
      </c>
      <c r="D32" s="122" t="s">
        <v>238</v>
      </c>
      <c r="E32" s="123">
        <v>5099</v>
      </c>
      <c r="F32" s="124">
        <v>48.152406499999998</v>
      </c>
      <c r="G32" s="125">
        <v>1.955629E-2</v>
      </c>
      <c r="H32" s="120" t="s">
        <v>151</v>
      </c>
      <c r="J32" s="8"/>
    </row>
    <row r="33" spans="1:10" x14ac:dyDescent="0.2">
      <c r="A33" s="121">
        <v>27</v>
      </c>
      <c r="B33" s="122" t="s">
        <v>100</v>
      </c>
      <c r="C33" s="122" t="s">
        <v>101</v>
      </c>
      <c r="D33" s="122" t="s">
        <v>32</v>
      </c>
      <c r="E33" s="123">
        <v>1906</v>
      </c>
      <c r="F33" s="124">
        <v>45.84883</v>
      </c>
      <c r="G33" s="125">
        <v>1.8620729999999999E-2</v>
      </c>
      <c r="H33" s="120" t="s">
        <v>151</v>
      </c>
      <c r="J33" s="8"/>
    </row>
    <row r="34" spans="1:10" x14ac:dyDescent="0.2">
      <c r="A34" s="121">
        <v>28</v>
      </c>
      <c r="B34" s="122" t="s">
        <v>443</v>
      </c>
      <c r="C34" s="122" t="s">
        <v>444</v>
      </c>
      <c r="D34" s="122" t="s">
        <v>216</v>
      </c>
      <c r="E34" s="123">
        <v>7579</v>
      </c>
      <c r="F34" s="124">
        <v>45.618001</v>
      </c>
      <c r="G34" s="125">
        <v>1.8526979999999998E-2</v>
      </c>
      <c r="H34" s="120" t="s">
        <v>151</v>
      </c>
      <c r="J34" s="8"/>
    </row>
    <row r="35" spans="1:10" ht="25.5" x14ac:dyDescent="0.2">
      <c r="A35" s="121">
        <v>29</v>
      </c>
      <c r="B35" s="122" t="s">
        <v>304</v>
      </c>
      <c r="C35" s="122" t="s">
        <v>305</v>
      </c>
      <c r="D35" s="122" t="s">
        <v>205</v>
      </c>
      <c r="E35" s="123">
        <v>9440</v>
      </c>
      <c r="F35" s="124">
        <v>43.763840000000002</v>
      </c>
      <c r="G35" s="125">
        <v>1.777395E-2</v>
      </c>
      <c r="H35" s="120" t="s">
        <v>151</v>
      </c>
      <c r="J35" s="8"/>
    </row>
    <row r="36" spans="1:10" ht="25.5" x14ac:dyDescent="0.2">
      <c r="A36" s="121">
        <v>30</v>
      </c>
      <c r="B36" s="122" t="s">
        <v>77</v>
      </c>
      <c r="C36" s="122" t="s">
        <v>78</v>
      </c>
      <c r="D36" s="122" t="s">
        <v>25</v>
      </c>
      <c r="E36" s="123">
        <v>936</v>
      </c>
      <c r="F36" s="124">
        <v>43.461288000000003</v>
      </c>
      <c r="G36" s="125">
        <v>1.7651070000000001E-2</v>
      </c>
      <c r="H36" s="120" t="s">
        <v>151</v>
      </c>
      <c r="J36" s="8"/>
    </row>
    <row r="37" spans="1:10" x14ac:dyDescent="0.2">
      <c r="A37" s="121">
        <v>31</v>
      </c>
      <c r="B37" s="122" t="s">
        <v>447</v>
      </c>
      <c r="C37" s="122" t="s">
        <v>448</v>
      </c>
      <c r="D37" s="122" t="s">
        <v>121</v>
      </c>
      <c r="E37" s="123">
        <v>3328</v>
      </c>
      <c r="F37" s="124">
        <v>39.856127999999998</v>
      </c>
      <c r="G37" s="125">
        <v>1.6186889999999999E-2</v>
      </c>
      <c r="H37" s="120" t="s">
        <v>151</v>
      </c>
      <c r="J37" s="8"/>
    </row>
    <row r="38" spans="1:10" x14ac:dyDescent="0.2">
      <c r="A38" s="121">
        <v>32</v>
      </c>
      <c r="B38" s="122" t="s">
        <v>445</v>
      </c>
      <c r="C38" s="122" t="s">
        <v>446</v>
      </c>
      <c r="D38" s="122" t="s">
        <v>35</v>
      </c>
      <c r="E38" s="123">
        <v>4055</v>
      </c>
      <c r="F38" s="124">
        <v>39.797797500000001</v>
      </c>
      <c r="G38" s="125">
        <v>1.6163199999999999E-2</v>
      </c>
      <c r="H38" s="120" t="s">
        <v>151</v>
      </c>
      <c r="J38" s="8"/>
    </row>
    <row r="39" spans="1:10" x14ac:dyDescent="0.2">
      <c r="A39" s="121">
        <v>33</v>
      </c>
      <c r="B39" s="122" t="s">
        <v>384</v>
      </c>
      <c r="C39" s="122" t="s">
        <v>385</v>
      </c>
      <c r="D39" s="122" t="s">
        <v>134</v>
      </c>
      <c r="E39" s="123">
        <v>18454</v>
      </c>
      <c r="F39" s="124">
        <v>31.104216999999998</v>
      </c>
      <c r="G39" s="125">
        <v>1.263245E-2</v>
      </c>
      <c r="H39" s="120" t="s">
        <v>151</v>
      </c>
      <c r="J39" s="8"/>
    </row>
    <row r="40" spans="1:10" x14ac:dyDescent="0.2">
      <c r="A40" s="121">
        <v>34</v>
      </c>
      <c r="B40" s="122" t="s">
        <v>451</v>
      </c>
      <c r="C40" s="122" t="s">
        <v>452</v>
      </c>
      <c r="D40" s="122" t="s">
        <v>85</v>
      </c>
      <c r="E40" s="123">
        <v>2508</v>
      </c>
      <c r="F40" s="124">
        <v>26.850648</v>
      </c>
      <c r="G40" s="125">
        <v>1.090494E-2</v>
      </c>
      <c r="H40" s="120" t="s">
        <v>151</v>
      </c>
      <c r="J40" s="8"/>
    </row>
    <row r="41" spans="1:10" x14ac:dyDescent="0.2">
      <c r="A41" s="121">
        <v>35</v>
      </c>
      <c r="B41" s="122" t="s">
        <v>453</v>
      </c>
      <c r="C41" s="122" t="s">
        <v>454</v>
      </c>
      <c r="D41" s="122" t="s">
        <v>45</v>
      </c>
      <c r="E41" s="123">
        <v>1390</v>
      </c>
      <c r="F41" s="124">
        <v>25.654534999999999</v>
      </c>
      <c r="G41" s="125">
        <v>1.041916E-2</v>
      </c>
      <c r="H41" s="120" t="s">
        <v>151</v>
      </c>
      <c r="J41" s="8"/>
    </row>
    <row r="42" spans="1:10" x14ac:dyDescent="0.2">
      <c r="A42" s="121">
        <v>36</v>
      </c>
      <c r="B42" s="122" t="s">
        <v>455</v>
      </c>
      <c r="C42" s="122" t="s">
        <v>456</v>
      </c>
      <c r="D42" s="122" t="s">
        <v>32</v>
      </c>
      <c r="E42" s="123">
        <v>1475</v>
      </c>
      <c r="F42" s="124">
        <v>22.101400000000002</v>
      </c>
      <c r="G42" s="125">
        <v>8.9761100000000007E-3</v>
      </c>
      <c r="H42" s="120" t="s">
        <v>151</v>
      </c>
      <c r="J42" s="8"/>
    </row>
    <row r="43" spans="1:10" x14ac:dyDescent="0.2">
      <c r="A43" s="121">
        <v>37</v>
      </c>
      <c r="B43" s="122" t="s">
        <v>457</v>
      </c>
      <c r="C43" s="122" t="s">
        <v>458</v>
      </c>
      <c r="D43" s="122" t="s">
        <v>70</v>
      </c>
      <c r="E43" s="123">
        <v>2606</v>
      </c>
      <c r="F43" s="124">
        <v>15.634696999999999</v>
      </c>
      <c r="G43" s="125">
        <v>6.3497700000000002E-3</v>
      </c>
      <c r="H43" s="120" t="s">
        <v>151</v>
      </c>
      <c r="J43" s="8"/>
    </row>
    <row r="44" spans="1:10" x14ac:dyDescent="0.2">
      <c r="A44" s="118"/>
      <c r="B44" s="118"/>
      <c r="C44" s="119" t="s">
        <v>150</v>
      </c>
      <c r="D44" s="118"/>
      <c r="E44" s="118" t="s">
        <v>151</v>
      </c>
      <c r="F44" s="126">
        <v>2435.1667662</v>
      </c>
      <c r="G44" s="127">
        <v>0.98900191000000004</v>
      </c>
      <c r="H44" s="120" t="s">
        <v>151</v>
      </c>
      <c r="J44" s="8"/>
    </row>
    <row r="45" spans="1:10" x14ac:dyDescent="0.2">
      <c r="A45" s="118"/>
      <c r="B45" s="118"/>
      <c r="C45" s="128"/>
      <c r="D45" s="118"/>
      <c r="E45" s="118"/>
      <c r="F45" s="129"/>
      <c r="G45" s="129"/>
      <c r="H45" s="120" t="s">
        <v>151</v>
      </c>
      <c r="J45" s="8"/>
    </row>
    <row r="46" spans="1:10" x14ac:dyDescent="0.2">
      <c r="A46" s="118"/>
      <c r="B46" s="118"/>
      <c r="C46" s="119" t="s">
        <v>152</v>
      </c>
      <c r="D46" s="118"/>
      <c r="E46" s="118"/>
      <c r="F46" s="118"/>
      <c r="G46" s="118"/>
      <c r="H46" s="120" t="s">
        <v>151</v>
      </c>
      <c r="J46" s="8"/>
    </row>
    <row r="47" spans="1:10" x14ac:dyDescent="0.2">
      <c r="A47" s="118"/>
      <c r="B47" s="118"/>
      <c r="C47" s="119" t="s">
        <v>150</v>
      </c>
      <c r="D47" s="118"/>
      <c r="E47" s="118" t="s">
        <v>151</v>
      </c>
      <c r="F47" s="130" t="s">
        <v>153</v>
      </c>
      <c r="G47" s="127">
        <v>0</v>
      </c>
      <c r="H47" s="120" t="s">
        <v>151</v>
      </c>
      <c r="J47" s="8"/>
    </row>
    <row r="48" spans="1:10" x14ac:dyDescent="0.2">
      <c r="A48" s="118"/>
      <c r="B48" s="118"/>
      <c r="C48" s="128"/>
      <c r="D48" s="118"/>
      <c r="E48" s="118"/>
      <c r="F48" s="129"/>
      <c r="G48" s="129"/>
      <c r="H48" s="120" t="s">
        <v>151</v>
      </c>
      <c r="J48" s="8"/>
    </row>
    <row r="49" spans="1:10" x14ac:dyDescent="0.2">
      <c r="A49" s="118"/>
      <c r="B49" s="118"/>
      <c r="C49" s="119" t="s">
        <v>154</v>
      </c>
      <c r="D49" s="118"/>
      <c r="E49" s="118"/>
      <c r="F49" s="118"/>
      <c r="G49" s="118"/>
      <c r="H49" s="120" t="s">
        <v>151</v>
      </c>
      <c r="J49" s="8"/>
    </row>
    <row r="50" spans="1:10" x14ac:dyDescent="0.2">
      <c r="A50" s="118"/>
      <c r="B50" s="118"/>
      <c r="C50" s="119" t="s">
        <v>150</v>
      </c>
      <c r="D50" s="118"/>
      <c r="E50" s="118" t="s">
        <v>151</v>
      </c>
      <c r="F50" s="130" t="s">
        <v>153</v>
      </c>
      <c r="G50" s="127">
        <v>0</v>
      </c>
      <c r="H50" s="120" t="s">
        <v>151</v>
      </c>
      <c r="J50" s="8"/>
    </row>
    <row r="51" spans="1:10" x14ac:dyDescent="0.2">
      <c r="A51" s="118"/>
      <c r="B51" s="118"/>
      <c r="C51" s="128"/>
      <c r="D51" s="118"/>
      <c r="E51" s="118"/>
      <c r="F51" s="129"/>
      <c r="G51" s="129"/>
      <c r="H51" s="120" t="s">
        <v>151</v>
      </c>
      <c r="J51" s="8"/>
    </row>
    <row r="52" spans="1:10" x14ac:dyDescent="0.2">
      <c r="A52" s="118"/>
      <c r="B52" s="118"/>
      <c r="C52" s="119" t="s">
        <v>155</v>
      </c>
      <c r="D52" s="118"/>
      <c r="E52" s="118"/>
      <c r="F52" s="118"/>
      <c r="G52" s="118"/>
      <c r="H52" s="120" t="s">
        <v>151</v>
      </c>
      <c r="J52" s="8"/>
    </row>
    <row r="53" spans="1:10" x14ac:dyDescent="0.2">
      <c r="A53" s="118"/>
      <c r="B53" s="118"/>
      <c r="C53" s="119" t="s">
        <v>150</v>
      </c>
      <c r="D53" s="118"/>
      <c r="E53" s="118" t="s">
        <v>151</v>
      </c>
      <c r="F53" s="130" t="s">
        <v>153</v>
      </c>
      <c r="G53" s="127">
        <v>0</v>
      </c>
      <c r="H53" s="120" t="s">
        <v>151</v>
      </c>
      <c r="J53" s="8"/>
    </row>
    <row r="54" spans="1:10" x14ac:dyDescent="0.2">
      <c r="A54" s="118"/>
      <c r="B54" s="118"/>
      <c r="C54" s="128"/>
      <c r="D54" s="118"/>
      <c r="E54" s="118"/>
      <c r="F54" s="129"/>
      <c r="G54" s="129"/>
      <c r="H54" s="120" t="s">
        <v>151</v>
      </c>
      <c r="J54" s="8"/>
    </row>
    <row r="55" spans="1:10" x14ac:dyDescent="0.2">
      <c r="A55" s="118"/>
      <c r="B55" s="118"/>
      <c r="C55" s="119" t="s">
        <v>156</v>
      </c>
      <c r="D55" s="118"/>
      <c r="E55" s="118"/>
      <c r="F55" s="129"/>
      <c r="G55" s="129"/>
      <c r="H55" s="120" t="s">
        <v>151</v>
      </c>
      <c r="J55" s="8"/>
    </row>
    <row r="56" spans="1:10" x14ac:dyDescent="0.2">
      <c r="A56" s="118"/>
      <c r="B56" s="118"/>
      <c r="C56" s="119" t="s">
        <v>150</v>
      </c>
      <c r="D56" s="118"/>
      <c r="E56" s="118" t="s">
        <v>151</v>
      </c>
      <c r="F56" s="130" t="s">
        <v>153</v>
      </c>
      <c r="G56" s="127">
        <v>0</v>
      </c>
      <c r="H56" s="120" t="s">
        <v>151</v>
      </c>
      <c r="J56" s="8"/>
    </row>
    <row r="57" spans="1:10" x14ac:dyDescent="0.2">
      <c r="A57" s="118"/>
      <c r="B57" s="118"/>
      <c r="C57" s="128"/>
      <c r="D57" s="118"/>
      <c r="E57" s="118"/>
      <c r="F57" s="129"/>
      <c r="G57" s="129"/>
      <c r="H57" s="120" t="s">
        <v>151</v>
      </c>
      <c r="J57" s="8"/>
    </row>
    <row r="58" spans="1:10" x14ac:dyDescent="0.2">
      <c r="A58" s="118"/>
      <c r="B58" s="118"/>
      <c r="C58" s="119" t="s">
        <v>157</v>
      </c>
      <c r="D58" s="118"/>
      <c r="E58" s="118"/>
      <c r="F58" s="129"/>
      <c r="G58" s="129"/>
      <c r="H58" s="120" t="s">
        <v>151</v>
      </c>
      <c r="J58" s="8"/>
    </row>
    <row r="59" spans="1:10" x14ac:dyDescent="0.2">
      <c r="A59" s="118"/>
      <c r="B59" s="118"/>
      <c r="C59" s="119" t="s">
        <v>150</v>
      </c>
      <c r="D59" s="118"/>
      <c r="E59" s="118" t="s">
        <v>151</v>
      </c>
      <c r="F59" s="130" t="s">
        <v>153</v>
      </c>
      <c r="G59" s="127">
        <v>0</v>
      </c>
      <c r="H59" s="120" t="s">
        <v>151</v>
      </c>
      <c r="J59" s="8"/>
    </row>
    <row r="60" spans="1:10" x14ac:dyDescent="0.2">
      <c r="A60" s="118"/>
      <c r="B60" s="118"/>
      <c r="C60" s="128"/>
      <c r="D60" s="118"/>
      <c r="E60" s="118"/>
      <c r="F60" s="129"/>
      <c r="G60" s="129"/>
      <c r="H60" s="120" t="s">
        <v>151</v>
      </c>
      <c r="J60" s="8"/>
    </row>
    <row r="61" spans="1:10" x14ac:dyDescent="0.2">
      <c r="A61" s="118"/>
      <c r="B61" s="118"/>
      <c r="C61" s="119" t="s">
        <v>158</v>
      </c>
      <c r="D61" s="118"/>
      <c r="E61" s="118"/>
      <c r="F61" s="126">
        <v>2435.1667662</v>
      </c>
      <c r="G61" s="127">
        <v>0.98900191000000004</v>
      </c>
      <c r="H61" s="120" t="s">
        <v>151</v>
      </c>
      <c r="J61" s="8"/>
    </row>
    <row r="62" spans="1:10" x14ac:dyDescent="0.2">
      <c r="A62" s="118"/>
      <c r="B62" s="118"/>
      <c r="C62" s="128"/>
      <c r="D62" s="118"/>
      <c r="E62" s="118"/>
      <c r="F62" s="129"/>
      <c r="G62" s="129"/>
      <c r="H62" s="120" t="s">
        <v>151</v>
      </c>
      <c r="J62" s="8"/>
    </row>
    <row r="63" spans="1:10" x14ac:dyDescent="0.2">
      <c r="A63" s="118"/>
      <c r="B63" s="118"/>
      <c r="C63" s="119" t="s">
        <v>159</v>
      </c>
      <c r="D63" s="118"/>
      <c r="E63" s="118"/>
      <c r="F63" s="129"/>
      <c r="G63" s="129"/>
      <c r="H63" s="120" t="s">
        <v>151</v>
      </c>
      <c r="J63" s="8"/>
    </row>
    <row r="64" spans="1:10" ht="25.5" x14ac:dyDescent="0.2">
      <c r="A64" s="118"/>
      <c r="B64" s="118"/>
      <c r="C64" s="119" t="s">
        <v>10</v>
      </c>
      <c r="D64" s="118"/>
      <c r="E64" s="118"/>
      <c r="F64" s="129"/>
      <c r="G64" s="129"/>
      <c r="H64" s="120" t="s">
        <v>151</v>
      </c>
      <c r="J64" s="8"/>
    </row>
    <row r="65" spans="1:10" x14ac:dyDescent="0.2">
      <c r="A65" s="118"/>
      <c r="B65" s="118"/>
      <c r="C65" s="119" t="s">
        <v>150</v>
      </c>
      <c r="D65" s="118"/>
      <c r="E65" s="118" t="s">
        <v>151</v>
      </c>
      <c r="F65" s="130" t="s">
        <v>153</v>
      </c>
      <c r="G65" s="127">
        <v>0</v>
      </c>
      <c r="H65" s="120" t="s">
        <v>151</v>
      </c>
      <c r="J65" s="8"/>
    </row>
    <row r="66" spans="1:10" x14ac:dyDescent="0.2">
      <c r="A66" s="118"/>
      <c r="B66" s="118"/>
      <c r="C66" s="128"/>
      <c r="D66" s="118"/>
      <c r="E66" s="118"/>
      <c r="F66" s="129"/>
      <c r="G66" s="129"/>
      <c r="H66" s="120" t="s">
        <v>151</v>
      </c>
      <c r="J66" s="8"/>
    </row>
    <row r="67" spans="1:10" x14ac:dyDescent="0.2">
      <c r="A67" s="118"/>
      <c r="B67" s="118"/>
      <c r="C67" s="119" t="s">
        <v>160</v>
      </c>
      <c r="D67" s="118"/>
      <c r="E67" s="118"/>
      <c r="F67" s="118"/>
      <c r="G67" s="118"/>
      <c r="H67" s="120" t="s">
        <v>151</v>
      </c>
      <c r="J67" s="8"/>
    </row>
    <row r="68" spans="1:10" x14ac:dyDescent="0.2">
      <c r="A68" s="118"/>
      <c r="B68" s="118"/>
      <c r="C68" s="119" t="s">
        <v>150</v>
      </c>
      <c r="D68" s="118"/>
      <c r="E68" s="118" t="s">
        <v>151</v>
      </c>
      <c r="F68" s="130" t="s">
        <v>153</v>
      </c>
      <c r="G68" s="127">
        <v>0</v>
      </c>
      <c r="H68" s="120" t="s">
        <v>151</v>
      </c>
      <c r="J68" s="8"/>
    </row>
    <row r="69" spans="1:10" x14ac:dyDescent="0.2">
      <c r="A69" s="118"/>
      <c r="B69" s="118"/>
      <c r="C69" s="128"/>
      <c r="D69" s="118"/>
      <c r="E69" s="118"/>
      <c r="F69" s="129"/>
      <c r="G69" s="129"/>
      <c r="H69" s="120" t="s">
        <v>151</v>
      </c>
      <c r="J69" s="8"/>
    </row>
    <row r="70" spans="1:10" x14ac:dyDescent="0.2">
      <c r="A70" s="118"/>
      <c r="B70" s="118"/>
      <c r="C70" s="119" t="s">
        <v>161</v>
      </c>
      <c r="D70" s="118"/>
      <c r="E70" s="118"/>
      <c r="F70" s="118"/>
      <c r="G70" s="118"/>
      <c r="H70" s="120" t="s">
        <v>151</v>
      </c>
      <c r="J70" s="8"/>
    </row>
    <row r="71" spans="1:10" x14ac:dyDescent="0.2">
      <c r="A71" s="118"/>
      <c r="B71" s="118"/>
      <c r="C71" s="119" t="s">
        <v>150</v>
      </c>
      <c r="D71" s="118"/>
      <c r="E71" s="118" t="s">
        <v>151</v>
      </c>
      <c r="F71" s="130" t="s">
        <v>153</v>
      </c>
      <c r="G71" s="127">
        <v>0</v>
      </c>
      <c r="H71" s="120" t="s">
        <v>151</v>
      </c>
      <c r="J71" s="8"/>
    </row>
    <row r="72" spans="1:10" x14ac:dyDescent="0.2">
      <c r="A72" s="118"/>
      <c r="B72" s="118"/>
      <c r="C72" s="128"/>
      <c r="D72" s="118"/>
      <c r="E72" s="118"/>
      <c r="F72" s="129"/>
      <c r="G72" s="129"/>
      <c r="H72" s="120" t="s">
        <v>151</v>
      </c>
      <c r="J72" s="8"/>
    </row>
    <row r="73" spans="1:10" x14ac:dyDescent="0.2">
      <c r="A73" s="118"/>
      <c r="B73" s="118"/>
      <c r="C73" s="119" t="s">
        <v>162</v>
      </c>
      <c r="D73" s="118"/>
      <c r="E73" s="118"/>
      <c r="F73" s="129"/>
      <c r="G73" s="129"/>
      <c r="H73" s="120" t="s">
        <v>151</v>
      </c>
      <c r="J73" s="8"/>
    </row>
    <row r="74" spans="1:10" x14ac:dyDescent="0.2">
      <c r="A74" s="118"/>
      <c r="B74" s="118"/>
      <c r="C74" s="119" t="s">
        <v>150</v>
      </c>
      <c r="D74" s="118"/>
      <c r="E74" s="118" t="s">
        <v>151</v>
      </c>
      <c r="F74" s="130" t="s">
        <v>153</v>
      </c>
      <c r="G74" s="127">
        <v>0</v>
      </c>
      <c r="H74" s="120" t="s">
        <v>151</v>
      </c>
      <c r="J74" s="8"/>
    </row>
    <row r="75" spans="1:10" x14ac:dyDescent="0.2">
      <c r="A75" s="118"/>
      <c r="B75" s="118"/>
      <c r="C75" s="128"/>
      <c r="D75" s="118"/>
      <c r="E75" s="118"/>
      <c r="F75" s="129"/>
      <c r="G75" s="129"/>
      <c r="H75" s="120" t="s">
        <v>151</v>
      </c>
      <c r="J75" s="8"/>
    </row>
    <row r="76" spans="1:10" x14ac:dyDescent="0.2">
      <c r="A76" s="118"/>
      <c r="B76" s="118"/>
      <c r="C76" s="119" t="s">
        <v>163</v>
      </c>
      <c r="D76" s="118"/>
      <c r="E76" s="118"/>
      <c r="F76" s="126">
        <v>0</v>
      </c>
      <c r="G76" s="127">
        <v>0</v>
      </c>
      <c r="H76" s="120" t="s">
        <v>151</v>
      </c>
      <c r="J76" s="8"/>
    </row>
    <row r="77" spans="1:10" x14ac:dyDescent="0.2">
      <c r="A77" s="118"/>
      <c r="B77" s="118"/>
      <c r="C77" s="128"/>
      <c r="D77" s="118"/>
      <c r="E77" s="118"/>
      <c r="F77" s="129"/>
      <c r="G77" s="129"/>
      <c r="H77" s="120" t="s">
        <v>151</v>
      </c>
      <c r="J77" s="8"/>
    </row>
    <row r="78" spans="1:10" x14ac:dyDescent="0.2">
      <c r="A78" s="118"/>
      <c r="B78" s="118"/>
      <c r="C78" s="119" t="s">
        <v>164</v>
      </c>
      <c r="D78" s="118"/>
      <c r="E78" s="118"/>
      <c r="F78" s="129"/>
      <c r="G78" s="129"/>
      <c r="H78" s="120" t="s">
        <v>151</v>
      </c>
      <c r="J78" s="8"/>
    </row>
    <row r="79" spans="1:10" x14ac:dyDescent="0.2">
      <c r="A79" s="118"/>
      <c r="B79" s="118"/>
      <c r="C79" s="119" t="s">
        <v>165</v>
      </c>
      <c r="D79" s="118"/>
      <c r="E79" s="118"/>
      <c r="F79" s="129"/>
      <c r="G79" s="129"/>
      <c r="H79" s="120" t="s">
        <v>151</v>
      </c>
      <c r="J79" s="8"/>
    </row>
    <row r="80" spans="1:10" x14ac:dyDescent="0.2">
      <c r="A80" s="118"/>
      <c r="B80" s="118"/>
      <c r="C80" s="119" t="s">
        <v>150</v>
      </c>
      <c r="D80" s="118"/>
      <c r="E80" s="118" t="s">
        <v>151</v>
      </c>
      <c r="F80" s="130" t="s">
        <v>153</v>
      </c>
      <c r="G80" s="127">
        <v>0</v>
      </c>
      <c r="H80" s="120" t="s">
        <v>151</v>
      </c>
      <c r="J80" s="8"/>
    </row>
    <row r="81" spans="1:10" x14ac:dyDescent="0.2">
      <c r="A81" s="118"/>
      <c r="B81" s="118"/>
      <c r="C81" s="128"/>
      <c r="D81" s="118"/>
      <c r="E81" s="118"/>
      <c r="F81" s="129"/>
      <c r="G81" s="129"/>
      <c r="H81" s="120" t="s">
        <v>151</v>
      </c>
      <c r="J81" s="8"/>
    </row>
    <row r="82" spans="1:10" x14ac:dyDescent="0.2">
      <c r="A82" s="118"/>
      <c r="B82" s="118"/>
      <c r="C82" s="119" t="s">
        <v>166</v>
      </c>
      <c r="D82" s="118"/>
      <c r="E82" s="118"/>
      <c r="F82" s="129"/>
      <c r="G82" s="129"/>
      <c r="H82" s="120" t="s">
        <v>151</v>
      </c>
      <c r="J82" s="8"/>
    </row>
    <row r="83" spans="1:10" x14ac:dyDescent="0.2">
      <c r="A83" s="118"/>
      <c r="B83" s="118"/>
      <c r="C83" s="119" t="s">
        <v>150</v>
      </c>
      <c r="D83" s="118"/>
      <c r="E83" s="118" t="s">
        <v>151</v>
      </c>
      <c r="F83" s="130" t="s">
        <v>153</v>
      </c>
      <c r="G83" s="127">
        <v>0</v>
      </c>
      <c r="H83" s="120" t="s">
        <v>151</v>
      </c>
      <c r="J83" s="8"/>
    </row>
    <row r="84" spans="1:10" x14ac:dyDescent="0.2">
      <c r="A84" s="118"/>
      <c r="B84" s="118"/>
      <c r="C84" s="128"/>
      <c r="D84" s="118"/>
      <c r="E84" s="118"/>
      <c r="F84" s="129"/>
      <c r="G84" s="129"/>
      <c r="H84" s="120" t="s">
        <v>151</v>
      </c>
      <c r="J84" s="8"/>
    </row>
    <row r="85" spans="1:10" x14ac:dyDescent="0.2">
      <c r="A85" s="118"/>
      <c r="B85" s="118"/>
      <c r="C85" s="119" t="s">
        <v>167</v>
      </c>
      <c r="D85" s="118"/>
      <c r="E85" s="118"/>
      <c r="F85" s="129"/>
      <c r="G85" s="129"/>
      <c r="H85" s="120" t="s">
        <v>151</v>
      </c>
      <c r="J85" s="8"/>
    </row>
    <row r="86" spans="1:10" x14ac:dyDescent="0.2">
      <c r="A86" s="118"/>
      <c r="B86" s="118"/>
      <c r="C86" s="119" t="s">
        <v>150</v>
      </c>
      <c r="D86" s="118"/>
      <c r="E86" s="118" t="s">
        <v>151</v>
      </c>
      <c r="F86" s="130" t="s">
        <v>153</v>
      </c>
      <c r="G86" s="127">
        <v>0</v>
      </c>
      <c r="H86" s="120" t="s">
        <v>151</v>
      </c>
      <c r="J86" s="8"/>
    </row>
    <row r="87" spans="1:10" x14ac:dyDescent="0.2">
      <c r="A87" s="118"/>
      <c r="B87" s="118"/>
      <c r="C87" s="128"/>
      <c r="D87" s="118"/>
      <c r="E87" s="118"/>
      <c r="F87" s="129"/>
      <c r="G87" s="129"/>
      <c r="H87" s="120" t="s">
        <v>151</v>
      </c>
      <c r="J87" s="8"/>
    </row>
    <row r="88" spans="1:10" x14ac:dyDescent="0.2">
      <c r="A88" s="118"/>
      <c r="B88" s="118"/>
      <c r="C88" s="119" t="s">
        <v>168</v>
      </c>
      <c r="D88" s="118"/>
      <c r="E88" s="118"/>
      <c r="F88" s="129"/>
      <c r="G88" s="129"/>
      <c r="H88" s="120" t="s">
        <v>151</v>
      </c>
      <c r="J88" s="8"/>
    </row>
    <row r="89" spans="1:10" x14ac:dyDescent="0.2">
      <c r="A89" s="121">
        <v>1</v>
      </c>
      <c r="B89" s="122"/>
      <c r="C89" s="122" t="s">
        <v>169</v>
      </c>
      <c r="D89" s="122"/>
      <c r="E89" s="131"/>
      <c r="F89" s="124">
        <v>27.912510999999999</v>
      </c>
      <c r="G89" s="125">
        <v>1.1336199999999999E-2</v>
      </c>
      <c r="H89" s="120">
        <v>6.61</v>
      </c>
      <c r="J89" s="8"/>
    </row>
    <row r="90" spans="1:10" x14ac:dyDescent="0.2">
      <c r="A90" s="118"/>
      <c r="B90" s="118"/>
      <c r="C90" s="119" t="s">
        <v>150</v>
      </c>
      <c r="D90" s="118"/>
      <c r="E90" s="118" t="s">
        <v>151</v>
      </c>
      <c r="F90" s="126">
        <v>27.912510999999999</v>
      </c>
      <c r="G90" s="127">
        <v>1.1336199999999999E-2</v>
      </c>
      <c r="H90" s="120" t="s">
        <v>151</v>
      </c>
      <c r="J90" s="8"/>
    </row>
    <row r="91" spans="1:10" x14ac:dyDescent="0.2">
      <c r="A91" s="118"/>
      <c r="B91" s="118"/>
      <c r="C91" s="128"/>
      <c r="D91" s="118"/>
      <c r="E91" s="118"/>
      <c r="F91" s="129"/>
      <c r="G91" s="129"/>
      <c r="H91" s="120" t="s">
        <v>151</v>
      </c>
      <c r="J91" s="8"/>
    </row>
    <row r="92" spans="1:10" x14ac:dyDescent="0.2">
      <c r="A92" s="118"/>
      <c r="B92" s="118"/>
      <c r="C92" s="119" t="s">
        <v>170</v>
      </c>
      <c r="D92" s="118"/>
      <c r="E92" s="118"/>
      <c r="F92" s="126">
        <v>27.912510999999999</v>
      </c>
      <c r="G92" s="127">
        <v>1.1336199999999999E-2</v>
      </c>
      <c r="H92" s="120" t="s">
        <v>151</v>
      </c>
      <c r="J92" s="8"/>
    </row>
    <row r="93" spans="1:10" x14ac:dyDescent="0.2">
      <c r="A93" s="118"/>
      <c r="B93" s="118"/>
      <c r="C93" s="129"/>
      <c r="D93" s="118"/>
      <c r="E93" s="118"/>
      <c r="F93" s="118"/>
      <c r="G93" s="118"/>
      <c r="H93" s="120" t="s">
        <v>151</v>
      </c>
      <c r="J93" s="8"/>
    </row>
    <row r="94" spans="1:10" x14ac:dyDescent="0.2">
      <c r="A94" s="118"/>
      <c r="B94" s="118"/>
      <c r="C94" s="119" t="s">
        <v>171</v>
      </c>
      <c r="D94" s="118"/>
      <c r="E94" s="118"/>
      <c r="F94" s="118"/>
      <c r="G94" s="118"/>
      <c r="H94" s="120" t="s">
        <v>151</v>
      </c>
      <c r="J94" s="8"/>
    </row>
    <row r="95" spans="1:10" x14ac:dyDescent="0.2">
      <c r="A95" s="118"/>
      <c r="B95" s="118"/>
      <c r="C95" s="119" t="s">
        <v>172</v>
      </c>
      <c r="D95" s="118"/>
      <c r="E95" s="118"/>
      <c r="F95" s="118"/>
      <c r="G95" s="118"/>
      <c r="H95" s="120" t="s">
        <v>151</v>
      </c>
      <c r="J95" s="8"/>
    </row>
    <row r="96" spans="1:10" x14ac:dyDescent="0.2">
      <c r="A96" s="118"/>
      <c r="B96" s="118"/>
      <c r="C96" s="119" t="s">
        <v>150</v>
      </c>
      <c r="D96" s="118"/>
      <c r="E96" s="118" t="s">
        <v>151</v>
      </c>
      <c r="F96" s="130" t="s">
        <v>153</v>
      </c>
      <c r="G96" s="127">
        <v>0</v>
      </c>
      <c r="H96" s="120" t="s">
        <v>151</v>
      </c>
      <c r="J96" s="8"/>
    </row>
    <row r="97" spans="1:17" x14ac:dyDescent="0.2">
      <c r="A97" s="118"/>
      <c r="B97" s="118"/>
      <c r="C97" s="128"/>
      <c r="D97" s="118"/>
      <c r="E97" s="118"/>
      <c r="F97" s="129"/>
      <c r="G97" s="129"/>
      <c r="H97" s="120" t="s">
        <v>151</v>
      </c>
      <c r="J97" s="8"/>
    </row>
    <row r="98" spans="1:17" x14ac:dyDescent="0.2">
      <c r="A98" s="118"/>
      <c r="B98" s="118"/>
      <c r="C98" s="119" t="s">
        <v>175</v>
      </c>
      <c r="D98" s="118"/>
      <c r="E98" s="118"/>
      <c r="F98" s="118"/>
      <c r="G98" s="118"/>
      <c r="H98" s="120" t="s">
        <v>151</v>
      </c>
      <c r="J98" s="8"/>
    </row>
    <row r="99" spans="1:17" x14ac:dyDescent="0.2">
      <c r="A99" s="118"/>
      <c r="B99" s="118"/>
      <c r="C99" s="119" t="s">
        <v>176</v>
      </c>
      <c r="D99" s="118"/>
      <c r="E99" s="118"/>
      <c r="F99" s="118"/>
      <c r="G99" s="118"/>
      <c r="H99" s="120" t="s">
        <v>151</v>
      </c>
      <c r="J99" s="8"/>
    </row>
    <row r="100" spans="1:17" x14ac:dyDescent="0.2">
      <c r="A100" s="118"/>
      <c r="B100" s="118"/>
      <c r="C100" s="119" t="s">
        <v>150</v>
      </c>
      <c r="D100" s="118"/>
      <c r="E100" s="118" t="s">
        <v>151</v>
      </c>
      <c r="F100" s="130" t="s">
        <v>153</v>
      </c>
      <c r="G100" s="127">
        <v>0</v>
      </c>
      <c r="H100" s="120" t="s">
        <v>151</v>
      </c>
      <c r="J100" s="8"/>
    </row>
    <row r="101" spans="1:17" x14ac:dyDescent="0.2">
      <c r="A101" s="118"/>
      <c r="B101" s="118"/>
      <c r="C101" s="128"/>
      <c r="D101" s="118"/>
      <c r="E101" s="118"/>
      <c r="F101" s="129"/>
      <c r="G101" s="129"/>
      <c r="H101" s="120" t="s">
        <v>151</v>
      </c>
      <c r="J101" s="8"/>
    </row>
    <row r="102" spans="1:17" ht="25.5" x14ac:dyDescent="0.2">
      <c r="A102" s="118"/>
      <c r="B102" s="118"/>
      <c r="C102" s="119" t="s">
        <v>177</v>
      </c>
      <c r="D102" s="118"/>
      <c r="E102" s="118"/>
      <c r="F102" s="129"/>
      <c r="G102" s="129"/>
      <c r="H102" s="120" t="s">
        <v>151</v>
      </c>
      <c r="J102" s="8"/>
    </row>
    <row r="103" spans="1:17" x14ac:dyDescent="0.2">
      <c r="A103" s="118"/>
      <c r="B103" s="118"/>
      <c r="C103" s="119" t="s">
        <v>150</v>
      </c>
      <c r="D103" s="118"/>
      <c r="E103" s="118" t="s">
        <v>151</v>
      </c>
      <c r="F103" s="130" t="s">
        <v>153</v>
      </c>
      <c r="G103" s="127">
        <v>0</v>
      </c>
      <c r="H103" s="120" t="s">
        <v>151</v>
      </c>
      <c r="J103" s="8"/>
    </row>
    <row r="104" spans="1:17" x14ac:dyDescent="0.2">
      <c r="A104" s="118"/>
      <c r="B104" s="118"/>
      <c r="C104" s="128"/>
      <c r="D104" s="118"/>
      <c r="E104" s="118"/>
      <c r="F104" s="129"/>
      <c r="G104" s="129"/>
      <c r="H104" s="120" t="s">
        <v>151</v>
      </c>
      <c r="J104" s="8"/>
    </row>
    <row r="105" spans="1:17" x14ac:dyDescent="0.2">
      <c r="A105" s="131"/>
      <c r="B105" s="122"/>
      <c r="C105" s="122" t="s">
        <v>178</v>
      </c>
      <c r="D105" s="122"/>
      <c r="E105" s="131"/>
      <c r="F105" s="124">
        <v>-0.83244993</v>
      </c>
      <c r="G105" s="125">
        <v>-3.3808999999999998E-4</v>
      </c>
      <c r="H105" s="120" t="s">
        <v>151</v>
      </c>
      <c r="J105" s="8"/>
    </row>
    <row r="106" spans="1:17" x14ac:dyDescent="0.2">
      <c r="A106" s="128"/>
      <c r="B106" s="128"/>
      <c r="C106" s="119" t="s">
        <v>179</v>
      </c>
      <c r="D106" s="129"/>
      <c r="E106" s="129"/>
      <c r="F106" s="126">
        <v>2462.2468272699998</v>
      </c>
      <c r="G106" s="133">
        <v>1.0000000200000001</v>
      </c>
      <c r="H106" s="120" t="s">
        <v>151</v>
      </c>
      <c r="J106" s="8"/>
    </row>
    <row r="107" spans="1:17" x14ac:dyDescent="0.2">
      <c r="A107" s="134"/>
      <c r="B107" s="134"/>
      <c r="C107" s="134"/>
      <c r="D107" s="135"/>
      <c r="E107" s="135"/>
      <c r="F107" s="135"/>
      <c r="G107" s="135"/>
      <c r="J107" s="8"/>
    </row>
    <row r="108" spans="1:17" x14ac:dyDescent="0.2">
      <c r="A108" s="136"/>
      <c r="B108" s="137" t="s">
        <v>888</v>
      </c>
      <c r="C108" s="137"/>
      <c r="D108" s="137"/>
      <c r="E108" s="137"/>
      <c r="F108" s="137"/>
      <c r="G108" s="137"/>
      <c r="H108" s="137"/>
      <c r="J108" s="8"/>
    </row>
    <row r="109" spans="1:17" x14ac:dyDescent="0.2">
      <c r="A109" s="136"/>
      <c r="B109" s="137" t="s">
        <v>889</v>
      </c>
      <c r="C109" s="137"/>
      <c r="D109" s="137"/>
      <c r="E109" s="137"/>
      <c r="F109" s="137"/>
      <c r="G109" s="137"/>
      <c r="H109" s="137"/>
      <c r="J109" s="8"/>
    </row>
    <row r="110" spans="1:17" x14ac:dyDescent="0.2">
      <c r="A110" s="136"/>
      <c r="B110" s="137" t="s">
        <v>890</v>
      </c>
      <c r="C110" s="137"/>
      <c r="D110" s="137"/>
      <c r="E110" s="137"/>
      <c r="F110" s="137"/>
      <c r="G110" s="137"/>
      <c r="H110" s="137"/>
      <c r="J110" s="8"/>
    </row>
    <row r="111" spans="1:17" s="13" customFormat="1" ht="76.5" customHeight="1" x14ac:dyDescent="0.25">
      <c r="A111" s="138"/>
      <c r="B111" s="139" t="s">
        <v>891</v>
      </c>
      <c r="C111" s="139"/>
      <c r="D111" s="139"/>
      <c r="E111" s="139"/>
      <c r="F111" s="139"/>
      <c r="G111" s="139"/>
      <c r="H111" s="139"/>
      <c r="I111" s="114"/>
      <c r="J111" s="8"/>
      <c r="K111"/>
      <c r="L111"/>
      <c r="M111"/>
      <c r="N111"/>
      <c r="O111"/>
      <c r="P111"/>
      <c r="Q111"/>
    </row>
    <row r="112" spans="1:17" x14ac:dyDescent="0.2">
      <c r="A112" s="136"/>
      <c r="B112" s="137" t="s">
        <v>892</v>
      </c>
      <c r="C112" s="137"/>
      <c r="D112" s="137"/>
      <c r="E112" s="137"/>
      <c r="F112" s="137"/>
      <c r="G112" s="137"/>
      <c r="H112" s="137"/>
      <c r="J112" s="8"/>
    </row>
    <row r="113" spans="1:10" x14ac:dyDescent="0.2">
      <c r="A113" s="140"/>
      <c r="B113" s="140"/>
      <c r="C113" s="140"/>
      <c r="D113" s="141"/>
      <c r="E113" s="141"/>
      <c r="F113" s="141"/>
      <c r="G113" s="141"/>
      <c r="J113" s="8"/>
    </row>
    <row r="114" spans="1:10" x14ac:dyDescent="0.2">
      <c r="A114" s="140"/>
      <c r="B114" s="142" t="s">
        <v>180</v>
      </c>
      <c r="C114" s="143"/>
      <c r="D114" s="144"/>
      <c r="E114" s="145"/>
      <c r="F114" s="141"/>
      <c r="G114" s="141"/>
      <c r="J114" s="8"/>
    </row>
    <row r="115" spans="1:10" ht="25.5" customHeight="1" x14ac:dyDescent="0.2">
      <c r="A115" s="140"/>
      <c r="B115" s="146" t="s">
        <v>181</v>
      </c>
      <c r="C115" s="147"/>
      <c r="D115" s="119" t="s">
        <v>182</v>
      </c>
      <c r="E115" s="145"/>
      <c r="F115" s="141"/>
      <c r="G115" s="141"/>
      <c r="J115" s="8"/>
    </row>
    <row r="116" spans="1:10" x14ac:dyDescent="0.2">
      <c r="A116" s="140"/>
      <c r="B116" s="148" t="s">
        <v>893</v>
      </c>
      <c r="C116" s="149"/>
      <c r="D116" s="150" t="s">
        <v>182</v>
      </c>
      <c r="E116" s="145"/>
      <c r="F116" s="141"/>
      <c r="G116" s="141"/>
      <c r="J116" s="8"/>
    </row>
    <row r="117" spans="1:10" x14ac:dyDescent="0.2">
      <c r="A117" s="140"/>
      <c r="B117" s="146" t="s">
        <v>184</v>
      </c>
      <c r="C117" s="147"/>
      <c r="D117" s="129" t="s">
        <v>151</v>
      </c>
      <c r="E117" s="145"/>
      <c r="F117" s="141"/>
      <c r="G117" s="141"/>
      <c r="J117" s="8"/>
    </row>
    <row r="118" spans="1:10" x14ac:dyDescent="0.2">
      <c r="A118" s="151"/>
      <c r="B118" s="152" t="s">
        <v>151</v>
      </c>
      <c r="C118" s="152" t="s">
        <v>894</v>
      </c>
      <c r="D118" s="152" t="s">
        <v>185</v>
      </c>
      <c r="E118" s="151"/>
      <c r="F118" s="151"/>
      <c r="G118" s="151"/>
      <c r="H118" s="151"/>
      <c r="J118" s="8"/>
    </row>
    <row r="119" spans="1:10" x14ac:dyDescent="0.2">
      <c r="A119" s="153"/>
      <c r="B119" s="154" t="s">
        <v>186</v>
      </c>
      <c r="C119" s="155">
        <v>45535</v>
      </c>
      <c r="D119" s="155">
        <v>45565</v>
      </c>
      <c r="E119" s="153"/>
      <c r="F119" s="153"/>
      <c r="G119" s="153"/>
      <c r="J119" s="8"/>
    </row>
    <row r="120" spans="1:10" x14ac:dyDescent="0.2">
      <c r="A120" s="153"/>
      <c r="B120" s="122" t="s">
        <v>187</v>
      </c>
      <c r="C120" s="156">
        <v>33.910400000000003</v>
      </c>
      <c r="D120" s="156">
        <v>34.372300000000003</v>
      </c>
      <c r="E120" s="153"/>
      <c r="F120" s="157"/>
      <c r="G120" s="158"/>
      <c r="J120" s="8"/>
    </row>
    <row r="121" spans="1:10" x14ac:dyDescent="0.2">
      <c r="A121" s="153"/>
      <c r="B121" s="122" t="s">
        <v>1038</v>
      </c>
      <c r="C121" s="156">
        <v>31.156099999999999</v>
      </c>
      <c r="D121" s="156">
        <v>31.5806</v>
      </c>
      <c r="E121" s="153"/>
      <c r="F121" s="157"/>
      <c r="G121" s="158"/>
      <c r="J121" s="8"/>
    </row>
    <row r="122" spans="1:10" x14ac:dyDescent="0.2">
      <c r="A122" s="153"/>
      <c r="B122" s="122" t="s">
        <v>188</v>
      </c>
      <c r="C122" s="156">
        <v>33.312600000000003</v>
      </c>
      <c r="D122" s="156">
        <v>33.760300000000001</v>
      </c>
      <c r="E122" s="153"/>
      <c r="F122" s="157"/>
      <c r="G122" s="158"/>
      <c r="J122" s="8"/>
    </row>
    <row r="123" spans="1:10" x14ac:dyDescent="0.2">
      <c r="A123" s="153"/>
      <c r="B123" s="122" t="s">
        <v>1039</v>
      </c>
      <c r="C123" s="156">
        <v>30.569600000000001</v>
      </c>
      <c r="D123" s="156">
        <v>30.980499999999999</v>
      </c>
      <c r="E123" s="153"/>
      <c r="F123" s="157"/>
      <c r="G123" s="158"/>
      <c r="J123" s="8"/>
    </row>
    <row r="124" spans="1:10" x14ac:dyDescent="0.2">
      <c r="A124" s="153"/>
      <c r="B124" s="153"/>
      <c r="C124" s="153"/>
      <c r="D124" s="153"/>
      <c r="E124" s="153"/>
      <c r="F124" s="153"/>
      <c r="G124" s="153"/>
      <c r="J124" s="8"/>
    </row>
    <row r="125" spans="1:10" x14ac:dyDescent="0.2">
      <c r="A125" s="151"/>
      <c r="B125" s="148" t="s">
        <v>895</v>
      </c>
      <c r="C125" s="149"/>
      <c r="D125" s="150" t="s">
        <v>182</v>
      </c>
      <c r="E125" s="151"/>
      <c r="F125" s="151"/>
      <c r="G125" s="151"/>
      <c r="J125" s="8"/>
    </row>
    <row r="126" spans="1:10" x14ac:dyDescent="0.2">
      <c r="A126" s="151"/>
      <c r="B126" s="201"/>
      <c r="C126" s="201"/>
      <c r="D126" s="201"/>
      <c r="E126" s="151"/>
      <c r="F126" s="151"/>
      <c r="G126" s="151"/>
      <c r="J126" s="8"/>
    </row>
    <row r="127" spans="1:10" x14ac:dyDescent="0.2">
      <c r="A127" s="151"/>
      <c r="B127" s="148" t="s">
        <v>189</v>
      </c>
      <c r="C127" s="149"/>
      <c r="D127" s="150" t="s">
        <v>182</v>
      </c>
      <c r="E127" s="201"/>
      <c r="F127" s="201"/>
      <c r="G127" s="201"/>
      <c r="J127" s="8"/>
    </row>
    <row r="128" spans="1:10" x14ac:dyDescent="0.2">
      <c r="A128" s="151"/>
      <c r="B128" s="148" t="s">
        <v>190</v>
      </c>
      <c r="C128" s="149"/>
      <c r="D128" s="150" t="s">
        <v>182</v>
      </c>
      <c r="E128" s="151"/>
      <c r="F128" s="151"/>
      <c r="G128" s="151"/>
      <c r="J128" s="8"/>
    </row>
    <row r="129" spans="1:10" ht="12.75" customHeight="1" x14ac:dyDescent="0.2">
      <c r="A129" s="151"/>
      <c r="B129" s="148" t="s">
        <v>191</v>
      </c>
      <c r="C129" s="149"/>
      <c r="D129" s="150" t="s">
        <v>182</v>
      </c>
      <c r="E129" s="160"/>
      <c r="F129" s="151"/>
      <c r="G129" s="151"/>
      <c r="J129" s="8"/>
    </row>
    <row r="130" spans="1:10" ht="12.75" customHeight="1" x14ac:dyDescent="0.2">
      <c r="A130" s="151"/>
      <c r="B130" s="148" t="s">
        <v>192</v>
      </c>
      <c r="C130" s="149"/>
      <c r="D130" s="161">
        <v>0.2666827994311583</v>
      </c>
      <c r="E130" s="160"/>
      <c r="F130" s="151"/>
      <c r="G130" s="151"/>
      <c r="J130" s="8"/>
    </row>
    <row r="131" spans="1:10" x14ac:dyDescent="0.2">
      <c r="J131" s="8"/>
    </row>
    <row r="132" spans="1:10" x14ac:dyDescent="0.2">
      <c r="J132" s="8"/>
    </row>
    <row r="133" spans="1:10" x14ac:dyDescent="0.2">
      <c r="J133" s="8"/>
    </row>
    <row r="134" spans="1:10" x14ac:dyDescent="0.2">
      <c r="J134" s="8"/>
    </row>
    <row r="135" spans="1:10" x14ac:dyDescent="0.2">
      <c r="J135" s="8"/>
    </row>
    <row r="136" spans="1:10" x14ac:dyDescent="0.2">
      <c r="J136" s="8"/>
    </row>
    <row r="137" spans="1:10" x14ac:dyDescent="0.2">
      <c r="J137" s="8"/>
    </row>
    <row r="138" spans="1:10" x14ac:dyDescent="0.2">
      <c r="J138" s="8"/>
    </row>
    <row r="139" spans="1:10" x14ac:dyDescent="0.2">
      <c r="J139" s="8"/>
    </row>
  </sheetData>
  <mergeCells count="17">
    <mergeCell ref="B116:C116"/>
    <mergeCell ref="B117:C117"/>
    <mergeCell ref="B125:C125"/>
    <mergeCell ref="B129:C129"/>
    <mergeCell ref="B130:C130"/>
    <mergeCell ref="B127:C127"/>
    <mergeCell ref="B128:C128"/>
    <mergeCell ref="B115:C115"/>
    <mergeCell ref="A1:H1"/>
    <mergeCell ref="A2:H2"/>
    <mergeCell ref="A3:H3"/>
    <mergeCell ref="B108:H108"/>
    <mergeCell ref="B109:H109"/>
    <mergeCell ref="B110:H110"/>
    <mergeCell ref="B111:H111"/>
    <mergeCell ref="B112:H112"/>
    <mergeCell ref="B114:D114"/>
  </mergeCells>
  <hyperlinks>
    <hyperlink ref="I1" location="Index!B2" display="Index" xr:uid="{04C83F57-3BAA-49DE-A946-2EB395AAB6E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3AF96-F32A-45AF-8589-5F2506CF1FCC}">
  <sheetPr>
    <outlinePr summaryBelow="0" summaryRight="0"/>
  </sheetPr>
  <dimension ref="A1:Q124"/>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31" style="114" bestFit="1" customWidth="1"/>
    <col min="4" max="4" width="17.710937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856</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ht="25.5" x14ac:dyDescent="0.2">
      <c r="A6" s="118"/>
      <c r="B6" s="118"/>
      <c r="C6" s="119" t="s">
        <v>10</v>
      </c>
      <c r="D6" s="118"/>
      <c r="E6" s="118"/>
      <c r="F6" s="118"/>
      <c r="G6" s="118"/>
      <c r="H6" s="120" t="s">
        <v>151</v>
      </c>
      <c r="J6" s="8"/>
    </row>
    <row r="7" spans="1:10" x14ac:dyDescent="0.2">
      <c r="A7" s="121">
        <v>1</v>
      </c>
      <c r="B7" s="122" t="s">
        <v>46</v>
      </c>
      <c r="C7" s="122" t="s">
        <v>47</v>
      </c>
      <c r="D7" s="122" t="s">
        <v>48</v>
      </c>
      <c r="E7" s="123">
        <v>16013</v>
      </c>
      <c r="F7" s="124">
        <v>203.84549000000001</v>
      </c>
      <c r="G7" s="125">
        <v>9.6221760000000003E-2</v>
      </c>
      <c r="H7" s="120" t="s">
        <v>151</v>
      </c>
      <c r="J7" s="8"/>
    </row>
    <row r="8" spans="1:10" x14ac:dyDescent="0.2">
      <c r="A8" s="121">
        <v>2</v>
      </c>
      <c r="B8" s="122" t="s">
        <v>343</v>
      </c>
      <c r="C8" s="122" t="s">
        <v>344</v>
      </c>
      <c r="D8" s="122" t="s">
        <v>48</v>
      </c>
      <c r="E8" s="123">
        <v>10200</v>
      </c>
      <c r="F8" s="124">
        <v>176.66909999999999</v>
      </c>
      <c r="G8" s="125">
        <v>8.3393610000000007E-2</v>
      </c>
      <c r="H8" s="120" t="s">
        <v>151</v>
      </c>
      <c r="J8" s="8"/>
    </row>
    <row r="9" spans="1:10" x14ac:dyDescent="0.2">
      <c r="A9" s="121">
        <v>3</v>
      </c>
      <c r="B9" s="122" t="s">
        <v>20</v>
      </c>
      <c r="C9" s="122" t="s">
        <v>21</v>
      </c>
      <c r="D9" s="122" t="s">
        <v>22</v>
      </c>
      <c r="E9" s="123">
        <v>5610</v>
      </c>
      <c r="F9" s="124">
        <v>165.67171500000001</v>
      </c>
      <c r="G9" s="125">
        <v>7.820249E-2</v>
      </c>
      <c r="H9" s="120" t="s">
        <v>151</v>
      </c>
      <c r="J9" s="8"/>
    </row>
    <row r="10" spans="1:10" x14ac:dyDescent="0.2">
      <c r="A10" s="121">
        <v>4</v>
      </c>
      <c r="B10" s="122" t="s">
        <v>347</v>
      </c>
      <c r="C10" s="122" t="s">
        <v>348</v>
      </c>
      <c r="D10" s="122" t="s">
        <v>216</v>
      </c>
      <c r="E10" s="123">
        <v>8300</v>
      </c>
      <c r="F10" s="124">
        <v>155.6748</v>
      </c>
      <c r="G10" s="125">
        <v>7.3483610000000005E-2</v>
      </c>
      <c r="H10" s="120" t="s">
        <v>151</v>
      </c>
      <c r="J10" s="8"/>
    </row>
    <row r="11" spans="1:10" x14ac:dyDescent="0.2">
      <c r="A11" s="121">
        <v>5</v>
      </c>
      <c r="B11" s="122" t="s">
        <v>63</v>
      </c>
      <c r="C11" s="122" t="s">
        <v>64</v>
      </c>
      <c r="D11" s="122" t="s">
        <v>48</v>
      </c>
      <c r="E11" s="123">
        <v>14847</v>
      </c>
      <c r="F11" s="124">
        <v>116.979513</v>
      </c>
      <c r="G11" s="125">
        <v>5.5218169999999997E-2</v>
      </c>
      <c r="H11" s="120" t="s">
        <v>151</v>
      </c>
      <c r="J11" s="8"/>
    </row>
    <row r="12" spans="1:10" ht="15" x14ac:dyDescent="0.2">
      <c r="A12" s="121">
        <v>6</v>
      </c>
      <c r="B12" s="122" t="s">
        <v>14</v>
      </c>
      <c r="C12" s="122" t="s">
        <v>15</v>
      </c>
      <c r="D12" s="122" t="s">
        <v>16</v>
      </c>
      <c r="E12" s="123">
        <v>6757</v>
      </c>
      <c r="F12" s="124">
        <v>115.51429349999999</v>
      </c>
      <c r="G12" s="125">
        <v>5.4526539999999998E-2</v>
      </c>
      <c r="H12" s="120" t="s">
        <v>151</v>
      </c>
      <c r="J12" s="11"/>
    </row>
    <row r="13" spans="1:10" x14ac:dyDescent="0.2">
      <c r="A13" s="121">
        <v>7</v>
      </c>
      <c r="B13" s="122" t="s">
        <v>11</v>
      </c>
      <c r="C13" s="122" t="s">
        <v>12</v>
      </c>
      <c r="D13" s="122" t="s">
        <v>13</v>
      </c>
      <c r="E13" s="123">
        <v>2429</v>
      </c>
      <c r="F13" s="124">
        <v>89.279109500000004</v>
      </c>
      <c r="G13" s="125">
        <v>4.214267E-2</v>
      </c>
      <c r="H13" s="120" t="s">
        <v>151</v>
      </c>
      <c r="J13" s="8"/>
    </row>
    <row r="14" spans="1:10" ht="25.5" x14ac:dyDescent="0.2">
      <c r="A14" s="121">
        <v>8</v>
      </c>
      <c r="B14" s="122" t="s">
        <v>23</v>
      </c>
      <c r="C14" s="122" t="s">
        <v>24</v>
      </c>
      <c r="D14" s="122" t="s">
        <v>25</v>
      </c>
      <c r="E14" s="123">
        <v>651</v>
      </c>
      <c r="F14" s="124">
        <v>76.831019999999995</v>
      </c>
      <c r="G14" s="125">
        <v>3.6266760000000002E-2</v>
      </c>
      <c r="H14" s="120" t="s">
        <v>151</v>
      </c>
      <c r="J14" s="8"/>
    </row>
    <row r="15" spans="1:10" x14ac:dyDescent="0.2">
      <c r="A15" s="121">
        <v>9</v>
      </c>
      <c r="B15" s="122" t="s">
        <v>349</v>
      </c>
      <c r="C15" s="122" t="s">
        <v>350</v>
      </c>
      <c r="D15" s="122" t="s">
        <v>48</v>
      </c>
      <c r="E15" s="123">
        <v>6081</v>
      </c>
      <c r="F15" s="124">
        <v>74.930081999999999</v>
      </c>
      <c r="G15" s="125">
        <v>3.5369459999999998E-2</v>
      </c>
      <c r="H15" s="120" t="s">
        <v>151</v>
      </c>
      <c r="J15" s="8"/>
    </row>
    <row r="16" spans="1:10" x14ac:dyDescent="0.2">
      <c r="A16" s="121">
        <v>10</v>
      </c>
      <c r="B16" s="122" t="s">
        <v>364</v>
      </c>
      <c r="C16" s="122" t="s">
        <v>365</v>
      </c>
      <c r="D16" s="122" t="s">
        <v>270</v>
      </c>
      <c r="E16" s="123">
        <v>6930</v>
      </c>
      <c r="F16" s="124">
        <v>67.543244999999999</v>
      </c>
      <c r="G16" s="125">
        <v>3.1882630000000002E-2</v>
      </c>
      <c r="H16" s="120" t="s">
        <v>151</v>
      </c>
      <c r="J16" s="8" t="s">
        <v>899</v>
      </c>
    </row>
    <row r="17" spans="1:10" ht="25.5" x14ac:dyDescent="0.2">
      <c r="A17" s="121">
        <v>11</v>
      </c>
      <c r="B17" s="122" t="s">
        <v>206</v>
      </c>
      <c r="C17" s="122" t="s">
        <v>207</v>
      </c>
      <c r="D17" s="122" t="s">
        <v>208</v>
      </c>
      <c r="E17" s="123">
        <v>4000</v>
      </c>
      <c r="F17" s="124">
        <v>66.986000000000004</v>
      </c>
      <c r="G17" s="125">
        <v>3.1619590000000003E-2</v>
      </c>
      <c r="H17" s="120" t="s">
        <v>151</v>
      </c>
      <c r="J17" s="8"/>
    </row>
    <row r="18" spans="1:10" x14ac:dyDescent="0.2">
      <c r="A18" s="121">
        <v>12</v>
      </c>
      <c r="B18" s="122" t="s">
        <v>132</v>
      </c>
      <c r="C18" s="122" t="s">
        <v>133</v>
      </c>
      <c r="D18" s="122" t="s">
        <v>134</v>
      </c>
      <c r="E18" s="123">
        <v>6000</v>
      </c>
      <c r="F18" s="124">
        <v>62.378999999999998</v>
      </c>
      <c r="G18" s="125">
        <v>2.9444939999999999E-2</v>
      </c>
      <c r="H18" s="120" t="s">
        <v>151</v>
      </c>
      <c r="J18" s="8"/>
    </row>
    <row r="19" spans="1:10" x14ac:dyDescent="0.2">
      <c r="A19" s="121">
        <v>13</v>
      </c>
      <c r="B19" s="122" t="s">
        <v>459</v>
      </c>
      <c r="C19" s="122" t="s">
        <v>460</v>
      </c>
      <c r="D19" s="122" t="s">
        <v>295</v>
      </c>
      <c r="E19" s="123">
        <v>3200</v>
      </c>
      <c r="F19" s="124">
        <v>59.008000000000003</v>
      </c>
      <c r="G19" s="125">
        <v>2.785371E-2</v>
      </c>
      <c r="H19" s="120" t="s">
        <v>151</v>
      </c>
      <c r="J19" s="8"/>
    </row>
    <row r="20" spans="1:10" x14ac:dyDescent="0.2">
      <c r="A20" s="121">
        <v>14</v>
      </c>
      <c r="B20" s="122" t="s">
        <v>388</v>
      </c>
      <c r="C20" s="122" t="s">
        <v>389</v>
      </c>
      <c r="D20" s="122" t="s">
        <v>35</v>
      </c>
      <c r="E20" s="123">
        <v>1421</v>
      </c>
      <c r="F20" s="124">
        <v>54.3383295</v>
      </c>
      <c r="G20" s="125">
        <v>2.5649479999999999E-2</v>
      </c>
      <c r="H20" s="120" t="s">
        <v>151</v>
      </c>
      <c r="J20" s="8"/>
    </row>
    <row r="21" spans="1:10" x14ac:dyDescent="0.2">
      <c r="A21" s="121">
        <v>15</v>
      </c>
      <c r="B21" s="122" t="s">
        <v>366</v>
      </c>
      <c r="C21" s="122" t="s">
        <v>367</v>
      </c>
      <c r="D21" s="122" t="s">
        <v>368</v>
      </c>
      <c r="E21" s="123">
        <v>10141</v>
      </c>
      <c r="F21" s="124">
        <v>52.5455915</v>
      </c>
      <c r="G21" s="125">
        <v>2.4803240000000001E-2</v>
      </c>
      <c r="H21" s="120" t="s">
        <v>151</v>
      </c>
      <c r="J21" s="8"/>
    </row>
    <row r="22" spans="1:10" ht="25.5" x14ac:dyDescent="0.2">
      <c r="A22" s="121">
        <v>16</v>
      </c>
      <c r="B22" s="122" t="s">
        <v>353</v>
      </c>
      <c r="C22" s="122" t="s">
        <v>354</v>
      </c>
      <c r="D22" s="122" t="s">
        <v>205</v>
      </c>
      <c r="E22" s="123">
        <v>2650</v>
      </c>
      <c r="F22" s="124">
        <v>51.057549999999999</v>
      </c>
      <c r="G22" s="125">
        <v>2.4100839999999998E-2</v>
      </c>
      <c r="H22" s="120" t="s">
        <v>151</v>
      </c>
      <c r="J22" s="11"/>
    </row>
    <row r="23" spans="1:10" x14ac:dyDescent="0.2">
      <c r="A23" s="121">
        <v>17</v>
      </c>
      <c r="B23" s="122" t="s">
        <v>227</v>
      </c>
      <c r="C23" s="122" t="s">
        <v>228</v>
      </c>
      <c r="D23" s="122" t="s">
        <v>22</v>
      </c>
      <c r="E23" s="123">
        <v>11251</v>
      </c>
      <c r="F23" s="124">
        <v>49.566280499999998</v>
      </c>
      <c r="G23" s="125">
        <v>2.339691E-2</v>
      </c>
      <c r="H23" s="120" t="s">
        <v>151</v>
      </c>
      <c r="J23" s="8"/>
    </row>
    <row r="24" spans="1:10" x14ac:dyDescent="0.2">
      <c r="A24" s="121">
        <v>18</v>
      </c>
      <c r="B24" s="122" t="s">
        <v>128</v>
      </c>
      <c r="C24" s="122" t="s">
        <v>129</v>
      </c>
      <c r="D24" s="122" t="s">
        <v>70</v>
      </c>
      <c r="E24" s="123">
        <v>1240</v>
      </c>
      <c r="F24" s="124">
        <v>48.529879999999999</v>
      </c>
      <c r="G24" s="125">
        <v>2.29077E-2</v>
      </c>
      <c r="H24" s="120" t="s">
        <v>151</v>
      </c>
      <c r="J24" s="8"/>
    </row>
    <row r="25" spans="1:10" x14ac:dyDescent="0.2">
      <c r="A25" s="121">
        <v>19</v>
      </c>
      <c r="B25" s="122" t="s">
        <v>461</v>
      </c>
      <c r="C25" s="122" t="s">
        <v>462</v>
      </c>
      <c r="D25" s="122" t="s">
        <v>216</v>
      </c>
      <c r="E25" s="123">
        <v>2560</v>
      </c>
      <c r="F25" s="124">
        <v>45.980159999999998</v>
      </c>
      <c r="G25" s="125">
        <v>2.170414E-2</v>
      </c>
      <c r="H25" s="120" t="s">
        <v>151</v>
      </c>
      <c r="J25" s="8"/>
    </row>
    <row r="26" spans="1:10" x14ac:dyDescent="0.2">
      <c r="A26" s="121">
        <v>20</v>
      </c>
      <c r="B26" s="122" t="s">
        <v>463</v>
      </c>
      <c r="C26" s="122" t="s">
        <v>464</v>
      </c>
      <c r="D26" s="122" t="s">
        <v>48</v>
      </c>
      <c r="E26" s="123">
        <v>17989</v>
      </c>
      <c r="F26" s="124">
        <v>44.576742000000003</v>
      </c>
      <c r="G26" s="125">
        <v>2.1041689999999998E-2</v>
      </c>
      <c r="H26" s="120" t="s">
        <v>151</v>
      </c>
      <c r="J26" s="8"/>
    </row>
    <row r="27" spans="1:10" x14ac:dyDescent="0.2">
      <c r="A27" s="121">
        <v>21</v>
      </c>
      <c r="B27" s="122" t="s">
        <v>28</v>
      </c>
      <c r="C27" s="122" t="s">
        <v>29</v>
      </c>
      <c r="D27" s="122" t="s">
        <v>22</v>
      </c>
      <c r="E27" s="123">
        <v>11824</v>
      </c>
      <c r="F27" s="124">
        <v>43.742888000000001</v>
      </c>
      <c r="G27" s="125">
        <v>2.0648079999999999E-2</v>
      </c>
      <c r="H27" s="120" t="s">
        <v>151</v>
      </c>
      <c r="J27" s="8"/>
    </row>
    <row r="28" spans="1:10" ht="25.5" x14ac:dyDescent="0.2">
      <c r="A28" s="121">
        <v>22</v>
      </c>
      <c r="B28" s="122" t="s">
        <v>324</v>
      </c>
      <c r="C28" s="122" t="s">
        <v>325</v>
      </c>
      <c r="D28" s="122" t="s">
        <v>258</v>
      </c>
      <c r="E28" s="123">
        <v>1204</v>
      </c>
      <c r="F28" s="124">
        <v>41.433853999999997</v>
      </c>
      <c r="G28" s="125">
        <v>1.9558140000000002E-2</v>
      </c>
      <c r="H28" s="120" t="s">
        <v>151</v>
      </c>
      <c r="J28" s="8"/>
    </row>
    <row r="29" spans="1:10" x14ac:dyDescent="0.2">
      <c r="A29" s="121">
        <v>23</v>
      </c>
      <c r="B29" s="122" t="s">
        <v>355</v>
      </c>
      <c r="C29" s="122" t="s">
        <v>356</v>
      </c>
      <c r="D29" s="122" t="s">
        <v>216</v>
      </c>
      <c r="E29" s="123">
        <v>937</v>
      </c>
      <c r="F29" s="124">
        <v>39.995845000000003</v>
      </c>
      <c r="G29" s="125">
        <v>1.887935E-2</v>
      </c>
      <c r="H29" s="120" t="s">
        <v>151</v>
      </c>
      <c r="J29" s="8"/>
    </row>
    <row r="30" spans="1:10" ht="25.5" x14ac:dyDescent="0.2">
      <c r="A30" s="121">
        <v>24</v>
      </c>
      <c r="B30" s="122" t="s">
        <v>465</v>
      </c>
      <c r="C30" s="122" t="s">
        <v>466</v>
      </c>
      <c r="D30" s="122" t="s">
        <v>205</v>
      </c>
      <c r="E30" s="123">
        <v>1814</v>
      </c>
      <c r="F30" s="124">
        <v>30.005374</v>
      </c>
      <c r="G30" s="125">
        <v>1.4163520000000001E-2</v>
      </c>
      <c r="H30" s="120" t="s">
        <v>151</v>
      </c>
      <c r="J30" s="8"/>
    </row>
    <row r="31" spans="1:10" ht="25.5" x14ac:dyDescent="0.2">
      <c r="A31" s="121">
        <v>25</v>
      </c>
      <c r="B31" s="122" t="s">
        <v>467</v>
      </c>
      <c r="C31" s="122" t="s">
        <v>468</v>
      </c>
      <c r="D31" s="122" t="s">
        <v>290</v>
      </c>
      <c r="E31" s="123">
        <v>2385</v>
      </c>
      <c r="F31" s="124">
        <v>28.547257500000001</v>
      </c>
      <c r="G31" s="125">
        <v>1.3475239999999999E-2</v>
      </c>
      <c r="H31" s="120" t="s">
        <v>151</v>
      </c>
      <c r="J31" s="8"/>
    </row>
    <row r="32" spans="1:10" ht="25.5" x14ac:dyDescent="0.2">
      <c r="A32" s="121">
        <v>26</v>
      </c>
      <c r="B32" s="122" t="s">
        <v>469</v>
      </c>
      <c r="C32" s="122" t="s">
        <v>470</v>
      </c>
      <c r="D32" s="122" t="s">
        <v>25</v>
      </c>
      <c r="E32" s="123">
        <v>1871</v>
      </c>
      <c r="F32" s="124">
        <v>23.718667</v>
      </c>
      <c r="G32" s="125">
        <v>1.1195989999999999E-2</v>
      </c>
      <c r="H32" s="120" t="s">
        <v>151</v>
      </c>
      <c r="J32" s="8"/>
    </row>
    <row r="33" spans="1:10" x14ac:dyDescent="0.2">
      <c r="A33" s="121">
        <v>27</v>
      </c>
      <c r="B33" s="122" t="s">
        <v>378</v>
      </c>
      <c r="C33" s="122" t="s">
        <v>379</v>
      </c>
      <c r="D33" s="122" t="s">
        <v>368</v>
      </c>
      <c r="E33" s="123">
        <v>788</v>
      </c>
      <c r="F33" s="124">
        <v>23.311404</v>
      </c>
      <c r="G33" s="125">
        <v>1.100375E-2</v>
      </c>
      <c r="H33" s="120" t="s">
        <v>151</v>
      </c>
      <c r="J33" s="8"/>
    </row>
    <row r="34" spans="1:10" x14ac:dyDescent="0.2">
      <c r="A34" s="121">
        <v>28</v>
      </c>
      <c r="B34" s="122" t="s">
        <v>96</v>
      </c>
      <c r="C34" s="122" t="s">
        <v>97</v>
      </c>
      <c r="D34" s="122" t="s">
        <v>85</v>
      </c>
      <c r="E34" s="123">
        <v>2464</v>
      </c>
      <c r="F34" s="124">
        <v>22.626912000000001</v>
      </c>
      <c r="G34" s="125">
        <v>1.068065E-2</v>
      </c>
      <c r="H34" s="120" t="s">
        <v>151</v>
      </c>
      <c r="J34" s="8"/>
    </row>
    <row r="35" spans="1:10" x14ac:dyDescent="0.2">
      <c r="A35" s="121">
        <v>29</v>
      </c>
      <c r="B35" s="122" t="s">
        <v>471</v>
      </c>
      <c r="C35" s="122" t="s">
        <v>472</v>
      </c>
      <c r="D35" s="122" t="s">
        <v>48</v>
      </c>
      <c r="E35" s="123">
        <v>1250</v>
      </c>
      <c r="F35" s="124">
        <v>18.094999999999999</v>
      </c>
      <c r="G35" s="125">
        <v>8.5414299999999992E-3</v>
      </c>
      <c r="H35" s="120" t="s">
        <v>151</v>
      </c>
      <c r="J35" s="8"/>
    </row>
    <row r="36" spans="1:10" x14ac:dyDescent="0.2">
      <c r="A36" s="121">
        <v>30</v>
      </c>
      <c r="B36" s="122" t="s">
        <v>359</v>
      </c>
      <c r="C36" s="122" t="s">
        <v>360</v>
      </c>
      <c r="D36" s="122" t="s">
        <v>361</v>
      </c>
      <c r="E36" s="123">
        <v>2289</v>
      </c>
      <c r="F36" s="124">
        <v>17.309418000000001</v>
      </c>
      <c r="G36" s="125">
        <v>8.17061E-3</v>
      </c>
      <c r="H36" s="120" t="s">
        <v>151</v>
      </c>
      <c r="J36" s="8"/>
    </row>
    <row r="37" spans="1:10" ht="25.5" x14ac:dyDescent="0.2">
      <c r="A37" s="121">
        <v>31</v>
      </c>
      <c r="B37" s="122" t="s">
        <v>473</v>
      </c>
      <c r="C37" s="200" t="s">
        <v>897</v>
      </c>
      <c r="D37" s="122" t="s">
        <v>16</v>
      </c>
      <c r="E37" s="123">
        <v>482</v>
      </c>
      <c r="F37" s="124">
        <v>6.3016680000000003</v>
      </c>
      <c r="G37" s="125">
        <v>2.97459E-3</v>
      </c>
      <c r="H37" s="120" t="s">
        <v>151</v>
      </c>
      <c r="J37" s="8"/>
    </row>
    <row r="38" spans="1:10" x14ac:dyDescent="0.2">
      <c r="A38" s="118"/>
      <c r="B38" s="118"/>
      <c r="C38" s="119" t="s">
        <v>150</v>
      </c>
      <c r="D38" s="118"/>
      <c r="E38" s="118" t="s">
        <v>151</v>
      </c>
      <c r="F38" s="126">
        <v>2072.9941890000005</v>
      </c>
      <c r="G38" s="127">
        <v>0.97852128999999977</v>
      </c>
      <c r="H38" s="120" t="s">
        <v>151</v>
      </c>
      <c r="J38" s="8"/>
    </row>
    <row r="39" spans="1:10" x14ac:dyDescent="0.2">
      <c r="A39" s="118"/>
      <c r="B39" s="118"/>
      <c r="C39" s="128"/>
      <c r="D39" s="118"/>
      <c r="E39" s="118"/>
      <c r="F39" s="129"/>
      <c r="G39" s="129"/>
      <c r="H39" s="120" t="s">
        <v>151</v>
      </c>
      <c r="J39" s="8"/>
    </row>
    <row r="40" spans="1:10" x14ac:dyDescent="0.2">
      <c r="A40" s="118"/>
      <c r="B40" s="118"/>
      <c r="C40" s="119" t="s">
        <v>152</v>
      </c>
      <c r="D40" s="118"/>
      <c r="E40" s="118"/>
      <c r="F40" s="118"/>
      <c r="G40" s="118"/>
      <c r="H40" s="120" t="s">
        <v>151</v>
      </c>
      <c r="J40" s="8"/>
    </row>
    <row r="41" spans="1:10" x14ac:dyDescent="0.2">
      <c r="A41" s="118"/>
      <c r="B41" s="118"/>
      <c r="C41" s="119" t="s">
        <v>150</v>
      </c>
      <c r="D41" s="118"/>
      <c r="E41" s="118" t="s">
        <v>151</v>
      </c>
      <c r="F41" s="130" t="s">
        <v>153</v>
      </c>
      <c r="G41" s="127">
        <v>0</v>
      </c>
      <c r="H41" s="120" t="s">
        <v>151</v>
      </c>
      <c r="J41" s="8"/>
    </row>
    <row r="42" spans="1:10" x14ac:dyDescent="0.2">
      <c r="A42" s="118"/>
      <c r="B42" s="118"/>
      <c r="C42" s="128"/>
      <c r="D42" s="118"/>
      <c r="E42" s="118"/>
      <c r="F42" s="129"/>
      <c r="G42" s="129"/>
      <c r="H42" s="120" t="s">
        <v>151</v>
      </c>
      <c r="J42" s="8"/>
    </row>
    <row r="43" spans="1:10" x14ac:dyDescent="0.2">
      <c r="A43" s="118"/>
      <c r="B43" s="118"/>
      <c r="C43" s="119" t="s">
        <v>154</v>
      </c>
      <c r="D43" s="118"/>
      <c r="E43" s="118"/>
      <c r="F43" s="118"/>
      <c r="G43" s="118"/>
      <c r="H43" s="120" t="s">
        <v>151</v>
      </c>
      <c r="J43" s="8"/>
    </row>
    <row r="44" spans="1:10" x14ac:dyDescent="0.2">
      <c r="A44" s="118"/>
      <c r="B44" s="118"/>
      <c r="C44" s="119" t="s">
        <v>150</v>
      </c>
      <c r="D44" s="118"/>
      <c r="E44" s="118" t="s">
        <v>151</v>
      </c>
      <c r="F44" s="130" t="s">
        <v>153</v>
      </c>
      <c r="G44" s="127">
        <v>0</v>
      </c>
      <c r="H44" s="120" t="s">
        <v>151</v>
      </c>
      <c r="J44" s="8"/>
    </row>
    <row r="45" spans="1:10" x14ac:dyDescent="0.2">
      <c r="A45" s="118"/>
      <c r="B45" s="118"/>
      <c r="C45" s="128"/>
      <c r="D45" s="118"/>
      <c r="E45" s="118"/>
      <c r="F45" s="129"/>
      <c r="G45" s="129"/>
      <c r="H45" s="120" t="s">
        <v>151</v>
      </c>
      <c r="J45" s="8"/>
    </row>
    <row r="46" spans="1:10" x14ac:dyDescent="0.2">
      <c r="A46" s="118"/>
      <c r="B46" s="118"/>
      <c r="C46" s="119" t="s">
        <v>155</v>
      </c>
      <c r="D46" s="118"/>
      <c r="E46" s="118"/>
      <c r="F46" s="118"/>
      <c r="G46" s="118"/>
      <c r="H46" s="120" t="s">
        <v>151</v>
      </c>
      <c r="J46" s="8"/>
    </row>
    <row r="47" spans="1:10" x14ac:dyDescent="0.2">
      <c r="A47" s="118"/>
      <c r="B47" s="118"/>
      <c r="C47" s="119" t="s">
        <v>150</v>
      </c>
      <c r="D47" s="118"/>
      <c r="E47" s="118" t="s">
        <v>151</v>
      </c>
      <c r="F47" s="130" t="s">
        <v>153</v>
      </c>
      <c r="G47" s="127">
        <v>0</v>
      </c>
      <c r="H47" s="120" t="s">
        <v>151</v>
      </c>
      <c r="J47" s="8"/>
    </row>
    <row r="48" spans="1:10" x14ac:dyDescent="0.2">
      <c r="A48" s="118"/>
      <c r="B48" s="118"/>
      <c r="C48" s="128"/>
      <c r="D48" s="118"/>
      <c r="E48" s="118"/>
      <c r="F48" s="129"/>
      <c r="G48" s="129"/>
      <c r="H48" s="120" t="s">
        <v>151</v>
      </c>
      <c r="J48" s="8"/>
    </row>
    <row r="49" spans="1:10" x14ac:dyDescent="0.2">
      <c r="A49" s="118"/>
      <c r="B49" s="118"/>
      <c r="C49" s="119" t="s">
        <v>156</v>
      </c>
      <c r="D49" s="118"/>
      <c r="E49" s="118"/>
      <c r="F49" s="129"/>
      <c r="G49" s="129"/>
      <c r="H49" s="120" t="s">
        <v>151</v>
      </c>
      <c r="J49" s="8"/>
    </row>
    <row r="50" spans="1:10" x14ac:dyDescent="0.2">
      <c r="A50" s="118"/>
      <c r="B50" s="118"/>
      <c r="C50" s="119" t="s">
        <v>150</v>
      </c>
      <c r="D50" s="118"/>
      <c r="E50" s="118" t="s">
        <v>151</v>
      </c>
      <c r="F50" s="130" t="s">
        <v>153</v>
      </c>
      <c r="G50" s="127">
        <v>0</v>
      </c>
      <c r="H50" s="120" t="s">
        <v>151</v>
      </c>
      <c r="J50" s="8"/>
    </row>
    <row r="51" spans="1:10" x14ac:dyDescent="0.2">
      <c r="A51" s="118"/>
      <c r="B51" s="118"/>
      <c r="C51" s="128"/>
      <c r="D51" s="118"/>
      <c r="E51" s="118"/>
      <c r="F51" s="129"/>
      <c r="G51" s="129"/>
      <c r="H51" s="120" t="s">
        <v>151</v>
      </c>
      <c r="J51" s="8"/>
    </row>
    <row r="52" spans="1:10" x14ac:dyDescent="0.2">
      <c r="A52" s="118"/>
      <c r="B52" s="118"/>
      <c r="C52" s="119" t="s">
        <v>157</v>
      </c>
      <c r="D52" s="118"/>
      <c r="E52" s="118"/>
      <c r="F52" s="129"/>
      <c r="G52" s="129"/>
      <c r="H52" s="120" t="s">
        <v>151</v>
      </c>
      <c r="J52" s="8"/>
    </row>
    <row r="53" spans="1:10" x14ac:dyDescent="0.2">
      <c r="A53" s="118"/>
      <c r="B53" s="118"/>
      <c r="C53" s="119" t="s">
        <v>150</v>
      </c>
      <c r="D53" s="118"/>
      <c r="E53" s="118" t="s">
        <v>151</v>
      </c>
      <c r="F53" s="130" t="s">
        <v>153</v>
      </c>
      <c r="G53" s="127">
        <v>0</v>
      </c>
      <c r="H53" s="120" t="s">
        <v>151</v>
      </c>
      <c r="J53" s="8"/>
    </row>
    <row r="54" spans="1:10" x14ac:dyDescent="0.2">
      <c r="A54" s="118"/>
      <c r="B54" s="118"/>
      <c r="C54" s="128"/>
      <c r="D54" s="118"/>
      <c r="E54" s="118"/>
      <c r="F54" s="129"/>
      <c r="G54" s="129"/>
      <c r="H54" s="120" t="s">
        <v>151</v>
      </c>
      <c r="J54" s="8"/>
    </row>
    <row r="55" spans="1:10" x14ac:dyDescent="0.2">
      <c r="A55" s="118"/>
      <c r="B55" s="118"/>
      <c r="C55" s="119" t="s">
        <v>158</v>
      </c>
      <c r="D55" s="118"/>
      <c r="E55" s="118"/>
      <c r="F55" s="126">
        <v>2072.994189</v>
      </c>
      <c r="G55" s="127">
        <v>0.97852128999999999</v>
      </c>
      <c r="H55" s="120" t="s">
        <v>151</v>
      </c>
      <c r="J55" s="8"/>
    </row>
    <row r="56" spans="1:10" x14ac:dyDescent="0.2">
      <c r="A56" s="118"/>
      <c r="B56" s="118"/>
      <c r="C56" s="128"/>
      <c r="D56" s="118"/>
      <c r="E56" s="118"/>
      <c r="F56" s="129"/>
      <c r="G56" s="129"/>
      <c r="H56" s="120" t="s">
        <v>151</v>
      </c>
      <c r="J56" s="8"/>
    </row>
    <row r="57" spans="1:10" x14ac:dyDescent="0.2">
      <c r="A57" s="118"/>
      <c r="B57" s="118"/>
      <c r="C57" s="119" t="s">
        <v>159</v>
      </c>
      <c r="D57" s="118"/>
      <c r="E57" s="118"/>
      <c r="F57" s="129"/>
      <c r="G57" s="129"/>
      <c r="H57" s="120" t="s">
        <v>151</v>
      </c>
      <c r="J57" s="8"/>
    </row>
    <row r="58" spans="1:10" ht="25.5" x14ac:dyDescent="0.2">
      <c r="A58" s="118"/>
      <c r="B58" s="118"/>
      <c r="C58" s="119" t="s">
        <v>10</v>
      </c>
      <c r="D58" s="118"/>
      <c r="E58" s="118"/>
      <c r="F58" s="129"/>
      <c r="G58" s="129"/>
      <c r="H58" s="120" t="s">
        <v>151</v>
      </c>
      <c r="J58" s="8"/>
    </row>
    <row r="59" spans="1:10" x14ac:dyDescent="0.2">
      <c r="A59" s="118"/>
      <c r="B59" s="118"/>
      <c r="C59" s="119" t="s">
        <v>150</v>
      </c>
      <c r="D59" s="118"/>
      <c r="E59" s="118" t="s">
        <v>151</v>
      </c>
      <c r="F59" s="130" t="s">
        <v>153</v>
      </c>
      <c r="G59" s="127">
        <v>0</v>
      </c>
      <c r="H59" s="120" t="s">
        <v>151</v>
      </c>
      <c r="J59" s="8"/>
    </row>
    <row r="60" spans="1:10" x14ac:dyDescent="0.2">
      <c r="A60" s="118"/>
      <c r="B60" s="118"/>
      <c r="C60" s="128"/>
      <c r="D60" s="118"/>
      <c r="E60" s="118"/>
      <c r="F60" s="129"/>
      <c r="G60" s="129"/>
      <c r="H60" s="120" t="s">
        <v>151</v>
      </c>
      <c r="J60" s="8"/>
    </row>
    <row r="61" spans="1:10" x14ac:dyDescent="0.2">
      <c r="A61" s="118"/>
      <c r="B61" s="118"/>
      <c r="C61" s="119" t="s">
        <v>160</v>
      </c>
      <c r="D61" s="118"/>
      <c r="E61" s="118"/>
      <c r="F61" s="118"/>
      <c r="G61" s="118"/>
      <c r="H61" s="120" t="s">
        <v>151</v>
      </c>
      <c r="J61" s="8"/>
    </row>
    <row r="62" spans="1:10" x14ac:dyDescent="0.2">
      <c r="A62" s="118"/>
      <c r="B62" s="118"/>
      <c r="C62" s="119" t="s">
        <v>150</v>
      </c>
      <c r="D62" s="118"/>
      <c r="E62" s="118" t="s">
        <v>151</v>
      </c>
      <c r="F62" s="130" t="s">
        <v>153</v>
      </c>
      <c r="G62" s="127">
        <v>0</v>
      </c>
      <c r="H62" s="120" t="s">
        <v>151</v>
      </c>
      <c r="J62" s="8"/>
    </row>
    <row r="63" spans="1:10" x14ac:dyDescent="0.2">
      <c r="A63" s="118"/>
      <c r="B63" s="118"/>
      <c r="C63" s="128"/>
      <c r="D63" s="118"/>
      <c r="E63" s="118"/>
      <c r="F63" s="129"/>
      <c r="G63" s="129"/>
      <c r="H63" s="120" t="s">
        <v>151</v>
      </c>
      <c r="J63" s="8"/>
    </row>
    <row r="64" spans="1:10" x14ac:dyDescent="0.2">
      <c r="A64" s="118"/>
      <c r="B64" s="118"/>
      <c r="C64" s="119" t="s">
        <v>161</v>
      </c>
      <c r="D64" s="118"/>
      <c r="E64" s="118"/>
      <c r="F64" s="118"/>
      <c r="G64" s="118"/>
      <c r="H64" s="120" t="s">
        <v>151</v>
      </c>
      <c r="J64" s="8"/>
    </row>
    <row r="65" spans="1:10" x14ac:dyDescent="0.2">
      <c r="A65" s="118"/>
      <c r="B65" s="118"/>
      <c r="C65" s="119" t="s">
        <v>150</v>
      </c>
      <c r="D65" s="118"/>
      <c r="E65" s="118" t="s">
        <v>151</v>
      </c>
      <c r="F65" s="130" t="s">
        <v>153</v>
      </c>
      <c r="G65" s="127">
        <v>0</v>
      </c>
      <c r="H65" s="120" t="s">
        <v>151</v>
      </c>
      <c r="J65" s="8"/>
    </row>
    <row r="66" spans="1:10" x14ac:dyDescent="0.2">
      <c r="A66" s="118"/>
      <c r="B66" s="118"/>
      <c r="C66" s="128"/>
      <c r="D66" s="118"/>
      <c r="E66" s="118"/>
      <c r="F66" s="129"/>
      <c r="G66" s="129"/>
      <c r="H66" s="120" t="s">
        <v>151</v>
      </c>
      <c r="J66" s="8"/>
    </row>
    <row r="67" spans="1:10" x14ac:dyDescent="0.2">
      <c r="A67" s="118"/>
      <c r="B67" s="118"/>
      <c r="C67" s="119" t="s">
        <v>162</v>
      </c>
      <c r="D67" s="118"/>
      <c r="E67" s="118"/>
      <c r="F67" s="129"/>
      <c r="G67" s="129"/>
      <c r="H67" s="120" t="s">
        <v>151</v>
      </c>
      <c r="J67" s="8"/>
    </row>
    <row r="68" spans="1:10" x14ac:dyDescent="0.2">
      <c r="A68" s="118"/>
      <c r="B68" s="118"/>
      <c r="C68" s="119" t="s">
        <v>150</v>
      </c>
      <c r="D68" s="118"/>
      <c r="E68" s="118" t="s">
        <v>151</v>
      </c>
      <c r="F68" s="130" t="s">
        <v>153</v>
      </c>
      <c r="G68" s="127">
        <v>0</v>
      </c>
      <c r="H68" s="120" t="s">
        <v>151</v>
      </c>
      <c r="J68" s="8"/>
    </row>
    <row r="69" spans="1:10" x14ac:dyDescent="0.2">
      <c r="A69" s="118"/>
      <c r="B69" s="118"/>
      <c r="C69" s="128"/>
      <c r="D69" s="118"/>
      <c r="E69" s="118"/>
      <c r="F69" s="129"/>
      <c r="G69" s="129"/>
      <c r="H69" s="120" t="s">
        <v>151</v>
      </c>
      <c r="J69" s="8"/>
    </row>
    <row r="70" spans="1:10" x14ac:dyDescent="0.2">
      <c r="A70" s="118"/>
      <c r="B70" s="118"/>
      <c r="C70" s="119" t="s">
        <v>163</v>
      </c>
      <c r="D70" s="118"/>
      <c r="E70" s="118"/>
      <c r="F70" s="126">
        <v>0</v>
      </c>
      <c r="G70" s="127">
        <v>0</v>
      </c>
      <c r="H70" s="120" t="s">
        <v>151</v>
      </c>
      <c r="J70" s="8"/>
    </row>
    <row r="71" spans="1:10" x14ac:dyDescent="0.2">
      <c r="A71" s="118"/>
      <c r="B71" s="118"/>
      <c r="C71" s="128"/>
      <c r="D71" s="118"/>
      <c r="E71" s="118"/>
      <c r="F71" s="129"/>
      <c r="G71" s="129"/>
      <c r="H71" s="120" t="s">
        <v>151</v>
      </c>
      <c r="J71" s="8"/>
    </row>
    <row r="72" spans="1:10" x14ac:dyDescent="0.2">
      <c r="A72" s="118"/>
      <c r="B72" s="118"/>
      <c r="C72" s="119" t="s">
        <v>164</v>
      </c>
      <c r="D72" s="118"/>
      <c r="E72" s="118"/>
      <c r="F72" s="129"/>
      <c r="G72" s="129"/>
      <c r="H72" s="120" t="s">
        <v>151</v>
      </c>
      <c r="J72" s="8"/>
    </row>
    <row r="73" spans="1:10" x14ac:dyDescent="0.2">
      <c r="A73" s="118"/>
      <c r="B73" s="118"/>
      <c r="C73" s="119" t="s">
        <v>165</v>
      </c>
      <c r="D73" s="118"/>
      <c r="E73" s="118"/>
      <c r="F73" s="129"/>
      <c r="G73" s="129"/>
      <c r="H73" s="120" t="s">
        <v>151</v>
      </c>
      <c r="J73" s="8"/>
    </row>
    <row r="74" spans="1:10" x14ac:dyDescent="0.2">
      <c r="A74" s="118"/>
      <c r="B74" s="118"/>
      <c r="C74" s="119" t="s">
        <v>150</v>
      </c>
      <c r="D74" s="118"/>
      <c r="E74" s="118" t="s">
        <v>151</v>
      </c>
      <c r="F74" s="130" t="s">
        <v>153</v>
      </c>
      <c r="G74" s="127">
        <v>0</v>
      </c>
      <c r="H74" s="120" t="s">
        <v>151</v>
      </c>
      <c r="J74" s="8"/>
    </row>
    <row r="75" spans="1:10" x14ac:dyDescent="0.2">
      <c r="A75" s="118"/>
      <c r="B75" s="118"/>
      <c r="C75" s="128"/>
      <c r="D75" s="118"/>
      <c r="E75" s="118"/>
      <c r="F75" s="129"/>
      <c r="G75" s="129"/>
      <c r="H75" s="120" t="s">
        <v>151</v>
      </c>
      <c r="J75" s="8"/>
    </row>
    <row r="76" spans="1:10" x14ac:dyDescent="0.2">
      <c r="A76" s="118"/>
      <c r="B76" s="118"/>
      <c r="C76" s="119" t="s">
        <v>166</v>
      </c>
      <c r="D76" s="118"/>
      <c r="E76" s="118"/>
      <c r="F76" s="129"/>
      <c r="G76" s="129"/>
      <c r="H76" s="120" t="s">
        <v>151</v>
      </c>
      <c r="J76" s="8"/>
    </row>
    <row r="77" spans="1:10" x14ac:dyDescent="0.2">
      <c r="A77" s="118"/>
      <c r="B77" s="118"/>
      <c r="C77" s="119" t="s">
        <v>150</v>
      </c>
      <c r="D77" s="118"/>
      <c r="E77" s="118" t="s">
        <v>151</v>
      </c>
      <c r="F77" s="130" t="s">
        <v>153</v>
      </c>
      <c r="G77" s="127">
        <v>0</v>
      </c>
      <c r="H77" s="120" t="s">
        <v>151</v>
      </c>
      <c r="J77" s="8"/>
    </row>
    <row r="78" spans="1:10" x14ac:dyDescent="0.2">
      <c r="A78" s="118"/>
      <c r="B78" s="118"/>
      <c r="C78" s="128"/>
      <c r="D78" s="118"/>
      <c r="E78" s="118"/>
      <c r="F78" s="129"/>
      <c r="G78" s="129"/>
      <c r="H78" s="120" t="s">
        <v>151</v>
      </c>
      <c r="J78" s="8"/>
    </row>
    <row r="79" spans="1:10" x14ac:dyDescent="0.2">
      <c r="A79" s="118"/>
      <c r="B79" s="118"/>
      <c r="C79" s="119" t="s">
        <v>167</v>
      </c>
      <c r="D79" s="118"/>
      <c r="E79" s="118"/>
      <c r="F79" s="129"/>
      <c r="G79" s="129"/>
      <c r="H79" s="120" t="s">
        <v>151</v>
      </c>
      <c r="J79" s="8"/>
    </row>
    <row r="80" spans="1:10" x14ac:dyDescent="0.2">
      <c r="A80" s="118"/>
      <c r="B80" s="118"/>
      <c r="C80" s="119" t="s">
        <v>150</v>
      </c>
      <c r="D80" s="118"/>
      <c r="E80" s="118" t="s">
        <v>151</v>
      </c>
      <c r="F80" s="130" t="s">
        <v>153</v>
      </c>
      <c r="G80" s="127">
        <v>0</v>
      </c>
      <c r="H80" s="120" t="s">
        <v>151</v>
      </c>
      <c r="J80" s="8"/>
    </row>
    <row r="81" spans="1:10" x14ac:dyDescent="0.2">
      <c r="A81" s="118"/>
      <c r="B81" s="118"/>
      <c r="C81" s="128"/>
      <c r="D81" s="118"/>
      <c r="E81" s="118"/>
      <c r="F81" s="129"/>
      <c r="G81" s="129"/>
      <c r="H81" s="120" t="s">
        <v>151</v>
      </c>
      <c r="J81" s="8"/>
    </row>
    <row r="82" spans="1:10" x14ac:dyDescent="0.2">
      <c r="A82" s="118"/>
      <c r="B82" s="118"/>
      <c r="C82" s="119" t="s">
        <v>168</v>
      </c>
      <c r="D82" s="118"/>
      <c r="E82" s="118"/>
      <c r="F82" s="129"/>
      <c r="G82" s="129"/>
      <c r="H82" s="120" t="s">
        <v>151</v>
      </c>
      <c r="J82" s="8"/>
    </row>
    <row r="83" spans="1:10" x14ac:dyDescent="0.2">
      <c r="A83" s="121">
        <v>1</v>
      </c>
      <c r="B83" s="122"/>
      <c r="C83" s="122" t="s">
        <v>169</v>
      </c>
      <c r="D83" s="122"/>
      <c r="E83" s="131"/>
      <c r="F83" s="124">
        <v>46.142572000000001</v>
      </c>
      <c r="G83" s="125">
        <v>2.1780810000000001E-2</v>
      </c>
      <c r="H83" s="120">
        <v>6.61</v>
      </c>
      <c r="J83" s="8"/>
    </row>
    <row r="84" spans="1:10" x14ac:dyDescent="0.2">
      <c r="A84" s="118"/>
      <c r="B84" s="118"/>
      <c r="C84" s="119" t="s">
        <v>150</v>
      </c>
      <c r="D84" s="118"/>
      <c r="E84" s="118" t="s">
        <v>151</v>
      </c>
      <c r="F84" s="126">
        <v>46.142572000000001</v>
      </c>
      <c r="G84" s="127">
        <v>2.1780810000000001E-2</v>
      </c>
      <c r="H84" s="120" t="s">
        <v>151</v>
      </c>
      <c r="J84" s="8"/>
    </row>
    <row r="85" spans="1:10" x14ac:dyDescent="0.2">
      <c r="A85" s="118"/>
      <c r="B85" s="118"/>
      <c r="C85" s="128"/>
      <c r="D85" s="118"/>
      <c r="E85" s="118"/>
      <c r="F85" s="129"/>
      <c r="G85" s="129"/>
      <c r="H85" s="120" t="s">
        <v>151</v>
      </c>
      <c r="J85" s="8"/>
    </row>
    <row r="86" spans="1:10" x14ac:dyDescent="0.2">
      <c r="A86" s="118"/>
      <c r="B86" s="118"/>
      <c r="C86" s="119" t="s">
        <v>170</v>
      </c>
      <c r="D86" s="118"/>
      <c r="E86" s="118"/>
      <c r="F86" s="126">
        <v>46.142572000000001</v>
      </c>
      <c r="G86" s="127">
        <v>2.1780810000000001E-2</v>
      </c>
      <c r="H86" s="120" t="s">
        <v>151</v>
      </c>
      <c r="J86" s="8"/>
    </row>
    <row r="87" spans="1:10" x14ac:dyDescent="0.2">
      <c r="A87" s="118"/>
      <c r="B87" s="118"/>
      <c r="C87" s="129"/>
      <c r="D87" s="118"/>
      <c r="E87" s="118"/>
      <c r="F87" s="118"/>
      <c r="G87" s="118"/>
      <c r="H87" s="120" t="s">
        <v>151</v>
      </c>
      <c r="J87" s="8"/>
    </row>
    <row r="88" spans="1:10" x14ac:dyDescent="0.2">
      <c r="A88" s="118"/>
      <c r="B88" s="118"/>
      <c r="C88" s="119" t="s">
        <v>171</v>
      </c>
      <c r="D88" s="118"/>
      <c r="E88" s="118"/>
      <c r="F88" s="118"/>
      <c r="G88" s="118"/>
      <c r="H88" s="120" t="s">
        <v>151</v>
      </c>
      <c r="J88" s="8"/>
    </row>
    <row r="89" spans="1:10" x14ac:dyDescent="0.2">
      <c r="A89" s="118"/>
      <c r="B89" s="118"/>
      <c r="C89" s="119" t="s">
        <v>172</v>
      </c>
      <c r="D89" s="118"/>
      <c r="E89" s="118"/>
      <c r="F89" s="118"/>
      <c r="G89" s="118"/>
      <c r="H89" s="120" t="s">
        <v>151</v>
      </c>
      <c r="J89" s="8"/>
    </row>
    <row r="90" spans="1:10" x14ac:dyDescent="0.2">
      <c r="A90" s="118"/>
      <c r="B90" s="118"/>
      <c r="C90" s="119" t="s">
        <v>150</v>
      </c>
      <c r="D90" s="118"/>
      <c r="E90" s="118" t="s">
        <v>151</v>
      </c>
      <c r="F90" s="130" t="s">
        <v>153</v>
      </c>
      <c r="G90" s="127">
        <v>0</v>
      </c>
      <c r="H90" s="120" t="s">
        <v>151</v>
      </c>
      <c r="J90" s="8"/>
    </row>
    <row r="91" spans="1:10" x14ac:dyDescent="0.2">
      <c r="A91" s="118"/>
      <c r="B91" s="118"/>
      <c r="C91" s="128"/>
      <c r="D91" s="118"/>
      <c r="E91" s="118"/>
      <c r="F91" s="129"/>
      <c r="G91" s="129"/>
      <c r="H91" s="120" t="s">
        <v>151</v>
      </c>
      <c r="J91" s="8"/>
    </row>
    <row r="92" spans="1:10" x14ac:dyDescent="0.2">
      <c r="A92" s="118"/>
      <c r="B92" s="118"/>
      <c r="C92" s="119" t="s">
        <v>175</v>
      </c>
      <c r="D92" s="118"/>
      <c r="E92" s="118"/>
      <c r="F92" s="118"/>
      <c r="G92" s="118"/>
      <c r="H92" s="120" t="s">
        <v>151</v>
      </c>
      <c r="J92" s="8"/>
    </row>
    <row r="93" spans="1:10" x14ac:dyDescent="0.2">
      <c r="A93" s="118"/>
      <c r="B93" s="118"/>
      <c r="C93" s="119" t="s">
        <v>176</v>
      </c>
      <c r="D93" s="118"/>
      <c r="E93" s="118"/>
      <c r="F93" s="118"/>
      <c r="G93" s="118"/>
      <c r="H93" s="120" t="s">
        <v>151</v>
      </c>
      <c r="J93" s="8"/>
    </row>
    <row r="94" spans="1:10" x14ac:dyDescent="0.2">
      <c r="A94" s="118"/>
      <c r="B94" s="118"/>
      <c r="C94" s="119" t="s">
        <v>150</v>
      </c>
      <c r="D94" s="118"/>
      <c r="E94" s="118" t="s">
        <v>151</v>
      </c>
      <c r="F94" s="130" t="s">
        <v>153</v>
      </c>
      <c r="G94" s="127">
        <v>0</v>
      </c>
      <c r="H94" s="120" t="s">
        <v>151</v>
      </c>
      <c r="J94" s="8"/>
    </row>
    <row r="95" spans="1:10" x14ac:dyDescent="0.2">
      <c r="A95" s="118"/>
      <c r="B95" s="118"/>
      <c r="C95" s="128"/>
      <c r="D95" s="118"/>
      <c r="E95" s="118"/>
      <c r="F95" s="129"/>
      <c r="G95" s="129"/>
      <c r="H95" s="120" t="s">
        <v>151</v>
      </c>
      <c r="J95" s="8"/>
    </row>
    <row r="96" spans="1:10" ht="25.5" x14ac:dyDescent="0.2">
      <c r="A96" s="118"/>
      <c r="B96" s="118"/>
      <c r="C96" s="119" t="s">
        <v>177</v>
      </c>
      <c r="D96" s="118"/>
      <c r="E96" s="118"/>
      <c r="F96" s="129"/>
      <c r="G96" s="129"/>
      <c r="H96" s="120" t="s">
        <v>151</v>
      </c>
      <c r="J96" s="8"/>
    </row>
    <row r="97" spans="1:17" x14ac:dyDescent="0.2">
      <c r="A97" s="118"/>
      <c r="B97" s="118"/>
      <c r="C97" s="119" t="s">
        <v>150</v>
      </c>
      <c r="D97" s="118"/>
      <c r="E97" s="118" t="s">
        <v>151</v>
      </c>
      <c r="F97" s="130" t="s">
        <v>153</v>
      </c>
      <c r="G97" s="127">
        <v>0</v>
      </c>
      <c r="H97" s="120" t="s">
        <v>151</v>
      </c>
      <c r="J97" s="8"/>
    </row>
    <row r="98" spans="1:17" x14ac:dyDescent="0.2">
      <c r="A98" s="118"/>
      <c r="B98" s="118"/>
      <c r="C98" s="128"/>
      <c r="D98" s="118"/>
      <c r="E98" s="118"/>
      <c r="F98" s="129"/>
      <c r="G98" s="129"/>
      <c r="H98" s="120" t="s">
        <v>151</v>
      </c>
      <c r="J98" s="8"/>
    </row>
    <row r="99" spans="1:17" x14ac:dyDescent="0.2">
      <c r="A99" s="131"/>
      <c r="B99" s="122"/>
      <c r="C99" s="122" t="s">
        <v>178</v>
      </c>
      <c r="D99" s="122"/>
      <c r="E99" s="131"/>
      <c r="F99" s="124">
        <v>-0.6399802</v>
      </c>
      <c r="G99" s="125">
        <v>-3.0208999999999998E-4</v>
      </c>
      <c r="H99" s="120" t="s">
        <v>151</v>
      </c>
      <c r="J99" s="8"/>
    </row>
    <row r="100" spans="1:17" x14ac:dyDescent="0.2">
      <c r="A100" s="128"/>
      <c r="B100" s="128"/>
      <c r="C100" s="119" t="s">
        <v>179</v>
      </c>
      <c r="D100" s="129"/>
      <c r="E100" s="129"/>
      <c r="F100" s="126">
        <v>2118.4967808000001</v>
      </c>
      <c r="G100" s="133">
        <v>1.0000000099999999</v>
      </c>
      <c r="H100" s="120" t="s">
        <v>151</v>
      </c>
      <c r="J100" s="8"/>
    </row>
    <row r="101" spans="1:17" x14ac:dyDescent="0.2">
      <c r="A101" s="134"/>
      <c r="B101" s="134"/>
      <c r="C101" s="134"/>
      <c r="D101" s="135"/>
      <c r="E101" s="135"/>
      <c r="F101" s="135"/>
      <c r="G101" s="135"/>
      <c r="J101" s="8"/>
    </row>
    <row r="102" spans="1:17" x14ac:dyDescent="0.2">
      <c r="A102" s="136"/>
      <c r="B102" s="137" t="s">
        <v>888</v>
      </c>
      <c r="C102" s="137"/>
      <c r="D102" s="137"/>
      <c r="E102" s="137"/>
      <c r="F102" s="137"/>
      <c r="G102" s="137"/>
      <c r="H102" s="137"/>
      <c r="J102" s="8"/>
    </row>
    <row r="103" spans="1:17" x14ac:dyDescent="0.2">
      <c r="A103" s="136"/>
      <c r="B103" s="137" t="s">
        <v>889</v>
      </c>
      <c r="C103" s="137"/>
      <c r="D103" s="137"/>
      <c r="E103" s="137"/>
      <c r="F103" s="137"/>
      <c r="G103" s="137"/>
      <c r="H103" s="137"/>
      <c r="J103" s="8"/>
    </row>
    <row r="104" spans="1:17" x14ac:dyDescent="0.2">
      <c r="A104" s="136"/>
      <c r="B104" s="137" t="s">
        <v>890</v>
      </c>
      <c r="C104" s="137"/>
      <c r="D104" s="137"/>
      <c r="E104" s="137"/>
      <c r="F104" s="137"/>
      <c r="G104" s="137"/>
      <c r="H104" s="137"/>
      <c r="J104" s="8"/>
    </row>
    <row r="105" spans="1:17" s="13" customFormat="1" ht="15" x14ac:dyDescent="0.25">
      <c r="A105" s="138"/>
      <c r="B105" s="139" t="s">
        <v>891</v>
      </c>
      <c r="C105" s="139"/>
      <c r="D105" s="139"/>
      <c r="E105" s="139"/>
      <c r="F105" s="139"/>
      <c r="G105" s="139"/>
      <c r="H105" s="139"/>
      <c r="I105" s="114"/>
      <c r="J105" s="8"/>
      <c r="K105"/>
      <c r="L105"/>
      <c r="M105"/>
      <c r="N105"/>
      <c r="O105"/>
      <c r="P105"/>
      <c r="Q105"/>
    </row>
    <row r="106" spans="1:17" x14ac:dyDescent="0.2">
      <c r="A106" s="136"/>
      <c r="B106" s="137" t="s">
        <v>892</v>
      </c>
      <c r="C106" s="137"/>
      <c r="D106" s="137"/>
      <c r="E106" s="137"/>
      <c r="F106" s="137"/>
      <c r="G106" s="137"/>
      <c r="H106" s="137"/>
      <c r="J106" s="8"/>
    </row>
    <row r="107" spans="1:17" x14ac:dyDescent="0.2">
      <c r="A107" s="140"/>
      <c r="B107" s="140"/>
      <c r="C107" s="140"/>
      <c r="D107" s="141"/>
      <c r="E107" s="141"/>
      <c r="F107" s="141"/>
      <c r="G107" s="141"/>
      <c r="J107" s="8"/>
    </row>
    <row r="108" spans="1:17" x14ac:dyDescent="0.2">
      <c r="A108" s="140"/>
      <c r="B108" s="142" t="s">
        <v>180</v>
      </c>
      <c r="C108" s="143"/>
      <c r="D108" s="144"/>
      <c r="E108" s="145"/>
      <c r="F108" s="141"/>
      <c r="G108" s="141"/>
      <c r="J108" s="8"/>
    </row>
    <row r="109" spans="1:17" ht="27" customHeight="1" x14ac:dyDescent="0.2">
      <c r="A109" s="140"/>
      <c r="B109" s="146" t="s">
        <v>181</v>
      </c>
      <c r="C109" s="147"/>
      <c r="D109" s="119" t="s">
        <v>182</v>
      </c>
      <c r="E109" s="145"/>
      <c r="F109" s="141"/>
      <c r="G109" s="141"/>
      <c r="J109" s="8"/>
    </row>
    <row r="110" spans="1:17" x14ac:dyDescent="0.2">
      <c r="A110" s="140"/>
      <c r="B110" s="146" t="s">
        <v>183</v>
      </c>
      <c r="C110" s="147"/>
      <c r="D110" s="119" t="s">
        <v>182</v>
      </c>
      <c r="E110" s="145"/>
      <c r="F110" s="141"/>
      <c r="G110" s="141"/>
      <c r="J110" s="8"/>
    </row>
    <row r="111" spans="1:17" x14ac:dyDescent="0.2">
      <c r="A111" s="140"/>
      <c r="B111" s="146" t="s">
        <v>184</v>
      </c>
      <c r="C111" s="147"/>
      <c r="D111" s="129" t="s">
        <v>151</v>
      </c>
      <c r="E111" s="145"/>
      <c r="F111" s="141"/>
      <c r="G111" s="141"/>
      <c r="J111" s="8"/>
    </row>
    <row r="112" spans="1:17" x14ac:dyDescent="0.2">
      <c r="A112" s="151"/>
      <c r="B112" s="152" t="s">
        <v>151</v>
      </c>
      <c r="C112" s="152" t="s">
        <v>894</v>
      </c>
      <c r="D112" s="152" t="s">
        <v>185</v>
      </c>
      <c r="E112" s="151"/>
      <c r="F112" s="151"/>
      <c r="G112" s="151"/>
      <c r="H112" s="151"/>
      <c r="J112" s="8"/>
    </row>
    <row r="113" spans="1:10" x14ac:dyDescent="0.2">
      <c r="A113" s="153"/>
      <c r="B113" s="154" t="s">
        <v>186</v>
      </c>
      <c r="C113" s="155">
        <v>45535</v>
      </c>
      <c r="D113" s="155">
        <v>45565</v>
      </c>
      <c r="E113" s="153"/>
      <c r="F113" s="153"/>
      <c r="G113" s="153"/>
      <c r="J113" s="8"/>
    </row>
    <row r="114" spans="1:10" x14ac:dyDescent="0.2">
      <c r="A114" s="153"/>
      <c r="B114" s="122" t="s">
        <v>187</v>
      </c>
      <c r="C114" s="156">
        <v>33.864199999999997</v>
      </c>
      <c r="D114" s="156">
        <v>34.17</v>
      </c>
      <c r="E114" s="153"/>
      <c r="F114" s="157"/>
      <c r="G114" s="158"/>
      <c r="J114" s="8"/>
    </row>
    <row r="115" spans="1:10" x14ac:dyDescent="0.2">
      <c r="A115" s="153"/>
      <c r="B115" s="122" t="s">
        <v>1038</v>
      </c>
      <c r="C115" s="156">
        <v>26.892499999999998</v>
      </c>
      <c r="D115" s="156">
        <v>27.135400000000001</v>
      </c>
      <c r="E115" s="153"/>
      <c r="F115" s="157"/>
      <c r="G115" s="158"/>
      <c r="J115" s="8"/>
    </row>
    <row r="116" spans="1:10" x14ac:dyDescent="0.2">
      <c r="A116" s="153"/>
      <c r="B116" s="122" t="s">
        <v>188</v>
      </c>
      <c r="C116" s="156">
        <v>33.076900000000002</v>
      </c>
      <c r="D116" s="156">
        <v>33.374299999999998</v>
      </c>
      <c r="E116" s="153"/>
      <c r="F116" s="157"/>
      <c r="G116" s="158"/>
      <c r="J116" s="8"/>
    </row>
    <row r="117" spans="1:10" x14ac:dyDescent="0.2">
      <c r="A117" s="153"/>
      <c r="B117" s="122" t="s">
        <v>1039</v>
      </c>
      <c r="C117" s="156">
        <v>26.1431</v>
      </c>
      <c r="D117" s="156">
        <v>26.3782</v>
      </c>
      <c r="E117" s="153"/>
      <c r="F117" s="157"/>
      <c r="G117" s="158"/>
      <c r="J117" s="8"/>
    </row>
    <row r="118" spans="1:10" x14ac:dyDescent="0.2">
      <c r="A118" s="153"/>
      <c r="B118" s="153"/>
      <c r="C118" s="153"/>
      <c r="D118" s="153"/>
      <c r="E118" s="153"/>
      <c r="F118" s="153"/>
      <c r="G118" s="153"/>
      <c r="J118" s="8"/>
    </row>
    <row r="119" spans="1:10" x14ac:dyDescent="0.2">
      <c r="A119" s="151"/>
      <c r="B119" s="148" t="s">
        <v>895</v>
      </c>
      <c r="C119" s="149"/>
      <c r="D119" s="150" t="s">
        <v>182</v>
      </c>
      <c r="E119" s="151"/>
      <c r="F119" s="151"/>
      <c r="G119" s="151"/>
      <c r="J119" s="8"/>
    </row>
    <row r="120" spans="1:10" x14ac:dyDescent="0.2">
      <c r="A120" s="151"/>
      <c r="B120" s="201"/>
      <c r="C120" s="201"/>
      <c r="D120" s="201"/>
      <c r="E120" s="151"/>
      <c r="F120" s="151"/>
      <c r="G120" s="151"/>
      <c r="J120" s="8"/>
    </row>
    <row r="121" spans="1:10" x14ac:dyDescent="0.2">
      <c r="A121" s="151"/>
      <c r="B121" s="148" t="s">
        <v>189</v>
      </c>
      <c r="C121" s="149"/>
      <c r="D121" s="150" t="s">
        <v>182</v>
      </c>
      <c r="E121" s="160"/>
      <c r="F121" s="151"/>
      <c r="G121" s="151"/>
      <c r="J121" s="8"/>
    </row>
    <row r="122" spans="1:10" x14ac:dyDescent="0.2">
      <c r="A122" s="151"/>
      <c r="B122" s="148" t="s">
        <v>190</v>
      </c>
      <c r="C122" s="149"/>
      <c r="D122" s="150" t="s">
        <v>182</v>
      </c>
      <c r="E122" s="160"/>
      <c r="F122" s="151"/>
      <c r="G122" s="151"/>
      <c r="J122" s="8"/>
    </row>
    <row r="123" spans="1:10" x14ac:dyDescent="0.2">
      <c r="A123" s="151"/>
      <c r="B123" s="148" t="s">
        <v>191</v>
      </c>
      <c r="C123" s="149"/>
      <c r="D123" s="150" t="s">
        <v>182</v>
      </c>
      <c r="E123" s="160"/>
      <c r="F123" s="151"/>
      <c r="G123" s="151"/>
      <c r="J123" s="8"/>
    </row>
    <row r="124" spans="1:10" x14ac:dyDescent="0.2">
      <c r="A124" s="151"/>
      <c r="B124" s="148" t="s">
        <v>192</v>
      </c>
      <c r="C124" s="149"/>
      <c r="D124" s="161">
        <v>3.1248401399235563E-2</v>
      </c>
      <c r="E124" s="151"/>
      <c r="F124" s="159"/>
      <c r="G124" s="162"/>
    </row>
  </sheetData>
  <mergeCells count="17">
    <mergeCell ref="B110:C110"/>
    <mergeCell ref="B111:C111"/>
    <mergeCell ref="B119:C119"/>
    <mergeCell ref="B123:C123"/>
    <mergeCell ref="B124:C124"/>
    <mergeCell ref="B121:C121"/>
    <mergeCell ref="B122:C122"/>
    <mergeCell ref="B109:C109"/>
    <mergeCell ref="A1:H1"/>
    <mergeCell ref="A2:H2"/>
    <mergeCell ref="A3:H3"/>
    <mergeCell ref="B102:H102"/>
    <mergeCell ref="B103:H103"/>
    <mergeCell ref="B104:H104"/>
    <mergeCell ref="B105:H105"/>
    <mergeCell ref="B106:H106"/>
    <mergeCell ref="B108:D108"/>
  </mergeCells>
  <hyperlinks>
    <hyperlink ref="I1" location="Index!B2" display="Index" xr:uid="{9A0DC4D6-7608-403A-8A0A-5EFA3B3F75A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BACF6-22B5-4018-BBBB-39A95BBC4B1A}">
  <sheetPr>
    <outlinePr summaryBelow="0" summaryRight="0"/>
  </sheetPr>
  <dimension ref="A1:Q133"/>
  <sheetViews>
    <sheetView showGridLines="0" workbookViewId="0">
      <selection activeCell="A2" sqref="A2:H2"/>
    </sheetView>
  </sheetViews>
  <sheetFormatPr defaultRowHeight="12.75" x14ac:dyDescent="0.2"/>
  <cols>
    <col min="1" max="1" width="5.85546875" style="114" bestFit="1" customWidth="1"/>
    <col min="2" max="2" width="19.7109375" style="114" bestFit="1" customWidth="1"/>
    <col min="3" max="3" width="34.5703125" style="114" bestFit="1" customWidth="1"/>
    <col min="4" max="4" width="17.570312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205" t="s">
        <v>0</v>
      </c>
      <c r="B1" s="113"/>
      <c r="C1" s="113"/>
      <c r="D1" s="113"/>
      <c r="E1" s="113"/>
      <c r="F1" s="113"/>
      <c r="G1" s="113"/>
      <c r="H1" s="113"/>
      <c r="I1" s="7" t="s">
        <v>884</v>
      </c>
      <c r="J1" s="8"/>
    </row>
    <row r="2" spans="1:10" ht="15" x14ac:dyDescent="0.2">
      <c r="A2" s="113" t="s">
        <v>476</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ht="25.5" x14ac:dyDescent="0.2">
      <c r="A6" s="118"/>
      <c r="B6" s="118"/>
      <c r="C6" s="119" t="s">
        <v>10</v>
      </c>
      <c r="D6" s="118"/>
      <c r="E6" s="118"/>
      <c r="F6" s="118"/>
      <c r="G6" s="118"/>
      <c r="H6" s="120" t="s">
        <v>151</v>
      </c>
      <c r="J6" s="8"/>
    </row>
    <row r="7" spans="1:10" x14ac:dyDescent="0.2">
      <c r="A7" s="121">
        <v>1</v>
      </c>
      <c r="B7" s="122" t="s">
        <v>362</v>
      </c>
      <c r="C7" s="122" t="s">
        <v>363</v>
      </c>
      <c r="D7" s="122" t="s">
        <v>241</v>
      </c>
      <c r="E7" s="123">
        <v>9524</v>
      </c>
      <c r="F7" s="124">
        <v>539.08697199999995</v>
      </c>
      <c r="G7" s="125">
        <v>6.1964129999999999E-2</v>
      </c>
      <c r="H7" s="120" t="s">
        <v>151</v>
      </c>
      <c r="J7" s="8"/>
    </row>
    <row r="8" spans="1:10" x14ac:dyDescent="0.2">
      <c r="A8" s="121">
        <v>2</v>
      </c>
      <c r="B8" s="122" t="s">
        <v>407</v>
      </c>
      <c r="C8" s="122" t="s">
        <v>408</v>
      </c>
      <c r="D8" s="122" t="s">
        <v>35</v>
      </c>
      <c r="E8" s="123">
        <v>19836</v>
      </c>
      <c r="F8" s="124">
        <v>466.35427800000002</v>
      </c>
      <c r="G8" s="125">
        <v>5.3604039999999999E-2</v>
      </c>
      <c r="H8" s="120" t="s">
        <v>151</v>
      </c>
      <c r="J8" s="8"/>
    </row>
    <row r="9" spans="1:10" x14ac:dyDescent="0.2">
      <c r="A9" s="121">
        <v>3</v>
      </c>
      <c r="B9" s="122" t="s">
        <v>43</v>
      </c>
      <c r="C9" s="122" t="s">
        <v>44</v>
      </c>
      <c r="D9" s="122" t="s">
        <v>45</v>
      </c>
      <c r="E9" s="123">
        <v>28624</v>
      </c>
      <c r="F9" s="124">
        <v>405.61639200000002</v>
      </c>
      <c r="G9" s="125">
        <v>4.6622660000000003E-2</v>
      </c>
      <c r="H9" s="120" t="s">
        <v>151</v>
      </c>
      <c r="J9" s="8"/>
    </row>
    <row r="10" spans="1:10" x14ac:dyDescent="0.2">
      <c r="A10" s="121">
        <v>4</v>
      </c>
      <c r="B10" s="122" t="s">
        <v>409</v>
      </c>
      <c r="C10" s="122" t="s">
        <v>410</v>
      </c>
      <c r="D10" s="122" t="s">
        <v>238</v>
      </c>
      <c r="E10" s="123">
        <v>106345</v>
      </c>
      <c r="F10" s="124">
        <v>379.81116750000001</v>
      </c>
      <c r="G10" s="125">
        <v>4.3656540000000001E-2</v>
      </c>
      <c r="H10" s="120" t="s">
        <v>151</v>
      </c>
      <c r="J10" s="8"/>
    </row>
    <row r="11" spans="1:10" x14ac:dyDescent="0.2">
      <c r="A11" s="121">
        <v>5</v>
      </c>
      <c r="B11" s="122" t="s">
        <v>145</v>
      </c>
      <c r="C11" s="122" t="s">
        <v>146</v>
      </c>
      <c r="D11" s="122" t="s">
        <v>35</v>
      </c>
      <c r="E11" s="123">
        <v>96717</v>
      </c>
      <c r="F11" s="124">
        <v>375.45539400000001</v>
      </c>
      <c r="G11" s="125">
        <v>4.3155869999999999E-2</v>
      </c>
      <c r="H11" s="120" t="s">
        <v>151</v>
      </c>
      <c r="J11" s="8"/>
    </row>
    <row r="12" spans="1:10" ht="15" x14ac:dyDescent="0.2">
      <c r="A12" s="121">
        <v>6</v>
      </c>
      <c r="B12" s="122" t="s">
        <v>89</v>
      </c>
      <c r="C12" s="122" t="s">
        <v>90</v>
      </c>
      <c r="D12" s="122" t="s">
        <v>32</v>
      </c>
      <c r="E12" s="123">
        <v>8402</v>
      </c>
      <c r="F12" s="124">
        <v>361.059146</v>
      </c>
      <c r="G12" s="125">
        <v>4.1501129999999997E-2</v>
      </c>
      <c r="H12" s="120" t="s">
        <v>151</v>
      </c>
      <c r="J12" s="11"/>
    </row>
    <row r="13" spans="1:10" x14ac:dyDescent="0.2">
      <c r="A13" s="121">
        <v>7</v>
      </c>
      <c r="B13" s="122" t="s">
        <v>39</v>
      </c>
      <c r="C13" s="122" t="s">
        <v>40</v>
      </c>
      <c r="D13" s="122" t="s">
        <v>32</v>
      </c>
      <c r="E13" s="123">
        <v>38992</v>
      </c>
      <c r="F13" s="124">
        <v>350.655056</v>
      </c>
      <c r="G13" s="125">
        <v>4.0305250000000001E-2</v>
      </c>
      <c r="H13" s="120" t="s">
        <v>151</v>
      </c>
      <c r="J13" s="8"/>
    </row>
    <row r="14" spans="1:10" x14ac:dyDescent="0.2">
      <c r="A14" s="121">
        <v>8</v>
      </c>
      <c r="B14" s="122" t="s">
        <v>393</v>
      </c>
      <c r="C14" s="122" t="s">
        <v>394</v>
      </c>
      <c r="D14" s="122" t="s">
        <v>395</v>
      </c>
      <c r="E14" s="123">
        <v>21388</v>
      </c>
      <c r="F14" s="124">
        <v>339.726992</v>
      </c>
      <c r="G14" s="125">
        <v>3.9049149999999998E-2</v>
      </c>
      <c r="H14" s="120" t="s">
        <v>151</v>
      </c>
      <c r="J14" s="8"/>
    </row>
    <row r="15" spans="1:10" x14ac:dyDescent="0.2">
      <c r="A15" s="121">
        <v>9</v>
      </c>
      <c r="B15" s="122" t="s">
        <v>432</v>
      </c>
      <c r="C15" s="122" t="s">
        <v>433</v>
      </c>
      <c r="D15" s="122" t="s">
        <v>241</v>
      </c>
      <c r="E15" s="123">
        <v>13073</v>
      </c>
      <c r="F15" s="124">
        <v>334.89104099999997</v>
      </c>
      <c r="G15" s="125">
        <v>3.8493289999999999E-2</v>
      </c>
      <c r="H15" s="120" t="s">
        <v>151</v>
      </c>
      <c r="J15" s="8" t="s">
        <v>898</v>
      </c>
    </row>
    <row r="16" spans="1:10" x14ac:dyDescent="0.2">
      <c r="A16" s="121">
        <v>10</v>
      </c>
      <c r="B16" s="122" t="s">
        <v>411</v>
      </c>
      <c r="C16" s="122" t="s">
        <v>412</v>
      </c>
      <c r="D16" s="122" t="s">
        <v>211</v>
      </c>
      <c r="E16" s="123">
        <v>71973</v>
      </c>
      <c r="F16" s="124">
        <v>298.75992300000001</v>
      </c>
      <c r="G16" s="125">
        <v>3.4340280000000001E-2</v>
      </c>
      <c r="H16" s="120" t="s">
        <v>151</v>
      </c>
      <c r="J16" s="8"/>
    </row>
    <row r="17" spans="1:10" x14ac:dyDescent="0.2">
      <c r="A17" s="121">
        <v>11</v>
      </c>
      <c r="B17" s="122" t="s">
        <v>413</v>
      </c>
      <c r="C17" s="122" t="s">
        <v>414</v>
      </c>
      <c r="D17" s="122" t="s">
        <v>48</v>
      </c>
      <c r="E17" s="123">
        <v>382570</v>
      </c>
      <c r="F17" s="124">
        <v>295.38229699999999</v>
      </c>
      <c r="G17" s="125">
        <v>3.3952049999999998E-2</v>
      </c>
      <c r="H17" s="120" t="s">
        <v>151</v>
      </c>
      <c r="J17" s="8"/>
    </row>
    <row r="18" spans="1:10" ht="25.5" x14ac:dyDescent="0.2">
      <c r="A18" s="121">
        <v>12</v>
      </c>
      <c r="B18" s="122" t="s">
        <v>324</v>
      </c>
      <c r="C18" s="122" t="s">
        <v>325</v>
      </c>
      <c r="D18" s="122" t="s">
        <v>258</v>
      </c>
      <c r="E18" s="123">
        <v>7415</v>
      </c>
      <c r="F18" s="124">
        <v>255.17610250000001</v>
      </c>
      <c r="G18" s="125">
        <v>2.9330640000000002E-2</v>
      </c>
      <c r="H18" s="120" t="s">
        <v>151</v>
      </c>
      <c r="J18" s="8"/>
    </row>
    <row r="19" spans="1:10" x14ac:dyDescent="0.2">
      <c r="A19" s="121">
        <v>13</v>
      </c>
      <c r="B19" s="122" t="s">
        <v>420</v>
      </c>
      <c r="C19" s="122" t="s">
        <v>421</v>
      </c>
      <c r="D19" s="122" t="s">
        <v>48</v>
      </c>
      <c r="E19" s="123">
        <v>604881</v>
      </c>
      <c r="F19" s="124">
        <v>244.55338829999999</v>
      </c>
      <c r="G19" s="125">
        <v>2.8109640000000002E-2</v>
      </c>
      <c r="H19" s="120" t="s">
        <v>151</v>
      </c>
      <c r="J19" s="8"/>
    </row>
    <row r="20" spans="1:10" x14ac:dyDescent="0.2">
      <c r="A20" s="121">
        <v>14</v>
      </c>
      <c r="B20" s="122" t="s">
        <v>100</v>
      </c>
      <c r="C20" s="122" t="s">
        <v>101</v>
      </c>
      <c r="D20" s="122" t="s">
        <v>32</v>
      </c>
      <c r="E20" s="123">
        <v>10116</v>
      </c>
      <c r="F20" s="124">
        <v>243.34038000000001</v>
      </c>
      <c r="G20" s="125">
        <v>2.7970209999999999E-2</v>
      </c>
      <c r="H20" s="120" t="s">
        <v>151</v>
      </c>
      <c r="J20" s="8"/>
    </row>
    <row r="21" spans="1:10" x14ac:dyDescent="0.2">
      <c r="A21" s="121">
        <v>15</v>
      </c>
      <c r="B21" s="122" t="s">
        <v>422</v>
      </c>
      <c r="C21" s="122" t="s">
        <v>423</v>
      </c>
      <c r="D21" s="122" t="s">
        <v>216</v>
      </c>
      <c r="E21" s="123">
        <v>33039</v>
      </c>
      <c r="F21" s="124">
        <v>242.20890900000001</v>
      </c>
      <c r="G21" s="125">
        <v>2.7840159999999999E-2</v>
      </c>
      <c r="H21" s="120" t="s">
        <v>151</v>
      </c>
      <c r="J21" s="8"/>
    </row>
    <row r="22" spans="1:10" ht="15" x14ac:dyDescent="0.2">
      <c r="A22" s="121">
        <v>16</v>
      </c>
      <c r="B22" s="122" t="s">
        <v>424</v>
      </c>
      <c r="C22" s="122" t="s">
        <v>425</v>
      </c>
      <c r="D22" s="122" t="s">
        <v>48</v>
      </c>
      <c r="E22" s="123">
        <v>76163</v>
      </c>
      <c r="F22" s="124">
        <v>238.65676049999999</v>
      </c>
      <c r="G22" s="125">
        <v>2.7431859999999999E-2</v>
      </c>
      <c r="H22" s="120" t="s">
        <v>151</v>
      </c>
      <c r="J22" s="11"/>
    </row>
    <row r="23" spans="1:10" x14ac:dyDescent="0.2">
      <c r="A23" s="121">
        <v>17</v>
      </c>
      <c r="B23" s="122" t="s">
        <v>428</v>
      </c>
      <c r="C23" s="122" t="s">
        <v>429</v>
      </c>
      <c r="D23" s="122" t="s">
        <v>121</v>
      </c>
      <c r="E23" s="123">
        <v>26340</v>
      </c>
      <c r="F23" s="124">
        <v>235.01865000000001</v>
      </c>
      <c r="G23" s="125">
        <v>2.701369E-2</v>
      </c>
      <c r="H23" s="120" t="s">
        <v>151</v>
      </c>
      <c r="J23" s="8"/>
    </row>
    <row r="24" spans="1:10" x14ac:dyDescent="0.2">
      <c r="A24" s="121">
        <v>18</v>
      </c>
      <c r="B24" s="122" t="s">
        <v>443</v>
      </c>
      <c r="C24" s="122" t="s">
        <v>444</v>
      </c>
      <c r="D24" s="122" t="s">
        <v>216</v>
      </c>
      <c r="E24" s="123">
        <v>38673</v>
      </c>
      <c r="F24" s="124">
        <v>232.77278699999999</v>
      </c>
      <c r="G24" s="125">
        <v>2.6755540000000001E-2</v>
      </c>
      <c r="H24" s="120" t="s">
        <v>151</v>
      </c>
      <c r="J24" s="8"/>
    </row>
    <row r="25" spans="1:10" ht="25.5" x14ac:dyDescent="0.2">
      <c r="A25" s="121">
        <v>19</v>
      </c>
      <c r="B25" s="122" t="s">
        <v>434</v>
      </c>
      <c r="C25" s="122" t="s">
        <v>435</v>
      </c>
      <c r="D25" s="122" t="s">
        <v>436</v>
      </c>
      <c r="E25" s="123">
        <v>54534</v>
      </c>
      <c r="F25" s="124">
        <v>227.73398399999999</v>
      </c>
      <c r="G25" s="125">
        <v>2.6176370000000001E-2</v>
      </c>
      <c r="H25" s="120" t="s">
        <v>151</v>
      </c>
      <c r="J25" s="8"/>
    </row>
    <row r="26" spans="1:10" x14ac:dyDescent="0.2">
      <c r="A26" s="121">
        <v>20</v>
      </c>
      <c r="B26" s="122" t="s">
        <v>415</v>
      </c>
      <c r="C26" s="122" t="s">
        <v>416</v>
      </c>
      <c r="D26" s="122" t="s">
        <v>417</v>
      </c>
      <c r="E26" s="123">
        <v>12930</v>
      </c>
      <c r="F26" s="124">
        <v>215.10994500000001</v>
      </c>
      <c r="G26" s="125">
        <v>2.472533E-2</v>
      </c>
      <c r="H26" s="120" t="s">
        <v>151</v>
      </c>
      <c r="J26" s="8"/>
    </row>
    <row r="27" spans="1:10" x14ac:dyDescent="0.2">
      <c r="A27" s="121">
        <v>21</v>
      </c>
      <c r="B27" s="122" t="s">
        <v>61</v>
      </c>
      <c r="C27" s="122" t="s">
        <v>62</v>
      </c>
      <c r="D27" s="122" t="s">
        <v>13</v>
      </c>
      <c r="E27" s="123">
        <v>15091</v>
      </c>
      <c r="F27" s="124">
        <v>206.33169749999999</v>
      </c>
      <c r="G27" s="125">
        <v>2.3716330000000001E-2</v>
      </c>
      <c r="H27" s="120" t="s">
        <v>151</v>
      </c>
      <c r="J27" s="8"/>
    </row>
    <row r="28" spans="1:10" ht="25.5" x14ac:dyDescent="0.2">
      <c r="A28" s="121">
        <v>22</v>
      </c>
      <c r="B28" s="122" t="s">
        <v>77</v>
      </c>
      <c r="C28" s="122" t="s">
        <v>78</v>
      </c>
      <c r="D28" s="122" t="s">
        <v>25</v>
      </c>
      <c r="E28" s="123">
        <v>4362</v>
      </c>
      <c r="F28" s="124">
        <v>202.54074600000001</v>
      </c>
      <c r="G28" s="125">
        <v>2.328059E-2</v>
      </c>
      <c r="H28" s="120" t="s">
        <v>151</v>
      </c>
      <c r="J28" s="8"/>
    </row>
    <row r="29" spans="1:10" x14ac:dyDescent="0.2">
      <c r="A29" s="121">
        <v>23</v>
      </c>
      <c r="B29" s="122" t="s">
        <v>223</v>
      </c>
      <c r="C29" s="122" t="s">
        <v>224</v>
      </c>
      <c r="D29" s="122" t="s">
        <v>121</v>
      </c>
      <c r="E29" s="123">
        <v>1412</v>
      </c>
      <c r="F29" s="124">
        <v>202.00425000000001</v>
      </c>
      <c r="G29" s="125">
        <v>2.3218920000000001E-2</v>
      </c>
      <c r="H29" s="120" t="s">
        <v>151</v>
      </c>
      <c r="J29" s="8"/>
    </row>
    <row r="30" spans="1:10" ht="25.5" x14ac:dyDescent="0.2">
      <c r="A30" s="121">
        <v>24</v>
      </c>
      <c r="B30" s="122" t="s">
        <v>430</v>
      </c>
      <c r="C30" s="122" t="s">
        <v>431</v>
      </c>
      <c r="D30" s="122" t="s">
        <v>205</v>
      </c>
      <c r="E30" s="123">
        <v>3653</v>
      </c>
      <c r="F30" s="124">
        <v>198.1989945</v>
      </c>
      <c r="G30" s="125">
        <v>2.2781539999999999E-2</v>
      </c>
      <c r="H30" s="120" t="s">
        <v>151</v>
      </c>
      <c r="J30" s="8"/>
    </row>
    <row r="31" spans="1:10" x14ac:dyDescent="0.2">
      <c r="A31" s="121">
        <v>25</v>
      </c>
      <c r="B31" s="122" t="s">
        <v>30</v>
      </c>
      <c r="C31" s="122" t="s">
        <v>31</v>
      </c>
      <c r="D31" s="122" t="s">
        <v>32</v>
      </c>
      <c r="E31" s="123">
        <v>3065</v>
      </c>
      <c r="F31" s="124">
        <v>189.47063750000001</v>
      </c>
      <c r="G31" s="125">
        <v>2.1778269999999999E-2</v>
      </c>
      <c r="H31" s="120" t="s">
        <v>151</v>
      </c>
      <c r="J31" s="8"/>
    </row>
    <row r="32" spans="1:10" x14ac:dyDescent="0.2">
      <c r="A32" s="121">
        <v>26</v>
      </c>
      <c r="B32" s="122" t="s">
        <v>439</v>
      </c>
      <c r="C32" s="122" t="s">
        <v>440</v>
      </c>
      <c r="D32" s="122" t="s">
        <v>238</v>
      </c>
      <c r="E32" s="123">
        <v>18794</v>
      </c>
      <c r="F32" s="124">
        <v>177.48113900000001</v>
      </c>
      <c r="G32" s="125">
        <v>2.0400169999999999E-2</v>
      </c>
      <c r="H32" s="120" t="s">
        <v>151</v>
      </c>
      <c r="J32" s="8"/>
    </row>
    <row r="33" spans="1:10" x14ac:dyDescent="0.2">
      <c r="A33" s="121">
        <v>27</v>
      </c>
      <c r="B33" s="122" t="s">
        <v>437</v>
      </c>
      <c r="C33" s="122" t="s">
        <v>438</v>
      </c>
      <c r="D33" s="122" t="s">
        <v>32</v>
      </c>
      <c r="E33" s="123">
        <v>28519</v>
      </c>
      <c r="F33" s="124">
        <v>172.910697</v>
      </c>
      <c r="G33" s="125">
        <v>1.987483E-2</v>
      </c>
      <c r="H33" s="120" t="s">
        <v>151</v>
      </c>
      <c r="J33" s="8"/>
    </row>
    <row r="34" spans="1:10" x14ac:dyDescent="0.2">
      <c r="A34" s="121">
        <v>28</v>
      </c>
      <c r="B34" s="122" t="s">
        <v>244</v>
      </c>
      <c r="C34" s="122" t="s">
        <v>245</v>
      </c>
      <c r="D34" s="122" t="s">
        <v>121</v>
      </c>
      <c r="E34" s="123">
        <v>8289</v>
      </c>
      <c r="F34" s="124">
        <v>169.40229299999999</v>
      </c>
      <c r="G34" s="125">
        <v>1.9471559999999999E-2</v>
      </c>
      <c r="H34" s="120" t="s">
        <v>151</v>
      </c>
      <c r="J34" s="8"/>
    </row>
    <row r="35" spans="1:10" x14ac:dyDescent="0.2">
      <c r="A35" s="121">
        <v>29</v>
      </c>
      <c r="B35" s="122" t="s">
        <v>477</v>
      </c>
      <c r="C35" s="122" t="s">
        <v>478</v>
      </c>
      <c r="D35" s="122" t="s">
        <v>32</v>
      </c>
      <c r="E35" s="123">
        <v>20968</v>
      </c>
      <c r="F35" s="124">
        <v>135.53715199999999</v>
      </c>
      <c r="G35" s="125">
        <v>1.5579010000000001E-2</v>
      </c>
      <c r="H35" s="120" t="s">
        <v>151</v>
      </c>
      <c r="J35" s="8"/>
    </row>
    <row r="36" spans="1:10" x14ac:dyDescent="0.2">
      <c r="A36" s="121">
        <v>30</v>
      </c>
      <c r="B36" s="122" t="s">
        <v>445</v>
      </c>
      <c r="C36" s="122" t="s">
        <v>446</v>
      </c>
      <c r="D36" s="122" t="s">
        <v>35</v>
      </c>
      <c r="E36" s="123">
        <v>11192</v>
      </c>
      <c r="F36" s="124">
        <v>109.843884</v>
      </c>
      <c r="G36" s="125">
        <v>1.262576E-2</v>
      </c>
      <c r="H36" s="120" t="s">
        <v>151</v>
      </c>
      <c r="J36" s="8"/>
    </row>
    <row r="37" spans="1:10" ht="25.5" x14ac:dyDescent="0.2">
      <c r="A37" s="121">
        <v>31</v>
      </c>
      <c r="B37" s="122" t="s">
        <v>479</v>
      </c>
      <c r="C37" s="122" t="s">
        <v>480</v>
      </c>
      <c r="D37" s="122" t="s">
        <v>35</v>
      </c>
      <c r="E37" s="123">
        <v>4505</v>
      </c>
      <c r="F37" s="124">
        <v>105.322395</v>
      </c>
      <c r="G37" s="125">
        <v>1.210605E-2</v>
      </c>
      <c r="H37" s="120" t="s">
        <v>151</v>
      </c>
      <c r="J37" s="8"/>
    </row>
    <row r="38" spans="1:10" x14ac:dyDescent="0.2">
      <c r="A38" s="121">
        <v>32</v>
      </c>
      <c r="B38" s="122" t="s">
        <v>441</v>
      </c>
      <c r="C38" s="122" t="s">
        <v>442</v>
      </c>
      <c r="D38" s="122" t="s">
        <v>35</v>
      </c>
      <c r="E38" s="123">
        <v>11762</v>
      </c>
      <c r="F38" s="124">
        <v>104.570061</v>
      </c>
      <c r="G38" s="125">
        <v>1.201957E-2</v>
      </c>
      <c r="H38" s="120" t="s">
        <v>151</v>
      </c>
      <c r="J38" s="8"/>
    </row>
    <row r="39" spans="1:10" x14ac:dyDescent="0.2">
      <c r="A39" s="121">
        <v>33</v>
      </c>
      <c r="B39" s="122" t="s">
        <v>384</v>
      </c>
      <c r="C39" s="122" t="s">
        <v>385</v>
      </c>
      <c r="D39" s="122" t="s">
        <v>134</v>
      </c>
      <c r="E39" s="123">
        <v>56603</v>
      </c>
      <c r="F39" s="124">
        <v>95.404356500000006</v>
      </c>
      <c r="G39" s="125">
        <v>1.096604E-2</v>
      </c>
      <c r="H39" s="120" t="s">
        <v>151</v>
      </c>
      <c r="J39" s="8"/>
    </row>
    <row r="40" spans="1:10" x14ac:dyDescent="0.2">
      <c r="A40" s="121">
        <v>34</v>
      </c>
      <c r="B40" s="122" t="s">
        <v>418</v>
      </c>
      <c r="C40" s="122" t="s">
        <v>419</v>
      </c>
      <c r="D40" s="122" t="s">
        <v>32</v>
      </c>
      <c r="E40" s="123">
        <v>5901</v>
      </c>
      <c r="F40" s="124">
        <v>81.038432999999998</v>
      </c>
      <c r="G40" s="125">
        <v>9.3147799999999999E-3</v>
      </c>
      <c r="H40" s="120" t="s">
        <v>151</v>
      </c>
      <c r="J40" s="8"/>
    </row>
    <row r="41" spans="1:10" x14ac:dyDescent="0.2">
      <c r="A41" s="121">
        <v>35</v>
      </c>
      <c r="B41" s="122" t="s">
        <v>457</v>
      </c>
      <c r="C41" s="122" t="s">
        <v>458</v>
      </c>
      <c r="D41" s="122" t="s">
        <v>70</v>
      </c>
      <c r="E41" s="123">
        <v>8886</v>
      </c>
      <c r="F41" s="124">
        <v>53.311557000000001</v>
      </c>
      <c r="G41" s="125">
        <v>6.1277800000000002E-3</v>
      </c>
      <c r="H41" s="120" t="s">
        <v>151</v>
      </c>
      <c r="J41" s="8"/>
    </row>
    <row r="42" spans="1:10" x14ac:dyDescent="0.2">
      <c r="A42" s="121">
        <v>36</v>
      </c>
      <c r="B42" s="122" t="s">
        <v>449</v>
      </c>
      <c r="C42" s="122" t="s">
        <v>450</v>
      </c>
      <c r="D42" s="122" t="s">
        <v>121</v>
      </c>
      <c r="E42" s="123">
        <v>4361</v>
      </c>
      <c r="F42" s="124">
        <v>51.738903999999998</v>
      </c>
      <c r="G42" s="125">
        <v>5.94701E-3</v>
      </c>
      <c r="H42" s="120" t="s">
        <v>151</v>
      </c>
      <c r="J42" s="8"/>
    </row>
    <row r="43" spans="1:10" x14ac:dyDescent="0.2">
      <c r="A43" s="118"/>
      <c r="B43" s="118"/>
      <c r="C43" s="119" t="s">
        <v>150</v>
      </c>
      <c r="D43" s="118"/>
      <c r="E43" s="118" t="s">
        <v>151</v>
      </c>
      <c r="F43" s="126">
        <v>8536.4767618000005</v>
      </c>
      <c r="G43" s="127">
        <v>0.98120604</v>
      </c>
      <c r="H43" s="120" t="s">
        <v>151</v>
      </c>
      <c r="J43" s="8"/>
    </row>
    <row r="44" spans="1:10" x14ac:dyDescent="0.2">
      <c r="A44" s="118"/>
      <c r="B44" s="118"/>
      <c r="C44" s="128"/>
      <c r="D44" s="118"/>
      <c r="E44" s="118"/>
      <c r="F44" s="129"/>
      <c r="G44" s="129"/>
      <c r="H44" s="120" t="s">
        <v>151</v>
      </c>
      <c r="J44" s="8"/>
    </row>
    <row r="45" spans="1:10" x14ac:dyDescent="0.2">
      <c r="A45" s="118"/>
      <c r="B45" s="118"/>
      <c r="C45" s="119" t="s">
        <v>152</v>
      </c>
      <c r="D45" s="118"/>
      <c r="E45" s="118"/>
      <c r="F45" s="118"/>
      <c r="G45" s="118"/>
      <c r="H45" s="120" t="s">
        <v>151</v>
      </c>
      <c r="J45" s="8"/>
    </row>
    <row r="46" spans="1:10" x14ac:dyDescent="0.2">
      <c r="A46" s="118"/>
      <c r="B46" s="118"/>
      <c r="C46" s="119" t="s">
        <v>150</v>
      </c>
      <c r="D46" s="118"/>
      <c r="E46" s="118" t="s">
        <v>151</v>
      </c>
      <c r="F46" s="130" t="s">
        <v>153</v>
      </c>
      <c r="G46" s="127">
        <v>0</v>
      </c>
      <c r="H46" s="120" t="s">
        <v>151</v>
      </c>
      <c r="J46" s="8"/>
    </row>
    <row r="47" spans="1:10" x14ac:dyDescent="0.2">
      <c r="A47" s="118"/>
      <c r="B47" s="118"/>
      <c r="C47" s="128"/>
      <c r="D47" s="118"/>
      <c r="E47" s="118"/>
      <c r="F47" s="129"/>
      <c r="G47" s="129"/>
      <c r="H47" s="120" t="s">
        <v>151</v>
      </c>
      <c r="J47" s="8"/>
    </row>
    <row r="48" spans="1:10" x14ac:dyDescent="0.2">
      <c r="A48" s="118"/>
      <c r="B48" s="118"/>
      <c r="C48" s="119" t="s">
        <v>154</v>
      </c>
      <c r="D48" s="118"/>
      <c r="E48" s="118"/>
      <c r="F48" s="118"/>
      <c r="G48" s="118"/>
      <c r="H48" s="120" t="s">
        <v>151</v>
      </c>
      <c r="J48" s="8"/>
    </row>
    <row r="49" spans="1:10" x14ac:dyDescent="0.2">
      <c r="A49" s="118"/>
      <c r="B49" s="118"/>
      <c r="C49" s="119" t="s">
        <v>150</v>
      </c>
      <c r="D49" s="118"/>
      <c r="E49" s="118" t="s">
        <v>151</v>
      </c>
      <c r="F49" s="130" t="s">
        <v>153</v>
      </c>
      <c r="G49" s="127">
        <v>0</v>
      </c>
      <c r="H49" s="120" t="s">
        <v>151</v>
      </c>
      <c r="J49" s="8"/>
    </row>
    <row r="50" spans="1:10" x14ac:dyDescent="0.2">
      <c r="A50" s="118"/>
      <c r="B50" s="118"/>
      <c r="C50" s="128"/>
      <c r="D50" s="118"/>
      <c r="E50" s="118"/>
      <c r="F50" s="129"/>
      <c r="G50" s="129"/>
      <c r="H50" s="120" t="s">
        <v>151</v>
      </c>
      <c r="J50" s="8"/>
    </row>
    <row r="51" spans="1:10" x14ac:dyDescent="0.2">
      <c r="A51" s="118"/>
      <c r="B51" s="118"/>
      <c r="C51" s="119" t="s">
        <v>155</v>
      </c>
      <c r="D51" s="118"/>
      <c r="E51" s="118"/>
      <c r="F51" s="118"/>
      <c r="G51" s="118"/>
      <c r="H51" s="120" t="s">
        <v>151</v>
      </c>
      <c r="J51" s="8"/>
    </row>
    <row r="52" spans="1:10" x14ac:dyDescent="0.2">
      <c r="A52" s="118"/>
      <c r="B52" s="118"/>
      <c r="C52" s="119" t="s">
        <v>150</v>
      </c>
      <c r="D52" s="118"/>
      <c r="E52" s="118" t="s">
        <v>151</v>
      </c>
      <c r="F52" s="130" t="s">
        <v>153</v>
      </c>
      <c r="G52" s="127">
        <v>0</v>
      </c>
      <c r="H52" s="120" t="s">
        <v>151</v>
      </c>
      <c r="J52" s="8"/>
    </row>
    <row r="53" spans="1:10" x14ac:dyDescent="0.2">
      <c r="A53" s="118"/>
      <c r="B53" s="118"/>
      <c r="C53" s="128"/>
      <c r="D53" s="118"/>
      <c r="E53" s="118"/>
      <c r="F53" s="129"/>
      <c r="G53" s="129"/>
      <c r="H53" s="120" t="s">
        <v>151</v>
      </c>
      <c r="J53" s="8"/>
    </row>
    <row r="54" spans="1:10" x14ac:dyDescent="0.2">
      <c r="A54" s="118"/>
      <c r="B54" s="118"/>
      <c r="C54" s="119" t="s">
        <v>156</v>
      </c>
      <c r="D54" s="118"/>
      <c r="E54" s="118"/>
      <c r="F54" s="129"/>
      <c r="G54" s="129"/>
      <c r="H54" s="120" t="s">
        <v>151</v>
      </c>
      <c r="J54" s="8"/>
    </row>
    <row r="55" spans="1:10" x14ac:dyDescent="0.2">
      <c r="A55" s="118"/>
      <c r="B55" s="118"/>
      <c r="C55" s="119" t="s">
        <v>150</v>
      </c>
      <c r="D55" s="118"/>
      <c r="E55" s="118" t="s">
        <v>151</v>
      </c>
      <c r="F55" s="130" t="s">
        <v>153</v>
      </c>
      <c r="G55" s="127">
        <v>0</v>
      </c>
      <c r="H55" s="120" t="s">
        <v>151</v>
      </c>
      <c r="J55" s="8"/>
    </row>
    <row r="56" spans="1:10" x14ac:dyDescent="0.2">
      <c r="A56" s="118"/>
      <c r="B56" s="118"/>
      <c r="C56" s="128"/>
      <c r="D56" s="118"/>
      <c r="E56" s="118"/>
      <c r="F56" s="129"/>
      <c r="G56" s="129"/>
      <c r="H56" s="120" t="s">
        <v>151</v>
      </c>
      <c r="J56" s="8"/>
    </row>
    <row r="57" spans="1:10" x14ac:dyDescent="0.2">
      <c r="A57" s="118"/>
      <c r="B57" s="118"/>
      <c r="C57" s="119" t="s">
        <v>157</v>
      </c>
      <c r="D57" s="118"/>
      <c r="E57" s="118"/>
      <c r="F57" s="129"/>
      <c r="G57" s="129"/>
      <c r="H57" s="120" t="s">
        <v>151</v>
      </c>
      <c r="J57" s="8"/>
    </row>
    <row r="58" spans="1:10" x14ac:dyDescent="0.2">
      <c r="A58" s="118"/>
      <c r="B58" s="118"/>
      <c r="C58" s="119" t="s">
        <v>150</v>
      </c>
      <c r="D58" s="118"/>
      <c r="E58" s="118" t="s">
        <v>151</v>
      </c>
      <c r="F58" s="130" t="s">
        <v>153</v>
      </c>
      <c r="G58" s="127">
        <v>0</v>
      </c>
      <c r="H58" s="120" t="s">
        <v>151</v>
      </c>
      <c r="J58" s="8"/>
    </row>
    <row r="59" spans="1:10" x14ac:dyDescent="0.2">
      <c r="A59" s="118"/>
      <c r="B59" s="118"/>
      <c r="C59" s="128"/>
      <c r="D59" s="118"/>
      <c r="E59" s="118"/>
      <c r="F59" s="129"/>
      <c r="G59" s="129"/>
      <c r="H59" s="120" t="s">
        <v>151</v>
      </c>
      <c r="J59" s="8"/>
    </row>
    <row r="60" spans="1:10" x14ac:dyDescent="0.2">
      <c r="A60" s="118"/>
      <c r="B60" s="118"/>
      <c r="C60" s="119" t="s">
        <v>158</v>
      </c>
      <c r="D60" s="118"/>
      <c r="E60" s="118"/>
      <c r="F60" s="126">
        <v>8536.4767618000005</v>
      </c>
      <c r="G60" s="127">
        <v>0.98120604</v>
      </c>
      <c r="H60" s="120" t="s">
        <v>151</v>
      </c>
      <c r="J60" s="8"/>
    </row>
    <row r="61" spans="1:10" x14ac:dyDescent="0.2">
      <c r="A61" s="118"/>
      <c r="B61" s="118"/>
      <c r="C61" s="128"/>
      <c r="D61" s="118"/>
      <c r="E61" s="118"/>
      <c r="F61" s="129"/>
      <c r="G61" s="129"/>
      <c r="H61" s="120" t="s">
        <v>151</v>
      </c>
      <c r="J61" s="8"/>
    </row>
    <row r="62" spans="1:10" x14ac:dyDescent="0.2">
      <c r="A62" s="118"/>
      <c r="B62" s="118"/>
      <c r="C62" s="119" t="s">
        <v>159</v>
      </c>
      <c r="D62" s="118"/>
      <c r="E62" s="118"/>
      <c r="F62" s="129"/>
      <c r="G62" s="129"/>
      <c r="H62" s="120" t="s">
        <v>151</v>
      </c>
      <c r="J62" s="8"/>
    </row>
    <row r="63" spans="1:10" ht="25.5" x14ac:dyDescent="0.2">
      <c r="A63" s="118"/>
      <c r="B63" s="118"/>
      <c r="C63" s="119" t="s">
        <v>10</v>
      </c>
      <c r="D63" s="118"/>
      <c r="E63" s="118"/>
      <c r="F63" s="129"/>
      <c r="G63" s="129"/>
      <c r="H63" s="120" t="s">
        <v>151</v>
      </c>
      <c r="J63" s="8"/>
    </row>
    <row r="64" spans="1:10" x14ac:dyDescent="0.2">
      <c r="A64" s="118"/>
      <c r="B64" s="118"/>
      <c r="C64" s="119" t="s">
        <v>150</v>
      </c>
      <c r="D64" s="118"/>
      <c r="E64" s="118" t="s">
        <v>151</v>
      </c>
      <c r="F64" s="130" t="s">
        <v>153</v>
      </c>
      <c r="G64" s="127">
        <v>0</v>
      </c>
      <c r="H64" s="120" t="s">
        <v>151</v>
      </c>
      <c r="J64" s="8"/>
    </row>
    <row r="65" spans="1:10" x14ac:dyDescent="0.2">
      <c r="A65" s="118"/>
      <c r="B65" s="118"/>
      <c r="C65" s="128"/>
      <c r="D65" s="118"/>
      <c r="E65" s="118"/>
      <c r="F65" s="129"/>
      <c r="G65" s="129"/>
      <c r="H65" s="120" t="s">
        <v>151</v>
      </c>
      <c r="J65" s="8"/>
    </row>
    <row r="66" spans="1:10" x14ac:dyDescent="0.2">
      <c r="A66" s="118"/>
      <c r="B66" s="118"/>
      <c r="C66" s="119" t="s">
        <v>160</v>
      </c>
      <c r="D66" s="118"/>
      <c r="E66" s="118"/>
      <c r="F66" s="118"/>
      <c r="G66" s="118"/>
      <c r="H66" s="120" t="s">
        <v>151</v>
      </c>
      <c r="J66" s="8"/>
    </row>
    <row r="67" spans="1:10" x14ac:dyDescent="0.2">
      <c r="A67" s="118"/>
      <c r="B67" s="118"/>
      <c r="C67" s="119" t="s">
        <v>150</v>
      </c>
      <c r="D67" s="118"/>
      <c r="E67" s="118" t="s">
        <v>151</v>
      </c>
      <c r="F67" s="130" t="s">
        <v>153</v>
      </c>
      <c r="G67" s="127">
        <v>0</v>
      </c>
      <c r="H67" s="120" t="s">
        <v>151</v>
      </c>
      <c r="J67" s="8"/>
    </row>
    <row r="68" spans="1:10" x14ac:dyDescent="0.2">
      <c r="A68" s="118"/>
      <c r="B68" s="118"/>
      <c r="C68" s="128"/>
      <c r="D68" s="118"/>
      <c r="E68" s="118"/>
      <c r="F68" s="129"/>
      <c r="G68" s="129"/>
      <c r="H68" s="120" t="s">
        <v>151</v>
      </c>
      <c r="J68" s="8"/>
    </row>
    <row r="69" spans="1:10" x14ac:dyDescent="0.2">
      <c r="A69" s="118"/>
      <c r="B69" s="118"/>
      <c r="C69" s="119" t="s">
        <v>161</v>
      </c>
      <c r="D69" s="118"/>
      <c r="E69" s="118"/>
      <c r="F69" s="118"/>
      <c r="G69" s="118"/>
      <c r="H69" s="120" t="s">
        <v>151</v>
      </c>
      <c r="J69" s="8"/>
    </row>
    <row r="70" spans="1:10" x14ac:dyDescent="0.2">
      <c r="A70" s="118"/>
      <c r="B70" s="118"/>
      <c r="C70" s="119" t="s">
        <v>150</v>
      </c>
      <c r="D70" s="118"/>
      <c r="E70" s="118" t="s">
        <v>151</v>
      </c>
      <c r="F70" s="130" t="s">
        <v>153</v>
      </c>
      <c r="G70" s="127">
        <v>0</v>
      </c>
      <c r="H70" s="120" t="s">
        <v>151</v>
      </c>
      <c r="J70" s="8"/>
    </row>
    <row r="71" spans="1:10" x14ac:dyDescent="0.2">
      <c r="A71" s="118"/>
      <c r="B71" s="118"/>
      <c r="C71" s="128"/>
      <c r="D71" s="118"/>
      <c r="E71" s="118"/>
      <c r="F71" s="129"/>
      <c r="G71" s="129"/>
      <c r="H71" s="120" t="s">
        <v>151</v>
      </c>
      <c r="J71" s="8"/>
    </row>
    <row r="72" spans="1:10" x14ac:dyDescent="0.2">
      <c r="A72" s="118"/>
      <c r="B72" s="118"/>
      <c r="C72" s="119" t="s">
        <v>162</v>
      </c>
      <c r="D72" s="118"/>
      <c r="E72" s="118"/>
      <c r="F72" s="129"/>
      <c r="G72" s="129"/>
      <c r="H72" s="120" t="s">
        <v>151</v>
      </c>
      <c r="J72" s="8"/>
    </row>
    <row r="73" spans="1:10" x14ac:dyDescent="0.2">
      <c r="A73" s="118"/>
      <c r="B73" s="118"/>
      <c r="C73" s="119" t="s">
        <v>150</v>
      </c>
      <c r="D73" s="118"/>
      <c r="E73" s="118" t="s">
        <v>151</v>
      </c>
      <c r="F73" s="130" t="s">
        <v>153</v>
      </c>
      <c r="G73" s="127">
        <v>0</v>
      </c>
      <c r="H73" s="120" t="s">
        <v>151</v>
      </c>
      <c r="J73" s="8"/>
    </row>
    <row r="74" spans="1:10" x14ac:dyDescent="0.2">
      <c r="A74" s="118"/>
      <c r="B74" s="118"/>
      <c r="C74" s="128"/>
      <c r="D74" s="118"/>
      <c r="E74" s="118"/>
      <c r="F74" s="129"/>
      <c r="G74" s="129"/>
      <c r="H74" s="120" t="s">
        <v>151</v>
      </c>
      <c r="J74" s="8"/>
    </row>
    <row r="75" spans="1:10" x14ac:dyDescent="0.2">
      <c r="A75" s="118"/>
      <c r="B75" s="118"/>
      <c r="C75" s="119" t="s">
        <v>163</v>
      </c>
      <c r="D75" s="118"/>
      <c r="E75" s="118"/>
      <c r="F75" s="126">
        <v>0</v>
      </c>
      <c r="G75" s="127">
        <v>0</v>
      </c>
      <c r="H75" s="120" t="s">
        <v>151</v>
      </c>
      <c r="J75" s="8"/>
    </row>
    <row r="76" spans="1:10" x14ac:dyDescent="0.2">
      <c r="A76" s="118"/>
      <c r="B76" s="118"/>
      <c r="C76" s="128"/>
      <c r="D76" s="118"/>
      <c r="E76" s="118"/>
      <c r="F76" s="129"/>
      <c r="G76" s="129"/>
      <c r="H76" s="120" t="s">
        <v>151</v>
      </c>
      <c r="J76" s="8"/>
    </row>
    <row r="77" spans="1:10" x14ac:dyDescent="0.2">
      <c r="A77" s="118"/>
      <c r="B77" s="118"/>
      <c r="C77" s="119" t="s">
        <v>164</v>
      </c>
      <c r="D77" s="118"/>
      <c r="E77" s="118"/>
      <c r="F77" s="129"/>
      <c r="G77" s="129"/>
      <c r="H77" s="120" t="s">
        <v>151</v>
      </c>
      <c r="J77" s="8"/>
    </row>
    <row r="78" spans="1:10" x14ac:dyDescent="0.2">
      <c r="A78" s="118"/>
      <c r="B78" s="118"/>
      <c r="C78" s="119" t="s">
        <v>165</v>
      </c>
      <c r="D78" s="118"/>
      <c r="E78" s="118"/>
      <c r="F78" s="129"/>
      <c r="G78" s="129"/>
      <c r="H78" s="120" t="s">
        <v>151</v>
      </c>
      <c r="J78" s="8"/>
    </row>
    <row r="79" spans="1:10" x14ac:dyDescent="0.2">
      <c r="A79" s="118"/>
      <c r="B79" s="118"/>
      <c r="C79" s="119" t="s">
        <v>150</v>
      </c>
      <c r="D79" s="118"/>
      <c r="E79" s="118" t="s">
        <v>151</v>
      </c>
      <c r="F79" s="130" t="s">
        <v>153</v>
      </c>
      <c r="G79" s="127">
        <v>0</v>
      </c>
      <c r="H79" s="120" t="s">
        <v>151</v>
      </c>
      <c r="J79" s="8"/>
    </row>
    <row r="80" spans="1:10" x14ac:dyDescent="0.2">
      <c r="A80" s="118"/>
      <c r="B80" s="118"/>
      <c r="C80" s="128"/>
      <c r="D80" s="118"/>
      <c r="E80" s="118"/>
      <c r="F80" s="129"/>
      <c r="G80" s="129"/>
      <c r="H80" s="120" t="s">
        <v>151</v>
      </c>
      <c r="J80" s="8"/>
    </row>
    <row r="81" spans="1:10" x14ac:dyDescent="0.2">
      <c r="A81" s="118"/>
      <c r="B81" s="118"/>
      <c r="C81" s="119" t="s">
        <v>166</v>
      </c>
      <c r="D81" s="118"/>
      <c r="E81" s="118"/>
      <c r="F81" s="129"/>
      <c r="G81" s="129"/>
      <c r="H81" s="120" t="s">
        <v>151</v>
      </c>
      <c r="J81" s="8"/>
    </row>
    <row r="82" spans="1:10" x14ac:dyDescent="0.2">
      <c r="A82" s="118"/>
      <c r="B82" s="118"/>
      <c r="C82" s="119" t="s">
        <v>150</v>
      </c>
      <c r="D82" s="118"/>
      <c r="E82" s="118" t="s">
        <v>151</v>
      </c>
      <c r="F82" s="130" t="s">
        <v>153</v>
      </c>
      <c r="G82" s="127">
        <v>0</v>
      </c>
      <c r="H82" s="120" t="s">
        <v>151</v>
      </c>
      <c r="J82" s="8"/>
    </row>
    <row r="83" spans="1:10" x14ac:dyDescent="0.2">
      <c r="A83" s="118"/>
      <c r="B83" s="118"/>
      <c r="C83" s="128"/>
      <c r="D83" s="118"/>
      <c r="E83" s="118"/>
      <c r="F83" s="129"/>
      <c r="G83" s="129"/>
      <c r="H83" s="120" t="s">
        <v>151</v>
      </c>
      <c r="J83" s="8"/>
    </row>
    <row r="84" spans="1:10" x14ac:dyDescent="0.2">
      <c r="A84" s="118"/>
      <c r="B84" s="118"/>
      <c r="C84" s="119" t="s">
        <v>167</v>
      </c>
      <c r="D84" s="118"/>
      <c r="E84" s="118"/>
      <c r="F84" s="129"/>
      <c r="G84" s="129"/>
      <c r="H84" s="120" t="s">
        <v>151</v>
      </c>
      <c r="J84" s="8"/>
    </row>
    <row r="85" spans="1:10" x14ac:dyDescent="0.2">
      <c r="A85" s="118"/>
      <c r="B85" s="118"/>
      <c r="C85" s="119" t="s">
        <v>150</v>
      </c>
      <c r="D85" s="118"/>
      <c r="E85" s="118" t="s">
        <v>151</v>
      </c>
      <c r="F85" s="130" t="s">
        <v>153</v>
      </c>
      <c r="G85" s="127">
        <v>0</v>
      </c>
      <c r="H85" s="120" t="s">
        <v>151</v>
      </c>
      <c r="J85" s="8"/>
    </row>
    <row r="86" spans="1:10" x14ac:dyDescent="0.2">
      <c r="A86" s="118"/>
      <c r="B86" s="118"/>
      <c r="C86" s="128"/>
      <c r="D86" s="118"/>
      <c r="E86" s="118"/>
      <c r="F86" s="129"/>
      <c r="G86" s="129"/>
      <c r="H86" s="120" t="s">
        <v>151</v>
      </c>
      <c r="J86" s="8"/>
    </row>
    <row r="87" spans="1:10" x14ac:dyDescent="0.2">
      <c r="A87" s="118"/>
      <c r="B87" s="118"/>
      <c r="C87" s="119" t="s">
        <v>168</v>
      </c>
      <c r="D87" s="118"/>
      <c r="E87" s="118"/>
      <c r="F87" s="129"/>
      <c r="G87" s="129"/>
      <c r="H87" s="120" t="s">
        <v>151</v>
      </c>
      <c r="J87" s="8"/>
    </row>
    <row r="88" spans="1:10" x14ac:dyDescent="0.2">
      <c r="A88" s="121">
        <v>1</v>
      </c>
      <c r="B88" s="122"/>
      <c r="C88" s="122" t="s">
        <v>169</v>
      </c>
      <c r="D88" s="122"/>
      <c r="E88" s="131"/>
      <c r="F88" s="124">
        <v>76.483036999999996</v>
      </c>
      <c r="G88" s="125">
        <v>8.7911699999999992E-3</v>
      </c>
      <c r="H88" s="120">
        <v>6.61</v>
      </c>
      <c r="J88" s="8"/>
    </row>
    <row r="89" spans="1:10" x14ac:dyDescent="0.2">
      <c r="A89" s="118"/>
      <c r="B89" s="118"/>
      <c r="C89" s="119" t="s">
        <v>150</v>
      </c>
      <c r="D89" s="118"/>
      <c r="E89" s="118" t="s">
        <v>151</v>
      </c>
      <c r="F89" s="126">
        <v>76.483036999999996</v>
      </c>
      <c r="G89" s="127">
        <v>8.7911699999999992E-3</v>
      </c>
      <c r="H89" s="120" t="s">
        <v>151</v>
      </c>
      <c r="J89" s="8"/>
    </row>
    <row r="90" spans="1:10" x14ac:dyDescent="0.2">
      <c r="A90" s="118"/>
      <c r="B90" s="118"/>
      <c r="C90" s="128"/>
      <c r="D90" s="118"/>
      <c r="E90" s="118"/>
      <c r="F90" s="129"/>
      <c r="G90" s="129"/>
      <c r="H90" s="120" t="s">
        <v>151</v>
      </c>
      <c r="J90" s="8"/>
    </row>
    <row r="91" spans="1:10" x14ac:dyDescent="0.2">
      <c r="A91" s="118"/>
      <c r="B91" s="118"/>
      <c r="C91" s="119" t="s">
        <v>170</v>
      </c>
      <c r="D91" s="118"/>
      <c r="E91" s="118"/>
      <c r="F91" s="126">
        <v>76.483036999999996</v>
      </c>
      <c r="G91" s="127">
        <v>8.7911699999999992E-3</v>
      </c>
      <c r="H91" s="120" t="s">
        <v>151</v>
      </c>
      <c r="J91" s="8"/>
    </row>
    <row r="92" spans="1:10" x14ac:dyDescent="0.2">
      <c r="A92" s="118"/>
      <c r="B92" s="118"/>
      <c r="C92" s="129"/>
      <c r="D92" s="118"/>
      <c r="E92" s="118"/>
      <c r="F92" s="118"/>
      <c r="G92" s="118"/>
      <c r="H92" s="120" t="s">
        <v>151</v>
      </c>
      <c r="J92" s="8"/>
    </row>
    <row r="93" spans="1:10" x14ac:dyDescent="0.2">
      <c r="A93" s="118"/>
      <c r="B93" s="118"/>
      <c r="C93" s="119" t="s">
        <v>171</v>
      </c>
      <c r="D93" s="118"/>
      <c r="E93" s="118"/>
      <c r="F93" s="118"/>
      <c r="G93" s="118"/>
      <c r="H93" s="120" t="s">
        <v>151</v>
      </c>
      <c r="J93" s="8"/>
    </row>
    <row r="94" spans="1:10" x14ac:dyDescent="0.2">
      <c r="A94" s="118"/>
      <c r="B94" s="118"/>
      <c r="C94" s="119" t="s">
        <v>172</v>
      </c>
      <c r="D94" s="118"/>
      <c r="E94" s="118"/>
      <c r="F94" s="118"/>
      <c r="G94" s="118"/>
      <c r="H94" s="120" t="s">
        <v>151</v>
      </c>
      <c r="J94" s="8"/>
    </row>
    <row r="95" spans="1:10" x14ac:dyDescent="0.2">
      <c r="A95" s="118"/>
      <c r="B95" s="118"/>
      <c r="C95" s="119" t="s">
        <v>150</v>
      </c>
      <c r="D95" s="118"/>
      <c r="E95" s="118" t="s">
        <v>151</v>
      </c>
      <c r="F95" s="130" t="s">
        <v>153</v>
      </c>
      <c r="G95" s="127">
        <v>0</v>
      </c>
      <c r="H95" s="120" t="s">
        <v>151</v>
      </c>
      <c r="J95" s="8"/>
    </row>
    <row r="96" spans="1:10" x14ac:dyDescent="0.2">
      <c r="A96" s="118"/>
      <c r="B96" s="118"/>
      <c r="C96" s="128"/>
      <c r="D96" s="118"/>
      <c r="E96" s="118"/>
      <c r="F96" s="129"/>
      <c r="G96" s="129"/>
      <c r="H96" s="120" t="s">
        <v>151</v>
      </c>
      <c r="J96" s="8"/>
    </row>
    <row r="97" spans="1:17" x14ac:dyDescent="0.2">
      <c r="A97" s="118"/>
      <c r="B97" s="118"/>
      <c r="C97" s="119" t="s">
        <v>175</v>
      </c>
      <c r="D97" s="118"/>
      <c r="E97" s="118"/>
      <c r="F97" s="118"/>
      <c r="G97" s="118"/>
      <c r="H97" s="120" t="s">
        <v>151</v>
      </c>
      <c r="J97" s="8"/>
    </row>
    <row r="98" spans="1:17" x14ac:dyDescent="0.2">
      <c r="A98" s="118"/>
      <c r="B98" s="118"/>
      <c r="C98" s="119" t="s">
        <v>176</v>
      </c>
      <c r="D98" s="118"/>
      <c r="E98" s="118"/>
      <c r="F98" s="118"/>
      <c r="G98" s="118"/>
      <c r="H98" s="120" t="s">
        <v>151</v>
      </c>
      <c r="J98" s="8"/>
    </row>
    <row r="99" spans="1:17" x14ac:dyDescent="0.2">
      <c r="A99" s="118"/>
      <c r="B99" s="118"/>
      <c r="C99" s="119" t="s">
        <v>150</v>
      </c>
      <c r="D99" s="118"/>
      <c r="E99" s="118" t="s">
        <v>151</v>
      </c>
      <c r="F99" s="130" t="s">
        <v>153</v>
      </c>
      <c r="G99" s="127">
        <v>0</v>
      </c>
      <c r="H99" s="120" t="s">
        <v>151</v>
      </c>
      <c r="J99" s="8"/>
    </row>
    <row r="100" spans="1:17" x14ac:dyDescent="0.2">
      <c r="A100" s="118"/>
      <c r="B100" s="118"/>
      <c r="C100" s="128"/>
      <c r="D100" s="118"/>
      <c r="E100" s="118"/>
      <c r="F100" s="129"/>
      <c r="G100" s="129"/>
      <c r="H100" s="120" t="s">
        <v>151</v>
      </c>
      <c r="J100" s="8"/>
    </row>
    <row r="101" spans="1:17" ht="25.5" x14ac:dyDescent="0.2">
      <c r="A101" s="118"/>
      <c r="B101" s="118"/>
      <c r="C101" s="119" t="s">
        <v>177</v>
      </c>
      <c r="D101" s="118"/>
      <c r="E101" s="118"/>
      <c r="F101" s="129"/>
      <c r="G101" s="129"/>
      <c r="H101" s="120" t="s">
        <v>151</v>
      </c>
      <c r="J101" s="8"/>
    </row>
    <row r="102" spans="1:17" x14ac:dyDescent="0.2">
      <c r="A102" s="118"/>
      <c r="B102" s="118"/>
      <c r="C102" s="119" t="s">
        <v>150</v>
      </c>
      <c r="D102" s="118"/>
      <c r="E102" s="118" t="s">
        <v>151</v>
      </c>
      <c r="F102" s="130" t="s">
        <v>153</v>
      </c>
      <c r="G102" s="127">
        <v>0</v>
      </c>
      <c r="H102" s="120" t="s">
        <v>151</v>
      </c>
      <c r="J102" s="8"/>
    </row>
    <row r="103" spans="1:17" x14ac:dyDescent="0.2">
      <c r="A103" s="118"/>
      <c r="B103" s="118"/>
      <c r="C103" s="128"/>
      <c r="D103" s="118"/>
      <c r="E103" s="118"/>
      <c r="F103" s="129"/>
      <c r="G103" s="129"/>
      <c r="H103" s="120" t="s">
        <v>151</v>
      </c>
      <c r="J103" s="8"/>
    </row>
    <row r="104" spans="1:17" x14ac:dyDescent="0.2">
      <c r="A104" s="118"/>
      <c r="B104" s="122"/>
      <c r="C104" s="122"/>
      <c r="D104" s="119"/>
      <c r="E104" s="118"/>
      <c r="F104" s="122"/>
      <c r="G104" s="131"/>
      <c r="H104" s="120" t="s">
        <v>151</v>
      </c>
      <c r="J104" s="8"/>
    </row>
    <row r="105" spans="1:17" x14ac:dyDescent="0.2">
      <c r="A105" s="131"/>
      <c r="B105" s="122"/>
      <c r="C105" s="122" t="s">
        <v>178</v>
      </c>
      <c r="D105" s="122"/>
      <c r="E105" s="131"/>
      <c r="F105" s="124">
        <v>87.024134970000006</v>
      </c>
      <c r="G105" s="125">
        <v>1.0002789999999999E-2</v>
      </c>
      <c r="H105" s="120" t="s">
        <v>151</v>
      </c>
      <c r="J105" s="8"/>
    </row>
    <row r="106" spans="1:17" x14ac:dyDescent="0.2">
      <c r="A106" s="128"/>
      <c r="B106" s="128"/>
      <c r="C106" s="119" t="s">
        <v>179</v>
      </c>
      <c r="D106" s="129"/>
      <c r="E106" s="129"/>
      <c r="F106" s="126">
        <v>8699.9839337699996</v>
      </c>
      <c r="G106" s="133">
        <v>1</v>
      </c>
      <c r="H106" s="120" t="s">
        <v>151</v>
      </c>
      <c r="J106" s="8"/>
    </row>
    <row r="107" spans="1:17" x14ac:dyDescent="0.2">
      <c r="A107" s="134"/>
      <c r="B107" s="134"/>
      <c r="C107" s="134"/>
      <c r="D107" s="135"/>
      <c r="E107" s="135"/>
      <c r="F107" s="135"/>
      <c r="G107" s="135"/>
      <c r="J107" s="8"/>
    </row>
    <row r="108" spans="1:17" x14ac:dyDescent="0.2">
      <c r="A108" s="136"/>
      <c r="B108" s="137" t="s">
        <v>888</v>
      </c>
      <c r="C108" s="137"/>
      <c r="D108" s="137"/>
      <c r="E108" s="137"/>
      <c r="F108" s="137"/>
      <c r="G108" s="137"/>
      <c r="H108" s="137"/>
      <c r="J108" s="8"/>
    </row>
    <row r="109" spans="1:17" x14ac:dyDescent="0.2">
      <c r="A109" s="136"/>
      <c r="B109" s="137" t="s">
        <v>889</v>
      </c>
      <c r="C109" s="137"/>
      <c r="D109" s="137"/>
      <c r="E109" s="137"/>
      <c r="F109" s="137"/>
      <c r="G109" s="137"/>
      <c r="H109" s="137"/>
      <c r="J109" s="8"/>
    </row>
    <row r="110" spans="1:17" x14ac:dyDescent="0.2">
      <c r="A110" s="136"/>
      <c r="B110" s="137" t="s">
        <v>890</v>
      </c>
      <c r="C110" s="137"/>
      <c r="D110" s="137"/>
      <c r="E110" s="137"/>
      <c r="F110" s="137"/>
      <c r="G110" s="137"/>
      <c r="H110" s="137"/>
      <c r="J110" s="8"/>
    </row>
    <row r="111" spans="1:17" s="13" customFormat="1" ht="64.5" customHeight="1" x14ac:dyDescent="0.25">
      <c r="A111" s="138"/>
      <c r="B111" s="139" t="s">
        <v>891</v>
      </c>
      <c r="C111" s="139"/>
      <c r="D111" s="139"/>
      <c r="E111" s="139"/>
      <c r="F111" s="139"/>
      <c r="G111" s="139"/>
      <c r="H111" s="139"/>
      <c r="I111" s="114"/>
      <c r="J111" s="8"/>
      <c r="K111"/>
      <c r="L111"/>
      <c r="M111"/>
      <c r="N111"/>
      <c r="O111"/>
      <c r="P111"/>
      <c r="Q111"/>
    </row>
    <row r="112" spans="1:17" x14ac:dyDescent="0.2">
      <c r="A112" s="136"/>
      <c r="B112" s="137" t="s">
        <v>892</v>
      </c>
      <c r="C112" s="137"/>
      <c r="D112" s="137"/>
      <c r="E112" s="137"/>
      <c r="F112" s="137"/>
      <c r="G112" s="137"/>
      <c r="H112" s="137"/>
      <c r="J112" s="8"/>
    </row>
    <row r="113" spans="1:10" x14ac:dyDescent="0.2">
      <c r="A113" s="140"/>
      <c r="B113" s="204" t="s">
        <v>151</v>
      </c>
      <c r="C113" s="204"/>
      <c r="D113" s="204"/>
      <c r="E113" s="204"/>
      <c r="F113" s="204"/>
      <c r="G113" s="141"/>
      <c r="J113" s="8"/>
    </row>
    <row r="114" spans="1:10" x14ac:dyDescent="0.2">
      <c r="A114" s="140"/>
      <c r="B114" s="140"/>
      <c r="C114" s="140"/>
      <c r="D114" s="141"/>
      <c r="E114" s="141"/>
      <c r="F114" s="141"/>
      <c r="G114" s="141"/>
      <c r="J114" s="8"/>
    </row>
    <row r="115" spans="1:10" x14ac:dyDescent="0.2">
      <c r="A115" s="140"/>
      <c r="B115" s="142" t="s">
        <v>180</v>
      </c>
      <c r="C115" s="143"/>
      <c r="D115" s="144"/>
      <c r="E115" s="145"/>
      <c r="F115" s="141"/>
      <c r="G115" s="141"/>
      <c r="J115" s="8"/>
    </row>
    <row r="116" spans="1:10" ht="24.75" customHeight="1" x14ac:dyDescent="0.2">
      <c r="A116" s="140"/>
      <c r="B116" s="146" t="s">
        <v>181</v>
      </c>
      <c r="C116" s="147"/>
      <c r="D116" s="119" t="s">
        <v>182</v>
      </c>
      <c r="E116" s="145"/>
      <c r="F116" s="141"/>
      <c r="G116" s="141"/>
      <c r="J116" s="8"/>
    </row>
    <row r="117" spans="1:10" x14ac:dyDescent="0.2">
      <c r="A117" s="140"/>
      <c r="B117" s="148" t="s">
        <v>893</v>
      </c>
      <c r="C117" s="149"/>
      <c r="D117" s="150" t="s">
        <v>182</v>
      </c>
      <c r="E117" s="145"/>
      <c r="F117" s="141"/>
      <c r="G117" s="141"/>
      <c r="J117" s="8"/>
    </row>
    <row r="118" spans="1:10" x14ac:dyDescent="0.2">
      <c r="A118" s="140"/>
      <c r="B118" s="146" t="s">
        <v>184</v>
      </c>
      <c r="C118" s="147"/>
      <c r="D118" s="129" t="s">
        <v>151</v>
      </c>
      <c r="E118" s="145"/>
      <c r="F118" s="141"/>
      <c r="G118" s="141"/>
      <c r="J118" s="8"/>
    </row>
    <row r="119" spans="1:10" x14ac:dyDescent="0.2">
      <c r="A119" s="151"/>
      <c r="B119" s="152" t="s">
        <v>151</v>
      </c>
      <c r="C119" s="152" t="s">
        <v>894</v>
      </c>
      <c r="D119" s="152" t="s">
        <v>185</v>
      </c>
      <c r="E119" s="151"/>
      <c r="F119" s="151"/>
      <c r="G119" s="151"/>
      <c r="H119" s="151"/>
      <c r="J119" s="8"/>
    </row>
    <row r="120" spans="1:10" x14ac:dyDescent="0.2">
      <c r="A120" s="153"/>
      <c r="B120" s="154" t="s">
        <v>186</v>
      </c>
      <c r="C120" s="155">
        <v>45535</v>
      </c>
      <c r="D120" s="155">
        <v>45565</v>
      </c>
      <c r="E120" s="153"/>
      <c r="F120" s="153"/>
      <c r="G120" s="153"/>
      <c r="J120" s="8"/>
    </row>
    <row r="121" spans="1:10" x14ac:dyDescent="0.2">
      <c r="A121" s="153"/>
      <c r="B121" s="122" t="s">
        <v>187</v>
      </c>
      <c r="C121" s="156">
        <v>34.916800000000002</v>
      </c>
      <c r="D121" s="156">
        <v>35.616599999999998</v>
      </c>
      <c r="E121" s="153"/>
      <c r="F121" s="157"/>
      <c r="G121" s="158"/>
      <c r="J121" s="8"/>
    </row>
    <row r="122" spans="1:10" x14ac:dyDescent="0.2">
      <c r="A122" s="153"/>
      <c r="B122" s="122" t="s">
        <v>1038</v>
      </c>
      <c r="C122" s="156">
        <v>30.620799999999999</v>
      </c>
      <c r="D122" s="156">
        <v>31.234400000000001</v>
      </c>
      <c r="E122" s="153"/>
      <c r="F122" s="157"/>
      <c r="G122" s="158"/>
      <c r="J122" s="8"/>
    </row>
    <row r="123" spans="1:10" x14ac:dyDescent="0.2">
      <c r="A123" s="153"/>
      <c r="B123" s="122" t="s">
        <v>188</v>
      </c>
      <c r="C123" s="156">
        <v>33.961300000000001</v>
      </c>
      <c r="D123" s="156">
        <v>34.636800000000001</v>
      </c>
      <c r="E123" s="153"/>
      <c r="F123" s="157"/>
      <c r="G123" s="158"/>
      <c r="J123" s="8"/>
    </row>
    <row r="124" spans="1:10" x14ac:dyDescent="0.2">
      <c r="A124" s="153"/>
      <c r="B124" s="122" t="s">
        <v>1039</v>
      </c>
      <c r="C124" s="156">
        <v>29.7136</v>
      </c>
      <c r="D124" s="156">
        <v>30.304600000000001</v>
      </c>
      <c r="E124" s="153"/>
      <c r="F124" s="157"/>
      <c r="G124" s="158"/>
      <c r="J124" s="8"/>
    </row>
    <row r="125" spans="1:10" x14ac:dyDescent="0.2">
      <c r="A125" s="153"/>
      <c r="B125" s="153"/>
      <c r="C125" s="153"/>
      <c r="D125" s="153"/>
      <c r="E125" s="153"/>
      <c r="F125" s="153"/>
      <c r="G125" s="153"/>
      <c r="J125" s="8"/>
    </row>
    <row r="126" spans="1:10" x14ac:dyDescent="0.2">
      <c r="A126" s="151"/>
      <c r="B126" s="148" t="s">
        <v>895</v>
      </c>
      <c r="C126" s="149"/>
      <c r="D126" s="150" t="s">
        <v>182</v>
      </c>
      <c r="E126" s="151"/>
      <c r="F126" s="151"/>
      <c r="G126" s="151"/>
      <c r="J126" s="8"/>
    </row>
    <row r="127" spans="1:10" x14ac:dyDescent="0.2">
      <c r="A127" s="151"/>
      <c r="B127" s="201"/>
      <c r="C127" s="201"/>
      <c r="D127" s="201"/>
      <c r="E127" s="151"/>
      <c r="F127" s="151"/>
      <c r="G127" s="151"/>
      <c r="J127" s="8"/>
    </row>
    <row r="128" spans="1:10" x14ac:dyDescent="0.2">
      <c r="A128" s="151"/>
      <c r="B128" s="148" t="s">
        <v>189</v>
      </c>
      <c r="C128" s="149"/>
      <c r="D128" s="150" t="s">
        <v>182</v>
      </c>
      <c r="E128" s="160"/>
      <c r="F128" s="151"/>
      <c r="G128" s="151"/>
      <c r="J128" s="8"/>
    </row>
    <row r="129" spans="1:10" x14ac:dyDescent="0.2">
      <c r="A129" s="151"/>
      <c r="B129" s="148" t="s">
        <v>190</v>
      </c>
      <c r="C129" s="149"/>
      <c r="D129" s="150" t="s">
        <v>182</v>
      </c>
      <c r="E129" s="160"/>
      <c r="F129" s="151"/>
      <c r="G129" s="151"/>
      <c r="J129" s="8"/>
    </row>
    <row r="130" spans="1:10" x14ac:dyDescent="0.2">
      <c r="A130" s="151"/>
      <c r="B130" s="148" t="s">
        <v>191</v>
      </c>
      <c r="C130" s="149"/>
      <c r="D130" s="150" t="s">
        <v>182</v>
      </c>
      <c r="E130" s="160"/>
      <c r="F130" s="151"/>
      <c r="G130" s="151"/>
      <c r="J130" s="8"/>
    </row>
    <row r="131" spans="1:10" x14ac:dyDescent="0.2">
      <c r="A131" s="151"/>
      <c r="B131" s="148" t="s">
        <v>192</v>
      </c>
      <c r="C131" s="149"/>
      <c r="D131" s="161">
        <v>0.32942802039809971</v>
      </c>
      <c r="E131" s="151"/>
      <c r="F131" s="159"/>
      <c r="G131" s="162"/>
      <c r="J131" s="8"/>
    </row>
    <row r="132" spans="1:10" x14ac:dyDescent="0.2">
      <c r="J132" s="8"/>
    </row>
    <row r="133" spans="1:10" x14ac:dyDescent="0.2">
      <c r="J133" s="8"/>
    </row>
  </sheetData>
  <mergeCells count="18">
    <mergeCell ref="B117:C117"/>
    <mergeCell ref="B118:C118"/>
    <mergeCell ref="B126:C126"/>
    <mergeCell ref="B130:C130"/>
    <mergeCell ref="B131:C131"/>
    <mergeCell ref="B128:C128"/>
    <mergeCell ref="B129:C129"/>
    <mergeCell ref="B116:C116"/>
    <mergeCell ref="A1:H1"/>
    <mergeCell ref="A2:H2"/>
    <mergeCell ref="A3:H3"/>
    <mergeCell ref="B108:H108"/>
    <mergeCell ref="B109:H109"/>
    <mergeCell ref="B110:H110"/>
    <mergeCell ref="B111:H111"/>
    <mergeCell ref="B112:H112"/>
    <mergeCell ref="B113:F113"/>
    <mergeCell ref="B115:D115"/>
  </mergeCells>
  <hyperlinks>
    <hyperlink ref="I1" location="Index!B2" display="Index" xr:uid="{1846FF47-3819-43A0-9512-357A6CA7E1A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0BCC-77D0-4314-92AC-7D8874BC7A95}">
  <sheetPr>
    <outlinePr summaryBelow="0" summaryRight="0"/>
  </sheetPr>
  <dimension ref="A1:Q126"/>
  <sheetViews>
    <sheetView showGridLines="0" workbookViewId="0">
      <selection activeCell="A2" sqref="A2:H2"/>
    </sheetView>
  </sheetViews>
  <sheetFormatPr defaultRowHeight="12.75" x14ac:dyDescent="0.2"/>
  <cols>
    <col min="1" max="1" width="5.85546875" style="114" bestFit="1" customWidth="1"/>
    <col min="2" max="2" width="19.7109375" style="114" bestFit="1" customWidth="1"/>
    <col min="3" max="3" width="33.140625" style="114" customWidth="1"/>
    <col min="4" max="4" width="17.710937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858</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ht="25.5" x14ac:dyDescent="0.2">
      <c r="A6" s="118"/>
      <c r="B6" s="118"/>
      <c r="C6" s="119" t="s">
        <v>10</v>
      </c>
      <c r="D6" s="118"/>
      <c r="E6" s="118"/>
      <c r="F6" s="118"/>
      <c r="G6" s="118"/>
      <c r="H6" s="120" t="s">
        <v>151</v>
      </c>
      <c r="J6" s="8"/>
    </row>
    <row r="7" spans="1:10" x14ac:dyDescent="0.2">
      <c r="A7" s="121">
        <v>1</v>
      </c>
      <c r="B7" s="122" t="s">
        <v>46</v>
      </c>
      <c r="C7" s="122" t="s">
        <v>47</v>
      </c>
      <c r="D7" s="122" t="s">
        <v>48</v>
      </c>
      <c r="E7" s="123">
        <v>9931</v>
      </c>
      <c r="F7" s="124">
        <v>126.42162999999999</v>
      </c>
      <c r="G7" s="125">
        <v>9.3105770000000004E-2</v>
      </c>
      <c r="H7" s="120" t="s">
        <v>151</v>
      </c>
      <c r="J7" s="8"/>
    </row>
    <row r="8" spans="1:10" x14ac:dyDescent="0.2">
      <c r="A8" s="121">
        <v>2</v>
      </c>
      <c r="B8" s="122" t="s">
        <v>343</v>
      </c>
      <c r="C8" s="122" t="s">
        <v>344</v>
      </c>
      <c r="D8" s="122" t="s">
        <v>48</v>
      </c>
      <c r="E8" s="123">
        <v>6942</v>
      </c>
      <c r="F8" s="124">
        <v>120.238911</v>
      </c>
      <c r="G8" s="125">
        <v>8.855238E-2</v>
      </c>
      <c r="H8" s="120" t="s">
        <v>151</v>
      </c>
      <c r="J8" s="8"/>
    </row>
    <row r="9" spans="1:10" x14ac:dyDescent="0.2">
      <c r="A9" s="121">
        <v>3</v>
      </c>
      <c r="B9" s="122" t="s">
        <v>20</v>
      </c>
      <c r="C9" s="122" t="s">
        <v>21</v>
      </c>
      <c r="D9" s="122" t="s">
        <v>22</v>
      </c>
      <c r="E9" s="123">
        <v>3489</v>
      </c>
      <c r="F9" s="124">
        <v>103.0354035</v>
      </c>
      <c r="G9" s="125">
        <v>7.588251E-2</v>
      </c>
      <c r="H9" s="120" t="s">
        <v>151</v>
      </c>
      <c r="J9" s="8"/>
    </row>
    <row r="10" spans="1:10" x14ac:dyDescent="0.2">
      <c r="A10" s="121">
        <v>4</v>
      </c>
      <c r="B10" s="122" t="s">
        <v>347</v>
      </c>
      <c r="C10" s="122" t="s">
        <v>348</v>
      </c>
      <c r="D10" s="122" t="s">
        <v>216</v>
      </c>
      <c r="E10" s="123">
        <v>5430</v>
      </c>
      <c r="F10" s="124">
        <v>101.84508</v>
      </c>
      <c r="G10" s="125">
        <v>7.5005870000000002E-2</v>
      </c>
      <c r="H10" s="120" t="s">
        <v>151</v>
      </c>
      <c r="J10" s="8"/>
    </row>
    <row r="11" spans="1:10" x14ac:dyDescent="0.2">
      <c r="A11" s="121">
        <v>5</v>
      </c>
      <c r="B11" s="122" t="s">
        <v>63</v>
      </c>
      <c r="C11" s="122" t="s">
        <v>64</v>
      </c>
      <c r="D11" s="122" t="s">
        <v>48</v>
      </c>
      <c r="E11" s="123">
        <v>11730</v>
      </c>
      <c r="F11" s="124">
        <v>92.420670000000001</v>
      </c>
      <c r="G11" s="125">
        <v>6.8065070000000005E-2</v>
      </c>
      <c r="H11" s="120" t="s">
        <v>151</v>
      </c>
      <c r="J11" s="8"/>
    </row>
    <row r="12" spans="1:10" ht="15" x14ac:dyDescent="0.2">
      <c r="A12" s="121">
        <v>6</v>
      </c>
      <c r="B12" s="122" t="s">
        <v>14</v>
      </c>
      <c r="C12" s="122" t="s">
        <v>15</v>
      </c>
      <c r="D12" s="122" t="s">
        <v>16</v>
      </c>
      <c r="E12" s="123">
        <v>4294</v>
      </c>
      <c r="F12" s="124">
        <v>73.408077000000006</v>
      </c>
      <c r="G12" s="125">
        <v>5.4062859999999997E-2</v>
      </c>
      <c r="H12" s="120" t="s">
        <v>151</v>
      </c>
      <c r="J12" s="11"/>
    </row>
    <row r="13" spans="1:10" x14ac:dyDescent="0.2">
      <c r="A13" s="121">
        <v>7</v>
      </c>
      <c r="B13" s="122" t="s">
        <v>11</v>
      </c>
      <c r="C13" s="122" t="s">
        <v>12</v>
      </c>
      <c r="D13" s="122" t="s">
        <v>13</v>
      </c>
      <c r="E13" s="123">
        <v>1772</v>
      </c>
      <c r="F13" s="124">
        <v>65.130746000000002</v>
      </c>
      <c r="G13" s="125">
        <v>4.796686E-2</v>
      </c>
      <c r="H13" s="120" t="s">
        <v>151</v>
      </c>
      <c r="J13" s="8"/>
    </row>
    <row r="14" spans="1:10" ht="25.5" x14ac:dyDescent="0.2">
      <c r="A14" s="121">
        <v>8</v>
      </c>
      <c r="B14" s="122" t="s">
        <v>23</v>
      </c>
      <c r="C14" s="122" t="s">
        <v>24</v>
      </c>
      <c r="D14" s="122" t="s">
        <v>25</v>
      </c>
      <c r="E14" s="123">
        <v>424</v>
      </c>
      <c r="F14" s="124">
        <v>50.040480000000002</v>
      </c>
      <c r="G14" s="125">
        <v>3.6853320000000002E-2</v>
      </c>
      <c r="H14" s="120" t="s">
        <v>151</v>
      </c>
      <c r="J14" s="8"/>
    </row>
    <row r="15" spans="1:10" x14ac:dyDescent="0.2">
      <c r="A15" s="121">
        <v>9</v>
      </c>
      <c r="B15" s="122" t="s">
        <v>364</v>
      </c>
      <c r="C15" s="122" t="s">
        <v>365</v>
      </c>
      <c r="D15" s="122" t="s">
        <v>270</v>
      </c>
      <c r="E15" s="123">
        <v>4883</v>
      </c>
      <c r="F15" s="124">
        <v>47.592159500000001</v>
      </c>
      <c r="G15" s="125">
        <v>3.5050209999999998E-2</v>
      </c>
      <c r="H15" s="120" t="s">
        <v>151</v>
      </c>
      <c r="J15" s="8"/>
    </row>
    <row r="16" spans="1:10" x14ac:dyDescent="0.2">
      <c r="A16" s="121">
        <v>10</v>
      </c>
      <c r="B16" s="122" t="s">
        <v>349</v>
      </c>
      <c r="C16" s="122" t="s">
        <v>350</v>
      </c>
      <c r="D16" s="122" t="s">
        <v>48</v>
      </c>
      <c r="E16" s="123">
        <v>3621</v>
      </c>
      <c r="F16" s="124">
        <v>44.617961999999999</v>
      </c>
      <c r="G16" s="125">
        <v>3.2859800000000002E-2</v>
      </c>
      <c r="H16" s="120" t="s">
        <v>151</v>
      </c>
      <c r="J16" s="8" t="s">
        <v>899</v>
      </c>
    </row>
    <row r="17" spans="1:10" x14ac:dyDescent="0.2">
      <c r="A17" s="121">
        <v>11</v>
      </c>
      <c r="B17" s="122" t="s">
        <v>227</v>
      </c>
      <c r="C17" s="122" t="s">
        <v>228</v>
      </c>
      <c r="D17" s="122" t="s">
        <v>22</v>
      </c>
      <c r="E17" s="123">
        <v>9124</v>
      </c>
      <c r="F17" s="124">
        <v>40.195782000000001</v>
      </c>
      <c r="G17" s="125">
        <v>2.9603000000000001E-2</v>
      </c>
      <c r="H17" s="120" t="s">
        <v>151</v>
      </c>
      <c r="J17" s="8"/>
    </row>
    <row r="18" spans="1:10" x14ac:dyDescent="0.2">
      <c r="A18" s="121">
        <v>12</v>
      </c>
      <c r="B18" s="122" t="s">
        <v>366</v>
      </c>
      <c r="C18" s="122" t="s">
        <v>367</v>
      </c>
      <c r="D18" s="122" t="s">
        <v>368</v>
      </c>
      <c r="E18" s="123">
        <v>7286</v>
      </c>
      <c r="F18" s="124">
        <v>37.752409</v>
      </c>
      <c r="G18" s="125">
        <v>2.780353E-2</v>
      </c>
      <c r="H18" s="120" t="s">
        <v>151</v>
      </c>
      <c r="J18" s="8"/>
    </row>
    <row r="19" spans="1:10" x14ac:dyDescent="0.2">
      <c r="A19" s="121">
        <v>13</v>
      </c>
      <c r="B19" s="122" t="s">
        <v>132</v>
      </c>
      <c r="C19" s="122" t="s">
        <v>133</v>
      </c>
      <c r="D19" s="122" t="s">
        <v>134</v>
      </c>
      <c r="E19" s="123">
        <v>3580</v>
      </c>
      <c r="F19" s="124">
        <v>37.219470000000001</v>
      </c>
      <c r="G19" s="125">
        <v>2.7411029999999999E-2</v>
      </c>
      <c r="H19" s="120" t="s">
        <v>151</v>
      </c>
      <c r="J19" s="8"/>
    </row>
    <row r="20" spans="1:10" x14ac:dyDescent="0.2">
      <c r="A20" s="121">
        <v>14</v>
      </c>
      <c r="B20" s="122" t="s">
        <v>388</v>
      </c>
      <c r="C20" s="122" t="s">
        <v>389</v>
      </c>
      <c r="D20" s="122" t="s">
        <v>35</v>
      </c>
      <c r="E20" s="123">
        <v>901</v>
      </c>
      <c r="F20" s="124">
        <v>34.453789499999999</v>
      </c>
      <c r="G20" s="125">
        <v>2.5374190000000001E-2</v>
      </c>
      <c r="H20" s="120" t="s">
        <v>151</v>
      </c>
      <c r="J20" s="8"/>
    </row>
    <row r="21" spans="1:10" x14ac:dyDescent="0.2">
      <c r="A21" s="121">
        <v>15</v>
      </c>
      <c r="B21" s="122" t="s">
        <v>461</v>
      </c>
      <c r="C21" s="122" t="s">
        <v>462</v>
      </c>
      <c r="D21" s="122" t="s">
        <v>216</v>
      </c>
      <c r="E21" s="123">
        <v>1555</v>
      </c>
      <c r="F21" s="124">
        <v>27.929355000000001</v>
      </c>
      <c r="G21" s="125">
        <v>2.056914E-2</v>
      </c>
      <c r="H21" s="120" t="s">
        <v>151</v>
      </c>
      <c r="J21" s="8"/>
    </row>
    <row r="22" spans="1:10" ht="15" x14ac:dyDescent="0.2">
      <c r="A22" s="121">
        <v>16</v>
      </c>
      <c r="B22" s="122" t="s">
        <v>28</v>
      </c>
      <c r="C22" s="122" t="s">
        <v>29</v>
      </c>
      <c r="D22" s="122" t="s">
        <v>22</v>
      </c>
      <c r="E22" s="123">
        <v>7496</v>
      </c>
      <c r="F22" s="124">
        <v>27.731452000000001</v>
      </c>
      <c r="G22" s="125">
        <v>2.042339E-2</v>
      </c>
      <c r="H22" s="120" t="s">
        <v>151</v>
      </c>
      <c r="J22" s="11"/>
    </row>
    <row r="23" spans="1:10" ht="25.5" x14ac:dyDescent="0.2">
      <c r="A23" s="121">
        <v>17</v>
      </c>
      <c r="B23" s="122" t="s">
        <v>206</v>
      </c>
      <c r="C23" s="122" t="s">
        <v>207</v>
      </c>
      <c r="D23" s="122" t="s">
        <v>208</v>
      </c>
      <c r="E23" s="123">
        <v>1637</v>
      </c>
      <c r="F23" s="124">
        <v>27.414020499999999</v>
      </c>
      <c r="G23" s="125">
        <v>2.018961E-2</v>
      </c>
      <c r="H23" s="120" t="s">
        <v>151</v>
      </c>
      <c r="J23" s="8"/>
    </row>
    <row r="24" spans="1:10" x14ac:dyDescent="0.2">
      <c r="A24" s="121">
        <v>18</v>
      </c>
      <c r="B24" s="122" t="s">
        <v>355</v>
      </c>
      <c r="C24" s="122" t="s">
        <v>356</v>
      </c>
      <c r="D24" s="122" t="s">
        <v>216</v>
      </c>
      <c r="E24" s="123">
        <v>617</v>
      </c>
      <c r="F24" s="124">
        <v>26.336645000000001</v>
      </c>
      <c r="G24" s="125">
        <v>1.9396159999999999E-2</v>
      </c>
      <c r="H24" s="120" t="s">
        <v>151</v>
      </c>
      <c r="J24" s="8"/>
    </row>
    <row r="25" spans="1:10" x14ac:dyDescent="0.2">
      <c r="A25" s="121">
        <v>19</v>
      </c>
      <c r="B25" s="122" t="s">
        <v>463</v>
      </c>
      <c r="C25" s="122" t="s">
        <v>464</v>
      </c>
      <c r="D25" s="122" t="s">
        <v>48</v>
      </c>
      <c r="E25" s="123">
        <v>9495</v>
      </c>
      <c r="F25" s="124">
        <v>23.52861</v>
      </c>
      <c r="G25" s="125">
        <v>1.7328119999999999E-2</v>
      </c>
      <c r="H25" s="120" t="s">
        <v>151</v>
      </c>
      <c r="J25" s="8"/>
    </row>
    <row r="26" spans="1:10" x14ac:dyDescent="0.2">
      <c r="A26" s="121">
        <v>20</v>
      </c>
      <c r="B26" s="122" t="s">
        <v>128</v>
      </c>
      <c r="C26" s="122" t="s">
        <v>129</v>
      </c>
      <c r="D26" s="122" t="s">
        <v>70</v>
      </c>
      <c r="E26" s="123">
        <v>587</v>
      </c>
      <c r="F26" s="124">
        <v>22.973419</v>
      </c>
      <c r="G26" s="125">
        <v>1.6919239999999999E-2</v>
      </c>
      <c r="H26" s="120" t="s">
        <v>151</v>
      </c>
      <c r="J26" s="8"/>
    </row>
    <row r="27" spans="1:10" x14ac:dyDescent="0.2">
      <c r="A27" s="121">
        <v>21</v>
      </c>
      <c r="B27" s="122" t="s">
        <v>459</v>
      </c>
      <c r="C27" s="122" t="s">
        <v>460</v>
      </c>
      <c r="D27" s="122" t="s">
        <v>295</v>
      </c>
      <c r="E27" s="123">
        <v>1169</v>
      </c>
      <c r="F27" s="124">
        <v>21.556360000000002</v>
      </c>
      <c r="G27" s="125">
        <v>1.587562E-2</v>
      </c>
      <c r="H27" s="120" t="s">
        <v>151</v>
      </c>
      <c r="J27" s="8"/>
    </row>
    <row r="28" spans="1:10" x14ac:dyDescent="0.2">
      <c r="A28" s="121">
        <v>22</v>
      </c>
      <c r="B28" s="122" t="s">
        <v>359</v>
      </c>
      <c r="C28" s="122" t="s">
        <v>360</v>
      </c>
      <c r="D28" s="122" t="s">
        <v>361</v>
      </c>
      <c r="E28" s="123">
        <v>2810</v>
      </c>
      <c r="F28" s="124">
        <v>21.249220000000001</v>
      </c>
      <c r="G28" s="125">
        <v>1.5649420000000001E-2</v>
      </c>
      <c r="H28" s="120" t="s">
        <v>151</v>
      </c>
      <c r="J28" s="8"/>
    </row>
    <row r="29" spans="1:10" ht="25.5" x14ac:dyDescent="0.2">
      <c r="A29" s="121">
        <v>23</v>
      </c>
      <c r="B29" s="122" t="s">
        <v>467</v>
      </c>
      <c r="C29" s="122" t="s">
        <v>468</v>
      </c>
      <c r="D29" s="122" t="s">
        <v>290</v>
      </c>
      <c r="E29" s="123">
        <v>1612</v>
      </c>
      <c r="F29" s="124">
        <v>19.294834000000002</v>
      </c>
      <c r="G29" s="125">
        <v>1.421007E-2</v>
      </c>
      <c r="H29" s="120" t="s">
        <v>151</v>
      </c>
      <c r="J29" s="8"/>
    </row>
    <row r="30" spans="1:10" ht="25.5" x14ac:dyDescent="0.2">
      <c r="A30" s="121">
        <v>24</v>
      </c>
      <c r="B30" s="122" t="s">
        <v>465</v>
      </c>
      <c r="C30" s="122" t="s">
        <v>466</v>
      </c>
      <c r="D30" s="122" t="s">
        <v>205</v>
      </c>
      <c r="E30" s="123">
        <v>1140</v>
      </c>
      <c r="F30" s="124">
        <v>18.856739999999999</v>
      </c>
      <c r="G30" s="125">
        <v>1.3887429999999999E-2</v>
      </c>
      <c r="H30" s="120" t="s">
        <v>151</v>
      </c>
      <c r="J30" s="8"/>
    </row>
    <row r="31" spans="1:10" ht="25.5" x14ac:dyDescent="0.2">
      <c r="A31" s="121">
        <v>25</v>
      </c>
      <c r="B31" s="122" t="s">
        <v>324</v>
      </c>
      <c r="C31" s="122" t="s">
        <v>325</v>
      </c>
      <c r="D31" s="122" t="s">
        <v>258</v>
      </c>
      <c r="E31" s="123">
        <v>526</v>
      </c>
      <c r="F31" s="124">
        <v>18.101500999999999</v>
      </c>
      <c r="G31" s="125">
        <v>1.333122E-2</v>
      </c>
      <c r="H31" s="120" t="s">
        <v>151</v>
      </c>
      <c r="J31" s="8"/>
    </row>
    <row r="32" spans="1:10" x14ac:dyDescent="0.2">
      <c r="A32" s="121">
        <v>26</v>
      </c>
      <c r="B32" s="122" t="s">
        <v>378</v>
      </c>
      <c r="C32" s="122" t="s">
        <v>379</v>
      </c>
      <c r="D32" s="122" t="s">
        <v>368</v>
      </c>
      <c r="E32" s="123">
        <v>517</v>
      </c>
      <c r="F32" s="124">
        <v>15.294411</v>
      </c>
      <c r="G32" s="125">
        <v>1.126388E-2</v>
      </c>
      <c r="H32" s="120" t="s">
        <v>151</v>
      </c>
      <c r="J32" s="8"/>
    </row>
    <row r="33" spans="1:10" ht="25.5" x14ac:dyDescent="0.2">
      <c r="A33" s="121">
        <v>27</v>
      </c>
      <c r="B33" s="122" t="s">
        <v>469</v>
      </c>
      <c r="C33" s="122" t="s">
        <v>470</v>
      </c>
      <c r="D33" s="122" t="s">
        <v>25</v>
      </c>
      <c r="E33" s="123">
        <v>1190</v>
      </c>
      <c r="F33" s="124">
        <v>15.08563</v>
      </c>
      <c r="G33" s="125">
        <v>1.1110119999999999E-2</v>
      </c>
      <c r="H33" s="120" t="s">
        <v>151</v>
      </c>
      <c r="J33" s="8"/>
    </row>
    <row r="34" spans="1:10" x14ac:dyDescent="0.2">
      <c r="A34" s="121">
        <v>28</v>
      </c>
      <c r="B34" s="122" t="s">
        <v>471</v>
      </c>
      <c r="C34" s="122" t="s">
        <v>472</v>
      </c>
      <c r="D34" s="122" t="s">
        <v>48</v>
      </c>
      <c r="E34" s="123">
        <v>989</v>
      </c>
      <c r="F34" s="124">
        <v>14.316763999999999</v>
      </c>
      <c r="G34" s="125">
        <v>1.054387E-2</v>
      </c>
      <c r="H34" s="120" t="s">
        <v>151</v>
      </c>
      <c r="J34" s="8"/>
    </row>
    <row r="35" spans="1:10" x14ac:dyDescent="0.2">
      <c r="A35" s="121">
        <v>29</v>
      </c>
      <c r="B35" s="122" t="s">
        <v>96</v>
      </c>
      <c r="C35" s="122" t="s">
        <v>97</v>
      </c>
      <c r="D35" s="122" t="s">
        <v>85</v>
      </c>
      <c r="E35" s="123">
        <v>1497</v>
      </c>
      <c r="F35" s="124">
        <v>13.746950999999999</v>
      </c>
      <c r="G35" s="125">
        <v>1.012422E-2</v>
      </c>
      <c r="H35" s="120" t="s">
        <v>151</v>
      </c>
      <c r="J35" s="8"/>
    </row>
    <row r="36" spans="1:10" x14ac:dyDescent="0.2">
      <c r="A36" s="121">
        <v>30</v>
      </c>
      <c r="B36" s="122" t="s">
        <v>351</v>
      </c>
      <c r="C36" s="122" t="s">
        <v>352</v>
      </c>
      <c r="D36" s="122" t="s">
        <v>48</v>
      </c>
      <c r="E36" s="123">
        <v>731</v>
      </c>
      <c r="F36" s="124">
        <v>13.552374500000001</v>
      </c>
      <c r="G36" s="125">
        <v>9.9809200000000008E-3</v>
      </c>
      <c r="H36" s="120" t="s">
        <v>151</v>
      </c>
      <c r="J36" s="8"/>
    </row>
    <row r="37" spans="1:10" x14ac:dyDescent="0.2">
      <c r="A37" s="121">
        <v>31</v>
      </c>
      <c r="B37" s="122" t="s">
        <v>474</v>
      </c>
      <c r="C37" s="122" t="s">
        <v>475</v>
      </c>
      <c r="D37" s="122" t="s">
        <v>216</v>
      </c>
      <c r="E37" s="123">
        <v>1558</v>
      </c>
      <c r="F37" s="124">
        <v>8.435791</v>
      </c>
      <c r="G37" s="125">
        <v>6.2127099999999998E-3</v>
      </c>
      <c r="H37" s="120" t="s">
        <v>151</v>
      </c>
      <c r="J37" s="8"/>
    </row>
    <row r="38" spans="1:10" ht="25.5" x14ac:dyDescent="0.2">
      <c r="A38" s="121">
        <v>32</v>
      </c>
      <c r="B38" s="122" t="s">
        <v>473</v>
      </c>
      <c r="C38" s="200" t="s">
        <v>897</v>
      </c>
      <c r="D38" s="122" t="s">
        <v>16</v>
      </c>
      <c r="E38" s="123">
        <v>327</v>
      </c>
      <c r="F38" s="124">
        <v>4.2751979999999996</v>
      </c>
      <c r="G38" s="125">
        <v>3.1485599999999999E-3</v>
      </c>
      <c r="H38" s="120" t="s">
        <v>151</v>
      </c>
      <c r="J38" s="8"/>
    </row>
    <row r="39" spans="1:10" x14ac:dyDescent="0.2">
      <c r="A39" s="118"/>
      <c r="B39" s="118"/>
      <c r="C39" s="119" t="s">
        <v>150</v>
      </c>
      <c r="D39" s="118"/>
      <c r="E39" s="118" t="s">
        <v>151</v>
      </c>
      <c r="F39" s="126">
        <v>1314.0518455000008</v>
      </c>
      <c r="G39" s="127">
        <v>0.96776009999999979</v>
      </c>
      <c r="H39" s="120" t="s">
        <v>151</v>
      </c>
      <c r="J39" s="8"/>
    </row>
    <row r="40" spans="1:10" x14ac:dyDescent="0.2">
      <c r="A40" s="118"/>
      <c r="B40" s="118"/>
      <c r="C40" s="128"/>
      <c r="D40" s="118"/>
      <c r="E40" s="118"/>
      <c r="F40" s="129"/>
      <c r="G40" s="129"/>
      <c r="H40" s="120" t="s">
        <v>151</v>
      </c>
      <c r="J40" s="8"/>
    </row>
    <row r="41" spans="1:10" x14ac:dyDescent="0.2">
      <c r="A41" s="118"/>
      <c r="B41" s="118"/>
      <c r="C41" s="119" t="s">
        <v>152</v>
      </c>
      <c r="D41" s="118"/>
      <c r="E41" s="118"/>
      <c r="F41" s="118"/>
      <c r="G41" s="118"/>
      <c r="H41" s="120" t="s">
        <v>151</v>
      </c>
      <c r="J41" s="8"/>
    </row>
    <row r="42" spans="1:10" x14ac:dyDescent="0.2">
      <c r="A42" s="118"/>
      <c r="B42" s="118"/>
      <c r="C42" s="119" t="s">
        <v>150</v>
      </c>
      <c r="D42" s="118"/>
      <c r="E42" s="118" t="s">
        <v>151</v>
      </c>
      <c r="F42" s="130" t="s">
        <v>153</v>
      </c>
      <c r="G42" s="127">
        <v>0</v>
      </c>
      <c r="H42" s="120" t="s">
        <v>151</v>
      </c>
      <c r="J42" s="8"/>
    </row>
    <row r="43" spans="1:10" x14ac:dyDescent="0.2">
      <c r="A43" s="118"/>
      <c r="B43" s="118"/>
      <c r="C43" s="128"/>
      <c r="D43" s="118"/>
      <c r="E43" s="118"/>
      <c r="F43" s="129"/>
      <c r="G43" s="129"/>
      <c r="H43" s="120" t="s">
        <v>151</v>
      </c>
      <c r="J43" s="8"/>
    </row>
    <row r="44" spans="1:10" x14ac:dyDescent="0.2">
      <c r="A44" s="118"/>
      <c r="B44" s="118"/>
      <c r="C44" s="119" t="s">
        <v>154</v>
      </c>
      <c r="D44" s="118"/>
      <c r="E44" s="118"/>
      <c r="F44" s="118"/>
      <c r="G44" s="118"/>
      <c r="H44" s="120" t="s">
        <v>151</v>
      </c>
      <c r="J44" s="8"/>
    </row>
    <row r="45" spans="1:10" x14ac:dyDescent="0.2">
      <c r="A45" s="118"/>
      <c r="B45" s="118"/>
      <c r="C45" s="119" t="s">
        <v>150</v>
      </c>
      <c r="D45" s="118"/>
      <c r="E45" s="118" t="s">
        <v>151</v>
      </c>
      <c r="F45" s="130" t="s">
        <v>153</v>
      </c>
      <c r="G45" s="127">
        <v>0</v>
      </c>
      <c r="H45" s="120" t="s">
        <v>151</v>
      </c>
      <c r="J45" s="8"/>
    </row>
    <row r="46" spans="1:10" x14ac:dyDescent="0.2">
      <c r="A46" s="118"/>
      <c r="B46" s="118"/>
      <c r="C46" s="128"/>
      <c r="D46" s="118"/>
      <c r="E46" s="118"/>
      <c r="F46" s="129"/>
      <c r="G46" s="129"/>
      <c r="H46" s="120" t="s">
        <v>151</v>
      </c>
      <c r="J46" s="8"/>
    </row>
    <row r="47" spans="1:10" x14ac:dyDescent="0.2">
      <c r="A47" s="118"/>
      <c r="B47" s="118"/>
      <c r="C47" s="119" t="s">
        <v>155</v>
      </c>
      <c r="D47" s="118"/>
      <c r="E47" s="118"/>
      <c r="F47" s="118"/>
      <c r="G47" s="118"/>
      <c r="H47" s="120" t="s">
        <v>151</v>
      </c>
      <c r="J47" s="8"/>
    </row>
    <row r="48" spans="1:10" x14ac:dyDescent="0.2">
      <c r="A48" s="118"/>
      <c r="B48" s="118"/>
      <c r="C48" s="119" t="s">
        <v>150</v>
      </c>
      <c r="D48" s="118"/>
      <c r="E48" s="118" t="s">
        <v>151</v>
      </c>
      <c r="F48" s="130" t="s">
        <v>153</v>
      </c>
      <c r="G48" s="127">
        <v>0</v>
      </c>
      <c r="H48" s="120" t="s">
        <v>151</v>
      </c>
      <c r="J48" s="8"/>
    </row>
    <row r="49" spans="1:10" x14ac:dyDescent="0.2">
      <c r="A49" s="118"/>
      <c r="B49" s="118"/>
      <c r="C49" s="128"/>
      <c r="D49" s="118"/>
      <c r="E49" s="118"/>
      <c r="F49" s="129"/>
      <c r="G49" s="129"/>
      <c r="H49" s="120" t="s">
        <v>151</v>
      </c>
      <c r="J49" s="8"/>
    </row>
    <row r="50" spans="1:10" x14ac:dyDescent="0.2">
      <c r="A50" s="118"/>
      <c r="B50" s="118"/>
      <c r="C50" s="119" t="s">
        <v>156</v>
      </c>
      <c r="D50" s="118"/>
      <c r="E50" s="118"/>
      <c r="F50" s="129"/>
      <c r="G50" s="129"/>
      <c r="H50" s="120" t="s">
        <v>151</v>
      </c>
      <c r="J50" s="8"/>
    </row>
    <row r="51" spans="1:10" x14ac:dyDescent="0.2">
      <c r="A51" s="118"/>
      <c r="B51" s="118"/>
      <c r="C51" s="119" t="s">
        <v>150</v>
      </c>
      <c r="D51" s="118"/>
      <c r="E51" s="118" t="s">
        <v>151</v>
      </c>
      <c r="F51" s="130" t="s">
        <v>153</v>
      </c>
      <c r="G51" s="127">
        <v>0</v>
      </c>
      <c r="H51" s="120" t="s">
        <v>151</v>
      </c>
      <c r="J51" s="8"/>
    </row>
    <row r="52" spans="1:10" x14ac:dyDescent="0.2">
      <c r="A52" s="118"/>
      <c r="B52" s="118"/>
      <c r="C52" s="128"/>
      <c r="D52" s="118"/>
      <c r="E52" s="118"/>
      <c r="F52" s="129"/>
      <c r="G52" s="129"/>
      <c r="H52" s="120" t="s">
        <v>151</v>
      </c>
      <c r="J52" s="8"/>
    </row>
    <row r="53" spans="1:10" x14ac:dyDescent="0.2">
      <c r="A53" s="118"/>
      <c r="B53" s="118"/>
      <c r="C53" s="119" t="s">
        <v>157</v>
      </c>
      <c r="D53" s="118"/>
      <c r="E53" s="118"/>
      <c r="F53" s="129"/>
      <c r="G53" s="129"/>
      <c r="H53" s="120" t="s">
        <v>151</v>
      </c>
      <c r="J53" s="8"/>
    </row>
    <row r="54" spans="1:10" x14ac:dyDescent="0.2">
      <c r="A54" s="118"/>
      <c r="B54" s="118"/>
      <c r="C54" s="119" t="s">
        <v>150</v>
      </c>
      <c r="D54" s="118"/>
      <c r="E54" s="118" t="s">
        <v>151</v>
      </c>
      <c r="F54" s="130" t="s">
        <v>153</v>
      </c>
      <c r="G54" s="127">
        <v>0</v>
      </c>
      <c r="H54" s="120" t="s">
        <v>151</v>
      </c>
      <c r="J54" s="8"/>
    </row>
    <row r="55" spans="1:10" x14ac:dyDescent="0.2">
      <c r="A55" s="118"/>
      <c r="B55" s="118"/>
      <c r="C55" s="128"/>
      <c r="D55" s="118"/>
      <c r="E55" s="118"/>
      <c r="F55" s="129"/>
      <c r="G55" s="129"/>
      <c r="H55" s="120" t="s">
        <v>151</v>
      </c>
      <c r="J55" s="8"/>
    </row>
    <row r="56" spans="1:10" x14ac:dyDescent="0.2">
      <c r="A56" s="118"/>
      <c r="B56" s="118"/>
      <c r="C56" s="119" t="s">
        <v>158</v>
      </c>
      <c r="D56" s="118"/>
      <c r="E56" s="118"/>
      <c r="F56" s="126">
        <v>1314.0518454999999</v>
      </c>
      <c r="G56" s="127">
        <v>0.96776010000000001</v>
      </c>
      <c r="H56" s="120" t="s">
        <v>151</v>
      </c>
      <c r="J56" s="8"/>
    </row>
    <row r="57" spans="1:10" x14ac:dyDescent="0.2">
      <c r="A57" s="118"/>
      <c r="B57" s="118"/>
      <c r="C57" s="128"/>
      <c r="D57" s="118"/>
      <c r="E57" s="118"/>
      <c r="F57" s="129"/>
      <c r="G57" s="129"/>
      <c r="H57" s="120" t="s">
        <v>151</v>
      </c>
      <c r="J57" s="8"/>
    </row>
    <row r="58" spans="1:10" x14ac:dyDescent="0.2">
      <c r="A58" s="118"/>
      <c r="B58" s="118"/>
      <c r="C58" s="119" t="s">
        <v>159</v>
      </c>
      <c r="D58" s="118"/>
      <c r="E58" s="118"/>
      <c r="F58" s="129"/>
      <c r="G58" s="129"/>
      <c r="H58" s="120" t="s">
        <v>151</v>
      </c>
      <c r="J58" s="8"/>
    </row>
    <row r="59" spans="1:10" ht="25.5" x14ac:dyDescent="0.2">
      <c r="A59" s="118"/>
      <c r="B59" s="118"/>
      <c r="C59" s="119" t="s">
        <v>10</v>
      </c>
      <c r="D59" s="118"/>
      <c r="E59" s="118"/>
      <c r="F59" s="129"/>
      <c r="G59" s="129"/>
      <c r="H59" s="120" t="s">
        <v>151</v>
      </c>
      <c r="J59" s="8"/>
    </row>
    <row r="60" spans="1:10" x14ac:dyDescent="0.2">
      <c r="A60" s="118"/>
      <c r="B60" s="118"/>
      <c r="C60" s="119" t="s">
        <v>150</v>
      </c>
      <c r="D60" s="118"/>
      <c r="E60" s="118" t="s">
        <v>151</v>
      </c>
      <c r="F60" s="130" t="s">
        <v>153</v>
      </c>
      <c r="G60" s="127">
        <v>0</v>
      </c>
      <c r="H60" s="120" t="s">
        <v>151</v>
      </c>
      <c r="J60" s="8"/>
    </row>
    <row r="61" spans="1:10" x14ac:dyDescent="0.2">
      <c r="A61" s="118"/>
      <c r="B61" s="118"/>
      <c r="C61" s="128"/>
      <c r="D61" s="118"/>
      <c r="E61" s="118"/>
      <c r="F61" s="129"/>
      <c r="G61" s="129"/>
      <c r="H61" s="120" t="s">
        <v>151</v>
      </c>
      <c r="J61" s="8"/>
    </row>
    <row r="62" spans="1:10" x14ac:dyDescent="0.2">
      <c r="A62" s="118"/>
      <c r="B62" s="118"/>
      <c r="C62" s="119" t="s">
        <v>160</v>
      </c>
      <c r="D62" s="118"/>
      <c r="E62" s="118"/>
      <c r="F62" s="118"/>
      <c r="G62" s="118"/>
      <c r="H62" s="120" t="s">
        <v>151</v>
      </c>
      <c r="J62" s="8"/>
    </row>
    <row r="63" spans="1:10" x14ac:dyDescent="0.2">
      <c r="A63" s="118"/>
      <c r="B63" s="118"/>
      <c r="C63" s="119" t="s">
        <v>150</v>
      </c>
      <c r="D63" s="118"/>
      <c r="E63" s="118" t="s">
        <v>151</v>
      </c>
      <c r="F63" s="130" t="s">
        <v>153</v>
      </c>
      <c r="G63" s="127">
        <v>0</v>
      </c>
      <c r="H63" s="120" t="s">
        <v>151</v>
      </c>
      <c r="J63" s="8"/>
    </row>
    <row r="64" spans="1:10" x14ac:dyDescent="0.2">
      <c r="A64" s="118"/>
      <c r="B64" s="118"/>
      <c r="C64" s="128"/>
      <c r="D64" s="118"/>
      <c r="E64" s="118"/>
      <c r="F64" s="129"/>
      <c r="G64" s="129"/>
      <c r="H64" s="120" t="s">
        <v>151</v>
      </c>
      <c r="J64" s="8"/>
    </row>
    <row r="65" spans="1:10" x14ac:dyDescent="0.2">
      <c r="A65" s="118"/>
      <c r="B65" s="118"/>
      <c r="C65" s="119" t="s">
        <v>161</v>
      </c>
      <c r="D65" s="118"/>
      <c r="E65" s="118"/>
      <c r="F65" s="118"/>
      <c r="G65" s="118"/>
      <c r="H65" s="120" t="s">
        <v>151</v>
      </c>
      <c r="J65" s="8"/>
    </row>
    <row r="66" spans="1:10" x14ac:dyDescent="0.2">
      <c r="A66" s="118"/>
      <c r="B66" s="118"/>
      <c r="C66" s="119" t="s">
        <v>150</v>
      </c>
      <c r="D66" s="118"/>
      <c r="E66" s="118" t="s">
        <v>151</v>
      </c>
      <c r="F66" s="130" t="s">
        <v>153</v>
      </c>
      <c r="G66" s="127">
        <v>0</v>
      </c>
      <c r="H66" s="120" t="s">
        <v>151</v>
      </c>
      <c r="J66" s="8"/>
    </row>
    <row r="67" spans="1:10" x14ac:dyDescent="0.2">
      <c r="A67" s="118"/>
      <c r="B67" s="118"/>
      <c r="C67" s="128"/>
      <c r="D67" s="118"/>
      <c r="E67" s="118"/>
      <c r="F67" s="129"/>
      <c r="G67" s="129"/>
      <c r="H67" s="120" t="s">
        <v>151</v>
      </c>
      <c r="J67" s="8"/>
    </row>
    <row r="68" spans="1:10" x14ac:dyDescent="0.2">
      <c r="A68" s="118"/>
      <c r="B68" s="118"/>
      <c r="C68" s="119" t="s">
        <v>162</v>
      </c>
      <c r="D68" s="118"/>
      <c r="E68" s="118"/>
      <c r="F68" s="129"/>
      <c r="G68" s="129"/>
      <c r="H68" s="120" t="s">
        <v>151</v>
      </c>
      <c r="J68" s="8"/>
    </row>
    <row r="69" spans="1:10" x14ac:dyDescent="0.2">
      <c r="A69" s="118"/>
      <c r="B69" s="118"/>
      <c r="C69" s="119" t="s">
        <v>150</v>
      </c>
      <c r="D69" s="118"/>
      <c r="E69" s="118" t="s">
        <v>151</v>
      </c>
      <c r="F69" s="130" t="s">
        <v>153</v>
      </c>
      <c r="G69" s="127">
        <v>0</v>
      </c>
      <c r="H69" s="120" t="s">
        <v>151</v>
      </c>
      <c r="J69" s="8"/>
    </row>
    <row r="70" spans="1:10" x14ac:dyDescent="0.2">
      <c r="A70" s="118"/>
      <c r="B70" s="118"/>
      <c r="C70" s="128"/>
      <c r="D70" s="118"/>
      <c r="E70" s="118"/>
      <c r="F70" s="129"/>
      <c r="G70" s="129"/>
      <c r="H70" s="120" t="s">
        <v>151</v>
      </c>
      <c r="J70" s="8"/>
    </row>
    <row r="71" spans="1:10" x14ac:dyDescent="0.2">
      <c r="A71" s="118"/>
      <c r="B71" s="118"/>
      <c r="C71" s="119" t="s">
        <v>163</v>
      </c>
      <c r="D71" s="118"/>
      <c r="E71" s="118"/>
      <c r="F71" s="126">
        <v>0</v>
      </c>
      <c r="G71" s="127">
        <v>0</v>
      </c>
      <c r="H71" s="120" t="s">
        <v>151</v>
      </c>
      <c r="J71" s="8"/>
    </row>
    <row r="72" spans="1:10" x14ac:dyDescent="0.2">
      <c r="A72" s="118"/>
      <c r="B72" s="118"/>
      <c r="C72" s="128"/>
      <c r="D72" s="118"/>
      <c r="E72" s="118"/>
      <c r="F72" s="129"/>
      <c r="G72" s="129"/>
      <c r="H72" s="120" t="s">
        <v>151</v>
      </c>
      <c r="J72" s="8"/>
    </row>
    <row r="73" spans="1:10" x14ac:dyDescent="0.2">
      <c r="A73" s="118"/>
      <c r="B73" s="118"/>
      <c r="C73" s="119" t="s">
        <v>164</v>
      </c>
      <c r="D73" s="118"/>
      <c r="E73" s="118"/>
      <c r="F73" s="129"/>
      <c r="G73" s="129"/>
      <c r="H73" s="120" t="s">
        <v>151</v>
      </c>
      <c r="J73" s="8"/>
    </row>
    <row r="74" spans="1:10" x14ac:dyDescent="0.2">
      <c r="A74" s="118"/>
      <c r="B74" s="118"/>
      <c r="C74" s="119" t="s">
        <v>165</v>
      </c>
      <c r="D74" s="118"/>
      <c r="E74" s="118"/>
      <c r="F74" s="129"/>
      <c r="G74" s="129"/>
      <c r="H74" s="120" t="s">
        <v>151</v>
      </c>
      <c r="J74" s="8"/>
    </row>
    <row r="75" spans="1:10" x14ac:dyDescent="0.2">
      <c r="A75" s="118"/>
      <c r="B75" s="118"/>
      <c r="C75" s="119" t="s">
        <v>150</v>
      </c>
      <c r="D75" s="118"/>
      <c r="E75" s="118" t="s">
        <v>151</v>
      </c>
      <c r="F75" s="130" t="s">
        <v>153</v>
      </c>
      <c r="G75" s="127">
        <v>0</v>
      </c>
      <c r="H75" s="120" t="s">
        <v>151</v>
      </c>
      <c r="J75" s="8"/>
    </row>
    <row r="76" spans="1:10" x14ac:dyDescent="0.2">
      <c r="A76" s="118"/>
      <c r="B76" s="118"/>
      <c r="C76" s="128"/>
      <c r="D76" s="118"/>
      <c r="E76" s="118"/>
      <c r="F76" s="129"/>
      <c r="G76" s="129"/>
      <c r="H76" s="120" t="s">
        <v>151</v>
      </c>
      <c r="J76" s="8"/>
    </row>
    <row r="77" spans="1:10" x14ac:dyDescent="0.2">
      <c r="A77" s="118"/>
      <c r="B77" s="118"/>
      <c r="C77" s="119" t="s">
        <v>166</v>
      </c>
      <c r="D77" s="118"/>
      <c r="E77" s="118"/>
      <c r="F77" s="129"/>
      <c r="G77" s="129"/>
      <c r="H77" s="120" t="s">
        <v>151</v>
      </c>
      <c r="J77" s="8"/>
    </row>
    <row r="78" spans="1:10" x14ac:dyDescent="0.2">
      <c r="A78" s="118"/>
      <c r="B78" s="118"/>
      <c r="C78" s="119" t="s">
        <v>150</v>
      </c>
      <c r="D78" s="118"/>
      <c r="E78" s="118" t="s">
        <v>151</v>
      </c>
      <c r="F78" s="130" t="s">
        <v>153</v>
      </c>
      <c r="G78" s="127">
        <v>0</v>
      </c>
      <c r="H78" s="120" t="s">
        <v>151</v>
      </c>
      <c r="J78" s="8"/>
    </row>
    <row r="79" spans="1:10" x14ac:dyDescent="0.2">
      <c r="A79" s="118"/>
      <c r="B79" s="118"/>
      <c r="C79" s="128"/>
      <c r="D79" s="118"/>
      <c r="E79" s="118"/>
      <c r="F79" s="129"/>
      <c r="G79" s="129"/>
      <c r="H79" s="120" t="s">
        <v>151</v>
      </c>
      <c r="J79" s="8"/>
    </row>
    <row r="80" spans="1:10" x14ac:dyDescent="0.2">
      <c r="A80" s="118"/>
      <c r="B80" s="118"/>
      <c r="C80" s="119" t="s">
        <v>167</v>
      </c>
      <c r="D80" s="118"/>
      <c r="E80" s="118"/>
      <c r="F80" s="129"/>
      <c r="G80" s="129"/>
      <c r="H80" s="120" t="s">
        <v>151</v>
      </c>
      <c r="J80" s="8"/>
    </row>
    <row r="81" spans="1:10" x14ac:dyDescent="0.2">
      <c r="A81" s="118"/>
      <c r="B81" s="118"/>
      <c r="C81" s="119" t="s">
        <v>150</v>
      </c>
      <c r="D81" s="118"/>
      <c r="E81" s="118" t="s">
        <v>151</v>
      </c>
      <c r="F81" s="130" t="s">
        <v>153</v>
      </c>
      <c r="G81" s="127">
        <v>0</v>
      </c>
      <c r="H81" s="120" t="s">
        <v>151</v>
      </c>
      <c r="J81" s="8"/>
    </row>
    <row r="82" spans="1:10" x14ac:dyDescent="0.2">
      <c r="A82" s="118"/>
      <c r="B82" s="118"/>
      <c r="C82" s="128"/>
      <c r="D82" s="118"/>
      <c r="E82" s="118"/>
      <c r="F82" s="129"/>
      <c r="G82" s="129"/>
      <c r="H82" s="120" t="s">
        <v>151</v>
      </c>
      <c r="J82" s="8"/>
    </row>
    <row r="83" spans="1:10" x14ac:dyDescent="0.2">
      <c r="A83" s="118"/>
      <c r="B83" s="118"/>
      <c r="C83" s="119" t="s">
        <v>168</v>
      </c>
      <c r="D83" s="118"/>
      <c r="E83" s="118"/>
      <c r="F83" s="129"/>
      <c r="G83" s="129"/>
      <c r="H83" s="120" t="s">
        <v>151</v>
      </c>
      <c r="J83" s="8"/>
    </row>
    <row r="84" spans="1:10" x14ac:dyDescent="0.2">
      <c r="A84" s="121">
        <v>1</v>
      </c>
      <c r="B84" s="122"/>
      <c r="C84" s="122" t="s">
        <v>169</v>
      </c>
      <c r="D84" s="122"/>
      <c r="E84" s="131"/>
      <c r="F84" s="124">
        <v>42.939498999999998</v>
      </c>
      <c r="G84" s="125">
        <v>3.1623659999999998E-2</v>
      </c>
      <c r="H84" s="120">
        <v>6.61</v>
      </c>
      <c r="J84" s="8"/>
    </row>
    <row r="85" spans="1:10" x14ac:dyDescent="0.2">
      <c r="A85" s="118"/>
      <c r="B85" s="118"/>
      <c r="C85" s="119" t="s">
        <v>150</v>
      </c>
      <c r="D85" s="118"/>
      <c r="E85" s="118" t="s">
        <v>151</v>
      </c>
      <c r="F85" s="126">
        <v>42.939498999999998</v>
      </c>
      <c r="G85" s="127">
        <v>3.1623659999999998E-2</v>
      </c>
      <c r="H85" s="120" t="s">
        <v>151</v>
      </c>
      <c r="J85" s="8"/>
    </row>
    <row r="86" spans="1:10" x14ac:dyDescent="0.2">
      <c r="A86" s="118"/>
      <c r="B86" s="118"/>
      <c r="C86" s="128"/>
      <c r="D86" s="118"/>
      <c r="E86" s="118"/>
      <c r="F86" s="129"/>
      <c r="G86" s="129"/>
      <c r="H86" s="120" t="s">
        <v>151</v>
      </c>
      <c r="J86" s="8"/>
    </row>
    <row r="87" spans="1:10" x14ac:dyDescent="0.2">
      <c r="A87" s="118"/>
      <c r="B87" s="118"/>
      <c r="C87" s="119" t="s">
        <v>170</v>
      </c>
      <c r="D87" s="118"/>
      <c r="E87" s="118"/>
      <c r="F87" s="126">
        <v>42.939498999999998</v>
      </c>
      <c r="G87" s="127">
        <v>3.1623659999999998E-2</v>
      </c>
      <c r="H87" s="120" t="s">
        <v>151</v>
      </c>
      <c r="J87" s="8"/>
    </row>
    <row r="88" spans="1:10" x14ac:dyDescent="0.2">
      <c r="A88" s="118"/>
      <c r="B88" s="118"/>
      <c r="C88" s="129"/>
      <c r="D88" s="118"/>
      <c r="E88" s="118"/>
      <c r="F88" s="118"/>
      <c r="G88" s="118"/>
      <c r="H88" s="120" t="s">
        <v>151</v>
      </c>
      <c r="J88" s="8"/>
    </row>
    <row r="89" spans="1:10" x14ac:dyDescent="0.2">
      <c r="A89" s="118"/>
      <c r="B89" s="118"/>
      <c r="C89" s="119" t="s">
        <v>171</v>
      </c>
      <c r="D89" s="118"/>
      <c r="E89" s="118"/>
      <c r="F89" s="118"/>
      <c r="G89" s="118"/>
      <c r="H89" s="120" t="s">
        <v>151</v>
      </c>
      <c r="J89" s="8"/>
    </row>
    <row r="90" spans="1:10" x14ac:dyDescent="0.2">
      <c r="A90" s="118"/>
      <c r="B90" s="118"/>
      <c r="C90" s="119" t="s">
        <v>172</v>
      </c>
      <c r="D90" s="118"/>
      <c r="E90" s="118"/>
      <c r="F90" s="118"/>
      <c r="G90" s="118"/>
      <c r="H90" s="120" t="s">
        <v>151</v>
      </c>
      <c r="J90" s="8"/>
    </row>
    <row r="91" spans="1:10" x14ac:dyDescent="0.2">
      <c r="A91" s="118"/>
      <c r="B91" s="118"/>
      <c r="C91" s="119" t="s">
        <v>150</v>
      </c>
      <c r="D91" s="118"/>
      <c r="E91" s="118" t="s">
        <v>151</v>
      </c>
      <c r="F91" s="130" t="s">
        <v>153</v>
      </c>
      <c r="G91" s="127">
        <v>0</v>
      </c>
      <c r="H91" s="120" t="s">
        <v>151</v>
      </c>
      <c r="J91" s="8"/>
    </row>
    <row r="92" spans="1:10" x14ac:dyDescent="0.2">
      <c r="A92" s="118"/>
      <c r="B92" s="118"/>
      <c r="C92" s="128"/>
      <c r="D92" s="118"/>
      <c r="E92" s="118"/>
      <c r="F92" s="129"/>
      <c r="G92" s="129"/>
      <c r="H92" s="120" t="s">
        <v>151</v>
      </c>
      <c r="J92" s="8"/>
    </row>
    <row r="93" spans="1:10" x14ac:dyDescent="0.2">
      <c r="A93" s="118"/>
      <c r="B93" s="118"/>
      <c r="C93" s="119" t="s">
        <v>175</v>
      </c>
      <c r="D93" s="118"/>
      <c r="E93" s="118"/>
      <c r="F93" s="118"/>
      <c r="G93" s="118"/>
      <c r="H93" s="120" t="s">
        <v>151</v>
      </c>
      <c r="J93" s="8"/>
    </row>
    <row r="94" spans="1:10" x14ac:dyDescent="0.2">
      <c r="A94" s="118"/>
      <c r="B94" s="118"/>
      <c r="C94" s="119" t="s">
        <v>176</v>
      </c>
      <c r="D94" s="118"/>
      <c r="E94" s="118"/>
      <c r="F94" s="118"/>
      <c r="G94" s="118"/>
      <c r="H94" s="120" t="s">
        <v>151</v>
      </c>
      <c r="J94" s="8"/>
    </row>
    <row r="95" spans="1:10" x14ac:dyDescent="0.2">
      <c r="A95" s="118"/>
      <c r="B95" s="118"/>
      <c r="C95" s="119" t="s">
        <v>150</v>
      </c>
      <c r="D95" s="118"/>
      <c r="E95" s="118" t="s">
        <v>151</v>
      </c>
      <c r="F95" s="130" t="s">
        <v>153</v>
      </c>
      <c r="G95" s="127">
        <v>0</v>
      </c>
      <c r="H95" s="120" t="s">
        <v>151</v>
      </c>
      <c r="J95" s="8"/>
    </row>
    <row r="96" spans="1:10" x14ac:dyDescent="0.2">
      <c r="A96" s="118"/>
      <c r="B96" s="118"/>
      <c r="C96" s="128"/>
      <c r="D96" s="118"/>
      <c r="E96" s="118"/>
      <c r="F96" s="129"/>
      <c r="G96" s="129"/>
      <c r="H96" s="120" t="s">
        <v>151</v>
      </c>
      <c r="J96" s="8"/>
    </row>
    <row r="97" spans="1:17" ht="25.5" x14ac:dyDescent="0.2">
      <c r="A97" s="118"/>
      <c r="B97" s="118"/>
      <c r="C97" s="119" t="s">
        <v>177</v>
      </c>
      <c r="D97" s="118"/>
      <c r="E97" s="118"/>
      <c r="F97" s="129"/>
      <c r="G97" s="129"/>
      <c r="H97" s="120" t="s">
        <v>151</v>
      </c>
      <c r="J97" s="8"/>
    </row>
    <row r="98" spans="1:17" x14ac:dyDescent="0.2">
      <c r="A98" s="118"/>
      <c r="B98" s="118"/>
      <c r="C98" s="119" t="s">
        <v>150</v>
      </c>
      <c r="D98" s="118"/>
      <c r="E98" s="118" t="s">
        <v>151</v>
      </c>
      <c r="F98" s="130" t="s">
        <v>153</v>
      </c>
      <c r="G98" s="127">
        <v>0</v>
      </c>
      <c r="H98" s="120" t="s">
        <v>151</v>
      </c>
      <c r="J98" s="8"/>
    </row>
    <row r="99" spans="1:17" x14ac:dyDescent="0.2">
      <c r="A99" s="118"/>
      <c r="B99" s="118"/>
      <c r="C99" s="128"/>
      <c r="D99" s="118"/>
      <c r="E99" s="118"/>
      <c r="F99" s="129"/>
      <c r="G99" s="129"/>
      <c r="H99" s="120" t="s">
        <v>151</v>
      </c>
      <c r="J99" s="8"/>
    </row>
    <row r="100" spans="1:17" x14ac:dyDescent="0.2">
      <c r="A100" s="131"/>
      <c r="B100" s="122"/>
      <c r="C100" s="122" t="s">
        <v>178</v>
      </c>
      <c r="D100" s="122"/>
      <c r="E100" s="131"/>
      <c r="F100" s="124">
        <v>0.83679530999999996</v>
      </c>
      <c r="G100" s="125">
        <v>6.1627999999999997E-4</v>
      </c>
      <c r="H100" s="120" t="s">
        <v>151</v>
      </c>
      <c r="J100" s="8"/>
    </row>
    <row r="101" spans="1:17" x14ac:dyDescent="0.2">
      <c r="A101" s="128"/>
      <c r="B101" s="128"/>
      <c r="C101" s="119" t="s">
        <v>179</v>
      </c>
      <c r="D101" s="129"/>
      <c r="E101" s="129"/>
      <c r="F101" s="126">
        <v>1357.82813981</v>
      </c>
      <c r="G101" s="133">
        <v>1.00000004</v>
      </c>
      <c r="H101" s="120" t="s">
        <v>151</v>
      </c>
      <c r="J101" s="8"/>
    </row>
    <row r="102" spans="1:17" x14ac:dyDescent="0.2">
      <c r="A102" s="134"/>
      <c r="B102" s="134"/>
      <c r="C102" s="134"/>
      <c r="D102" s="135"/>
      <c r="E102" s="135"/>
      <c r="F102" s="135"/>
      <c r="G102" s="135"/>
      <c r="J102" s="8"/>
    </row>
    <row r="103" spans="1:17" x14ac:dyDescent="0.2">
      <c r="A103" s="136"/>
      <c r="B103" s="137" t="s">
        <v>888</v>
      </c>
      <c r="C103" s="137"/>
      <c r="D103" s="137"/>
      <c r="E103" s="137"/>
      <c r="F103" s="137"/>
      <c r="G103" s="137"/>
      <c r="H103" s="137"/>
      <c r="J103" s="8"/>
    </row>
    <row r="104" spans="1:17" x14ac:dyDescent="0.2">
      <c r="A104" s="136"/>
      <c r="B104" s="137" t="s">
        <v>889</v>
      </c>
      <c r="C104" s="137"/>
      <c r="D104" s="137"/>
      <c r="E104" s="137"/>
      <c r="F104" s="137"/>
      <c r="G104" s="137"/>
      <c r="H104" s="137"/>
      <c r="J104" s="8"/>
    </row>
    <row r="105" spans="1:17" x14ac:dyDescent="0.2">
      <c r="A105" s="136"/>
      <c r="B105" s="137" t="s">
        <v>890</v>
      </c>
      <c r="C105" s="137"/>
      <c r="D105" s="137"/>
      <c r="E105" s="137"/>
      <c r="F105" s="137"/>
      <c r="G105" s="137"/>
      <c r="H105" s="137"/>
      <c r="J105" s="8"/>
    </row>
    <row r="106" spans="1:17" s="13" customFormat="1" ht="68.25" customHeight="1" x14ac:dyDescent="0.25">
      <c r="A106" s="138"/>
      <c r="B106" s="139" t="s">
        <v>891</v>
      </c>
      <c r="C106" s="139"/>
      <c r="D106" s="139"/>
      <c r="E106" s="139"/>
      <c r="F106" s="139"/>
      <c r="G106" s="139"/>
      <c r="H106" s="139"/>
      <c r="I106" s="114"/>
      <c r="J106" s="8"/>
      <c r="K106"/>
      <c r="L106"/>
      <c r="M106"/>
      <c r="N106"/>
      <c r="O106"/>
      <c r="P106"/>
      <c r="Q106"/>
    </row>
    <row r="107" spans="1:17" x14ac:dyDescent="0.2">
      <c r="A107" s="136"/>
      <c r="B107" s="137" t="s">
        <v>892</v>
      </c>
      <c r="C107" s="137"/>
      <c r="D107" s="137"/>
      <c r="E107" s="137"/>
      <c r="F107" s="137"/>
      <c r="G107" s="137"/>
      <c r="H107" s="137"/>
      <c r="J107" s="8"/>
    </row>
    <row r="108" spans="1:17" x14ac:dyDescent="0.2">
      <c r="A108" s="140"/>
      <c r="B108" s="204" t="s">
        <v>151</v>
      </c>
      <c r="C108" s="204"/>
      <c r="D108" s="204"/>
      <c r="E108" s="204"/>
      <c r="F108" s="204"/>
      <c r="G108" s="141"/>
      <c r="J108" s="8"/>
    </row>
    <row r="109" spans="1:17" x14ac:dyDescent="0.2">
      <c r="A109" s="140"/>
      <c r="B109" s="140"/>
      <c r="C109" s="140"/>
      <c r="D109" s="141"/>
      <c r="E109" s="141"/>
      <c r="F109" s="141"/>
      <c r="G109" s="141"/>
      <c r="J109" s="8"/>
    </row>
    <row r="110" spans="1:17" x14ac:dyDescent="0.2">
      <c r="A110" s="140"/>
      <c r="B110" s="142" t="s">
        <v>180</v>
      </c>
      <c r="C110" s="143"/>
      <c r="D110" s="144"/>
      <c r="E110" s="145"/>
      <c r="F110" s="141"/>
      <c r="G110" s="141"/>
      <c r="J110" s="8"/>
    </row>
    <row r="111" spans="1:17" x14ac:dyDescent="0.2">
      <c r="A111" s="140"/>
      <c r="B111" s="146" t="s">
        <v>181</v>
      </c>
      <c r="C111" s="147"/>
      <c r="D111" s="119" t="s">
        <v>182</v>
      </c>
      <c r="E111" s="145"/>
      <c r="F111" s="141"/>
      <c r="G111" s="141"/>
      <c r="J111" s="8"/>
    </row>
    <row r="112" spans="1:17" x14ac:dyDescent="0.2">
      <c r="A112" s="140"/>
      <c r="B112" s="146" t="s">
        <v>183</v>
      </c>
      <c r="C112" s="147"/>
      <c r="D112" s="119" t="s">
        <v>182</v>
      </c>
      <c r="E112" s="145"/>
      <c r="F112" s="141"/>
      <c r="G112" s="141"/>
      <c r="J112" s="8"/>
    </row>
    <row r="113" spans="1:10" x14ac:dyDescent="0.2">
      <c r="A113" s="140"/>
      <c r="B113" s="146" t="s">
        <v>184</v>
      </c>
      <c r="C113" s="147"/>
      <c r="D113" s="129" t="s">
        <v>151</v>
      </c>
      <c r="E113" s="145"/>
      <c r="F113" s="141"/>
      <c r="G113" s="141"/>
      <c r="J113" s="8"/>
    </row>
    <row r="114" spans="1:10" x14ac:dyDescent="0.2">
      <c r="A114" s="151"/>
      <c r="B114" s="152" t="s">
        <v>151</v>
      </c>
      <c r="C114" s="152" t="s">
        <v>894</v>
      </c>
      <c r="D114" s="152" t="s">
        <v>185</v>
      </c>
      <c r="E114" s="151"/>
      <c r="F114" s="151"/>
      <c r="G114" s="151"/>
      <c r="H114" s="151"/>
      <c r="J114" s="8"/>
    </row>
    <row r="115" spans="1:10" x14ac:dyDescent="0.2">
      <c r="A115" s="153"/>
      <c r="B115" s="154" t="s">
        <v>186</v>
      </c>
      <c r="C115" s="155">
        <v>45535</v>
      </c>
      <c r="D115" s="155">
        <v>45565</v>
      </c>
      <c r="E115" s="153"/>
      <c r="F115" s="153"/>
      <c r="G115" s="153"/>
      <c r="J115" s="8"/>
    </row>
    <row r="116" spans="1:10" x14ac:dyDescent="0.2">
      <c r="A116" s="153"/>
      <c r="B116" s="122" t="s">
        <v>187</v>
      </c>
      <c r="C116" s="156">
        <v>37.140900000000002</v>
      </c>
      <c r="D116" s="156">
        <v>37.464799999999997</v>
      </c>
      <c r="E116" s="153"/>
      <c r="F116" s="157"/>
      <c r="G116" s="158"/>
      <c r="J116" s="8"/>
    </row>
    <row r="117" spans="1:10" x14ac:dyDescent="0.2">
      <c r="A117" s="153"/>
      <c r="B117" s="122" t="s">
        <v>1038</v>
      </c>
      <c r="C117" s="156">
        <v>28.694600000000001</v>
      </c>
      <c r="D117" s="156">
        <v>28.944900000000001</v>
      </c>
      <c r="E117" s="153"/>
      <c r="F117" s="157"/>
      <c r="G117" s="158"/>
      <c r="J117" s="8"/>
    </row>
    <row r="118" spans="1:10" x14ac:dyDescent="0.2">
      <c r="A118" s="153"/>
      <c r="B118" s="122" t="s">
        <v>188</v>
      </c>
      <c r="C118" s="156">
        <v>36.092199999999998</v>
      </c>
      <c r="D118" s="156">
        <v>36.400700000000001</v>
      </c>
      <c r="E118" s="153"/>
      <c r="F118" s="157"/>
      <c r="G118" s="158"/>
      <c r="J118" s="8"/>
    </row>
    <row r="119" spans="1:10" x14ac:dyDescent="0.2">
      <c r="A119" s="153"/>
      <c r="B119" s="122" t="s">
        <v>1039</v>
      </c>
      <c r="C119" s="156">
        <v>27.7348</v>
      </c>
      <c r="D119" s="156">
        <v>27.971900000000002</v>
      </c>
      <c r="E119" s="153"/>
      <c r="F119" s="157"/>
      <c r="G119" s="158"/>
      <c r="J119" s="8"/>
    </row>
    <row r="120" spans="1:10" x14ac:dyDescent="0.2">
      <c r="A120" s="153"/>
      <c r="B120" s="153"/>
      <c r="C120" s="153"/>
      <c r="D120" s="153"/>
      <c r="E120" s="153"/>
      <c r="F120" s="153"/>
      <c r="G120" s="153"/>
      <c r="J120" s="8"/>
    </row>
    <row r="121" spans="1:10" x14ac:dyDescent="0.2">
      <c r="A121" s="151"/>
      <c r="B121" s="148" t="s">
        <v>895</v>
      </c>
      <c r="C121" s="149"/>
      <c r="D121" s="150" t="s">
        <v>182</v>
      </c>
      <c r="E121" s="151"/>
      <c r="F121" s="151"/>
      <c r="G121" s="151"/>
      <c r="J121" s="8"/>
    </row>
    <row r="122" spans="1:10" x14ac:dyDescent="0.2">
      <c r="A122" s="151"/>
      <c r="B122" s="201"/>
      <c r="C122" s="201"/>
      <c r="D122" s="201"/>
      <c r="E122" s="151"/>
      <c r="F122" s="151"/>
      <c r="G122" s="151"/>
      <c r="J122" s="8"/>
    </row>
    <row r="123" spans="1:10" x14ac:dyDescent="0.2">
      <c r="A123" s="151"/>
      <c r="B123" s="148" t="s">
        <v>189</v>
      </c>
      <c r="C123" s="149"/>
      <c r="D123" s="150" t="s">
        <v>182</v>
      </c>
      <c r="E123" s="160"/>
      <c r="F123" s="151"/>
      <c r="G123" s="151"/>
      <c r="J123" s="8"/>
    </row>
    <row r="124" spans="1:10" x14ac:dyDescent="0.2">
      <c r="A124" s="151"/>
      <c r="B124" s="148" t="s">
        <v>190</v>
      </c>
      <c r="C124" s="149"/>
      <c r="D124" s="150" t="s">
        <v>182</v>
      </c>
      <c r="E124" s="160"/>
      <c r="F124" s="151"/>
      <c r="G124" s="151"/>
    </row>
    <row r="125" spans="1:10" x14ac:dyDescent="0.2">
      <c r="A125" s="151"/>
      <c r="B125" s="148" t="s">
        <v>191</v>
      </c>
      <c r="C125" s="149"/>
      <c r="D125" s="150" t="s">
        <v>182</v>
      </c>
      <c r="E125" s="160"/>
      <c r="F125" s="151"/>
      <c r="G125" s="151"/>
    </row>
    <row r="126" spans="1:10" x14ac:dyDescent="0.2">
      <c r="A126" s="151"/>
      <c r="B126" s="148" t="s">
        <v>192</v>
      </c>
      <c r="C126" s="149"/>
      <c r="D126" s="161">
        <v>4.0197535001238321E-2</v>
      </c>
      <c r="E126" s="151"/>
      <c r="F126" s="159"/>
      <c r="G126" s="162"/>
    </row>
  </sheetData>
  <mergeCells count="18">
    <mergeCell ref="B112:C112"/>
    <mergeCell ref="B113:C113"/>
    <mergeCell ref="B121:C121"/>
    <mergeCell ref="B125:C125"/>
    <mergeCell ref="B126:C126"/>
    <mergeCell ref="B123:C123"/>
    <mergeCell ref="B124:C124"/>
    <mergeCell ref="B111:C111"/>
    <mergeCell ref="A1:H1"/>
    <mergeCell ref="A2:H2"/>
    <mergeCell ref="A3:H3"/>
    <mergeCell ref="B103:H103"/>
    <mergeCell ref="B104:H104"/>
    <mergeCell ref="B105:H105"/>
    <mergeCell ref="B106:H106"/>
    <mergeCell ref="B107:H107"/>
    <mergeCell ref="B108:F108"/>
    <mergeCell ref="B110:D110"/>
  </mergeCells>
  <hyperlinks>
    <hyperlink ref="I1" location="Index!B2" display="Index" xr:uid="{A33F734C-A664-409B-BA28-483A478F0FD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DE4A3-B8CD-4DF8-A5EA-BBB998A52EF6}">
  <sheetPr>
    <outlinePr summaryBelow="0" summaryRight="0"/>
  </sheetPr>
  <dimension ref="A1:Q131"/>
  <sheetViews>
    <sheetView showGridLines="0" workbookViewId="0">
      <selection activeCell="A2" sqref="A2:H2"/>
    </sheetView>
  </sheetViews>
  <sheetFormatPr defaultRowHeight="12.75" x14ac:dyDescent="0.2"/>
  <cols>
    <col min="1" max="1" width="5.85546875" style="114" bestFit="1" customWidth="1"/>
    <col min="2" max="2" width="19.7109375" style="114" bestFit="1" customWidth="1"/>
    <col min="3" max="3" width="34.5703125" style="114" bestFit="1" customWidth="1"/>
    <col min="4" max="4" width="17.570312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205" t="s">
        <v>481</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ht="25.5" x14ac:dyDescent="0.2">
      <c r="A6" s="118"/>
      <c r="B6" s="118"/>
      <c r="C6" s="119" t="s">
        <v>10</v>
      </c>
      <c r="D6" s="118"/>
      <c r="E6" s="118"/>
      <c r="F6" s="118"/>
      <c r="G6" s="118"/>
      <c r="H6" s="120" t="s">
        <v>151</v>
      </c>
      <c r="J6" s="8"/>
    </row>
    <row r="7" spans="1:10" x14ac:dyDescent="0.2">
      <c r="A7" s="121">
        <v>1</v>
      </c>
      <c r="B7" s="122" t="s">
        <v>362</v>
      </c>
      <c r="C7" s="122" t="s">
        <v>363</v>
      </c>
      <c r="D7" s="122" t="s">
        <v>241</v>
      </c>
      <c r="E7" s="123">
        <v>4337</v>
      </c>
      <c r="F7" s="124">
        <v>245.487211</v>
      </c>
      <c r="G7" s="125">
        <v>6.057949E-2</v>
      </c>
      <c r="H7" s="120" t="s">
        <v>151</v>
      </c>
      <c r="J7" s="8"/>
    </row>
    <row r="8" spans="1:10" x14ac:dyDescent="0.2">
      <c r="A8" s="121">
        <v>2</v>
      </c>
      <c r="B8" s="122" t="s">
        <v>407</v>
      </c>
      <c r="C8" s="122" t="s">
        <v>408</v>
      </c>
      <c r="D8" s="122" t="s">
        <v>35</v>
      </c>
      <c r="E8" s="123">
        <v>9824</v>
      </c>
      <c r="F8" s="124">
        <v>230.967152</v>
      </c>
      <c r="G8" s="125">
        <v>5.699634E-2</v>
      </c>
      <c r="H8" s="120" t="s">
        <v>151</v>
      </c>
      <c r="J8" s="8"/>
    </row>
    <row r="9" spans="1:10" x14ac:dyDescent="0.2">
      <c r="A9" s="121">
        <v>3</v>
      </c>
      <c r="B9" s="122" t="s">
        <v>145</v>
      </c>
      <c r="C9" s="122" t="s">
        <v>146</v>
      </c>
      <c r="D9" s="122" t="s">
        <v>35</v>
      </c>
      <c r="E9" s="123">
        <v>47004</v>
      </c>
      <c r="F9" s="124">
        <v>182.469528</v>
      </c>
      <c r="G9" s="125">
        <v>4.5028459999999999E-2</v>
      </c>
      <c r="H9" s="120" t="s">
        <v>151</v>
      </c>
      <c r="J9" s="8"/>
    </row>
    <row r="10" spans="1:10" x14ac:dyDescent="0.2">
      <c r="A10" s="121">
        <v>4</v>
      </c>
      <c r="B10" s="122" t="s">
        <v>43</v>
      </c>
      <c r="C10" s="122" t="s">
        <v>44</v>
      </c>
      <c r="D10" s="122" t="s">
        <v>45</v>
      </c>
      <c r="E10" s="123">
        <v>12622</v>
      </c>
      <c r="F10" s="124">
        <v>178.860051</v>
      </c>
      <c r="G10" s="125">
        <v>4.4137740000000002E-2</v>
      </c>
      <c r="H10" s="120" t="s">
        <v>151</v>
      </c>
      <c r="J10" s="8"/>
    </row>
    <row r="11" spans="1:10" x14ac:dyDescent="0.2">
      <c r="A11" s="121">
        <v>5</v>
      </c>
      <c r="B11" s="122" t="s">
        <v>409</v>
      </c>
      <c r="C11" s="122" t="s">
        <v>410</v>
      </c>
      <c r="D11" s="122" t="s">
        <v>238</v>
      </c>
      <c r="E11" s="123">
        <v>48585</v>
      </c>
      <c r="F11" s="124">
        <v>173.52132750000001</v>
      </c>
      <c r="G11" s="125">
        <v>4.2820289999999997E-2</v>
      </c>
      <c r="H11" s="120" t="s">
        <v>151</v>
      </c>
      <c r="J11" s="8"/>
    </row>
    <row r="12" spans="1:10" ht="15" x14ac:dyDescent="0.2">
      <c r="A12" s="121">
        <v>6</v>
      </c>
      <c r="B12" s="122" t="s">
        <v>432</v>
      </c>
      <c r="C12" s="122" t="s">
        <v>433</v>
      </c>
      <c r="D12" s="122" t="s">
        <v>241</v>
      </c>
      <c r="E12" s="123">
        <v>6306</v>
      </c>
      <c r="F12" s="124">
        <v>161.54080200000001</v>
      </c>
      <c r="G12" s="125">
        <v>3.9863830000000003E-2</v>
      </c>
      <c r="H12" s="120" t="s">
        <v>151</v>
      </c>
      <c r="J12" s="11"/>
    </row>
    <row r="13" spans="1:10" x14ac:dyDescent="0.2">
      <c r="A13" s="121">
        <v>7</v>
      </c>
      <c r="B13" s="122" t="s">
        <v>39</v>
      </c>
      <c r="C13" s="122" t="s">
        <v>40</v>
      </c>
      <c r="D13" s="122" t="s">
        <v>32</v>
      </c>
      <c r="E13" s="123">
        <v>16174</v>
      </c>
      <c r="F13" s="124">
        <v>145.45278200000001</v>
      </c>
      <c r="G13" s="125">
        <v>3.5893750000000002E-2</v>
      </c>
      <c r="H13" s="120" t="s">
        <v>151</v>
      </c>
      <c r="J13" s="8"/>
    </row>
    <row r="14" spans="1:10" x14ac:dyDescent="0.2">
      <c r="A14" s="121">
        <v>8</v>
      </c>
      <c r="B14" s="122" t="s">
        <v>413</v>
      </c>
      <c r="C14" s="122" t="s">
        <v>414</v>
      </c>
      <c r="D14" s="122" t="s">
        <v>48</v>
      </c>
      <c r="E14" s="123">
        <v>187038</v>
      </c>
      <c r="F14" s="124">
        <v>144.4120398</v>
      </c>
      <c r="G14" s="125">
        <v>3.5636920000000002E-2</v>
      </c>
      <c r="H14" s="120" t="s">
        <v>151</v>
      </c>
      <c r="J14" s="8" t="s">
        <v>898</v>
      </c>
    </row>
    <row r="15" spans="1:10" x14ac:dyDescent="0.2">
      <c r="A15" s="121">
        <v>9</v>
      </c>
      <c r="B15" s="122" t="s">
        <v>393</v>
      </c>
      <c r="C15" s="122" t="s">
        <v>394</v>
      </c>
      <c r="D15" s="122" t="s">
        <v>395</v>
      </c>
      <c r="E15" s="123">
        <v>9043</v>
      </c>
      <c r="F15" s="124">
        <v>143.63901200000001</v>
      </c>
      <c r="G15" s="125">
        <v>3.5446159999999997E-2</v>
      </c>
      <c r="H15" s="120" t="s">
        <v>151</v>
      </c>
      <c r="J15" s="8"/>
    </row>
    <row r="16" spans="1:10" x14ac:dyDescent="0.2">
      <c r="A16" s="121">
        <v>10</v>
      </c>
      <c r="B16" s="122" t="s">
        <v>411</v>
      </c>
      <c r="C16" s="122" t="s">
        <v>412</v>
      </c>
      <c r="D16" s="122" t="s">
        <v>211</v>
      </c>
      <c r="E16" s="123">
        <v>33900</v>
      </c>
      <c r="F16" s="124">
        <v>140.71889999999999</v>
      </c>
      <c r="G16" s="125">
        <v>3.4725560000000003E-2</v>
      </c>
      <c r="H16" s="120" t="s">
        <v>151</v>
      </c>
      <c r="J16" s="8"/>
    </row>
    <row r="17" spans="1:10" x14ac:dyDescent="0.2">
      <c r="A17" s="121">
        <v>11</v>
      </c>
      <c r="B17" s="122" t="s">
        <v>89</v>
      </c>
      <c r="C17" s="122" t="s">
        <v>90</v>
      </c>
      <c r="D17" s="122" t="s">
        <v>32</v>
      </c>
      <c r="E17" s="123">
        <v>2964</v>
      </c>
      <c r="F17" s="124">
        <v>127.371972</v>
      </c>
      <c r="G17" s="125">
        <v>3.1431899999999999E-2</v>
      </c>
      <c r="H17" s="120" t="s">
        <v>151</v>
      </c>
      <c r="J17" s="8"/>
    </row>
    <row r="18" spans="1:10" ht="25.5" x14ac:dyDescent="0.2">
      <c r="A18" s="121">
        <v>12</v>
      </c>
      <c r="B18" s="122" t="s">
        <v>324</v>
      </c>
      <c r="C18" s="122" t="s">
        <v>325</v>
      </c>
      <c r="D18" s="122" t="s">
        <v>258</v>
      </c>
      <c r="E18" s="123">
        <v>3525</v>
      </c>
      <c r="F18" s="124">
        <v>121.3075875</v>
      </c>
      <c r="G18" s="125">
        <v>2.9935380000000001E-2</v>
      </c>
      <c r="H18" s="120" t="s">
        <v>151</v>
      </c>
      <c r="J18" s="8"/>
    </row>
    <row r="19" spans="1:10" x14ac:dyDescent="0.2">
      <c r="A19" s="121">
        <v>13</v>
      </c>
      <c r="B19" s="122" t="s">
        <v>420</v>
      </c>
      <c r="C19" s="122" t="s">
        <v>421</v>
      </c>
      <c r="D19" s="122" t="s">
        <v>48</v>
      </c>
      <c r="E19" s="123">
        <v>290098</v>
      </c>
      <c r="F19" s="124">
        <v>117.2866214</v>
      </c>
      <c r="G19" s="125">
        <v>2.8943110000000001E-2</v>
      </c>
      <c r="H19" s="120" t="s">
        <v>151</v>
      </c>
      <c r="J19" s="8"/>
    </row>
    <row r="20" spans="1:10" ht="25.5" x14ac:dyDescent="0.2">
      <c r="A20" s="121">
        <v>14</v>
      </c>
      <c r="B20" s="122" t="s">
        <v>77</v>
      </c>
      <c r="C20" s="122" t="s">
        <v>78</v>
      </c>
      <c r="D20" s="122" t="s">
        <v>25</v>
      </c>
      <c r="E20" s="123">
        <v>2480</v>
      </c>
      <c r="F20" s="124">
        <v>115.15384</v>
      </c>
      <c r="G20" s="125">
        <v>2.8416799999999999E-2</v>
      </c>
      <c r="H20" s="120" t="s">
        <v>151</v>
      </c>
      <c r="J20" s="8"/>
    </row>
    <row r="21" spans="1:10" x14ac:dyDescent="0.2">
      <c r="A21" s="121">
        <v>15</v>
      </c>
      <c r="B21" s="122" t="s">
        <v>422</v>
      </c>
      <c r="C21" s="122" t="s">
        <v>423</v>
      </c>
      <c r="D21" s="122" t="s">
        <v>216</v>
      </c>
      <c r="E21" s="123">
        <v>15581</v>
      </c>
      <c r="F21" s="124">
        <v>114.224311</v>
      </c>
      <c r="G21" s="125">
        <v>2.8187420000000001E-2</v>
      </c>
      <c r="H21" s="120" t="s">
        <v>151</v>
      </c>
      <c r="J21" s="8"/>
    </row>
    <row r="22" spans="1:10" ht="15" x14ac:dyDescent="0.2">
      <c r="A22" s="121">
        <v>16</v>
      </c>
      <c r="B22" s="122" t="s">
        <v>424</v>
      </c>
      <c r="C22" s="122" t="s">
        <v>425</v>
      </c>
      <c r="D22" s="122" t="s">
        <v>48</v>
      </c>
      <c r="E22" s="123">
        <v>36437</v>
      </c>
      <c r="F22" s="124">
        <v>114.17533950000001</v>
      </c>
      <c r="G22" s="125">
        <v>2.8175329999999998E-2</v>
      </c>
      <c r="H22" s="120" t="s">
        <v>151</v>
      </c>
      <c r="J22" s="11"/>
    </row>
    <row r="23" spans="1:10" x14ac:dyDescent="0.2">
      <c r="A23" s="121">
        <v>17</v>
      </c>
      <c r="B23" s="122" t="s">
        <v>428</v>
      </c>
      <c r="C23" s="122" t="s">
        <v>429</v>
      </c>
      <c r="D23" s="122" t="s">
        <v>121</v>
      </c>
      <c r="E23" s="123">
        <v>12457</v>
      </c>
      <c r="F23" s="124">
        <v>111.1475825</v>
      </c>
      <c r="G23" s="125">
        <v>2.7428170000000002E-2</v>
      </c>
      <c r="H23" s="120" t="s">
        <v>151</v>
      </c>
      <c r="J23" s="8"/>
    </row>
    <row r="24" spans="1:10" x14ac:dyDescent="0.2">
      <c r="A24" s="121">
        <v>18</v>
      </c>
      <c r="B24" s="122" t="s">
        <v>443</v>
      </c>
      <c r="C24" s="122" t="s">
        <v>444</v>
      </c>
      <c r="D24" s="122" t="s">
        <v>216</v>
      </c>
      <c r="E24" s="123">
        <v>18242</v>
      </c>
      <c r="F24" s="124">
        <v>109.798598</v>
      </c>
      <c r="G24" s="125">
        <v>2.7095279999999999E-2</v>
      </c>
      <c r="H24" s="120" t="s">
        <v>151</v>
      </c>
      <c r="J24" s="8"/>
    </row>
    <row r="25" spans="1:10" x14ac:dyDescent="0.2">
      <c r="A25" s="121">
        <v>19</v>
      </c>
      <c r="B25" s="122" t="s">
        <v>100</v>
      </c>
      <c r="C25" s="122" t="s">
        <v>101</v>
      </c>
      <c r="D25" s="122" t="s">
        <v>32</v>
      </c>
      <c r="E25" s="123">
        <v>4465</v>
      </c>
      <c r="F25" s="124">
        <v>107.405575</v>
      </c>
      <c r="G25" s="125">
        <v>2.6504739999999999E-2</v>
      </c>
      <c r="H25" s="120" t="s">
        <v>151</v>
      </c>
      <c r="J25" s="8"/>
    </row>
    <row r="26" spans="1:10" ht="25.5" x14ac:dyDescent="0.2">
      <c r="A26" s="121">
        <v>20</v>
      </c>
      <c r="B26" s="122" t="s">
        <v>434</v>
      </c>
      <c r="C26" s="122" t="s">
        <v>435</v>
      </c>
      <c r="D26" s="122" t="s">
        <v>436</v>
      </c>
      <c r="E26" s="123">
        <v>25470</v>
      </c>
      <c r="F26" s="124">
        <v>106.36272</v>
      </c>
      <c r="G26" s="125">
        <v>2.6247389999999999E-2</v>
      </c>
      <c r="H26" s="120" t="s">
        <v>151</v>
      </c>
      <c r="J26" s="8"/>
    </row>
    <row r="27" spans="1:10" x14ac:dyDescent="0.2">
      <c r="A27" s="121">
        <v>21</v>
      </c>
      <c r="B27" s="122" t="s">
        <v>415</v>
      </c>
      <c r="C27" s="122" t="s">
        <v>416</v>
      </c>
      <c r="D27" s="122" t="s">
        <v>417</v>
      </c>
      <c r="E27" s="123">
        <v>6011</v>
      </c>
      <c r="F27" s="124">
        <v>100.00200150000001</v>
      </c>
      <c r="G27" s="125">
        <v>2.467774E-2</v>
      </c>
      <c r="H27" s="120" t="s">
        <v>151</v>
      </c>
      <c r="J27" s="8"/>
    </row>
    <row r="28" spans="1:10" x14ac:dyDescent="0.2">
      <c r="A28" s="121">
        <v>22</v>
      </c>
      <c r="B28" s="122" t="s">
        <v>223</v>
      </c>
      <c r="C28" s="122" t="s">
        <v>224</v>
      </c>
      <c r="D28" s="122" t="s">
        <v>121</v>
      </c>
      <c r="E28" s="123">
        <v>692</v>
      </c>
      <c r="F28" s="124">
        <v>98.999250000000004</v>
      </c>
      <c r="G28" s="125">
        <v>2.443029E-2</v>
      </c>
      <c r="H28" s="120" t="s">
        <v>151</v>
      </c>
      <c r="J28" s="8"/>
    </row>
    <row r="29" spans="1:10" x14ac:dyDescent="0.2">
      <c r="A29" s="121">
        <v>23</v>
      </c>
      <c r="B29" s="122" t="s">
        <v>61</v>
      </c>
      <c r="C29" s="122" t="s">
        <v>62</v>
      </c>
      <c r="D29" s="122" t="s">
        <v>13</v>
      </c>
      <c r="E29" s="123">
        <v>7151</v>
      </c>
      <c r="F29" s="124">
        <v>97.772047499999999</v>
      </c>
      <c r="G29" s="125">
        <v>2.4127450000000002E-2</v>
      </c>
      <c r="H29" s="120" t="s">
        <v>151</v>
      </c>
      <c r="J29" s="8"/>
    </row>
    <row r="30" spans="1:10" ht="25.5" x14ac:dyDescent="0.2">
      <c r="A30" s="121">
        <v>24</v>
      </c>
      <c r="B30" s="122" t="s">
        <v>430</v>
      </c>
      <c r="C30" s="122" t="s">
        <v>431</v>
      </c>
      <c r="D30" s="122" t="s">
        <v>205</v>
      </c>
      <c r="E30" s="123">
        <v>1708</v>
      </c>
      <c r="F30" s="124">
        <v>92.670102</v>
      </c>
      <c r="G30" s="125">
        <v>2.2868429999999999E-2</v>
      </c>
      <c r="H30" s="120" t="s">
        <v>151</v>
      </c>
      <c r="J30" s="8"/>
    </row>
    <row r="31" spans="1:10" x14ac:dyDescent="0.2">
      <c r="A31" s="121">
        <v>25</v>
      </c>
      <c r="B31" s="122" t="s">
        <v>30</v>
      </c>
      <c r="C31" s="122" t="s">
        <v>31</v>
      </c>
      <c r="D31" s="122" t="s">
        <v>32</v>
      </c>
      <c r="E31" s="123">
        <v>1446</v>
      </c>
      <c r="F31" s="124">
        <v>89.388104999999996</v>
      </c>
      <c r="G31" s="125">
        <v>2.205853E-2</v>
      </c>
      <c r="H31" s="120" t="s">
        <v>151</v>
      </c>
      <c r="J31" s="8"/>
    </row>
    <row r="32" spans="1:10" x14ac:dyDescent="0.2">
      <c r="A32" s="121">
        <v>26</v>
      </c>
      <c r="B32" s="122" t="s">
        <v>439</v>
      </c>
      <c r="C32" s="122" t="s">
        <v>440</v>
      </c>
      <c r="D32" s="122" t="s">
        <v>238</v>
      </c>
      <c r="E32" s="123">
        <v>9165</v>
      </c>
      <c r="F32" s="124">
        <v>86.549677500000001</v>
      </c>
      <c r="G32" s="125">
        <v>2.1358080000000002E-2</v>
      </c>
      <c r="H32" s="120" t="s">
        <v>151</v>
      </c>
      <c r="J32" s="8"/>
    </row>
    <row r="33" spans="1:10" x14ac:dyDescent="0.2">
      <c r="A33" s="121">
        <v>27</v>
      </c>
      <c r="B33" s="122" t="s">
        <v>437</v>
      </c>
      <c r="C33" s="122" t="s">
        <v>438</v>
      </c>
      <c r="D33" s="122" t="s">
        <v>32</v>
      </c>
      <c r="E33" s="123">
        <v>13623</v>
      </c>
      <c r="F33" s="124">
        <v>82.596249</v>
      </c>
      <c r="G33" s="125">
        <v>2.0382480000000001E-2</v>
      </c>
      <c r="H33" s="120" t="s">
        <v>151</v>
      </c>
      <c r="J33" s="8"/>
    </row>
    <row r="34" spans="1:10" x14ac:dyDescent="0.2">
      <c r="A34" s="121">
        <v>28</v>
      </c>
      <c r="B34" s="122" t="s">
        <v>244</v>
      </c>
      <c r="C34" s="122" t="s">
        <v>245</v>
      </c>
      <c r="D34" s="122" t="s">
        <v>121</v>
      </c>
      <c r="E34" s="123">
        <v>4021</v>
      </c>
      <c r="F34" s="124">
        <v>82.177177</v>
      </c>
      <c r="G34" s="125">
        <v>2.027907E-2</v>
      </c>
      <c r="H34" s="120" t="s">
        <v>151</v>
      </c>
      <c r="J34" s="8"/>
    </row>
    <row r="35" spans="1:10" x14ac:dyDescent="0.2">
      <c r="A35" s="121">
        <v>29</v>
      </c>
      <c r="B35" s="122" t="s">
        <v>477</v>
      </c>
      <c r="C35" s="122" t="s">
        <v>478</v>
      </c>
      <c r="D35" s="122" t="s">
        <v>32</v>
      </c>
      <c r="E35" s="123">
        <v>9769</v>
      </c>
      <c r="F35" s="124">
        <v>63.146816000000001</v>
      </c>
      <c r="G35" s="125">
        <v>1.55829E-2</v>
      </c>
      <c r="H35" s="120" t="s">
        <v>151</v>
      </c>
      <c r="J35" s="8"/>
    </row>
    <row r="36" spans="1:10" x14ac:dyDescent="0.2">
      <c r="A36" s="121">
        <v>30</v>
      </c>
      <c r="B36" s="122" t="s">
        <v>445</v>
      </c>
      <c r="C36" s="122" t="s">
        <v>446</v>
      </c>
      <c r="D36" s="122" t="s">
        <v>35</v>
      </c>
      <c r="E36" s="123">
        <v>5528</v>
      </c>
      <c r="F36" s="124">
        <v>54.254556000000001</v>
      </c>
      <c r="G36" s="125">
        <v>1.3388529999999999E-2</v>
      </c>
      <c r="H36" s="120" t="s">
        <v>151</v>
      </c>
      <c r="J36" s="8"/>
    </row>
    <row r="37" spans="1:10" ht="25.5" x14ac:dyDescent="0.2">
      <c r="A37" s="121">
        <v>31</v>
      </c>
      <c r="B37" s="122" t="s">
        <v>479</v>
      </c>
      <c r="C37" s="122" t="s">
        <v>480</v>
      </c>
      <c r="D37" s="122" t="s">
        <v>35</v>
      </c>
      <c r="E37" s="123">
        <v>2244</v>
      </c>
      <c r="F37" s="124">
        <v>52.462476000000002</v>
      </c>
      <c r="G37" s="125">
        <v>1.2946300000000001E-2</v>
      </c>
      <c r="H37" s="120" t="s">
        <v>151</v>
      </c>
      <c r="J37" s="8"/>
    </row>
    <row r="38" spans="1:10" x14ac:dyDescent="0.2">
      <c r="A38" s="121">
        <v>32</v>
      </c>
      <c r="B38" s="122" t="s">
        <v>441</v>
      </c>
      <c r="C38" s="122" t="s">
        <v>442</v>
      </c>
      <c r="D38" s="122" t="s">
        <v>35</v>
      </c>
      <c r="E38" s="123">
        <v>5529</v>
      </c>
      <c r="F38" s="124">
        <v>49.1555745</v>
      </c>
      <c r="G38" s="125">
        <v>1.213024E-2</v>
      </c>
      <c r="H38" s="120" t="s">
        <v>151</v>
      </c>
      <c r="J38" s="8"/>
    </row>
    <row r="39" spans="1:10" x14ac:dyDescent="0.2">
      <c r="A39" s="121">
        <v>33</v>
      </c>
      <c r="B39" s="122" t="s">
        <v>384</v>
      </c>
      <c r="C39" s="122" t="s">
        <v>385</v>
      </c>
      <c r="D39" s="122" t="s">
        <v>134</v>
      </c>
      <c r="E39" s="123">
        <v>25659</v>
      </c>
      <c r="F39" s="124">
        <v>43.248244499999998</v>
      </c>
      <c r="G39" s="125">
        <v>1.067248E-2</v>
      </c>
      <c r="H39" s="120" t="s">
        <v>151</v>
      </c>
      <c r="J39" s="8"/>
    </row>
    <row r="40" spans="1:10" x14ac:dyDescent="0.2">
      <c r="A40" s="121">
        <v>34</v>
      </c>
      <c r="B40" s="122" t="s">
        <v>418</v>
      </c>
      <c r="C40" s="122" t="s">
        <v>419</v>
      </c>
      <c r="D40" s="122" t="s">
        <v>32</v>
      </c>
      <c r="E40" s="123">
        <v>2772</v>
      </c>
      <c r="F40" s="124">
        <v>38.067875999999998</v>
      </c>
      <c r="G40" s="125">
        <v>9.3941100000000007E-3</v>
      </c>
      <c r="H40" s="120" t="s">
        <v>151</v>
      </c>
      <c r="J40" s="8"/>
    </row>
    <row r="41" spans="1:10" x14ac:dyDescent="0.2">
      <c r="A41" s="121">
        <v>35</v>
      </c>
      <c r="B41" s="122" t="s">
        <v>457</v>
      </c>
      <c r="C41" s="122" t="s">
        <v>458</v>
      </c>
      <c r="D41" s="122" t="s">
        <v>70</v>
      </c>
      <c r="E41" s="123">
        <v>4314</v>
      </c>
      <c r="F41" s="124">
        <v>25.881843</v>
      </c>
      <c r="G41" s="125">
        <v>6.3869299999999999E-3</v>
      </c>
      <c r="H41" s="120" t="s">
        <v>151</v>
      </c>
      <c r="J41" s="8"/>
    </row>
    <row r="42" spans="1:10" x14ac:dyDescent="0.2">
      <c r="A42" s="121">
        <v>36</v>
      </c>
      <c r="B42" s="122" t="s">
        <v>449</v>
      </c>
      <c r="C42" s="122" t="s">
        <v>450</v>
      </c>
      <c r="D42" s="122" t="s">
        <v>121</v>
      </c>
      <c r="E42" s="123">
        <v>2023</v>
      </c>
      <c r="F42" s="124">
        <v>24.000872000000001</v>
      </c>
      <c r="G42" s="125">
        <v>5.92276E-3</v>
      </c>
      <c r="H42" s="120" t="s">
        <v>151</v>
      </c>
      <c r="J42" s="8"/>
    </row>
    <row r="43" spans="1:10" x14ac:dyDescent="0.2">
      <c r="A43" s="118"/>
      <c r="B43" s="118"/>
      <c r="C43" s="119" t="s">
        <v>150</v>
      </c>
      <c r="D43" s="118"/>
      <c r="E43" s="118" t="s">
        <v>151</v>
      </c>
      <c r="F43" s="126">
        <v>3971.6758196999999</v>
      </c>
      <c r="G43" s="127">
        <v>0.98010037999999999</v>
      </c>
      <c r="H43" s="120" t="s">
        <v>151</v>
      </c>
      <c r="J43" s="8"/>
    </row>
    <row r="44" spans="1:10" x14ac:dyDescent="0.2">
      <c r="A44" s="118"/>
      <c r="B44" s="118"/>
      <c r="C44" s="128"/>
      <c r="D44" s="118"/>
      <c r="E44" s="118"/>
      <c r="F44" s="129"/>
      <c r="G44" s="129"/>
      <c r="H44" s="120" t="s">
        <v>151</v>
      </c>
      <c r="J44" s="8"/>
    </row>
    <row r="45" spans="1:10" x14ac:dyDescent="0.2">
      <c r="A45" s="118"/>
      <c r="B45" s="118"/>
      <c r="C45" s="119" t="s">
        <v>152</v>
      </c>
      <c r="D45" s="118"/>
      <c r="E45" s="118"/>
      <c r="F45" s="118"/>
      <c r="G45" s="118"/>
      <c r="H45" s="120" t="s">
        <v>151</v>
      </c>
      <c r="J45" s="8"/>
    </row>
    <row r="46" spans="1:10" x14ac:dyDescent="0.2">
      <c r="A46" s="118"/>
      <c r="B46" s="118"/>
      <c r="C46" s="119" t="s">
        <v>150</v>
      </c>
      <c r="D46" s="118"/>
      <c r="E46" s="118" t="s">
        <v>151</v>
      </c>
      <c r="F46" s="130" t="s">
        <v>153</v>
      </c>
      <c r="G46" s="127">
        <v>0</v>
      </c>
      <c r="H46" s="120" t="s">
        <v>151</v>
      </c>
      <c r="J46" s="8"/>
    </row>
    <row r="47" spans="1:10" x14ac:dyDescent="0.2">
      <c r="A47" s="118"/>
      <c r="B47" s="118"/>
      <c r="C47" s="128"/>
      <c r="D47" s="118"/>
      <c r="E47" s="118"/>
      <c r="F47" s="129"/>
      <c r="G47" s="129"/>
      <c r="H47" s="120" t="s">
        <v>151</v>
      </c>
      <c r="J47" s="8"/>
    </row>
    <row r="48" spans="1:10" x14ac:dyDescent="0.2">
      <c r="A48" s="118"/>
      <c r="B48" s="118"/>
      <c r="C48" s="119" t="s">
        <v>154</v>
      </c>
      <c r="D48" s="118"/>
      <c r="E48" s="118"/>
      <c r="F48" s="118"/>
      <c r="G48" s="118"/>
      <c r="H48" s="120" t="s">
        <v>151</v>
      </c>
      <c r="J48" s="8"/>
    </row>
    <row r="49" spans="1:10" x14ac:dyDescent="0.2">
      <c r="A49" s="118"/>
      <c r="B49" s="118"/>
      <c r="C49" s="119" t="s">
        <v>150</v>
      </c>
      <c r="D49" s="118"/>
      <c r="E49" s="118" t="s">
        <v>151</v>
      </c>
      <c r="F49" s="130" t="s">
        <v>153</v>
      </c>
      <c r="G49" s="127">
        <v>0</v>
      </c>
      <c r="H49" s="120" t="s">
        <v>151</v>
      </c>
      <c r="J49" s="8"/>
    </row>
    <row r="50" spans="1:10" x14ac:dyDescent="0.2">
      <c r="A50" s="118"/>
      <c r="B50" s="118"/>
      <c r="C50" s="128"/>
      <c r="D50" s="118"/>
      <c r="E50" s="118"/>
      <c r="F50" s="129"/>
      <c r="G50" s="129"/>
      <c r="H50" s="120" t="s">
        <v>151</v>
      </c>
      <c r="J50" s="8"/>
    </row>
    <row r="51" spans="1:10" x14ac:dyDescent="0.2">
      <c r="A51" s="118"/>
      <c r="B51" s="118"/>
      <c r="C51" s="119" t="s">
        <v>155</v>
      </c>
      <c r="D51" s="118"/>
      <c r="E51" s="118"/>
      <c r="F51" s="118"/>
      <c r="G51" s="118"/>
      <c r="H51" s="120" t="s">
        <v>151</v>
      </c>
      <c r="J51" s="8"/>
    </row>
    <row r="52" spans="1:10" x14ac:dyDescent="0.2">
      <c r="A52" s="118"/>
      <c r="B52" s="118"/>
      <c r="C52" s="119" t="s">
        <v>150</v>
      </c>
      <c r="D52" s="118"/>
      <c r="E52" s="118" t="s">
        <v>151</v>
      </c>
      <c r="F52" s="130" t="s">
        <v>153</v>
      </c>
      <c r="G52" s="127">
        <v>0</v>
      </c>
      <c r="H52" s="120" t="s">
        <v>151</v>
      </c>
      <c r="J52" s="8"/>
    </row>
    <row r="53" spans="1:10" x14ac:dyDescent="0.2">
      <c r="A53" s="118"/>
      <c r="B53" s="118"/>
      <c r="C53" s="128"/>
      <c r="D53" s="118"/>
      <c r="E53" s="118"/>
      <c r="F53" s="129"/>
      <c r="G53" s="129"/>
      <c r="H53" s="120" t="s">
        <v>151</v>
      </c>
      <c r="J53" s="8"/>
    </row>
    <row r="54" spans="1:10" x14ac:dyDescent="0.2">
      <c r="A54" s="118"/>
      <c r="B54" s="118"/>
      <c r="C54" s="119" t="s">
        <v>156</v>
      </c>
      <c r="D54" s="118"/>
      <c r="E54" s="118"/>
      <c r="F54" s="129"/>
      <c r="G54" s="129"/>
      <c r="H54" s="120" t="s">
        <v>151</v>
      </c>
      <c r="J54" s="8"/>
    </row>
    <row r="55" spans="1:10" x14ac:dyDescent="0.2">
      <c r="A55" s="118"/>
      <c r="B55" s="118"/>
      <c r="C55" s="119" t="s">
        <v>150</v>
      </c>
      <c r="D55" s="118"/>
      <c r="E55" s="118" t="s">
        <v>151</v>
      </c>
      <c r="F55" s="130" t="s">
        <v>153</v>
      </c>
      <c r="G55" s="127">
        <v>0</v>
      </c>
      <c r="H55" s="120" t="s">
        <v>151</v>
      </c>
      <c r="J55" s="8"/>
    </row>
    <row r="56" spans="1:10" x14ac:dyDescent="0.2">
      <c r="A56" s="118"/>
      <c r="B56" s="118"/>
      <c r="C56" s="128"/>
      <c r="D56" s="118"/>
      <c r="E56" s="118"/>
      <c r="F56" s="129"/>
      <c r="G56" s="129"/>
      <c r="H56" s="120" t="s">
        <v>151</v>
      </c>
      <c r="J56" s="8"/>
    </row>
    <row r="57" spans="1:10" x14ac:dyDescent="0.2">
      <c r="A57" s="118"/>
      <c r="B57" s="118"/>
      <c r="C57" s="119" t="s">
        <v>157</v>
      </c>
      <c r="D57" s="118"/>
      <c r="E57" s="118"/>
      <c r="F57" s="129"/>
      <c r="G57" s="129"/>
      <c r="H57" s="120" t="s">
        <v>151</v>
      </c>
      <c r="J57" s="8"/>
    </row>
    <row r="58" spans="1:10" x14ac:dyDescent="0.2">
      <c r="A58" s="118"/>
      <c r="B58" s="118"/>
      <c r="C58" s="119" t="s">
        <v>150</v>
      </c>
      <c r="D58" s="118"/>
      <c r="E58" s="118" t="s">
        <v>151</v>
      </c>
      <c r="F58" s="130" t="s">
        <v>153</v>
      </c>
      <c r="G58" s="127">
        <v>0</v>
      </c>
      <c r="H58" s="120" t="s">
        <v>151</v>
      </c>
      <c r="J58" s="8"/>
    </row>
    <row r="59" spans="1:10" x14ac:dyDescent="0.2">
      <c r="A59" s="118"/>
      <c r="B59" s="118"/>
      <c r="C59" s="128"/>
      <c r="D59" s="118"/>
      <c r="E59" s="118"/>
      <c r="F59" s="129"/>
      <c r="G59" s="129"/>
      <c r="H59" s="120" t="s">
        <v>151</v>
      </c>
      <c r="J59" s="8"/>
    </row>
    <row r="60" spans="1:10" x14ac:dyDescent="0.2">
      <c r="A60" s="118"/>
      <c r="B60" s="118"/>
      <c r="C60" s="119" t="s">
        <v>158</v>
      </c>
      <c r="D60" s="118"/>
      <c r="E60" s="118"/>
      <c r="F60" s="126">
        <v>3971.6758196999999</v>
      </c>
      <c r="G60" s="127">
        <v>0.98010037999999999</v>
      </c>
      <c r="H60" s="120" t="s">
        <v>151</v>
      </c>
      <c r="J60" s="8"/>
    </row>
    <row r="61" spans="1:10" x14ac:dyDescent="0.2">
      <c r="A61" s="118"/>
      <c r="B61" s="118"/>
      <c r="C61" s="128"/>
      <c r="D61" s="118"/>
      <c r="E61" s="118"/>
      <c r="F61" s="129"/>
      <c r="G61" s="129"/>
      <c r="H61" s="120" t="s">
        <v>151</v>
      </c>
      <c r="J61" s="8"/>
    </row>
    <row r="62" spans="1:10" x14ac:dyDescent="0.2">
      <c r="A62" s="118"/>
      <c r="B62" s="118"/>
      <c r="C62" s="119" t="s">
        <v>159</v>
      </c>
      <c r="D62" s="118"/>
      <c r="E62" s="118"/>
      <c r="F62" s="129"/>
      <c r="G62" s="129"/>
      <c r="H62" s="120" t="s">
        <v>151</v>
      </c>
      <c r="J62" s="8"/>
    </row>
    <row r="63" spans="1:10" ht="25.5" x14ac:dyDescent="0.2">
      <c r="A63" s="118"/>
      <c r="B63" s="118"/>
      <c r="C63" s="119" t="s">
        <v>10</v>
      </c>
      <c r="D63" s="118"/>
      <c r="E63" s="118"/>
      <c r="F63" s="129"/>
      <c r="G63" s="129"/>
      <c r="H63" s="120" t="s">
        <v>151</v>
      </c>
      <c r="J63" s="8"/>
    </row>
    <row r="64" spans="1:10" x14ac:dyDescent="0.2">
      <c r="A64" s="118"/>
      <c r="B64" s="118"/>
      <c r="C64" s="119" t="s">
        <v>150</v>
      </c>
      <c r="D64" s="118"/>
      <c r="E64" s="118" t="s">
        <v>151</v>
      </c>
      <c r="F64" s="130" t="s">
        <v>153</v>
      </c>
      <c r="G64" s="127">
        <v>0</v>
      </c>
      <c r="H64" s="120" t="s">
        <v>151</v>
      </c>
      <c r="J64" s="8"/>
    </row>
    <row r="65" spans="1:10" x14ac:dyDescent="0.2">
      <c r="A65" s="118"/>
      <c r="B65" s="118"/>
      <c r="C65" s="128"/>
      <c r="D65" s="118"/>
      <c r="E65" s="118"/>
      <c r="F65" s="129"/>
      <c r="G65" s="129"/>
      <c r="H65" s="120" t="s">
        <v>151</v>
      </c>
      <c r="J65" s="8"/>
    </row>
    <row r="66" spans="1:10" x14ac:dyDescent="0.2">
      <c r="A66" s="118"/>
      <c r="B66" s="118"/>
      <c r="C66" s="119" t="s">
        <v>160</v>
      </c>
      <c r="D66" s="118"/>
      <c r="E66" s="118"/>
      <c r="F66" s="118"/>
      <c r="G66" s="118"/>
      <c r="H66" s="120" t="s">
        <v>151</v>
      </c>
      <c r="J66" s="8"/>
    </row>
    <row r="67" spans="1:10" x14ac:dyDescent="0.2">
      <c r="A67" s="118"/>
      <c r="B67" s="118"/>
      <c r="C67" s="119" t="s">
        <v>150</v>
      </c>
      <c r="D67" s="118"/>
      <c r="E67" s="118" t="s">
        <v>151</v>
      </c>
      <c r="F67" s="130" t="s">
        <v>153</v>
      </c>
      <c r="G67" s="127">
        <v>0</v>
      </c>
      <c r="H67" s="120" t="s">
        <v>151</v>
      </c>
      <c r="J67" s="8"/>
    </row>
    <row r="68" spans="1:10" x14ac:dyDescent="0.2">
      <c r="A68" s="118"/>
      <c r="B68" s="118"/>
      <c r="C68" s="128"/>
      <c r="D68" s="118"/>
      <c r="E68" s="118"/>
      <c r="F68" s="129"/>
      <c r="G68" s="129"/>
      <c r="H68" s="120" t="s">
        <v>151</v>
      </c>
      <c r="J68" s="8"/>
    </row>
    <row r="69" spans="1:10" x14ac:dyDescent="0.2">
      <c r="A69" s="118"/>
      <c r="B69" s="118"/>
      <c r="C69" s="119" t="s">
        <v>161</v>
      </c>
      <c r="D69" s="118"/>
      <c r="E69" s="118"/>
      <c r="F69" s="118"/>
      <c r="G69" s="118"/>
      <c r="H69" s="120" t="s">
        <v>151</v>
      </c>
      <c r="J69" s="8"/>
    </row>
    <row r="70" spans="1:10" x14ac:dyDescent="0.2">
      <c r="A70" s="118"/>
      <c r="B70" s="118"/>
      <c r="C70" s="119" t="s">
        <v>150</v>
      </c>
      <c r="D70" s="118"/>
      <c r="E70" s="118" t="s">
        <v>151</v>
      </c>
      <c r="F70" s="130" t="s">
        <v>153</v>
      </c>
      <c r="G70" s="127">
        <v>0</v>
      </c>
      <c r="H70" s="120" t="s">
        <v>151</v>
      </c>
      <c r="J70" s="8"/>
    </row>
    <row r="71" spans="1:10" x14ac:dyDescent="0.2">
      <c r="A71" s="118"/>
      <c r="B71" s="118"/>
      <c r="C71" s="128"/>
      <c r="D71" s="118"/>
      <c r="E71" s="118"/>
      <c r="F71" s="129"/>
      <c r="G71" s="129"/>
      <c r="H71" s="120" t="s">
        <v>151</v>
      </c>
      <c r="J71" s="8"/>
    </row>
    <row r="72" spans="1:10" x14ac:dyDescent="0.2">
      <c r="A72" s="118"/>
      <c r="B72" s="118"/>
      <c r="C72" s="119" t="s">
        <v>162</v>
      </c>
      <c r="D72" s="118"/>
      <c r="E72" s="118"/>
      <c r="F72" s="129"/>
      <c r="G72" s="129"/>
      <c r="H72" s="120" t="s">
        <v>151</v>
      </c>
      <c r="J72" s="8"/>
    </row>
    <row r="73" spans="1:10" x14ac:dyDescent="0.2">
      <c r="A73" s="118"/>
      <c r="B73" s="118"/>
      <c r="C73" s="119" t="s">
        <v>150</v>
      </c>
      <c r="D73" s="118"/>
      <c r="E73" s="118" t="s">
        <v>151</v>
      </c>
      <c r="F73" s="130" t="s">
        <v>153</v>
      </c>
      <c r="G73" s="127">
        <v>0</v>
      </c>
      <c r="H73" s="120" t="s">
        <v>151</v>
      </c>
      <c r="J73" s="8"/>
    </row>
    <row r="74" spans="1:10" x14ac:dyDescent="0.2">
      <c r="A74" s="118"/>
      <c r="B74" s="118"/>
      <c r="C74" s="128"/>
      <c r="D74" s="118"/>
      <c r="E74" s="118"/>
      <c r="F74" s="129"/>
      <c r="G74" s="129"/>
      <c r="H74" s="120" t="s">
        <v>151</v>
      </c>
      <c r="J74" s="8"/>
    </row>
    <row r="75" spans="1:10" x14ac:dyDescent="0.2">
      <c r="A75" s="118"/>
      <c r="B75" s="118"/>
      <c r="C75" s="119" t="s">
        <v>163</v>
      </c>
      <c r="D75" s="118"/>
      <c r="E75" s="118"/>
      <c r="F75" s="126">
        <v>0</v>
      </c>
      <c r="G75" s="127">
        <v>0</v>
      </c>
      <c r="H75" s="120" t="s">
        <v>151</v>
      </c>
      <c r="J75" s="8"/>
    </row>
    <row r="76" spans="1:10" x14ac:dyDescent="0.2">
      <c r="A76" s="118"/>
      <c r="B76" s="118"/>
      <c r="C76" s="128"/>
      <c r="D76" s="118"/>
      <c r="E76" s="118"/>
      <c r="F76" s="129"/>
      <c r="G76" s="129"/>
      <c r="H76" s="120" t="s">
        <v>151</v>
      </c>
      <c r="J76" s="8"/>
    </row>
    <row r="77" spans="1:10" x14ac:dyDescent="0.2">
      <c r="A77" s="118"/>
      <c r="B77" s="118"/>
      <c r="C77" s="119" t="s">
        <v>164</v>
      </c>
      <c r="D77" s="118"/>
      <c r="E77" s="118"/>
      <c r="F77" s="129"/>
      <c r="G77" s="129"/>
      <c r="H77" s="120" t="s">
        <v>151</v>
      </c>
      <c r="J77" s="8"/>
    </row>
    <row r="78" spans="1:10" x14ac:dyDescent="0.2">
      <c r="A78" s="118"/>
      <c r="B78" s="118"/>
      <c r="C78" s="119" t="s">
        <v>165</v>
      </c>
      <c r="D78" s="118"/>
      <c r="E78" s="118"/>
      <c r="F78" s="129"/>
      <c r="G78" s="129"/>
      <c r="H78" s="120" t="s">
        <v>151</v>
      </c>
      <c r="J78" s="8"/>
    </row>
    <row r="79" spans="1:10" x14ac:dyDescent="0.2">
      <c r="A79" s="118"/>
      <c r="B79" s="118"/>
      <c r="C79" s="119" t="s">
        <v>150</v>
      </c>
      <c r="D79" s="118"/>
      <c r="E79" s="118" t="s">
        <v>151</v>
      </c>
      <c r="F79" s="130" t="s">
        <v>153</v>
      </c>
      <c r="G79" s="127">
        <v>0</v>
      </c>
      <c r="H79" s="120" t="s">
        <v>151</v>
      </c>
      <c r="J79" s="8"/>
    </row>
    <row r="80" spans="1:10" x14ac:dyDescent="0.2">
      <c r="A80" s="118"/>
      <c r="B80" s="118"/>
      <c r="C80" s="128"/>
      <c r="D80" s="118"/>
      <c r="E80" s="118"/>
      <c r="F80" s="129"/>
      <c r="G80" s="129"/>
      <c r="H80" s="120" t="s">
        <v>151</v>
      </c>
      <c r="J80" s="8"/>
    </row>
    <row r="81" spans="1:10" x14ac:dyDescent="0.2">
      <c r="A81" s="118"/>
      <c r="B81" s="118"/>
      <c r="C81" s="119" t="s">
        <v>166</v>
      </c>
      <c r="D81" s="118"/>
      <c r="E81" s="118"/>
      <c r="F81" s="129"/>
      <c r="G81" s="129"/>
      <c r="H81" s="120" t="s">
        <v>151</v>
      </c>
      <c r="J81" s="8"/>
    </row>
    <row r="82" spans="1:10" x14ac:dyDescent="0.2">
      <c r="A82" s="118"/>
      <c r="B82" s="118"/>
      <c r="C82" s="119" t="s">
        <v>150</v>
      </c>
      <c r="D82" s="118"/>
      <c r="E82" s="118" t="s">
        <v>151</v>
      </c>
      <c r="F82" s="130" t="s">
        <v>153</v>
      </c>
      <c r="G82" s="127">
        <v>0</v>
      </c>
      <c r="H82" s="120" t="s">
        <v>151</v>
      </c>
      <c r="J82" s="8"/>
    </row>
    <row r="83" spans="1:10" x14ac:dyDescent="0.2">
      <c r="A83" s="118"/>
      <c r="B83" s="118"/>
      <c r="C83" s="128"/>
      <c r="D83" s="118"/>
      <c r="E83" s="118"/>
      <c r="F83" s="129"/>
      <c r="G83" s="129"/>
      <c r="H83" s="120" t="s">
        <v>151</v>
      </c>
      <c r="J83" s="8"/>
    </row>
    <row r="84" spans="1:10" x14ac:dyDescent="0.2">
      <c r="A84" s="118"/>
      <c r="B84" s="118"/>
      <c r="C84" s="119" t="s">
        <v>167</v>
      </c>
      <c r="D84" s="118"/>
      <c r="E84" s="118"/>
      <c r="F84" s="129"/>
      <c r="G84" s="129"/>
      <c r="H84" s="120" t="s">
        <v>151</v>
      </c>
      <c r="J84" s="8"/>
    </row>
    <row r="85" spans="1:10" x14ac:dyDescent="0.2">
      <c r="A85" s="118"/>
      <c r="B85" s="118"/>
      <c r="C85" s="119" t="s">
        <v>150</v>
      </c>
      <c r="D85" s="118"/>
      <c r="E85" s="118" t="s">
        <v>151</v>
      </c>
      <c r="F85" s="130" t="s">
        <v>153</v>
      </c>
      <c r="G85" s="127">
        <v>0</v>
      </c>
      <c r="H85" s="120" t="s">
        <v>151</v>
      </c>
      <c r="J85" s="8"/>
    </row>
    <row r="86" spans="1:10" x14ac:dyDescent="0.2">
      <c r="A86" s="118"/>
      <c r="B86" s="118"/>
      <c r="C86" s="128"/>
      <c r="D86" s="118"/>
      <c r="E86" s="118"/>
      <c r="F86" s="129"/>
      <c r="G86" s="129"/>
      <c r="H86" s="120" t="s">
        <v>151</v>
      </c>
      <c r="J86" s="8"/>
    </row>
    <row r="87" spans="1:10" x14ac:dyDescent="0.2">
      <c r="A87" s="118"/>
      <c r="B87" s="118"/>
      <c r="C87" s="119" t="s">
        <v>168</v>
      </c>
      <c r="D87" s="118"/>
      <c r="E87" s="118"/>
      <c r="F87" s="129"/>
      <c r="G87" s="129"/>
      <c r="H87" s="120" t="s">
        <v>151</v>
      </c>
      <c r="J87" s="8"/>
    </row>
    <row r="88" spans="1:10" x14ac:dyDescent="0.2">
      <c r="A88" s="121">
        <v>1</v>
      </c>
      <c r="B88" s="122"/>
      <c r="C88" s="122" t="s">
        <v>169</v>
      </c>
      <c r="D88" s="122"/>
      <c r="E88" s="131"/>
      <c r="F88" s="124">
        <v>36.757314000000001</v>
      </c>
      <c r="G88" s="125">
        <v>9.0706899999999993E-3</v>
      </c>
      <c r="H88" s="120">
        <v>6.61</v>
      </c>
      <c r="J88" s="8"/>
    </row>
    <row r="89" spans="1:10" x14ac:dyDescent="0.2">
      <c r="A89" s="118"/>
      <c r="B89" s="118"/>
      <c r="C89" s="119" t="s">
        <v>150</v>
      </c>
      <c r="D89" s="118"/>
      <c r="E89" s="118" t="s">
        <v>151</v>
      </c>
      <c r="F89" s="126">
        <v>36.757314000000001</v>
      </c>
      <c r="G89" s="127">
        <v>9.0706899999999993E-3</v>
      </c>
      <c r="H89" s="120" t="s">
        <v>151</v>
      </c>
      <c r="J89" s="8"/>
    </row>
    <row r="90" spans="1:10" x14ac:dyDescent="0.2">
      <c r="A90" s="118"/>
      <c r="B90" s="118"/>
      <c r="C90" s="128"/>
      <c r="D90" s="118"/>
      <c r="E90" s="118"/>
      <c r="F90" s="129"/>
      <c r="G90" s="129"/>
      <c r="H90" s="120" t="s">
        <v>151</v>
      </c>
      <c r="J90" s="8"/>
    </row>
    <row r="91" spans="1:10" x14ac:dyDescent="0.2">
      <c r="A91" s="118"/>
      <c r="B91" s="118"/>
      <c r="C91" s="119" t="s">
        <v>170</v>
      </c>
      <c r="D91" s="118"/>
      <c r="E91" s="118"/>
      <c r="F91" s="126">
        <v>36.757314000000001</v>
      </c>
      <c r="G91" s="127">
        <v>9.0706899999999993E-3</v>
      </c>
      <c r="H91" s="120" t="s">
        <v>151</v>
      </c>
      <c r="J91" s="8"/>
    </row>
    <row r="92" spans="1:10" x14ac:dyDescent="0.2">
      <c r="A92" s="118"/>
      <c r="B92" s="118"/>
      <c r="C92" s="129"/>
      <c r="D92" s="118"/>
      <c r="E92" s="118"/>
      <c r="F92" s="118"/>
      <c r="G92" s="118"/>
      <c r="H92" s="120" t="s">
        <v>151</v>
      </c>
      <c r="J92" s="8"/>
    </row>
    <row r="93" spans="1:10" x14ac:dyDescent="0.2">
      <c r="A93" s="118"/>
      <c r="B93" s="118"/>
      <c r="C93" s="119" t="s">
        <v>171</v>
      </c>
      <c r="D93" s="118"/>
      <c r="E93" s="118"/>
      <c r="F93" s="118"/>
      <c r="G93" s="118"/>
      <c r="H93" s="120" t="s">
        <v>151</v>
      </c>
      <c r="J93" s="8"/>
    </row>
    <row r="94" spans="1:10" x14ac:dyDescent="0.2">
      <c r="A94" s="118"/>
      <c r="B94" s="118"/>
      <c r="C94" s="119" t="s">
        <v>172</v>
      </c>
      <c r="D94" s="118"/>
      <c r="E94" s="118"/>
      <c r="F94" s="118"/>
      <c r="G94" s="118"/>
      <c r="H94" s="120" t="s">
        <v>151</v>
      </c>
      <c r="J94" s="8"/>
    </row>
    <row r="95" spans="1:10" x14ac:dyDescent="0.2">
      <c r="A95" s="118"/>
      <c r="B95" s="118"/>
      <c r="C95" s="119" t="s">
        <v>150</v>
      </c>
      <c r="D95" s="118"/>
      <c r="E95" s="118" t="s">
        <v>151</v>
      </c>
      <c r="F95" s="130" t="s">
        <v>153</v>
      </c>
      <c r="G95" s="127">
        <v>0</v>
      </c>
      <c r="H95" s="120" t="s">
        <v>151</v>
      </c>
      <c r="J95" s="8"/>
    </row>
    <row r="96" spans="1:10" x14ac:dyDescent="0.2">
      <c r="A96" s="118"/>
      <c r="B96" s="118"/>
      <c r="C96" s="128"/>
      <c r="D96" s="118"/>
      <c r="E96" s="118"/>
      <c r="F96" s="129"/>
      <c r="G96" s="129"/>
      <c r="H96" s="120" t="s">
        <v>151</v>
      </c>
      <c r="J96" s="8"/>
    </row>
    <row r="97" spans="1:17" x14ac:dyDescent="0.2">
      <c r="A97" s="118"/>
      <c r="B97" s="118"/>
      <c r="C97" s="119" t="s">
        <v>175</v>
      </c>
      <c r="D97" s="118"/>
      <c r="E97" s="118"/>
      <c r="F97" s="118"/>
      <c r="G97" s="118"/>
      <c r="H97" s="120" t="s">
        <v>151</v>
      </c>
      <c r="J97" s="8"/>
    </row>
    <row r="98" spans="1:17" x14ac:dyDescent="0.2">
      <c r="A98" s="118"/>
      <c r="B98" s="118"/>
      <c r="C98" s="119" t="s">
        <v>176</v>
      </c>
      <c r="D98" s="118"/>
      <c r="E98" s="118"/>
      <c r="F98" s="118"/>
      <c r="G98" s="118"/>
      <c r="H98" s="120" t="s">
        <v>151</v>
      </c>
      <c r="J98" s="8"/>
    </row>
    <row r="99" spans="1:17" x14ac:dyDescent="0.2">
      <c r="A99" s="118"/>
      <c r="B99" s="118"/>
      <c r="C99" s="119" t="s">
        <v>150</v>
      </c>
      <c r="D99" s="118"/>
      <c r="E99" s="118" t="s">
        <v>151</v>
      </c>
      <c r="F99" s="130" t="s">
        <v>153</v>
      </c>
      <c r="G99" s="127">
        <v>0</v>
      </c>
      <c r="H99" s="120" t="s">
        <v>151</v>
      </c>
      <c r="J99" s="8"/>
    </row>
    <row r="100" spans="1:17" x14ac:dyDescent="0.2">
      <c r="A100" s="118"/>
      <c r="B100" s="118"/>
      <c r="C100" s="128"/>
      <c r="D100" s="118"/>
      <c r="E100" s="118"/>
      <c r="F100" s="129"/>
      <c r="G100" s="129"/>
      <c r="H100" s="120" t="s">
        <v>151</v>
      </c>
      <c r="J100" s="8"/>
    </row>
    <row r="101" spans="1:17" ht="25.5" x14ac:dyDescent="0.2">
      <c r="A101" s="118"/>
      <c r="B101" s="118"/>
      <c r="C101" s="119" t="s">
        <v>177</v>
      </c>
      <c r="D101" s="118"/>
      <c r="E101" s="118"/>
      <c r="F101" s="129"/>
      <c r="G101" s="129"/>
      <c r="H101" s="120" t="s">
        <v>151</v>
      </c>
      <c r="J101" s="8"/>
    </row>
    <row r="102" spans="1:17" x14ac:dyDescent="0.2">
      <c r="A102" s="118"/>
      <c r="B102" s="118"/>
      <c r="C102" s="119" t="s">
        <v>150</v>
      </c>
      <c r="D102" s="118"/>
      <c r="E102" s="118" t="s">
        <v>151</v>
      </c>
      <c r="F102" s="130" t="s">
        <v>153</v>
      </c>
      <c r="G102" s="127">
        <v>0</v>
      </c>
      <c r="H102" s="120" t="s">
        <v>151</v>
      </c>
      <c r="J102" s="8"/>
    </row>
    <row r="103" spans="1:17" x14ac:dyDescent="0.2">
      <c r="A103" s="118"/>
      <c r="B103" s="122"/>
      <c r="C103" s="122"/>
      <c r="D103" s="119"/>
      <c r="E103" s="118"/>
      <c r="F103" s="122"/>
      <c r="G103" s="131"/>
      <c r="H103" s="120" t="s">
        <v>151</v>
      </c>
      <c r="J103" s="8"/>
    </row>
    <row r="104" spans="1:17" x14ac:dyDescent="0.2">
      <c r="A104" s="131"/>
      <c r="B104" s="122"/>
      <c r="C104" s="122" t="s">
        <v>178</v>
      </c>
      <c r="D104" s="122"/>
      <c r="E104" s="131"/>
      <c r="F104" s="124">
        <v>43.882234699999998</v>
      </c>
      <c r="G104" s="125">
        <v>1.082893E-2</v>
      </c>
      <c r="H104" s="120" t="s">
        <v>151</v>
      </c>
      <c r="J104" s="8"/>
    </row>
    <row r="105" spans="1:17" x14ac:dyDescent="0.2">
      <c r="A105" s="128"/>
      <c r="B105" s="128"/>
      <c r="C105" s="119" t="s">
        <v>179</v>
      </c>
      <c r="D105" s="129"/>
      <c r="E105" s="129"/>
      <c r="F105" s="126">
        <v>4052.3153683999999</v>
      </c>
      <c r="G105" s="133">
        <v>1</v>
      </c>
      <c r="H105" s="120" t="s">
        <v>151</v>
      </c>
      <c r="J105" s="8"/>
    </row>
    <row r="106" spans="1:17" x14ac:dyDescent="0.2">
      <c r="A106" s="134"/>
      <c r="B106" s="134"/>
      <c r="C106" s="134"/>
      <c r="D106" s="135"/>
      <c r="E106" s="135"/>
      <c r="F106" s="135"/>
      <c r="G106" s="135"/>
      <c r="J106" s="8"/>
    </row>
    <row r="107" spans="1:17" x14ac:dyDescent="0.2">
      <c r="A107" s="136"/>
      <c r="B107" s="137" t="s">
        <v>888</v>
      </c>
      <c r="C107" s="137"/>
      <c r="D107" s="137"/>
      <c r="E107" s="137"/>
      <c r="F107" s="137"/>
      <c r="G107" s="137"/>
      <c r="H107" s="137"/>
      <c r="J107" s="8"/>
    </row>
    <row r="108" spans="1:17" x14ac:dyDescent="0.2">
      <c r="A108" s="136"/>
      <c r="B108" s="137" t="s">
        <v>889</v>
      </c>
      <c r="C108" s="137"/>
      <c r="D108" s="137"/>
      <c r="E108" s="137"/>
      <c r="F108" s="137"/>
      <c r="G108" s="137"/>
      <c r="H108" s="137"/>
      <c r="J108" s="8"/>
    </row>
    <row r="109" spans="1:17" x14ac:dyDescent="0.2">
      <c r="A109" s="136"/>
      <c r="B109" s="137" t="s">
        <v>890</v>
      </c>
      <c r="C109" s="137"/>
      <c r="D109" s="137"/>
      <c r="E109" s="137"/>
      <c r="F109" s="137"/>
      <c r="G109" s="137"/>
      <c r="H109" s="137"/>
      <c r="J109" s="8"/>
    </row>
    <row r="110" spans="1:17" s="13" customFormat="1" ht="15" x14ac:dyDescent="0.25">
      <c r="A110" s="138"/>
      <c r="B110" s="139" t="s">
        <v>891</v>
      </c>
      <c r="C110" s="139"/>
      <c r="D110" s="139"/>
      <c r="E110" s="139"/>
      <c r="F110" s="139"/>
      <c r="G110" s="139"/>
      <c r="H110" s="139"/>
      <c r="I110" s="114"/>
      <c r="J110" s="8"/>
      <c r="K110"/>
      <c r="L110"/>
      <c r="M110"/>
      <c r="N110"/>
      <c r="O110"/>
      <c r="P110"/>
      <c r="Q110"/>
    </row>
    <row r="111" spans="1:17" x14ac:dyDescent="0.2">
      <c r="A111" s="136"/>
      <c r="B111" s="137" t="s">
        <v>892</v>
      </c>
      <c r="C111" s="137"/>
      <c r="D111" s="137"/>
      <c r="E111" s="137"/>
      <c r="F111" s="137"/>
      <c r="G111" s="137"/>
      <c r="H111" s="137"/>
      <c r="J111" s="8"/>
    </row>
    <row r="112" spans="1:17" x14ac:dyDescent="0.2">
      <c r="A112" s="140"/>
      <c r="B112" s="204" t="s">
        <v>151</v>
      </c>
      <c r="C112" s="204"/>
      <c r="D112" s="204"/>
      <c r="E112" s="204"/>
      <c r="F112" s="204"/>
      <c r="G112" s="141"/>
      <c r="J112" s="8"/>
    </row>
    <row r="113" spans="1:10" x14ac:dyDescent="0.2">
      <c r="A113" s="140"/>
      <c r="B113" s="142" t="s">
        <v>180</v>
      </c>
      <c r="C113" s="143"/>
      <c r="D113" s="144"/>
      <c r="E113" s="145"/>
      <c r="F113" s="141"/>
      <c r="G113" s="141"/>
      <c r="J113" s="8"/>
    </row>
    <row r="114" spans="1:10" ht="26.25" customHeight="1" x14ac:dyDescent="0.2">
      <c r="A114" s="140"/>
      <c r="B114" s="146" t="s">
        <v>181</v>
      </c>
      <c r="C114" s="147"/>
      <c r="D114" s="119" t="s">
        <v>182</v>
      </c>
      <c r="E114" s="145"/>
      <c r="F114" s="141"/>
      <c r="G114" s="141"/>
      <c r="J114" s="8"/>
    </row>
    <row r="115" spans="1:10" x14ac:dyDescent="0.2">
      <c r="A115" s="136"/>
      <c r="B115" s="148" t="s">
        <v>893</v>
      </c>
      <c r="C115" s="149"/>
      <c r="D115" s="150" t="s">
        <v>182</v>
      </c>
      <c r="E115" s="206"/>
      <c r="F115" s="207"/>
      <c r="G115" s="207"/>
      <c r="J115" s="8"/>
    </row>
    <row r="116" spans="1:10" x14ac:dyDescent="0.2">
      <c r="A116" s="140"/>
      <c r="B116" s="146" t="s">
        <v>184</v>
      </c>
      <c r="C116" s="147"/>
      <c r="D116" s="129" t="s">
        <v>151</v>
      </c>
      <c r="E116" s="145"/>
      <c r="F116" s="141"/>
      <c r="G116" s="141"/>
      <c r="J116" s="8"/>
    </row>
    <row r="117" spans="1:10" x14ac:dyDescent="0.2">
      <c r="A117" s="151"/>
      <c r="B117" s="152" t="s">
        <v>151</v>
      </c>
      <c r="C117" s="152" t="s">
        <v>894</v>
      </c>
      <c r="D117" s="152" t="s">
        <v>185</v>
      </c>
      <c r="E117" s="151"/>
      <c r="F117" s="151"/>
      <c r="G117" s="151"/>
      <c r="H117" s="151"/>
      <c r="J117" s="8"/>
    </row>
    <row r="118" spans="1:10" x14ac:dyDescent="0.2">
      <c r="A118" s="153"/>
      <c r="B118" s="154" t="s">
        <v>186</v>
      </c>
      <c r="C118" s="155">
        <v>45535</v>
      </c>
      <c r="D118" s="155">
        <v>45565</v>
      </c>
      <c r="E118" s="153"/>
      <c r="F118" s="153"/>
      <c r="G118" s="153"/>
      <c r="J118" s="8"/>
    </row>
    <row r="119" spans="1:10" x14ac:dyDescent="0.2">
      <c r="A119" s="153"/>
      <c r="B119" s="122" t="s">
        <v>187</v>
      </c>
      <c r="C119" s="156">
        <v>30.065799999999999</v>
      </c>
      <c r="D119" s="156">
        <v>30.692</v>
      </c>
      <c r="E119" s="153"/>
      <c r="F119" s="157"/>
      <c r="G119" s="158"/>
      <c r="J119" s="8"/>
    </row>
    <row r="120" spans="1:10" x14ac:dyDescent="0.2">
      <c r="A120" s="153"/>
      <c r="B120" s="122" t="s">
        <v>1038</v>
      </c>
      <c r="C120" s="156">
        <v>28.616499999999998</v>
      </c>
      <c r="D120" s="156">
        <v>29.212499999999999</v>
      </c>
      <c r="E120" s="153"/>
      <c r="F120" s="157"/>
      <c r="G120" s="158"/>
      <c r="J120" s="8"/>
    </row>
    <row r="121" spans="1:10" x14ac:dyDescent="0.2">
      <c r="A121" s="153"/>
      <c r="B121" s="122" t="s">
        <v>188</v>
      </c>
      <c r="C121" s="156">
        <v>29.4328</v>
      </c>
      <c r="D121" s="156">
        <v>30.043099999999999</v>
      </c>
      <c r="E121" s="153"/>
      <c r="F121" s="157"/>
      <c r="G121" s="158"/>
      <c r="J121" s="8"/>
    </row>
    <row r="122" spans="1:10" x14ac:dyDescent="0.2">
      <c r="A122" s="153"/>
      <c r="B122" s="122" t="s">
        <v>1039</v>
      </c>
      <c r="C122" s="156">
        <v>27.984400000000001</v>
      </c>
      <c r="D122" s="156">
        <v>28.564599999999999</v>
      </c>
      <c r="E122" s="153"/>
      <c r="F122" s="157"/>
      <c r="G122" s="158"/>
      <c r="J122" s="8"/>
    </row>
    <row r="123" spans="1:10" x14ac:dyDescent="0.2">
      <c r="A123" s="153"/>
      <c r="B123" s="153"/>
      <c r="C123" s="153"/>
      <c r="D123" s="153"/>
      <c r="E123" s="153"/>
      <c r="F123" s="153"/>
      <c r="G123" s="153"/>
      <c r="J123" s="8"/>
    </row>
    <row r="124" spans="1:10" x14ac:dyDescent="0.2">
      <c r="A124" s="151"/>
      <c r="B124" s="148" t="s">
        <v>895</v>
      </c>
      <c r="C124" s="149"/>
      <c r="D124" s="150" t="s">
        <v>182</v>
      </c>
      <c r="E124" s="151"/>
      <c r="F124" s="151"/>
      <c r="G124" s="151"/>
      <c r="J124" s="8"/>
    </row>
    <row r="125" spans="1:10" x14ac:dyDescent="0.2">
      <c r="A125" s="151"/>
      <c r="B125" s="201"/>
      <c r="C125" s="201"/>
      <c r="D125" s="201"/>
      <c r="E125" s="151"/>
      <c r="F125" s="151"/>
      <c r="G125" s="151"/>
      <c r="J125" s="8"/>
    </row>
    <row r="126" spans="1:10" x14ac:dyDescent="0.2">
      <c r="A126" s="151"/>
      <c r="B126" s="148" t="s">
        <v>189</v>
      </c>
      <c r="C126" s="149"/>
      <c r="D126" s="150" t="s">
        <v>182</v>
      </c>
      <c r="E126" s="160"/>
      <c r="F126" s="151"/>
      <c r="G126" s="151"/>
      <c r="J126" s="8"/>
    </row>
    <row r="127" spans="1:10" x14ac:dyDescent="0.2">
      <c r="A127" s="151"/>
      <c r="B127" s="148" t="s">
        <v>190</v>
      </c>
      <c r="C127" s="149"/>
      <c r="D127" s="150" t="s">
        <v>182</v>
      </c>
      <c r="E127" s="160"/>
      <c r="F127" s="151"/>
      <c r="G127" s="151"/>
      <c r="J127" s="8"/>
    </row>
    <row r="128" spans="1:10" x14ac:dyDescent="0.2">
      <c r="A128" s="151"/>
      <c r="B128" s="148" t="s">
        <v>191</v>
      </c>
      <c r="C128" s="149"/>
      <c r="D128" s="150" t="s">
        <v>182</v>
      </c>
      <c r="E128" s="160"/>
      <c r="F128" s="151"/>
      <c r="G128" s="151"/>
      <c r="J128" s="8"/>
    </row>
    <row r="129" spans="1:10" x14ac:dyDescent="0.2">
      <c r="A129" s="151"/>
      <c r="B129" s="148" t="s">
        <v>192</v>
      </c>
      <c r="C129" s="149"/>
      <c r="D129" s="161">
        <v>0.32450581753000118</v>
      </c>
      <c r="E129" s="151"/>
      <c r="F129" s="159"/>
      <c r="G129" s="162"/>
      <c r="J129" s="8"/>
    </row>
    <row r="130" spans="1:10" x14ac:dyDescent="0.2">
      <c r="J130" s="8"/>
    </row>
    <row r="131" spans="1:10" x14ac:dyDescent="0.2">
      <c r="J131" s="8"/>
    </row>
  </sheetData>
  <mergeCells count="18">
    <mergeCell ref="B115:C115"/>
    <mergeCell ref="B116:C116"/>
    <mergeCell ref="B124:C124"/>
    <mergeCell ref="B128:C128"/>
    <mergeCell ref="B129:C129"/>
    <mergeCell ref="B126:C126"/>
    <mergeCell ref="B127:C127"/>
    <mergeCell ref="B114:C114"/>
    <mergeCell ref="A1:H1"/>
    <mergeCell ref="A2:H2"/>
    <mergeCell ref="A3:H3"/>
    <mergeCell ref="B107:H107"/>
    <mergeCell ref="B108:H108"/>
    <mergeCell ref="B109:H109"/>
    <mergeCell ref="B110:H110"/>
    <mergeCell ref="B111:H111"/>
    <mergeCell ref="B112:F112"/>
    <mergeCell ref="B113:D113"/>
  </mergeCells>
  <hyperlinks>
    <hyperlink ref="I1" location="Index!B2" display="Index" xr:uid="{54BF7389-A992-4304-8A42-04156F05728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66098-CB3A-4A52-A584-4C59E9F6C553}">
  <sheetPr>
    <outlinePr summaryBelow="0" summaryRight="0"/>
  </sheetPr>
  <dimension ref="A1:Q134"/>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36.85546875" style="114" customWidth="1"/>
    <col min="4" max="4" width="17.570312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482</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362</v>
      </c>
      <c r="C7" s="122" t="s">
        <v>363</v>
      </c>
      <c r="D7" s="122" t="s">
        <v>241</v>
      </c>
      <c r="E7" s="123">
        <v>3743</v>
      </c>
      <c r="F7" s="124">
        <v>211.86502899999999</v>
      </c>
      <c r="G7" s="125">
        <v>6.109527E-2</v>
      </c>
      <c r="H7" s="120" t="s">
        <v>151</v>
      </c>
      <c r="J7" s="8"/>
    </row>
    <row r="8" spans="1:10" x14ac:dyDescent="0.2">
      <c r="A8" s="121">
        <v>2</v>
      </c>
      <c r="B8" s="122" t="s">
        <v>407</v>
      </c>
      <c r="C8" s="122" t="s">
        <v>408</v>
      </c>
      <c r="D8" s="122" t="s">
        <v>35</v>
      </c>
      <c r="E8" s="123">
        <v>6658</v>
      </c>
      <c r="F8" s="124">
        <v>156.53290899999999</v>
      </c>
      <c r="G8" s="125">
        <v>4.5139209999999999E-2</v>
      </c>
      <c r="H8" s="120" t="s">
        <v>151</v>
      </c>
      <c r="J8" s="8"/>
    </row>
    <row r="9" spans="1:10" x14ac:dyDescent="0.2">
      <c r="A9" s="121">
        <v>3</v>
      </c>
      <c r="B9" s="122" t="s">
        <v>409</v>
      </c>
      <c r="C9" s="122" t="s">
        <v>410</v>
      </c>
      <c r="D9" s="122" t="s">
        <v>238</v>
      </c>
      <c r="E9" s="123">
        <v>43035</v>
      </c>
      <c r="F9" s="124">
        <v>153.69950249999999</v>
      </c>
      <c r="G9" s="125">
        <v>4.4322140000000003E-2</v>
      </c>
      <c r="H9" s="120" t="s">
        <v>151</v>
      </c>
      <c r="J9" s="8"/>
    </row>
    <row r="10" spans="1:10" x14ac:dyDescent="0.2">
      <c r="A10" s="121">
        <v>4</v>
      </c>
      <c r="B10" s="122" t="s">
        <v>145</v>
      </c>
      <c r="C10" s="122" t="s">
        <v>146</v>
      </c>
      <c r="D10" s="122" t="s">
        <v>35</v>
      </c>
      <c r="E10" s="123">
        <v>39512</v>
      </c>
      <c r="F10" s="124">
        <v>153.38558399999999</v>
      </c>
      <c r="G10" s="125">
        <v>4.4231619999999999E-2</v>
      </c>
      <c r="H10" s="120" t="s">
        <v>151</v>
      </c>
      <c r="J10" s="8"/>
    </row>
    <row r="11" spans="1:10" x14ac:dyDescent="0.2">
      <c r="A11" s="121">
        <v>5</v>
      </c>
      <c r="B11" s="122" t="s">
        <v>43</v>
      </c>
      <c r="C11" s="122" t="s">
        <v>44</v>
      </c>
      <c r="D11" s="122" t="s">
        <v>45</v>
      </c>
      <c r="E11" s="123">
        <v>10499</v>
      </c>
      <c r="F11" s="124">
        <v>148.77607950000001</v>
      </c>
      <c r="G11" s="125">
        <v>4.2902379999999997E-2</v>
      </c>
      <c r="H11" s="120" t="s">
        <v>151</v>
      </c>
      <c r="J11" s="8"/>
    </row>
    <row r="12" spans="1:10" ht="15" x14ac:dyDescent="0.2">
      <c r="A12" s="121">
        <v>6</v>
      </c>
      <c r="B12" s="122" t="s">
        <v>393</v>
      </c>
      <c r="C12" s="122" t="s">
        <v>394</v>
      </c>
      <c r="D12" s="122" t="s">
        <v>395</v>
      </c>
      <c r="E12" s="123">
        <v>8793</v>
      </c>
      <c r="F12" s="124">
        <v>139.668012</v>
      </c>
      <c r="G12" s="125">
        <v>4.0275900000000003E-2</v>
      </c>
      <c r="H12" s="120" t="s">
        <v>151</v>
      </c>
      <c r="J12" s="11"/>
    </row>
    <row r="13" spans="1:10" x14ac:dyDescent="0.2">
      <c r="A13" s="121">
        <v>7</v>
      </c>
      <c r="B13" s="122" t="s">
        <v>39</v>
      </c>
      <c r="C13" s="122" t="s">
        <v>40</v>
      </c>
      <c r="D13" s="122" t="s">
        <v>32</v>
      </c>
      <c r="E13" s="123">
        <v>15343</v>
      </c>
      <c r="F13" s="124">
        <v>137.97959900000001</v>
      </c>
      <c r="G13" s="125">
        <v>3.978901E-2</v>
      </c>
      <c r="H13" s="120" t="s">
        <v>151</v>
      </c>
      <c r="J13" s="8"/>
    </row>
    <row r="14" spans="1:10" x14ac:dyDescent="0.2">
      <c r="A14" s="121">
        <v>8</v>
      </c>
      <c r="B14" s="122" t="s">
        <v>89</v>
      </c>
      <c r="C14" s="122" t="s">
        <v>90</v>
      </c>
      <c r="D14" s="122" t="s">
        <v>32</v>
      </c>
      <c r="E14" s="123">
        <v>2963</v>
      </c>
      <c r="F14" s="124">
        <v>127.328999</v>
      </c>
      <c r="G14" s="125">
        <v>3.6717710000000001E-2</v>
      </c>
      <c r="H14" s="120" t="s">
        <v>151</v>
      </c>
      <c r="J14" s="8"/>
    </row>
    <row r="15" spans="1:10" x14ac:dyDescent="0.2">
      <c r="A15" s="121">
        <v>9</v>
      </c>
      <c r="B15" s="122" t="s">
        <v>411</v>
      </c>
      <c r="C15" s="122" t="s">
        <v>412</v>
      </c>
      <c r="D15" s="122" t="s">
        <v>211</v>
      </c>
      <c r="E15" s="123">
        <v>28701</v>
      </c>
      <c r="F15" s="124">
        <v>119.137851</v>
      </c>
      <c r="G15" s="125">
        <v>3.435564E-2</v>
      </c>
      <c r="H15" s="120" t="s">
        <v>151</v>
      </c>
      <c r="J15" s="8"/>
    </row>
    <row r="16" spans="1:10" x14ac:dyDescent="0.2">
      <c r="A16" s="121">
        <v>10</v>
      </c>
      <c r="B16" s="122" t="s">
        <v>432</v>
      </c>
      <c r="C16" s="122" t="s">
        <v>433</v>
      </c>
      <c r="D16" s="122" t="s">
        <v>241</v>
      </c>
      <c r="E16" s="123">
        <v>4435</v>
      </c>
      <c r="F16" s="124">
        <v>113.611395</v>
      </c>
      <c r="G16" s="125">
        <v>3.2761980000000003E-2</v>
      </c>
      <c r="H16" s="120" t="s">
        <v>151</v>
      </c>
      <c r="J16" s="8" t="s">
        <v>898</v>
      </c>
    </row>
    <row r="17" spans="1:10" x14ac:dyDescent="0.2">
      <c r="A17" s="121">
        <v>11</v>
      </c>
      <c r="B17" s="122" t="s">
        <v>413</v>
      </c>
      <c r="C17" s="122" t="s">
        <v>414</v>
      </c>
      <c r="D17" s="122" t="s">
        <v>48</v>
      </c>
      <c r="E17" s="123">
        <v>141618</v>
      </c>
      <c r="F17" s="124">
        <v>109.3432578</v>
      </c>
      <c r="G17" s="125">
        <v>3.1531190000000001E-2</v>
      </c>
      <c r="H17" s="120" t="s">
        <v>151</v>
      </c>
      <c r="J17" s="8"/>
    </row>
    <row r="18" spans="1:10" x14ac:dyDescent="0.2">
      <c r="A18" s="121">
        <v>12</v>
      </c>
      <c r="B18" s="122" t="s">
        <v>428</v>
      </c>
      <c r="C18" s="122" t="s">
        <v>429</v>
      </c>
      <c r="D18" s="122" t="s">
        <v>121</v>
      </c>
      <c r="E18" s="123">
        <v>12229</v>
      </c>
      <c r="F18" s="124">
        <v>109.1132525</v>
      </c>
      <c r="G18" s="125">
        <v>3.1464859999999997E-2</v>
      </c>
      <c r="H18" s="120" t="s">
        <v>151</v>
      </c>
      <c r="J18" s="8"/>
    </row>
    <row r="19" spans="1:10" ht="25.5" x14ac:dyDescent="0.2">
      <c r="A19" s="121">
        <v>13</v>
      </c>
      <c r="B19" s="122" t="s">
        <v>324</v>
      </c>
      <c r="C19" s="122" t="s">
        <v>325</v>
      </c>
      <c r="D19" s="122" t="s">
        <v>258</v>
      </c>
      <c r="E19" s="123">
        <v>2841</v>
      </c>
      <c r="F19" s="124">
        <v>97.768753500000003</v>
      </c>
      <c r="G19" s="125">
        <v>2.819346E-2</v>
      </c>
      <c r="H19" s="120" t="s">
        <v>151</v>
      </c>
      <c r="J19" s="8"/>
    </row>
    <row r="20" spans="1:10" x14ac:dyDescent="0.2">
      <c r="A20" s="121">
        <v>14</v>
      </c>
      <c r="B20" s="122" t="s">
        <v>420</v>
      </c>
      <c r="C20" s="122" t="s">
        <v>421</v>
      </c>
      <c r="D20" s="122" t="s">
        <v>48</v>
      </c>
      <c r="E20" s="123">
        <v>241296</v>
      </c>
      <c r="F20" s="124">
        <v>97.555972800000006</v>
      </c>
      <c r="G20" s="125">
        <v>2.81321E-2</v>
      </c>
      <c r="H20" s="120" t="s">
        <v>151</v>
      </c>
      <c r="J20" s="8"/>
    </row>
    <row r="21" spans="1:10" x14ac:dyDescent="0.2">
      <c r="A21" s="121">
        <v>15</v>
      </c>
      <c r="B21" s="122" t="s">
        <v>415</v>
      </c>
      <c r="C21" s="122" t="s">
        <v>416</v>
      </c>
      <c r="D21" s="122" t="s">
        <v>417</v>
      </c>
      <c r="E21" s="123">
        <v>5857</v>
      </c>
      <c r="F21" s="124">
        <v>97.439980500000004</v>
      </c>
      <c r="G21" s="125">
        <v>2.8098649999999999E-2</v>
      </c>
      <c r="H21" s="120" t="s">
        <v>151</v>
      </c>
      <c r="J21" s="8"/>
    </row>
    <row r="22" spans="1:10" ht="15" x14ac:dyDescent="0.2">
      <c r="A22" s="121">
        <v>16</v>
      </c>
      <c r="B22" s="122" t="s">
        <v>424</v>
      </c>
      <c r="C22" s="122" t="s">
        <v>425</v>
      </c>
      <c r="D22" s="122" t="s">
        <v>48</v>
      </c>
      <c r="E22" s="123">
        <v>31040</v>
      </c>
      <c r="F22" s="124">
        <v>97.263840000000002</v>
      </c>
      <c r="G22" s="125">
        <v>2.8047860000000001E-2</v>
      </c>
      <c r="H22" s="120" t="s">
        <v>151</v>
      </c>
      <c r="J22" s="11"/>
    </row>
    <row r="23" spans="1:10" x14ac:dyDescent="0.2">
      <c r="A23" s="121">
        <v>17</v>
      </c>
      <c r="B23" s="122" t="s">
        <v>422</v>
      </c>
      <c r="C23" s="122" t="s">
        <v>423</v>
      </c>
      <c r="D23" s="122" t="s">
        <v>216</v>
      </c>
      <c r="E23" s="123">
        <v>13180</v>
      </c>
      <c r="F23" s="124">
        <v>96.622579999999999</v>
      </c>
      <c r="G23" s="125">
        <v>2.7862939999999999E-2</v>
      </c>
      <c r="H23" s="120" t="s">
        <v>151</v>
      </c>
      <c r="J23" s="8"/>
    </row>
    <row r="24" spans="1:10" x14ac:dyDescent="0.2">
      <c r="A24" s="121">
        <v>18</v>
      </c>
      <c r="B24" s="122" t="s">
        <v>443</v>
      </c>
      <c r="C24" s="122" t="s">
        <v>444</v>
      </c>
      <c r="D24" s="122" t="s">
        <v>216</v>
      </c>
      <c r="E24" s="123">
        <v>15429</v>
      </c>
      <c r="F24" s="124">
        <v>92.867151000000007</v>
      </c>
      <c r="G24" s="125">
        <v>2.677999E-2</v>
      </c>
      <c r="H24" s="120" t="s">
        <v>151</v>
      </c>
      <c r="J24" s="8"/>
    </row>
    <row r="25" spans="1:10" ht="25.5" x14ac:dyDescent="0.2">
      <c r="A25" s="121">
        <v>19</v>
      </c>
      <c r="B25" s="122" t="s">
        <v>434</v>
      </c>
      <c r="C25" s="122" t="s">
        <v>435</v>
      </c>
      <c r="D25" s="122" t="s">
        <v>436</v>
      </c>
      <c r="E25" s="123">
        <v>21854</v>
      </c>
      <c r="F25" s="124">
        <v>91.262304</v>
      </c>
      <c r="G25" s="125">
        <v>2.6317199999999999E-2</v>
      </c>
      <c r="H25" s="120" t="s">
        <v>151</v>
      </c>
      <c r="J25" s="8"/>
    </row>
    <row r="26" spans="1:10" x14ac:dyDescent="0.2">
      <c r="A26" s="121">
        <v>20</v>
      </c>
      <c r="B26" s="122" t="s">
        <v>223</v>
      </c>
      <c r="C26" s="122" t="s">
        <v>224</v>
      </c>
      <c r="D26" s="122" t="s">
        <v>121</v>
      </c>
      <c r="E26" s="123">
        <v>601</v>
      </c>
      <c r="F26" s="124">
        <v>85.980562500000005</v>
      </c>
      <c r="G26" s="125">
        <v>2.4794110000000001E-2</v>
      </c>
      <c r="H26" s="120" t="s">
        <v>151</v>
      </c>
      <c r="J26" s="8"/>
    </row>
    <row r="27" spans="1:10" ht="25.5" x14ac:dyDescent="0.2">
      <c r="A27" s="121">
        <v>21</v>
      </c>
      <c r="B27" s="122" t="s">
        <v>430</v>
      </c>
      <c r="C27" s="122" t="s">
        <v>431</v>
      </c>
      <c r="D27" s="122" t="s">
        <v>205</v>
      </c>
      <c r="E27" s="123">
        <v>1573</v>
      </c>
      <c r="F27" s="124">
        <v>85.345474499999995</v>
      </c>
      <c r="G27" s="125">
        <v>2.4610969999999999E-2</v>
      </c>
      <c r="H27" s="120" t="s">
        <v>151</v>
      </c>
      <c r="J27" s="8"/>
    </row>
    <row r="28" spans="1:10" x14ac:dyDescent="0.2">
      <c r="A28" s="121">
        <v>22</v>
      </c>
      <c r="B28" s="122" t="s">
        <v>61</v>
      </c>
      <c r="C28" s="122" t="s">
        <v>62</v>
      </c>
      <c r="D28" s="122" t="s">
        <v>13</v>
      </c>
      <c r="E28" s="123">
        <v>6049</v>
      </c>
      <c r="F28" s="124">
        <v>82.704952500000005</v>
      </c>
      <c r="G28" s="125">
        <v>2.3849530000000001E-2</v>
      </c>
      <c r="H28" s="120" t="s">
        <v>151</v>
      </c>
      <c r="J28" s="8"/>
    </row>
    <row r="29" spans="1:10" x14ac:dyDescent="0.2">
      <c r="A29" s="121">
        <v>23</v>
      </c>
      <c r="B29" s="122" t="s">
        <v>439</v>
      </c>
      <c r="C29" s="122" t="s">
        <v>440</v>
      </c>
      <c r="D29" s="122" t="s">
        <v>238</v>
      </c>
      <c r="E29" s="123">
        <v>8090</v>
      </c>
      <c r="F29" s="124">
        <v>76.397914999999998</v>
      </c>
      <c r="G29" s="125">
        <v>2.203078E-2</v>
      </c>
      <c r="H29" s="120" t="s">
        <v>151</v>
      </c>
      <c r="J29" s="8"/>
    </row>
    <row r="30" spans="1:10" x14ac:dyDescent="0.2">
      <c r="A30" s="121">
        <v>24</v>
      </c>
      <c r="B30" s="122" t="s">
        <v>30</v>
      </c>
      <c r="C30" s="122" t="s">
        <v>31</v>
      </c>
      <c r="D30" s="122" t="s">
        <v>32</v>
      </c>
      <c r="E30" s="123">
        <v>1222</v>
      </c>
      <c r="F30" s="124">
        <v>75.540985000000006</v>
      </c>
      <c r="G30" s="125">
        <v>2.1783670000000002E-2</v>
      </c>
      <c r="H30" s="120" t="s">
        <v>151</v>
      </c>
      <c r="J30" s="8"/>
    </row>
    <row r="31" spans="1:10" x14ac:dyDescent="0.2">
      <c r="A31" s="121">
        <v>25</v>
      </c>
      <c r="B31" s="122" t="s">
        <v>100</v>
      </c>
      <c r="C31" s="122" t="s">
        <v>101</v>
      </c>
      <c r="D31" s="122" t="s">
        <v>32</v>
      </c>
      <c r="E31" s="123">
        <v>3026</v>
      </c>
      <c r="F31" s="124">
        <v>72.790430000000001</v>
      </c>
      <c r="G31" s="125">
        <v>2.0990490000000001E-2</v>
      </c>
      <c r="H31" s="120" t="s">
        <v>151</v>
      </c>
      <c r="J31" s="8"/>
    </row>
    <row r="32" spans="1:10" x14ac:dyDescent="0.2">
      <c r="A32" s="121">
        <v>26</v>
      </c>
      <c r="B32" s="122" t="s">
        <v>437</v>
      </c>
      <c r="C32" s="122" t="s">
        <v>438</v>
      </c>
      <c r="D32" s="122" t="s">
        <v>32</v>
      </c>
      <c r="E32" s="123">
        <v>11627</v>
      </c>
      <c r="F32" s="124">
        <v>70.494501</v>
      </c>
      <c r="G32" s="125">
        <v>2.032842E-2</v>
      </c>
      <c r="H32" s="120" t="s">
        <v>151</v>
      </c>
      <c r="J32" s="8"/>
    </row>
    <row r="33" spans="1:10" ht="25.5" x14ac:dyDescent="0.2">
      <c r="A33" s="121">
        <v>27</v>
      </c>
      <c r="B33" s="122" t="s">
        <v>304</v>
      </c>
      <c r="C33" s="122" t="s">
        <v>305</v>
      </c>
      <c r="D33" s="122" t="s">
        <v>205</v>
      </c>
      <c r="E33" s="123">
        <v>15078</v>
      </c>
      <c r="F33" s="124">
        <v>69.901607999999996</v>
      </c>
      <c r="G33" s="125">
        <v>2.0157439999999999E-2</v>
      </c>
      <c r="H33" s="120" t="s">
        <v>151</v>
      </c>
      <c r="J33" s="8"/>
    </row>
    <row r="34" spans="1:10" x14ac:dyDescent="0.2">
      <c r="A34" s="121">
        <v>28</v>
      </c>
      <c r="B34" s="122" t="s">
        <v>244</v>
      </c>
      <c r="C34" s="122" t="s">
        <v>245</v>
      </c>
      <c r="D34" s="122" t="s">
        <v>121</v>
      </c>
      <c r="E34" s="123">
        <v>3287</v>
      </c>
      <c r="F34" s="124">
        <v>67.176418999999996</v>
      </c>
      <c r="G34" s="125">
        <v>1.9371579999999999E-2</v>
      </c>
      <c r="H34" s="120" t="s">
        <v>151</v>
      </c>
      <c r="J34" s="8"/>
    </row>
    <row r="35" spans="1:10" ht="25.5" x14ac:dyDescent="0.2">
      <c r="A35" s="121">
        <v>29</v>
      </c>
      <c r="B35" s="122" t="s">
        <v>77</v>
      </c>
      <c r="C35" s="122" t="s">
        <v>78</v>
      </c>
      <c r="D35" s="122" t="s">
        <v>25</v>
      </c>
      <c r="E35" s="123">
        <v>1255</v>
      </c>
      <c r="F35" s="124">
        <v>58.273415</v>
      </c>
      <c r="G35" s="125">
        <v>1.6804240000000002E-2</v>
      </c>
      <c r="H35" s="120" t="s">
        <v>151</v>
      </c>
      <c r="J35" s="8"/>
    </row>
    <row r="36" spans="1:10" x14ac:dyDescent="0.2">
      <c r="A36" s="121">
        <v>30</v>
      </c>
      <c r="B36" s="122" t="s">
        <v>477</v>
      </c>
      <c r="C36" s="122" t="s">
        <v>478</v>
      </c>
      <c r="D36" s="122" t="s">
        <v>32</v>
      </c>
      <c r="E36" s="123">
        <v>8418</v>
      </c>
      <c r="F36" s="124">
        <v>54.413952000000002</v>
      </c>
      <c r="G36" s="125">
        <v>1.569129E-2</v>
      </c>
      <c r="H36" s="120" t="s">
        <v>151</v>
      </c>
      <c r="J36" s="8"/>
    </row>
    <row r="37" spans="1:10" ht="25.5" x14ac:dyDescent="0.2">
      <c r="A37" s="121">
        <v>31</v>
      </c>
      <c r="B37" s="122" t="s">
        <v>479</v>
      </c>
      <c r="C37" s="122" t="s">
        <v>480</v>
      </c>
      <c r="D37" s="122" t="s">
        <v>35</v>
      </c>
      <c r="E37" s="123">
        <v>2020</v>
      </c>
      <c r="F37" s="124">
        <v>47.225580000000001</v>
      </c>
      <c r="G37" s="125">
        <v>1.3618389999999999E-2</v>
      </c>
      <c r="H37" s="120" t="s">
        <v>151</v>
      </c>
      <c r="J37" s="8"/>
    </row>
    <row r="38" spans="1:10" x14ac:dyDescent="0.2">
      <c r="A38" s="121">
        <v>32</v>
      </c>
      <c r="B38" s="122" t="s">
        <v>445</v>
      </c>
      <c r="C38" s="122" t="s">
        <v>446</v>
      </c>
      <c r="D38" s="122" t="s">
        <v>35</v>
      </c>
      <c r="E38" s="123">
        <v>4636</v>
      </c>
      <c r="F38" s="124">
        <v>45.500022000000001</v>
      </c>
      <c r="G38" s="125">
        <v>1.312079E-2</v>
      </c>
      <c r="H38" s="120" t="s">
        <v>151</v>
      </c>
      <c r="J38" s="8"/>
    </row>
    <row r="39" spans="1:10" x14ac:dyDescent="0.2">
      <c r="A39" s="121">
        <v>33</v>
      </c>
      <c r="B39" s="122" t="s">
        <v>441</v>
      </c>
      <c r="C39" s="122" t="s">
        <v>442</v>
      </c>
      <c r="D39" s="122" t="s">
        <v>35</v>
      </c>
      <c r="E39" s="123">
        <v>4812</v>
      </c>
      <c r="F39" s="124">
        <v>42.781086000000002</v>
      </c>
      <c r="G39" s="125">
        <v>1.2336730000000001E-2</v>
      </c>
      <c r="H39" s="120" t="s">
        <v>151</v>
      </c>
      <c r="J39" s="8"/>
    </row>
    <row r="40" spans="1:10" x14ac:dyDescent="0.2">
      <c r="A40" s="121">
        <v>34</v>
      </c>
      <c r="B40" s="122" t="s">
        <v>449</v>
      </c>
      <c r="C40" s="122" t="s">
        <v>450</v>
      </c>
      <c r="D40" s="122" t="s">
        <v>121</v>
      </c>
      <c r="E40" s="123">
        <v>3068</v>
      </c>
      <c r="F40" s="124">
        <v>36.398752000000002</v>
      </c>
      <c r="G40" s="125">
        <v>1.049627E-2</v>
      </c>
      <c r="H40" s="120" t="s">
        <v>151</v>
      </c>
      <c r="J40" s="8"/>
    </row>
    <row r="41" spans="1:10" x14ac:dyDescent="0.2">
      <c r="A41" s="121">
        <v>35</v>
      </c>
      <c r="B41" s="122" t="s">
        <v>384</v>
      </c>
      <c r="C41" s="122" t="s">
        <v>385</v>
      </c>
      <c r="D41" s="122" t="s">
        <v>134</v>
      </c>
      <c r="E41" s="123">
        <v>19513</v>
      </c>
      <c r="F41" s="124">
        <v>32.8891615</v>
      </c>
      <c r="G41" s="125">
        <v>9.4842099999999999E-3</v>
      </c>
      <c r="H41" s="120" t="s">
        <v>151</v>
      </c>
      <c r="J41" s="8"/>
    </row>
    <row r="42" spans="1:10" x14ac:dyDescent="0.2">
      <c r="A42" s="121">
        <v>36</v>
      </c>
      <c r="B42" s="122" t="s">
        <v>418</v>
      </c>
      <c r="C42" s="122" t="s">
        <v>419</v>
      </c>
      <c r="D42" s="122" t="s">
        <v>32</v>
      </c>
      <c r="E42" s="123">
        <v>2350</v>
      </c>
      <c r="F42" s="124">
        <v>32.272550000000003</v>
      </c>
      <c r="G42" s="125">
        <v>9.3063999999999994E-3</v>
      </c>
      <c r="H42" s="120" t="s">
        <v>151</v>
      </c>
      <c r="J42" s="8"/>
    </row>
    <row r="43" spans="1:10" x14ac:dyDescent="0.2">
      <c r="A43" s="121">
        <v>37</v>
      </c>
      <c r="B43" s="122" t="s">
        <v>457</v>
      </c>
      <c r="C43" s="122" t="s">
        <v>458</v>
      </c>
      <c r="D43" s="122" t="s">
        <v>70</v>
      </c>
      <c r="E43" s="123">
        <v>4242</v>
      </c>
      <c r="F43" s="124">
        <v>25.449878999999999</v>
      </c>
      <c r="G43" s="125">
        <v>7.3389500000000003E-3</v>
      </c>
      <c r="H43" s="120" t="s">
        <v>151</v>
      </c>
      <c r="J43" s="8"/>
    </row>
    <row r="44" spans="1:10" x14ac:dyDescent="0.2">
      <c r="A44" s="118"/>
      <c r="B44" s="118"/>
      <c r="C44" s="119" t="s">
        <v>150</v>
      </c>
      <c r="D44" s="118"/>
      <c r="E44" s="118" t="s">
        <v>151</v>
      </c>
      <c r="F44" s="126">
        <v>3412.7592970999999</v>
      </c>
      <c r="G44" s="127">
        <v>0.98413337000000001</v>
      </c>
      <c r="H44" s="120" t="s">
        <v>151</v>
      </c>
      <c r="J44" s="8"/>
    </row>
    <row r="45" spans="1:10" x14ac:dyDescent="0.2">
      <c r="A45" s="118"/>
      <c r="B45" s="118"/>
      <c r="C45" s="128"/>
      <c r="D45" s="118"/>
      <c r="E45" s="118"/>
      <c r="F45" s="129"/>
      <c r="G45" s="129"/>
      <c r="H45" s="120" t="s">
        <v>151</v>
      </c>
      <c r="J45" s="8"/>
    </row>
    <row r="46" spans="1:10" x14ac:dyDescent="0.2">
      <c r="A46" s="118"/>
      <c r="B46" s="118"/>
      <c r="C46" s="119" t="s">
        <v>152</v>
      </c>
      <c r="D46" s="118"/>
      <c r="E46" s="118"/>
      <c r="F46" s="118"/>
      <c r="G46" s="118"/>
      <c r="H46" s="120" t="s">
        <v>151</v>
      </c>
      <c r="J46" s="8"/>
    </row>
    <row r="47" spans="1:10" x14ac:dyDescent="0.2">
      <c r="A47" s="118"/>
      <c r="B47" s="118"/>
      <c r="C47" s="119" t="s">
        <v>150</v>
      </c>
      <c r="D47" s="118"/>
      <c r="E47" s="118" t="s">
        <v>151</v>
      </c>
      <c r="F47" s="130" t="s">
        <v>153</v>
      </c>
      <c r="G47" s="127">
        <v>0</v>
      </c>
      <c r="H47" s="120" t="s">
        <v>151</v>
      </c>
      <c r="J47" s="8"/>
    </row>
    <row r="48" spans="1:10" x14ac:dyDescent="0.2">
      <c r="A48" s="118"/>
      <c r="B48" s="118"/>
      <c r="C48" s="128"/>
      <c r="D48" s="118"/>
      <c r="E48" s="118"/>
      <c r="F48" s="129"/>
      <c r="G48" s="129"/>
      <c r="H48" s="120" t="s">
        <v>151</v>
      </c>
      <c r="J48" s="8"/>
    </row>
    <row r="49" spans="1:10" x14ac:dyDescent="0.2">
      <c r="A49" s="118"/>
      <c r="B49" s="118"/>
      <c r="C49" s="119" t="s">
        <v>154</v>
      </c>
      <c r="D49" s="118"/>
      <c r="E49" s="118"/>
      <c r="F49" s="118"/>
      <c r="G49" s="118"/>
      <c r="H49" s="120" t="s">
        <v>151</v>
      </c>
      <c r="J49" s="8"/>
    </row>
    <row r="50" spans="1:10" x14ac:dyDescent="0.2">
      <c r="A50" s="118"/>
      <c r="B50" s="118"/>
      <c r="C50" s="119" t="s">
        <v>150</v>
      </c>
      <c r="D50" s="118"/>
      <c r="E50" s="118" t="s">
        <v>151</v>
      </c>
      <c r="F50" s="130" t="s">
        <v>153</v>
      </c>
      <c r="G50" s="127">
        <v>0</v>
      </c>
      <c r="H50" s="120" t="s">
        <v>151</v>
      </c>
      <c r="J50" s="8"/>
    </row>
    <row r="51" spans="1:10" x14ac:dyDescent="0.2">
      <c r="A51" s="118"/>
      <c r="B51" s="118"/>
      <c r="C51" s="128"/>
      <c r="D51" s="118"/>
      <c r="E51" s="118"/>
      <c r="F51" s="129"/>
      <c r="G51" s="129"/>
      <c r="H51" s="120" t="s">
        <v>151</v>
      </c>
      <c r="J51" s="8"/>
    </row>
    <row r="52" spans="1:10" x14ac:dyDescent="0.2">
      <c r="A52" s="118"/>
      <c r="B52" s="118"/>
      <c r="C52" s="119" t="s">
        <v>155</v>
      </c>
      <c r="D52" s="118"/>
      <c r="E52" s="118"/>
      <c r="F52" s="118"/>
      <c r="G52" s="118"/>
      <c r="H52" s="120" t="s">
        <v>151</v>
      </c>
      <c r="J52" s="8"/>
    </row>
    <row r="53" spans="1:10" x14ac:dyDescent="0.2">
      <c r="A53" s="118"/>
      <c r="B53" s="118"/>
      <c r="C53" s="119" t="s">
        <v>150</v>
      </c>
      <c r="D53" s="118"/>
      <c r="E53" s="118" t="s">
        <v>151</v>
      </c>
      <c r="F53" s="130" t="s">
        <v>153</v>
      </c>
      <c r="G53" s="127">
        <v>0</v>
      </c>
      <c r="H53" s="120" t="s">
        <v>151</v>
      </c>
      <c r="J53" s="8"/>
    </row>
    <row r="54" spans="1:10" x14ac:dyDescent="0.2">
      <c r="A54" s="118"/>
      <c r="B54" s="118"/>
      <c r="C54" s="128"/>
      <c r="D54" s="118"/>
      <c r="E54" s="118"/>
      <c r="F54" s="129"/>
      <c r="G54" s="129"/>
      <c r="H54" s="120" t="s">
        <v>151</v>
      </c>
      <c r="J54" s="8"/>
    </row>
    <row r="55" spans="1:10" x14ac:dyDescent="0.2">
      <c r="A55" s="118"/>
      <c r="B55" s="118"/>
      <c r="C55" s="119" t="s">
        <v>156</v>
      </c>
      <c r="D55" s="118"/>
      <c r="E55" s="118"/>
      <c r="F55" s="129"/>
      <c r="G55" s="129"/>
      <c r="H55" s="120" t="s">
        <v>151</v>
      </c>
      <c r="J55" s="8"/>
    </row>
    <row r="56" spans="1:10" x14ac:dyDescent="0.2">
      <c r="A56" s="118"/>
      <c r="B56" s="118"/>
      <c r="C56" s="119" t="s">
        <v>150</v>
      </c>
      <c r="D56" s="118"/>
      <c r="E56" s="118" t="s">
        <v>151</v>
      </c>
      <c r="F56" s="130" t="s">
        <v>153</v>
      </c>
      <c r="G56" s="127">
        <v>0</v>
      </c>
      <c r="H56" s="120" t="s">
        <v>151</v>
      </c>
      <c r="J56" s="8"/>
    </row>
    <row r="57" spans="1:10" x14ac:dyDescent="0.2">
      <c r="A57" s="118"/>
      <c r="B57" s="118"/>
      <c r="C57" s="128"/>
      <c r="D57" s="118"/>
      <c r="E57" s="118"/>
      <c r="F57" s="129"/>
      <c r="G57" s="129"/>
      <c r="H57" s="120" t="s">
        <v>151</v>
      </c>
      <c r="J57" s="8"/>
    </row>
    <row r="58" spans="1:10" x14ac:dyDescent="0.2">
      <c r="A58" s="118"/>
      <c r="B58" s="118"/>
      <c r="C58" s="119" t="s">
        <v>157</v>
      </c>
      <c r="D58" s="118"/>
      <c r="E58" s="118"/>
      <c r="F58" s="129"/>
      <c r="G58" s="129"/>
      <c r="H58" s="120" t="s">
        <v>151</v>
      </c>
      <c r="J58" s="8"/>
    </row>
    <row r="59" spans="1:10" x14ac:dyDescent="0.2">
      <c r="A59" s="118"/>
      <c r="B59" s="118"/>
      <c r="C59" s="119" t="s">
        <v>150</v>
      </c>
      <c r="D59" s="118"/>
      <c r="E59" s="118" t="s">
        <v>151</v>
      </c>
      <c r="F59" s="130" t="s">
        <v>153</v>
      </c>
      <c r="G59" s="127">
        <v>0</v>
      </c>
      <c r="H59" s="120" t="s">
        <v>151</v>
      </c>
      <c r="J59" s="8"/>
    </row>
    <row r="60" spans="1:10" x14ac:dyDescent="0.2">
      <c r="A60" s="118"/>
      <c r="B60" s="118"/>
      <c r="C60" s="128"/>
      <c r="D60" s="118"/>
      <c r="E60" s="118"/>
      <c r="F60" s="129"/>
      <c r="G60" s="129"/>
      <c r="H60" s="120" t="s">
        <v>151</v>
      </c>
      <c r="J60" s="8"/>
    </row>
    <row r="61" spans="1:10" x14ac:dyDescent="0.2">
      <c r="A61" s="118"/>
      <c r="B61" s="118"/>
      <c r="C61" s="119" t="s">
        <v>158</v>
      </c>
      <c r="D61" s="118"/>
      <c r="E61" s="118"/>
      <c r="F61" s="126">
        <v>3412.7592970999999</v>
      </c>
      <c r="G61" s="127">
        <v>0.98413337000000001</v>
      </c>
      <c r="H61" s="120" t="s">
        <v>151</v>
      </c>
      <c r="J61" s="8"/>
    </row>
    <row r="62" spans="1:10" x14ac:dyDescent="0.2">
      <c r="A62" s="118"/>
      <c r="B62" s="118"/>
      <c r="C62" s="128"/>
      <c r="D62" s="118"/>
      <c r="E62" s="118"/>
      <c r="F62" s="129"/>
      <c r="G62" s="129"/>
      <c r="H62" s="120" t="s">
        <v>151</v>
      </c>
      <c r="J62" s="8"/>
    </row>
    <row r="63" spans="1:10" x14ac:dyDescent="0.2">
      <c r="A63" s="118"/>
      <c r="B63" s="118"/>
      <c r="C63" s="119" t="s">
        <v>159</v>
      </c>
      <c r="D63" s="118"/>
      <c r="E63" s="118"/>
      <c r="F63" s="129"/>
      <c r="G63" s="129"/>
      <c r="H63" s="120" t="s">
        <v>151</v>
      </c>
      <c r="J63" s="8"/>
    </row>
    <row r="64" spans="1:10" x14ac:dyDescent="0.2">
      <c r="A64" s="118"/>
      <c r="B64" s="118"/>
      <c r="C64" s="119" t="s">
        <v>10</v>
      </c>
      <c r="D64" s="118"/>
      <c r="E64" s="118"/>
      <c r="F64" s="129"/>
      <c r="G64" s="129"/>
      <c r="H64" s="120" t="s">
        <v>151</v>
      </c>
      <c r="J64" s="8"/>
    </row>
    <row r="65" spans="1:10" x14ac:dyDescent="0.2">
      <c r="A65" s="118"/>
      <c r="B65" s="118"/>
      <c r="C65" s="119" t="s">
        <v>150</v>
      </c>
      <c r="D65" s="118"/>
      <c r="E65" s="118" t="s">
        <v>151</v>
      </c>
      <c r="F65" s="130" t="s">
        <v>153</v>
      </c>
      <c r="G65" s="127">
        <v>0</v>
      </c>
      <c r="H65" s="120" t="s">
        <v>151</v>
      </c>
      <c r="J65" s="8"/>
    </row>
    <row r="66" spans="1:10" x14ac:dyDescent="0.2">
      <c r="A66" s="118"/>
      <c r="B66" s="118"/>
      <c r="C66" s="128"/>
      <c r="D66" s="118"/>
      <c r="E66" s="118"/>
      <c r="F66" s="129"/>
      <c r="G66" s="129"/>
      <c r="H66" s="120" t="s">
        <v>151</v>
      </c>
      <c r="J66" s="8"/>
    </row>
    <row r="67" spans="1:10" x14ac:dyDescent="0.2">
      <c r="A67" s="118"/>
      <c r="B67" s="118"/>
      <c r="C67" s="119" t="s">
        <v>160</v>
      </c>
      <c r="D67" s="118"/>
      <c r="E67" s="118"/>
      <c r="F67" s="118"/>
      <c r="G67" s="118"/>
      <c r="H67" s="120" t="s">
        <v>151</v>
      </c>
      <c r="J67" s="8"/>
    </row>
    <row r="68" spans="1:10" x14ac:dyDescent="0.2">
      <c r="A68" s="118"/>
      <c r="B68" s="118"/>
      <c r="C68" s="119" t="s">
        <v>150</v>
      </c>
      <c r="D68" s="118"/>
      <c r="E68" s="118" t="s">
        <v>151</v>
      </c>
      <c r="F68" s="130" t="s">
        <v>153</v>
      </c>
      <c r="G68" s="127">
        <v>0</v>
      </c>
      <c r="H68" s="120" t="s">
        <v>151</v>
      </c>
      <c r="J68" s="8"/>
    </row>
    <row r="69" spans="1:10" x14ac:dyDescent="0.2">
      <c r="A69" s="118"/>
      <c r="B69" s="118"/>
      <c r="C69" s="128"/>
      <c r="D69" s="118"/>
      <c r="E69" s="118"/>
      <c r="F69" s="129"/>
      <c r="G69" s="129"/>
      <c r="H69" s="120" t="s">
        <v>151</v>
      </c>
      <c r="J69" s="8"/>
    </row>
    <row r="70" spans="1:10" x14ac:dyDescent="0.2">
      <c r="A70" s="118"/>
      <c r="B70" s="118"/>
      <c r="C70" s="119" t="s">
        <v>161</v>
      </c>
      <c r="D70" s="118"/>
      <c r="E70" s="118"/>
      <c r="F70" s="118"/>
      <c r="G70" s="118"/>
      <c r="H70" s="120" t="s">
        <v>151</v>
      </c>
      <c r="J70" s="8"/>
    </row>
    <row r="71" spans="1:10" x14ac:dyDescent="0.2">
      <c r="A71" s="118"/>
      <c r="B71" s="118"/>
      <c r="C71" s="119" t="s">
        <v>150</v>
      </c>
      <c r="D71" s="118"/>
      <c r="E71" s="118" t="s">
        <v>151</v>
      </c>
      <c r="F71" s="130" t="s">
        <v>153</v>
      </c>
      <c r="G71" s="127">
        <v>0</v>
      </c>
      <c r="H71" s="120" t="s">
        <v>151</v>
      </c>
      <c r="J71" s="8"/>
    </row>
    <row r="72" spans="1:10" x14ac:dyDescent="0.2">
      <c r="A72" s="118"/>
      <c r="B72" s="118"/>
      <c r="C72" s="128"/>
      <c r="D72" s="118"/>
      <c r="E72" s="118"/>
      <c r="F72" s="129"/>
      <c r="G72" s="129"/>
      <c r="H72" s="120" t="s">
        <v>151</v>
      </c>
      <c r="J72" s="8"/>
    </row>
    <row r="73" spans="1:10" x14ac:dyDescent="0.2">
      <c r="A73" s="118"/>
      <c r="B73" s="118"/>
      <c r="C73" s="119" t="s">
        <v>162</v>
      </c>
      <c r="D73" s="118"/>
      <c r="E73" s="118"/>
      <c r="F73" s="129"/>
      <c r="G73" s="129"/>
      <c r="H73" s="120" t="s">
        <v>151</v>
      </c>
      <c r="J73" s="8"/>
    </row>
    <row r="74" spans="1:10" x14ac:dyDescent="0.2">
      <c r="A74" s="118"/>
      <c r="B74" s="118"/>
      <c r="C74" s="119" t="s">
        <v>150</v>
      </c>
      <c r="D74" s="118"/>
      <c r="E74" s="118" t="s">
        <v>151</v>
      </c>
      <c r="F74" s="130" t="s">
        <v>153</v>
      </c>
      <c r="G74" s="127">
        <v>0</v>
      </c>
      <c r="H74" s="120" t="s">
        <v>151</v>
      </c>
      <c r="J74" s="8"/>
    </row>
    <row r="75" spans="1:10" x14ac:dyDescent="0.2">
      <c r="A75" s="118"/>
      <c r="B75" s="118"/>
      <c r="C75" s="128"/>
      <c r="D75" s="118"/>
      <c r="E75" s="118"/>
      <c r="F75" s="129"/>
      <c r="G75" s="129"/>
      <c r="H75" s="120" t="s">
        <v>151</v>
      </c>
      <c r="J75" s="8"/>
    </row>
    <row r="76" spans="1:10" x14ac:dyDescent="0.2">
      <c r="A76" s="118"/>
      <c r="B76" s="118"/>
      <c r="C76" s="119" t="s">
        <v>163</v>
      </c>
      <c r="D76" s="118"/>
      <c r="E76" s="118"/>
      <c r="F76" s="126">
        <v>0</v>
      </c>
      <c r="G76" s="127">
        <v>0</v>
      </c>
      <c r="H76" s="120" t="s">
        <v>151</v>
      </c>
      <c r="J76" s="8"/>
    </row>
    <row r="77" spans="1:10" x14ac:dyDescent="0.2">
      <c r="A77" s="118"/>
      <c r="B77" s="118"/>
      <c r="C77" s="128"/>
      <c r="D77" s="118"/>
      <c r="E77" s="118"/>
      <c r="F77" s="129"/>
      <c r="G77" s="129"/>
      <c r="H77" s="120" t="s">
        <v>151</v>
      </c>
      <c r="J77" s="8"/>
    </row>
    <row r="78" spans="1:10" x14ac:dyDescent="0.2">
      <c r="A78" s="118"/>
      <c r="B78" s="118"/>
      <c r="C78" s="119" t="s">
        <v>164</v>
      </c>
      <c r="D78" s="118"/>
      <c r="E78" s="118"/>
      <c r="F78" s="129"/>
      <c r="G78" s="129"/>
      <c r="H78" s="120" t="s">
        <v>151</v>
      </c>
      <c r="J78" s="8"/>
    </row>
    <row r="79" spans="1:10" x14ac:dyDescent="0.2">
      <c r="A79" s="118"/>
      <c r="B79" s="118"/>
      <c r="C79" s="119" t="s">
        <v>165</v>
      </c>
      <c r="D79" s="118"/>
      <c r="E79" s="118"/>
      <c r="F79" s="129"/>
      <c r="G79" s="129"/>
      <c r="H79" s="120" t="s">
        <v>151</v>
      </c>
      <c r="J79" s="8"/>
    </row>
    <row r="80" spans="1:10" x14ac:dyDescent="0.2">
      <c r="A80" s="118"/>
      <c r="B80" s="118"/>
      <c r="C80" s="119" t="s">
        <v>150</v>
      </c>
      <c r="D80" s="118"/>
      <c r="E80" s="118" t="s">
        <v>151</v>
      </c>
      <c r="F80" s="130" t="s">
        <v>153</v>
      </c>
      <c r="G80" s="127">
        <v>0</v>
      </c>
      <c r="H80" s="120" t="s">
        <v>151</v>
      </c>
      <c r="J80" s="8"/>
    </row>
    <row r="81" spans="1:10" x14ac:dyDescent="0.2">
      <c r="A81" s="118"/>
      <c r="B81" s="118"/>
      <c r="C81" s="128"/>
      <c r="D81" s="118"/>
      <c r="E81" s="118"/>
      <c r="F81" s="129"/>
      <c r="G81" s="129"/>
      <c r="H81" s="120" t="s">
        <v>151</v>
      </c>
      <c r="J81" s="8"/>
    </row>
    <row r="82" spans="1:10" x14ac:dyDescent="0.2">
      <c r="A82" s="118"/>
      <c r="B82" s="118"/>
      <c r="C82" s="119" t="s">
        <v>166</v>
      </c>
      <c r="D82" s="118"/>
      <c r="E82" s="118"/>
      <c r="F82" s="129"/>
      <c r="G82" s="129"/>
      <c r="H82" s="120" t="s">
        <v>151</v>
      </c>
      <c r="J82" s="8"/>
    </row>
    <row r="83" spans="1:10" x14ac:dyDescent="0.2">
      <c r="A83" s="118"/>
      <c r="B83" s="118"/>
      <c r="C83" s="119" t="s">
        <v>150</v>
      </c>
      <c r="D83" s="118"/>
      <c r="E83" s="118" t="s">
        <v>151</v>
      </c>
      <c r="F83" s="130" t="s">
        <v>153</v>
      </c>
      <c r="G83" s="127">
        <v>0</v>
      </c>
      <c r="H83" s="120" t="s">
        <v>151</v>
      </c>
      <c r="J83" s="8"/>
    </row>
    <row r="84" spans="1:10" x14ac:dyDescent="0.2">
      <c r="A84" s="118"/>
      <c r="B84" s="118"/>
      <c r="C84" s="128"/>
      <c r="D84" s="118"/>
      <c r="E84" s="118"/>
      <c r="F84" s="129"/>
      <c r="G84" s="129"/>
      <c r="H84" s="120" t="s">
        <v>151</v>
      </c>
      <c r="J84" s="8"/>
    </row>
    <row r="85" spans="1:10" x14ac:dyDescent="0.2">
      <c r="A85" s="118"/>
      <c r="B85" s="118"/>
      <c r="C85" s="119" t="s">
        <v>167</v>
      </c>
      <c r="D85" s="118"/>
      <c r="E85" s="118"/>
      <c r="F85" s="129"/>
      <c r="G85" s="129"/>
      <c r="H85" s="120" t="s">
        <v>151</v>
      </c>
      <c r="J85" s="8"/>
    </row>
    <row r="86" spans="1:10" x14ac:dyDescent="0.2">
      <c r="A86" s="118"/>
      <c r="B86" s="118"/>
      <c r="C86" s="119" t="s">
        <v>150</v>
      </c>
      <c r="D86" s="118"/>
      <c r="E86" s="118" t="s">
        <v>151</v>
      </c>
      <c r="F86" s="130" t="s">
        <v>153</v>
      </c>
      <c r="G86" s="127">
        <v>0</v>
      </c>
      <c r="H86" s="120" t="s">
        <v>151</v>
      </c>
      <c r="J86" s="8"/>
    </row>
    <row r="87" spans="1:10" x14ac:dyDescent="0.2">
      <c r="A87" s="118"/>
      <c r="B87" s="118"/>
      <c r="C87" s="128"/>
      <c r="D87" s="118"/>
      <c r="E87" s="118"/>
      <c r="F87" s="129"/>
      <c r="G87" s="129"/>
      <c r="H87" s="120" t="s">
        <v>151</v>
      </c>
      <c r="J87" s="8"/>
    </row>
    <row r="88" spans="1:10" x14ac:dyDescent="0.2">
      <c r="A88" s="118"/>
      <c r="B88" s="118"/>
      <c r="C88" s="119" t="s">
        <v>168</v>
      </c>
      <c r="D88" s="118"/>
      <c r="E88" s="118"/>
      <c r="F88" s="129"/>
      <c r="G88" s="129"/>
      <c r="H88" s="120" t="s">
        <v>151</v>
      </c>
      <c r="J88" s="8"/>
    </row>
    <row r="89" spans="1:10" x14ac:dyDescent="0.2">
      <c r="A89" s="121">
        <v>1</v>
      </c>
      <c r="B89" s="122"/>
      <c r="C89" s="122" t="s">
        <v>169</v>
      </c>
      <c r="D89" s="122"/>
      <c r="E89" s="131"/>
      <c r="F89" s="124">
        <v>8.3527649999999998</v>
      </c>
      <c r="G89" s="125">
        <v>2.4086799999999998E-3</v>
      </c>
      <c r="H89" s="120">
        <v>6.61</v>
      </c>
      <c r="J89" s="8"/>
    </row>
    <row r="90" spans="1:10" x14ac:dyDescent="0.2">
      <c r="A90" s="118"/>
      <c r="B90" s="118"/>
      <c r="C90" s="119" t="s">
        <v>150</v>
      </c>
      <c r="D90" s="118"/>
      <c r="E90" s="118" t="s">
        <v>151</v>
      </c>
      <c r="F90" s="126">
        <v>8.3527649999999998</v>
      </c>
      <c r="G90" s="127">
        <v>2.4086799999999998E-3</v>
      </c>
      <c r="H90" s="120" t="s">
        <v>151</v>
      </c>
      <c r="J90" s="8"/>
    </row>
    <row r="91" spans="1:10" x14ac:dyDescent="0.2">
      <c r="A91" s="118"/>
      <c r="B91" s="118"/>
      <c r="C91" s="128"/>
      <c r="D91" s="118"/>
      <c r="E91" s="118"/>
      <c r="F91" s="129"/>
      <c r="G91" s="129"/>
      <c r="H91" s="120" t="s">
        <v>151</v>
      </c>
      <c r="J91" s="8"/>
    </row>
    <row r="92" spans="1:10" x14ac:dyDescent="0.2">
      <c r="A92" s="118"/>
      <c r="B92" s="118"/>
      <c r="C92" s="119" t="s">
        <v>170</v>
      </c>
      <c r="D92" s="118"/>
      <c r="E92" s="118"/>
      <c r="F92" s="126">
        <v>8.3527649999999998</v>
      </c>
      <c r="G92" s="127">
        <v>2.4086799999999998E-3</v>
      </c>
      <c r="H92" s="120" t="s">
        <v>151</v>
      </c>
      <c r="J92" s="8"/>
    </row>
    <row r="93" spans="1:10" x14ac:dyDescent="0.2">
      <c r="A93" s="118"/>
      <c r="B93" s="118"/>
      <c r="C93" s="129"/>
      <c r="D93" s="118"/>
      <c r="E93" s="118"/>
      <c r="F93" s="118"/>
      <c r="G93" s="118"/>
      <c r="H93" s="120" t="s">
        <v>151</v>
      </c>
      <c r="J93" s="8"/>
    </row>
    <row r="94" spans="1:10" x14ac:dyDescent="0.2">
      <c r="A94" s="118"/>
      <c r="B94" s="118"/>
      <c r="C94" s="119" t="s">
        <v>171</v>
      </c>
      <c r="D94" s="118"/>
      <c r="E94" s="118"/>
      <c r="F94" s="118"/>
      <c r="G94" s="118"/>
      <c r="H94" s="120" t="s">
        <v>151</v>
      </c>
      <c r="J94" s="8"/>
    </row>
    <row r="95" spans="1:10" x14ac:dyDescent="0.2">
      <c r="A95" s="118"/>
      <c r="B95" s="118"/>
      <c r="C95" s="119" t="s">
        <v>172</v>
      </c>
      <c r="D95" s="118"/>
      <c r="E95" s="118"/>
      <c r="F95" s="118"/>
      <c r="G95" s="118"/>
      <c r="H95" s="120" t="s">
        <v>151</v>
      </c>
      <c r="J95" s="8"/>
    </row>
    <row r="96" spans="1:10" x14ac:dyDescent="0.2">
      <c r="A96" s="118"/>
      <c r="B96" s="118"/>
      <c r="C96" s="119" t="s">
        <v>150</v>
      </c>
      <c r="D96" s="118"/>
      <c r="E96" s="118" t="s">
        <v>151</v>
      </c>
      <c r="F96" s="130" t="s">
        <v>153</v>
      </c>
      <c r="G96" s="127">
        <v>0</v>
      </c>
      <c r="H96" s="120" t="s">
        <v>151</v>
      </c>
      <c r="J96" s="8"/>
    </row>
    <row r="97" spans="1:17" x14ac:dyDescent="0.2">
      <c r="A97" s="118"/>
      <c r="B97" s="118"/>
      <c r="C97" s="128"/>
      <c r="D97" s="118"/>
      <c r="E97" s="118"/>
      <c r="F97" s="129"/>
      <c r="G97" s="129"/>
      <c r="H97" s="120" t="s">
        <v>151</v>
      </c>
      <c r="J97" s="8"/>
    </row>
    <row r="98" spans="1:17" x14ac:dyDescent="0.2">
      <c r="A98" s="118"/>
      <c r="B98" s="118"/>
      <c r="C98" s="119" t="s">
        <v>175</v>
      </c>
      <c r="D98" s="118"/>
      <c r="E98" s="118"/>
      <c r="F98" s="118"/>
      <c r="G98" s="118"/>
      <c r="H98" s="120" t="s">
        <v>151</v>
      </c>
      <c r="J98" s="8"/>
    </row>
    <row r="99" spans="1:17" x14ac:dyDescent="0.2">
      <c r="A99" s="118"/>
      <c r="B99" s="118"/>
      <c r="C99" s="119" t="s">
        <v>176</v>
      </c>
      <c r="D99" s="118"/>
      <c r="E99" s="118"/>
      <c r="F99" s="118"/>
      <c r="G99" s="118"/>
      <c r="H99" s="120" t="s">
        <v>151</v>
      </c>
      <c r="J99" s="8"/>
    </row>
    <row r="100" spans="1:17" x14ac:dyDescent="0.2">
      <c r="A100" s="118"/>
      <c r="B100" s="118"/>
      <c r="C100" s="119" t="s">
        <v>150</v>
      </c>
      <c r="D100" s="118"/>
      <c r="E100" s="118" t="s">
        <v>151</v>
      </c>
      <c r="F100" s="130" t="s">
        <v>153</v>
      </c>
      <c r="G100" s="127">
        <v>0</v>
      </c>
      <c r="H100" s="120" t="s">
        <v>151</v>
      </c>
      <c r="J100" s="8"/>
    </row>
    <row r="101" spans="1:17" x14ac:dyDescent="0.2">
      <c r="A101" s="118"/>
      <c r="B101" s="118"/>
      <c r="C101" s="128"/>
      <c r="D101" s="118"/>
      <c r="E101" s="118"/>
      <c r="F101" s="129"/>
      <c r="G101" s="129"/>
      <c r="H101" s="120" t="s">
        <v>151</v>
      </c>
      <c r="J101" s="8"/>
    </row>
    <row r="102" spans="1:17" ht="25.5" x14ac:dyDescent="0.2">
      <c r="A102" s="118"/>
      <c r="B102" s="118"/>
      <c r="C102" s="119" t="s">
        <v>177</v>
      </c>
      <c r="D102" s="118"/>
      <c r="E102" s="118"/>
      <c r="F102" s="129"/>
      <c r="G102" s="129"/>
      <c r="H102" s="120" t="s">
        <v>151</v>
      </c>
      <c r="J102" s="8"/>
    </row>
    <row r="103" spans="1:17" x14ac:dyDescent="0.2">
      <c r="A103" s="118"/>
      <c r="B103" s="118"/>
      <c r="C103" s="119" t="s">
        <v>150</v>
      </c>
      <c r="D103" s="118"/>
      <c r="E103" s="118" t="s">
        <v>151</v>
      </c>
      <c r="F103" s="130" t="s">
        <v>153</v>
      </c>
      <c r="G103" s="127">
        <v>0</v>
      </c>
      <c r="H103" s="120" t="s">
        <v>151</v>
      </c>
      <c r="J103" s="8"/>
    </row>
    <row r="104" spans="1:17" x14ac:dyDescent="0.2">
      <c r="A104" s="118"/>
      <c r="B104" s="118"/>
      <c r="C104" s="128"/>
      <c r="D104" s="118"/>
      <c r="E104" s="118"/>
      <c r="F104" s="129"/>
      <c r="G104" s="129"/>
      <c r="H104" s="120" t="s">
        <v>151</v>
      </c>
      <c r="J104" s="8"/>
    </row>
    <row r="105" spans="1:17" x14ac:dyDescent="0.2">
      <c r="A105" s="131"/>
      <c r="B105" s="122"/>
      <c r="C105" s="122" t="s">
        <v>178</v>
      </c>
      <c r="D105" s="122"/>
      <c r="E105" s="131"/>
      <c r="F105" s="124">
        <v>46.669265189999997</v>
      </c>
      <c r="G105" s="125">
        <v>1.345796E-2</v>
      </c>
      <c r="H105" s="120" t="s">
        <v>151</v>
      </c>
      <c r="J105" s="8"/>
    </row>
    <row r="106" spans="1:17" x14ac:dyDescent="0.2">
      <c r="A106" s="128"/>
      <c r="B106" s="128"/>
      <c r="C106" s="119" t="s">
        <v>179</v>
      </c>
      <c r="D106" s="129"/>
      <c r="E106" s="129"/>
      <c r="F106" s="126">
        <v>3467.7813272899998</v>
      </c>
      <c r="G106" s="133">
        <v>1.0000000099999999</v>
      </c>
      <c r="H106" s="120" t="s">
        <v>151</v>
      </c>
      <c r="J106" s="8"/>
    </row>
    <row r="107" spans="1:17" x14ac:dyDescent="0.2">
      <c r="A107" s="134"/>
      <c r="B107" s="134"/>
      <c r="C107" s="134"/>
      <c r="D107" s="135"/>
      <c r="E107" s="135"/>
      <c r="F107" s="135"/>
      <c r="G107" s="135"/>
      <c r="J107" s="8"/>
    </row>
    <row r="108" spans="1:17" x14ac:dyDescent="0.2">
      <c r="A108" s="136"/>
      <c r="B108" s="137" t="s">
        <v>888</v>
      </c>
      <c r="C108" s="137"/>
      <c r="D108" s="137"/>
      <c r="E108" s="137"/>
      <c r="F108" s="137"/>
      <c r="G108" s="137"/>
      <c r="H108" s="137"/>
      <c r="J108" s="8"/>
    </row>
    <row r="109" spans="1:17" x14ac:dyDescent="0.2">
      <c r="A109" s="136"/>
      <c r="B109" s="137" t="s">
        <v>889</v>
      </c>
      <c r="C109" s="137"/>
      <c r="D109" s="137"/>
      <c r="E109" s="137"/>
      <c r="F109" s="137"/>
      <c r="G109" s="137"/>
      <c r="H109" s="137"/>
      <c r="J109" s="8"/>
    </row>
    <row r="110" spans="1:17" x14ac:dyDescent="0.2">
      <c r="A110" s="136"/>
      <c r="B110" s="137" t="s">
        <v>890</v>
      </c>
      <c r="C110" s="137"/>
      <c r="D110" s="137"/>
      <c r="E110" s="137"/>
      <c r="F110" s="137"/>
      <c r="G110" s="137"/>
      <c r="H110" s="137"/>
      <c r="J110" s="8"/>
    </row>
    <row r="111" spans="1:17" s="13" customFormat="1" ht="66" customHeight="1" x14ac:dyDescent="0.25">
      <c r="A111" s="138"/>
      <c r="B111" s="139" t="s">
        <v>891</v>
      </c>
      <c r="C111" s="139"/>
      <c r="D111" s="139"/>
      <c r="E111" s="139"/>
      <c r="F111" s="139"/>
      <c r="G111" s="139"/>
      <c r="H111" s="139"/>
      <c r="I111" s="114"/>
      <c r="J111" s="8"/>
      <c r="K111"/>
      <c r="L111"/>
      <c r="M111"/>
      <c r="N111"/>
      <c r="O111"/>
      <c r="P111"/>
      <c r="Q111"/>
    </row>
    <row r="112" spans="1:17" x14ac:dyDescent="0.2">
      <c r="A112" s="136"/>
      <c r="B112" s="137" t="s">
        <v>892</v>
      </c>
      <c r="C112" s="137"/>
      <c r="D112" s="137"/>
      <c r="E112" s="137"/>
      <c r="F112" s="137"/>
      <c r="G112" s="137"/>
      <c r="H112" s="137"/>
      <c r="J112" s="8"/>
    </row>
    <row r="113" spans="1:10" x14ac:dyDescent="0.2">
      <c r="A113" s="140"/>
      <c r="B113" s="140"/>
      <c r="C113" s="140"/>
      <c r="D113" s="141"/>
      <c r="E113" s="141"/>
      <c r="F113" s="141"/>
      <c r="G113" s="141"/>
      <c r="J113" s="8"/>
    </row>
    <row r="114" spans="1:10" x14ac:dyDescent="0.2">
      <c r="A114" s="140"/>
      <c r="B114" s="142" t="s">
        <v>180</v>
      </c>
      <c r="C114" s="143"/>
      <c r="D114" s="144"/>
      <c r="E114" s="145"/>
      <c r="F114" s="141"/>
      <c r="G114" s="141"/>
      <c r="J114" s="8"/>
    </row>
    <row r="115" spans="1:10" ht="25.5" customHeight="1" x14ac:dyDescent="0.2">
      <c r="A115" s="140"/>
      <c r="B115" s="146" t="s">
        <v>181</v>
      </c>
      <c r="C115" s="147"/>
      <c r="D115" s="119" t="s">
        <v>182</v>
      </c>
      <c r="E115" s="145"/>
      <c r="F115" s="141"/>
      <c r="G115" s="141"/>
      <c r="J115" s="8"/>
    </row>
    <row r="116" spans="1:10" ht="12.75" customHeight="1" x14ac:dyDescent="0.2">
      <c r="A116" s="136"/>
      <c r="B116" s="148" t="s">
        <v>893</v>
      </c>
      <c r="C116" s="149"/>
      <c r="D116" s="150" t="s">
        <v>182</v>
      </c>
      <c r="E116" s="206"/>
      <c r="F116" s="207"/>
      <c r="G116" s="207"/>
      <c r="J116" s="8"/>
    </row>
    <row r="117" spans="1:10" x14ac:dyDescent="0.2">
      <c r="A117" s="140"/>
      <c r="B117" s="146" t="s">
        <v>184</v>
      </c>
      <c r="C117" s="147"/>
      <c r="D117" s="129" t="s">
        <v>151</v>
      </c>
      <c r="E117" s="145"/>
      <c r="F117" s="141"/>
      <c r="G117" s="141"/>
      <c r="J117" s="8"/>
    </row>
    <row r="118" spans="1:10" x14ac:dyDescent="0.2">
      <c r="A118" s="151"/>
      <c r="B118" s="152" t="s">
        <v>151</v>
      </c>
      <c r="C118" s="152" t="s">
        <v>894</v>
      </c>
      <c r="D118" s="152" t="s">
        <v>185</v>
      </c>
      <c r="E118" s="151"/>
      <c r="F118" s="151"/>
      <c r="G118" s="151"/>
      <c r="H118" s="151"/>
      <c r="J118" s="8"/>
    </row>
    <row r="119" spans="1:10" x14ac:dyDescent="0.2">
      <c r="A119" s="153"/>
      <c r="B119" s="154" t="s">
        <v>186</v>
      </c>
      <c r="C119" s="155">
        <v>45535</v>
      </c>
      <c r="D119" s="155">
        <v>45565</v>
      </c>
      <c r="E119" s="153"/>
      <c r="F119" s="153"/>
      <c r="G119" s="153"/>
      <c r="J119" s="8"/>
    </row>
    <row r="120" spans="1:10" x14ac:dyDescent="0.2">
      <c r="A120" s="153"/>
      <c r="B120" s="122" t="s">
        <v>187</v>
      </c>
      <c r="C120" s="156">
        <v>29.122499999999999</v>
      </c>
      <c r="D120" s="156">
        <v>29.7301</v>
      </c>
      <c r="E120" s="153"/>
      <c r="F120" s="157"/>
      <c r="G120" s="158"/>
      <c r="J120" s="8"/>
    </row>
    <row r="121" spans="1:10" x14ac:dyDescent="0.2">
      <c r="A121" s="153"/>
      <c r="B121" s="122" t="s">
        <v>1038</v>
      </c>
      <c r="C121" s="156">
        <v>27.726099999999999</v>
      </c>
      <c r="D121" s="156">
        <v>28.304600000000001</v>
      </c>
      <c r="E121" s="153"/>
      <c r="F121" s="157"/>
      <c r="G121" s="158"/>
      <c r="J121" s="8"/>
    </row>
    <row r="122" spans="1:10" x14ac:dyDescent="0.2">
      <c r="A122" s="153"/>
      <c r="B122" s="122" t="s">
        <v>188</v>
      </c>
      <c r="C122" s="156">
        <v>28.3706</v>
      </c>
      <c r="D122" s="156">
        <v>28.9572</v>
      </c>
      <c r="E122" s="153"/>
      <c r="F122" s="157"/>
      <c r="G122" s="158"/>
      <c r="J122" s="8"/>
    </row>
    <row r="123" spans="1:10" x14ac:dyDescent="0.2">
      <c r="A123" s="153"/>
      <c r="B123" s="122" t="s">
        <v>1039</v>
      </c>
      <c r="C123" s="156">
        <v>26.976500000000001</v>
      </c>
      <c r="D123" s="156">
        <v>27.534300000000002</v>
      </c>
      <c r="E123" s="153"/>
      <c r="F123" s="157"/>
      <c r="G123" s="158"/>
      <c r="J123" s="8"/>
    </row>
    <row r="124" spans="1:10" x14ac:dyDescent="0.2">
      <c r="A124" s="153"/>
      <c r="B124" s="153"/>
      <c r="C124" s="153"/>
      <c r="D124" s="153"/>
      <c r="E124" s="153"/>
      <c r="F124" s="153"/>
      <c r="G124" s="153"/>
      <c r="J124" s="8"/>
    </row>
    <row r="125" spans="1:10" x14ac:dyDescent="0.2">
      <c r="A125" s="151"/>
      <c r="B125" s="148" t="s">
        <v>895</v>
      </c>
      <c r="C125" s="149"/>
      <c r="D125" s="150" t="s">
        <v>182</v>
      </c>
      <c r="E125" s="151"/>
      <c r="F125" s="151"/>
      <c r="G125" s="151"/>
      <c r="J125" s="8"/>
    </row>
    <row r="126" spans="1:10" x14ac:dyDescent="0.2">
      <c r="A126" s="151"/>
      <c r="B126" s="201"/>
      <c r="C126" s="201"/>
      <c r="D126" s="201"/>
      <c r="E126" s="151"/>
      <c r="F126" s="151"/>
      <c r="G126" s="151"/>
      <c r="J126" s="8"/>
    </row>
    <row r="127" spans="1:10" x14ac:dyDescent="0.2">
      <c r="A127" s="151"/>
      <c r="B127" s="148" t="s">
        <v>189</v>
      </c>
      <c r="C127" s="149"/>
      <c r="D127" s="150" t="s">
        <v>182</v>
      </c>
      <c r="E127" s="160"/>
      <c r="F127" s="151"/>
      <c r="G127" s="151"/>
      <c r="J127" s="8"/>
    </row>
    <row r="128" spans="1:10" x14ac:dyDescent="0.2">
      <c r="A128" s="151"/>
      <c r="B128" s="148" t="s">
        <v>190</v>
      </c>
      <c r="C128" s="149"/>
      <c r="D128" s="150" t="s">
        <v>182</v>
      </c>
      <c r="E128" s="160"/>
      <c r="F128" s="151"/>
      <c r="G128" s="151"/>
      <c r="J128" s="8"/>
    </row>
    <row r="129" spans="1:10" x14ac:dyDescent="0.2">
      <c r="A129" s="151"/>
      <c r="B129" s="148" t="s">
        <v>191</v>
      </c>
      <c r="C129" s="149"/>
      <c r="D129" s="150" t="s">
        <v>182</v>
      </c>
      <c r="E129" s="160"/>
      <c r="F129" s="151"/>
      <c r="G129" s="151"/>
      <c r="J129" s="8"/>
    </row>
    <row r="130" spans="1:10" x14ac:dyDescent="0.2">
      <c r="A130" s="151"/>
      <c r="B130" s="148" t="s">
        <v>192</v>
      </c>
      <c r="C130" s="149"/>
      <c r="D130" s="161">
        <v>0.32065973782887841</v>
      </c>
      <c r="E130" s="151"/>
      <c r="F130" s="159"/>
      <c r="G130" s="162"/>
      <c r="J130" s="8"/>
    </row>
    <row r="131" spans="1:10" x14ac:dyDescent="0.2">
      <c r="J131" s="8"/>
    </row>
    <row r="132" spans="1:10" x14ac:dyDescent="0.2">
      <c r="J132" s="8"/>
    </row>
    <row r="133" spans="1:10" x14ac:dyDescent="0.2">
      <c r="J133" s="8"/>
    </row>
    <row r="134" spans="1:10" x14ac:dyDescent="0.2">
      <c r="J134" s="8"/>
    </row>
  </sheetData>
  <mergeCells count="17">
    <mergeCell ref="B116:C116"/>
    <mergeCell ref="B117:C117"/>
    <mergeCell ref="B125:C125"/>
    <mergeCell ref="B129:C129"/>
    <mergeCell ref="B130:C130"/>
    <mergeCell ref="B127:C127"/>
    <mergeCell ref="B128:C128"/>
    <mergeCell ref="B115:C115"/>
    <mergeCell ref="A1:H1"/>
    <mergeCell ref="A2:H2"/>
    <mergeCell ref="A3:H3"/>
    <mergeCell ref="B108:H108"/>
    <mergeCell ref="B109:H109"/>
    <mergeCell ref="B110:H110"/>
    <mergeCell ref="B111:H111"/>
    <mergeCell ref="B112:H112"/>
    <mergeCell ref="B114:D114"/>
  </mergeCells>
  <hyperlinks>
    <hyperlink ref="I1" location="Index!B2" display="Index" xr:uid="{F40C8EF7-1201-40D8-B04E-01BF00BCB5A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40D96-763C-457A-8012-267C7B6A2502}">
  <sheetPr>
    <outlinePr summaryBelow="0" summaryRight="0"/>
  </sheetPr>
  <dimension ref="A1:Q130"/>
  <sheetViews>
    <sheetView showGridLines="0" workbookViewId="0">
      <selection activeCell="A2" sqref="A2:H2"/>
    </sheetView>
  </sheetViews>
  <sheetFormatPr defaultRowHeight="12.75" x14ac:dyDescent="0.2"/>
  <cols>
    <col min="1" max="1" width="5.85546875" style="114" bestFit="1" customWidth="1"/>
    <col min="2" max="2" width="19.7109375" style="114" bestFit="1" customWidth="1"/>
    <col min="3" max="3" width="42.140625" style="114" customWidth="1"/>
    <col min="4" max="4" width="17.570312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483</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362</v>
      </c>
      <c r="C7" s="122" t="s">
        <v>363</v>
      </c>
      <c r="D7" s="122" t="s">
        <v>241</v>
      </c>
      <c r="E7" s="123">
        <v>4344</v>
      </c>
      <c r="F7" s="124">
        <v>245.883432</v>
      </c>
      <c r="G7" s="125">
        <v>5.8119829999999997E-2</v>
      </c>
      <c r="H7" s="120" t="s">
        <v>151</v>
      </c>
      <c r="J7" s="8"/>
    </row>
    <row r="8" spans="1:10" x14ac:dyDescent="0.2">
      <c r="A8" s="121">
        <v>2</v>
      </c>
      <c r="B8" s="122" t="s">
        <v>407</v>
      </c>
      <c r="C8" s="122" t="s">
        <v>408</v>
      </c>
      <c r="D8" s="122" t="s">
        <v>35</v>
      </c>
      <c r="E8" s="123">
        <v>10034</v>
      </c>
      <c r="F8" s="124">
        <v>235.904357</v>
      </c>
      <c r="G8" s="125">
        <v>5.5761060000000001E-2</v>
      </c>
      <c r="H8" s="120" t="s">
        <v>151</v>
      </c>
      <c r="J8" s="8"/>
    </row>
    <row r="9" spans="1:10" x14ac:dyDescent="0.2">
      <c r="A9" s="121">
        <v>3</v>
      </c>
      <c r="B9" s="122" t="s">
        <v>39</v>
      </c>
      <c r="C9" s="122" t="s">
        <v>40</v>
      </c>
      <c r="D9" s="122" t="s">
        <v>32</v>
      </c>
      <c r="E9" s="123">
        <v>22800</v>
      </c>
      <c r="F9" s="124">
        <v>205.04040000000001</v>
      </c>
      <c r="G9" s="125">
        <v>4.84657E-2</v>
      </c>
      <c r="H9" s="120" t="s">
        <v>151</v>
      </c>
      <c r="J9" s="8"/>
    </row>
    <row r="10" spans="1:10" x14ac:dyDescent="0.2">
      <c r="A10" s="121">
        <v>4</v>
      </c>
      <c r="B10" s="122" t="s">
        <v>43</v>
      </c>
      <c r="C10" s="122" t="s">
        <v>44</v>
      </c>
      <c r="D10" s="122" t="s">
        <v>45</v>
      </c>
      <c r="E10" s="123">
        <v>13558</v>
      </c>
      <c r="F10" s="124">
        <v>192.123639</v>
      </c>
      <c r="G10" s="125">
        <v>4.5412550000000003E-2</v>
      </c>
      <c r="H10" s="120" t="s">
        <v>151</v>
      </c>
      <c r="J10" s="8"/>
    </row>
    <row r="11" spans="1:10" x14ac:dyDescent="0.2">
      <c r="A11" s="121">
        <v>5</v>
      </c>
      <c r="B11" s="122" t="s">
        <v>409</v>
      </c>
      <c r="C11" s="122" t="s">
        <v>410</v>
      </c>
      <c r="D11" s="122" t="s">
        <v>238</v>
      </c>
      <c r="E11" s="123">
        <v>53380</v>
      </c>
      <c r="F11" s="124">
        <v>190.64667</v>
      </c>
      <c r="G11" s="125">
        <v>4.5063440000000003E-2</v>
      </c>
      <c r="H11" s="120" t="s">
        <v>151</v>
      </c>
      <c r="J11" s="8"/>
    </row>
    <row r="12" spans="1:10" ht="15" x14ac:dyDescent="0.2">
      <c r="A12" s="121">
        <v>6</v>
      </c>
      <c r="B12" s="122" t="s">
        <v>145</v>
      </c>
      <c r="C12" s="122" t="s">
        <v>146</v>
      </c>
      <c r="D12" s="122" t="s">
        <v>35</v>
      </c>
      <c r="E12" s="123">
        <v>46205</v>
      </c>
      <c r="F12" s="124">
        <v>179.36780999999999</v>
      </c>
      <c r="G12" s="125">
        <v>4.2397440000000002E-2</v>
      </c>
      <c r="H12" s="120" t="s">
        <v>151</v>
      </c>
      <c r="J12" s="11"/>
    </row>
    <row r="13" spans="1:10" x14ac:dyDescent="0.2">
      <c r="A13" s="121">
        <v>7</v>
      </c>
      <c r="B13" s="122" t="s">
        <v>393</v>
      </c>
      <c r="C13" s="122" t="s">
        <v>394</v>
      </c>
      <c r="D13" s="122" t="s">
        <v>395</v>
      </c>
      <c r="E13" s="123">
        <v>10679</v>
      </c>
      <c r="F13" s="124">
        <v>169.625236</v>
      </c>
      <c r="G13" s="125">
        <v>4.0094570000000003E-2</v>
      </c>
      <c r="H13" s="120" t="s">
        <v>151</v>
      </c>
      <c r="J13" s="8"/>
    </row>
    <row r="14" spans="1:10" x14ac:dyDescent="0.2">
      <c r="A14" s="121">
        <v>8</v>
      </c>
      <c r="B14" s="122" t="s">
        <v>432</v>
      </c>
      <c r="C14" s="122" t="s">
        <v>433</v>
      </c>
      <c r="D14" s="122" t="s">
        <v>241</v>
      </c>
      <c r="E14" s="123">
        <v>5956</v>
      </c>
      <c r="F14" s="124">
        <v>152.57485199999999</v>
      </c>
      <c r="G14" s="125">
        <v>3.606434E-2</v>
      </c>
      <c r="H14" s="120" t="s">
        <v>151</v>
      </c>
      <c r="J14" s="8" t="s">
        <v>898</v>
      </c>
    </row>
    <row r="15" spans="1:10" x14ac:dyDescent="0.2">
      <c r="A15" s="121">
        <v>9</v>
      </c>
      <c r="B15" s="122" t="s">
        <v>411</v>
      </c>
      <c r="C15" s="122" t="s">
        <v>412</v>
      </c>
      <c r="D15" s="122" t="s">
        <v>211</v>
      </c>
      <c r="E15" s="123">
        <v>35553</v>
      </c>
      <c r="F15" s="124">
        <v>147.58050299999999</v>
      </c>
      <c r="G15" s="125">
        <v>3.4883820000000003E-2</v>
      </c>
      <c r="H15" s="120" t="s">
        <v>151</v>
      </c>
      <c r="J15" s="8"/>
    </row>
    <row r="16" spans="1:10" x14ac:dyDescent="0.2">
      <c r="A16" s="121">
        <v>10</v>
      </c>
      <c r="B16" s="122" t="s">
        <v>89</v>
      </c>
      <c r="C16" s="122" t="s">
        <v>90</v>
      </c>
      <c r="D16" s="122" t="s">
        <v>32</v>
      </c>
      <c r="E16" s="123">
        <v>3360</v>
      </c>
      <c r="F16" s="124">
        <v>144.38928000000001</v>
      </c>
      <c r="G16" s="125">
        <v>3.4129510000000002E-2</v>
      </c>
      <c r="H16" s="120" t="s">
        <v>151</v>
      </c>
      <c r="J16" s="8"/>
    </row>
    <row r="17" spans="1:10" x14ac:dyDescent="0.2">
      <c r="A17" s="121">
        <v>11</v>
      </c>
      <c r="B17" s="122" t="s">
        <v>413</v>
      </c>
      <c r="C17" s="122" t="s">
        <v>414</v>
      </c>
      <c r="D17" s="122" t="s">
        <v>48</v>
      </c>
      <c r="E17" s="123">
        <v>180840</v>
      </c>
      <c r="F17" s="124">
        <v>139.626564</v>
      </c>
      <c r="G17" s="125">
        <v>3.3003739999999997E-2</v>
      </c>
      <c r="H17" s="120" t="s">
        <v>151</v>
      </c>
      <c r="J17" s="8"/>
    </row>
    <row r="18" spans="1:10" x14ac:dyDescent="0.2">
      <c r="A18" s="121">
        <v>12</v>
      </c>
      <c r="B18" s="122" t="s">
        <v>415</v>
      </c>
      <c r="C18" s="122" t="s">
        <v>416</v>
      </c>
      <c r="D18" s="122" t="s">
        <v>417</v>
      </c>
      <c r="E18" s="123">
        <v>7495</v>
      </c>
      <c r="F18" s="124">
        <v>124.6905675</v>
      </c>
      <c r="G18" s="125">
        <v>2.9473289999999999E-2</v>
      </c>
      <c r="H18" s="120" t="s">
        <v>151</v>
      </c>
      <c r="J18" s="8"/>
    </row>
    <row r="19" spans="1:10" x14ac:dyDescent="0.2">
      <c r="A19" s="121">
        <v>13</v>
      </c>
      <c r="B19" s="122" t="s">
        <v>420</v>
      </c>
      <c r="C19" s="122" t="s">
        <v>421</v>
      </c>
      <c r="D19" s="122" t="s">
        <v>48</v>
      </c>
      <c r="E19" s="123">
        <v>298383</v>
      </c>
      <c r="F19" s="124">
        <v>120.6362469</v>
      </c>
      <c r="G19" s="125">
        <v>2.8514970000000001E-2</v>
      </c>
      <c r="H19" s="120" t="s">
        <v>151</v>
      </c>
      <c r="J19" s="8"/>
    </row>
    <row r="20" spans="1:10" x14ac:dyDescent="0.2">
      <c r="A20" s="121">
        <v>14</v>
      </c>
      <c r="B20" s="122" t="s">
        <v>418</v>
      </c>
      <c r="C20" s="122" t="s">
        <v>419</v>
      </c>
      <c r="D20" s="122" t="s">
        <v>32</v>
      </c>
      <c r="E20" s="123">
        <v>8741</v>
      </c>
      <c r="F20" s="124">
        <v>120.040153</v>
      </c>
      <c r="G20" s="125">
        <v>2.8374070000000001E-2</v>
      </c>
      <c r="H20" s="120" t="s">
        <v>151</v>
      </c>
      <c r="J20" s="8"/>
    </row>
    <row r="21" spans="1:10" x14ac:dyDescent="0.2">
      <c r="A21" s="121">
        <v>15</v>
      </c>
      <c r="B21" s="122" t="s">
        <v>422</v>
      </c>
      <c r="C21" s="122" t="s">
        <v>423</v>
      </c>
      <c r="D21" s="122" t="s">
        <v>216</v>
      </c>
      <c r="E21" s="123">
        <v>16328</v>
      </c>
      <c r="F21" s="124">
        <v>119.700568</v>
      </c>
      <c r="G21" s="125">
        <v>2.8293800000000001E-2</v>
      </c>
      <c r="H21" s="120" t="s">
        <v>151</v>
      </c>
      <c r="J21" s="8"/>
    </row>
    <row r="22" spans="1:10" ht="15" x14ac:dyDescent="0.2">
      <c r="A22" s="121">
        <v>16</v>
      </c>
      <c r="B22" s="122" t="s">
        <v>424</v>
      </c>
      <c r="C22" s="122" t="s">
        <v>425</v>
      </c>
      <c r="D22" s="122" t="s">
        <v>48</v>
      </c>
      <c r="E22" s="123">
        <v>37549</v>
      </c>
      <c r="F22" s="124">
        <v>117.6597915</v>
      </c>
      <c r="G22" s="125">
        <v>2.781142E-2</v>
      </c>
      <c r="H22" s="120" t="s">
        <v>151</v>
      </c>
      <c r="J22" s="11"/>
    </row>
    <row r="23" spans="1:10" ht="25.5" x14ac:dyDescent="0.2">
      <c r="A23" s="121">
        <v>17</v>
      </c>
      <c r="B23" s="122" t="s">
        <v>324</v>
      </c>
      <c r="C23" s="122" t="s">
        <v>325</v>
      </c>
      <c r="D23" s="122" t="s">
        <v>258</v>
      </c>
      <c r="E23" s="123">
        <v>3361</v>
      </c>
      <c r="F23" s="124">
        <v>115.6637735</v>
      </c>
      <c r="G23" s="125">
        <v>2.7339619999999999E-2</v>
      </c>
      <c r="H23" s="120" t="s">
        <v>151</v>
      </c>
      <c r="J23" s="8"/>
    </row>
    <row r="24" spans="1:10" x14ac:dyDescent="0.2">
      <c r="A24" s="121">
        <v>18</v>
      </c>
      <c r="B24" s="122" t="s">
        <v>443</v>
      </c>
      <c r="C24" s="122" t="s">
        <v>444</v>
      </c>
      <c r="D24" s="122" t="s">
        <v>216</v>
      </c>
      <c r="E24" s="123">
        <v>19125</v>
      </c>
      <c r="F24" s="124">
        <v>115.113375</v>
      </c>
      <c r="G24" s="125">
        <v>2.7209520000000001E-2</v>
      </c>
      <c r="H24" s="120" t="s">
        <v>151</v>
      </c>
      <c r="J24" s="8"/>
    </row>
    <row r="25" spans="1:10" ht="25.5" x14ac:dyDescent="0.2">
      <c r="A25" s="121">
        <v>19</v>
      </c>
      <c r="B25" s="122" t="s">
        <v>434</v>
      </c>
      <c r="C25" s="122" t="s">
        <v>435</v>
      </c>
      <c r="D25" s="122" t="s">
        <v>436</v>
      </c>
      <c r="E25" s="123">
        <v>26872</v>
      </c>
      <c r="F25" s="124">
        <v>112.217472</v>
      </c>
      <c r="G25" s="125">
        <v>2.6525010000000002E-2</v>
      </c>
      <c r="H25" s="120" t="s">
        <v>151</v>
      </c>
      <c r="J25" s="8"/>
    </row>
    <row r="26" spans="1:10" ht="25.5" x14ac:dyDescent="0.2">
      <c r="A26" s="121">
        <v>20</v>
      </c>
      <c r="B26" s="122" t="s">
        <v>77</v>
      </c>
      <c r="C26" s="122" t="s">
        <v>78</v>
      </c>
      <c r="D26" s="122" t="s">
        <v>25</v>
      </c>
      <c r="E26" s="123">
        <v>2267</v>
      </c>
      <c r="F26" s="124">
        <v>105.263611</v>
      </c>
      <c r="G26" s="125">
        <v>2.4881319999999998E-2</v>
      </c>
      <c r="H26" s="120" t="s">
        <v>151</v>
      </c>
      <c r="J26" s="8"/>
    </row>
    <row r="27" spans="1:10" x14ac:dyDescent="0.2">
      <c r="A27" s="121">
        <v>21</v>
      </c>
      <c r="B27" s="122" t="s">
        <v>61</v>
      </c>
      <c r="C27" s="122" t="s">
        <v>62</v>
      </c>
      <c r="D27" s="122" t="s">
        <v>13</v>
      </c>
      <c r="E27" s="123">
        <v>7465</v>
      </c>
      <c r="F27" s="124">
        <v>102.0652125</v>
      </c>
      <c r="G27" s="125">
        <v>2.4125310000000001E-2</v>
      </c>
      <c r="H27" s="120" t="s">
        <v>151</v>
      </c>
      <c r="J27" s="8"/>
    </row>
    <row r="28" spans="1:10" x14ac:dyDescent="0.2">
      <c r="A28" s="121">
        <v>22</v>
      </c>
      <c r="B28" s="122" t="s">
        <v>223</v>
      </c>
      <c r="C28" s="122" t="s">
        <v>224</v>
      </c>
      <c r="D28" s="122" t="s">
        <v>121</v>
      </c>
      <c r="E28" s="123">
        <v>707</v>
      </c>
      <c r="F28" s="124">
        <v>101.14518750000001</v>
      </c>
      <c r="G28" s="125">
        <v>2.390784E-2</v>
      </c>
      <c r="H28" s="120" t="s">
        <v>151</v>
      </c>
      <c r="J28" s="8"/>
    </row>
    <row r="29" spans="1:10" ht="25.5" x14ac:dyDescent="0.2">
      <c r="A29" s="121">
        <v>23</v>
      </c>
      <c r="B29" s="122" t="s">
        <v>430</v>
      </c>
      <c r="C29" s="122" t="s">
        <v>431</v>
      </c>
      <c r="D29" s="122" t="s">
        <v>205</v>
      </c>
      <c r="E29" s="123">
        <v>1831</v>
      </c>
      <c r="F29" s="124">
        <v>99.343651500000007</v>
      </c>
      <c r="G29" s="125">
        <v>2.3482010000000001E-2</v>
      </c>
      <c r="H29" s="120" t="s">
        <v>151</v>
      </c>
      <c r="J29" s="8"/>
    </row>
    <row r="30" spans="1:10" x14ac:dyDescent="0.2">
      <c r="A30" s="121">
        <v>24</v>
      </c>
      <c r="B30" s="122" t="s">
        <v>428</v>
      </c>
      <c r="C30" s="122" t="s">
        <v>429</v>
      </c>
      <c r="D30" s="122" t="s">
        <v>121</v>
      </c>
      <c r="E30" s="123">
        <v>11039</v>
      </c>
      <c r="F30" s="124">
        <v>98.495477500000007</v>
      </c>
      <c r="G30" s="125">
        <v>2.328152E-2</v>
      </c>
      <c r="H30" s="120" t="s">
        <v>151</v>
      </c>
      <c r="J30" s="8"/>
    </row>
    <row r="31" spans="1:10" x14ac:dyDescent="0.2">
      <c r="A31" s="121">
        <v>25</v>
      </c>
      <c r="B31" s="122" t="s">
        <v>30</v>
      </c>
      <c r="C31" s="122" t="s">
        <v>31</v>
      </c>
      <c r="D31" s="122" t="s">
        <v>32</v>
      </c>
      <c r="E31" s="123">
        <v>1517</v>
      </c>
      <c r="F31" s="124">
        <v>93.777147499999998</v>
      </c>
      <c r="G31" s="125">
        <v>2.216624E-2</v>
      </c>
      <c r="H31" s="120" t="s">
        <v>151</v>
      </c>
      <c r="J31" s="8"/>
    </row>
    <row r="32" spans="1:10" x14ac:dyDescent="0.2">
      <c r="A32" s="121">
        <v>26</v>
      </c>
      <c r="B32" s="122" t="s">
        <v>439</v>
      </c>
      <c r="C32" s="122" t="s">
        <v>440</v>
      </c>
      <c r="D32" s="122" t="s">
        <v>238</v>
      </c>
      <c r="E32" s="123">
        <v>9506</v>
      </c>
      <c r="F32" s="124">
        <v>89.769910999999993</v>
      </c>
      <c r="G32" s="125">
        <v>2.121905E-2</v>
      </c>
      <c r="H32" s="120" t="s">
        <v>151</v>
      </c>
      <c r="J32" s="8"/>
    </row>
    <row r="33" spans="1:10" x14ac:dyDescent="0.2">
      <c r="A33" s="121">
        <v>27</v>
      </c>
      <c r="B33" s="122" t="s">
        <v>437</v>
      </c>
      <c r="C33" s="122" t="s">
        <v>438</v>
      </c>
      <c r="D33" s="122" t="s">
        <v>32</v>
      </c>
      <c r="E33" s="123">
        <v>14157</v>
      </c>
      <c r="F33" s="124">
        <v>85.833890999999994</v>
      </c>
      <c r="G33" s="125">
        <v>2.028868E-2</v>
      </c>
      <c r="H33" s="120" t="s">
        <v>151</v>
      </c>
      <c r="J33" s="8"/>
    </row>
    <row r="34" spans="1:10" x14ac:dyDescent="0.2">
      <c r="A34" s="121">
        <v>28</v>
      </c>
      <c r="B34" s="122" t="s">
        <v>244</v>
      </c>
      <c r="C34" s="122" t="s">
        <v>245</v>
      </c>
      <c r="D34" s="122" t="s">
        <v>121</v>
      </c>
      <c r="E34" s="123">
        <v>4105</v>
      </c>
      <c r="F34" s="124">
        <v>83.893884999999997</v>
      </c>
      <c r="G34" s="125">
        <v>1.983012E-2</v>
      </c>
      <c r="H34" s="120" t="s">
        <v>151</v>
      </c>
      <c r="J34" s="8"/>
    </row>
    <row r="35" spans="1:10" ht="25.5" x14ac:dyDescent="0.2">
      <c r="A35" s="121">
        <v>29</v>
      </c>
      <c r="B35" s="122" t="s">
        <v>304</v>
      </c>
      <c r="C35" s="122" t="s">
        <v>305</v>
      </c>
      <c r="D35" s="122" t="s">
        <v>205</v>
      </c>
      <c r="E35" s="123">
        <v>14944</v>
      </c>
      <c r="F35" s="124">
        <v>69.280383999999998</v>
      </c>
      <c r="G35" s="125">
        <v>1.637591E-2</v>
      </c>
      <c r="H35" s="120" t="s">
        <v>151</v>
      </c>
      <c r="J35" s="8"/>
    </row>
    <row r="36" spans="1:10" x14ac:dyDescent="0.2">
      <c r="A36" s="121">
        <v>30</v>
      </c>
      <c r="B36" s="122" t="s">
        <v>477</v>
      </c>
      <c r="C36" s="122" t="s">
        <v>478</v>
      </c>
      <c r="D36" s="122" t="s">
        <v>32</v>
      </c>
      <c r="E36" s="123">
        <v>10251</v>
      </c>
      <c r="F36" s="124">
        <v>66.262463999999994</v>
      </c>
      <c r="G36" s="125">
        <v>1.5662559999999999E-2</v>
      </c>
      <c r="H36" s="120" t="s">
        <v>151</v>
      </c>
      <c r="J36" s="8"/>
    </row>
    <row r="37" spans="1:10" x14ac:dyDescent="0.2">
      <c r="A37" s="121">
        <v>31</v>
      </c>
      <c r="B37" s="122" t="s">
        <v>445</v>
      </c>
      <c r="C37" s="122" t="s">
        <v>446</v>
      </c>
      <c r="D37" s="122" t="s">
        <v>35</v>
      </c>
      <c r="E37" s="123">
        <v>5457</v>
      </c>
      <c r="F37" s="124">
        <v>53.557726500000001</v>
      </c>
      <c r="G37" s="125">
        <v>1.265952E-2</v>
      </c>
      <c r="H37" s="120" t="s">
        <v>151</v>
      </c>
      <c r="J37" s="8"/>
    </row>
    <row r="38" spans="1:10" x14ac:dyDescent="0.2">
      <c r="A38" s="121">
        <v>32</v>
      </c>
      <c r="B38" s="122" t="s">
        <v>441</v>
      </c>
      <c r="C38" s="122" t="s">
        <v>442</v>
      </c>
      <c r="D38" s="122" t="s">
        <v>35</v>
      </c>
      <c r="E38" s="123">
        <v>5396</v>
      </c>
      <c r="F38" s="124">
        <v>47.973137999999999</v>
      </c>
      <c r="G38" s="125">
        <v>1.1339480000000001E-2</v>
      </c>
      <c r="H38" s="120" t="s">
        <v>151</v>
      </c>
      <c r="J38" s="8"/>
    </row>
    <row r="39" spans="1:10" x14ac:dyDescent="0.2">
      <c r="A39" s="121">
        <v>33</v>
      </c>
      <c r="B39" s="122" t="s">
        <v>479</v>
      </c>
      <c r="C39" s="122" t="s">
        <v>480</v>
      </c>
      <c r="D39" s="122" t="s">
        <v>35</v>
      </c>
      <c r="E39" s="123">
        <v>2040</v>
      </c>
      <c r="F39" s="124">
        <v>47.693159999999999</v>
      </c>
      <c r="G39" s="125">
        <v>1.12733E-2</v>
      </c>
      <c r="H39" s="120" t="s">
        <v>151</v>
      </c>
      <c r="J39" s="8"/>
    </row>
    <row r="40" spans="1:10" x14ac:dyDescent="0.2">
      <c r="A40" s="121">
        <v>34</v>
      </c>
      <c r="B40" s="122" t="s">
        <v>449</v>
      </c>
      <c r="C40" s="122" t="s">
        <v>450</v>
      </c>
      <c r="D40" s="122" t="s">
        <v>121</v>
      </c>
      <c r="E40" s="123">
        <v>2750</v>
      </c>
      <c r="F40" s="124">
        <v>32.625999999999998</v>
      </c>
      <c r="G40" s="125">
        <v>7.7118600000000001E-3</v>
      </c>
      <c r="H40" s="120" t="s">
        <v>151</v>
      </c>
      <c r="J40" s="8"/>
    </row>
    <row r="41" spans="1:10" x14ac:dyDescent="0.2">
      <c r="A41" s="121">
        <v>35</v>
      </c>
      <c r="B41" s="122" t="s">
        <v>457</v>
      </c>
      <c r="C41" s="122" t="s">
        <v>458</v>
      </c>
      <c r="D41" s="122" t="s">
        <v>70</v>
      </c>
      <c r="E41" s="123">
        <v>4604</v>
      </c>
      <c r="F41" s="124">
        <v>27.621697999999999</v>
      </c>
      <c r="G41" s="125">
        <v>6.5289800000000002E-3</v>
      </c>
      <c r="H41" s="120" t="s">
        <v>151</v>
      </c>
      <c r="J41" s="8"/>
    </row>
    <row r="42" spans="1:10" x14ac:dyDescent="0.2">
      <c r="A42" s="118"/>
      <c r="B42" s="118"/>
      <c r="C42" s="119" t="s">
        <v>150</v>
      </c>
      <c r="D42" s="118"/>
      <c r="E42" s="118" t="s">
        <v>151</v>
      </c>
      <c r="F42" s="126">
        <v>4153.0872354000003</v>
      </c>
      <c r="G42" s="127">
        <v>0.98167139999999997</v>
      </c>
      <c r="H42" s="120" t="s">
        <v>151</v>
      </c>
      <c r="J42" s="8"/>
    </row>
    <row r="43" spans="1:10" x14ac:dyDescent="0.2">
      <c r="A43" s="118"/>
      <c r="B43" s="118"/>
      <c r="C43" s="128"/>
      <c r="D43" s="118"/>
      <c r="E43" s="118"/>
      <c r="F43" s="129"/>
      <c r="G43" s="129"/>
      <c r="H43" s="120" t="s">
        <v>151</v>
      </c>
      <c r="J43" s="8"/>
    </row>
    <row r="44" spans="1:10" x14ac:dyDescent="0.2">
      <c r="A44" s="118"/>
      <c r="B44" s="118"/>
      <c r="C44" s="119" t="s">
        <v>152</v>
      </c>
      <c r="D44" s="118"/>
      <c r="E44" s="118"/>
      <c r="F44" s="118"/>
      <c r="G44" s="118"/>
      <c r="H44" s="120" t="s">
        <v>151</v>
      </c>
      <c r="J44" s="8"/>
    </row>
    <row r="45" spans="1:10" x14ac:dyDescent="0.2">
      <c r="A45" s="118"/>
      <c r="B45" s="118"/>
      <c r="C45" s="119" t="s">
        <v>150</v>
      </c>
      <c r="D45" s="118"/>
      <c r="E45" s="118" t="s">
        <v>151</v>
      </c>
      <c r="F45" s="130" t="s">
        <v>153</v>
      </c>
      <c r="G45" s="127">
        <v>0</v>
      </c>
      <c r="H45" s="120" t="s">
        <v>151</v>
      </c>
      <c r="J45" s="8"/>
    </row>
    <row r="46" spans="1:10" x14ac:dyDescent="0.2">
      <c r="A46" s="118"/>
      <c r="B46" s="118"/>
      <c r="C46" s="128"/>
      <c r="D46" s="118"/>
      <c r="E46" s="118"/>
      <c r="F46" s="129"/>
      <c r="G46" s="129"/>
      <c r="H46" s="120" t="s">
        <v>151</v>
      </c>
      <c r="J46" s="8"/>
    </row>
    <row r="47" spans="1:10" x14ac:dyDescent="0.2">
      <c r="A47" s="118"/>
      <c r="B47" s="118"/>
      <c r="C47" s="119" t="s">
        <v>154</v>
      </c>
      <c r="D47" s="118"/>
      <c r="E47" s="118"/>
      <c r="F47" s="118"/>
      <c r="G47" s="118"/>
      <c r="H47" s="120" t="s">
        <v>151</v>
      </c>
      <c r="J47" s="8"/>
    </row>
    <row r="48" spans="1:10" x14ac:dyDescent="0.2">
      <c r="A48" s="118"/>
      <c r="B48" s="118"/>
      <c r="C48" s="119" t="s">
        <v>150</v>
      </c>
      <c r="D48" s="118"/>
      <c r="E48" s="118" t="s">
        <v>151</v>
      </c>
      <c r="F48" s="130" t="s">
        <v>153</v>
      </c>
      <c r="G48" s="127">
        <v>0</v>
      </c>
      <c r="H48" s="120" t="s">
        <v>151</v>
      </c>
      <c r="J48" s="8"/>
    </row>
    <row r="49" spans="1:10" x14ac:dyDescent="0.2">
      <c r="A49" s="118"/>
      <c r="B49" s="118"/>
      <c r="C49" s="128"/>
      <c r="D49" s="118"/>
      <c r="E49" s="118"/>
      <c r="F49" s="129"/>
      <c r="G49" s="129"/>
      <c r="H49" s="120" t="s">
        <v>151</v>
      </c>
      <c r="J49" s="8"/>
    </row>
    <row r="50" spans="1:10" x14ac:dyDescent="0.2">
      <c r="A50" s="118"/>
      <c r="B50" s="118"/>
      <c r="C50" s="119" t="s">
        <v>155</v>
      </c>
      <c r="D50" s="118"/>
      <c r="E50" s="118"/>
      <c r="F50" s="118"/>
      <c r="G50" s="118"/>
      <c r="H50" s="120" t="s">
        <v>151</v>
      </c>
      <c r="J50" s="8"/>
    </row>
    <row r="51" spans="1:10" x14ac:dyDescent="0.2">
      <c r="A51" s="118"/>
      <c r="B51" s="118"/>
      <c r="C51" s="119" t="s">
        <v>150</v>
      </c>
      <c r="D51" s="118"/>
      <c r="E51" s="118" t="s">
        <v>151</v>
      </c>
      <c r="F51" s="130" t="s">
        <v>153</v>
      </c>
      <c r="G51" s="127">
        <v>0</v>
      </c>
      <c r="H51" s="120" t="s">
        <v>151</v>
      </c>
      <c r="J51" s="8"/>
    </row>
    <row r="52" spans="1:10" x14ac:dyDescent="0.2">
      <c r="A52" s="118"/>
      <c r="B52" s="118"/>
      <c r="C52" s="128"/>
      <c r="D52" s="118"/>
      <c r="E52" s="118"/>
      <c r="F52" s="129"/>
      <c r="G52" s="129"/>
      <c r="H52" s="120" t="s">
        <v>151</v>
      </c>
      <c r="J52" s="8"/>
    </row>
    <row r="53" spans="1:10" x14ac:dyDescent="0.2">
      <c r="A53" s="118"/>
      <c r="B53" s="118"/>
      <c r="C53" s="119" t="s">
        <v>156</v>
      </c>
      <c r="D53" s="118"/>
      <c r="E53" s="118"/>
      <c r="F53" s="129"/>
      <c r="G53" s="129"/>
      <c r="H53" s="120" t="s">
        <v>151</v>
      </c>
      <c r="J53" s="8"/>
    </row>
    <row r="54" spans="1:10" x14ac:dyDescent="0.2">
      <c r="A54" s="118"/>
      <c r="B54" s="118"/>
      <c r="C54" s="119" t="s">
        <v>150</v>
      </c>
      <c r="D54" s="118"/>
      <c r="E54" s="118" t="s">
        <v>151</v>
      </c>
      <c r="F54" s="130" t="s">
        <v>153</v>
      </c>
      <c r="G54" s="127">
        <v>0</v>
      </c>
      <c r="H54" s="120" t="s">
        <v>151</v>
      </c>
      <c r="J54" s="8"/>
    </row>
    <row r="55" spans="1:10" x14ac:dyDescent="0.2">
      <c r="A55" s="118"/>
      <c r="B55" s="118"/>
      <c r="C55" s="128"/>
      <c r="D55" s="118"/>
      <c r="E55" s="118"/>
      <c r="F55" s="129"/>
      <c r="G55" s="129"/>
      <c r="H55" s="120" t="s">
        <v>151</v>
      </c>
      <c r="J55" s="8"/>
    </row>
    <row r="56" spans="1:10" x14ac:dyDescent="0.2">
      <c r="A56" s="118"/>
      <c r="B56" s="118"/>
      <c r="C56" s="119" t="s">
        <v>157</v>
      </c>
      <c r="D56" s="118"/>
      <c r="E56" s="118"/>
      <c r="F56" s="129"/>
      <c r="G56" s="129"/>
      <c r="H56" s="120" t="s">
        <v>151</v>
      </c>
      <c r="J56" s="8"/>
    </row>
    <row r="57" spans="1:10" x14ac:dyDescent="0.2">
      <c r="A57" s="118"/>
      <c r="B57" s="118"/>
      <c r="C57" s="119" t="s">
        <v>150</v>
      </c>
      <c r="D57" s="118"/>
      <c r="E57" s="118" t="s">
        <v>151</v>
      </c>
      <c r="F57" s="130" t="s">
        <v>153</v>
      </c>
      <c r="G57" s="127">
        <v>0</v>
      </c>
      <c r="H57" s="120" t="s">
        <v>151</v>
      </c>
      <c r="J57" s="8"/>
    </row>
    <row r="58" spans="1:10" x14ac:dyDescent="0.2">
      <c r="A58" s="118"/>
      <c r="B58" s="118"/>
      <c r="C58" s="128"/>
      <c r="D58" s="118"/>
      <c r="E58" s="118"/>
      <c r="F58" s="129"/>
      <c r="G58" s="129"/>
      <c r="H58" s="120" t="s">
        <v>151</v>
      </c>
      <c r="J58" s="8"/>
    </row>
    <row r="59" spans="1:10" x14ac:dyDescent="0.2">
      <c r="A59" s="118"/>
      <c r="B59" s="118"/>
      <c r="C59" s="119" t="s">
        <v>158</v>
      </c>
      <c r="D59" s="118"/>
      <c r="E59" s="118"/>
      <c r="F59" s="126">
        <v>4153.0872354000003</v>
      </c>
      <c r="G59" s="127">
        <v>0.98167139999999997</v>
      </c>
      <c r="H59" s="120" t="s">
        <v>151</v>
      </c>
      <c r="J59" s="8"/>
    </row>
    <row r="60" spans="1:10" x14ac:dyDescent="0.2">
      <c r="A60" s="118"/>
      <c r="B60" s="118"/>
      <c r="C60" s="128"/>
      <c r="D60" s="118"/>
      <c r="E60" s="118"/>
      <c r="F60" s="129"/>
      <c r="G60" s="129"/>
      <c r="H60" s="120" t="s">
        <v>151</v>
      </c>
      <c r="J60" s="8"/>
    </row>
    <row r="61" spans="1:10" x14ac:dyDescent="0.2">
      <c r="A61" s="118"/>
      <c r="B61" s="118"/>
      <c r="C61" s="119" t="s">
        <v>159</v>
      </c>
      <c r="D61" s="118"/>
      <c r="E61" s="118"/>
      <c r="F61" s="129"/>
      <c r="G61" s="129"/>
      <c r="H61" s="120" t="s">
        <v>151</v>
      </c>
      <c r="J61" s="8"/>
    </row>
    <row r="62" spans="1:10" x14ac:dyDescent="0.2">
      <c r="A62" s="118"/>
      <c r="B62" s="118"/>
      <c r="C62" s="119" t="s">
        <v>10</v>
      </c>
      <c r="D62" s="118"/>
      <c r="E62" s="118"/>
      <c r="F62" s="129"/>
      <c r="G62" s="129"/>
      <c r="H62" s="120" t="s">
        <v>151</v>
      </c>
      <c r="J62" s="8"/>
    </row>
    <row r="63" spans="1:10" x14ac:dyDescent="0.2">
      <c r="A63" s="118"/>
      <c r="B63" s="118"/>
      <c r="C63" s="119" t="s">
        <v>150</v>
      </c>
      <c r="D63" s="118"/>
      <c r="E63" s="118" t="s">
        <v>151</v>
      </c>
      <c r="F63" s="130" t="s">
        <v>153</v>
      </c>
      <c r="G63" s="127">
        <v>0</v>
      </c>
      <c r="H63" s="120" t="s">
        <v>151</v>
      </c>
      <c r="J63" s="8"/>
    </row>
    <row r="64" spans="1:10" x14ac:dyDescent="0.2">
      <c r="A64" s="118"/>
      <c r="B64" s="118"/>
      <c r="C64" s="128"/>
      <c r="D64" s="118"/>
      <c r="E64" s="118"/>
      <c r="F64" s="129"/>
      <c r="G64" s="129"/>
      <c r="H64" s="120" t="s">
        <v>151</v>
      </c>
      <c r="J64" s="8"/>
    </row>
    <row r="65" spans="1:10" x14ac:dyDescent="0.2">
      <c r="A65" s="118"/>
      <c r="B65" s="118"/>
      <c r="C65" s="119" t="s">
        <v>160</v>
      </c>
      <c r="D65" s="118"/>
      <c r="E65" s="118"/>
      <c r="F65" s="118"/>
      <c r="G65" s="118"/>
      <c r="H65" s="120" t="s">
        <v>151</v>
      </c>
      <c r="J65" s="8"/>
    </row>
    <row r="66" spans="1:10" x14ac:dyDescent="0.2">
      <c r="A66" s="118"/>
      <c r="B66" s="118"/>
      <c r="C66" s="119" t="s">
        <v>150</v>
      </c>
      <c r="D66" s="118"/>
      <c r="E66" s="118" t="s">
        <v>151</v>
      </c>
      <c r="F66" s="130" t="s">
        <v>153</v>
      </c>
      <c r="G66" s="127">
        <v>0</v>
      </c>
      <c r="H66" s="120" t="s">
        <v>151</v>
      </c>
      <c r="J66" s="8"/>
    </row>
    <row r="67" spans="1:10" x14ac:dyDescent="0.2">
      <c r="A67" s="118"/>
      <c r="B67" s="118"/>
      <c r="C67" s="128"/>
      <c r="D67" s="118"/>
      <c r="E67" s="118"/>
      <c r="F67" s="129"/>
      <c r="G67" s="129"/>
      <c r="H67" s="120" t="s">
        <v>151</v>
      </c>
      <c r="J67" s="8"/>
    </row>
    <row r="68" spans="1:10" x14ac:dyDescent="0.2">
      <c r="A68" s="118"/>
      <c r="B68" s="118"/>
      <c r="C68" s="119" t="s">
        <v>161</v>
      </c>
      <c r="D68" s="118"/>
      <c r="E68" s="118"/>
      <c r="F68" s="118"/>
      <c r="G68" s="118"/>
      <c r="H68" s="120" t="s">
        <v>151</v>
      </c>
      <c r="J68" s="8"/>
    </row>
    <row r="69" spans="1:10" x14ac:dyDescent="0.2">
      <c r="A69" s="118"/>
      <c r="B69" s="118"/>
      <c r="C69" s="119" t="s">
        <v>150</v>
      </c>
      <c r="D69" s="118"/>
      <c r="E69" s="118" t="s">
        <v>151</v>
      </c>
      <c r="F69" s="130" t="s">
        <v>153</v>
      </c>
      <c r="G69" s="127">
        <v>0</v>
      </c>
      <c r="H69" s="120" t="s">
        <v>151</v>
      </c>
      <c r="J69" s="8"/>
    </row>
    <row r="70" spans="1:10" x14ac:dyDescent="0.2">
      <c r="A70" s="118"/>
      <c r="B70" s="118"/>
      <c r="C70" s="128"/>
      <c r="D70" s="118"/>
      <c r="E70" s="118"/>
      <c r="F70" s="129"/>
      <c r="G70" s="129"/>
      <c r="H70" s="120" t="s">
        <v>151</v>
      </c>
      <c r="J70" s="8"/>
    </row>
    <row r="71" spans="1:10" x14ac:dyDescent="0.2">
      <c r="A71" s="118"/>
      <c r="B71" s="118"/>
      <c r="C71" s="119" t="s">
        <v>162</v>
      </c>
      <c r="D71" s="118"/>
      <c r="E71" s="118"/>
      <c r="F71" s="129"/>
      <c r="G71" s="129"/>
      <c r="H71" s="120" t="s">
        <v>151</v>
      </c>
      <c r="J71" s="8"/>
    </row>
    <row r="72" spans="1:10" x14ac:dyDescent="0.2">
      <c r="A72" s="118"/>
      <c r="B72" s="118"/>
      <c r="C72" s="119" t="s">
        <v>150</v>
      </c>
      <c r="D72" s="118"/>
      <c r="E72" s="118" t="s">
        <v>151</v>
      </c>
      <c r="F72" s="130" t="s">
        <v>153</v>
      </c>
      <c r="G72" s="127">
        <v>0</v>
      </c>
      <c r="H72" s="120" t="s">
        <v>151</v>
      </c>
      <c r="J72" s="8"/>
    </row>
    <row r="73" spans="1:10" x14ac:dyDescent="0.2">
      <c r="A73" s="118"/>
      <c r="B73" s="118"/>
      <c r="C73" s="128"/>
      <c r="D73" s="118"/>
      <c r="E73" s="118"/>
      <c r="F73" s="129"/>
      <c r="G73" s="129"/>
      <c r="H73" s="120" t="s">
        <v>151</v>
      </c>
      <c r="J73" s="8"/>
    </row>
    <row r="74" spans="1:10" x14ac:dyDescent="0.2">
      <c r="A74" s="118"/>
      <c r="B74" s="118"/>
      <c r="C74" s="119" t="s">
        <v>163</v>
      </c>
      <c r="D74" s="118"/>
      <c r="E74" s="118"/>
      <c r="F74" s="126">
        <v>0</v>
      </c>
      <c r="G74" s="127">
        <v>0</v>
      </c>
      <c r="H74" s="120" t="s">
        <v>151</v>
      </c>
      <c r="J74" s="8"/>
    </row>
    <row r="75" spans="1:10" x14ac:dyDescent="0.2">
      <c r="A75" s="118"/>
      <c r="B75" s="118"/>
      <c r="C75" s="128"/>
      <c r="D75" s="118"/>
      <c r="E75" s="118"/>
      <c r="F75" s="129"/>
      <c r="G75" s="129"/>
      <c r="H75" s="120" t="s">
        <v>151</v>
      </c>
      <c r="J75" s="8"/>
    </row>
    <row r="76" spans="1:10" x14ac:dyDescent="0.2">
      <c r="A76" s="118"/>
      <c r="B76" s="118"/>
      <c r="C76" s="119" t="s">
        <v>164</v>
      </c>
      <c r="D76" s="118"/>
      <c r="E76" s="118"/>
      <c r="F76" s="129"/>
      <c r="G76" s="129"/>
      <c r="H76" s="120" t="s">
        <v>151</v>
      </c>
      <c r="J76" s="8"/>
    </row>
    <row r="77" spans="1:10" x14ac:dyDescent="0.2">
      <c r="A77" s="118"/>
      <c r="B77" s="118"/>
      <c r="C77" s="119" t="s">
        <v>165</v>
      </c>
      <c r="D77" s="118"/>
      <c r="E77" s="118"/>
      <c r="F77" s="129"/>
      <c r="G77" s="129"/>
      <c r="H77" s="120" t="s">
        <v>151</v>
      </c>
      <c r="J77" s="8"/>
    </row>
    <row r="78" spans="1:10" x14ac:dyDescent="0.2">
      <c r="A78" s="118"/>
      <c r="B78" s="118"/>
      <c r="C78" s="119" t="s">
        <v>150</v>
      </c>
      <c r="D78" s="118"/>
      <c r="E78" s="118" t="s">
        <v>151</v>
      </c>
      <c r="F78" s="130" t="s">
        <v>153</v>
      </c>
      <c r="G78" s="127">
        <v>0</v>
      </c>
      <c r="H78" s="120" t="s">
        <v>151</v>
      </c>
      <c r="J78" s="8"/>
    </row>
    <row r="79" spans="1:10" x14ac:dyDescent="0.2">
      <c r="A79" s="118"/>
      <c r="B79" s="118"/>
      <c r="C79" s="128"/>
      <c r="D79" s="118"/>
      <c r="E79" s="118"/>
      <c r="F79" s="129"/>
      <c r="G79" s="129"/>
      <c r="H79" s="120" t="s">
        <v>151</v>
      </c>
      <c r="J79" s="8"/>
    </row>
    <row r="80" spans="1:10" x14ac:dyDescent="0.2">
      <c r="A80" s="118"/>
      <c r="B80" s="118"/>
      <c r="C80" s="119" t="s">
        <v>166</v>
      </c>
      <c r="D80" s="118"/>
      <c r="E80" s="118"/>
      <c r="F80" s="129"/>
      <c r="G80" s="129"/>
      <c r="H80" s="120" t="s">
        <v>151</v>
      </c>
      <c r="J80" s="8"/>
    </row>
    <row r="81" spans="1:10" x14ac:dyDescent="0.2">
      <c r="A81" s="118"/>
      <c r="B81" s="118"/>
      <c r="C81" s="119" t="s">
        <v>150</v>
      </c>
      <c r="D81" s="118"/>
      <c r="E81" s="118" t="s">
        <v>151</v>
      </c>
      <c r="F81" s="130" t="s">
        <v>153</v>
      </c>
      <c r="G81" s="127">
        <v>0</v>
      </c>
      <c r="H81" s="120" t="s">
        <v>151</v>
      </c>
      <c r="J81" s="8"/>
    </row>
    <row r="82" spans="1:10" x14ac:dyDescent="0.2">
      <c r="A82" s="118"/>
      <c r="B82" s="118"/>
      <c r="C82" s="128"/>
      <c r="D82" s="118"/>
      <c r="E82" s="118"/>
      <c r="F82" s="129"/>
      <c r="G82" s="129"/>
      <c r="H82" s="120" t="s">
        <v>151</v>
      </c>
      <c r="J82" s="8"/>
    </row>
    <row r="83" spans="1:10" x14ac:dyDescent="0.2">
      <c r="A83" s="118"/>
      <c r="B83" s="118"/>
      <c r="C83" s="119" t="s">
        <v>167</v>
      </c>
      <c r="D83" s="118"/>
      <c r="E83" s="118"/>
      <c r="F83" s="129"/>
      <c r="G83" s="129"/>
      <c r="H83" s="120" t="s">
        <v>151</v>
      </c>
      <c r="J83" s="8"/>
    </row>
    <row r="84" spans="1:10" x14ac:dyDescent="0.2">
      <c r="A84" s="118"/>
      <c r="B84" s="118"/>
      <c r="C84" s="119" t="s">
        <v>150</v>
      </c>
      <c r="D84" s="118"/>
      <c r="E84" s="118" t="s">
        <v>151</v>
      </c>
      <c r="F84" s="130" t="s">
        <v>153</v>
      </c>
      <c r="G84" s="127">
        <v>0</v>
      </c>
      <c r="H84" s="120" t="s">
        <v>151</v>
      </c>
      <c r="J84" s="8"/>
    </row>
    <row r="85" spans="1:10" x14ac:dyDescent="0.2">
      <c r="A85" s="118"/>
      <c r="B85" s="118"/>
      <c r="C85" s="128"/>
      <c r="D85" s="118"/>
      <c r="E85" s="118"/>
      <c r="F85" s="129"/>
      <c r="G85" s="129"/>
      <c r="H85" s="120" t="s">
        <v>151</v>
      </c>
      <c r="J85" s="8"/>
    </row>
    <row r="86" spans="1:10" x14ac:dyDescent="0.2">
      <c r="A86" s="118"/>
      <c r="B86" s="118"/>
      <c r="C86" s="119" t="s">
        <v>168</v>
      </c>
      <c r="D86" s="118"/>
      <c r="E86" s="118"/>
      <c r="F86" s="129"/>
      <c r="G86" s="129"/>
      <c r="H86" s="120" t="s">
        <v>151</v>
      </c>
      <c r="J86" s="8"/>
    </row>
    <row r="87" spans="1:10" x14ac:dyDescent="0.2">
      <c r="A87" s="121">
        <v>1</v>
      </c>
      <c r="B87" s="122"/>
      <c r="C87" s="122" t="s">
        <v>169</v>
      </c>
      <c r="D87" s="122"/>
      <c r="E87" s="131"/>
      <c r="F87" s="124">
        <v>45.980499999999999</v>
      </c>
      <c r="G87" s="125">
        <v>1.086848E-2</v>
      </c>
      <c r="H87" s="120">
        <v>6.61</v>
      </c>
      <c r="J87" s="8"/>
    </row>
    <row r="88" spans="1:10" x14ac:dyDescent="0.2">
      <c r="A88" s="118"/>
      <c r="B88" s="118"/>
      <c r="C88" s="119" t="s">
        <v>150</v>
      </c>
      <c r="D88" s="118"/>
      <c r="E88" s="118" t="s">
        <v>151</v>
      </c>
      <c r="F88" s="126">
        <v>45.980499999999999</v>
      </c>
      <c r="G88" s="127">
        <v>1.086848E-2</v>
      </c>
      <c r="H88" s="120" t="s">
        <v>151</v>
      </c>
      <c r="J88" s="8"/>
    </row>
    <row r="89" spans="1:10" x14ac:dyDescent="0.2">
      <c r="A89" s="118"/>
      <c r="B89" s="118"/>
      <c r="C89" s="128"/>
      <c r="D89" s="118"/>
      <c r="E89" s="118"/>
      <c r="F89" s="129"/>
      <c r="G89" s="129"/>
      <c r="H89" s="120" t="s">
        <v>151</v>
      </c>
      <c r="J89" s="8"/>
    </row>
    <row r="90" spans="1:10" x14ac:dyDescent="0.2">
      <c r="A90" s="118"/>
      <c r="B90" s="118"/>
      <c r="C90" s="119" t="s">
        <v>170</v>
      </c>
      <c r="D90" s="118"/>
      <c r="E90" s="118"/>
      <c r="F90" s="126">
        <v>45.980499999999999</v>
      </c>
      <c r="G90" s="127">
        <v>1.086848E-2</v>
      </c>
      <c r="H90" s="120" t="s">
        <v>151</v>
      </c>
      <c r="J90" s="8"/>
    </row>
    <row r="91" spans="1:10" x14ac:dyDescent="0.2">
      <c r="A91" s="118"/>
      <c r="B91" s="118"/>
      <c r="C91" s="129"/>
      <c r="D91" s="118"/>
      <c r="E91" s="118"/>
      <c r="F91" s="118"/>
      <c r="G91" s="118"/>
      <c r="H91" s="120" t="s">
        <v>151</v>
      </c>
      <c r="J91" s="8"/>
    </row>
    <row r="92" spans="1:10" x14ac:dyDescent="0.2">
      <c r="A92" s="118"/>
      <c r="B92" s="118"/>
      <c r="C92" s="119" t="s">
        <v>171</v>
      </c>
      <c r="D92" s="118"/>
      <c r="E92" s="118"/>
      <c r="F92" s="118"/>
      <c r="G92" s="118"/>
      <c r="H92" s="120" t="s">
        <v>151</v>
      </c>
      <c r="J92" s="8"/>
    </row>
    <row r="93" spans="1:10" x14ac:dyDescent="0.2">
      <c r="A93" s="118"/>
      <c r="B93" s="118"/>
      <c r="C93" s="119" t="s">
        <v>172</v>
      </c>
      <c r="D93" s="118"/>
      <c r="E93" s="118"/>
      <c r="F93" s="118"/>
      <c r="G93" s="118"/>
      <c r="H93" s="120" t="s">
        <v>151</v>
      </c>
      <c r="J93" s="8"/>
    </row>
    <row r="94" spans="1:10" x14ac:dyDescent="0.2">
      <c r="A94" s="118"/>
      <c r="B94" s="118"/>
      <c r="C94" s="119" t="s">
        <v>150</v>
      </c>
      <c r="D94" s="118"/>
      <c r="E94" s="118" t="s">
        <v>151</v>
      </c>
      <c r="F94" s="130" t="s">
        <v>153</v>
      </c>
      <c r="G94" s="127">
        <v>0</v>
      </c>
      <c r="H94" s="120" t="s">
        <v>151</v>
      </c>
      <c r="J94" s="8"/>
    </row>
    <row r="95" spans="1:10" x14ac:dyDescent="0.2">
      <c r="A95" s="118"/>
      <c r="B95" s="118"/>
      <c r="C95" s="128"/>
      <c r="D95" s="118"/>
      <c r="E95" s="118"/>
      <c r="F95" s="129"/>
      <c r="G95" s="129"/>
      <c r="H95" s="120" t="s">
        <v>151</v>
      </c>
      <c r="J95" s="8"/>
    </row>
    <row r="96" spans="1:10" x14ac:dyDescent="0.2">
      <c r="A96" s="118"/>
      <c r="B96" s="118"/>
      <c r="C96" s="119" t="s">
        <v>175</v>
      </c>
      <c r="D96" s="118"/>
      <c r="E96" s="118"/>
      <c r="F96" s="118"/>
      <c r="G96" s="118"/>
      <c r="H96" s="120" t="s">
        <v>151</v>
      </c>
      <c r="J96" s="8"/>
    </row>
    <row r="97" spans="1:17" x14ac:dyDescent="0.2">
      <c r="A97" s="118"/>
      <c r="B97" s="118"/>
      <c r="C97" s="119" t="s">
        <v>176</v>
      </c>
      <c r="D97" s="118"/>
      <c r="E97" s="118"/>
      <c r="F97" s="118"/>
      <c r="G97" s="118"/>
      <c r="H97" s="120" t="s">
        <v>151</v>
      </c>
      <c r="J97" s="8"/>
    </row>
    <row r="98" spans="1:17" x14ac:dyDescent="0.2">
      <c r="A98" s="118"/>
      <c r="B98" s="118"/>
      <c r="C98" s="119" t="s">
        <v>150</v>
      </c>
      <c r="D98" s="118"/>
      <c r="E98" s="118" t="s">
        <v>151</v>
      </c>
      <c r="F98" s="130" t="s">
        <v>153</v>
      </c>
      <c r="G98" s="127">
        <v>0</v>
      </c>
      <c r="H98" s="120" t="s">
        <v>151</v>
      </c>
      <c r="J98" s="8"/>
    </row>
    <row r="99" spans="1:17" x14ac:dyDescent="0.2">
      <c r="A99" s="118"/>
      <c r="B99" s="118"/>
      <c r="C99" s="128"/>
      <c r="D99" s="118"/>
      <c r="E99" s="118"/>
      <c r="F99" s="129"/>
      <c r="G99" s="129"/>
      <c r="H99" s="120" t="s">
        <v>151</v>
      </c>
      <c r="J99" s="8"/>
    </row>
    <row r="100" spans="1:17" x14ac:dyDescent="0.2">
      <c r="A100" s="118"/>
      <c r="B100" s="118"/>
      <c r="C100" s="119" t="s">
        <v>177</v>
      </c>
      <c r="D100" s="118"/>
      <c r="E100" s="118"/>
      <c r="F100" s="129"/>
      <c r="G100" s="129"/>
      <c r="H100" s="120" t="s">
        <v>151</v>
      </c>
      <c r="J100" s="8"/>
    </row>
    <row r="101" spans="1:17" x14ac:dyDescent="0.2">
      <c r="A101" s="118"/>
      <c r="B101" s="118"/>
      <c r="C101" s="119" t="s">
        <v>150</v>
      </c>
      <c r="D101" s="118"/>
      <c r="E101" s="118" t="s">
        <v>151</v>
      </c>
      <c r="F101" s="130" t="s">
        <v>153</v>
      </c>
      <c r="G101" s="127">
        <v>0</v>
      </c>
      <c r="H101" s="120" t="s">
        <v>151</v>
      </c>
      <c r="J101" s="8"/>
    </row>
    <row r="102" spans="1:17" x14ac:dyDescent="0.2">
      <c r="A102" s="118"/>
      <c r="B102" s="118"/>
      <c r="C102" s="128"/>
      <c r="D102" s="118"/>
      <c r="E102" s="118"/>
      <c r="F102" s="129"/>
      <c r="G102" s="129"/>
      <c r="H102" s="120" t="s">
        <v>151</v>
      </c>
      <c r="J102" s="8"/>
    </row>
    <row r="103" spans="1:17" x14ac:dyDescent="0.2">
      <c r="A103" s="131"/>
      <c r="B103" s="122"/>
      <c r="C103" s="122" t="s">
        <v>178</v>
      </c>
      <c r="D103" s="122"/>
      <c r="E103" s="131"/>
      <c r="F103" s="124">
        <v>31.561111100000002</v>
      </c>
      <c r="G103" s="125">
        <v>7.4601499999999996E-3</v>
      </c>
      <c r="H103" s="120" t="s">
        <v>151</v>
      </c>
      <c r="J103" s="8"/>
    </row>
    <row r="104" spans="1:17" x14ac:dyDescent="0.2">
      <c r="A104" s="128"/>
      <c r="B104" s="128"/>
      <c r="C104" s="119" t="s">
        <v>179</v>
      </c>
      <c r="D104" s="129"/>
      <c r="E104" s="129"/>
      <c r="F104" s="126">
        <v>4230.6288464999998</v>
      </c>
      <c r="G104" s="133">
        <v>1.00000003</v>
      </c>
      <c r="H104" s="120" t="s">
        <v>151</v>
      </c>
      <c r="J104" s="8"/>
    </row>
    <row r="105" spans="1:17" x14ac:dyDescent="0.2">
      <c r="A105" s="134"/>
      <c r="B105" s="134"/>
      <c r="C105" s="134"/>
      <c r="D105" s="135"/>
      <c r="E105" s="135"/>
      <c r="F105" s="135"/>
      <c r="G105" s="135"/>
      <c r="J105" s="8"/>
    </row>
    <row r="106" spans="1:17" x14ac:dyDescent="0.2">
      <c r="A106" s="136"/>
      <c r="B106" s="137" t="s">
        <v>888</v>
      </c>
      <c r="C106" s="137"/>
      <c r="D106" s="137"/>
      <c r="E106" s="137"/>
      <c r="F106" s="137"/>
      <c r="G106" s="137"/>
      <c r="H106" s="137"/>
      <c r="J106" s="8"/>
    </row>
    <row r="107" spans="1:17" x14ac:dyDescent="0.2">
      <c r="A107" s="136"/>
      <c r="B107" s="137" t="s">
        <v>889</v>
      </c>
      <c r="C107" s="137"/>
      <c r="D107" s="137"/>
      <c r="E107" s="137"/>
      <c r="F107" s="137"/>
      <c r="G107" s="137"/>
      <c r="H107" s="137"/>
      <c r="J107" s="8"/>
    </row>
    <row r="108" spans="1:17" x14ac:dyDescent="0.2">
      <c r="A108" s="136"/>
      <c r="B108" s="137" t="s">
        <v>890</v>
      </c>
      <c r="C108" s="137"/>
      <c r="D108" s="137"/>
      <c r="E108" s="137"/>
      <c r="F108" s="137"/>
      <c r="G108" s="137"/>
      <c r="H108" s="137"/>
      <c r="J108" s="8"/>
    </row>
    <row r="109" spans="1:17" s="13" customFormat="1" ht="65.25" customHeight="1" x14ac:dyDescent="0.25">
      <c r="A109" s="138"/>
      <c r="B109" s="139" t="s">
        <v>891</v>
      </c>
      <c r="C109" s="139"/>
      <c r="D109" s="139"/>
      <c r="E109" s="139"/>
      <c r="F109" s="139"/>
      <c r="G109" s="139"/>
      <c r="H109" s="139"/>
      <c r="I109" s="114"/>
      <c r="J109" s="8"/>
      <c r="K109"/>
      <c r="L109"/>
      <c r="M109"/>
      <c r="N109"/>
      <c r="O109"/>
      <c r="P109"/>
      <c r="Q109"/>
    </row>
    <row r="110" spans="1:17" x14ac:dyDescent="0.2">
      <c r="A110" s="136"/>
      <c r="B110" s="137" t="s">
        <v>892</v>
      </c>
      <c r="C110" s="137"/>
      <c r="D110" s="137"/>
      <c r="E110" s="137"/>
      <c r="F110" s="137"/>
      <c r="G110" s="137"/>
      <c r="H110" s="137"/>
      <c r="J110" s="8"/>
    </row>
    <row r="111" spans="1:17" x14ac:dyDescent="0.2">
      <c r="A111" s="140"/>
      <c r="B111" s="204" t="s">
        <v>151</v>
      </c>
      <c r="C111" s="204"/>
      <c r="D111" s="204"/>
      <c r="E111" s="204"/>
      <c r="F111" s="204"/>
      <c r="G111" s="141"/>
      <c r="J111" s="8"/>
    </row>
    <row r="112" spans="1:17" x14ac:dyDescent="0.2">
      <c r="A112" s="140"/>
      <c r="B112" s="142" t="s">
        <v>180</v>
      </c>
      <c r="C112" s="143"/>
      <c r="D112" s="144"/>
      <c r="E112" s="145"/>
      <c r="F112" s="141"/>
      <c r="G112" s="141"/>
      <c r="J112" s="8"/>
    </row>
    <row r="113" spans="1:10" ht="25.5" customHeight="1" x14ac:dyDescent="0.2">
      <c r="A113" s="140"/>
      <c r="B113" s="146" t="s">
        <v>181</v>
      </c>
      <c r="C113" s="147"/>
      <c r="D113" s="119" t="s">
        <v>182</v>
      </c>
      <c r="E113" s="145"/>
      <c r="F113" s="141"/>
      <c r="G113" s="141"/>
      <c r="J113" s="8"/>
    </row>
    <row r="114" spans="1:10" x14ac:dyDescent="0.2">
      <c r="A114" s="136"/>
      <c r="B114" s="148" t="s">
        <v>893</v>
      </c>
      <c r="C114" s="149"/>
      <c r="D114" s="150" t="s">
        <v>182</v>
      </c>
      <c r="E114" s="206"/>
      <c r="F114" s="207"/>
      <c r="G114" s="207"/>
      <c r="J114" s="8"/>
    </row>
    <row r="115" spans="1:10" x14ac:dyDescent="0.2">
      <c r="A115" s="140"/>
      <c r="B115" s="146" t="s">
        <v>184</v>
      </c>
      <c r="C115" s="147"/>
      <c r="D115" s="129" t="s">
        <v>151</v>
      </c>
      <c r="E115" s="145"/>
      <c r="F115" s="141"/>
      <c r="G115" s="141"/>
      <c r="J115" s="8"/>
    </row>
    <row r="116" spans="1:10" x14ac:dyDescent="0.2">
      <c r="A116" s="151"/>
      <c r="B116" s="152" t="s">
        <v>151</v>
      </c>
      <c r="C116" s="152" t="s">
        <v>894</v>
      </c>
      <c r="D116" s="152" t="s">
        <v>185</v>
      </c>
      <c r="E116" s="151"/>
      <c r="F116" s="151"/>
      <c r="G116" s="151"/>
      <c r="H116" s="151"/>
      <c r="J116" s="8"/>
    </row>
    <row r="117" spans="1:10" x14ac:dyDescent="0.2">
      <c r="A117" s="153"/>
      <c r="B117" s="154" t="s">
        <v>186</v>
      </c>
      <c r="C117" s="155">
        <v>45535</v>
      </c>
      <c r="D117" s="155">
        <v>45565</v>
      </c>
      <c r="E117" s="153"/>
      <c r="F117" s="153"/>
      <c r="G117" s="153"/>
      <c r="J117" s="8"/>
    </row>
    <row r="118" spans="1:10" x14ac:dyDescent="0.2">
      <c r="A118" s="153"/>
      <c r="B118" s="122" t="s">
        <v>187</v>
      </c>
      <c r="C118" s="156">
        <v>28.389500000000002</v>
      </c>
      <c r="D118" s="156">
        <v>28.944900000000001</v>
      </c>
      <c r="E118" s="153"/>
      <c r="F118" s="157"/>
      <c r="G118" s="158"/>
      <c r="J118" s="8"/>
    </row>
    <row r="119" spans="1:10" x14ac:dyDescent="0.2">
      <c r="A119" s="153"/>
      <c r="B119" s="122" t="s">
        <v>1038</v>
      </c>
      <c r="C119" s="156">
        <v>27.477</v>
      </c>
      <c r="D119" s="156">
        <v>28.014500000000002</v>
      </c>
      <c r="E119" s="153"/>
      <c r="F119" s="157"/>
      <c r="G119" s="158"/>
      <c r="J119" s="8"/>
    </row>
    <row r="120" spans="1:10" x14ac:dyDescent="0.2">
      <c r="A120" s="153"/>
      <c r="B120" s="122" t="s">
        <v>188</v>
      </c>
      <c r="C120" s="156">
        <v>27.14</v>
      </c>
      <c r="D120" s="156">
        <v>27.665500000000002</v>
      </c>
      <c r="E120" s="153"/>
      <c r="F120" s="157"/>
      <c r="G120" s="158"/>
      <c r="J120" s="8"/>
    </row>
    <row r="121" spans="1:10" x14ac:dyDescent="0.2">
      <c r="A121" s="153"/>
      <c r="B121" s="122" t="s">
        <v>1039</v>
      </c>
      <c r="C121" s="156">
        <v>26.229099999999999</v>
      </c>
      <c r="D121" s="156">
        <v>26.736899999999999</v>
      </c>
      <c r="E121" s="153"/>
      <c r="F121" s="157"/>
      <c r="G121" s="158"/>
      <c r="J121" s="8"/>
    </row>
    <row r="122" spans="1:10" x14ac:dyDescent="0.2">
      <c r="A122" s="153"/>
      <c r="B122" s="153"/>
      <c r="C122" s="153"/>
      <c r="D122" s="153"/>
      <c r="E122" s="153"/>
      <c r="F122" s="153"/>
      <c r="G122" s="153"/>
      <c r="J122" s="8"/>
    </row>
    <row r="123" spans="1:10" x14ac:dyDescent="0.2">
      <c r="A123" s="151"/>
      <c r="B123" s="148" t="s">
        <v>895</v>
      </c>
      <c r="C123" s="149"/>
      <c r="D123" s="150" t="s">
        <v>182</v>
      </c>
      <c r="E123" s="151"/>
      <c r="F123" s="151"/>
      <c r="G123" s="151"/>
      <c r="J123" s="8"/>
    </row>
    <row r="124" spans="1:10" x14ac:dyDescent="0.2">
      <c r="A124" s="151"/>
      <c r="B124" s="201"/>
      <c r="C124" s="201"/>
      <c r="D124" s="201"/>
      <c r="E124" s="151"/>
      <c r="F124" s="151"/>
      <c r="G124" s="151"/>
      <c r="J124" s="8"/>
    </row>
    <row r="125" spans="1:10" x14ac:dyDescent="0.2">
      <c r="A125" s="151"/>
      <c r="B125" s="148" t="s">
        <v>189</v>
      </c>
      <c r="C125" s="149"/>
      <c r="D125" s="150" t="s">
        <v>182</v>
      </c>
      <c r="E125" s="160"/>
      <c r="F125" s="151"/>
      <c r="G125" s="151"/>
      <c r="J125" s="8"/>
    </row>
    <row r="126" spans="1:10" x14ac:dyDescent="0.2">
      <c r="A126" s="151"/>
      <c r="B126" s="148" t="s">
        <v>190</v>
      </c>
      <c r="C126" s="149"/>
      <c r="D126" s="150" t="s">
        <v>182</v>
      </c>
      <c r="E126" s="160"/>
      <c r="F126" s="151"/>
      <c r="G126" s="151"/>
      <c r="J126" s="8"/>
    </row>
    <row r="127" spans="1:10" x14ac:dyDescent="0.2">
      <c r="A127" s="151"/>
      <c r="B127" s="148" t="s">
        <v>191</v>
      </c>
      <c r="C127" s="149"/>
      <c r="D127" s="150" t="s">
        <v>182</v>
      </c>
      <c r="E127" s="160"/>
      <c r="F127" s="151"/>
      <c r="G127" s="151"/>
      <c r="J127" s="8"/>
    </row>
    <row r="128" spans="1:10" x14ac:dyDescent="0.2">
      <c r="A128" s="151"/>
      <c r="B128" s="148" t="s">
        <v>192</v>
      </c>
      <c r="C128" s="149"/>
      <c r="D128" s="161">
        <v>0.32296413609006519</v>
      </c>
      <c r="E128" s="151"/>
      <c r="F128" s="159"/>
      <c r="G128" s="162"/>
      <c r="J128" s="8"/>
    </row>
    <row r="129" spans="10:10" x14ac:dyDescent="0.2">
      <c r="J129" s="8"/>
    </row>
    <row r="130" spans="10:10" x14ac:dyDescent="0.2">
      <c r="J130" s="8"/>
    </row>
  </sheetData>
  <mergeCells count="18">
    <mergeCell ref="B114:C114"/>
    <mergeCell ref="B115:C115"/>
    <mergeCell ref="B123:C123"/>
    <mergeCell ref="B127:C127"/>
    <mergeCell ref="B128:C128"/>
    <mergeCell ref="B125:C125"/>
    <mergeCell ref="B126:C126"/>
    <mergeCell ref="B113:C113"/>
    <mergeCell ref="A1:H1"/>
    <mergeCell ref="A2:H2"/>
    <mergeCell ref="A3:H3"/>
    <mergeCell ref="B106:H106"/>
    <mergeCell ref="B107:H107"/>
    <mergeCell ref="B108:H108"/>
    <mergeCell ref="B109:H109"/>
    <mergeCell ref="B110:H110"/>
    <mergeCell ref="B111:F111"/>
    <mergeCell ref="B112:D112"/>
  </mergeCells>
  <hyperlinks>
    <hyperlink ref="I1" location="Index!B2" display="Index" xr:uid="{ADD757EB-25ED-40EE-8D68-28F75D33C36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3C8A5-C872-45AA-8A67-9033B0CB8600}">
  <sheetPr>
    <outlinePr summaryBelow="0" summaryRight="0"/>
  </sheetPr>
  <dimension ref="A1:Q179"/>
  <sheetViews>
    <sheetView showGridLines="0" workbookViewId="0">
      <selection activeCell="A2" sqref="A2:H2"/>
    </sheetView>
  </sheetViews>
  <sheetFormatPr defaultRowHeight="12.75" x14ac:dyDescent="0.2"/>
  <cols>
    <col min="1" max="1" width="5.85546875" style="114" bestFit="1" customWidth="1"/>
    <col min="2" max="2" width="19.7109375" style="114" bestFit="1" customWidth="1"/>
    <col min="3" max="3" width="41.7109375" style="114" customWidth="1"/>
    <col min="4" max="4" width="17.42578125" style="114" bestFit="1" customWidth="1"/>
    <col min="5" max="5" width="11.42578125" style="114" bestFit="1" customWidth="1"/>
    <col min="6" max="6" width="10.140625" style="114" bestFit="1" customWidth="1"/>
    <col min="7" max="7" width="14" style="114" bestFit="1" customWidth="1"/>
    <col min="8" max="8" width="8.42578125" style="114" bestFit="1" customWidth="1"/>
    <col min="9" max="9" width="9.140625" style="114"/>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484</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362</v>
      </c>
      <c r="C7" s="122" t="s">
        <v>363</v>
      </c>
      <c r="D7" s="122" t="s">
        <v>241</v>
      </c>
      <c r="E7" s="123">
        <v>187403</v>
      </c>
      <c r="F7" s="124">
        <v>10607.572009</v>
      </c>
      <c r="G7" s="125">
        <v>2.9618640000000002E-2</v>
      </c>
      <c r="H7" s="120" t="s">
        <v>151</v>
      </c>
      <c r="J7" s="8"/>
    </row>
    <row r="8" spans="1:10" x14ac:dyDescent="0.2">
      <c r="A8" s="121">
        <v>2</v>
      </c>
      <c r="B8" s="122" t="s">
        <v>244</v>
      </c>
      <c r="C8" s="122" t="s">
        <v>245</v>
      </c>
      <c r="D8" s="122" t="s">
        <v>121</v>
      </c>
      <c r="E8" s="123">
        <v>495928</v>
      </c>
      <c r="F8" s="124">
        <v>10135.280536</v>
      </c>
      <c r="G8" s="125">
        <v>2.8299899999999999E-2</v>
      </c>
      <c r="H8" s="120" t="s">
        <v>151</v>
      </c>
      <c r="J8" s="8"/>
    </row>
    <row r="9" spans="1:10" x14ac:dyDescent="0.2">
      <c r="A9" s="121">
        <v>3</v>
      </c>
      <c r="B9" s="122" t="s">
        <v>407</v>
      </c>
      <c r="C9" s="122" t="s">
        <v>408</v>
      </c>
      <c r="D9" s="122" t="s">
        <v>35</v>
      </c>
      <c r="E9" s="123">
        <v>387840</v>
      </c>
      <c r="F9" s="124">
        <v>9118.3123200000009</v>
      </c>
      <c r="G9" s="125">
        <v>2.5460300000000002E-2</v>
      </c>
      <c r="H9" s="120" t="s">
        <v>151</v>
      </c>
      <c r="J9" s="8"/>
    </row>
    <row r="10" spans="1:10" x14ac:dyDescent="0.2">
      <c r="A10" s="121">
        <v>4</v>
      </c>
      <c r="B10" s="122" t="s">
        <v>39</v>
      </c>
      <c r="C10" s="122" t="s">
        <v>40</v>
      </c>
      <c r="D10" s="122" t="s">
        <v>32</v>
      </c>
      <c r="E10" s="123">
        <v>936780</v>
      </c>
      <c r="F10" s="124">
        <v>8424.4625400000004</v>
      </c>
      <c r="G10" s="125">
        <v>2.3522919999999999E-2</v>
      </c>
      <c r="H10" s="120" t="s">
        <v>151</v>
      </c>
      <c r="J10" s="8"/>
    </row>
    <row r="11" spans="1:10" x14ac:dyDescent="0.2">
      <c r="A11" s="121">
        <v>5</v>
      </c>
      <c r="B11" s="122" t="s">
        <v>145</v>
      </c>
      <c r="C11" s="122" t="s">
        <v>146</v>
      </c>
      <c r="D11" s="122" t="s">
        <v>35</v>
      </c>
      <c r="E11" s="123">
        <v>2132517</v>
      </c>
      <c r="F11" s="124">
        <v>8278.4309940000003</v>
      </c>
      <c r="G11" s="125">
        <v>2.3115170000000001E-2</v>
      </c>
      <c r="H11" s="120" t="s">
        <v>151</v>
      </c>
      <c r="J11" s="8"/>
    </row>
    <row r="12" spans="1:10" ht="15" x14ac:dyDescent="0.2">
      <c r="A12" s="121">
        <v>6</v>
      </c>
      <c r="B12" s="122" t="s">
        <v>43</v>
      </c>
      <c r="C12" s="122" t="s">
        <v>44</v>
      </c>
      <c r="D12" s="122" t="s">
        <v>45</v>
      </c>
      <c r="E12" s="123">
        <v>570602</v>
      </c>
      <c r="F12" s="124">
        <v>8085.7156409999998</v>
      </c>
      <c r="G12" s="125">
        <v>2.2577070000000001E-2</v>
      </c>
      <c r="H12" s="120" t="s">
        <v>151</v>
      </c>
      <c r="J12" s="11"/>
    </row>
    <row r="13" spans="1:10" x14ac:dyDescent="0.2">
      <c r="A13" s="121">
        <v>7</v>
      </c>
      <c r="B13" s="122" t="s">
        <v>420</v>
      </c>
      <c r="C13" s="122" t="s">
        <v>421</v>
      </c>
      <c r="D13" s="122" t="s">
        <v>48</v>
      </c>
      <c r="E13" s="123">
        <v>18825767</v>
      </c>
      <c r="F13" s="124">
        <v>7611.2575981</v>
      </c>
      <c r="G13" s="125">
        <v>2.1252279999999998E-2</v>
      </c>
      <c r="H13" s="120" t="s">
        <v>151</v>
      </c>
      <c r="J13" s="8"/>
    </row>
    <row r="14" spans="1:10" x14ac:dyDescent="0.2">
      <c r="A14" s="121">
        <v>8</v>
      </c>
      <c r="B14" s="122" t="s">
        <v>393</v>
      </c>
      <c r="C14" s="122" t="s">
        <v>394</v>
      </c>
      <c r="D14" s="122" t="s">
        <v>395</v>
      </c>
      <c r="E14" s="123">
        <v>467145</v>
      </c>
      <c r="F14" s="124">
        <v>7420.1311800000003</v>
      </c>
      <c r="G14" s="125">
        <v>2.0718609999999998E-2</v>
      </c>
      <c r="H14" s="120" t="s">
        <v>151</v>
      </c>
      <c r="J14" s="8"/>
    </row>
    <row r="15" spans="1:10" x14ac:dyDescent="0.2">
      <c r="A15" s="121">
        <v>9</v>
      </c>
      <c r="B15" s="122" t="s">
        <v>422</v>
      </c>
      <c r="C15" s="122" t="s">
        <v>423</v>
      </c>
      <c r="D15" s="122" t="s">
        <v>216</v>
      </c>
      <c r="E15" s="123">
        <v>989246</v>
      </c>
      <c r="F15" s="124">
        <v>7252.1624259999999</v>
      </c>
      <c r="G15" s="125">
        <v>2.0249610000000001E-2</v>
      </c>
      <c r="H15" s="120" t="s">
        <v>151</v>
      </c>
      <c r="J15" s="8"/>
    </row>
    <row r="16" spans="1:10" x14ac:dyDescent="0.2">
      <c r="A16" s="121">
        <v>10</v>
      </c>
      <c r="B16" s="122" t="s">
        <v>439</v>
      </c>
      <c r="C16" s="122" t="s">
        <v>440</v>
      </c>
      <c r="D16" s="122" t="s">
        <v>238</v>
      </c>
      <c r="E16" s="123">
        <v>762252</v>
      </c>
      <c r="F16" s="124">
        <v>7198.3267619999997</v>
      </c>
      <c r="G16" s="125">
        <v>2.0099289999999999E-2</v>
      </c>
      <c r="H16" s="120" t="s">
        <v>151</v>
      </c>
      <c r="J16" s="8"/>
    </row>
    <row r="17" spans="1:10" ht="25.5" x14ac:dyDescent="0.2">
      <c r="A17" s="121">
        <v>11</v>
      </c>
      <c r="B17" s="122" t="s">
        <v>411</v>
      </c>
      <c r="C17" s="122" t="s">
        <v>412</v>
      </c>
      <c r="D17" s="122" t="s">
        <v>211</v>
      </c>
      <c r="E17" s="123">
        <v>1690672</v>
      </c>
      <c r="F17" s="124">
        <v>7017.979472</v>
      </c>
      <c r="G17" s="125">
        <v>1.959572E-2</v>
      </c>
      <c r="H17" s="120" t="s">
        <v>151</v>
      </c>
      <c r="J17" s="8" t="s">
        <v>906</v>
      </c>
    </row>
    <row r="18" spans="1:10" x14ac:dyDescent="0.2">
      <c r="A18" s="121">
        <v>12</v>
      </c>
      <c r="B18" s="122" t="s">
        <v>413</v>
      </c>
      <c r="C18" s="122" t="s">
        <v>414</v>
      </c>
      <c r="D18" s="122" t="s">
        <v>48</v>
      </c>
      <c r="E18" s="123">
        <v>8886124</v>
      </c>
      <c r="F18" s="124">
        <v>6860.9763403999996</v>
      </c>
      <c r="G18" s="125">
        <v>1.915733E-2</v>
      </c>
      <c r="H18" s="120" t="s">
        <v>151</v>
      </c>
      <c r="J18" s="8"/>
    </row>
    <row r="19" spans="1:10" x14ac:dyDescent="0.2">
      <c r="A19" s="121">
        <v>13</v>
      </c>
      <c r="B19" s="122" t="s">
        <v>298</v>
      </c>
      <c r="C19" s="122" t="s">
        <v>299</v>
      </c>
      <c r="D19" s="122" t="s">
        <v>67</v>
      </c>
      <c r="E19" s="123">
        <v>1510099</v>
      </c>
      <c r="F19" s="124">
        <v>6418.6757994999998</v>
      </c>
      <c r="G19" s="125">
        <v>1.792233E-2</v>
      </c>
      <c r="H19" s="120" t="s">
        <v>151</v>
      </c>
      <c r="J19" s="8"/>
    </row>
    <row r="20" spans="1:10" x14ac:dyDescent="0.2">
      <c r="A20" s="121">
        <v>14</v>
      </c>
      <c r="B20" s="122" t="s">
        <v>254</v>
      </c>
      <c r="C20" s="122" t="s">
        <v>255</v>
      </c>
      <c r="D20" s="122" t="s">
        <v>238</v>
      </c>
      <c r="E20" s="123">
        <v>669376</v>
      </c>
      <c r="F20" s="124">
        <v>5889.5047359999999</v>
      </c>
      <c r="G20" s="125">
        <v>1.6444770000000001E-2</v>
      </c>
      <c r="H20" s="120" t="s">
        <v>151</v>
      </c>
      <c r="J20" s="8"/>
    </row>
    <row r="21" spans="1:10" x14ac:dyDescent="0.2">
      <c r="A21" s="121">
        <v>15</v>
      </c>
      <c r="B21" s="122" t="s">
        <v>485</v>
      </c>
      <c r="C21" s="122" t="s">
        <v>486</v>
      </c>
      <c r="D21" s="122" t="s">
        <v>70</v>
      </c>
      <c r="E21" s="123">
        <v>185687</v>
      </c>
      <c r="F21" s="124">
        <v>5858.053476</v>
      </c>
      <c r="G21" s="125">
        <v>1.6356949999999999E-2</v>
      </c>
      <c r="H21" s="120" t="s">
        <v>151</v>
      </c>
      <c r="J21" s="8"/>
    </row>
    <row r="22" spans="1:10" ht="15" x14ac:dyDescent="0.2">
      <c r="A22" s="121">
        <v>16</v>
      </c>
      <c r="B22" s="122" t="s">
        <v>79</v>
      </c>
      <c r="C22" s="122" t="s">
        <v>80</v>
      </c>
      <c r="D22" s="122" t="s">
        <v>45</v>
      </c>
      <c r="E22" s="123">
        <v>295535</v>
      </c>
      <c r="F22" s="124">
        <v>5734.5611399999998</v>
      </c>
      <c r="G22" s="125">
        <v>1.6012140000000001E-2</v>
      </c>
      <c r="H22" s="120" t="s">
        <v>151</v>
      </c>
      <c r="J22" s="11"/>
    </row>
    <row r="23" spans="1:10" ht="25.5" x14ac:dyDescent="0.2">
      <c r="A23" s="121">
        <v>17</v>
      </c>
      <c r="B23" s="122" t="s">
        <v>324</v>
      </c>
      <c r="C23" s="122" t="s">
        <v>325</v>
      </c>
      <c r="D23" s="122" t="s">
        <v>258</v>
      </c>
      <c r="E23" s="123">
        <v>161159</v>
      </c>
      <c r="F23" s="124">
        <v>5546.0452464999998</v>
      </c>
      <c r="G23" s="125">
        <v>1.5485759999999999E-2</v>
      </c>
      <c r="H23" s="120" t="s">
        <v>151</v>
      </c>
      <c r="J23" s="8"/>
    </row>
    <row r="24" spans="1:10" x14ac:dyDescent="0.2">
      <c r="A24" s="121">
        <v>18</v>
      </c>
      <c r="B24" s="122" t="s">
        <v>487</v>
      </c>
      <c r="C24" s="122" t="s">
        <v>488</v>
      </c>
      <c r="D24" s="122" t="s">
        <v>261</v>
      </c>
      <c r="E24" s="123">
        <v>266293</v>
      </c>
      <c r="F24" s="124">
        <v>5446.8901685000001</v>
      </c>
      <c r="G24" s="125">
        <v>1.5208899999999999E-2</v>
      </c>
      <c r="H24" s="120" t="s">
        <v>151</v>
      </c>
      <c r="J24" s="8"/>
    </row>
    <row r="25" spans="1:10" x14ac:dyDescent="0.2">
      <c r="A25" s="121">
        <v>19</v>
      </c>
      <c r="B25" s="122" t="s">
        <v>89</v>
      </c>
      <c r="C25" s="122" t="s">
        <v>90</v>
      </c>
      <c r="D25" s="122" t="s">
        <v>32</v>
      </c>
      <c r="E25" s="123">
        <v>126168</v>
      </c>
      <c r="F25" s="124">
        <v>5421.8174639999997</v>
      </c>
      <c r="G25" s="125">
        <v>1.513889E-2</v>
      </c>
      <c r="H25" s="120" t="s">
        <v>151</v>
      </c>
      <c r="J25" s="8"/>
    </row>
    <row r="26" spans="1:10" x14ac:dyDescent="0.2">
      <c r="A26" s="121">
        <v>20</v>
      </c>
      <c r="B26" s="122" t="s">
        <v>284</v>
      </c>
      <c r="C26" s="122" t="s">
        <v>285</v>
      </c>
      <c r="D26" s="122" t="s">
        <v>216</v>
      </c>
      <c r="E26" s="123">
        <v>77065</v>
      </c>
      <c r="F26" s="124">
        <v>5407.2271924999995</v>
      </c>
      <c r="G26" s="125">
        <v>1.5098149999999999E-2</v>
      </c>
      <c r="H26" s="120" t="s">
        <v>151</v>
      </c>
      <c r="J26" s="8"/>
    </row>
    <row r="27" spans="1:10" x14ac:dyDescent="0.2">
      <c r="A27" s="121">
        <v>21</v>
      </c>
      <c r="B27" s="122" t="s">
        <v>432</v>
      </c>
      <c r="C27" s="122" t="s">
        <v>433</v>
      </c>
      <c r="D27" s="122" t="s">
        <v>241</v>
      </c>
      <c r="E27" s="123">
        <v>206106</v>
      </c>
      <c r="F27" s="124">
        <v>5279.8174019999997</v>
      </c>
      <c r="G27" s="125">
        <v>1.4742389999999999E-2</v>
      </c>
      <c r="H27" s="120" t="s">
        <v>151</v>
      </c>
      <c r="J27" s="8"/>
    </row>
    <row r="28" spans="1:10" x14ac:dyDescent="0.2">
      <c r="A28" s="121">
        <v>22</v>
      </c>
      <c r="B28" s="122" t="s">
        <v>437</v>
      </c>
      <c r="C28" s="122" t="s">
        <v>438</v>
      </c>
      <c r="D28" s="122" t="s">
        <v>32</v>
      </c>
      <c r="E28" s="123">
        <v>864969</v>
      </c>
      <c r="F28" s="124">
        <v>5244.3070470000002</v>
      </c>
      <c r="G28" s="125">
        <v>1.464324E-2</v>
      </c>
      <c r="H28" s="120" t="s">
        <v>151</v>
      </c>
      <c r="J28" s="8"/>
    </row>
    <row r="29" spans="1:10" x14ac:dyDescent="0.2">
      <c r="A29" s="121">
        <v>23</v>
      </c>
      <c r="B29" s="122" t="s">
        <v>415</v>
      </c>
      <c r="C29" s="122" t="s">
        <v>416</v>
      </c>
      <c r="D29" s="122" t="s">
        <v>417</v>
      </c>
      <c r="E29" s="123">
        <v>308127</v>
      </c>
      <c r="F29" s="124">
        <v>5126.1548355000004</v>
      </c>
      <c r="G29" s="125">
        <v>1.4313330000000001E-2</v>
      </c>
      <c r="H29" s="120" t="s">
        <v>151</v>
      </c>
      <c r="J29" s="8"/>
    </row>
    <row r="30" spans="1:10" ht="25.5" x14ac:dyDescent="0.2">
      <c r="A30" s="121">
        <v>24</v>
      </c>
      <c r="B30" s="122" t="s">
        <v>489</v>
      </c>
      <c r="C30" s="122" t="s">
        <v>490</v>
      </c>
      <c r="D30" s="122" t="s">
        <v>395</v>
      </c>
      <c r="E30" s="123">
        <v>262189</v>
      </c>
      <c r="F30" s="124">
        <v>4931.1196174999995</v>
      </c>
      <c r="G30" s="125">
        <v>1.376875E-2</v>
      </c>
      <c r="H30" s="120" t="s">
        <v>151</v>
      </c>
      <c r="J30" s="8" t="s">
        <v>907</v>
      </c>
    </row>
    <row r="31" spans="1:10" x14ac:dyDescent="0.2">
      <c r="A31" s="121">
        <v>25</v>
      </c>
      <c r="B31" s="122" t="s">
        <v>122</v>
      </c>
      <c r="C31" s="122" t="s">
        <v>123</v>
      </c>
      <c r="D31" s="122" t="s">
        <v>13</v>
      </c>
      <c r="E31" s="123">
        <v>774293</v>
      </c>
      <c r="F31" s="124">
        <v>4772.7420519999996</v>
      </c>
      <c r="G31" s="125">
        <v>1.332653E-2</v>
      </c>
      <c r="H31" s="120" t="s">
        <v>151</v>
      </c>
      <c r="J31" s="8"/>
    </row>
    <row r="32" spans="1:10" ht="25.5" x14ac:dyDescent="0.2">
      <c r="A32" s="121">
        <v>26</v>
      </c>
      <c r="B32" s="122" t="s">
        <v>491</v>
      </c>
      <c r="C32" s="122" t="s">
        <v>492</v>
      </c>
      <c r="D32" s="122" t="s">
        <v>208</v>
      </c>
      <c r="E32" s="123">
        <v>544640</v>
      </c>
      <c r="F32" s="124">
        <v>4671.6495999999997</v>
      </c>
      <c r="G32" s="125">
        <v>1.304426E-2</v>
      </c>
      <c r="H32" s="120" t="s">
        <v>151</v>
      </c>
      <c r="J32" s="8"/>
    </row>
    <row r="33" spans="1:10" x14ac:dyDescent="0.2">
      <c r="A33" s="121">
        <v>27</v>
      </c>
      <c r="B33" s="122" t="s">
        <v>424</v>
      </c>
      <c r="C33" s="122" t="s">
        <v>425</v>
      </c>
      <c r="D33" s="122" t="s">
        <v>48</v>
      </c>
      <c r="E33" s="123">
        <v>1475316</v>
      </c>
      <c r="F33" s="124">
        <v>4622.9026860000004</v>
      </c>
      <c r="G33" s="125">
        <v>1.290815E-2</v>
      </c>
      <c r="H33" s="120" t="s">
        <v>151</v>
      </c>
      <c r="J33" s="8"/>
    </row>
    <row r="34" spans="1:10" x14ac:dyDescent="0.2">
      <c r="A34" s="121">
        <v>28</v>
      </c>
      <c r="B34" s="122" t="s">
        <v>61</v>
      </c>
      <c r="C34" s="122" t="s">
        <v>62</v>
      </c>
      <c r="D34" s="122" t="s">
        <v>13</v>
      </c>
      <c r="E34" s="123">
        <v>337012</v>
      </c>
      <c r="F34" s="124">
        <v>4607.7965700000004</v>
      </c>
      <c r="G34" s="125">
        <v>1.2865969999999999E-2</v>
      </c>
      <c r="H34" s="120" t="s">
        <v>151</v>
      </c>
      <c r="J34" s="8"/>
    </row>
    <row r="35" spans="1:10" x14ac:dyDescent="0.2">
      <c r="A35" s="121">
        <v>29</v>
      </c>
      <c r="B35" s="122" t="s">
        <v>59</v>
      </c>
      <c r="C35" s="122" t="s">
        <v>60</v>
      </c>
      <c r="D35" s="122" t="s">
        <v>55</v>
      </c>
      <c r="E35" s="123">
        <v>1099317</v>
      </c>
      <c r="F35" s="124">
        <v>4607.7872054999998</v>
      </c>
      <c r="G35" s="125">
        <v>1.2865939999999999E-2</v>
      </c>
      <c r="H35" s="120" t="s">
        <v>151</v>
      </c>
      <c r="J35" s="8"/>
    </row>
    <row r="36" spans="1:10" x14ac:dyDescent="0.2">
      <c r="A36" s="121">
        <v>30</v>
      </c>
      <c r="B36" s="122" t="s">
        <v>493</v>
      </c>
      <c r="C36" s="122" t="s">
        <v>494</v>
      </c>
      <c r="D36" s="122" t="s">
        <v>211</v>
      </c>
      <c r="E36" s="123">
        <v>85682</v>
      </c>
      <c r="F36" s="124">
        <v>4516.2125379999998</v>
      </c>
      <c r="G36" s="125">
        <v>1.261024E-2</v>
      </c>
      <c r="H36" s="120" t="s">
        <v>151</v>
      </c>
      <c r="J36" s="8"/>
    </row>
    <row r="37" spans="1:10" x14ac:dyDescent="0.2">
      <c r="A37" s="121">
        <v>31</v>
      </c>
      <c r="B37" s="122" t="s">
        <v>117</v>
      </c>
      <c r="C37" s="122" t="s">
        <v>118</v>
      </c>
      <c r="D37" s="122" t="s">
        <v>70</v>
      </c>
      <c r="E37" s="123">
        <v>449718</v>
      </c>
      <c r="F37" s="124">
        <v>4505.7246420000001</v>
      </c>
      <c r="G37" s="125">
        <v>1.258096E-2</v>
      </c>
      <c r="H37" s="120" t="s">
        <v>151</v>
      </c>
      <c r="J37" s="8"/>
    </row>
    <row r="38" spans="1:10" x14ac:dyDescent="0.2">
      <c r="A38" s="121">
        <v>32</v>
      </c>
      <c r="B38" s="122" t="s">
        <v>11</v>
      </c>
      <c r="C38" s="122" t="s">
        <v>12</v>
      </c>
      <c r="D38" s="122" t="s">
        <v>13</v>
      </c>
      <c r="E38" s="123">
        <v>119155</v>
      </c>
      <c r="F38" s="124">
        <v>4379.6016024999999</v>
      </c>
      <c r="G38" s="125">
        <v>1.22288E-2</v>
      </c>
      <c r="H38" s="120" t="s">
        <v>151</v>
      </c>
      <c r="J38" s="8"/>
    </row>
    <row r="39" spans="1:10" ht="25.5" x14ac:dyDescent="0.2">
      <c r="A39" s="121">
        <v>33</v>
      </c>
      <c r="B39" s="122" t="s">
        <v>304</v>
      </c>
      <c r="C39" s="122" t="s">
        <v>305</v>
      </c>
      <c r="D39" s="122" t="s">
        <v>205</v>
      </c>
      <c r="E39" s="123">
        <v>931360</v>
      </c>
      <c r="F39" s="124">
        <v>4317.78496</v>
      </c>
      <c r="G39" s="125">
        <v>1.205619E-2</v>
      </c>
      <c r="H39" s="120" t="s">
        <v>151</v>
      </c>
      <c r="J39" s="8"/>
    </row>
    <row r="40" spans="1:10" ht="25.5" x14ac:dyDescent="0.2">
      <c r="A40" s="121">
        <v>34</v>
      </c>
      <c r="B40" s="122" t="s">
        <v>495</v>
      </c>
      <c r="C40" s="122" t="s">
        <v>496</v>
      </c>
      <c r="D40" s="122" t="s">
        <v>497</v>
      </c>
      <c r="E40" s="123">
        <v>840776</v>
      </c>
      <c r="F40" s="124">
        <v>4262.7343199999996</v>
      </c>
      <c r="G40" s="125">
        <v>1.190248E-2</v>
      </c>
      <c r="H40" s="120" t="s">
        <v>151</v>
      </c>
      <c r="J40" s="8"/>
    </row>
    <row r="41" spans="1:10" x14ac:dyDescent="0.2">
      <c r="A41" s="121">
        <v>35</v>
      </c>
      <c r="B41" s="122" t="s">
        <v>246</v>
      </c>
      <c r="C41" s="122" t="s">
        <v>247</v>
      </c>
      <c r="D41" s="122" t="s">
        <v>121</v>
      </c>
      <c r="E41" s="123">
        <v>872038</v>
      </c>
      <c r="F41" s="124">
        <v>4255.9814589999996</v>
      </c>
      <c r="G41" s="125">
        <v>1.1883619999999999E-2</v>
      </c>
      <c r="H41" s="120" t="s">
        <v>151</v>
      </c>
      <c r="J41" s="8"/>
    </row>
    <row r="42" spans="1:10" x14ac:dyDescent="0.2">
      <c r="A42" s="121">
        <v>36</v>
      </c>
      <c r="B42" s="122" t="s">
        <v>447</v>
      </c>
      <c r="C42" s="122" t="s">
        <v>448</v>
      </c>
      <c r="D42" s="122" t="s">
        <v>121</v>
      </c>
      <c r="E42" s="123">
        <v>348279</v>
      </c>
      <c r="F42" s="124">
        <v>4170.9893039999997</v>
      </c>
      <c r="G42" s="125">
        <v>1.164631E-2</v>
      </c>
      <c r="H42" s="120" t="s">
        <v>151</v>
      </c>
      <c r="J42" s="8"/>
    </row>
    <row r="43" spans="1:10" ht="25.5" x14ac:dyDescent="0.2">
      <c r="A43" s="121">
        <v>37</v>
      </c>
      <c r="B43" s="122" t="s">
        <v>426</v>
      </c>
      <c r="C43" s="122" t="s">
        <v>427</v>
      </c>
      <c r="D43" s="122" t="s">
        <v>205</v>
      </c>
      <c r="E43" s="123">
        <v>220527</v>
      </c>
      <c r="F43" s="124">
        <v>4134.8812500000004</v>
      </c>
      <c r="G43" s="125">
        <v>1.154548E-2</v>
      </c>
      <c r="H43" s="120" t="s">
        <v>151</v>
      </c>
      <c r="J43" s="8"/>
    </row>
    <row r="44" spans="1:10" x14ac:dyDescent="0.2">
      <c r="A44" s="121">
        <v>38</v>
      </c>
      <c r="B44" s="122" t="s">
        <v>455</v>
      </c>
      <c r="C44" s="122" t="s">
        <v>456</v>
      </c>
      <c r="D44" s="122" t="s">
        <v>32</v>
      </c>
      <c r="E44" s="123">
        <v>275772</v>
      </c>
      <c r="F44" s="124">
        <v>4132.1676479999996</v>
      </c>
      <c r="G44" s="125">
        <v>1.153791E-2</v>
      </c>
      <c r="H44" s="120" t="s">
        <v>151</v>
      </c>
      <c r="J44" s="8"/>
    </row>
    <row r="45" spans="1:10" x14ac:dyDescent="0.2">
      <c r="A45" s="121">
        <v>39</v>
      </c>
      <c r="B45" s="122" t="s">
        <v>498</v>
      </c>
      <c r="C45" s="122" t="s">
        <v>499</v>
      </c>
      <c r="D45" s="122" t="s">
        <v>121</v>
      </c>
      <c r="E45" s="123">
        <v>416253</v>
      </c>
      <c r="F45" s="124">
        <v>4091.5588634999999</v>
      </c>
      <c r="G45" s="125">
        <v>1.1424520000000001E-2</v>
      </c>
      <c r="H45" s="120" t="s">
        <v>151</v>
      </c>
      <c r="J45" s="8"/>
    </row>
    <row r="46" spans="1:10" ht="25.5" x14ac:dyDescent="0.2">
      <c r="A46" s="121">
        <v>40</v>
      </c>
      <c r="B46" s="122" t="s">
        <v>430</v>
      </c>
      <c r="C46" s="122" t="s">
        <v>431</v>
      </c>
      <c r="D46" s="122" t="s">
        <v>205</v>
      </c>
      <c r="E46" s="123">
        <v>74554</v>
      </c>
      <c r="F46" s="124">
        <v>4045.0391009999998</v>
      </c>
      <c r="G46" s="125">
        <v>1.129463E-2</v>
      </c>
      <c r="H46" s="120" t="s">
        <v>151</v>
      </c>
      <c r="J46" s="8"/>
    </row>
    <row r="47" spans="1:10" ht="25.5" x14ac:dyDescent="0.2">
      <c r="A47" s="121">
        <v>41</v>
      </c>
      <c r="B47" s="122" t="s">
        <v>500</v>
      </c>
      <c r="C47" s="122" t="s">
        <v>501</v>
      </c>
      <c r="D47" s="122" t="s">
        <v>205</v>
      </c>
      <c r="E47" s="123">
        <v>484538</v>
      </c>
      <c r="F47" s="124">
        <v>3954.072349</v>
      </c>
      <c r="G47" s="125">
        <v>1.1040629999999999E-2</v>
      </c>
      <c r="H47" s="120" t="s">
        <v>151</v>
      </c>
      <c r="J47" s="8"/>
    </row>
    <row r="48" spans="1:10" x14ac:dyDescent="0.2">
      <c r="A48" s="121">
        <v>42</v>
      </c>
      <c r="B48" s="122" t="s">
        <v>477</v>
      </c>
      <c r="C48" s="122" t="s">
        <v>478</v>
      </c>
      <c r="D48" s="122" t="s">
        <v>32</v>
      </c>
      <c r="E48" s="123">
        <v>608663</v>
      </c>
      <c r="F48" s="124">
        <v>3934.3976320000002</v>
      </c>
      <c r="G48" s="125">
        <v>1.0985689999999999E-2</v>
      </c>
      <c r="H48" s="120" t="s">
        <v>151</v>
      </c>
      <c r="J48" s="8"/>
    </row>
    <row r="49" spans="1:10" x14ac:dyDescent="0.2">
      <c r="A49" s="121">
        <v>43</v>
      </c>
      <c r="B49" s="122" t="s">
        <v>30</v>
      </c>
      <c r="C49" s="122" t="s">
        <v>31</v>
      </c>
      <c r="D49" s="122" t="s">
        <v>32</v>
      </c>
      <c r="E49" s="123">
        <v>62008</v>
      </c>
      <c r="F49" s="124">
        <v>3833.1795400000001</v>
      </c>
      <c r="G49" s="125">
        <v>1.070307E-2</v>
      </c>
      <c r="H49" s="120" t="s">
        <v>151</v>
      </c>
      <c r="J49" s="8"/>
    </row>
    <row r="50" spans="1:10" x14ac:dyDescent="0.2">
      <c r="A50" s="121">
        <v>44</v>
      </c>
      <c r="B50" s="122" t="s">
        <v>227</v>
      </c>
      <c r="C50" s="122" t="s">
        <v>228</v>
      </c>
      <c r="D50" s="122" t="s">
        <v>22</v>
      </c>
      <c r="E50" s="123">
        <v>860908</v>
      </c>
      <c r="F50" s="124">
        <v>3792.7301940000002</v>
      </c>
      <c r="G50" s="125">
        <v>1.059012E-2</v>
      </c>
      <c r="H50" s="120" t="s">
        <v>151</v>
      </c>
      <c r="J50" s="8"/>
    </row>
    <row r="51" spans="1:10" ht="25.5" x14ac:dyDescent="0.2">
      <c r="A51" s="121">
        <v>45</v>
      </c>
      <c r="B51" s="122" t="s">
        <v>469</v>
      </c>
      <c r="C51" s="122" t="s">
        <v>470</v>
      </c>
      <c r="D51" s="122" t="s">
        <v>25</v>
      </c>
      <c r="E51" s="123">
        <v>297739</v>
      </c>
      <c r="F51" s="124">
        <v>3774.4373030000002</v>
      </c>
      <c r="G51" s="125">
        <v>1.0539049999999999E-2</v>
      </c>
      <c r="H51" s="120" t="s">
        <v>151</v>
      </c>
      <c r="J51" s="8"/>
    </row>
    <row r="52" spans="1:10" x14ac:dyDescent="0.2">
      <c r="A52" s="121">
        <v>46</v>
      </c>
      <c r="B52" s="122" t="s">
        <v>502</v>
      </c>
      <c r="C52" s="122" t="s">
        <v>503</v>
      </c>
      <c r="D52" s="122" t="s">
        <v>35</v>
      </c>
      <c r="E52" s="123">
        <v>261510</v>
      </c>
      <c r="F52" s="124">
        <v>3742.4696100000001</v>
      </c>
      <c r="G52" s="125">
        <v>1.044979E-2</v>
      </c>
      <c r="H52" s="120" t="s">
        <v>151</v>
      </c>
      <c r="J52" s="8"/>
    </row>
    <row r="53" spans="1:10" x14ac:dyDescent="0.2">
      <c r="A53" s="121">
        <v>47</v>
      </c>
      <c r="B53" s="122" t="s">
        <v>196</v>
      </c>
      <c r="C53" s="122" t="s">
        <v>197</v>
      </c>
      <c r="D53" s="122" t="s">
        <v>70</v>
      </c>
      <c r="E53" s="123">
        <v>86208</v>
      </c>
      <c r="F53" s="124">
        <v>3738.021984</v>
      </c>
      <c r="G53" s="125">
        <v>1.043737E-2</v>
      </c>
      <c r="H53" s="120" t="s">
        <v>151</v>
      </c>
      <c r="J53" s="8"/>
    </row>
    <row r="54" spans="1:10" x14ac:dyDescent="0.2">
      <c r="A54" s="121">
        <v>48</v>
      </c>
      <c r="B54" s="122" t="s">
        <v>504</v>
      </c>
      <c r="C54" s="122" t="s">
        <v>505</v>
      </c>
      <c r="D54" s="122" t="s">
        <v>32</v>
      </c>
      <c r="E54" s="123">
        <v>67391</v>
      </c>
      <c r="F54" s="124">
        <v>3663.5095419999998</v>
      </c>
      <c r="G54" s="125">
        <v>1.022931E-2</v>
      </c>
      <c r="H54" s="120" t="s">
        <v>151</v>
      </c>
      <c r="J54" s="8"/>
    </row>
    <row r="55" spans="1:10" x14ac:dyDescent="0.2">
      <c r="A55" s="121">
        <v>49</v>
      </c>
      <c r="B55" s="122" t="s">
        <v>506</v>
      </c>
      <c r="C55" s="122" t="s">
        <v>507</v>
      </c>
      <c r="D55" s="122" t="s">
        <v>48</v>
      </c>
      <c r="E55" s="123">
        <v>3237028</v>
      </c>
      <c r="F55" s="124">
        <v>3580.1529679999999</v>
      </c>
      <c r="G55" s="125">
        <v>9.9965599999999998E-3</v>
      </c>
      <c r="H55" s="120" t="s">
        <v>151</v>
      </c>
      <c r="J55" s="8"/>
    </row>
    <row r="56" spans="1:10" x14ac:dyDescent="0.2">
      <c r="A56" s="121">
        <v>50</v>
      </c>
      <c r="B56" s="122" t="s">
        <v>508</v>
      </c>
      <c r="C56" s="122" t="s">
        <v>509</v>
      </c>
      <c r="D56" s="122" t="s">
        <v>35</v>
      </c>
      <c r="E56" s="123">
        <v>1467882</v>
      </c>
      <c r="F56" s="124">
        <v>3528.7883280000001</v>
      </c>
      <c r="G56" s="125">
        <v>9.8531399999999998E-3</v>
      </c>
      <c r="H56" s="120" t="s">
        <v>151</v>
      </c>
      <c r="J56" s="8"/>
    </row>
    <row r="57" spans="1:10" x14ac:dyDescent="0.2">
      <c r="A57" s="121">
        <v>51</v>
      </c>
      <c r="B57" s="122" t="s">
        <v>510</v>
      </c>
      <c r="C57" s="122" t="s">
        <v>511</v>
      </c>
      <c r="D57" s="122" t="s">
        <v>241</v>
      </c>
      <c r="E57" s="123">
        <v>278168</v>
      </c>
      <c r="F57" s="124">
        <v>3447.4751080000001</v>
      </c>
      <c r="G57" s="125">
        <v>9.6261000000000003E-3</v>
      </c>
      <c r="H57" s="120" t="s">
        <v>151</v>
      </c>
      <c r="J57" s="8"/>
    </row>
    <row r="58" spans="1:10" x14ac:dyDescent="0.2">
      <c r="A58" s="121">
        <v>52</v>
      </c>
      <c r="B58" s="122" t="s">
        <v>512</v>
      </c>
      <c r="C58" s="122" t="s">
        <v>513</v>
      </c>
      <c r="D58" s="122" t="s">
        <v>514</v>
      </c>
      <c r="E58" s="123">
        <v>40659</v>
      </c>
      <c r="F58" s="124">
        <v>3447.2529854999998</v>
      </c>
      <c r="G58" s="125">
        <v>9.6254800000000005E-3</v>
      </c>
      <c r="H58" s="120" t="s">
        <v>151</v>
      </c>
      <c r="J58" s="8"/>
    </row>
    <row r="59" spans="1:10" x14ac:dyDescent="0.2">
      <c r="A59" s="121">
        <v>53</v>
      </c>
      <c r="B59" s="122" t="s">
        <v>364</v>
      </c>
      <c r="C59" s="122" t="s">
        <v>365</v>
      </c>
      <c r="D59" s="122" t="s">
        <v>270</v>
      </c>
      <c r="E59" s="123">
        <v>345178</v>
      </c>
      <c r="F59" s="124">
        <v>3364.2773769999999</v>
      </c>
      <c r="G59" s="125">
        <v>9.3937900000000008E-3</v>
      </c>
      <c r="H59" s="120" t="s">
        <v>151</v>
      </c>
      <c r="J59" s="8"/>
    </row>
    <row r="60" spans="1:10" x14ac:dyDescent="0.2">
      <c r="A60" s="121">
        <v>54</v>
      </c>
      <c r="B60" s="122" t="s">
        <v>33</v>
      </c>
      <c r="C60" s="122" t="s">
        <v>34</v>
      </c>
      <c r="D60" s="122" t="s">
        <v>35</v>
      </c>
      <c r="E60" s="123">
        <v>69500</v>
      </c>
      <c r="F60" s="124">
        <v>3342.3245000000002</v>
      </c>
      <c r="G60" s="125">
        <v>9.3324900000000006E-3</v>
      </c>
      <c r="H60" s="120" t="s">
        <v>151</v>
      </c>
      <c r="J60" s="8"/>
    </row>
    <row r="61" spans="1:10" x14ac:dyDescent="0.2">
      <c r="A61" s="121">
        <v>55</v>
      </c>
      <c r="B61" s="122" t="s">
        <v>515</v>
      </c>
      <c r="C61" s="122" t="s">
        <v>516</v>
      </c>
      <c r="D61" s="122" t="s">
        <v>48</v>
      </c>
      <c r="E61" s="123">
        <v>1634498</v>
      </c>
      <c r="F61" s="124">
        <v>3338.9525143999999</v>
      </c>
      <c r="G61" s="125">
        <v>9.3230799999999992E-3</v>
      </c>
      <c r="H61" s="120" t="s">
        <v>151</v>
      </c>
      <c r="J61" s="8"/>
    </row>
    <row r="62" spans="1:10" x14ac:dyDescent="0.2">
      <c r="A62" s="121">
        <v>56</v>
      </c>
      <c r="B62" s="122" t="s">
        <v>517</v>
      </c>
      <c r="C62" s="122" t="s">
        <v>518</v>
      </c>
      <c r="D62" s="122" t="s">
        <v>241</v>
      </c>
      <c r="E62" s="123">
        <v>127388</v>
      </c>
      <c r="F62" s="124">
        <v>3315.4637819999998</v>
      </c>
      <c r="G62" s="125">
        <v>9.2574900000000002E-3</v>
      </c>
      <c r="H62" s="120" t="s">
        <v>151</v>
      </c>
      <c r="J62" s="8"/>
    </row>
    <row r="63" spans="1:10" x14ac:dyDescent="0.2">
      <c r="A63" s="121">
        <v>57</v>
      </c>
      <c r="B63" s="122" t="s">
        <v>519</v>
      </c>
      <c r="C63" s="122" t="s">
        <v>520</v>
      </c>
      <c r="D63" s="122" t="s">
        <v>514</v>
      </c>
      <c r="E63" s="123">
        <v>715809</v>
      </c>
      <c r="F63" s="124">
        <v>3284.1316919999999</v>
      </c>
      <c r="G63" s="125">
        <v>9.1700099999999993E-3</v>
      </c>
      <c r="H63" s="120" t="s">
        <v>151</v>
      </c>
      <c r="J63" s="8"/>
    </row>
    <row r="64" spans="1:10" ht="25.5" x14ac:dyDescent="0.2">
      <c r="A64" s="121">
        <v>58</v>
      </c>
      <c r="B64" s="122" t="s">
        <v>521</v>
      </c>
      <c r="C64" s="122" t="s">
        <v>522</v>
      </c>
      <c r="D64" s="122" t="s">
        <v>258</v>
      </c>
      <c r="E64" s="123">
        <v>156665</v>
      </c>
      <c r="F64" s="124">
        <v>3237.6388900000002</v>
      </c>
      <c r="G64" s="125">
        <v>9.04019E-3</v>
      </c>
      <c r="H64" s="120" t="s">
        <v>151</v>
      </c>
      <c r="J64" s="8"/>
    </row>
    <row r="65" spans="1:10" x14ac:dyDescent="0.2">
      <c r="A65" s="121">
        <v>59</v>
      </c>
      <c r="B65" s="122" t="s">
        <v>443</v>
      </c>
      <c r="C65" s="122" t="s">
        <v>444</v>
      </c>
      <c r="D65" s="122" t="s">
        <v>216</v>
      </c>
      <c r="E65" s="123">
        <v>498569</v>
      </c>
      <c r="F65" s="124">
        <v>3000.8868109999999</v>
      </c>
      <c r="G65" s="125">
        <v>8.3791300000000003E-3</v>
      </c>
      <c r="H65" s="120" t="s">
        <v>151</v>
      </c>
      <c r="J65" s="8"/>
    </row>
    <row r="66" spans="1:10" x14ac:dyDescent="0.2">
      <c r="A66" s="121">
        <v>60</v>
      </c>
      <c r="B66" s="122" t="s">
        <v>523</v>
      </c>
      <c r="C66" s="122" t="s">
        <v>524</v>
      </c>
      <c r="D66" s="122" t="s">
        <v>514</v>
      </c>
      <c r="E66" s="123">
        <v>389126</v>
      </c>
      <c r="F66" s="124">
        <v>2981.483412</v>
      </c>
      <c r="G66" s="125">
        <v>8.3249499999999994E-3</v>
      </c>
      <c r="H66" s="120" t="s">
        <v>151</v>
      </c>
      <c r="J66" s="8"/>
    </row>
    <row r="67" spans="1:10" x14ac:dyDescent="0.2">
      <c r="A67" s="121">
        <v>61</v>
      </c>
      <c r="B67" s="122" t="s">
        <v>525</v>
      </c>
      <c r="C67" s="122" t="s">
        <v>526</v>
      </c>
      <c r="D67" s="122" t="s">
        <v>398</v>
      </c>
      <c r="E67" s="123">
        <v>306814</v>
      </c>
      <c r="F67" s="124">
        <v>2927.0055600000001</v>
      </c>
      <c r="G67" s="125">
        <v>8.1728300000000007E-3</v>
      </c>
      <c r="H67" s="120" t="s">
        <v>151</v>
      </c>
      <c r="J67" s="8"/>
    </row>
    <row r="68" spans="1:10" x14ac:dyDescent="0.2">
      <c r="A68" s="121">
        <v>62</v>
      </c>
      <c r="B68" s="122" t="s">
        <v>214</v>
      </c>
      <c r="C68" s="122" t="s">
        <v>215</v>
      </c>
      <c r="D68" s="122" t="s">
        <v>216</v>
      </c>
      <c r="E68" s="123">
        <v>48973</v>
      </c>
      <c r="F68" s="124">
        <v>2669.2243920000001</v>
      </c>
      <c r="G68" s="125">
        <v>7.4530500000000001E-3</v>
      </c>
      <c r="H68" s="120" t="s">
        <v>151</v>
      </c>
      <c r="J68" s="8"/>
    </row>
    <row r="69" spans="1:10" x14ac:dyDescent="0.2">
      <c r="A69" s="121">
        <v>63</v>
      </c>
      <c r="B69" s="122" t="s">
        <v>126</v>
      </c>
      <c r="C69" s="122" t="s">
        <v>127</v>
      </c>
      <c r="D69" s="122" t="s">
        <v>55</v>
      </c>
      <c r="E69" s="123">
        <v>385350</v>
      </c>
      <c r="F69" s="124">
        <v>2639.26215</v>
      </c>
      <c r="G69" s="125">
        <v>7.36939E-3</v>
      </c>
      <c r="H69" s="120" t="s">
        <v>151</v>
      </c>
      <c r="J69" s="8"/>
    </row>
    <row r="70" spans="1:10" ht="25.5" x14ac:dyDescent="0.2">
      <c r="A70" s="121">
        <v>64</v>
      </c>
      <c r="B70" s="122" t="s">
        <v>77</v>
      </c>
      <c r="C70" s="122" t="s">
        <v>78</v>
      </c>
      <c r="D70" s="122" t="s">
        <v>25</v>
      </c>
      <c r="E70" s="123">
        <v>52854</v>
      </c>
      <c r="F70" s="124">
        <v>2454.1697819999999</v>
      </c>
      <c r="G70" s="125">
        <v>6.8525699999999997E-3</v>
      </c>
      <c r="H70" s="120" t="s">
        <v>151</v>
      </c>
      <c r="J70" s="8"/>
    </row>
    <row r="71" spans="1:10" ht="25.5" x14ac:dyDescent="0.2">
      <c r="A71" s="121">
        <v>65</v>
      </c>
      <c r="B71" s="122" t="s">
        <v>527</v>
      </c>
      <c r="C71" s="122" t="s">
        <v>528</v>
      </c>
      <c r="D71" s="122" t="s">
        <v>290</v>
      </c>
      <c r="E71" s="123">
        <v>350254</v>
      </c>
      <c r="F71" s="124">
        <v>2272.7982059999999</v>
      </c>
      <c r="G71" s="125">
        <v>6.3461500000000001E-3</v>
      </c>
      <c r="H71" s="120" t="s">
        <v>151</v>
      </c>
      <c r="J71" s="8"/>
    </row>
    <row r="72" spans="1:10" x14ac:dyDescent="0.2">
      <c r="A72" s="121">
        <v>66</v>
      </c>
      <c r="B72" s="122" t="s">
        <v>401</v>
      </c>
      <c r="C72" s="122" t="s">
        <v>402</v>
      </c>
      <c r="D72" s="122" t="s">
        <v>32</v>
      </c>
      <c r="E72" s="123">
        <v>298151</v>
      </c>
      <c r="F72" s="124">
        <v>2253.5743335000002</v>
      </c>
      <c r="G72" s="125">
        <v>6.2924699999999997E-3</v>
      </c>
      <c r="H72" s="120" t="s">
        <v>151</v>
      </c>
      <c r="J72" s="8"/>
    </row>
    <row r="73" spans="1:10" x14ac:dyDescent="0.2">
      <c r="A73" s="121">
        <v>67</v>
      </c>
      <c r="B73" s="122" t="s">
        <v>111</v>
      </c>
      <c r="C73" s="122" t="s">
        <v>112</v>
      </c>
      <c r="D73" s="122" t="s">
        <v>13</v>
      </c>
      <c r="E73" s="123">
        <v>500873</v>
      </c>
      <c r="F73" s="124">
        <v>2235.3961989999998</v>
      </c>
      <c r="G73" s="125">
        <v>6.2417100000000001E-3</v>
      </c>
      <c r="H73" s="120" t="s">
        <v>151</v>
      </c>
      <c r="J73" s="8"/>
    </row>
    <row r="74" spans="1:10" x14ac:dyDescent="0.2">
      <c r="A74" s="121">
        <v>68</v>
      </c>
      <c r="B74" s="122" t="s">
        <v>68</v>
      </c>
      <c r="C74" s="122" t="s">
        <v>69</v>
      </c>
      <c r="D74" s="122" t="s">
        <v>70</v>
      </c>
      <c r="E74" s="123">
        <v>33962</v>
      </c>
      <c r="F74" s="124">
        <v>2198.903652</v>
      </c>
      <c r="G74" s="125">
        <v>6.1398199999999998E-3</v>
      </c>
      <c r="H74" s="120" t="s">
        <v>151</v>
      </c>
      <c r="J74" s="8"/>
    </row>
    <row r="75" spans="1:10" x14ac:dyDescent="0.2">
      <c r="A75" s="121">
        <v>69</v>
      </c>
      <c r="B75" s="122" t="s">
        <v>529</v>
      </c>
      <c r="C75" s="122" t="s">
        <v>530</v>
      </c>
      <c r="D75" s="122" t="s">
        <v>295</v>
      </c>
      <c r="E75" s="123">
        <v>331249</v>
      </c>
      <c r="F75" s="124">
        <v>2185.4152774999998</v>
      </c>
      <c r="G75" s="125">
        <v>6.1021499999999998E-3</v>
      </c>
      <c r="H75" s="120" t="s">
        <v>151</v>
      </c>
      <c r="J75" s="8"/>
    </row>
    <row r="76" spans="1:10" ht="25.5" x14ac:dyDescent="0.2">
      <c r="A76" s="121">
        <v>70</v>
      </c>
      <c r="B76" s="122" t="s">
        <v>256</v>
      </c>
      <c r="C76" s="122" t="s">
        <v>257</v>
      </c>
      <c r="D76" s="122" t="s">
        <v>258</v>
      </c>
      <c r="E76" s="123">
        <v>65271</v>
      </c>
      <c r="F76" s="124">
        <v>1897.4932409999999</v>
      </c>
      <c r="G76" s="125">
        <v>5.2982100000000002E-3</v>
      </c>
      <c r="H76" s="120" t="s">
        <v>151</v>
      </c>
      <c r="J76" s="8"/>
    </row>
    <row r="77" spans="1:10" x14ac:dyDescent="0.2">
      <c r="A77" s="121">
        <v>71</v>
      </c>
      <c r="B77" s="122" t="s">
        <v>343</v>
      </c>
      <c r="C77" s="122" t="s">
        <v>344</v>
      </c>
      <c r="D77" s="122" t="s">
        <v>48</v>
      </c>
      <c r="E77" s="123">
        <v>109013</v>
      </c>
      <c r="F77" s="124">
        <v>1888.1596665</v>
      </c>
      <c r="G77" s="125">
        <v>5.2721499999999998E-3</v>
      </c>
      <c r="H77" s="120" t="s">
        <v>151</v>
      </c>
      <c r="J77" s="8"/>
    </row>
    <row r="78" spans="1:10" x14ac:dyDescent="0.2">
      <c r="A78" s="121">
        <v>72</v>
      </c>
      <c r="B78" s="122" t="s">
        <v>531</v>
      </c>
      <c r="C78" s="122" t="s">
        <v>532</v>
      </c>
      <c r="D78" s="122" t="s">
        <v>35</v>
      </c>
      <c r="E78" s="123">
        <v>199530</v>
      </c>
      <c r="F78" s="124">
        <v>1822.90608</v>
      </c>
      <c r="G78" s="125">
        <v>5.0899500000000002E-3</v>
      </c>
      <c r="H78" s="120" t="s">
        <v>151</v>
      </c>
      <c r="J78" s="8"/>
    </row>
    <row r="79" spans="1:10" x14ac:dyDescent="0.2">
      <c r="A79" s="121">
        <v>73</v>
      </c>
      <c r="B79" s="122" t="s">
        <v>533</v>
      </c>
      <c r="C79" s="122" t="s">
        <v>534</v>
      </c>
      <c r="D79" s="122" t="s">
        <v>48</v>
      </c>
      <c r="E79" s="123">
        <v>1469967</v>
      </c>
      <c r="F79" s="124">
        <v>1803.9435023999999</v>
      </c>
      <c r="G79" s="125">
        <v>5.0369999999999998E-3</v>
      </c>
      <c r="H79" s="120" t="s">
        <v>151</v>
      </c>
      <c r="J79" s="8"/>
    </row>
    <row r="80" spans="1:10" x14ac:dyDescent="0.2">
      <c r="A80" s="121">
        <v>74</v>
      </c>
      <c r="B80" s="122" t="s">
        <v>457</v>
      </c>
      <c r="C80" s="122" t="s">
        <v>458</v>
      </c>
      <c r="D80" s="122" t="s">
        <v>70</v>
      </c>
      <c r="E80" s="123">
        <v>286238</v>
      </c>
      <c r="F80" s="124">
        <v>1717.284881</v>
      </c>
      <c r="G80" s="125">
        <v>4.7950299999999996E-3</v>
      </c>
      <c r="H80" s="120" t="s">
        <v>151</v>
      </c>
      <c r="J80" s="8"/>
    </row>
    <row r="81" spans="1:10" x14ac:dyDescent="0.2">
      <c r="A81" s="121">
        <v>75</v>
      </c>
      <c r="B81" s="122" t="s">
        <v>239</v>
      </c>
      <c r="C81" s="122" t="s">
        <v>240</v>
      </c>
      <c r="D81" s="122" t="s">
        <v>241</v>
      </c>
      <c r="E81" s="123">
        <v>37713</v>
      </c>
      <c r="F81" s="124">
        <v>1662.803883</v>
      </c>
      <c r="G81" s="125">
        <v>4.6429100000000001E-3</v>
      </c>
      <c r="H81" s="120" t="s">
        <v>151</v>
      </c>
      <c r="J81" s="8"/>
    </row>
    <row r="82" spans="1:10" x14ac:dyDescent="0.2">
      <c r="A82" s="121">
        <v>76</v>
      </c>
      <c r="B82" s="122" t="s">
        <v>279</v>
      </c>
      <c r="C82" s="122" t="s">
        <v>280</v>
      </c>
      <c r="D82" s="122" t="s">
        <v>241</v>
      </c>
      <c r="E82" s="123">
        <v>44483</v>
      </c>
      <c r="F82" s="124">
        <v>1639.0428595000001</v>
      </c>
      <c r="G82" s="125">
        <v>4.5765600000000003E-3</v>
      </c>
      <c r="H82" s="120" t="s">
        <v>151</v>
      </c>
      <c r="J82" s="8"/>
    </row>
    <row r="83" spans="1:10" x14ac:dyDescent="0.2">
      <c r="A83" s="121">
        <v>77</v>
      </c>
      <c r="B83" s="122" t="s">
        <v>445</v>
      </c>
      <c r="C83" s="122" t="s">
        <v>446</v>
      </c>
      <c r="D83" s="122" t="s">
        <v>35</v>
      </c>
      <c r="E83" s="123">
        <v>143771</v>
      </c>
      <c r="F83" s="124">
        <v>1411.0404794999999</v>
      </c>
      <c r="G83" s="125">
        <v>3.9399300000000003E-3</v>
      </c>
      <c r="H83" s="120" t="s">
        <v>151</v>
      </c>
      <c r="J83" s="8"/>
    </row>
    <row r="84" spans="1:10" x14ac:dyDescent="0.2">
      <c r="A84" s="121">
        <v>78</v>
      </c>
      <c r="B84" s="122" t="s">
        <v>535</v>
      </c>
      <c r="C84" s="122" t="s">
        <v>536</v>
      </c>
      <c r="D84" s="122" t="s">
        <v>85</v>
      </c>
      <c r="E84" s="123">
        <v>98055</v>
      </c>
      <c r="F84" s="124">
        <v>1074.388635</v>
      </c>
      <c r="G84" s="125">
        <v>2.99993E-3</v>
      </c>
      <c r="H84" s="120" t="s">
        <v>151</v>
      </c>
      <c r="J84" s="8"/>
    </row>
    <row r="85" spans="1:10" x14ac:dyDescent="0.2">
      <c r="A85" s="121">
        <v>79</v>
      </c>
      <c r="B85" s="122" t="s">
        <v>537</v>
      </c>
      <c r="C85" s="122" t="s">
        <v>538</v>
      </c>
      <c r="D85" s="122" t="s">
        <v>32</v>
      </c>
      <c r="E85" s="123">
        <v>90412</v>
      </c>
      <c r="F85" s="124">
        <v>1056.102572</v>
      </c>
      <c r="G85" s="125">
        <v>2.9488700000000001E-3</v>
      </c>
      <c r="H85" s="120" t="s">
        <v>151</v>
      </c>
      <c r="J85" s="8"/>
    </row>
    <row r="86" spans="1:10" x14ac:dyDescent="0.2">
      <c r="A86" s="121">
        <v>80</v>
      </c>
      <c r="B86" s="122" t="s">
        <v>539</v>
      </c>
      <c r="C86" s="122" t="s">
        <v>80</v>
      </c>
      <c r="D86" s="122" t="s">
        <v>45</v>
      </c>
      <c r="E86" s="123">
        <v>92580</v>
      </c>
      <c r="F86" s="124">
        <v>999.44739000000004</v>
      </c>
      <c r="G86" s="125">
        <v>2.7906699999999999E-3</v>
      </c>
      <c r="H86" s="120" t="s">
        <v>151</v>
      </c>
      <c r="J86" s="8"/>
    </row>
    <row r="87" spans="1:10" x14ac:dyDescent="0.2">
      <c r="A87" s="118"/>
      <c r="B87" s="118"/>
      <c r="C87" s="119" t="s">
        <v>150</v>
      </c>
      <c r="D87" s="118"/>
      <c r="E87" s="118" t="s">
        <v>151</v>
      </c>
      <c r="F87" s="126">
        <v>343520.34500879998</v>
      </c>
      <c r="G87" s="127">
        <v>0.95918322000000011</v>
      </c>
      <c r="H87" s="120" t="s">
        <v>151</v>
      </c>
      <c r="J87" s="8"/>
    </row>
    <row r="88" spans="1:10" x14ac:dyDescent="0.2">
      <c r="A88" s="118"/>
      <c r="B88" s="118"/>
      <c r="C88" s="128"/>
      <c r="D88" s="118"/>
      <c r="E88" s="118"/>
      <c r="F88" s="129"/>
      <c r="G88" s="129"/>
      <c r="H88" s="120" t="s">
        <v>151</v>
      </c>
      <c r="J88" s="8"/>
    </row>
    <row r="89" spans="1:10" x14ac:dyDescent="0.2">
      <c r="A89" s="118"/>
      <c r="B89" s="118"/>
      <c r="C89" s="119" t="s">
        <v>152</v>
      </c>
      <c r="D89" s="118"/>
      <c r="E89" s="118"/>
      <c r="F89" s="118"/>
      <c r="G89" s="118"/>
      <c r="H89" s="120" t="s">
        <v>151</v>
      </c>
      <c r="J89" s="8"/>
    </row>
    <row r="90" spans="1:10" x14ac:dyDescent="0.2">
      <c r="A90" s="118"/>
      <c r="B90" s="118"/>
      <c r="C90" s="119" t="s">
        <v>150</v>
      </c>
      <c r="D90" s="118"/>
      <c r="E90" s="118" t="s">
        <v>151</v>
      </c>
      <c r="F90" s="130" t="s">
        <v>153</v>
      </c>
      <c r="G90" s="127">
        <v>0</v>
      </c>
      <c r="H90" s="120" t="s">
        <v>151</v>
      </c>
      <c r="J90" s="8"/>
    </row>
    <row r="91" spans="1:10" x14ac:dyDescent="0.2">
      <c r="A91" s="118"/>
      <c r="B91" s="118"/>
      <c r="C91" s="128"/>
      <c r="D91" s="118"/>
      <c r="E91" s="118"/>
      <c r="F91" s="129"/>
      <c r="G91" s="129"/>
      <c r="H91" s="120" t="s">
        <v>151</v>
      </c>
      <c r="J91" s="8"/>
    </row>
    <row r="92" spans="1:10" x14ac:dyDescent="0.2">
      <c r="A92" s="118"/>
      <c r="B92" s="118"/>
      <c r="C92" s="119" t="s">
        <v>154</v>
      </c>
      <c r="D92" s="118"/>
      <c r="E92" s="118"/>
      <c r="F92" s="118"/>
      <c r="G92" s="118"/>
      <c r="H92" s="120" t="s">
        <v>151</v>
      </c>
      <c r="J92" s="8"/>
    </row>
    <row r="93" spans="1:10" x14ac:dyDescent="0.2">
      <c r="A93" s="121">
        <v>1</v>
      </c>
      <c r="B93" s="122" t="s">
        <v>147</v>
      </c>
      <c r="C93" s="122" t="s">
        <v>1046</v>
      </c>
      <c r="D93" s="122" t="s">
        <v>148</v>
      </c>
      <c r="E93" s="123">
        <v>375961</v>
      </c>
      <c r="F93" s="124">
        <v>7.5190000000000003E-6</v>
      </c>
      <c r="G93" s="131" t="s">
        <v>149</v>
      </c>
      <c r="H93" s="120" t="s">
        <v>151</v>
      </c>
      <c r="J93" s="8"/>
    </row>
    <row r="94" spans="1:10" x14ac:dyDescent="0.2">
      <c r="A94" s="118"/>
      <c r="B94" s="118"/>
      <c r="C94" s="119" t="s">
        <v>150</v>
      </c>
      <c r="D94" s="118"/>
      <c r="E94" s="118" t="s">
        <v>151</v>
      </c>
      <c r="F94" s="130" t="s">
        <v>153</v>
      </c>
      <c r="G94" s="127">
        <v>0</v>
      </c>
      <c r="H94" s="120" t="s">
        <v>151</v>
      </c>
      <c r="J94" s="8"/>
    </row>
    <row r="95" spans="1:10" x14ac:dyDescent="0.2">
      <c r="A95" s="118"/>
      <c r="B95" s="118"/>
      <c r="C95" s="128"/>
      <c r="D95" s="118"/>
      <c r="E95" s="118"/>
      <c r="F95" s="129"/>
      <c r="G95" s="129"/>
      <c r="H95" s="120" t="s">
        <v>151</v>
      </c>
      <c r="J95" s="8"/>
    </row>
    <row r="96" spans="1:10" x14ac:dyDescent="0.2">
      <c r="A96" s="118"/>
      <c r="B96" s="118"/>
      <c r="C96" s="119" t="s">
        <v>155</v>
      </c>
      <c r="D96" s="118"/>
      <c r="E96" s="118"/>
      <c r="F96" s="118"/>
      <c r="G96" s="118"/>
      <c r="H96" s="120" t="s">
        <v>151</v>
      </c>
      <c r="J96" s="8"/>
    </row>
    <row r="97" spans="1:10" x14ac:dyDescent="0.2">
      <c r="A97" s="118"/>
      <c r="B97" s="118"/>
      <c r="C97" s="119" t="s">
        <v>150</v>
      </c>
      <c r="D97" s="118"/>
      <c r="E97" s="118" t="s">
        <v>151</v>
      </c>
      <c r="F97" s="130" t="s">
        <v>153</v>
      </c>
      <c r="G97" s="127">
        <v>0</v>
      </c>
      <c r="H97" s="120" t="s">
        <v>151</v>
      </c>
      <c r="J97" s="8"/>
    </row>
    <row r="98" spans="1:10" x14ac:dyDescent="0.2">
      <c r="A98" s="118"/>
      <c r="B98" s="118"/>
      <c r="C98" s="128"/>
      <c r="D98" s="118"/>
      <c r="E98" s="118"/>
      <c r="F98" s="129"/>
      <c r="G98" s="129"/>
      <c r="H98" s="120" t="s">
        <v>151</v>
      </c>
      <c r="J98" s="8"/>
    </row>
    <row r="99" spans="1:10" x14ac:dyDescent="0.2">
      <c r="A99" s="118"/>
      <c r="B99" s="118"/>
      <c r="C99" s="119" t="s">
        <v>156</v>
      </c>
      <c r="D99" s="118"/>
      <c r="E99" s="118"/>
      <c r="F99" s="129"/>
      <c r="G99" s="129"/>
      <c r="H99" s="120" t="s">
        <v>151</v>
      </c>
      <c r="J99" s="8"/>
    </row>
    <row r="100" spans="1:10" x14ac:dyDescent="0.2">
      <c r="A100" s="118"/>
      <c r="B100" s="118"/>
      <c r="C100" s="119" t="s">
        <v>150</v>
      </c>
      <c r="D100" s="118"/>
      <c r="E100" s="118" t="s">
        <v>151</v>
      </c>
      <c r="F100" s="130" t="s">
        <v>153</v>
      </c>
      <c r="G100" s="127">
        <v>0</v>
      </c>
      <c r="H100" s="120" t="s">
        <v>151</v>
      </c>
      <c r="J100" s="8"/>
    </row>
    <row r="101" spans="1:10" x14ac:dyDescent="0.2">
      <c r="A101" s="118"/>
      <c r="B101" s="118"/>
      <c r="C101" s="128"/>
      <c r="D101" s="118"/>
      <c r="E101" s="118"/>
      <c r="F101" s="129"/>
      <c r="G101" s="129"/>
      <c r="H101" s="120" t="s">
        <v>151</v>
      </c>
      <c r="J101" s="8"/>
    </row>
    <row r="102" spans="1:10" x14ac:dyDescent="0.2">
      <c r="A102" s="118"/>
      <c r="B102" s="118"/>
      <c r="C102" s="119" t="s">
        <v>157</v>
      </c>
      <c r="D102" s="118"/>
      <c r="E102" s="118"/>
      <c r="F102" s="129"/>
      <c r="G102" s="129"/>
      <c r="H102" s="120" t="s">
        <v>151</v>
      </c>
      <c r="J102" s="8"/>
    </row>
    <row r="103" spans="1:10" x14ac:dyDescent="0.2">
      <c r="A103" s="118"/>
      <c r="B103" s="118"/>
      <c r="C103" s="119" t="s">
        <v>150</v>
      </c>
      <c r="D103" s="118"/>
      <c r="E103" s="118" t="s">
        <v>151</v>
      </c>
      <c r="F103" s="130" t="s">
        <v>153</v>
      </c>
      <c r="G103" s="127">
        <v>0</v>
      </c>
      <c r="H103" s="120" t="s">
        <v>151</v>
      </c>
      <c r="J103" s="8"/>
    </row>
    <row r="104" spans="1:10" x14ac:dyDescent="0.2">
      <c r="A104" s="118"/>
      <c r="B104" s="118"/>
      <c r="C104" s="128"/>
      <c r="D104" s="118"/>
      <c r="E104" s="118"/>
      <c r="F104" s="129"/>
      <c r="G104" s="129"/>
      <c r="H104" s="120" t="s">
        <v>151</v>
      </c>
      <c r="J104" s="8"/>
    </row>
    <row r="105" spans="1:10" x14ac:dyDescent="0.2">
      <c r="A105" s="118"/>
      <c r="B105" s="118"/>
      <c r="C105" s="119" t="s">
        <v>158</v>
      </c>
      <c r="D105" s="118"/>
      <c r="E105" s="118"/>
      <c r="F105" s="126">
        <v>343520.34501631901</v>
      </c>
      <c r="G105" s="127">
        <v>0.95918322</v>
      </c>
      <c r="H105" s="120" t="s">
        <v>151</v>
      </c>
      <c r="J105" s="8"/>
    </row>
    <row r="106" spans="1:10" x14ac:dyDescent="0.2">
      <c r="A106" s="118"/>
      <c r="B106" s="118"/>
      <c r="C106" s="128"/>
      <c r="D106" s="118"/>
      <c r="E106" s="118"/>
      <c r="F106" s="129"/>
      <c r="G106" s="129"/>
      <c r="H106" s="120" t="s">
        <v>151</v>
      </c>
      <c r="J106" s="8"/>
    </row>
    <row r="107" spans="1:10" x14ac:dyDescent="0.2">
      <c r="A107" s="118"/>
      <c r="B107" s="118"/>
      <c r="C107" s="119" t="s">
        <v>159</v>
      </c>
      <c r="D107" s="118"/>
      <c r="E107" s="118"/>
      <c r="F107" s="129"/>
      <c r="G107" s="129"/>
      <c r="H107" s="120" t="s">
        <v>151</v>
      </c>
      <c r="J107" s="8"/>
    </row>
    <row r="108" spans="1:10" x14ac:dyDescent="0.2">
      <c r="A108" s="118"/>
      <c r="B108" s="118"/>
      <c r="C108" s="119" t="s">
        <v>10</v>
      </c>
      <c r="D108" s="118"/>
      <c r="E108" s="118"/>
      <c r="F108" s="129"/>
      <c r="G108" s="129"/>
      <c r="H108" s="120" t="s">
        <v>151</v>
      </c>
      <c r="J108" s="8"/>
    </row>
    <row r="109" spans="1:10" x14ac:dyDescent="0.2">
      <c r="A109" s="118"/>
      <c r="B109" s="118"/>
      <c r="C109" s="119" t="s">
        <v>150</v>
      </c>
      <c r="D109" s="118"/>
      <c r="E109" s="118" t="s">
        <v>151</v>
      </c>
      <c r="F109" s="130" t="s">
        <v>153</v>
      </c>
      <c r="G109" s="127">
        <v>0</v>
      </c>
      <c r="H109" s="120" t="s">
        <v>151</v>
      </c>
      <c r="J109" s="8"/>
    </row>
    <row r="110" spans="1:10" x14ac:dyDescent="0.2">
      <c r="A110" s="118"/>
      <c r="B110" s="118"/>
      <c r="C110" s="128"/>
      <c r="D110" s="118"/>
      <c r="E110" s="118"/>
      <c r="F110" s="129"/>
      <c r="G110" s="129"/>
      <c r="H110" s="120" t="s">
        <v>151</v>
      </c>
      <c r="J110" s="8"/>
    </row>
    <row r="111" spans="1:10" x14ac:dyDescent="0.2">
      <c r="A111" s="118"/>
      <c r="B111" s="118"/>
      <c r="C111" s="119" t="s">
        <v>160</v>
      </c>
      <c r="D111" s="118"/>
      <c r="E111" s="118"/>
      <c r="F111" s="118"/>
      <c r="G111" s="118"/>
      <c r="H111" s="120" t="s">
        <v>151</v>
      </c>
      <c r="J111" s="8"/>
    </row>
    <row r="112" spans="1:10" x14ac:dyDescent="0.2">
      <c r="A112" s="118"/>
      <c r="B112" s="118"/>
      <c r="C112" s="119" t="s">
        <v>150</v>
      </c>
      <c r="D112" s="118"/>
      <c r="E112" s="118" t="s">
        <v>151</v>
      </c>
      <c r="F112" s="130" t="s">
        <v>153</v>
      </c>
      <c r="G112" s="127">
        <v>0</v>
      </c>
      <c r="H112" s="120" t="s">
        <v>151</v>
      </c>
      <c r="J112" s="8"/>
    </row>
    <row r="113" spans="1:10" x14ac:dyDescent="0.2">
      <c r="A113" s="118"/>
      <c r="B113" s="118"/>
      <c r="C113" s="128"/>
      <c r="D113" s="118"/>
      <c r="E113" s="118"/>
      <c r="F113" s="129"/>
      <c r="G113" s="129"/>
      <c r="H113" s="120" t="s">
        <v>151</v>
      </c>
      <c r="J113" s="8"/>
    </row>
    <row r="114" spans="1:10" x14ac:dyDescent="0.2">
      <c r="A114" s="118"/>
      <c r="B114" s="118"/>
      <c r="C114" s="119" t="s">
        <v>161</v>
      </c>
      <c r="D114" s="118"/>
      <c r="E114" s="118"/>
      <c r="F114" s="118"/>
      <c r="G114" s="118"/>
      <c r="H114" s="120" t="s">
        <v>151</v>
      </c>
      <c r="J114" s="8"/>
    </row>
    <row r="115" spans="1:10" x14ac:dyDescent="0.2">
      <c r="A115" s="118"/>
      <c r="B115" s="118"/>
      <c r="C115" s="119" t="s">
        <v>150</v>
      </c>
      <c r="D115" s="118"/>
      <c r="E115" s="118" t="s">
        <v>151</v>
      </c>
      <c r="F115" s="130" t="s">
        <v>153</v>
      </c>
      <c r="G115" s="127">
        <v>0</v>
      </c>
      <c r="H115" s="120" t="s">
        <v>151</v>
      </c>
      <c r="J115" s="8"/>
    </row>
    <row r="116" spans="1:10" x14ac:dyDescent="0.2">
      <c r="A116" s="118"/>
      <c r="B116" s="118"/>
      <c r="C116" s="128"/>
      <c r="D116" s="118"/>
      <c r="E116" s="118"/>
      <c r="F116" s="129"/>
      <c r="G116" s="129"/>
      <c r="H116" s="120" t="s">
        <v>151</v>
      </c>
      <c r="J116" s="8"/>
    </row>
    <row r="117" spans="1:10" x14ac:dyDescent="0.2">
      <c r="A117" s="118"/>
      <c r="B117" s="118"/>
      <c r="C117" s="119" t="s">
        <v>162</v>
      </c>
      <c r="D117" s="118"/>
      <c r="E117" s="118"/>
      <c r="F117" s="129"/>
      <c r="G117" s="129"/>
      <c r="H117" s="120" t="s">
        <v>151</v>
      </c>
      <c r="J117" s="8"/>
    </row>
    <row r="118" spans="1:10" x14ac:dyDescent="0.2">
      <c r="A118" s="118"/>
      <c r="B118" s="118"/>
      <c r="C118" s="119" t="s">
        <v>150</v>
      </c>
      <c r="D118" s="118"/>
      <c r="E118" s="118" t="s">
        <v>151</v>
      </c>
      <c r="F118" s="130" t="s">
        <v>153</v>
      </c>
      <c r="G118" s="127">
        <v>0</v>
      </c>
      <c r="H118" s="120" t="s">
        <v>151</v>
      </c>
      <c r="J118" s="8"/>
    </row>
    <row r="119" spans="1:10" x14ac:dyDescent="0.2">
      <c r="A119" s="118"/>
      <c r="B119" s="118"/>
      <c r="C119" s="128"/>
      <c r="D119" s="118"/>
      <c r="E119" s="118"/>
      <c r="F119" s="129"/>
      <c r="G119" s="129"/>
      <c r="H119" s="120" t="s">
        <v>151</v>
      </c>
      <c r="J119" s="8"/>
    </row>
    <row r="120" spans="1:10" x14ac:dyDescent="0.2">
      <c r="A120" s="118"/>
      <c r="B120" s="118"/>
      <c r="C120" s="119" t="s">
        <v>163</v>
      </c>
      <c r="D120" s="118"/>
      <c r="E120" s="118"/>
      <c r="F120" s="126">
        <v>0</v>
      </c>
      <c r="G120" s="127">
        <v>0</v>
      </c>
      <c r="H120" s="120" t="s">
        <v>151</v>
      </c>
      <c r="J120" s="8"/>
    </row>
    <row r="121" spans="1:10" x14ac:dyDescent="0.2">
      <c r="A121" s="118"/>
      <c r="B121" s="118"/>
      <c r="C121" s="128"/>
      <c r="D121" s="118"/>
      <c r="E121" s="118"/>
      <c r="F121" s="129"/>
      <c r="G121" s="129"/>
      <c r="H121" s="120" t="s">
        <v>151</v>
      </c>
      <c r="J121" s="8"/>
    </row>
    <row r="122" spans="1:10" x14ac:dyDescent="0.2">
      <c r="A122" s="118"/>
      <c r="B122" s="118"/>
      <c r="C122" s="119" t="s">
        <v>164</v>
      </c>
      <c r="D122" s="118"/>
      <c r="E122" s="118"/>
      <c r="F122" s="129"/>
      <c r="G122" s="129"/>
      <c r="H122" s="120" t="s">
        <v>151</v>
      </c>
      <c r="J122" s="8"/>
    </row>
    <row r="123" spans="1:10" x14ac:dyDescent="0.2">
      <c r="A123" s="118"/>
      <c r="B123" s="118"/>
      <c r="C123" s="119" t="s">
        <v>165</v>
      </c>
      <c r="D123" s="118"/>
      <c r="E123" s="118"/>
      <c r="F123" s="129"/>
      <c r="G123" s="129"/>
      <c r="H123" s="120" t="s">
        <v>151</v>
      </c>
      <c r="J123" s="8"/>
    </row>
    <row r="124" spans="1:10" x14ac:dyDescent="0.2">
      <c r="A124" s="118"/>
      <c r="B124" s="118"/>
      <c r="C124" s="119" t="s">
        <v>150</v>
      </c>
      <c r="D124" s="118"/>
      <c r="E124" s="118" t="s">
        <v>151</v>
      </c>
      <c r="F124" s="130" t="s">
        <v>153</v>
      </c>
      <c r="G124" s="127">
        <v>0</v>
      </c>
      <c r="H124" s="120" t="s">
        <v>151</v>
      </c>
      <c r="J124" s="8"/>
    </row>
    <row r="125" spans="1:10" x14ac:dyDescent="0.2">
      <c r="A125" s="118"/>
      <c r="B125" s="118"/>
      <c r="C125" s="128"/>
      <c r="D125" s="118"/>
      <c r="E125" s="118"/>
      <c r="F125" s="129"/>
      <c r="G125" s="129"/>
      <c r="H125" s="120" t="s">
        <v>151</v>
      </c>
      <c r="J125" s="8"/>
    </row>
    <row r="126" spans="1:10" x14ac:dyDescent="0.2">
      <c r="A126" s="118"/>
      <c r="B126" s="118"/>
      <c r="C126" s="119" t="s">
        <v>166</v>
      </c>
      <c r="D126" s="118"/>
      <c r="E126" s="118"/>
      <c r="F126" s="129"/>
      <c r="G126" s="129"/>
      <c r="H126" s="120" t="s">
        <v>151</v>
      </c>
      <c r="J126" s="8"/>
    </row>
    <row r="127" spans="1:10" x14ac:dyDescent="0.2">
      <c r="A127" s="118"/>
      <c r="B127" s="118"/>
      <c r="C127" s="119" t="s">
        <v>150</v>
      </c>
      <c r="D127" s="118"/>
      <c r="E127" s="118" t="s">
        <v>151</v>
      </c>
      <c r="F127" s="130" t="s">
        <v>153</v>
      </c>
      <c r="G127" s="127">
        <v>0</v>
      </c>
      <c r="H127" s="120" t="s">
        <v>151</v>
      </c>
      <c r="J127" s="8"/>
    </row>
    <row r="128" spans="1:10" x14ac:dyDescent="0.2">
      <c r="A128" s="118"/>
      <c r="B128" s="118"/>
      <c r="C128" s="128"/>
      <c r="D128" s="118"/>
      <c r="E128" s="118"/>
      <c r="F128" s="129"/>
      <c r="G128" s="129"/>
      <c r="H128" s="120" t="s">
        <v>151</v>
      </c>
      <c r="J128" s="8"/>
    </row>
    <row r="129" spans="1:10" x14ac:dyDescent="0.2">
      <c r="A129" s="118"/>
      <c r="B129" s="118"/>
      <c r="C129" s="119" t="s">
        <v>167</v>
      </c>
      <c r="D129" s="118"/>
      <c r="E129" s="118"/>
      <c r="F129" s="129"/>
      <c r="G129" s="129"/>
      <c r="H129" s="120" t="s">
        <v>151</v>
      </c>
      <c r="J129" s="8"/>
    </row>
    <row r="130" spans="1:10" x14ac:dyDescent="0.2">
      <c r="A130" s="121">
        <v>1</v>
      </c>
      <c r="B130" s="122" t="s">
        <v>540</v>
      </c>
      <c r="C130" s="122" t="s">
        <v>1051</v>
      </c>
      <c r="D130" s="122" t="s">
        <v>541</v>
      </c>
      <c r="E130" s="123">
        <v>2000000</v>
      </c>
      <c r="F130" s="124">
        <v>1926.3679999999999</v>
      </c>
      <c r="G130" s="125">
        <v>5.3788400000000002E-3</v>
      </c>
      <c r="H130" s="120">
        <v>6.55</v>
      </c>
      <c r="J130" s="8"/>
    </row>
    <row r="131" spans="1:10" x14ac:dyDescent="0.2">
      <c r="A131" s="118"/>
      <c r="B131" s="118"/>
      <c r="C131" s="119" t="s">
        <v>150</v>
      </c>
      <c r="D131" s="118"/>
      <c r="E131" s="118" t="s">
        <v>151</v>
      </c>
      <c r="F131" s="126">
        <v>1926.3679999999999</v>
      </c>
      <c r="G131" s="127">
        <v>5.3788400000000002E-3</v>
      </c>
      <c r="H131" s="120" t="s">
        <v>151</v>
      </c>
      <c r="J131" s="8"/>
    </row>
    <row r="132" spans="1:10" x14ac:dyDescent="0.2">
      <c r="A132" s="118"/>
      <c r="B132" s="118"/>
      <c r="C132" s="128"/>
      <c r="D132" s="118"/>
      <c r="E132" s="118"/>
      <c r="F132" s="129"/>
      <c r="G132" s="129"/>
      <c r="H132" s="120" t="s">
        <v>151</v>
      </c>
      <c r="J132" s="8"/>
    </row>
    <row r="133" spans="1:10" x14ac:dyDescent="0.2">
      <c r="A133" s="118"/>
      <c r="B133" s="118"/>
      <c r="C133" s="119" t="s">
        <v>168</v>
      </c>
      <c r="D133" s="118"/>
      <c r="E133" s="118"/>
      <c r="F133" s="129"/>
      <c r="G133" s="129"/>
      <c r="H133" s="120" t="s">
        <v>151</v>
      </c>
      <c r="J133" s="8"/>
    </row>
    <row r="134" spans="1:10" x14ac:dyDescent="0.2">
      <c r="A134" s="121">
        <v>1</v>
      </c>
      <c r="B134" s="122"/>
      <c r="C134" s="122" t="s">
        <v>169</v>
      </c>
      <c r="D134" s="122"/>
      <c r="E134" s="131"/>
      <c r="F134" s="124">
        <v>6415.592769975</v>
      </c>
      <c r="G134" s="125">
        <v>1.7913720000000001E-2</v>
      </c>
      <c r="H134" s="120">
        <v>6.61</v>
      </c>
      <c r="J134" s="8"/>
    </row>
    <row r="135" spans="1:10" x14ac:dyDescent="0.2">
      <c r="A135" s="118"/>
      <c r="B135" s="118"/>
      <c r="C135" s="119" t="s">
        <v>150</v>
      </c>
      <c r="D135" s="118"/>
      <c r="E135" s="118" t="s">
        <v>151</v>
      </c>
      <c r="F135" s="126">
        <v>6415.592769975</v>
      </c>
      <c r="G135" s="127">
        <v>1.7913720000000001E-2</v>
      </c>
      <c r="H135" s="120" t="s">
        <v>151</v>
      </c>
      <c r="J135" s="8"/>
    </row>
    <row r="136" spans="1:10" x14ac:dyDescent="0.2">
      <c r="A136" s="118"/>
      <c r="B136" s="118"/>
      <c r="C136" s="128"/>
      <c r="D136" s="118"/>
      <c r="E136" s="118"/>
      <c r="F136" s="129"/>
      <c r="G136" s="129"/>
      <c r="H136" s="120" t="s">
        <v>151</v>
      </c>
      <c r="J136" s="8"/>
    </row>
    <row r="137" spans="1:10" x14ac:dyDescent="0.2">
      <c r="A137" s="118"/>
      <c r="B137" s="118"/>
      <c r="C137" s="119" t="s">
        <v>170</v>
      </c>
      <c r="D137" s="118"/>
      <c r="E137" s="118"/>
      <c r="F137" s="126">
        <v>8341.9607699749995</v>
      </c>
      <c r="G137" s="127">
        <v>2.329256E-2</v>
      </c>
      <c r="H137" s="120" t="s">
        <v>151</v>
      </c>
      <c r="J137" s="8"/>
    </row>
    <row r="138" spans="1:10" x14ac:dyDescent="0.2">
      <c r="A138" s="118"/>
      <c r="B138" s="118"/>
      <c r="C138" s="129"/>
      <c r="D138" s="118"/>
      <c r="E138" s="118"/>
      <c r="F138" s="118"/>
      <c r="G138" s="118"/>
      <c r="H138" s="120" t="s">
        <v>151</v>
      </c>
      <c r="J138" s="8"/>
    </row>
    <row r="139" spans="1:10" x14ac:dyDescent="0.2">
      <c r="A139" s="118"/>
      <c r="B139" s="118"/>
      <c r="C139" s="119" t="s">
        <v>171</v>
      </c>
      <c r="D139" s="118"/>
      <c r="E139" s="118"/>
      <c r="F139" s="118"/>
      <c r="G139" s="118"/>
      <c r="H139" s="120" t="s">
        <v>151</v>
      </c>
      <c r="J139" s="8"/>
    </row>
    <row r="140" spans="1:10" x14ac:dyDescent="0.2">
      <c r="A140" s="118"/>
      <c r="B140" s="118"/>
      <c r="C140" s="119" t="s">
        <v>172</v>
      </c>
      <c r="D140" s="118"/>
      <c r="E140" s="118"/>
      <c r="F140" s="118"/>
      <c r="G140" s="118"/>
      <c r="H140" s="120" t="s">
        <v>151</v>
      </c>
      <c r="J140" s="8"/>
    </row>
    <row r="141" spans="1:10" x14ac:dyDescent="0.2">
      <c r="A141" s="121">
        <v>1</v>
      </c>
      <c r="B141" s="122" t="s">
        <v>173</v>
      </c>
      <c r="C141" s="122" t="s">
        <v>174</v>
      </c>
      <c r="D141" s="122"/>
      <c r="E141" s="132">
        <v>339385.37579999998</v>
      </c>
      <c r="F141" s="124">
        <v>7502.0288857149999</v>
      </c>
      <c r="G141" s="125">
        <v>2.094729E-2</v>
      </c>
      <c r="H141" s="120" t="s">
        <v>151</v>
      </c>
      <c r="J141" s="8"/>
    </row>
    <row r="142" spans="1:10" x14ac:dyDescent="0.2">
      <c r="A142" s="118"/>
      <c r="B142" s="118"/>
      <c r="C142" s="119" t="s">
        <v>150</v>
      </c>
      <c r="D142" s="118"/>
      <c r="E142" s="118" t="s">
        <v>151</v>
      </c>
      <c r="F142" s="126">
        <v>7502.0288857149999</v>
      </c>
      <c r="G142" s="127">
        <v>2.094729E-2</v>
      </c>
      <c r="H142" s="120" t="s">
        <v>151</v>
      </c>
      <c r="J142" s="8"/>
    </row>
    <row r="143" spans="1:10" x14ac:dyDescent="0.2">
      <c r="A143" s="118"/>
      <c r="B143" s="118"/>
      <c r="C143" s="128"/>
      <c r="D143" s="118"/>
      <c r="E143" s="118"/>
      <c r="F143" s="129"/>
      <c r="G143" s="129"/>
      <c r="H143" s="120" t="s">
        <v>151</v>
      </c>
      <c r="J143" s="8"/>
    </row>
    <row r="144" spans="1:10" x14ac:dyDescent="0.2">
      <c r="A144" s="118"/>
      <c r="B144" s="118"/>
      <c r="C144" s="119" t="s">
        <v>175</v>
      </c>
      <c r="D144" s="118"/>
      <c r="E144" s="118"/>
      <c r="F144" s="118"/>
      <c r="G144" s="118"/>
      <c r="H144" s="120" t="s">
        <v>151</v>
      </c>
      <c r="J144" s="8"/>
    </row>
    <row r="145" spans="1:17" x14ac:dyDescent="0.2">
      <c r="A145" s="118"/>
      <c r="B145" s="118"/>
      <c r="C145" s="119" t="s">
        <v>176</v>
      </c>
      <c r="D145" s="118"/>
      <c r="E145" s="118"/>
      <c r="F145" s="118"/>
      <c r="G145" s="118"/>
      <c r="H145" s="120" t="s">
        <v>151</v>
      </c>
      <c r="J145" s="8"/>
    </row>
    <row r="146" spans="1:17" x14ac:dyDescent="0.2">
      <c r="A146" s="118"/>
      <c r="B146" s="118"/>
      <c r="C146" s="119" t="s">
        <v>150</v>
      </c>
      <c r="D146" s="118"/>
      <c r="E146" s="118" t="s">
        <v>151</v>
      </c>
      <c r="F146" s="130" t="s">
        <v>153</v>
      </c>
      <c r="G146" s="127">
        <v>0</v>
      </c>
      <c r="H146" s="120" t="s">
        <v>151</v>
      </c>
      <c r="J146" s="8"/>
    </row>
    <row r="147" spans="1:17" x14ac:dyDescent="0.2">
      <c r="A147" s="118"/>
      <c r="B147" s="118"/>
      <c r="C147" s="128"/>
      <c r="D147" s="118"/>
      <c r="E147" s="118"/>
      <c r="F147" s="129"/>
      <c r="G147" s="129"/>
      <c r="H147" s="120" t="s">
        <v>151</v>
      </c>
      <c r="J147" s="8"/>
    </row>
    <row r="148" spans="1:17" x14ac:dyDescent="0.2">
      <c r="A148" s="118"/>
      <c r="B148" s="118"/>
      <c r="C148" s="119" t="s">
        <v>177</v>
      </c>
      <c r="D148" s="118"/>
      <c r="E148" s="118"/>
      <c r="F148" s="129"/>
      <c r="G148" s="129"/>
      <c r="H148" s="120" t="s">
        <v>151</v>
      </c>
      <c r="J148" s="8"/>
    </row>
    <row r="149" spans="1:17" x14ac:dyDescent="0.2">
      <c r="A149" s="118"/>
      <c r="B149" s="118"/>
      <c r="C149" s="119" t="s">
        <v>150</v>
      </c>
      <c r="D149" s="118"/>
      <c r="E149" s="118" t="s">
        <v>151</v>
      </c>
      <c r="F149" s="130" t="s">
        <v>153</v>
      </c>
      <c r="G149" s="127">
        <v>0</v>
      </c>
      <c r="H149" s="120" t="s">
        <v>151</v>
      </c>
      <c r="J149" s="8"/>
    </row>
    <row r="150" spans="1:17" x14ac:dyDescent="0.2">
      <c r="A150" s="118"/>
      <c r="B150" s="122"/>
      <c r="C150" s="122"/>
      <c r="D150" s="119"/>
      <c r="E150" s="118"/>
      <c r="F150" s="122"/>
      <c r="G150" s="131"/>
      <c r="H150" s="120" t="s">
        <v>151</v>
      </c>
      <c r="J150" s="8"/>
    </row>
    <row r="151" spans="1:17" x14ac:dyDescent="0.2">
      <c r="A151" s="131"/>
      <c r="B151" s="122"/>
      <c r="C151" s="200" t="s">
        <v>917</v>
      </c>
      <c r="D151" s="122"/>
      <c r="E151" s="131"/>
      <c r="F151" s="124">
        <v>-1225.914165759013</v>
      </c>
      <c r="G151" s="125">
        <v>-3.4230300000000001E-3</v>
      </c>
      <c r="H151" s="120" t="s">
        <v>151</v>
      </c>
      <c r="J151" s="8"/>
    </row>
    <row r="152" spans="1:17" x14ac:dyDescent="0.2">
      <c r="A152" s="128"/>
      <c r="B152" s="128"/>
      <c r="C152" s="119" t="s">
        <v>179</v>
      </c>
      <c r="D152" s="129"/>
      <c r="E152" s="129"/>
      <c r="F152" s="126">
        <v>358138.42050624994</v>
      </c>
      <c r="G152" s="133">
        <v>1.00000004</v>
      </c>
      <c r="H152" s="120" t="s">
        <v>151</v>
      </c>
      <c r="J152" s="8"/>
    </row>
    <row r="153" spans="1:17" x14ac:dyDescent="0.2">
      <c r="A153" s="134"/>
      <c r="B153" s="134"/>
      <c r="C153" s="134"/>
      <c r="D153" s="135"/>
      <c r="E153" s="135"/>
      <c r="F153" s="135"/>
      <c r="G153" s="135"/>
      <c r="J153" s="8"/>
    </row>
    <row r="154" spans="1:17" x14ac:dyDescent="0.2">
      <c r="A154" s="136"/>
      <c r="B154" s="137" t="s">
        <v>888</v>
      </c>
      <c r="C154" s="137"/>
      <c r="D154" s="137"/>
      <c r="E154" s="137"/>
      <c r="F154" s="137"/>
      <c r="G154" s="137"/>
      <c r="H154" s="137"/>
      <c r="J154" s="8"/>
    </row>
    <row r="155" spans="1:17" x14ac:dyDescent="0.2">
      <c r="A155" s="136"/>
      <c r="B155" s="137" t="s">
        <v>889</v>
      </c>
      <c r="C155" s="137"/>
      <c r="D155" s="137"/>
      <c r="E155" s="137"/>
      <c r="F155" s="137"/>
      <c r="G155" s="137"/>
      <c r="H155" s="137"/>
      <c r="J155" s="8"/>
    </row>
    <row r="156" spans="1:17" x14ac:dyDescent="0.2">
      <c r="A156" s="136"/>
      <c r="B156" s="137" t="s">
        <v>890</v>
      </c>
      <c r="C156" s="137"/>
      <c r="D156" s="137"/>
      <c r="E156" s="137"/>
      <c r="F156" s="137"/>
      <c r="G156" s="137"/>
      <c r="H156" s="137"/>
      <c r="J156" s="8"/>
    </row>
    <row r="157" spans="1:17" s="13" customFormat="1" ht="66.75" customHeight="1" x14ac:dyDescent="0.25">
      <c r="A157" s="138"/>
      <c r="B157" s="139" t="s">
        <v>891</v>
      </c>
      <c r="C157" s="139"/>
      <c r="D157" s="139"/>
      <c r="E157" s="139"/>
      <c r="F157" s="139"/>
      <c r="G157" s="139"/>
      <c r="H157" s="139"/>
      <c r="I157" s="114"/>
      <c r="J157" s="8"/>
      <c r="K157"/>
      <c r="L157"/>
      <c r="M157"/>
      <c r="N157"/>
      <c r="O157"/>
      <c r="P157"/>
      <c r="Q157"/>
    </row>
    <row r="158" spans="1:17" x14ac:dyDescent="0.2">
      <c r="A158" s="136"/>
      <c r="B158" s="137" t="s">
        <v>892</v>
      </c>
      <c r="C158" s="137"/>
      <c r="D158" s="137"/>
      <c r="E158" s="137"/>
      <c r="F158" s="137"/>
      <c r="G158" s="137"/>
      <c r="H158" s="137"/>
      <c r="J158" s="8"/>
    </row>
    <row r="159" spans="1:17" x14ac:dyDescent="0.2">
      <c r="A159" s="140"/>
      <c r="B159" s="140"/>
      <c r="C159" s="140"/>
      <c r="D159" s="141"/>
      <c r="E159" s="141"/>
      <c r="F159" s="141"/>
      <c r="G159" s="141"/>
      <c r="J159" s="8"/>
    </row>
    <row r="160" spans="1:17" x14ac:dyDescent="0.2">
      <c r="A160" s="140"/>
      <c r="B160" s="142" t="s">
        <v>180</v>
      </c>
      <c r="C160" s="143"/>
      <c r="D160" s="144"/>
      <c r="E160" s="145"/>
      <c r="F160" s="141"/>
      <c r="G160" s="141"/>
      <c r="J160" s="8"/>
    </row>
    <row r="161" spans="1:10" ht="26.25" customHeight="1" x14ac:dyDescent="0.2">
      <c r="A161" s="140"/>
      <c r="B161" s="146" t="s">
        <v>181</v>
      </c>
      <c r="C161" s="147"/>
      <c r="D161" s="119" t="s">
        <v>182</v>
      </c>
      <c r="E161" s="145"/>
      <c r="F161" s="141"/>
      <c r="G161" s="141"/>
      <c r="J161" s="8"/>
    </row>
    <row r="162" spans="1:10" ht="12.75" customHeight="1" x14ac:dyDescent="0.2">
      <c r="A162" s="136"/>
      <c r="B162" s="148" t="s">
        <v>908</v>
      </c>
      <c r="C162" s="149"/>
      <c r="D162" s="150" t="s">
        <v>1178</v>
      </c>
      <c r="E162" s="206"/>
      <c r="F162" s="207"/>
      <c r="G162" s="207"/>
      <c r="J162" s="8"/>
    </row>
    <row r="163" spans="1:10" x14ac:dyDescent="0.2">
      <c r="A163" s="140"/>
      <c r="B163" s="146" t="s">
        <v>184</v>
      </c>
      <c r="C163" s="147"/>
      <c r="D163" s="129" t="s">
        <v>151</v>
      </c>
      <c r="E163" s="145"/>
      <c r="F163" s="141"/>
      <c r="G163" s="141"/>
      <c r="J163" s="8"/>
    </row>
    <row r="164" spans="1:10" x14ac:dyDescent="0.2">
      <c r="A164" s="151"/>
      <c r="B164" s="152" t="s">
        <v>151</v>
      </c>
      <c r="C164" s="152" t="s">
        <v>894</v>
      </c>
      <c r="D164" s="152" t="s">
        <v>185</v>
      </c>
      <c r="E164" s="151"/>
      <c r="F164" s="151"/>
      <c r="G164" s="151"/>
      <c r="H164" s="151"/>
      <c r="J164" s="8"/>
    </row>
    <row r="165" spans="1:10" x14ac:dyDescent="0.2">
      <c r="A165" s="153"/>
      <c r="B165" s="154" t="s">
        <v>186</v>
      </c>
      <c r="C165" s="155">
        <v>45535</v>
      </c>
      <c r="D165" s="155">
        <v>45565</v>
      </c>
      <c r="E165" s="153"/>
      <c r="F165" s="153"/>
      <c r="G165" s="153"/>
      <c r="J165" s="8"/>
    </row>
    <row r="166" spans="1:10" x14ac:dyDescent="0.2">
      <c r="A166" s="153"/>
      <c r="B166" s="122" t="s">
        <v>187</v>
      </c>
      <c r="C166" s="156">
        <v>289.32639999999998</v>
      </c>
      <c r="D166" s="156">
        <v>297.47669999999999</v>
      </c>
      <c r="E166" s="153"/>
      <c r="F166" s="157"/>
      <c r="G166" s="158"/>
      <c r="J166" s="8"/>
    </row>
    <row r="167" spans="1:10" x14ac:dyDescent="0.2">
      <c r="A167" s="153"/>
      <c r="B167" s="122" t="s">
        <v>1038</v>
      </c>
      <c r="C167" s="156">
        <v>43.7941</v>
      </c>
      <c r="D167" s="156">
        <v>45.027799999999999</v>
      </c>
      <c r="E167" s="153"/>
      <c r="F167" s="157"/>
      <c r="G167" s="158"/>
      <c r="J167" s="8"/>
    </row>
    <row r="168" spans="1:10" x14ac:dyDescent="0.2">
      <c r="A168" s="153"/>
      <c r="B168" s="122" t="s">
        <v>188</v>
      </c>
      <c r="C168" s="156">
        <v>263.85300000000001</v>
      </c>
      <c r="D168" s="156">
        <v>271.03840000000002</v>
      </c>
      <c r="E168" s="153"/>
      <c r="F168" s="157"/>
      <c r="G168" s="158"/>
      <c r="J168" s="8"/>
    </row>
    <row r="169" spans="1:10" x14ac:dyDescent="0.2">
      <c r="A169" s="153"/>
      <c r="B169" s="122" t="s">
        <v>1039</v>
      </c>
      <c r="C169" s="156">
        <v>38.865900000000003</v>
      </c>
      <c r="D169" s="156">
        <v>39.924300000000002</v>
      </c>
      <c r="E169" s="153"/>
      <c r="F169" s="157"/>
      <c r="G169" s="158"/>
      <c r="J169" s="8"/>
    </row>
    <row r="170" spans="1:10" x14ac:dyDescent="0.2">
      <c r="A170" s="153"/>
      <c r="B170" s="153"/>
      <c r="C170" s="153"/>
      <c r="D170" s="153"/>
      <c r="E170" s="153"/>
      <c r="F170" s="153"/>
      <c r="G170" s="153"/>
      <c r="J170" s="8"/>
    </row>
    <row r="171" spans="1:10" x14ac:dyDescent="0.2">
      <c r="A171" s="151"/>
      <c r="B171" s="148" t="s">
        <v>895</v>
      </c>
      <c r="C171" s="149"/>
      <c r="D171" s="150" t="s">
        <v>182</v>
      </c>
      <c r="E171" s="151"/>
      <c r="F171" s="151"/>
      <c r="G171" s="151"/>
      <c r="J171" s="8"/>
    </row>
    <row r="172" spans="1:10" x14ac:dyDescent="0.2">
      <c r="A172" s="151"/>
      <c r="B172" s="201"/>
      <c r="C172" s="201"/>
      <c r="D172" s="201"/>
      <c r="E172" s="151"/>
      <c r="F172" s="151"/>
      <c r="G172" s="151"/>
      <c r="J172" s="8"/>
    </row>
    <row r="173" spans="1:10" x14ac:dyDescent="0.2">
      <c r="A173" s="151"/>
      <c r="B173" s="148" t="s">
        <v>189</v>
      </c>
      <c r="C173" s="149"/>
      <c r="D173" s="150" t="s">
        <v>182</v>
      </c>
      <c r="E173" s="160"/>
      <c r="F173" s="151"/>
      <c r="G173" s="151"/>
      <c r="J173" s="8"/>
    </row>
    <row r="174" spans="1:10" x14ac:dyDescent="0.2">
      <c r="A174" s="151"/>
      <c r="B174" s="148" t="s">
        <v>190</v>
      </c>
      <c r="C174" s="149"/>
      <c r="D174" s="150" t="s">
        <v>182</v>
      </c>
      <c r="E174" s="160"/>
      <c r="F174" s="151"/>
      <c r="G174" s="151"/>
      <c r="J174" s="8"/>
    </row>
    <row r="175" spans="1:10" x14ac:dyDescent="0.2">
      <c r="A175" s="151"/>
      <c r="B175" s="148" t="s">
        <v>191</v>
      </c>
      <c r="C175" s="149"/>
      <c r="D175" s="150" t="s">
        <v>182</v>
      </c>
      <c r="E175" s="160"/>
      <c r="F175" s="151"/>
      <c r="G175" s="151"/>
      <c r="J175" s="8"/>
    </row>
    <row r="176" spans="1:10" x14ac:dyDescent="0.2">
      <c r="A176" s="151"/>
      <c r="B176" s="148" t="s">
        <v>192</v>
      </c>
      <c r="C176" s="149"/>
      <c r="D176" s="161">
        <v>0.61663930855390703</v>
      </c>
      <c r="E176" s="151"/>
      <c r="F176" s="159"/>
      <c r="G176" s="162"/>
      <c r="J176" s="8"/>
    </row>
    <row r="177" spans="10:10" x14ac:dyDescent="0.2">
      <c r="J177" s="8"/>
    </row>
    <row r="178" spans="10:10" x14ac:dyDescent="0.2">
      <c r="J178" s="8"/>
    </row>
    <row r="179" spans="10:10" x14ac:dyDescent="0.2">
      <c r="J179" s="8"/>
    </row>
  </sheetData>
  <mergeCells count="17">
    <mergeCell ref="B162:C162"/>
    <mergeCell ref="B163:C163"/>
    <mergeCell ref="B171:C171"/>
    <mergeCell ref="B175:C175"/>
    <mergeCell ref="B176:C176"/>
    <mergeCell ref="B173:C173"/>
    <mergeCell ref="B174:C174"/>
    <mergeCell ref="B161:C161"/>
    <mergeCell ref="A1:H1"/>
    <mergeCell ref="A2:H2"/>
    <mergeCell ref="A3:H3"/>
    <mergeCell ref="B154:H154"/>
    <mergeCell ref="B155:H155"/>
    <mergeCell ref="B156:H156"/>
    <mergeCell ref="B157:H157"/>
    <mergeCell ref="B158:H158"/>
    <mergeCell ref="B160:D160"/>
  </mergeCells>
  <hyperlinks>
    <hyperlink ref="I1" location="Index!B2" display="Index" xr:uid="{98642476-6E49-49FB-BE06-FC80A4A15AA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6AFE3-C0C9-4C81-9A58-797BE024CC2D}">
  <sheetPr>
    <outlinePr summaryBelow="0" summaryRight="0"/>
  </sheetPr>
  <dimension ref="A1:Q241"/>
  <sheetViews>
    <sheetView showGridLines="0" workbookViewId="0">
      <selection sqref="A1:H1"/>
    </sheetView>
  </sheetViews>
  <sheetFormatPr defaultRowHeight="12.75" x14ac:dyDescent="0.2"/>
  <cols>
    <col min="1" max="1" width="5.85546875" style="114" bestFit="1" customWidth="1"/>
    <col min="2" max="2" width="19.5703125" style="114" bestFit="1" customWidth="1"/>
    <col min="3" max="3" width="42" style="114" customWidth="1"/>
    <col min="4" max="4" width="16.5703125" style="114" bestFit="1" customWidth="1"/>
    <col min="5" max="5" width="11.42578125" style="114" bestFit="1" customWidth="1"/>
    <col min="6" max="6" width="10.140625" style="114" bestFit="1" customWidth="1"/>
    <col min="7" max="7" width="14" style="114" bestFit="1" customWidth="1"/>
    <col min="8" max="8" width="5.7109375" style="114" customWidth="1"/>
    <col min="9" max="9" width="9.140625" style="114"/>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542</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1045</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20</v>
      </c>
      <c r="C7" s="122" t="s">
        <v>21</v>
      </c>
      <c r="D7" s="122" t="s">
        <v>22</v>
      </c>
      <c r="E7" s="123">
        <v>766363</v>
      </c>
      <c r="F7" s="124">
        <v>22631.848934500002</v>
      </c>
      <c r="G7" s="125">
        <v>4.1100320000000003E-2</v>
      </c>
      <c r="H7" s="120" t="s">
        <v>151</v>
      </c>
      <c r="J7" s="8"/>
    </row>
    <row r="8" spans="1:10" x14ac:dyDescent="0.2">
      <c r="A8" s="121">
        <v>2</v>
      </c>
      <c r="B8" s="122" t="s">
        <v>343</v>
      </c>
      <c r="C8" s="122" t="s">
        <v>344</v>
      </c>
      <c r="D8" s="122" t="s">
        <v>48</v>
      </c>
      <c r="E8" s="123">
        <v>1300750</v>
      </c>
      <c r="F8" s="124">
        <v>22529.640374999999</v>
      </c>
      <c r="G8" s="125">
        <v>4.0914699999999998E-2</v>
      </c>
      <c r="H8" s="120" t="s">
        <v>151</v>
      </c>
      <c r="J8" s="8"/>
    </row>
    <row r="9" spans="1:10" x14ac:dyDescent="0.2">
      <c r="A9" s="121">
        <v>3</v>
      </c>
      <c r="B9" s="122" t="s">
        <v>46</v>
      </c>
      <c r="C9" s="122" t="s">
        <v>47</v>
      </c>
      <c r="D9" s="122" t="s">
        <v>48</v>
      </c>
      <c r="E9" s="123">
        <v>1700000</v>
      </c>
      <c r="F9" s="124">
        <v>21641</v>
      </c>
      <c r="G9" s="125">
        <v>3.93009E-2</v>
      </c>
      <c r="H9" s="120" t="s">
        <v>151</v>
      </c>
      <c r="J9" s="8"/>
    </row>
    <row r="10" spans="1:10" x14ac:dyDescent="0.2">
      <c r="A10" s="121">
        <v>4</v>
      </c>
      <c r="B10" s="122" t="s">
        <v>14</v>
      </c>
      <c r="C10" s="122" t="s">
        <v>15</v>
      </c>
      <c r="D10" s="122" t="s">
        <v>16</v>
      </c>
      <c r="E10" s="123">
        <v>1000000</v>
      </c>
      <c r="F10" s="124">
        <v>17095.5</v>
      </c>
      <c r="G10" s="125">
        <v>3.1046089999999998E-2</v>
      </c>
      <c r="H10" s="120" t="s">
        <v>151</v>
      </c>
      <c r="J10" s="8"/>
    </row>
    <row r="11" spans="1:10" x14ac:dyDescent="0.2">
      <c r="A11" s="121">
        <v>5</v>
      </c>
      <c r="B11" s="122" t="s">
        <v>194</v>
      </c>
      <c r="C11" s="122" t="s">
        <v>195</v>
      </c>
      <c r="D11" s="122" t="s">
        <v>35</v>
      </c>
      <c r="E11" s="123">
        <v>2300000</v>
      </c>
      <c r="F11" s="124">
        <v>16795.75</v>
      </c>
      <c r="G11" s="125">
        <v>3.0501730000000001E-2</v>
      </c>
      <c r="H11" s="120" t="s">
        <v>151</v>
      </c>
      <c r="J11" s="8"/>
    </row>
    <row r="12" spans="1:10" ht="15" x14ac:dyDescent="0.2">
      <c r="A12" s="121">
        <v>6</v>
      </c>
      <c r="B12" s="122" t="s">
        <v>347</v>
      </c>
      <c r="C12" s="122" t="s">
        <v>348</v>
      </c>
      <c r="D12" s="122" t="s">
        <v>216</v>
      </c>
      <c r="E12" s="123">
        <v>820000</v>
      </c>
      <c r="F12" s="124">
        <v>15379.92</v>
      </c>
      <c r="G12" s="125">
        <v>2.7930529999999999E-2</v>
      </c>
      <c r="H12" s="120" t="s">
        <v>151</v>
      </c>
      <c r="J12" s="11"/>
    </row>
    <row r="13" spans="1:10" x14ac:dyDescent="0.2">
      <c r="A13" s="121">
        <v>7</v>
      </c>
      <c r="B13" s="122" t="s">
        <v>11</v>
      </c>
      <c r="C13" s="122" t="s">
        <v>12</v>
      </c>
      <c r="D13" s="122" t="s">
        <v>13</v>
      </c>
      <c r="E13" s="123">
        <v>280000</v>
      </c>
      <c r="F13" s="124">
        <v>10291.540000000001</v>
      </c>
      <c r="G13" s="125">
        <v>1.8689839999999999E-2</v>
      </c>
      <c r="H13" s="120" t="s">
        <v>151</v>
      </c>
      <c r="J13" s="8"/>
    </row>
    <row r="14" spans="1:10" ht="25.5" x14ac:dyDescent="0.2">
      <c r="A14" s="121">
        <v>8</v>
      </c>
      <c r="B14" s="122" t="s">
        <v>353</v>
      </c>
      <c r="C14" s="122" t="s">
        <v>354</v>
      </c>
      <c r="D14" s="122" t="s">
        <v>205</v>
      </c>
      <c r="E14" s="123">
        <v>525000</v>
      </c>
      <c r="F14" s="124">
        <v>10115.174999999999</v>
      </c>
      <c r="G14" s="125">
        <v>1.8369549999999998E-2</v>
      </c>
      <c r="H14" s="120" t="s">
        <v>151</v>
      </c>
      <c r="J14" s="8"/>
    </row>
    <row r="15" spans="1:10" x14ac:dyDescent="0.2">
      <c r="A15" s="121">
        <v>9</v>
      </c>
      <c r="B15" s="122" t="s">
        <v>234</v>
      </c>
      <c r="C15" s="122" t="s">
        <v>235</v>
      </c>
      <c r="D15" s="122" t="s">
        <v>121</v>
      </c>
      <c r="E15" s="123">
        <v>260000</v>
      </c>
      <c r="F15" s="124">
        <v>9300.07</v>
      </c>
      <c r="G15" s="125">
        <v>1.6889290000000001E-2</v>
      </c>
      <c r="H15" s="120" t="s">
        <v>151</v>
      </c>
      <c r="J15" s="8"/>
    </row>
    <row r="16" spans="1:10" ht="25.5" x14ac:dyDescent="0.2">
      <c r="A16" s="121">
        <v>10</v>
      </c>
      <c r="B16" s="122" t="s">
        <v>28</v>
      </c>
      <c r="C16" s="122" t="s">
        <v>29</v>
      </c>
      <c r="D16" s="122" t="s">
        <v>22</v>
      </c>
      <c r="E16" s="123">
        <v>2400000</v>
      </c>
      <c r="F16" s="124">
        <v>8878.7999999999993</v>
      </c>
      <c r="G16" s="125">
        <v>1.612425E-2</v>
      </c>
      <c r="H16" s="120" t="s">
        <v>151</v>
      </c>
      <c r="J16" s="8" t="s">
        <v>910</v>
      </c>
    </row>
    <row r="17" spans="1:10" x14ac:dyDescent="0.2">
      <c r="A17" s="121">
        <v>11</v>
      </c>
      <c r="B17" s="122" t="s">
        <v>461</v>
      </c>
      <c r="C17" s="122" t="s">
        <v>462</v>
      </c>
      <c r="D17" s="122" t="s">
        <v>216</v>
      </c>
      <c r="E17" s="123">
        <v>466000</v>
      </c>
      <c r="F17" s="124">
        <v>8369.8259999999991</v>
      </c>
      <c r="G17" s="125">
        <v>1.519993E-2</v>
      </c>
      <c r="H17" s="120" t="s">
        <v>151</v>
      </c>
      <c r="J17" s="8"/>
    </row>
    <row r="18" spans="1:10" x14ac:dyDescent="0.2">
      <c r="A18" s="121">
        <v>12</v>
      </c>
      <c r="B18" s="122" t="s">
        <v>349</v>
      </c>
      <c r="C18" s="122" t="s">
        <v>350</v>
      </c>
      <c r="D18" s="122" t="s">
        <v>48</v>
      </c>
      <c r="E18" s="123">
        <v>675000</v>
      </c>
      <c r="F18" s="124">
        <v>8317.35</v>
      </c>
      <c r="G18" s="125">
        <v>1.5104630000000001E-2</v>
      </c>
      <c r="H18" s="120" t="s">
        <v>151</v>
      </c>
      <c r="J18" s="8"/>
    </row>
    <row r="19" spans="1:10" x14ac:dyDescent="0.2">
      <c r="A19" s="121">
        <v>13</v>
      </c>
      <c r="B19" s="122" t="s">
        <v>17</v>
      </c>
      <c r="C19" s="122" t="s">
        <v>18</v>
      </c>
      <c r="D19" s="122" t="s">
        <v>19</v>
      </c>
      <c r="E19" s="123">
        <v>1855000</v>
      </c>
      <c r="F19" s="124">
        <v>8221.36</v>
      </c>
      <c r="G19" s="125">
        <v>1.493031E-2</v>
      </c>
      <c r="H19" s="120" t="s">
        <v>151</v>
      </c>
      <c r="J19" s="8"/>
    </row>
    <row r="20" spans="1:10" x14ac:dyDescent="0.2">
      <c r="A20" s="121">
        <v>14</v>
      </c>
      <c r="B20" s="122" t="s">
        <v>543</v>
      </c>
      <c r="C20" s="122" t="s">
        <v>544</v>
      </c>
      <c r="D20" s="122" t="s">
        <v>261</v>
      </c>
      <c r="E20" s="123">
        <v>500000</v>
      </c>
      <c r="F20" s="124">
        <v>7949.5</v>
      </c>
      <c r="G20" s="125">
        <v>1.4436600000000001E-2</v>
      </c>
      <c r="H20" s="120" t="s">
        <v>151</v>
      </c>
      <c r="J20" s="8"/>
    </row>
    <row r="21" spans="1:10" x14ac:dyDescent="0.2">
      <c r="A21" s="121">
        <v>15</v>
      </c>
      <c r="B21" s="122" t="s">
        <v>196</v>
      </c>
      <c r="C21" s="122" t="s">
        <v>197</v>
      </c>
      <c r="D21" s="122" t="s">
        <v>70</v>
      </c>
      <c r="E21" s="123">
        <v>180000</v>
      </c>
      <c r="F21" s="124">
        <v>7804.89</v>
      </c>
      <c r="G21" s="125">
        <v>1.4173979999999999E-2</v>
      </c>
      <c r="H21" s="120" t="s">
        <v>151</v>
      </c>
      <c r="J21" s="8"/>
    </row>
    <row r="22" spans="1:10" ht="15" x14ac:dyDescent="0.2">
      <c r="A22" s="121">
        <v>16</v>
      </c>
      <c r="B22" s="122" t="s">
        <v>351</v>
      </c>
      <c r="C22" s="122" t="s">
        <v>352</v>
      </c>
      <c r="D22" s="122" t="s">
        <v>48</v>
      </c>
      <c r="E22" s="123">
        <v>404000</v>
      </c>
      <c r="F22" s="124">
        <v>7489.9579999999996</v>
      </c>
      <c r="G22" s="125">
        <v>1.3602059999999999E-2</v>
      </c>
      <c r="H22" s="120" t="s">
        <v>151</v>
      </c>
      <c r="J22" s="11"/>
    </row>
    <row r="23" spans="1:10" x14ac:dyDescent="0.2">
      <c r="A23" s="121">
        <v>17</v>
      </c>
      <c r="B23" s="122" t="s">
        <v>63</v>
      </c>
      <c r="C23" s="122" t="s">
        <v>64</v>
      </c>
      <c r="D23" s="122" t="s">
        <v>48</v>
      </c>
      <c r="E23" s="123">
        <v>925000</v>
      </c>
      <c r="F23" s="124">
        <v>7288.0749999999998</v>
      </c>
      <c r="G23" s="125">
        <v>1.3235429999999999E-2</v>
      </c>
      <c r="H23" s="120" t="s">
        <v>151</v>
      </c>
      <c r="J23" s="8"/>
    </row>
    <row r="24" spans="1:10" x14ac:dyDescent="0.2">
      <c r="A24" s="121">
        <v>18</v>
      </c>
      <c r="B24" s="122" t="s">
        <v>545</v>
      </c>
      <c r="C24" s="122" t="s">
        <v>546</v>
      </c>
      <c r="D24" s="122" t="s">
        <v>270</v>
      </c>
      <c r="E24" s="123">
        <v>57000</v>
      </c>
      <c r="F24" s="124">
        <v>7037.1914999999999</v>
      </c>
      <c r="G24" s="125">
        <v>1.2779810000000001E-2</v>
      </c>
      <c r="H24" s="120" t="s">
        <v>151</v>
      </c>
      <c r="J24" s="8"/>
    </row>
    <row r="25" spans="1:10" x14ac:dyDescent="0.2">
      <c r="A25" s="121">
        <v>19</v>
      </c>
      <c r="B25" s="122" t="s">
        <v>357</v>
      </c>
      <c r="C25" s="122" t="s">
        <v>358</v>
      </c>
      <c r="D25" s="122" t="s">
        <v>261</v>
      </c>
      <c r="E25" s="123">
        <v>1125000</v>
      </c>
      <c r="F25" s="124">
        <v>6820.875</v>
      </c>
      <c r="G25" s="125">
        <v>1.2386970000000001E-2</v>
      </c>
      <c r="H25" s="120" t="s">
        <v>151</v>
      </c>
      <c r="J25" s="8"/>
    </row>
    <row r="26" spans="1:10" x14ac:dyDescent="0.2">
      <c r="A26" s="121">
        <v>20</v>
      </c>
      <c r="B26" s="122" t="s">
        <v>547</v>
      </c>
      <c r="C26" s="122" t="s">
        <v>548</v>
      </c>
      <c r="D26" s="122" t="s">
        <v>270</v>
      </c>
      <c r="E26" s="123">
        <v>51000</v>
      </c>
      <c r="F26" s="124">
        <v>6751.38</v>
      </c>
      <c r="G26" s="125">
        <v>1.2260770000000001E-2</v>
      </c>
      <c r="H26" s="120" t="s">
        <v>151</v>
      </c>
      <c r="J26" s="8"/>
    </row>
    <row r="27" spans="1:10" x14ac:dyDescent="0.2">
      <c r="A27" s="121">
        <v>21</v>
      </c>
      <c r="B27" s="122" t="s">
        <v>485</v>
      </c>
      <c r="C27" s="122" t="s">
        <v>486</v>
      </c>
      <c r="D27" s="122" t="s">
        <v>70</v>
      </c>
      <c r="E27" s="123">
        <v>210905</v>
      </c>
      <c r="F27" s="124">
        <v>6653.63094</v>
      </c>
      <c r="G27" s="125">
        <v>1.208325E-2</v>
      </c>
      <c r="H27" s="120" t="s">
        <v>151</v>
      </c>
      <c r="J27" s="8"/>
    </row>
    <row r="28" spans="1:10" x14ac:dyDescent="0.2">
      <c r="A28" s="121">
        <v>22</v>
      </c>
      <c r="B28" s="122" t="s">
        <v>277</v>
      </c>
      <c r="C28" s="122" t="s">
        <v>278</v>
      </c>
      <c r="D28" s="122" t="s">
        <v>70</v>
      </c>
      <c r="E28" s="123">
        <v>600000</v>
      </c>
      <c r="F28" s="124">
        <v>6609.9</v>
      </c>
      <c r="G28" s="125">
        <v>1.200384E-2</v>
      </c>
      <c r="H28" s="120" t="s">
        <v>151</v>
      </c>
      <c r="J28" s="8"/>
    </row>
    <row r="29" spans="1:10" ht="25.5" x14ac:dyDescent="0.2">
      <c r="A29" s="121">
        <v>23</v>
      </c>
      <c r="B29" s="122" t="s">
        <v>206</v>
      </c>
      <c r="C29" s="122" t="s">
        <v>207</v>
      </c>
      <c r="D29" s="122" t="s">
        <v>208</v>
      </c>
      <c r="E29" s="123">
        <v>350000</v>
      </c>
      <c r="F29" s="124">
        <v>5861.2749999999996</v>
      </c>
      <c r="G29" s="125">
        <v>1.0644300000000001E-2</v>
      </c>
      <c r="H29" s="120" t="s">
        <v>151</v>
      </c>
      <c r="J29" s="8"/>
    </row>
    <row r="30" spans="1:10" x14ac:dyDescent="0.2">
      <c r="A30" s="121">
        <v>24</v>
      </c>
      <c r="B30" s="122" t="s">
        <v>239</v>
      </c>
      <c r="C30" s="122" t="s">
        <v>240</v>
      </c>
      <c r="D30" s="122" t="s">
        <v>241</v>
      </c>
      <c r="E30" s="123">
        <v>125000</v>
      </c>
      <c r="F30" s="124">
        <v>5511.375</v>
      </c>
      <c r="G30" s="125">
        <v>1.000887E-2</v>
      </c>
      <c r="H30" s="120" t="s">
        <v>151</v>
      </c>
      <c r="J30" s="8"/>
    </row>
    <row r="31" spans="1:10" x14ac:dyDescent="0.2">
      <c r="A31" s="121">
        <v>25</v>
      </c>
      <c r="B31" s="122" t="s">
        <v>33</v>
      </c>
      <c r="C31" s="122" t="s">
        <v>34</v>
      </c>
      <c r="D31" s="122" t="s">
        <v>35</v>
      </c>
      <c r="E31" s="123">
        <v>113905</v>
      </c>
      <c r="F31" s="124">
        <v>5477.8053550000004</v>
      </c>
      <c r="G31" s="125">
        <v>9.9479100000000008E-3</v>
      </c>
      <c r="H31" s="120" t="s">
        <v>151</v>
      </c>
      <c r="J31" s="8"/>
    </row>
    <row r="32" spans="1:10" ht="25.5" x14ac:dyDescent="0.2">
      <c r="A32" s="121">
        <v>26</v>
      </c>
      <c r="B32" s="122" t="s">
        <v>225</v>
      </c>
      <c r="C32" s="122" t="s">
        <v>226</v>
      </c>
      <c r="D32" s="122" t="s">
        <v>205</v>
      </c>
      <c r="E32" s="123">
        <v>480000</v>
      </c>
      <c r="F32" s="124">
        <v>5129.04</v>
      </c>
      <c r="G32" s="125">
        <v>9.3145399999999996E-3</v>
      </c>
      <c r="H32" s="120" t="s">
        <v>151</v>
      </c>
      <c r="J32" s="8"/>
    </row>
    <row r="33" spans="1:10" x14ac:dyDescent="0.2">
      <c r="A33" s="121">
        <v>27</v>
      </c>
      <c r="B33" s="122" t="s">
        <v>355</v>
      </c>
      <c r="C33" s="122" t="s">
        <v>356</v>
      </c>
      <c r="D33" s="122" t="s">
        <v>216</v>
      </c>
      <c r="E33" s="123">
        <v>118812</v>
      </c>
      <c r="F33" s="124">
        <v>5071.4902199999997</v>
      </c>
      <c r="G33" s="125">
        <v>9.2100199999999993E-3</v>
      </c>
      <c r="H33" s="120" t="s">
        <v>151</v>
      </c>
      <c r="J33" s="8"/>
    </row>
    <row r="34" spans="1:10" ht="25.5" x14ac:dyDescent="0.2">
      <c r="A34" s="121">
        <v>28</v>
      </c>
      <c r="B34" s="122" t="s">
        <v>369</v>
      </c>
      <c r="C34" s="122" t="s">
        <v>370</v>
      </c>
      <c r="D34" s="122" t="s">
        <v>205</v>
      </c>
      <c r="E34" s="123">
        <v>73000</v>
      </c>
      <c r="F34" s="124">
        <v>4928.6679999999997</v>
      </c>
      <c r="G34" s="125">
        <v>8.9506499999999992E-3</v>
      </c>
      <c r="H34" s="120" t="s">
        <v>151</v>
      </c>
      <c r="J34" s="8"/>
    </row>
    <row r="35" spans="1:10" ht="25.5" x14ac:dyDescent="0.2">
      <c r="A35" s="121">
        <v>29</v>
      </c>
      <c r="B35" s="122" t="s">
        <v>229</v>
      </c>
      <c r="C35" s="122" t="s">
        <v>230</v>
      </c>
      <c r="D35" s="122" t="s">
        <v>205</v>
      </c>
      <c r="E35" s="123">
        <v>78872</v>
      </c>
      <c r="F35" s="124">
        <v>4773.9644159999998</v>
      </c>
      <c r="G35" s="125">
        <v>8.6697100000000006E-3</v>
      </c>
      <c r="H35" s="120" t="s">
        <v>151</v>
      </c>
      <c r="J35" s="8"/>
    </row>
    <row r="36" spans="1:10" x14ac:dyDescent="0.2">
      <c r="A36" s="121">
        <v>30</v>
      </c>
      <c r="B36" s="122" t="s">
        <v>105</v>
      </c>
      <c r="C36" s="122" t="s">
        <v>106</v>
      </c>
      <c r="D36" s="122" t="s">
        <v>32</v>
      </c>
      <c r="E36" s="123">
        <v>125000</v>
      </c>
      <c r="F36" s="124">
        <v>4757.5625</v>
      </c>
      <c r="G36" s="125">
        <v>8.6399200000000006E-3</v>
      </c>
      <c r="H36" s="120" t="s">
        <v>151</v>
      </c>
      <c r="J36" s="8"/>
    </row>
    <row r="37" spans="1:10" ht="25.5" x14ac:dyDescent="0.2">
      <c r="A37" s="121">
        <v>31</v>
      </c>
      <c r="B37" s="122" t="s">
        <v>23</v>
      </c>
      <c r="C37" s="122" t="s">
        <v>24</v>
      </c>
      <c r="D37" s="122" t="s">
        <v>25</v>
      </c>
      <c r="E37" s="123">
        <v>40000</v>
      </c>
      <c r="F37" s="124">
        <v>4720.8</v>
      </c>
      <c r="G37" s="125">
        <v>8.5731599999999998E-3</v>
      </c>
      <c r="H37" s="120" t="s">
        <v>151</v>
      </c>
      <c r="J37" s="8"/>
    </row>
    <row r="38" spans="1:10" x14ac:dyDescent="0.2">
      <c r="A38" s="121">
        <v>32</v>
      </c>
      <c r="B38" s="122" t="s">
        <v>336</v>
      </c>
      <c r="C38" s="122" t="s">
        <v>337</v>
      </c>
      <c r="D38" s="122" t="s">
        <v>295</v>
      </c>
      <c r="E38" s="123">
        <v>600000</v>
      </c>
      <c r="F38" s="124">
        <v>4680.8999999999996</v>
      </c>
      <c r="G38" s="125">
        <v>8.5006999999999999E-3</v>
      </c>
      <c r="H38" s="120" t="s">
        <v>151</v>
      </c>
      <c r="J38" s="8"/>
    </row>
    <row r="39" spans="1:10" ht="25.5" x14ac:dyDescent="0.2">
      <c r="A39" s="121">
        <v>33</v>
      </c>
      <c r="B39" s="122" t="s">
        <v>467</v>
      </c>
      <c r="C39" s="122" t="s">
        <v>468</v>
      </c>
      <c r="D39" s="122" t="s">
        <v>290</v>
      </c>
      <c r="E39" s="123">
        <v>388185</v>
      </c>
      <c r="F39" s="124">
        <v>4646.3803575000002</v>
      </c>
      <c r="G39" s="125">
        <v>8.4380099999999993E-3</v>
      </c>
      <c r="H39" s="120" t="s">
        <v>151</v>
      </c>
      <c r="J39" s="8"/>
    </row>
    <row r="40" spans="1:10" x14ac:dyDescent="0.2">
      <c r="A40" s="121">
        <v>34</v>
      </c>
      <c r="B40" s="122" t="s">
        <v>271</v>
      </c>
      <c r="C40" s="122" t="s">
        <v>272</v>
      </c>
      <c r="D40" s="122" t="s">
        <v>35</v>
      </c>
      <c r="E40" s="123">
        <v>251000</v>
      </c>
      <c r="F40" s="124">
        <v>4631.201</v>
      </c>
      <c r="G40" s="125">
        <v>8.4104399999999999E-3</v>
      </c>
      <c r="H40" s="120" t="s">
        <v>151</v>
      </c>
      <c r="J40" s="8"/>
    </row>
    <row r="41" spans="1:10" x14ac:dyDescent="0.2">
      <c r="A41" s="121">
        <v>35</v>
      </c>
      <c r="B41" s="122" t="s">
        <v>364</v>
      </c>
      <c r="C41" s="122" t="s">
        <v>365</v>
      </c>
      <c r="D41" s="122" t="s">
        <v>270</v>
      </c>
      <c r="E41" s="123">
        <v>455000</v>
      </c>
      <c r="F41" s="124">
        <v>4434.6575000000003</v>
      </c>
      <c r="G41" s="125">
        <v>8.0535099999999998E-3</v>
      </c>
      <c r="H41" s="120" t="s">
        <v>151</v>
      </c>
      <c r="J41" s="8"/>
    </row>
    <row r="42" spans="1:10" ht="25.5" x14ac:dyDescent="0.2">
      <c r="A42" s="121">
        <v>36</v>
      </c>
      <c r="B42" s="122" t="s">
        <v>403</v>
      </c>
      <c r="C42" s="122" t="s">
        <v>404</v>
      </c>
      <c r="D42" s="122" t="s">
        <v>25</v>
      </c>
      <c r="E42" s="123">
        <v>156191</v>
      </c>
      <c r="F42" s="124">
        <v>4366.3975005000002</v>
      </c>
      <c r="G42" s="125">
        <v>7.9295500000000005E-3</v>
      </c>
      <c r="H42" s="120" t="s">
        <v>151</v>
      </c>
      <c r="J42" s="8"/>
    </row>
    <row r="43" spans="1:10" ht="25.5" x14ac:dyDescent="0.2">
      <c r="A43" s="121">
        <v>37</v>
      </c>
      <c r="B43" s="122" t="s">
        <v>203</v>
      </c>
      <c r="C43" s="122" t="s">
        <v>204</v>
      </c>
      <c r="D43" s="122" t="s">
        <v>205</v>
      </c>
      <c r="E43" s="123">
        <v>195000</v>
      </c>
      <c r="F43" s="124">
        <v>4272.6450000000004</v>
      </c>
      <c r="G43" s="125">
        <v>7.7592900000000003E-3</v>
      </c>
      <c r="H43" s="120" t="s">
        <v>151</v>
      </c>
      <c r="J43" s="8"/>
    </row>
    <row r="44" spans="1:10" x14ac:dyDescent="0.2">
      <c r="A44" s="121">
        <v>38</v>
      </c>
      <c r="B44" s="122" t="s">
        <v>439</v>
      </c>
      <c r="C44" s="122" t="s">
        <v>440</v>
      </c>
      <c r="D44" s="122" t="s">
        <v>238</v>
      </c>
      <c r="E44" s="123">
        <v>450000</v>
      </c>
      <c r="F44" s="124">
        <v>4249.5749999999998</v>
      </c>
      <c r="G44" s="125">
        <v>7.7173900000000002E-3</v>
      </c>
      <c r="H44" s="120" t="s">
        <v>151</v>
      </c>
      <c r="J44" s="8"/>
    </row>
    <row r="45" spans="1:10" x14ac:dyDescent="0.2">
      <c r="A45" s="121">
        <v>39</v>
      </c>
      <c r="B45" s="122" t="s">
        <v>459</v>
      </c>
      <c r="C45" s="122" t="s">
        <v>460</v>
      </c>
      <c r="D45" s="122" t="s">
        <v>295</v>
      </c>
      <c r="E45" s="123">
        <v>225000</v>
      </c>
      <c r="F45" s="124">
        <v>4149</v>
      </c>
      <c r="G45" s="125">
        <v>7.5347499999999998E-3</v>
      </c>
      <c r="H45" s="120" t="s">
        <v>151</v>
      </c>
      <c r="J45" s="8"/>
    </row>
    <row r="46" spans="1:10" x14ac:dyDescent="0.2">
      <c r="A46" s="121">
        <v>40</v>
      </c>
      <c r="B46" s="122" t="s">
        <v>219</v>
      </c>
      <c r="C46" s="122" t="s">
        <v>220</v>
      </c>
      <c r="D46" s="122" t="s">
        <v>48</v>
      </c>
      <c r="E46" s="123">
        <v>790000</v>
      </c>
      <c r="F46" s="124">
        <v>4139.9949999999999</v>
      </c>
      <c r="G46" s="125">
        <v>7.5183899999999998E-3</v>
      </c>
      <c r="H46" s="120" t="s">
        <v>151</v>
      </c>
      <c r="J46" s="8"/>
    </row>
    <row r="47" spans="1:10" x14ac:dyDescent="0.2">
      <c r="A47" s="121">
        <v>41</v>
      </c>
      <c r="B47" s="122" t="s">
        <v>68</v>
      </c>
      <c r="C47" s="122" t="s">
        <v>69</v>
      </c>
      <c r="D47" s="122" t="s">
        <v>70</v>
      </c>
      <c r="E47" s="123">
        <v>62642</v>
      </c>
      <c r="F47" s="124">
        <v>4055.8189320000001</v>
      </c>
      <c r="G47" s="125">
        <v>7.3655300000000003E-3</v>
      </c>
      <c r="H47" s="120" t="s">
        <v>151</v>
      </c>
      <c r="J47" s="8"/>
    </row>
    <row r="48" spans="1:10" x14ac:dyDescent="0.2">
      <c r="A48" s="121">
        <v>42</v>
      </c>
      <c r="B48" s="122" t="s">
        <v>549</v>
      </c>
      <c r="C48" s="122" t="s">
        <v>550</v>
      </c>
      <c r="D48" s="122" t="s">
        <v>270</v>
      </c>
      <c r="E48" s="123">
        <v>130000</v>
      </c>
      <c r="F48" s="124">
        <v>4023.37</v>
      </c>
      <c r="G48" s="125">
        <v>7.3065999999999999E-3</v>
      </c>
      <c r="H48" s="120" t="s">
        <v>151</v>
      </c>
      <c r="J48" s="8"/>
    </row>
    <row r="49" spans="1:10" x14ac:dyDescent="0.2">
      <c r="A49" s="121">
        <v>43</v>
      </c>
      <c r="B49" s="122" t="s">
        <v>366</v>
      </c>
      <c r="C49" s="122" t="s">
        <v>367</v>
      </c>
      <c r="D49" s="122" t="s">
        <v>368</v>
      </c>
      <c r="E49" s="123">
        <v>720000</v>
      </c>
      <c r="F49" s="124">
        <v>3730.68</v>
      </c>
      <c r="G49" s="125">
        <v>6.7750600000000003E-3</v>
      </c>
      <c r="H49" s="120" t="s">
        <v>151</v>
      </c>
      <c r="J49" s="8"/>
    </row>
    <row r="50" spans="1:10" x14ac:dyDescent="0.2">
      <c r="A50" s="121">
        <v>44</v>
      </c>
      <c r="B50" s="122" t="s">
        <v>345</v>
      </c>
      <c r="C50" s="122" t="s">
        <v>346</v>
      </c>
      <c r="D50" s="122" t="s">
        <v>200</v>
      </c>
      <c r="E50" s="123">
        <v>1330000</v>
      </c>
      <c r="F50" s="124">
        <v>3634.89</v>
      </c>
      <c r="G50" s="125">
        <v>6.6011000000000004E-3</v>
      </c>
      <c r="H50" s="120" t="s">
        <v>151</v>
      </c>
      <c r="J50" s="8"/>
    </row>
    <row r="51" spans="1:10" x14ac:dyDescent="0.2">
      <c r="A51" s="121">
        <v>45</v>
      </c>
      <c r="B51" s="122" t="s">
        <v>236</v>
      </c>
      <c r="C51" s="122" t="s">
        <v>237</v>
      </c>
      <c r="D51" s="122" t="s">
        <v>238</v>
      </c>
      <c r="E51" s="123">
        <v>531250</v>
      </c>
      <c r="F51" s="124">
        <v>3622.59375</v>
      </c>
      <c r="G51" s="125">
        <v>6.5787700000000003E-3</v>
      </c>
      <c r="H51" s="120" t="s">
        <v>151</v>
      </c>
      <c r="J51" s="8"/>
    </row>
    <row r="52" spans="1:10" x14ac:dyDescent="0.2">
      <c r="A52" s="121">
        <v>46</v>
      </c>
      <c r="B52" s="122" t="s">
        <v>449</v>
      </c>
      <c r="C52" s="122" t="s">
        <v>450</v>
      </c>
      <c r="D52" s="122" t="s">
        <v>121</v>
      </c>
      <c r="E52" s="123">
        <v>300000</v>
      </c>
      <c r="F52" s="124">
        <v>3559.2</v>
      </c>
      <c r="G52" s="125">
        <v>6.4636499999999996E-3</v>
      </c>
      <c r="H52" s="120" t="s">
        <v>151</v>
      </c>
      <c r="J52" s="8"/>
    </row>
    <row r="53" spans="1:10" x14ac:dyDescent="0.2">
      <c r="A53" s="121">
        <v>47</v>
      </c>
      <c r="B53" s="122" t="s">
        <v>65</v>
      </c>
      <c r="C53" s="122" t="s">
        <v>66</v>
      </c>
      <c r="D53" s="122" t="s">
        <v>67</v>
      </c>
      <c r="E53" s="123">
        <v>1406875</v>
      </c>
      <c r="F53" s="124">
        <v>3380.5799375000001</v>
      </c>
      <c r="G53" s="125">
        <v>6.1392599999999997E-3</v>
      </c>
      <c r="H53" s="120" t="s">
        <v>151</v>
      </c>
      <c r="J53" s="8"/>
    </row>
    <row r="54" spans="1:10" x14ac:dyDescent="0.2">
      <c r="A54" s="121">
        <v>48</v>
      </c>
      <c r="B54" s="122" t="s">
        <v>128</v>
      </c>
      <c r="C54" s="122" t="s">
        <v>129</v>
      </c>
      <c r="D54" s="122" t="s">
        <v>70</v>
      </c>
      <c r="E54" s="123">
        <v>85500</v>
      </c>
      <c r="F54" s="124">
        <v>3346.2134999999998</v>
      </c>
      <c r="G54" s="125">
        <v>6.07685E-3</v>
      </c>
      <c r="H54" s="120" t="s">
        <v>151</v>
      </c>
      <c r="J54" s="8"/>
    </row>
    <row r="55" spans="1:10" x14ac:dyDescent="0.2">
      <c r="A55" s="121">
        <v>49</v>
      </c>
      <c r="B55" s="122" t="s">
        <v>551</v>
      </c>
      <c r="C55" s="122" t="s">
        <v>552</v>
      </c>
      <c r="D55" s="122" t="s">
        <v>216</v>
      </c>
      <c r="E55" s="123">
        <v>204000</v>
      </c>
      <c r="F55" s="124">
        <v>3217.4879999999998</v>
      </c>
      <c r="G55" s="125">
        <v>5.8430799999999996E-3</v>
      </c>
      <c r="H55" s="120" t="s">
        <v>151</v>
      </c>
      <c r="J55" s="8"/>
    </row>
    <row r="56" spans="1:10" x14ac:dyDescent="0.2">
      <c r="A56" s="121">
        <v>50</v>
      </c>
      <c r="B56" s="122" t="s">
        <v>209</v>
      </c>
      <c r="C56" s="122" t="s">
        <v>210</v>
      </c>
      <c r="D56" s="122" t="s">
        <v>211</v>
      </c>
      <c r="E56" s="123">
        <v>510000</v>
      </c>
      <c r="F56" s="124">
        <v>3137.01</v>
      </c>
      <c r="G56" s="125">
        <v>5.6969300000000002E-3</v>
      </c>
      <c r="H56" s="120" t="s">
        <v>151</v>
      </c>
      <c r="J56" s="8"/>
    </row>
    <row r="57" spans="1:10" ht="25.5" x14ac:dyDescent="0.2">
      <c r="A57" s="121">
        <v>51</v>
      </c>
      <c r="B57" s="122" t="s">
        <v>288</v>
      </c>
      <c r="C57" s="122" t="s">
        <v>289</v>
      </c>
      <c r="D57" s="122" t="s">
        <v>290</v>
      </c>
      <c r="E57" s="123">
        <v>448000</v>
      </c>
      <c r="F57" s="124">
        <v>3115.3919999999998</v>
      </c>
      <c r="G57" s="125">
        <v>5.6576700000000001E-3</v>
      </c>
      <c r="H57" s="120" t="s">
        <v>151</v>
      </c>
      <c r="J57" s="8"/>
    </row>
    <row r="58" spans="1:10" x14ac:dyDescent="0.2">
      <c r="A58" s="121">
        <v>52</v>
      </c>
      <c r="B58" s="122" t="s">
        <v>273</v>
      </c>
      <c r="C58" s="122" t="s">
        <v>274</v>
      </c>
      <c r="D58" s="122" t="s">
        <v>48</v>
      </c>
      <c r="E58" s="123">
        <v>2450000</v>
      </c>
      <c r="F58" s="124">
        <v>3007.8649999999998</v>
      </c>
      <c r="G58" s="125">
        <v>5.4624000000000001E-3</v>
      </c>
      <c r="H58" s="120" t="s">
        <v>151</v>
      </c>
      <c r="J58" s="8"/>
    </row>
    <row r="59" spans="1:10" x14ac:dyDescent="0.2">
      <c r="A59" s="121">
        <v>53</v>
      </c>
      <c r="B59" s="122" t="s">
        <v>124</v>
      </c>
      <c r="C59" s="122" t="s">
        <v>125</v>
      </c>
      <c r="D59" s="122" t="s">
        <v>85</v>
      </c>
      <c r="E59" s="123">
        <v>675000</v>
      </c>
      <c r="F59" s="124">
        <v>2868.75</v>
      </c>
      <c r="G59" s="125">
        <v>5.2097599999999999E-3</v>
      </c>
      <c r="H59" s="120" t="s">
        <v>151</v>
      </c>
      <c r="J59" s="8"/>
    </row>
    <row r="60" spans="1:10" x14ac:dyDescent="0.2">
      <c r="A60" s="121">
        <v>54</v>
      </c>
      <c r="B60" s="122" t="s">
        <v>553</v>
      </c>
      <c r="C60" s="122" t="s">
        <v>554</v>
      </c>
      <c r="D60" s="122" t="s">
        <v>32</v>
      </c>
      <c r="E60" s="123">
        <v>1000000</v>
      </c>
      <c r="F60" s="124">
        <v>2786.5</v>
      </c>
      <c r="G60" s="125">
        <v>5.0603899999999997E-3</v>
      </c>
      <c r="H60" s="120" t="s">
        <v>151</v>
      </c>
      <c r="J60" s="8"/>
    </row>
    <row r="61" spans="1:10" x14ac:dyDescent="0.2">
      <c r="A61" s="121">
        <v>55</v>
      </c>
      <c r="B61" s="122" t="s">
        <v>244</v>
      </c>
      <c r="C61" s="122" t="s">
        <v>245</v>
      </c>
      <c r="D61" s="122" t="s">
        <v>121</v>
      </c>
      <c r="E61" s="123">
        <v>130000</v>
      </c>
      <c r="F61" s="124">
        <v>2656.81</v>
      </c>
      <c r="G61" s="125">
        <v>4.8248700000000002E-3</v>
      </c>
      <c r="H61" s="120" t="s">
        <v>151</v>
      </c>
      <c r="J61" s="8"/>
    </row>
    <row r="62" spans="1:10" x14ac:dyDescent="0.2">
      <c r="A62" s="121">
        <v>56</v>
      </c>
      <c r="B62" s="122" t="s">
        <v>384</v>
      </c>
      <c r="C62" s="122" t="s">
        <v>385</v>
      </c>
      <c r="D62" s="122" t="s">
        <v>134</v>
      </c>
      <c r="E62" s="123">
        <v>1575000</v>
      </c>
      <c r="F62" s="124">
        <v>2654.6624999999999</v>
      </c>
      <c r="G62" s="125">
        <v>4.8209699999999999E-3</v>
      </c>
      <c r="H62" s="120" t="s">
        <v>151</v>
      </c>
      <c r="J62" s="8"/>
    </row>
    <row r="63" spans="1:10" x14ac:dyDescent="0.2">
      <c r="A63" s="121">
        <v>57</v>
      </c>
      <c r="B63" s="122" t="s">
        <v>266</v>
      </c>
      <c r="C63" s="122" t="s">
        <v>267</v>
      </c>
      <c r="D63" s="122" t="s">
        <v>32</v>
      </c>
      <c r="E63" s="123">
        <v>37500</v>
      </c>
      <c r="F63" s="124">
        <v>2608.1999999999998</v>
      </c>
      <c r="G63" s="125">
        <v>4.7365899999999997E-3</v>
      </c>
      <c r="H63" s="120" t="s">
        <v>151</v>
      </c>
      <c r="J63" s="8"/>
    </row>
    <row r="64" spans="1:10" x14ac:dyDescent="0.2">
      <c r="A64" s="121">
        <v>58</v>
      </c>
      <c r="B64" s="122" t="s">
        <v>281</v>
      </c>
      <c r="C64" s="122" t="s">
        <v>282</v>
      </c>
      <c r="D64" s="122" t="s">
        <v>283</v>
      </c>
      <c r="E64" s="123">
        <v>215000</v>
      </c>
      <c r="F64" s="124">
        <v>2557.21</v>
      </c>
      <c r="G64" s="125">
        <v>4.6439899999999998E-3</v>
      </c>
      <c r="H64" s="120" t="s">
        <v>151</v>
      </c>
      <c r="J64" s="8"/>
    </row>
    <row r="65" spans="1:10" x14ac:dyDescent="0.2">
      <c r="A65" s="121">
        <v>59</v>
      </c>
      <c r="B65" s="122" t="s">
        <v>100</v>
      </c>
      <c r="C65" s="122" t="s">
        <v>101</v>
      </c>
      <c r="D65" s="122" t="s">
        <v>32</v>
      </c>
      <c r="E65" s="123">
        <v>105000</v>
      </c>
      <c r="F65" s="124">
        <v>2525.7750000000001</v>
      </c>
      <c r="G65" s="125">
        <v>4.5869099999999996E-3</v>
      </c>
      <c r="H65" s="120" t="s">
        <v>151</v>
      </c>
      <c r="J65" s="8"/>
    </row>
    <row r="66" spans="1:10" x14ac:dyDescent="0.2">
      <c r="A66" s="121">
        <v>60</v>
      </c>
      <c r="B66" s="122" t="s">
        <v>300</v>
      </c>
      <c r="C66" s="122" t="s">
        <v>301</v>
      </c>
      <c r="D66" s="122" t="s">
        <v>238</v>
      </c>
      <c r="E66" s="123">
        <v>1250000</v>
      </c>
      <c r="F66" s="124">
        <v>2447</v>
      </c>
      <c r="G66" s="125">
        <v>4.4438500000000001E-3</v>
      </c>
      <c r="H66" s="120" t="s">
        <v>151</v>
      </c>
      <c r="J66" s="8"/>
    </row>
    <row r="67" spans="1:10" x14ac:dyDescent="0.2">
      <c r="A67" s="121">
        <v>61</v>
      </c>
      <c r="B67" s="122" t="s">
        <v>262</v>
      </c>
      <c r="C67" s="122" t="s">
        <v>263</v>
      </c>
      <c r="D67" s="122" t="s">
        <v>70</v>
      </c>
      <c r="E67" s="123">
        <v>400000</v>
      </c>
      <c r="F67" s="124">
        <v>2191.4</v>
      </c>
      <c r="G67" s="125">
        <v>3.9796700000000003E-3</v>
      </c>
      <c r="H67" s="120" t="s">
        <v>151</v>
      </c>
      <c r="J67" s="8"/>
    </row>
    <row r="68" spans="1:10" x14ac:dyDescent="0.2">
      <c r="A68" s="121">
        <v>62</v>
      </c>
      <c r="B68" s="122" t="s">
        <v>334</v>
      </c>
      <c r="C68" s="122" t="s">
        <v>335</v>
      </c>
      <c r="D68" s="122" t="s">
        <v>238</v>
      </c>
      <c r="E68" s="123">
        <v>300000</v>
      </c>
      <c r="F68" s="124">
        <v>2054.1</v>
      </c>
      <c r="G68" s="125">
        <v>3.73033E-3</v>
      </c>
      <c r="H68" s="120" t="s">
        <v>151</v>
      </c>
      <c r="J68" s="8"/>
    </row>
    <row r="69" spans="1:10" x14ac:dyDescent="0.2">
      <c r="A69" s="121">
        <v>63</v>
      </c>
      <c r="B69" s="122" t="s">
        <v>75</v>
      </c>
      <c r="C69" s="122" t="s">
        <v>76</v>
      </c>
      <c r="D69" s="122" t="s">
        <v>32</v>
      </c>
      <c r="E69" s="123">
        <v>160000</v>
      </c>
      <c r="F69" s="124">
        <v>1966.88</v>
      </c>
      <c r="G69" s="125">
        <v>3.5719300000000001E-3</v>
      </c>
      <c r="H69" s="120" t="s">
        <v>151</v>
      </c>
      <c r="J69" s="8"/>
    </row>
    <row r="70" spans="1:10" x14ac:dyDescent="0.2">
      <c r="A70" s="121">
        <v>64</v>
      </c>
      <c r="B70" s="122" t="s">
        <v>332</v>
      </c>
      <c r="C70" s="122" t="s">
        <v>333</v>
      </c>
      <c r="D70" s="122" t="s">
        <v>35</v>
      </c>
      <c r="E70" s="123">
        <v>105000</v>
      </c>
      <c r="F70" s="124">
        <v>1539.1949999999999</v>
      </c>
      <c r="G70" s="125">
        <v>2.7952400000000001E-3</v>
      </c>
      <c r="H70" s="120" t="s">
        <v>151</v>
      </c>
      <c r="J70" s="8"/>
    </row>
    <row r="71" spans="1:10" ht="25.5" x14ac:dyDescent="0.2">
      <c r="A71" s="121">
        <v>65</v>
      </c>
      <c r="B71" s="122" t="s">
        <v>77</v>
      </c>
      <c r="C71" s="122" t="s">
        <v>78</v>
      </c>
      <c r="D71" s="122" t="s">
        <v>25</v>
      </c>
      <c r="E71" s="123">
        <v>28000</v>
      </c>
      <c r="F71" s="124">
        <v>1300.124</v>
      </c>
      <c r="G71" s="125">
        <v>2.3610800000000002E-3</v>
      </c>
      <c r="H71" s="120" t="s">
        <v>151</v>
      </c>
      <c r="J71" s="8"/>
    </row>
    <row r="72" spans="1:10" x14ac:dyDescent="0.2">
      <c r="A72" s="121">
        <v>66</v>
      </c>
      <c r="B72" s="122" t="s">
        <v>102</v>
      </c>
      <c r="C72" s="122" t="s">
        <v>103</v>
      </c>
      <c r="D72" s="122" t="s">
        <v>104</v>
      </c>
      <c r="E72" s="123">
        <v>230000</v>
      </c>
      <c r="F72" s="124">
        <v>1173.345</v>
      </c>
      <c r="G72" s="125">
        <v>2.1308400000000002E-3</v>
      </c>
      <c r="H72" s="120" t="s">
        <v>151</v>
      </c>
      <c r="J72" s="8"/>
    </row>
    <row r="73" spans="1:10" x14ac:dyDescent="0.2">
      <c r="A73" s="118"/>
      <c r="B73" s="118"/>
      <c r="C73" s="119" t="s">
        <v>150</v>
      </c>
      <c r="D73" s="118"/>
      <c r="E73" s="118" t="s">
        <v>151</v>
      </c>
      <c r="F73" s="126">
        <v>402936.96521800011</v>
      </c>
      <c r="G73" s="127">
        <v>0.73174921000000015</v>
      </c>
      <c r="H73" s="120" t="s">
        <v>151</v>
      </c>
      <c r="J73" s="8"/>
    </row>
    <row r="74" spans="1:10" x14ac:dyDescent="0.2">
      <c r="A74" s="118"/>
      <c r="B74" s="118"/>
      <c r="C74" s="128"/>
      <c r="D74" s="118"/>
      <c r="E74" s="118"/>
      <c r="F74" s="129"/>
      <c r="G74" s="129"/>
      <c r="H74" s="120" t="s">
        <v>151</v>
      </c>
      <c r="J74" s="8"/>
    </row>
    <row r="75" spans="1:10" x14ac:dyDescent="0.2">
      <c r="A75" s="118"/>
      <c r="B75" s="118"/>
      <c r="C75" s="119" t="s">
        <v>152</v>
      </c>
      <c r="D75" s="118"/>
      <c r="E75" s="118"/>
      <c r="F75" s="118"/>
      <c r="G75" s="118"/>
      <c r="H75" s="120" t="s">
        <v>151</v>
      </c>
      <c r="J75" s="8"/>
    </row>
    <row r="76" spans="1:10" x14ac:dyDescent="0.2">
      <c r="A76" s="118"/>
      <c r="B76" s="118"/>
      <c r="C76" s="119" t="s">
        <v>150</v>
      </c>
      <c r="D76" s="118"/>
      <c r="E76" s="118" t="s">
        <v>151</v>
      </c>
      <c r="F76" s="130" t="s">
        <v>153</v>
      </c>
      <c r="G76" s="127">
        <v>0</v>
      </c>
      <c r="H76" s="120" t="s">
        <v>151</v>
      </c>
      <c r="J76" s="8"/>
    </row>
    <row r="77" spans="1:10" x14ac:dyDescent="0.2">
      <c r="A77" s="118"/>
      <c r="B77" s="118"/>
      <c r="C77" s="128"/>
      <c r="D77" s="118"/>
      <c r="E77" s="118"/>
      <c r="F77" s="129"/>
      <c r="G77" s="129"/>
      <c r="H77" s="120" t="s">
        <v>151</v>
      </c>
      <c r="J77" s="8"/>
    </row>
    <row r="78" spans="1:10" x14ac:dyDescent="0.2">
      <c r="A78" s="118"/>
      <c r="B78" s="118"/>
      <c r="C78" s="119" t="s">
        <v>154</v>
      </c>
      <c r="D78" s="118"/>
      <c r="E78" s="118"/>
      <c r="F78" s="118"/>
      <c r="G78" s="118"/>
      <c r="H78" s="120" t="s">
        <v>151</v>
      </c>
      <c r="J78" s="8"/>
    </row>
    <row r="79" spans="1:10" x14ac:dyDescent="0.2">
      <c r="A79" s="121">
        <v>1</v>
      </c>
      <c r="B79" s="122" t="s">
        <v>555</v>
      </c>
      <c r="C79" s="122" t="s">
        <v>1013</v>
      </c>
      <c r="D79" s="122" t="s">
        <v>238</v>
      </c>
      <c r="E79" s="123">
        <v>30579</v>
      </c>
      <c r="F79" s="124">
        <v>5.3757881999999997</v>
      </c>
      <c r="G79" s="208" t="s">
        <v>149</v>
      </c>
      <c r="H79" s="120" t="s">
        <v>151</v>
      </c>
      <c r="J79" s="8"/>
    </row>
    <row r="80" spans="1:10" x14ac:dyDescent="0.2">
      <c r="A80" s="118"/>
      <c r="B80" s="118"/>
      <c r="C80" s="119" t="s">
        <v>150</v>
      </c>
      <c r="D80" s="118"/>
      <c r="E80" s="118" t="s">
        <v>151</v>
      </c>
      <c r="F80" s="126">
        <v>5.3757881999999997</v>
      </c>
      <c r="G80" s="127">
        <v>0</v>
      </c>
      <c r="H80" s="120" t="s">
        <v>151</v>
      </c>
      <c r="J80" s="8"/>
    </row>
    <row r="81" spans="1:10" x14ac:dyDescent="0.2">
      <c r="A81" s="118"/>
      <c r="B81" s="118"/>
      <c r="C81" s="128"/>
      <c r="D81" s="118"/>
      <c r="E81" s="118"/>
      <c r="F81" s="129"/>
      <c r="G81" s="129"/>
      <c r="H81" s="120" t="s">
        <v>151</v>
      </c>
      <c r="J81" s="8"/>
    </row>
    <row r="82" spans="1:10" x14ac:dyDescent="0.2">
      <c r="A82" s="118"/>
      <c r="B82" s="118"/>
      <c r="C82" s="119" t="s">
        <v>155</v>
      </c>
      <c r="D82" s="118"/>
      <c r="E82" s="118"/>
      <c r="F82" s="118"/>
      <c r="G82" s="118"/>
      <c r="H82" s="120" t="s">
        <v>151</v>
      </c>
      <c r="J82" s="8"/>
    </row>
    <row r="83" spans="1:10" x14ac:dyDescent="0.2">
      <c r="A83" s="118"/>
      <c r="B83" s="118"/>
      <c r="C83" s="119" t="s">
        <v>150</v>
      </c>
      <c r="D83" s="118"/>
      <c r="E83" s="118" t="s">
        <v>151</v>
      </c>
      <c r="F83" s="130" t="s">
        <v>153</v>
      </c>
      <c r="G83" s="127">
        <v>0</v>
      </c>
      <c r="H83" s="120" t="s">
        <v>151</v>
      </c>
      <c r="J83" s="8"/>
    </row>
    <row r="84" spans="1:10" x14ac:dyDescent="0.2">
      <c r="A84" s="118"/>
      <c r="B84" s="118"/>
      <c r="C84" s="128"/>
      <c r="D84" s="118"/>
      <c r="E84" s="118"/>
      <c r="F84" s="129"/>
      <c r="G84" s="129"/>
      <c r="H84" s="120" t="s">
        <v>151</v>
      </c>
      <c r="J84" s="8"/>
    </row>
    <row r="85" spans="1:10" x14ac:dyDescent="0.2">
      <c r="A85" s="118"/>
      <c r="B85" s="118"/>
      <c r="C85" s="119" t="s">
        <v>156</v>
      </c>
      <c r="D85" s="118"/>
      <c r="E85" s="118"/>
      <c r="F85" s="129"/>
      <c r="G85" s="129"/>
      <c r="H85" s="120" t="s">
        <v>151</v>
      </c>
      <c r="J85" s="8"/>
    </row>
    <row r="86" spans="1:10" x14ac:dyDescent="0.2">
      <c r="A86" s="118"/>
      <c r="B86" s="118"/>
      <c r="C86" s="119" t="s">
        <v>150</v>
      </c>
      <c r="D86" s="118"/>
      <c r="E86" s="118" t="s">
        <v>151</v>
      </c>
      <c r="F86" s="130" t="s">
        <v>153</v>
      </c>
      <c r="G86" s="127">
        <v>0</v>
      </c>
      <c r="H86" s="120" t="s">
        <v>151</v>
      </c>
      <c r="J86" s="8"/>
    </row>
    <row r="87" spans="1:10" x14ac:dyDescent="0.2">
      <c r="A87" s="118"/>
      <c r="B87" s="118"/>
      <c r="C87" s="119"/>
      <c r="D87" s="118"/>
      <c r="E87" s="118"/>
      <c r="F87" s="130"/>
      <c r="G87" s="127"/>
      <c r="H87" s="120" t="s">
        <v>151</v>
      </c>
      <c r="J87" s="8"/>
    </row>
    <row r="88" spans="1:10" x14ac:dyDescent="0.2">
      <c r="A88" s="118"/>
      <c r="B88" s="118"/>
      <c r="C88" s="119" t="s">
        <v>911</v>
      </c>
      <c r="D88" s="118"/>
      <c r="E88" s="118"/>
      <c r="F88" s="118"/>
      <c r="G88" s="118"/>
      <c r="H88" s="120"/>
      <c r="J88" s="8"/>
    </row>
    <row r="89" spans="1:10" ht="25.5" x14ac:dyDescent="0.2">
      <c r="A89" s="121">
        <v>1</v>
      </c>
      <c r="B89" s="122" t="s">
        <v>912</v>
      </c>
      <c r="C89" s="122" t="s">
        <v>913</v>
      </c>
      <c r="D89" s="122" t="s">
        <v>914</v>
      </c>
      <c r="E89" s="123">
        <v>1750</v>
      </c>
      <c r="F89" s="124">
        <v>1962.2211158000002</v>
      </c>
      <c r="G89" s="125">
        <v>3.5634697676294874E-3</v>
      </c>
      <c r="H89" s="120">
        <v>8.3450000000000006</v>
      </c>
      <c r="J89" s="8"/>
    </row>
    <row r="90" spans="1:10" x14ac:dyDescent="0.2">
      <c r="A90" s="118"/>
      <c r="B90" s="118"/>
      <c r="C90" s="119" t="s">
        <v>150</v>
      </c>
      <c r="D90" s="118"/>
      <c r="E90" s="118" t="s">
        <v>151</v>
      </c>
      <c r="F90" s="126">
        <v>1962.2211158000002</v>
      </c>
      <c r="G90" s="127">
        <v>3.5634697676294874E-3</v>
      </c>
      <c r="H90" s="120"/>
      <c r="J90" s="8"/>
    </row>
    <row r="91" spans="1:10" x14ac:dyDescent="0.2">
      <c r="A91" s="118"/>
      <c r="B91" s="118"/>
      <c r="C91" s="128"/>
      <c r="D91" s="118"/>
      <c r="E91" s="118"/>
      <c r="F91" s="129"/>
      <c r="G91" s="129"/>
      <c r="H91" s="120" t="s">
        <v>151</v>
      </c>
      <c r="J91" s="8"/>
    </row>
    <row r="92" spans="1:10" x14ac:dyDescent="0.2">
      <c r="A92" s="118"/>
      <c r="B92" s="118"/>
      <c r="C92" s="119" t="s">
        <v>915</v>
      </c>
      <c r="D92" s="118"/>
      <c r="E92" s="118"/>
      <c r="F92" s="129"/>
      <c r="G92" s="129"/>
      <c r="H92" s="120" t="s">
        <v>151</v>
      </c>
      <c r="J92" s="8"/>
    </row>
    <row r="93" spans="1:10" x14ac:dyDescent="0.2">
      <c r="A93" s="118"/>
      <c r="B93" s="118"/>
      <c r="C93" s="119" t="s">
        <v>150</v>
      </c>
      <c r="D93" s="118"/>
      <c r="E93" s="118" t="s">
        <v>151</v>
      </c>
      <c r="F93" s="130" t="s">
        <v>153</v>
      </c>
      <c r="G93" s="127">
        <v>0</v>
      </c>
      <c r="H93" s="120" t="s">
        <v>151</v>
      </c>
      <c r="J93" s="8"/>
    </row>
    <row r="94" spans="1:10" x14ac:dyDescent="0.2">
      <c r="A94" s="118"/>
      <c r="B94" s="118"/>
      <c r="C94" s="128"/>
      <c r="D94" s="118"/>
      <c r="E94" s="118"/>
      <c r="F94" s="129"/>
      <c r="G94" s="129"/>
      <c r="H94" s="120" t="s">
        <v>151</v>
      </c>
      <c r="J94" s="8"/>
    </row>
    <row r="95" spans="1:10" x14ac:dyDescent="0.2">
      <c r="A95" s="118"/>
      <c r="B95" s="118"/>
      <c r="C95" s="119" t="s">
        <v>158</v>
      </c>
      <c r="D95" s="118"/>
      <c r="E95" s="118"/>
      <c r="F95" s="126">
        <v>404904.56212200009</v>
      </c>
      <c r="G95" s="127">
        <v>0.7353126797676296</v>
      </c>
      <c r="H95" s="120" t="s">
        <v>151</v>
      </c>
      <c r="J95" s="8"/>
    </row>
    <row r="96" spans="1:10" x14ac:dyDescent="0.2">
      <c r="A96" s="118"/>
      <c r="B96" s="118"/>
      <c r="C96" s="128"/>
      <c r="D96" s="118"/>
      <c r="E96" s="118"/>
      <c r="F96" s="129"/>
      <c r="G96" s="129"/>
      <c r="H96" s="120" t="s">
        <v>151</v>
      </c>
      <c r="J96" s="8"/>
    </row>
    <row r="97" spans="1:10" x14ac:dyDescent="0.2">
      <c r="A97" s="118"/>
      <c r="B97" s="118"/>
      <c r="C97" s="119" t="s">
        <v>159</v>
      </c>
      <c r="D97" s="118"/>
      <c r="E97" s="118"/>
      <c r="F97" s="129"/>
      <c r="G97" s="129"/>
      <c r="H97" s="120" t="s">
        <v>151</v>
      </c>
      <c r="J97" s="8"/>
    </row>
    <row r="98" spans="1:10" x14ac:dyDescent="0.2">
      <c r="A98" s="118"/>
      <c r="B98" s="118"/>
      <c r="C98" s="119" t="s">
        <v>10</v>
      </c>
      <c r="D98" s="118"/>
      <c r="E98" s="118"/>
      <c r="F98" s="129"/>
      <c r="G98" s="129"/>
      <c r="H98" s="120" t="s">
        <v>151</v>
      </c>
      <c r="J98" s="8"/>
    </row>
    <row r="99" spans="1:10" ht="25.5" x14ac:dyDescent="0.2">
      <c r="A99" s="121">
        <v>1</v>
      </c>
      <c r="B99" s="122" t="s">
        <v>556</v>
      </c>
      <c r="C99" s="122" t="s">
        <v>557</v>
      </c>
      <c r="D99" s="122" t="s">
        <v>558</v>
      </c>
      <c r="E99" s="123">
        <v>4500</v>
      </c>
      <c r="F99" s="124">
        <v>4525.1189999999997</v>
      </c>
      <c r="G99" s="125">
        <v>8.2177900000000009E-3</v>
      </c>
      <c r="H99" s="120">
        <v>7.51</v>
      </c>
      <c r="J99" s="8"/>
    </row>
    <row r="100" spans="1:10" ht="25.5" x14ac:dyDescent="0.2">
      <c r="A100" s="121">
        <v>2</v>
      </c>
      <c r="B100" s="122" t="s">
        <v>559</v>
      </c>
      <c r="C100" s="122" t="s">
        <v>560</v>
      </c>
      <c r="D100" s="122" t="s">
        <v>561</v>
      </c>
      <c r="E100" s="123">
        <v>3500</v>
      </c>
      <c r="F100" s="124">
        <v>3494.8795</v>
      </c>
      <c r="G100" s="125">
        <v>6.3468400000000003E-3</v>
      </c>
      <c r="H100" s="120">
        <v>7.6449999999999996</v>
      </c>
      <c r="J100" s="8"/>
    </row>
    <row r="101" spans="1:10" x14ac:dyDescent="0.2">
      <c r="A101" s="121">
        <v>3</v>
      </c>
      <c r="B101" s="122" t="s">
        <v>562</v>
      </c>
      <c r="C101" s="122" t="s">
        <v>563</v>
      </c>
      <c r="D101" s="122" t="s">
        <v>561</v>
      </c>
      <c r="E101" s="123">
        <v>3000</v>
      </c>
      <c r="F101" s="124">
        <v>3016.5630000000001</v>
      </c>
      <c r="G101" s="125">
        <v>5.4781999999999999E-3</v>
      </c>
      <c r="H101" s="120">
        <v>7.6029</v>
      </c>
      <c r="J101" s="8"/>
    </row>
    <row r="102" spans="1:10" ht="25.5" x14ac:dyDescent="0.2">
      <c r="A102" s="121">
        <v>4</v>
      </c>
      <c r="B102" s="122" t="s">
        <v>564</v>
      </c>
      <c r="C102" s="122" t="s">
        <v>565</v>
      </c>
      <c r="D102" s="122" t="s">
        <v>561</v>
      </c>
      <c r="E102" s="123">
        <v>2500</v>
      </c>
      <c r="F102" s="124">
        <v>2619.1174999999998</v>
      </c>
      <c r="G102" s="125">
        <v>4.7564199999999999E-3</v>
      </c>
      <c r="H102" s="120">
        <v>7.2453000000000003</v>
      </c>
      <c r="J102" s="8"/>
    </row>
    <row r="103" spans="1:10" ht="25.5" x14ac:dyDescent="0.2">
      <c r="A103" s="121">
        <v>5</v>
      </c>
      <c r="B103" s="122" t="s">
        <v>566</v>
      </c>
      <c r="C103" s="122" t="s">
        <v>567</v>
      </c>
      <c r="D103" s="122" t="s">
        <v>561</v>
      </c>
      <c r="E103" s="123">
        <v>2500</v>
      </c>
      <c r="F103" s="124">
        <v>2599.21</v>
      </c>
      <c r="G103" s="125">
        <v>4.7202700000000004E-3</v>
      </c>
      <c r="H103" s="120">
        <v>7.19</v>
      </c>
      <c r="J103" s="8"/>
    </row>
    <row r="104" spans="1:10" x14ac:dyDescent="0.2">
      <c r="A104" s="121">
        <v>6</v>
      </c>
      <c r="B104" s="122" t="s">
        <v>568</v>
      </c>
      <c r="C104" s="122" t="s">
        <v>569</v>
      </c>
      <c r="D104" s="122" t="s">
        <v>561</v>
      </c>
      <c r="E104" s="123">
        <v>250</v>
      </c>
      <c r="F104" s="124">
        <v>2579.1574999999998</v>
      </c>
      <c r="G104" s="125">
        <v>4.6838499999999998E-3</v>
      </c>
      <c r="H104" s="120">
        <v>7.4950000000000001</v>
      </c>
      <c r="J104" s="8"/>
    </row>
    <row r="105" spans="1:10" ht="25.5" x14ac:dyDescent="0.2">
      <c r="A105" s="121">
        <v>7</v>
      </c>
      <c r="B105" s="122" t="s">
        <v>570</v>
      </c>
      <c r="C105" s="122" t="s">
        <v>571</v>
      </c>
      <c r="D105" s="122" t="s">
        <v>561</v>
      </c>
      <c r="E105" s="123">
        <v>2500</v>
      </c>
      <c r="F105" s="124">
        <v>2529.1725000000001</v>
      </c>
      <c r="G105" s="125">
        <v>4.5930800000000003E-3</v>
      </c>
      <c r="H105" s="120">
        <v>7.2774999999999999</v>
      </c>
      <c r="J105" s="8"/>
    </row>
    <row r="106" spans="1:10" ht="25.5" x14ac:dyDescent="0.2">
      <c r="A106" s="121">
        <v>8</v>
      </c>
      <c r="B106" s="122" t="s">
        <v>572</v>
      </c>
      <c r="C106" s="122" t="s">
        <v>573</v>
      </c>
      <c r="D106" s="122" t="s">
        <v>561</v>
      </c>
      <c r="E106" s="123">
        <v>2500</v>
      </c>
      <c r="F106" s="124">
        <v>2524.0475000000001</v>
      </c>
      <c r="G106" s="125">
        <v>4.58377E-3</v>
      </c>
      <c r="H106" s="120">
        <v>7.2103000000000002</v>
      </c>
      <c r="J106" s="8"/>
    </row>
    <row r="107" spans="1:10" ht="25.5" x14ac:dyDescent="0.2">
      <c r="A107" s="121">
        <v>9</v>
      </c>
      <c r="B107" s="122" t="s">
        <v>574</v>
      </c>
      <c r="C107" s="122" t="s">
        <v>575</v>
      </c>
      <c r="D107" s="122" t="s">
        <v>561</v>
      </c>
      <c r="E107" s="123">
        <v>2500</v>
      </c>
      <c r="F107" s="124">
        <v>2515.66</v>
      </c>
      <c r="G107" s="125">
        <v>4.5685400000000003E-3</v>
      </c>
      <c r="H107" s="120">
        <v>7.52</v>
      </c>
      <c r="J107" s="8"/>
    </row>
    <row r="108" spans="1:10" ht="25.5" x14ac:dyDescent="0.2">
      <c r="A108" s="121">
        <v>10</v>
      </c>
      <c r="B108" s="122" t="s">
        <v>576</v>
      </c>
      <c r="C108" s="122" t="s">
        <v>577</v>
      </c>
      <c r="D108" s="122" t="s">
        <v>558</v>
      </c>
      <c r="E108" s="123">
        <v>2500</v>
      </c>
      <c r="F108" s="124">
        <v>2511.9349999999999</v>
      </c>
      <c r="G108" s="125">
        <v>4.5617699999999997E-3</v>
      </c>
      <c r="H108" s="120">
        <v>7.43</v>
      </c>
      <c r="J108" s="8"/>
    </row>
    <row r="109" spans="1:10" x14ac:dyDescent="0.2">
      <c r="A109" s="121">
        <v>11</v>
      </c>
      <c r="B109" s="122" t="s">
        <v>578</v>
      </c>
      <c r="C109" s="122" t="s">
        <v>579</v>
      </c>
      <c r="D109" s="122" t="s">
        <v>561</v>
      </c>
      <c r="E109" s="123">
        <v>2500</v>
      </c>
      <c r="F109" s="124">
        <v>2500.7824999999998</v>
      </c>
      <c r="G109" s="125">
        <v>4.5415200000000003E-3</v>
      </c>
      <c r="H109" s="120">
        <v>7.6680000000000001</v>
      </c>
      <c r="J109" s="8"/>
    </row>
    <row r="110" spans="1:10" ht="25.5" x14ac:dyDescent="0.2">
      <c r="A110" s="121">
        <v>12</v>
      </c>
      <c r="B110" s="122" t="s">
        <v>580</v>
      </c>
      <c r="C110" s="122" t="s">
        <v>581</v>
      </c>
      <c r="D110" s="122" t="s">
        <v>561</v>
      </c>
      <c r="E110" s="123">
        <v>2500</v>
      </c>
      <c r="F110" s="124">
        <v>2490.4375</v>
      </c>
      <c r="G110" s="125">
        <v>4.52273E-3</v>
      </c>
      <c r="H110" s="120">
        <v>7.64</v>
      </c>
      <c r="J110" s="8"/>
    </row>
    <row r="111" spans="1:10" ht="25.5" x14ac:dyDescent="0.2">
      <c r="A111" s="121">
        <v>13</v>
      </c>
      <c r="B111" s="122" t="s">
        <v>582</v>
      </c>
      <c r="C111" s="122" t="s">
        <v>583</v>
      </c>
      <c r="D111" s="122" t="s">
        <v>558</v>
      </c>
      <c r="E111" s="123">
        <v>250</v>
      </c>
      <c r="F111" s="124">
        <v>2488.6624999999999</v>
      </c>
      <c r="G111" s="125">
        <v>4.51951E-3</v>
      </c>
      <c r="H111" s="120">
        <v>7.92</v>
      </c>
      <c r="J111" s="8"/>
    </row>
    <row r="112" spans="1:10" ht="25.5" x14ac:dyDescent="0.2">
      <c r="A112" s="121">
        <v>14</v>
      </c>
      <c r="B112" s="122" t="s">
        <v>584</v>
      </c>
      <c r="C112" s="122" t="s">
        <v>585</v>
      </c>
      <c r="D112" s="122" t="s">
        <v>561</v>
      </c>
      <c r="E112" s="123">
        <v>2000</v>
      </c>
      <c r="F112" s="124">
        <v>2033.982</v>
      </c>
      <c r="G112" s="125">
        <v>3.6937900000000002E-3</v>
      </c>
      <c r="H112" s="120">
        <v>7.1749999999999998</v>
      </c>
      <c r="J112" s="8"/>
    </row>
    <row r="113" spans="1:10" x14ac:dyDescent="0.2">
      <c r="A113" s="121">
        <v>15</v>
      </c>
      <c r="B113" s="122" t="s">
        <v>586</v>
      </c>
      <c r="C113" s="122" t="s">
        <v>587</v>
      </c>
      <c r="D113" s="122" t="s">
        <v>561</v>
      </c>
      <c r="E113" s="123">
        <v>2000</v>
      </c>
      <c r="F113" s="124">
        <v>2018.462</v>
      </c>
      <c r="G113" s="125">
        <v>3.6656100000000001E-3</v>
      </c>
      <c r="H113" s="120">
        <v>7.7175000000000002</v>
      </c>
      <c r="J113" s="8"/>
    </row>
    <row r="114" spans="1:10" ht="25.5" x14ac:dyDescent="0.2">
      <c r="A114" s="121">
        <v>16</v>
      </c>
      <c r="B114" s="122" t="s">
        <v>588</v>
      </c>
      <c r="C114" s="122" t="s">
        <v>589</v>
      </c>
      <c r="D114" s="122" t="s">
        <v>590</v>
      </c>
      <c r="E114" s="123">
        <v>2000</v>
      </c>
      <c r="F114" s="124">
        <v>2016.9380000000001</v>
      </c>
      <c r="G114" s="125">
        <v>3.6628400000000001E-3</v>
      </c>
      <c r="H114" s="120">
        <v>8.2850000000000001</v>
      </c>
      <c r="J114" s="8"/>
    </row>
    <row r="115" spans="1:10" ht="25.5" x14ac:dyDescent="0.2">
      <c r="A115" s="121">
        <v>17</v>
      </c>
      <c r="B115" s="122" t="s">
        <v>591</v>
      </c>
      <c r="C115" s="122" t="s">
        <v>592</v>
      </c>
      <c r="D115" s="122" t="s">
        <v>561</v>
      </c>
      <c r="E115" s="123">
        <v>2000</v>
      </c>
      <c r="F115" s="124">
        <v>2007.0139999999999</v>
      </c>
      <c r="G115" s="125">
        <v>3.64482E-3</v>
      </c>
      <c r="H115" s="120">
        <v>7.5049999999999999</v>
      </c>
      <c r="J115" s="8"/>
    </row>
    <row r="116" spans="1:10" x14ac:dyDescent="0.2">
      <c r="A116" s="121">
        <v>18</v>
      </c>
      <c r="B116" s="122" t="s">
        <v>593</v>
      </c>
      <c r="C116" s="122" t="s">
        <v>594</v>
      </c>
      <c r="D116" s="122" t="s">
        <v>558</v>
      </c>
      <c r="E116" s="123">
        <v>2000</v>
      </c>
      <c r="F116" s="124">
        <v>2005.84</v>
      </c>
      <c r="G116" s="125">
        <v>3.6426800000000001E-3</v>
      </c>
      <c r="H116" s="120">
        <v>7.4367000000000001</v>
      </c>
      <c r="J116" s="8"/>
    </row>
    <row r="117" spans="1:10" ht="25.5" x14ac:dyDescent="0.2">
      <c r="A117" s="121">
        <v>19</v>
      </c>
      <c r="B117" s="122" t="s">
        <v>595</v>
      </c>
      <c r="C117" s="122" t="s">
        <v>596</v>
      </c>
      <c r="D117" s="122" t="s">
        <v>561</v>
      </c>
      <c r="E117" s="123">
        <v>1500</v>
      </c>
      <c r="F117" s="124">
        <v>1566.258</v>
      </c>
      <c r="G117" s="125">
        <v>2.84439E-3</v>
      </c>
      <c r="H117" s="120">
        <v>7.22</v>
      </c>
      <c r="J117" s="8"/>
    </row>
    <row r="118" spans="1:10" ht="25.5" x14ac:dyDescent="0.2">
      <c r="A118" s="121">
        <v>20</v>
      </c>
      <c r="B118" s="122" t="s">
        <v>597</v>
      </c>
      <c r="C118" s="122" t="s">
        <v>598</v>
      </c>
      <c r="D118" s="122" t="s">
        <v>561</v>
      </c>
      <c r="E118" s="123">
        <v>1500</v>
      </c>
      <c r="F118" s="124">
        <v>1529.643</v>
      </c>
      <c r="G118" s="125">
        <v>2.7778899999999999E-3</v>
      </c>
      <c r="H118" s="120">
        <v>7.4690000000000003</v>
      </c>
      <c r="J118" s="8"/>
    </row>
    <row r="119" spans="1:10" ht="25.5" x14ac:dyDescent="0.2">
      <c r="A119" s="121">
        <v>21</v>
      </c>
      <c r="B119" s="122" t="s">
        <v>599</v>
      </c>
      <c r="C119" s="122" t="s">
        <v>600</v>
      </c>
      <c r="D119" s="122" t="s">
        <v>561</v>
      </c>
      <c r="E119" s="123">
        <v>1500</v>
      </c>
      <c r="F119" s="124">
        <v>1516.9665</v>
      </c>
      <c r="G119" s="125">
        <v>2.75487E-3</v>
      </c>
      <c r="H119" s="120">
        <v>7.375</v>
      </c>
      <c r="J119" s="8"/>
    </row>
    <row r="120" spans="1:10" ht="25.5" x14ac:dyDescent="0.2">
      <c r="A120" s="121">
        <v>22</v>
      </c>
      <c r="B120" s="122" t="s">
        <v>601</v>
      </c>
      <c r="C120" s="122" t="s">
        <v>602</v>
      </c>
      <c r="D120" s="122" t="s">
        <v>561</v>
      </c>
      <c r="E120" s="123">
        <v>1500</v>
      </c>
      <c r="F120" s="124">
        <v>1513.452</v>
      </c>
      <c r="G120" s="125">
        <v>2.7484900000000001E-3</v>
      </c>
      <c r="H120" s="120">
        <v>7.2096</v>
      </c>
      <c r="J120" s="8"/>
    </row>
    <row r="121" spans="1:10" ht="25.5" x14ac:dyDescent="0.2">
      <c r="A121" s="121">
        <v>23</v>
      </c>
      <c r="B121" s="122" t="s">
        <v>603</v>
      </c>
      <c r="C121" s="122" t="s">
        <v>604</v>
      </c>
      <c r="D121" s="122" t="s">
        <v>561</v>
      </c>
      <c r="E121" s="123">
        <v>1500</v>
      </c>
      <c r="F121" s="124">
        <v>1504.8675000000001</v>
      </c>
      <c r="G121" s="125">
        <v>2.7328999999999999E-3</v>
      </c>
      <c r="H121" s="120">
        <v>7.56</v>
      </c>
      <c r="J121" s="8"/>
    </row>
    <row r="122" spans="1:10" x14ac:dyDescent="0.2">
      <c r="A122" s="121">
        <v>24</v>
      </c>
      <c r="B122" s="122" t="s">
        <v>605</v>
      </c>
      <c r="C122" s="122" t="s">
        <v>606</v>
      </c>
      <c r="D122" s="122" t="s">
        <v>561</v>
      </c>
      <c r="E122" s="123">
        <v>150</v>
      </c>
      <c r="F122" s="124">
        <v>1499.2455</v>
      </c>
      <c r="G122" s="125">
        <v>2.7226899999999998E-3</v>
      </c>
      <c r="H122" s="120">
        <v>7.83</v>
      </c>
      <c r="J122" s="8"/>
    </row>
    <row r="123" spans="1:10" x14ac:dyDescent="0.2">
      <c r="A123" s="121">
        <v>25</v>
      </c>
      <c r="B123" s="122" t="s">
        <v>607</v>
      </c>
      <c r="C123" s="122" t="s">
        <v>608</v>
      </c>
      <c r="D123" s="122" t="s">
        <v>561</v>
      </c>
      <c r="E123" s="123">
        <v>1500</v>
      </c>
      <c r="F123" s="124">
        <v>1498.6965</v>
      </c>
      <c r="G123" s="125">
        <v>2.7216900000000001E-3</v>
      </c>
      <c r="H123" s="120">
        <v>8.1649999999999991</v>
      </c>
      <c r="J123" s="8"/>
    </row>
    <row r="124" spans="1:10" ht="25.5" x14ac:dyDescent="0.2">
      <c r="A124" s="121">
        <v>26</v>
      </c>
      <c r="B124" s="122" t="s">
        <v>609</v>
      </c>
      <c r="C124" s="122" t="s">
        <v>610</v>
      </c>
      <c r="D124" s="122" t="s">
        <v>558</v>
      </c>
      <c r="E124" s="123">
        <v>150</v>
      </c>
      <c r="F124" s="124">
        <v>1496.0070000000001</v>
      </c>
      <c r="G124" s="125">
        <v>2.7168100000000001E-3</v>
      </c>
      <c r="H124" s="120">
        <v>7.7450000000000001</v>
      </c>
      <c r="J124" s="8"/>
    </row>
    <row r="125" spans="1:10" ht="25.5" x14ac:dyDescent="0.2">
      <c r="A125" s="121">
        <v>27</v>
      </c>
      <c r="B125" s="122" t="s">
        <v>611</v>
      </c>
      <c r="C125" s="122" t="s">
        <v>612</v>
      </c>
      <c r="D125" s="122" t="s">
        <v>561</v>
      </c>
      <c r="E125" s="123">
        <v>150</v>
      </c>
      <c r="F125" s="124">
        <v>1494.6690000000001</v>
      </c>
      <c r="G125" s="125">
        <v>2.7143800000000002E-3</v>
      </c>
      <c r="H125" s="120">
        <v>7.6950000000000003</v>
      </c>
      <c r="J125" s="8"/>
    </row>
    <row r="126" spans="1:10" x14ac:dyDescent="0.2">
      <c r="A126" s="121">
        <v>28</v>
      </c>
      <c r="B126" s="122" t="s">
        <v>613</v>
      </c>
      <c r="C126" s="122" t="s">
        <v>614</v>
      </c>
      <c r="D126" s="122" t="s">
        <v>561</v>
      </c>
      <c r="E126" s="123">
        <v>150</v>
      </c>
      <c r="F126" s="124">
        <v>1457.4690000000001</v>
      </c>
      <c r="G126" s="125">
        <v>2.6468199999999998E-3</v>
      </c>
      <c r="H126" s="120">
        <v>7.8049999999999997</v>
      </c>
      <c r="J126" s="8"/>
    </row>
    <row r="127" spans="1:10" x14ac:dyDescent="0.2">
      <c r="A127" s="121">
        <v>29</v>
      </c>
      <c r="B127" s="122" t="s">
        <v>615</v>
      </c>
      <c r="C127" s="122" t="s">
        <v>616</v>
      </c>
      <c r="D127" s="122" t="s">
        <v>561</v>
      </c>
      <c r="E127" s="123">
        <v>100</v>
      </c>
      <c r="F127" s="124">
        <v>998.92200000000003</v>
      </c>
      <c r="G127" s="125">
        <v>1.81408E-3</v>
      </c>
      <c r="H127" s="120">
        <v>7.6449999999999996</v>
      </c>
      <c r="J127" s="8"/>
    </row>
    <row r="128" spans="1:10" x14ac:dyDescent="0.2">
      <c r="A128" s="121">
        <v>30</v>
      </c>
      <c r="B128" s="122" t="s">
        <v>617</v>
      </c>
      <c r="C128" s="122" t="s">
        <v>618</v>
      </c>
      <c r="D128" s="122" t="s">
        <v>561</v>
      </c>
      <c r="E128" s="123">
        <v>1000</v>
      </c>
      <c r="F128" s="124">
        <v>998.62599999999998</v>
      </c>
      <c r="G128" s="125">
        <v>1.81354E-3</v>
      </c>
      <c r="H128" s="120">
        <v>7.57</v>
      </c>
      <c r="J128" s="8"/>
    </row>
    <row r="129" spans="1:10" x14ac:dyDescent="0.2">
      <c r="A129" s="121">
        <v>31</v>
      </c>
      <c r="B129" s="122" t="s">
        <v>619</v>
      </c>
      <c r="C129" s="122" t="s">
        <v>620</v>
      </c>
      <c r="D129" s="122" t="s">
        <v>561</v>
      </c>
      <c r="E129" s="123">
        <v>1000</v>
      </c>
      <c r="F129" s="124">
        <v>998.10299999999995</v>
      </c>
      <c r="G129" s="125">
        <v>1.81259E-3</v>
      </c>
      <c r="H129" s="120">
        <v>7.56</v>
      </c>
      <c r="J129" s="8"/>
    </row>
    <row r="130" spans="1:10" x14ac:dyDescent="0.2">
      <c r="A130" s="121">
        <v>32</v>
      </c>
      <c r="B130" s="122" t="s">
        <v>621</v>
      </c>
      <c r="C130" s="122" t="s">
        <v>622</v>
      </c>
      <c r="D130" s="122" t="s">
        <v>561</v>
      </c>
      <c r="E130" s="123">
        <v>1000</v>
      </c>
      <c r="F130" s="124">
        <v>997.98299999999995</v>
      </c>
      <c r="G130" s="125">
        <v>1.8123799999999999E-3</v>
      </c>
      <c r="H130" s="120">
        <v>7.5</v>
      </c>
      <c r="J130" s="8"/>
    </row>
    <row r="131" spans="1:10" ht="25.5" x14ac:dyDescent="0.2">
      <c r="A131" s="121">
        <v>33</v>
      </c>
      <c r="B131" s="122" t="s">
        <v>623</v>
      </c>
      <c r="C131" s="122" t="s">
        <v>624</v>
      </c>
      <c r="D131" s="122" t="s">
        <v>558</v>
      </c>
      <c r="E131" s="123">
        <v>100</v>
      </c>
      <c r="F131" s="124">
        <v>996.04899999999998</v>
      </c>
      <c r="G131" s="125">
        <v>1.80886E-3</v>
      </c>
      <c r="H131" s="120">
        <v>7.82</v>
      </c>
      <c r="J131" s="8"/>
    </row>
    <row r="132" spans="1:10" x14ac:dyDescent="0.2">
      <c r="A132" s="118"/>
      <c r="B132" s="118"/>
      <c r="C132" s="119" t="s">
        <v>150</v>
      </c>
      <c r="D132" s="118"/>
      <c r="E132" s="118" t="s">
        <v>151</v>
      </c>
      <c r="F132" s="126">
        <v>66543.937000000005</v>
      </c>
      <c r="G132" s="127">
        <v>0.12084641</v>
      </c>
      <c r="H132" s="120" t="s">
        <v>151</v>
      </c>
      <c r="J132" s="8"/>
    </row>
    <row r="133" spans="1:10" x14ac:dyDescent="0.2">
      <c r="A133" s="118"/>
      <c r="B133" s="118"/>
      <c r="C133" s="128"/>
      <c r="D133" s="118"/>
      <c r="E133" s="118"/>
      <c r="F133" s="129"/>
      <c r="G133" s="129"/>
      <c r="H133" s="120" t="s">
        <v>151</v>
      </c>
      <c r="J133" s="8"/>
    </row>
    <row r="134" spans="1:10" x14ac:dyDescent="0.2">
      <c r="A134" s="118"/>
      <c r="B134" s="118"/>
      <c r="C134" s="119" t="s">
        <v>160</v>
      </c>
      <c r="D134" s="118"/>
      <c r="E134" s="118"/>
      <c r="F134" s="118"/>
      <c r="G134" s="118"/>
      <c r="H134" s="120" t="s">
        <v>151</v>
      </c>
      <c r="J134" s="8"/>
    </row>
    <row r="135" spans="1:10" x14ac:dyDescent="0.2">
      <c r="A135" s="118"/>
      <c r="B135" s="118"/>
      <c r="C135" s="119" t="s">
        <v>150</v>
      </c>
      <c r="D135" s="118"/>
      <c r="E135" s="118" t="s">
        <v>151</v>
      </c>
      <c r="F135" s="130" t="s">
        <v>153</v>
      </c>
      <c r="G135" s="127">
        <v>0</v>
      </c>
      <c r="H135" s="120" t="s">
        <v>151</v>
      </c>
      <c r="J135" s="8"/>
    </row>
    <row r="136" spans="1:10" x14ac:dyDescent="0.2">
      <c r="A136" s="118"/>
      <c r="B136" s="118"/>
      <c r="C136" s="128"/>
      <c r="D136" s="118"/>
      <c r="E136" s="118"/>
      <c r="F136" s="129"/>
      <c r="G136" s="129"/>
      <c r="H136" s="120" t="s">
        <v>151</v>
      </c>
      <c r="J136" s="8"/>
    </row>
    <row r="137" spans="1:10" x14ac:dyDescent="0.2">
      <c r="A137" s="118"/>
      <c r="B137" s="118"/>
      <c r="C137" s="119" t="s">
        <v>161</v>
      </c>
      <c r="D137" s="118"/>
      <c r="E137" s="118"/>
      <c r="F137" s="118"/>
      <c r="G137" s="118"/>
      <c r="H137" s="120" t="s">
        <v>151</v>
      </c>
      <c r="J137" s="8"/>
    </row>
    <row r="138" spans="1:10" x14ac:dyDescent="0.2">
      <c r="A138" s="121">
        <v>1</v>
      </c>
      <c r="B138" s="122" t="s">
        <v>625</v>
      </c>
      <c r="C138" s="122" t="s">
        <v>626</v>
      </c>
      <c r="D138" s="122" t="s">
        <v>541</v>
      </c>
      <c r="E138" s="123">
        <v>15500000</v>
      </c>
      <c r="F138" s="124">
        <v>15925.6765</v>
      </c>
      <c r="G138" s="125">
        <v>2.892165E-2</v>
      </c>
      <c r="H138" s="120">
        <v>6.8757999999999999</v>
      </c>
      <c r="J138" s="8"/>
    </row>
    <row r="139" spans="1:10" x14ac:dyDescent="0.2">
      <c r="A139" s="121">
        <v>2</v>
      </c>
      <c r="B139" s="122" t="s">
        <v>627</v>
      </c>
      <c r="C139" s="122" t="s">
        <v>628</v>
      </c>
      <c r="D139" s="122" t="s">
        <v>541</v>
      </c>
      <c r="E139" s="123">
        <v>15500000</v>
      </c>
      <c r="F139" s="124">
        <v>15876.588</v>
      </c>
      <c r="G139" s="125">
        <v>2.88325E-2</v>
      </c>
      <c r="H139" s="120">
        <v>6.8635000000000002</v>
      </c>
      <c r="J139" s="8"/>
    </row>
    <row r="140" spans="1:10" x14ac:dyDescent="0.2">
      <c r="A140" s="121">
        <v>3</v>
      </c>
      <c r="B140" s="122" t="s">
        <v>629</v>
      </c>
      <c r="C140" s="122" t="s">
        <v>1053</v>
      </c>
      <c r="D140" s="122" t="s">
        <v>541</v>
      </c>
      <c r="E140" s="123">
        <v>10000000</v>
      </c>
      <c r="F140" s="124">
        <v>10402.219999999999</v>
      </c>
      <c r="G140" s="125">
        <v>1.8890839999999999E-2</v>
      </c>
      <c r="H140" s="120">
        <v>6.9051999999999998</v>
      </c>
      <c r="J140" s="8"/>
    </row>
    <row r="141" spans="1:10" x14ac:dyDescent="0.2">
      <c r="A141" s="121">
        <v>4</v>
      </c>
      <c r="B141" s="122" t="s">
        <v>630</v>
      </c>
      <c r="C141" s="122" t="s">
        <v>631</v>
      </c>
      <c r="D141" s="122" t="s">
        <v>541</v>
      </c>
      <c r="E141" s="123">
        <v>3000000</v>
      </c>
      <c r="F141" s="124">
        <v>3096.7890000000002</v>
      </c>
      <c r="G141" s="125">
        <v>5.6238900000000003E-3</v>
      </c>
      <c r="H141" s="120">
        <v>6.9127000000000001</v>
      </c>
      <c r="J141" s="8"/>
    </row>
    <row r="142" spans="1:10" x14ac:dyDescent="0.2">
      <c r="A142" s="121">
        <v>5</v>
      </c>
      <c r="B142" s="122" t="s">
        <v>632</v>
      </c>
      <c r="C142" s="122" t="s">
        <v>633</v>
      </c>
      <c r="D142" s="122" t="s">
        <v>541</v>
      </c>
      <c r="E142" s="123">
        <v>2500000</v>
      </c>
      <c r="F142" s="124">
        <v>2626.6675</v>
      </c>
      <c r="G142" s="125">
        <v>4.77013E-3</v>
      </c>
      <c r="H142" s="120">
        <v>7.0101000000000004</v>
      </c>
      <c r="J142" s="8"/>
    </row>
    <row r="143" spans="1:10" x14ac:dyDescent="0.2">
      <c r="A143" s="121">
        <v>6</v>
      </c>
      <c r="B143" s="122" t="s">
        <v>634</v>
      </c>
      <c r="C143" s="122" t="s">
        <v>1052</v>
      </c>
      <c r="D143" s="122" t="s">
        <v>541</v>
      </c>
      <c r="E143" s="123">
        <v>2500000</v>
      </c>
      <c r="F143" s="124">
        <v>2540.8924999999999</v>
      </c>
      <c r="G143" s="125">
        <v>4.6143599999999996E-3</v>
      </c>
      <c r="H143" s="120">
        <v>6.7870999999999997</v>
      </c>
      <c r="J143" s="8"/>
    </row>
    <row r="144" spans="1:10" x14ac:dyDescent="0.2">
      <c r="A144" s="121">
        <v>7</v>
      </c>
      <c r="B144" s="122" t="s">
        <v>635</v>
      </c>
      <c r="C144" s="122" t="s">
        <v>636</v>
      </c>
      <c r="D144" s="122" t="s">
        <v>541</v>
      </c>
      <c r="E144" s="123">
        <v>1800000</v>
      </c>
      <c r="F144" s="124">
        <v>1900.8594000000001</v>
      </c>
      <c r="G144" s="125">
        <v>3.45204E-3</v>
      </c>
      <c r="H144" s="120">
        <v>7.0431999999999997</v>
      </c>
      <c r="J144" s="8"/>
    </row>
    <row r="145" spans="1:10" x14ac:dyDescent="0.2">
      <c r="A145" s="121">
        <v>8</v>
      </c>
      <c r="B145" s="122" t="s">
        <v>637</v>
      </c>
      <c r="C145" s="122" t="s">
        <v>638</v>
      </c>
      <c r="D145" s="122" t="s">
        <v>541</v>
      </c>
      <c r="E145" s="123">
        <v>1500000</v>
      </c>
      <c r="F145" s="124">
        <v>1525.7909999999999</v>
      </c>
      <c r="G145" s="125">
        <v>2.7709000000000002E-3</v>
      </c>
      <c r="H145" s="120">
        <v>6.8072999999999997</v>
      </c>
      <c r="J145" s="8"/>
    </row>
    <row r="146" spans="1:10" ht="25.5" x14ac:dyDescent="0.2">
      <c r="A146" s="121">
        <v>9</v>
      </c>
      <c r="B146" s="122" t="s">
        <v>639</v>
      </c>
      <c r="C146" s="200" t="s">
        <v>916</v>
      </c>
      <c r="D146" s="122" t="s">
        <v>541</v>
      </c>
      <c r="E146" s="123">
        <v>1500000</v>
      </c>
      <c r="F146" s="124">
        <v>1507.6320000000001</v>
      </c>
      <c r="G146" s="125">
        <v>2.73792E-3</v>
      </c>
      <c r="H146" s="120">
        <v>7.4014088242945171</v>
      </c>
      <c r="J146" s="8"/>
    </row>
    <row r="147" spans="1:10" ht="25.5" x14ac:dyDescent="0.2">
      <c r="A147" s="121">
        <v>10</v>
      </c>
      <c r="B147" s="122" t="s">
        <v>640</v>
      </c>
      <c r="C147" s="122" t="s">
        <v>641</v>
      </c>
      <c r="D147" s="122" t="s">
        <v>541</v>
      </c>
      <c r="E147" s="123">
        <v>1270000</v>
      </c>
      <c r="F147" s="124">
        <v>1300.11805</v>
      </c>
      <c r="G147" s="125">
        <v>2.3610699999999998E-3</v>
      </c>
      <c r="H147" s="120">
        <v>7.2171000000000003</v>
      </c>
      <c r="J147" s="8"/>
    </row>
    <row r="148" spans="1:10" x14ac:dyDescent="0.2">
      <c r="A148" s="118"/>
      <c r="B148" s="118"/>
      <c r="C148" s="119" t="s">
        <v>150</v>
      </c>
      <c r="D148" s="118"/>
      <c r="E148" s="118" t="s">
        <v>151</v>
      </c>
      <c r="F148" s="126">
        <v>56703.233950000002</v>
      </c>
      <c r="G148" s="127">
        <v>0.10297530000000001</v>
      </c>
      <c r="H148" s="120" t="s">
        <v>151</v>
      </c>
      <c r="J148" s="8"/>
    </row>
    <row r="149" spans="1:10" x14ac:dyDescent="0.2">
      <c r="A149" s="118"/>
      <c r="B149" s="118"/>
      <c r="C149" s="128"/>
      <c r="D149" s="118"/>
      <c r="E149" s="118"/>
      <c r="F149" s="129"/>
      <c r="G149" s="129"/>
      <c r="H149" s="120" t="s">
        <v>151</v>
      </c>
      <c r="J149" s="8"/>
    </row>
    <row r="150" spans="1:10" x14ac:dyDescent="0.2">
      <c r="A150" s="118"/>
      <c r="B150" s="118"/>
      <c r="C150" s="119" t="s">
        <v>162</v>
      </c>
      <c r="D150" s="118"/>
      <c r="E150" s="118"/>
      <c r="F150" s="129"/>
      <c r="G150" s="129"/>
      <c r="H150" s="120" t="s">
        <v>151</v>
      </c>
      <c r="J150" s="8"/>
    </row>
    <row r="151" spans="1:10" x14ac:dyDescent="0.2">
      <c r="A151" s="118"/>
      <c r="B151" s="118"/>
      <c r="C151" s="119" t="s">
        <v>150</v>
      </c>
      <c r="D151" s="118"/>
      <c r="E151" s="118" t="s">
        <v>151</v>
      </c>
      <c r="F151" s="130" t="s">
        <v>153</v>
      </c>
      <c r="G151" s="127">
        <v>0</v>
      </c>
      <c r="H151" s="120" t="s">
        <v>151</v>
      </c>
      <c r="J151" s="8"/>
    </row>
    <row r="152" spans="1:10" x14ac:dyDescent="0.2">
      <c r="A152" s="118"/>
      <c r="B152" s="118"/>
      <c r="C152" s="128"/>
      <c r="D152" s="118"/>
      <c r="E152" s="118"/>
      <c r="F152" s="129"/>
      <c r="G152" s="129"/>
      <c r="H152" s="120" t="s">
        <v>151</v>
      </c>
      <c r="J152" s="8"/>
    </row>
    <row r="153" spans="1:10" x14ac:dyDescent="0.2">
      <c r="A153" s="118"/>
      <c r="B153" s="118"/>
      <c r="C153" s="119" t="s">
        <v>163</v>
      </c>
      <c r="D153" s="118"/>
      <c r="E153" s="118"/>
      <c r="F153" s="126">
        <v>123247.17095</v>
      </c>
      <c r="G153" s="127">
        <v>0.22382171000000001</v>
      </c>
      <c r="H153" s="120" t="s">
        <v>151</v>
      </c>
      <c r="J153" s="8"/>
    </row>
    <row r="154" spans="1:10" x14ac:dyDescent="0.2">
      <c r="A154" s="118"/>
      <c r="B154" s="118"/>
      <c r="C154" s="128"/>
      <c r="D154" s="118"/>
      <c r="E154" s="118"/>
      <c r="F154" s="129"/>
      <c r="G154" s="129"/>
      <c r="H154" s="120" t="s">
        <v>151</v>
      </c>
      <c r="J154" s="8"/>
    </row>
    <row r="155" spans="1:10" x14ac:dyDescent="0.2">
      <c r="A155" s="118"/>
      <c r="B155" s="118"/>
      <c r="C155" s="119" t="s">
        <v>164</v>
      </c>
      <c r="D155" s="118"/>
      <c r="E155" s="118"/>
      <c r="F155" s="129"/>
      <c r="G155" s="129"/>
      <c r="H155" s="120" t="s">
        <v>151</v>
      </c>
      <c r="J155" s="8"/>
    </row>
    <row r="156" spans="1:10" x14ac:dyDescent="0.2">
      <c r="A156" s="118"/>
      <c r="B156" s="118"/>
      <c r="C156" s="119" t="s">
        <v>165</v>
      </c>
      <c r="D156" s="118"/>
      <c r="E156" s="118"/>
      <c r="F156" s="129"/>
      <c r="G156" s="129"/>
      <c r="H156" s="120" t="s">
        <v>151</v>
      </c>
      <c r="J156" s="8"/>
    </row>
    <row r="157" spans="1:10" x14ac:dyDescent="0.2">
      <c r="A157" s="121">
        <v>1</v>
      </c>
      <c r="B157" s="122" t="s">
        <v>642</v>
      </c>
      <c r="C157" s="122" t="s">
        <v>643</v>
      </c>
      <c r="D157" s="122" t="s">
        <v>644</v>
      </c>
      <c r="E157" s="123">
        <v>400</v>
      </c>
      <c r="F157" s="124">
        <v>1895.9580000000001</v>
      </c>
      <c r="G157" s="125">
        <v>3.44313E-3</v>
      </c>
      <c r="H157" s="120">
        <v>7.5301</v>
      </c>
      <c r="J157" s="8"/>
    </row>
    <row r="158" spans="1:10" x14ac:dyDescent="0.2">
      <c r="A158" s="118"/>
      <c r="B158" s="118"/>
      <c r="C158" s="119" t="s">
        <v>150</v>
      </c>
      <c r="D158" s="118"/>
      <c r="E158" s="118" t="s">
        <v>151</v>
      </c>
      <c r="F158" s="126">
        <v>1895.9580000000001</v>
      </c>
      <c r="G158" s="127">
        <v>3.44313E-3</v>
      </c>
      <c r="H158" s="120" t="s">
        <v>151</v>
      </c>
      <c r="J158" s="8"/>
    </row>
    <row r="159" spans="1:10" x14ac:dyDescent="0.2">
      <c r="A159" s="118"/>
      <c r="B159" s="118"/>
      <c r="C159" s="128"/>
      <c r="D159" s="118"/>
      <c r="E159" s="118"/>
      <c r="F159" s="129"/>
      <c r="G159" s="129"/>
      <c r="H159" s="120" t="s">
        <v>151</v>
      </c>
      <c r="J159" s="8"/>
    </row>
    <row r="160" spans="1:10" x14ac:dyDescent="0.2">
      <c r="A160" s="118"/>
      <c r="B160" s="118"/>
      <c r="C160" s="119" t="s">
        <v>166</v>
      </c>
      <c r="D160" s="118"/>
      <c r="E160" s="118"/>
      <c r="F160" s="129"/>
      <c r="G160" s="129"/>
      <c r="H160" s="120" t="s">
        <v>151</v>
      </c>
      <c r="J160" s="8"/>
    </row>
    <row r="161" spans="1:10" x14ac:dyDescent="0.2">
      <c r="A161" s="121">
        <v>1</v>
      </c>
      <c r="B161" s="122" t="s">
        <v>645</v>
      </c>
      <c r="C161" s="122" t="s">
        <v>646</v>
      </c>
      <c r="D161" s="122" t="s">
        <v>644</v>
      </c>
      <c r="E161" s="123">
        <v>300</v>
      </c>
      <c r="F161" s="124">
        <v>1449.5429999999999</v>
      </c>
      <c r="G161" s="125">
        <v>2.6324299999999998E-3</v>
      </c>
      <c r="H161" s="120">
        <v>7.43</v>
      </c>
      <c r="J161" s="8"/>
    </row>
    <row r="162" spans="1:10" x14ac:dyDescent="0.2">
      <c r="A162" s="118"/>
      <c r="B162" s="118"/>
      <c r="C162" s="119" t="s">
        <v>150</v>
      </c>
      <c r="D162" s="118"/>
      <c r="E162" s="118" t="s">
        <v>151</v>
      </c>
      <c r="F162" s="126">
        <v>1449.5429999999999</v>
      </c>
      <c r="G162" s="127">
        <v>2.6324299999999998E-3</v>
      </c>
      <c r="H162" s="120" t="s">
        <v>151</v>
      </c>
      <c r="J162" s="8"/>
    </row>
    <row r="163" spans="1:10" x14ac:dyDescent="0.2">
      <c r="A163" s="118"/>
      <c r="B163" s="118"/>
      <c r="C163" s="128"/>
      <c r="D163" s="118"/>
      <c r="E163" s="118"/>
      <c r="F163" s="129"/>
      <c r="G163" s="129"/>
      <c r="H163" s="120" t="s">
        <v>151</v>
      </c>
      <c r="J163" s="8"/>
    </row>
    <row r="164" spans="1:10" x14ac:dyDescent="0.2">
      <c r="A164" s="118"/>
      <c r="B164" s="118"/>
      <c r="C164" s="119" t="s">
        <v>167</v>
      </c>
      <c r="D164" s="118"/>
      <c r="E164" s="118"/>
      <c r="F164" s="129"/>
      <c r="G164" s="129"/>
      <c r="H164" s="120" t="s">
        <v>151</v>
      </c>
      <c r="J164" s="8"/>
    </row>
    <row r="165" spans="1:10" x14ac:dyDescent="0.2">
      <c r="A165" s="118"/>
      <c r="B165" s="118"/>
      <c r="C165" s="119" t="s">
        <v>150</v>
      </c>
      <c r="D165" s="118"/>
      <c r="E165" s="118" t="s">
        <v>151</v>
      </c>
      <c r="F165" s="130" t="s">
        <v>153</v>
      </c>
      <c r="G165" s="127">
        <v>0</v>
      </c>
      <c r="H165" s="120" t="s">
        <v>151</v>
      </c>
      <c r="J165" s="8"/>
    </row>
    <row r="166" spans="1:10" x14ac:dyDescent="0.2">
      <c r="A166" s="118"/>
      <c r="B166" s="118"/>
      <c r="C166" s="128"/>
      <c r="D166" s="118"/>
      <c r="E166" s="118"/>
      <c r="F166" s="129"/>
      <c r="G166" s="129"/>
      <c r="H166" s="120" t="s">
        <v>151</v>
      </c>
      <c r="J166" s="8"/>
    </row>
    <row r="167" spans="1:10" x14ac:dyDescent="0.2">
      <c r="A167" s="118"/>
      <c r="B167" s="118"/>
      <c r="C167" s="119" t="s">
        <v>168</v>
      </c>
      <c r="D167" s="118"/>
      <c r="E167" s="118"/>
      <c r="F167" s="129"/>
      <c r="G167" s="129"/>
      <c r="H167" s="120" t="s">
        <v>151</v>
      </c>
      <c r="J167" s="8"/>
    </row>
    <row r="168" spans="1:10" x14ac:dyDescent="0.2">
      <c r="A168" s="121">
        <v>1</v>
      </c>
      <c r="B168" s="122"/>
      <c r="C168" s="122" t="s">
        <v>169</v>
      </c>
      <c r="D168" s="122"/>
      <c r="E168" s="131"/>
      <c r="F168" s="124">
        <v>2054.4603040060001</v>
      </c>
      <c r="G168" s="125">
        <v>3.7309800000000001E-3</v>
      </c>
      <c r="H168" s="120">
        <v>6.61</v>
      </c>
      <c r="J168" s="8"/>
    </row>
    <row r="169" spans="1:10" x14ac:dyDescent="0.2">
      <c r="A169" s="118"/>
      <c r="B169" s="118"/>
      <c r="C169" s="119" t="s">
        <v>150</v>
      </c>
      <c r="D169" s="118"/>
      <c r="E169" s="118" t="s">
        <v>151</v>
      </c>
      <c r="F169" s="126">
        <v>2054.4603040060001</v>
      </c>
      <c r="G169" s="127">
        <v>3.7309800000000001E-3</v>
      </c>
      <c r="H169" s="120" t="s">
        <v>151</v>
      </c>
      <c r="J169" s="8"/>
    </row>
    <row r="170" spans="1:10" x14ac:dyDescent="0.2">
      <c r="A170" s="118"/>
      <c r="B170" s="118"/>
      <c r="C170" s="128"/>
      <c r="D170" s="118"/>
      <c r="E170" s="118"/>
      <c r="F170" s="129"/>
      <c r="G170" s="129"/>
      <c r="H170" s="120" t="s">
        <v>151</v>
      </c>
      <c r="J170" s="8"/>
    </row>
    <row r="171" spans="1:10" x14ac:dyDescent="0.2">
      <c r="A171" s="118"/>
      <c r="B171" s="118"/>
      <c r="C171" s="119" t="s">
        <v>170</v>
      </c>
      <c r="D171" s="118"/>
      <c r="E171" s="118"/>
      <c r="F171" s="126">
        <v>5399.9613040060003</v>
      </c>
      <c r="G171" s="127">
        <v>9.8065400000000007E-3</v>
      </c>
      <c r="H171" s="120" t="s">
        <v>151</v>
      </c>
      <c r="J171" s="8"/>
    </row>
    <row r="172" spans="1:10" x14ac:dyDescent="0.2">
      <c r="A172" s="118"/>
      <c r="B172" s="118"/>
      <c r="C172" s="129"/>
      <c r="D172" s="118"/>
      <c r="E172" s="118"/>
      <c r="F172" s="118"/>
      <c r="G172" s="118"/>
      <c r="H172" s="120" t="s">
        <v>151</v>
      </c>
      <c r="J172" s="8"/>
    </row>
    <row r="173" spans="1:10" x14ac:dyDescent="0.2">
      <c r="A173" s="118"/>
      <c r="B173" s="118"/>
      <c r="C173" s="119" t="s">
        <v>171</v>
      </c>
      <c r="D173" s="118"/>
      <c r="E173" s="118"/>
      <c r="F173" s="118"/>
      <c r="G173" s="118"/>
      <c r="H173" s="120" t="s">
        <v>151</v>
      </c>
      <c r="J173" s="8"/>
    </row>
    <row r="174" spans="1:10" x14ac:dyDescent="0.2">
      <c r="A174" s="118"/>
      <c r="B174" s="118"/>
      <c r="C174" s="119" t="s">
        <v>172</v>
      </c>
      <c r="D174" s="118"/>
      <c r="E174" s="118"/>
      <c r="F174" s="118"/>
      <c r="G174" s="118"/>
      <c r="H174" s="120" t="s">
        <v>151</v>
      </c>
      <c r="J174" s="8"/>
    </row>
    <row r="175" spans="1:10" x14ac:dyDescent="0.2">
      <c r="A175" s="121">
        <v>1</v>
      </c>
      <c r="B175" s="122" t="s">
        <v>173</v>
      </c>
      <c r="C175" s="200" t="s">
        <v>174</v>
      </c>
      <c r="D175" s="122"/>
      <c r="E175" s="132">
        <v>634136.79909999995</v>
      </c>
      <c r="F175" s="124">
        <v>14017.435409906</v>
      </c>
      <c r="G175" s="125">
        <v>2.545621E-2</v>
      </c>
      <c r="H175" s="120" t="s">
        <v>151</v>
      </c>
      <c r="J175" s="8"/>
    </row>
    <row r="176" spans="1:10" x14ac:dyDescent="0.2">
      <c r="A176" s="118"/>
      <c r="B176" s="118"/>
      <c r="C176" s="119" t="s">
        <v>150</v>
      </c>
      <c r="D176" s="118"/>
      <c r="E176" s="118" t="s">
        <v>151</v>
      </c>
      <c r="F176" s="126">
        <v>14017.435409906</v>
      </c>
      <c r="G176" s="127">
        <v>2.545621E-2</v>
      </c>
      <c r="H176" s="120" t="s">
        <v>151</v>
      </c>
      <c r="J176" s="8"/>
    </row>
    <row r="177" spans="1:17" x14ac:dyDescent="0.2">
      <c r="A177" s="118"/>
      <c r="B177" s="118"/>
      <c r="C177" s="128"/>
      <c r="D177" s="118"/>
      <c r="E177" s="118"/>
      <c r="F177" s="129"/>
      <c r="G177" s="129"/>
      <c r="H177" s="120" t="s">
        <v>151</v>
      </c>
      <c r="J177" s="8"/>
    </row>
    <row r="178" spans="1:17" x14ac:dyDescent="0.2">
      <c r="A178" s="118"/>
      <c r="B178" s="118"/>
      <c r="C178" s="119" t="s">
        <v>175</v>
      </c>
      <c r="D178" s="118"/>
      <c r="E178" s="118"/>
      <c r="F178" s="118"/>
      <c r="G178" s="118"/>
      <c r="H178" s="120" t="s">
        <v>151</v>
      </c>
      <c r="J178" s="8"/>
    </row>
    <row r="179" spans="1:17" x14ac:dyDescent="0.2">
      <c r="A179" s="118"/>
      <c r="B179" s="118"/>
      <c r="C179" s="119" t="s">
        <v>176</v>
      </c>
      <c r="D179" s="118"/>
      <c r="E179" s="118"/>
      <c r="F179" s="118"/>
      <c r="G179" s="118"/>
      <c r="H179" s="120" t="s">
        <v>151</v>
      </c>
      <c r="J179" s="8"/>
    </row>
    <row r="180" spans="1:17" x14ac:dyDescent="0.2">
      <c r="A180" s="118"/>
      <c r="B180" s="118"/>
      <c r="C180" s="119" t="s">
        <v>150</v>
      </c>
      <c r="D180" s="118"/>
      <c r="E180" s="118" t="s">
        <v>151</v>
      </c>
      <c r="F180" s="130" t="s">
        <v>153</v>
      </c>
      <c r="G180" s="127">
        <v>0</v>
      </c>
      <c r="H180" s="120" t="s">
        <v>151</v>
      </c>
      <c r="J180" s="8"/>
    </row>
    <row r="181" spans="1:17" x14ac:dyDescent="0.2">
      <c r="A181" s="118"/>
      <c r="B181" s="118"/>
      <c r="C181" s="128"/>
      <c r="D181" s="118"/>
      <c r="E181" s="118"/>
      <c r="F181" s="129"/>
      <c r="G181" s="129"/>
      <c r="H181" s="120" t="s">
        <v>151</v>
      </c>
      <c r="J181" s="8"/>
    </row>
    <row r="182" spans="1:17" x14ac:dyDescent="0.2">
      <c r="A182" s="118"/>
      <c r="B182" s="118"/>
      <c r="C182" s="119" t="s">
        <v>177</v>
      </c>
      <c r="D182" s="118"/>
      <c r="E182" s="118"/>
      <c r="F182" s="129"/>
      <c r="G182" s="129"/>
      <c r="H182" s="120" t="s">
        <v>151</v>
      </c>
      <c r="J182" s="8"/>
    </row>
    <row r="183" spans="1:17" x14ac:dyDescent="0.2">
      <c r="A183" s="118"/>
      <c r="B183" s="118"/>
      <c r="C183" s="119" t="s">
        <v>150</v>
      </c>
      <c r="D183" s="118"/>
      <c r="E183" s="118" t="s">
        <v>151</v>
      </c>
      <c r="F183" s="130" t="s">
        <v>153</v>
      </c>
      <c r="G183" s="127">
        <v>0</v>
      </c>
      <c r="H183" s="120" t="s">
        <v>151</v>
      </c>
      <c r="J183" s="8"/>
    </row>
    <row r="184" spans="1:17" x14ac:dyDescent="0.2">
      <c r="A184" s="118"/>
      <c r="B184" s="122"/>
      <c r="C184" s="122"/>
      <c r="D184" s="119"/>
      <c r="E184" s="118"/>
      <c r="F184" s="122"/>
      <c r="G184" s="131"/>
      <c r="H184" s="120" t="s">
        <v>151</v>
      </c>
      <c r="J184" s="8"/>
    </row>
    <row r="185" spans="1:17" x14ac:dyDescent="0.2">
      <c r="A185" s="131"/>
      <c r="B185" s="122"/>
      <c r="C185" s="200" t="s">
        <v>917</v>
      </c>
      <c r="D185" s="122"/>
      <c r="E185" s="131"/>
      <c r="F185" s="124">
        <v>3079.8847293200001</v>
      </c>
      <c r="G185" s="125">
        <v>5.5931899999999996E-3</v>
      </c>
      <c r="H185" s="120" t="s">
        <v>151</v>
      </c>
      <c r="J185" s="8"/>
    </row>
    <row r="186" spans="1:17" x14ac:dyDescent="0.2">
      <c r="A186" s="128"/>
      <c r="B186" s="128"/>
      <c r="C186" s="119" t="s">
        <v>179</v>
      </c>
      <c r="D186" s="129"/>
      <c r="E186" s="129"/>
      <c r="F186" s="126">
        <v>550649.01451523206</v>
      </c>
      <c r="G186" s="209">
        <v>0.99999032976762958</v>
      </c>
      <c r="H186" s="120" t="s">
        <v>151</v>
      </c>
      <c r="J186" s="8"/>
    </row>
    <row r="187" spans="1:17" x14ac:dyDescent="0.2">
      <c r="A187" s="134"/>
      <c r="B187" s="134"/>
      <c r="C187" s="134"/>
      <c r="D187" s="135"/>
      <c r="E187" s="135"/>
      <c r="F187" s="135"/>
      <c r="G187" s="135"/>
      <c r="J187" s="8"/>
    </row>
    <row r="188" spans="1:17" x14ac:dyDescent="0.2">
      <c r="A188" s="136"/>
      <c r="B188" s="137" t="s">
        <v>888</v>
      </c>
      <c r="C188" s="137"/>
      <c r="D188" s="137"/>
      <c r="E188" s="137"/>
      <c r="F188" s="137"/>
      <c r="G188" s="137"/>
      <c r="H188" s="137"/>
      <c r="J188" s="8"/>
    </row>
    <row r="189" spans="1:17" x14ac:dyDescent="0.2">
      <c r="A189" s="136"/>
      <c r="B189" s="137" t="s">
        <v>889</v>
      </c>
      <c r="C189" s="137"/>
      <c r="D189" s="137"/>
      <c r="E189" s="137"/>
      <c r="F189" s="137"/>
      <c r="G189" s="137"/>
      <c r="H189" s="137"/>
      <c r="J189" s="8"/>
    </row>
    <row r="190" spans="1:17" x14ac:dyDescent="0.2">
      <c r="A190" s="136"/>
      <c r="B190" s="137" t="s">
        <v>890</v>
      </c>
      <c r="C190" s="137"/>
      <c r="D190" s="137"/>
      <c r="E190" s="137"/>
      <c r="F190" s="137"/>
      <c r="G190" s="137"/>
      <c r="H190" s="137"/>
      <c r="J190" s="8"/>
    </row>
    <row r="191" spans="1:17" s="13" customFormat="1" ht="65.25" customHeight="1" x14ac:dyDescent="0.25">
      <c r="A191" s="138"/>
      <c r="B191" s="139" t="s">
        <v>891</v>
      </c>
      <c r="C191" s="139"/>
      <c r="D191" s="139"/>
      <c r="E191" s="139"/>
      <c r="F191" s="139"/>
      <c r="G191" s="139"/>
      <c r="H191" s="139"/>
      <c r="I191" s="114"/>
      <c r="J191" s="8"/>
      <c r="K191"/>
      <c r="L191"/>
      <c r="M191"/>
      <c r="N191"/>
      <c r="O191"/>
      <c r="P191"/>
      <c r="Q191"/>
    </row>
    <row r="192" spans="1:17" x14ac:dyDescent="0.2">
      <c r="A192" s="136"/>
      <c r="B192" s="137" t="s">
        <v>892</v>
      </c>
      <c r="C192" s="137"/>
      <c r="D192" s="137"/>
      <c r="E192" s="137"/>
      <c r="F192" s="137"/>
      <c r="G192" s="137"/>
      <c r="H192" s="137"/>
      <c r="J192" s="8"/>
    </row>
    <row r="193" spans="1:10" x14ac:dyDescent="0.2">
      <c r="A193" s="140"/>
      <c r="B193" s="204" t="s">
        <v>151</v>
      </c>
      <c r="C193" s="204"/>
      <c r="D193" s="204"/>
      <c r="E193" s="204"/>
      <c r="F193" s="204"/>
      <c r="G193" s="141"/>
      <c r="J193" s="8"/>
    </row>
    <row r="194" spans="1:10" x14ac:dyDescent="0.2">
      <c r="A194" s="140"/>
      <c r="B194" s="140"/>
      <c r="C194" s="140"/>
      <c r="D194" s="141"/>
      <c r="E194" s="141"/>
      <c r="F194" s="141"/>
      <c r="G194" s="141"/>
      <c r="J194" s="8"/>
    </row>
    <row r="195" spans="1:10" x14ac:dyDescent="0.2">
      <c r="A195" s="140"/>
      <c r="B195" s="142" t="s">
        <v>180</v>
      </c>
      <c r="C195" s="143"/>
      <c r="D195" s="144"/>
      <c r="E195" s="145"/>
      <c r="F195" s="141"/>
      <c r="G195" s="141"/>
      <c r="J195" s="8"/>
    </row>
    <row r="196" spans="1:10" ht="25.5" x14ac:dyDescent="0.2">
      <c r="A196" s="136"/>
      <c r="B196" s="148" t="s">
        <v>181</v>
      </c>
      <c r="C196" s="149"/>
      <c r="D196" s="150" t="s">
        <v>918</v>
      </c>
      <c r="E196" s="206"/>
      <c r="F196" s="207"/>
      <c r="G196" s="207"/>
      <c r="J196" s="8"/>
    </row>
    <row r="197" spans="1:10" ht="14.25" customHeight="1" x14ac:dyDescent="0.2">
      <c r="A197" s="136"/>
      <c r="B197" s="148" t="s">
        <v>893</v>
      </c>
      <c r="C197" s="149"/>
      <c r="D197" s="150" t="s">
        <v>1180</v>
      </c>
      <c r="E197" s="206"/>
      <c r="F197" s="207"/>
      <c r="G197" s="207"/>
      <c r="J197" s="8"/>
    </row>
    <row r="198" spans="1:10" x14ac:dyDescent="0.2">
      <c r="A198" s="140"/>
      <c r="B198" s="146" t="s">
        <v>184</v>
      </c>
      <c r="C198" s="147"/>
      <c r="D198" s="129" t="s">
        <v>151</v>
      </c>
      <c r="E198" s="145"/>
      <c r="F198" s="141"/>
      <c r="G198" s="141"/>
      <c r="J198" s="8"/>
    </row>
    <row r="199" spans="1:10" x14ac:dyDescent="0.2">
      <c r="A199" s="151"/>
      <c r="B199" s="152" t="s">
        <v>151</v>
      </c>
      <c r="C199" s="152" t="s">
        <v>894</v>
      </c>
      <c r="D199" s="152" t="s">
        <v>185</v>
      </c>
      <c r="E199" s="151"/>
      <c r="F199" s="151"/>
      <c r="G199" s="151"/>
      <c r="H199" s="151"/>
      <c r="J199" s="8"/>
    </row>
    <row r="200" spans="1:10" x14ac:dyDescent="0.2">
      <c r="A200" s="153"/>
      <c r="B200" s="154" t="s">
        <v>186</v>
      </c>
      <c r="C200" s="155">
        <v>45535</v>
      </c>
      <c r="D200" s="155">
        <v>45565</v>
      </c>
      <c r="E200" s="153"/>
      <c r="F200" s="153"/>
      <c r="G200" s="153"/>
      <c r="J200" s="8"/>
    </row>
    <row r="201" spans="1:10" x14ac:dyDescent="0.2">
      <c r="A201" s="153"/>
      <c r="B201" s="122" t="s">
        <v>187</v>
      </c>
      <c r="C201" s="156">
        <v>182.77199999999999</v>
      </c>
      <c r="D201" s="156">
        <v>187.4871</v>
      </c>
      <c r="E201" s="153"/>
      <c r="F201" s="157"/>
      <c r="G201" s="158"/>
      <c r="J201" s="8"/>
    </row>
    <row r="202" spans="1:10" ht="25.5" x14ac:dyDescent="0.2">
      <c r="A202" s="153"/>
      <c r="B202" s="200" t="s">
        <v>919</v>
      </c>
      <c r="C202" s="156">
        <v>46.362099999999998</v>
      </c>
      <c r="D202" s="156">
        <v>47.202800000000003</v>
      </c>
      <c r="E202" s="153"/>
      <c r="F202" s="157"/>
      <c r="G202" s="158"/>
      <c r="J202" s="8"/>
    </row>
    <row r="203" spans="1:10" x14ac:dyDescent="0.2">
      <c r="A203" s="153"/>
      <c r="B203" s="122" t="s">
        <v>188</v>
      </c>
      <c r="C203" s="156">
        <v>161.01599999999999</v>
      </c>
      <c r="D203" s="156">
        <v>165.01519999999999</v>
      </c>
      <c r="E203" s="153"/>
      <c r="F203" s="157"/>
      <c r="G203" s="158"/>
      <c r="J203" s="8"/>
    </row>
    <row r="204" spans="1:10" ht="25.5" x14ac:dyDescent="0.2">
      <c r="A204" s="153"/>
      <c r="B204" s="200" t="s">
        <v>920</v>
      </c>
      <c r="C204" s="156">
        <v>30.667400000000001</v>
      </c>
      <c r="D204" s="156">
        <v>31.1754</v>
      </c>
      <c r="E204" s="153"/>
      <c r="F204" s="157"/>
      <c r="G204" s="158"/>
      <c r="J204" s="8"/>
    </row>
    <row r="205" spans="1:10" x14ac:dyDescent="0.2">
      <c r="A205" s="153"/>
      <c r="B205" s="153"/>
      <c r="C205" s="153"/>
      <c r="D205" s="153"/>
      <c r="E205" s="153"/>
      <c r="F205" s="153"/>
      <c r="G205" s="153"/>
      <c r="J205" s="8"/>
    </row>
    <row r="206" spans="1:10" x14ac:dyDescent="0.2">
      <c r="A206" s="153"/>
      <c r="B206" s="146" t="s">
        <v>895</v>
      </c>
      <c r="C206" s="147"/>
      <c r="D206" s="119" t="s">
        <v>151</v>
      </c>
      <c r="E206" s="153"/>
      <c r="F206" s="153"/>
      <c r="G206" s="153"/>
      <c r="J206" s="8"/>
    </row>
    <row r="207" spans="1:10" x14ac:dyDescent="0.2">
      <c r="A207" s="153"/>
      <c r="B207" s="210" t="s">
        <v>186</v>
      </c>
      <c r="C207" s="211" t="s">
        <v>647</v>
      </c>
      <c r="D207" s="211" t="s">
        <v>648</v>
      </c>
      <c r="E207" s="153"/>
      <c r="F207" s="153"/>
      <c r="G207" s="153"/>
      <c r="J207" s="8"/>
    </row>
    <row r="208" spans="1:10" ht="25.5" x14ac:dyDescent="0.2">
      <c r="A208" s="153"/>
      <c r="B208" s="200" t="s">
        <v>919</v>
      </c>
      <c r="C208" s="212">
        <v>0.35</v>
      </c>
      <c r="D208" s="212">
        <v>0.35</v>
      </c>
      <c r="E208" s="153"/>
      <c r="F208" s="157"/>
      <c r="G208" s="158"/>
      <c r="J208" s="8"/>
    </row>
    <row r="209" spans="1:16" ht="25.5" x14ac:dyDescent="0.2">
      <c r="A209" s="153"/>
      <c r="B209" s="200" t="s">
        <v>920</v>
      </c>
      <c r="C209" s="212">
        <v>0.25</v>
      </c>
      <c r="D209" s="212">
        <v>0.25</v>
      </c>
      <c r="E209" s="153"/>
      <c r="F209" s="157"/>
      <c r="G209" s="158"/>
      <c r="J209" s="8"/>
    </row>
    <row r="210" spans="1:16" x14ac:dyDescent="0.2">
      <c r="A210" s="153"/>
      <c r="B210" s="213"/>
      <c r="C210" s="213"/>
      <c r="D210" s="214"/>
      <c r="E210" s="153"/>
      <c r="F210" s="157"/>
      <c r="G210" s="158"/>
      <c r="J210" s="8"/>
    </row>
    <row r="211" spans="1:16" ht="24.75" customHeight="1" x14ac:dyDescent="0.2">
      <c r="A211" s="151"/>
      <c r="B211" s="148" t="s">
        <v>189</v>
      </c>
      <c r="C211" s="149"/>
      <c r="D211" s="150" t="s">
        <v>182</v>
      </c>
      <c r="E211" s="160"/>
      <c r="F211" s="151"/>
      <c r="G211" s="151"/>
      <c r="J211" s="8"/>
    </row>
    <row r="212" spans="1:16" ht="24" customHeight="1" x14ac:dyDescent="0.2">
      <c r="A212" s="151"/>
      <c r="B212" s="148" t="s">
        <v>190</v>
      </c>
      <c r="C212" s="149"/>
      <c r="D212" s="150" t="s">
        <v>182</v>
      </c>
      <c r="E212" s="160"/>
      <c r="F212" s="151"/>
      <c r="G212" s="151"/>
      <c r="J212" s="8"/>
    </row>
    <row r="213" spans="1:16" x14ac:dyDescent="0.2">
      <c r="A213" s="151"/>
      <c r="B213" s="148" t="s">
        <v>191</v>
      </c>
      <c r="C213" s="149"/>
      <c r="D213" s="150" t="s">
        <v>182</v>
      </c>
      <c r="E213" s="160"/>
      <c r="F213" s="151"/>
      <c r="G213" s="151"/>
      <c r="J213" s="8"/>
    </row>
    <row r="214" spans="1:16" x14ac:dyDescent="0.2">
      <c r="A214" s="151"/>
      <c r="B214" s="148" t="s">
        <v>192</v>
      </c>
      <c r="C214" s="149"/>
      <c r="D214" s="161">
        <v>0.77560997292701672</v>
      </c>
      <c r="E214" s="151"/>
      <c r="F214" s="159"/>
      <c r="G214" s="162"/>
      <c r="J214" s="8"/>
    </row>
    <row r="215" spans="1:16" x14ac:dyDescent="0.2">
      <c r="J215" s="8"/>
    </row>
    <row r="216" spans="1:16" s="14" customFormat="1" x14ac:dyDescent="0.2">
      <c r="A216" s="215"/>
      <c r="B216" s="216" t="s">
        <v>1064</v>
      </c>
      <c r="C216" s="217"/>
      <c r="D216" s="217"/>
      <c r="E216" s="217"/>
      <c r="F216" s="217"/>
      <c r="G216" s="217"/>
      <c r="H216" s="215"/>
      <c r="I216" s="114"/>
      <c r="J216" s="8"/>
      <c r="K216"/>
      <c r="L216"/>
      <c r="M216"/>
      <c r="N216"/>
      <c r="O216"/>
      <c r="P216"/>
    </row>
    <row r="217" spans="1:16" s="14" customFormat="1" ht="63.75" x14ac:dyDescent="0.2">
      <c r="A217" s="215"/>
      <c r="B217" s="218" t="s">
        <v>921</v>
      </c>
      <c r="C217" s="218" t="s">
        <v>922</v>
      </c>
      <c r="D217" s="218" t="s">
        <v>923</v>
      </c>
      <c r="E217" s="218" t="s">
        <v>924</v>
      </c>
      <c r="F217" s="218" t="s">
        <v>925</v>
      </c>
      <c r="G217" s="217"/>
      <c r="H217" s="215"/>
      <c r="I217" s="114"/>
      <c r="J217" s="8"/>
      <c r="K217"/>
      <c r="L217"/>
      <c r="M217"/>
      <c r="N217"/>
      <c r="O217"/>
      <c r="P217"/>
    </row>
    <row r="218" spans="1:16" s="14" customFormat="1" ht="38.25" x14ac:dyDescent="0.2">
      <c r="A218" s="215"/>
      <c r="B218" s="219" t="s">
        <v>926</v>
      </c>
      <c r="C218" s="220" t="s">
        <v>927</v>
      </c>
      <c r="D218" s="221">
        <v>0</v>
      </c>
      <c r="E218" s="16">
        <v>0</v>
      </c>
      <c r="F218" s="222">
        <v>1000</v>
      </c>
      <c r="G218" s="217"/>
      <c r="H218" s="215"/>
      <c r="I218" s="114"/>
      <c r="J218" s="8"/>
      <c r="K218"/>
      <c r="L218"/>
      <c r="M218"/>
      <c r="N218"/>
      <c r="O218"/>
      <c r="P218"/>
    </row>
    <row r="219" spans="1:16" s="14" customFormat="1" x14ac:dyDescent="0.2">
      <c r="A219" s="215"/>
      <c r="B219" s="216"/>
      <c r="C219" s="217"/>
      <c r="D219" s="217"/>
      <c r="E219" s="217"/>
      <c r="F219" s="217"/>
      <c r="G219" s="217"/>
      <c r="H219" s="215"/>
      <c r="I219" s="114"/>
      <c r="J219" s="8"/>
      <c r="K219"/>
      <c r="L219"/>
      <c r="M219"/>
      <c r="N219"/>
      <c r="O219"/>
      <c r="P219"/>
    </row>
    <row r="220" spans="1:16" s="14" customFormat="1" x14ac:dyDescent="0.2">
      <c r="A220" s="215"/>
      <c r="B220" s="223" t="s">
        <v>928</v>
      </c>
      <c r="C220" s="223" t="s">
        <v>929</v>
      </c>
      <c r="D220" s="224" t="s">
        <v>930</v>
      </c>
      <c r="E220" s="225"/>
      <c r="F220" s="226" t="s">
        <v>931</v>
      </c>
      <c r="G220" s="226"/>
      <c r="H220" s="215"/>
      <c r="I220" s="114"/>
      <c r="J220" s="8"/>
      <c r="K220"/>
      <c r="L220"/>
      <c r="M220"/>
      <c r="N220"/>
      <c r="O220"/>
      <c r="P220"/>
    </row>
    <row r="221" spans="1:16" s="14" customFormat="1" ht="25.5" x14ac:dyDescent="0.2">
      <c r="A221" s="215"/>
      <c r="B221" s="227" t="s">
        <v>932</v>
      </c>
      <c r="C221" s="228" t="s">
        <v>933</v>
      </c>
      <c r="D221" s="110">
        <v>0</v>
      </c>
      <c r="E221" s="111"/>
      <c r="F221" s="110">
        <v>0</v>
      </c>
      <c r="G221" s="111"/>
      <c r="H221" s="215"/>
      <c r="I221" s="114"/>
      <c r="J221" s="8"/>
      <c r="K221"/>
      <c r="L221"/>
      <c r="M221"/>
      <c r="N221"/>
      <c r="O221"/>
      <c r="P221"/>
    </row>
    <row r="222" spans="1:16" s="14" customFormat="1" x14ac:dyDescent="0.2">
      <c r="A222" s="215"/>
      <c r="B222" s="229" t="s">
        <v>934</v>
      </c>
      <c r="C222" s="230"/>
      <c r="D222" s="230"/>
      <c r="E222" s="230"/>
      <c r="F222" s="230"/>
      <c r="G222" s="231"/>
      <c r="H222" s="215"/>
      <c r="I222" s="114"/>
      <c r="J222" s="8"/>
      <c r="K222"/>
      <c r="L222"/>
      <c r="M222"/>
      <c r="N222"/>
      <c r="O222"/>
      <c r="P222"/>
    </row>
    <row r="223" spans="1:16" s="14" customFormat="1" x14ac:dyDescent="0.2">
      <c r="A223" s="215"/>
      <c r="B223" s="226" t="s">
        <v>928</v>
      </c>
      <c r="C223" s="226" t="s">
        <v>929</v>
      </c>
      <c r="D223" s="229" t="s">
        <v>935</v>
      </c>
      <c r="E223" s="230"/>
      <c r="F223" s="231"/>
      <c r="G223" s="227"/>
      <c r="H223" s="215"/>
      <c r="I223" s="114"/>
      <c r="J223" s="8"/>
      <c r="K223"/>
      <c r="L223"/>
      <c r="M223"/>
      <c r="N223"/>
      <c r="O223"/>
      <c r="P223"/>
    </row>
    <row r="224" spans="1:16" s="14" customFormat="1" ht="51" x14ac:dyDescent="0.2">
      <c r="A224" s="215"/>
      <c r="B224" s="226"/>
      <c r="C224" s="226"/>
      <c r="D224" s="232" t="s">
        <v>936</v>
      </c>
      <c r="E224" s="232" t="s">
        <v>937</v>
      </c>
      <c r="F224" s="232" t="s">
        <v>938</v>
      </c>
      <c r="G224" s="232" t="s">
        <v>1065</v>
      </c>
      <c r="H224" s="233"/>
      <c r="I224" s="114"/>
      <c r="J224" s="8"/>
      <c r="K224"/>
      <c r="L224"/>
      <c r="M224"/>
      <c r="N224"/>
      <c r="O224"/>
      <c r="P224"/>
    </row>
    <row r="225" spans="1:16" s="14" customFormat="1" ht="25.5" x14ac:dyDescent="0.2">
      <c r="A225" s="215"/>
      <c r="B225" s="234" t="s">
        <v>932</v>
      </c>
      <c r="C225" s="228" t="s">
        <v>933</v>
      </c>
      <c r="D225" s="235">
        <v>700</v>
      </c>
      <c r="E225" s="235">
        <v>24.098357999999998</v>
      </c>
      <c r="F225" s="236">
        <v>724.09835799999996</v>
      </c>
      <c r="G225" s="237">
        <v>1.3149907453070906E-3</v>
      </c>
      <c r="H225" s="238"/>
      <c r="I225" s="114"/>
      <c r="J225" s="8"/>
      <c r="K225"/>
      <c r="L225"/>
      <c r="M225"/>
      <c r="N225"/>
      <c r="O225"/>
      <c r="P225"/>
    </row>
    <row r="226" spans="1:16" s="14" customFormat="1" ht="29.25" customHeight="1" x14ac:dyDescent="0.2">
      <c r="A226" s="215"/>
      <c r="B226" s="239" t="s">
        <v>939</v>
      </c>
      <c r="C226" s="240"/>
      <c r="D226" s="240"/>
      <c r="E226" s="240"/>
      <c r="F226" s="240"/>
      <c r="G226" s="241"/>
      <c r="H226" s="215"/>
      <c r="I226" s="114"/>
      <c r="J226" s="8"/>
      <c r="K226"/>
      <c r="L226"/>
      <c r="M226"/>
      <c r="N226"/>
      <c r="O226"/>
      <c r="P226"/>
    </row>
    <row r="227" spans="1:16" s="14" customFormat="1" x14ac:dyDescent="0.2">
      <c r="A227" s="215"/>
      <c r="B227" s="215"/>
      <c r="C227" s="215"/>
      <c r="D227" s="215"/>
      <c r="E227" s="215"/>
      <c r="F227" s="215"/>
      <c r="G227" s="215"/>
      <c r="H227" s="215"/>
      <c r="I227" s="114"/>
      <c r="J227" s="8"/>
      <c r="K227"/>
      <c r="L227"/>
      <c r="M227"/>
      <c r="N227"/>
      <c r="O227"/>
      <c r="P227"/>
    </row>
    <row r="228" spans="1:16" s="14" customFormat="1" x14ac:dyDescent="0.2">
      <c r="A228" s="215"/>
      <c r="B228" s="242" t="s">
        <v>940</v>
      </c>
      <c r="C228" s="243"/>
      <c r="D228" s="244"/>
      <c r="E228" s="215"/>
      <c r="F228" s="215"/>
      <c r="G228" s="215"/>
      <c r="H228" s="215"/>
      <c r="I228" s="114"/>
      <c r="J228" s="8"/>
      <c r="K228"/>
      <c r="L228"/>
      <c r="M228"/>
      <c r="N228"/>
      <c r="O228"/>
      <c r="P228"/>
    </row>
    <row r="229" spans="1:16" s="14" customFormat="1" ht="38.25" x14ac:dyDescent="0.2">
      <c r="A229" s="215"/>
      <c r="B229" s="245" t="s">
        <v>941</v>
      </c>
      <c r="C229" s="245"/>
      <c r="D229" s="246" t="s">
        <v>542</v>
      </c>
      <c r="E229" s="215"/>
      <c r="F229" s="215"/>
      <c r="G229" s="215"/>
      <c r="H229" s="215"/>
      <c r="I229" s="114"/>
      <c r="J229" s="8"/>
      <c r="K229"/>
      <c r="L229"/>
      <c r="M229"/>
      <c r="N229"/>
      <c r="O229"/>
      <c r="P229"/>
    </row>
    <row r="230" spans="1:16" s="14" customFormat="1" x14ac:dyDescent="0.2">
      <c r="A230" s="215"/>
      <c r="B230" s="245" t="s">
        <v>942</v>
      </c>
      <c r="C230" s="245"/>
      <c r="D230" s="246"/>
      <c r="E230" s="215"/>
      <c r="F230" s="215"/>
      <c r="G230" s="215"/>
      <c r="H230" s="215"/>
      <c r="I230" s="114"/>
      <c r="J230" s="8"/>
      <c r="K230"/>
      <c r="L230"/>
      <c r="M230"/>
      <c r="N230"/>
      <c r="O230"/>
      <c r="P230"/>
    </row>
    <row r="231" spans="1:16" s="14" customFormat="1" x14ac:dyDescent="0.2">
      <c r="A231" s="215"/>
      <c r="B231" s="247"/>
      <c r="C231" s="248"/>
      <c r="D231" s="249"/>
      <c r="E231" s="215"/>
      <c r="F231" s="215"/>
      <c r="G231" s="215"/>
      <c r="H231" s="215"/>
      <c r="I231" s="114"/>
      <c r="J231" s="8"/>
      <c r="K231"/>
      <c r="L231"/>
      <c r="M231"/>
      <c r="N231"/>
      <c r="O231"/>
      <c r="P231"/>
    </row>
    <row r="232" spans="1:16" s="14" customFormat="1" x14ac:dyDescent="0.2">
      <c r="A232" s="215"/>
      <c r="B232" s="245" t="s">
        <v>943</v>
      </c>
      <c r="C232" s="245"/>
      <c r="D232" s="250">
        <v>7.1174806728797133</v>
      </c>
      <c r="E232" s="215"/>
      <c r="F232" s="215"/>
      <c r="G232" s="215"/>
      <c r="H232" s="215"/>
      <c r="I232" s="114"/>
      <c r="J232" s="8"/>
      <c r="K232"/>
      <c r="L232"/>
      <c r="M232"/>
      <c r="N232"/>
      <c r="O232"/>
      <c r="P232"/>
    </row>
    <row r="233" spans="1:16" s="14" customFormat="1" x14ac:dyDescent="0.2">
      <c r="A233" s="215"/>
      <c r="B233" s="247"/>
      <c r="C233" s="248"/>
      <c r="D233" s="251"/>
      <c r="E233" s="215"/>
      <c r="F233" s="215"/>
      <c r="G233" s="215"/>
      <c r="H233" s="215"/>
      <c r="I233" s="114"/>
      <c r="J233" s="8"/>
      <c r="K233"/>
      <c r="L233"/>
      <c r="M233"/>
      <c r="N233"/>
      <c r="O233"/>
      <c r="P233"/>
    </row>
    <row r="234" spans="1:16" s="14" customFormat="1" x14ac:dyDescent="0.2">
      <c r="A234" s="215"/>
      <c r="B234" s="245" t="s">
        <v>944</v>
      </c>
      <c r="C234" s="245"/>
      <c r="D234" s="250">
        <v>4.7251703396047731</v>
      </c>
      <c r="E234" s="215"/>
      <c r="F234" s="215"/>
      <c r="G234" s="215"/>
      <c r="H234" s="215"/>
      <c r="I234" s="114"/>
      <c r="J234" s="8"/>
      <c r="K234"/>
      <c r="L234"/>
      <c r="M234"/>
      <c r="N234"/>
      <c r="O234"/>
      <c r="P234"/>
    </row>
    <row r="235" spans="1:16" s="14" customFormat="1" x14ac:dyDescent="0.2">
      <c r="A235" s="215"/>
      <c r="B235" s="245" t="s">
        <v>1177</v>
      </c>
      <c r="C235" s="245"/>
      <c r="D235" s="250">
        <v>7.1676040835971504</v>
      </c>
      <c r="E235" s="215"/>
      <c r="F235" s="215"/>
      <c r="G235" s="215"/>
      <c r="H235" s="215"/>
      <c r="I235" s="114"/>
      <c r="J235" s="8"/>
      <c r="K235"/>
      <c r="L235"/>
      <c r="M235"/>
      <c r="N235"/>
      <c r="O235"/>
      <c r="P235"/>
    </row>
    <row r="236" spans="1:16" s="14" customFormat="1" x14ac:dyDescent="0.2">
      <c r="A236" s="215"/>
      <c r="B236" s="247"/>
      <c r="C236" s="248"/>
      <c r="D236" s="249"/>
      <c r="E236" s="215"/>
      <c r="F236" s="215"/>
      <c r="G236" s="215"/>
      <c r="H236" s="215"/>
      <c r="I236" s="114"/>
      <c r="J236" s="8"/>
      <c r="K236"/>
      <c r="L236"/>
      <c r="M236"/>
      <c r="N236"/>
      <c r="O236"/>
      <c r="P236"/>
    </row>
    <row r="237" spans="1:16" s="14" customFormat="1" x14ac:dyDescent="0.2">
      <c r="A237" s="215"/>
      <c r="B237" s="245" t="s">
        <v>945</v>
      </c>
      <c r="C237" s="245"/>
      <c r="D237" s="252" t="s">
        <v>1066</v>
      </c>
      <c r="E237" s="215"/>
      <c r="F237" s="215"/>
      <c r="G237" s="215"/>
      <c r="H237" s="215"/>
      <c r="I237" s="114"/>
      <c r="J237" s="8"/>
      <c r="K237"/>
      <c r="L237"/>
      <c r="M237"/>
      <c r="N237"/>
      <c r="O237"/>
      <c r="P237"/>
    </row>
    <row r="238" spans="1:16" s="14" customFormat="1" x14ac:dyDescent="0.2">
      <c r="A238" s="215"/>
      <c r="B238" s="247" t="s">
        <v>946</v>
      </c>
      <c r="C238" s="253"/>
      <c r="D238" s="248"/>
      <c r="E238" s="215"/>
      <c r="F238" s="215"/>
      <c r="G238" s="215"/>
      <c r="H238" s="215"/>
      <c r="I238" s="114"/>
      <c r="J238" s="8"/>
      <c r="K238"/>
      <c r="L238"/>
      <c r="M238"/>
      <c r="N238"/>
      <c r="O238"/>
      <c r="P238"/>
    </row>
    <row r="239" spans="1:16" x14ac:dyDescent="0.2">
      <c r="J239" s="8"/>
    </row>
    <row r="240" spans="1:16" x14ac:dyDescent="0.2">
      <c r="J240" s="8"/>
    </row>
    <row r="241" spans="10:10" x14ac:dyDescent="0.2">
      <c r="J241" s="8"/>
    </row>
  </sheetData>
  <mergeCells count="38">
    <mergeCell ref="B214:C214"/>
    <mergeCell ref="B196:C196"/>
    <mergeCell ref="B197:C197"/>
    <mergeCell ref="B211:C211"/>
    <mergeCell ref="B206:C206"/>
    <mergeCell ref="B212:C212"/>
    <mergeCell ref="B213:C213"/>
    <mergeCell ref="B198:C198"/>
    <mergeCell ref="B190:H190"/>
    <mergeCell ref="B191:H191"/>
    <mergeCell ref="B192:H192"/>
    <mergeCell ref="B193:F193"/>
    <mergeCell ref="B195:D195"/>
    <mergeCell ref="A1:H1"/>
    <mergeCell ref="A2:H2"/>
    <mergeCell ref="A3:H3"/>
    <mergeCell ref="B188:H188"/>
    <mergeCell ref="B189:H189"/>
    <mergeCell ref="D220:E220"/>
    <mergeCell ref="F220:G220"/>
    <mergeCell ref="D221:E221"/>
    <mergeCell ref="F221:G221"/>
    <mergeCell ref="B222:G222"/>
    <mergeCell ref="B223:B224"/>
    <mergeCell ref="C223:C224"/>
    <mergeCell ref="D223:F223"/>
    <mergeCell ref="B226:G226"/>
    <mergeCell ref="B228:D228"/>
    <mergeCell ref="B229:C229"/>
    <mergeCell ref="B230:C230"/>
    <mergeCell ref="B231:C231"/>
    <mergeCell ref="B232:C232"/>
    <mergeCell ref="B233:C233"/>
    <mergeCell ref="B234:C234"/>
    <mergeCell ref="B235:C235"/>
    <mergeCell ref="B236:C236"/>
    <mergeCell ref="B237:C237"/>
    <mergeCell ref="B238:D238"/>
  </mergeCells>
  <hyperlinks>
    <hyperlink ref="I1" location="Index!B2" display="Index" xr:uid="{07ABE5A6-DE23-4B13-9A25-EC34B55FA33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7A937-7909-46AD-B1EB-9586728AB85C}">
  <sheetPr>
    <outlinePr summaryBelow="0" summaryRight="0"/>
  </sheetPr>
  <dimension ref="A1:Q175"/>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43" style="114" customWidth="1"/>
    <col min="4" max="4" width="17.7109375" style="114" bestFit="1" customWidth="1"/>
    <col min="5" max="5" width="10.42578125" style="114" bestFit="1" customWidth="1"/>
    <col min="6" max="6" width="10.140625" style="114" bestFit="1" customWidth="1"/>
    <col min="7" max="7" width="14" style="114" bestFit="1" customWidth="1"/>
    <col min="8" max="8" width="5.7109375" style="114"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866</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1045</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343</v>
      </c>
      <c r="C7" s="122" t="s">
        <v>344</v>
      </c>
      <c r="D7" s="122" t="s">
        <v>48</v>
      </c>
      <c r="E7" s="123">
        <v>74250</v>
      </c>
      <c r="F7" s="124">
        <v>1286.0471250000001</v>
      </c>
      <c r="G7" s="125">
        <v>7.8955209999999998E-2</v>
      </c>
      <c r="H7" s="120" t="s">
        <v>151</v>
      </c>
      <c r="J7" s="8"/>
    </row>
    <row r="8" spans="1:10" x14ac:dyDescent="0.2">
      <c r="A8" s="121">
        <v>2</v>
      </c>
      <c r="B8" s="122" t="s">
        <v>135</v>
      </c>
      <c r="C8" s="122" t="s">
        <v>136</v>
      </c>
      <c r="D8" s="122" t="s">
        <v>16</v>
      </c>
      <c r="E8" s="123">
        <v>285600</v>
      </c>
      <c r="F8" s="124">
        <v>1121.1228000000001</v>
      </c>
      <c r="G8" s="125">
        <v>6.8829899999999999E-2</v>
      </c>
      <c r="H8" s="120" t="s">
        <v>151</v>
      </c>
      <c r="J8" s="8"/>
    </row>
    <row r="9" spans="1:10" x14ac:dyDescent="0.2">
      <c r="A9" s="121">
        <v>3</v>
      </c>
      <c r="B9" s="122" t="s">
        <v>20</v>
      </c>
      <c r="C9" s="122" t="s">
        <v>21</v>
      </c>
      <c r="D9" s="122" t="s">
        <v>22</v>
      </c>
      <c r="E9" s="123">
        <v>35250</v>
      </c>
      <c r="F9" s="124">
        <v>1040.985375</v>
      </c>
      <c r="G9" s="125">
        <v>6.3909960000000002E-2</v>
      </c>
      <c r="H9" s="120" t="s">
        <v>151</v>
      </c>
      <c r="J9" s="8"/>
    </row>
    <row r="10" spans="1:10" ht="25.5" x14ac:dyDescent="0.2">
      <c r="A10" s="121">
        <v>4</v>
      </c>
      <c r="B10" s="122" t="s">
        <v>113</v>
      </c>
      <c r="C10" s="122" t="s">
        <v>114</v>
      </c>
      <c r="D10" s="122" t="s">
        <v>25</v>
      </c>
      <c r="E10" s="123">
        <v>144000</v>
      </c>
      <c r="F10" s="124">
        <v>910.87199999999996</v>
      </c>
      <c r="G10" s="125">
        <v>5.5921819999999997E-2</v>
      </c>
      <c r="H10" s="120" t="s">
        <v>151</v>
      </c>
      <c r="J10" s="8"/>
    </row>
    <row r="11" spans="1:10" ht="25.5" x14ac:dyDescent="0.2">
      <c r="A11" s="121">
        <v>5</v>
      </c>
      <c r="B11" s="122" t="s">
        <v>649</v>
      </c>
      <c r="C11" s="122" t="s">
        <v>650</v>
      </c>
      <c r="D11" s="122" t="s">
        <v>651</v>
      </c>
      <c r="E11" s="123">
        <v>25500</v>
      </c>
      <c r="F11" s="124">
        <v>799.64175</v>
      </c>
      <c r="G11" s="125">
        <v>4.9092980000000001E-2</v>
      </c>
      <c r="H11" s="120" t="s">
        <v>151</v>
      </c>
      <c r="J11" s="8"/>
    </row>
    <row r="12" spans="1:10" ht="15" x14ac:dyDescent="0.2">
      <c r="A12" s="121">
        <v>6</v>
      </c>
      <c r="B12" s="122" t="s">
        <v>652</v>
      </c>
      <c r="C12" s="122" t="s">
        <v>653</v>
      </c>
      <c r="D12" s="122" t="s">
        <v>45</v>
      </c>
      <c r="E12" s="123">
        <v>85800</v>
      </c>
      <c r="F12" s="124">
        <v>768.03869999999995</v>
      </c>
      <c r="G12" s="125">
        <v>4.715275E-2</v>
      </c>
      <c r="H12" s="120" t="s">
        <v>151</v>
      </c>
      <c r="J12" s="11"/>
    </row>
    <row r="13" spans="1:10" x14ac:dyDescent="0.2">
      <c r="A13" s="121">
        <v>7</v>
      </c>
      <c r="B13" s="122" t="s">
        <v>654</v>
      </c>
      <c r="C13" s="122" t="s">
        <v>655</v>
      </c>
      <c r="D13" s="122" t="s">
        <v>121</v>
      </c>
      <c r="E13" s="123">
        <v>252000</v>
      </c>
      <c r="F13" s="124">
        <v>507.40199999999999</v>
      </c>
      <c r="G13" s="125">
        <v>3.1151290000000002E-2</v>
      </c>
      <c r="H13" s="120" t="s">
        <v>151</v>
      </c>
      <c r="J13" s="8"/>
    </row>
    <row r="14" spans="1:10" x14ac:dyDescent="0.2">
      <c r="A14" s="121">
        <v>8</v>
      </c>
      <c r="B14" s="122" t="s">
        <v>656</v>
      </c>
      <c r="C14" s="122" t="s">
        <v>657</v>
      </c>
      <c r="D14" s="122" t="s">
        <v>658</v>
      </c>
      <c r="E14" s="123">
        <v>89700</v>
      </c>
      <c r="F14" s="124">
        <v>459.84705000000002</v>
      </c>
      <c r="G14" s="125">
        <v>2.8231719999999998E-2</v>
      </c>
      <c r="H14" s="120" t="s">
        <v>151</v>
      </c>
      <c r="J14" s="8" t="s">
        <v>975</v>
      </c>
    </row>
    <row r="15" spans="1:10" x14ac:dyDescent="0.2">
      <c r="A15" s="121">
        <v>9</v>
      </c>
      <c r="B15" s="122" t="s">
        <v>463</v>
      </c>
      <c r="C15" s="122" t="s">
        <v>464</v>
      </c>
      <c r="D15" s="122" t="s">
        <v>48</v>
      </c>
      <c r="E15" s="123">
        <v>157950</v>
      </c>
      <c r="F15" s="124">
        <v>391.40010000000001</v>
      </c>
      <c r="G15" s="125">
        <v>2.402951E-2</v>
      </c>
      <c r="H15" s="120" t="s">
        <v>151</v>
      </c>
      <c r="J15" s="8"/>
    </row>
    <row r="16" spans="1:10" x14ac:dyDescent="0.2">
      <c r="A16" s="121">
        <v>10</v>
      </c>
      <c r="B16" s="122" t="s">
        <v>547</v>
      </c>
      <c r="C16" s="122" t="s">
        <v>548</v>
      </c>
      <c r="D16" s="122" t="s">
        <v>270</v>
      </c>
      <c r="E16" s="123">
        <v>2650</v>
      </c>
      <c r="F16" s="124">
        <v>350.80700000000002</v>
      </c>
      <c r="G16" s="125">
        <v>2.153735E-2</v>
      </c>
      <c r="H16" s="120" t="s">
        <v>151</v>
      </c>
      <c r="J16" s="8"/>
    </row>
    <row r="17" spans="1:10" x14ac:dyDescent="0.2">
      <c r="A17" s="121">
        <v>11</v>
      </c>
      <c r="B17" s="122" t="s">
        <v>334</v>
      </c>
      <c r="C17" s="122" t="s">
        <v>335</v>
      </c>
      <c r="D17" s="122" t="s">
        <v>238</v>
      </c>
      <c r="E17" s="123">
        <v>51000</v>
      </c>
      <c r="F17" s="124">
        <v>349.197</v>
      </c>
      <c r="G17" s="125">
        <v>2.1438499999999999E-2</v>
      </c>
      <c r="H17" s="120" t="s">
        <v>151</v>
      </c>
      <c r="J17" s="8"/>
    </row>
    <row r="18" spans="1:10" x14ac:dyDescent="0.2">
      <c r="A18" s="121">
        <v>12</v>
      </c>
      <c r="B18" s="122" t="s">
        <v>364</v>
      </c>
      <c r="C18" s="122" t="s">
        <v>365</v>
      </c>
      <c r="D18" s="122" t="s">
        <v>270</v>
      </c>
      <c r="E18" s="123">
        <v>30250</v>
      </c>
      <c r="F18" s="124">
        <v>294.83162499999997</v>
      </c>
      <c r="G18" s="125">
        <v>1.8100809999999998E-2</v>
      </c>
      <c r="H18" s="120" t="s">
        <v>151</v>
      </c>
      <c r="J18" s="8"/>
    </row>
    <row r="19" spans="1:10" x14ac:dyDescent="0.2">
      <c r="A19" s="121">
        <v>13</v>
      </c>
      <c r="B19" s="122" t="s">
        <v>659</v>
      </c>
      <c r="C19" s="122" t="s">
        <v>660</v>
      </c>
      <c r="D19" s="122" t="s">
        <v>121</v>
      </c>
      <c r="E19" s="123">
        <v>102600</v>
      </c>
      <c r="F19" s="124">
        <v>243.65448000000001</v>
      </c>
      <c r="G19" s="125">
        <v>1.4958849999999999E-2</v>
      </c>
      <c r="H19" s="120" t="s">
        <v>151</v>
      </c>
      <c r="J19" s="8"/>
    </row>
    <row r="20" spans="1:10" x14ac:dyDescent="0.2">
      <c r="A20" s="121">
        <v>14</v>
      </c>
      <c r="B20" s="122" t="s">
        <v>349</v>
      </c>
      <c r="C20" s="122" t="s">
        <v>350</v>
      </c>
      <c r="D20" s="122" t="s">
        <v>48</v>
      </c>
      <c r="E20" s="123">
        <v>19375</v>
      </c>
      <c r="F20" s="124">
        <v>238.73875000000001</v>
      </c>
      <c r="G20" s="125">
        <v>1.465706E-2</v>
      </c>
      <c r="H20" s="120" t="s">
        <v>151</v>
      </c>
      <c r="J20" s="8"/>
    </row>
    <row r="21" spans="1:10" x14ac:dyDescent="0.2">
      <c r="A21" s="121">
        <v>15</v>
      </c>
      <c r="B21" s="122" t="s">
        <v>49</v>
      </c>
      <c r="C21" s="122" t="s">
        <v>50</v>
      </c>
      <c r="D21" s="122" t="s">
        <v>19</v>
      </c>
      <c r="E21" s="123">
        <v>41850</v>
      </c>
      <c r="F21" s="124">
        <v>201.96809999999999</v>
      </c>
      <c r="G21" s="125">
        <v>1.239957E-2</v>
      </c>
      <c r="H21" s="120" t="s">
        <v>151</v>
      </c>
      <c r="J21" s="8"/>
    </row>
    <row r="22" spans="1:10" ht="25.5" x14ac:dyDescent="0.2">
      <c r="A22" s="121">
        <v>16</v>
      </c>
      <c r="B22" s="122" t="s">
        <v>380</v>
      </c>
      <c r="C22" s="122" t="s">
        <v>381</v>
      </c>
      <c r="D22" s="122" t="s">
        <v>205</v>
      </c>
      <c r="E22" s="123">
        <v>13200</v>
      </c>
      <c r="F22" s="124">
        <v>192.8124</v>
      </c>
      <c r="G22" s="125">
        <v>1.1837469999999999E-2</v>
      </c>
      <c r="H22" s="120" t="s">
        <v>151</v>
      </c>
      <c r="J22" s="11"/>
    </row>
    <row r="23" spans="1:10" x14ac:dyDescent="0.2">
      <c r="A23" s="121">
        <v>17</v>
      </c>
      <c r="B23" s="122" t="s">
        <v>661</v>
      </c>
      <c r="C23" s="122" t="s">
        <v>662</v>
      </c>
      <c r="D23" s="122" t="s">
        <v>48</v>
      </c>
      <c r="E23" s="123">
        <v>168750</v>
      </c>
      <c r="F23" s="124">
        <v>187.86937499999999</v>
      </c>
      <c r="G23" s="125">
        <v>1.1534000000000001E-2</v>
      </c>
      <c r="H23" s="120" t="s">
        <v>151</v>
      </c>
      <c r="J23" s="8"/>
    </row>
    <row r="24" spans="1:10" x14ac:dyDescent="0.2">
      <c r="A24" s="121">
        <v>18</v>
      </c>
      <c r="B24" s="122" t="s">
        <v>351</v>
      </c>
      <c r="C24" s="122" t="s">
        <v>352</v>
      </c>
      <c r="D24" s="122" t="s">
        <v>48</v>
      </c>
      <c r="E24" s="123">
        <v>9200</v>
      </c>
      <c r="F24" s="124">
        <v>170.5634</v>
      </c>
      <c r="G24" s="125">
        <v>1.047152E-2</v>
      </c>
      <c r="H24" s="120" t="s">
        <v>151</v>
      </c>
      <c r="J24" s="8"/>
    </row>
    <row r="25" spans="1:10" x14ac:dyDescent="0.2">
      <c r="A25" s="121">
        <v>19</v>
      </c>
      <c r="B25" s="122" t="s">
        <v>11</v>
      </c>
      <c r="C25" s="122" t="s">
        <v>12</v>
      </c>
      <c r="D25" s="122" t="s">
        <v>13</v>
      </c>
      <c r="E25" s="123">
        <v>4500</v>
      </c>
      <c r="F25" s="124">
        <v>165.39975000000001</v>
      </c>
      <c r="G25" s="125">
        <v>1.015451E-2</v>
      </c>
      <c r="H25" s="120" t="s">
        <v>151</v>
      </c>
      <c r="J25" s="8"/>
    </row>
    <row r="26" spans="1:10" x14ac:dyDescent="0.2">
      <c r="A26" s="121">
        <v>20</v>
      </c>
      <c r="B26" s="122" t="s">
        <v>384</v>
      </c>
      <c r="C26" s="122" t="s">
        <v>385</v>
      </c>
      <c r="D26" s="122" t="s">
        <v>134</v>
      </c>
      <c r="E26" s="123">
        <v>93500</v>
      </c>
      <c r="F26" s="124">
        <v>157.59424999999999</v>
      </c>
      <c r="G26" s="125">
        <v>9.6752999999999995E-3</v>
      </c>
      <c r="H26" s="120" t="s">
        <v>151</v>
      </c>
      <c r="J26" s="8"/>
    </row>
    <row r="27" spans="1:10" x14ac:dyDescent="0.2">
      <c r="A27" s="121">
        <v>21</v>
      </c>
      <c r="B27" s="122" t="s">
        <v>36</v>
      </c>
      <c r="C27" s="122" t="s">
        <v>37</v>
      </c>
      <c r="D27" s="122" t="s">
        <v>38</v>
      </c>
      <c r="E27" s="123">
        <v>42750</v>
      </c>
      <c r="F27" s="124">
        <v>121.88025</v>
      </c>
      <c r="G27" s="125">
        <v>7.4826800000000002E-3</v>
      </c>
      <c r="H27" s="120" t="s">
        <v>151</v>
      </c>
      <c r="J27" s="8"/>
    </row>
    <row r="28" spans="1:10" x14ac:dyDescent="0.2">
      <c r="A28" s="121">
        <v>22</v>
      </c>
      <c r="B28" s="122" t="s">
        <v>549</v>
      </c>
      <c r="C28" s="122" t="s">
        <v>550</v>
      </c>
      <c r="D28" s="122" t="s">
        <v>270</v>
      </c>
      <c r="E28" s="123">
        <v>3850</v>
      </c>
      <c r="F28" s="124">
        <v>119.15365</v>
      </c>
      <c r="G28" s="125">
        <v>7.3152900000000003E-3</v>
      </c>
      <c r="H28" s="120" t="s">
        <v>151</v>
      </c>
      <c r="J28" s="8"/>
    </row>
    <row r="29" spans="1:10" x14ac:dyDescent="0.2">
      <c r="A29" s="121">
        <v>23</v>
      </c>
      <c r="B29" s="122" t="s">
        <v>63</v>
      </c>
      <c r="C29" s="122" t="s">
        <v>64</v>
      </c>
      <c r="D29" s="122" t="s">
        <v>48</v>
      </c>
      <c r="E29" s="123">
        <v>13500</v>
      </c>
      <c r="F29" s="124">
        <v>106.3665</v>
      </c>
      <c r="G29" s="125">
        <v>6.5302399999999997E-3</v>
      </c>
      <c r="H29" s="120" t="s">
        <v>151</v>
      </c>
      <c r="J29" s="8"/>
    </row>
    <row r="30" spans="1:10" x14ac:dyDescent="0.2">
      <c r="A30" s="121">
        <v>24</v>
      </c>
      <c r="B30" s="122" t="s">
        <v>663</v>
      </c>
      <c r="C30" s="122" t="s">
        <v>664</v>
      </c>
      <c r="D30" s="122" t="s">
        <v>121</v>
      </c>
      <c r="E30" s="123">
        <v>1250</v>
      </c>
      <c r="F30" s="124">
        <v>96.287499999999994</v>
      </c>
      <c r="G30" s="125">
        <v>5.9114500000000004E-3</v>
      </c>
      <c r="H30" s="120" t="s">
        <v>151</v>
      </c>
      <c r="J30" s="8"/>
    </row>
    <row r="31" spans="1:10" x14ac:dyDescent="0.2">
      <c r="A31" s="121">
        <v>25</v>
      </c>
      <c r="B31" s="122" t="s">
        <v>17</v>
      </c>
      <c r="C31" s="122" t="s">
        <v>18</v>
      </c>
      <c r="D31" s="122" t="s">
        <v>19</v>
      </c>
      <c r="E31" s="123">
        <v>13500</v>
      </c>
      <c r="F31" s="124">
        <v>59.832000000000001</v>
      </c>
      <c r="G31" s="125">
        <v>3.6733099999999999E-3</v>
      </c>
      <c r="H31" s="120" t="s">
        <v>151</v>
      </c>
      <c r="J31" s="8"/>
    </row>
    <row r="32" spans="1:10" x14ac:dyDescent="0.2">
      <c r="A32" s="121">
        <v>26</v>
      </c>
      <c r="B32" s="122" t="s">
        <v>665</v>
      </c>
      <c r="C32" s="122" t="s">
        <v>666</v>
      </c>
      <c r="D32" s="122" t="s">
        <v>22</v>
      </c>
      <c r="E32" s="123">
        <v>29250</v>
      </c>
      <c r="F32" s="124">
        <v>52.693874999999998</v>
      </c>
      <c r="G32" s="125">
        <v>3.23507E-3</v>
      </c>
      <c r="H32" s="120" t="s">
        <v>151</v>
      </c>
      <c r="J32" s="8"/>
    </row>
    <row r="33" spans="1:10" x14ac:dyDescent="0.2">
      <c r="A33" s="121">
        <v>27</v>
      </c>
      <c r="B33" s="122" t="s">
        <v>366</v>
      </c>
      <c r="C33" s="122" t="s">
        <v>367</v>
      </c>
      <c r="D33" s="122" t="s">
        <v>368</v>
      </c>
      <c r="E33" s="123">
        <v>9600</v>
      </c>
      <c r="F33" s="124">
        <v>49.742400000000004</v>
      </c>
      <c r="G33" s="125">
        <v>3.0538700000000002E-3</v>
      </c>
      <c r="H33" s="120" t="s">
        <v>151</v>
      </c>
      <c r="J33" s="8"/>
    </row>
    <row r="34" spans="1:10" ht="25.5" x14ac:dyDescent="0.2">
      <c r="A34" s="121">
        <v>28</v>
      </c>
      <c r="B34" s="122" t="s">
        <v>306</v>
      </c>
      <c r="C34" s="122" t="s">
        <v>307</v>
      </c>
      <c r="D34" s="122" t="s">
        <v>25</v>
      </c>
      <c r="E34" s="123">
        <v>1800</v>
      </c>
      <c r="F34" s="124">
        <v>45.242100000000001</v>
      </c>
      <c r="G34" s="125">
        <v>2.77758E-3</v>
      </c>
      <c r="H34" s="120" t="s">
        <v>151</v>
      </c>
      <c r="J34" s="8"/>
    </row>
    <row r="35" spans="1:10" x14ac:dyDescent="0.2">
      <c r="A35" s="118"/>
      <c r="B35" s="118"/>
      <c r="C35" s="119" t="s">
        <v>150</v>
      </c>
      <c r="D35" s="118"/>
      <c r="E35" s="118" t="s">
        <v>151</v>
      </c>
      <c r="F35" s="126">
        <v>10489.991305</v>
      </c>
      <c r="G35" s="127">
        <v>0.64401956999999999</v>
      </c>
      <c r="H35" s="120" t="s">
        <v>151</v>
      </c>
      <c r="J35" s="8"/>
    </row>
    <row r="36" spans="1:10" x14ac:dyDescent="0.2">
      <c r="A36" s="118"/>
      <c r="B36" s="118"/>
      <c r="C36" s="128"/>
      <c r="D36" s="118"/>
      <c r="E36" s="118"/>
      <c r="F36" s="129"/>
      <c r="G36" s="129"/>
      <c r="H36" s="120" t="s">
        <v>151</v>
      </c>
      <c r="J36" s="8"/>
    </row>
    <row r="37" spans="1:10" x14ac:dyDescent="0.2">
      <c r="A37" s="118"/>
      <c r="B37" s="118"/>
      <c r="C37" s="119" t="s">
        <v>152</v>
      </c>
      <c r="D37" s="118"/>
      <c r="E37" s="118"/>
      <c r="F37" s="118"/>
      <c r="G37" s="118"/>
      <c r="H37" s="120" t="s">
        <v>151</v>
      </c>
      <c r="J37" s="8"/>
    </row>
    <row r="38" spans="1:10" x14ac:dyDescent="0.2">
      <c r="A38" s="118"/>
      <c r="B38" s="118"/>
      <c r="C38" s="119" t="s">
        <v>150</v>
      </c>
      <c r="D38" s="118"/>
      <c r="E38" s="118" t="s">
        <v>151</v>
      </c>
      <c r="F38" s="130" t="s">
        <v>153</v>
      </c>
      <c r="G38" s="127">
        <v>0</v>
      </c>
      <c r="H38" s="120" t="s">
        <v>151</v>
      </c>
      <c r="J38" s="8"/>
    </row>
    <row r="39" spans="1:10" x14ac:dyDescent="0.2">
      <c r="A39" s="118"/>
      <c r="B39" s="118"/>
      <c r="C39" s="128"/>
      <c r="D39" s="118"/>
      <c r="E39" s="118"/>
      <c r="F39" s="129"/>
      <c r="G39" s="129"/>
      <c r="H39" s="120" t="s">
        <v>151</v>
      </c>
      <c r="J39" s="8"/>
    </row>
    <row r="40" spans="1:10" x14ac:dyDescent="0.2">
      <c r="A40" s="118"/>
      <c r="B40" s="118"/>
      <c r="C40" s="119" t="s">
        <v>154</v>
      </c>
      <c r="D40" s="118"/>
      <c r="E40" s="118"/>
      <c r="F40" s="118"/>
      <c r="G40" s="118"/>
      <c r="H40" s="120" t="s">
        <v>151</v>
      </c>
      <c r="J40" s="8"/>
    </row>
    <row r="41" spans="1:10" x14ac:dyDescent="0.2">
      <c r="A41" s="118"/>
      <c r="B41" s="118"/>
      <c r="C41" s="119" t="s">
        <v>150</v>
      </c>
      <c r="D41" s="118"/>
      <c r="E41" s="118" t="s">
        <v>151</v>
      </c>
      <c r="F41" s="130" t="s">
        <v>153</v>
      </c>
      <c r="G41" s="127">
        <v>0</v>
      </c>
      <c r="H41" s="120" t="s">
        <v>151</v>
      </c>
      <c r="J41" s="8"/>
    </row>
    <row r="42" spans="1:10" x14ac:dyDescent="0.2">
      <c r="A42" s="118"/>
      <c r="B42" s="118"/>
      <c r="C42" s="128"/>
      <c r="D42" s="118"/>
      <c r="E42" s="118"/>
      <c r="F42" s="129"/>
      <c r="G42" s="129"/>
      <c r="H42" s="120" t="s">
        <v>151</v>
      </c>
      <c r="J42" s="8"/>
    </row>
    <row r="43" spans="1:10" x14ac:dyDescent="0.2">
      <c r="A43" s="118"/>
      <c r="B43" s="118"/>
      <c r="C43" s="119" t="s">
        <v>155</v>
      </c>
      <c r="D43" s="118"/>
      <c r="E43" s="118"/>
      <c r="F43" s="118"/>
      <c r="G43" s="118"/>
      <c r="H43" s="120" t="s">
        <v>151</v>
      </c>
      <c r="J43" s="8"/>
    </row>
    <row r="44" spans="1:10" x14ac:dyDescent="0.2">
      <c r="A44" s="118"/>
      <c r="B44" s="118"/>
      <c r="C44" s="119" t="s">
        <v>150</v>
      </c>
      <c r="D44" s="118"/>
      <c r="E44" s="118" t="s">
        <v>151</v>
      </c>
      <c r="F44" s="130" t="s">
        <v>153</v>
      </c>
      <c r="G44" s="127">
        <v>0</v>
      </c>
      <c r="H44" s="120" t="s">
        <v>151</v>
      </c>
      <c r="J44" s="8"/>
    </row>
    <row r="45" spans="1:10" x14ac:dyDescent="0.2">
      <c r="A45" s="118"/>
      <c r="B45" s="118"/>
      <c r="C45" s="128"/>
      <c r="D45" s="118"/>
      <c r="E45" s="118"/>
      <c r="F45" s="129"/>
      <c r="G45" s="129"/>
      <c r="H45" s="120" t="s">
        <v>151</v>
      </c>
      <c r="J45" s="8"/>
    </row>
    <row r="46" spans="1:10" x14ac:dyDescent="0.2">
      <c r="A46" s="118"/>
      <c r="B46" s="118"/>
      <c r="C46" s="119" t="s">
        <v>156</v>
      </c>
      <c r="D46" s="118"/>
      <c r="E46" s="118"/>
      <c r="F46" s="129"/>
      <c r="G46" s="129"/>
      <c r="H46" s="120" t="s">
        <v>151</v>
      </c>
      <c r="J46" s="8"/>
    </row>
    <row r="47" spans="1:10" x14ac:dyDescent="0.2">
      <c r="A47" s="118"/>
      <c r="B47" s="118"/>
      <c r="C47" s="119" t="s">
        <v>150</v>
      </c>
      <c r="D47" s="118"/>
      <c r="E47" s="118" t="s">
        <v>151</v>
      </c>
      <c r="F47" s="130" t="s">
        <v>153</v>
      </c>
      <c r="G47" s="127">
        <v>0</v>
      </c>
      <c r="H47" s="120" t="s">
        <v>151</v>
      </c>
      <c r="J47" s="8"/>
    </row>
    <row r="48" spans="1:10" x14ac:dyDescent="0.2">
      <c r="A48" s="118"/>
      <c r="B48" s="118"/>
      <c r="C48" s="128"/>
      <c r="D48" s="118"/>
      <c r="E48" s="118"/>
      <c r="F48" s="129"/>
      <c r="G48" s="129"/>
      <c r="H48" s="120" t="s">
        <v>151</v>
      </c>
      <c r="J48" s="8"/>
    </row>
    <row r="49" spans="1:10" x14ac:dyDescent="0.2">
      <c r="A49" s="118"/>
      <c r="B49" s="118"/>
      <c r="C49" s="119" t="s">
        <v>157</v>
      </c>
      <c r="D49" s="118"/>
      <c r="E49" s="118"/>
      <c r="F49" s="129"/>
      <c r="G49" s="129"/>
      <c r="H49" s="120" t="s">
        <v>151</v>
      </c>
      <c r="J49" s="8"/>
    </row>
    <row r="50" spans="1:10" x14ac:dyDescent="0.2">
      <c r="A50" s="121">
        <v>1</v>
      </c>
      <c r="B50" s="122"/>
      <c r="C50" s="122" t="s">
        <v>947</v>
      </c>
      <c r="D50" s="122" t="s">
        <v>667</v>
      </c>
      <c r="E50" s="123">
        <v>-1800</v>
      </c>
      <c r="F50" s="124">
        <v>-45.552599999999998</v>
      </c>
      <c r="G50" s="125">
        <v>-2.7966433914811402E-3</v>
      </c>
      <c r="H50" s="120" t="s">
        <v>151</v>
      </c>
      <c r="J50" s="8"/>
    </row>
    <row r="51" spans="1:10" x14ac:dyDescent="0.2">
      <c r="A51" s="121">
        <v>2</v>
      </c>
      <c r="B51" s="122"/>
      <c r="C51" s="122" t="s">
        <v>948</v>
      </c>
      <c r="D51" s="122" t="s">
        <v>667</v>
      </c>
      <c r="E51" s="123">
        <v>-9600</v>
      </c>
      <c r="F51" s="124">
        <v>-50.155200000000001</v>
      </c>
      <c r="G51" s="125">
        <v>-3.0792141091488716E-3</v>
      </c>
      <c r="H51" s="120" t="s">
        <v>151</v>
      </c>
      <c r="J51" s="8"/>
    </row>
    <row r="52" spans="1:10" x14ac:dyDescent="0.2">
      <c r="A52" s="121">
        <v>3</v>
      </c>
      <c r="B52" s="122"/>
      <c r="C52" s="122" t="s">
        <v>949</v>
      </c>
      <c r="D52" s="122" t="s">
        <v>667</v>
      </c>
      <c r="E52" s="123">
        <v>-29250</v>
      </c>
      <c r="F52" s="124">
        <v>-52.983449999999998</v>
      </c>
      <c r="G52" s="125">
        <v>-3.2528508866754352E-3</v>
      </c>
      <c r="H52" s="120" t="s">
        <v>151</v>
      </c>
      <c r="J52" s="8"/>
    </row>
    <row r="53" spans="1:10" x14ac:dyDescent="0.2">
      <c r="A53" s="121">
        <v>4</v>
      </c>
      <c r="B53" s="122"/>
      <c r="C53" s="122" t="s">
        <v>950</v>
      </c>
      <c r="D53" s="122" t="s">
        <v>667</v>
      </c>
      <c r="E53" s="123">
        <v>-13500</v>
      </c>
      <c r="F53" s="124">
        <v>-60.176250000000003</v>
      </c>
      <c r="G53" s="125">
        <v>-3.6944436077549249E-3</v>
      </c>
      <c r="H53" s="120" t="s">
        <v>151</v>
      </c>
      <c r="J53" s="8"/>
    </row>
    <row r="54" spans="1:10" x14ac:dyDescent="0.2">
      <c r="A54" s="121">
        <v>5</v>
      </c>
      <c r="B54" s="122"/>
      <c r="C54" s="122" t="s">
        <v>951</v>
      </c>
      <c r="D54" s="122" t="s">
        <v>667</v>
      </c>
      <c r="E54" s="123">
        <v>-1250</v>
      </c>
      <c r="F54" s="124">
        <v>-97.013750000000002</v>
      </c>
      <c r="G54" s="125">
        <v>-5.9560346241554485E-3</v>
      </c>
      <c r="H54" s="120" t="s">
        <v>151</v>
      </c>
      <c r="J54" s="8"/>
    </row>
    <row r="55" spans="1:10" x14ac:dyDescent="0.2">
      <c r="A55" s="121">
        <v>6</v>
      </c>
      <c r="B55" s="122"/>
      <c r="C55" s="122" t="s">
        <v>952</v>
      </c>
      <c r="D55" s="122" t="s">
        <v>667</v>
      </c>
      <c r="E55" s="123">
        <v>-13500</v>
      </c>
      <c r="F55" s="124">
        <v>-107.0145</v>
      </c>
      <c r="G55" s="125">
        <v>-6.5700178303249104E-3</v>
      </c>
      <c r="H55" s="120" t="s">
        <v>151</v>
      </c>
      <c r="J55" s="8"/>
    </row>
    <row r="56" spans="1:10" x14ac:dyDescent="0.2">
      <c r="A56" s="121">
        <v>7</v>
      </c>
      <c r="B56" s="122"/>
      <c r="C56" s="122" t="s">
        <v>953</v>
      </c>
      <c r="D56" s="122" t="s">
        <v>667</v>
      </c>
      <c r="E56" s="123">
        <v>-3850</v>
      </c>
      <c r="F56" s="124">
        <v>-120.148875</v>
      </c>
      <c r="G56" s="125">
        <v>-7.376385920071382E-3</v>
      </c>
      <c r="H56" s="120" t="s">
        <v>151</v>
      </c>
      <c r="J56" s="8"/>
    </row>
    <row r="57" spans="1:10" x14ac:dyDescent="0.2">
      <c r="A57" s="121">
        <v>8</v>
      </c>
      <c r="B57" s="122"/>
      <c r="C57" s="122" t="s">
        <v>954</v>
      </c>
      <c r="D57" s="122" t="s">
        <v>667</v>
      </c>
      <c r="E57" s="123">
        <v>-42750</v>
      </c>
      <c r="F57" s="124">
        <v>-122.58562499999999</v>
      </c>
      <c r="G57" s="125">
        <v>-7.5259870577493986E-3</v>
      </c>
      <c r="H57" s="120" t="s">
        <v>151</v>
      </c>
      <c r="J57" s="8"/>
    </row>
    <row r="58" spans="1:10" x14ac:dyDescent="0.2">
      <c r="A58" s="121">
        <v>9</v>
      </c>
      <c r="B58" s="122"/>
      <c r="C58" s="122" t="s">
        <v>955</v>
      </c>
      <c r="D58" s="122" t="s">
        <v>667</v>
      </c>
      <c r="E58" s="123">
        <v>-93500</v>
      </c>
      <c r="F58" s="124">
        <v>-158.43575000000001</v>
      </c>
      <c r="G58" s="125">
        <v>-9.7269594537272991E-3</v>
      </c>
      <c r="H58" s="120" t="s">
        <v>151</v>
      </c>
      <c r="J58" s="8"/>
    </row>
    <row r="59" spans="1:10" x14ac:dyDescent="0.2">
      <c r="A59" s="121">
        <v>10</v>
      </c>
      <c r="B59" s="122"/>
      <c r="C59" s="122" t="s">
        <v>956</v>
      </c>
      <c r="D59" s="122" t="s">
        <v>667</v>
      </c>
      <c r="E59" s="123">
        <v>-4500</v>
      </c>
      <c r="F59" s="124">
        <v>-166.73849999999999</v>
      </c>
      <c r="G59" s="125">
        <v>-1.0236696129978927E-2</v>
      </c>
      <c r="H59" s="120" t="s">
        <v>151</v>
      </c>
      <c r="J59" s="8"/>
    </row>
    <row r="60" spans="1:10" x14ac:dyDescent="0.2">
      <c r="A60" s="121">
        <v>11</v>
      </c>
      <c r="B60" s="122"/>
      <c r="C60" s="122" t="s">
        <v>957</v>
      </c>
      <c r="D60" s="122" t="s">
        <v>667</v>
      </c>
      <c r="E60" s="123">
        <v>-9200</v>
      </c>
      <c r="F60" s="124">
        <v>-172.017</v>
      </c>
      <c r="G60" s="125">
        <v>-1.05607628603507E-2</v>
      </c>
      <c r="H60" s="120" t="s">
        <v>151</v>
      </c>
      <c r="J60" s="8"/>
    </row>
    <row r="61" spans="1:10" x14ac:dyDescent="0.2">
      <c r="A61" s="121">
        <v>12</v>
      </c>
      <c r="B61" s="122"/>
      <c r="C61" s="122" t="s">
        <v>958</v>
      </c>
      <c r="D61" s="122" t="s">
        <v>667</v>
      </c>
      <c r="E61" s="123">
        <v>-168750</v>
      </c>
      <c r="F61" s="124">
        <v>-189</v>
      </c>
      <c r="G61" s="125">
        <v>-1.1603412340677273E-2</v>
      </c>
      <c r="H61" s="120" t="s">
        <v>151</v>
      </c>
      <c r="J61" s="8"/>
    </row>
    <row r="62" spans="1:10" x14ac:dyDescent="0.2">
      <c r="A62" s="121">
        <v>13</v>
      </c>
      <c r="B62" s="122"/>
      <c r="C62" s="122" t="s">
        <v>959</v>
      </c>
      <c r="D62" s="122" t="s">
        <v>667</v>
      </c>
      <c r="E62" s="123">
        <v>-13200</v>
      </c>
      <c r="F62" s="124">
        <v>-194.04660000000001</v>
      </c>
      <c r="G62" s="125">
        <v>-1.1913241868288182E-2</v>
      </c>
      <c r="H62" s="120" t="s">
        <v>151</v>
      </c>
      <c r="J62" s="8"/>
    </row>
    <row r="63" spans="1:10" x14ac:dyDescent="0.2">
      <c r="A63" s="121">
        <v>14</v>
      </c>
      <c r="B63" s="122"/>
      <c r="C63" s="122" t="s">
        <v>960</v>
      </c>
      <c r="D63" s="122" t="s">
        <v>667</v>
      </c>
      <c r="E63" s="123">
        <v>-41850</v>
      </c>
      <c r="F63" s="124">
        <v>-203.202675</v>
      </c>
      <c r="G63" s="125">
        <v>-1.247536733732081E-2</v>
      </c>
      <c r="H63" s="120" t="s">
        <v>151</v>
      </c>
      <c r="J63" s="8"/>
    </row>
    <row r="64" spans="1:10" x14ac:dyDescent="0.2">
      <c r="A64" s="121">
        <v>15</v>
      </c>
      <c r="B64" s="122"/>
      <c r="C64" s="122" t="s">
        <v>961</v>
      </c>
      <c r="D64" s="122" t="s">
        <v>667</v>
      </c>
      <c r="E64" s="123">
        <v>-19375</v>
      </c>
      <c r="F64" s="124">
        <v>-240.734375</v>
      </c>
      <c r="G64" s="125">
        <v>-1.477957787142979E-2</v>
      </c>
      <c r="H64" s="120" t="s">
        <v>151</v>
      </c>
      <c r="J64" s="8"/>
    </row>
    <row r="65" spans="1:10" x14ac:dyDescent="0.2">
      <c r="A65" s="121">
        <v>16</v>
      </c>
      <c r="B65" s="122"/>
      <c r="C65" s="122" t="s">
        <v>962</v>
      </c>
      <c r="D65" s="122" t="s">
        <v>667</v>
      </c>
      <c r="E65" s="123">
        <v>-102600</v>
      </c>
      <c r="F65" s="124">
        <v>-245.10113999999999</v>
      </c>
      <c r="G65" s="125">
        <v>-1.5047669802063851E-2</v>
      </c>
      <c r="H65" s="120" t="s">
        <v>151</v>
      </c>
      <c r="J65" s="8"/>
    </row>
    <row r="66" spans="1:10" x14ac:dyDescent="0.2">
      <c r="A66" s="121">
        <v>17</v>
      </c>
      <c r="B66" s="122"/>
      <c r="C66" s="122" t="s">
        <v>963</v>
      </c>
      <c r="D66" s="122" t="s">
        <v>667</v>
      </c>
      <c r="E66" s="123">
        <v>-30250</v>
      </c>
      <c r="F66" s="124">
        <v>-297.16087499999998</v>
      </c>
      <c r="G66" s="125">
        <v>-1.8243810392282837E-2</v>
      </c>
      <c r="H66" s="120" t="s">
        <v>151</v>
      </c>
      <c r="J66" s="8"/>
    </row>
    <row r="67" spans="1:10" x14ac:dyDescent="0.2">
      <c r="A67" s="121">
        <v>18</v>
      </c>
      <c r="B67" s="122"/>
      <c r="C67" s="122" t="s">
        <v>964</v>
      </c>
      <c r="D67" s="122" t="s">
        <v>667</v>
      </c>
      <c r="E67" s="123">
        <v>-51000</v>
      </c>
      <c r="F67" s="124">
        <v>-352.12950000000001</v>
      </c>
      <c r="G67" s="125">
        <v>-2.1618538549293746E-2</v>
      </c>
      <c r="H67" s="120" t="s">
        <v>151</v>
      </c>
      <c r="J67" s="8"/>
    </row>
    <row r="68" spans="1:10" x14ac:dyDescent="0.2">
      <c r="A68" s="121">
        <v>19</v>
      </c>
      <c r="B68" s="122"/>
      <c r="C68" s="122" t="s">
        <v>965</v>
      </c>
      <c r="D68" s="122" t="s">
        <v>667</v>
      </c>
      <c r="E68" s="123">
        <v>-2650</v>
      </c>
      <c r="F68" s="124">
        <v>-353.56962499999997</v>
      </c>
      <c r="G68" s="125">
        <v>-2.170695317467532E-2</v>
      </c>
      <c r="H68" s="120" t="s">
        <v>151</v>
      </c>
      <c r="J68" s="8"/>
    </row>
    <row r="69" spans="1:10" x14ac:dyDescent="0.2">
      <c r="A69" s="121">
        <v>20</v>
      </c>
      <c r="B69" s="122"/>
      <c r="C69" s="122" t="s">
        <v>966</v>
      </c>
      <c r="D69" s="122" t="s">
        <v>667</v>
      </c>
      <c r="E69" s="123">
        <v>-157950</v>
      </c>
      <c r="F69" s="124">
        <v>-393.37447500000002</v>
      </c>
      <c r="G69" s="125">
        <v>-2.4150720834510284E-2</v>
      </c>
      <c r="H69" s="120" t="s">
        <v>151</v>
      </c>
      <c r="J69" s="8"/>
    </row>
    <row r="70" spans="1:10" x14ac:dyDescent="0.2">
      <c r="A70" s="121">
        <v>21</v>
      </c>
      <c r="B70" s="122"/>
      <c r="C70" s="122" t="s">
        <v>967</v>
      </c>
      <c r="D70" s="122" t="s">
        <v>667</v>
      </c>
      <c r="E70" s="123">
        <v>-89700</v>
      </c>
      <c r="F70" s="124">
        <v>-459.17430000000002</v>
      </c>
      <c r="G70" s="125">
        <v>-2.8190416609216128E-2</v>
      </c>
      <c r="H70" s="120" t="s">
        <v>151</v>
      </c>
      <c r="J70" s="8"/>
    </row>
    <row r="71" spans="1:10" x14ac:dyDescent="0.2">
      <c r="A71" s="121">
        <v>22</v>
      </c>
      <c r="B71" s="122"/>
      <c r="C71" s="122" t="s">
        <v>968</v>
      </c>
      <c r="D71" s="122" t="s">
        <v>667</v>
      </c>
      <c r="E71" s="123">
        <v>-252000</v>
      </c>
      <c r="F71" s="124">
        <v>-510.55200000000002</v>
      </c>
      <c r="G71" s="125">
        <v>-3.1344684536282877E-2</v>
      </c>
      <c r="H71" s="120" t="s">
        <v>151</v>
      </c>
      <c r="J71" s="8"/>
    </row>
    <row r="72" spans="1:10" x14ac:dyDescent="0.2">
      <c r="A72" s="121">
        <v>23</v>
      </c>
      <c r="B72" s="122"/>
      <c r="C72" s="122" t="s">
        <v>969</v>
      </c>
      <c r="D72" s="122" t="s">
        <v>667</v>
      </c>
      <c r="E72" s="123">
        <v>-85800</v>
      </c>
      <c r="F72" s="124">
        <v>-773.05799999999999</v>
      </c>
      <c r="G72" s="125">
        <v>-4.7460903371742282E-2</v>
      </c>
      <c r="H72" s="120" t="s">
        <v>151</v>
      </c>
      <c r="J72" s="8"/>
    </row>
    <row r="73" spans="1:10" x14ac:dyDescent="0.2">
      <c r="A73" s="121">
        <v>24</v>
      </c>
      <c r="B73" s="122"/>
      <c r="C73" s="122" t="s">
        <v>970</v>
      </c>
      <c r="D73" s="122" t="s">
        <v>667</v>
      </c>
      <c r="E73" s="123">
        <v>-25500</v>
      </c>
      <c r="F73" s="124">
        <v>-804.55050000000006</v>
      </c>
      <c r="G73" s="125">
        <v>-4.9394344975651171E-2</v>
      </c>
      <c r="H73" s="120" t="s">
        <v>151</v>
      </c>
      <c r="J73" s="8"/>
    </row>
    <row r="74" spans="1:10" x14ac:dyDescent="0.2">
      <c r="A74" s="121">
        <v>25</v>
      </c>
      <c r="B74" s="122"/>
      <c r="C74" s="122" t="s">
        <v>971</v>
      </c>
      <c r="D74" s="122" t="s">
        <v>667</v>
      </c>
      <c r="E74" s="123">
        <v>-144000</v>
      </c>
      <c r="F74" s="124">
        <v>-916.12800000000004</v>
      </c>
      <c r="G74" s="125">
        <v>-5.6244502332486714E-2</v>
      </c>
      <c r="H74" s="120" t="s">
        <v>151</v>
      </c>
      <c r="J74" s="8"/>
    </row>
    <row r="75" spans="1:10" x14ac:dyDescent="0.2">
      <c r="A75" s="121">
        <v>26</v>
      </c>
      <c r="B75" s="122"/>
      <c r="C75" s="122" t="s">
        <v>972</v>
      </c>
      <c r="D75" s="122" t="s">
        <v>667</v>
      </c>
      <c r="E75" s="123">
        <v>-35250</v>
      </c>
      <c r="F75" s="124">
        <v>-1049.463</v>
      </c>
      <c r="G75" s="125">
        <v>-6.4430433467112136E-2</v>
      </c>
      <c r="H75" s="120" t="s">
        <v>151</v>
      </c>
      <c r="J75" s="8"/>
    </row>
    <row r="76" spans="1:10" x14ac:dyDescent="0.2">
      <c r="A76" s="121">
        <v>27</v>
      </c>
      <c r="B76" s="122"/>
      <c r="C76" s="122" t="s">
        <v>973</v>
      </c>
      <c r="D76" s="122" t="s">
        <v>667</v>
      </c>
      <c r="E76" s="123">
        <v>-285600</v>
      </c>
      <c r="F76" s="124">
        <v>-1127.2632000000001</v>
      </c>
      <c r="G76" s="125">
        <v>-6.9206876857520389E-2</v>
      </c>
      <c r="H76" s="120" t="s">
        <v>151</v>
      </c>
      <c r="J76" s="8"/>
    </row>
    <row r="77" spans="1:10" x14ac:dyDescent="0.2">
      <c r="A77" s="121">
        <v>28</v>
      </c>
      <c r="B77" s="122"/>
      <c r="C77" s="122" t="s">
        <v>974</v>
      </c>
      <c r="D77" s="122" t="s">
        <v>667</v>
      </c>
      <c r="E77" s="123">
        <v>-74250</v>
      </c>
      <c r="F77" s="124">
        <v>-1296.6277500000001</v>
      </c>
      <c r="G77" s="125">
        <v>-7.9604795955632843E-2</v>
      </c>
      <c r="H77" s="120" t="s">
        <v>151</v>
      </c>
      <c r="J77" s="8"/>
    </row>
    <row r="78" spans="1:10" x14ac:dyDescent="0.2">
      <c r="A78" s="118"/>
      <c r="B78" s="118"/>
      <c r="C78" s="119" t="s">
        <v>150</v>
      </c>
      <c r="D78" s="118"/>
      <c r="E78" s="118" t="s">
        <v>151</v>
      </c>
      <c r="F78" s="126">
        <v>-10557.957515</v>
      </c>
      <c r="G78" s="127">
        <v>-0.64819225999999996</v>
      </c>
      <c r="H78" s="120" t="s">
        <v>151</v>
      </c>
      <c r="J78" s="8"/>
    </row>
    <row r="79" spans="1:10" x14ac:dyDescent="0.2">
      <c r="A79" s="118"/>
      <c r="B79" s="118"/>
      <c r="C79" s="128"/>
      <c r="D79" s="118"/>
      <c r="E79" s="118"/>
      <c r="F79" s="129"/>
      <c r="G79" s="129"/>
      <c r="H79" s="120" t="s">
        <v>151</v>
      </c>
      <c r="J79" s="8"/>
    </row>
    <row r="80" spans="1:10" x14ac:dyDescent="0.2">
      <c r="A80" s="118"/>
      <c r="B80" s="118"/>
      <c r="C80" s="119" t="s">
        <v>158</v>
      </c>
      <c r="D80" s="118"/>
      <c r="E80" s="118"/>
      <c r="F80" s="126">
        <v>10489.991305</v>
      </c>
      <c r="G80" s="127">
        <v>0.64401956999999999</v>
      </c>
      <c r="H80" s="120" t="s">
        <v>151</v>
      </c>
      <c r="J80" s="8"/>
    </row>
    <row r="81" spans="1:10" x14ac:dyDescent="0.2">
      <c r="A81" s="118"/>
      <c r="B81" s="118"/>
      <c r="C81" s="128"/>
      <c r="D81" s="118"/>
      <c r="E81" s="118"/>
      <c r="F81" s="129"/>
      <c r="G81" s="129"/>
      <c r="H81" s="120" t="s">
        <v>151</v>
      </c>
      <c r="J81" s="8"/>
    </row>
    <row r="82" spans="1:10" x14ac:dyDescent="0.2">
      <c r="A82" s="118"/>
      <c r="B82" s="118"/>
      <c r="C82" s="119" t="s">
        <v>159</v>
      </c>
      <c r="D82" s="118"/>
      <c r="E82" s="118"/>
      <c r="F82" s="129"/>
      <c r="G82" s="129"/>
      <c r="H82" s="120" t="s">
        <v>151</v>
      </c>
      <c r="J82" s="8"/>
    </row>
    <row r="83" spans="1:10" x14ac:dyDescent="0.2">
      <c r="A83" s="118"/>
      <c r="B83" s="118"/>
      <c r="C83" s="119" t="s">
        <v>10</v>
      </c>
      <c r="D83" s="118"/>
      <c r="E83" s="118"/>
      <c r="F83" s="129"/>
      <c r="G83" s="129"/>
      <c r="H83" s="120" t="s">
        <v>151</v>
      </c>
      <c r="J83" s="8"/>
    </row>
    <row r="84" spans="1:10" x14ac:dyDescent="0.2">
      <c r="A84" s="118"/>
      <c r="B84" s="118"/>
      <c r="C84" s="119" t="s">
        <v>150</v>
      </c>
      <c r="D84" s="118"/>
      <c r="E84" s="118" t="s">
        <v>151</v>
      </c>
      <c r="F84" s="130" t="s">
        <v>153</v>
      </c>
      <c r="G84" s="127">
        <v>0</v>
      </c>
      <c r="H84" s="120" t="s">
        <v>151</v>
      </c>
      <c r="J84" s="8"/>
    </row>
    <row r="85" spans="1:10" x14ac:dyDescent="0.2">
      <c r="A85" s="118"/>
      <c r="B85" s="118"/>
      <c r="C85" s="128"/>
      <c r="D85" s="118"/>
      <c r="E85" s="118"/>
      <c r="F85" s="129"/>
      <c r="G85" s="129"/>
      <c r="H85" s="120" t="s">
        <v>151</v>
      </c>
      <c r="J85" s="8"/>
    </row>
    <row r="86" spans="1:10" x14ac:dyDescent="0.2">
      <c r="A86" s="118"/>
      <c r="B86" s="118"/>
      <c r="C86" s="119" t="s">
        <v>160</v>
      </c>
      <c r="D86" s="118"/>
      <c r="E86" s="118"/>
      <c r="F86" s="118"/>
      <c r="G86" s="118"/>
      <c r="H86" s="120" t="s">
        <v>151</v>
      </c>
      <c r="J86" s="8"/>
    </row>
    <row r="87" spans="1:10" x14ac:dyDescent="0.2">
      <c r="A87" s="118"/>
      <c r="B87" s="118"/>
      <c r="C87" s="119" t="s">
        <v>150</v>
      </c>
      <c r="D87" s="118"/>
      <c r="E87" s="118" t="s">
        <v>151</v>
      </c>
      <c r="F87" s="130" t="s">
        <v>153</v>
      </c>
      <c r="G87" s="127">
        <v>0</v>
      </c>
      <c r="H87" s="120" t="s">
        <v>151</v>
      </c>
      <c r="J87" s="8"/>
    </row>
    <row r="88" spans="1:10" x14ac:dyDescent="0.2">
      <c r="A88" s="118"/>
      <c r="B88" s="118"/>
      <c r="C88" s="128"/>
      <c r="D88" s="118"/>
      <c r="E88" s="118"/>
      <c r="F88" s="129"/>
      <c r="G88" s="129"/>
      <c r="H88" s="120" t="s">
        <v>151</v>
      </c>
      <c r="J88" s="8"/>
    </row>
    <row r="89" spans="1:10" x14ac:dyDescent="0.2">
      <c r="A89" s="118"/>
      <c r="B89" s="118"/>
      <c r="C89" s="119" t="s">
        <v>161</v>
      </c>
      <c r="D89" s="118"/>
      <c r="E89" s="118"/>
      <c r="F89" s="118"/>
      <c r="G89" s="118"/>
      <c r="H89" s="120" t="s">
        <v>151</v>
      </c>
      <c r="J89" s="8"/>
    </row>
    <row r="90" spans="1:10" x14ac:dyDescent="0.2">
      <c r="A90" s="121">
        <v>1</v>
      </c>
      <c r="B90" s="122" t="s">
        <v>668</v>
      </c>
      <c r="C90" s="122" t="s">
        <v>1056</v>
      </c>
      <c r="D90" s="122" t="s">
        <v>541</v>
      </c>
      <c r="E90" s="123">
        <v>500000</v>
      </c>
      <c r="F90" s="124">
        <v>508.69850000000002</v>
      </c>
      <c r="G90" s="125">
        <v>3.1230890000000001E-2</v>
      </c>
      <c r="H90" s="120">
        <v>6.7748999999999997</v>
      </c>
      <c r="J90" s="8"/>
    </row>
    <row r="91" spans="1:10" x14ac:dyDescent="0.2">
      <c r="A91" s="121">
        <v>2</v>
      </c>
      <c r="B91" s="122" t="s">
        <v>670</v>
      </c>
      <c r="C91" s="122" t="s">
        <v>671</v>
      </c>
      <c r="D91" s="122" t="s">
        <v>541</v>
      </c>
      <c r="E91" s="123">
        <v>500000</v>
      </c>
      <c r="F91" s="124">
        <v>506.39949999999999</v>
      </c>
      <c r="G91" s="125">
        <v>3.1089749999999999E-2</v>
      </c>
      <c r="H91" s="120">
        <v>6.7675999999999998</v>
      </c>
      <c r="J91" s="8"/>
    </row>
    <row r="92" spans="1:10" x14ac:dyDescent="0.2">
      <c r="A92" s="118"/>
      <c r="B92" s="118"/>
      <c r="C92" s="119" t="s">
        <v>150</v>
      </c>
      <c r="D92" s="118"/>
      <c r="E92" s="118" t="s">
        <v>151</v>
      </c>
      <c r="F92" s="126">
        <v>1015.098</v>
      </c>
      <c r="G92" s="127">
        <v>6.2320639999999997E-2</v>
      </c>
      <c r="H92" s="120" t="s">
        <v>151</v>
      </c>
      <c r="J92" s="8"/>
    </row>
    <row r="93" spans="1:10" x14ac:dyDescent="0.2">
      <c r="A93" s="118"/>
      <c r="B93" s="118"/>
      <c r="C93" s="128"/>
      <c r="D93" s="118"/>
      <c r="E93" s="118"/>
      <c r="F93" s="129"/>
      <c r="G93" s="129"/>
      <c r="H93" s="120" t="s">
        <v>151</v>
      </c>
      <c r="J93" s="8"/>
    </row>
    <row r="94" spans="1:10" x14ac:dyDescent="0.2">
      <c r="A94" s="118"/>
      <c r="B94" s="118"/>
      <c r="C94" s="119" t="s">
        <v>162</v>
      </c>
      <c r="D94" s="118"/>
      <c r="E94" s="118"/>
      <c r="F94" s="129"/>
      <c r="G94" s="129"/>
      <c r="H94" s="120" t="s">
        <v>151</v>
      </c>
      <c r="J94" s="8"/>
    </row>
    <row r="95" spans="1:10" x14ac:dyDescent="0.2">
      <c r="A95" s="118"/>
      <c r="B95" s="118"/>
      <c r="C95" s="119" t="s">
        <v>150</v>
      </c>
      <c r="D95" s="118"/>
      <c r="E95" s="118" t="s">
        <v>151</v>
      </c>
      <c r="F95" s="130" t="s">
        <v>153</v>
      </c>
      <c r="G95" s="127">
        <v>0</v>
      </c>
      <c r="H95" s="120" t="s">
        <v>151</v>
      </c>
      <c r="J95" s="8"/>
    </row>
    <row r="96" spans="1:10" x14ac:dyDescent="0.2">
      <c r="A96" s="118"/>
      <c r="B96" s="118"/>
      <c r="C96" s="128"/>
      <c r="D96" s="118"/>
      <c r="E96" s="118"/>
      <c r="F96" s="129"/>
      <c r="G96" s="129"/>
      <c r="H96" s="120" t="s">
        <v>151</v>
      </c>
      <c r="J96" s="8"/>
    </row>
    <row r="97" spans="1:10" x14ac:dyDescent="0.2">
      <c r="A97" s="118"/>
      <c r="B97" s="118"/>
      <c r="C97" s="119" t="s">
        <v>163</v>
      </c>
      <c r="D97" s="118"/>
      <c r="E97" s="118"/>
      <c r="F97" s="126">
        <v>1015.098</v>
      </c>
      <c r="G97" s="127">
        <v>6.2320639999999997E-2</v>
      </c>
      <c r="H97" s="120" t="s">
        <v>151</v>
      </c>
      <c r="J97" s="8"/>
    </row>
    <row r="98" spans="1:10" x14ac:dyDescent="0.2">
      <c r="A98" s="118"/>
      <c r="B98" s="118"/>
      <c r="C98" s="128"/>
      <c r="D98" s="118"/>
      <c r="E98" s="118"/>
      <c r="F98" s="129"/>
      <c r="G98" s="129"/>
      <c r="H98" s="120" t="s">
        <v>151</v>
      </c>
      <c r="J98" s="8"/>
    </row>
    <row r="99" spans="1:10" x14ac:dyDescent="0.2">
      <c r="A99" s="118"/>
      <c r="B99" s="118"/>
      <c r="C99" s="119" t="s">
        <v>164</v>
      </c>
      <c r="D99" s="118"/>
      <c r="E99" s="118"/>
      <c r="F99" s="129"/>
      <c r="G99" s="129"/>
      <c r="H99" s="120" t="s">
        <v>151</v>
      </c>
      <c r="J99" s="8"/>
    </row>
    <row r="100" spans="1:10" x14ac:dyDescent="0.2">
      <c r="A100" s="118"/>
      <c r="B100" s="118"/>
      <c r="C100" s="119" t="s">
        <v>165</v>
      </c>
      <c r="D100" s="118"/>
      <c r="E100" s="118"/>
      <c r="F100" s="129"/>
      <c r="G100" s="129"/>
      <c r="H100" s="120" t="s">
        <v>151</v>
      </c>
      <c r="J100" s="8"/>
    </row>
    <row r="101" spans="1:10" x14ac:dyDescent="0.2">
      <c r="A101" s="118"/>
      <c r="B101" s="118"/>
      <c r="C101" s="119" t="s">
        <v>150</v>
      </c>
      <c r="D101" s="118"/>
      <c r="E101" s="118" t="s">
        <v>151</v>
      </c>
      <c r="F101" s="130" t="s">
        <v>153</v>
      </c>
      <c r="G101" s="127">
        <v>0</v>
      </c>
      <c r="H101" s="120" t="s">
        <v>151</v>
      </c>
      <c r="J101" s="8"/>
    </row>
    <row r="102" spans="1:10" x14ac:dyDescent="0.2">
      <c r="A102" s="118"/>
      <c r="B102" s="118"/>
      <c r="C102" s="128"/>
      <c r="D102" s="118"/>
      <c r="E102" s="118"/>
      <c r="F102" s="129"/>
      <c r="G102" s="129"/>
      <c r="H102" s="120" t="s">
        <v>151</v>
      </c>
      <c r="J102" s="8"/>
    </row>
    <row r="103" spans="1:10" x14ac:dyDescent="0.2">
      <c r="A103" s="118"/>
      <c r="B103" s="118"/>
      <c r="C103" s="119" t="s">
        <v>166</v>
      </c>
      <c r="D103" s="118"/>
      <c r="E103" s="118"/>
      <c r="F103" s="129"/>
      <c r="G103" s="129"/>
      <c r="H103" s="120" t="s">
        <v>151</v>
      </c>
      <c r="J103" s="8"/>
    </row>
    <row r="104" spans="1:10" x14ac:dyDescent="0.2">
      <c r="A104" s="118"/>
      <c r="B104" s="118"/>
      <c r="C104" s="119" t="s">
        <v>150</v>
      </c>
      <c r="D104" s="118"/>
      <c r="E104" s="118" t="s">
        <v>151</v>
      </c>
      <c r="F104" s="130" t="s">
        <v>153</v>
      </c>
      <c r="G104" s="127">
        <v>0</v>
      </c>
      <c r="H104" s="120" t="s">
        <v>151</v>
      </c>
      <c r="J104" s="8"/>
    </row>
    <row r="105" spans="1:10" x14ac:dyDescent="0.2">
      <c r="A105" s="118"/>
      <c r="B105" s="118"/>
      <c r="C105" s="128"/>
      <c r="D105" s="118"/>
      <c r="E105" s="118"/>
      <c r="F105" s="129"/>
      <c r="G105" s="129"/>
      <c r="H105" s="120" t="s">
        <v>151</v>
      </c>
      <c r="J105" s="8"/>
    </row>
    <row r="106" spans="1:10" x14ac:dyDescent="0.2">
      <c r="A106" s="118"/>
      <c r="B106" s="118"/>
      <c r="C106" s="119" t="s">
        <v>167</v>
      </c>
      <c r="D106" s="118"/>
      <c r="E106" s="118"/>
      <c r="F106" s="129"/>
      <c r="G106" s="129"/>
      <c r="H106" s="120" t="s">
        <v>151</v>
      </c>
      <c r="J106" s="8"/>
    </row>
    <row r="107" spans="1:10" x14ac:dyDescent="0.2">
      <c r="A107" s="121">
        <v>1</v>
      </c>
      <c r="B107" s="122" t="s">
        <v>672</v>
      </c>
      <c r="C107" s="122" t="s">
        <v>1054</v>
      </c>
      <c r="D107" s="122" t="s">
        <v>541</v>
      </c>
      <c r="E107" s="123">
        <v>500000</v>
      </c>
      <c r="F107" s="124">
        <v>499.214</v>
      </c>
      <c r="G107" s="125">
        <v>3.0648600000000002E-2</v>
      </c>
      <c r="H107" s="120">
        <v>6.3856000000000002</v>
      </c>
      <c r="J107" s="8"/>
    </row>
    <row r="108" spans="1:10" x14ac:dyDescent="0.2">
      <c r="A108" s="121">
        <v>2</v>
      </c>
      <c r="B108" s="122" t="s">
        <v>673</v>
      </c>
      <c r="C108" s="122" t="s">
        <v>1055</v>
      </c>
      <c r="D108" s="122" t="s">
        <v>541</v>
      </c>
      <c r="E108" s="123">
        <v>500000</v>
      </c>
      <c r="F108" s="124">
        <v>498.61200000000002</v>
      </c>
      <c r="G108" s="125">
        <v>3.0611639999999999E-2</v>
      </c>
      <c r="H108" s="120">
        <v>6.35</v>
      </c>
      <c r="J108" s="8"/>
    </row>
    <row r="109" spans="1:10" x14ac:dyDescent="0.2">
      <c r="A109" s="121">
        <v>3</v>
      </c>
      <c r="B109" s="122" t="s">
        <v>674</v>
      </c>
      <c r="C109" s="122" t="s">
        <v>1057</v>
      </c>
      <c r="D109" s="122" t="s">
        <v>541</v>
      </c>
      <c r="E109" s="123">
        <v>500000</v>
      </c>
      <c r="F109" s="124">
        <v>488.22649999999999</v>
      </c>
      <c r="G109" s="125">
        <v>2.997404E-2</v>
      </c>
      <c r="H109" s="120">
        <v>6.52</v>
      </c>
      <c r="J109" s="8"/>
    </row>
    <row r="110" spans="1:10" x14ac:dyDescent="0.2">
      <c r="A110" s="121">
        <v>4</v>
      </c>
      <c r="B110" s="122" t="s">
        <v>675</v>
      </c>
      <c r="C110" s="122" t="s">
        <v>1058</v>
      </c>
      <c r="D110" s="122" t="s">
        <v>541</v>
      </c>
      <c r="E110" s="123">
        <v>500000</v>
      </c>
      <c r="F110" s="124">
        <v>482.78550000000001</v>
      </c>
      <c r="G110" s="125">
        <v>2.964E-2</v>
      </c>
      <c r="H110" s="120">
        <v>6.54</v>
      </c>
      <c r="J110" s="8"/>
    </row>
    <row r="111" spans="1:10" x14ac:dyDescent="0.2">
      <c r="A111" s="121">
        <v>5</v>
      </c>
      <c r="B111" s="122" t="s">
        <v>676</v>
      </c>
      <c r="C111" s="122" t="s">
        <v>1059</v>
      </c>
      <c r="D111" s="122" t="s">
        <v>541</v>
      </c>
      <c r="E111" s="123">
        <v>500000</v>
      </c>
      <c r="F111" s="124">
        <v>482.28500000000003</v>
      </c>
      <c r="G111" s="125">
        <v>2.960927E-2</v>
      </c>
      <c r="H111" s="120">
        <v>6.54</v>
      </c>
      <c r="J111" s="8"/>
    </row>
    <row r="112" spans="1:10" x14ac:dyDescent="0.2">
      <c r="A112" s="121">
        <v>6</v>
      </c>
      <c r="B112" s="122" t="s">
        <v>540</v>
      </c>
      <c r="C112" s="122" t="s">
        <v>1051</v>
      </c>
      <c r="D112" s="122" t="s">
        <v>541</v>
      </c>
      <c r="E112" s="123">
        <v>500000</v>
      </c>
      <c r="F112" s="124">
        <v>481.59199999999998</v>
      </c>
      <c r="G112" s="125">
        <v>2.9566720000000001E-2</v>
      </c>
      <c r="H112" s="120">
        <v>6.55</v>
      </c>
      <c r="J112" s="8"/>
    </row>
    <row r="113" spans="1:10" x14ac:dyDescent="0.2">
      <c r="A113" s="118"/>
      <c r="B113" s="118"/>
      <c r="C113" s="119" t="s">
        <v>150</v>
      </c>
      <c r="D113" s="118"/>
      <c r="E113" s="118" t="s">
        <v>151</v>
      </c>
      <c r="F113" s="126">
        <v>2932.7150000000001</v>
      </c>
      <c r="G113" s="127">
        <v>0.18005027000000001</v>
      </c>
      <c r="H113" s="120" t="s">
        <v>151</v>
      </c>
      <c r="J113" s="8"/>
    </row>
    <row r="114" spans="1:10" x14ac:dyDescent="0.2">
      <c r="A114" s="118"/>
      <c r="B114" s="118"/>
      <c r="C114" s="128"/>
      <c r="D114" s="118"/>
      <c r="E114" s="118"/>
      <c r="F114" s="129"/>
      <c r="G114" s="129"/>
      <c r="H114" s="120" t="s">
        <v>151</v>
      </c>
      <c r="J114" s="8"/>
    </row>
    <row r="115" spans="1:10" x14ac:dyDescent="0.2">
      <c r="A115" s="118"/>
      <c r="B115" s="118"/>
      <c r="C115" s="119" t="s">
        <v>168</v>
      </c>
      <c r="D115" s="118"/>
      <c r="E115" s="118"/>
      <c r="F115" s="129"/>
      <c r="G115" s="129"/>
      <c r="H115" s="120" t="s">
        <v>151</v>
      </c>
      <c r="J115" s="8"/>
    </row>
    <row r="116" spans="1:10" x14ac:dyDescent="0.2">
      <c r="A116" s="121">
        <v>1</v>
      </c>
      <c r="B116" s="122"/>
      <c r="C116" s="122" t="s">
        <v>169</v>
      </c>
      <c r="D116" s="122"/>
      <c r="E116" s="131"/>
      <c r="F116" s="124">
        <v>1130.502175999</v>
      </c>
      <c r="G116" s="125">
        <v>6.9405729999999999E-2</v>
      </c>
      <c r="H116" s="120">
        <v>6.61</v>
      </c>
      <c r="J116" s="8"/>
    </row>
    <row r="117" spans="1:10" x14ac:dyDescent="0.2">
      <c r="A117" s="118"/>
      <c r="B117" s="118"/>
      <c r="C117" s="119" t="s">
        <v>150</v>
      </c>
      <c r="D117" s="118"/>
      <c r="E117" s="118" t="s">
        <v>151</v>
      </c>
      <c r="F117" s="126">
        <v>1130.502175999</v>
      </c>
      <c r="G117" s="127">
        <v>6.9405729999999999E-2</v>
      </c>
      <c r="H117" s="120" t="s">
        <v>151</v>
      </c>
      <c r="J117" s="8"/>
    </row>
    <row r="118" spans="1:10" x14ac:dyDescent="0.2">
      <c r="A118" s="118"/>
      <c r="B118" s="118"/>
      <c r="C118" s="128"/>
      <c r="D118" s="118"/>
      <c r="E118" s="118"/>
      <c r="F118" s="129"/>
      <c r="G118" s="129"/>
      <c r="H118" s="120" t="s">
        <v>151</v>
      </c>
      <c r="J118" s="8"/>
    </row>
    <row r="119" spans="1:10" x14ac:dyDescent="0.2">
      <c r="A119" s="118"/>
      <c r="B119" s="118"/>
      <c r="C119" s="119" t="s">
        <v>170</v>
      </c>
      <c r="D119" s="118"/>
      <c r="E119" s="118"/>
      <c r="F119" s="126">
        <v>4063.2171759990001</v>
      </c>
      <c r="G119" s="127">
        <v>0.24945600000000001</v>
      </c>
      <c r="H119" s="120" t="s">
        <v>151</v>
      </c>
      <c r="J119" s="8"/>
    </row>
    <row r="120" spans="1:10" x14ac:dyDescent="0.2">
      <c r="A120" s="118"/>
      <c r="B120" s="118"/>
      <c r="C120" s="129"/>
      <c r="D120" s="118"/>
      <c r="E120" s="118"/>
      <c r="F120" s="118"/>
      <c r="G120" s="118"/>
      <c r="H120" s="120" t="s">
        <v>151</v>
      </c>
      <c r="J120" s="8"/>
    </row>
    <row r="121" spans="1:10" x14ac:dyDescent="0.2">
      <c r="A121" s="118"/>
      <c r="B121" s="118"/>
      <c r="C121" s="119" t="s">
        <v>171</v>
      </c>
      <c r="D121" s="118"/>
      <c r="E121" s="118"/>
      <c r="F121" s="118"/>
      <c r="G121" s="118"/>
      <c r="H121" s="120" t="s">
        <v>151</v>
      </c>
      <c r="J121" s="8"/>
    </row>
    <row r="122" spans="1:10" x14ac:dyDescent="0.2">
      <c r="A122" s="118"/>
      <c r="B122" s="118"/>
      <c r="C122" s="119" t="s">
        <v>172</v>
      </c>
      <c r="D122" s="118"/>
      <c r="E122" s="118"/>
      <c r="F122" s="118"/>
      <c r="G122" s="118"/>
      <c r="H122" s="120" t="s">
        <v>151</v>
      </c>
      <c r="J122" s="8"/>
    </row>
    <row r="123" spans="1:10" x14ac:dyDescent="0.2">
      <c r="A123" s="121">
        <v>1</v>
      </c>
      <c r="B123" s="122" t="s">
        <v>173</v>
      </c>
      <c r="C123" s="122" t="s">
        <v>896</v>
      </c>
      <c r="D123" s="122"/>
      <c r="E123" s="132">
        <v>23003.699000000001</v>
      </c>
      <c r="F123" s="124">
        <v>508.49101546999998</v>
      </c>
      <c r="G123" s="125">
        <v>3.121815E-2</v>
      </c>
      <c r="H123" s="120" t="s">
        <v>151</v>
      </c>
      <c r="J123" s="8"/>
    </row>
    <row r="124" spans="1:10" x14ac:dyDescent="0.2">
      <c r="A124" s="118"/>
      <c r="B124" s="118"/>
      <c r="C124" s="119" t="s">
        <v>150</v>
      </c>
      <c r="D124" s="118"/>
      <c r="E124" s="118" t="s">
        <v>151</v>
      </c>
      <c r="F124" s="126">
        <v>508.49101546999998</v>
      </c>
      <c r="G124" s="127">
        <v>3.121815E-2</v>
      </c>
      <c r="H124" s="120" t="s">
        <v>151</v>
      </c>
      <c r="J124" s="8"/>
    </row>
    <row r="125" spans="1:10" x14ac:dyDescent="0.2">
      <c r="A125" s="118"/>
      <c r="B125" s="118"/>
      <c r="C125" s="128"/>
      <c r="D125" s="118"/>
      <c r="E125" s="118"/>
      <c r="F125" s="129"/>
      <c r="G125" s="129"/>
      <c r="H125" s="120" t="s">
        <v>151</v>
      </c>
      <c r="J125" s="8"/>
    </row>
    <row r="126" spans="1:10" x14ac:dyDescent="0.2">
      <c r="A126" s="118"/>
      <c r="B126" s="118"/>
      <c r="C126" s="119" t="s">
        <v>175</v>
      </c>
      <c r="D126" s="118"/>
      <c r="E126" s="118"/>
      <c r="F126" s="118"/>
      <c r="G126" s="118"/>
      <c r="H126" s="120" t="s">
        <v>151</v>
      </c>
      <c r="J126" s="8"/>
    </row>
    <row r="127" spans="1:10" x14ac:dyDescent="0.2">
      <c r="A127" s="118"/>
      <c r="B127" s="118"/>
      <c r="C127" s="119" t="s">
        <v>176</v>
      </c>
      <c r="D127" s="118"/>
      <c r="E127" s="118"/>
      <c r="F127" s="118"/>
      <c r="G127" s="118"/>
      <c r="H127" s="120" t="s">
        <v>151</v>
      </c>
      <c r="J127" s="8"/>
    </row>
    <row r="128" spans="1:10" x14ac:dyDescent="0.2">
      <c r="A128" s="118"/>
      <c r="B128" s="118"/>
      <c r="C128" s="119" t="s">
        <v>150</v>
      </c>
      <c r="D128" s="118"/>
      <c r="E128" s="118" t="s">
        <v>151</v>
      </c>
      <c r="F128" s="130" t="s">
        <v>153</v>
      </c>
      <c r="G128" s="127">
        <v>0</v>
      </c>
      <c r="H128" s="120" t="s">
        <v>151</v>
      </c>
      <c r="J128" s="8"/>
    </row>
    <row r="129" spans="1:17" x14ac:dyDescent="0.2">
      <c r="A129" s="118"/>
      <c r="B129" s="118"/>
      <c r="C129" s="128"/>
      <c r="D129" s="118"/>
      <c r="E129" s="118"/>
      <c r="F129" s="129"/>
      <c r="G129" s="129"/>
      <c r="H129" s="120" t="s">
        <v>151</v>
      </c>
      <c r="J129" s="8"/>
    </row>
    <row r="130" spans="1:17" x14ac:dyDescent="0.2">
      <c r="A130" s="118"/>
      <c r="B130" s="118"/>
      <c r="C130" s="119" t="s">
        <v>177</v>
      </c>
      <c r="D130" s="118"/>
      <c r="E130" s="118"/>
      <c r="F130" s="129"/>
      <c r="G130" s="129"/>
      <c r="H130" s="120" t="s">
        <v>151</v>
      </c>
      <c r="J130" s="8"/>
    </row>
    <row r="131" spans="1:17" x14ac:dyDescent="0.2">
      <c r="A131" s="118"/>
      <c r="B131" s="118"/>
      <c r="C131" s="119" t="s">
        <v>150</v>
      </c>
      <c r="D131" s="118"/>
      <c r="E131" s="118" t="s">
        <v>151</v>
      </c>
      <c r="F131" s="130" t="s">
        <v>153</v>
      </c>
      <c r="G131" s="127">
        <v>0</v>
      </c>
      <c r="H131" s="120" t="s">
        <v>151</v>
      </c>
      <c r="J131" s="8"/>
    </row>
    <row r="132" spans="1:17" x14ac:dyDescent="0.2">
      <c r="A132" s="118"/>
      <c r="B132" s="118"/>
      <c r="C132" s="128"/>
      <c r="D132" s="118"/>
      <c r="E132" s="118"/>
      <c r="F132" s="129"/>
      <c r="G132" s="129"/>
      <c r="H132" s="120" t="s">
        <v>151</v>
      </c>
      <c r="J132" s="8"/>
    </row>
    <row r="133" spans="1:17" x14ac:dyDescent="0.2">
      <c r="A133" s="131"/>
      <c r="B133" s="122"/>
      <c r="C133" s="122" t="s">
        <v>342</v>
      </c>
      <c r="D133" s="122"/>
      <c r="E133" s="131"/>
      <c r="F133" s="124">
        <v>262.6674304</v>
      </c>
      <c r="G133" s="125">
        <v>1.6126129999999999E-2</v>
      </c>
      <c r="H133" s="120" t="s">
        <v>151</v>
      </c>
      <c r="J133" s="8"/>
    </row>
    <row r="134" spans="1:17" x14ac:dyDescent="0.2">
      <c r="A134" s="131"/>
      <c r="B134" s="122"/>
      <c r="C134" s="200" t="s">
        <v>917</v>
      </c>
      <c r="D134" s="122"/>
      <c r="E134" s="131"/>
      <c r="F134" s="124">
        <v>-51.152967340000032</v>
      </c>
      <c r="G134" s="125">
        <v>-3.1404707539429517E-3</v>
      </c>
      <c r="H134" s="120" t="s">
        <v>151</v>
      </c>
      <c r="J134" s="8"/>
    </row>
    <row r="135" spans="1:17" x14ac:dyDescent="0.2">
      <c r="A135" s="128"/>
      <c r="B135" s="128"/>
      <c r="C135" s="119" t="s">
        <v>179</v>
      </c>
      <c r="D135" s="129"/>
      <c r="E135" s="129"/>
      <c r="F135" s="126">
        <v>16288.311959528999</v>
      </c>
      <c r="G135" s="127">
        <v>1.000000019246057</v>
      </c>
      <c r="H135" s="120" t="s">
        <v>151</v>
      </c>
      <c r="J135" s="8"/>
    </row>
    <row r="136" spans="1:17" x14ac:dyDescent="0.2">
      <c r="A136" s="134"/>
      <c r="B136" s="134"/>
      <c r="C136" s="134"/>
      <c r="D136" s="135"/>
      <c r="E136" s="135"/>
      <c r="F136" s="135"/>
      <c r="G136" s="135"/>
      <c r="J136" s="8"/>
    </row>
    <row r="137" spans="1:17" x14ac:dyDescent="0.2">
      <c r="A137" s="136"/>
      <c r="B137" s="137" t="s">
        <v>888</v>
      </c>
      <c r="C137" s="137"/>
      <c r="D137" s="137"/>
      <c r="E137" s="137"/>
      <c r="F137" s="137"/>
      <c r="G137" s="137"/>
      <c r="H137" s="137"/>
      <c r="J137" s="8"/>
    </row>
    <row r="138" spans="1:17" x14ac:dyDescent="0.2">
      <c r="A138" s="136"/>
      <c r="B138" s="137" t="s">
        <v>889</v>
      </c>
      <c r="C138" s="137"/>
      <c r="D138" s="137"/>
      <c r="E138" s="137"/>
      <c r="F138" s="137"/>
      <c r="G138" s="137"/>
      <c r="H138" s="137"/>
      <c r="J138" s="8"/>
    </row>
    <row r="139" spans="1:17" x14ac:dyDescent="0.2">
      <c r="A139" s="136"/>
      <c r="B139" s="137" t="s">
        <v>890</v>
      </c>
      <c r="C139" s="137"/>
      <c r="D139" s="137"/>
      <c r="E139" s="137"/>
      <c r="F139" s="137"/>
      <c r="G139" s="137"/>
      <c r="H139" s="137"/>
      <c r="J139" s="8"/>
    </row>
    <row r="140" spans="1:17" s="13" customFormat="1" ht="65.25" customHeight="1" x14ac:dyDescent="0.25">
      <c r="A140" s="138"/>
      <c r="B140" s="139" t="s">
        <v>891</v>
      </c>
      <c r="C140" s="139"/>
      <c r="D140" s="139"/>
      <c r="E140" s="139"/>
      <c r="F140" s="139"/>
      <c r="G140" s="139"/>
      <c r="H140" s="139"/>
      <c r="I140" s="114"/>
      <c r="J140" s="8"/>
      <c r="K140"/>
      <c r="L140"/>
      <c r="M140"/>
      <c r="N140"/>
      <c r="O140"/>
      <c r="P140"/>
      <c r="Q140"/>
    </row>
    <row r="141" spans="1:17" x14ac:dyDescent="0.2">
      <c r="A141" s="136"/>
      <c r="B141" s="137" t="s">
        <v>892</v>
      </c>
      <c r="C141" s="137"/>
      <c r="D141" s="137"/>
      <c r="E141" s="137"/>
      <c r="F141" s="137"/>
      <c r="G141" s="137"/>
      <c r="H141" s="137"/>
      <c r="J141" s="8"/>
    </row>
    <row r="142" spans="1:17" x14ac:dyDescent="0.2">
      <c r="A142" s="140"/>
      <c r="B142" s="140"/>
      <c r="C142" s="140"/>
      <c r="D142" s="141"/>
      <c r="E142" s="141"/>
      <c r="F142" s="141"/>
      <c r="G142" s="141"/>
      <c r="J142" s="8"/>
    </row>
    <row r="143" spans="1:17" x14ac:dyDescent="0.2">
      <c r="A143" s="140"/>
      <c r="B143" s="142" t="s">
        <v>180</v>
      </c>
      <c r="C143" s="143"/>
      <c r="D143" s="144"/>
      <c r="E143" s="145"/>
      <c r="F143" s="141"/>
      <c r="G143" s="141"/>
      <c r="J143" s="8"/>
    </row>
    <row r="144" spans="1:17" x14ac:dyDescent="0.2">
      <c r="A144" s="140"/>
      <c r="B144" s="146" t="s">
        <v>181</v>
      </c>
      <c r="C144" s="147"/>
      <c r="D144" s="254" t="s">
        <v>918</v>
      </c>
      <c r="E144" s="145"/>
      <c r="F144" s="141"/>
      <c r="G144" s="141"/>
      <c r="J144" s="8"/>
    </row>
    <row r="145" spans="1:10" x14ac:dyDescent="0.2">
      <c r="A145" s="140"/>
      <c r="B145" s="146" t="s">
        <v>183</v>
      </c>
      <c r="C145" s="147"/>
      <c r="D145" s="119" t="s">
        <v>182</v>
      </c>
      <c r="E145" s="145"/>
      <c r="F145" s="141"/>
      <c r="G145" s="141"/>
      <c r="J145" s="8"/>
    </row>
    <row r="146" spans="1:10" x14ac:dyDescent="0.2">
      <c r="A146" s="140"/>
      <c r="B146" s="146" t="s">
        <v>184</v>
      </c>
      <c r="C146" s="147"/>
      <c r="D146" s="129" t="s">
        <v>151</v>
      </c>
      <c r="E146" s="145"/>
      <c r="F146" s="141"/>
      <c r="G146" s="141"/>
      <c r="J146" s="8"/>
    </row>
    <row r="147" spans="1:10" x14ac:dyDescent="0.2">
      <c r="A147" s="151"/>
      <c r="B147" s="152" t="s">
        <v>151</v>
      </c>
      <c r="C147" s="152" t="s">
        <v>894</v>
      </c>
      <c r="D147" s="152" t="s">
        <v>185</v>
      </c>
      <c r="E147" s="151"/>
      <c r="F147" s="151"/>
      <c r="G147" s="151"/>
      <c r="H147" s="151"/>
      <c r="J147" s="8"/>
    </row>
    <row r="148" spans="1:10" x14ac:dyDescent="0.2">
      <c r="A148" s="153"/>
      <c r="B148" s="154" t="s">
        <v>186</v>
      </c>
      <c r="C148" s="155">
        <v>45535</v>
      </c>
      <c r="D148" s="155">
        <v>45565</v>
      </c>
      <c r="E148" s="153"/>
      <c r="F148" s="153"/>
      <c r="G148" s="153"/>
      <c r="J148" s="8"/>
    </row>
    <row r="149" spans="1:10" x14ac:dyDescent="0.2">
      <c r="A149" s="153"/>
      <c r="B149" s="122" t="s">
        <v>187</v>
      </c>
      <c r="C149" s="156">
        <v>14.3385</v>
      </c>
      <c r="D149" s="156">
        <v>14.417899999999999</v>
      </c>
      <c r="E149" s="153"/>
      <c r="F149" s="157"/>
      <c r="G149" s="158"/>
      <c r="J149" s="8"/>
    </row>
    <row r="150" spans="1:10" ht="25.5" x14ac:dyDescent="0.2">
      <c r="A150" s="153"/>
      <c r="B150" s="255" t="s">
        <v>919</v>
      </c>
      <c r="C150" s="156">
        <v>12.3988</v>
      </c>
      <c r="D150" s="156">
        <v>12.467499999999999</v>
      </c>
      <c r="E150" s="153"/>
      <c r="F150" s="157"/>
      <c r="G150" s="158"/>
      <c r="J150" s="8"/>
    </row>
    <row r="151" spans="1:10" x14ac:dyDescent="0.2">
      <c r="A151" s="153"/>
      <c r="B151" s="122" t="s">
        <v>188</v>
      </c>
      <c r="C151" s="156">
        <v>13.689399999999999</v>
      </c>
      <c r="D151" s="156">
        <v>13.757899999999999</v>
      </c>
      <c r="E151" s="153"/>
      <c r="F151" s="157"/>
      <c r="G151" s="158"/>
      <c r="J151" s="8"/>
    </row>
    <row r="152" spans="1:10" ht="25.5" x14ac:dyDescent="0.2">
      <c r="A152" s="153"/>
      <c r="B152" s="255" t="s">
        <v>920</v>
      </c>
      <c r="C152" s="156">
        <v>12.035500000000001</v>
      </c>
      <c r="D152" s="156">
        <v>12.095700000000001</v>
      </c>
      <c r="E152" s="153"/>
      <c r="F152" s="157"/>
      <c r="G152" s="158"/>
      <c r="J152" s="8"/>
    </row>
    <row r="153" spans="1:10" x14ac:dyDescent="0.2">
      <c r="A153" s="153"/>
      <c r="B153" s="153"/>
      <c r="C153" s="153"/>
      <c r="D153" s="153"/>
      <c r="E153" s="153"/>
      <c r="F153" s="153"/>
      <c r="G153" s="153"/>
      <c r="J153" s="8"/>
    </row>
    <row r="154" spans="1:10" x14ac:dyDescent="0.2">
      <c r="A154" s="151"/>
      <c r="B154" s="148" t="s">
        <v>895</v>
      </c>
      <c r="C154" s="149"/>
      <c r="D154" s="150" t="s">
        <v>182</v>
      </c>
      <c r="E154" s="151"/>
      <c r="F154" s="151"/>
      <c r="G154" s="151"/>
      <c r="J154" s="8"/>
    </row>
    <row r="155" spans="1:10" x14ac:dyDescent="0.2">
      <c r="A155" s="151"/>
      <c r="B155" s="201"/>
      <c r="C155" s="201"/>
      <c r="D155" s="201"/>
      <c r="E155" s="151"/>
      <c r="F155" s="151"/>
      <c r="G155" s="151"/>
      <c r="J155" s="8"/>
    </row>
    <row r="156" spans="1:10" x14ac:dyDescent="0.2">
      <c r="A156" s="151"/>
      <c r="B156" s="148" t="s">
        <v>189</v>
      </c>
      <c r="C156" s="149"/>
      <c r="D156" s="150" t="s">
        <v>909</v>
      </c>
      <c r="E156" s="160"/>
      <c r="F156" s="151"/>
      <c r="G156" s="151"/>
      <c r="J156" s="8"/>
    </row>
    <row r="157" spans="1:10" ht="29.1" customHeight="1" x14ac:dyDescent="0.2">
      <c r="A157" s="151"/>
      <c r="B157" s="148" t="s">
        <v>190</v>
      </c>
      <c r="C157" s="149"/>
      <c r="D157" s="150" t="s">
        <v>182</v>
      </c>
      <c r="E157" s="160"/>
      <c r="F157" s="151"/>
      <c r="G157" s="151"/>
      <c r="I157" s="256"/>
      <c r="J157" s="8"/>
    </row>
    <row r="158" spans="1:10" ht="17.100000000000001" customHeight="1" x14ac:dyDescent="0.2">
      <c r="A158" s="151"/>
      <c r="B158" s="148" t="s">
        <v>191</v>
      </c>
      <c r="C158" s="149"/>
      <c r="D158" s="150" t="s">
        <v>182</v>
      </c>
      <c r="E158" s="160"/>
      <c r="F158" s="151"/>
      <c r="G158" s="151"/>
      <c r="J158" s="8"/>
    </row>
    <row r="159" spans="1:10" ht="17.100000000000001" customHeight="1" x14ac:dyDescent="0.2">
      <c r="A159" s="151"/>
      <c r="B159" s="148" t="s">
        <v>192</v>
      </c>
      <c r="C159" s="149"/>
      <c r="D159" s="161">
        <v>9.3748583954123177</v>
      </c>
      <c r="E159" s="151"/>
      <c r="F159" s="159"/>
      <c r="G159" s="162"/>
      <c r="J159" s="8"/>
    </row>
    <row r="160" spans="1:10" x14ac:dyDescent="0.2">
      <c r="J160" s="8"/>
    </row>
    <row r="161" spans="1:17" s="14" customFormat="1" x14ac:dyDescent="0.2">
      <c r="A161" s="215"/>
      <c r="B161" s="257" t="s">
        <v>1064</v>
      </c>
      <c r="C161" s="257"/>
      <c r="D161" s="257"/>
      <c r="E161" s="17"/>
      <c r="F161" s="18"/>
      <c r="G161" s="215"/>
      <c r="H161" s="215"/>
      <c r="I161" s="114"/>
      <c r="J161" s="8"/>
      <c r="K161"/>
      <c r="L161"/>
      <c r="M161"/>
      <c r="N161"/>
      <c r="O161"/>
    </row>
    <row r="162" spans="1:17" s="14" customFormat="1" ht="63.75" x14ac:dyDescent="0.2">
      <c r="A162" s="215"/>
      <c r="B162" s="218" t="s">
        <v>921</v>
      </c>
      <c r="C162" s="218" t="s">
        <v>922</v>
      </c>
      <c r="D162" s="218" t="s">
        <v>923</v>
      </c>
      <c r="E162" s="218" t="s">
        <v>924</v>
      </c>
      <c r="F162" s="218" t="s">
        <v>925</v>
      </c>
      <c r="G162" s="215"/>
      <c r="H162" s="215"/>
      <c r="I162" s="114"/>
      <c r="J162" s="8"/>
      <c r="K162"/>
      <c r="L162"/>
      <c r="M162"/>
      <c r="N162"/>
      <c r="O162"/>
    </row>
    <row r="163" spans="1:17" s="15" customFormat="1" ht="38.25" x14ac:dyDescent="0.2">
      <c r="A163" s="217"/>
      <c r="B163" s="219" t="s">
        <v>926</v>
      </c>
      <c r="C163" s="220" t="s">
        <v>927</v>
      </c>
      <c r="D163" s="221">
        <v>0</v>
      </c>
      <c r="E163" s="16">
        <v>0</v>
      </c>
      <c r="F163" s="222">
        <v>50</v>
      </c>
      <c r="G163" s="217"/>
      <c r="H163" s="217"/>
      <c r="I163" s="114"/>
      <c r="J163" s="8"/>
      <c r="K163"/>
      <c r="L163"/>
      <c r="M163"/>
      <c r="N163"/>
      <c r="O163"/>
      <c r="P163" s="14"/>
      <c r="Q163" s="14"/>
    </row>
    <row r="164" spans="1:17" s="14" customFormat="1" x14ac:dyDescent="0.2">
      <c r="A164" s="215"/>
      <c r="B164" s="215"/>
      <c r="C164" s="215"/>
      <c r="D164" s="215"/>
      <c r="E164" s="215"/>
      <c r="F164" s="215"/>
      <c r="G164" s="215"/>
      <c r="H164" s="215"/>
      <c r="I164" s="114"/>
      <c r="J164" s="8"/>
      <c r="K164"/>
      <c r="L164"/>
      <c r="M164"/>
      <c r="N164"/>
      <c r="O164"/>
      <c r="P164"/>
      <c r="Q164"/>
    </row>
    <row r="165" spans="1:17" s="14" customFormat="1" x14ac:dyDescent="0.2">
      <c r="A165" s="215"/>
      <c r="B165" s="242" t="s">
        <v>940</v>
      </c>
      <c r="C165" s="243"/>
      <c r="D165" s="244"/>
      <c r="E165" s="215"/>
      <c r="F165" s="215"/>
      <c r="G165" s="215"/>
      <c r="H165" s="215"/>
      <c r="I165" s="114"/>
      <c r="J165" s="8"/>
      <c r="K165"/>
      <c r="L165"/>
      <c r="M165"/>
      <c r="N165"/>
      <c r="O165"/>
      <c r="P165"/>
      <c r="Q165"/>
    </row>
    <row r="166" spans="1:17" s="14" customFormat="1" ht="25.5" x14ac:dyDescent="0.2">
      <c r="A166" s="215"/>
      <c r="B166" s="245" t="s">
        <v>941</v>
      </c>
      <c r="C166" s="245"/>
      <c r="D166" s="246" t="s">
        <v>976</v>
      </c>
      <c r="E166" s="215"/>
      <c r="F166" s="215"/>
      <c r="G166" s="215"/>
      <c r="H166" s="215"/>
      <c r="I166" s="114"/>
      <c r="J166" s="8"/>
      <c r="K166"/>
      <c r="L166"/>
      <c r="M166"/>
      <c r="N166"/>
      <c r="O166"/>
      <c r="P166"/>
      <c r="Q166"/>
    </row>
    <row r="167" spans="1:17" s="14" customFormat="1" x14ac:dyDescent="0.2">
      <c r="A167" s="215"/>
      <c r="B167" s="245" t="s">
        <v>942</v>
      </c>
      <c r="C167" s="245"/>
      <c r="D167" s="258"/>
      <c r="E167" s="215"/>
      <c r="F167" s="215"/>
      <c r="G167" s="215"/>
      <c r="H167" s="215"/>
      <c r="I167" s="114"/>
      <c r="J167" s="8"/>
      <c r="K167"/>
      <c r="L167"/>
      <c r="M167"/>
      <c r="N167"/>
      <c r="O167"/>
      <c r="P167"/>
      <c r="Q167"/>
    </row>
    <row r="168" spans="1:17" s="14" customFormat="1" x14ac:dyDescent="0.2">
      <c r="A168" s="215"/>
      <c r="B168" s="247"/>
      <c r="C168" s="248"/>
      <c r="D168" s="249"/>
      <c r="E168" s="215"/>
      <c r="F168" s="215"/>
      <c r="G168" s="215"/>
      <c r="H168" s="215"/>
      <c r="I168" s="114"/>
      <c r="J168" s="8"/>
      <c r="K168"/>
      <c r="L168"/>
      <c r="M168"/>
      <c r="N168"/>
      <c r="O168"/>
      <c r="P168"/>
      <c r="Q168"/>
    </row>
    <row r="169" spans="1:17" s="14" customFormat="1" x14ac:dyDescent="0.2">
      <c r="A169" s="215"/>
      <c r="B169" s="245" t="s">
        <v>943</v>
      </c>
      <c r="C169" s="245"/>
      <c r="D169" s="250">
        <v>6.5720767431584193</v>
      </c>
      <c r="E169" s="215"/>
      <c r="F169" s="215"/>
      <c r="G169" s="215"/>
      <c r="H169" s="215"/>
      <c r="I169" s="114"/>
      <c r="J169" s="8"/>
      <c r="K169"/>
      <c r="L169"/>
      <c r="M169"/>
      <c r="N169"/>
      <c r="O169"/>
      <c r="P169"/>
      <c r="Q169"/>
    </row>
    <row r="170" spans="1:17" s="14" customFormat="1" x14ac:dyDescent="0.2">
      <c r="A170" s="215"/>
      <c r="B170" s="247"/>
      <c r="C170" s="248"/>
      <c r="D170" s="249"/>
      <c r="E170" s="215"/>
      <c r="F170" s="215"/>
      <c r="G170" s="215"/>
      <c r="H170" s="215"/>
      <c r="I170" s="114"/>
      <c r="J170" s="12"/>
      <c r="K170"/>
      <c r="L170"/>
      <c r="M170"/>
      <c r="N170"/>
      <c r="O170"/>
      <c r="P170"/>
      <c r="Q170"/>
    </row>
    <row r="171" spans="1:17" s="14" customFormat="1" x14ac:dyDescent="0.2">
      <c r="A171" s="215"/>
      <c r="B171" s="245" t="s">
        <v>944</v>
      </c>
      <c r="C171" s="245"/>
      <c r="D171" s="250">
        <v>0.62732193318847407</v>
      </c>
      <c r="E171" s="215"/>
      <c r="F171" s="215"/>
      <c r="G171" s="215"/>
      <c r="H171" s="215"/>
      <c r="I171" s="114"/>
      <c r="J171" s="12"/>
      <c r="K171"/>
      <c r="L171"/>
      <c r="M171"/>
      <c r="N171"/>
      <c r="O171"/>
      <c r="P171"/>
      <c r="Q171"/>
    </row>
    <row r="172" spans="1:17" s="14" customFormat="1" x14ac:dyDescent="0.2">
      <c r="A172" s="215"/>
      <c r="B172" s="245" t="s">
        <v>1177</v>
      </c>
      <c r="C172" s="245"/>
      <c r="D172" s="250">
        <v>0.66871841632953744</v>
      </c>
      <c r="E172" s="215"/>
      <c r="F172" s="215"/>
      <c r="G172" s="215"/>
      <c r="H172" s="215"/>
      <c r="I172" s="114"/>
      <c r="J172" s="12"/>
      <c r="K172"/>
      <c r="L172"/>
      <c r="M172"/>
      <c r="N172"/>
      <c r="O172"/>
      <c r="P172"/>
      <c r="Q172"/>
    </row>
    <row r="173" spans="1:17" s="14" customFormat="1" x14ac:dyDescent="0.2">
      <c r="A173" s="215"/>
      <c r="B173" s="247"/>
      <c r="C173" s="248"/>
      <c r="D173" s="249"/>
      <c r="E173" s="215"/>
      <c r="F173" s="215"/>
      <c r="G173" s="215"/>
      <c r="H173" s="215"/>
      <c r="I173" s="114"/>
      <c r="J173" s="12"/>
      <c r="K173"/>
      <c r="L173"/>
      <c r="M173"/>
      <c r="N173"/>
      <c r="O173"/>
      <c r="P173"/>
      <c r="Q173"/>
    </row>
    <row r="174" spans="1:17" s="14" customFormat="1" x14ac:dyDescent="0.2">
      <c r="A174" s="215"/>
      <c r="B174" s="245" t="s">
        <v>945</v>
      </c>
      <c r="C174" s="245"/>
      <c r="D174" s="252" t="s">
        <v>1066</v>
      </c>
      <c r="E174" s="215"/>
      <c r="F174" s="215"/>
      <c r="G174" s="215"/>
      <c r="H174" s="215"/>
      <c r="I174" s="114"/>
      <c r="J174" s="12"/>
      <c r="K174"/>
      <c r="L174"/>
      <c r="M174"/>
      <c r="N174"/>
      <c r="O174"/>
      <c r="P174"/>
      <c r="Q174"/>
    </row>
    <row r="175" spans="1:17" s="14" customFormat="1" x14ac:dyDescent="0.2">
      <c r="A175" s="215"/>
      <c r="B175" s="247" t="s">
        <v>946</v>
      </c>
      <c r="C175" s="253"/>
      <c r="D175" s="248"/>
      <c r="E175" s="215"/>
      <c r="F175" s="215"/>
      <c r="G175" s="215"/>
      <c r="H175" s="215"/>
      <c r="I175" s="114"/>
      <c r="J175" s="12"/>
      <c r="K175"/>
      <c r="L175"/>
      <c r="M175"/>
      <c r="N175"/>
      <c r="O175"/>
      <c r="P175"/>
      <c r="Q175"/>
    </row>
  </sheetData>
  <mergeCells count="28">
    <mergeCell ref="B175:D175"/>
    <mergeCell ref="B170:C170"/>
    <mergeCell ref="B171:C171"/>
    <mergeCell ref="B172:C172"/>
    <mergeCell ref="B173:C173"/>
    <mergeCell ref="B174:C174"/>
    <mergeCell ref="B165:D165"/>
    <mergeCell ref="B166:C166"/>
    <mergeCell ref="B167:C167"/>
    <mergeCell ref="B168:C168"/>
    <mergeCell ref="B169:C169"/>
    <mergeCell ref="B145:C145"/>
    <mergeCell ref="B146:C146"/>
    <mergeCell ref="B154:C154"/>
    <mergeCell ref="B158:C158"/>
    <mergeCell ref="B159:C159"/>
    <mergeCell ref="B156:C156"/>
    <mergeCell ref="B157:C157"/>
    <mergeCell ref="B144:C144"/>
    <mergeCell ref="A1:H1"/>
    <mergeCell ref="A2:H2"/>
    <mergeCell ref="A3:H3"/>
    <mergeCell ref="B143:D143"/>
    <mergeCell ref="B137:H137"/>
    <mergeCell ref="B138:H138"/>
    <mergeCell ref="B139:H139"/>
    <mergeCell ref="B140:H140"/>
    <mergeCell ref="B141:H141"/>
  </mergeCells>
  <hyperlinks>
    <hyperlink ref="I1" location="Index!B2" display="Index" xr:uid="{6B50E14A-5B22-4B8E-A8B3-276550B08CD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3EDDF-4303-434B-97B4-BE9C4E74A90D}">
  <sheetPr>
    <outlinePr summaryBelow="0" summaryRight="0"/>
  </sheetPr>
  <dimension ref="A1:Q216"/>
  <sheetViews>
    <sheetView showGridLines="0" workbookViewId="0">
      <selection sqref="A1:H1"/>
    </sheetView>
  </sheetViews>
  <sheetFormatPr defaultRowHeight="12.75" x14ac:dyDescent="0.2"/>
  <cols>
    <col min="1" max="1" width="5.85546875" style="114" bestFit="1" customWidth="1"/>
    <col min="2" max="2" width="19.5703125" style="114" bestFit="1" customWidth="1"/>
    <col min="3" max="3" width="39.140625" style="114" bestFit="1" customWidth="1"/>
    <col min="4" max="4" width="16.5703125" style="114" bestFit="1" customWidth="1"/>
    <col min="5" max="5" width="11.42578125" style="114" bestFit="1" customWidth="1"/>
    <col min="6" max="6" width="10.140625" style="114" bestFit="1" customWidth="1"/>
    <col min="7" max="7" width="14" style="114" bestFit="1" customWidth="1"/>
    <col min="8" max="8" width="5.28515625" style="114" customWidth="1"/>
    <col min="9" max="9" width="5.7109375" style="114" bestFit="1" customWidth="1"/>
    <col min="10" max="10" width="50.7109375" style="12" customWidth="1"/>
  </cols>
  <sheetData>
    <row r="1" spans="1:10" ht="15" x14ac:dyDescent="0.2">
      <c r="A1" s="205" t="s">
        <v>0</v>
      </c>
      <c r="B1" s="113"/>
      <c r="C1" s="113"/>
      <c r="D1" s="113"/>
      <c r="E1" s="113"/>
      <c r="F1" s="113"/>
      <c r="G1" s="113"/>
      <c r="H1" s="113"/>
      <c r="I1" s="7" t="s">
        <v>884</v>
      </c>
      <c r="J1" s="8"/>
    </row>
    <row r="2" spans="1:10" ht="15" x14ac:dyDescent="0.2">
      <c r="A2" s="113" t="s">
        <v>677</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45" x14ac:dyDescent="0.2">
      <c r="A4" s="115" t="s">
        <v>2</v>
      </c>
      <c r="B4" s="115" t="s">
        <v>3</v>
      </c>
      <c r="C4" s="115" t="s">
        <v>4</v>
      </c>
      <c r="D4" s="115" t="s">
        <v>5</v>
      </c>
      <c r="E4" s="115" t="s">
        <v>6</v>
      </c>
      <c r="F4" s="115" t="s">
        <v>7</v>
      </c>
      <c r="G4" s="115" t="s">
        <v>8</v>
      </c>
      <c r="H4" s="116" t="s">
        <v>1045</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343</v>
      </c>
      <c r="C7" s="122" t="s">
        <v>344</v>
      </c>
      <c r="D7" s="122" t="s">
        <v>48</v>
      </c>
      <c r="E7" s="123">
        <v>656390</v>
      </c>
      <c r="F7" s="124">
        <v>11369.002995000001</v>
      </c>
      <c r="G7" s="125">
        <v>7.1449410000000005E-2</v>
      </c>
      <c r="H7" s="120" t="s">
        <v>151</v>
      </c>
      <c r="J7" s="8"/>
    </row>
    <row r="8" spans="1:10" x14ac:dyDescent="0.2">
      <c r="A8" s="121">
        <v>2</v>
      </c>
      <c r="B8" s="122" t="s">
        <v>20</v>
      </c>
      <c r="C8" s="122" t="s">
        <v>21</v>
      </c>
      <c r="D8" s="122" t="s">
        <v>22</v>
      </c>
      <c r="E8" s="123">
        <v>290296</v>
      </c>
      <c r="F8" s="124">
        <v>8572.8763240000007</v>
      </c>
      <c r="G8" s="125">
        <v>5.3876930000000003E-2</v>
      </c>
      <c r="H8" s="120" t="s">
        <v>151</v>
      </c>
      <c r="J8" s="8"/>
    </row>
    <row r="9" spans="1:10" x14ac:dyDescent="0.2">
      <c r="A9" s="121">
        <v>3</v>
      </c>
      <c r="B9" s="122" t="s">
        <v>46</v>
      </c>
      <c r="C9" s="122" t="s">
        <v>47</v>
      </c>
      <c r="D9" s="122" t="s">
        <v>48</v>
      </c>
      <c r="E9" s="123">
        <v>571730</v>
      </c>
      <c r="F9" s="124">
        <v>7278.1229000000003</v>
      </c>
      <c r="G9" s="125">
        <v>4.573994E-2</v>
      </c>
      <c r="H9" s="120" t="s">
        <v>151</v>
      </c>
      <c r="J9" s="8"/>
    </row>
    <row r="10" spans="1:10" x14ac:dyDescent="0.2">
      <c r="A10" s="121">
        <v>4</v>
      </c>
      <c r="B10" s="122" t="s">
        <v>347</v>
      </c>
      <c r="C10" s="122" t="s">
        <v>348</v>
      </c>
      <c r="D10" s="122" t="s">
        <v>216</v>
      </c>
      <c r="E10" s="123">
        <v>304100</v>
      </c>
      <c r="F10" s="124">
        <v>5703.6995999999999</v>
      </c>
      <c r="G10" s="125">
        <v>3.584536E-2</v>
      </c>
      <c r="H10" s="120" t="s">
        <v>151</v>
      </c>
      <c r="J10" s="8"/>
    </row>
    <row r="11" spans="1:10" x14ac:dyDescent="0.2">
      <c r="A11" s="121">
        <v>5</v>
      </c>
      <c r="B11" s="122" t="s">
        <v>14</v>
      </c>
      <c r="C11" s="122" t="s">
        <v>15</v>
      </c>
      <c r="D11" s="122" t="s">
        <v>16</v>
      </c>
      <c r="E11" s="123">
        <v>257500</v>
      </c>
      <c r="F11" s="124">
        <v>4402.0912500000004</v>
      </c>
      <c r="G11" s="125">
        <v>2.7665289999999999E-2</v>
      </c>
      <c r="H11" s="120" t="s">
        <v>151</v>
      </c>
      <c r="J11" s="8"/>
    </row>
    <row r="12" spans="1:10" ht="15" x14ac:dyDescent="0.2">
      <c r="A12" s="121">
        <v>6</v>
      </c>
      <c r="B12" s="122" t="s">
        <v>194</v>
      </c>
      <c r="C12" s="122" t="s">
        <v>195</v>
      </c>
      <c r="D12" s="122" t="s">
        <v>35</v>
      </c>
      <c r="E12" s="123">
        <v>515000</v>
      </c>
      <c r="F12" s="124">
        <v>3760.7874999999999</v>
      </c>
      <c r="G12" s="125">
        <v>2.3634970000000002E-2</v>
      </c>
      <c r="H12" s="120" t="s">
        <v>151</v>
      </c>
      <c r="J12" s="11"/>
    </row>
    <row r="13" spans="1:10" x14ac:dyDescent="0.2">
      <c r="A13" s="121">
        <v>7</v>
      </c>
      <c r="B13" s="122" t="s">
        <v>351</v>
      </c>
      <c r="C13" s="122" t="s">
        <v>352</v>
      </c>
      <c r="D13" s="122" t="s">
        <v>48</v>
      </c>
      <c r="E13" s="123">
        <v>199520</v>
      </c>
      <c r="F13" s="124">
        <v>3699.0010400000001</v>
      </c>
      <c r="G13" s="125">
        <v>2.3246670000000001E-2</v>
      </c>
      <c r="H13" s="120" t="s">
        <v>151</v>
      </c>
      <c r="J13" s="8"/>
    </row>
    <row r="14" spans="1:10" x14ac:dyDescent="0.2">
      <c r="A14" s="121">
        <v>8</v>
      </c>
      <c r="B14" s="122" t="s">
        <v>11</v>
      </c>
      <c r="C14" s="122" t="s">
        <v>12</v>
      </c>
      <c r="D14" s="122" t="s">
        <v>13</v>
      </c>
      <c r="E14" s="123">
        <v>83900</v>
      </c>
      <c r="F14" s="124">
        <v>3083.7864500000001</v>
      </c>
      <c r="G14" s="125">
        <v>1.93803E-2</v>
      </c>
      <c r="H14" s="120" t="s">
        <v>151</v>
      </c>
      <c r="J14" s="8"/>
    </row>
    <row r="15" spans="1:10" x14ac:dyDescent="0.2">
      <c r="A15" s="121">
        <v>9</v>
      </c>
      <c r="B15" s="200" t="s">
        <v>978</v>
      </c>
      <c r="C15" s="200" t="s">
        <v>979</v>
      </c>
      <c r="D15" s="200" t="s">
        <v>45</v>
      </c>
      <c r="E15" s="259">
        <v>700000</v>
      </c>
      <c r="F15" s="260">
        <v>2729.37</v>
      </c>
      <c r="G15" s="261">
        <v>1.7152943455928583E-2</v>
      </c>
      <c r="H15" s="260"/>
      <c r="J15" s="8"/>
    </row>
    <row r="16" spans="1:10" x14ac:dyDescent="0.2">
      <c r="A16" s="121">
        <v>10</v>
      </c>
      <c r="B16" s="122" t="s">
        <v>349</v>
      </c>
      <c r="C16" s="122" t="s">
        <v>350</v>
      </c>
      <c r="D16" s="122" t="s">
        <v>48</v>
      </c>
      <c r="E16" s="123">
        <v>194360</v>
      </c>
      <c r="F16" s="124">
        <v>2394.9039200000002</v>
      </c>
      <c r="G16" s="125">
        <v>1.505097E-2</v>
      </c>
      <c r="H16" s="120" t="s">
        <v>151</v>
      </c>
      <c r="J16" s="8"/>
    </row>
    <row r="17" spans="1:10" ht="25.5" x14ac:dyDescent="0.2">
      <c r="A17" s="121">
        <v>11</v>
      </c>
      <c r="B17" s="122" t="s">
        <v>234</v>
      </c>
      <c r="C17" s="122" t="s">
        <v>235</v>
      </c>
      <c r="D17" s="122" t="s">
        <v>121</v>
      </c>
      <c r="E17" s="123">
        <v>65200</v>
      </c>
      <c r="F17" s="124">
        <v>2332.1714000000002</v>
      </c>
      <c r="G17" s="125">
        <v>1.465672E-2</v>
      </c>
      <c r="H17" s="120" t="s">
        <v>151</v>
      </c>
      <c r="J17" s="8" t="s">
        <v>977</v>
      </c>
    </row>
    <row r="18" spans="1:10" x14ac:dyDescent="0.2">
      <c r="A18" s="121">
        <v>12</v>
      </c>
      <c r="B18" s="122" t="s">
        <v>463</v>
      </c>
      <c r="C18" s="122" t="s">
        <v>464</v>
      </c>
      <c r="D18" s="122" t="s">
        <v>48</v>
      </c>
      <c r="E18" s="123">
        <v>930150</v>
      </c>
      <c r="F18" s="124">
        <v>2304.9117000000001</v>
      </c>
      <c r="G18" s="125">
        <v>1.4485400000000001E-2</v>
      </c>
      <c r="H18" s="120" t="s">
        <v>151</v>
      </c>
      <c r="J18" s="8"/>
    </row>
    <row r="19" spans="1:10" x14ac:dyDescent="0.2">
      <c r="A19" s="121">
        <v>13</v>
      </c>
      <c r="B19" s="122" t="s">
        <v>661</v>
      </c>
      <c r="C19" s="122" t="s">
        <v>662</v>
      </c>
      <c r="D19" s="122" t="s">
        <v>48</v>
      </c>
      <c r="E19" s="123">
        <v>1917000</v>
      </c>
      <c r="F19" s="124">
        <v>2134.1961000000001</v>
      </c>
      <c r="G19" s="125">
        <v>1.3412530000000001E-2</v>
      </c>
      <c r="H19" s="120" t="s">
        <v>151</v>
      </c>
      <c r="J19" s="8"/>
    </row>
    <row r="20" spans="1:10" ht="25.5" x14ac:dyDescent="0.2">
      <c r="A20" s="121">
        <v>14</v>
      </c>
      <c r="B20" s="122" t="s">
        <v>465</v>
      </c>
      <c r="C20" s="122" t="s">
        <v>466</v>
      </c>
      <c r="D20" s="122" t="s">
        <v>205</v>
      </c>
      <c r="E20" s="123">
        <v>128700</v>
      </c>
      <c r="F20" s="124">
        <v>2128.8267000000001</v>
      </c>
      <c r="G20" s="125">
        <v>1.337878E-2</v>
      </c>
      <c r="H20" s="120" t="s">
        <v>151</v>
      </c>
      <c r="J20" s="8"/>
    </row>
    <row r="21" spans="1:10" x14ac:dyDescent="0.2">
      <c r="A21" s="121">
        <v>15</v>
      </c>
      <c r="B21" s="122" t="s">
        <v>355</v>
      </c>
      <c r="C21" s="122" t="s">
        <v>356</v>
      </c>
      <c r="D21" s="122" t="s">
        <v>216</v>
      </c>
      <c r="E21" s="123">
        <v>48272</v>
      </c>
      <c r="F21" s="124">
        <v>2060.4903199999999</v>
      </c>
      <c r="G21" s="125">
        <v>1.294932E-2</v>
      </c>
      <c r="H21" s="120" t="s">
        <v>151</v>
      </c>
      <c r="J21" s="8"/>
    </row>
    <row r="22" spans="1:10" x14ac:dyDescent="0.2">
      <c r="A22" s="121">
        <v>16</v>
      </c>
      <c r="B22" s="122" t="s">
        <v>545</v>
      </c>
      <c r="C22" s="122" t="s">
        <v>546</v>
      </c>
      <c r="D22" s="122" t="s">
        <v>270</v>
      </c>
      <c r="E22" s="123">
        <v>16137</v>
      </c>
      <c r="F22" s="124">
        <v>1992.2659515</v>
      </c>
      <c r="G22" s="125">
        <v>1.252055E-2</v>
      </c>
      <c r="H22" s="120" t="s">
        <v>151</v>
      </c>
      <c r="J22" s="8"/>
    </row>
    <row r="23" spans="1:10" ht="15" x14ac:dyDescent="0.2">
      <c r="A23" s="121">
        <v>17</v>
      </c>
      <c r="B23" s="122" t="s">
        <v>461</v>
      </c>
      <c r="C23" s="122" t="s">
        <v>462</v>
      </c>
      <c r="D23" s="122" t="s">
        <v>216</v>
      </c>
      <c r="E23" s="123">
        <v>105500</v>
      </c>
      <c r="F23" s="124">
        <v>1894.8855000000001</v>
      </c>
      <c r="G23" s="125">
        <v>1.190856E-2</v>
      </c>
      <c r="H23" s="120" t="s">
        <v>151</v>
      </c>
      <c r="J23" s="11"/>
    </row>
    <row r="24" spans="1:10" x14ac:dyDescent="0.2">
      <c r="A24" s="121">
        <v>18</v>
      </c>
      <c r="B24" s="122" t="s">
        <v>196</v>
      </c>
      <c r="C24" s="122" t="s">
        <v>197</v>
      </c>
      <c r="D24" s="122" t="s">
        <v>70</v>
      </c>
      <c r="E24" s="123">
        <v>43200</v>
      </c>
      <c r="F24" s="124">
        <v>1873.1736000000001</v>
      </c>
      <c r="G24" s="125">
        <v>1.1772110000000001E-2</v>
      </c>
      <c r="H24" s="120" t="s">
        <v>151</v>
      </c>
      <c r="J24" s="8"/>
    </row>
    <row r="25" spans="1:10" x14ac:dyDescent="0.2">
      <c r="A25" s="121">
        <v>19</v>
      </c>
      <c r="B25" s="122" t="s">
        <v>547</v>
      </c>
      <c r="C25" s="122" t="s">
        <v>548</v>
      </c>
      <c r="D25" s="122" t="s">
        <v>270</v>
      </c>
      <c r="E25" s="123">
        <v>13850</v>
      </c>
      <c r="F25" s="124">
        <v>1833.463</v>
      </c>
      <c r="G25" s="125">
        <v>1.152254E-2</v>
      </c>
      <c r="H25" s="120" t="s">
        <v>151</v>
      </c>
      <c r="J25" s="8"/>
    </row>
    <row r="26" spans="1:10" x14ac:dyDescent="0.2">
      <c r="A26" s="121">
        <v>20</v>
      </c>
      <c r="B26" s="122" t="s">
        <v>63</v>
      </c>
      <c r="C26" s="122" t="s">
        <v>64</v>
      </c>
      <c r="D26" s="122" t="s">
        <v>48</v>
      </c>
      <c r="E26" s="123">
        <v>223220</v>
      </c>
      <c r="F26" s="124">
        <v>1758.75038</v>
      </c>
      <c r="G26" s="125">
        <v>1.105301E-2</v>
      </c>
      <c r="H26" s="120" t="s">
        <v>151</v>
      </c>
      <c r="J26" s="8"/>
    </row>
    <row r="27" spans="1:10" x14ac:dyDescent="0.2">
      <c r="A27" s="121">
        <v>21</v>
      </c>
      <c r="B27" s="122" t="s">
        <v>28</v>
      </c>
      <c r="C27" s="122" t="s">
        <v>29</v>
      </c>
      <c r="D27" s="122" t="s">
        <v>22</v>
      </c>
      <c r="E27" s="123">
        <v>475000</v>
      </c>
      <c r="F27" s="124">
        <v>1757.2625</v>
      </c>
      <c r="G27" s="125">
        <v>1.104366E-2</v>
      </c>
      <c r="H27" s="120" t="s">
        <v>151</v>
      </c>
      <c r="J27" s="8"/>
    </row>
    <row r="28" spans="1:10" x14ac:dyDescent="0.2">
      <c r="A28" s="121">
        <v>22</v>
      </c>
      <c r="B28" s="122" t="s">
        <v>543</v>
      </c>
      <c r="C28" s="122" t="s">
        <v>544</v>
      </c>
      <c r="D28" s="122" t="s">
        <v>261</v>
      </c>
      <c r="E28" s="123">
        <v>110000</v>
      </c>
      <c r="F28" s="124">
        <v>1748.89</v>
      </c>
      <c r="G28" s="125">
        <v>1.0991040000000001E-2</v>
      </c>
      <c r="H28" s="120" t="s">
        <v>151</v>
      </c>
      <c r="J28" s="8"/>
    </row>
    <row r="29" spans="1:10" x14ac:dyDescent="0.2">
      <c r="A29" s="121">
        <v>23</v>
      </c>
      <c r="B29" s="122" t="s">
        <v>17</v>
      </c>
      <c r="C29" s="122" t="s">
        <v>18</v>
      </c>
      <c r="D29" s="122" t="s">
        <v>19</v>
      </c>
      <c r="E29" s="123">
        <v>366100</v>
      </c>
      <c r="F29" s="124">
        <v>1622.5552</v>
      </c>
      <c r="G29" s="125">
        <v>1.0197080000000001E-2</v>
      </c>
      <c r="H29" s="120" t="s">
        <v>151</v>
      </c>
      <c r="J29" s="8"/>
    </row>
    <row r="30" spans="1:10" x14ac:dyDescent="0.2">
      <c r="A30" s="121">
        <v>24</v>
      </c>
      <c r="B30" s="122" t="s">
        <v>364</v>
      </c>
      <c r="C30" s="122" t="s">
        <v>365</v>
      </c>
      <c r="D30" s="122" t="s">
        <v>270</v>
      </c>
      <c r="E30" s="123">
        <v>160490</v>
      </c>
      <c r="F30" s="124">
        <v>1564.2157850000001</v>
      </c>
      <c r="G30" s="125">
        <v>9.8304399999999993E-3</v>
      </c>
      <c r="H30" s="120" t="s">
        <v>151</v>
      </c>
      <c r="J30" s="8"/>
    </row>
    <row r="31" spans="1:10" ht="25.5" x14ac:dyDescent="0.2">
      <c r="A31" s="121">
        <v>25</v>
      </c>
      <c r="B31" s="122" t="s">
        <v>353</v>
      </c>
      <c r="C31" s="122" t="s">
        <v>354</v>
      </c>
      <c r="D31" s="122" t="s">
        <v>205</v>
      </c>
      <c r="E31" s="123">
        <v>78800</v>
      </c>
      <c r="F31" s="124">
        <v>1518.2396000000001</v>
      </c>
      <c r="G31" s="125">
        <v>9.5414999999999996E-3</v>
      </c>
      <c r="H31" s="120" t="s">
        <v>151</v>
      </c>
      <c r="J31" s="8"/>
    </row>
    <row r="32" spans="1:10" x14ac:dyDescent="0.2">
      <c r="A32" s="121">
        <v>26</v>
      </c>
      <c r="B32" s="122" t="s">
        <v>678</v>
      </c>
      <c r="C32" s="122" t="s">
        <v>679</v>
      </c>
      <c r="D32" s="122" t="s">
        <v>121</v>
      </c>
      <c r="E32" s="123">
        <v>76000</v>
      </c>
      <c r="F32" s="124">
        <v>1499.7840000000001</v>
      </c>
      <c r="G32" s="125">
        <v>9.4255099999999998E-3</v>
      </c>
      <c r="H32" s="120" t="s">
        <v>151</v>
      </c>
      <c r="J32" s="8"/>
    </row>
    <row r="33" spans="1:10" x14ac:dyDescent="0.2">
      <c r="A33" s="121">
        <v>27</v>
      </c>
      <c r="B33" s="122" t="s">
        <v>471</v>
      </c>
      <c r="C33" s="122" t="s">
        <v>472</v>
      </c>
      <c r="D33" s="122" t="s">
        <v>48</v>
      </c>
      <c r="E33" s="123">
        <v>102500</v>
      </c>
      <c r="F33" s="124">
        <v>1483.79</v>
      </c>
      <c r="G33" s="125">
        <v>9.325E-3</v>
      </c>
      <c r="H33" s="120" t="s">
        <v>151</v>
      </c>
      <c r="J33" s="8"/>
    </row>
    <row r="34" spans="1:10" ht="25.5" x14ac:dyDescent="0.2">
      <c r="A34" s="121">
        <v>28</v>
      </c>
      <c r="B34" s="122" t="s">
        <v>467</v>
      </c>
      <c r="C34" s="122" t="s">
        <v>468</v>
      </c>
      <c r="D34" s="122" t="s">
        <v>290</v>
      </c>
      <c r="E34" s="123">
        <v>121497</v>
      </c>
      <c r="F34" s="124">
        <v>1454.2583414999999</v>
      </c>
      <c r="G34" s="125">
        <v>9.1394000000000006E-3</v>
      </c>
      <c r="H34" s="120" t="s">
        <v>151</v>
      </c>
      <c r="J34" s="8"/>
    </row>
    <row r="35" spans="1:10" x14ac:dyDescent="0.2">
      <c r="A35" s="121">
        <v>29</v>
      </c>
      <c r="B35" s="122" t="s">
        <v>239</v>
      </c>
      <c r="C35" s="122" t="s">
        <v>240</v>
      </c>
      <c r="D35" s="122" t="s">
        <v>241</v>
      </c>
      <c r="E35" s="123">
        <v>30908</v>
      </c>
      <c r="F35" s="124">
        <v>1362.7646279999999</v>
      </c>
      <c r="G35" s="125">
        <v>8.5643999999999998E-3</v>
      </c>
      <c r="H35" s="120" t="s">
        <v>151</v>
      </c>
      <c r="J35" s="8"/>
    </row>
    <row r="36" spans="1:10" ht="25.5" x14ac:dyDescent="0.2">
      <c r="A36" s="121">
        <v>30</v>
      </c>
      <c r="B36" s="122" t="s">
        <v>23</v>
      </c>
      <c r="C36" s="122" t="s">
        <v>24</v>
      </c>
      <c r="D36" s="122" t="s">
        <v>25</v>
      </c>
      <c r="E36" s="123">
        <v>11380</v>
      </c>
      <c r="F36" s="124">
        <v>1343.0676000000001</v>
      </c>
      <c r="G36" s="125">
        <v>8.4406199999999994E-3</v>
      </c>
      <c r="H36" s="120" t="s">
        <v>151</v>
      </c>
      <c r="J36" s="8"/>
    </row>
    <row r="37" spans="1:10" x14ac:dyDescent="0.2">
      <c r="A37" s="121">
        <v>31</v>
      </c>
      <c r="B37" s="122" t="s">
        <v>663</v>
      </c>
      <c r="C37" s="122" t="s">
        <v>664</v>
      </c>
      <c r="D37" s="122" t="s">
        <v>121</v>
      </c>
      <c r="E37" s="123">
        <v>17250</v>
      </c>
      <c r="F37" s="124">
        <v>1328.7674999999999</v>
      </c>
      <c r="G37" s="125">
        <v>8.3507500000000005E-3</v>
      </c>
      <c r="H37" s="120" t="s">
        <v>151</v>
      </c>
      <c r="J37" s="8"/>
    </row>
    <row r="38" spans="1:10" x14ac:dyDescent="0.2">
      <c r="A38" s="121">
        <v>32</v>
      </c>
      <c r="B38" s="122" t="s">
        <v>336</v>
      </c>
      <c r="C38" s="122" t="s">
        <v>337</v>
      </c>
      <c r="D38" s="122" t="s">
        <v>295</v>
      </c>
      <c r="E38" s="123">
        <v>165150</v>
      </c>
      <c r="F38" s="124">
        <v>1288.417725</v>
      </c>
      <c r="G38" s="125">
        <v>8.0971600000000008E-3</v>
      </c>
      <c r="H38" s="120" t="s">
        <v>151</v>
      </c>
      <c r="J38" s="8"/>
    </row>
    <row r="39" spans="1:10" ht="25.5" x14ac:dyDescent="0.2">
      <c r="A39" s="121">
        <v>33</v>
      </c>
      <c r="B39" s="122" t="s">
        <v>225</v>
      </c>
      <c r="C39" s="122" t="s">
        <v>226</v>
      </c>
      <c r="D39" s="122" t="s">
        <v>205</v>
      </c>
      <c r="E39" s="123">
        <v>115900</v>
      </c>
      <c r="F39" s="124">
        <v>1238.4494500000001</v>
      </c>
      <c r="G39" s="125">
        <v>7.7831300000000001E-3</v>
      </c>
      <c r="H39" s="120" t="s">
        <v>151</v>
      </c>
      <c r="J39" s="8"/>
    </row>
    <row r="40" spans="1:10" x14ac:dyDescent="0.2">
      <c r="A40" s="121">
        <v>34</v>
      </c>
      <c r="B40" s="122" t="s">
        <v>262</v>
      </c>
      <c r="C40" s="122" t="s">
        <v>263</v>
      </c>
      <c r="D40" s="122" t="s">
        <v>70</v>
      </c>
      <c r="E40" s="123">
        <v>224200</v>
      </c>
      <c r="F40" s="124">
        <v>1228.2797</v>
      </c>
      <c r="G40" s="125">
        <v>7.7192199999999997E-3</v>
      </c>
      <c r="H40" s="120" t="s">
        <v>151</v>
      </c>
      <c r="J40" s="8"/>
    </row>
    <row r="41" spans="1:10" ht="25.5" x14ac:dyDescent="0.2">
      <c r="A41" s="121">
        <v>35</v>
      </c>
      <c r="B41" s="122" t="s">
        <v>369</v>
      </c>
      <c r="C41" s="122" t="s">
        <v>370</v>
      </c>
      <c r="D41" s="122" t="s">
        <v>205</v>
      </c>
      <c r="E41" s="123">
        <v>18100</v>
      </c>
      <c r="F41" s="124">
        <v>1222.0396000000001</v>
      </c>
      <c r="G41" s="125">
        <v>7.6800100000000001E-3</v>
      </c>
      <c r="H41" s="120" t="s">
        <v>151</v>
      </c>
      <c r="J41" s="8"/>
    </row>
    <row r="42" spans="1:10" x14ac:dyDescent="0.2">
      <c r="A42" s="121">
        <v>36</v>
      </c>
      <c r="B42" s="122" t="s">
        <v>357</v>
      </c>
      <c r="C42" s="122" t="s">
        <v>358</v>
      </c>
      <c r="D42" s="122" t="s">
        <v>261</v>
      </c>
      <c r="E42" s="123">
        <v>191350</v>
      </c>
      <c r="F42" s="124">
        <v>1160.1550500000001</v>
      </c>
      <c r="G42" s="125">
        <v>7.2910900000000001E-3</v>
      </c>
      <c r="H42" s="120" t="s">
        <v>151</v>
      </c>
      <c r="J42" s="8"/>
    </row>
    <row r="43" spans="1:10" x14ac:dyDescent="0.2">
      <c r="A43" s="121">
        <v>37</v>
      </c>
      <c r="B43" s="122" t="s">
        <v>271</v>
      </c>
      <c r="C43" s="122" t="s">
        <v>272</v>
      </c>
      <c r="D43" s="122" t="s">
        <v>35</v>
      </c>
      <c r="E43" s="123">
        <v>60000</v>
      </c>
      <c r="F43" s="124">
        <v>1107.06</v>
      </c>
      <c r="G43" s="125">
        <v>6.9574099999999998E-3</v>
      </c>
      <c r="H43" s="120" t="s">
        <v>151</v>
      </c>
      <c r="J43" s="8"/>
    </row>
    <row r="44" spans="1:10" x14ac:dyDescent="0.2">
      <c r="A44" s="121">
        <v>38</v>
      </c>
      <c r="B44" s="122" t="s">
        <v>366</v>
      </c>
      <c r="C44" s="122" t="s">
        <v>367</v>
      </c>
      <c r="D44" s="122" t="s">
        <v>368</v>
      </c>
      <c r="E44" s="123">
        <v>207500</v>
      </c>
      <c r="F44" s="124">
        <v>1075.1612500000001</v>
      </c>
      <c r="G44" s="125">
        <v>6.7569400000000003E-3</v>
      </c>
      <c r="H44" s="120" t="s">
        <v>151</v>
      </c>
      <c r="J44" s="8"/>
    </row>
    <row r="45" spans="1:10" ht="25.5" x14ac:dyDescent="0.2">
      <c r="A45" s="121">
        <v>39</v>
      </c>
      <c r="B45" s="122" t="s">
        <v>229</v>
      </c>
      <c r="C45" s="122" t="s">
        <v>230</v>
      </c>
      <c r="D45" s="122" t="s">
        <v>205</v>
      </c>
      <c r="E45" s="123">
        <v>17320</v>
      </c>
      <c r="F45" s="124">
        <v>1048.3449599999999</v>
      </c>
      <c r="G45" s="125">
        <v>6.5884100000000003E-3</v>
      </c>
      <c r="H45" s="120" t="s">
        <v>151</v>
      </c>
      <c r="J45" s="8"/>
    </row>
    <row r="46" spans="1:10" ht="25.5" x14ac:dyDescent="0.2">
      <c r="A46" s="121">
        <v>40</v>
      </c>
      <c r="B46" s="122" t="s">
        <v>206</v>
      </c>
      <c r="C46" s="122" t="s">
        <v>207</v>
      </c>
      <c r="D46" s="122" t="s">
        <v>208</v>
      </c>
      <c r="E46" s="123">
        <v>58000</v>
      </c>
      <c r="F46" s="124">
        <v>971.29700000000003</v>
      </c>
      <c r="G46" s="125">
        <v>6.1041899999999998E-3</v>
      </c>
      <c r="H46" s="120" t="s">
        <v>151</v>
      </c>
      <c r="J46" s="8"/>
    </row>
    <row r="47" spans="1:10" x14ac:dyDescent="0.2">
      <c r="A47" s="121">
        <v>41</v>
      </c>
      <c r="B47" s="122" t="s">
        <v>266</v>
      </c>
      <c r="C47" s="122" t="s">
        <v>267</v>
      </c>
      <c r="D47" s="122" t="s">
        <v>32</v>
      </c>
      <c r="E47" s="123">
        <v>13700</v>
      </c>
      <c r="F47" s="124">
        <v>952.86239999999998</v>
      </c>
      <c r="G47" s="125">
        <v>5.98834E-3</v>
      </c>
      <c r="H47" s="120" t="s">
        <v>151</v>
      </c>
      <c r="J47" s="8"/>
    </row>
    <row r="48" spans="1:10" ht="25.5" x14ac:dyDescent="0.2">
      <c r="A48" s="121">
        <v>42</v>
      </c>
      <c r="B48" s="122" t="s">
        <v>403</v>
      </c>
      <c r="C48" s="122" t="s">
        <v>404</v>
      </c>
      <c r="D48" s="122" t="s">
        <v>25</v>
      </c>
      <c r="E48" s="123">
        <v>33800</v>
      </c>
      <c r="F48" s="124">
        <v>944.89589999999998</v>
      </c>
      <c r="G48" s="125">
        <v>5.9382699999999998E-3</v>
      </c>
      <c r="H48" s="120" t="s">
        <v>151</v>
      </c>
      <c r="J48" s="8"/>
    </row>
    <row r="49" spans="1:10" x14ac:dyDescent="0.2">
      <c r="A49" s="121">
        <v>43</v>
      </c>
      <c r="B49" s="122" t="s">
        <v>100</v>
      </c>
      <c r="C49" s="122" t="s">
        <v>101</v>
      </c>
      <c r="D49" s="122" t="s">
        <v>32</v>
      </c>
      <c r="E49" s="123">
        <v>38970</v>
      </c>
      <c r="F49" s="124">
        <v>937.42335000000003</v>
      </c>
      <c r="G49" s="125">
        <v>5.8913100000000003E-3</v>
      </c>
      <c r="H49" s="120" t="s">
        <v>151</v>
      </c>
      <c r="J49" s="8"/>
    </row>
    <row r="50" spans="1:10" x14ac:dyDescent="0.2">
      <c r="A50" s="121">
        <v>44</v>
      </c>
      <c r="B50" s="122" t="s">
        <v>236</v>
      </c>
      <c r="C50" s="122" t="s">
        <v>237</v>
      </c>
      <c r="D50" s="122" t="s">
        <v>238</v>
      </c>
      <c r="E50" s="123">
        <v>131250</v>
      </c>
      <c r="F50" s="124">
        <v>894.99374999999998</v>
      </c>
      <c r="G50" s="125">
        <v>5.6246600000000001E-3</v>
      </c>
      <c r="H50" s="120" t="s">
        <v>151</v>
      </c>
      <c r="J50" s="8"/>
    </row>
    <row r="51" spans="1:10" ht="25.5" x14ac:dyDescent="0.2">
      <c r="A51" s="262">
        <v>45</v>
      </c>
      <c r="B51" s="200" t="s">
        <v>983</v>
      </c>
      <c r="C51" s="200" t="s">
        <v>984</v>
      </c>
      <c r="D51" s="200" t="s">
        <v>19</v>
      </c>
      <c r="E51" s="259">
        <v>998132</v>
      </c>
      <c r="F51" s="260">
        <v>887.43920000000003</v>
      </c>
      <c r="G51" s="263">
        <v>5.5771824333727196E-3</v>
      </c>
      <c r="H51" s="120" t="s">
        <v>151</v>
      </c>
      <c r="J51" s="8"/>
    </row>
    <row r="52" spans="1:10" x14ac:dyDescent="0.2">
      <c r="A52" s="121">
        <v>46</v>
      </c>
      <c r="B52" s="122" t="s">
        <v>551</v>
      </c>
      <c r="C52" s="122" t="s">
        <v>552</v>
      </c>
      <c r="D52" s="122" t="s">
        <v>216</v>
      </c>
      <c r="E52" s="123">
        <v>51600</v>
      </c>
      <c r="F52" s="124">
        <v>813.83519999999999</v>
      </c>
      <c r="G52" s="125">
        <v>5.1146100000000003E-3</v>
      </c>
      <c r="H52" s="120" t="s">
        <v>151</v>
      </c>
      <c r="J52" s="8"/>
    </row>
    <row r="53" spans="1:10" ht="25.5" x14ac:dyDescent="0.2">
      <c r="A53" s="121">
        <v>47</v>
      </c>
      <c r="B53" s="122" t="s">
        <v>203</v>
      </c>
      <c r="C53" s="122" t="s">
        <v>204</v>
      </c>
      <c r="D53" s="122" t="s">
        <v>205</v>
      </c>
      <c r="E53" s="123">
        <v>36400</v>
      </c>
      <c r="F53" s="124">
        <v>797.56039999999996</v>
      </c>
      <c r="G53" s="125">
        <v>5.0123299999999997E-3</v>
      </c>
      <c r="H53" s="120" t="s">
        <v>151</v>
      </c>
      <c r="J53" s="8"/>
    </row>
    <row r="54" spans="1:10" x14ac:dyDescent="0.2">
      <c r="A54" s="121">
        <v>48</v>
      </c>
      <c r="B54" s="122" t="s">
        <v>281</v>
      </c>
      <c r="C54" s="122" t="s">
        <v>282</v>
      </c>
      <c r="D54" s="122" t="s">
        <v>283</v>
      </c>
      <c r="E54" s="123">
        <v>65100</v>
      </c>
      <c r="F54" s="124">
        <v>774.29939999999999</v>
      </c>
      <c r="G54" s="125">
        <v>4.8661499999999996E-3</v>
      </c>
      <c r="H54" s="120" t="s">
        <v>151</v>
      </c>
      <c r="J54" s="8"/>
    </row>
    <row r="55" spans="1:10" x14ac:dyDescent="0.2">
      <c r="A55" s="121">
        <v>49</v>
      </c>
      <c r="B55" s="122" t="s">
        <v>65</v>
      </c>
      <c r="C55" s="122" t="s">
        <v>66</v>
      </c>
      <c r="D55" s="122" t="s">
        <v>67</v>
      </c>
      <c r="E55" s="123">
        <v>305625</v>
      </c>
      <c r="F55" s="124">
        <v>734.38631250000003</v>
      </c>
      <c r="G55" s="125">
        <v>4.6153100000000001E-3</v>
      </c>
      <c r="H55" s="120" t="s">
        <v>151</v>
      </c>
      <c r="J55" s="8"/>
    </row>
    <row r="56" spans="1:10" x14ac:dyDescent="0.2">
      <c r="A56" s="121">
        <v>50</v>
      </c>
      <c r="B56" s="122" t="s">
        <v>209</v>
      </c>
      <c r="C56" s="122" t="s">
        <v>210</v>
      </c>
      <c r="D56" s="122" t="s">
        <v>211</v>
      </c>
      <c r="E56" s="123">
        <v>119200</v>
      </c>
      <c r="F56" s="124">
        <v>733.19920000000002</v>
      </c>
      <c r="G56" s="125">
        <v>4.6078500000000001E-3</v>
      </c>
      <c r="H56" s="120" t="s">
        <v>151</v>
      </c>
      <c r="J56" s="8"/>
    </row>
    <row r="57" spans="1:10" x14ac:dyDescent="0.2">
      <c r="A57" s="121">
        <v>51</v>
      </c>
      <c r="B57" s="122" t="s">
        <v>384</v>
      </c>
      <c r="C57" s="122" t="s">
        <v>385</v>
      </c>
      <c r="D57" s="122" t="s">
        <v>134</v>
      </c>
      <c r="E57" s="123">
        <v>424610</v>
      </c>
      <c r="F57" s="124">
        <v>715.68015500000001</v>
      </c>
      <c r="G57" s="125">
        <v>4.49775E-3</v>
      </c>
      <c r="H57" s="120" t="s">
        <v>151</v>
      </c>
      <c r="J57" s="8"/>
    </row>
    <row r="58" spans="1:10" x14ac:dyDescent="0.2">
      <c r="A58" s="121">
        <v>52</v>
      </c>
      <c r="B58" s="122" t="s">
        <v>33</v>
      </c>
      <c r="C58" s="122" t="s">
        <v>34</v>
      </c>
      <c r="D58" s="122" t="s">
        <v>35</v>
      </c>
      <c r="E58" s="123">
        <v>14000</v>
      </c>
      <c r="F58" s="124">
        <v>673.274</v>
      </c>
      <c r="G58" s="125">
        <v>4.2312399999999998E-3</v>
      </c>
      <c r="H58" s="120" t="s">
        <v>151</v>
      </c>
      <c r="J58" s="8"/>
    </row>
    <row r="59" spans="1:10" x14ac:dyDescent="0.2">
      <c r="A59" s="121">
        <v>53</v>
      </c>
      <c r="B59" s="122" t="s">
        <v>68</v>
      </c>
      <c r="C59" s="122" t="s">
        <v>69</v>
      </c>
      <c r="D59" s="122" t="s">
        <v>70</v>
      </c>
      <c r="E59" s="123">
        <v>9400</v>
      </c>
      <c r="F59" s="124">
        <v>608.61239999999998</v>
      </c>
      <c r="G59" s="125">
        <v>3.8248700000000002E-3</v>
      </c>
      <c r="H59" s="120" t="s">
        <v>151</v>
      </c>
      <c r="J59" s="8"/>
    </row>
    <row r="60" spans="1:10" ht="25.5" x14ac:dyDescent="0.2">
      <c r="A60" s="121">
        <v>54</v>
      </c>
      <c r="B60" s="122" t="s">
        <v>288</v>
      </c>
      <c r="C60" s="122" t="s">
        <v>289</v>
      </c>
      <c r="D60" s="122" t="s">
        <v>290</v>
      </c>
      <c r="E60" s="123">
        <v>84000</v>
      </c>
      <c r="F60" s="124">
        <v>584.13599999999997</v>
      </c>
      <c r="G60" s="125">
        <v>3.6710499999999999E-3</v>
      </c>
      <c r="H60" s="120" t="s">
        <v>151</v>
      </c>
      <c r="J60" s="8"/>
    </row>
    <row r="61" spans="1:10" x14ac:dyDescent="0.2">
      <c r="A61" s="121">
        <v>55</v>
      </c>
      <c r="B61" s="122" t="s">
        <v>124</v>
      </c>
      <c r="C61" s="122" t="s">
        <v>125</v>
      </c>
      <c r="D61" s="122" t="s">
        <v>85</v>
      </c>
      <c r="E61" s="123">
        <v>110100</v>
      </c>
      <c r="F61" s="124">
        <v>467.92500000000001</v>
      </c>
      <c r="G61" s="125">
        <v>2.94071E-3</v>
      </c>
      <c r="H61" s="120" t="s">
        <v>151</v>
      </c>
      <c r="J61" s="8"/>
    </row>
    <row r="62" spans="1:10" ht="25.5" x14ac:dyDescent="0.2">
      <c r="A62" s="121">
        <v>56</v>
      </c>
      <c r="B62" s="122" t="s">
        <v>77</v>
      </c>
      <c r="C62" s="122" t="s">
        <v>78</v>
      </c>
      <c r="D62" s="122" t="s">
        <v>25</v>
      </c>
      <c r="E62" s="123">
        <v>9350</v>
      </c>
      <c r="F62" s="124">
        <v>434.14855</v>
      </c>
      <c r="G62" s="125">
        <v>2.7284399999999999E-3</v>
      </c>
      <c r="H62" s="120" t="s">
        <v>151</v>
      </c>
      <c r="J62" s="8"/>
    </row>
    <row r="63" spans="1:10" x14ac:dyDescent="0.2">
      <c r="A63" s="121">
        <v>57</v>
      </c>
      <c r="B63" s="122" t="s">
        <v>277</v>
      </c>
      <c r="C63" s="122" t="s">
        <v>278</v>
      </c>
      <c r="D63" s="122" t="s">
        <v>70</v>
      </c>
      <c r="E63" s="123">
        <v>33840</v>
      </c>
      <c r="F63" s="124">
        <v>372.79836</v>
      </c>
      <c r="G63" s="125">
        <v>2.3428799999999999E-3</v>
      </c>
      <c r="H63" s="120" t="s">
        <v>151</v>
      </c>
      <c r="J63" s="8"/>
    </row>
    <row r="64" spans="1:10" x14ac:dyDescent="0.2">
      <c r="A64" s="121">
        <v>58</v>
      </c>
      <c r="B64" s="122" t="s">
        <v>219</v>
      </c>
      <c r="C64" s="122" t="s">
        <v>220</v>
      </c>
      <c r="D64" s="122" t="s">
        <v>48</v>
      </c>
      <c r="E64" s="123">
        <v>52200</v>
      </c>
      <c r="F64" s="124">
        <v>273.55410000000001</v>
      </c>
      <c r="G64" s="125">
        <v>1.7191699999999999E-3</v>
      </c>
      <c r="H64" s="120" t="s">
        <v>151</v>
      </c>
      <c r="J64" s="8"/>
    </row>
    <row r="65" spans="1:10" x14ac:dyDescent="0.2">
      <c r="A65" s="118"/>
      <c r="B65" s="118"/>
      <c r="C65" s="119" t="s">
        <v>150</v>
      </c>
      <c r="D65" s="118"/>
      <c r="E65" s="118" t="s">
        <v>151</v>
      </c>
      <c r="F65" s="126">
        <v>112930.6001975</v>
      </c>
      <c r="G65" s="127">
        <v>0.70972138588930156</v>
      </c>
      <c r="H65" s="120" t="s">
        <v>151</v>
      </c>
      <c r="J65" s="8"/>
    </row>
    <row r="66" spans="1:10" x14ac:dyDescent="0.2">
      <c r="A66" s="118"/>
      <c r="B66" s="118"/>
      <c r="C66" s="128"/>
      <c r="D66" s="118"/>
      <c r="E66" s="118"/>
      <c r="F66" s="129"/>
      <c r="G66" s="129"/>
      <c r="H66" s="120" t="s">
        <v>151</v>
      </c>
      <c r="J66" s="8"/>
    </row>
    <row r="67" spans="1:10" x14ac:dyDescent="0.2">
      <c r="A67" s="118"/>
      <c r="B67" s="118"/>
      <c r="C67" s="119" t="s">
        <v>152</v>
      </c>
      <c r="D67" s="118"/>
      <c r="E67" s="118"/>
      <c r="F67" s="118"/>
      <c r="G67" s="118"/>
      <c r="H67" s="120" t="s">
        <v>151</v>
      </c>
      <c r="J67" s="8"/>
    </row>
    <row r="68" spans="1:10" x14ac:dyDescent="0.2">
      <c r="A68" s="118"/>
      <c r="B68" s="118"/>
      <c r="C68" s="119" t="s">
        <v>150</v>
      </c>
      <c r="D68" s="118"/>
      <c r="E68" s="118" t="s">
        <v>151</v>
      </c>
      <c r="F68" s="130" t="s">
        <v>153</v>
      </c>
      <c r="G68" s="127">
        <v>0</v>
      </c>
      <c r="H68" s="120" t="s">
        <v>151</v>
      </c>
      <c r="J68" s="8"/>
    </row>
    <row r="69" spans="1:10" x14ac:dyDescent="0.2">
      <c r="A69" s="118"/>
      <c r="B69" s="118"/>
      <c r="C69" s="128"/>
      <c r="D69" s="118"/>
      <c r="E69" s="118"/>
      <c r="F69" s="129"/>
      <c r="G69" s="129"/>
      <c r="H69" s="120" t="s">
        <v>151</v>
      </c>
      <c r="J69" s="8"/>
    </row>
    <row r="70" spans="1:10" x14ac:dyDescent="0.2">
      <c r="A70" s="118"/>
      <c r="B70" s="118"/>
      <c r="C70" s="119" t="s">
        <v>154</v>
      </c>
      <c r="D70" s="118"/>
      <c r="E70" s="118"/>
      <c r="F70" s="118"/>
      <c r="G70" s="118"/>
      <c r="H70" s="120" t="s">
        <v>151</v>
      </c>
      <c r="J70" s="8"/>
    </row>
    <row r="71" spans="1:10" x14ac:dyDescent="0.2">
      <c r="A71" s="118"/>
      <c r="B71" s="118"/>
      <c r="C71" s="119" t="s">
        <v>150</v>
      </c>
      <c r="D71" s="118"/>
      <c r="E71" s="118" t="s">
        <v>151</v>
      </c>
      <c r="F71" s="130" t="s">
        <v>153</v>
      </c>
      <c r="G71" s="127">
        <v>0</v>
      </c>
      <c r="H71" s="120" t="s">
        <v>151</v>
      </c>
      <c r="J71" s="8"/>
    </row>
    <row r="72" spans="1:10" x14ac:dyDescent="0.2">
      <c r="A72" s="118"/>
      <c r="B72" s="118"/>
      <c r="C72" s="128"/>
      <c r="D72" s="118"/>
      <c r="E72" s="118"/>
      <c r="F72" s="129"/>
      <c r="G72" s="129"/>
      <c r="H72" s="120" t="s">
        <v>151</v>
      </c>
      <c r="J72" s="8"/>
    </row>
    <row r="73" spans="1:10" x14ac:dyDescent="0.2">
      <c r="A73" s="118"/>
      <c r="B73" s="118"/>
      <c r="C73" s="119" t="s">
        <v>155</v>
      </c>
      <c r="D73" s="118"/>
      <c r="E73" s="118"/>
      <c r="F73" s="118"/>
      <c r="G73" s="118"/>
      <c r="H73" s="120" t="s">
        <v>151</v>
      </c>
      <c r="J73" s="8"/>
    </row>
    <row r="74" spans="1:10" x14ac:dyDescent="0.2">
      <c r="A74" s="118"/>
      <c r="B74" s="118"/>
      <c r="C74" s="119" t="s">
        <v>150</v>
      </c>
      <c r="D74" s="118"/>
      <c r="E74" s="118" t="s">
        <v>151</v>
      </c>
      <c r="F74" s="130" t="s">
        <v>153</v>
      </c>
      <c r="G74" s="127">
        <v>0</v>
      </c>
      <c r="H74" s="120" t="s">
        <v>151</v>
      </c>
      <c r="J74" s="8"/>
    </row>
    <row r="75" spans="1:10" x14ac:dyDescent="0.2">
      <c r="A75" s="118"/>
      <c r="B75" s="118"/>
      <c r="C75" s="128"/>
      <c r="D75" s="118"/>
      <c r="E75" s="118"/>
      <c r="F75" s="129"/>
      <c r="G75" s="129"/>
      <c r="H75" s="120" t="s">
        <v>151</v>
      </c>
      <c r="J75" s="8"/>
    </row>
    <row r="76" spans="1:10" x14ac:dyDescent="0.2">
      <c r="A76" s="118"/>
      <c r="B76" s="118"/>
      <c r="C76" s="119" t="s">
        <v>156</v>
      </c>
      <c r="D76" s="118"/>
      <c r="E76" s="118"/>
      <c r="F76" s="129"/>
      <c r="G76" s="129"/>
      <c r="H76" s="120" t="s">
        <v>151</v>
      </c>
      <c r="J76" s="8"/>
    </row>
    <row r="77" spans="1:10" x14ac:dyDescent="0.2">
      <c r="A77" s="118"/>
      <c r="B77" s="118"/>
      <c r="C77" s="119" t="s">
        <v>150</v>
      </c>
      <c r="D77" s="118"/>
      <c r="E77" s="118" t="s">
        <v>151</v>
      </c>
      <c r="F77" s="130" t="s">
        <v>153</v>
      </c>
      <c r="G77" s="127">
        <v>0</v>
      </c>
      <c r="H77" s="120" t="s">
        <v>151</v>
      </c>
      <c r="J77" s="8"/>
    </row>
    <row r="78" spans="1:10" x14ac:dyDescent="0.2">
      <c r="A78" s="118"/>
      <c r="B78" s="118"/>
      <c r="C78" s="128"/>
      <c r="D78" s="118"/>
      <c r="E78" s="118"/>
      <c r="F78" s="129"/>
      <c r="G78" s="129"/>
      <c r="H78" s="120" t="s">
        <v>151</v>
      </c>
      <c r="J78" s="8"/>
    </row>
    <row r="79" spans="1:10" x14ac:dyDescent="0.2">
      <c r="A79" s="118"/>
      <c r="B79" s="118"/>
      <c r="C79" s="119" t="s">
        <v>911</v>
      </c>
      <c r="D79" s="118"/>
      <c r="E79" s="118"/>
      <c r="F79" s="118"/>
      <c r="G79" s="118"/>
      <c r="H79" s="120"/>
      <c r="J79" s="8"/>
    </row>
    <row r="80" spans="1:10" ht="25.5" x14ac:dyDescent="0.2">
      <c r="A80" s="121">
        <v>1</v>
      </c>
      <c r="B80" s="122" t="s">
        <v>912</v>
      </c>
      <c r="C80" s="122" t="s">
        <v>913</v>
      </c>
      <c r="D80" s="122" t="s">
        <v>914</v>
      </c>
      <c r="E80" s="123">
        <v>750</v>
      </c>
      <c r="F80" s="124">
        <v>840.95190680000007</v>
      </c>
      <c r="G80" s="125">
        <v>5.2850293314925158E-3</v>
      </c>
      <c r="H80" s="120">
        <v>8.4361499999999996</v>
      </c>
      <c r="J80" s="8"/>
    </row>
    <row r="81" spans="1:10" x14ac:dyDescent="0.2">
      <c r="A81" s="118"/>
      <c r="B81" s="118"/>
      <c r="C81" s="119" t="s">
        <v>150</v>
      </c>
      <c r="D81" s="118"/>
      <c r="E81" s="118" t="s">
        <v>151</v>
      </c>
      <c r="F81" s="126">
        <v>840.95190680000007</v>
      </c>
      <c r="G81" s="127">
        <v>5.2850293314925158E-3</v>
      </c>
      <c r="H81" s="120"/>
      <c r="J81" s="8"/>
    </row>
    <row r="82" spans="1:10" x14ac:dyDescent="0.2">
      <c r="A82" s="118"/>
      <c r="B82" s="118"/>
      <c r="C82" s="128"/>
      <c r="D82" s="118"/>
      <c r="E82" s="118"/>
      <c r="F82" s="129"/>
      <c r="G82" s="129"/>
      <c r="H82" s="120" t="s">
        <v>151</v>
      </c>
      <c r="J82" s="8"/>
    </row>
    <row r="83" spans="1:10" x14ac:dyDescent="0.2">
      <c r="A83" s="118"/>
      <c r="B83" s="118"/>
      <c r="C83" s="128"/>
      <c r="D83" s="118"/>
      <c r="E83" s="118"/>
      <c r="F83" s="129"/>
      <c r="G83" s="129"/>
      <c r="H83" s="120" t="s">
        <v>151</v>
      </c>
      <c r="J83" s="8"/>
    </row>
    <row r="84" spans="1:10" x14ac:dyDescent="0.2">
      <c r="A84" s="118"/>
      <c r="B84" s="118"/>
      <c r="C84" s="119" t="s">
        <v>157</v>
      </c>
      <c r="D84" s="118"/>
      <c r="E84" s="118"/>
      <c r="F84" s="129"/>
      <c r="G84" s="129"/>
      <c r="H84" s="120" t="s">
        <v>151</v>
      </c>
      <c r="J84" s="8"/>
    </row>
    <row r="85" spans="1:10" x14ac:dyDescent="0.2">
      <c r="A85" s="121">
        <v>1</v>
      </c>
      <c r="B85" s="122"/>
      <c r="C85" s="122" t="s">
        <v>951</v>
      </c>
      <c r="D85" s="122" t="s">
        <v>667</v>
      </c>
      <c r="E85" s="123">
        <v>-17250</v>
      </c>
      <c r="F85" s="124">
        <v>-1338.7897499999999</v>
      </c>
      <c r="G85" s="125">
        <v>-8.4137309639685225E-3</v>
      </c>
      <c r="H85" s="120" t="s">
        <v>151</v>
      </c>
      <c r="J85" s="8"/>
    </row>
    <row r="86" spans="1:10" x14ac:dyDescent="0.2">
      <c r="A86" s="121">
        <v>2</v>
      </c>
      <c r="B86" s="122"/>
      <c r="C86" s="122" t="s">
        <v>980</v>
      </c>
      <c r="D86" s="122" t="s">
        <v>667</v>
      </c>
      <c r="E86" s="123">
        <v>-102500</v>
      </c>
      <c r="F86" s="124">
        <v>-1492.14375</v>
      </c>
      <c r="G86" s="125">
        <v>-9.37749640828002E-3</v>
      </c>
      <c r="H86" s="120" t="s">
        <v>151</v>
      </c>
      <c r="J86" s="8"/>
    </row>
    <row r="87" spans="1:10" x14ac:dyDescent="0.2">
      <c r="A87" s="121">
        <v>3</v>
      </c>
      <c r="B87" s="122"/>
      <c r="C87" s="122" t="s">
        <v>981</v>
      </c>
      <c r="D87" s="122" t="s">
        <v>667</v>
      </c>
      <c r="E87" s="123">
        <v>-76000</v>
      </c>
      <c r="F87" s="124">
        <v>-1512.096</v>
      </c>
      <c r="G87" s="125">
        <v>-9.5028879147699991E-3</v>
      </c>
      <c r="H87" s="120" t="s">
        <v>151</v>
      </c>
      <c r="J87" s="8"/>
    </row>
    <row r="88" spans="1:10" x14ac:dyDescent="0.2">
      <c r="A88" s="121">
        <v>4</v>
      </c>
      <c r="B88" s="122"/>
      <c r="C88" s="122" t="s">
        <v>957</v>
      </c>
      <c r="D88" s="122" t="s">
        <v>667</v>
      </c>
      <c r="E88" s="123">
        <v>-87600</v>
      </c>
      <c r="F88" s="124">
        <v>-1637.9010000000001</v>
      </c>
      <c r="G88" s="125">
        <v>-1.0293519471309822E-2</v>
      </c>
      <c r="H88" s="120" t="s">
        <v>151</v>
      </c>
      <c r="J88" s="8"/>
    </row>
    <row r="89" spans="1:10" x14ac:dyDescent="0.2">
      <c r="A89" s="121">
        <v>5</v>
      </c>
      <c r="B89" s="122"/>
      <c r="C89" s="122" t="s">
        <v>982</v>
      </c>
      <c r="D89" s="122" t="s">
        <v>667</v>
      </c>
      <c r="E89" s="123">
        <v>-128700</v>
      </c>
      <c r="F89" s="124">
        <v>-2146.8447000000001</v>
      </c>
      <c r="G89" s="125">
        <v>-1.3492016746633827E-2</v>
      </c>
      <c r="H89" s="120" t="s">
        <v>151</v>
      </c>
      <c r="J89" s="8"/>
    </row>
    <row r="90" spans="1:10" x14ac:dyDescent="0.2">
      <c r="A90" s="121">
        <v>6</v>
      </c>
      <c r="B90" s="122"/>
      <c r="C90" s="122" t="s">
        <v>958</v>
      </c>
      <c r="D90" s="122" t="s">
        <v>667</v>
      </c>
      <c r="E90" s="123">
        <v>-1917000</v>
      </c>
      <c r="F90" s="124">
        <v>-2147.04</v>
      </c>
      <c r="G90" s="125">
        <v>-1.3493244125060696E-2</v>
      </c>
      <c r="H90" s="120" t="s">
        <v>151</v>
      </c>
      <c r="J90" s="8"/>
    </row>
    <row r="91" spans="1:10" x14ac:dyDescent="0.2">
      <c r="A91" s="121">
        <v>7</v>
      </c>
      <c r="B91" s="122"/>
      <c r="C91" s="122" t="s">
        <v>966</v>
      </c>
      <c r="D91" s="122" t="s">
        <v>667</v>
      </c>
      <c r="E91" s="123">
        <v>-930150</v>
      </c>
      <c r="F91" s="124">
        <v>-2316.538575</v>
      </c>
      <c r="G91" s="125">
        <v>-1.4558471438629567E-2</v>
      </c>
      <c r="H91" s="120" t="s">
        <v>151</v>
      </c>
      <c r="J91" s="8"/>
    </row>
    <row r="92" spans="1:10" x14ac:dyDescent="0.2">
      <c r="A92" s="121">
        <v>8</v>
      </c>
      <c r="B92" s="122"/>
      <c r="C92" s="122" t="s">
        <v>972</v>
      </c>
      <c r="D92" s="122" t="s">
        <v>667</v>
      </c>
      <c r="E92" s="123">
        <v>-78500</v>
      </c>
      <c r="F92" s="124">
        <v>-2337.1019999999999</v>
      </c>
      <c r="G92" s="125">
        <v>-1.468770392315355E-2</v>
      </c>
      <c r="H92" s="120" t="s">
        <v>151</v>
      </c>
      <c r="J92" s="8"/>
    </row>
    <row r="93" spans="1:10" x14ac:dyDescent="0.2">
      <c r="A93" s="121">
        <v>9</v>
      </c>
      <c r="B93" s="122"/>
      <c r="C93" s="122" t="s">
        <v>974</v>
      </c>
      <c r="D93" s="122" t="s">
        <v>667</v>
      </c>
      <c r="E93" s="123">
        <v>-196350</v>
      </c>
      <c r="F93" s="124">
        <v>-3428.8600499999998</v>
      </c>
      <c r="G93" s="125">
        <v>-2.154894446555156E-2</v>
      </c>
      <c r="H93" s="120" t="s">
        <v>151</v>
      </c>
      <c r="J93" s="8"/>
    </row>
    <row r="94" spans="1:10" x14ac:dyDescent="0.2">
      <c r="A94" s="118"/>
      <c r="B94" s="118"/>
      <c r="C94" s="119" t="s">
        <v>150</v>
      </c>
      <c r="D94" s="118"/>
      <c r="E94" s="118" t="s">
        <v>151</v>
      </c>
      <c r="F94" s="126">
        <v>-18357.315825000001</v>
      </c>
      <c r="G94" s="127">
        <v>-0.11536801545735756</v>
      </c>
      <c r="H94" s="120" t="s">
        <v>151</v>
      </c>
      <c r="J94" s="8"/>
    </row>
    <row r="95" spans="1:10" x14ac:dyDescent="0.2">
      <c r="A95" s="118"/>
      <c r="B95" s="118"/>
      <c r="C95" s="128"/>
      <c r="D95" s="118"/>
      <c r="E95" s="118"/>
      <c r="F95" s="129"/>
      <c r="G95" s="129"/>
      <c r="H95" s="120" t="s">
        <v>151</v>
      </c>
      <c r="J95" s="8"/>
    </row>
    <row r="96" spans="1:10" x14ac:dyDescent="0.2">
      <c r="A96" s="118"/>
      <c r="B96" s="118"/>
      <c r="C96" s="119" t="s">
        <v>158</v>
      </c>
      <c r="D96" s="118"/>
      <c r="E96" s="118"/>
      <c r="F96" s="126">
        <v>113771.55210429999</v>
      </c>
      <c r="G96" s="127">
        <v>0.71500641522079411</v>
      </c>
      <c r="H96" s="120" t="s">
        <v>151</v>
      </c>
      <c r="J96" s="8"/>
    </row>
    <row r="97" spans="1:10" x14ac:dyDescent="0.2">
      <c r="A97" s="118"/>
      <c r="B97" s="118"/>
      <c r="C97" s="128"/>
      <c r="D97" s="118"/>
      <c r="E97" s="118"/>
      <c r="F97" s="129"/>
      <c r="G97" s="129"/>
      <c r="H97" s="120" t="s">
        <v>151</v>
      </c>
      <c r="J97" s="8"/>
    </row>
    <row r="98" spans="1:10" x14ac:dyDescent="0.2">
      <c r="A98" s="118"/>
      <c r="B98" s="118"/>
      <c r="C98" s="119" t="s">
        <v>159</v>
      </c>
      <c r="D98" s="118"/>
      <c r="E98" s="118"/>
      <c r="F98" s="129"/>
      <c r="G98" s="129"/>
      <c r="H98" s="120" t="s">
        <v>151</v>
      </c>
      <c r="J98" s="8"/>
    </row>
    <row r="99" spans="1:10" x14ac:dyDescent="0.2">
      <c r="A99" s="118"/>
      <c r="B99" s="118"/>
      <c r="C99" s="119" t="s">
        <v>10</v>
      </c>
      <c r="D99" s="118"/>
      <c r="E99" s="118"/>
      <c r="F99" s="129"/>
      <c r="G99" s="129"/>
      <c r="H99" s="120" t="s">
        <v>151</v>
      </c>
      <c r="J99" s="8"/>
    </row>
    <row r="100" spans="1:10" x14ac:dyDescent="0.2">
      <c r="A100" s="121">
        <v>1</v>
      </c>
      <c r="B100" s="122" t="s">
        <v>680</v>
      </c>
      <c r="C100" s="122" t="s">
        <v>681</v>
      </c>
      <c r="D100" s="122" t="s">
        <v>558</v>
      </c>
      <c r="E100" s="123">
        <v>2500</v>
      </c>
      <c r="F100" s="124">
        <v>2527.2550000000001</v>
      </c>
      <c r="G100" s="125">
        <v>1.5882739999999999E-2</v>
      </c>
      <c r="H100" s="120">
        <v>7.28</v>
      </c>
      <c r="J100" s="8"/>
    </row>
    <row r="101" spans="1:10" ht="25.5" x14ac:dyDescent="0.2">
      <c r="A101" s="121">
        <v>2</v>
      </c>
      <c r="B101" s="122" t="s">
        <v>568</v>
      </c>
      <c r="C101" s="122" t="s">
        <v>569</v>
      </c>
      <c r="D101" s="122" t="s">
        <v>561</v>
      </c>
      <c r="E101" s="123">
        <v>150</v>
      </c>
      <c r="F101" s="124">
        <v>1547.4945</v>
      </c>
      <c r="G101" s="125">
        <v>9.7253500000000007E-3</v>
      </c>
      <c r="H101" s="120">
        <v>7.4950000000000001</v>
      </c>
      <c r="J101" s="8"/>
    </row>
    <row r="102" spans="1:10" ht="25.5" x14ac:dyDescent="0.2">
      <c r="A102" s="121">
        <v>3</v>
      </c>
      <c r="B102" s="122" t="s">
        <v>576</v>
      </c>
      <c r="C102" s="122" t="s">
        <v>577</v>
      </c>
      <c r="D102" s="122" t="s">
        <v>558</v>
      </c>
      <c r="E102" s="123">
        <v>1500</v>
      </c>
      <c r="F102" s="124">
        <v>1507.1610000000001</v>
      </c>
      <c r="G102" s="125">
        <v>9.4718700000000003E-3</v>
      </c>
      <c r="H102" s="120">
        <v>7.43</v>
      </c>
      <c r="J102" s="8"/>
    </row>
    <row r="103" spans="1:10" ht="25.5" x14ac:dyDescent="0.2">
      <c r="A103" s="121">
        <v>4</v>
      </c>
      <c r="B103" s="122" t="s">
        <v>559</v>
      </c>
      <c r="C103" s="122" t="s">
        <v>560</v>
      </c>
      <c r="D103" s="122" t="s">
        <v>561</v>
      </c>
      <c r="E103" s="123">
        <v>1500</v>
      </c>
      <c r="F103" s="124">
        <v>1497.8054999999999</v>
      </c>
      <c r="G103" s="125">
        <v>9.4130800000000008E-3</v>
      </c>
      <c r="H103" s="120">
        <v>7.6449999999999996</v>
      </c>
      <c r="J103" s="8"/>
    </row>
    <row r="104" spans="1:10" ht="25.5" x14ac:dyDescent="0.2">
      <c r="A104" s="121">
        <v>5</v>
      </c>
      <c r="B104" s="122" t="s">
        <v>595</v>
      </c>
      <c r="C104" s="122" t="s">
        <v>596</v>
      </c>
      <c r="D104" s="122" t="s">
        <v>561</v>
      </c>
      <c r="E104" s="123">
        <v>1000</v>
      </c>
      <c r="F104" s="124">
        <v>1044.172</v>
      </c>
      <c r="G104" s="125">
        <v>6.5621799999999999E-3</v>
      </c>
      <c r="H104" s="120">
        <v>7.22</v>
      </c>
      <c r="J104" s="8"/>
    </row>
    <row r="105" spans="1:10" ht="25.5" x14ac:dyDescent="0.2">
      <c r="A105" s="121">
        <v>6</v>
      </c>
      <c r="B105" s="122" t="s">
        <v>597</v>
      </c>
      <c r="C105" s="122" t="s">
        <v>598</v>
      </c>
      <c r="D105" s="122" t="s">
        <v>561</v>
      </c>
      <c r="E105" s="123">
        <v>1000</v>
      </c>
      <c r="F105" s="124">
        <v>1019.7619999999999</v>
      </c>
      <c r="G105" s="125">
        <v>6.4087800000000002E-3</v>
      </c>
      <c r="H105" s="120">
        <v>7.4690000000000003</v>
      </c>
      <c r="J105" s="8"/>
    </row>
    <row r="106" spans="1:10" x14ac:dyDescent="0.2">
      <c r="A106" s="121">
        <v>7</v>
      </c>
      <c r="B106" s="122" t="s">
        <v>605</v>
      </c>
      <c r="C106" s="122" t="s">
        <v>606</v>
      </c>
      <c r="D106" s="122" t="s">
        <v>561</v>
      </c>
      <c r="E106" s="123">
        <v>100</v>
      </c>
      <c r="F106" s="124">
        <v>999.49699999999996</v>
      </c>
      <c r="G106" s="125">
        <v>6.2814200000000002E-3</v>
      </c>
      <c r="H106" s="120">
        <v>7.83</v>
      </c>
      <c r="J106" s="8"/>
    </row>
    <row r="107" spans="1:10" x14ac:dyDescent="0.2">
      <c r="A107" s="121">
        <v>8</v>
      </c>
      <c r="B107" s="122" t="s">
        <v>617</v>
      </c>
      <c r="C107" s="122" t="s">
        <v>618</v>
      </c>
      <c r="D107" s="122" t="s">
        <v>561</v>
      </c>
      <c r="E107" s="123">
        <v>1000</v>
      </c>
      <c r="F107" s="124">
        <v>998.62599999999998</v>
      </c>
      <c r="G107" s="125">
        <v>6.2759499999999998E-3</v>
      </c>
      <c r="H107" s="120">
        <v>7.57</v>
      </c>
      <c r="J107" s="8"/>
    </row>
    <row r="108" spans="1:10" x14ac:dyDescent="0.2">
      <c r="A108" s="121">
        <v>9</v>
      </c>
      <c r="B108" s="122" t="s">
        <v>613</v>
      </c>
      <c r="C108" s="122" t="s">
        <v>614</v>
      </c>
      <c r="D108" s="122" t="s">
        <v>561</v>
      </c>
      <c r="E108" s="123">
        <v>50</v>
      </c>
      <c r="F108" s="124">
        <v>485.82299999999998</v>
      </c>
      <c r="G108" s="125">
        <v>3.0531899999999999E-3</v>
      </c>
      <c r="H108" s="120">
        <v>7.8049999999999997</v>
      </c>
      <c r="J108" s="8"/>
    </row>
    <row r="109" spans="1:10" x14ac:dyDescent="0.2">
      <c r="A109" s="118"/>
      <c r="B109" s="118"/>
      <c r="C109" s="119" t="s">
        <v>150</v>
      </c>
      <c r="D109" s="118"/>
      <c r="E109" s="118" t="s">
        <v>151</v>
      </c>
      <c r="F109" s="126">
        <v>11627.596</v>
      </c>
      <c r="G109" s="127">
        <v>7.3074559999999997E-2</v>
      </c>
      <c r="H109" s="120" t="s">
        <v>151</v>
      </c>
      <c r="J109" s="8"/>
    </row>
    <row r="110" spans="1:10" x14ac:dyDescent="0.2">
      <c r="A110" s="118"/>
      <c r="B110" s="118"/>
      <c r="C110" s="128"/>
      <c r="D110" s="118"/>
      <c r="E110" s="118"/>
      <c r="F110" s="129"/>
      <c r="G110" s="129"/>
      <c r="H110" s="120" t="s">
        <v>151</v>
      </c>
      <c r="J110" s="8"/>
    </row>
    <row r="111" spans="1:10" x14ac:dyDescent="0.2">
      <c r="A111" s="118"/>
      <c r="B111" s="118"/>
      <c r="C111" s="119" t="s">
        <v>160</v>
      </c>
      <c r="D111" s="118"/>
      <c r="E111" s="118"/>
      <c r="F111" s="118"/>
      <c r="G111" s="118"/>
      <c r="H111" s="120" t="s">
        <v>151</v>
      </c>
      <c r="J111" s="8"/>
    </row>
    <row r="112" spans="1:10" x14ac:dyDescent="0.2">
      <c r="A112" s="118"/>
      <c r="B112" s="118"/>
      <c r="C112" s="119" t="s">
        <v>150</v>
      </c>
      <c r="D112" s="118"/>
      <c r="E112" s="118" t="s">
        <v>151</v>
      </c>
      <c r="F112" s="130" t="s">
        <v>153</v>
      </c>
      <c r="G112" s="127">
        <v>0</v>
      </c>
      <c r="H112" s="120" t="s">
        <v>151</v>
      </c>
      <c r="J112" s="8"/>
    </row>
    <row r="113" spans="1:10" x14ac:dyDescent="0.2">
      <c r="A113" s="118"/>
      <c r="B113" s="118"/>
      <c r="C113" s="128"/>
      <c r="D113" s="118"/>
      <c r="E113" s="118"/>
      <c r="F113" s="129"/>
      <c r="G113" s="129"/>
      <c r="H113" s="120" t="s">
        <v>151</v>
      </c>
      <c r="J113" s="8"/>
    </row>
    <row r="114" spans="1:10" x14ac:dyDescent="0.2">
      <c r="A114" s="118"/>
      <c r="B114" s="118"/>
      <c r="C114" s="119" t="s">
        <v>161</v>
      </c>
      <c r="D114" s="118"/>
      <c r="E114" s="118"/>
      <c r="F114" s="118"/>
      <c r="G114" s="118"/>
      <c r="H114" s="120" t="s">
        <v>151</v>
      </c>
      <c r="J114" s="8"/>
    </row>
    <row r="115" spans="1:10" ht="25.5" x14ac:dyDescent="0.2">
      <c r="A115" s="121">
        <v>1</v>
      </c>
      <c r="B115" s="122" t="s">
        <v>627</v>
      </c>
      <c r="C115" s="122" t="s">
        <v>628</v>
      </c>
      <c r="D115" s="122" t="s">
        <v>541</v>
      </c>
      <c r="E115" s="123">
        <v>5000000</v>
      </c>
      <c r="F115" s="124">
        <v>5121.4799999999996</v>
      </c>
      <c r="G115" s="125">
        <v>3.2186350000000002E-2</v>
      </c>
      <c r="H115" s="120">
        <v>6.8635000000000002</v>
      </c>
      <c r="J115" s="8"/>
    </row>
    <row r="116" spans="1:10" ht="25.5" x14ac:dyDescent="0.2">
      <c r="A116" s="121">
        <v>2</v>
      </c>
      <c r="B116" s="122" t="s">
        <v>668</v>
      </c>
      <c r="C116" s="122" t="s">
        <v>669</v>
      </c>
      <c r="D116" s="122" t="s">
        <v>541</v>
      </c>
      <c r="E116" s="123">
        <v>4000000</v>
      </c>
      <c r="F116" s="124">
        <v>4069.5880000000002</v>
      </c>
      <c r="G116" s="125">
        <v>2.5575649999999998E-2</v>
      </c>
      <c r="H116" s="120">
        <v>6.7748999999999997</v>
      </c>
      <c r="J116" s="8"/>
    </row>
    <row r="117" spans="1:10" x14ac:dyDescent="0.2">
      <c r="A117" s="121">
        <v>3</v>
      </c>
      <c r="B117" s="122" t="s">
        <v>625</v>
      </c>
      <c r="C117" s="122" t="s">
        <v>1061</v>
      </c>
      <c r="D117" s="122" t="s">
        <v>541</v>
      </c>
      <c r="E117" s="123">
        <v>3500000</v>
      </c>
      <c r="F117" s="124">
        <v>3596.1205</v>
      </c>
      <c r="G117" s="125">
        <v>2.260011E-2</v>
      </c>
      <c r="H117" s="120">
        <v>6.8757999999999999</v>
      </c>
      <c r="J117" s="8"/>
    </row>
    <row r="118" spans="1:10" ht="25.5" x14ac:dyDescent="0.2">
      <c r="A118" s="121">
        <v>4</v>
      </c>
      <c r="B118" s="122" t="s">
        <v>629</v>
      </c>
      <c r="C118" s="122" t="s">
        <v>1053</v>
      </c>
      <c r="D118" s="122" t="s">
        <v>541</v>
      </c>
      <c r="E118" s="123">
        <v>3000000</v>
      </c>
      <c r="F118" s="124">
        <v>3120.6660000000002</v>
      </c>
      <c r="G118" s="125">
        <v>1.9612069999999999E-2</v>
      </c>
      <c r="H118" s="120">
        <v>6.9051999999999998</v>
      </c>
      <c r="J118" s="8"/>
    </row>
    <row r="119" spans="1:10" x14ac:dyDescent="0.2">
      <c r="A119" s="121">
        <v>5</v>
      </c>
      <c r="B119" s="122" t="s">
        <v>682</v>
      </c>
      <c r="C119" s="122" t="s">
        <v>1060</v>
      </c>
      <c r="D119" s="122" t="s">
        <v>541</v>
      </c>
      <c r="E119" s="123">
        <v>3000000</v>
      </c>
      <c r="F119" s="124">
        <v>3093.1379999999999</v>
      </c>
      <c r="G119" s="125">
        <v>1.9439069999999999E-2</v>
      </c>
      <c r="H119" s="120">
        <v>6.8029000000000002</v>
      </c>
      <c r="J119" s="8"/>
    </row>
    <row r="120" spans="1:10" x14ac:dyDescent="0.2">
      <c r="A120" s="121">
        <v>6</v>
      </c>
      <c r="B120" s="122" t="s">
        <v>683</v>
      </c>
      <c r="C120" s="122" t="s">
        <v>684</v>
      </c>
      <c r="D120" s="122" t="s">
        <v>541</v>
      </c>
      <c r="E120" s="123">
        <v>1000000</v>
      </c>
      <c r="F120" s="124">
        <v>1021.83</v>
      </c>
      <c r="G120" s="125">
        <v>6.4217700000000003E-3</v>
      </c>
      <c r="H120" s="120">
        <v>6.8030999999999997</v>
      </c>
      <c r="J120" s="8"/>
    </row>
    <row r="121" spans="1:10" ht="25.5" x14ac:dyDescent="0.2">
      <c r="A121" s="121">
        <v>7</v>
      </c>
      <c r="B121" s="122" t="s">
        <v>635</v>
      </c>
      <c r="C121" s="122" t="s">
        <v>636</v>
      </c>
      <c r="D121" s="122" t="s">
        <v>541</v>
      </c>
      <c r="E121" s="123">
        <v>500000</v>
      </c>
      <c r="F121" s="124">
        <v>528.01649999999995</v>
      </c>
      <c r="G121" s="125">
        <v>3.3183599999999998E-3</v>
      </c>
      <c r="H121" s="120">
        <v>7.0431999999999997</v>
      </c>
      <c r="J121" s="8"/>
    </row>
    <row r="122" spans="1:10" ht="25.5" x14ac:dyDescent="0.2">
      <c r="A122" s="121">
        <v>8</v>
      </c>
      <c r="B122" s="122" t="s">
        <v>640</v>
      </c>
      <c r="C122" s="122" t="s">
        <v>641</v>
      </c>
      <c r="D122" s="122" t="s">
        <v>541</v>
      </c>
      <c r="E122" s="123">
        <v>500000</v>
      </c>
      <c r="F122" s="124">
        <v>511.85750000000002</v>
      </c>
      <c r="G122" s="125">
        <v>3.2168100000000001E-3</v>
      </c>
      <c r="H122" s="120">
        <v>7.2171000000000003</v>
      </c>
      <c r="J122" s="8"/>
    </row>
    <row r="123" spans="1:10" ht="25.5" x14ac:dyDescent="0.2">
      <c r="A123" s="121">
        <v>9</v>
      </c>
      <c r="B123" s="122" t="s">
        <v>639</v>
      </c>
      <c r="C123" s="200" t="s">
        <v>916</v>
      </c>
      <c r="D123" s="122" t="s">
        <v>541</v>
      </c>
      <c r="E123" s="123">
        <v>500000</v>
      </c>
      <c r="F123" s="124">
        <v>502.54399999999998</v>
      </c>
      <c r="G123" s="125">
        <v>3.1582799999999999E-3</v>
      </c>
      <c r="H123" s="120">
        <v>7.4014088242945171</v>
      </c>
      <c r="J123" s="8"/>
    </row>
    <row r="124" spans="1:10" x14ac:dyDescent="0.2">
      <c r="A124" s="118"/>
      <c r="B124" s="118"/>
      <c r="C124" s="119" t="s">
        <v>150</v>
      </c>
      <c r="D124" s="118"/>
      <c r="E124" s="118" t="s">
        <v>151</v>
      </c>
      <c r="F124" s="126">
        <v>21565.2405</v>
      </c>
      <c r="G124" s="127">
        <v>0.13552847000000001</v>
      </c>
      <c r="H124" s="120" t="s">
        <v>151</v>
      </c>
      <c r="J124" s="8"/>
    </row>
    <row r="125" spans="1:10" x14ac:dyDescent="0.2">
      <c r="A125" s="118"/>
      <c r="B125" s="118"/>
      <c r="C125" s="128"/>
      <c r="D125" s="118"/>
      <c r="E125" s="118"/>
      <c r="F125" s="129"/>
      <c r="G125" s="129"/>
      <c r="H125" s="120" t="s">
        <v>151</v>
      </c>
      <c r="J125" s="8"/>
    </row>
    <row r="126" spans="1:10" x14ac:dyDescent="0.2">
      <c r="A126" s="118"/>
      <c r="B126" s="118"/>
      <c r="C126" s="119" t="s">
        <v>162</v>
      </c>
      <c r="D126" s="118"/>
      <c r="E126" s="118"/>
      <c r="F126" s="129"/>
      <c r="G126" s="129"/>
      <c r="H126" s="120" t="s">
        <v>151</v>
      </c>
      <c r="J126" s="8"/>
    </row>
    <row r="127" spans="1:10" x14ac:dyDescent="0.2">
      <c r="A127" s="118"/>
      <c r="B127" s="118"/>
      <c r="C127" s="119" t="s">
        <v>150</v>
      </c>
      <c r="D127" s="118"/>
      <c r="E127" s="118" t="s">
        <v>151</v>
      </c>
      <c r="F127" s="130" t="s">
        <v>153</v>
      </c>
      <c r="G127" s="127">
        <v>0</v>
      </c>
      <c r="H127" s="120" t="s">
        <v>151</v>
      </c>
      <c r="J127" s="8"/>
    </row>
    <row r="128" spans="1:10" x14ac:dyDescent="0.2">
      <c r="A128" s="118"/>
      <c r="B128" s="118"/>
      <c r="C128" s="128"/>
      <c r="D128" s="118"/>
      <c r="E128" s="118"/>
      <c r="F128" s="129"/>
      <c r="G128" s="129"/>
      <c r="H128" s="120" t="s">
        <v>151</v>
      </c>
      <c r="J128" s="8"/>
    </row>
    <row r="129" spans="1:10" x14ac:dyDescent="0.2">
      <c r="A129" s="118"/>
      <c r="B129" s="118"/>
      <c r="C129" s="119" t="s">
        <v>163</v>
      </c>
      <c r="D129" s="118"/>
      <c r="E129" s="118"/>
      <c r="F129" s="126">
        <v>33192.836499999998</v>
      </c>
      <c r="G129" s="127">
        <v>0.20860302999999999</v>
      </c>
      <c r="H129" s="120" t="s">
        <v>151</v>
      </c>
      <c r="J129" s="8"/>
    </row>
    <row r="130" spans="1:10" x14ac:dyDescent="0.2">
      <c r="A130" s="118"/>
      <c r="B130" s="118"/>
      <c r="C130" s="128"/>
      <c r="D130" s="118"/>
      <c r="E130" s="118"/>
      <c r="F130" s="129"/>
      <c r="G130" s="129"/>
      <c r="H130" s="120" t="s">
        <v>151</v>
      </c>
      <c r="J130" s="8"/>
    </row>
    <row r="131" spans="1:10" x14ac:dyDescent="0.2">
      <c r="A131" s="118"/>
      <c r="B131" s="118"/>
      <c r="C131" s="119" t="s">
        <v>164</v>
      </c>
      <c r="D131" s="118"/>
      <c r="E131" s="118"/>
      <c r="F131" s="129"/>
      <c r="G131" s="129"/>
      <c r="H131" s="120" t="s">
        <v>151</v>
      </c>
      <c r="J131" s="8"/>
    </row>
    <row r="132" spans="1:10" x14ac:dyDescent="0.2">
      <c r="A132" s="118"/>
      <c r="B132" s="118"/>
      <c r="C132" s="119" t="s">
        <v>165</v>
      </c>
      <c r="D132" s="118"/>
      <c r="E132" s="118"/>
      <c r="F132" s="129"/>
      <c r="G132" s="129"/>
      <c r="H132" s="120" t="s">
        <v>151</v>
      </c>
      <c r="J132" s="8"/>
    </row>
    <row r="133" spans="1:10" x14ac:dyDescent="0.2">
      <c r="A133" s="118"/>
      <c r="B133" s="118"/>
      <c r="C133" s="119" t="s">
        <v>150</v>
      </c>
      <c r="D133" s="118"/>
      <c r="E133" s="118" t="s">
        <v>151</v>
      </c>
      <c r="F133" s="130" t="s">
        <v>153</v>
      </c>
      <c r="G133" s="127">
        <v>0</v>
      </c>
      <c r="H133" s="120" t="s">
        <v>151</v>
      </c>
      <c r="J133" s="8"/>
    </row>
    <row r="134" spans="1:10" x14ac:dyDescent="0.2">
      <c r="A134" s="118"/>
      <c r="B134" s="118"/>
      <c r="C134" s="128"/>
      <c r="D134" s="118"/>
      <c r="E134" s="118"/>
      <c r="F134" s="129"/>
      <c r="G134" s="129"/>
      <c r="H134" s="120" t="s">
        <v>151</v>
      </c>
      <c r="J134" s="8"/>
    </row>
    <row r="135" spans="1:10" x14ac:dyDescent="0.2">
      <c r="A135" s="118"/>
      <c r="B135" s="118"/>
      <c r="C135" s="119" t="s">
        <v>166</v>
      </c>
      <c r="D135" s="118"/>
      <c r="E135" s="118"/>
      <c r="F135" s="129"/>
      <c r="G135" s="129"/>
      <c r="H135" s="120" t="s">
        <v>151</v>
      </c>
      <c r="J135" s="8"/>
    </row>
    <row r="136" spans="1:10" x14ac:dyDescent="0.2">
      <c r="A136" s="118"/>
      <c r="B136" s="118"/>
      <c r="C136" s="119" t="s">
        <v>150</v>
      </c>
      <c r="D136" s="118"/>
      <c r="E136" s="118" t="s">
        <v>151</v>
      </c>
      <c r="F136" s="130" t="s">
        <v>153</v>
      </c>
      <c r="G136" s="127">
        <v>0</v>
      </c>
      <c r="H136" s="120" t="s">
        <v>151</v>
      </c>
      <c r="J136" s="8"/>
    </row>
    <row r="137" spans="1:10" x14ac:dyDescent="0.2">
      <c r="A137" s="118"/>
      <c r="B137" s="118"/>
      <c r="C137" s="128"/>
      <c r="D137" s="118"/>
      <c r="E137" s="118"/>
      <c r="F137" s="129"/>
      <c r="G137" s="129"/>
      <c r="H137" s="120" t="s">
        <v>151</v>
      </c>
      <c r="J137" s="8"/>
    </row>
    <row r="138" spans="1:10" x14ac:dyDescent="0.2">
      <c r="A138" s="118"/>
      <c r="B138" s="118"/>
      <c r="C138" s="119" t="s">
        <v>167</v>
      </c>
      <c r="D138" s="118"/>
      <c r="E138" s="118"/>
      <c r="F138" s="129"/>
      <c r="G138" s="129"/>
      <c r="H138" s="120" t="s">
        <v>151</v>
      </c>
      <c r="J138" s="8"/>
    </row>
    <row r="139" spans="1:10" x14ac:dyDescent="0.2">
      <c r="A139" s="118"/>
      <c r="B139" s="118"/>
      <c r="C139" s="119" t="s">
        <v>150</v>
      </c>
      <c r="D139" s="118"/>
      <c r="E139" s="118" t="s">
        <v>151</v>
      </c>
      <c r="F139" s="130" t="s">
        <v>153</v>
      </c>
      <c r="G139" s="127">
        <v>0</v>
      </c>
      <c r="H139" s="120" t="s">
        <v>151</v>
      </c>
      <c r="J139" s="8"/>
    </row>
    <row r="140" spans="1:10" x14ac:dyDescent="0.2">
      <c r="A140" s="118"/>
      <c r="B140" s="118"/>
      <c r="C140" s="128"/>
      <c r="D140" s="118"/>
      <c r="E140" s="118"/>
      <c r="F140" s="129"/>
      <c r="G140" s="129"/>
      <c r="H140" s="120" t="s">
        <v>151</v>
      </c>
      <c r="J140" s="8"/>
    </row>
    <row r="141" spans="1:10" x14ac:dyDescent="0.2">
      <c r="A141" s="118"/>
      <c r="B141" s="118"/>
      <c r="C141" s="119" t="s">
        <v>168</v>
      </c>
      <c r="D141" s="118"/>
      <c r="E141" s="118"/>
      <c r="F141" s="129"/>
      <c r="G141" s="129"/>
      <c r="H141" s="120" t="s">
        <v>151</v>
      </c>
      <c r="J141" s="8"/>
    </row>
    <row r="142" spans="1:10" x14ac:dyDescent="0.2">
      <c r="A142" s="121">
        <v>1</v>
      </c>
      <c r="B142" s="122"/>
      <c r="C142" s="122" t="s">
        <v>169</v>
      </c>
      <c r="D142" s="122"/>
      <c r="E142" s="131"/>
      <c r="F142" s="124">
        <v>774.22030299599999</v>
      </c>
      <c r="G142" s="125">
        <v>4.86565E-3</v>
      </c>
      <c r="H142" s="120">
        <v>6.61</v>
      </c>
      <c r="J142" s="8"/>
    </row>
    <row r="143" spans="1:10" x14ac:dyDescent="0.2">
      <c r="A143" s="118"/>
      <c r="B143" s="118"/>
      <c r="C143" s="119" t="s">
        <v>150</v>
      </c>
      <c r="D143" s="118"/>
      <c r="E143" s="118" t="s">
        <v>151</v>
      </c>
      <c r="F143" s="126">
        <v>774.22030299599999</v>
      </c>
      <c r="G143" s="127">
        <v>4.86565E-3</v>
      </c>
      <c r="H143" s="120" t="s">
        <v>151</v>
      </c>
      <c r="J143" s="8"/>
    </row>
    <row r="144" spans="1:10" x14ac:dyDescent="0.2">
      <c r="A144" s="118"/>
      <c r="B144" s="118"/>
      <c r="C144" s="128"/>
      <c r="D144" s="118"/>
      <c r="E144" s="118"/>
      <c r="F144" s="129"/>
      <c r="G144" s="129"/>
      <c r="H144" s="120" t="s">
        <v>151</v>
      </c>
      <c r="J144" s="8"/>
    </row>
    <row r="145" spans="1:10" x14ac:dyDescent="0.2">
      <c r="A145" s="118"/>
      <c r="B145" s="118"/>
      <c r="C145" s="119" t="s">
        <v>170</v>
      </c>
      <c r="D145" s="118"/>
      <c r="E145" s="118"/>
      <c r="F145" s="126">
        <v>774.22030299599999</v>
      </c>
      <c r="G145" s="127">
        <v>4.86565E-3</v>
      </c>
      <c r="H145" s="120" t="s">
        <v>151</v>
      </c>
      <c r="J145" s="8"/>
    </row>
    <row r="146" spans="1:10" x14ac:dyDescent="0.2">
      <c r="A146" s="118"/>
      <c r="B146" s="118"/>
      <c r="C146" s="129"/>
      <c r="D146" s="118"/>
      <c r="E146" s="118"/>
      <c r="F146" s="118"/>
      <c r="G146" s="118"/>
      <c r="H146" s="120" t="s">
        <v>151</v>
      </c>
      <c r="J146" s="8"/>
    </row>
    <row r="147" spans="1:10" x14ac:dyDescent="0.2">
      <c r="A147" s="118"/>
      <c r="B147" s="118"/>
      <c r="C147" s="119" t="s">
        <v>171</v>
      </c>
      <c r="D147" s="118"/>
      <c r="E147" s="118"/>
      <c r="F147" s="118"/>
      <c r="G147" s="118"/>
      <c r="H147" s="120" t="s">
        <v>151</v>
      </c>
      <c r="J147" s="8"/>
    </row>
    <row r="148" spans="1:10" x14ac:dyDescent="0.2">
      <c r="A148" s="118"/>
      <c r="B148" s="118"/>
      <c r="C148" s="119" t="s">
        <v>172</v>
      </c>
      <c r="D148" s="118"/>
      <c r="E148" s="118"/>
      <c r="F148" s="118"/>
      <c r="G148" s="118"/>
      <c r="H148" s="120" t="s">
        <v>151</v>
      </c>
      <c r="J148" s="8"/>
    </row>
    <row r="149" spans="1:10" x14ac:dyDescent="0.2">
      <c r="A149" s="121">
        <v>1</v>
      </c>
      <c r="B149" s="122" t="s">
        <v>173</v>
      </c>
      <c r="C149" s="122" t="s">
        <v>174</v>
      </c>
      <c r="D149" s="122"/>
      <c r="E149" s="132">
        <v>339385.37579999998</v>
      </c>
      <c r="F149" s="124">
        <v>7502.0288857149999</v>
      </c>
      <c r="G149" s="125">
        <v>4.7147099999999997E-2</v>
      </c>
      <c r="H149" s="120" t="s">
        <v>151</v>
      </c>
      <c r="J149" s="8"/>
    </row>
    <row r="150" spans="1:10" x14ac:dyDescent="0.2">
      <c r="A150" s="118"/>
      <c r="B150" s="118"/>
      <c r="C150" s="119" t="s">
        <v>150</v>
      </c>
      <c r="D150" s="118"/>
      <c r="E150" s="118" t="s">
        <v>151</v>
      </c>
      <c r="F150" s="126">
        <v>7502.0288857149999</v>
      </c>
      <c r="G150" s="127">
        <v>4.7147099999999997E-2</v>
      </c>
      <c r="H150" s="120" t="s">
        <v>151</v>
      </c>
      <c r="J150" s="8"/>
    </row>
    <row r="151" spans="1:10" x14ac:dyDescent="0.2">
      <c r="A151" s="118"/>
      <c r="B151" s="118"/>
      <c r="C151" s="128"/>
      <c r="D151" s="118"/>
      <c r="E151" s="118"/>
      <c r="F151" s="129"/>
      <c r="G151" s="129"/>
      <c r="H151" s="120" t="s">
        <v>151</v>
      </c>
      <c r="J151" s="8"/>
    </row>
    <row r="152" spans="1:10" x14ac:dyDescent="0.2">
      <c r="A152" s="118"/>
      <c r="B152" s="118"/>
      <c r="C152" s="119" t="s">
        <v>175</v>
      </c>
      <c r="D152" s="118"/>
      <c r="E152" s="118"/>
      <c r="F152" s="118"/>
      <c r="G152" s="118"/>
      <c r="H152" s="120" t="s">
        <v>151</v>
      </c>
      <c r="J152" s="8"/>
    </row>
    <row r="153" spans="1:10" x14ac:dyDescent="0.2">
      <c r="A153" s="118"/>
      <c r="B153" s="118"/>
      <c r="C153" s="119" t="s">
        <v>176</v>
      </c>
      <c r="D153" s="118"/>
      <c r="E153" s="118"/>
      <c r="F153" s="118"/>
      <c r="G153" s="118"/>
      <c r="H153" s="120" t="s">
        <v>151</v>
      </c>
      <c r="J153" s="8"/>
    </row>
    <row r="154" spans="1:10" x14ac:dyDescent="0.2">
      <c r="A154" s="118"/>
      <c r="B154" s="118"/>
      <c r="C154" s="119" t="s">
        <v>150</v>
      </c>
      <c r="D154" s="118"/>
      <c r="E154" s="118" t="s">
        <v>151</v>
      </c>
      <c r="F154" s="130" t="s">
        <v>153</v>
      </c>
      <c r="G154" s="127">
        <v>0</v>
      </c>
      <c r="H154" s="120" t="s">
        <v>151</v>
      </c>
      <c r="J154" s="8"/>
    </row>
    <row r="155" spans="1:10" x14ac:dyDescent="0.2">
      <c r="A155" s="118"/>
      <c r="B155" s="118"/>
      <c r="C155" s="128"/>
      <c r="D155" s="118"/>
      <c r="E155" s="118"/>
      <c r="F155" s="129"/>
      <c r="G155" s="129"/>
      <c r="H155" s="120" t="s">
        <v>151</v>
      </c>
      <c r="J155" s="8"/>
    </row>
    <row r="156" spans="1:10" x14ac:dyDescent="0.2">
      <c r="A156" s="118"/>
      <c r="B156" s="118"/>
      <c r="C156" s="119" t="s">
        <v>177</v>
      </c>
      <c r="D156" s="118"/>
      <c r="E156" s="118"/>
      <c r="F156" s="129"/>
      <c r="G156" s="129"/>
      <c r="H156" s="120" t="s">
        <v>151</v>
      </c>
      <c r="J156" s="8"/>
    </row>
    <row r="157" spans="1:10" x14ac:dyDescent="0.2">
      <c r="A157" s="118"/>
      <c r="B157" s="118"/>
      <c r="C157" s="119" t="s">
        <v>150</v>
      </c>
      <c r="D157" s="118"/>
      <c r="E157" s="118" t="s">
        <v>151</v>
      </c>
      <c r="F157" s="130" t="s">
        <v>153</v>
      </c>
      <c r="G157" s="127">
        <v>0</v>
      </c>
      <c r="H157" s="120" t="s">
        <v>151</v>
      </c>
      <c r="J157" s="8"/>
    </row>
    <row r="158" spans="1:10" x14ac:dyDescent="0.2">
      <c r="A158" s="118"/>
      <c r="B158" s="118"/>
      <c r="C158" s="128"/>
      <c r="D158" s="118"/>
      <c r="E158" s="118"/>
      <c r="F158" s="129"/>
      <c r="G158" s="129"/>
      <c r="H158" s="120" t="s">
        <v>151</v>
      </c>
      <c r="J158" s="8"/>
    </row>
    <row r="159" spans="1:10" x14ac:dyDescent="0.2">
      <c r="A159" s="131"/>
      <c r="B159" s="122"/>
      <c r="C159" s="122" t="s">
        <v>342</v>
      </c>
      <c r="D159" s="122"/>
      <c r="E159" s="131"/>
      <c r="F159" s="124">
        <v>2967.1888324000001</v>
      </c>
      <c r="G159" s="125">
        <v>1.8647540000000001E-2</v>
      </c>
      <c r="H159" s="120" t="s">
        <v>151</v>
      </c>
      <c r="J159" s="8"/>
    </row>
    <row r="160" spans="1:10" x14ac:dyDescent="0.2">
      <c r="A160" s="131"/>
      <c r="B160" s="122"/>
      <c r="C160" s="200" t="s">
        <v>917</v>
      </c>
      <c r="D160" s="122"/>
      <c r="E160" s="131"/>
      <c r="F160" s="124">
        <v>911.80243490902149</v>
      </c>
      <c r="G160" s="125">
        <v>5.7302951263377448E-3</v>
      </c>
      <c r="H160" s="120" t="s">
        <v>151</v>
      </c>
      <c r="J160" s="8"/>
    </row>
    <row r="161" spans="1:17" x14ac:dyDescent="0.2">
      <c r="A161" s="128"/>
      <c r="B161" s="128"/>
      <c r="C161" s="119" t="s">
        <v>179</v>
      </c>
      <c r="D161" s="129"/>
      <c r="E161" s="129"/>
      <c r="F161" s="126">
        <v>159119.62906032</v>
      </c>
      <c r="G161" s="127">
        <v>1.0000000303471319</v>
      </c>
      <c r="H161" s="120" t="s">
        <v>151</v>
      </c>
      <c r="J161" s="8"/>
    </row>
    <row r="162" spans="1:17" x14ac:dyDescent="0.2">
      <c r="A162" s="134"/>
      <c r="B162" s="134"/>
      <c r="C162" s="134"/>
      <c r="D162" s="135"/>
      <c r="E162" s="135"/>
      <c r="F162" s="135"/>
      <c r="G162" s="135"/>
      <c r="J162" s="8"/>
    </row>
    <row r="163" spans="1:17" x14ac:dyDescent="0.2">
      <c r="A163" s="136"/>
      <c r="B163" s="137" t="s">
        <v>888</v>
      </c>
      <c r="C163" s="137"/>
      <c r="D163" s="137"/>
      <c r="E163" s="137"/>
      <c r="F163" s="137"/>
      <c r="G163" s="137"/>
      <c r="H163" s="137"/>
      <c r="J163" s="8"/>
    </row>
    <row r="164" spans="1:17" x14ac:dyDescent="0.2">
      <c r="A164" s="136"/>
      <c r="B164" s="137" t="s">
        <v>889</v>
      </c>
      <c r="C164" s="137"/>
      <c r="D164" s="137"/>
      <c r="E164" s="137"/>
      <c r="F164" s="137"/>
      <c r="G164" s="137"/>
      <c r="H164" s="137"/>
      <c r="J164" s="8"/>
    </row>
    <row r="165" spans="1:17" x14ac:dyDescent="0.2">
      <c r="A165" s="136"/>
      <c r="B165" s="137" t="s">
        <v>890</v>
      </c>
      <c r="C165" s="137"/>
      <c r="D165" s="137"/>
      <c r="E165" s="137"/>
      <c r="F165" s="137"/>
      <c r="G165" s="137"/>
      <c r="H165" s="137"/>
      <c r="J165" s="8"/>
    </row>
    <row r="166" spans="1:17" s="13" customFormat="1" ht="67.5" customHeight="1" x14ac:dyDescent="0.25">
      <c r="A166" s="138"/>
      <c r="B166" s="139" t="s">
        <v>891</v>
      </c>
      <c r="C166" s="139"/>
      <c r="D166" s="139"/>
      <c r="E166" s="139"/>
      <c r="F166" s="139"/>
      <c r="G166" s="139"/>
      <c r="H166" s="139"/>
      <c r="I166" s="114"/>
      <c r="J166" s="8"/>
      <c r="K166"/>
      <c r="L166"/>
      <c r="M166"/>
      <c r="N166"/>
      <c r="O166"/>
      <c r="P166"/>
      <c r="Q166"/>
    </row>
    <row r="167" spans="1:17" x14ac:dyDescent="0.2">
      <c r="A167" s="136"/>
      <c r="B167" s="137" t="s">
        <v>892</v>
      </c>
      <c r="C167" s="137"/>
      <c r="D167" s="137"/>
      <c r="E167" s="137"/>
      <c r="F167" s="137"/>
      <c r="G167" s="137"/>
      <c r="H167" s="137"/>
      <c r="J167" s="8"/>
    </row>
    <row r="168" spans="1:17" x14ac:dyDescent="0.2">
      <c r="A168" s="140"/>
      <c r="B168" s="140"/>
      <c r="C168" s="140"/>
      <c r="D168" s="141"/>
      <c r="E168" s="141"/>
      <c r="F168" s="141"/>
      <c r="G168" s="141"/>
      <c r="J168" s="8"/>
    </row>
    <row r="169" spans="1:17" x14ac:dyDescent="0.2">
      <c r="A169" s="140"/>
      <c r="B169" s="142" t="s">
        <v>180</v>
      </c>
      <c r="C169" s="143"/>
      <c r="D169" s="144"/>
      <c r="E169" s="145"/>
      <c r="F169" s="141"/>
      <c r="G169" s="141"/>
      <c r="J169" s="8"/>
    </row>
    <row r="170" spans="1:17" x14ac:dyDescent="0.2">
      <c r="A170" s="140"/>
      <c r="B170" s="146" t="s">
        <v>181</v>
      </c>
      <c r="C170" s="147"/>
      <c r="D170" s="119" t="s">
        <v>182</v>
      </c>
      <c r="E170" s="145"/>
      <c r="F170" s="141"/>
      <c r="G170" s="141"/>
      <c r="J170" s="8"/>
    </row>
    <row r="171" spans="1:17" x14ac:dyDescent="0.2">
      <c r="A171" s="140"/>
      <c r="B171" s="146" t="s">
        <v>183</v>
      </c>
      <c r="C171" s="147"/>
      <c r="D171" s="119" t="s">
        <v>182</v>
      </c>
      <c r="E171" s="145"/>
      <c r="F171" s="141"/>
      <c r="G171" s="141"/>
      <c r="J171" s="8"/>
    </row>
    <row r="172" spans="1:17" x14ac:dyDescent="0.2">
      <c r="A172" s="140"/>
      <c r="B172" s="146" t="s">
        <v>184</v>
      </c>
      <c r="C172" s="147"/>
      <c r="D172" s="129" t="s">
        <v>151</v>
      </c>
      <c r="E172" s="145"/>
      <c r="F172" s="141"/>
      <c r="G172" s="141"/>
      <c r="J172" s="8"/>
    </row>
    <row r="173" spans="1:17" x14ac:dyDescent="0.2">
      <c r="A173" s="151"/>
      <c r="B173" s="152" t="s">
        <v>151</v>
      </c>
      <c r="C173" s="152" t="s">
        <v>894</v>
      </c>
      <c r="D173" s="152" t="s">
        <v>185</v>
      </c>
      <c r="E173" s="151"/>
      <c r="F173" s="151"/>
      <c r="G173" s="151"/>
      <c r="H173" s="151"/>
      <c r="J173" s="8"/>
    </row>
    <row r="174" spans="1:17" x14ac:dyDescent="0.2">
      <c r="A174" s="153"/>
      <c r="B174" s="154" t="s">
        <v>186</v>
      </c>
      <c r="C174" s="155">
        <v>45535</v>
      </c>
      <c r="D174" s="155">
        <v>45565</v>
      </c>
      <c r="E174" s="153"/>
      <c r="F174" s="153"/>
      <c r="G174" s="153"/>
      <c r="J174" s="8"/>
    </row>
    <row r="175" spans="1:17" x14ac:dyDescent="0.2">
      <c r="A175" s="153"/>
      <c r="B175" s="122" t="s">
        <v>187</v>
      </c>
      <c r="C175" s="156">
        <v>40.313200000000002</v>
      </c>
      <c r="D175" s="156">
        <v>41.066000000000003</v>
      </c>
      <c r="E175" s="153"/>
      <c r="F175" s="157"/>
      <c r="G175" s="158"/>
      <c r="J175" s="8"/>
    </row>
    <row r="176" spans="1:17" ht="25.5" x14ac:dyDescent="0.2">
      <c r="A176" s="153"/>
      <c r="B176" s="200" t="s">
        <v>919</v>
      </c>
      <c r="C176" s="156">
        <v>20.158799999999999</v>
      </c>
      <c r="D176" s="156">
        <v>20.4392</v>
      </c>
      <c r="E176" s="153"/>
      <c r="F176" s="157"/>
      <c r="G176" s="158"/>
      <c r="J176" s="8"/>
    </row>
    <row r="177" spans="1:10" x14ac:dyDescent="0.2">
      <c r="A177" s="153"/>
      <c r="B177" s="122" t="s">
        <v>188</v>
      </c>
      <c r="C177" s="156">
        <v>34.805599999999998</v>
      </c>
      <c r="D177" s="156">
        <v>35.412399999999998</v>
      </c>
      <c r="E177" s="153"/>
      <c r="F177" s="157"/>
      <c r="G177" s="158"/>
      <c r="J177" s="8"/>
    </row>
    <row r="178" spans="1:10" ht="25.5" x14ac:dyDescent="0.2">
      <c r="A178" s="153"/>
      <c r="B178" s="200" t="s">
        <v>920</v>
      </c>
      <c r="C178" s="156">
        <v>16.7014</v>
      </c>
      <c r="D178" s="156">
        <v>16.911799999999999</v>
      </c>
      <c r="E178" s="153"/>
      <c r="F178" s="157"/>
      <c r="G178" s="158"/>
      <c r="J178" s="8"/>
    </row>
    <row r="179" spans="1:10" x14ac:dyDescent="0.2">
      <c r="A179" s="153"/>
      <c r="B179" s="153"/>
      <c r="C179" s="153"/>
      <c r="D179" s="153"/>
      <c r="E179" s="153"/>
      <c r="F179" s="153"/>
      <c r="G179" s="153"/>
      <c r="J179" s="8"/>
    </row>
    <row r="180" spans="1:10" x14ac:dyDescent="0.2">
      <c r="A180" s="153"/>
      <c r="B180" s="146" t="s">
        <v>895</v>
      </c>
      <c r="C180" s="147"/>
      <c r="D180" s="119" t="s">
        <v>151</v>
      </c>
      <c r="E180" s="153"/>
      <c r="F180" s="153"/>
      <c r="G180" s="153"/>
      <c r="J180" s="8"/>
    </row>
    <row r="181" spans="1:10" x14ac:dyDescent="0.2">
      <c r="A181" s="153"/>
      <c r="B181" s="210" t="s">
        <v>186</v>
      </c>
      <c r="C181" s="211" t="s">
        <v>647</v>
      </c>
      <c r="D181" s="211" t="s">
        <v>648</v>
      </c>
      <c r="E181" s="153"/>
      <c r="F181" s="153"/>
      <c r="G181" s="153"/>
      <c r="J181" s="8"/>
    </row>
    <row r="182" spans="1:10" ht="25.5" x14ac:dyDescent="0.2">
      <c r="A182" s="153"/>
      <c r="B182" s="200" t="s">
        <v>919</v>
      </c>
      <c r="C182" s="212">
        <v>9.5000000000000001E-2</v>
      </c>
      <c r="D182" s="131" t="s">
        <v>685</v>
      </c>
      <c r="E182" s="153"/>
      <c r="F182" s="157"/>
      <c r="G182" s="158"/>
      <c r="J182" s="8"/>
    </row>
    <row r="183" spans="1:10" ht="25.5" x14ac:dyDescent="0.2">
      <c r="A183" s="153"/>
      <c r="B183" s="200" t="s">
        <v>920</v>
      </c>
      <c r="C183" s="212">
        <v>0.08</v>
      </c>
      <c r="D183" s="212">
        <v>0.08</v>
      </c>
      <c r="E183" s="153"/>
      <c r="F183" s="157"/>
      <c r="G183" s="158"/>
      <c r="J183" s="8"/>
    </row>
    <row r="184" spans="1:10" x14ac:dyDescent="0.2">
      <c r="A184" s="153"/>
      <c r="B184" s="213"/>
      <c r="C184" s="213"/>
      <c r="D184" s="214"/>
      <c r="E184" s="153"/>
      <c r="F184" s="157"/>
      <c r="G184" s="158"/>
      <c r="J184" s="8"/>
    </row>
    <row r="185" spans="1:10" ht="29.1" customHeight="1" x14ac:dyDescent="0.2">
      <c r="A185" s="151"/>
      <c r="B185" s="148" t="s">
        <v>189</v>
      </c>
      <c r="C185" s="149"/>
      <c r="D185" s="150" t="s">
        <v>909</v>
      </c>
      <c r="E185" s="160"/>
      <c r="F185" s="151"/>
      <c r="G185" s="151"/>
      <c r="J185" s="8"/>
    </row>
    <row r="186" spans="1:10" ht="29.1" customHeight="1" x14ac:dyDescent="0.2">
      <c r="A186" s="151"/>
      <c r="B186" s="148" t="s">
        <v>190</v>
      </c>
      <c r="C186" s="149"/>
      <c r="D186" s="150" t="s">
        <v>182</v>
      </c>
      <c r="E186" s="160"/>
      <c r="F186" s="151"/>
      <c r="G186" s="151"/>
      <c r="J186" s="8"/>
    </row>
    <row r="187" spans="1:10" ht="17.100000000000001" customHeight="1" x14ac:dyDescent="0.2">
      <c r="A187" s="151"/>
      <c r="B187" s="148" t="s">
        <v>191</v>
      </c>
      <c r="C187" s="149"/>
      <c r="D187" s="150" t="s">
        <v>182</v>
      </c>
      <c r="E187" s="160"/>
      <c r="F187" s="151"/>
      <c r="G187" s="151"/>
      <c r="J187" s="8"/>
    </row>
    <row r="188" spans="1:10" ht="17.100000000000001" customHeight="1" x14ac:dyDescent="0.2">
      <c r="A188" s="151"/>
      <c r="B188" s="148" t="s">
        <v>192</v>
      </c>
      <c r="C188" s="149"/>
      <c r="D188" s="161">
        <v>2.4539846179687261</v>
      </c>
      <c r="E188" s="151"/>
      <c r="F188" s="159"/>
      <c r="G188" s="162"/>
      <c r="J188" s="8"/>
    </row>
    <row r="189" spans="1:10" x14ac:dyDescent="0.2">
      <c r="J189" s="8"/>
    </row>
    <row r="190" spans="1:10" x14ac:dyDescent="0.2">
      <c r="B190" s="242" t="s">
        <v>940</v>
      </c>
      <c r="C190" s="243"/>
      <c r="D190" s="244"/>
      <c r="F190" s="151"/>
      <c r="G190" s="151"/>
      <c r="J190" s="8"/>
    </row>
    <row r="191" spans="1:10" ht="38.25" x14ac:dyDescent="0.2">
      <c r="B191" s="245" t="s">
        <v>941</v>
      </c>
      <c r="C191" s="245"/>
      <c r="D191" s="246" t="s">
        <v>677</v>
      </c>
      <c r="J191" s="8"/>
    </row>
    <row r="192" spans="1:10" x14ac:dyDescent="0.2">
      <c r="B192" s="245" t="s">
        <v>942</v>
      </c>
      <c r="C192" s="245"/>
      <c r="D192" s="258"/>
      <c r="J192" s="8"/>
    </row>
    <row r="193" spans="2:10" x14ac:dyDescent="0.2">
      <c r="B193" s="247"/>
      <c r="C193" s="248"/>
      <c r="D193" s="249"/>
      <c r="J193" s="8"/>
    </row>
    <row r="194" spans="2:10" x14ac:dyDescent="0.2">
      <c r="B194" s="245" t="s">
        <v>943</v>
      </c>
      <c r="C194" s="245"/>
      <c r="D194" s="250">
        <v>7.0688740826153991</v>
      </c>
      <c r="J194" s="8"/>
    </row>
    <row r="195" spans="2:10" x14ac:dyDescent="0.2">
      <c r="B195" s="247"/>
      <c r="C195" s="248"/>
      <c r="D195" s="249"/>
      <c r="J195" s="8"/>
    </row>
    <row r="196" spans="2:10" x14ac:dyDescent="0.2">
      <c r="B196" s="245" t="s">
        <v>944</v>
      </c>
      <c r="C196" s="245"/>
      <c r="D196" s="250">
        <v>4.6712498818649797</v>
      </c>
      <c r="J196" s="8"/>
    </row>
    <row r="197" spans="2:10" x14ac:dyDescent="0.2">
      <c r="B197" s="245" t="s">
        <v>1177</v>
      </c>
      <c r="C197" s="245"/>
      <c r="D197" s="250">
        <v>6.6781428282870889</v>
      </c>
      <c r="J197" s="8"/>
    </row>
    <row r="198" spans="2:10" x14ac:dyDescent="0.2">
      <c r="B198" s="247"/>
      <c r="C198" s="248"/>
      <c r="D198" s="249"/>
      <c r="J198" s="8"/>
    </row>
    <row r="199" spans="2:10" x14ac:dyDescent="0.2">
      <c r="B199" s="245" t="s">
        <v>945</v>
      </c>
      <c r="C199" s="245"/>
      <c r="D199" s="252" t="s">
        <v>1066</v>
      </c>
      <c r="J199" s="8"/>
    </row>
    <row r="200" spans="2:10" x14ac:dyDescent="0.2">
      <c r="B200" s="247" t="s">
        <v>946</v>
      </c>
      <c r="C200" s="253"/>
      <c r="D200" s="248"/>
      <c r="J200" s="8"/>
    </row>
    <row r="201" spans="2:10" x14ac:dyDescent="0.2">
      <c r="J201" s="8"/>
    </row>
    <row r="202" spans="2:10" x14ac:dyDescent="0.2">
      <c r="J202" s="8"/>
    </row>
    <row r="203" spans="2:10" x14ac:dyDescent="0.2">
      <c r="J203" s="8"/>
    </row>
    <row r="204" spans="2:10" x14ac:dyDescent="0.2">
      <c r="J204" s="8"/>
    </row>
    <row r="205" spans="2:10" x14ac:dyDescent="0.2">
      <c r="J205" s="8"/>
    </row>
    <row r="206" spans="2:10" x14ac:dyDescent="0.2">
      <c r="J206" s="8"/>
    </row>
    <row r="207" spans="2:10" x14ac:dyDescent="0.2">
      <c r="J207" s="8"/>
    </row>
    <row r="208" spans="2:10" x14ac:dyDescent="0.2">
      <c r="J208" s="8"/>
    </row>
    <row r="209" spans="10:10" x14ac:dyDescent="0.2">
      <c r="J209" s="8"/>
    </row>
    <row r="210" spans="10:10" x14ac:dyDescent="0.2">
      <c r="J210" s="8"/>
    </row>
    <row r="211" spans="10:10" x14ac:dyDescent="0.2">
      <c r="J211" s="8"/>
    </row>
    <row r="212" spans="10:10" x14ac:dyDescent="0.2">
      <c r="J212" s="8"/>
    </row>
    <row r="213" spans="10:10" x14ac:dyDescent="0.2">
      <c r="J213" s="8"/>
    </row>
    <row r="214" spans="10:10" x14ac:dyDescent="0.2">
      <c r="J214" s="8"/>
    </row>
    <row r="215" spans="10:10" x14ac:dyDescent="0.2">
      <c r="J215" s="8"/>
    </row>
    <row r="216" spans="10:10" x14ac:dyDescent="0.2">
      <c r="J216" s="8"/>
    </row>
  </sheetData>
  <mergeCells count="28">
    <mergeCell ref="B199:C199"/>
    <mergeCell ref="B200:D200"/>
    <mergeCell ref="B194:C194"/>
    <mergeCell ref="B195:C195"/>
    <mergeCell ref="B196:C196"/>
    <mergeCell ref="B197:C197"/>
    <mergeCell ref="B198:C198"/>
    <mergeCell ref="B187:C187"/>
    <mergeCell ref="B191:C191"/>
    <mergeCell ref="B192:C192"/>
    <mergeCell ref="B193:C193"/>
    <mergeCell ref="B188:C188"/>
    <mergeCell ref="B185:C185"/>
    <mergeCell ref="B190:D190"/>
    <mergeCell ref="B170:C170"/>
    <mergeCell ref="A1:H1"/>
    <mergeCell ref="A2:H2"/>
    <mergeCell ref="A3:H3"/>
    <mergeCell ref="B169:D169"/>
    <mergeCell ref="B163:H163"/>
    <mergeCell ref="B164:H164"/>
    <mergeCell ref="B165:H165"/>
    <mergeCell ref="B166:H166"/>
    <mergeCell ref="B167:H167"/>
    <mergeCell ref="B171:C171"/>
    <mergeCell ref="B172:C172"/>
    <mergeCell ref="B180:C180"/>
    <mergeCell ref="B186:C186"/>
  </mergeCells>
  <hyperlinks>
    <hyperlink ref="I1" location="Index!B2" display="Index" xr:uid="{CD63BDCD-D4E9-4613-8643-F05D8A1FA05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F3C1-20CE-4755-B281-D90B24DA17AB}">
  <sheetPr>
    <outlinePr summaryBelow="0" summaryRight="0"/>
  </sheetPr>
  <dimension ref="A1:T168"/>
  <sheetViews>
    <sheetView showGridLines="0" workbookViewId="0">
      <selection sqref="A1:H1"/>
    </sheetView>
  </sheetViews>
  <sheetFormatPr defaultRowHeight="12.75" x14ac:dyDescent="0.2"/>
  <cols>
    <col min="1" max="1" width="5.85546875" style="114" bestFit="1" customWidth="1"/>
    <col min="2" max="2" width="19.5703125" style="114" bestFit="1" customWidth="1"/>
    <col min="3" max="3" width="39.140625" style="114" bestFit="1" customWidth="1"/>
    <col min="4" max="4" width="17.7109375" style="114" bestFit="1" customWidth="1"/>
    <col min="5" max="5" width="11.4257812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686</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343</v>
      </c>
      <c r="C7" s="122" t="s">
        <v>344</v>
      </c>
      <c r="D7" s="122" t="s">
        <v>48</v>
      </c>
      <c r="E7" s="123">
        <v>305000</v>
      </c>
      <c r="F7" s="124">
        <v>5282.7524999999996</v>
      </c>
      <c r="G7" s="125">
        <v>5.3421879999999998E-2</v>
      </c>
      <c r="H7" s="120" t="s">
        <v>151</v>
      </c>
      <c r="J7" s="8"/>
    </row>
    <row r="8" spans="1:10" x14ac:dyDescent="0.2">
      <c r="A8" s="121">
        <v>2</v>
      </c>
      <c r="B8" s="122" t="s">
        <v>17</v>
      </c>
      <c r="C8" s="122" t="s">
        <v>18</v>
      </c>
      <c r="D8" s="122" t="s">
        <v>19</v>
      </c>
      <c r="E8" s="123">
        <v>925000</v>
      </c>
      <c r="F8" s="124">
        <v>4099.6000000000004</v>
      </c>
      <c r="G8" s="125">
        <v>4.1457239999999999E-2</v>
      </c>
      <c r="H8" s="120" t="s">
        <v>151</v>
      </c>
      <c r="J8" s="8"/>
    </row>
    <row r="9" spans="1:10" x14ac:dyDescent="0.2">
      <c r="A9" s="121">
        <v>3</v>
      </c>
      <c r="B9" s="122" t="s">
        <v>347</v>
      </c>
      <c r="C9" s="122" t="s">
        <v>348</v>
      </c>
      <c r="D9" s="122" t="s">
        <v>216</v>
      </c>
      <c r="E9" s="123">
        <v>215000</v>
      </c>
      <c r="F9" s="124">
        <v>4032.54</v>
      </c>
      <c r="G9" s="125">
        <v>4.0779089999999997E-2</v>
      </c>
      <c r="H9" s="120" t="s">
        <v>151</v>
      </c>
      <c r="J9" s="8"/>
    </row>
    <row r="10" spans="1:10" x14ac:dyDescent="0.2">
      <c r="A10" s="121">
        <v>4</v>
      </c>
      <c r="B10" s="122" t="s">
        <v>46</v>
      </c>
      <c r="C10" s="122" t="s">
        <v>47</v>
      </c>
      <c r="D10" s="122" t="s">
        <v>48</v>
      </c>
      <c r="E10" s="123">
        <v>258000</v>
      </c>
      <c r="F10" s="124">
        <v>3284.34</v>
      </c>
      <c r="G10" s="125">
        <v>3.321292E-2</v>
      </c>
      <c r="H10" s="120" t="s">
        <v>151</v>
      </c>
      <c r="J10" s="8"/>
    </row>
    <row r="11" spans="1:10" x14ac:dyDescent="0.2">
      <c r="A11" s="121">
        <v>5</v>
      </c>
      <c r="B11" s="122" t="s">
        <v>20</v>
      </c>
      <c r="C11" s="122" t="s">
        <v>21</v>
      </c>
      <c r="D11" s="122" t="s">
        <v>22</v>
      </c>
      <c r="E11" s="123">
        <v>89000</v>
      </c>
      <c r="F11" s="124">
        <v>2628.3035</v>
      </c>
      <c r="G11" s="125">
        <v>2.657874E-2</v>
      </c>
      <c r="H11" s="120" t="s">
        <v>151</v>
      </c>
      <c r="J11" s="8"/>
    </row>
    <row r="12" spans="1:10" ht="15" x14ac:dyDescent="0.2">
      <c r="A12" s="121">
        <v>6</v>
      </c>
      <c r="B12" s="122" t="s">
        <v>355</v>
      </c>
      <c r="C12" s="122" t="s">
        <v>356</v>
      </c>
      <c r="D12" s="122" t="s">
        <v>216</v>
      </c>
      <c r="E12" s="123">
        <v>60000</v>
      </c>
      <c r="F12" s="124">
        <v>2561.1</v>
      </c>
      <c r="G12" s="125">
        <v>2.5899149999999999E-2</v>
      </c>
      <c r="H12" s="120" t="s">
        <v>151</v>
      </c>
      <c r="J12" s="11"/>
    </row>
    <row r="13" spans="1:10" x14ac:dyDescent="0.2">
      <c r="A13" s="121">
        <v>7</v>
      </c>
      <c r="B13" s="122" t="s">
        <v>26</v>
      </c>
      <c r="C13" s="122" t="s">
        <v>27</v>
      </c>
      <c r="D13" s="122" t="s">
        <v>19</v>
      </c>
      <c r="E13" s="123">
        <v>675000</v>
      </c>
      <c r="F13" s="124">
        <v>2381.7375000000002</v>
      </c>
      <c r="G13" s="125">
        <v>2.408534E-2</v>
      </c>
      <c r="H13" s="120" t="s">
        <v>151</v>
      </c>
      <c r="J13" s="8"/>
    </row>
    <row r="14" spans="1:10" x14ac:dyDescent="0.2">
      <c r="A14" s="121">
        <v>8</v>
      </c>
      <c r="B14" s="122" t="s">
        <v>366</v>
      </c>
      <c r="C14" s="122" t="s">
        <v>367</v>
      </c>
      <c r="D14" s="122" t="s">
        <v>368</v>
      </c>
      <c r="E14" s="123">
        <v>455000</v>
      </c>
      <c r="F14" s="124">
        <v>2357.5825</v>
      </c>
      <c r="G14" s="125">
        <v>2.3841069999999999E-2</v>
      </c>
      <c r="H14" s="120" t="s">
        <v>151</v>
      </c>
      <c r="J14" s="8"/>
    </row>
    <row r="15" spans="1:10" x14ac:dyDescent="0.2">
      <c r="A15" s="121">
        <v>9</v>
      </c>
      <c r="B15" s="122" t="s">
        <v>378</v>
      </c>
      <c r="C15" s="122" t="s">
        <v>379</v>
      </c>
      <c r="D15" s="122" t="s">
        <v>368</v>
      </c>
      <c r="E15" s="123">
        <v>75000</v>
      </c>
      <c r="F15" s="124">
        <v>2218.7249999999999</v>
      </c>
      <c r="G15" s="125">
        <v>2.2436879999999999E-2</v>
      </c>
      <c r="H15" s="120" t="s">
        <v>151</v>
      </c>
      <c r="J15" s="8"/>
    </row>
    <row r="16" spans="1:10" x14ac:dyDescent="0.2">
      <c r="A16" s="121">
        <v>10</v>
      </c>
      <c r="B16" s="122" t="s">
        <v>63</v>
      </c>
      <c r="C16" s="122" t="s">
        <v>64</v>
      </c>
      <c r="D16" s="122" t="s">
        <v>48</v>
      </c>
      <c r="E16" s="123">
        <v>280000</v>
      </c>
      <c r="F16" s="124">
        <v>2206.12</v>
      </c>
      <c r="G16" s="125">
        <v>2.2309409999999998E-2</v>
      </c>
      <c r="H16" s="120" t="s">
        <v>151</v>
      </c>
      <c r="J16" s="8" t="s">
        <v>992</v>
      </c>
    </row>
    <row r="17" spans="1:10" x14ac:dyDescent="0.2">
      <c r="A17" s="121">
        <v>11</v>
      </c>
      <c r="B17" s="122" t="s">
        <v>11</v>
      </c>
      <c r="C17" s="122" t="s">
        <v>12</v>
      </c>
      <c r="D17" s="122" t="s">
        <v>13</v>
      </c>
      <c r="E17" s="123">
        <v>60000</v>
      </c>
      <c r="F17" s="124">
        <v>2205.33</v>
      </c>
      <c r="G17" s="125">
        <v>2.2301419999999999E-2</v>
      </c>
      <c r="H17" s="120" t="s">
        <v>151</v>
      </c>
      <c r="J17" s="8"/>
    </row>
    <row r="18" spans="1:10" x14ac:dyDescent="0.2">
      <c r="A18" s="121">
        <v>12</v>
      </c>
      <c r="B18" s="122" t="s">
        <v>14</v>
      </c>
      <c r="C18" s="122" t="s">
        <v>15</v>
      </c>
      <c r="D18" s="122" t="s">
        <v>16</v>
      </c>
      <c r="E18" s="123">
        <v>125000</v>
      </c>
      <c r="F18" s="124">
        <v>2136.9375</v>
      </c>
      <c r="G18" s="125">
        <v>2.1609799999999998E-2</v>
      </c>
      <c r="H18" s="120" t="s">
        <v>151</v>
      </c>
      <c r="J18" s="8"/>
    </row>
    <row r="19" spans="1:10" x14ac:dyDescent="0.2">
      <c r="A19" s="121">
        <v>13</v>
      </c>
      <c r="B19" s="122" t="s">
        <v>102</v>
      </c>
      <c r="C19" s="122" t="s">
        <v>103</v>
      </c>
      <c r="D19" s="122" t="s">
        <v>104</v>
      </c>
      <c r="E19" s="123">
        <v>400000</v>
      </c>
      <c r="F19" s="124">
        <v>2040.6</v>
      </c>
      <c r="G19" s="125">
        <v>2.0635580000000001E-2</v>
      </c>
      <c r="H19" s="120" t="s">
        <v>151</v>
      </c>
      <c r="J19" s="8"/>
    </row>
    <row r="20" spans="1:10" x14ac:dyDescent="0.2">
      <c r="A20" s="121">
        <v>14</v>
      </c>
      <c r="B20" s="122" t="s">
        <v>461</v>
      </c>
      <c r="C20" s="122" t="s">
        <v>462</v>
      </c>
      <c r="D20" s="122" t="s">
        <v>216</v>
      </c>
      <c r="E20" s="123">
        <v>107000</v>
      </c>
      <c r="F20" s="124">
        <v>1921.827</v>
      </c>
      <c r="G20" s="125">
        <v>1.9434489999999999E-2</v>
      </c>
      <c r="H20" s="120" t="s">
        <v>151</v>
      </c>
      <c r="J20" s="8"/>
    </row>
    <row r="21" spans="1:10" x14ac:dyDescent="0.2">
      <c r="A21" s="121">
        <v>15</v>
      </c>
      <c r="B21" s="122" t="s">
        <v>549</v>
      </c>
      <c r="C21" s="122" t="s">
        <v>550</v>
      </c>
      <c r="D21" s="122" t="s">
        <v>270</v>
      </c>
      <c r="E21" s="123">
        <v>60000</v>
      </c>
      <c r="F21" s="124">
        <v>1856.94</v>
      </c>
      <c r="G21" s="125">
        <v>1.8778320000000001E-2</v>
      </c>
      <c r="H21" s="120" t="s">
        <v>151</v>
      </c>
      <c r="J21" s="8"/>
    </row>
    <row r="22" spans="1:10" ht="15" x14ac:dyDescent="0.2">
      <c r="A22" s="121">
        <v>16</v>
      </c>
      <c r="B22" s="122" t="s">
        <v>551</v>
      </c>
      <c r="C22" s="122" t="s">
        <v>552</v>
      </c>
      <c r="D22" s="122" t="s">
        <v>216</v>
      </c>
      <c r="E22" s="123">
        <v>115000</v>
      </c>
      <c r="F22" s="124">
        <v>1813.78</v>
      </c>
      <c r="G22" s="125">
        <v>1.834187E-2</v>
      </c>
      <c r="H22" s="120" t="s">
        <v>151</v>
      </c>
      <c r="J22" s="11"/>
    </row>
    <row r="23" spans="1:10" x14ac:dyDescent="0.2">
      <c r="A23" s="121">
        <v>17</v>
      </c>
      <c r="B23" s="122" t="s">
        <v>687</v>
      </c>
      <c r="C23" s="122" t="s">
        <v>688</v>
      </c>
      <c r="D23" s="122" t="s">
        <v>19</v>
      </c>
      <c r="E23" s="123">
        <v>900000</v>
      </c>
      <c r="F23" s="124">
        <v>1812.78</v>
      </c>
      <c r="G23" s="125">
        <v>1.8331750000000001E-2</v>
      </c>
      <c r="H23" s="120" t="s">
        <v>151</v>
      </c>
      <c r="J23" s="8"/>
    </row>
    <row r="24" spans="1:10" x14ac:dyDescent="0.2">
      <c r="A24" s="121">
        <v>18</v>
      </c>
      <c r="B24" s="122" t="s">
        <v>463</v>
      </c>
      <c r="C24" s="122" t="s">
        <v>464</v>
      </c>
      <c r="D24" s="122" t="s">
        <v>48</v>
      </c>
      <c r="E24" s="123">
        <v>725000</v>
      </c>
      <c r="F24" s="124">
        <v>1796.55</v>
      </c>
      <c r="G24" s="125">
        <v>1.8167630000000001E-2</v>
      </c>
      <c r="H24" s="120" t="s">
        <v>151</v>
      </c>
      <c r="J24" s="8"/>
    </row>
    <row r="25" spans="1:10" x14ac:dyDescent="0.2">
      <c r="A25" s="121">
        <v>19</v>
      </c>
      <c r="B25" s="122" t="s">
        <v>36</v>
      </c>
      <c r="C25" s="122" t="s">
        <v>37</v>
      </c>
      <c r="D25" s="122" t="s">
        <v>38</v>
      </c>
      <c r="E25" s="123">
        <v>625000</v>
      </c>
      <c r="F25" s="124">
        <v>1781.875</v>
      </c>
      <c r="G25" s="125">
        <v>1.8019230000000001E-2</v>
      </c>
      <c r="H25" s="120" t="s">
        <v>151</v>
      </c>
      <c r="J25" s="8"/>
    </row>
    <row r="26" spans="1:10" x14ac:dyDescent="0.2">
      <c r="A26" s="121">
        <v>20</v>
      </c>
      <c r="B26" s="122" t="s">
        <v>665</v>
      </c>
      <c r="C26" s="122" t="s">
        <v>666</v>
      </c>
      <c r="D26" s="122" t="s">
        <v>22</v>
      </c>
      <c r="E26" s="123">
        <v>950000</v>
      </c>
      <c r="F26" s="124">
        <v>1711.425</v>
      </c>
      <c r="G26" s="125">
        <v>1.7306800000000001E-2</v>
      </c>
      <c r="H26" s="120" t="s">
        <v>151</v>
      </c>
      <c r="J26" s="8"/>
    </row>
    <row r="27" spans="1:10" x14ac:dyDescent="0.2">
      <c r="A27" s="121">
        <v>21</v>
      </c>
      <c r="B27" s="122" t="s">
        <v>56</v>
      </c>
      <c r="C27" s="122" t="s">
        <v>57</v>
      </c>
      <c r="D27" s="122" t="s">
        <v>58</v>
      </c>
      <c r="E27" s="123">
        <v>575000</v>
      </c>
      <c r="F27" s="124">
        <v>1711.2</v>
      </c>
      <c r="G27" s="125">
        <v>1.730452E-2</v>
      </c>
      <c r="H27" s="120" t="s">
        <v>151</v>
      </c>
      <c r="J27" s="8"/>
    </row>
    <row r="28" spans="1:10" x14ac:dyDescent="0.2">
      <c r="A28" s="121">
        <v>22</v>
      </c>
      <c r="B28" s="122" t="s">
        <v>689</v>
      </c>
      <c r="C28" s="122" t="s">
        <v>690</v>
      </c>
      <c r="D28" s="122" t="s">
        <v>35</v>
      </c>
      <c r="E28" s="123">
        <v>73000</v>
      </c>
      <c r="F28" s="124">
        <v>1506.501</v>
      </c>
      <c r="G28" s="125">
        <v>1.52345E-2</v>
      </c>
      <c r="H28" s="120" t="s">
        <v>151</v>
      </c>
      <c r="J28" s="8"/>
    </row>
    <row r="29" spans="1:10" ht="25.5" x14ac:dyDescent="0.2">
      <c r="A29" s="121">
        <v>23</v>
      </c>
      <c r="B29" s="122" t="s">
        <v>691</v>
      </c>
      <c r="C29" s="122" t="s">
        <v>692</v>
      </c>
      <c r="D29" s="122" t="s">
        <v>19</v>
      </c>
      <c r="E29" s="123">
        <v>1550000</v>
      </c>
      <c r="F29" s="124">
        <v>1471.7249999999999</v>
      </c>
      <c r="G29" s="125">
        <v>1.488283E-2</v>
      </c>
      <c r="H29" s="120" t="s">
        <v>151</v>
      </c>
      <c r="J29" s="8" t="s">
        <v>993</v>
      </c>
    </row>
    <row r="30" spans="1:10" ht="25.5" x14ac:dyDescent="0.2">
      <c r="A30" s="121">
        <v>24</v>
      </c>
      <c r="B30" s="122" t="s">
        <v>353</v>
      </c>
      <c r="C30" s="122" t="s">
        <v>354</v>
      </c>
      <c r="D30" s="122" t="s">
        <v>205</v>
      </c>
      <c r="E30" s="123">
        <v>75000</v>
      </c>
      <c r="F30" s="124">
        <v>1445.0250000000001</v>
      </c>
      <c r="G30" s="125">
        <v>1.461283E-2</v>
      </c>
      <c r="H30" s="120" t="s">
        <v>151</v>
      </c>
      <c r="J30" s="8"/>
    </row>
    <row r="31" spans="1:10" x14ac:dyDescent="0.2">
      <c r="A31" s="121">
        <v>25</v>
      </c>
      <c r="B31" s="122" t="s">
        <v>65</v>
      </c>
      <c r="C31" s="122" t="s">
        <v>66</v>
      </c>
      <c r="D31" s="122" t="s">
        <v>67</v>
      </c>
      <c r="E31" s="123">
        <v>600000</v>
      </c>
      <c r="F31" s="124">
        <v>1441.74</v>
      </c>
      <c r="G31" s="125">
        <v>1.457961E-2</v>
      </c>
      <c r="H31" s="120" t="s">
        <v>151</v>
      </c>
      <c r="J31" s="8"/>
    </row>
    <row r="32" spans="1:10" x14ac:dyDescent="0.2">
      <c r="A32" s="121">
        <v>26</v>
      </c>
      <c r="B32" s="122" t="s">
        <v>411</v>
      </c>
      <c r="C32" s="122" t="s">
        <v>412</v>
      </c>
      <c r="D32" s="122" t="s">
        <v>211</v>
      </c>
      <c r="E32" s="123">
        <v>345000</v>
      </c>
      <c r="F32" s="124">
        <v>1432.095</v>
      </c>
      <c r="G32" s="125">
        <v>1.448207E-2</v>
      </c>
      <c r="H32" s="120" t="s">
        <v>151</v>
      </c>
      <c r="J32" s="8"/>
    </row>
    <row r="33" spans="1:10" ht="25.5" x14ac:dyDescent="0.2">
      <c r="A33" s="121">
        <v>27</v>
      </c>
      <c r="B33" s="122" t="s">
        <v>23</v>
      </c>
      <c r="C33" s="122" t="s">
        <v>24</v>
      </c>
      <c r="D33" s="122" t="s">
        <v>25</v>
      </c>
      <c r="E33" s="123">
        <v>12000</v>
      </c>
      <c r="F33" s="124">
        <v>1416.24</v>
      </c>
      <c r="G33" s="125">
        <v>1.4321739999999999E-2</v>
      </c>
      <c r="H33" s="120" t="s">
        <v>151</v>
      </c>
      <c r="J33" s="8"/>
    </row>
    <row r="34" spans="1:10" x14ac:dyDescent="0.2">
      <c r="A34" s="121">
        <v>28</v>
      </c>
      <c r="B34" s="122" t="s">
        <v>545</v>
      </c>
      <c r="C34" s="122" t="s">
        <v>546</v>
      </c>
      <c r="D34" s="122" t="s">
        <v>270</v>
      </c>
      <c r="E34" s="123">
        <v>11000</v>
      </c>
      <c r="F34" s="124">
        <v>1358.0545</v>
      </c>
      <c r="G34" s="125">
        <v>1.373334E-2</v>
      </c>
      <c r="H34" s="120" t="s">
        <v>151</v>
      </c>
      <c r="J34" s="8"/>
    </row>
    <row r="35" spans="1:10" x14ac:dyDescent="0.2">
      <c r="A35" s="121">
        <v>29</v>
      </c>
      <c r="B35" s="122" t="s">
        <v>547</v>
      </c>
      <c r="C35" s="122" t="s">
        <v>548</v>
      </c>
      <c r="D35" s="122" t="s">
        <v>270</v>
      </c>
      <c r="E35" s="123">
        <v>10000</v>
      </c>
      <c r="F35" s="124">
        <v>1323.8</v>
      </c>
      <c r="G35" s="125">
        <v>1.338694E-2</v>
      </c>
      <c r="H35" s="120" t="s">
        <v>151</v>
      </c>
      <c r="J35" s="8"/>
    </row>
    <row r="36" spans="1:10" x14ac:dyDescent="0.2">
      <c r="A36" s="121">
        <v>30</v>
      </c>
      <c r="B36" s="122" t="s">
        <v>693</v>
      </c>
      <c r="C36" s="122" t="s">
        <v>694</v>
      </c>
      <c r="D36" s="122" t="s">
        <v>283</v>
      </c>
      <c r="E36" s="123">
        <v>20000</v>
      </c>
      <c r="F36" s="124">
        <v>1267.6300000000001</v>
      </c>
      <c r="G36" s="125">
        <v>1.2818919999999999E-2</v>
      </c>
      <c r="H36" s="120" t="s">
        <v>151</v>
      </c>
      <c r="J36" s="8"/>
    </row>
    <row r="37" spans="1:10" ht="25.5" x14ac:dyDescent="0.2">
      <c r="A37" s="121">
        <v>31</v>
      </c>
      <c r="B37" s="122" t="s">
        <v>403</v>
      </c>
      <c r="C37" s="122" t="s">
        <v>404</v>
      </c>
      <c r="D37" s="122" t="s">
        <v>25</v>
      </c>
      <c r="E37" s="123">
        <v>45000</v>
      </c>
      <c r="F37" s="124">
        <v>1257.9974999999999</v>
      </c>
      <c r="G37" s="125">
        <v>1.272151E-2</v>
      </c>
      <c r="H37" s="120" t="s">
        <v>151</v>
      </c>
      <c r="J37" s="8"/>
    </row>
    <row r="38" spans="1:10" x14ac:dyDescent="0.2">
      <c r="A38" s="121">
        <v>32</v>
      </c>
      <c r="B38" s="122" t="s">
        <v>234</v>
      </c>
      <c r="C38" s="122" t="s">
        <v>235</v>
      </c>
      <c r="D38" s="122" t="s">
        <v>121</v>
      </c>
      <c r="E38" s="123">
        <v>35000</v>
      </c>
      <c r="F38" s="124">
        <v>1251.9324999999999</v>
      </c>
      <c r="G38" s="125">
        <v>1.266018E-2</v>
      </c>
      <c r="H38" s="120" t="s">
        <v>151</v>
      </c>
      <c r="J38" s="8"/>
    </row>
    <row r="39" spans="1:10" ht="25.5" x14ac:dyDescent="0.2">
      <c r="A39" s="121">
        <v>33</v>
      </c>
      <c r="B39" s="122" t="s">
        <v>495</v>
      </c>
      <c r="C39" s="122" t="s">
        <v>496</v>
      </c>
      <c r="D39" s="122" t="s">
        <v>497</v>
      </c>
      <c r="E39" s="123">
        <v>245000</v>
      </c>
      <c r="F39" s="124">
        <v>1242.1500000000001</v>
      </c>
      <c r="G39" s="125">
        <v>1.2561249999999999E-2</v>
      </c>
      <c r="H39" s="120" t="s">
        <v>151</v>
      </c>
      <c r="J39" s="8"/>
    </row>
    <row r="40" spans="1:10" ht="25.5" x14ac:dyDescent="0.2">
      <c r="A40" s="121">
        <v>34</v>
      </c>
      <c r="B40" s="122" t="s">
        <v>465</v>
      </c>
      <c r="C40" s="122" t="s">
        <v>466</v>
      </c>
      <c r="D40" s="122" t="s">
        <v>205</v>
      </c>
      <c r="E40" s="123">
        <v>75000</v>
      </c>
      <c r="F40" s="124">
        <v>1240.575</v>
      </c>
      <c r="G40" s="125">
        <v>1.254533E-2</v>
      </c>
      <c r="H40" s="120" t="s">
        <v>151</v>
      </c>
      <c r="J40" s="8"/>
    </row>
    <row r="41" spans="1:10" x14ac:dyDescent="0.2">
      <c r="A41" s="121">
        <v>35</v>
      </c>
      <c r="B41" s="122" t="s">
        <v>59</v>
      </c>
      <c r="C41" s="122" t="s">
        <v>60</v>
      </c>
      <c r="D41" s="122" t="s">
        <v>55</v>
      </c>
      <c r="E41" s="123">
        <v>295000</v>
      </c>
      <c r="F41" s="124">
        <v>1236.4925000000001</v>
      </c>
      <c r="G41" s="125">
        <v>1.2504039999999999E-2</v>
      </c>
      <c r="H41" s="120" t="s">
        <v>151</v>
      </c>
      <c r="J41" s="8"/>
    </row>
    <row r="42" spans="1:10" x14ac:dyDescent="0.2">
      <c r="A42" s="121">
        <v>36</v>
      </c>
      <c r="B42" s="122" t="s">
        <v>262</v>
      </c>
      <c r="C42" s="122" t="s">
        <v>263</v>
      </c>
      <c r="D42" s="122" t="s">
        <v>70</v>
      </c>
      <c r="E42" s="123">
        <v>225000</v>
      </c>
      <c r="F42" s="124">
        <v>1232.6624999999999</v>
      </c>
      <c r="G42" s="125">
        <v>1.246531E-2</v>
      </c>
      <c r="H42" s="120" t="s">
        <v>151</v>
      </c>
      <c r="J42" s="8"/>
    </row>
    <row r="43" spans="1:10" x14ac:dyDescent="0.2">
      <c r="A43" s="121">
        <v>37</v>
      </c>
      <c r="B43" s="122" t="s">
        <v>53</v>
      </c>
      <c r="C43" s="122" t="s">
        <v>54</v>
      </c>
      <c r="D43" s="122" t="s">
        <v>55</v>
      </c>
      <c r="E43" s="123">
        <v>73000</v>
      </c>
      <c r="F43" s="124">
        <v>1227.1300000000001</v>
      </c>
      <c r="G43" s="125">
        <v>1.2409359999999999E-2</v>
      </c>
      <c r="H43" s="120" t="s">
        <v>151</v>
      </c>
      <c r="J43" s="8"/>
    </row>
    <row r="44" spans="1:10" ht="25.5" x14ac:dyDescent="0.2">
      <c r="A44" s="121">
        <v>38</v>
      </c>
      <c r="B44" s="122" t="s">
        <v>380</v>
      </c>
      <c r="C44" s="122" t="s">
        <v>381</v>
      </c>
      <c r="D44" s="122" t="s">
        <v>205</v>
      </c>
      <c r="E44" s="123">
        <v>80000</v>
      </c>
      <c r="F44" s="124">
        <v>1168.56</v>
      </c>
      <c r="G44" s="125">
        <v>1.1817070000000001E-2</v>
      </c>
      <c r="H44" s="120" t="s">
        <v>151</v>
      </c>
      <c r="J44" s="8"/>
    </row>
    <row r="45" spans="1:10" ht="25.5" x14ac:dyDescent="0.2">
      <c r="A45" s="121">
        <v>39</v>
      </c>
      <c r="B45" s="122" t="s">
        <v>288</v>
      </c>
      <c r="C45" s="122" t="s">
        <v>289</v>
      </c>
      <c r="D45" s="122" t="s">
        <v>290</v>
      </c>
      <c r="E45" s="123">
        <v>165000</v>
      </c>
      <c r="F45" s="124">
        <v>1147.4100000000001</v>
      </c>
      <c r="G45" s="125">
        <v>1.1603189999999999E-2</v>
      </c>
      <c r="H45" s="120" t="s">
        <v>151</v>
      </c>
      <c r="J45" s="8"/>
    </row>
    <row r="46" spans="1:10" x14ac:dyDescent="0.2">
      <c r="A46" s="121">
        <v>40</v>
      </c>
      <c r="B46" s="122" t="s">
        <v>349</v>
      </c>
      <c r="C46" s="122" t="s">
        <v>350</v>
      </c>
      <c r="D46" s="122" t="s">
        <v>48</v>
      </c>
      <c r="E46" s="123">
        <v>90000</v>
      </c>
      <c r="F46" s="124">
        <v>1108.98</v>
      </c>
      <c r="G46" s="125">
        <v>1.121457E-2</v>
      </c>
      <c r="H46" s="120" t="s">
        <v>151</v>
      </c>
      <c r="J46" s="8"/>
    </row>
    <row r="47" spans="1:10" x14ac:dyDescent="0.2">
      <c r="A47" s="121">
        <v>41</v>
      </c>
      <c r="B47" s="122" t="s">
        <v>384</v>
      </c>
      <c r="C47" s="122" t="s">
        <v>385</v>
      </c>
      <c r="D47" s="122" t="s">
        <v>134</v>
      </c>
      <c r="E47" s="123">
        <v>650000</v>
      </c>
      <c r="F47" s="124">
        <v>1095.575</v>
      </c>
      <c r="G47" s="125">
        <v>1.107901E-2</v>
      </c>
      <c r="H47" s="120" t="s">
        <v>151</v>
      </c>
      <c r="J47" s="8"/>
    </row>
    <row r="48" spans="1:10" x14ac:dyDescent="0.2">
      <c r="A48" s="121">
        <v>42</v>
      </c>
      <c r="B48" s="122" t="s">
        <v>250</v>
      </c>
      <c r="C48" s="122" t="s">
        <v>251</v>
      </c>
      <c r="D48" s="122" t="s">
        <v>216</v>
      </c>
      <c r="E48" s="123">
        <v>36000</v>
      </c>
      <c r="F48" s="124">
        <v>1083.7439999999999</v>
      </c>
      <c r="G48" s="125">
        <v>1.095937E-2</v>
      </c>
      <c r="H48" s="120" t="s">
        <v>151</v>
      </c>
      <c r="J48" s="8"/>
    </row>
    <row r="49" spans="1:10" x14ac:dyDescent="0.2">
      <c r="A49" s="121">
        <v>43</v>
      </c>
      <c r="B49" s="122" t="s">
        <v>695</v>
      </c>
      <c r="C49" s="122" t="s">
        <v>696</v>
      </c>
      <c r="D49" s="122" t="s">
        <v>283</v>
      </c>
      <c r="E49" s="123">
        <v>40000</v>
      </c>
      <c r="F49" s="124">
        <v>1075.98</v>
      </c>
      <c r="G49" s="125">
        <v>1.0880859999999999E-2</v>
      </c>
      <c r="H49" s="120" t="s">
        <v>151</v>
      </c>
      <c r="J49" s="8"/>
    </row>
    <row r="50" spans="1:10" x14ac:dyDescent="0.2">
      <c r="A50" s="121">
        <v>44</v>
      </c>
      <c r="B50" s="122" t="s">
        <v>223</v>
      </c>
      <c r="C50" s="122" t="s">
        <v>224</v>
      </c>
      <c r="D50" s="122" t="s">
        <v>121</v>
      </c>
      <c r="E50" s="123">
        <v>7500</v>
      </c>
      <c r="F50" s="124">
        <v>1072.96875</v>
      </c>
      <c r="G50" s="125">
        <v>1.085041E-2</v>
      </c>
      <c r="H50" s="120" t="s">
        <v>151</v>
      </c>
      <c r="J50" s="8"/>
    </row>
    <row r="51" spans="1:10" x14ac:dyDescent="0.2">
      <c r="A51" s="121">
        <v>45</v>
      </c>
      <c r="B51" s="122" t="s">
        <v>298</v>
      </c>
      <c r="C51" s="122" t="s">
        <v>299</v>
      </c>
      <c r="D51" s="122" t="s">
        <v>67</v>
      </c>
      <c r="E51" s="123">
        <v>250000</v>
      </c>
      <c r="F51" s="124">
        <v>1062.625</v>
      </c>
      <c r="G51" s="125">
        <v>1.07458E-2</v>
      </c>
      <c r="H51" s="120" t="s">
        <v>151</v>
      </c>
      <c r="J51" s="8"/>
    </row>
    <row r="52" spans="1:10" x14ac:dyDescent="0.2">
      <c r="A52" s="121">
        <v>46</v>
      </c>
      <c r="B52" s="122" t="s">
        <v>489</v>
      </c>
      <c r="C52" s="122" t="s">
        <v>490</v>
      </c>
      <c r="D52" s="122" t="s">
        <v>395</v>
      </c>
      <c r="E52" s="123">
        <v>55000</v>
      </c>
      <c r="F52" s="124">
        <v>1034.4124999999999</v>
      </c>
      <c r="G52" s="125">
        <v>1.0460509999999999E-2</v>
      </c>
      <c r="H52" s="120" t="s">
        <v>151</v>
      </c>
      <c r="J52" s="8"/>
    </row>
    <row r="53" spans="1:10" x14ac:dyDescent="0.2">
      <c r="A53" s="121">
        <v>47</v>
      </c>
      <c r="B53" s="122" t="s">
        <v>119</v>
      </c>
      <c r="C53" s="122" t="s">
        <v>120</v>
      </c>
      <c r="D53" s="122" t="s">
        <v>121</v>
      </c>
      <c r="E53" s="123">
        <v>180001</v>
      </c>
      <c r="F53" s="124">
        <v>998.10554500000001</v>
      </c>
      <c r="G53" s="125">
        <v>1.0093349999999999E-2</v>
      </c>
      <c r="H53" s="120" t="s">
        <v>151</v>
      </c>
      <c r="J53" s="8"/>
    </row>
    <row r="54" spans="1:10" x14ac:dyDescent="0.2">
      <c r="A54" s="121">
        <v>48</v>
      </c>
      <c r="B54" s="122" t="s">
        <v>371</v>
      </c>
      <c r="C54" s="122" t="s">
        <v>372</v>
      </c>
      <c r="D54" s="122" t="s">
        <v>270</v>
      </c>
      <c r="E54" s="123">
        <v>17000</v>
      </c>
      <c r="F54" s="124">
        <v>971.10799999999995</v>
      </c>
      <c r="G54" s="125">
        <v>9.8203400000000003E-3</v>
      </c>
      <c r="H54" s="120" t="s">
        <v>151</v>
      </c>
      <c r="J54" s="8"/>
    </row>
    <row r="55" spans="1:10" x14ac:dyDescent="0.2">
      <c r="A55" s="121">
        <v>49</v>
      </c>
      <c r="B55" s="122" t="s">
        <v>455</v>
      </c>
      <c r="C55" s="122" t="s">
        <v>456</v>
      </c>
      <c r="D55" s="122" t="s">
        <v>32</v>
      </c>
      <c r="E55" s="123">
        <v>63000</v>
      </c>
      <c r="F55" s="124">
        <v>943.99199999999996</v>
      </c>
      <c r="G55" s="125">
        <v>9.5461299999999999E-3</v>
      </c>
      <c r="H55" s="120" t="s">
        <v>151</v>
      </c>
      <c r="J55" s="8"/>
    </row>
    <row r="56" spans="1:10" x14ac:dyDescent="0.2">
      <c r="A56" s="121">
        <v>50</v>
      </c>
      <c r="B56" s="122" t="s">
        <v>428</v>
      </c>
      <c r="C56" s="122" t="s">
        <v>429</v>
      </c>
      <c r="D56" s="122" t="s">
        <v>121</v>
      </c>
      <c r="E56" s="123">
        <v>105000</v>
      </c>
      <c r="F56" s="124">
        <v>936.86249999999995</v>
      </c>
      <c r="G56" s="125">
        <v>9.4740299999999996E-3</v>
      </c>
      <c r="H56" s="120" t="s">
        <v>151</v>
      </c>
      <c r="J56" s="8"/>
    </row>
    <row r="57" spans="1:10" x14ac:dyDescent="0.2">
      <c r="A57" s="121">
        <v>51</v>
      </c>
      <c r="B57" s="122" t="s">
        <v>105</v>
      </c>
      <c r="C57" s="122" t="s">
        <v>106</v>
      </c>
      <c r="D57" s="122" t="s">
        <v>32</v>
      </c>
      <c r="E57" s="123">
        <v>24000</v>
      </c>
      <c r="F57" s="124">
        <v>913.452</v>
      </c>
      <c r="G57" s="125">
        <v>9.2372900000000004E-3</v>
      </c>
      <c r="H57" s="120" t="s">
        <v>151</v>
      </c>
      <c r="J57" s="8"/>
    </row>
    <row r="58" spans="1:10" x14ac:dyDescent="0.2">
      <c r="A58" s="121">
        <v>52</v>
      </c>
      <c r="B58" s="122" t="s">
        <v>382</v>
      </c>
      <c r="C58" s="122" t="s">
        <v>383</v>
      </c>
      <c r="D58" s="122" t="s">
        <v>38</v>
      </c>
      <c r="E58" s="123">
        <v>19000</v>
      </c>
      <c r="F58" s="124">
        <v>839.92349999999999</v>
      </c>
      <c r="G58" s="125">
        <v>8.4937299999999997E-3</v>
      </c>
      <c r="H58" s="120" t="s">
        <v>151</v>
      </c>
      <c r="J58" s="8"/>
    </row>
    <row r="59" spans="1:10" x14ac:dyDescent="0.2">
      <c r="A59" s="121">
        <v>53</v>
      </c>
      <c r="B59" s="122" t="s">
        <v>364</v>
      </c>
      <c r="C59" s="122" t="s">
        <v>365</v>
      </c>
      <c r="D59" s="122" t="s">
        <v>270</v>
      </c>
      <c r="E59" s="123">
        <v>84000</v>
      </c>
      <c r="F59" s="124">
        <v>818.70600000000002</v>
      </c>
      <c r="G59" s="125">
        <v>8.2791700000000006E-3</v>
      </c>
      <c r="H59" s="120" t="s">
        <v>151</v>
      </c>
      <c r="J59" s="8"/>
    </row>
    <row r="60" spans="1:10" x14ac:dyDescent="0.2">
      <c r="A60" s="121">
        <v>54</v>
      </c>
      <c r="B60" s="122" t="s">
        <v>471</v>
      </c>
      <c r="C60" s="122" t="s">
        <v>472</v>
      </c>
      <c r="D60" s="122" t="s">
        <v>48</v>
      </c>
      <c r="E60" s="123">
        <v>56533</v>
      </c>
      <c r="F60" s="124">
        <v>818.37170800000001</v>
      </c>
      <c r="G60" s="125">
        <v>8.2757899999999999E-3</v>
      </c>
      <c r="H60" s="120" t="s">
        <v>151</v>
      </c>
      <c r="J60" s="8"/>
    </row>
    <row r="61" spans="1:10" ht="25.5" x14ac:dyDescent="0.2">
      <c r="A61" s="121">
        <v>55</v>
      </c>
      <c r="B61" s="122" t="s">
        <v>206</v>
      </c>
      <c r="C61" s="122" t="s">
        <v>207</v>
      </c>
      <c r="D61" s="122" t="s">
        <v>208</v>
      </c>
      <c r="E61" s="123">
        <v>45000</v>
      </c>
      <c r="F61" s="124">
        <v>753.59249999999997</v>
      </c>
      <c r="G61" s="125">
        <v>7.6207100000000002E-3</v>
      </c>
      <c r="H61" s="120" t="s">
        <v>151</v>
      </c>
      <c r="J61" s="8"/>
    </row>
    <row r="62" spans="1:10" x14ac:dyDescent="0.2">
      <c r="A62" s="121">
        <v>56</v>
      </c>
      <c r="B62" s="122" t="s">
        <v>697</v>
      </c>
      <c r="C62" s="122" t="s">
        <v>698</v>
      </c>
      <c r="D62" s="122" t="s">
        <v>58</v>
      </c>
      <c r="E62" s="123">
        <v>125000</v>
      </c>
      <c r="F62" s="124">
        <v>725.8125</v>
      </c>
      <c r="G62" s="125">
        <v>7.3397899999999997E-3</v>
      </c>
      <c r="H62" s="120" t="s">
        <v>151</v>
      </c>
      <c r="J62" s="8"/>
    </row>
    <row r="63" spans="1:10" ht="25.5" x14ac:dyDescent="0.2">
      <c r="A63" s="121">
        <v>57</v>
      </c>
      <c r="B63" s="122" t="s">
        <v>330</v>
      </c>
      <c r="C63" s="122" t="s">
        <v>331</v>
      </c>
      <c r="D63" s="122" t="s">
        <v>205</v>
      </c>
      <c r="E63" s="123">
        <v>10000</v>
      </c>
      <c r="F63" s="124">
        <v>704.88499999999999</v>
      </c>
      <c r="G63" s="125">
        <v>7.1281599999999997E-3</v>
      </c>
      <c r="H63" s="120" t="s">
        <v>151</v>
      </c>
      <c r="J63" s="8"/>
    </row>
    <row r="64" spans="1:10" x14ac:dyDescent="0.2">
      <c r="A64" s="121">
        <v>58</v>
      </c>
      <c r="B64" s="122" t="s">
        <v>201</v>
      </c>
      <c r="C64" s="122" t="s">
        <v>202</v>
      </c>
      <c r="D64" s="122" t="s">
        <v>48</v>
      </c>
      <c r="E64" s="123">
        <v>350000</v>
      </c>
      <c r="F64" s="124">
        <v>688.55499999999995</v>
      </c>
      <c r="G64" s="125">
        <v>6.9630200000000003E-3</v>
      </c>
      <c r="H64" s="120" t="s">
        <v>151</v>
      </c>
      <c r="J64" s="8"/>
    </row>
    <row r="65" spans="1:10" ht="25.5" x14ac:dyDescent="0.2">
      <c r="A65" s="121">
        <v>59</v>
      </c>
      <c r="B65" s="122" t="s">
        <v>338</v>
      </c>
      <c r="C65" s="122" t="s">
        <v>339</v>
      </c>
      <c r="D65" s="122" t="s">
        <v>205</v>
      </c>
      <c r="E65" s="123">
        <v>10000</v>
      </c>
      <c r="F65" s="124">
        <v>504.55</v>
      </c>
      <c r="G65" s="125">
        <v>5.1022699999999999E-3</v>
      </c>
      <c r="H65" s="120" t="s">
        <v>151</v>
      </c>
      <c r="J65" s="8"/>
    </row>
    <row r="66" spans="1:10" x14ac:dyDescent="0.2">
      <c r="A66" s="118"/>
      <c r="B66" s="118"/>
      <c r="C66" s="119" t="s">
        <v>150</v>
      </c>
      <c r="D66" s="118"/>
      <c r="E66" s="118" t="s">
        <v>151</v>
      </c>
      <c r="F66" s="126">
        <v>93661.967502999978</v>
      </c>
      <c r="G66" s="127">
        <v>0.94715746000000012</v>
      </c>
      <c r="H66" s="120" t="s">
        <v>151</v>
      </c>
      <c r="J66" s="8"/>
    </row>
    <row r="67" spans="1:10" x14ac:dyDescent="0.2">
      <c r="A67" s="118"/>
      <c r="B67" s="118"/>
      <c r="C67" s="128"/>
      <c r="D67" s="118"/>
      <c r="E67" s="118"/>
      <c r="F67" s="129"/>
      <c r="G67" s="129"/>
      <c r="H67" s="120" t="s">
        <v>151</v>
      </c>
      <c r="J67" s="8"/>
    </row>
    <row r="68" spans="1:10" x14ac:dyDescent="0.2">
      <c r="A68" s="118"/>
      <c r="B68" s="118"/>
      <c r="C68" s="119" t="s">
        <v>152</v>
      </c>
      <c r="D68" s="118"/>
      <c r="E68" s="118"/>
      <c r="F68" s="118"/>
      <c r="G68" s="118"/>
      <c r="H68" s="120" t="s">
        <v>151</v>
      </c>
      <c r="J68" s="8"/>
    </row>
    <row r="69" spans="1:10" x14ac:dyDescent="0.2">
      <c r="A69" s="118"/>
      <c r="B69" s="118"/>
      <c r="C69" s="119" t="s">
        <v>150</v>
      </c>
      <c r="D69" s="118"/>
      <c r="E69" s="118" t="s">
        <v>151</v>
      </c>
      <c r="F69" s="130" t="s">
        <v>153</v>
      </c>
      <c r="G69" s="127">
        <v>0</v>
      </c>
      <c r="H69" s="120" t="s">
        <v>151</v>
      </c>
      <c r="J69" s="8"/>
    </row>
    <row r="70" spans="1:10" x14ac:dyDescent="0.2">
      <c r="A70" s="118"/>
      <c r="B70" s="118"/>
      <c r="C70" s="128"/>
      <c r="D70" s="118"/>
      <c r="E70" s="118"/>
      <c r="F70" s="129"/>
      <c r="G70" s="129"/>
      <c r="H70" s="120" t="s">
        <v>151</v>
      </c>
      <c r="J70" s="8"/>
    </row>
    <row r="71" spans="1:10" x14ac:dyDescent="0.2">
      <c r="A71" s="118"/>
      <c r="B71" s="118"/>
      <c r="C71" s="119" t="s">
        <v>154</v>
      </c>
      <c r="D71" s="118"/>
      <c r="E71" s="118"/>
      <c r="F71" s="118"/>
      <c r="G71" s="118"/>
      <c r="H71" s="120" t="s">
        <v>151</v>
      </c>
      <c r="J71" s="8"/>
    </row>
    <row r="72" spans="1:10" x14ac:dyDescent="0.2">
      <c r="A72" s="121">
        <v>1</v>
      </c>
      <c r="B72" s="122" t="s">
        <v>699</v>
      </c>
      <c r="C72" s="122" t="s">
        <v>986</v>
      </c>
      <c r="D72" s="122"/>
      <c r="E72" s="123">
        <v>200000</v>
      </c>
      <c r="F72" s="124">
        <v>1.9999999999999999E-6</v>
      </c>
      <c r="G72" s="131" t="s">
        <v>149</v>
      </c>
      <c r="H72" s="120" t="s">
        <v>151</v>
      </c>
      <c r="J72" s="8"/>
    </row>
    <row r="73" spans="1:10" x14ac:dyDescent="0.2">
      <c r="A73" s="121">
        <v>2</v>
      </c>
      <c r="B73" s="122" t="s">
        <v>700</v>
      </c>
      <c r="C73" s="122" t="s">
        <v>987</v>
      </c>
      <c r="D73" s="122"/>
      <c r="E73" s="123">
        <v>20</v>
      </c>
      <c r="F73" s="124">
        <v>0</v>
      </c>
      <c r="G73" s="131" t="s">
        <v>149</v>
      </c>
      <c r="H73" s="120" t="s">
        <v>151</v>
      </c>
      <c r="J73" s="8"/>
    </row>
    <row r="74" spans="1:10" x14ac:dyDescent="0.2">
      <c r="A74" s="121">
        <v>3</v>
      </c>
      <c r="B74" s="122" t="s">
        <v>701</v>
      </c>
      <c r="C74" s="122" t="s">
        <v>988</v>
      </c>
      <c r="D74" s="122"/>
      <c r="E74" s="123">
        <v>50000</v>
      </c>
      <c r="F74" s="124">
        <v>4.9999999999999998E-7</v>
      </c>
      <c r="G74" s="131" t="s">
        <v>149</v>
      </c>
      <c r="H74" s="120" t="s">
        <v>151</v>
      </c>
      <c r="J74" s="8"/>
    </row>
    <row r="75" spans="1:10" x14ac:dyDescent="0.2">
      <c r="A75" s="121">
        <v>4</v>
      </c>
      <c r="B75" s="122" t="s">
        <v>702</v>
      </c>
      <c r="C75" s="122" t="s">
        <v>985</v>
      </c>
      <c r="D75" s="122"/>
      <c r="E75" s="123">
        <v>50000</v>
      </c>
      <c r="F75" s="124">
        <v>4.9999999999999998E-7</v>
      </c>
      <c r="G75" s="131" t="s">
        <v>149</v>
      </c>
      <c r="H75" s="120" t="s">
        <v>151</v>
      </c>
      <c r="J75" s="8"/>
    </row>
    <row r="76" spans="1:10" x14ac:dyDescent="0.2">
      <c r="A76" s="118"/>
      <c r="B76" s="118"/>
      <c r="C76" s="119" t="s">
        <v>150</v>
      </c>
      <c r="D76" s="118"/>
      <c r="E76" s="118" t="s">
        <v>151</v>
      </c>
      <c r="F76" s="130" t="s">
        <v>153</v>
      </c>
      <c r="G76" s="127">
        <v>0</v>
      </c>
      <c r="H76" s="120" t="s">
        <v>151</v>
      </c>
      <c r="J76" s="8"/>
    </row>
    <row r="77" spans="1:10" x14ac:dyDescent="0.2">
      <c r="A77" s="118"/>
      <c r="B77" s="118"/>
      <c r="C77" s="128"/>
      <c r="D77" s="118"/>
      <c r="E77" s="118"/>
      <c r="F77" s="129"/>
      <c r="G77" s="129"/>
      <c r="H77" s="120" t="s">
        <v>151</v>
      </c>
      <c r="J77" s="8"/>
    </row>
    <row r="78" spans="1:10" x14ac:dyDescent="0.2">
      <c r="A78" s="118"/>
      <c r="B78" s="118"/>
      <c r="C78" s="119" t="s">
        <v>155</v>
      </c>
      <c r="D78" s="118"/>
      <c r="E78" s="118"/>
      <c r="F78" s="118"/>
      <c r="G78" s="118"/>
      <c r="H78" s="120" t="s">
        <v>151</v>
      </c>
      <c r="J78" s="8"/>
    </row>
    <row r="79" spans="1:10" x14ac:dyDescent="0.2">
      <c r="A79" s="118"/>
      <c r="B79" s="118"/>
      <c r="C79" s="119" t="s">
        <v>150</v>
      </c>
      <c r="D79" s="118"/>
      <c r="E79" s="118" t="s">
        <v>151</v>
      </c>
      <c r="F79" s="130" t="s">
        <v>153</v>
      </c>
      <c r="G79" s="127">
        <v>0</v>
      </c>
      <c r="H79" s="120" t="s">
        <v>151</v>
      </c>
      <c r="J79" s="8"/>
    </row>
    <row r="80" spans="1:10" x14ac:dyDescent="0.2">
      <c r="A80" s="118"/>
      <c r="B80" s="118"/>
      <c r="C80" s="128"/>
      <c r="D80" s="118"/>
      <c r="E80" s="118"/>
      <c r="F80" s="129"/>
      <c r="G80" s="129"/>
      <c r="H80" s="120" t="s">
        <v>151</v>
      </c>
      <c r="J80" s="8"/>
    </row>
    <row r="81" spans="1:10" x14ac:dyDescent="0.2">
      <c r="A81" s="118"/>
      <c r="B81" s="118"/>
      <c r="C81" s="119" t="s">
        <v>156</v>
      </c>
      <c r="D81" s="118"/>
      <c r="E81" s="118"/>
      <c r="F81" s="129"/>
      <c r="G81" s="129"/>
      <c r="H81" s="120" t="s">
        <v>151</v>
      </c>
      <c r="J81" s="8"/>
    </row>
    <row r="82" spans="1:10" x14ac:dyDescent="0.2">
      <c r="A82" s="118"/>
      <c r="B82" s="118"/>
      <c r="C82" s="119" t="s">
        <v>150</v>
      </c>
      <c r="D82" s="118"/>
      <c r="E82" s="118" t="s">
        <v>151</v>
      </c>
      <c r="F82" s="130" t="s">
        <v>153</v>
      </c>
      <c r="G82" s="127">
        <v>0</v>
      </c>
      <c r="H82" s="120" t="s">
        <v>151</v>
      </c>
      <c r="J82" s="8"/>
    </row>
    <row r="83" spans="1:10" x14ac:dyDescent="0.2">
      <c r="A83" s="118"/>
      <c r="B83" s="118"/>
      <c r="C83" s="128"/>
      <c r="D83" s="118"/>
      <c r="E83" s="118"/>
      <c r="F83" s="129"/>
      <c r="G83" s="129"/>
      <c r="H83" s="120" t="s">
        <v>151</v>
      </c>
      <c r="J83" s="8"/>
    </row>
    <row r="84" spans="1:10" x14ac:dyDescent="0.2">
      <c r="A84" s="118"/>
      <c r="B84" s="118"/>
      <c r="C84" s="119" t="s">
        <v>157</v>
      </c>
      <c r="D84" s="118"/>
      <c r="E84" s="118"/>
      <c r="F84" s="129"/>
      <c r="G84" s="129"/>
      <c r="H84" s="120" t="s">
        <v>151</v>
      </c>
      <c r="J84" s="8"/>
    </row>
    <row r="85" spans="1:10" x14ac:dyDescent="0.2">
      <c r="A85" s="121">
        <v>1</v>
      </c>
      <c r="B85" s="122"/>
      <c r="C85" s="122" t="s">
        <v>963</v>
      </c>
      <c r="D85" s="122" t="s">
        <v>667</v>
      </c>
      <c r="E85" s="123">
        <v>-41250</v>
      </c>
      <c r="F85" s="124">
        <v>-405.21937500000001</v>
      </c>
      <c r="G85" s="125">
        <v>-4.0977842920561719E-3</v>
      </c>
      <c r="H85" s="120" t="s">
        <v>151</v>
      </c>
      <c r="J85" s="8"/>
    </row>
    <row r="86" spans="1:10" x14ac:dyDescent="0.2">
      <c r="A86" s="118"/>
      <c r="B86" s="118"/>
      <c r="C86" s="119" t="s">
        <v>150</v>
      </c>
      <c r="D86" s="118"/>
      <c r="E86" s="118" t="s">
        <v>151</v>
      </c>
      <c r="F86" s="126">
        <v>-405.21937500000001</v>
      </c>
      <c r="G86" s="127">
        <v>-4.0977799999999997E-3</v>
      </c>
      <c r="H86" s="120" t="s">
        <v>151</v>
      </c>
      <c r="J86" s="8"/>
    </row>
    <row r="87" spans="1:10" x14ac:dyDescent="0.2">
      <c r="A87" s="118"/>
      <c r="B87" s="118"/>
      <c r="C87" s="128"/>
      <c r="D87" s="118"/>
      <c r="E87" s="118"/>
      <c r="F87" s="129"/>
      <c r="G87" s="129"/>
      <c r="H87" s="120" t="s">
        <v>151</v>
      </c>
      <c r="J87" s="8"/>
    </row>
    <row r="88" spans="1:10" x14ac:dyDescent="0.2">
      <c r="A88" s="118"/>
      <c r="B88" s="118"/>
      <c r="C88" s="119" t="s">
        <v>158</v>
      </c>
      <c r="D88" s="118"/>
      <c r="E88" s="118"/>
      <c r="F88" s="126">
        <v>93661.967502999978</v>
      </c>
      <c r="G88" s="127">
        <v>0.94715746000000012</v>
      </c>
      <c r="H88" s="120" t="s">
        <v>151</v>
      </c>
      <c r="J88" s="8"/>
    </row>
    <row r="89" spans="1:10" x14ac:dyDescent="0.2">
      <c r="A89" s="118"/>
      <c r="B89" s="118"/>
      <c r="C89" s="128"/>
      <c r="D89" s="118"/>
      <c r="E89" s="118"/>
      <c r="F89" s="129"/>
      <c r="G89" s="129"/>
      <c r="H89" s="120" t="s">
        <v>151</v>
      </c>
      <c r="J89" s="8"/>
    </row>
    <row r="90" spans="1:10" x14ac:dyDescent="0.2">
      <c r="A90" s="118"/>
      <c r="B90" s="118"/>
      <c r="C90" s="119" t="s">
        <v>159</v>
      </c>
      <c r="D90" s="118"/>
      <c r="E90" s="118"/>
      <c r="F90" s="129"/>
      <c r="G90" s="129"/>
      <c r="H90" s="120" t="s">
        <v>151</v>
      </c>
      <c r="J90" s="8"/>
    </row>
    <row r="91" spans="1:10" x14ac:dyDescent="0.2">
      <c r="A91" s="118"/>
      <c r="B91" s="118"/>
      <c r="C91" s="119" t="s">
        <v>10</v>
      </c>
      <c r="D91" s="118"/>
      <c r="E91" s="118"/>
      <c r="F91" s="129"/>
      <c r="G91" s="129"/>
      <c r="H91" s="120" t="s">
        <v>151</v>
      </c>
      <c r="J91" s="8"/>
    </row>
    <row r="92" spans="1:10" x14ac:dyDescent="0.2">
      <c r="A92" s="118"/>
      <c r="B92" s="118"/>
      <c r="C92" s="119" t="s">
        <v>150</v>
      </c>
      <c r="D92" s="118"/>
      <c r="E92" s="118" t="s">
        <v>151</v>
      </c>
      <c r="F92" s="130" t="s">
        <v>153</v>
      </c>
      <c r="G92" s="127">
        <v>0</v>
      </c>
      <c r="H92" s="120" t="s">
        <v>151</v>
      </c>
      <c r="J92" s="8"/>
    </row>
    <row r="93" spans="1:10" x14ac:dyDescent="0.2">
      <c r="A93" s="118"/>
      <c r="B93" s="118"/>
      <c r="C93" s="128"/>
      <c r="D93" s="118"/>
      <c r="E93" s="118"/>
      <c r="F93" s="129"/>
      <c r="G93" s="129"/>
      <c r="H93" s="120" t="s">
        <v>151</v>
      </c>
      <c r="J93" s="8"/>
    </row>
    <row r="94" spans="1:10" x14ac:dyDescent="0.2">
      <c r="A94" s="118"/>
      <c r="B94" s="118"/>
      <c r="C94" s="119" t="s">
        <v>160</v>
      </c>
      <c r="D94" s="118"/>
      <c r="E94" s="118"/>
      <c r="F94" s="118"/>
      <c r="G94" s="118"/>
      <c r="H94" s="120" t="s">
        <v>151</v>
      </c>
      <c r="J94" s="8"/>
    </row>
    <row r="95" spans="1:10" x14ac:dyDescent="0.2">
      <c r="A95" s="118"/>
      <c r="B95" s="118"/>
      <c r="C95" s="119" t="s">
        <v>150</v>
      </c>
      <c r="D95" s="118"/>
      <c r="E95" s="118" t="s">
        <v>151</v>
      </c>
      <c r="F95" s="130" t="s">
        <v>153</v>
      </c>
      <c r="G95" s="127">
        <v>0</v>
      </c>
      <c r="H95" s="120" t="s">
        <v>151</v>
      </c>
      <c r="J95" s="8"/>
    </row>
    <row r="96" spans="1:10" x14ac:dyDescent="0.2">
      <c r="A96" s="118"/>
      <c r="B96" s="118"/>
      <c r="C96" s="128"/>
      <c r="D96" s="118"/>
      <c r="E96" s="118"/>
      <c r="F96" s="129"/>
      <c r="G96" s="129"/>
      <c r="H96" s="120" t="s">
        <v>151</v>
      </c>
      <c r="J96" s="8"/>
    </row>
    <row r="97" spans="1:10" x14ac:dyDescent="0.2">
      <c r="A97" s="118"/>
      <c r="B97" s="118"/>
      <c r="C97" s="119" t="s">
        <v>161</v>
      </c>
      <c r="D97" s="118"/>
      <c r="E97" s="118"/>
      <c r="F97" s="118"/>
      <c r="G97" s="118"/>
      <c r="H97" s="120" t="s">
        <v>151</v>
      </c>
      <c r="J97" s="8"/>
    </row>
    <row r="98" spans="1:10" x14ac:dyDescent="0.2">
      <c r="A98" s="118"/>
      <c r="B98" s="118"/>
      <c r="C98" s="119" t="s">
        <v>150</v>
      </c>
      <c r="D98" s="118"/>
      <c r="E98" s="118" t="s">
        <v>151</v>
      </c>
      <c r="F98" s="130" t="s">
        <v>153</v>
      </c>
      <c r="G98" s="127">
        <v>0</v>
      </c>
      <c r="H98" s="120" t="s">
        <v>151</v>
      </c>
      <c r="J98" s="8"/>
    </row>
    <row r="99" spans="1:10" x14ac:dyDescent="0.2">
      <c r="A99" s="118"/>
      <c r="B99" s="118"/>
      <c r="C99" s="128"/>
      <c r="D99" s="118"/>
      <c r="E99" s="118"/>
      <c r="F99" s="129"/>
      <c r="G99" s="129"/>
      <c r="H99" s="120" t="s">
        <v>151</v>
      </c>
      <c r="J99" s="8"/>
    </row>
    <row r="100" spans="1:10" x14ac:dyDescent="0.2">
      <c r="A100" s="118"/>
      <c r="B100" s="118"/>
      <c r="C100" s="119" t="s">
        <v>162</v>
      </c>
      <c r="D100" s="118"/>
      <c r="E100" s="118"/>
      <c r="F100" s="129"/>
      <c r="G100" s="129"/>
      <c r="H100" s="120" t="s">
        <v>151</v>
      </c>
      <c r="J100" s="8"/>
    </row>
    <row r="101" spans="1:10" x14ac:dyDescent="0.2">
      <c r="A101" s="118"/>
      <c r="B101" s="118"/>
      <c r="C101" s="119" t="s">
        <v>150</v>
      </c>
      <c r="D101" s="118"/>
      <c r="E101" s="118" t="s">
        <v>151</v>
      </c>
      <c r="F101" s="130" t="s">
        <v>153</v>
      </c>
      <c r="G101" s="127">
        <v>0</v>
      </c>
      <c r="H101" s="120" t="s">
        <v>151</v>
      </c>
      <c r="J101" s="8"/>
    </row>
    <row r="102" spans="1:10" x14ac:dyDescent="0.2">
      <c r="A102" s="118"/>
      <c r="B102" s="118"/>
      <c r="C102" s="128"/>
      <c r="D102" s="118"/>
      <c r="E102" s="118"/>
      <c r="F102" s="129"/>
      <c r="G102" s="129"/>
      <c r="H102" s="120" t="s">
        <v>151</v>
      </c>
      <c r="J102" s="8"/>
    </row>
    <row r="103" spans="1:10" x14ac:dyDescent="0.2">
      <c r="A103" s="118"/>
      <c r="B103" s="118"/>
      <c r="C103" s="119" t="s">
        <v>163</v>
      </c>
      <c r="D103" s="118"/>
      <c r="E103" s="118"/>
      <c r="F103" s="126">
        <v>0</v>
      </c>
      <c r="G103" s="127">
        <v>0</v>
      </c>
      <c r="H103" s="120" t="s">
        <v>151</v>
      </c>
      <c r="J103" s="8"/>
    </row>
    <row r="104" spans="1:10" x14ac:dyDescent="0.2">
      <c r="A104" s="118"/>
      <c r="B104" s="118"/>
      <c r="C104" s="128"/>
      <c r="D104" s="118"/>
      <c r="E104" s="118"/>
      <c r="F104" s="129"/>
      <c r="G104" s="129"/>
      <c r="H104" s="120" t="s">
        <v>151</v>
      </c>
      <c r="J104" s="8"/>
    </row>
    <row r="105" spans="1:10" x14ac:dyDescent="0.2">
      <c r="A105" s="118"/>
      <c r="B105" s="118"/>
      <c r="C105" s="119" t="s">
        <v>164</v>
      </c>
      <c r="D105" s="118"/>
      <c r="E105" s="118"/>
      <c r="F105" s="129"/>
      <c r="G105" s="129"/>
      <c r="H105" s="120" t="s">
        <v>151</v>
      </c>
      <c r="J105" s="8"/>
    </row>
    <row r="106" spans="1:10" x14ac:dyDescent="0.2">
      <c r="A106" s="118"/>
      <c r="B106" s="118"/>
      <c r="C106" s="119" t="s">
        <v>165</v>
      </c>
      <c r="D106" s="118"/>
      <c r="E106" s="118"/>
      <c r="F106" s="129"/>
      <c r="G106" s="129"/>
      <c r="H106" s="120" t="s">
        <v>151</v>
      </c>
      <c r="J106" s="8"/>
    </row>
    <row r="107" spans="1:10" x14ac:dyDescent="0.2">
      <c r="A107" s="118"/>
      <c r="B107" s="118"/>
      <c r="C107" s="119" t="s">
        <v>150</v>
      </c>
      <c r="D107" s="118"/>
      <c r="E107" s="118" t="s">
        <v>151</v>
      </c>
      <c r="F107" s="130" t="s">
        <v>153</v>
      </c>
      <c r="G107" s="127">
        <v>0</v>
      </c>
      <c r="H107" s="120" t="s">
        <v>151</v>
      </c>
      <c r="J107" s="8"/>
    </row>
    <row r="108" spans="1:10" x14ac:dyDescent="0.2">
      <c r="A108" s="118"/>
      <c r="B108" s="118"/>
      <c r="C108" s="128"/>
      <c r="D108" s="118"/>
      <c r="E108" s="118"/>
      <c r="F108" s="129"/>
      <c r="G108" s="129"/>
      <c r="H108" s="120" t="s">
        <v>151</v>
      </c>
      <c r="J108" s="8"/>
    </row>
    <row r="109" spans="1:10" x14ac:dyDescent="0.2">
      <c r="A109" s="118"/>
      <c r="B109" s="118"/>
      <c r="C109" s="119" t="s">
        <v>166</v>
      </c>
      <c r="D109" s="118"/>
      <c r="E109" s="118"/>
      <c r="F109" s="129"/>
      <c r="G109" s="129"/>
      <c r="H109" s="120" t="s">
        <v>151</v>
      </c>
      <c r="J109" s="8"/>
    </row>
    <row r="110" spans="1:10" x14ac:dyDescent="0.2">
      <c r="A110" s="118"/>
      <c r="B110" s="118"/>
      <c r="C110" s="119" t="s">
        <v>150</v>
      </c>
      <c r="D110" s="118"/>
      <c r="E110" s="118" t="s">
        <v>151</v>
      </c>
      <c r="F110" s="130" t="s">
        <v>153</v>
      </c>
      <c r="G110" s="127">
        <v>0</v>
      </c>
      <c r="H110" s="120" t="s">
        <v>151</v>
      </c>
      <c r="J110" s="8"/>
    </row>
    <row r="111" spans="1:10" x14ac:dyDescent="0.2">
      <c r="A111" s="118"/>
      <c r="B111" s="118"/>
      <c r="C111" s="128"/>
      <c r="D111" s="118"/>
      <c r="E111" s="118"/>
      <c r="F111" s="129"/>
      <c r="G111" s="129"/>
      <c r="H111" s="120" t="s">
        <v>151</v>
      </c>
      <c r="J111" s="8"/>
    </row>
    <row r="112" spans="1:10" x14ac:dyDescent="0.2">
      <c r="A112" s="118"/>
      <c r="B112" s="118"/>
      <c r="C112" s="119" t="s">
        <v>167</v>
      </c>
      <c r="D112" s="118"/>
      <c r="E112" s="118"/>
      <c r="F112" s="129"/>
      <c r="G112" s="129"/>
      <c r="H112" s="120" t="s">
        <v>151</v>
      </c>
      <c r="J112" s="8"/>
    </row>
    <row r="113" spans="1:10" x14ac:dyDescent="0.2">
      <c r="A113" s="118"/>
      <c r="B113" s="118"/>
      <c r="C113" s="119" t="s">
        <v>150</v>
      </c>
      <c r="D113" s="118"/>
      <c r="E113" s="118" t="s">
        <v>151</v>
      </c>
      <c r="F113" s="130" t="s">
        <v>153</v>
      </c>
      <c r="G113" s="127">
        <v>0</v>
      </c>
      <c r="H113" s="120" t="s">
        <v>151</v>
      </c>
      <c r="J113" s="8"/>
    </row>
    <row r="114" spans="1:10" x14ac:dyDescent="0.2">
      <c r="A114" s="118"/>
      <c r="B114" s="118"/>
      <c r="C114" s="128"/>
      <c r="D114" s="118"/>
      <c r="E114" s="118"/>
      <c r="F114" s="129"/>
      <c r="G114" s="129"/>
      <c r="H114" s="120" t="s">
        <v>151</v>
      </c>
      <c r="J114" s="8"/>
    </row>
    <row r="115" spans="1:10" x14ac:dyDescent="0.2">
      <c r="A115" s="118"/>
      <c r="B115" s="118"/>
      <c r="C115" s="119" t="s">
        <v>168</v>
      </c>
      <c r="D115" s="118"/>
      <c r="E115" s="118"/>
      <c r="F115" s="129"/>
      <c r="G115" s="129"/>
      <c r="H115" s="120" t="s">
        <v>151</v>
      </c>
      <c r="J115" s="8"/>
    </row>
    <row r="116" spans="1:10" x14ac:dyDescent="0.2">
      <c r="A116" s="121">
        <v>1</v>
      </c>
      <c r="B116" s="122"/>
      <c r="C116" s="122" t="s">
        <v>169</v>
      </c>
      <c r="D116" s="122"/>
      <c r="E116" s="131"/>
      <c r="F116" s="124">
        <v>2345.1275019929999</v>
      </c>
      <c r="G116" s="125">
        <v>2.3715119999999999E-2</v>
      </c>
      <c r="H116" s="120">
        <v>6.61</v>
      </c>
      <c r="J116" s="8"/>
    </row>
    <row r="117" spans="1:10" x14ac:dyDescent="0.2">
      <c r="A117" s="118"/>
      <c r="B117" s="118"/>
      <c r="C117" s="119" t="s">
        <v>150</v>
      </c>
      <c r="D117" s="118"/>
      <c r="E117" s="118" t="s">
        <v>151</v>
      </c>
      <c r="F117" s="126">
        <v>2345.1275019929999</v>
      </c>
      <c r="G117" s="127">
        <v>2.3715119999999999E-2</v>
      </c>
      <c r="H117" s="120" t="s">
        <v>151</v>
      </c>
      <c r="J117" s="8"/>
    </row>
    <row r="118" spans="1:10" x14ac:dyDescent="0.2">
      <c r="A118" s="118"/>
      <c r="B118" s="118"/>
      <c r="C118" s="128"/>
      <c r="D118" s="118"/>
      <c r="E118" s="118"/>
      <c r="F118" s="129"/>
      <c r="G118" s="129"/>
      <c r="H118" s="120" t="s">
        <v>151</v>
      </c>
      <c r="J118" s="8"/>
    </row>
    <row r="119" spans="1:10" x14ac:dyDescent="0.2">
      <c r="A119" s="118"/>
      <c r="B119" s="118"/>
      <c r="C119" s="119" t="s">
        <v>170</v>
      </c>
      <c r="D119" s="118"/>
      <c r="E119" s="118"/>
      <c r="F119" s="126">
        <v>2345.1275019929999</v>
      </c>
      <c r="G119" s="127">
        <v>2.3715119999999999E-2</v>
      </c>
      <c r="H119" s="120" t="s">
        <v>151</v>
      </c>
      <c r="J119" s="8"/>
    </row>
    <row r="120" spans="1:10" x14ac:dyDescent="0.2">
      <c r="A120" s="118"/>
      <c r="B120" s="118"/>
      <c r="C120" s="129"/>
      <c r="D120" s="118"/>
      <c r="E120" s="118"/>
      <c r="F120" s="118"/>
      <c r="G120" s="118"/>
      <c r="H120" s="120" t="s">
        <v>151</v>
      </c>
      <c r="J120" s="8"/>
    </row>
    <row r="121" spans="1:10" x14ac:dyDescent="0.2">
      <c r="A121" s="118"/>
      <c r="B121" s="118"/>
      <c r="C121" s="119" t="s">
        <v>171</v>
      </c>
      <c r="D121" s="118"/>
      <c r="E121" s="118"/>
      <c r="F121" s="118"/>
      <c r="G121" s="118"/>
      <c r="H121" s="120" t="s">
        <v>151</v>
      </c>
      <c r="J121" s="8"/>
    </row>
    <row r="122" spans="1:10" x14ac:dyDescent="0.2">
      <c r="A122" s="118"/>
      <c r="B122" s="118"/>
      <c r="C122" s="119" t="s">
        <v>172</v>
      </c>
      <c r="D122" s="118"/>
      <c r="E122" s="118"/>
      <c r="F122" s="118"/>
      <c r="G122" s="118"/>
      <c r="H122" s="120" t="s">
        <v>151</v>
      </c>
      <c r="J122" s="8"/>
    </row>
    <row r="123" spans="1:10" x14ac:dyDescent="0.2">
      <c r="A123" s="121">
        <v>1</v>
      </c>
      <c r="B123" s="122" t="s">
        <v>173</v>
      </c>
      <c r="C123" s="122" t="s">
        <v>174</v>
      </c>
      <c r="D123" s="122"/>
      <c r="E123" s="132">
        <v>135754.15030000001</v>
      </c>
      <c r="F123" s="124">
        <v>3000.8115538440002</v>
      </c>
      <c r="G123" s="125">
        <v>3.0345730000000001E-2</v>
      </c>
      <c r="H123" s="120" t="s">
        <v>151</v>
      </c>
      <c r="J123" s="8"/>
    </row>
    <row r="124" spans="1:10" x14ac:dyDescent="0.2">
      <c r="A124" s="118"/>
      <c r="B124" s="118"/>
      <c r="C124" s="119" t="s">
        <v>150</v>
      </c>
      <c r="D124" s="118"/>
      <c r="E124" s="118" t="s">
        <v>151</v>
      </c>
      <c r="F124" s="126">
        <v>3000.8115538440002</v>
      </c>
      <c r="G124" s="127">
        <v>3.0345730000000001E-2</v>
      </c>
      <c r="H124" s="120" t="s">
        <v>151</v>
      </c>
      <c r="J124" s="8"/>
    </row>
    <row r="125" spans="1:10" x14ac:dyDescent="0.2">
      <c r="A125" s="118"/>
      <c r="B125" s="118"/>
      <c r="C125" s="128"/>
      <c r="D125" s="118"/>
      <c r="E125" s="118"/>
      <c r="F125" s="129"/>
      <c r="G125" s="129"/>
      <c r="H125" s="120" t="s">
        <v>151</v>
      </c>
      <c r="J125" s="8"/>
    </row>
    <row r="126" spans="1:10" x14ac:dyDescent="0.2">
      <c r="A126" s="118"/>
      <c r="B126" s="118"/>
      <c r="C126" s="119" t="s">
        <v>175</v>
      </c>
      <c r="D126" s="118"/>
      <c r="E126" s="118"/>
      <c r="F126" s="118"/>
      <c r="G126" s="118"/>
      <c r="H126" s="120" t="s">
        <v>151</v>
      </c>
      <c r="J126" s="8"/>
    </row>
    <row r="127" spans="1:10" x14ac:dyDescent="0.2">
      <c r="A127" s="118"/>
      <c r="B127" s="118"/>
      <c r="C127" s="119" t="s">
        <v>176</v>
      </c>
      <c r="D127" s="118"/>
      <c r="E127" s="118"/>
      <c r="F127" s="118"/>
      <c r="G127" s="118"/>
      <c r="H127" s="120" t="s">
        <v>151</v>
      </c>
      <c r="J127" s="8"/>
    </row>
    <row r="128" spans="1:10" x14ac:dyDescent="0.2">
      <c r="A128" s="118"/>
      <c r="B128" s="118"/>
      <c r="C128" s="119" t="s">
        <v>150</v>
      </c>
      <c r="D128" s="118"/>
      <c r="E128" s="118" t="s">
        <v>151</v>
      </c>
      <c r="F128" s="130" t="s">
        <v>153</v>
      </c>
      <c r="G128" s="127">
        <v>0</v>
      </c>
      <c r="H128" s="120" t="s">
        <v>151</v>
      </c>
      <c r="J128" s="8"/>
    </row>
    <row r="129" spans="1:17" x14ac:dyDescent="0.2">
      <c r="A129" s="118"/>
      <c r="B129" s="118"/>
      <c r="C129" s="128"/>
      <c r="D129" s="118"/>
      <c r="E129" s="118"/>
      <c r="F129" s="129"/>
      <c r="G129" s="129"/>
      <c r="H129" s="120" t="s">
        <v>151</v>
      </c>
      <c r="J129" s="8"/>
    </row>
    <row r="130" spans="1:17" x14ac:dyDescent="0.2">
      <c r="A130" s="118"/>
      <c r="B130" s="118"/>
      <c r="C130" s="119" t="s">
        <v>177</v>
      </c>
      <c r="D130" s="118"/>
      <c r="E130" s="118"/>
      <c r="F130" s="129"/>
      <c r="G130" s="129"/>
      <c r="H130" s="120" t="s">
        <v>151</v>
      </c>
      <c r="J130" s="8"/>
    </row>
    <row r="131" spans="1:17" x14ac:dyDescent="0.2">
      <c r="A131" s="118"/>
      <c r="B131" s="118"/>
      <c r="C131" s="119" t="s">
        <v>150</v>
      </c>
      <c r="D131" s="118"/>
      <c r="E131" s="118" t="s">
        <v>151</v>
      </c>
      <c r="F131" s="130" t="s">
        <v>153</v>
      </c>
      <c r="G131" s="127">
        <v>0</v>
      </c>
      <c r="H131" s="120" t="s">
        <v>151</v>
      </c>
      <c r="J131" s="8"/>
    </row>
    <row r="132" spans="1:17" x14ac:dyDescent="0.2">
      <c r="A132" s="118"/>
      <c r="B132" s="118"/>
      <c r="C132" s="128"/>
      <c r="D132" s="118"/>
      <c r="E132" s="118"/>
      <c r="F132" s="129"/>
      <c r="G132" s="129"/>
      <c r="H132" s="120" t="s">
        <v>151</v>
      </c>
      <c r="J132" s="8"/>
    </row>
    <row r="133" spans="1:17" x14ac:dyDescent="0.2">
      <c r="A133" s="131"/>
      <c r="B133" s="122"/>
      <c r="C133" s="122" t="s">
        <v>342</v>
      </c>
      <c r="D133" s="122"/>
      <c r="E133" s="131"/>
      <c r="F133" s="124">
        <v>407.58998630000002</v>
      </c>
      <c r="G133" s="125">
        <v>4.1217600000000004E-3</v>
      </c>
      <c r="H133" s="120" t="s">
        <v>151</v>
      </c>
      <c r="J133" s="8"/>
    </row>
    <row r="134" spans="1:17" x14ac:dyDescent="0.2">
      <c r="A134" s="131"/>
      <c r="B134" s="122"/>
      <c r="C134" s="200" t="s">
        <v>917</v>
      </c>
      <c r="D134" s="122"/>
      <c r="E134" s="131"/>
      <c r="F134" s="124">
        <v>-528.06223446699994</v>
      </c>
      <c r="G134" s="125">
        <v>-5.3400337277232993E-3</v>
      </c>
      <c r="H134" s="120" t="s">
        <v>151</v>
      </c>
      <c r="J134" s="8"/>
    </row>
    <row r="135" spans="1:17" x14ac:dyDescent="0.2">
      <c r="A135" s="128"/>
      <c r="B135" s="128"/>
      <c r="C135" s="119" t="s">
        <v>179</v>
      </c>
      <c r="D135" s="129"/>
      <c r="E135" s="129"/>
      <c r="F135" s="126">
        <v>98887.434310669982</v>
      </c>
      <c r="G135" s="127">
        <v>1.0000000362722767</v>
      </c>
      <c r="H135" s="120" t="s">
        <v>151</v>
      </c>
      <c r="J135" s="8"/>
    </row>
    <row r="136" spans="1:17" x14ac:dyDescent="0.2">
      <c r="A136" s="134"/>
      <c r="B136" s="134"/>
      <c r="C136" s="134"/>
      <c r="D136" s="135"/>
      <c r="E136" s="135"/>
      <c r="F136" s="135"/>
      <c r="G136" s="135"/>
      <c r="J136" s="8"/>
    </row>
    <row r="137" spans="1:17" x14ac:dyDescent="0.2">
      <c r="A137" s="136"/>
      <c r="B137" s="137" t="s">
        <v>888</v>
      </c>
      <c r="C137" s="137"/>
      <c r="D137" s="137"/>
      <c r="E137" s="137"/>
      <c r="F137" s="137"/>
      <c r="G137" s="137"/>
      <c r="H137" s="137"/>
      <c r="J137" s="8"/>
    </row>
    <row r="138" spans="1:17" x14ac:dyDescent="0.2">
      <c r="A138" s="136"/>
      <c r="B138" s="137" t="s">
        <v>889</v>
      </c>
      <c r="C138" s="137"/>
      <c r="D138" s="137"/>
      <c r="E138" s="137"/>
      <c r="F138" s="137"/>
      <c r="G138" s="137"/>
      <c r="H138" s="137"/>
      <c r="J138" s="8"/>
    </row>
    <row r="139" spans="1:17" x14ac:dyDescent="0.2">
      <c r="A139" s="136"/>
      <c r="B139" s="137" t="s">
        <v>890</v>
      </c>
      <c r="C139" s="137"/>
      <c r="D139" s="137"/>
      <c r="E139" s="137"/>
      <c r="F139" s="137"/>
      <c r="G139" s="137"/>
      <c r="H139" s="137"/>
      <c r="J139" s="8"/>
    </row>
    <row r="140" spans="1:17" s="13" customFormat="1" ht="64.5" customHeight="1" x14ac:dyDescent="0.25">
      <c r="A140" s="138"/>
      <c r="B140" s="139" t="s">
        <v>891</v>
      </c>
      <c r="C140" s="139"/>
      <c r="D140" s="139"/>
      <c r="E140" s="139"/>
      <c r="F140" s="139"/>
      <c r="G140" s="139"/>
      <c r="H140" s="139"/>
      <c r="I140" s="114"/>
      <c r="J140" s="8"/>
      <c r="K140"/>
      <c r="L140"/>
      <c r="M140"/>
      <c r="N140"/>
      <c r="O140"/>
      <c r="P140"/>
      <c r="Q140"/>
    </row>
    <row r="141" spans="1:17" x14ac:dyDescent="0.2">
      <c r="A141" s="136"/>
      <c r="B141" s="137" t="s">
        <v>892</v>
      </c>
      <c r="C141" s="137"/>
      <c r="D141" s="137"/>
      <c r="E141" s="137"/>
      <c r="F141" s="137"/>
      <c r="G141" s="137"/>
      <c r="H141" s="137"/>
      <c r="J141" s="8"/>
    </row>
    <row r="142" spans="1:17" x14ac:dyDescent="0.2">
      <c r="A142" s="140"/>
      <c r="B142" s="140"/>
      <c r="C142" s="140"/>
      <c r="D142" s="141"/>
      <c r="E142" s="141"/>
      <c r="F142" s="141"/>
      <c r="G142" s="141"/>
      <c r="J142" s="8"/>
    </row>
    <row r="143" spans="1:17" x14ac:dyDescent="0.2">
      <c r="A143" s="140"/>
      <c r="B143" s="142" t="s">
        <v>180</v>
      </c>
      <c r="C143" s="143"/>
      <c r="D143" s="144"/>
      <c r="E143" s="145"/>
      <c r="F143" s="141"/>
      <c r="G143" s="141"/>
      <c r="J143" s="8"/>
    </row>
    <row r="144" spans="1:17" ht="24.75" customHeight="1" x14ac:dyDescent="0.2">
      <c r="A144" s="136"/>
      <c r="B144" s="148" t="s">
        <v>181</v>
      </c>
      <c r="C144" s="149"/>
      <c r="D144" s="150" t="s">
        <v>918</v>
      </c>
      <c r="E144" s="206"/>
      <c r="F144" s="207"/>
      <c r="G144" s="207"/>
      <c r="J144" s="8"/>
    </row>
    <row r="145" spans="1:10" x14ac:dyDescent="0.2">
      <c r="A145" s="136"/>
      <c r="B145" s="148" t="s">
        <v>893</v>
      </c>
      <c r="C145" s="149"/>
      <c r="D145" s="150" t="s">
        <v>1178</v>
      </c>
      <c r="E145" s="206"/>
      <c r="F145" s="207"/>
      <c r="G145" s="207"/>
      <c r="J145" s="8"/>
    </row>
    <row r="146" spans="1:10" x14ac:dyDescent="0.2">
      <c r="A146" s="140"/>
      <c r="B146" s="146" t="s">
        <v>184</v>
      </c>
      <c r="C146" s="147"/>
      <c r="D146" s="129" t="s">
        <v>151</v>
      </c>
      <c r="E146" s="145"/>
      <c r="F146" s="141"/>
      <c r="G146" s="141"/>
      <c r="J146" s="8"/>
    </row>
    <row r="147" spans="1:10" x14ac:dyDescent="0.2">
      <c r="A147" s="151"/>
      <c r="B147" s="152" t="s">
        <v>151</v>
      </c>
      <c r="C147" s="152" t="s">
        <v>894</v>
      </c>
      <c r="D147" s="152" t="s">
        <v>185</v>
      </c>
      <c r="E147" s="151"/>
      <c r="F147" s="151"/>
      <c r="G147" s="151"/>
      <c r="H147" s="151"/>
      <c r="J147" s="8"/>
    </row>
    <row r="148" spans="1:10" x14ac:dyDescent="0.2">
      <c r="A148" s="153"/>
      <c r="B148" s="154" t="s">
        <v>186</v>
      </c>
      <c r="C148" s="155">
        <v>45535</v>
      </c>
      <c r="D148" s="155">
        <v>45565</v>
      </c>
      <c r="E148" s="153"/>
      <c r="F148" s="153"/>
      <c r="G148" s="153"/>
      <c r="J148" s="8"/>
    </row>
    <row r="149" spans="1:10" x14ac:dyDescent="0.2">
      <c r="A149" s="153"/>
      <c r="B149" s="122" t="s">
        <v>187</v>
      </c>
      <c r="C149" s="156">
        <v>156.4966</v>
      </c>
      <c r="D149" s="156">
        <v>158.38470000000001</v>
      </c>
      <c r="E149" s="153"/>
      <c r="F149" s="157"/>
      <c r="G149" s="158"/>
      <c r="J149" s="8"/>
    </row>
    <row r="150" spans="1:10" ht="25.5" x14ac:dyDescent="0.2">
      <c r="A150" s="153"/>
      <c r="B150" s="122" t="s">
        <v>1040</v>
      </c>
      <c r="C150" s="156">
        <v>74.961299999999994</v>
      </c>
      <c r="D150" s="156">
        <v>73.198099999999997</v>
      </c>
      <c r="E150" s="153"/>
      <c r="F150" s="157"/>
      <c r="G150" s="158"/>
      <c r="J150" s="8"/>
    </row>
    <row r="151" spans="1:10" x14ac:dyDescent="0.2">
      <c r="A151" s="153"/>
      <c r="B151" s="122" t="s">
        <v>188</v>
      </c>
      <c r="C151" s="156">
        <v>144.96119999999999</v>
      </c>
      <c r="D151" s="156">
        <v>146.55600000000001</v>
      </c>
      <c r="E151" s="153"/>
      <c r="F151" s="157"/>
      <c r="G151" s="158"/>
      <c r="J151" s="8"/>
    </row>
    <row r="152" spans="1:10" ht="25.5" x14ac:dyDescent="0.2">
      <c r="A152" s="153"/>
      <c r="B152" s="122" t="s">
        <v>1041</v>
      </c>
      <c r="C152" s="156">
        <v>45.268900000000002</v>
      </c>
      <c r="D152" s="156">
        <v>44.156199999999998</v>
      </c>
      <c r="E152" s="153"/>
      <c r="F152" s="157"/>
      <c r="G152" s="158"/>
      <c r="J152" s="8"/>
    </row>
    <row r="153" spans="1:10" x14ac:dyDescent="0.2">
      <c r="A153" s="153"/>
      <c r="B153" s="153"/>
      <c r="C153" s="153"/>
      <c r="D153" s="153"/>
      <c r="E153" s="153"/>
      <c r="F153" s="153"/>
      <c r="G153" s="153"/>
      <c r="J153" s="8"/>
    </row>
    <row r="154" spans="1:10" x14ac:dyDescent="0.2">
      <c r="A154" s="153"/>
      <c r="B154" s="146" t="s">
        <v>895</v>
      </c>
      <c r="C154" s="147"/>
      <c r="D154" s="119" t="s">
        <v>151</v>
      </c>
      <c r="E154" s="153"/>
      <c r="F154" s="153"/>
      <c r="G154" s="153"/>
      <c r="J154" s="8"/>
    </row>
    <row r="155" spans="1:10" x14ac:dyDescent="0.2">
      <c r="A155" s="153"/>
      <c r="B155" s="210" t="s">
        <v>186</v>
      </c>
      <c r="C155" s="211" t="s">
        <v>647</v>
      </c>
      <c r="D155" s="211" t="s">
        <v>648</v>
      </c>
      <c r="E155" s="153"/>
      <c r="F155" s="153"/>
      <c r="G155" s="153"/>
      <c r="J155" s="8"/>
    </row>
    <row r="156" spans="1:10" ht="25.5" x14ac:dyDescent="0.2">
      <c r="A156" s="153"/>
      <c r="B156" s="122" t="s">
        <v>1040</v>
      </c>
      <c r="C156" s="212">
        <v>2.609</v>
      </c>
      <c r="D156" s="131" t="s">
        <v>685</v>
      </c>
      <c r="E156" s="153"/>
      <c r="F156" s="157"/>
      <c r="G156" s="158"/>
      <c r="J156" s="8"/>
    </row>
    <row r="157" spans="1:10" ht="25.5" x14ac:dyDescent="0.2">
      <c r="A157" s="153"/>
      <c r="B157" s="122" t="s">
        <v>1041</v>
      </c>
      <c r="C157" s="212">
        <v>1.5760000000000001</v>
      </c>
      <c r="D157" s="212">
        <v>1.5760000000000001</v>
      </c>
      <c r="E157" s="153"/>
      <c r="F157" s="157"/>
      <c r="G157" s="158"/>
      <c r="J157" s="8"/>
    </row>
    <row r="158" spans="1:10" x14ac:dyDescent="0.2">
      <c r="A158" s="153"/>
      <c r="B158" s="213"/>
      <c r="C158" s="213"/>
      <c r="D158" s="214"/>
      <c r="E158" s="153"/>
      <c r="F158" s="157"/>
      <c r="G158" s="158"/>
      <c r="J158" s="8"/>
    </row>
    <row r="159" spans="1:10" ht="29.1" customHeight="1" x14ac:dyDescent="0.2">
      <c r="A159" s="151"/>
      <c r="B159" s="148" t="s">
        <v>189</v>
      </c>
      <c r="C159" s="149"/>
      <c r="D159" s="150" t="s">
        <v>909</v>
      </c>
      <c r="E159" s="160"/>
      <c r="F159" s="151"/>
      <c r="G159" s="151"/>
      <c r="J159" s="8"/>
    </row>
    <row r="160" spans="1:10" ht="29.1" customHeight="1" x14ac:dyDescent="0.2">
      <c r="A160" s="151"/>
      <c r="B160" s="148" t="s">
        <v>190</v>
      </c>
      <c r="C160" s="149"/>
      <c r="D160" s="150" t="s">
        <v>182</v>
      </c>
      <c r="E160" s="160"/>
      <c r="F160" s="151"/>
      <c r="G160" s="151"/>
      <c r="J160" s="8"/>
    </row>
    <row r="161" spans="1:20" ht="17.100000000000001" customHeight="1" x14ac:dyDescent="0.2">
      <c r="A161" s="151"/>
      <c r="B161" s="148" t="s">
        <v>191</v>
      </c>
      <c r="C161" s="149"/>
      <c r="D161" s="150" t="s">
        <v>182</v>
      </c>
      <c r="E161" s="160"/>
      <c r="F161" s="151"/>
      <c r="G161" s="151"/>
      <c r="J161" s="8"/>
    </row>
    <row r="162" spans="1:20" ht="17.100000000000001" customHeight="1" x14ac:dyDescent="0.2">
      <c r="A162" s="151"/>
      <c r="B162" s="148" t="s">
        <v>192</v>
      </c>
      <c r="C162" s="149"/>
      <c r="D162" s="161">
        <v>0.44099740462551185</v>
      </c>
      <c r="E162" s="151"/>
      <c r="F162" s="159"/>
      <c r="G162" s="162"/>
      <c r="J162" s="8"/>
    </row>
    <row r="163" spans="1:20" x14ac:dyDescent="0.2">
      <c r="J163" s="8"/>
    </row>
    <row r="164" spans="1:20" s="14" customFormat="1" x14ac:dyDescent="0.2">
      <c r="A164" s="215"/>
      <c r="B164" s="257" t="s">
        <v>1064</v>
      </c>
      <c r="C164" s="257"/>
      <c r="D164" s="257"/>
      <c r="E164" s="17"/>
      <c r="F164" s="18"/>
      <c r="G164" s="215"/>
      <c r="H164" s="215"/>
      <c r="I164" s="114"/>
      <c r="J164" s="8"/>
      <c r="K164"/>
      <c r="L164"/>
      <c r="M164"/>
      <c r="N164"/>
      <c r="O164"/>
    </row>
    <row r="165" spans="1:20" s="14" customFormat="1" ht="63.75" x14ac:dyDescent="0.2">
      <c r="A165" s="215"/>
      <c r="B165" s="264" t="s">
        <v>921</v>
      </c>
      <c r="C165" s="265" t="s">
        <v>922</v>
      </c>
      <c r="D165" s="265" t="s">
        <v>923</v>
      </c>
      <c r="E165" s="265" t="s">
        <v>924</v>
      </c>
      <c r="F165" s="265" t="s">
        <v>925</v>
      </c>
      <c r="G165" s="215"/>
      <c r="H165" s="215"/>
      <c r="I165" s="114"/>
      <c r="J165" s="8"/>
      <c r="K165"/>
      <c r="L165"/>
      <c r="M165"/>
      <c r="N165"/>
      <c r="O165"/>
    </row>
    <row r="166" spans="1:20" s="14" customFormat="1" ht="25.5" x14ac:dyDescent="0.2">
      <c r="A166" s="215"/>
      <c r="B166" s="266" t="s">
        <v>989</v>
      </c>
      <c r="C166" s="267" t="s">
        <v>990</v>
      </c>
      <c r="D166" s="19">
        <v>0</v>
      </c>
      <c r="E166" s="20">
        <v>0</v>
      </c>
      <c r="F166" s="268">
        <v>241.97234</v>
      </c>
      <c r="G166" s="215"/>
      <c r="H166" s="215"/>
      <c r="I166" s="114"/>
      <c r="J166" s="8"/>
      <c r="K166"/>
      <c r="L166"/>
      <c r="M166"/>
      <c r="N166"/>
      <c r="O166"/>
    </row>
    <row r="167" spans="1:20" s="14" customFormat="1" ht="25.5" x14ac:dyDescent="0.2">
      <c r="A167" s="215"/>
      <c r="B167" s="266" t="s">
        <v>991</v>
      </c>
      <c r="C167" s="267" t="s">
        <v>990</v>
      </c>
      <c r="D167" s="19">
        <v>0</v>
      </c>
      <c r="E167" s="20">
        <v>0</v>
      </c>
      <c r="F167" s="268">
        <v>23.186299999999999</v>
      </c>
      <c r="G167" s="215"/>
      <c r="H167" s="215"/>
      <c r="I167" s="114"/>
      <c r="J167" s="8"/>
      <c r="K167"/>
      <c r="L167"/>
      <c r="M167"/>
      <c r="N167"/>
      <c r="O167"/>
      <c r="P167"/>
      <c r="Q167"/>
      <c r="R167"/>
      <c r="S167"/>
      <c r="T167"/>
    </row>
    <row r="168" spans="1:20" x14ac:dyDescent="0.2">
      <c r="J168" s="8"/>
    </row>
  </sheetData>
  <mergeCells count="17">
    <mergeCell ref="A1:H1"/>
    <mergeCell ref="A2:H2"/>
    <mergeCell ref="A3:H3"/>
    <mergeCell ref="B143:D143"/>
    <mergeCell ref="B137:H137"/>
    <mergeCell ref="B138:H138"/>
    <mergeCell ref="B139:H139"/>
    <mergeCell ref="B140:H140"/>
    <mergeCell ref="B141:H141"/>
    <mergeCell ref="B160:C160"/>
    <mergeCell ref="B161:C161"/>
    <mergeCell ref="B162:C162"/>
    <mergeCell ref="B159:C159"/>
    <mergeCell ref="B144:C144"/>
    <mergeCell ref="B145:C145"/>
    <mergeCell ref="B146:C146"/>
    <mergeCell ref="B154:C154"/>
  </mergeCells>
  <hyperlinks>
    <hyperlink ref="I1" location="Index!B2" display="Index" xr:uid="{C4723C40-BD18-46DE-81A0-467596E7016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0ADBF-CA80-4A1F-BD06-6071381E3B78}">
  <sheetPr>
    <outlinePr summaryBelow="0" summaryRight="0"/>
  </sheetPr>
  <dimension ref="A1:Q223"/>
  <sheetViews>
    <sheetView showGridLines="0" workbookViewId="0">
      <selection sqref="A1:H1"/>
    </sheetView>
  </sheetViews>
  <sheetFormatPr defaultRowHeight="12.75" x14ac:dyDescent="0.2"/>
  <cols>
    <col min="1" max="1" width="5.85546875" style="114" bestFit="1" customWidth="1"/>
    <col min="2" max="2" width="20.28515625" style="114" bestFit="1" customWidth="1"/>
    <col min="3" max="3" width="43.7109375" style="114" customWidth="1"/>
    <col min="4" max="4" width="17.7109375" style="114" bestFit="1" customWidth="1"/>
    <col min="5" max="5" width="8.7109375" style="114" bestFit="1" customWidth="1"/>
    <col min="6" max="6" width="10.140625" style="114" bestFit="1" customWidth="1"/>
    <col min="7" max="7" width="14" style="114" bestFit="1" customWidth="1"/>
    <col min="8" max="8" width="5.85546875" style="114"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703</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1045</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20</v>
      </c>
      <c r="C7" s="122" t="s">
        <v>21</v>
      </c>
      <c r="D7" s="122" t="s">
        <v>22</v>
      </c>
      <c r="E7" s="123">
        <v>207250</v>
      </c>
      <c r="F7" s="124">
        <v>6120.4033749999999</v>
      </c>
      <c r="G7" s="125">
        <v>6.1523759999999997E-2</v>
      </c>
      <c r="H7" s="120" t="s">
        <v>151</v>
      </c>
      <c r="J7" s="8"/>
    </row>
    <row r="8" spans="1:10" x14ac:dyDescent="0.2">
      <c r="A8" s="121">
        <v>2</v>
      </c>
      <c r="B8" s="122" t="s">
        <v>14</v>
      </c>
      <c r="C8" s="122" t="s">
        <v>15</v>
      </c>
      <c r="D8" s="122" t="s">
        <v>16</v>
      </c>
      <c r="E8" s="123">
        <v>298275</v>
      </c>
      <c r="F8" s="124">
        <v>5099.1602624999996</v>
      </c>
      <c r="G8" s="125">
        <v>5.1257980000000002E-2</v>
      </c>
      <c r="H8" s="120" t="s">
        <v>151</v>
      </c>
      <c r="J8" s="8"/>
    </row>
    <row r="9" spans="1:10" x14ac:dyDescent="0.2">
      <c r="A9" s="121">
        <v>3</v>
      </c>
      <c r="B9" s="122" t="s">
        <v>349</v>
      </c>
      <c r="C9" s="122" t="s">
        <v>350</v>
      </c>
      <c r="D9" s="122" t="s">
        <v>48</v>
      </c>
      <c r="E9" s="123">
        <v>324625</v>
      </c>
      <c r="F9" s="124">
        <v>4000.02925</v>
      </c>
      <c r="G9" s="125">
        <v>4.0209250000000002E-2</v>
      </c>
      <c r="H9" s="120" t="s">
        <v>151</v>
      </c>
      <c r="J9" s="8"/>
    </row>
    <row r="10" spans="1:10" x14ac:dyDescent="0.2">
      <c r="A10" s="121">
        <v>4</v>
      </c>
      <c r="B10" s="122" t="s">
        <v>347</v>
      </c>
      <c r="C10" s="122" t="s">
        <v>348</v>
      </c>
      <c r="D10" s="122" t="s">
        <v>216</v>
      </c>
      <c r="E10" s="123">
        <v>205100</v>
      </c>
      <c r="F10" s="124">
        <v>3846.8555999999999</v>
      </c>
      <c r="G10" s="125">
        <v>3.8669509999999997E-2</v>
      </c>
      <c r="H10" s="120" t="s">
        <v>151</v>
      </c>
      <c r="J10" s="8"/>
    </row>
    <row r="11" spans="1:10" x14ac:dyDescent="0.2">
      <c r="A11" s="121">
        <v>5</v>
      </c>
      <c r="B11" s="122" t="s">
        <v>471</v>
      </c>
      <c r="C11" s="122" t="s">
        <v>472</v>
      </c>
      <c r="D11" s="122" t="s">
        <v>48</v>
      </c>
      <c r="E11" s="123">
        <v>232000</v>
      </c>
      <c r="F11" s="124">
        <v>3358.4319999999998</v>
      </c>
      <c r="G11" s="125">
        <v>3.375976E-2</v>
      </c>
      <c r="H11" s="120" t="s">
        <v>151</v>
      </c>
      <c r="J11" s="8"/>
    </row>
    <row r="12" spans="1:10" ht="15" x14ac:dyDescent="0.2">
      <c r="A12" s="121">
        <v>6</v>
      </c>
      <c r="B12" s="122" t="s">
        <v>663</v>
      </c>
      <c r="C12" s="122" t="s">
        <v>664</v>
      </c>
      <c r="D12" s="122" t="s">
        <v>121</v>
      </c>
      <c r="E12" s="123">
        <v>36125</v>
      </c>
      <c r="F12" s="124">
        <v>2782.7087499999998</v>
      </c>
      <c r="G12" s="125">
        <v>2.7972449999999999E-2</v>
      </c>
      <c r="H12" s="120" t="s">
        <v>151</v>
      </c>
      <c r="J12" s="11"/>
    </row>
    <row r="13" spans="1:10" x14ac:dyDescent="0.2">
      <c r="A13" s="121">
        <v>7</v>
      </c>
      <c r="B13" s="122" t="s">
        <v>343</v>
      </c>
      <c r="C13" s="122" t="s">
        <v>344</v>
      </c>
      <c r="D13" s="122" t="s">
        <v>48</v>
      </c>
      <c r="E13" s="123">
        <v>158013</v>
      </c>
      <c r="F13" s="124">
        <v>2736.8641665</v>
      </c>
      <c r="G13" s="125">
        <v>2.7511609999999999E-2</v>
      </c>
      <c r="H13" s="120" t="s">
        <v>151</v>
      </c>
      <c r="J13" s="8"/>
    </row>
    <row r="14" spans="1:10" x14ac:dyDescent="0.2">
      <c r="A14" s="121">
        <v>8</v>
      </c>
      <c r="B14" s="122" t="s">
        <v>46</v>
      </c>
      <c r="C14" s="122" t="s">
        <v>47</v>
      </c>
      <c r="D14" s="122" t="s">
        <v>48</v>
      </c>
      <c r="E14" s="123">
        <v>201000</v>
      </c>
      <c r="F14" s="124">
        <v>2558.73</v>
      </c>
      <c r="G14" s="125">
        <v>2.5720969999999999E-2</v>
      </c>
      <c r="H14" s="120" t="s">
        <v>151</v>
      </c>
      <c r="J14" s="8"/>
    </row>
    <row r="15" spans="1:10" x14ac:dyDescent="0.2">
      <c r="A15" s="121">
        <v>9</v>
      </c>
      <c r="B15" s="122" t="s">
        <v>547</v>
      </c>
      <c r="C15" s="122" t="s">
        <v>548</v>
      </c>
      <c r="D15" s="122" t="s">
        <v>270</v>
      </c>
      <c r="E15" s="123">
        <v>16850</v>
      </c>
      <c r="F15" s="124">
        <v>2230.6030000000001</v>
      </c>
      <c r="G15" s="125">
        <v>2.2422549999999999E-2</v>
      </c>
      <c r="H15" s="120" t="s">
        <v>151</v>
      </c>
      <c r="J15" s="8"/>
    </row>
    <row r="16" spans="1:10" x14ac:dyDescent="0.2">
      <c r="A16" s="121">
        <v>10</v>
      </c>
      <c r="B16" s="122" t="s">
        <v>378</v>
      </c>
      <c r="C16" s="122" t="s">
        <v>379</v>
      </c>
      <c r="D16" s="122" t="s">
        <v>368</v>
      </c>
      <c r="E16" s="123">
        <v>68100</v>
      </c>
      <c r="F16" s="124">
        <v>2014.6023</v>
      </c>
      <c r="G16" s="125">
        <v>2.025126E-2</v>
      </c>
      <c r="H16" s="120" t="s">
        <v>151</v>
      </c>
      <c r="J16" s="8"/>
    </row>
    <row r="17" spans="1:10" x14ac:dyDescent="0.2">
      <c r="A17" s="121">
        <v>11</v>
      </c>
      <c r="B17" s="122" t="s">
        <v>11</v>
      </c>
      <c r="C17" s="122" t="s">
        <v>12</v>
      </c>
      <c r="D17" s="122" t="s">
        <v>13</v>
      </c>
      <c r="E17" s="123">
        <v>49890</v>
      </c>
      <c r="F17" s="124">
        <v>1833.7318949999999</v>
      </c>
      <c r="G17" s="125">
        <v>1.8433109999999999E-2</v>
      </c>
      <c r="H17" s="120" t="s">
        <v>151</v>
      </c>
      <c r="J17" s="8"/>
    </row>
    <row r="18" spans="1:10" x14ac:dyDescent="0.2">
      <c r="A18" s="121">
        <v>12</v>
      </c>
      <c r="B18" s="122" t="s">
        <v>479</v>
      </c>
      <c r="C18" s="122" t="s">
        <v>480</v>
      </c>
      <c r="D18" s="122" t="s">
        <v>35</v>
      </c>
      <c r="E18" s="123">
        <v>70000</v>
      </c>
      <c r="F18" s="124">
        <v>1636.53</v>
      </c>
      <c r="G18" s="125">
        <v>1.645079E-2</v>
      </c>
      <c r="H18" s="120" t="s">
        <v>151</v>
      </c>
      <c r="J18" s="8"/>
    </row>
    <row r="19" spans="1:10" x14ac:dyDescent="0.2">
      <c r="A19" s="121">
        <v>13</v>
      </c>
      <c r="B19" s="122" t="s">
        <v>53</v>
      </c>
      <c r="C19" s="122" t="s">
        <v>54</v>
      </c>
      <c r="D19" s="122" t="s">
        <v>55</v>
      </c>
      <c r="E19" s="123">
        <v>96000</v>
      </c>
      <c r="F19" s="124">
        <v>1613.76</v>
      </c>
      <c r="G19" s="125">
        <v>1.6221900000000001E-2</v>
      </c>
      <c r="H19" s="120" t="s">
        <v>151</v>
      </c>
      <c r="J19" s="8" t="s">
        <v>994</v>
      </c>
    </row>
    <row r="20" spans="1:10" ht="25.5" x14ac:dyDescent="0.2">
      <c r="A20" s="121">
        <v>14</v>
      </c>
      <c r="B20" s="122" t="s">
        <v>380</v>
      </c>
      <c r="C20" s="122" t="s">
        <v>381</v>
      </c>
      <c r="D20" s="122" t="s">
        <v>205</v>
      </c>
      <c r="E20" s="123">
        <v>107000</v>
      </c>
      <c r="F20" s="124">
        <v>1562.9490000000001</v>
      </c>
      <c r="G20" s="125">
        <v>1.5711139999999998E-2</v>
      </c>
      <c r="H20" s="120" t="s">
        <v>151</v>
      </c>
      <c r="J20" s="8"/>
    </row>
    <row r="21" spans="1:10" x14ac:dyDescent="0.2">
      <c r="A21" s="121">
        <v>15</v>
      </c>
      <c r="B21" s="122" t="s">
        <v>549</v>
      </c>
      <c r="C21" s="122" t="s">
        <v>550</v>
      </c>
      <c r="D21" s="122" t="s">
        <v>270</v>
      </c>
      <c r="E21" s="123">
        <v>50400</v>
      </c>
      <c r="F21" s="124">
        <v>1559.8296</v>
      </c>
      <c r="G21" s="125">
        <v>1.5679780000000001E-2</v>
      </c>
      <c r="H21" s="120" t="s">
        <v>151</v>
      </c>
      <c r="J21" s="8"/>
    </row>
    <row r="22" spans="1:10" ht="25.5" x14ac:dyDescent="0.2">
      <c r="A22" s="121">
        <v>16</v>
      </c>
      <c r="B22" s="122" t="s">
        <v>353</v>
      </c>
      <c r="C22" s="122" t="s">
        <v>354</v>
      </c>
      <c r="D22" s="122" t="s">
        <v>205</v>
      </c>
      <c r="E22" s="123">
        <v>78950</v>
      </c>
      <c r="F22" s="124">
        <v>1521.1296500000001</v>
      </c>
      <c r="G22" s="125">
        <v>1.529076E-2</v>
      </c>
      <c r="H22" s="120" t="s">
        <v>151</v>
      </c>
      <c r="J22" s="11"/>
    </row>
    <row r="23" spans="1:10" x14ac:dyDescent="0.2">
      <c r="A23" s="121">
        <v>17</v>
      </c>
      <c r="B23" s="122" t="s">
        <v>355</v>
      </c>
      <c r="C23" s="122" t="s">
        <v>356</v>
      </c>
      <c r="D23" s="122" t="s">
        <v>216</v>
      </c>
      <c r="E23" s="123">
        <v>32108</v>
      </c>
      <c r="F23" s="124">
        <v>1370.52998</v>
      </c>
      <c r="G23" s="125">
        <v>1.37769E-2</v>
      </c>
      <c r="H23" s="120" t="s">
        <v>151</v>
      </c>
      <c r="J23" s="8"/>
    </row>
    <row r="24" spans="1:10" x14ac:dyDescent="0.2">
      <c r="A24" s="121">
        <v>18</v>
      </c>
      <c r="B24" s="122" t="s">
        <v>83</v>
      </c>
      <c r="C24" s="122" t="s">
        <v>84</v>
      </c>
      <c r="D24" s="122" t="s">
        <v>85</v>
      </c>
      <c r="E24" s="123">
        <v>27500</v>
      </c>
      <c r="F24" s="124">
        <v>1316.5487499999999</v>
      </c>
      <c r="G24" s="125">
        <v>1.3234259999999999E-2</v>
      </c>
      <c r="H24" s="120" t="s">
        <v>151</v>
      </c>
      <c r="J24" s="8"/>
    </row>
    <row r="25" spans="1:10" x14ac:dyDescent="0.2">
      <c r="A25" s="121">
        <v>19</v>
      </c>
      <c r="B25" s="122" t="s">
        <v>498</v>
      </c>
      <c r="C25" s="122" t="s">
        <v>499</v>
      </c>
      <c r="D25" s="122" t="s">
        <v>121</v>
      </c>
      <c r="E25" s="123">
        <v>118798</v>
      </c>
      <c r="F25" s="124">
        <v>1167.7249409999999</v>
      </c>
      <c r="G25" s="125">
        <v>1.173825E-2</v>
      </c>
      <c r="H25" s="120" t="s">
        <v>151</v>
      </c>
      <c r="J25" s="8"/>
    </row>
    <row r="26" spans="1:10" x14ac:dyDescent="0.2">
      <c r="A26" s="121">
        <v>20</v>
      </c>
      <c r="B26" s="122" t="s">
        <v>124</v>
      </c>
      <c r="C26" s="122" t="s">
        <v>125</v>
      </c>
      <c r="D26" s="122" t="s">
        <v>85</v>
      </c>
      <c r="E26" s="123">
        <v>263000</v>
      </c>
      <c r="F26" s="124">
        <v>1117.75</v>
      </c>
      <c r="G26" s="125">
        <v>1.123589E-2</v>
      </c>
      <c r="H26" s="120" t="s">
        <v>151</v>
      </c>
      <c r="J26" s="8"/>
    </row>
    <row r="27" spans="1:10" x14ac:dyDescent="0.2">
      <c r="A27" s="121">
        <v>21</v>
      </c>
      <c r="B27" s="122" t="s">
        <v>461</v>
      </c>
      <c r="C27" s="122" t="s">
        <v>462</v>
      </c>
      <c r="D27" s="122" t="s">
        <v>216</v>
      </c>
      <c r="E27" s="123">
        <v>59500</v>
      </c>
      <c r="F27" s="124">
        <v>1068.6795</v>
      </c>
      <c r="G27" s="125">
        <v>1.074262E-2</v>
      </c>
      <c r="H27" s="120" t="s">
        <v>151</v>
      </c>
      <c r="J27" s="8"/>
    </row>
    <row r="28" spans="1:10" x14ac:dyDescent="0.2">
      <c r="A28" s="121">
        <v>22</v>
      </c>
      <c r="B28" s="122" t="s">
        <v>59</v>
      </c>
      <c r="C28" s="122" t="s">
        <v>60</v>
      </c>
      <c r="D28" s="122" t="s">
        <v>55</v>
      </c>
      <c r="E28" s="123">
        <v>251000</v>
      </c>
      <c r="F28" s="124">
        <v>1052.0664999999999</v>
      </c>
      <c r="G28" s="125">
        <v>1.0575620000000001E-2</v>
      </c>
      <c r="H28" s="120" t="s">
        <v>151</v>
      </c>
      <c r="J28" s="8"/>
    </row>
    <row r="29" spans="1:10" x14ac:dyDescent="0.2">
      <c r="A29" s="121">
        <v>23</v>
      </c>
      <c r="B29" s="122" t="s">
        <v>359</v>
      </c>
      <c r="C29" s="122" t="s">
        <v>360</v>
      </c>
      <c r="D29" s="122" t="s">
        <v>361</v>
      </c>
      <c r="E29" s="123">
        <v>138600</v>
      </c>
      <c r="F29" s="124">
        <v>1048.0932</v>
      </c>
      <c r="G29" s="125">
        <v>1.053568E-2</v>
      </c>
      <c r="H29" s="120" t="s">
        <v>151</v>
      </c>
      <c r="J29" s="8"/>
    </row>
    <row r="30" spans="1:10" x14ac:dyDescent="0.2">
      <c r="A30" s="121">
        <v>24</v>
      </c>
      <c r="B30" s="122" t="s">
        <v>227</v>
      </c>
      <c r="C30" s="122" t="s">
        <v>228</v>
      </c>
      <c r="D30" s="122" t="s">
        <v>22</v>
      </c>
      <c r="E30" s="123">
        <v>230850</v>
      </c>
      <c r="F30" s="124">
        <v>1017.009675</v>
      </c>
      <c r="G30" s="125">
        <v>1.022322E-2</v>
      </c>
      <c r="H30" s="120" t="s">
        <v>151</v>
      </c>
      <c r="J30" s="8"/>
    </row>
    <row r="31" spans="1:10" x14ac:dyDescent="0.2">
      <c r="A31" s="121">
        <v>25</v>
      </c>
      <c r="B31" s="122" t="s">
        <v>41</v>
      </c>
      <c r="C31" s="122" t="s">
        <v>42</v>
      </c>
      <c r="D31" s="122" t="s">
        <v>16</v>
      </c>
      <c r="E31" s="123">
        <v>70000</v>
      </c>
      <c r="F31" s="124">
        <v>1010.45</v>
      </c>
      <c r="G31" s="125">
        <v>1.0157289999999999E-2</v>
      </c>
      <c r="H31" s="120" t="s">
        <v>151</v>
      </c>
      <c r="J31" s="8"/>
    </row>
    <row r="32" spans="1:10" x14ac:dyDescent="0.2">
      <c r="A32" s="121">
        <v>26</v>
      </c>
      <c r="B32" s="122" t="s">
        <v>463</v>
      </c>
      <c r="C32" s="122" t="s">
        <v>464</v>
      </c>
      <c r="D32" s="122" t="s">
        <v>48</v>
      </c>
      <c r="E32" s="123">
        <v>406575</v>
      </c>
      <c r="F32" s="124">
        <v>1007.49285</v>
      </c>
      <c r="G32" s="125">
        <v>1.0127560000000001E-2</v>
      </c>
      <c r="H32" s="120" t="s">
        <v>151</v>
      </c>
      <c r="J32" s="8"/>
    </row>
    <row r="33" spans="1:10" x14ac:dyDescent="0.2">
      <c r="A33" s="121">
        <v>27</v>
      </c>
      <c r="B33" s="122" t="s">
        <v>362</v>
      </c>
      <c r="C33" s="122" t="s">
        <v>363</v>
      </c>
      <c r="D33" s="122" t="s">
        <v>241</v>
      </c>
      <c r="E33" s="123">
        <v>17000</v>
      </c>
      <c r="F33" s="124">
        <v>962.25099999999998</v>
      </c>
      <c r="G33" s="125">
        <v>9.6727800000000006E-3</v>
      </c>
      <c r="H33" s="120" t="s">
        <v>151</v>
      </c>
      <c r="J33" s="8"/>
    </row>
    <row r="34" spans="1:10" x14ac:dyDescent="0.2">
      <c r="A34" s="121">
        <v>28</v>
      </c>
      <c r="B34" s="122" t="s">
        <v>364</v>
      </c>
      <c r="C34" s="122" t="s">
        <v>365</v>
      </c>
      <c r="D34" s="122" t="s">
        <v>270</v>
      </c>
      <c r="E34" s="123">
        <v>98250</v>
      </c>
      <c r="F34" s="124">
        <v>957.59362499999997</v>
      </c>
      <c r="G34" s="125">
        <v>9.6259599999999994E-3</v>
      </c>
      <c r="H34" s="120" t="s">
        <v>151</v>
      </c>
      <c r="J34" s="8"/>
    </row>
    <row r="35" spans="1:10" x14ac:dyDescent="0.2">
      <c r="A35" s="121">
        <v>29</v>
      </c>
      <c r="B35" s="122" t="s">
        <v>551</v>
      </c>
      <c r="C35" s="122" t="s">
        <v>552</v>
      </c>
      <c r="D35" s="122" t="s">
        <v>216</v>
      </c>
      <c r="E35" s="123">
        <v>60000</v>
      </c>
      <c r="F35" s="124">
        <v>946.32</v>
      </c>
      <c r="G35" s="125">
        <v>9.5126399999999993E-3</v>
      </c>
      <c r="H35" s="120" t="s">
        <v>151</v>
      </c>
      <c r="J35" s="8"/>
    </row>
    <row r="36" spans="1:10" x14ac:dyDescent="0.2">
      <c r="A36" s="121">
        <v>30</v>
      </c>
      <c r="B36" s="122" t="s">
        <v>704</v>
      </c>
      <c r="C36" s="122" t="s">
        <v>705</v>
      </c>
      <c r="D36" s="122" t="s">
        <v>241</v>
      </c>
      <c r="E36" s="123">
        <v>13000</v>
      </c>
      <c r="F36" s="124">
        <v>940.90099999999995</v>
      </c>
      <c r="G36" s="125">
        <v>9.4581600000000002E-3</v>
      </c>
      <c r="H36" s="120" t="s">
        <v>151</v>
      </c>
      <c r="J36" s="8"/>
    </row>
    <row r="37" spans="1:10" x14ac:dyDescent="0.2">
      <c r="A37" s="121">
        <v>31</v>
      </c>
      <c r="B37" s="122" t="s">
        <v>63</v>
      </c>
      <c r="C37" s="122" t="s">
        <v>64</v>
      </c>
      <c r="D37" s="122" t="s">
        <v>48</v>
      </c>
      <c r="E37" s="123">
        <v>119000</v>
      </c>
      <c r="F37" s="124">
        <v>937.601</v>
      </c>
      <c r="G37" s="125">
        <v>9.4249899999999994E-3</v>
      </c>
      <c r="H37" s="120" t="s">
        <v>151</v>
      </c>
      <c r="J37" s="8"/>
    </row>
    <row r="38" spans="1:10" x14ac:dyDescent="0.2">
      <c r="A38" s="121">
        <v>32</v>
      </c>
      <c r="B38" s="122" t="s">
        <v>706</v>
      </c>
      <c r="C38" s="122" t="s">
        <v>707</v>
      </c>
      <c r="D38" s="122" t="s">
        <v>270</v>
      </c>
      <c r="E38" s="123">
        <v>12500</v>
      </c>
      <c r="F38" s="124">
        <v>935.21249999999998</v>
      </c>
      <c r="G38" s="125">
        <v>9.4009799999999998E-3</v>
      </c>
      <c r="H38" s="120" t="s">
        <v>151</v>
      </c>
      <c r="J38" s="8"/>
    </row>
    <row r="39" spans="1:10" x14ac:dyDescent="0.2">
      <c r="A39" s="121">
        <v>33</v>
      </c>
      <c r="B39" s="122" t="s">
        <v>345</v>
      </c>
      <c r="C39" s="122" t="s">
        <v>346</v>
      </c>
      <c r="D39" s="122" t="s">
        <v>200</v>
      </c>
      <c r="E39" s="123">
        <v>312000</v>
      </c>
      <c r="F39" s="124">
        <v>852.69600000000003</v>
      </c>
      <c r="G39" s="125">
        <v>8.5714999999999993E-3</v>
      </c>
      <c r="H39" s="120" t="s">
        <v>151</v>
      </c>
      <c r="J39" s="8"/>
    </row>
    <row r="40" spans="1:10" x14ac:dyDescent="0.2">
      <c r="A40" s="121">
        <v>34</v>
      </c>
      <c r="B40" s="122" t="s">
        <v>201</v>
      </c>
      <c r="C40" s="122" t="s">
        <v>202</v>
      </c>
      <c r="D40" s="122" t="s">
        <v>48</v>
      </c>
      <c r="E40" s="123">
        <v>410000</v>
      </c>
      <c r="F40" s="124">
        <v>806.59299999999996</v>
      </c>
      <c r="G40" s="125">
        <v>8.1080700000000002E-3</v>
      </c>
      <c r="H40" s="120" t="s">
        <v>151</v>
      </c>
      <c r="J40" s="8"/>
    </row>
    <row r="41" spans="1:10" ht="25.5" x14ac:dyDescent="0.2">
      <c r="A41" s="121">
        <v>35</v>
      </c>
      <c r="B41" s="122" t="s">
        <v>708</v>
      </c>
      <c r="C41" s="122" t="s">
        <v>709</v>
      </c>
      <c r="D41" s="122" t="s">
        <v>205</v>
      </c>
      <c r="E41" s="123">
        <v>31678</v>
      </c>
      <c r="F41" s="124">
        <v>798.50734599999998</v>
      </c>
      <c r="G41" s="125">
        <v>8.0267900000000007E-3</v>
      </c>
      <c r="H41" s="120" t="s">
        <v>151</v>
      </c>
      <c r="J41" s="8"/>
    </row>
    <row r="42" spans="1:10" ht="25.5" x14ac:dyDescent="0.2">
      <c r="A42" s="121">
        <v>36</v>
      </c>
      <c r="B42" s="122" t="s">
        <v>275</v>
      </c>
      <c r="C42" s="122" t="s">
        <v>276</v>
      </c>
      <c r="D42" s="122" t="s">
        <v>121</v>
      </c>
      <c r="E42" s="123">
        <v>48000</v>
      </c>
      <c r="F42" s="124">
        <v>771.84</v>
      </c>
      <c r="G42" s="125">
        <v>7.7587200000000002E-3</v>
      </c>
      <c r="H42" s="120" t="s">
        <v>151</v>
      </c>
      <c r="J42" s="8"/>
    </row>
    <row r="43" spans="1:10" x14ac:dyDescent="0.2">
      <c r="A43" s="121">
        <v>37</v>
      </c>
      <c r="B43" s="122" t="s">
        <v>105</v>
      </c>
      <c r="C43" s="122" t="s">
        <v>106</v>
      </c>
      <c r="D43" s="122" t="s">
        <v>32</v>
      </c>
      <c r="E43" s="123">
        <v>20000</v>
      </c>
      <c r="F43" s="124">
        <v>761.21</v>
      </c>
      <c r="G43" s="125">
        <v>7.6518699999999999E-3</v>
      </c>
      <c r="H43" s="120" t="s">
        <v>151</v>
      </c>
      <c r="J43" s="8"/>
    </row>
    <row r="44" spans="1:10" x14ac:dyDescent="0.2">
      <c r="A44" s="121">
        <v>38</v>
      </c>
      <c r="B44" s="122" t="s">
        <v>259</v>
      </c>
      <c r="C44" s="122" t="s">
        <v>260</v>
      </c>
      <c r="D44" s="122" t="s">
        <v>261</v>
      </c>
      <c r="E44" s="123">
        <v>34000</v>
      </c>
      <c r="F44" s="124">
        <v>739.65300000000002</v>
      </c>
      <c r="G44" s="125">
        <v>7.4351699999999996E-3</v>
      </c>
      <c r="H44" s="120" t="s">
        <v>151</v>
      </c>
      <c r="J44" s="8"/>
    </row>
    <row r="45" spans="1:10" ht="25.5" x14ac:dyDescent="0.2">
      <c r="A45" s="121">
        <v>39</v>
      </c>
      <c r="B45" s="122" t="s">
        <v>369</v>
      </c>
      <c r="C45" s="122" t="s">
        <v>370</v>
      </c>
      <c r="D45" s="122" t="s">
        <v>205</v>
      </c>
      <c r="E45" s="123">
        <v>10000</v>
      </c>
      <c r="F45" s="124">
        <v>675.16</v>
      </c>
      <c r="G45" s="125">
        <v>6.7868700000000004E-3</v>
      </c>
      <c r="H45" s="120" t="s">
        <v>151</v>
      </c>
      <c r="J45" s="8"/>
    </row>
    <row r="46" spans="1:10" ht="25.5" x14ac:dyDescent="0.2">
      <c r="A46" s="121">
        <v>40</v>
      </c>
      <c r="B46" s="122" t="s">
        <v>139</v>
      </c>
      <c r="C46" s="122" t="s">
        <v>140</v>
      </c>
      <c r="D46" s="122" t="s">
        <v>25</v>
      </c>
      <c r="E46" s="123">
        <v>300000</v>
      </c>
      <c r="F46" s="124">
        <v>671.97</v>
      </c>
      <c r="G46" s="125">
        <v>6.7548E-3</v>
      </c>
      <c r="H46" s="120" t="s">
        <v>151</v>
      </c>
      <c r="J46" s="8"/>
    </row>
    <row r="47" spans="1:10" x14ac:dyDescent="0.2">
      <c r="A47" s="121">
        <v>41</v>
      </c>
      <c r="B47" s="122" t="s">
        <v>242</v>
      </c>
      <c r="C47" s="122" t="s">
        <v>243</v>
      </c>
      <c r="D47" s="122" t="s">
        <v>200</v>
      </c>
      <c r="E47" s="123">
        <v>8000</v>
      </c>
      <c r="F47" s="124">
        <v>648.05600000000004</v>
      </c>
      <c r="G47" s="125">
        <v>6.51441E-3</v>
      </c>
      <c r="H47" s="120" t="s">
        <v>151</v>
      </c>
      <c r="J47" s="8"/>
    </row>
    <row r="48" spans="1:10" ht="25.5" x14ac:dyDescent="0.2">
      <c r="A48" s="121">
        <v>42</v>
      </c>
      <c r="B48" s="122" t="s">
        <v>23</v>
      </c>
      <c r="C48" s="122" t="s">
        <v>24</v>
      </c>
      <c r="D48" s="122" t="s">
        <v>25</v>
      </c>
      <c r="E48" s="123">
        <v>5000</v>
      </c>
      <c r="F48" s="124">
        <v>590.1</v>
      </c>
      <c r="G48" s="125">
        <v>5.9318299999999999E-3</v>
      </c>
      <c r="H48" s="120" t="s">
        <v>151</v>
      </c>
      <c r="J48" s="8"/>
    </row>
    <row r="49" spans="1:10" x14ac:dyDescent="0.2">
      <c r="A49" s="121">
        <v>43</v>
      </c>
      <c r="B49" s="122" t="s">
        <v>312</v>
      </c>
      <c r="C49" s="122" t="s">
        <v>313</v>
      </c>
      <c r="D49" s="122" t="s">
        <v>270</v>
      </c>
      <c r="E49" s="123">
        <v>573108</v>
      </c>
      <c r="F49" s="124">
        <v>570.93018959999995</v>
      </c>
      <c r="G49" s="125">
        <v>5.7391300000000003E-3</v>
      </c>
      <c r="H49" s="120" t="s">
        <v>151</v>
      </c>
      <c r="J49" s="8"/>
    </row>
    <row r="50" spans="1:10" x14ac:dyDescent="0.2">
      <c r="A50" s="121">
        <v>44</v>
      </c>
      <c r="B50" s="122" t="s">
        <v>126</v>
      </c>
      <c r="C50" s="122" t="s">
        <v>127</v>
      </c>
      <c r="D50" s="122" t="s">
        <v>55</v>
      </c>
      <c r="E50" s="123">
        <v>83000</v>
      </c>
      <c r="F50" s="124">
        <v>568.46699999999998</v>
      </c>
      <c r="G50" s="125">
        <v>5.7143699999999999E-3</v>
      </c>
      <c r="H50" s="120" t="s">
        <v>151</v>
      </c>
      <c r="J50" s="8"/>
    </row>
    <row r="51" spans="1:10" x14ac:dyDescent="0.2">
      <c r="A51" s="121">
        <v>45</v>
      </c>
      <c r="B51" s="122" t="s">
        <v>710</v>
      </c>
      <c r="C51" s="122" t="s">
        <v>711</v>
      </c>
      <c r="D51" s="122" t="s">
        <v>295</v>
      </c>
      <c r="E51" s="123">
        <v>78100</v>
      </c>
      <c r="F51" s="124">
        <v>560.75800000000004</v>
      </c>
      <c r="G51" s="125">
        <v>5.6368700000000004E-3</v>
      </c>
      <c r="H51" s="120" t="s">
        <v>151</v>
      </c>
      <c r="J51" s="8"/>
    </row>
    <row r="52" spans="1:10" ht="25.5" x14ac:dyDescent="0.2">
      <c r="A52" s="121">
        <v>46</v>
      </c>
      <c r="B52" s="122" t="s">
        <v>465</v>
      </c>
      <c r="C52" s="122" t="s">
        <v>466</v>
      </c>
      <c r="D52" s="122" t="s">
        <v>205</v>
      </c>
      <c r="E52" s="123">
        <v>30000</v>
      </c>
      <c r="F52" s="124">
        <v>496.23</v>
      </c>
      <c r="G52" s="125">
        <v>4.9882199999999998E-3</v>
      </c>
      <c r="H52" s="120" t="s">
        <v>151</v>
      </c>
      <c r="J52" s="8"/>
    </row>
    <row r="53" spans="1:10" x14ac:dyDescent="0.2">
      <c r="A53" s="121">
        <v>47</v>
      </c>
      <c r="B53" s="122" t="s">
        <v>128</v>
      </c>
      <c r="C53" s="122" t="s">
        <v>129</v>
      </c>
      <c r="D53" s="122" t="s">
        <v>70</v>
      </c>
      <c r="E53" s="123">
        <v>12000</v>
      </c>
      <c r="F53" s="124">
        <v>469.64400000000001</v>
      </c>
      <c r="G53" s="125">
        <v>4.7209699999999997E-3</v>
      </c>
      <c r="H53" s="120" t="s">
        <v>151</v>
      </c>
      <c r="J53" s="8"/>
    </row>
    <row r="54" spans="1:10" x14ac:dyDescent="0.2">
      <c r="A54" s="121">
        <v>48</v>
      </c>
      <c r="B54" s="122" t="s">
        <v>388</v>
      </c>
      <c r="C54" s="122" t="s">
        <v>389</v>
      </c>
      <c r="D54" s="122" t="s">
        <v>35</v>
      </c>
      <c r="E54" s="123">
        <v>12000</v>
      </c>
      <c r="F54" s="124">
        <v>458.87400000000002</v>
      </c>
      <c r="G54" s="125">
        <v>4.6127099999999999E-3</v>
      </c>
      <c r="H54" s="120" t="s">
        <v>151</v>
      </c>
      <c r="J54" s="8"/>
    </row>
    <row r="55" spans="1:10" ht="25.5" x14ac:dyDescent="0.2">
      <c r="A55" s="121">
        <v>49</v>
      </c>
      <c r="B55" s="122" t="s">
        <v>649</v>
      </c>
      <c r="C55" s="122" t="s">
        <v>650</v>
      </c>
      <c r="D55" s="122" t="s">
        <v>651</v>
      </c>
      <c r="E55" s="123">
        <v>12600</v>
      </c>
      <c r="F55" s="124">
        <v>395.11709999999999</v>
      </c>
      <c r="G55" s="125">
        <v>3.9718100000000001E-3</v>
      </c>
      <c r="H55" s="120" t="s">
        <v>151</v>
      </c>
      <c r="J55" s="8"/>
    </row>
    <row r="56" spans="1:10" x14ac:dyDescent="0.2">
      <c r="A56" s="121">
        <v>50</v>
      </c>
      <c r="B56" s="122" t="s">
        <v>17</v>
      </c>
      <c r="C56" s="122" t="s">
        <v>18</v>
      </c>
      <c r="D56" s="122" t="s">
        <v>19</v>
      </c>
      <c r="E56" s="123">
        <v>88500</v>
      </c>
      <c r="F56" s="124">
        <v>392.23200000000003</v>
      </c>
      <c r="G56" s="125">
        <v>3.9428099999999997E-3</v>
      </c>
      <c r="H56" s="120" t="s">
        <v>151</v>
      </c>
      <c r="J56" s="8"/>
    </row>
    <row r="57" spans="1:10" ht="25.5" x14ac:dyDescent="0.2">
      <c r="A57" s="121">
        <v>51</v>
      </c>
      <c r="B57" s="122" t="s">
        <v>91</v>
      </c>
      <c r="C57" s="122" t="s">
        <v>92</v>
      </c>
      <c r="D57" s="122" t="s">
        <v>93</v>
      </c>
      <c r="E57" s="123">
        <v>23000</v>
      </c>
      <c r="F57" s="124">
        <v>333.08600000000001</v>
      </c>
      <c r="G57" s="125">
        <v>3.34826E-3</v>
      </c>
      <c r="H57" s="120" t="s">
        <v>151</v>
      </c>
      <c r="J57" s="8"/>
    </row>
    <row r="58" spans="1:10" x14ac:dyDescent="0.2">
      <c r="A58" s="121">
        <v>52</v>
      </c>
      <c r="B58" s="122" t="s">
        <v>656</v>
      </c>
      <c r="C58" s="122" t="s">
        <v>657</v>
      </c>
      <c r="D58" s="122" t="s">
        <v>658</v>
      </c>
      <c r="E58" s="123">
        <v>64400</v>
      </c>
      <c r="F58" s="124">
        <v>330.14659999999998</v>
      </c>
      <c r="G58" s="125">
        <v>3.3187099999999999E-3</v>
      </c>
      <c r="H58" s="120" t="s">
        <v>151</v>
      </c>
      <c r="J58" s="8"/>
    </row>
    <row r="59" spans="1:10" x14ac:dyDescent="0.2">
      <c r="A59" s="121">
        <v>53</v>
      </c>
      <c r="B59" s="122" t="s">
        <v>652</v>
      </c>
      <c r="C59" s="122" t="s">
        <v>653</v>
      </c>
      <c r="D59" s="122" t="s">
        <v>45</v>
      </c>
      <c r="E59" s="123">
        <v>35475</v>
      </c>
      <c r="F59" s="124">
        <v>317.5544625</v>
      </c>
      <c r="G59" s="125">
        <v>3.1921300000000001E-3</v>
      </c>
      <c r="H59" s="120" t="s">
        <v>151</v>
      </c>
      <c r="J59" s="8"/>
    </row>
    <row r="60" spans="1:10" ht="25.5" x14ac:dyDescent="0.2">
      <c r="A60" s="121">
        <v>54</v>
      </c>
      <c r="B60" s="122" t="s">
        <v>712</v>
      </c>
      <c r="C60" s="122" t="s">
        <v>713</v>
      </c>
      <c r="D60" s="122" t="s">
        <v>25</v>
      </c>
      <c r="E60" s="123">
        <v>15869</v>
      </c>
      <c r="F60" s="124">
        <v>306.77950800000002</v>
      </c>
      <c r="G60" s="125">
        <v>3.0838200000000001E-3</v>
      </c>
      <c r="H60" s="120" t="s">
        <v>151</v>
      </c>
      <c r="J60" s="8"/>
    </row>
    <row r="61" spans="1:10" x14ac:dyDescent="0.2">
      <c r="A61" s="121">
        <v>55</v>
      </c>
      <c r="B61" s="122" t="s">
        <v>130</v>
      </c>
      <c r="C61" s="122" t="s">
        <v>131</v>
      </c>
      <c r="D61" s="122" t="s">
        <v>55</v>
      </c>
      <c r="E61" s="123">
        <v>3785</v>
      </c>
      <c r="F61" s="124">
        <v>304.88175000000001</v>
      </c>
      <c r="G61" s="125">
        <v>3.0647399999999998E-3</v>
      </c>
      <c r="H61" s="120" t="s">
        <v>151</v>
      </c>
      <c r="J61" s="8"/>
    </row>
    <row r="62" spans="1:10" x14ac:dyDescent="0.2">
      <c r="A62" s="121">
        <v>56</v>
      </c>
      <c r="B62" s="122" t="s">
        <v>543</v>
      </c>
      <c r="C62" s="122" t="s">
        <v>544</v>
      </c>
      <c r="D62" s="122" t="s">
        <v>261</v>
      </c>
      <c r="E62" s="123">
        <v>18200</v>
      </c>
      <c r="F62" s="124">
        <v>289.36180000000002</v>
      </c>
      <c r="G62" s="125">
        <v>2.90873E-3</v>
      </c>
      <c r="H62" s="120" t="s">
        <v>151</v>
      </c>
      <c r="J62" s="8"/>
    </row>
    <row r="63" spans="1:10" x14ac:dyDescent="0.2">
      <c r="A63" s="121">
        <v>57</v>
      </c>
      <c r="B63" s="122" t="s">
        <v>545</v>
      </c>
      <c r="C63" s="122" t="s">
        <v>546</v>
      </c>
      <c r="D63" s="122" t="s">
        <v>270</v>
      </c>
      <c r="E63" s="123">
        <v>2250</v>
      </c>
      <c r="F63" s="124">
        <v>277.78387500000002</v>
      </c>
      <c r="G63" s="125">
        <v>2.7923499999999999E-3</v>
      </c>
      <c r="H63" s="120" t="s">
        <v>151</v>
      </c>
      <c r="J63" s="8"/>
    </row>
    <row r="64" spans="1:10" x14ac:dyDescent="0.2">
      <c r="A64" s="121">
        <v>58</v>
      </c>
      <c r="B64" s="122" t="s">
        <v>714</v>
      </c>
      <c r="C64" s="122" t="s">
        <v>715</v>
      </c>
      <c r="D64" s="122" t="s">
        <v>395</v>
      </c>
      <c r="E64" s="123">
        <v>23000</v>
      </c>
      <c r="F64" s="124">
        <v>253.72450000000001</v>
      </c>
      <c r="G64" s="125">
        <v>2.5504999999999998E-3</v>
      </c>
      <c r="H64" s="120" t="s">
        <v>151</v>
      </c>
      <c r="J64" s="8"/>
    </row>
    <row r="65" spans="1:10" x14ac:dyDescent="0.2">
      <c r="A65" s="121">
        <v>59</v>
      </c>
      <c r="B65" s="122" t="s">
        <v>678</v>
      </c>
      <c r="C65" s="122" t="s">
        <v>679</v>
      </c>
      <c r="D65" s="122" t="s">
        <v>121</v>
      </c>
      <c r="E65" s="123">
        <v>12500</v>
      </c>
      <c r="F65" s="124">
        <v>246.67500000000001</v>
      </c>
      <c r="G65" s="125">
        <v>2.47964E-3</v>
      </c>
      <c r="H65" s="120" t="s">
        <v>151</v>
      </c>
      <c r="J65" s="8"/>
    </row>
    <row r="66" spans="1:10" ht="25.5" x14ac:dyDescent="0.2">
      <c r="A66" s="121">
        <v>60</v>
      </c>
      <c r="B66" s="122" t="s">
        <v>306</v>
      </c>
      <c r="C66" s="122" t="s">
        <v>307</v>
      </c>
      <c r="D66" s="122" t="s">
        <v>25</v>
      </c>
      <c r="E66" s="123">
        <v>8700</v>
      </c>
      <c r="F66" s="124">
        <v>218.67015000000001</v>
      </c>
      <c r="G66" s="125">
        <v>2.19813E-3</v>
      </c>
      <c r="H66" s="120" t="s">
        <v>151</v>
      </c>
      <c r="J66" s="8"/>
    </row>
    <row r="67" spans="1:10" x14ac:dyDescent="0.2">
      <c r="A67" s="121">
        <v>61</v>
      </c>
      <c r="B67" s="122" t="s">
        <v>716</v>
      </c>
      <c r="C67" s="122" t="s">
        <v>717</v>
      </c>
      <c r="D67" s="122" t="s">
        <v>134</v>
      </c>
      <c r="E67" s="123">
        <v>19575</v>
      </c>
      <c r="F67" s="124">
        <v>201.63228749999999</v>
      </c>
      <c r="G67" s="125">
        <v>2.0268600000000001E-3</v>
      </c>
      <c r="H67" s="120" t="s">
        <v>151</v>
      </c>
      <c r="J67" s="8"/>
    </row>
    <row r="68" spans="1:10" x14ac:dyDescent="0.2">
      <c r="A68" s="121">
        <v>62</v>
      </c>
      <c r="B68" s="122" t="s">
        <v>661</v>
      </c>
      <c r="C68" s="122" t="s">
        <v>662</v>
      </c>
      <c r="D68" s="122" t="s">
        <v>48</v>
      </c>
      <c r="E68" s="123">
        <v>97000</v>
      </c>
      <c r="F68" s="124">
        <v>107.9901</v>
      </c>
      <c r="G68" s="125">
        <v>1.0855400000000001E-3</v>
      </c>
      <c r="H68" s="120" t="s">
        <v>151</v>
      </c>
      <c r="J68" s="8"/>
    </row>
    <row r="69" spans="1:10" x14ac:dyDescent="0.2">
      <c r="A69" s="121">
        <v>63</v>
      </c>
      <c r="B69" s="122" t="s">
        <v>366</v>
      </c>
      <c r="C69" s="122" t="s">
        <v>367</v>
      </c>
      <c r="D69" s="122" t="s">
        <v>368</v>
      </c>
      <c r="E69" s="123">
        <v>17600</v>
      </c>
      <c r="F69" s="124">
        <v>91.194400000000002</v>
      </c>
      <c r="G69" s="125">
        <v>9.1671000000000005E-4</v>
      </c>
      <c r="H69" s="120" t="s">
        <v>151</v>
      </c>
      <c r="J69" s="8"/>
    </row>
    <row r="70" spans="1:10" ht="25.5" x14ac:dyDescent="0.2">
      <c r="A70" s="121">
        <v>64</v>
      </c>
      <c r="B70" s="122" t="s">
        <v>113</v>
      </c>
      <c r="C70" s="122" t="s">
        <v>114</v>
      </c>
      <c r="D70" s="122" t="s">
        <v>25</v>
      </c>
      <c r="E70" s="123">
        <v>9000</v>
      </c>
      <c r="F70" s="124">
        <v>56.929499999999997</v>
      </c>
      <c r="G70" s="125">
        <v>5.7227000000000005E-4</v>
      </c>
      <c r="H70" s="120" t="s">
        <v>151</v>
      </c>
      <c r="J70" s="8"/>
    </row>
    <row r="71" spans="1:10" x14ac:dyDescent="0.2">
      <c r="A71" s="121">
        <v>65</v>
      </c>
      <c r="B71" s="122" t="s">
        <v>718</v>
      </c>
      <c r="C71" s="122" t="s">
        <v>719</v>
      </c>
      <c r="D71" s="122" t="s">
        <v>35</v>
      </c>
      <c r="E71" s="123">
        <v>1200</v>
      </c>
      <c r="F71" s="124">
        <v>39.949199999999998</v>
      </c>
      <c r="G71" s="125">
        <v>4.0158000000000001E-4</v>
      </c>
      <c r="H71" s="120" t="s">
        <v>151</v>
      </c>
      <c r="J71" s="8"/>
    </row>
    <row r="72" spans="1:10" x14ac:dyDescent="0.2">
      <c r="A72" s="121">
        <v>66</v>
      </c>
      <c r="B72" s="122" t="s">
        <v>328</v>
      </c>
      <c r="C72" s="122" t="s">
        <v>329</v>
      </c>
      <c r="D72" s="122" t="s">
        <v>70</v>
      </c>
      <c r="E72" s="123">
        <v>500</v>
      </c>
      <c r="F72" s="124">
        <v>7.5830000000000002</v>
      </c>
      <c r="G72" s="125">
        <v>7.6229999999999994E-5</v>
      </c>
      <c r="H72" s="120" t="s">
        <v>151</v>
      </c>
      <c r="J72" s="8"/>
    </row>
    <row r="73" spans="1:10" x14ac:dyDescent="0.2">
      <c r="A73" s="118"/>
      <c r="B73" s="118"/>
      <c r="C73" s="119" t="s">
        <v>150</v>
      </c>
      <c r="D73" s="118"/>
      <c r="E73" s="118" t="s">
        <v>151</v>
      </c>
      <c r="F73" s="126">
        <v>75944.523138599994</v>
      </c>
      <c r="G73" s="127">
        <v>0.76341250000000005</v>
      </c>
      <c r="H73" s="120" t="s">
        <v>151</v>
      </c>
      <c r="J73" s="8"/>
    </row>
    <row r="74" spans="1:10" x14ac:dyDescent="0.2">
      <c r="A74" s="118"/>
      <c r="B74" s="118"/>
      <c r="C74" s="128"/>
      <c r="D74" s="118"/>
      <c r="E74" s="118"/>
      <c r="F74" s="129"/>
      <c r="G74" s="129"/>
      <c r="H74" s="120" t="s">
        <v>151</v>
      </c>
      <c r="J74" s="8"/>
    </row>
    <row r="75" spans="1:10" x14ac:dyDescent="0.2">
      <c r="A75" s="118"/>
      <c r="B75" s="118"/>
      <c r="C75" s="119" t="s">
        <v>152</v>
      </c>
      <c r="D75" s="118"/>
      <c r="E75" s="118"/>
      <c r="F75" s="118"/>
      <c r="G75" s="118"/>
      <c r="H75" s="120" t="s">
        <v>151</v>
      </c>
      <c r="J75" s="8"/>
    </row>
    <row r="76" spans="1:10" x14ac:dyDescent="0.2">
      <c r="A76" s="118"/>
      <c r="B76" s="118"/>
      <c r="C76" s="119" t="s">
        <v>150</v>
      </c>
      <c r="D76" s="118"/>
      <c r="E76" s="118" t="s">
        <v>151</v>
      </c>
      <c r="F76" s="130" t="s">
        <v>153</v>
      </c>
      <c r="G76" s="127">
        <v>0</v>
      </c>
      <c r="H76" s="120" t="s">
        <v>151</v>
      </c>
      <c r="J76" s="8"/>
    </row>
    <row r="77" spans="1:10" x14ac:dyDescent="0.2">
      <c r="A77" s="118"/>
      <c r="B77" s="118"/>
      <c r="C77" s="128"/>
      <c r="D77" s="118"/>
      <c r="E77" s="118"/>
      <c r="F77" s="129"/>
      <c r="G77" s="129"/>
      <c r="H77" s="120" t="s">
        <v>151</v>
      </c>
      <c r="J77" s="8"/>
    </row>
    <row r="78" spans="1:10" x14ac:dyDescent="0.2">
      <c r="A78" s="118"/>
      <c r="B78" s="118"/>
      <c r="C78" s="119" t="s">
        <v>154</v>
      </c>
      <c r="D78" s="118"/>
      <c r="E78" s="118"/>
      <c r="F78" s="118"/>
      <c r="G78" s="118"/>
      <c r="H78" s="120" t="s">
        <v>151</v>
      </c>
      <c r="J78" s="8"/>
    </row>
    <row r="79" spans="1:10" x14ac:dyDescent="0.2">
      <c r="A79" s="118"/>
      <c r="B79" s="118"/>
      <c r="C79" s="119" t="s">
        <v>150</v>
      </c>
      <c r="D79" s="118"/>
      <c r="E79" s="118" t="s">
        <v>151</v>
      </c>
      <c r="F79" s="130" t="s">
        <v>153</v>
      </c>
      <c r="G79" s="127">
        <v>0</v>
      </c>
      <c r="H79" s="120" t="s">
        <v>151</v>
      </c>
      <c r="J79" s="8"/>
    </row>
    <row r="80" spans="1:10" x14ac:dyDescent="0.2">
      <c r="A80" s="118"/>
      <c r="B80" s="118"/>
      <c r="C80" s="128"/>
      <c r="D80" s="118"/>
      <c r="E80" s="118"/>
      <c r="F80" s="129"/>
      <c r="G80" s="129"/>
      <c r="H80" s="120" t="s">
        <v>151</v>
      </c>
      <c r="J80" s="8"/>
    </row>
    <row r="81" spans="1:10" x14ac:dyDescent="0.2">
      <c r="A81" s="118"/>
      <c r="B81" s="118"/>
      <c r="C81" s="119" t="s">
        <v>155</v>
      </c>
      <c r="D81" s="118"/>
      <c r="E81" s="118"/>
      <c r="F81" s="118"/>
      <c r="G81" s="118"/>
      <c r="H81" s="120" t="s">
        <v>151</v>
      </c>
      <c r="J81" s="8"/>
    </row>
    <row r="82" spans="1:10" x14ac:dyDescent="0.2">
      <c r="A82" s="118"/>
      <c r="B82" s="118"/>
      <c r="C82" s="119" t="s">
        <v>150</v>
      </c>
      <c r="D82" s="118"/>
      <c r="E82" s="118" t="s">
        <v>151</v>
      </c>
      <c r="F82" s="130" t="s">
        <v>153</v>
      </c>
      <c r="G82" s="127">
        <v>0</v>
      </c>
      <c r="H82" s="120" t="s">
        <v>151</v>
      </c>
      <c r="J82" s="8"/>
    </row>
    <row r="83" spans="1:10" x14ac:dyDescent="0.2">
      <c r="A83" s="118"/>
      <c r="B83" s="118"/>
      <c r="C83" s="128"/>
      <c r="D83" s="118"/>
      <c r="E83" s="118"/>
      <c r="F83" s="129"/>
      <c r="G83" s="129"/>
      <c r="H83" s="120" t="s">
        <v>151</v>
      </c>
      <c r="J83" s="8"/>
    </row>
    <row r="84" spans="1:10" x14ac:dyDescent="0.2">
      <c r="A84" s="118"/>
      <c r="B84" s="118"/>
      <c r="C84" s="119" t="s">
        <v>156</v>
      </c>
      <c r="D84" s="118"/>
      <c r="E84" s="118"/>
      <c r="F84" s="129"/>
      <c r="G84" s="129"/>
      <c r="H84" s="120" t="s">
        <v>151</v>
      </c>
      <c r="J84" s="8"/>
    </row>
    <row r="85" spans="1:10" x14ac:dyDescent="0.2">
      <c r="A85" s="118"/>
      <c r="B85" s="118"/>
      <c r="C85" s="119" t="s">
        <v>150</v>
      </c>
      <c r="D85" s="118"/>
      <c r="E85" s="118" t="s">
        <v>151</v>
      </c>
      <c r="F85" s="130" t="s">
        <v>153</v>
      </c>
      <c r="G85" s="127">
        <v>0</v>
      </c>
      <c r="H85" s="120" t="s">
        <v>151</v>
      </c>
      <c r="J85" s="8"/>
    </row>
    <row r="86" spans="1:10" x14ac:dyDescent="0.2">
      <c r="A86" s="118"/>
      <c r="B86" s="118"/>
      <c r="C86" s="128"/>
      <c r="D86" s="118"/>
      <c r="E86" s="118"/>
      <c r="F86" s="129"/>
      <c r="G86" s="129"/>
      <c r="H86" s="120" t="s">
        <v>151</v>
      </c>
      <c r="J86" s="8"/>
    </row>
    <row r="87" spans="1:10" x14ac:dyDescent="0.2">
      <c r="A87" s="118"/>
      <c r="B87" s="118"/>
      <c r="C87" s="119" t="s">
        <v>157</v>
      </c>
      <c r="D87" s="118"/>
      <c r="E87" s="118"/>
      <c r="F87" s="129"/>
      <c r="G87" s="129"/>
      <c r="H87" s="120" t="s">
        <v>151</v>
      </c>
      <c r="J87" s="8"/>
    </row>
    <row r="88" spans="1:10" x14ac:dyDescent="0.2">
      <c r="A88" s="121">
        <v>1</v>
      </c>
      <c r="B88" s="122"/>
      <c r="C88" s="122" t="s">
        <v>995</v>
      </c>
      <c r="D88" s="122" t="s">
        <v>667</v>
      </c>
      <c r="E88" s="123">
        <v>-500</v>
      </c>
      <c r="F88" s="124">
        <v>-7.6487499999999997</v>
      </c>
      <c r="G88" s="125">
        <v>-7.688706099983711E-5</v>
      </c>
      <c r="H88" s="120" t="s">
        <v>151</v>
      </c>
      <c r="J88" s="8"/>
    </row>
    <row r="89" spans="1:10" x14ac:dyDescent="0.2">
      <c r="A89" s="121">
        <v>2</v>
      </c>
      <c r="B89" s="122"/>
      <c r="C89" s="122" t="s">
        <v>971</v>
      </c>
      <c r="D89" s="122" t="s">
        <v>667</v>
      </c>
      <c r="E89" s="123">
        <v>-9000</v>
      </c>
      <c r="F89" s="124">
        <v>-57.258000000000003</v>
      </c>
      <c r="G89" s="125">
        <v>-5.7557108530526869E-4</v>
      </c>
      <c r="H89" s="120" t="s">
        <v>151</v>
      </c>
      <c r="J89" s="8"/>
    </row>
    <row r="90" spans="1:10" x14ac:dyDescent="0.2">
      <c r="A90" s="121">
        <v>3</v>
      </c>
      <c r="B90" s="122"/>
      <c r="C90" s="122" t="s">
        <v>948</v>
      </c>
      <c r="D90" s="122" t="s">
        <v>667</v>
      </c>
      <c r="E90" s="123">
        <v>-17600</v>
      </c>
      <c r="F90" s="124">
        <v>-91.9512</v>
      </c>
      <c r="G90" s="125">
        <v>-9.2431541407527015E-4</v>
      </c>
      <c r="H90" s="120" t="s">
        <v>151</v>
      </c>
      <c r="J90" s="8"/>
    </row>
    <row r="91" spans="1:10" x14ac:dyDescent="0.2">
      <c r="A91" s="121">
        <v>4</v>
      </c>
      <c r="B91" s="122"/>
      <c r="C91" s="122" t="s">
        <v>996</v>
      </c>
      <c r="D91" s="122" t="s">
        <v>667</v>
      </c>
      <c r="E91" s="123">
        <v>-19575</v>
      </c>
      <c r="F91" s="124">
        <v>-202.75784999999999</v>
      </c>
      <c r="G91" s="125">
        <v>-2.0381703129460139E-3</v>
      </c>
      <c r="H91" s="120" t="s">
        <v>151</v>
      </c>
      <c r="J91" s="8"/>
    </row>
    <row r="92" spans="1:10" x14ac:dyDescent="0.2">
      <c r="A92" s="121">
        <v>5</v>
      </c>
      <c r="B92" s="122"/>
      <c r="C92" s="122" t="s">
        <v>947</v>
      </c>
      <c r="D92" s="122" t="s">
        <v>667</v>
      </c>
      <c r="E92" s="123">
        <v>-8700</v>
      </c>
      <c r="F92" s="124">
        <v>-220.17089999999999</v>
      </c>
      <c r="G92" s="125">
        <v>-2.2132104485947427E-3</v>
      </c>
      <c r="H92" s="120" t="s">
        <v>151</v>
      </c>
      <c r="J92" s="8"/>
    </row>
    <row r="93" spans="1:10" x14ac:dyDescent="0.2">
      <c r="A93" s="121">
        <v>6</v>
      </c>
      <c r="B93" s="122"/>
      <c r="C93" s="122" t="s">
        <v>981</v>
      </c>
      <c r="D93" s="122" t="s">
        <v>667</v>
      </c>
      <c r="E93" s="123">
        <v>-12500</v>
      </c>
      <c r="F93" s="124">
        <v>-248.7</v>
      </c>
      <c r="G93" s="125">
        <v>-2.4999917725980702E-3</v>
      </c>
      <c r="H93" s="120" t="s">
        <v>151</v>
      </c>
      <c r="J93" s="8"/>
    </row>
    <row r="94" spans="1:10" x14ac:dyDescent="0.2">
      <c r="A94" s="121">
        <v>7</v>
      </c>
      <c r="B94" s="122"/>
      <c r="C94" s="122" t="s">
        <v>997</v>
      </c>
      <c r="D94" s="122" t="s">
        <v>667</v>
      </c>
      <c r="E94" s="123">
        <v>-12950</v>
      </c>
      <c r="F94" s="124">
        <v>-251.34655000000001</v>
      </c>
      <c r="G94" s="125">
        <v>-2.5265955250137096E-3</v>
      </c>
      <c r="H94" s="120" t="s">
        <v>151</v>
      </c>
      <c r="J94" s="8"/>
    </row>
    <row r="95" spans="1:10" x14ac:dyDescent="0.2">
      <c r="A95" s="121">
        <v>8</v>
      </c>
      <c r="B95" s="122"/>
      <c r="C95" s="122" t="s">
        <v>998</v>
      </c>
      <c r="D95" s="122" t="s">
        <v>667</v>
      </c>
      <c r="E95" s="123">
        <v>-2250</v>
      </c>
      <c r="F95" s="124">
        <v>-280.16437500000001</v>
      </c>
      <c r="G95" s="125">
        <v>-2.8162791816448754E-3</v>
      </c>
      <c r="H95" s="120" t="s">
        <v>151</v>
      </c>
      <c r="J95" s="8"/>
    </row>
    <row r="96" spans="1:10" x14ac:dyDescent="0.2">
      <c r="A96" s="121">
        <v>9</v>
      </c>
      <c r="B96" s="122"/>
      <c r="C96" s="122" t="s">
        <v>999</v>
      </c>
      <c r="D96" s="122" t="s">
        <v>667</v>
      </c>
      <c r="E96" s="123">
        <v>-18200</v>
      </c>
      <c r="F96" s="124">
        <v>-291.93709999999999</v>
      </c>
      <c r="G96" s="125">
        <v>-2.9346214238686777E-3</v>
      </c>
      <c r="H96" s="120" t="s">
        <v>151</v>
      </c>
      <c r="J96" s="8"/>
    </row>
    <row r="97" spans="1:10" x14ac:dyDescent="0.2">
      <c r="A97" s="121">
        <v>10</v>
      </c>
      <c r="B97" s="122"/>
      <c r="C97" s="122" t="s">
        <v>969</v>
      </c>
      <c r="D97" s="122" t="s">
        <v>667</v>
      </c>
      <c r="E97" s="123">
        <v>-35475</v>
      </c>
      <c r="F97" s="124">
        <v>-319.62975</v>
      </c>
      <c r="G97" s="125">
        <v>-3.2129945527847935E-3</v>
      </c>
      <c r="H97" s="120" t="s">
        <v>151</v>
      </c>
      <c r="J97" s="8"/>
    </row>
    <row r="98" spans="1:10" x14ac:dyDescent="0.2">
      <c r="A98" s="121">
        <v>11</v>
      </c>
      <c r="B98" s="122"/>
      <c r="C98" s="122" t="s">
        <v>967</v>
      </c>
      <c r="D98" s="122" t="s">
        <v>667</v>
      </c>
      <c r="E98" s="123">
        <v>-64400</v>
      </c>
      <c r="F98" s="124">
        <v>-329.66359999999997</v>
      </c>
      <c r="G98" s="125">
        <v>-3.3138572083838409E-3</v>
      </c>
      <c r="H98" s="120" t="s">
        <v>151</v>
      </c>
      <c r="J98" s="8"/>
    </row>
    <row r="99" spans="1:10" x14ac:dyDescent="0.2">
      <c r="A99" s="121">
        <v>12</v>
      </c>
      <c r="B99" s="122"/>
      <c r="C99" s="122" t="s">
        <v>950</v>
      </c>
      <c r="D99" s="122" t="s">
        <v>667</v>
      </c>
      <c r="E99" s="123">
        <v>-88500</v>
      </c>
      <c r="F99" s="124">
        <v>-394.48874999999998</v>
      </c>
      <c r="G99" s="125">
        <v>-3.9654950920084316E-3</v>
      </c>
      <c r="H99" s="120" t="s">
        <v>151</v>
      </c>
      <c r="J99" s="8"/>
    </row>
    <row r="100" spans="1:10" x14ac:dyDescent="0.2">
      <c r="A100" s="121">
        <v>13</v>
      </c>
      <c r="B100" s="122"/>
      <c r="C100" s="122" t="s">
        <v>970</v>
      </c>
      <c r="D100" s="122" t="s">
        <v>667</v>
      </c>
      <c r="E100" s="123">
        <v>-12600</v>
      </c>
      <c r="F100" s="124">
        <v>-397.54259999999999</v>
      </c>
      <c r="G100" s="125">
        <v>-3.9961931212595322E-3</v>
      </c>
      <c r="H100" s="120" t="s">
        <v>151</v>
      </c>
      <c r="J100" s="8"/>
    </row>
    <row r="101" spans="1:10" x14ac:dyDescent="0.2">
      <c r="A101" s="121">
        <v>14</v>
      </c>
      <c r="B101" s="122"/>
      <c r="C101" s="122" t="s">
        <v>1000</v>
      </c>
      <c r="D101" s="122" t="s">
        <v>667</v>
      </c>
      <c r="E101" s="123">
        <v>-10500</v>
      </c>
      <c r="F101" s="124">
        <v>-506.80874999999997</v>
      </c>
      <c r="G101" s="125">
        <v>-5.0945625463639415E-3</v>
      </c>
      <c r="H101" s="120" t="s">
        <v>151</v>
      </c>
      <c r="J101" s="8"/>
    </row>
    <row r="102" spans="1:10" x14ac:dyDescent="0.2">
      <c r="A102" s="121">
        <v>15</v>
      </c>
      <c r="B102" s="122"/>
      <c r="C102" s="122" t="s">
        <v>1001</v>
      </c>
      <c r="D102" s="122" t="s">
        <v>667</v>
      </c>
      <c r="E102" s="123">
        <v>-78100</v>
      </c>
      <c r="F102" s="124">
        <v>-565.48305000000005</v>
      </c>
      <c r="G102" s="125">
        <v>-5.6843706173850556E-3</v>
      </c>
      <c r="H102" s="120" t="s">
        <v>151</v>
      </c>
      <c r="J102" s="8"/>
    </row>
    <row r="103" spans="1:10" x14ac:dyDescent="0.2">
      <c r="A103" s="121">
        <v>16</v>
      </c>
      <c r="B103" s="122"/>
      <c r="C103" s="122" t="s">
        <v>974</v>
      </c>
      <c r="D103" s="122" t="s">
        <v>667</v>
      </c>
      <c r="E103" s="123">
        <v>-33550</v>
      </c>
      <c r="F103" s="124">
        <v>-585.88364999999999</v>
      </c>
      <c r="G103" s="125">
        <v>-5.8894423188569659E-3</v>
      </c>
      <c r="H103" s="120" t="s">
        <v>151</v>
      </c>
      <c r="J103" s="8"/>
    </row>
    <row r="104" spans="1:10" x14ac:dyDescent="0.2">
      <c r="A104" s="121">
        <v>17</v>
      </c>
      <c r="B104" s="122"/>
      <c r="C104" s="122" t="s">
        <v>959</v>
      </c>
      <c r="D104" s="122" t="s">
        <v>667</v>
      </c>
      <c r="E104" s="123">
        <v>-44000</v>
      </c>
      <c r="F104" s="124">
        <v>-646.822</v>
      </c>
      <c r="G104" s="125">
        <v>-6.5020091609788062E-3</v>
      </c>
      <c r="H104" s="120" t="s">
        <v>151</v>
      </c>
      <c r="J104" s="8"/>
    </row>
    <row r="105" spans="1:10" x14ac:dyDescent="0.2">
      <c r="A105" s="121">
        <v>18</v>
      </c>
      <c r="B105" s="122"/>
      <c r="C105" s="122" t="s">
        <v>956</v>
      </c>
      <c r="D105" s="122" t="s">
        <v>667</v>
      </c>
      <c r="E105" s="123">
        <v>-23250</v>
      </c>
      <c r="F105" s="124">
        <v>-861.48225000000002</v>
      </c>
      <c r="G105" s="125">
        <v>-8.6598252402061687E-3</v>
      </c>
      <c r="H105" s="120" t="s">
        <v>151</v>
      </c>
      <c r="J105" s="8"/>
    </row>
    <row r="106" spans="1:10" x14ac:dyDescent="0.2">
      <c r="A106" s="121">
        <v>19</v>
      </c>
      <c r="B106" s="122"/>
      <c r="C106" s="122" t="s">
        <v>966</v>
      </c>
      <c r="D106" s="122" t="s">
        <v>667</v>
      </c>
      <c r="E106" s="123">
        <v>-406575</v>
      </c>
      <c r="F106" s="124">
        <v>-1012.5750375</v>
      </c>
      <c r="G106" s="125">
        <v>-1.0178646010808937E-2</v>
      </c>
      <c r="H106" s="120" t="s">
        <v>151</v>
      </c>
      <c r="J106" s="8"/>
    </row>
    <row r="107" spans="1:10" x14ac:dyDescent="0.2">
      <c r="A107" s="121">
        <v>20</v>
      </c>
      <c r="B107" s="122"/>
      <c r="C107" s="122" t="s">
        <v>1002</v>
      </c>
      <c r="D107" s="122" t="s">
        <v>667</v>
      </c>
      <c r="E107" s="123">
        <v>-230850</v>
      </c>
      <c r="F107" s="124">
        <v>-1023.1272</v>
      </c>
      <c r="G107" s="125">
        <v>-1.028471886739566E-2</v>
      </c>
      <c r="H107" s="120" t="s">
        <v>151</v>
      </c>
      <c r="J107" s="8"/>
    </row>
    <row r="108" spans="1:10" x14ac:dyDescent="0.2">
      <c r="A108" s="121">
        <v>21</v>
      </c>
      <c r="B108" s="122"/>
      <c r="C108" s="122" t="s">
        <v>1003</v>
      </c>
      <c r="D108" s="122" t="s">
        <v>667</v>
      </c>
      <c r="E108" s="123">
        <v>-138600</v>
      </c>
      <c r="F108" s="124">
        <v>-1053.7757999999999</v>
      </c>
      <c r="G108" s="125">
        <v>-1.0592805911391031E-2</v>
      </c>
      <c r="H108" s="120" t="s">
        <v>151</v>
      </c>
      <c r="J108" s="8"/>
    </row>
    <row r="109" spans="1:10" x14ac:dyDescent="0.2">
      <c r="A109" s="121">
        <v>22</v>
      </c>
      <c r="B109" s="122"/>
      <c r="C109" s="122" t="s">
        <v>1004</v>
      </c>
      <c r="D109" s="122" t="s">
        <v>667</v>
      </c>
      <c r="E109" s="123">
        <v>-59500</v>
      </c>
      <c r="F109" s="124">
        <v>-1069.2745</v>
      </c>
      <c r="G109" s="125">
        <v>-1.0748602543823545E-2</v>
      </c>
      <c r="H109" s="120" t="s">
        <v>151</v>
      </c>
      <c r="J109" s="8"/>
    </row>
    <row r="110" spans="1:10" x14ac:dyDescent="0.2">
      <c r="A110" s="121">
        <v>23</v>
      </c>
      <c r="B110" s="122"/>
      <c r="C110" s="122" t="s">
        <v>1005</v>
      </c>
      <c r="D110" s="122" t="s">
        <v>667</v>
      </c>
      <c r="E110" s="123">
        <v>-26250</v>
      </c>
      <c r="F110" s="124">
        <v>-1126.0725</v>
      </c>
      <c r="G110" s="125">
        <v>-1.1319549599312187E-2</v>
      </c>
      <c r="H110" s="120" t="s">
        <v>151</v>
      </c>
      <c r="J110" s="8"/>
    </row>
    <row r="111" spans="1:10" x14ac:dyDescent="0.2">
      <c r="A111" s="121">
        <v>24</v>
      </c>
      <c r="B111" s="122"/>
      <c r="C111" s="122" t="s">
        <v>965</v>
      </c>
      <c r="D111" s="122" t="s">
        <v>667</v>
      </c>
      <c r="E111" s="123">
        <v>-8850</v>
      </c>
      <c r="F111" s="124">
        <v>-1180.789125</v>
      </c>
      <c r="G111" s="125">
        <v>-1.1869574176410432E-2</v>
      </c>
      <c r="H111" s="120" t="s">
        <v>151</v>
      </c>
      <c r="J111" s="8"/>
    </row>
    <row r="112" spans="1:10" x14ac:dyDescent="0.2">
      <c r="A112" s="121">
        <v>25</v>
      </c>
      <c r="B112" s="122"/>
      <c r="C112" s="122" t="s">
        <v>1006</v>
      </c>
      <c r="D112" s="122" t="s">
        <v>667</v>
      </c>
      <c r="E112" s="123">
        <v>-47700</v>
      </c>
      <c r="F112" s="124">
        <v>-1420.6967999999999</v>
      </c>
      <c r="G112" s="125">
        <v>-1.428118339910095E-2</v>
      </c>
      <c r="H112" s="120" t="s">
        <v>151</v>
      </c>
      <c r="J112" s="8"/>
    </row>
    <row r="113" spans="1:10" x14ac:dyDescent="0.2">
      <c r="A113" s="121">
        <v>26</v>
      </c>
      <c r="B113" s="122"/>
      <c r="C113" s="122" t="s">
        <v>953</v>
      </c>
      <c r="D113" s="122" t="s">
        <v>667</v>
      </c>
      <c r="E113" s="123">
        <v>-50400</v>
      </c>
      <c r="F113" s="124">
        <v>-1572.8579999999999</v>
      </c>
      <c r="G113" s="125">
        <v>-1.5810744107217757E-2</v>
      </c>
      <c r="H113" s="120" t="s">
        <v>151</v>
      </c>
      <c r="J113" s="8"/>
    </row>
    <row r="114" spans="1:10" x14ac:dyDescent="0.2">
      <c r="A114" s="121">
        <v>27</v>
      </c>
      <c r="B114" s="122"/>
      <c r="C114" s="122" t="s">
        <v>951</v>
      </c>
      <c r="D114" s="122" t="s">
        <v>667</v>
      </c>
      <c r="E114" s="123">
        <v>-22125</v>
      </c>
      <c r="F114" s="124">
        <v>-1717.1433750000001</v>
      </c>
      <c r="G114" s="125">
        <v>-1.7261135142224701E-2</v>
      </c>
      <c r="H114" s="120" t="s">
        <v>151</v>
      </c>
      <c r="J114" s="8"/>
    </row>
    <row r="115" spans="1:10" x14ac:dyDescent="0.2">
      <c r="A115" s="121">
        <v>28</v>
      </c>
      <c r="B115" s="122"/>
      <c r="C115" s="122" t="s">
        <v>980</v>
      </c>
      <c r="D115" s="122" t="s">
        <v>667</v>
      </c>
      <c r="E115" s="123">
        <v>-198000</v>
      </c>
      <c r="F115" s="124">
        <v>-2882.3850000000002</v>
      </c>
      <c r="G115" s="125">
        <v>-2.8974422136952512E-2</v>
      </c>
      <c r="H115" s="120" t="s">
        <v>151</v>
      </c>
      <c r="J115" s="8"/>
    </row>
    <row r="116" spans="1:10" x14ac:dyDescent="0.2">
      <c r="A116" s="121">
        <v>29</v>
      </c>
      <c r="B116" s="122"/>
      <c r="C116" s="122" t="s">
        <v>1007</v>
      </c>
      <c r="D116" s="122" t="s">
        <v>667</v>
      </c>
      <c r="E116" s="123">
        <v>-166800</v>
      </c>
      <c r="F116" s="124">
        <v>-3125.6651999999999</v>
      </c>
      <c r="G116" s="125">
        <v>-3.1419932786071983E-2</v>
      </c>
      <c r="H116" s="120" t="s">
        <v>151</v>
      </c>
      <c r="J116" s="8"/>
    </row>
    <row r="117" spans="1:10" x14ac:dyDescent="0.2">
      <c r="A117" s="121">
        <v>30</v>
      </c>
      <c r="B117" s="122"/>
      <c r="C117" s="122" t="s">
        <v>961</v>
      </c>
      <c r="D117" s="122" t="s">
        <v>667</v>
      </c>
      <c r="E117" s="123">
        <v>-285625</v>
      </c>
      <c r="F117" s="124">
        <v>-3548.890625</v>
      </c>
      <c r="G117" s="125">
        <v>-3.5674295795538498E-2</v>
      </c>
      <c r="H117" s="120" t="s">
        <v>151</v>
      </c>
      <c r="J117" s="8"/>
    </row>
    <row r="118" spans="1:10" x14ac:dyDescent="0.2">
      <c r="A118" s="121">
        <v>31</v>
      </c>
      <c r="B118" s="122"/>
      <c r="C118" s="122" t="s">
        <v>1008</v>
      </c>
      <c r="D118" s="122" t="s">
        <v>667</v>
      </c>
      <c r="E118" s="123">
        <v>-213275</v>
      </c>
      <c r="F118" s="124">
        <v>-3677.1809125</v>
      </c>
      <c r="G118" s="125">
        <v>-3.6963900392459448E-2</v>
      </c>
      <c r="H118" s="120" t="s">
        <v>151</v>
      </c>
      <c r="J118" s="8"/>
    </row>
    <row r="119" spans="1:10" x14ac:dyDescent="0.2">
      <c r="A119" s="121">
        <v>32</v>
      </c>
      <c r="B119" s="122"/>
      <c r="C119" s="122" t="s">
        <v>972</v>
      </c>
      <c r="D119" s="122" t="s">
        <v>667</v>
      </c>
      <c r="E119" s="123">
        <v>-171250</v>
      </c>
      <c r="F119" s="124">
        <v>-5098.4549999999999</v>
      </c>
      <c r="G119" s="125">
        <v>-5.1250886823327284E-2</v>
      </c>
      <c r="H119" s="120" t="s">
        <v>151</v>
      </c>
      <c r="J119" s="8"/>
    </row>
    <row r="120" spans="1:10" x14ac:dyDescent="0.2">
      <c r="A120" s="118"/>
      <c r="B120" s="118"/>
      <c r="C120" s="119" t="s">
        <v>150</v>
      </c>
      <c r="D120" s="118"/>
      <c r="E120" s="118" t="s">
        <v>151</v>
      </c>
      <c r="F120" s="126">
        <v>-35768.628199999999</v>
      </c>
      <c r="G120" s="127">
        <v>-0.35955478977530886</v>
      </c>
      <c r="H120" s="120" t="s">
        <v>151</v>
      </c>
      <c r="J120" s="8"/>
    </row>
    <row r="121" spans="1:10" x14ac:dyDescent="0.2">
      <c r="A121" s="118"/>
      <c r="B121" s="118"/>
      <c r="C121" s="128"/>
      <c r="D121" s="118"/>
      <c r="E121" s="118"/>
      <c r="F121" s="129"/>
      <c r="G121" s="129"/>
      <c r="H121" s="120" t="s">
        <v>151</v>
      </c>
      <c r="J121" s="8"/>
    </row>
    <row r="122" spans="1:10" x14ac:dyDescent="0.2">
      <c r="A122" s="118"/>
      <c r="B122" s="118"/>
      <c r="C122" s="119" t="s">
        <v>158</v>
      </c>
      <c r="D122" s="118"/>
      <c r="E122" s="118"/>
      <c r="F122" s="126">
        <v>75944.523138599994</v>
      </c>
      <c r="G122" s="127">
        <v>0.76341250000000005</v>
      </c>
      <c r="H122" s="120" t="s">
        <v>151</v>
      </c>
      <c r="J122" s="8"/>
    </row>
    <row r="123" spans="1:10" x14ac:dyDescent="0.2">
      <c r="A123" s="118"/>
      <c r="B123" s="118"/>
      <c r="C123" s="128"/>
      <c r="D123" s="118"/>
      <c r="E123" s="118"/>
      <c r="F123" s="129"/>
      <c r="G123" s="129"/>
      <c r="H123" s="120" t="s">
        <v>151</v>
      </c>
      <c r="J123" s="8"/>
    </row>
    <row r="124" spans="1:10" x14ac:dyDescent="0.2">
      <c r="A124" s="118"/>
      <c r="B124" s="118"/>
      <c r="C124" s="119" t="s">
        <v>159</v>
      </c>
      <c r="D124" s="118"/>
      <c r="E124" s="118"/>
      <c r="F124" s="129"/>
      <c r="G124" s="129"/>
      <c r="H124" s="120" t="s">
        <v>151</v>
      </c>
      <c r="J124" s="8"/>
    </row>
    <row r="125" spans="1:10" x14ac:dyDescent="0.2">
      <c r="A125" s="118"/>
      <c r="B125" s="118"/>
      <c r="C125" s="119" t="s">
        <v>10</v>
      </c>
      <c r="D125" s="118"/>
      <c r="E125" s="118"/>
      <c r="F125" s="129"/>
      <c r="G125" s="129"/>
      <c r="H125" s="120" t="s">
        <v>151</v>
      </c>
      <c r="J125" s="8"/>
    </row>
    <row r="126" spans="1:10" ht="25.5" x14ac:dyDescent="0.2">
      <c r="A126" s="121">
        <v>1</v>
      </c>
      <c r="B126" s="122" t="s">
        <v>580</v>
      </c>
      <c r="C126" s="122" t="s">
        <v>581</v>
      </c>
      <c r="D126" s="122" t="s">
        <v>561</v>
      </c>
      <c r="E126" s="123">
        <v>1500</v>
      </c>
      <c r="F126" s="124">
        <v>1494.2625</v>
      </c>
      <c r="G126" s="125">
        <v>1.502068E-2</v>
      </c>
      <c r="H126" s="120">
        <v>7.64</v>
      </c>
      <c r="J126" s="8"/>
    </row>
    <row r="127" spans="1:10" ht="25.5" x14ac:dyDescent="0.2">
      <c r="A127" s="121">
        <v>2</v>
      </c>
      <c r="B127" s="122" t="s">
        <v>572</v>
      </c>
      <c r="C127" s="122" t="s">
        <v>573</v>
      </c>
      <c r="D127" s="122" t="s">
        <v>561</v>
      </c>
      <c r="E127" s="123">
        <v>1000</v>
      </c>
      <c r="F127" s="124">
        <v>1009.619</v>
      </c>
      <c r="G127" s="125">
        <v>1.014893E-2</v>
      </c>
      <c r="H127" s="120">
        <v>7.2103000000000002</v>
      </c>
      <c r="J127" s="8"/>
    </row>
    <row r="128" spans="1:10" ht="25.5" x14ac:dyDescent="0.2">
      <c r="A128" s="121">
        <v>3</v>
      </c>
      <c r="B128" s="122" t="s">
        <v>556</v>
      </c>
      <c r="C128" s="122" t="s">
        <v>557</v>
      </c>
      <c r="D128" s="122" t="s">
        <v>558</v>
      </c>
      <c r="E128" s="123">
        <v>1000</v>
      </c>
      <c r="F128" s="124">
        <v>1005.582</v>
      </c>
      <c r="G128" s="125">
        <v>1.010835E-2</v>
      </c>
      <c r="H128" s="120">
        <v>7.51</v>
      </c>
      <c r="J128" s="8"/>
    </row>
    <row r="129" spans="1:10" ht="25.5" x14ac:dyDescent="0.2">
      <c r="A129" s="121">
        <v>4</v>
      </c>
      <c r="B129" s="122" t="s">
        <v>720</v>
      </c>
      <c r="C129" s="122" t="s">
        <v>721</v>
      </c>
      <c r="D129" s="122" t="s">
        <v>561</v>
      </c>
      <c r="E129" s="123">
        <v>1000</v>
      </c>
      <c r="F129" s="124">
        <v>997.24900000000002</v>
      </c>
      <c r="G129" s="125">
        <v>1.002459E-2</v>
      </c>
      <c r="H129" s="120">
        <v>7.6475</v>
      </c>
      <c r="J129" s="8"/>
    </row>
    <row r="130" spans="1:10" x14ac:dyDescent="0.2">
      <c r="A130" s="118"/>
      <c r="B130" s="118"/>
      <c r="C130" s="119" t="s">
        <v>150</v>
      </c>
      <c r="D130" s="118"/>
      <c r="E130" s="118" t="s">
        <v>151</v>
      </c>
      <c r="F130" s="126">
        <v>4506.7124999999996</v>
      </c>
      <c r="G130" s="127">
        <v>4.5302549999999997E-2</v>
      </c>
      <c r="H130" s="120" t="s">
        <v>151</v>
      </c>
      <c r="J130" s="8"/>
    </row>
    <row r="131" spans="1:10" x14ac:dyDescent="0.2">
      <c r="A131" s="118"/>
      <c r="B131" s="118"/>
      <c r="C131" s="128"/>
      <c r="D131" s="118"/>
      <c r="E131" s="118"/>
      <c r="F131" s="129"/>
      <c r="G131" s="129"/>
      <c r="H131" s="120" t="s">
        <v>151</v>
      </c>
      <c r="J131" s="8"/>
    </row>
    <row r="132" spans="1:10" x14ac:dyDescent="0.2">
      <c r="A132" s="118"/>
      <c r="B132" s="118"/>
      <c r="C132" s="119" t="s">
        <v>160</v>
      </c>
      <c r="D132" s="118"/>
      <c r="E132" s="118"/>
      <c r="F132" s="118"/>
      <c r="G132" s="118"/>
      <c r="H132" s="120" t="s">
        <v>151</v>
      </c>
      <c r="J132" s="8"/>
    </row>
    <row r="133" spans="1:10" x14ac:dyDescent="0.2">
      <c r="A133" s="118"/>
      <c r="B133" s="118"/>
      <c r="C133" s="119" t="s">
        <v>150</v>
      </c>
      <c r="D133" s="118"/>
      <c r="E133" s="118" t="s">
        <v>151</v>
      </c>
      <c r="F133" s="130" t="s">
        <v>153</v>
      </c>
      <c r="G133" s="127">
        <v>0</v>
      </c>
      <c r="H133" s="120" t="s">
        <v>151</v>
      </c>
      <c r="J133" s="8"/>
    </row>
    <row r="134" spans="1:10" x14ac:dyDescent="0.2">
      <c r="A134" s="118"/>
      <c r="B134" s="118"/>
      <c r="C134" s="128"/>
      <c r="D134" s="118"/>
      <c r="E134" s="118"/>
      <c r="F134" s="129"/>
      <c r="G134" s="129"/>
      <c r="H134" s="120" t="s">
        <v>151</v>
      </c>
      <c r="J134" s="8"/>
    </row>
    <row r="135" spans="1:10" x14ac:dyDescent="0.2">
      <c r="A135" s="118"/>
      <c r="B135" s="118"/>
      <c r="C135" s="119" t="s">
        <v>161</v>
      </c>
      <c r="D135" s="118"/>
      <c r="E135" s="118"/>
      <c r="F135" s="118"/>
      <c r="G135" s="118"/>
      <c r="H135" s="120" t="s">
        <v>151</v>
      </c>
      <c r="J135" s="8"/>
    </row>
    <row r="136" spans="1:10" x14ac:dyDescent="0.2">
      <c r="A136" s="121">
        <v>1</v>
      </c>
      <c r="B136" s="122" t="s">
        <v>627</v>
      </c>
      <c r="C136" s="122" t="s">
        <v>1062</v>
      </c>
      <c r="D136" s="122" t="s">
        <v>541</v>
      </c>
      <c r="E136" s="123">
        <v>6500000</v>
      </c>
      <c r="F136" s="124">
        <v>6657.924</v>
      </c>
      <c r="G136" s="125">
        <v>6.6927039999999993E-2</v>
      </c>
      <c r="H136" s="120">
        <v>6.8635000000000002</v>
      </c>
      <c r="J136" s="8"/>
    </row>
    <row r="137" spans="1:10" x14ac:dyDescent="0.2">
      <c r="A137" s="121">
        <v>2</v>
      </c>
      <c r="B137" s="122" t="s">
        <v>629</v>
      </c>
      <c r="C137" s="122" t="s">
        <v>1053</v>
      </c>
      <c r="D137" s="122" t="s">
        <v>541</v>
      </c>
      <c r="E137" s="123">
        <v>1500000</v>
      </c>
      <c r="F137" s="124">
        <v>1560.3330000000001</v>
      </c>
      <c r="G137" s="125">
        <v>1.5684839999999999E-2</v>
      </c>
      <c r="H137" s="120">
        <v>6.9051999999999998</v>
      </c>
      <c r="J137" s="8"/>
    </row>
    <row r="138" spans="1:10" x14ac:dyDescent="0.2">
      <c r="A138" s="121">
        <v>3</v>
      </c>
      <c r="B138" s="122" t="s">
        <v>722</v>
      </c>
      <c r="C138" s="122" t="s">
        <v>1063</v>
      </c>
      <c r="D138" s="122" t="s">
        <v>541</v>
      </c>
      <c r="E138" s="123">
        <v>1500000</v>
      </c>
      <c r="F138" s="124">
        <v>1536.6765</v>
      </c>
      <c r="G138" s="125">
        <v>1.544704E-2</v>
      </c>
      <c r="H138" s="120">
        <v>6.7821999999999996</v>
      </c>
      <c r="J138" s="8"/>
    </row>
    <row r="139" spans="1:10" x14ac:dyDescent="0.2">
      <c r="A139" s="118"/>
      <c r="B139" s="118"/>
      <c r="C139" s="119" t="s">
        <v>150</v>
      </c>
      <c r="D139" s="118"/>
      <c r="E139" s="118" t="s">
        <v>151</v>
      </c>
      <c r="F139" s="126">
        <v>9754.9334999999992</v>
      </c>
      <c r="G139" s="127">
        <v>9.8058919999999994E-2</v>
      </c>
      <c r="H139" s="120" t="s">
        <v>151</v>
      </c>
      <c r="J139" s="8"/>
    </row>
    <row r="140" spans="1:10" x14ac:dyDescent="0.2">
      <c r="A140" s="118"/>
      <c r="B140" s="118"/>
      <c r="C140" s="128"/>
      <c r="D140" s="118"/>
      <c r="E140" s="118"/>
      <c r="F140" s="129"/>
      <c r="G140" s="129"/>
      <c r="H140" s="120" t="s">
        <v>151</v>
      </c>
      <c r="J140" s="8"/>
    </row>
    <row r="141" spans="1:10" x14ac:dyDescent="0.2">
      <c r="A141" s="118"/>
      <c r="B141" s="118"/>
      <c r="C141" s="119" t="s">
        <v>162</v>
      </c>
      <c r="D141" s="118"/>
      <c r="E141" s="118"/>
      <c r="F141" s="129"/>
      <c r="G141" s="129"/>
      <c r="H141" s="120" t="s">
        <v>151</v>
      </c>
      <c r="J141" s="8"/>
    </row>
    <row r="142" spans="1:10" x14ac:dyDescent="0.2">
      <c r="A142" s="118"/>
      <c r="B142" s="118"/>
      <c r="C142" s="119" t="s">
        <v>150</v>
      </c>
      <c r="D142" s="118"/>
      <c r="E142" s="118" t="s">
        <v>151</v>
      </c>
      <c r="F142" s="130" t="s">
        <v>153</v>
      </c>
      <c r="G142" s="127">
        <v>0</v>
      </c>
      <c r="H142" s="120" t="s">
        <v>151</v>
      </c>
      <c r="J142" s="8"/>
    </row>
    <row r="143" spans="1:10" x14ac:dyDescent="0.2">
      <c r="A143" s="118"/>
      <c r="B143" s="118"/>
      <c r="C143" s="128"/>
      <c r="D143" s="118"/>
      <c r="E143" s="118"/>
      <c r="F143" s="129"/>
      <c r="G143" s="129"/>
      <c r="H143" s="120" t="s">
        <v>151</v>
      </c>
      <c r="J143" s="8"/>
    </row>
    <row r="144" spans="1:10" x14ac:dyDescent="0.2">
      <c r="A144" s="118"/>
      <c r="B144" s="118"/>
      <c r="C144" s="119" t="s">
        <v>163</v>
      </c>
      <c r="D144" s="118"/>
      <c r="E144" s="118"/>
      <c r="F144" s="126">
        <v>14261.646000000001</v>
      </c>
      <c r="G144" s="127">
        <v>0.14336146999999999</v>
      </c>
      <c r="H144" s="120" t="s">
        <v>151</v>
      </c>
      <c r="J144" s="8"/>
    </row>
    <row r="145" spans="1:10" x14ac:dyDescent="0.2">
      <c r="A145" s="118"/>
      <c r="B145" s="118"/>
      <c r="C145" s="128"/>
      <c r="D145" s="118"/>
      <c r="E145" s="118"/>
      <c r="F145" s="129"/>
      <c r="G145" s="129"/>
      <c r="H145" s="120" t="s">
        <v>151</v>
      </c>
      <c r="J145" s="8"/>
    </row>
    <row r="146" spans="1:10" x14ac:dyDescent="0.2">
      <c r="A146" s="118"/>
      <c r="B146" s="118"/>
      <c r="C146" s="119" t="s">
        <v>164</v>
      </c>
      <c r="D146" s="118"/>
      <c r="E146" s="118"/>
      <c r="F146" s="129"/>
      <c r="G146" s="129"/>
      <c r="H146" s="120" t="s">
        <v>151</v>
      </c>
      <c r="J146" s="8"/>
    </row>
    <row r="147" spans="1:10" x14ac:dyDescent="0.2">
      <c r="A147" s="118"/>
      <c r="B147" s="118"/>
      <c r="C147" s="119" t="s">
        <v>165</v>
      </c>
      <c r="D147" s="118"/>
      <c r="E147" s="118"/>
      <c r="F147" s="129"/>
      <c r="G147" s="129"/>
      <c r="H147" s="120" t="s">
        <v>151</v>
      </c>
      <c r="J147" s="8"/>
    </row>
    <row r="148" spans="1:10" x14ac:dyDescent="0.2">
      <c r="A148" s="121">
        <v>1</v>
      </c>
      <c r="B148" s="122" t="s">
        <v>724</v>
      </c>
      <c r="C148" s="122" t="s">
        <v>1069</v>
      </c>
      <c r="D148" s="122" t="s">
        <v>644</v>
      </c>
      <c r="E148" s="123">
        <v>260</v>
      </c>
      <c r="F148" s="124">
        <v>1272.9495999999999</v>
      </c>
      <c r="G148" s="125">
        <v>1.279599E-2</v>
      </c>
      <c r="H148" s="120">
        <v>7.3174999999999999</v>
      </c>
      <c r="J148" s="8"/>
    </row>
    <row r="149" spans="1:10" x14ac:dyDescent="0.2">
      <c r="A149" s="118"/>
      <c r="B149" s="118"/>
      <c r="C149" s="119" t="s">
        <v>150</v>
      </c>
      <c r="D149" s="118"/>
      <c r="E149" s="118" t="s">
        <v>151</v>
      </c>
      <c r="F149" s="126">
        <v>1272.9495999999999</v>
      </c>
      <c r="G149" s="127">
        <v>1.279599E-2</v>
      </c>
      <c r="H149" s="120" t="s">
        <v>151</v>
      </c>
      <c r="J149" s="8"/>
    </row>
    <row r="150" spans="1:10" x14ac:dyDescent="0.2">
      <c r="A150" s="118"/>
      <c r="B150" s="118"/>
      <c r="C150" s="128"/>
      <c r="D150" s="118"/>
      <c r="E150" s="118"/>
      <c r="F150" s="129"/>
      <c r="G150" s="129"/>
      <c r="H150" s="120" t="s">
        <v>151</v>
      </c>
      <c r="J150" s="8"/>
    </row>
    <row r="151" spans="1:10" x14ac:dyDescent="0.2">
      <c r="A151" s="118"/>
      <c r="B151" s="118"/>
      <c r="C151" s="119" t="s">
        <v>166</v>
      </c>
      <c r="D151" s="118"/>
      <c r="E151" s="118"/>
      <c r="F151" s="129"/>
      <c r="G151" s="129"/>
      <c r="H151" s="120" t="s">
        <v>151</v>
      </c>
      <c r="J151" s="8"/>
    </row>
    <row r="152" spans="1:10" x14ac:dyDescent="0.2">
      <c r="A152" s="118"/>
      <c r="B152" s="118"/>
      <c r="C152" s="119" t="s">
        <v>150</v>
      </c>
      <c r="D152" s="118"/>
      <c r="E152" s="118" t="s">
        <v>151</v>
      </c>
      <c r="F152" s="130" t="s">
        <v>153</v>
      </c>
      <c r="G152" s="127">
        <v>0</v>
      </c>
      <c r="H152" s="120" t="s">
        <v>151</v>
      </c>
      <c r="J152" s="8"/>
    </row>
    <row r="153" spans="1:10" x14ac:dyDescent="0.2">
      <c r="A153" s="118"/>
      <c r="B153" s="118"/>
      <c r="C153" s="128"/>
      <c r="D153" s="118"/>
      <c r="E153" s="118"/>
      <c r="F153" s="129"/>
      <c r="G153" s="129"/>
      <c r="H153" s="120" t="s">
        <v>151</v>
      </c>
      <c r="J153" s="8"/>
    </row>
    <row r="154" spans="1:10" x14ac:dyDescent="0.2">
      <c r="A154" s="118"/>
      <c r="B154" s="118"/>
      <c r="C154" s="119" t="s">
        <v>167</v>
      </c>
      <c r="D154" s="118"/>
      <c r="E154" s="118"/>
      <c r="F154" s="129"/>
      <c r="G154" s="129"/>
      <c r="H154" s="120" t="s">
        <v>151</v>
      </c>
      <c r="J154" s="8"/>
    </row>
    <row r="155" spans="1:10" x14ac:dyDescent="0.2">
      <c r="A155" s="121">
        <v>1</v>
      </c>
      <c r="B155" s="122" t="s">
        <v>725</v>
      </c>
      <c r="C155" s="122" t="s">
        <v>726</v>
      </c>
      <c r="D155" s="122" t="s">
        <v>541</v>
      </c>
      <c r="E155" s="123">
        <v>5000000</v>
      </c>
      <c r="F155" s="124">
        <v>4754.46</v>
      </c>
      <c r="G155" s="125">
        <v>4.7792969999999997E-2</v>
      </c>
      <c r="H155" s="120">
        <v>6.5</v>
      </c>
      <c r="J155" s="8"/>
    </row>
    <row r="156" spans="1:10" x14ac:dyDescent="0.2">
      <c r="A156" s="118"/>
      <c r="B156" s="118"/>
      <c r="C156" s="119" t="s">
        <v>150</v>
      </c>
      <c r="D156" s="118"/>
      <c r="E156" s="118" t="s">
        <v>151</v>
      </c>
      <c r="F156" s="126">
        <v>4754.46</v>
      </c>
      <c r="G156" s="127">
        <v>4.7792969999999997E-2</v>
      </c>
      <c r="H156" s="120" t="s">
        <v>151</v>
      </c>
      <c r="J156" s="8"/>
    </row>
    <row r="157" spans="1:10" x14ac:dyDescent="0.2">
      <c r="A157" s="118"/>
      <c r="B157" s="118"/>
      <c r="C157" s="128"/>
      <c r="D157" s="118"/>
      <c r="E157" s="118"/>
      <c r="F157" s="129"/>
      <c r="G157" s="129"/>
      <c r="H157" s="120" t="s">
        <v>151</v>
      </c>
      <c r="J157" s="8"/>
    </row>
    <row r="158" spans="1:10" x14ac:dyDescent="0.2">
      <c r="A158" s="118"/>
      <c r="B158" s="118"/>
      <c r="C158" s="119" t="s">
        <v>168</v>
      </c>
      <c r="D158" s="118"/>
      <c r="E158" s="118"/>
      <c r="F158" s="129"/>
      <c r="G158" s="129"/>
      <c r="H158" s="120" t="s">
        <v>151</v>
      </c>
      <c r="J158" s="8"/>
    </row>
    <row r="159" spans="1:10" x14ac:dyDescent="0.2">
      <c r="A159" s="121">
        <v>1</v>
      </c>
      <c r="B159" s="122"/>
      <c r="C159" s="122" t="s">
        <v>169</v>
      </c>
      <c r="D159" s="122"/>
      <c r="E159" s="131"/>
      <c r="F159" s="124">
        <v>12216.488242025</v>
      </c>
      <c r="G159" s="125">
        <v>0.12280306000000001</v>
      </c>
      <c r="H159" s="120">
        <v>6.61</v>
      </c>
      <c r="J159" s="8"/>
    </row>
    <row r="160" spans="1:10" x14ac:dyDescent="0.2">
      <c r="A160" s="118"/>
      <c r="B160" s="118"/>
      <c r="C160" s="119" t="s">
        <v>150</v>
      </c>
      <c r="D160" s="118"/>
      <c r="E160" s="118" t="s">
        <v>151</v>
      </c>
      <c r="F160" s="126">
        <v>12216.488242025</v>
      </c>
      <c r="G160" s="127">
        <v>0.12280306000000001</v>
      </c>
      <c r="H160" s="120" t="s">
        <v>151</v>
      </c>
      <c r="J160" s="8"/>
    </row>
    <row r="161" spans="1:10" x14ac:dyDescent="0.2">
      <c r="A161" s="118"/>
      <c r="B161" s="118"/>
      <c r="C161" s="128"/>
      <c r="D161" s="118"/>
      <c r="E161" s="118"/>
      <c r="F161" s="129"/>
      <c r="G161" s="129"/>
      <c r="H161" s="120" t="s">
        <v>151</v>
      </c>
      <c r="J161" s="8"/>
    </row>
    <row r="162" spans="1:10" x14ac:dyDescent="0.2">
      <c r="A162" s="118"/>
      <c r="B162" s="118"/>
      <c r="C162" s="119" t="s">
        <v>170</v>
      </c>
      <c r="D162" s="118"/>
      <c r="E162" s="118"/>
      <c r="F162" s="126">
        <v>18243.897842024999</v>
      </c>
      <c r="G162" s="127">
        <v>0.18339201999999999</v>
      </c>
      <c r="H162" s="120" t="s">
        <v>151</v>
      </c>
      <c r="J162" s="8"/>
    </row>
    <row r="163" spans="1:10" x14ac:dyDescent="0.2">
      <c r="A163" s="118"/>
      <c r="B163" s="118"/>
      <c r="C163" s="129"/>
      <c r="D163" s="118"/>
      <c r="E163" s="118"/>
      <c r="F163" s="118"/>
      <c r="G163" s="118"/>
      <c r="H163" s="120" t="s">
        <v>151</v>
      </c>
      <c r="J163" s="8"/>
    </row>
    <row r="164" spans="1:10" x14ac:dyDescent="0.2">
      <c r="A164" s="118"/>
      <c r="B164" s="118"/>
      <c r="C164" s="119" t="s">
        <v>171</v>
      </c>
      <c r="D164" s="118"/>
      <c r="E164" s="118"/>
      <c r="F164" s="118"/>
      <c r="G164" s="118"/>
      <c r="H164" s="120" t="s">
        <v>151</v>
      </c>
      <c r="J164" s="8"/>
    </row>
    <row r="165" spans="1:10" x14ac:dyDescent="0.2">
      <c r="A165" s="118"/>
      <c r="B165" s="118"/>
      <c r="C165" s="119" t="s">
        <v>172</v>
      </c>
      <c r="D165" s="118"/>
      <c r="E165" s="118"/>
      <c r="F165" s="118"/>
      <c r="G165" s="118"/>
      <c r="H165" s="120" t="s">
        <v>151</v>
      </c>
      <c r="J165" s="8"/>
    </row>
    <row r="166" spans="1:10" x14ac:dyDescent="0.2">
      <c r="A166" s="118"/>
      <c r="B166" s="118"/>
      <c r="C166" s="119" t="s">
        <v>150</v>
      </c>
      <c r="D166" s="118"/>
      <c r="E166" s="118" t="s">
        <v>151</v>
      </c>
      <c r="F166" s="130" t="s">
        <v>153</v>
      </c>
      <c r="G166" s="127">
        <v>0</v>
      </c>
      <c r="H166" s="120" t="s">
        <v>151</v>
      </c>
      <c r="J166" s="8"/>
    </row>
    <row r="167" spans="1:10" x14ac:dyDescent="0.2">
      <c r="A167" s="118"/>
      <c r="B167" s="118"/>
      <c r="C167" s="128"/>
      <c r="D167" s="118"/>
      <c r="E167" s="118"/>
      <c r="F167" s="129"/>
      <c r="G167" s="129"/>
      <c r="H167" s="120" t="s">
        <v>151</v>
      </c>
      <c r="J167" s="8"/>
    </row>
    <row r="168" spans="1:10" x14ac:dyDescent="0.2">
      <c r="A168" s="118"/>
      <c r="B168" s="118"/>
      <c r="C168" s="119" t="s">
        <v>175</v>
      </c>
      <c r="D168" s="118"/>
      <c r="E168" s="118"/>
      <c r="F168" s="118"/>
      <c r="G168" s="118"/>
      <c r="H168" s="120" t="s">
        <v>151</v>
      </c>
      <c r="J168" s="8"/>
    </row>
    <row r="169" spans="1:10" x14ac:dyDescent="0.2">
      <c r="A169" s="118"/>
      <c r="B169" s="118"/>
      <c r="C169" s="119" t="s">
        <v>176</v>
      </c>
      <c r="D169" s="118"/>
      <c r="E169" s="118"/>
      <c r="F169" s="118"/>
      <c r="G169" s="118"/>
      <c r="H169" s="120" t="s">
        <v>151</v>
      </c>
      <c r="J169" s="8"/>
    </row>
    <row r="170" spans="1:10" x14ac:dyDescent="0.2">
      <c r="A170" s="118"/>
      <c r="B170" s="118"/>
      <c r="C170" s="119" t="s">
        <v>150</v>
      </c>
      <c r="D170" s="118"/>
      <c r="E170" s="118" t="s">
        <v>151</v>
      </c>
      <c r="F170" s="130" t="s">
        <v>153</v>
      </c>
      <c r="G170" s="127">
        <v>0</v>
      </c>
      <c r="H170" s="120" t="s">
        <v>151</v>
      </c>
      <c r="J170" s="8"/>
    </row>
    <row r="171" spans="1:10" x14ac:dyDescent="0.2">
      <c r="A171" s="118"/>
      <c r="B171" s="118"/>
      <c r="C171" s="128"/>
      <c r="D171" s="118"/>
      <c r="E171" s="118"/>
      <c r="F171" s="129"/>
      <c r="G171" s="129"/>
      <c r="H171" s="120" t="s">
        <v>151</v>
      </c>
      <c r="J171" s="8"/>
    </row>
    <row r="172" spans="1:10" x14ac:dyDescent="0.2">
      <c r="A172" s="118"/>
      <c r="B172" s="118"/>
      <c r="C172" s="119" t="s">
        <v>177</v>
      </c>
      <c r="D172" s="118"/>
      <c r="E172" s="118"/>
      <c r="F172" s="129"/>
      <c r="G172" s="129"/>
      <c r="H172" s="120" t="s">
        <v>151</v>
      </c>
      <c r="J172" s="8"/>
    </row>
    <row r="173" spans="1:10" x14ac:dyDescent="0.2">
      <c r="A173" s="118"/>
      <c r="B173" s="118"/>
      <c r="C173" s="119" t="s">
        <v>150</v>
      </c>
      <c r="D173" s="118"/>
      <c r="E173" s="118" t="s">
        <v>151</v>
      </c>
      <c r="F173" s="130" t="s">
        <v>153</v>
      </c>
      <c r="G173" s="127">
        <v>0</v>
      </c>
      <c r="H173" s="120" t="s">
        <v>151</v>
      </c>
      <c r="J173" s="8"/>
    </row>
    <row r="174" spans="1:10" x14ac:dyDescent="0.2">
      <c r="A174" s="118"/>
      <c r="B174" s="118"/>
      <c r="C174" s="128"/>
      <c r="D174" s="118"/>
      <c r="E174" s="118"/>
      <c r="F174" s="129"/>
      <c r="G174" s="129"/>
      <c r="H174" s="120" t="s">
        <v>151</v>
      </c>
      <c r="J174" s="8"/>
    </row>
    <row r="175" spans="1:10" x14ac:dyDescent="0.2">
      <c r="A175" s="131"/>
      <c r="B175" s="122"/>
      <c r="C175" s="122" t="s">
        <v>342</v>
      </c>
      <c r="D175" s="122"/>
      <c r="E175" s="131"/>
      <c r="F175" s="124">
        <v>609.48447699999997</v>
      </c>
      <c r="G175" s="125">
        <v>6.1266799999999998E-3</v>
      </c>
      <c r="H175" s="120" t="s">
        <v>151</v>
      </c>
      <c r="J175" s="8"/>
    </row>
    <row r="176" spans="1:10" x14ac:dyDescent="0.2">
      <c r="A176" s="131"/>
      <c r="B176" s="122"/>
      <c r="C176" s="200" t="s">
        <v>917</v>
      </c>
      <c r="D176" s="122"/>
      <c r="E176" s="131"/>
      <c r="F176" s="124">
        <v>-9579.2240717700006</v>
      </c>
      <c r="G176" s="125">
        <v>-9.6292647234814593E-2</v>
      </c>
      <c r="H176" s="120" t="s">
        <v>151</v>
      </c>
      <c r="J176" s="8"/>
    </row>
    <row r="177" spans="1:17" x14ac:dyDescent="0.2">
      <c r="A177" s="128"/>
      <c r="B177" s="128"/>
      <c r="C177" s="119" t="s">
        <v>179</v>
      </c>
      <c r="D177" s="129"/>
      <c r="E177" s="129"/>
      <c r="F177" s="126">
        <v>99480.327385854995</v>
      </c>
      <c r="G177" s="127">
        <v>1.0000000227651855</v>
      </c>
      <c r="H177" s="120" t="s">
        <v>151</v>
      </c>
      <c r="J177" s="8"/>
    </row>
    <row r="178" spans="1:17" x14ac:dyDescent="0.2">
      <c r="A178" s="134"/>
      <c r="B178" s="134"/>
      <c r="C178" s="134"/>
      <c r="D178" s="135"/>
      <c r="E178" s="135"/>
      <c r="F178" s="135"/>
      <c r="G178" s="135"/>
      <c r="J178" s="8"/>
    </row>
    <row r="179" spans="1:17" x14ac:dyDescent="0.2">
      <c r="A179" s="136"/>
      <c r="B179" s="137" t="s">
        <v>888</v>
      </c>
      <c r="C179" s="137"/>
      <c r="D179" s="137"/>
      <c r="E179" s="137"/>
      <c r="F179" s="137"/>
      <c r="G179" s="137"/>
      <c r="H179" s="137"/>
      <c r="J179" s="8"/>
    </row>
    <row r="180" spans="1:17" x14ac:dyDescent="0.2">
      <c r="A180" s="136"/>
      <c r="B180" s="137" t="s">
        <v>889</v>
      </c>
      <c r="C180" s="137"/>
      <c r="D180" s="137"/>
      <c r="E180" s="137"/>
      <c r="F180" s="137"/>
      <c r="G180" s="137"/>
      <c r="H180" s="137"/>
      <c r="J180" s="8"/>
    </row>
    <row r="181" spans="1:17" x14ac:dyDescent="0.2">
      <c r="A181" s="136"/>
      <c r="B181" s="137" t="s">
        <v>890</v>
      </c>
      <c r="C181" s="137"/>
      <c r="D181" s="137"/>
      <c r="E181" s="137"/>
      <c r="F181" s="137"/>
      <c r="G181" s="137"/>
      <c r="H181" s="137"/>
      <c r="J181" s="8"/>
    </row>
    <row r="182" spans="1:17" s="13" customFormat="1" ht="66" customHeight="1" x14ac:dyDescent="0.25">
      <c r="A182" s="138"/>
      <c r="B182" s="139" t="s">
        <v>891</v>
      </c>
      <c r="C182" s="139"/>
      <c r="D182" s="139"/>
      <c r="E182" s="139"/>
      <c r="F182" s="139"/>
      <c r="G182" s="139"/>
      <c r="H182" s="139"/>
      <c r="I182" s="114"/>
      <c r="J182" s="8"/>
      <c r="K182"/>
      <c r="L182"/>
      <c r="M182"/>
      <c r="N182"/>
      <c r="O182"/>
      <c r="P182"/>
      <c r="Q182"/>
    </row>
    <row r="183" spans="1:17" x14ac:dyDescent="0.2">
      <c r="A183" s="136"/>
      <c r="B183" s="137" t="s">
        <v>892</v>
      </c>
      <c r="C183" s="137"/>
      <c r="D183" s="137"/>
      <c r="E183" s="137"/>
      <c r="F183" s="137"/>
      <c r="G183" s="137"/>
      <c r="H183" s="137"/>
      <c r="J183" s="8"/>
    </row>
    <row r="184" spans="1:17" x14ac:dyDescent="0.2">
      <c r="A184" s="140"/>
      <c r="B184" s="140"/>
      <c r="C184" s="140"/>
      <c r="D184" s="141"/>
      <c r="E184" s="141"/>
      <c r="F184" s="141"/>
      <c r="G184" s="141"/>
      <c r="J184" s="8"/>
    </row>
    <row r="185" spans="1:17" x14ac:dyDescent="0.2">
      <c r="A185" s="140"/>
      <c r="B185" s="142" t="s">
        <v>180</v>
      </c>
      <c r="C185" s="143"/>
      <c r="D185" s="144"/>
      <c r="E185" s="145"/>
      <c r="F185" s="141"/>
      <c r="G185" s="141"/>
      <c r="J185" s="8"/>
    </row>
    <row r="186" spans="1:17" x14ac:dyDescent="0.2">
      <c r="A186" s="140"/>
      <c r="B186" s="146" t="s">
        <v>181</v>
      </c>
      <c r="C186" s="147"/>
      <c r="D186" s="119" t="s">
        <v>182</v>
      </c>
      <c r="E186" s="145"/>
      <c r="F186" s="141"/>
      <c r="G186" s="141"/>
      <c r="J186" s="8"/>
    </row>
    <row r="187" spans="1:17" x14ac:dyDescent="0.2">
      <c r="A187" s="140"/>
      <c r="B187" s="146" t="s">
        <v>183</v>
      </c>
      <c r="C187" s="147"/>
      <c r="D187" s="119" t="s">
        <v>182</v>
      </c>
      <c r="E187" s="145"/>
      <c r="F187" s="141"/>
      <c r="G187" s="141"/>
      <c r="J187" s="8"/>
    </row>
    <row r="188" spans="1:17" x14ac:dyDescent="0.2">
      <c r="A188" s="140"/>
      <c r="B188" s="146" t="s">
        <v>184</v>
      </c>
      <c r="C188" s="147"/>
      <c r="D188" s="129" t="s">
        <v>151</v>
      </c>
      <c r="E188" s="145"/>
      <c r="F188" s="141"/>
      <c r="G188" s="141"/>
      <c r="J188" s="8"/>
    </row>
    <row r="189" spans="1:17" x14ac:dyDescent="0.2">
      <c r="A189" s="151"/>
      <c r="B189" s="152" t="s">
        <v>151</v>
      </c>
      <c r="C189" s="152" t="s">
        <v>894</v>
      </c>
      <c r="D189" s="152" t="s">
        <v>185</v>
      </c>
      <c r="E189" s="151"/>
      <c r="F189" s="151"/>
      <c r="G189" s="151"/>
      <c r="H189" s="151"/>
      <c r="J189" s="8"/>
    </row>
    <row r="190" spans="1:17" x14ac:dyDescent="0.2">
      <c r="A190" s="153"/>
      <c r="B190" s="154" t="s">
        <v>186</v>
      </c>
      <c r="C190" s="155">
        <v>45535</v>
      </c>
      <c r="D190" s="155">
        <v>45565</v>
      </c>
      <c r="E190" s="153"/>
      <c r="F190" s="153"/>
      <c r="G190" s="153"/>
      <c r="J190" s="8"/>
    </row>
    <row r="191" spans="1:17" x14ac:dyDescent="0.2">
      <c r="A191" s="153"/>
      <c r="B191" s="122" t="s">
        <v>187</v>
      </c>
      <c r="C191" s="156">
        <v>77.498000000000005</v>
      </c>
      <c r="D191" s="156">
        <v>78.736099999999993</v>
      </c>
      <c r="E191" s="153"/>
      <c r="F191" s="157"/>
      <c r="G191" s="158"/>
      <c r="J191" s="8"/>
    </row>
    <row r="192" spans="1:17" ht="25.5" x14ac:dyDescent="0.2">
      <c r="A192" s="153"/>
      <c r="B192" s="255" t="s">
        <v>1067</v>
      </c>
      <c r="C192" s="156">
        <v>17.1798</v>
      </c>
      <c r="D192" s="156">
        <v>16.850000000000001</v>
      </c>
      <c r="E192" s="153"/>
      <c r="F192" s="157"/>
      <c r="G192" s="158"/>
      <c r="J192" s="8"/>
    </row>
    <row r="193" spans="1:10" ht="25.5" x14ac:dyDescent="0.2">
      <c r="A193" s="153"/>
      <c r="B193" s="122" t="s">
        <v>1042</v>
      </c>
      <c r="C193" s="156">
        <v>25.078399999999998</v>
      </c>
      <c r="D193" s="156">
        <v>25.171399999999998</v>
      </c>
      <c r="E193" s="153"/>
      <c r="F193" s="157"/>
      <c r="G193" s="158"/>
      <c r="J193" s="8"/>
    </row>
    <row r="194" spans="1:10" x14ac:dyDescent="0.2">
      <c r="A194" s="153"/>
      <c r="B194" s="122" t="s">
        <v>188</v>
      </c>
      <c r="C194" s="156">
        <v>67.6661</v>
      </c>
      <c r="D194" s="156">
        <v>68.655600000000007</v>
      </c>
      <c r="E194" s="153"/>
      <c r="F194" s="157"/>
      <c r="G194" s="158"/>
      <c r="J194" s="8"/>
    </row>
    <row r="195" spans="1:10" ht="25.5" x14ac:dyDescent="0.2">
      <c r="A195" s="153"/>
      <c r="B195" s="255" t="s">
        <v>1068</v>
      </c>
      <c r="C195" s="156">
        <v>16.230599999999999</v>
      </c>
      <c r="D195" s="156">
        <v>15.897500000000001</v>
      </c>
      <c r="E195" s="153"/>
      <c r="F195" s="157"/>
      <c r="G195" s="158"/>
      <c r="J195" s="8"/>
    </row>
    <row r="196" spans="1:10" ht="25.5" x14ac:dyDescent="0.2">
      <c r="A196" s="153"/>
      <c r="B196" s="122" t="s">
        <v>1043</v>
      </c>
      <c r="C196" s="156">
        <v>17.504799999999999</v>
      </c>
      <c r="D196" s="156">
        <v>17.453399999999998</v>
      </c>
      <c r="E196" s="153"/>
      <c r="F196" s="157"/>
      <c r="G196" s="158"/>
      <c r="J196" s="8"/>
    </row>
    <row r="197" spans="1:10" x14ac:dyDescent="0.2">
      <c r="A197" s="153"/>
      <c r="B197" s="153"/>
      <c r="C197" s="153"/>
      <c r="D197" s="153"/>
      <c r="E197" s="153"/>
      <c r="F197" s="153"/>
      <c r="G197" s="153"/>
      <c r="J197" s="8"/>
    </row>
    <row r="198" spans="1:10" x14ac:dyDescent="0.2">
      <c r="A198" s="153"/>
      <c r="B198" s="146" t="s">
        <v>895</v>
      </c>
      <c r="C198" s="147"/>
      <c r="D198" s="119" t="s">
        <v>151</v>
      </c>
      <c r="E198" s="153"/>
      <c r="F198" s="153"/>
      <c r="G198" s="153"/>
      <c r="J198" s="8"/>
    </row>
    <row r="199" spans="1:10" x14ac:dyDescent="0.2">
      <c r="A199" s="153"/>
      <c r="B199" s="210" t="s">
        <v>186</v>
      </c>
      <c r="C199" s="211" t="s">
        <v>647</v>
      </c>
      <c r="D199" s="211" t="s">
        <v>648</v>
      </c>
      <c r="E199" s="153"/>
      <c r="F199" s="153"/>
      <c r="G199" s="153"/>
      <c r="J199" s="8"/>
    </row>
    <row r="200" spans="1:10" ht="25.5" x14ac:dyDescent="0.2">
      <c r="A200" s="153"/>
      <c r="B200" s="255" t="s">
        <v>1067</v>
      </c>
      <c r="C200" s="212">
        <v>0.59899999999999998</v>
      </c>
      <c r="D200" s="212">
        <v>0.59899999999999998</v>
      </c>
      <c r="E200" s="153"/>
      <c r="F200" s="157"/>
      <c r="G200" s="158"/>
      <c r="J200" s="8"/>
    </row>
    <row r="201" spans="1:10" ht="25.5" x14ac:dyDescent="0.2">
      <c r="A201" s="153"/>
      <c r="B201" s="122" t="s">
        <v>1042</v>
      </c>
      <c r="C201" s="212">
        <v>0.30499999999999999</v>
      </c>
      <c r="D201" s="131" t="s">
        <v>685</v>
      </c>
      <c r="E201" s="153"/>
      <c r="F201" s="157"/>
      <c r="G201" s="158"/>
      <c r="J201" s="8"/>
    </row>
    <row r="202" spans="1:10" ht="25.5" x14ac:dyDescent="0.2">
      <c r="A202" s="153"/>
      <c r="B202" s="255" t="s">
        <v>1068</v>
      </c>
      <c r="C202" s="212">
        <v>0.56599999999999995</v>
      </c>
      <c r="D202" s="212">
        <v>0.56599999999999995</v>
      </c>
      <c r="E202" s="153"/>
      <c r="F202" s="157"/>
      <c r="G202" s="158"/>
      <c r="J202" s="8"/>
    </row>
    <row r="203" spans="1:10" ht="25.5" x14ac:dyDescent="0.2">
      <c r="A203" s="153"/>
      <c r="B203" s="122" t="s">
        <v>1043</v>
      </c>
      <c r="C203" s="212">
        <v>0.30499999999999999</v>
      </c>
      <c r="D203" s="212">
        <v>0.30499999999999999</v>
      </c>
      <c r="E203" s="153"/>
      <c r="F203" s="157"/>
      <c r="G203" s="158"/>
      <c r="J203" s="8"/>
    </row>
    <row r="204" spans="1:10" x14ac:dyDescent="0.2">
      <c r="A204" s="153"/>
      <c r="B204" s="213"/>
      <c r="C204" s="213"/>
      <c r="D204" s="214"/>
      <c r="E204" s="153"/>
      <c r="F204" s="157"/>
      <c r="G204" s="158"/>
      <c r="J204" s="8"/>
    </row>
    <row r="205" spans="1:10" ht="29.1" customHeight="1" x14ac:dyDescent="0.2">
      <c r="A205" s="151"/>
      <c r="B205" s="148" t="s">
        <v>189</v>
      </c>
      <c r="C205" s="149"/>
      <c r="D205" s="150" t="s">
        <v>909</v>
      </c>
      <c r="E205" s="160"/>
      <c r="F205" s="151"/>
      <c r="G205" s="151"/>
      <c r="J205" s="8"/>
    </row>
    <row r="206" spans="1:10" ht="29.1" customHeight="1" x14ac:dyDescent="0.2">
      <c r="A206" s="151"/>
      <c r="B206" s="148" t="s">
        <v>190</v>
      </c>
      <c r="C206" s="149"/>
      <c r="D206" s="150" t="s">
        <v>182</v>
      </c>
      <c r="E206" s="160"/>
      <c r="F206" s="151"/>
      <c r="G206" s="151"/>
      <c r="J206" s="8"/>
    </row>
    <row r="207" spans="1:10" ht="17.100000000000001" customHeight="1" x14ac:dyDescent="0.2">
      <c r="A207" s="151"/>
      <c r="B207" s="148" t="s">
        <v>191</v>
      </c>
      <c r="C207" s="149"/>
      <c r="D207" s="150" t="s">
        <v>182</v>
      </c>
      <c r="E207" s="160"/>
      <c r="F207" s="151"/>
      <c r="G207" s="151"/>
      <c r="J207" s="8"/>
    </row>
    <row r="208" spans="1:10" ht="17.100000000000001" customHeight="1" x14ac:dyDescent="0.2">
      <c r="A208" s="151"/>
      <c r="B208" s="148" t="s">
        <v>192</v>
      </c>
      <c r="C208" s="149"/>
      <c r="D208" s="161">
        <v>4.8626386243805566</v>
      </c>
      <c r="E208" s="151"/>
      <c r="F208" s="159"/>
      <c r="G208" s="162"/>
      <c r="J208" s="8"/>
    </row>
    <row r="209" spans="2:10" x14ac:dyDescent="0.2">
      <c r="J209" s="8"/>
    </row>
    <row r="210" spans="2:10" x14ac:dyDescent="0.2">
      <c r="B210" s="242" t="s">
        <v>940</v>
      </c>
      <c r="C210" s="243"/>
      <c r="D210" s="244"/>
      <c r="J210" s="8"/>
    </row>
    <row r="211" spans="2:10" ht="25.5" x14ac:dyDescent="0.2">
      <c r="B211" s="245" t="s">
        <v>941</v>
      </c>
      <c r="C211" s="245"/>
      <c r="D211" s="246" t="s">
        <v>703</v>
      </c>
      <c r="J211" s="8"/>
    </row>
    <row r="212" spans="2:10" x14ac:dyDescent="0.2">
      <c r="B212" s="245" t="s">
        <v>942</v>
      </c>
      <c r="C212" s="245"/>
      <c r="D212" s="258"/>
      <c r="J212" s="8"/>
    </row>
    <row r="213" spans="2:10" x14ac:dyDescent="0.2">
      <c r="B213" s="247"/>
      <c r="C213" s="248"/>
      <c r="D213" s="249"/>
      <c r="J213" s="8"/>
    </row>
    <row r="214" spans="2:10" x14ac:dyDescent="0.2">
      <c r="B214" s="245" t="s">
        <v>943</v>
      </c>
      <c r="C214" s="245"/>
      <c r="D214" s="250">
        <v>6.933643490836273</v>
      </c>
      <c r="J214" s="8"/>
    </row>
    <row r="215" spans="2:10" x14ac:dyDescent="0.2">
      <c r="B215" s="247"/>
      <c r="C215" s="248"/>
      <c r="D215" s="249"/>
      <c r="J215" s="8"/>
    </row>
    <row r="216" spans="2:10" x14ac:dyDescent="0.2">
      <c r="B216" s="245" t="s">
        <v>944</v>
      </c>
      <c r="C216" s="245"/>
      <c r="D216" s="250">
        <v>3.5865459081220141</v>
      </c>
      <c r="J216" s="8"/>
    </row>
    <row r="217" spans="2:10" x14ac:dyDescent="0.2">
      <c r="B217" s="245" t="s">
        <v>1177</v>
      </c>
      <c r="C217" s="245"/>
      <c r="D217" s="250">
        <v>5.0246203401076857</v>
      </c>
      <c r="J217" s="8"/>
    </row>
    <row r="218" spans="2:10" x14ac:dyDescent="0.2">
      <c r="B218" s="247"/>
      <c r="C218" s="248"/>
      <c r="D218" s="249"/>
      <c r="J218" s="8"/>
    </row>
    <row r="219" spans="2:10" x14ac:dyDescent="0.2">
      <c r="B219" s="245" t="s">
        <v>945</v>
      </c>
      <c r="C219" s="245"/>
      <c r="D219" s="252" t="s">
        <v>1066</v>
      </c>
      <c r="J219" s="8"/>
    </row>
    <row r="220" spans="2:10" ht="12.75" customHeight="1" x14ac:dyDescent="0.2">
      <c r="B220" s="247" t="s">
        <v>946</v>
      </c>
      <c r="C220" s="253"/>
      <c r="D220" s="248"/>
      <c r="J220" s="8"/>
    </row>
    <row r="221" spans="2:10" x14ac:dyDescent="0.2">
      <c r="J221" s="8"/>
    </row>
    <row r="222" spans="2:10" x14ac:dyDescent="0.2">
      <c r="J222" s="8"/>
    </row>
    <row r="223" spans="2:10" x14ac:dyDescent="0.2">
      <c r="J223" s="8"/>
    </row>
  </sheetData>
  <mergeCells count="28">
    <mergeCell ref="B219:C219"/>
    <mergeCell ref="B220:D220"/>
    <mergeCell ref="B214:C214"/>
    <mergeCell ref="B215:C215"/>
    <mergeCell ref="B216:C216"/>
    <mergeCell ref="B217:C217"/>
    <mergeCell ref="B218:C218"/>
    <mergeCell ref="B207:C207"/>
    <mergeCell ref="B211:C211"/>
    <mergeCell ref="B212:C212"/>
    <mergeCell ref="B213:C213"/>
    <mergeCell ref="B208:C208"/>
    <mergeCell ref="B205:C205"/>
    <mergeCell ref="B210:D210"/>
    <mergeCell ref="B186:C186"/>
    <mergeCell ref="A1:H1"/>
    <mergeCell ref="A2:H2"/>
    <mergeCell ref="A3:H3"/>
    <mergeCell ref="B185:D185"/>
    <mergeCell ref="B179:H179"/>
    <mergeCell ref="B180:H180"/>
    <mergeCell ref="B181:H181"/>
    <mergeCell ref="B182:H182"/>
    <mergeCell ref="B183:H183"/>
    <mergeCell ref="B187:C187"/>
    <mergeCell ref="B188:C188"/>
    <mergeCell ref="B198:C198"/>
    <mergeCell ref="B206:C206"/>
  </mergeCells>
  <hyperlinks>
    <hyperlink ref="I1" location="Index!B2" display="Index" xr:uid="{DEC53566-C5B5-405F-B3A6-01880C2F73B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0B07F-EFC4-4BB4-9041-4432796A1760}">
  <sheetPr>
    <outlinePr summaryBelow="0" summaryRight="0"/>
  </sheetPr>
  <dimension ref="A1:Q127"/>
  <sheetViews>
    <sheetView showGridLines="0" workbookViewId="0">
      <selection sqref="A1:H1"/>
    </sheetView>
  </sheetViews>
  <sheetFormatPr defaultRowHeight="12.75" x14ac:dyDescent="0.2"/>
  <cols>
    <col min="1" max="1" width="5.85546875" style="114" bestFit="1" customWidth="1"/>
    <col min="2" max="2" width="19.5703125" style="114" bestFit="1" customWidth="1"/>
    <col min="3" max="3" width="39.140625" style="114" bestFit="1" customWidth="1"/>
    <col min="4" max="4" width="17.710937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871</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343</v>
      </c>
      <c r="C7" s="122" t="s">
        <v>344</v>
      </c>
      <c r="D7" s="122" t="s">
        <v>48</v>
      </c>
      <c r="E7" s="123">
        <v>550000</v>
      </c>
      <c r="F7" s="124">
        <v>9526.2749999999996</v>
      </c>
      <c r="G7" s="125">
        <v>8.119026E-2</v>
      </c>
      <c r="H7" s="120" t="s">
        <v>151</v>
      </c>
      <c r="J7" s="8"/>
    </row>
    <row r="8" spans="1:10" x14ac:dyDescent="0.2">
      <c r="A8" s="121">
        <v>2</v>
      </c>
      <c r="B8" s="122" t="s">
        <v>46</v>
      </c>
      <c r="C8" s="122" t="s">
        <v>47</v>
      </c>
      <c r="D8" s="122" t="s">
        <v>48</v>
      </c>
      <c r="E8" s="123">
        <v>562000</v>
      </c>
      <c r="F8" s="124">
        <v>7154.26</v>
      </c>
      <c r="G8" s="125">
        <v>6.097412E-2</v>
      </c>
      <c r="H8" s="120" t="s">
        <v>151</v>
      </c>
      <c r="J8" s="8"/>
    </row>
    <row r="9" spans="1:10" x14ac:dyDescent="0.2">
      <c r="A9" s="121">
        <v>3</v>
      </c>
      <c r="B9" s="122" t="s">
        <v>20</v>
      </c>
      <c r="C9" s="122" t="s">
        <v>21</v>
      </c>
      <c r="D9" s="122" t="s">
        <v>22</v>
      </c>
      <c r="E9" s="123">
        <v>220000</v>
      </c>
      <c r="F9" s="124">
        <v>6496.93</v>
      </c>
      <c r="G9" s="125">
        <v>5.537185E-2</v>
      </c>
      <c r="H9" s="120" t="s">
        <v>151</v>
      </c>
      <c r="J9" s="8"/>
    </row>
    <row r="10" spans="1:10" x14ac:dyDescent="0.2">
      <c r="A10" s="121">
        <v>4</v>
      </c>
      <c r="B10" s="122" t="s">
        <v>14</v>
      </c>
      <c r="C10" s="122" t="s">
        <v>15</v>
      </c>
      <c r="D10" s="122" t="s">
        <v>16</v>
      </c>
      <c r="E10" s="123">
        <v>345000</v>
      </c>
      <c r="F10" s="124">
        <v>5897.9475000000002</v>
      </c>
      <c r="G10" s="125">
        <v>5.0266859999999997E-2</v>
      </c>
      <c r="H10" s="120" t="s">
        <v>151</v>
      </c>
      <c r="J10" s="8"/>
    </row>
    <row r="11" spans="1:10" x14ac:dyDescent="0.2">
      <c r="A11" s="121">
        <v>5</v>
      </c>
      <c r="B11" s="122" t="s">
        <v>345</v>
      </c>
      <c r="C11" s="122" t="s">
        <v>346</v>
      </c>
      <c r="D11" s="122" t="s">
        <v>200</v>
      </c>
      <c r="E11" s="123">
        <v>2114000</v>
      </c>
      <c r="F11" s="124">
        <v>5777.5619999999999</v>
      </c>
      <c r="G11" s="125">
        <v>4.9240840000000001E-2</v>
      </c>
      <c r="H11" s="120" t="s">
        <v>151</v>
      </c>
      <c r="J11" s="8"/>
    </row>
    <row r="12" spans="1:10" ht="15" x14ac:dyDescent="0.2">
      <c r="A12" s="121">
        <v>6</v>
      </c>
      <c r="B12" s="122" t="s">
        <v>11</v>
      </c>
      <c r="C12" s="122" t="s">
        <v>12</v>
      </c>
      <c r="D12" s="122" t="s">
        <v>13</v>
      </c>
      <c r="E12" s="123">
        <v>152535</v>
      </c>
      <c r="F12" s="124">
        <v>5606.5001924999997</v>
      </c>
      <c r="G12" s="125">
        <v>4.778292E-2</v>
      </c>
      <c r="H12" s="120" t="s">
        <v>151</v>
      </c>
      <c r="J12" s="11"/>
    </row>
    <row r="13" spans="1:10" x14ac:dyDescent="0.2">
      <c r="A13" s="121">
        <v>7</v>
      </c>
      <c r="B13" s="122" t="s">
        <v>63</v>
      </c>
      <c r="C13" s="122" t="s">
        <v>64</v>
      </c>
      <c r="D13" s="122" t="s">
        <v>48</v>
      </c>
      <c r="E13" s="123">
        <v>671000</v>
      </c>
      <c r="F13" s="124">
        <v>5286.8090000000002</v>
      </c>
      <c r="G13" s="125">
        <v>4.5058260000000003E-2</v>
      </c>
      <c r="H13" s="120" t="s">
        <v>151</v>
      </c>
      <c r="J13" s="8"/>
    </row>
    <row r="14" spans="1:10" ht="25.5" x14ac:dyDescent="0.2">
      <c r="A14" s="121">
        <v>8</v>
      </c>
      <c r="B14" s="122" t="s">
        <v>403</v>
      </c>
      <c r="C14" s="122" t="s">
        <v>404</v>
      </c>
      <c r="D14" s="122" t="s">
        <v>25</v>
      </c>
      <c r="E14" s="123">
        <v>147000</v>
      </c>
      <c r="F14" s="124">
        <v>4109.4584999999997</v>
      </c>
      <c r="G14" s="125">
        <v>3.5023970000000001E-2</v>
      </c>
      <c r="H14" s="120" t="s">
        <v>151</v>
      </c>
      <c r="J14" s="8"/>
    </row>
    <row r="15" spans="1:10" x14ac:dyDescent="0.2">
      <c r="A15" s="121">
        <v>9</v>
      </c>
      <c r="B15" s="122" t="s">
        <v>36</v>
      </c>
      <c r="C15" s="122" t="s">
        <v>37</v>
      </c>
      <c r="D15" s="122" t="s">
        <v>38</v>
      </c>
      <c r="E15" s="123">
        <v>1378000</v>
      </c>
      <c r="F15" s="124">
        <v>3928.6779999999999</v>
      </c>
      <c r="G15" s="125">
        <v>3.3483220000000001E-2</v>
      </c>
      <c r="H15" s="120" t="s">
        <v>151</v>
      </c>
      <c r="J15" s="8" t="s">
        <v>1009</v>
      </c>
    </row>
    <row r="16" spans="1:10" x14ac:dyDescent="0.2">
      <c r="A16" s="121">
        <v>10</v>
      </c>
      <c r="B16" s="122" t="s">
        <v>347</v>
      </c>
      <c r="C16" s="122" t="s">
        <v>348</v>
      </c>
      <c r="D16" s="122" t="s">
        <v>216</v>
      </c>
      <c r="E16" s="123">
        <v>204000</v>
      </c>
      <c r="F16" s="124">
        <v>3826.2240000000002</v>
      </c>
      <c r="G16" s="125">
        <v>3.2610029999999998E-2</v>
      </c>
      <c r="H16" s="120" t="s">
        <v>151</v>
      </c>
      <c r="J16" s="8"/>
    </row>
    <row r="17" spans="1:10" ht="25.5" x14ac:dyDescent="0.2">
      <c r="A17" s="121">
        <v>11</v>
      </c>
      <c r="B17" s="122" t="s">
        <v>353</v>
      </c>
      <c r="C17" s="122" t="s">
        <v>354</v>
      </c>
      <c r="D17" s="122" t="s">
        <v>205</v>
      </c>
      <c r="E17" s="123">
        <v>195000</v>
      </c>
      <c r="F17" s="124">
        <v>3757.0650000000001</v>
      </c>
      <c r="G17" s="125">
        <v>3.2020600000000003E-2</v>
      </c>
      <c r="H17" s="120" t="s">
        <v>151</v>
      </c>
      <c r="J17" s="8"/>
    </row>
    <row r="18" spans="1:10" x14ac:dyDescent="0.2">
      <c r="A18" s="121">
        <v>12</v>
      </c>
      <c r="B18" s="122" t="s">
        <v>242</v>
      </c>
      <c r="C18" s="122" t="s">
        <v>243</v>
      </c>
      <c r="D18" s="122" t="s">
        <v>200</v>
      </c>
      <c r="E18" s="123">
        <v>46000</v>
      </c>
      <c r="F18" s="124">
        <v>3726.3220000000001</v>
      </c>
      <c r="G18" s="125">
        <v>3.1758590000000003E-2</v>
      </c>
      <c r="H18" s="120" t="s">
        <v>151</v>
      </c>
      <c r="J18" s="8"/>
    </row>
    <row r="19" spans="1:10" ht="25.5" x14ac:dyDescent="0.2">
      <c r="A19" s="121">
        <v>13</v>
      </c>
      <c r="B19" s="122" t="s">
        <v>275</v>
      </c>
      <c r="C19" s="122" t="s">
        <v>276</v>
      </c>
      <c r="D19" s="122" t="s">
        <v>121</v>
      </c>
      <c r="E19" s="123">
        <v>225000</v>
      </c>
      <c r="F19" s="124">
        <v>3618</v>
      </c>
      <c r="G19" s="125">
        <v>3.0835390000000001E-2</v>
      </c>
      <c r="H19" s="120" t="s">
        <v>151</v>
      </c>
      <c r="J19" s="8"/>
    </row>
    <row r="20" spans="1:10" x14ac:dyDescent="0.2">
      <c r="A20" s="121">
        <v>14</v>
      </c>
      <c r="B20" s="122" t="s">
        <v>551</v>
      </c>
      <c r="C20" s="122" t="s">
        <v>552</v>
      </c>
      <c r="D20" s="122" t="s">
        <v>216</v>
      </c>
      <c r="E20" s="123">
        <v>225000</v>
      </c>
      <c r="F20" s="124">
        <v>3548.7</v>
      </c>
      <c r="G20" s="125">
        <v>3.0244759999999999E-2</v>
      </c>
      <c r="H20" s="120" t="s">
        <v>151</v>
      </c>
      <c r="J20" s="8"/>
    </row>
    <row r="21" spans="1:10" x14ac:dyDescent="0.2">
      <c r="A21" s="121">
        <v>15</v>
      </c>
      <c r="B21" s="122" t="s">
        <v>727</v>
      </c>
      <c r="C21" s="122" t="s">
        <v>728</v>
      </c>
      <c r="D21" s="122" t="s">
        <v>200</v>
      </c>
      <c r="E21" s="123">
        <v>69000</v>
      </c>
      <c r="F21" s="124">
        <v>3516.4470000000001</v>
      </c>
      <c r="G21" s="125">
        <v>2.9969869999999999E-2</v>
      </c>
      <c r="H21" s="120" t="s">
        <v>151</v>
      </c>
      <c r="J21" s="8"/>
    </row>
    <row r="22" spans="1:10" ht="25.5" x14ac:dyDescent="0.2">
      <c r="A22" s="121">
        <v>16</v>
      </c>
      <c r="B22" s="122" t="s">
        <v>380</v>
      </c>
      <c r="C22" s="122" t="s">
        <v>381</v>
      </c>
      <c r="D22" s="122" t="s">
        <v>205</v>
      </c>
      <c r="E22" s="123">
        <v>233000</v>
      </c>
      <c r="F22" s="124">
        <v>3403.431</v>
      </c>
      <c r="G22" s="125">
        <v>2.900666E-2</v>
      </c>
      <c r="H22" s="120" t="s">
        <v>151</v>
      </c>
      <c r="J22" s="11"/>
    </row>
    <row r="23" spans="1:10" x14ac:dyDescent="0.2">
      <c r="A23" s="121">
        <v>17</v>
      </c>
      <c r="B23" s="122" t="s">
        <v>661</v>
      </c>
      <c r="C23" s="122" t="s">
        <v>662</v>
      </c>
      <c r="D23" s="122" t="s">
        <v>48</v>
      </c>
      <c r="E23" s="123">
        <v>2925000</v>
      </c>
      <c r="F23" s="124">
        <v>3256.4025000000001</v>
      </c>
      <c r="G23" s="125">
        <v>2.7753570000000002E-2</v>
      </c>
      <c r="H23" s="120" t="s">
        <v>151</v>
      </c>
      <c r="J23" s="8"/>
    </row>
    <row r="24" spans="1:10" x14ac:dyDescent="0.2">
      <c r="A24" s="121">
        <v>18</v>
      </c>
      <c r="B24" s="122" t="s">
        <v>704</v>
      </c>
      <c r="C24" s="122" t="s">
        <v>705</v>
      </c>
      <c r="D24" s="122" t="s">
        <v>241</v>
      </c>
      <c r="E24" s="123">
        <v>43000</v>
      </c>
      <c r="F24" s="124">
        <v>3112.2109999999998</v>
      </c>
      <c r="G24" s="125">
        <v>2.6524659999999999E-2</v>
      </c>
      <c r="H24" s="120" t="s">
        <v>151</v>
      </c>
      <c r="J24" s="8"/>
    </row>
    <row r="25" spans="1:10" x14ac:dyDescent="0.2">
      <c r="A25" s="121">
        <v>19</v>
      </c>
      <c r="B25" s="122" t="s">
        <v>130</v>
      </c>
      <c r="C25" s="122" t="s">
        <v>131</v>
      </c>
      <c r="D25" s="122" t="s">
        <v>55</v>
      </c>
      <c r="E25" s="123">
        <v>36000</v>
      </c>
      <c r="F25" s="124">
        <v>2899.8</v>
      </c>
      <c r="G25" s="125">
        <v>2.471433E-2</v>
      </c>
      <c r="H25" s="120" t="s">
        <v>151</v>
      </c>
      <c r="J25" s="8"/>
    </row>
    <row r="26" spans="1:10" x14ac:dyDescent="0.2">
      <c r="A26" s="121">
        <v>20</v>
      </c>
      <c r="B26" s="122" t="s">
        <v>126</v>
      </c>
      <c r="C26" s="122" t="s">
        <v>127</v>
      </c>
      <c r="D26" s="122" t="s">
        <v>55</v>
      </c>
      <c r="E26" s="123">
        <v>414000</v>
      </c>
      <c r="F26" s="124">
        <v>2835.4859999999999</v>
      </c>
      <c r="G26" s="125">
        <v>2.4166199999999999E-2</v>
      </c>
      <c r="H26" s="120" t="s">
        <v>151</v>
      </c>
      <c r="J26" s="8"/>
    </row>
    <row r="27" spans="1:10" ht="25.5" x14ac:dyDescent="0.2">
      <c r="A27" s="121">
        <v>21</v>
      </c>
      <c r="B27" s="122" t="s">
        <v>41</v>
      </c>
      <c r="C27" s="122" t="s">
        <v>42</v>
      </c>
      <c r="D27" s="122" t="s">
        <v>16</v>
      </c>
      <c r="E27" s="123">
        <v>187000</v>
      </c>
      <c r="F27" s="124">
        <v>2699.3449999999998</v>
      </c>
      <c r="G27" s="125">
        <v>2.3005899999999999E-2</v>
      </c>
      <c r="H27" s="120" t="s">
        <v>151</v>
      </c>
      <c r="J27" s="8" t="s">
        <v>1010</v>
      </c>
    </row>
    <row r="28" spans="1:10" x14ac:dyDescent="0.2">
      <c r="A28" s="121">
        <v>22</v>
      </c>
      <c r="B28" s="122" t="s">
        <v>83</v>
      </c>
      <c r="C28" s="122" t="s">
        <v>84</v>
      </c>
      <c r="D28" s="122" t="s">
        <v>85</v>
      </c>
      <c r="E28" s="123">
        <v>55000</v>
      </c>
      <c r="F28" s="124">
        <v>2633.0974999999999</v>
      </c>
      <c r="G28" s="125">
        <v>2.2441289999999999E-2</v>
      </c>
      <c r="H28" s="120" t="s">
        <v>151</v>
      </c>
      <c r="J28" s="8"/>
    </row>
    <row r="29" spans="1:10" ht="25.5" x14ac:dyDescent="0.2">
      <c r="A29" s="121">
        <v>23</v>
      </c>
      <c r="B29" s="122" t="s">
        <v>304</v>
      </c>
      <c r="C29" s="122" t="s">
        <v>305</v>
      </c>
      <c r="D29" s="122" t="s">
        <v>205</v>
      </c>
      <c r="E29" s="123">
        <v>550000</v>
      </c>
      <c r="F29" s="124">
        <v>2549.8000000000002</v>
      </c>
      <c r="G29" s="125">
        <v>2.1731360000000002E-2</v>
      </c>
      <c r="H29" s="120" t="s">
        <v>151</v>
      </c>
      <c r="J29" s="8"/>
    </row>
    <row r="30" spans="1:10" x14ac:dyDescent="0.2">
      <c r="A30" s="121">
        <v>24</v>
      </c>
      <c r="B30" s="122" t="s">
        <v>59</v>
      </c>
      <c r="C30" s="122" t="s">
        <v>60</v>
      </c>
      <c r="D30" s="122" t="s">
        <v>55</v>
      </c>
      <c r="E30" s="123">
        <v>607000</v>
      </c>
      <c r="F30" s="124">
        <v>2544.2404999999999</v>
      </c>
      <c r="G30" s="125">
        <v>2.1683979999999999E-2</v>
      </c>
      <c r="H30" s="120" t="s">
        <v>151</v>
      </c>
      <c r="J30" s="8"/>
    </row>
    <row r="31" spans="1:10" x14ac:dyDescent="0.2">
      <c r="A31" s="121">
        <v>25</v>
      </c>
      <c r="B31" s="122" t="s">
        <v>259</v>
      </c>
      <c r="C31" s="122" t="s">
        <v>260</v>
      </c>
      <c r="D31" s="122" t="s">
        <v>261</v>
      </c>
      <c r="E31" s="123">
        <v>108000</v>
      </c>
      <c r="F31" s="124">
        <v>2349.4859999999999</v>
      </c>
      <c r="G31" s="125">
        <v>2.0024130000000001E-2</v>
      </c>
      <c r="H31" s="120" t="s">
        <v>151</v>
      </c>
      <c r="J31" s="8"/>
    </row>
    <row r="32" spans="1:10" x14ac:dyDescent="0.2">
      <c r="A32" s="121">
        <v>26</v>
      </c>
      <c r="B32" s="122" t="s">
        <v>663</v>
      </c>
      <c r="C32" s="122" t="s">
        <v>664</v>
      </c>
      <c r="D32" s="122" t="s">
        <v>121</v>
      </c>
      <c r="E32" s="123">
        <v>28828</v>
      </c>
      <c r="F32" s="124">
        <v>2220.62084</v>
      </c>
      <c r="G32" s="125">
        <v>1.8925839999999999E-2</v>
      </c>
      <c r="H32" s="120" t="s">
        <v>151</v>
      </c>
      <c r="J32" s="8"/>
    </row>
    <row r="33" spans="1:10" x14ac:dyDescent="0.2">
      <c r="A33" s="121">
        <v>27</v>
      </c>
      <c r="B33" s="122" t="s">
        <v>697</v>
      </c>
      <c r="C33" s="122" t="s">
        <v>698</v>
      </c>
      <c r="D33" s="122" t="s">
        <v>58</v>
      </c>
      <c r="E33" s="123">
        <v>380000</v>
      </c>
      <c r="F33" s="124">
        <v>2206.4699999999998</v>
      </c>
      <c r="G33" s="125">
        <v>1.8805240000000001E-2</v>
      </c>
      <c r="H33" s="120" t="s">
        <v>151</v>
      </c>
      <c r="J33" s="8"/>
    </row>
    <row r="34" spans="1:10" x14ac:dyDescent="0.2">
      <c r="A34" s="121">
        <v>28</v>
      </c>
      <c r="B34" s="122" t="s">
        <v>382</v>
      </c>
      <c r="C34" s="122" t="s">
        <v>383</v>
      </c>
      <c r="D34" s="122" t="s">
        <v>38</v>
      </c>
      <c r="E34" s="123">
        <v>34400</v>
      </c>
      <c r="F34" s="124">
        <v>1520.7036000000001</v>
      </c>
      <c r="G34" s="125">
        <v>1.2960609999999999E-2</v>
      </c>
      <c r="H34" s="120" t="s">
        <v>151</v>
      </c>
      <c r="J34" s="8"/>
    </row>
    <row r="35" spans="1:10" x14ac:dyDescent="0.2">
      <c r="A35" s="121">
        <v>29</v>
      </c>
      <c r="B35" s="122" t="s">
        <v>310</v>
      </c>
      <c r="C35" s="122" t="s">
        <v>311</v>
      </c>
      <c r="D35" s="122" t="s">
        <v>70</v>
      </c>
      <c r="E35" s="123">
        <v>203225</v>
      </c>
      <c r="F35" s="124">
        <v>1510.7746500000001</v>
      </c>
      <c r="G35" s="125">
        <v>1.287599E-2</v>
      </c>
      <c r="H35" s="120" t="s">
        <v>151</v>
      </c>
      <c r="J35" s="8"/>
    </row>
    <row r="36" spans="1:10" ht="25.5" x14ac:dyDescent="0.2">
      <c r="A36" s="121">
        <v>30</v>
      </c>
      <c r="B36" s="122" t="s">
        <v>91</v>
      </c>
      <c r="C36" s="122" t="s">
        <v>92</v>
      </c>
      <c r="D36" s="122" t="s">
        <v>93</v>
      </c>
      <c r="E36" s="123">
        <v>85000</v>
      </c>
      <c r="F36" s="124">
        <v>1230.97</v>
      </c>
      <c r="G36" s="125">
        <v>1.049128E-2</v>
      </c>
      <c r="H36" s="120" t="s">
        <v>151</v>
      </c>
      <c r="J36" s="8"/>
    </row>
    <row r="37" spans="1:10" x14ac:dyDescent="0.2">
      <c r="A37" s="118"/>
      <c r="B37" s="118"/>
      <c r="C37" s="119" t="s">
        <v>150</v>
      </c>
      <c r="D37" s="118"/>
      <c r="E37" s="118" t="s">
        <v>151</v>
      </c>
      <c r="F37" s="126">
        <v>112750.0167825</v>
      </c>
      <c r="G37" s="127">
        <v>0.96094257999999999</v>
      </c>
      <c r="H37" s="120" t="s">
        <v>151</v>
      </c>
      <c r="J37" s="8"/>
    </row>
    <row r="38" spans="1:10" x14ac:dyDescent="0.2">
      <c r="A38" s="118"/>
      <c r="B38" s="118"/>
      <c r="C38" s="128"/>
      <c r="D38" s="118"/>
      <c r="E38" s="118"/>
      <c r="F38" s="129"/>
      <c r="G38" s="129"/>
      <c r="H38" s="120" t="s">
        <v>151</v>
      </c>
      <c r="J38" s="8"/>
    </row>
    <row r="39" spans="1:10" x14ac:dyDescent="0.2">
      <c r="A39" s="118"/>
      <c r="B39" s="118"/>
      <c r="C39" s="119" t="s">
        <v>152</v>
      </c>
      <c r="D39" s="118"/>
      <c r="E39" s="118"/>
      <c r="F39" s="118"/>
      <c r="G39" s="118"/>
      <c r="H39" s="120" t="s">
        <v>151</v>
      </c>
      <c r="J39" s="8"/>
    </row>
    <row r="40" spans="1:10" x14ac:dyDescent="0.2">
      <c r="A40" s="118"/>
      <c r="B40" s="118"/>
      <c r="C40" s="119" t="s">
        <v>150</v>
      </c>
      <c r="D40" s="118"/>
      <c r="E40" s="118" t="s">
        <v>151</v>
      </c>
      <c r="F40" s="130" t="s">
        <v>153</v>
      </c>
      <c r="G40" s="127">
        <v>0</v>
      </c>
      <c r="H40" s="120" t="s">
        <v>151</v>
      </c>
      <c r="J40" s="8"/>
    </row>
    <row r="41" spans="1:10" x14ac:dyDescent="0.2">
      <c r="A41" s="118"/>
      <c r="B41" s="118"/>
      <c r="C41" s="128"/>
      <c r="D41" s="118"/>
      <c r="E41" s="118"/>
      <c r="F41" s="129"/>
      <c r="G41" s="129"/>
      <c r="H41" s="120" t="s">
        <v>151</v>
      </c>
      <c r="J41" s="8"/>
    </row>
    <row r="42" spans="1:10" x14ac:dyDescent="0.2">
      <c r="A42" s="118"/>
      <c r="B42" s="118"/>
      <c r="C42" s="119" t="s">
        <v>154</v>
      </c>
      <c r="D42" s="118"/>
      <c r="E42" s="118"/>
      <c r="F42" s="118"/>
      <c r="G42" s="118"/>
      <c r="H42" s="120" t="s">
        <v>151</v>
      </c>
      <c r="J42" s="8"/>
    </row>
    <row r="43" spans="1:10" x14ac:dyDescent="0.2">
      <c r="A43" s="118"/>
      <c r="B43" s="118"/>
      <c r="C43" s="119" t="s">
        <v>150</v>
      </c>
      <c r="D43" s="118"/>
      <c r="E43" s="118" t="s">
        <v>151</v>
      </c>
      <c r="F43" s="130" t="s">
        <v>153</v>
      </c>
      <c r="G43" s="127">
        <v>0</v>
      </c>
      <c r="H43" s="120" t="s">
        <v>151</v>
      </c>
      <c r="J43" s="8"/>
    </row>
    <row r="44" spans="1:10" x14ac:dyDescent="0.2">
      <c r="A44" s="118"/>
      <c r="B44" s="118"/>
      <c r="C44" s="128"/>
      <c r="D44" s="118"/>
      <c r="E44" s="118"/>
      <c r="F44" s="129"/>
      <c r="G44" s="129"/>
      <c r="H44" s="120" t="s">
        <v>151</v>
      </c>
      <c r="J44" s="8"/>
    </row>
    <row r="45" spans="1:10" x14ac:dyDescent="0.2">
      <c r="A45" s="118"/>
      <c r="B45" s="118"/>
      <c r="C45" s="119" t="s">
        <v>155</v>
      </c>
      <c r="D45" s="118"/>
      <c r="E45" s="118"/>
      <c r="F45" s="118"/>
      <c r="G45" s="118"/>
      <c r="H45" s="120" t="s">
        <v>151</v>
      </c>
      <c r="J45" s="8"/>
    </row>
    <row r="46" spans="1:10" x14ac:dyDescent="0.2">
      <c r="A46" s="118"/>
      <c r="B46" s="118"/>
      <c r="C46" s="119" t="s">
        <v>150</v>
      </c>
      <c r="D46" s="118"/>
      <c r="E46" s="118" t="s">
        <v>151</v>
      </c>
      <c r="F46" s="130" t="s">
        <v>153</v>
      </c>
      <c r="G46" s="127">
        <v>0</v>
      </c>
      <c r="H46" s="120" t="s">
        <v>151</v>
      </c>
      <c r="J46" s="8"/>
    </row>
    <row r="47" spans="1:10" x14ac:dyDescent="0.2">
      <c r="A47" s="118"/>
      <c r="B47" s="118"/>
      <c r="C47" s="128"/>
      <c r="D47" s="118"/>
      <c r="E47" s="118"/>
      <c r="F47" s="129"/>
      <c r="G47" s="129"/>
      <c r="H47" s="120" t="s">
        <v>151</v>
      </c>
      <c r="J47" s="8"/>
    </row>
    <row r="48" spans="1:10" x14ac:dyDescent="0.2">
      <c r="A48" s="118"/>
      <c r="B48" s="118"/>
      <c r="C48" s="119" t="s">
        <v>156</v>
      </c>
      <c r="D48" s="118"/>
      <c r="E48" s="118"/>
      <c r="F48" s="129"/>
      <c r="G48" s="129"/>
      <c r="H48" s="120" t="s">
        <v>151</v>
      </c>
      <c r="J48" s="8"/>
    </row>
    <row r="49" spans="1:10" x14ac:dyDescent="0.2">
      <c r="A49" s="118"/>
      <c r="B49" s="118"/>
      <c r="C49" s="119" t="s">
        <v>150</v>
      </c>
      <c r="D49" s="118"/>
      <c r="E49" s="118" t="s">
        <v>151</v>
      </c>
      <c r="F49" s="130" t="s">
        <v>153</v>
      </c>
      <c r="G49" s="127">
        <v>0</v>
      </c>
      <c r="H49" s="120" t="s">
        <v>151</v>
      </c>
      <c r="J49" s="8"/>
    </row>
    <row r="50" spans="1:10" x14ac:dyDescent="0.2">
      <c r="A50" s="118"/>
      <c r="B50" s="118"/>
      <c r="C50" s="128"/>
      <c r="D50" s="118"/>
      <c r="E50" s="118"/>
      <c r="F50" s="129"/>
      <c r="G50" s="129"/>
      <c r="H50" s="120" t="s">
        <v>151</v>
      </c>
      <c r="J50" s="8"/>
    </row>
    <row r="51" spans="1:10" x14ac:dyDescent="0.2">
      <c r="A51" s="118"/>
      <c r="B51" s="118"/>
      <c r="C51" s="119" t="s">
        <v>157</v>
      </c>
      <c r="D51" s="118"/>
      <c r="E51" s="118"/>
      <c r="F51" s="129"/>
      <c r="G51" s="129"/>
      <c r="H51" s="120" t="s">
        <v>151</v>
      </c>
      <c r="J51" s="8"/>
    </row>
    <row r="52" spans="1:10" x14ac:dyDescent="0.2">
      <c r="A52" s="118"/>
      <c r="B52" s="118"/>
      <c r="C52" s="119" t="s">
        <v>150</v>
      </c>
      <c r="D52" s="118"/>
      <c r="E52" s="118" t="s">
        <v>151</v>
      </c>
      <c r="F52" s="130" t="s">
        <v>153</v>
      </c>
      <c r="G52" s="127">
        <v>0</v>
      </c>
      <c r="H52" s="120" t="s">
        <v>151</v>
      </c>
      <c r="J52" s="8"/>
    </row>
    <row r="53" spans="1:10" x14ac:dyDescent="0.2">
      <c r="A53" s="118"/>
      <c r="B53" s="118"/>
      <c r="C53" s="128"/>
      <c r="D53" s="118"/>
      <c r="E53" s="118"/>
      <c r="F53" s="129"/>
      <c r="G53" s="129"/>
      <c r="H53" s="120" t="s">
        <v>151</v>
      </c>
      <c r="J53" s="8"/>
    </row>
    <row r="54" spans="1:10" x14ac:dyDescent="0.2">
      <c r="A54" s="118"/>
      <c r="B54" s="118"/>
      <c r="C54" s="119" t="s">
        <v>158</v>
      </c>
      <c r="D54" s="118"/>
      <c r="E54" s="118"/>
      <c r="F54" s="126">
        <v>112750.0167825</v>
      </c>
      <c r="G54" s="127">
        <v>0.96094257999999999</v>
      </c>
      <c r="H54" s="120" t="s">
        <v>151</v>
      </c>
      <c r="J54" s="8"/>
    </row>
    <row r="55" spans="1:10" x14ac:dyDescent="0.2">
      <c r="A55" s="118"/>
      <c r="B55" s="118"/>
      <c r="C55" s="128"/>
      <c r="D55" s="118"/>
      <c r="E55" s="118"/>
      <c r="F55" s="129"/>
      <c r="G55" s="129"/>
      <c r="H55" s="120" t="s">
        <v>151</v>
      </c>
      <c r="J55" s="8"/>
    </row>
    <row r="56" spans="1:10" x14ac:dyDescent="0.2">
      <c r="A56" s="118"/>
      <c r="B56" s="118"/>
      <c r="C56" s="119" t="s">
        <v>159</v>
      </c>
      <c r="D56" s="118"/>
      <c r="E56" s="118"/>
      <c r="F56" s="129"/>
      <c r="G56" s="129"/>
      <c r="H56" s="120" t="s">
        <v>151</v>
      </c>
      <c r="J56" s="8"/>
    </row>
    <row r="57" spans="1:10" x14ac:dyDescent="0.2">
      <c r="A57" s="118"/>
      <c r="B57" s="118"/>
      <c r="C57" s="119" t="s">
        <v>10</v>
      </c>
      <c r="D57" s="118"/>
      <c r="E57" s="118"/>
      <c r="F57" s="129"/>
      <c r="G57" s="129"/>
      <c r="H57" s="120" t="s">
        <v>151</v>
      </c>
      <c r="J57" s="8"/>
    </row>
    <row r="58" spans="1:10" x14ac:dyDescent="0.2">
      <c r="A58" s="118"/>
      <c r="B58" s="118"/>
      <c r="C58" s="119" t="s">
        <v>150</v>
      </c>
      <c r="D58" s="118"/>
      <c r="E58" s="118" t="s">
        <v>151</v>
      </c>
      <c r="F58" s="130" t="s">
        <v>153</v>
      </c>
      <c r="G58" s="127">
        <v>0</v>
      </c>
      <c r="H58" s="120" t="s">
        <v>151</v>
      </c>
      <c r="J58" s="8"/>
    </row>
    <row r="59" spans="1:10" x14ac:dyDescent="0.2">
      <c r="A59" s="118"/>
      <c r="B59" s="118"/>
      <c r="C59" s="128"/>
      <c r="D59" s="118"/>
      <c r="E59" s="118"/>
      <c r="F59" s="129"/>
      <c r="G59" s="129"/>
      <c r="H59" s="120" t="s">
        <v>151</v>
      </c>
      <c r="J59" s="8"/>
    </row>
    <row r="60" spans="1:10" x14ac:dyDescent="0.2">
      <c r="A60" s="118"/>
      <c r="B60" s="118"/>
      <c r="C60" s="119" t="s">
        <v>160</v>
      </c>
      <c r="D60" s="118"/>
      <c r="E60" s="118"/>
      <c r="F60" s="118"/>
      <c r="G60" s="118"/>
      <c r="H60" s="120" t="s">
        <v>151</v>
      </c>
      <c r="J60" s="8"/>
    </row>
    <row r="61" spans="1:10" x14ac:dyDescent="0.2">
      <c r="A61" s="118"/>
      <c r="B61" s="118"/>
      <c r="C61" s="119" t="s">
        <v>150</v>
      </c>
      <c r="D61" s="118"/>
      <c r="E61" s="118" t="s">
        <v>151</v>
      </c>
      <c r="F61" s="130" t="s">
        <v>153</v>
      </c>
      <c r="G61" s="127">
        <v>0</v>
      </c>
      <c r="H61" s="120" t="s">
        <v>151</v>
      </c>
      <c r="J61" s="8"/>
    </row>
    <row r="62" spans="1:10" x14ac:dyDescent="0.2">
      <c r="A62" s="118"/>
      <c r="B62" s="118"/>
      <c r="C62" s="128"/>
      <c r="D62" s="118"/>
      <c r="E62" s="118"/>
      <c r="F62" s="129"/>
      <c r="G62" s="129"/>
      <c r="H62" s="120" t="s">
        <v>151</v>
      </c>
      <c r="J62" s="8"/>
    </row>
    <row r="63" spans="1:10" x14ac:dyDescent="0.2">
      <c r="A63" s="118"/>
      <c r="B63" s="118"/>
      <c r="C63" s="119" t="s">
        <v>161</v>
      </c>
      <c r="D63" s="118"/>
      <c r="E63" s="118"/>
      <c r="F63" s="118"/>
      <c r="G63" s="118"/>
      <c r="H63" s="120" t="s">
        <v>151</v>
      </c>
      <c r="J63" s="8"/>
    </row>
    <row r="64" spans="1:10" x14ac:dyDescent="0.2">
      <c r="A64" s="118"/>
      <c r="B64" s="118"/>
      <c r="C64" s="119" t="s">
        <v>150</v>
      </c>
      <c r="D64" s="118"/>
      <c r="E64" s="118" t="s">
        <v>151</v>
      </c>
      <c r="F64" s="130" t="s">
        <v>153</v>
      </c>
      <c r="G64" s="127">
        <v>0</v>
      </c>
      <c r="H64" s="120" t="s">
        <v>151</v>
      </c>
      <c r="J64" s="8"/>
    </row>
    <row r="65" spans="1:10" x14ac:dyDescent="0.2">
      <c r="A65" s="118"/>
      <c r="B65" s="118"/>
      <c r="C65" s="128"/>
      <c r="D65" s="118"/>
      <c r="E65" s="118"/>
      <c r="F65" s="129"/>
      <c r="G65" s="129"/>
      <c r="H65" s="120" t="s">
        <v>151</v>
      </c>
      <c r="J65" s="8"/>
    </row>
    <row r="66" spans="1:10" x14ac:dyDescent="0.2">
      <c r="A66" s="118"/>
      <c r="B66" s="118"/>
      <c r="C66" s="119" t="s">
        <v>162</v>
      </c>
      <c r="D66" s="118"/>
      <c r="E66" s="118"/>
      <c r="F66" s="129"/>
      <c r="G66" s="129"/>
      <c r="H66" s="120" t="s">
        <v>151</v>
      </c>
      <c r="J66" s="8"/>
    </row>
    <row r="67" spans="1:10" x14ac:dyDescent="0.2">
      <c r="A67" s="118"/>
      <c r="B67" s="118"/>
      <c r="C67" s="119" t="s">
        <v>150</v>
      </c>
      <c r="D67" s="118"/>
      <c r="E67" s="118" t="s">
        <v>151</v>
      </c>
      <c r="F67" s="130" t="s">
        <v>153</v>
      </c>
      <c r="G67" s="127">
        <v>0</v>
      </c>
      <c r="H67" s="120" t="s">
        <v>151</v>
      </c>
      <c r="J67" s="8"/>
    </row>
    <row r="68" spans="1:10" x14ac:dyDescent="0.2">
      <c r="A68" s="118"/>
      <c r="B68" s="118"/>
      <c r="C68" s="128"/>
      <c r="D68" s="118"/>
      <c r="E68" s="118"/>
      <c r="F68" s="129"/>
      <c r="G68" s="129"/>
      <c r="H68" s="120" t="s">
        <v>151</v>
      </c>
      <c r="J68" s="8"/>
    </row>
    <row r="69" spans="1:10" x14ac:dyDescent="0.2">
      <c r="A69" s="118"/>
      <c r="B69" s="118"/>
      <c r="C69" s="119" t="s">
        <v>163</v>
      </c>
      <c r="D69" s="118"/>
      <c r="E69" s="118"/>
      <c r="F69" s="126">
        <v>0</v>
      </c>
      <c r="G69" s="127">
        <v>0</v>
      </c>
      <c r="H69" s="120" t="s">
        <v>151</v>
      </c>
      <c r="J69" s="8"/>
    </row>
    <row r="70" spans="1:10" x14ac:dyDescent="0.2">
      <c r="A70" s="118"/>
      <c r="B70" s="118"/>
      <c r="C70" s="128"/>
      <c r="D70" s="118"/>
      <c r="E70" s="118"/>
      <c r="F70" s="129"/>
      <c r="G70" s="129"/>
      <c r="H70" s="120" t="s">
        <v>151</v>
      </c>
      <c r="J70" s="8"/>
    </row>
    <row r="71" spans="1:10" x14ac:dyDescent="0.2">
      <c r="A71" s="118"/>
      <c r="B71" s="118"/>
      <c r="C71" s="119" t="s">
        <v>164</v>
      </c>
      <c r="D71" s="118"/>
      <c r="E71" s="118"/>
      <c r="F71" s="129"/>
      <c r="G71" s="129"/>
      <c r="H71" s="120" t="s">
        <v>151</v>
      </c>
      <c r="J71" s="8"/>
    </row>
    <row r="72" spans="1:10" x14ac:dyDescent="0.2">
      <c r="A72" s="118"/>
      <c r="B72" s="118"/>
      <c r="C72" s="119" t="s">
        <v>165</v>
      </c>
      <c r="D72" s="118"/>
      <c r="E72" s="118"/>
      <c r="F72" s="129"/>
      <c r="G72" s="129"/>
      <c r="H72" s="120" t="s">
        <v>151</v>
      </c>
      <c r="J72" s="8"/>
    </row>
    <row r="73" spans="1:10" x14ac:dyDescent="0.2">
      <c r="A73" s="118"/>
      <c r="B73" s="118"/>
      <c r="C73" s="119" t="s">
        <v>150</v>
      </c>
      <c r="D73" s="118"/>
      <c r="E73" s="118" t="s">
        <v>151</v>
      </c>
      <c r="F73" s="130" t="s">
        <v>153</v>
      </c>
      <c r="G73" s="127">
        <v>0</v>
      </c>
      <c r="H73" s="120" t="s">
        <v>151</v>
      </c>
      <c r="J73" s="8"/>
    </row>
    <row r="74" spans="1:10" x14ac:dyDescent="0.2">
      <c r="A74" s="118"/>
      <c r="B74" s="118"/>
      <c r="C74" s="128"/>
      <c r="D74" s="118"/>
      <c r="E74" s="118"/>
      <c r="F74" s="129"/>
      <c r="G74" s="129"/>
      <c r="H74" s="120" t="s">
        <v>151</v>
      </c>
      <c r="J74" s="8"/>
    </row>
    <row r="75" spans="1:10" x14ac:dyDescent="0.2">
      <c r="A75" s="118"/>
      <c r="B75" s="118"/>
      <c r="C75" s="119" t="s">
        <v>166</v>
      </c>
      <c r="D75" s="118"/>
      <c r="E75" s="118"/>
      <c r="F75" s="129"/>
      <c r="G75" s="129"/>
      <c r="H75" s="120" t="s">
        <v>151</v>
      </c>
      <c r="J75" s="8"/>
    </row>
    <row r="76" spans="1:10" x14ac:dyDescent="0.2">
      <c r="A76" s="118"/>
      <c r="B76" s="118"/>
      <c r="C76" s="119" t="s">
        <v>150</v>
      </c>
      <c r="D76" s="118"/>
      <c r="E76" s="118" t="s">
        <v>151</v>
      </c>
      <c r="F76" s="130" t="s">
        <v>153</v>
      </c>
      <c r="G76" s="127">
        <v>0</v>
      </c>
      <c r="H76" s="120" t="s">
        <v>151</v>
      </c>
      <c r="J76" s="8"/>
    </row>
    <row r="77" spans="1:10" x14ac:dyDescent="0.2">
      <c r="A77" s="118"/>
      <c r="B77" s="118"/>
      <c r="C77" s="128"/>
      <c r="D77" s="118"/>
      <c r="E77" s="118"/>
      <c r="F77" s="129"/>
      <c r="G77" s="129"/>
      <c r="H77" s="120" t="s">
        <v>151</v>
      </c>
      <c r="J77" s="8"/>
    </row>
    <row r="78" spans="1:10" x14ac:dyDescent="0.2">
      <c r="A78" s="118"/>
      <c r="B78" s="118"/>
      <c r="C78" s="119" t="s">
        <v>167</v>
      </c>
      <c r="D78" s="118"/>
      <c r="E78" s="118"/>
      <c r="F78" s="129"/>
      <c r="G78" s="129"/>
      <c r="H78" s="120" t="s">
        <v>151</v>
      </c>
      <c r="J78" s="8"/>
    </row>
    <row r="79" spans="1:10" x14ac:dyDescent="0.2">
      <c r="A79" s="118"/>
      <c r="B79" s="118"/>
      <c r="C79" s="119" t="s">
        <v>150</v>
      </c>
      <c r="D79" s="118"/>
      <c r="E79" s="118" t="s">
        <v>151</v>
      </c>
      <c r="F79" s="130" t="s">
        <v>153</v>
      </c>
      <c r="G79" s="127">
        <v>0</v>
      </c>
      <c r="H79" s="120" t="s">
        <v>151</v>
      </c>
      <c r="J79" s="8"/>
    </row>
    <row r="80" spans="1:10" x14ac:dyDescent="0.2">
      <c r="A80" s="118"/>
      <c r="B80" s="118"/>
      <c r="C80" s="128"/>
      <c r="D80" s="118"/>
      <c r="E80" s="118"/>
      <c r="F80" s="129"/>
      <c r="G80" s="129"/>
      <c r="H80" s="120" t="s">
        <v>151</v>
      </c>
      <c r="J80" s="8"/>
    </row>
    <row r="81" spans="1:10" x14ac:dyDescent="0.2">
      <c r="A81" s="118"/>
      <c r="B81" s="118"/>
      <c r="C81" s="119" t="s">
        <v>168</v>
      </c>
      <c r="D81" s="118"/>
      <c r="E81" s="118"/>
      <c r="F81" s="129"/>
      <c r="G81" s="129"/>
      <c r="H81" s="120" t="s">
        <v>151</v>
      </c>
      <c r="J81" s="8"/>
    </row>
    <row r="82" spans="1:10" x14ac:dyDescent="0.2">
      <c r="A82" s="121">
        <v>1</v>
      </c>
      <c r="B82" s="122"/>
      <c r="C82" s="122" t="s">
        <v>169</v>
      </c>
      <c r="D82" s="122"/>
      <c r="E82" s="131"/>
      <c r="F82" s="124">
        <v>4844.6345610010003</v>
      </c>
      <c r="G82" s="125">
        <v>4.128971E-2</v>
      </c>
      <c r="H82" s="120">
        <v>6.61</v>
      </c>
      <c r="J82" s="8"/>
    </row>
    <row r="83" spans="1:10" x14ac:dyDescent="0.2">
      <c r="A83" s="118"/>
      <c r="B83" s="118"/>
      <c r="C83" s="119" t="s">
        <v>150</v>
      </c>
      <c r="D83" s="118"/>
      <c r="E83" s="118" t="s">
        <v>151</v>
      </c>
      <c r="F83" s="126">
        <v>4844.6345610010003</v>
      </c>
      <c r="G83" s="127">
        <v>4.128971E-2</v>
      </c>
      <c r="H83" s="120" t="s">
        <v>151</v>
      </c>
      <c r="J83" s="8"/>
    </row>
    <row r="84" spans="1:10" x14ac:dyDescent="0.2">
      <c r="A84" s="118"/>
      <c r="B84" s="118"/>
      <c r="C84" s="128"/>
      <c r="D84" s="118"/>
      <c r="E84" s="118"/>
      <c r="F84" s="129"/>
      <c r="G84" s="129"/>
      <c r="H84" s="120" t="s">
        <v>151</v>
      </c>
      <c r="J84" s="8"/>
    </row>
    <row r="85" spans="1:10" x14ac:dyDescent="0.2">
      <c r="A85" s="118"/>
      <c r="B85" s="118"/>
      <c r="C85" s="119" t="s">
        <v>170</v>
      </c>
      <c r="D85" s="118"/>
      <c r="E85" s="118"/>
      <c r="F85" s="126">
        <v>4844.6345610010003</v>
      </c>
      <c r="G85" s="127">
        <v>4.128971E-2</v>
      </c>
      <c r="H85" s="120" t="s">
        <v>151</v>
      </c>
      <c r="J85" s="8"/>
    </row>
    <row r="86" spans="1:10" x14ac:dyDescent="0.2">
      <c r="A86" s="118"/>
      <c r="B86" s="118"/>
      <c r="C86" s="129"/>
      <c r="D86" s="118"/>
      <c r="E86" s="118"/>
      <c r="F86" s="118"/>
      <c r="G86" s="118"/>
      <c r="H86" s="120" t="s">
        <v>151</v>
      </c>
      <c r="J86" s="8"/>
    </row>
    <row r="87" spans="1:10" x14ac:dyDescent="0.2">
      <c r="A87" s="118"/>
      <c r="B87" s="118"/>
      <c r="C87" s="119" t="s">
        <v>171</v>
      </c>
      <c r="D87" s="118"/>
      <c r="E87" s="118"/>
      <c r="F87" s="118"/>
      <c r="G87" s="118"/>
      <c r="H87" s="120" t="s">
        <v>151</v>
      </c>
      <c r="J87" s="8"/>
    </row>
    <row r="88" spans="1:10" x14ac:dyDescent="0.2">
      <c r="A88" s="118"/>
      <c r="B88" s="118"/>
      <c r="C88" s="119" t="s">
        <v>172</v>
      </c>
      <c r="D88" s="118"/>
      <c r="E88" s="118"/>
      <c r="F88" s="118"/>
      <c r="G88" s="118"/>
      <c r="H88" s="120" t="s">
        <v>151</v>
      </c>
      <c r="J88" s="8"/>
    </row>
    <row r="89" spans="1:10" x14ac:dyDescent="0.2">
      <c r="A89" s="118"/>
      <c r="B89" s="118"/>
      <c r="C89" s="119" t="s">
        <v>150</v>
      </c>
      <c r="D89" s="118"/>
      <c r="E89" s="118" t="s">
        <v>151</v>
      </c>
      <c r="F89" s="130" t="s">
        <v>153</v>
      </c>
      <c r="G89" s="127">
        <v>0</v>
      </c>
      <c r="H89" s="120" t="s">
        <v>151</v>
      </c>
      <c r="J89" s="8"/>
    </row>
    <row r="90" spans="1:10" x14ac:dyDescent="0.2">
      <c r="A90" s="118"/>
      <c r="B90" s="118"/>
      <c r="C90" s="128"/>
      <c r="D90" s="118"/>
      <c r="E90" s="118"/>
      <c r="F90" s="129"/>
      <c r="G90" s="129"/>
      <c r="H90" s="120" t="s">
        <v>151</v>
      </c>
      <c r="J90" s="8"/>
    </row>
    <row r="91" spans="1:10" x14ac:dyDescent="0.2">
      <c r="A91" s="118"/>
      <c r="B91" s="118"/>
      <c r="C91" s="119" t="s">
        <v>175</v>
      </c>
      <c r="D91" s="118"/>
      <c r="E91" s="118"/>
      <c r="F91" s="118"/>
      <c r="G91" s="118"/>
      <c r="H91" s="120" t="s">
        <v>151</v>
      </c>
      <c r="J91" s="8"/>
    </row>
    <row r="92" spans="1:10" x14ac:dyDescent="0.2">
      <c r="A92" s="118"/>
      <c r="B92" s="118"/>
      <c r="C92" s="119" t="s">
        <v>176</v>
      </c>
      <c r="D92" s="118"/>
      <c r="E92" s="118"/>
      <c r="F92" s="118"/>
      <c r="G92" s="118"/>
      <c r="H92" s="120" t="s">
        <v>151</v>
      </c>
      <c r="J92" s="8"/>
    </row>
    <row r="93" spans="1:10" x14ac:dyDescent="0.2">
      <c r="A93" s="118"/>
      <c r="B93" s="118"/>
      <c r="C93" s="119" t="s">
        <v>150</v>
      </c>
      <c r="D93" s="118"/>
      <c r="E93" s="118" t="s">
        <v>151</v>
      </c>
      <c r="F93" s="130" t="s">
        <v>153</v>
      </c>
      <c r="G93" s="127">
        <v>0</v>
      </c>
      <c r="H93" s="120" t="s">
        <v>151</v>
      </c>
      <c r="J93" s="8"/>
    </row>
    <row r="94" spans="1:10" x14ac:dyDescent="0.2">
      <c r="A94" s="118"/>
      <c r="B94" s="118"/>
      <c r="C94" s="128"/>
      <c r="D94" s="118"/>
      <c r="E94" s="118"/>
      <c r="F94" s="129"/>
      <c r="G94" s="129"/>
      <c r="H94" s="120" t="s">
        <v>151</v>
      </c>
      <c r="J94" s="8"/>
    </row>
    <row r="95" spans="1:10" x14ac:dyDescent="0.2">
      <c r="A95" s="118"/>
      <c r="B95" s="118"/>
      <c r="C95" s="119" t="s">
        <v>177</v>
      </c>
      <c r="D95" s="118"/>
      <c r="E95" s="118"/>
      <c r="F95" s="129"/>
      <c r="G95" s="129"/>
      <c r="H95" s="120" t="s">
        <v>151</v>
      </c>
      <c r="J95" s="8"/>
    </row>
    <row r="96" spans="1:10" x14ac:dyDescent="0.2">
      <c r="A96" s="118"/>
      <c r="B96" s="118"/>
      <c r="C96" s="119" t="s">
        <v>150</v>
      </c>
      <c r="D96" s="118"/>
      <c r="E96" s="118" t="s">
        <v>151</v>
      </c>
      <c r="F96" s="130" t="s">
        <v>153</v>
      </c>
      <c r="G96" s="127">
        <v>0</v>
      </c>
      <c r="H96" s="120" t="s">
        <v>151</v>
      </c>
      <c r="J96" s="8"/>
    </row>
    <row r="97" spans="1:17" x14ac:dyDescent="0.2">
      <c r="A97" s="118"/>
      <c r="B97" s="118"/>
      <c r="C97" s="128"/>
      <c r="D97" s="118"/>
      <c r="E97" s="118"/>
      <c r="F97" s="129"/>
      <c r="G97" s="129"/>
      <c r="H97" s="120" t="s">
        <v>151</v>
      </c>
      <c r="J97" s="8"/>
    </row>
    <row r="98" spans="1:17" x14ac:dyDescent="0.2">
      <c r="A98" s="131"/>
      <c r="B98" s="122"/>
      <c r="C98" s="122" t="s">
        <v>178</v>
      </c>
      <c r="D98" s="122"/>
      <c r="E98" s="131"/>
      <c r="F98" s="124">
        <v>-261.91884800000003</v>
      </c>
      <c r="G98" s="125">
        <v>-2.2322700000000002E-3</v>
      </c>
      <c r="H98" s="120" t="s">
        <v>151</v>
      </c>
      <c r="J98" s="8"/>
    </row>
    <row r="99" spans="1:17" x14ac:dyDescent="0.2">
      <c r="A99" s="128"/>
      <c r="B99" s="128"/>
      <c r="C99" s="119" t="s">
        <v>179</v>
      </c>
      <c r="D99" s="129"/>
      <c r="E99" s="129"/>
      <c r="F99" s="126">
        <v>117332.732495501</v>
      </c>
      <c r="G99" s="133">
        <v>1.0000000200000001</v>
      </c>
      <c r="H99" s="120" t="s">
        <v>151</v>
      </c>
      <c r="J99" s="8"/>
    </row>
    <row r="100" spans="1:17" x14ac:dyDescent="0.2">
      <c r="A100" s="134"/>
      <c r="B100" s="134"/>
      <c r="C100" s="134"/>
      <c r="D100" s="135"/>
      <c r="E100" s="135"/>
      <c r="F100" s="135"/>
      <c r="G100" s="135"/>
      <c r="J100" s="8"/>
    </row>
    <row r="101" spans="1:17" x14ac:dyDescent="0.2">
      <c r="A101" s="136"/>
      <c r="B101" s="137" t="s">
        <v>888</v>
      </c>
      <c r="C101" s="137"/>
      <c r="D101" s="137"/>
      <c r="E101" s="137"/>
      <c r="F101" s="137"/>
      <c r="G101" s="137"/>
      <c r="H101" s="137"/>
      <c r="J101" s="8"/>
    </row>
    <row r="102" spans="1:17" x14ac:dyDescent="0.2">
      <c r="A102" s="136"/>
      <c r="B102" s="137" t="s">
        <v>889</v>
      </c>
      <c r="C102" s="137"/>
      <c r="D102" s="137"/>
      <c r="E102" s="137"/>
      <c r="F102" s="137"/>
      <c r="G102" s="137"/>
      <c r="H102" s="137"/>
      <c r="J102" s="8"/>
    </row>
    <row r="103" spans="1:17" x14ac:dyDescent="0.2">
      <c r="A103" s="136"/>
      <c r="B103" s="137" t="s">
        <v>890</v>
      </c>
      <c r="C103" s="137"/>
      <c r="D103" s="137"/>
      <c r="E103" s="137"/>
      <c r="F103" s="137"/>
      <c r="G103" s="137"/>
      <c r="H103" s="137"/>
      <c r="J103" s="8"/>
    </row>
    <row r="104" spans="1:17" s="13" customFormat="1" ht="67.5" customHeight="1" x14ac:dyDescent="0.25">
      <c r="A104" s="138"/>
      <c r="B104" s="139" t="s">
        <v>891</v>
      </c>
      <c r="C104" s="139"/>
      <c r="D104" s="139"/>
      <c r="E104" s="139"/>
      <c r="F104" s="139"/>
      <c r="G104" s="139"/>
      <c r="H104" s="139"/>
      <c r="I104" s="114"/>
      <c r="J104" s="8"/>
      <c r="K104"/>
      <c r="L104"/>
      <c r="M104"/>
      <c r="N104"/>
      <c r="O104"/>
      <c r="P104"/>
      <c r="Q104"/>
    </row>
    <row r="105" spans="1:17" x14ac:dyDescent="0.2">
      <c r="A105" s="136"/>
      <c r="B105" s="137" t="s">
        <v>892</v>
      </c>
      <c r="C105" s="137"/>
      <c r="D105" s="137"/>
      <c r="E105" s="137"/>
      <c r="F105" s="137"/>
      <c r="G105" s="137"/>
      <c r="H105" s="137"/>
      <c r="J105" s="8"/>
    </row>
    <row r="106" spans="1:17" x14ac:dyDescent="0.2">
      <c r="A106" s="140"/>
      <c r="B106" s="140"/>
      <c r="C106" s="140"/>
      <c r="D106" s="141"/>
      <c r="E106" s="141"/>
      <c r="F106" s="141"/>
      <c r="G106" s="141"/>
      <c r="J106" s="8"/>
    </row>
    <row r="107" spans="1:17" x14ac:dyDescent="0.2">
      <c r="A107" s="140"/>
      <c r="B107" s="142" t="s">
        <v>180</v>
      </c>
      <c r="C107" s="143"/>
      <c r="D107" s="144"/>
      <c r="E107" s="145"/>
      <c r="F107" s="141"/>
      <c r="G107" s="141"/>
      <c r="J107" s="8"/>
    </row>
    <row r="108" spans="1:17" x14ac:dyDescent="0.2">
      <c r="A108" s="140"/>
      <c r="B108" s="146" t="s">
        <v>181</v>
      </c>
      <c r="C108" s="147"/>
      <c r="D108" s="119" t="s">
        <v>182</v>
      </c>
      <c r="E108" s="145"/>
      <c r="F108" s="141"/>
      <c r="G108" s="141"/>
      <c r="J108" s="8"/>
    </row>
    <row r="109" spans="1:17" x14ac:dyDescent="0.2">
      <c r="A109" s="140"/>
      <c r="B109" s="146" t="s">
        <v>183</v>
      </c>
      <c r="C109" s="147"/>
      <c r="D109" s="119" t="s">
        <v>182</v>
      </c>
      <c r="E109" s="145"/>
      <c r="F109" s="141"/>
      <c r="G109" s="141"/>
      <c r="J109" s="8"/>
    </row>
    <row r="110" spans="1:17" x14ac:dyDescent="0.2">
      <c r="A110" s="140"/>
      <c r="B110" s="146" t="s">
        <v>184</v>
      </c>
      <c r="C110" s="147"/>
      <c r="D110" s="129" t="s">
        <v>151</v>
      </c>
      <c r="E110" s="145"/>
      <c r="F110" s="141"/>
      <c r="G110" s="141"/>
      <c r="J110" s="8"/>
    </row>
    <row r="111" spans="1:17" x14ac:dyDescent="0.2">
      <c r="A111" s="151"/>
      <c r="B111" s="152" t="s">
        <v>151</v>
      </c>
      <c r="C111" s="152" t="s">
        <v>894</v>
      </c>
      <c r="D111" s="152" t="s">
        <v>185</v>
      </c>
      <c r="E111" s="151"/>
      <c r="F111" s="151"/>
      <c r="G111" s="151"/>
      <c r="H111" s="151"/>
      <c r="J111" s="8"/>
    </row>
    <row r="112" spans="1:17" x14ac:dyDescent="0.2">
      <c r="A112" s="153"/>
      <c r="B112" s="154" t="s">
        <v>186</v>
      </c>
      <c r="C112" s="155">
        <v>45535</v>
      </c>
      <c r="D112" s="155">
        <v>45565</v>
      </c>
      <c r="E112" s="153"/>
      <c r="F112" s="153"/>
      <c r="G112" s="153"/>
      <c r="J112" s="8"/>
    </row>
    <row r="113" spans="1:10" x14ac:dyDescent="0.2">
      <c r="A113" s="153"/>
      <c r="B113" s="122" t="s">
        <v>187</v>
      </c>
      <c r="C113" s="156">
        <v>183.65889999999999</v>
      </c>
      <c r="D113" s="156">
        <v>186.6447</v>
      </c>
      <c r="E113" s="153"/>
      <c r="F113" s="157"/>
      <c r="G113" s="158"/>
      <c r="J113" s="8"/>
    </row>
    <row r="114" spans="1:10" ht="25.5" x14ac:dyDescent="0.2">
      <c r="A114" s="153"/>
      <c r="B114" s="122" t="s">
        <v>1040</v>
      </c>
      <c r="C114" s="156">
        <v>50.333799999999997</v>
      </c>
      <c r="D114" s="156">
        <v>49.423299999999998</v>
      </c>
      <c r="E114" s="153"/>
      <c r="F114" s="157"/>
      <c r="G114" s="158"/>
      <c r="J114" s="8"/>
    </row>
    <row r="115" spans="1:10" x14ac:dyDescent="0.2">
      <c r="A115" s="153"/>
      <c r="B115" s="122" t="s">
        <v>188</v>
      </c>
      <c r="C115" s="156">
        <v>167.26949999999999</v>
      </c>
      <c r="D115" s="156">
        <v>169.84639999999999</v>
      </c>
      <c r="E115" s="153"/>
      <c r="F115" s="157"/>
      <c r="G115" s="158"/>
      <c r="J115" s="8"/>
    </row>
    <row r="116" spans="1:10" ht="25.5" x14ac:dyDescent="0.2">
      <c r="A116" s="153"/>
      <c r="B116" s="122" t="s">
        <v>1041</v>
      </c>
      <c r="C116" s="156">
        <v>46.688400000000001</v>
      </c>
      <c r="D116" s="156">
        <v>45.803400000000003</v>
      </c>
      <c r="E116" s="153"/>
      <c r="F116" s="157"/>
      <c r="G116" s="158"/>
      <c r="J116" s="8"/>
    </row>
    <row r="117" spans="1:10" x14ac:dyDescent="0.2">
      <c r="A117" s="153"/>
      <c r="B117" s="153"/>
      <c r="C117" s="153"/>
      <c r="D117" s="153"/>
      <c r="E117" s="153"/>
      <c r="F117" s="153"/>
      <c r="G117" s="153"/>
      <c r="J117" s="8"/>
    </row>
    <row r="118" spans="1:10" x14ac:dyDescent="0.2">
      <c r="A118" s="153"/>
      <c r="B118" s="146" t="s">
        <v>895</v>
      </c>
      <c r="C118" s="147"/>
      <c r="D118" s="119" t="s">
        <v>151</v>
      </c>
      <c r="E118" s="153"/>
      <c r="F118" s="153"/>
      <c r="G118" s="153"/>
      <c r="J118" s="8"/>
    </row>
    <row r="119" spans="1:10" x14ac:dyDescent="0.2">
      <c r="A119" s="153"/>
      <c r="B119" s="210" t="s">
        <v>186</v>
      </c>
      <c r="C119" s="211" t="s">
        <v>647</v>
      </c>
      <c r="D119" s="211" t="s">
        <v>648</v>
      </c>
      <c r="E119" s="153"/>
      <c r="F119" s="153"/>
      <c r="G119" s="153"/>
      <c r="J119" s="8"/>
    </row>
    <row r="120" spans="1:10" ht="25.5" x14ac:dyDescent="0.2">
      <c r="A120" s="153"/>
      <c r="B120" s="122" t="s">
        <v>1040</v>
      </c>
      <c r="C120" s="212">
        <v>1.752</v>
      </c>
      <c r="D120" s="131" t="s">
        <v>685</v>
      </c>
      <c r="E120" s="153"/>
      <c r="F120" s="157"/>
      <c r="G120" s="158"/>
      <c r="J120" s="8"/>
    </row>
    <row r="121" spans="1:10" ht="25.5" x14ac:dyDescent="0.2">
      <c r="A121" s="153"/>
      <c r="B121" s="122" t="s">
        <v>1041</v>
      </c>
      <c r="C121" s="212">
        <v>1.6259999999999999</v>
      </c>
      <c r="D121" s="212">
        <v>1.6259999999999999</v>
      </c>
      <c r="E121" s="153"/>
      <c r="F121" s="157"/>
      <c r="G121" s="158"/>
      <c r="J121" s="8"/>
    </row>
    <row r="122" spans="1:10" x14ac:dyDescent="0.2">
      <c r="A122" s="153"/>
      <c r="B122" s="213"/>
      <c r="C122" s="213"/>
      <c r="D122" s="214"/>
      <c r="E122" s="153"/>
      <c r="F122" s="157"/>
      <c r="G122" s="158"/>
      <c r="J122" s="8"/>
    </row>
    <row r="123" spans="1:10" ht="29.1" customHeight="1" x14ac:dyDescent="0.2">
      <c r="A123" s="151"/>
      <c r="B123" s="148" t="s">
        <v>189</v>
      </c>
      <c r="C123" s="149"/>
      <c r="D123" s="150" t="s">
        <v>182</v>
      </c>
      <c r="E123" s="160"/>
      <c r="F123" s="151"/>
      <c r="G123" s="151"/>
      <c r="J123" s="8"/>
    </row>
    <row r="124" spans="1:10" ht="29.1" customHeight="1" x14ac:dyDescent="0.2">
      <c r="A124" s="151"/>
      <c r="B124" s="148" t="s">
        <v>190</v>
      </c>
      <c r="C124" s="149"/>
      <c r="D124" s="150" t="s">
        <v>182</v>
      </c>
      <c r="E124" s="160"/>
      <c r="F124" s="151"/>
      <c r="G124" s="151"/>
      <c r="J124" s="8"/>
    </row>
    <row r="125" spans="1:10" ht="17.100000000000001" customHeight="1" x14ac:dyDescent="0.2">
      <c r="A125" s="151"/>
      <c r="B125" s="148" t="s">
        <v>191</v>
      </c>
      <c r="C125" s="149"/>
      <c r="D125" s="150" t="s">
        <v>182</v>
      </c>
      <c r="E125" s="160"/>
      <c r="F125" s="151"/>
      <c r="G125" s="151"/>
      <c r="J125" s="8"/>
    </row>
    <row r="126" spans="1:10" ht="17.100000000000001" customHeight="1" x14ac:dyDescent="0.2">
      <c r="A126" s="151"/>
      <c r="B126" s="148" t="s">
        <v>192</v>
      </c>
      <c r="C126" s="149"/>
      <c r="D126" s="161">
        <v>0.26443257145706617</v>
      </c>
      <c r="E126" s="151"/>
      <c r="F126" s="159"/>
      <c r="G126" s="162"/>
      <c r="J126" s="8"/>
    </row>
    <row r="127" spans="1:10" x14ac:dyDescent="0.2">
      <c r="J127" s="8"/>
    </row>
  </sheetData>
  <mergeCells count="17">
    <mergeCell ref="A1:H1"/>
    <mergeCell ref="A2:H2"/>
    <mergeCell ref="A3:H3"/>
    <mergeCell ref="B107:D107"/>
    <mergeCell ref="B101:H101"/>
    <mergeCell ref="B102:H102"/>
    <mergeCell ref="B103:H103"/>
    <mergeCell ref="B104:H104"/>
    <mergeCell ref="B105:H105"/>
    <mergeCell ref="B124:C124"/>
    <mergeCell ref="B125:C125"/>
    <mergeCell ref="B126:C126"/>
    <mergeCell ref="B123:C123"/>
    <mergeCell ref="B108:C108"/>
    <mergeCell ref="B109:C109"/>
    <mergeCell ref="B110:C110"/>
    <mergeCell ref="B118:C118"/>
  </mergeCells>
  <hyperlinks>
    <hyperlink ref="I1" location="Index!B2" display="Index" xr:uid="{82F10279-A461-4B8B-90B2-1D6FE4DE70E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E7896-4B7A-46C7-9F71-E8C9FA74A3D6}">
  <sheetPr>
    <outlinePr summaryBelow="0" summaryRight="0"/>
  </sheetPr>
  <dimension ref="A1:Q176"/>
  <sheetViews>
    <sheetView showGridLines="0" workbookViewId="0">
      <selection sqref="A1:H1"/>
    </sheetView>
  </sheetViews>
  <sheetFormatPr defaultRowHeight="12.75" x14ac:dyDescent="0.2"/>
  <cols>
    <col min="1" max="1" width="5.85546875" style="114" bestFit="1" customWidth="1"/>
    <col min="2" max="2" width="19.5703125" style="114" bestFit="1" customWidth="1"/>
    <col min="3" max="3" width="41.42578125" style="114" customWidth="1"/>
    <col min="4" max="4" width="19.5703125" style="114" customWidth="1"/>
    <col min="5" max="5" width="11.4257812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729</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20</v>
      </c>
      <c r="C7" s="122" t="s">
        <v>21</v>
      </c>
      <c r="D7" s="122" t="s">
        <v>22</v>
      </c>
      <c r="E7" s="123">
        <v>449586</v>
      </c>
      <c r="F7" s="124">
        <v>13276.948958999999</v>
      </c>
      <c r="G7" s="125">
        <v>4.5550510000000002E-2</v>
      </c>
      <c r="H7" s="120" t="s">
        <v>151</v>
      </c>
      <c r="J7" s="8"/>
    </row>
    <row r="8" spans="1:10" x14ac:dyDescent="0.2">
      <c r="A8" s="121">
        <v>2</v>
      </c>
      <c r="B8" s="122" t="s">
        <v>343</v>
      </c>
      <c r="C8" s="122" t="s">
        <v>344</v>
      </c>
      <c r="D8" s="122" t="s">
        <v>48</v>
      </c>
      <c r="E8" s="123">
        <v>746575</v>
      </c>
      <c r="F8" s="124">
        <v>12931.052287500001</v>
      </c>
      <c r="G8" s="125">
        <v>4.4363809999999997E-2</v>
      </c>
      <c r="H8" s="120" t="s">
        <v>151</v>
      </c>
      <c r="J8" s="8"/>
    </row>
    <row r="9" spans="1:10" x14ac:dyDescent="0.2">
      <c r="A9" s="121">
        <v>3</v>
      </c>
      <c r="B9" s="122" t="s">
        <v>17</v>
      </c>
      <c r="C9" s="122" t="s">
        <v>18</v>
      </c>
      <c r="D9" s="122" t="s">
        <v>19</v>
      </c>
      <c r="E9" s="123">
        <v>1955077</v>
      </c>
      <c r="F9" s="124">
        <v>8664.9012640000001</v>
      </c>
      <c r="G9" s="125">
        <v>2.9727509999999999E-2</v>
      </c>
      <c r="H9" s="120" t="s">
        <v>151</v>
      </c>
      <c r="J9" s="8"/>
    </row>
    <row r="10" spans="1:10" x14ac:dyDescent="0.2">
      <c r="A10" s="121">
        <v>4</v>
      </c>
      <c r="B10" s="122" t="s">
        <v>11</v>
      </c>
      <c r="C10" s="122" t="s">
        <v>12</v>
      </c>
      <c r="D10" s="122" t="s">
        <v>13</v>
      </c>
      <c r="E10" s="123">
        <v>230571</v>
      </c>
      <c r="F10" s="124">
        <v>8474.7523904999998</v>
      </c>
      <c r="G10" s="125">
        <v>2.9075150000000001E-2</v>
      </c>
      <c r="H10" s="120" t="s">
        <v>151</v>
      </c>
      <c r="J10" s="8"/>
    </row>
    <row r="11" spans="1:10" x14ac:dyDescent="0.2">
      <c r="A11" s="121">
        <v>5</v>
      </c>
      <c r="B11" s="122" t="s">
        <v>347</v>
      </c>
      <c r="C11" s="122" t="s">
        <v>348</v>
      </c>
      <c r="D11" s="122" t="s">
        <v>216</v>
      </c>
      <c r="E11" s="123">
        <v>425850</v>
      </c>
      <c r="F11" s="124">
        <v>7987.2425999999996</v>
      </c>
      <c r="G11" s="125">
        <v>2.7402599999999999E-2</v>
      </c>
      <c r="H11" s="120" t="s">
        <v>151</v>
      </c>
      <c r="J11" s="8"/>
    </row>
    <row r="12" spans="1:10" ht="15" x14ac:dyDescent="0.2">
      <c r="A12" s="121">
        <v>6</v>
      </c>
      <c r="B12" s="122" t="s">
        <v>43</v>
      </c>
      <c r="C12" s="122" t="s">
        <v>44</v>
      </c>
      <c r="D12" s="122" t="s">
        <v>45</v>
      </c>
      <c r="E12" s="123">
        <v>539440</v>
      </c>
      <c r="F12" s="124">
        <v>7644.1345199999996</v>
      </c>
      <c r="G12" s="125">
        <v>2.6225470000000001E-2</v>
      </c>
      <c r="H12" s="120" t="s">
        <v>151</v>
      </c>
      <c r="J12" s="11"/>
    </row>
    <row r="13" spans="1:10" x14ac:dyDescent="0.2">
      <c r="A13" s="121">
        <v>7</v>
      </c>
      <c r="B13" s="122" t="s">
        <v>349</v>
      </c>
      <c r="C13" s="122" t="s">
        <v>350</v>
      </c>
      <c r="D13" s="122" t="s">
        <v>48</v>
      </c>
      <c r="E13" s="123">
        <v>577823</v>
      </c>
      <c r="F13" s="124">
        <v>7119.9350059999997</v>
      </c>
      <c r="G13" s="125">
        <v>2.4427049999999999E-2</v>
      </c>
      <c r="H13" s="120" t="s">
        <v>151</v>
      </c>
      <c r="J13" s="8"/>
    </row>
    <row r="14" spans="1:10" x14ac:dyDescent="0.2">
      <c r="A14" s="121">
        <v>8</v>
      </c>
      <c r="B14" s="122" t="s">
        <v>219</v>
      </c>
      <c r="C14" s="122" t="s">
        <v>220</v>
      </c>
      <c r="D14" s="122" t="s">
        <v>48</v>
      </c>
      <c r="E14" s="123">
        <v>1339692</v>
      </c>
      <c r="F14" s="124">
        <v>7020.6559260000004</v>
      </c>
      <c r="G14" s="125">
        <v>2.4086440000000001E-2</v>
      </c>
      <c r="H14" s="120" t="s">
        <v>151</v>
      </c>
      <c r="J14" s="8"/>
    </row>
    <row r="15" spans="1:10" ht="25.5" x14ac:dyDescent="0.2">
      <c r="A15" s="121">
        <v>9</v>
      </c>
      <c r="B15" s="122" t="s">
        <v>689</v>
      </c>
      <c r="C15" s="122" t="s">
        <v>690</v>
      </c>
      <c r="D15" s="122" t="s">
        <v>35</v>
      </c>
      <c r="E15" s="123">
        <v>337653</v>
      </c>
      <c r="F15" s="124">
        <v>6968.144961</v>
      </c>
      <c r="G15" s="125">
        <v>2.390629E-2</v>
      </c>
      <c r="H15" s="120" t="s">
        <v>151</v>
      </c>
      <c r="J15" s="8" t="s">
        <v>1011</v>
      </c>
    </row>
    <row r="16" spans="1:10" ht="25.5" x14ac:dyDescent="0.2">
      <c r="A16" s="121">
        <v>10</v>
      </c>
      <c r="B16" s="122" t="s">
        <v>203</v>
      </c>
      <c r="C16" s="122" t="s">
        <v>204</v>
      </c>
      <c r="D16" s="122" t="s">
        <v>205</v>
      </c>
      <c r="E16" s="123">
        <v>311373</v>
      </c>
      <c r="F16" s="124">
        <v>6822.4938030000003</v>
      </c>
      <c r="G16" s="125">
        <v>2.3406590000000001E-2</v>
      </c>
      <c r="H16" s="120" t="s">
        <v>151</v>
      </c>
      <c r="J16" s="8"/>
    </row>
    <row r="17" spans="1:10" x14ac:dyDescent="0.2">
      <c r="A17" s="121">
        <v>11</v>
      </c>
      <c r="B17" s="122" t="s">
        <v>239</v>
      </c>
      <c r="C17" s="122" t="s">
        <v>240</v>
      </c>
      <c r="D17" s="122" t="s">
        <v>241</v>
      </c>
      <c r="E17" s="123">
        <v>145554</v>
      </c>
      <c r="F17" s="124">
        <v>6417.6214140000002</v>
      </c>
      <c r="G17" s="125">
        <v>2.201755E-2</v>
      </c>
      <c r="H17" s="120" t="s">
        <v>151</v>
      </c>
      <c r="J17" s="8"/>
    </row>
    <row r="18" spans="1:10" x14ac:dyDescent="0.2">
      <c r="A18" s="121">
        <v>12</v>
      </c>
      <c r="B18" s="122" t="s">
        <v>223</v>
      </c>
      <c r="C18" s="122" t="s">
        <v>224</v>
      </c>
      <c r="D18" s="122" t="s">
        <v>121</v>
      </c>
      <c r="E18" s="123">
        <v>42531</v>
      </c>
      <c r="F18" s="124">
        <v>6084.5911875000002</v>
      </c>
      <c r="G18" s="125">
        <v>2.087499E-2</v>
      </c>
      <c r="H18" s="120" t="s">
        <v>151</v>
      </c>
      <c r="J18" s="8"/>
    </row>
    <row r="19" spans="1:10" x14ac:dyDescent="0.2">
      <c r="A19" s="121">
        <v>13</v>
      </c>
      <c r="B19" s="122" t="s">
        <v>244</v>
      </c>
      <c r="C19" s="122" t="s">
        <v>245</v>
      </c>
      <c r="D19" s="122" t="s">
        <v>121</v>
      </c>
      <c r="E19" s="123">
        <v>293410</v>
      </c>
      <c r="F19" s="124">
        <v>5996.4201700000003</v>
      </c>
      <c r="G19" s="125">
        <v>2.0572500000000001E-2</v>
      </c>
      <c r="H19" s="120" t="s">
        <v>151</v>
      </c>
      <c r="J19" s="8"/>
    </row>
    <row r="20" spans="1:10" x14ac:dyDescent="0.2">
      <c r="A20" s="121">
        <v>14</v>
      </c>
      <c r="B20" s="122" t="s">
        <v>332</v>
      </c>
      <c r="C20" s="122" t="s">
        <v>333</v>
      </c>
      <c r="D20" s="122" t="s">
        <v>35</v>
      </c>
      <c r="E20" s="123">
        <v>404206</v>
      </c>
      <c r="F20" s="124">
        <v>5925.2557539999998</v>
      </c>
      <c r="G20" s="125">
        <v>2.0328349999999999E-2</v>
      </c>
      <c r="H20" s="120" t="s">
        <v>151</v>
      </c>
      <c r="J20" s="8"/>
    </row>
    <row r="21" spans="1:10" x14ac:dyDescent="0.2">
      <c r="A21" s="121">
        <v>15</v>
      </c>
      <c r="B21" s="122" t="s">
        <v>89</v>
      </c>
      <c r="C21" s="122" t="s">
        <v>90</v>
      </c>
      <c r="D21" s="122" t="s">
        <v>32</v>
      </c>
      <c r="E21" s="123">
        <v>137039</v>
      </c>
      <c r="F21" s="124">
        <v>5888.9769470000001</v>
      </c>
      <c r="G21" s="125">
        <v>2.020388E-2</v>
      </c>
      <c r="H21" s="120" t="s">
        <v>151</v>
      </c>
      <c r="J21" s="8"/>
    </row>
    <row r="22" spans="1:10" ht="15" x14ac:dyDescent="0.2">
      <c r="A22" s="121">
        <v>16</v>
      </c>
      <c r="B22" s="122" t="s">
        <v>393</v>
      </c>
      <c r="C22" s="122" t="s">
        <v>394</v>
      </c>
      <c r="D22" s="122" t="s">
        <v>395</v>
      </c>
      <c r="E22" s="123">
        <v>368919</v>
      </c>
      <c r="F22" s="124">
        <v>5859.909396</v>
      </c>
      <c r="G22" s="125">
        <v>2.0104159999999999E-2</v>
      </c>
      <c r="H22" s="120" t="s">
        <v>151</v>
      </c>
      <c r="J22" s="11"/>
    </row>
    <row r="23" spans="1:10" x14ac:dyDescent="0.2">
      <c r="A23" s="121">
        <v>17</v>
      </c>
      <c r="B23" s="122" t="s">
        <v>351</v>
      </c>
      <c r="C23" s="122" t="s">
        <v>352</v>
      </c>
      <c r="D23" s="122" t="s">
        <v>48</v>
      </c>
      <c r="E23" s="123">
        <v>313420</v>
      </c>
      <c r="F23" s="124">
        <v>5810.6500900000001</v>
      </c>
      <c r="G23" s="125">
        <v>1.993516E-2</v>
      </c>
      <c r="H23" s="120" t="s">
        <v>151</v>
      </c>
      <c r="J23" s="8"/>
    </row>
    <row r="24" spans="1:10" x14ac:dyDescent="0.2">
      <c r="A24" s="121">
        <v>18</v>
      </c>
      <c r="B24" s="122" t="s">
        <v>46</v>
      </c>
      <c r="C24" s="122" t="s">
        <v>47</v>
      </c>
      <c r="D24" s="122" t="s">
        <v>48</v>
      </c>
      <c r="E24" s="123">
        <v>455022</v>
      </c>
      <c r="F24" s="124">
        <v>5792.4300599999997</v>
      </c>
      <c r="G24" s="125">
        <v>1.9872649999999999E-2</v>
      </c>
      <c r="H24" s="120" t="s">
        <v>151</v>
      </c>
      <c r="J24" s="8"/>
    </row>
    <row r="25" spans="1:10" x14ac:dyDescent="0.2">
      <c r="A25" s="121">
        <v>19</v>
      </c>
      <c r="B25" s="122" t="s">
        <v>194</v>
      </c>
      <c r="C25" s="122" t="s">
        <v>195</v>
      </c>
      <c r="D25" s="122" t="s">
        <v>35</v>
      </c>
      <c r="E25" s="123">
        <v>783067</v>
      </c>
      <c r="F25" s="124">
        <v>5718.3467675000002</v>
      </c>
      <c r="G25" s="125">
        <v>1.9618480000000001E-2</v>
      </c>
      <c r="H25" s="120" t="s">
        <v>151</v>
      </c>
      <c r="J25" s="8"/>
    </row>
    <row r="26" spans="1:10" x14ac:dyDescent="0.2">
      <c r="A26" s="121">
        <v>20</v>
      </c>
      <c r="B26" s="122" t="s">
        <v>39</v>
      </c>
      <c r="C26" s="122" t="s">
        <v>40</v>
      </c>
      <c r="D26" s="122" t="s">
        <v>32</v>
      </c>
      <c r="E26" s="123">
        <v>631472</v>
      </c>
      <c r="F26" s="124">
        <v>5678.8276960000003</v>
      </c>
      <c r="G26" s="125">
        <v>1.9482900000000001E-2</v>
      </c>
      <c r="H26" s="120" t="s">
        <v>151</v>
      </c>
    </row>
    <row r="27" spans="1:10" x14ac:dyDescent="0.2">
      <c r="A27" s="121">
        <v>21</v>
      </c>
      <c r="B27" s="122" t="s">
        <v>236</v>
      </c>
      <c r="C27" s="122" t="s">
        <v>237</v>
      </c>
      <c r="D27" s="122" t="s">
        <v>238</v>
      </c>
      <c r="E27" s="123">
        <v>821723</v>
      </c>
      <c r="F27" s="124">
        <v>5603.3291369999997</v>
      </c>
      <c r="G27" s="125">
        <v>1.9223879999999999E-2</v>
      </c>
      <c r="H27" s="120" t="s">
        <v>151</v>
      </c>
      <c r="J27" s="8"/>
    </row>
    <row r="28" spans="1:10" x14ac:dyDescent="0.2">
      <c r="A28" s="121">
        <v>22</v>
      </c>
      <c r="B28" s="122" t="s">
        <v>209</v>
      </c>
      <c r="C28" s="122" t="s">
        <v>210</v>
      </c>
      <c r="D28" s="122" t="s">
        <v>211</v>
      </c>
      <c r="E28" s="123">
        <v>855231</v>
      </c>
      <c r="F28" s="124">
        <v>5260.5258809999996</v>
      </c>
      <c r="G28" s="125">
        <v>1.8047790000000001E-2</v>
      </c>
      <c r="H28" s="120" t="s">
        <v>151</v>
      </c>
      <c r="J28" s="8"/>
    </row>
    <row r="29" spans="1:10" ht="25.5" x14ac:dyDescent="0.2">
      <c r="A29" s="121">
        <v>23</v>
      </c>
      <c r="B29" s="122" t="s">
        <v>14</v>
      </c>
      <c r="C29" s="122" t="s">
        <v>15</v>
      </c>
      <c r="D29" s="122" t="s">
        <v>16</v>
      </c>
      <c r="E29" s="123">
        <v>296261</v>
      </c>
      <c r="F29" s="124">
        <v>5064.7299254999998</v>
      </c>
      <c r="G29" s="125">
        <v>1.7376059999999999E-2</v>
      </c>
      <c r="H29" s="120" t="s">
        <v>151</v>
      </c>
      <c r="J29" s="8" t="s">
        <v>1012</v>
      </c>
    </row>
    <row r="30" spans="1:10" x14ac:dyDescent="0.2">
      <c r="A30" s="121">
        <v>24</v>
      </c>
      <c r="B30" s="122" t="s">
        <v>545</v>
      </c>
      <c r="C30" s="122" t="s">
        <v>546</v>
      </c>
      <c r="D30" s="122" t="s">
        <v>270</v>
      </c>
      <c r="E30" s="123">
        <v>40344</v>
      </c>
      <c r="F30" s="124">
        <v>4980.8500679999997</v>
      </c>
      <c r="G30" s="125">
        <v>1.7088280000000001E-2</v>
      </c>
      <c r="H30" s="120" t="s">
        <v>151</v>
      </c>
      <c r="J30" s="8"/>
    </row>
    <row r="31" spans="1:10" x14ac:dyDescent="0.2">
      <c r="A31" s="121">
        <v>25</v>
      </c>
      <c r="B31" s="122" t="s">
        <v>359</v>
      </c>
      <c r="C31" s="122" t="s">
        <v>360</v>
      </c>
      <c r="D31" s="122" t="s">
        <v>361</v>
      </c>
      <c r="E31" s="123">
        <v>657276</v>
      </c>
      <c r="F31" s="124">
        <v>4970.3211119999996</v>
      </c>
      <c r="G31" s="125">
        <v>1.705216E-2</v>
      </c>
      <c r="H31" s="120" t="s">
        <v>151</v>
      </c>
      <c r="J31" s="8"/>
    </row>
    <row r="32" spans="1:10" x14ac:dyDescent="0.2">
      <c r="A32" s="121">
        <v>26</v>
      </c>
      <c r="B32" s="122" t="s">
        <v>33</v>
      </c>
      <c r="C32" s="122" t="s">
        <v>34</v>
      </c>
      <c r="D32" s="122" t="s">
        <v>35</v>
      </c>
      <c r="E32" s="123">
        <v>90000</v>
      </c>
      <c r="F32" s="124">
        <v>4328.1899999999996</v>
      </c>
      <c r="G32" s="125">
        <v>1.484914E-2</v>
      </c>
      <c r="H32" s="120" t="s">
        <v>151</v>
      </c>
      <c r="J32" s="8"/>
    </row>
    <row r="33" spans="1:10" ht="25.5" x14ac:dyDescent="0.2">
      <c r="A33" s="121">
        <v>27</v>
      </c>
      <c r="B33" s="122" t="s">
        <v>353</v>
      </c>
      <c r="C33" s="122" t="s">
        <v>354</v>
      </c>
      <c r="D33" s="122" t="s">
        <v>205</v>
      </c>
      <c r="E33" s="123">
        <v>224158</v>
      </c>
      <c r="F33" s="124">
        <v>4318.8521860000001</v>
      </c>
      <c r="G33" s="125">
        <v>1.48171E-2</v>
      </c>
      <c r="H33" s="120" t="s">
        <v>151</v>
      </c>
      <c r="J33" s="8"/>
    </row>
    <row r="34" spans="1:10" x14ac:dyDescent="0.2">
      <c r="A34" s="121">
        <v>28</v>
      </c>
      <c r="B34" s="122" t="s">
        <v>291</v>
      </c>
      <c r="C34" s="122" t="s">
        <v>292</v>
      </c>
      <c r="D34" s="122" t="s">
        <v>121</v>
      </c>
      <c r="E34" s="123">
        <v>233601</v>
      </c>
      <c r="F34" s="124">
        <v>4243.2453644999996</v>
      </c>
      <c r="G34" s="125">
        <v>1.455771E-2</v>
      </c>
      <c r="H34" s="120" t="s">
        <v>151</v>
      </c>
      <c r="J34" s="8"/>
    </row>
    <row r="35" spans="1:10" ht="25.5" x14ac:dyDescent="0.2">
      <c r="A35" s="121">
        <v>29</v>
      </c>
      <c r="B35" s="122" t="s">
        <v>426</v>
      </c>
      <c r="C35" s="122" t="s">
        <v>427</v>
      </c>
      <c r="D35" s="122" t="s">
        <v>205</v>
      </c>
      <c r="E35" s="123">
        <v>226300</v>
      </c>
      <c r="F35" s="124">
        <v>4243.125</v>
      </c>
      <c r="G35" s="125">
        <v>1.45573E-2</v>
      </c>
      <c r="H35" s="120" t="s">
        <v>151</v>
      </c>
      <c r="J35" s="8"/>
    </row>
    <row r="36" spans="1:10" x14ac:dyDescent="0.2">
      <c r="A36" s="121">
        <v>30</v>
      </c>
      <c r="B36" s="122" t="s">
        <v>36</v>
      </c>
      <c r="C36" s="122" t="s">
        <v>37</v>
      </c>
      <c r="D36" s="122" t="s">
        <v>38</v>
      </c>
      <c r="E36" s="123">
        <v>1468484</v>
      </c>
      <c r="F36" s="124">
        <v>4186.647884</v>
      </c>
      <c r="G36" s="125">
        <v>1.4363539999999999E-2</v>
      </c>
      <c r="H36" s="120" t="s">
        <v>151</v>
      </c>
      <c r="J36" s="8"/>
    </row>
    <row r="37" spans="1:10" x14ac:dyDescent="0.2">
      <c r="A37" s="121">
        <v>31</v>
      </c>
      <c r="B37" s="122" t="s">
        <v>196</v>
      </c>
      <c r="C37" s="122" t="s">
        <v>197</v>
      </c>
      <c r="D37" s="122" t="s">
        <v>70</v>
      </c>
      <c r="E37" s="123">
        <v>95917</v>
      </c>
      <c r="F37" s="124">
        <v>4159.0090785000002</v>
      </c>
      <c r="G37" s="125">
        <v>1.426871E-2</v>
      </c>
      <c r="H37" s="120" t="s">
        <v>151</v>
      </c>
      <c r="J37" s="8"/>
    </row>
    <row r="38" spans="1:10" ht="25.5" x14ac:dyDescent="0.2">
      <c r="A38" s="121">
        <v>32</v>
      </c>
      <c r="B38" s="122" t="s">
        <v>77</v>
      </c>
      <c r="C38" s="122" t="s">
        <v>78</v>
      </c>
      <c r="D38" s="122" t="s">
        <v>25</v>
      </c>
      <c r="E38" s="123">
        <v>88684</v>
      </c>
      <c r="F38" s="124">
        <v>4117.8641719999996</v>
      </c>
      <c r="G38" s="125">
        <v>1.4127549999999999E-2</v>
      </c>
      <c r="H38" s="120" t="s">
        <v>151</v>
      </c>
      <c r="J38" s="8"/>
    </row>
    <row r="39" spans="1:10" x14ac:dyDescent="0.2">
      <c r="A39" s="121">
        <v>33</v>
      </c>
      <c r="B39" s="122" t="s">
        <v>378</v>
      </c>
      <c r="C39" s="122" t="s">
        <v>379</v>
      </c>
      <c r="D39" s="122" t="s">
        <v>368</v>
      </c>
      <c r="E39" s="123">
        <v>132653</v>
      </c>
      <c r="F39" s="124">
        <v>3924.2736989999999</v>
      </c>
      <c r="G39" s="125">
        <v>1.346339E-2</v>
      </c>
      <c r="H39" s="120" t="s">
        <v>151</v>
      </c>
      <c r="J39" s="8"/>
    </row>
    <row r="40" spans="1:10" x14ac:dyDescent="0.2">
      <c r="A40" s="121">
        <v>34</v>
      </c>
      <c r="B40" s="122" t="s">
        <v>246</v>
      </c>
      <c r="C40" s="122" t="s">
        <v>247</v>
      </c>
      <c r="D40" s="122" t="s">
        <v>121</v>
      </c>
      <c r="E40" s="123">
        <v>779036</v>
      </c>
      <c r="F40" s="124">
        <v>3802.0851980000002</v>
      </c>
      <c r="G40" s="125">
        <v>1.3044180000000001E-2</v>
      </c>
      <c r="H40" s="120" t="s">
        <v>151</v>
      </c>
      <c r="J40" s="8"/>
    </row>
    <row r="41" spans="1:10" x14ac:dyDescent="0.2">
      <c r="A41" s="121">
        <v>35</v>
      </c>
      <c r="B41" s="122" t="s">
        <v>355</v>
      </c>
      <c r="C41" s="122" t="s">
        <v>356</v>
      </c>
      <c r="D41" s="122" t="s">
        <v>216</v>
      </c>
      <c r="E41" s="123">
        <v>88374</v>
      </c>
      <c r="F41" s="124">
        <v>3772.2441899999999</v>
      </c>
      <c r="G41" s="125">
        <v>1.29418E-2</v>
      </c>
      <c r="H41" s="120" t="s">
        <v>151</v>
      </c>
      <c r="J41" s="8"/>
    </row>
    <row r="42" spans="1:10" x14ac:dyDescent="0.2">
      <c r="A42" s="121">
        <v>36</v>
      </c>
      <c r="B42" s="122" t="s">
        <v>242</v>
      </c>
      <c r="C42" s="122" t="s">
        <v>243</v>
      </c>
      <c r="D42" s="122" t="s">
        <v>200</v>
      </c>
      <c r="E42" s="123">
        <v>45749</v>
      </c>
      <c r="F42" s="124">
        <v>3705.989243</v>
      </c>
      <c r="G42" s="125">
        <v>1.27145E-2</v>
      </c>
      <c r="H42" s="120" t="s">
        <v>151</v>
      </c>
      <c r="J42" s="8"/>
    </row>
    <row r="43" spans="1:10" x14ac:dyDescent="0.2">
      <c r="A43" s="121">
        <v>37</v>
      </c>
      <c r="B43" s="122" t="s">
        <v>227</v>
      </c>
      <c r="C43" s="122" t="s">
        <v>228</v>
      </c>
      <c r="D43" s="122" t="s">
        <v>22</v>
      </c>
      <c r="E43" s="123">
        <v>819933</v>
      </c>
      <c r="F43" s="124">
        <v>3612.2148314999999</v>
      </c>
      <c r="G43" s="125">
        <v>1.2392769999999999E-2</v>
      </c>
      <c r="H43" s="120" t="s">
        <v>151</v>
      </c>
      <c r="J43" s="8"/>
    </row>
    <row r="44" spans="1:10" x14ac:dyDescent="0.2">
      <c r="A44" s="121">
        <v>38</v>
      </c>
      <c r="B44" s="122" t="s">
        <v>422</v>
      </c>
      <c r="C44" s="122" t="s">
        <v>423</v>
      </c>
      <c r="D44" s="122" t="s">
        <v>216</v>
      </c>
      <c r="E44" s="123">
        <v>479521</v>
      </c>
      <c r="F44" s="124">
        <v>3515.3684509999998</v>
      </c>
      <c r="G44" s="125">
        <v>1.206051E-2</v>
      </c>
      <c r="H44" s="120" t="s">
        <v>151</v>
      </c>
      <c r="J44" s="8"/>
    </row>
    <row r="45" spans="1:10" x14ac:dyDescent="0.2">
      <c r="A45" s="121">
        <v>39</v>
      </c>
      <c r="B45" s="122" t="s">
        <v>102</v>
      </c>
      <c r="C45" s="122" t="s">
        <v>103</v>
      </c>
      <c r="D45" s="122" t="s">
        <v>104</v>
      </c>
      <c r="E45" s="123">
        <v>688689</v>
      </c>
      <c r="F45" s="124">
        <v>3513.3469335</v>
      </c>
      <c r="G45" s="125">
        <v>1.205358E-2</v>
      </c>
      <c r="H45" s="120" t="s">
        <v>151</v>
      </c>
      <c r="J45" s="8"/>
    </row>
    <row r="46" spans="1:10" x14ac:dyDescent="0.2">
      <c r="A46" s="121">
        <v>40</v>
      </c>
      <c r="B46" s="122" t="s">
        <v>264</v>
      </c>
      <c r="C46" s="122" t="s">
        <v>265</v>
      </c>
      <c r="D46" s="122" t="s">
        <v>70</v>
      </c>
      <c r="E46" s="123">
        <v>21813</v>
      </c>
      <c r="F46" s="124">
        <v>3465.6276269999998</v>
      </c>
      <c r="G46" s="125">
        <v>1.188986E-2</v>
      </c>
      <c r="H46" s="120" t="s">
        <v>151</v>
      </c>
      <c r="J46" s="8"/>
    </row>
    <row r="47" spans="1:10" x14ac:dyDescent="0.2">
      <c r="A47" s="121">
        <v>41</v>
      </c>
      <c r="B47" s="122" t="s">
        <v>68</v>
      </c>
      <c r="C47" s="122" t="s">
        <v>69</v>
      </c>
      <c r="D47" s="122" t="s">
        <v>70</v>
      </c>
      <c r="E47" s="123">
        <v>52641</v>
      </c>
      <c r="F47" s="124">
        <v>3408.2941860000001</v>
      </c>
      <c r="G47" s="125">
        <v>1.1693159999999999E-2</v>
      </c>
      <c r="H47" s="120" t="s">
        <v>151</v>
      </c>
      <c r="J47" s="8"/>
    </row>
    <row r="48" spans="1:10" x14ac:dyDescent="0.2">
      <c r="A48" s="121">
        <v>42</v>
      </c>
      <c r="B48" s="122" t="s">
        <v>547</v>
      </c>
      <c r="C48" s="122" t="s">
        <v>548</v>
      </c>
      <c r="D48" s="122" t="s">
        <v>270</v>
      </c>
      <c r="E48" s="123">
        <v>25000</v>
      </c>
      <c r="F48" s="124">
        <v>3309.5</v>
      </c>
      <c r="G48" s="125">
        <v>1.135422E-2</v>
      </c>
      <c r="H48" s="120" t="s">
        <v>151</v>
      </c>
      <c r="J48" s="8"/>
    </row>
    <row r="49" spans="1:10" x14ac:dyDescent="0.2">
      <c r="A49" s="121">
        <v>43</v>
      </c>
      <c r="B49" s="122" t="s">
        <v>254</v>
      </c>
      <c r="C49" s="122" t="s">
        <v>255</v>
      </c>
      <c r="D49" s="122" t="s">
        <v>238</v>
      </c>
      <c r="E49" s="123">
        <v>375104</v>
      </c>
      <c r="F49" s="124">
        <v>3300.3525439999999</v>
      </c>
      <c r="G49" s="125">
        <v>1.1322840000000001E-2</v>
      </c>
      <c r="H49" s="120" t="s">
        <v>151</v>
      </c>
      <c r="J49" s="8"/>
    </row>
    <row r="50" spans="1:10" ht="25.5" x14ac:dyDescent="0.2">
      <c r="A50" s="121">
        <v>44</v>
      </c>
      <c r="B50" s="122" t="s">
        <v>288</v>
      </c>
      <c r="C50" s="122" t="s">
        <v>289</v>
      </c>
      <c r="D50" s="122" t="s">
        <v>290</v>
      </c>
      <c r="E50" s="123">
        <v>444369</v>
      </c>
      <c r="F50" s="124">
        <v>3090.142026</v>
      </c>
      <c r="G50" s="125">
        <v>1.0601650000000001E-2</v>
      </c>
      <c r="H50" s="120" t="s">
        <v>151</v>
      </c>
      <c r="J50" s="8"/>
    </row>
    <row r="51" spans="1:10" x14ac:dyDescent="0.2">
      <c r="A51" s="121">
        <v>45</v>
      </c>
      <c r="B51" s="122" t="s">
        <v>300</v>
      </c>
      <c r="C51" s="122" t="s">
        <v>301</v>
      </c>
      <c r="D51" s="122" t="s">
        <v>238</v>
      </c>
      <c r="E51" s="123">
        <v>1540361</v>
      </c>
      <c r="F51" s="124">
        <v>3015.4106935999998</v>
      </c>
      <c r="G51" s="125">
        <v>1.034526E-2</v>
      </c>
      <c r="H51" s="120" t="s">
        <v>151</v>
      </c>
      <c r="J51" s="8"/>
    </row>
    <row r="52" spans="1:10" ht="25.5" x14ac:dyDescent="0.2">
      <c r="A52" s="121">
        <v>46</v>
      </c>
      <c r="B52" s="122" t="s">
        <v>23</v>
      </c>
      <c r="C52" s="122" t="s">
        <v>24</v>
      </c>
      <c r="D52" s="122" t="s">
        <v>25</v>
      </c>
      <c r="E52" s="123">
        <v>24580</v>
      </c>
      <c r="F52" s="124">
        <v>2900.9315999999999</v>
      </c>
      <c r="G52" s="125">
        <v>9.9525099999999995E-3</v>
      </c>
      <c r="H52" s="120" t="s">
        <v>151</v>
      </c>
      <c r="J52" s="8"/>
    </row>
    <row r="53" spans="1:10" ht="25.5" x14ac:dyDescent="0.2">
      <c r="A53" s="121">
        <v>47</v>
      </c>
      <c r="B53" s="122" t="s">
        <v>308</v>
      </c>
      <c r="C53" s="122" t="s">
        <v>309</v>
      </c>
      <c r="D53" s="122" t="s">
        <v>208</v>
      </c>
      <c r="E53" s="123">
        <v>58146</v>
      </c>
      <c r="F53" s="124">
        <v>2707.1323950000001</v>
      </c>
      <c r="G53" s="125">
        <v>9.2876199999999999E-3</v>
      </c>
      <c r="H53" s="120" t="s">
        <v>151</v>
      </c>
      <c r="J53" s="8"/>
    </row>
    <row r="54" spans="1:10" x14ac:dyDescent="0.2">
      <c r="A54" s="121">
        <v>48</v>
      </c>
      <c r="B54" s="122" t="s">
        <v>128</v>
      </c>
      <c r="C54" s="122" t="s">
        <v>129</v>
      </c>
      <c r="D54" s="122" t="s">
        <v>70</v>
      </c>
      <c r="E54" s="123">
        <v>68171</v>
      </c>
      <c r="F54" s="124">
        <v>2668.0084270000002</v>
      </c>
      <c r="G54" s="125">
        <v>9.1533900000000008E-3</v>
      </c>
      <c r="H54" s="120" t="s">
        <v>151</v>
      </c>
      <c r="J54" s="8"/>
    </row>
    <row r="55" spans="1:10" x14ac:dyDescent="0.2">
      <c r="A55" s="121">
        <v>49</v>
      </c>
      <c r="B55" s="122" t="s">
        <v>250</v>
      </c>
      <c r="C55" s="122" t="s">
        <v>251</v>
      </c>
      <c r="D55" s="122" t="s">
        <v>216</v>
      </c>
      <c r="E55" s="123">
        <v>84251</v>
      </c>
      <c r="F55" s="124">
        <v>2536.2921040000001</v>
      </c>
      <c r="G55" s="125">
        <v>8.7014999999999992E-3</v>
      </c>
      <c r="H55" s="120" t="s">
        <v>151</v>
      </c>
      <c r="J55" s="8"/>
    </row>
    <row r="56" spans="1:10" x14ac:dyDescent="0.2">
      <c r="A56" s="121">
        <v>50</v>
      </c>
      <c r="B56" s="122" t="s">
        <v>281</v>
      </c>
      <c r="C56" s="122" t="s">
        <v>282</v>
      </c>
      <c r="D56" s="122" t="s">
        <v>283</v>
      </c>
      <c r="E56" s="123">
        <v>200235</v>
      </c>
      <c r="F56" s="124">
        <v>2381.5950899999998</v>
      </c>
      <c r="G56" s="125">
        <v>8.1707700000000008E-3</v>
      </c>
      <c r="H56" s="120" t="s">
        <v>151</v>
      </c>
      <c r="J56" s="8"/>
    </row>
    <row r="57" spans="1:10" x14ac:dyDescent="0.2">
      <c r="A57" s="121">
        <v>51</v>
      </c>
      <c r="B57" s="122" t="s">
        <v>105</v>
      </c>
      <c r="C57" s="122" t="s">
        <v>106</v>
      </c>
      <c r="D57" s="122" t="s">
        <v>32</v>
      </c>
      <c r="E57" s="123">
        <v>60096</v>
      </c>
      <c r="F57" s="124">
        <v>2287.2838080000001</v>
      </c>
      <c r="G57" s="125">
        <v>7.8472100000000003E-3</v>
      </c>
      <c r="H57" s="120" t="s">
        <v>151</v>
      </c>
      <c r="J57" s="8"/>
    </row>
    <row r="58" spans="1:10" x14ac:dyDescent="0.2">
      <c r="A58" s="121">
        <v>52</v>
      </c>
      <c r="B58" s="122" t="s">
        <v>504</v>
      </c>
      <c r="C58" s="122" t="s">
        <v>505</v>
      </c>
      <c r="D58" s="122" t="s">
        <v>32</v>
      </c>
      <c r="E58" s="123">
        <v>40000</v>
      </c>
      <c r="F58" s="124">
        <v>2174.48</v>
      </c>
      <c r="G58" s="125">
        <v>7.4602000000000002E-3</v>
      </c>
      <c r="H58" s="120" t="s">
        <v>151</v>
      </c>
      <c r="J58" s="8"/>
    </row>
    <row r="59" spans="1:10" x14ac:dyDescent="0.2">
      <c r="A59" s="121">
        <v>53</v>
      </c>
      <c r="B59" s="122" t="s">
        <v>730</v>
      </c>
      <c r="C59" s="122" t="s">
        <v>731</v>
      </c>
      <c r="D59" s="122" t="s">
        <v>211</v>
      </c>
      <c r="E59" s="123">
        <v>89426</v>
      </c>
      <c r="F59" s="124">
        <v>1960.2626330000001</v>
      </c>
      <c r="G59" s="125">
        <v>6.7252600000000003E-3</v>
      </c>
      <c r="H59" s="120" t="s">
        <v>151</v>
      </c>
      <c r="J59" s="8"/>
    </row>
    <row r="60" spans="1:10" x14ac:dyDescent="0.2">
      <c r="A60" s="121">
        <v>54</v>
      </c>
      <c r="B60" s="122" t="s">
        <v>314</v>
      </c>
      <c r="C60" s="122" t="s">
        <v>315</v>
      </c>
      <c r="D60" s="122" t="s">
        <v>121</v>
      </c>
      <c r="E60" s="123">
        <v>276697</v>
      </c>
      <c r="F60" s="124">
        <v>1832.9792765</v>
      </c>
      <c r="G60" s="125">
        <v>6.2885800000000002E-3</v>
      </c>
      <c r="H60" s="120" t="s">
        <v>151</v>
      </c>
      <c r="J60" s="8"/>
    </row>
    <row r="61" spans="1:10" ht="25.5" x14ac:dyDescent="0.2">
      <c r="A61" s="121">
        <v>55</v>
      </c>
      <c r="B61" s="122" t="s">
        <v>491</v>
      </c>
      <c r="C61" s="122" t="s">
        <v>492</v>
      </c>
      <c r="D61" s="122" t="s">
        <v>208</v>
      </c>
      <c r="E61" s="123">
        <v>201695</v>
      </c>
      <c r="F61" s="124">
        <v>1730.0388625000001</v>
      </c>
      <c r="G61" s="125">
        <v>5.9354100000000003E-3</v>
      </c>
      <c r="H61" s="120" t="s">
        <v>151</v>
      </c>
      <c r="J61" s="8"/>
    </row>
    <row r="62" spans="1:10" ht="25.5" x14ac:dyDescent="0.2">
      <c r="A62" s="121">
        <v>56</v>
      </c>
      <c r="B62" s="122" t="s">
        <v>495</v>
      </c>
      <c r="C62" s="122" t="s">
        <v>496</v>
      </c>
      <c r="D62" s="122" t="s">
        <v>497</v>
      </c>
      <c r="E62" s="123">
        <v>332699</v>
      </c>
      <c r="F62" s="124">
        <v>1686.7839300000001</v>
      </c>
      <c r="G62" s="125">
        <v>5.7870100000000004E-3</v>
      </c>
      <c r="H62" s="120" t="s">
        <v>151</v>
      </c>
      <c r="J62" s="8"/>
    </row>
    <row r="63" spans="1:10" x14ac:dyDescent="0.2">
      <c r="A63" s="121">
        <v>57</v>
      </c>
      <c r="B63" s="122" t="s">
        <v>137</v>
      </c>
      <c r="C63" s="122" t="s">
        <v>138</v>
      </c>
      <c r="D63" s="122" t="s">
        <v>32</v>
      </c>
      <c r="E63" s="123">
        <v>96626</v>
      </c>
      <c r="F63" s="124">
        <v>1530.700779</v>
      </c>
      <c r="G63" s="125">
        <v>5.25152E-3</v>
      </c>
      <c r="H63" s="120" t="s">
        <v>151</v>
      </c>
      <c r="J63" s="8"/>
    </row>
    <row r="64" spans="1:10" x14ac:dyDescent="0.2">
      <c r="A64" s="121">
        <v>58</v>
      </c>
      <c r="B64" s="122" t="s">
        <v>447</v>
      </c>
      <c r="C64" s="122" t="s">
        <v>448</v>
      </c>
      <c r="D64" s="122" t="s">
        <v>121</v>
      </c>
      <c r="E64" s="123">
        <v>79918</v>
      </c>
      <c r="F64" s="124">
        <v>957.09796800000004</v>
      </c>
      <c r="G64" s="125">
        <v>3.2836100000000002E-3</v>
      </c>
      <c r="H64" s="120" t="s">
        <v>151</v>
      </c>
      <c r="J64" s="8"/>
    </row>
    <row r="65" spans="1:10" ht="25.5" x14ac:dyDescent="0.2">
      <c r="A65" s="121">
        <v>59</v>
      </c>
      <c r="B65" s="122" t="s">
        <v>732</v>
      </c>
      <c r="C65" s="122" t="s">
        <v>733</v>
      </c>
      <c r="D65" s="122" t="s">
        <v>88</v>
      </c>
      <c r="E65" s="123">
        <v>45964</v>
      </c>
      <c r="F65" s="124">
        <v>861.48027000000002</v>
      </c>
      <c r="G65" s="125">
        <v>2.9555599999999999E-3</v>
      </c>
      <c r="H65" s="120" t="s">
        <v>151</v>
      </c>
      <c r="J65" s="8"/>
    </row>
    <row r="66" spans="1:10" x14ac:dyDescent="0.2">
      <c r="A66" s="121">
        <v>60</v>
      </c>
      <c r="B66" s="122" t="s">
        <v>441</v>
      </c>
      <c r="C66" s="122" t="s">
        <v>442</v>
      </c>
      <c r="D66" s="122" t="s">
        <v>35</v>
      </c>
      <c r="E66" s="123">
        <v>96880</v>
      </c>
      <c r="F66" s="124">
        <v>861.31164000000001</v>
      </c>
      <c r="G66" s="125">
        <v>2.9549899999999998E-3</v>
      </c>
      <c r="H66" s="120" t="s">
        <v>151</v>
      </c>
      <c r="J66" s="8"/>
    </row>
    <row r="67" spans="1:10" x14ac:dyDescent="0.2">
      <c r="A67" s="121">
        <v>61</v>
      </c>
      <c r="B67" s="122" t="s">
        <v>318</v>
      </c>
      <c r="C67" s="122" t="s">
        <v>319</v>
      </c>
      <c r="D67" s="122" t="s">
        <v>35</v>
      </c>
      <c r="E67" s="123">
        <v>247593</v>
      </c>
      <c r="F67" s="124">
        <v>766.30033500000002</v>
      </c>
      <c r="G67" s="125">
        <v>2.6290200000000001E-3</v>
      </c>
      <c r="H67" s="120" t="s">
        <v>151</v>
      </c>
      <c r="J67" s="8"/>
    </row>
    <row r="68" spans="1:10" x14ac:dyDescent="0.2">
      <c r="A68" s="121">
        <v>62</v>
      </c>
      <c r="B68" s="122" t="s">
        <v>734</v>
      </c>
      <c r="C68" s="122" t="s">
        <v>735</v>
      </c>
      <c r="D68" s="122" t="s">
        <v>375</v>
      </c>
      <c r="E68" s="123">
        <v>113080</v>
      </c>
      <c r="F68" s="124">
        <v>630.9864</v>
      </c>
      <c r="G68" s="125">
        <v>2.1647900000000002E-3</v>
      </c>
      <c r="H68" s="120" t="s">
        <v>151</v>
      </c>
      <c r="J68" s="8"/>
    </row>
    <row r="69" spans="1:10" x14ac:dyDescent="0.2">
      <c r="A69" s="118"/>
      <c r="B69" s="118"/>
      <c r="C69" s="119" t="s">
        <v>150</v>
      </c>
      <c r="D69" s="118"/>
      <c r="E69" s="118" t="s">
        <v>151</v>
      </c>
      <c r="F69" s="126">
        <v>277468.49614809989</v>
      </c>
      <c r="G69" s="127">
        <v>0.95193792999999971</v>
      </c>
      <c r="H69" s="120" t="s">
        <v>151</v>
      </c>
      <c r="J69" s="8"/>
    </row>
    <row r="70" spans="1:10" x14ac:dyDescent="0.2">
      <c r="A70" s="118"/>
      <c r="B70" s="118"/>
      <c r="C70" s="128"/>
      <c r="D70" s="118"/>
      <c r="E70" s="118"/>
      <c r="F70" s="129"/>
      <c r="G70" s="129"/>
      <c r="H70" s="120" t="s">
        <v>151</v>
      </c>
      <c r="J70" s="8"/>
    </row>
    <row r="71" spans="1:10" x14ac:dyDescent="0.2">
      <c r="A71" s="118"/>
      <c r="B71" s="118"/>
      <c r="C71" s="119" t="s">
        <v>152</v>
      </c>
      <c r="D71" s="118"/>
      <c r="E71" s="118"/>
      <c r="F71" s="118"/>
      <c r="G71" s="118"/>
      <c r="H71" s="120" t="s">
        <v>151</v>
      </c>
      <c r="J71" s="8"/>
    </row>
    <row r="72" spans="1:10" x14ac:dyDescent="0.2">
      <c r="A72" s="118"/>
      <c r="B72" s="118"/>
      <c r="C72" s="119" t="s">
        <v>150</v>
      </c>
      <c r="D72" s="118"/>
      <c r="E72" s="118" t="s">
        <v>151</v>
      </c>
      <c r="F72" s="130" t="s">
        <v>153</v>
      </c>
      <c r="G72" s="127">
        <v>0</v>
      </c>
      <c r="H72" s="120" t="s">
        <v>151</v>
      </c>
      <c r="J72" s="8"/>
    </row>
    <row r="73" spans="1:10" x14ac:dyDescent="0.2">
      <c r="A73" s="118"/>
      <c r="B73" s="118"/>
      <c r="C73" s="128"/>
      <c r="D73" s="118"/>
      <c r="E73" s="118"/>
      <c r="F73" s="129"/>
      <c r="G73" s="129"/>
      <c r="H73" s="120" t="s">
        <v>151</v>
      </c>
      <c r="J73" s="8"/>
    </row>
    <row r="74" spans="1:10" x14ac:dyDescent="0.2">
      <c r="A74" s="118"/>
      <c r="B74" s="118"/>
      <c r="C74" s="119" t="s">
        <v>154</v>
      </c>
      <c r="D74" s="118"/>
      <c r="E74" s="118"/>
      <c r="F74" s="118"/>
      <c r="G74" s="118"/>
      <c r="H74" s="120" t="s">
        <v>151</v>
      </c>
      <c r="J74" s="8"/>
    </row>
    <row r="75" spans="1:10" x14ac:dyDescent="0.2">
      <c r="A75" s="121">
        <v>63</v>
      </c>
      <c r="B75" s="122" t="s">
        <v>555</v>
      </c>
      <c r="C75" s="122" t="s">
        <v>1013</v>
      </c>
      <c r="D75" s="122" t="s">
        <v>238</v>
      </c>
      <c r="E75" s="123">
        <v>511578</v>
      </c>
      <c r="F75" s="124">
        <v>89.935412400000004</v>
      </c>
      <c r="G75" s="125">
        <v>3.0854999999999999E-4</v>
      </c>
      <c r="H75" s="120" t="s">
        <v>151</v>
      </c>
      <c r="J75" s="8"/>
    </row>
    <row r="76" spans="1:10" x14ac:dyDescent="0.2">
      <c r="A76" s="121">
        <v>64</v>
      </c>
      <c r="B76" s="122" t="s">
        <v>736</v>
      </c>
      <c r="C76" s="122" t="s">
        <v>1014</v>
      </c>
      <c r="D76" s="122" t="s">
        <v>241</v>
      </c>
      <c r="E76" s="123">
        <v>39500</v>
      </c>
      <c r="F76" s="124">
        <v>22.550550000000001</v>
      </c>
      <c r="G76" s="125">
        <v>7.737E-5</v>
      </c>
      <c r="H76" s="120" t="s">
        <v>151</v>
      </c>
      <c r="J76" s="8"/>
    </row>
    <row r="77" spans="1:10" ht="25.5" x14ac:dyDescent="0.2">
      <c r="A77" s="121">
        <v>65</v>
      </c>
      <c r="B77" s="122" t="s">
        <v>737</v>
      </c>
      <c r="C77" s="122" t="s">
        <v>1015</v>
      </c>
      <c r="D77" s="122" t="s">
        <v>738</v>
      </c>
      <c r="E77" s="123">
        <v>50800</v>
      </c>
      <c r="F77" s="124">
        <v>5.0800000000000005E-7</v>
      </c>
      <c r="G77" s="131" t="s">
        <v>149</v>
      </c>
      <c r="H77" s="120" t="s">
        <v>151</v>
      </c>
      <c r="J77" s="8"/>
    </row>
    <row r="78" spans="1:10" x14ac:dyDescent="0.2">
      <c r="A78" s="121">
        <v>66</v>
      </c>
      <c r="B78" s="122" t="s">
        <v>739</v>
      </c>
      <c r="C78" s="122" t="s">
        <v>1018</v>
      </c>
      <c r="D78" s="122"/>
      <c r="E78" s="123">
        <v>200</v>
      </c>
      <c r="F78" s="124">
        <v>2.0000000000000001E-9</v>
      </c>
      <c r="G78" s="131" t="s">
        <v>149</v>
      </c>
      <c r="H78" s="120" t="s">
        <v>151</v>
      </c>
      <c r="J78" s="8"/>
    </row>
    <row r="79" spans="1:10" ht="25.5" x14ac:dyDescent="0.2">
      <c r="A79" s="121">
        <v>67</v>
      </c>
      <c r="B79" s="122" t="s">
        <v>740</v>
      </c>
      <c r="C79" s="122" t="s">
        <v>1017</v>
      </c>
      <c r="D79" s="122" t="s">
        <v>741</v>
      </c>
      <c r="E79" s="123">
        <v>200000</v>
      </c>
      <c r="F79" s="124">
        <v>1.9999999999999999E-6</v>
      </c>
      <c r="G79" s="131" t="s">
        <v>149</v>
      </c>
      <c r="H79" s="120" t="s">
        <v>151</v>
      </c>
      <c r="J79" s="8"/>
    </row>
    <row r="80" spans="1:10" x14ac:dyDescent="0.2">
      <c r="A80" s="121">
        <v>68</v>
      </c>
      <c r="B80" s="122" t="s">
        <v>742</v>
      </c>
      <c r="C80" s="122" t="s">
        <v>1016</v>
      </c>
      <c r="D80" s="122"/>
      <c r="E80" s="123">
        <v>54000</v>
      </c>
      <c r="F80" s="124">
        <v>5.4000000000000002E-7</v>
      </c>
      <c r="G80" s="131" t="s">
        <v>149</v>
      </c>
      <c r="H80" s="120" t="s">
        <v>151</v>
      </c>
      <c r="J80" s="8"/>
    </row>
    <row r="81" spans="1:10" x14ac:dyDescent="0.2">
      <c r="A81" s="121">
        <v>69</v>
      </c>
      <c r="B81" s="122" t="s">
        <v>743</v>
      </c>
      <c r="C81" s="122" t="s">
        <v>1019</v>
      </c>
      <c r="D81" s="122"/>
      <c r="E81" s="123">
        <v>176305</v>
      </c>
      <c r="F81" s="124">
        <v>1.7630000000000001E-6</v>
      </c>
      <c r="G81" s="131" t="s">
        <v>149</v>
      </c>
      <c r="H81" s="120" t="s">
        <v>151</v>
      </c>
      <c r="J81" s="8"/>
    </row>
    <row r="82" spans="1:10" x14ac:dyDescent="0.2">
      <c r="A82" s="121">
        <v>70</v>
      </c>
      <c r="B82" s="122" t="s">
        <v>744</v>
      </c>
      <c r="C82" s="122" t="s">
        <v>1020</v>
      </c>
      <c r="D82" s="122"/>
      <c r="E82" s="123">
        <v>93200</v>
      </c>
      <c r="F82" s="124">
        <v>9.3200000000000003E-7</v>
      </c>
      <c r="G82" s="131" t="s">
        <v>149</v>
      </c>
      <c r="H82" s="120" t="s">
        <v>151</v>
      </c>
      <c r="J82" s="8"/>
    </row>
    <row r="83" spans="1:10" x14ac:dyDescent="0.2">
      <c r="A83" s="118"/>
      <c r="B83" s="118"/>
      <c r="C83" s="119" t="s">
        <v>150</v>
      </c>
      <c r="D83" s="118"/>
      <c r="E83" s="118" t="s">
        <v>151</v>
      </c>
      <c r="F83" s="126">
        <v>112.485968145</v>
      </c>
      <c r="G83" s="127">
        <v>3.8591999999999999E-4</v>
      </c>
      <c r="H83" s="120" t="s">
        <v>151</v>
      </c>
      <c r="J83" s="8"/>
    </row>
    <row r="84" spans="1:10" x14ac:dyDescent="0.2">
      <c r="A84" s="118"/>
      <c r="B84" s="118"/>
      <c r="C84" s="128"/>
      <c r="D84" s="118"/>
      <c r="E84" s="118"/>
      <c r="F84" s="129"/>
      <c r="G84" s="129"/>
      <c r="H84" s="120" t="s">
        <v>151</v>
      </c>
      <c r="J84" s="8"/>
    </row>
    <row r="85" spans="1:10" x14ac:dyDescent="0.2">
      <c r="A85" s="118"/>
      <c r="B85" s="118"/>
      <c r="C85" s="119" t="s">
        <v>155</v>
      </c>
      <c r="D85" s="118"/>
      <c r="E85" s="118"/>
      <c r="F85" s="118"/>
      <c r="G85" s="118"/>
      <c r="H85" s="120" t="s">
        <v>151</v>
      </c>
      <c r="J85" s="8"/>
    </row>
    <row r="86" spans="1:10" x14ac:dyDescent="0.2">
      <c r="A86" s="118"/>
      <c r="B86" s="118"/>
      <c r="C86" s="119" t="s">
        <v>150</v>
      </c>
      <c r="D86" s="118"/>
      <c r="E86" s="118" t="s">
        <v>151</v>
      </c>
      <c r="F86" s="130" t="s">
        <v>153</v>
      </c>
      <c r="G86" s="127">
        <v>0</v>
      </c>
      <c r="H86" s="120" t="s">
        <v>151</v>
      </c>
      <c r="J86" s="8"/>
    </row>
    <row r="87" spans="1:10" x14ac:dyDescent="0.2">
      <c r="A87" s="118"/>
      <c r="B87" s="118"/>
      <c r="C87" s="128"/>
      <c r="D87" s="118"/>
      <c r="E87" s="118"/>
      <c r="F87" s="129"/>
      <c r="G87" s="129"/>
      <c r="H87" s="120" t="s">
        <v>151</v>
      </c>
      <c r="J87" s="8"/>
    </row>
    <row r="88" spans="1:10" x14ac:dyDescent="0.2">
      <c r="A88" s="118"/>
      <c r="B88" s="118"/>
      <c r="C88" s="119" t="s">
        <v>156</v>
      </c>
      <c r="D88" s="118"/>
      <c r="E88" s="118"/>
      <c r="F88" s="129"/>
      <c r="G88" s="129"/>
      <c r="H88" s="120" t="s">
        <v>151</v>
      </c>
      <c r="J88" s="8"/>
    </row>
    <row r="89" spans="1:10" x14ac:dyDescent="0.2">
      <c r="A89" s="118"/>
      <c r="B89" s="118"/>
      <c r="C89" s="119" t="s">
        <v>150</v>
      </c>
      <c r="D89" s="118"/>
      <c r="E89" s="118" t="s">
        <v>151</v>
      </c>
      <c r="F89" s="130" t="s">
        <v>153</v>
      </c>
      <c r="G89" s="127">
        <v>0</v>
      </c>
      <c r="H89" s="120" t="s">
        <v>151</v>
      </c>
      <c r="J89" s="8"/>
    </row>
    <row r="90" spans="1:10" x14ac:dyDescent="0.2">
      <c r="A90" s="118"/>
      <c r="B90" s="118"/>
      <c r="C90" s="128"/>
      <c r="D90" s="118"/>
      <c r="E90" s="118"/>
      <c r="F90" s="129"/>
      <c r="G90" s="129"/>
      <c r="H90" s="120" t="s">
        <v>151</v>
      </c>
      <c r="J90" s="8"/>
    </row>
    <row r="91" spans="1:10" x14ac:dyDescent="0.2">
      <c r="A91" s="118"/>
      <c r="B91" s="118"/>
      <c r="C91" s="119" t="s">
        <v>157</v>
      </c>
      <c r="D91" s="118"/>
      <c r="E91" s="118"/>
      <c r="F91" s="129"/>
      <c r="G91" s="129"/>
      <c r="H91" s="120" t="s">
        <v>151</v>
      </c>
      <c r="J91" s="8"/>
    </row>
    <row r="92" spans="1:10" x14ac:dyDescent="0.2">
      <c r="A92" s="118"/>
      <c r="B92" s="118"/>
      <c r="C92" s="119" t="s">
        <v>150</v>
      </c>
      <c r="D92" s="118"/>
      <c r="E92" s="118" t="s">
        <v>151</v>
      </c>
      <c r="F92" s="130" t="s">
        <v>153</v>
      </c>
      <c r="G92" s="127">
        <v>0</v>
      </c>
      <c r="H92" s="120" t="s">
        <v>151</v>
      </c>
      <c r="J92" s="8"/>
    </row>
    <row r="93" spans="1:10" x14ac:dyDescent="0.2">
      <c r="A93" s="118"/>
      <c r="B93" s="118"/>
      <c r="C93" s="128"/>
      <c r="D93" s="118"/>
      <c r="E93" s="118"/>
      <c r="F93" s="129"/>
      <c r="G93" s="129"/>
      <c r="H93" s="120" t="s">
        <v>151</v>
      </c>
      <c r="J93" s="8"/>
    </row>
    <row r="94" spans="1:10" x14ac:dyDescent="0.2">
      <c r="A94" s="118"/>
      <c r="B94" s="118"/>
      <c r="C94" s="119" t="s">
        <v>158</v>
      </c>
      <c r="D94" s="118"/>
      <c r="E94" s="118"/>
      <c r="F94" s="126">
        <v>277580.98211624502</v>
      </c>
      <c r="G94" s="127">
        <v>0.95232384999999997</v>
      </c>
      <c r="H94" s="120" t="s">
        <v>151</v>
      </c>
      <c r="J94" s="8"/>
    </row>
    <row r="95" spans="1:10" x14ac:dyDescent="0.2">
      <c r="A95" s="118"/>
      <c r="B95" s="118"/>
      <c r="C95" s="128"/>
      <c r="D95" s="118"/>
      <c r="E95" s="118"/>
      <c r="F95" s="129"/>
      <c r="G95" s="129"/>
      <c r="H95" s="120" t="s">
        <v>151</v>
      </c>
      <c r="J95" s="8"/>
    </row>
    <row r="96" spans="1:10" x14ac:dyDescent="0.2">
      <c r="A96" s="118"/>
      <c r="B96" s="118"/>
      <c r="C96" s="119" t="s">
        <v>159</v>
      </c>
      <c r="D96" s="118"/>
      <c r="E96" s="118"/>
      <c r="F96" s="129"/>
      <c r="G96" s="129"/>
      <c r="H96" s="120" t="s">
        <v>151</v>
      </c>
      <c r="J96" s="8"/>
    </row>
    <row r="97" spans="1:10" x14ac:dyDescent="0.2">
      <c r="A97" s="118"/>
      <c r="B97" s="118"/>
      <c r="C97" s="119" t="s">
        <v>10</v>
      </c>
      <c r="D97" s="118"/>
      <c r="E97" s="118"/>
      <c r="F97" s="129"/>
      <c r="G97" s="129"/>
      <c r="H97" s="120" t="s">
        <v>151</v>
      </c>
      <c r="J97" s="8"/>
    </row>
    <row r="98" spans="1:10" x14ac:dyDescent="0.2">
      <c r="A98" s="118"/>
      <c r="B98" s="118"/>
      <c r="C98" s="119" t="s">
        <v>150</v>
      </c>
      <c r="D98" s="118"/>
      <c r="E98" s="118" t="s">
        <v>151</v>
      </c>
      <c r="F98" s="130" t="s">
        <v>153</v>
      </c>
      <c r="G98" s="127">
        <v>0</v>
      </c>
      <c r="H98" s="120" t="s">
        <v>151</v>
      </c>
      <c r="J98" s="8"/>
    </row>
    <row r="99" spans="1:10" x14ac:dyDescent="0.2">
      <c r="A99" s="118"/>
      <c r="B99" s="118"/>
      <c r="C99" s="128"/>
      <c r="D99" s="118"/>
      <c r="E99" s="118"/>
      <c r="F99" s="129"/>
      <c r="G99" s="129"/>
      <c r="H99" s="120" t="s">
        <v>151</v>
      </c>
      <c r="J99" s="8"/>
    </row>
    <row r="100" spans="1:10" x14ac:dyDescent="0.2">
      <c r="A100" s="118"/>
      <c r="B100" s="118"/>
      <c r="C100" s="119" t="s">
        <v>160</v>
      </c>
      <c r="D100" s="118"/>
      <c r="E100" s="118"/>
      <c r="F100" s="118"/>
      <c r="G100" s="118"/>
      <c r="H100" s="120" t="s">
        <v>151</v>
      </c>
      <c r="J100" s="8"/>
    </row>
    <row r="101" spans="1:10" x14ac:dyDescent="0.2">
      <c r="A101" s="118"/>
      <c r="B101" s="118"/>
      <c r="C101" s="119" t="s">
        <v>150</v>
      </c>
      <c r="D101" s="118"/>
      <c r="E101" s="118" t="s">
        <v>151</v>
      </c>
      <c r="F101" s="130" t="s">
        <v>153</v>
      </c>
      <c r="G101" s="127">
        <v>0</v>
      </c>
      <c r="H101" s="120" t="s">
        <v>151</v>
      </c>
      <c r="J101" s="8"/>
    </row>
    <row r="102" spans="1:10" x14ac:dyDescent="0.2">
      <c r="A102" s="118"/>
      <c r="B102" s="118"/>
      <c r="C102" s="128"/>
      <c r="D102" s="118"/>
      <c r="E102" s="118"/>
      <c r="F102" s="129"/>
      <c r="G102" s="129"/>
      <c r="H102" s="120" t="s">
        <v>151</v>
      </c>
      <c r="J102" s="8"/>
    </row>
    <row r="103" spans="1:10" x14ac:dyDescent="0.2">
      <c r="A103" s="118"/>
      <c r="B103" s="118"/>
      <c r="C103" s="119" t="s">
        <v>161</v>
      </c>
      <c r="D103" s="118"/>
      <c r="E103" s="118"/>
      <c r="F103" s="118"/>
      <c r="G103" s="118"/>
      <c r="H103" s="120" t="s">
        <v>151</v>
      </c>
      <c r="J103" s="8"/>
    </row>
    <row r="104" spans="1:10" x14ac:dyDescent="0.2">
      <c r="A104" s="118"/>
      <c r="B104" s="118"/>
      <c r="C104" s="119" t="s">
        <v>150</v>
      </c>
      <c r="D104" s="118"/>
      <c r="E104" s="118" t="s">
        <v>151</v>
      </c>
      <c r="F104" s="130" t="s">
        <v>153</v>
      </c>
      <c r="G104" s="127">
        <v>0</v>
      </c>
      <c r="H104" s="120" t="s">
        <v>151</v>
      </c>
      <c r="J104" s="8"/>
    </row>
    <row r="105" spans="1:10" x14ac:dyDescent="0.2">
      <c r="A105" s="118"/>
      <c r="B105" s="118"/>
      <c r="C105" s="128"/>
      <c r="D105" s="118"/>
      <c r="E105" s="118"/>
      <c r="F105" s="129"/>
      <c r="G105" s="129"/>
      <c r="H105" s="120" t="s">
        <v>151</v>
      </c>
      <c r="J105" s="8"/>
    </row>
    <row r="106" spans="1:10" x14ac:dyDescent="0.2">
      <c r="A106" s="118"/>
      <c r="B106" s="118"/>
      <c r="C106" s="119" t="s">
        <v>162</v>
      </c>
      <c r="D106" s="118"/>
      <c r="E106" s="118"/>
      <c r="F106" s="129"/>
      <c r="G106" s="129"/>
      <c r="H106" s="120" t="s">
        <v>151</v>
      </c>
      <c r="J106" s="8"/>
    </row>
    <row r="107" spans="1:10" x14ac:dyDescent="0.2">
      <c r="A107" s="118"/>
      <c r="B107" s="118"/>
      <c r="C107" s="119" t="s">
        <v>150</v>
      </c>
      <c r="D107" s="118"/>
      <c r="E107" s="118" t="s">
        <v>151</v>
      </c>
      <c r="F107" s="130" t="s">
        <v>153</v>
      </c>
      <c r="G107" s="127">
        <v>0</v>
      </c>
      <c r="H107" s="120" t="s">
        <v>151</v>
      </c>
      <c r="J107" s="8"/>
    </row>
    <row r="108" spans="1:10" x14ac:dyDescent="0.2">
      <c r="A108" s="118"/>
      <c r="B108" s="118"/>
      <c r="C108" s="128"/>
      <c r="D108" s="118"/>
      <c r="E108" s="118"/>
      <c r="F108" s="129"/>
      <c r="G108" s="129"/>
      <c r="H108" s="120" t="s">
        <v>151</v>
      </c>
      <c r="J108" s="8"/>
    </row>
    <row r="109" spans="1:10" x14ac:dyDescent="0.2">
      <c r="A109" s="118"/>
      <c r="B109" s="118"/>
      <c r="C109" s="119" t="s">
        <v>163</v>
      </c>
      <c r="D109" s="118"/>
      <c r="E109" s="118"/>
      <c r="F109" s="126">
        <v>0</v>
      </c>
      <c r="G109" s="127">
        <v>0</v>
      </c>
      <c r="H109" s="120" t="s">
        <v>151</v>
      </c>
      <c r="J109" s="8"/>
    </row>
    <row r="110" spans="1:10" x14ac:dyDescent="0.2">
      <c r="A110" s="118"/>
      <c r="B110" s="118"/>
      <c r="C110" s="128"/>
      <c r="D110" s="118"/>
      <c r="E110" s="118"/>
      <c r="F110" s="129"/>
      <c r="G110" s="129"/>
      <c r="H110" s="120" t="s">
        <v>151</v>
      </c>
      <c r="J110" s="8"/>
    </row>
    <row r="111" spans="1:10" x14ac:dyDescent="0.2">
      <c r="A111" s="118"/>
      <c r="B111" s="118"/>
      <c r="C111" s="119" t="s">
        <v>164</v>
      </c>
      <c r="D111" s="118"/>
      <c r="E111" s="118"/>
      <c r="F111" s="129"/>
      <c r="G111" s="129"/>
      <c r="H111" s="120" t="s">
        <v>151</v>
      </c>
      <c r="J111" s="8"/>
    </row>
    <row r="112" spans="1:10" x14ac:dyDescent="0.2">
      <c r="A112" s="118"/>
      <c r="B112" s="118"/>
      <c r="C112" s="119" t="s">
        <v>165</v>
      </c>
      <c r="D112" s="118"/>
      <c r="E112" s="118"/>
      <c r="F112" s="129"/>
      <c r="G112" s="129"/>
      <c r="H112" s="120" t="s">
        <v>151</v>
      </c>
      <c r="J112" s="8"/>
    </row>
    <row r="113" spans="1:10" x14ac:dyDescent="0.2">
      <c r="A113" s="118"/>
      <c r="B113" s="118"/>
      <c r="C113" s="119" t="s">
        <v>150</v>
      </c>
      <c r="D113" s="118"/>
      <c r="E113" s="118" t="s">
        <v>151</v>
      </c>
      <c r="F113" s="130" t="s">
        <v>153</v>
      </c>
      <c r="G113" s="127">
        <v>0</v>
      </c>
      <c r="H113" s="120" t="s">
        <v>151</v>
      </c>
      <c r="J113" s="8"/>
    </row>
    <row r="114" spans="1:10" x14ac:dyDescent="0.2">
      <c r="A114" s="118"/>
      <c r="B114" s="118"/>
      <c r="C114" s="128"/>
      <c r="D114" s="118"/>
      <c r="E114" s="118"/>
      <c r="F114" s="129"/>
      <c r="G114" s="129"/>
      <c r="H114" s="120" t="s">
        <v>151</v>
      </c>
      <c r="J114" s="8"/>
    </row>
    <row r="115" spans="1:10" x14ac:dyDescent="0.2">
      <c r="A115" s="118"/>
      <c r="B115" s="118"/>
      <c r="C115" s="119" t="s">
        <v>166</v>
      </c>
      <c r="D115" s="118"/>
      <c r="E115" s="118"/>
      <c r="F115" s="129"/>
      <c r="G115" s="129"/>
      <c r="H115" s="120" t="s">
        <v>151</v>
      </c>
      <c r="J115" s="8"/>
    </row>
    <row r="116" spans="1:10" x14ac:dyDescent="0.2">
      <c r="A116" s="118"/>
      <c r="B116" s="118"/>
      <c r="C116" s="119" t="s">
        <v>150</v>
      </c>
      <c r="D116" s="118"/>
      <c r="E116" s="118" t="s">
        <v>151</v>
      </c>
      <c r="F116" s="130" t="s">
        <v>153</v>
      </c>
      <c r="G116" s="127">
        <v>0</v>
      </c>
      <c r="H116" s="120" t="s">
        <v>151</v>
      </c>
      <c r="J116" s="8"/>
    </row>
    <row r="117" spans="1:10" x14ac:dyDescent="0.2">
      <c r="A117" s="118"/>
      <c r="B117" s="118"/>
      <c r="C117" s="128"/>
      <c r="D117" s="118"/>
      <c r="E117" s="118"/>
      <c r="F117" s="129"/>
      <c r="G117" s="129"/>
      <c r="H117" s="120" t="s">
        <v>151</v>
      </c>
      <c r="J117" s="8"/>
    </row>
    <row r="118" spans="1:10" x14ac:dyDescent="0.2">
      <c r="A118" s="118"/>
      <c r="B118" s="118"/>
      <c r="C118" s="119" t="s">
        <v>167</v>
      </c>
      <c r="D118" s="118"/>
      <c r="E118" s="118"/>
      <c r="F118" s="129"/>
      <c r="G118" s="129"/>
      <c r="H118" s="120" t="s">
        <v>151</v>
      </c>
      <c r="J118" s="8"/>
    </row>
    <row r="119" spans="1:10" x14ac:dyDescent="0.2">
      <c r="A119" s="118"/>
      <c r="B119" s="118"/>
      <c r="C119" s="119" t="s">
        <v>150</v>
      </c>
      <c r="D119" s="118"/>
      <c r="E119" s="118" t="s">
        <v>151</v>
      </c>
      <c r="F119" s="130" t="s">
        <v>153</v>
      </c>
      <c r="G119" s="127">
        <v>0</v>
      </c>
      <c r="H119" s="120" t="s">
        <v>151</v>
      </c>
      <c r="J119" s="8"/>
    </row>
    <row r="120" spans="1:10" x14ac:dyDescent="0.2">
      <c r="A120" s="118"/>
      <c r="B120" s="118"/>
      <c r="C120" s="128"/>
      <c r="D120" s="118"/>
      <c r="E120" s="118"/>
      <c r="F120" s="129"/>
      <c r="G120" s="129"/>
      <c r="H120" s="120" t="s">
        <v>151</v>
      </c>
      <c r="J120" s="8"/>
    </row>
    <row r="121" spans="1:10" x14ac:dyDescent="0.2">
      <c r="A121" s="118"/>
      <c r="B121" s="118"/>
      <c r="C121" s="119" t="s">
        <v>168</v>
      </c>
      <c r="D121" s="118"/>
      <c r="E121" s="118"/>
      <c r="F121" s="129"/>
      <c r="G121" s="129"/>
      <c r="H121" s="120" t="s">
        <v>151</v>
      </c>
      <c r="J121" s="8"/>
    </row>
    <row r="122" spans="1:10" x14ac:dyDescent="0.2">
      <c r="A122" s="121">
        <v>1</v>
      </c>
      <c r="B122" s="122"/>
      <c r="C122" s="122" t="s">
        <v>169</v>
      </c>
      <c r="D122" s="122"/>
      <c r="E122" s="131"/>
      <c r="F122" s="124">
        <v>10020.556982964999</v>
      </c>
      <c r="G122" s="125">
        <v>3.4378489999999998E-2</v>
      </c>
      <c r="H122" s="120">
        <v>6.61</v>
      </c>
      <c r="J122" s="8"/>
    </row>
    <row r="123" spans="1:10" x14ac:dyDescent="0.2">
      <c r="A123" s="118"/>
      <c r="B123" s="118"/>
      <c r="C123" s="119" t="s">
        <v>150</v>
      </c>
      <c r="D123" s="118"/>
      <c r="E123" s="118" t="s">
        <v>151</v>
      </c>
      <c r="F123" s="126">
        <v>10020.556982964999</v>
      </c>
      <c r="G123" s="127">
        <v>3.4378489999999998E-2</v>
      </c>
      <c r="H123" s="120" t="s">
        <v>151</v>
      </c>
      <c r="J123" s="8"/>
    </row>
    <row r="124" spans="1:10" x14ac:dyDescent="0.2">
      <c r="A124" s="118"/>
      <c r="B124" s="118"/>
      <c r="C124" s="128"/>
      <c r="D124" s="118"/>
      <c r="E124" s="118"/>
      <c r="F124" s="129"/>
      <c r="G124" s="129"/>
      <c r="H124" s="120" t="s">
        <v>151</v>
      </c>
      <c r="J124" s="8"/>
    </row>
    <row r="125" spans="1:10" x14ac:dyDescent="0.2">
      <c r="A125" s="118"/>
      <c r="B125" s="118"/>
      <c r="C125" s="119" t="s">
        <v>170</v>
      </c>
      <c r="D125" s="118"/>
      <c r="E125" s="118"/>
      <c r="F125" s="126">
        <v>10020.556982964999</v>
      </c>
      <c r="G125" s="127">
        <v>3.4378489999999998E-2</v>
      </c>
      <c r="H125" s="120" t="s">
        <v>151</v>
      </c>
      <c r="J125" s="8"/>
    </row>
    <row r="126" spans="1:10" x14ac:dyDescent="0.2">
      <c r="A126" s="118"/>
      <c r="B126" s="118"/>
      <c r="C126" s="129"/>
      <c r="D126" s="118"/>
      <c r="E126" s="118"/>
      <c r="F126" s="118"/>
      <c r="G126" s="118"/>
      <c r="H126" s="120" t="s">
        <v>151</v>
      </c>
      <c r="J126" s="8"/>
    </row>
    <row r="127" spans="1:10" x14ac:dyDescent="0.2">
      <c r="A127" s="118"/>
      <c r="B127" s="118"/>
      <c r="C127" s="119" t="s">
        <v>171</v>
      </c>
      <c r="D127" s="118"/>
      <c r="E127" s="118"/>
      <c r="F127" s="118"/>
      <c r="G127" s="118"/>
      <c r="H127" s="120" t="s">
        <v>151</v>
      </c>
      <c r="J127" s="8"/>
    </row>
    <row r="128" spans="1:10" x14ac:dyDescent="0.2">
      <c r="A128" s="118"/>
      <c r="B128" s="118"/>
      <c r="C128" s="119" t="s">
        <v>172</v>
      </c>
      <c r="D128" s="118"/>
      <c r="E128" s="118"/>
      <c r="F128" s="118"/>
      <c r="G128" s="118"/>
      <c r="H128" s="120" t="s">
        <v>151</v>
      </c>
      <c r="J128" s="8"/>
    </row>
    <row r="129" spans="1:10" x14ac:dyDescent="0.2">
      <c r="A129" s="121">
        <v>1</v>
      </c>
      <c r="B129" s="122" t="s">
        <v>173</v>
      </c>
      <c r="C129" s="122" t="s">
        <v>174</v>
      </c>
      <c r="D129" s="122"/>
      <c r="E129" s="132">
        <v>158379.842</v>
      </c>
      <c r="F129" s="124">
        <v>3500.9468124499999</v>
      </c>
      <c r="G129" s="125">
        <v>1.2011040000000001E-2</v>
      </c>
      <c r="H129" s="120" t="s">
        <v>151</v>
      </c>
      <c r="J129" s="8"/>
    </row>
    <row r="130" spans="1:10" x14ac:dyDescent="0.2">
      <c r="A130" s="118"/>
      <c r="B130" s="118"/>
      <c r="C130" s="119" t="s">
        <v>150</v>
      </c>
      <c r="D130" s="118"/>
      <c r="E130" s="118" t="s">
        <v>151</v>
      </c>
      <c r="F130" s="126">
        <v>3500.9468124499999</v>
      </c>
      <c r="G130" s="127">
        <v>1.2011040000000001E-2</v>
      </c>
      <c r="H130" s="120" t="s">
        <v>151</v>
      </c>
      <c r="J130" s="8"/>
    </row>
    <row r="131" spans="1:10" x14ac:dyDescent="0.2">
      <c r="A131" s="118"/>
      <c r="B131" s="118"/>
      <c r="C131" s="128"/>
      <c r="D131" s="118"/>
      <c r="E131" s="118"/>
      <c r="F131" s="129"/>
      <c r="G131" s="129"/>
      <c r="H131" s="120" t="s">
        <v>151</v>
      </c>
      <c r="J131" s="8"/>
    </row>
    <row r="132" spans="1:10" x14ac:dyDescent="0.2">
      <c r="A132" s="118"/>
      <c r="B132" s="118"/>
      <c r="C132" s="119" t="s">
        <v>175</v>
      </c>
      <c r="D132" s="118"/>
      <c r="E132" s="118"/>
      <c r="F132" s="118"/>
      <c r="G132" s="118"/>
      <c r="H132" s="120" t="s">
        <v>151</v>
      </c>
      <c r="J132" s="8"/>
    </row>
    <row r="133" spans="1:10" x14ac:dyDescent="0.2">
      <c r="A133" s="118"/>
      <c r="B133" s="118"/>
      <c r="C133" s="119" t="s">
        <v>176</v>
      </c>
      <c r="D133" s="118"/>
      <c r="E133" s="118"/>
      <c r="F133" s="118"/>
      <c r="G133" s="118"/>
      <c r="H133" s="120" t="s">
        <v>151</v>
      </c>
      <c r="J133" s="8"/>
    </row>
    <row r="134" spans="1:10" x14ac:dyDescent="0.2">
      <c r="A134" s="118"/>
      <c r="B134" s="118"/>
      <c r="C134" s="119" t="s">
        <v>150</v>
      </c>
      <c r="D134" s="118"/>
      <c r="E134" s="118" t="s">
        <v>151</v>
      </c>
      <c r="F134" s="130" t="s">
        <v>153</v>
      </c>
      <c r="G134" s="127">
        <v>0</v>
      </c>
      <c r="H134" s="120" t="s">
        <v>151</v>
      </c>
      <c r="J134" s="8"/>
    </row>
    <row r="135" spans="1:10" x14ac:dyDescent="0.2">
      <c r="A135" s="118"/>
      <c r="B135" s="118"/>
      <c r="C135" s="128"/>
      <c r="D135" s="118"/>
      <c r="E135" s="118"/>
      <c r="F135" s="129"/>
      <c r="G135" s="129"/>
      <c r="H135" s="120" t="s">
        <v>151</v>
      </c>
      <c r="J135" s="8"/>
    </row>
    <row r="136" spans="1:10" x14ac:dyDescent="0.2">
      <c r="A136" s="118"/>
      <c r="B136" s="118"/>
      <c r="C136" s="119" t="s">
        <v>177</v>
      </c>
      <c r="D136" s="118"/>
      <c r="E136" s="118"/>
      <c r="F136" s="129"/>
      <c r="G136" s="129"/>
      <c r="H136" s="120" t="s">
        <v>151</v>
      </c>
      <c r="J136" s="8"/>
    </row>
    <row r="137" spans="1:10" x14ac:dyDescent="0.2">
      <c r="A137" s="118"/>
      <c r="B137" s="118"/>
      <c r="C137" s="119" t="s">
        <v>150</v>
      </c>
      <c r="D137" s="118"/>
      <c r="E137" s="118" t="s">
        <v>151</v>
      </c>
      <c r="F137" s="130" t="s">
        <v>153</v>
      </c>
      <c r="G137" s="127">
        <v>0</v>
      </c>
      <c r="H137" s="120" t="s">
        <v>151</v>
      </c>
      <c r="J137" s="8"/>
    </row>
    <row r="138" spans="1:10" x14ac:dyDescent="0.2">
      <c r="A138" s="118"/>
      <c r="B138" s="122"/>
      <c r="C138" s="122"/>
      <c r="D138" s="119"/>
      <c r="E138" s="118"/>
      <c r="F138" s="122"/>
      <c r="G138" s="131"/>
      <c r="H138" s="120" t="s">
        <v>151</v>
      </c>
      <c r="J138" s="8"/>
    </row>
    <row r="139" spans="1:10" x14ac:dyDescent="0.2">
      <c r="A139" s="131"/>
      <c r="B139" s="122"/>
      <c r="C139" s="122" t="s">
        <v>178</v>
      </c>
      <c r="D139" s="122"/>
      <c r="E139" s="131"/>
      <c r="F139" s="124">
        <v>375.01429887</v>
      </c>
      <c r="G139" s="125">
        <v>1.2865999999999999E-3</v>
      </c>
      <c r="H139" s="120" t="s">
        <v>151</v>
      </c>
      <c r="J139" s="8"/>
    </row>
    <row r="140" spans="1:10" x14ac:dyDescent="0.2">
      <c r="A140" s="128"/>
      <c r="B140" s="128"/>
      <c r="C140" s="119" t="s">
        <v>179</v>
      </c>
      <c r="D140" s="129"/>
      <c r="E140" s="129"/>
      <c r="F140" s="126">
        <v>291477.50021053001</v>
      </c>
      <c r="G140" s="133">
        <v>0.99999998000000001</v>
      </c>
      <c r="H140" s="120" t="s">
        <v>151</v>
      </c>
      <c r="J140" s="8"/>
    </row>
    <row r="141" spans="1:10" x14ac:dyDescent="0.2">
      <c r="A141" s="134"/>
      <c r="B141" s="134"/>
      <c r="C141" s="134"/>
      <c r="D141" s="135"/>
      <c r="E141" s="135"/>
      <c r="F141" s="135"/>
      <c r="G141" s="135"/>
      <c r="J141" s="8"/>
    </row>
    <row r="142" spans="1:10" ht="12.75" customHeight="1" x14ac:dyDescent="0.2">
      <c r="A142" s="136"/>
      <c r="B142" s="137" t="s">
        <v>888</v>
      </c>
      <c r="C142" s="137"/>
      <c r="D142" s="137"/>
      <c r="E142" s="137"/>
      <c r="F142" s="137"/>
      <c r="G142" s="137"/>
      <c r="H142" s="137"/>
      <c r="J142" s="8"/>
    </row>
    <row r="143" spans="1:10" ht="14.1" customHeight="1" x14ac:dyDescent="0.2">
      <c r="A143" s="136"/>
      <c r="B143" s="137" t="s">
        <v>889</v>
      </c>
      <c r="C143" s="137"/>
      <c r="D143" s="137"/>
      <c r="E143" s="137"/>
      <c r="F143" s="137"/>
      <c r="G143" s="137"/>
      <c r="H143" s="137"/>
      <c r="J143" s="8"/>
    </row>
    <row r="144" spans="1:10" ht="17.100000000000001" customHeight="1" x14ac:dyDescent="0.2">
      <c r="A144" s="136"/>
      <c r="B144" s="137" t="s">
        <v>890</v>
      </c>
      <c r="C144" s="137"/>
      <c r="D144" s="137"/>
      <c r="E144" s="137"/>
      <c r="F144" s="137"/>
      <c r="G144" s="137"/>
      <c r="H144" s="137"/>
      <c r="J144" s="8"/>
    </row>
    <row r="145" spans="1:17" s="13" customFormat="1" ht="65.25" customHeight="1" x14ac:dyDescent="0.25">
      <c r="A145" s="138"/>
      <c r="B145" s="139" t="s">
        <v>891</v>
      </c>
      <c r="C145" s="139"/>
      <c r="D145" s="139"/>
      <c r="E145" s="139"/>
      <c r="F145" s="139"/>
      <c r="G145" s="139"/>
      <c r="H145" s="139"/>
      <c r="I145" s="114"/>
      <c r="J145" s="8"/>
      <c r="K145"/>
      <c r="L145"/>
      <c r="M145"/>
      <c r="N145"/>
      <c r="O145"/>
      <c r="P145"/>
      <c r="Q145"/>
    </row>
    <row r="146" spans="1:17" ht="12.75" customHeight="1" x14ac:dyDescent="0.2">
      <c r="A146" s="136"/>
      <c r="B146" s="137" t="s">
        <v>892</v>
      </c>
      <c r="C146" s="137"/>
      <c r="D146" s="137"/>
      <c r="E146" s="137"/>
      <c r="F146" s="137"/>
      <c r="G146" s="137"/>
      <c r="H146" s="137"/>
      <c r="J146" s="8"/>
    </row>
    <row r="147" spans="1:17" x14ac:dyDescent="0.2">
      <c r="A147" s="140"/>
      <c r="B147" s="140"/>
      <c r="C147" s="140"/>
      <c r="D147" s="141"/>
      <c r="E147" s="141"/>
      <c r="F147" s="141"/>
      <c r="G147" s="141"/>
      <c r="J147" s="8"/>
    </row>
    <row r="148" spans="1:17" x14ac:dyDescent="0.2">
      <c r="A148" s="140"/>
      <c r="B148" s="142" t="s">
        <v>180</v>
      </c>
      <c r="C148" s="143"/>
      <c r="D148" s="144"/>
      <c r="E148" s="145"/>
      <c r="F148" s="141"/>
      <c r="G148" s="141"/>
      <c r="J148" s="8"/>
    </row>
    <row r="149" spans="1:17" ht="29.25" customHeight="1" x14ac:dyDescent="0.2">
      <c r="A149" s="136"/>
      <c r="B149" s="148" t="s">
        <v>181</v>
      </c>
      <c r="C149" s="149"/>
      <c r="D149" s="150" t="s">
        <v>918</v>
      </c>
      <c r="E149" s="206"/>
      <c r="F149" s="207"/>
      <c r="G149" s="207"/>
      <c r="J149" s="8"/>
    </row>
    <row r="150" spans="1:17" ht="17.100000000000001" customHeight="1" x14ac:dyDescent="0.2">
      <c r="A150" s="136"/>
      <c r="B150" s="148" t="s">
        <v>908</v>
      </c>
      <c r="C150" s="149"/>
      <c r="D150" s="150" t="s">
        <v>1181</v>
      </c>
      <c r="E150" s="206"/>
      <c r="F150" s="207"/>
      <c r="G150" s="207"/>
      <c r="J150" s="8"/>
    </row>
    <row r="151" spans="1:17" x14ac:dyDescent="0.2">
      <c r="A151" s="140"/>
      <c r="B151" s="146" t="s">
        <v>184</v>
      </c>
      <c r="C151" s="147"/>
      <c r="D151" s="129" t="s">
        <v>151</v>
      </c>
      <c r="E151" s="145"/>
      <c r="F151" s="141"/>
      <c r="G151" s="141"/>
      <c r="J151" s="8"/>
    </row>
    <row r="152" spans="1:17" x14ac:dyDescent="0.2">
      <c r="A152" s="151"/>
      <c r="B152" s="152" t="s">
        <v>151</v>
      </c>
      <c r="C152" s="152" t="s">
        <v>894</v>
      </c>
      <c r="D152" s="152" t="s">
        <v>185</v>
      </c>
      <c r="E152" s="151"/>
      <c r="F152" s="151"/>
      <c r="G152" s="151"/>
      <c r="H152" s="151"/>
      <c r="J152" s="8"/>
    </row>
    <row r="153" spans="1:17" x14ac:dyDescent="0.2">
      <c r="A153" s="153"/>
      <c r="B153" s="154" t="s">
        <v>186</v>
      </c>
      <c r="C153" s="155">
        <v>45535</v>
      </c>
      <c r="D153" s="155">
        <v>45565</v>
      </c>
      <c r="E153" s="153"/>
      <c r="F153" s="153"/>
      <c r="G153" s="153"/>
      <c r="J153" s="8"/>
    </row>
    <row r="154" spans="1:17" x14ac:dyDescent="0.2">
      <c r="A154" s="153"/>
      <c r="B154" s="122" t="s">
        <v>187</v>
      </c>
      <c r="C154" s="156">
        <v>424.21800000000002</v>
      </c>
      <c r="D154" s="156">
        <v>437.16660000000002</v>
      </c>
      <c r="E154" s="153"/>
      <c r="F154" s="157"/>
      <c r="G154" s="158"/>
      <c r="J154" s="8"/>
    </row>
    <row r="155" spans="1:17" ht="25.5" x14ac:dyDescent="0.2">
      <c r="A155" s="153"/>
      <c r="B155" s="122" t="s">
        <v>1040</v>
      </c>
      <c r="C155" s="156">
        <v>97.453199999999995</v>
      </c>
      <c r="D155" s="156">
        <v>97.046499999999995</v>
      </c>
      <c r="E155" s="153"/>
      <c r="F155" s="157"/>
      <c r="G155" s="158"/>
      <c r="J155" s="8"/>
    </row>
    <row r="156" spans="1:17" x14ac:dyDescent="0.2">
      <c r="A156" s="153"/>
      <c r="B156" s="122" t="s">
        <v>188</v>
      </c>
      <c r="C156" s="156">
        <v>384.6431</v>
      </c>
      <c r="D156" s="156">
        <v>396.02550000000002</v>
      </c>
      <c r="E156" s="153"/>
      <c r="F156" s="157"/>
      <c r="G156" s="158"/>
      <c r="J156" s="8"/>
    </row>
    <row r="157" spans="1:17" ht="25.5" x14ac:dyDescent="0.2">
      <c r="A157" s="153"/>
      <c r="B157" s="122" t="s">
        <v>1041</v>
      </c>
      <c r="C157" s="156">
        <v>72.946200000000005</v>
      </c>
      <c r="D157" s="156">
        <v>72.573599999999999</v>
      </c>
      <c r="E157" s="153"/>
      <c r="F157" s="157"/>
      <c r="G157" s="158"/>
      <c r="J157" s="8"/>
    </row>
    <row r="158" spans="1:17" x14ac:dyDescent="0.2">
      <c r="A158" s="153"/>
      <c r="B158" s="153"/>
      <c r="C158" s="153"/>
      <c r="D158" s="153"/>
      <c r="E158" s="153"/>
      <c r="F158" s="153"/>
      <c r="G158" s="153"/>
      <c r="J158" s="8"/>
    </row>
    <row r="159" spans="1:17" x14ac:dyDescent="0.2">
      <c r="A159" s="153"/>
      <c r="B159" s="146" t="s">
        <v>895</v>
      </c>
      <c r="C159" s="147"/>
      <c r="D159" s="119" t="s">
        <v>151</v>
      </c>
      <c r="E159" s="153"/>
      <c r="F159" s="153"/>
      <c r="G159" s="153"/>
      <c r="J159" s="8"/>
    </row>
    <row r="160" spans="1:17" x14ac:dyDescent="0.2">
      <c r="A160" s="153"/>
      <c r="B160" s="210" t="s">
        <v>186</v>
      </c>
      <c r="C160" s="211" t="s">
        <v>647</v>
      </c>
      <c r="D160" s="211" t="s">
        <v>648</v>
      </c>
      <c r="E160" s="153"/>
      <c r="F160" s="153"/>
      <c r="G160" s="153"/>
      <c r="J160" s="8"/>
    </row>
    <row r="161" spans="1:10" ht="25.5" x14ac:dyDescent="0.2">
      <c r="A161" s="153"/>
      <c r="B161" s="122" t="s">
        <v>1040</v>
      </c>
      <c r="C161" s="212">
        <v>3.3940000000000001</v>
      </c>
      <c r="D161" s="131" t="s">
        <v>685</v>
      </c>
      <c r="E161" s="153"/>
      <c r="F161" s="157"/>
      <c r="G161" s="158"/>
      <c r="J161" s="8"/>
    </row>
    <row r="162" spans="1:10" ht="25.5" x14ac:dyDescent="0.2">
      <c r="A162" s="153"/>
      <c r="B162" s="122" t="s">
        <v>1041</v>
      </c>
      <c r="C162" s="212">
        <v>2.5409999999999999</v>
      </c>
      <c r="D162" s="212">
        <v>2.5409999999999999</v>
      </c>
      <c r="E162" s="153"/>
      <c r="F162" s="157"/>
      <c r="G162" s="158"/>
      <c r="J162" s="8"/>
    </row>
    <row r="163" spans="1:10" x14ac:dyDescent="0.2">
      <c r="A163" s="153"/>
      <c r="B163" s="213"/>
      <c r="C163" s="213"/>
      <c r="D163" s="214"/>
      <c r="E163" s="153"/>
      <c r="F163" s="157"/>
      <c r="G163" s="158"/>
      <c r="J163" s="8"/>
    </row>
    <row r="164" spans="1:10" ht="29.1" customHeight="1" x14ac:dyDescent="0.2">
      <c r="A164" s="151"/>
      <c r="B164" s="148" t="s">
        <v>189</v>
      </c>
      <c r="C164" s="149"/>
      <c r="D164" s="150" t="s">
        <v>182</v>
      </c>
      <c r="E164" s="160"/>
      <c r="F164" s="151"/>
      <c r="G164" s="151"/>
      <c r="J164" s="8"/>
    </row>
    <row r="165" spans="1:10" ht="29.1" customHeight="1" x14ac:dyDescent="0.2">
      <c r="A165" s="151"/>
      <c r="B165" s="148" t="s">
        <v>190</v>
      </c>
      <c r="C165" s="149"/>
      <c r="D165" s="150" t="s">
        <v>182</v>
      </c>
      <c r="E165" s="160"/>
      <c r="F165" s="151"/>
      <c r="G165" s="151"/>
      <c r="J165" s="8"/>
    </row>
    <row r="166" spans="1:10" ht="17.100000000000001" customHeight="1" x14ac:dyDescent="0.2">
      <c r="A166" s="151"/>
      <c r="B166" s="148" t="s">
        <v>191</v>
      </c>
      <c r="C166" s="149"/>
      <c r="D166" s="150" t="s">
        <v>182</v>
      </c>
      <c r="E166" s="160"/>
      <c r="F166" s="151"/>
      <c r="G166" s="151"/>
      <c r="J166" s="8"/>
    </row>
    <row r="167" spans="1:10" ht="17.100000000000001" customHeight="1" x14ac:dyDescent="0.2">
      <c r="A167" s="151"/>
      <c r="B167" s="148" t="s">
        <v>192</v>
      </c>
      <c r="C167" s="149"/>
      <c r="D167" s="161">
        <v>0.67590227912986545</v>
      </c>
      <c r="E167" s="151"/>
      <c r="F167" s="159"/>
      <c r="G167" s="162"/>
      <c r="J167" s="8"/>
    </row>
    <row r="168" spans="1:10" x14ac:dyDescent="0.2">
      <c r="J168" s="8"/>
    </row>
    <row r="169" spans="1:10" x14ac:dyDescent="0.2">
      <c r="B169" s="269" t="s">
        <v>1064</v>
      </c>
      <c r="J169" s="8"/>
    </row>
    <row r="170" spans="1:10" ht="67.5" x14ac:dyDescent="0.2">
      <c r="B170" s="270" t="s">
        <v>921</v>
      </c>
      <c r="C170" s="270" t="s">
        <v>922</v>
      </c>
      <c r="D170" s="270" t="s">
        <v>923</v>
      </c>
      <c r="E170" s="270" t="s">
        <v>924</v>
      </c>
      <c r="F170" s="270" t="s">
        <v>925</v>
      </c>
      <c r="J170" s="8"/>
    </row>
    <row r="171" spans="1:10" ht="13.5" x14ac:dyDescent="0.2">
      <c r="B171" s="271" t="s">
        <v>1021</v>
      </c>
      <c r="C171" s="272" t="s">
        <v>990</v>
      </c>
      <c r="D171" s="21">
        <v>0</v>
      </c>
      <c r="E171" s="22">
        <v>0</v>
      </c>
      <c r="F171" s="273">
        <v>29.407129999999999</v>
      </c>
      <c r="J171" s="8"/>
    </row>
    <row r="172" spans="1:10" x14ac:dyDescent="0.2">
      <c r="J172" s="8"/>
    </row>
    <row r="173" spans="1:10" x14ac:dyDescent="0.2">
      <c r="J173" s="8"/>
    </row>
    <row r="174" spans="1:10" x14ac:dyDescent="0.2">
      <c r="J174" s="8"/>
    </row>
    <row r="175" spans="1:10" x14ac:dyDescent="0.2">
      <c r="J175" s="8"/>
    </row>
    <row r="176" spans="1:10" x14ac:dyDescent="0.2">
      <c r="J176" s="8"/>
    </row>
  </sheetData>
  <mergeCells count="17">
    <mergeCell ref="A1:H1"/>
    <mergeCell ref="A2:H2"/>
    <mergeCell ref="A3:H3"/>
    <mergeCell ref="B148:D148"/>
    <mergeCell ref="B142:H142"/>
    <mergeCell ref="B143:H143"/>
    <mergeCell ref="B144:H144"/>
    <mergeCell ref="B145:H145"/>
    <mergeCell ref="B146:H146"/>
    <mergeCell ref="B165:C165"/>
    <mergeCell ref="B166:C166"/>
    <mergeCell ref="B167:C167"/>
    <mergeCell ref="B164:C164"/>
    <mergeCell ref="B149:C149"/>
    <mergeCell ref="B150:C150"/>
    <mergeCell ref="B151:C151"/>
    <mergeCell ref="B159:C159"/>
  </mergeCells>
  <hyperlinks>
    <hyperlink ref="I1" location="Index!B2" display="Index" xr:uid="{8C956262-E435-4A18-8476-0FEB9671911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9C829-FEF3-412B-ABE2-8CA603B62E38}">
  <sheetPr>
    <outlinePr summaryBelow="0" summaryRight="0"/>
  </sheetPr>
  <dimension ref="A1:Q193"/>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33.85546875" style="114" bestFit="1" customWidth="1"/>
    <col min="4" max="4" width="17.710937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874</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ht="25.5" x14ac:dyDescent="0.2">
      <c r="A6" s="118"/>
      <c r="B6" s="118"/>
      <c r="C6" s="119" t="s">
        <v>10</v>
      </c>
      <c r="D6" s="118"/>
      <c r="E6" s="118"/>
      <c r="F6" s="118"/>
      <c r="G6" s="118"/>
      <c r="H6" s="120" t="s">
        <v>151</v>
      </c>
      <c r="J6" s="8"/>
    </row>
    <row r="7" spans="1:10" x14ac:dyDescent="0.2">
      <c r="A7" s="121">
        <v>1</v>
      </c>
      <c r="B7" s="122" t="s">
        <v>28</v>
      </c>
      <c r="C7" s="122" t="s">
        <v>29</v>
      </c>
      <c r="D7" s="122" t="s">
        <v>22</v>
      </c>
      <c r="E7" s="123">
        <v>28824</v>
      </c>
      <c r="F7" s="124">
        <v>106.634388</v>
      </c>
      <c r="G7" s="125">
        <v>1.066511E-2</v>
      </c>
      <c r="H7" s="120" t="s">
        <v>151</v>
      </c>
      <c r="J7" s="8"/>
    </row>
    <row r="8" spans="1:10" x14ac:dyDescent="0.2">
      <c r="A8" s="121">
        <v>2</v>
      </c>
      <c r="B8" s="122" t="s">
        <v>65</v>
      </c>
      <c r="C8" s="122" t="s">
        <v>66</v>
      </c>
      <c r="D8" s="122" t="s">
        <v>67</v>
      </c>
      <c r="E8" s="123">
        <v>43245</v>
      </c>
      <c r="F8" s="124">
        <v>103.9134105</v>
      </c>
      <c r="G8" s="125">
        <v>1.039297E-2</v>
      </c>
      <c r="H8" s="120" t="s">
        <v>151</v>
      </c>
      <c r="J8" s="8"/>
    </row>
    <row r="9" spans="1:10" x14ac:dyDescent="0.2">
      <c r="A9" s="121">
        <v>3</v>
      </c>
      <c r="B9" s="122" t="s">
        <v>665</v>
      </c>
      <c r="C9" s="122" t="s">
        <v>666</v>
      </c>
      <c r="D9" s="122" t="s">
        <v>22</v>
      </c>
      <c r="E9" s="123">
        <v>57647</v>
      </c>
      <c r="F9" s="124">
        <v>103.85107050000001</v>
      </c>
      <c r="G9" s="125">
        <v>1.038674E-2</v>
      </c>
      <c r="H9" s="120" t="s">
        <v>151</v>
      </c>
      <c r="J9" s="8"/>
    </row>
    <row r="10" spans="1:10" x14ac:dyDescent="0.2">
      <c r="A10" s="121">
        <v>4</v>
      </c>
      <c r="B10" s="122" t="s">
        <v>656</v>
      </c>
      <c r="C10" s="122" t="s">
        <v>657</v>
      </c>
      <c r="D10" s="122" t="s">
        <v>658</v>
      </c>
      <c r="E10" s="123">
        <v>20063</v>
      </c>
      <c r="F10" s="124">
        <v>102.8529695</v>
      </c>
      <c r="G10" s="125">
        <v>1.028691E-2</v>
      </c>
      <c r="H10" s="120" t="s">
        <v>151</v>
      </c>
      <c r="J10" s="8"/>
    </row>
    <row r="11" spans="1:10" ht="25.5" x14ac:dyDescent="0.2">
      <c r="A11" s="121">
        <v>5</v>
      </c>
      <c r="B11" s="122" t="s">
        <v>745</v>
      </c>
      <c r="C11" s="122" t="s">
        <v>746</v>
      </c>
      <c r="D11" s="122" t="s">
        <v>70</v>
      </c>
      <c r="E11" s="123">
        <v>48246</v>
      </c>
      <c r="F11" s="124">
        <v>101.9872194</v>
      </c>
      <c r="G11" s="125">
        <v>1.0200320000000001E-2</v>
      </c>
      <c r="H11" s="120" t="s">
        <v>151</v>
      </c>
      <c r="J11" s="8"/>
    </row>
    <row r="12" spans="1:10" ht="25.5" x14ac:dyDescent="0.2">
      <c r="A12" s="121">
        <v>6</v>
      </c>
      <c r="B12" s="122" t="s">
        <v>403</v>
      </c>
      <c r="C12" s="122" t="s">
        <v>404</v>
      </c>
      <c r="D12" s="122" t="s">
        <v>25</v>
      </c>
      <c r="E12" s="123">
        <v>3628</v>
      </c>
      <c r="F12" s="124">
        <v>101.42255400000001</v>
      </c>
      <c r="G12" s="125">
        <v>1.0143849999999999E-2</v>
      </c>
      <c r="H12" s="120" t="s">
        <v>151</v>
      </c>
    </row>
    <row r="13" spans="1:10" x14ac:dyDescent="0.2">
      <c r="A13" s="121">
        <v>7</v>
      </c>
      <c r="B13" s="122" t="s">
        <v>49</v>
      </c>
      <c r="C13" s="122" t="s">
        <v>50</v>
      </c>
      <c r="D13" s="122" t="s">
        <v>19</v>
      </c>
      <c r="E13" s="123">
        <v>20958</v>
      </c>
      <c r="F13" s="124">
        <v>101.143308</v>
      </c>
      <c r="G13" s="125">
        <v>1.011592E-2</v>
      </c>
      <c r="H13" s="120" t="s">
        <v>151</v>
      </c>
      <c r="J13" s="8"/>
    </row>
    <row r="14" spans="1:10" ht="25.5" x14ac:dyDescent="0.2">
      <c r="A14" s="121">
        <v>8</v>
      </c>
      <c r="B14" s="122" t="s">
        <v>353</v>
      </c>
      <c r="C14" s="122" t="s">
        <v>354</v>
      </c>
      <c r="D14" s="122" t="s">
        <v>205</v>
      </c>
      <c r="E14" s="123">
        <v>5235</v>
      </c>
      <c r="F14" s="124">
        <v>100.862745</v>
      </c>
      <c r="G14" s="125">
        <v>1.0087860000000001E-2</v>
      </c>
      <c r="H14" s="120" t="s">
        <v>151</v>
      </c>
      <c r="J14" s="8" t="s">
        <v>1022</v>
      </c>
    </row>
    <row r="15" spans="1:10" x14ac:dyDescent="0.2">
      <c r="A15" s="121">
        <v>9</v>
      </c>
      <c r="B15" s="122" t="s">
        <v>547</v>
      </c>
      <c r="C15" s="122" t="s">
        <v>548</v>
      </c>
      <c r="D15" s="122" t="s">
        <v>270</v>
      </c>
      <c r="E15" s="123">
        <v>760</v>
      </c>
      <c r="F15" s="124">
        <v>100.6088</v>
      </c>
      <c r="G15" s="125">
        <v>1.0062460000000001E-2</v>
      </c>
      <c r="H15" s="120" t="s">
        <v>151</v>
      </c>
      <c r="J15" s="8"/>
    </row>
    <row r="16" spans="1:10" x14ac:dyDescent="0.2">
      <c r="A16" s="121">
        <v>10</v>
      </c>
      <c r="B16" s="122" t="s">
        <v>747</v>
      </c>
      <c r="C16" s="122" t="s">
        <v>748</v>
      </c>
      <c r="D16" s="122" t="s">
        <v>270</v>
      </c>
      <c r="E16" s="123">
        <v>1998</v>
      </c>
      <c r="F16" s="124">
        <v>100.424475</v>
      </c>
      <c r="G16" s="125">
        <v>1.0044020000000001E-2</v>
      </c>
      <c r="H16" s="120" t="s">
        <v>151</v>
      </c>
      <c r="J16" s="8"/>
    </row>
    <row r="17" spans="1:10" x14ac:dyDescent="0.2">
      <c r="A17" s="121">
        <v>11</v>
      </c>
      <c r="B17" s="122" t="s">
        <v>359</v>
      </c>
      <c r="C17" s="122" t="s">
        <v>360</v>
      </c>
      <c r="D17" s="122" t="s">
        <v>361</v>
      </c>
      <c r="E17" s="123">
        <v>13255</v>
      </c>
      <c r="F17" s="124">
        <v>100.23430999999999</v>
      </c>
      <c r="G17" s="125">
        <v>1.0025010000000001E-2</v>
      </c>
      <c r="H17" s="120" t="s">
        <v>151</v>
      </c>
      <c r="J17" s="8"/>
    </row>
    <row r="18" spans="1:10" x14ac:dyDescent="0.2">
      <c r="A18" s="121">
        <v>12</v>
      </c>
      <c r="B18" s="122" t="s">
        <v>661</v>
      </c>
      <c r="C18" s="122" t="s">
        <v>662</v>
      </c>
      <c r="D18" s="122" t="s">
        <v>48</v>
      </c>
      <c r="E18" s="123">
        <v>89838</v>
      </c>
      <c r="F18" s="124">
        <v>100.0166454</v>
      </c>
      <c r="G18" s="125">
        <v>1.000324E-2</v>
      </c>
      <c r="H18" s="120" t="s">
        <v>151</v>
      </c>
      <c r="J18" s="8"/>
    </row>
    <row r="19" spans="1:10" x14ac:dyDescent="0.2">
      <c r="A19" s="121">
        <v>13</v>
      </c>
      <c r="B19" s="122" t="s">
        <v>384</v>
      </c>
      <c r="C19" s="122" t="s">
        <v>385</v>
      </c>
      <c r="D19" s="122" t="s">
        <v>134</v>
      </c>
      <c r="E19" s="123">
        <v>59178</v>
      </c>
      <c r="F19" s="124">
        <v>99.744518999999997</v>
      </c>
      <c r="G19" s="125">
        <v>9.9760200000000004E-3</v>
      </c>
      <c r="H19" s="120" t="s">
        <v>151</v>
      </c>
      <c r="J19" s="8"/>
    </row>
    <row r="20" spans="1:10" x14ac:dyDescent="0.2">
      <c r="A20" s="121">
        <v>14</v>
      </c>
      <c r="B20" s="122" t="s">
        <v>749</v>
      </c>
      <c r="C20" s="122" t="s">
        <v>750</v>
      </c>
      <c r="D20" s="122" t="s">
        <v>48</v>
      </c>
      <c r="E20" s="123">
        <v>92938</v>
      </c>
      <c r="F20" s="124">
        <v>99.638829799999996</v>
      </c>
      <c r="G20" s="125">
        <v>9.9654500000000007E-3</v>
      </c>
      <c r="H20" s="120" t="s">
        <v>151</v>
      </c>
      <c r="J20" s="8"/>
    </row>
    <row r="21" spans="1:10" ht="25.5" x14ac:dyDescent="0.2">
      <c r="A21" s="121">
        <v>15</v>
      </c>
      <c r="B21" s="122" t="s">
        <v>751</v>
      </c>
      <c r="C21" s="122" t="s">
        <v>752</v>
      </c>
      <c r="D21" s="122" t="s">
        <v>238</v>
      </c>
      <c r="E21" s="123">
        <v>10729</v>
      </c>
      <c r="F21" s="124">
        <v>99.624129499999995</v>
      </c>
      <c r="G21" s="125">
        <v>9.9639800000000008E-3</v>
      </c>
      <c r="H21" s="120" t="s">
        <v>151</v>
      </c>
      <c r="J21" s="8"/>
    </row>
    <row r="22" spans="1:10" ht="15" x14ac:dyDescent="0.2">
      <c r="A22" s="121">
        <v>16</v>
      </c>
      <c r="B22" s="122" t="s">
        <v>141</v>
      </c>
      <c r="C22" s="122" t="s">
        <v>142</v>
      </c>
      <c r="D22" s="122" t="s">
        <v>55</v>
      </c>
      <c r="E22" s="123">
        <v>35589</v>
      </c>
      <c r="F22" s="124">
        <v>99.542433000000003</v>
      </c>
      <c r="G22" s="125">
        <v>9.9558100000000007E-3</v>
      </c>
      <c r="H22" s="120" t="s">
        <v>151</v>
      </c>
      <c r="J22" s="11"/>
    </row>
    <row r="23" spans="1:10" x14ac:dyDescent="0.2">
      <c r="A23" s="121">
        <v>17</v>
      </c>
      <c r="B23" s="122" t="s">
        <v>716</v>
      </c>
      <c r="C23" s="122" t="s">
        <v>717</v>
      </c>
      <c r="D23" s="122" t="s">
        <v>134</v>
      </c>
      <c r="E23" s="123">
        <v>9659</v>
      </c>
      <c r="F23" s="124">
        <v>99.492529500000003</v>
      </c>
      <c r="G23" s="125">
        <v>9.9508200000000008E-3</v>
      </c>
      <c r="H23" s="120" t="s">
        <v>151</v>
      </c>
      <c r="J23" s="8"/>
    </row>
    <row r="24" spans="1:10" ht="25.5" x14ac:dyDescent="0.2">
      <c r="A24" s="121">
        <v>18</v>
      </c>
      <c r="B24" s="122" t="s">
        <v>753</v>
      </c>
      <c r="C24" s="122" t="s">
        <v>754</v>
      </c>
      <c r="D24" s="122" t="s">
        <v>258</v>
      </c>
      <c r="E24" s="123">
        <v>2956</v>
      </c>
      <c r="F24" s="124">
        <v>99.303864000000004</v>
      </c>
      <c r="G24" s="125">
        <v>9.9319500000000002E-3</v>
      </c>
      <c r="H24" s="120" t="s">
        <v>151</v>
      </c>
      <c r="J24" s="8"/>
    </row>
    <row r="25" spans="1:10" x14ac:dyDescent="0.2">
      <c r="A25" s="121">
        <v>19</v>
      </c>
      <c r="B25" s="122" t="s">
        <v>119</v>
      </c>
      <c r="C25" s="122" t="s">
        <v>120</v>
      </c>
      <c r="D25" s="122" t="s">
        <v>121</v>
      </c>
      <c r="E25" s="123">
        <v>17906</v>
      </c>
      <c r="F25" s="124">
        <v>99.28877</v>
      </c>
      <c r="G25" s="125">
        <v>9.9304400000000004E-3</v>
      </c>
      <c r="H25" s="120" t="s">
        <v>151</v>
      </c>
      <c r="J25" s="8"/>
    </row>
    <row r="26" spans="1:10" x14ac:dyDescent="0.2">
      <c r="A26" s="121">
        <v>20</v>
      </c>
      <c r="B26" s="122" t="s">
        <v>102</v>
      </c>
      <c r="C26" s="122" t="s">
        <v>103</v>
      </c>
      <c r="D26" s="122" t="s">
        <v>104</v>
      </c>
      <c r="E26" s="123">
        <v>19455</v>
      </c>
      <c r="F26" s="124">
        <v>99.249682500000006</v>
      </c>
      <c r="G26" s="125">
        <v>9.9265299999999994E-3</v>
      </c>
      <c r="H26" s="120" t="s">
        <v>151</v>
      </c>
      <c r="J26" s="8"/>
    </row>
    <row r="27" spans="1:10" x14ac:dyDescent="0.2">
      <c r="A27" s="121">
        <v>21</v>
      </c>
      <c r="B27" s="122" t="s">
        <v>691</v>
      </c>
      <c r="C27" s="122" t="s">
        <v>692</v>
      </c>
      <c r="D27" s="122" t="s">
        <v>19</v>
      </c>
      <c r="E27" s="123">
        <v>104342</v>
      </c>
      <c r="F27" s="124">
        <v>99.072728999999995</v>
      </c>
      <c r="G27" s="125">
        <v>9.9088300000000004E-3</v>
      </c>
      <c r="H27" s="120" t="s">
        <v>151</v>
      </c>
      <c r="J27" s="8"/>
    </row>
    <row r="28" spans="1:10" x14ac:dyDescent="0.2">
      <c r="A28" s="121">
        <v>22</v>
      </c>
      <c r="B28" s="122" t="s">
        <v>545</v>
      </c>
      <c r="C28" s="122" t="s">
        <v>546</v>
      </c>
      <c r="D28" s="122" t="s">
        <v>270</v>
      </c>
      <c r="E28" s="123">
        <v>802</v>
      </c>
      <c r="F28" s="124">
        <v>99.014519000000007</v>
      </c>
      <c r="G28" s="125">
        <v>9.9030100000000003E-3</v>
      </c>
      <c r="H28" s="120" t="s">
        <v>151</v>
      </c>
      <c r="J28" s="8"/>
    </row>
    <row r="29" spans="1:10" x14ac:dyDescent="0.2">
      <c r="A29" s="121">
        <v>23</v>
      </c>
      <c r="B29" s="122" t="s">
        <v>678</v>
      </c>
      <c r="C29" s="122" t="s">
        <v>679</v>
      </c>
      <c r="D29" s="122" t="s">
        <v>121</v>
      </c>
      <c r="E29" s="123">
        <v>5017</v>
      </c>
      <c r="F29" s="124">
        <v>99.005477999999997</v>
      </c>
      <c r="G29" s="125">
        <v>9.9021000000000005E-3</v>
      </c>
      <c r="H29" s="120" t="s">
        <v>151</v>
      </c>
      <c r="J29" s="8"/>
    </row>
    <row r="30" spans="1:10" x14ac:dyDescent="0.2">
      <c r="A30" s="121">
        <v>24</v>
      </c>
      <c r="B30" s="122" t="s">
        <v>364</v>
      </c>
      <c r="C30" s="122" t="s">
        <v>365</v>
      </c>
      <c r="D30" s="122" t="s">
        <v>270</v>
      </c>
      <c r="E30" s="123">
        <v>10157</v>
      </c>
      <c r="F30" s="124">
        <v>98.995200499999996</v>
      </c>
      <c r="G30" s="125">
        <v>9.9010699999999997E-3</v>
      </c>
      <c r="H30" s="120" t="s">
        <v>151</v>
      </c>
      <c r="J30" s="8"/>
    </row>
    <row r="31" spans="1:10" x14ac:dyDescent="0.2">
      <c r="A31" s="121">
        <v>25</v>
      </c>
      <c r="B31" s="122" t="s">
        <v>382</v>
      </c>
      <c r="C31" s="122" t="s">
        <v>383</v>
      </c>
      <c r="D31" s="122" t="s">
        <v>38</v>
      </c>
      <c r="E31" s="123">
        <v>2238</v>
      </c>
      <c r="F31" s="124">
        <v>98.934146999999996</v>
      </c>
      <c r="G31" s="125">
        <v>9.8949699999999995E-3</v>
      </c>
      <c r="H31" s="120" t="s">
        <v>151</v>
      </c>
      <c r="J31" s="8"/>
    </row>
    <row r="32" spans="1:10" x14ac:dyDescent="0.2">
      <c r="A32" s="121">
        <v>26</v>
      </c>
      <c r="B32" s="122" t="s">
        <v>549</v>
      </c>
      <c r="C32" s="122" t="s">
        <v>550</v>
      </c>
      <c r="D32" s="122" t="s">
        <v>270</v>
      </c>
      <c r="E32" s="123">
        <v>3195</v>
      </c>
      <c r="F32" s="124">
        <v>98.882054999999994</v>
      </c>
      <c r="G32" s="125">
        <v>9.8897599999999992E-3</v>
      </c>
      <c r="H32" s="120" t="s">
        <v>151</v>
      </c>
      <c r="J32" s="8"/>
    </row>
    <row r="33" spans="1:10" x14ac:dyDescent="0.2">
      <c r="A33" s="121">
        <v>27</v>
      </c>
      <c r="B33" s="122" t="s">
        <v>268</v>
      </c>
      <c r="C33" s="122" t="s">
        <v>269</v>
      </c>
      <c r="D33" s="122" t="s">
        <v>270</v>
      </c>
      <c r="E33" s="123">
        <v>3476</v>
      </c>
      <c r="F33" s="124">
        <v>98.713185999999993</v>
      </c>
      <c r="G33" s="125">
        <v>9.8728700000000006E-3</v>
      </c>
      <c r="H33" s="120" t="s">
        <v>151</v>
      </c>
      <c r="J33" s="8"/>
    </row>
    <row r="34" spans="1:10" ht="25.5" x14ac:dyDescent="0.2">
      <c r="A34" s="121">
        <v>28</v>
      </c>
      <c r="B34" s="122" t="s">
        <v>465</v>
      </c>
      <c r="C34" s="122" t="s">
        <v>466</v>
      </c>
      <c r="D34" s="122" t="s">
        <v>205</v>
      </c>
      <c r="E34" s="123">
        <v>5966</v>
      </c>
      <c r="F34" s="124">
        <v>98.683605999999997</v>
      </c>
      <c r="G34" s="125">
        <v>9.8699100000000008E-3</v>
      </c>
      <c r="H34" s="120" t="s">
        <v>151</v>
      </c>
      <c r="J34" s="8"/>
    </row>
    <row r="35" spans="1:10" x14ac:dyDescent="0.2">
      <c r="A35" s="121">
        <v>29</v>
      </c>
      <c r="B35" s="122" t="s">
        <v>471</v>
      </c>
      <c r="C35" s="122" t="s">
        <v>472</v>
      </c>
      <c r="D35" s="122" t="s">
        <v>48</v>
      </c>
      <c r="E35" s="123">
        <v>6817</v>
      </c>
      <c r="F35" s="124">
        <v>98.682891999999995</v>
      </c>
      <c r="G35" s="125">
        <v>9.8698399999999995E-3</v>
      </c>
      <c r="H35" s="120" t="s">
        <v>151</v>
      </c>
      <c r="J35" s="8"/>
    </row>
    <row r="36" spans="1:10" ht="25.5" x14ac:dyDescent="0.2">
      <c r="A36" s="121">
        <v>30</v>
      </c>
      <c r="B36" s="122" t="s">
        <v>225</v>
      </c>
      <c r="C36" s="122" t="s">
        <v>226</v>
      </c>
      <c r="D36" s="122" t="s">
        <v>205</v>
      </c>
      <c r="E36" s="123">
        <v>9234</v>
      </c>
      <c r="F36" s="124">
        <v>98.669906999999995</v>
      </c>
      <c r="G36" s="125">
        <v>9.8685400000000003E-3</v>
      </c>
      <c r="H36" s="120" t="s">
        <v>151</v>
      </c>
      <c r="J36" s="8"/>
    </row>
    <row r="37" spans="1:10" x14ac:dyDescent="0.2">
      <c r="A37" s="121">
        <v>31</v>
      </c>
      <c r="B37" s="122" t="s">
        <v>242</v>
      </c>
      <c r="C37" s="122" t="s">
        <v>243</v>
      </c>
      <c r="D37" s="122" t="s">
        <v>200</v>
      </c>
      <c r="E37" s="123">
        <v>1218</v>
      </c>
      <c r="F37" s="124">
        <v>98.666526000000005</v>
      </c>
      <c r="G37" s="125">
        <v>9.8682000000000006E-3</v>
      </c>
      <c r="H37" s="120" t="s">
        <v>151</v>
      </c>
      <c r="J37" s="8"/>
    </row>
    <row r="38" spans="1:10" x14ac:dyDescent="0.2">
      <c r="A38" s="121">
        <v>32</v>
      </c>
      <c r="B38" s="122" t="s">
        <v>463</v>
      </c>
      <c r="C38" s="122" t="s">
        <v>464</v>
      </c>
      <c r="D38" s="122" t="s">
        <v>48</v>
      </c>
      <c r="E38" s="123">
        <v>39811</v>
      </c>
      <c r="F38" s="124">
        <v>98.651657999999998</v>
      </c>
      <c r="G38" s="125">
        <v>9.8667200000000007E-3</v>
      </c>
      <c r="H38" s="120" t="s">
        <v>151</v>
      </c>
      <c r="J38" s="8"/>
    </row>
    <row r="39" spans="1:10" ht="25.5" x14ac:dyDescent="0.2">
      <c r="A39" s="121">
        <v>33</v>
      </c>
      <c r="B39" s="122" t="s">
        <v>755</v>
      </c>
      <c r="C39" s="122" t="s">
        <v>756</v>
      </c>
      <c r="D39" s="122" t="s">
        <v>205</v>
      </c>
      <c r="E39" s="123">
        <v>2904</v>
      </c>
      <c r="F39" s="124">
        <v>98.635812000000001</v>
      </c>
      <c r="G39" s="125">
        <v>9.8651299999999997E-3</v>
      </c>
      <c r="H39" s="120" t="s">
        <v>151</v>
      </c>
      <c r="J39" s="8"/>
    </row>
    <row r="40" spans="1:10" x14ac:dyDescent="0.2">
      <c r="A40" s="121">
        <v>34</v>
      </c>
      <c r="B40" s="122" t="s">
        <v>388</v>
      </c>
      <c r="C40" s="122" t="s">
        <v>389</v>
      </c>
      <c r="D40" s="122" t="s">
        <v>35</v>
      </c>
      <c r="E40" s="123">
        <v>2579</v>
      </c>
      <c r="F40" s="124">
        <v>98.619670499999998</v>
      </c>
      <c r="G40" s="125">
        <v>9.8635200000000006E-3</v>
      </c>
      <c r="H40" s="120" t="s">
        <v>151</v>
      </c>
      <c r="J40" s="8"/>
    </row>
    <row r="41" spans="1:10" x14ac:dyDescent="0.2">
      <c r="A41" s="121">
        <v>35</v>
      </c>
      <c r="B41" s="122" t="s">
        <v>757</v>
      </c>
      <c r="C41" s="122" t="s">
        <v>758</v>
      </c>
      <c r="D41" s="122" t="s">
        <v>121</v>
      </c>
      <c r="E41" s="123">
        <v>62128</v>
      </c>
      <c r="F41" s="124">
        <v>98.609561600000006</v>
      </c>
      <c r="G41" s="125">
        <v>9.8624999999999997E-3</v>
      </c>
      <c r="H41" s="120" t="s">
        <v>151</v>
      </c>
      <c r="J41" s="8"/>
    </row>
    <row r="42" spans="1:10" x14ac:dyDescent="0.2">
      <c r="A42" s="121">
        <v>36</v>
      </c>
      <c r="B42" s="122" t="s">
        <v>73</v>
      </c>
      <c r="C42" s="122" t="s">
        <v>74</v>
      </c>
      <c r="D42" s="122" t="s">
        <v>55</v>
      </c>
      <c r="E42" s="123">
        <v>1359</v>
      </c>
      <c r="F42" s="124">
        <v>98.527500000000003</v>
      </c>
      <c r="G42" s="125">
        <v>9.8542999999999999E-3</v>
      </c>
      <c r="H42" s="120" t="s">
        <v>151</v>
      </c>
      <c r="J42" s="8"/>
    </row>
    <row r="43" spans="1:10" ht="25.5" x14ac:dyDescent="0.2">
      <c r="A43" s="121">
        <v>37</v>
      </c>
      <c r="B43" s="122" t="s">
        <v>759</v>
      </c>
      <c r="C43" s="122" t="s">
        <v>760</v>
      </c>
      <c r="D43" s="122" t="s">
        <v>205</v>
      </c>
      <c r="E43" s="123">
        <v>1809</v>
      </c>
      <c r="F43" s="124">
        <v>98.470201500000002</v>
      </c>
      <c r="G43" s="125">
        <v>9.8485699999999992E-3</v>
      </c>
      <c r="H43" s="120" t="s">
        <v>151</v>
      </c>
      <c r="J43" s="8"/>
    </row>
    <row r="44" spans="1:10" x14ac:dyDescent="0.2">
      <c r="A44" s="121">
        <v>38</v>
      </c>
      <c r="B44" s="122" t="s">
        <v>693</v>
      </c>
      <c r="C44" s="122" t="s">
        <v>694</v>
      </c>
      <c r="D44" s="122" t="s">
        <v>283</v>
      </c>
      <c r="E44" s="123">
        <v>1552</v>
      </c>
      <c r="F44" s="124">
        <v>98.368088</v>
      </c>
      <c r="G44" s="125">
        <v>9.8383499999999992E-3</v>
      </c>
      <c r="H44" s="120" t="s">
        <v>151</v>
      </c>
      <c r="J44" s="8"/>
    </row>
    <row r="45" spans="1:10" ht="25.5" x14ac:dyDescent="0.2">
      <c r="A45" s="121">
        <v>39</v>
      </c>
      <c r="B45" s="122" t="s">
        <v>113</v>
      </c>
      <c r="C45" s="122" t="s">
        <v>114</v>
      </c>
      <c r="D45" s="122" t="s">
        <v>25</v>
      </c>
      <c r="E45" s="123">
        <v>15547</v>
      </c>
      <c r="F45" s="124">
        <v>98.342548500000007</v>
      </c>
      <c r="G45" s="125">
        <v>9.8358000000000004E-3</v>
      </c>
      <c r="H45" s="120" t="s">
        <v>151</v>
      </c>
      <c r="J45" s="8"/>
    </row>
    <row r="46" spans="1:10" x14ac:dyDescent="0.2">
      <c r="A46" s="121">
        <v>40</v>
      </c>
      <c r="B46" s="122" t="s">
        <v>761</v>
      </c>
      <c r="C46" s="122" t="s">
        <v>762</v>
      </c>
      <c r="D46" s="122" t="s">
        <v>70</v>
      </c>
      <c r="E46" s="123">
        <v>261</v>
      </c>
      <c r="F46" s="124">
        <v>98.341928999999993</v>
      </c>
      <c r="G46" s="125">
        <v>9.8357400000000008E-3</v>
      </c>
      <c r="H46" s="120" t="s">
        <v>151</v>
      </c>
      <c r="J46" s="8"/>
    </row>
    <row r="47" spans="1:10" x14ac:dyDescent="0.2">
      <c r="A47" s="121">
        <v>41</v>
      </c>
      <c r="B47" s="122" t="s">
        <v>234</v>
      </c>
      <c r="C47" s="122" t="s">
        <v>235</v>
      </c>
      <c r="D47" s="122" t="s">
        <v>121</v>
      </c>
      <c r="E47" s="123">
        <v>2747</v>
      </c>
      <c r="F47" s="124">
        <v>98.258816499999995</v>
      </c>
      <c r="G47" s="125">
        <v>9.8274199999999999E-3</v>
      </c>
      <c r="H47" s="120" t="s">
        <v>151</v>
      </c>
      <c r="J47" s="8"/>
    </row>
    <row r="48" spans="1:10" x14ac:dyDescent="0.2">
      <c r="A48" s="121">
        <v>42</v>
      </c>
      <c r="B48" s="122" t="s">
        <v>132</v>
      </c>
      <c r="C48" s="122" t="s">
        <v>133</v>
      </c>
      <c r="D48" s="122" t="s">
        <v>134</v>
      </c>
      <c r="E48" s="123">
        <v>9448</v>
      </c>
      <c r="F48" s="124">
        <v>98.226132000000007</v>
      </c>
      <c r="G48" s="125">
        <v>9.8241600000000002E-3</v>
      </c>
      <c r="H48" s="120" t="s">
        <v>151</v>
      </c>
      <c r="J48" s="8"/>
    </row>
    <row r="49" spans="1:10" x14ac:dyDescent="0.2">
      <c r="A49" s="121">
        <v>43</v>
      </c>
      <c r="B49" s="122" t="s">
        <v>718</v>
      </c>
      <c r="C49" s="122" t="s">
        <v>719</v>
      </c>
      <c r="D49" s="122" t="s">
        <v>35</v>
      </c>
      <c r="E49" s="123">
        <v>2950</v>
      </c>
      <c r="F49" s="124">
        <v>98.208449999999999</v>
      </c>
      <c r="G49" s="125">
        <v>9.8223900000000003E-3</v>
      </c>
      <c r="H49" s="120" t="s">
        <v>151</v>
      </c>
      <c r="J49" s="8"/>
    </row>
    <row r="50" spans="1:10" ht="25.5" x14ac:dyDescent="0.2">
      <c r="A50" s="121">
        <v>44</v>
      </c>
      <c r="B50" s="122" t="s">
        <v>336</v>
      </c>
      <c r="C50" s="122" t="s">
        <v>337</v>
      </c>
      <c r="D50" s="122" t="s">
        <v>295</v>
      </c>
      <c r="E50" s="123">
        <v>12580</v>
      </c>
      <c r="F50" s="124">
        <v>98.142870000000002</v>
      </c>
      <c r="G50" s="125">
        <v>9.8158299999999993E-3</v>
      </c>
      <c r="H50" s="120" t="s">
        <v>151</v>
      </c>
      <c r="J50" s="8"/>
    </row>
    <row r="51" spans="1:10" ht="25.5" x14ac:dyDescent="0.2">
      <c r="A51" s="121">
        <v>45</v>
      </c>
      <c r="B51" s="122" t="s">
        <v>763</v>
      </c>
      <c r="C51" s="122" t="s">
        <v>764</v>
      </c>
      <c r="D51" s="122" t="s">
        <v>25</v>
      </c>
      <c r="E51" s="123">
        <v>373</v>
      </c>
      <c r="F51" s="124">
        <v>98.132197000000005</v>
      </c>
      <c r="G51" s="125">
        <v>9.8147600000000005E-3</v>
      </c>
      <c r="H51" s="120" t="s">
        <v>151</v>
      </c>
      <c r="J51" s="8"/>
    </row>
    <row r="52" spans="1:10" x14ac:dyDescent="0.2">
      <c r="A52" s="121">
        <v>46</v>
      </c>
      <c r="B52" s="122" t="s">
        <v>246</v>
      </c>
      <c r="C52" s="122" t="s">
        <v>247</v>
      </c>
      <c r="D52" s="122" t="s">
        <v>121</v>
      </c>
      <c r="E52" s="123">
        <v>20104</v>
      </c>
      <c r="F52" s="124">
        <v>98.117571999999996</v>
      </c>
      <c r="G52" s="125">
        <v>9.8133000000000005E-3</v>
      </c>
      <c r="H52" s="120" t="s">
        <v>151</v>
      </c>
      <c r="J52" s="8"/>
    </row>
    <row r="53" spans="1:10" x14ac:dyDescent="0.2">
      <c r="A53" s="121">
        <v>47</v>
      </c>
      <c r="B53" s="122" t="s">
        <v>765</v>
      </c>
      <c r="C53" s="122" t="s">
        <v>766</v>
      </c>
      <c r="D53" s="122" t="s">
        <v>121</v>
      </c>
      <c r="E53" s="123">
        <v>27981</v>
      </c>
      <c r="F53" s="124">
        <v>98.101386000000005</v>
      </c>
      <c r="G53" s="125">
        <v>9.8116799999999997E-3</v>
      </c>
      <c r="H53" s="120" t="s">
        <v>151</v>
      </c>
      <c r="J53" s="8"/>
    </row>
    <row r="54" spans="1:10" x14ac:dyDescent="0.2">
      <c r="A54" s="121">
        <v>48</v>
      </c>
      <c r="B54" s="122" t="s">
        <v>17</v>
      </c>
      <c r="C54" s="122" t="s">
        <v>18</v>
      </c>
      <c r="D54" s="122" t="s">
        <v>19</v>
      </c>
      <c r="E54" s="123">
        <v>22127</v>
      </c>
      <c r="F54" s="124">
        <v>98.066863999999995</v>
      </c>
      <c r="G54" s="125">
        <v>9.8082299999999994E-3</v>
      </c>
      <c r="H54" s="120" t="s">
        <v>151</v>
      </c>
      <c r="J54" s="8"/>
    </row>
    <row r="55" spans="1:10" ht="25.5" x14ac:dyDescent="0.2">
      <c r="A55" s="121">
        <v>49</v>
      </c>
      <c r="B55" s="122" t="s">
        <v>369</v>
      </c>
      <c r="C55" s="122" t="s">
        <v>370</v>
      </c>
      <c r="D55" s="122" t="s">
        <v>205</v>
      </c>
      <c r="E55" s="123">
        <v>1451</v>
      </c>
      <c r="F55" s="124">
        <v>97.965716</v>
      </c>
      <c r="G55" s="125">
        <v>9.7981100000000005E-3</v>
      </c>
      <c r="H55" s="120" t="s">
        <v>151</v>
      </c>
      <c r="J55" s="8"/>
    </row>
    <row r="56" spans="1:10" x14ac:dyDescent="0.2">
      <c r="A56" s="121">
        <v>50</v>
      </c>
      <c r="B56" s="122" t="s">
        <v>20</v>
      </c>
      <c r="C56" s="122" t="s">
        <v>21</v>
      </c>
      <c r="D56" s="122" t="s">
        <v>22</v>
      </c>
      <c r="E56" s="123">
        <v>3317</v>
      </c>
      <c r="F56" s="124">
        <v>97.955985499999997</v>
      </c>
      <c r="G56" s="125">
        <v>9.7971399999999993E-3</v>
      </c>
      <c r="H56" s="120" t="s">
        <v>151</v>
      </c>
      <c r="J56" s="8"/>
    </row>
    <row r="57" spans="1:10" x14ac:dyDescent="0.2">
      <c r="A57" s="121">
        <v>51</v>
      </c>
      <c r="B57" s="122" t="s">
        <v>36</v>
      </c>
      <c r="C57" s="122" t="s">
        <v>37</v>
      </c>
      <c r="D57" s="122" t="s">
        <v>38</v>
      </c>
      <c r="E57" s="123">
        <v>34326</v>
      </c>
      <c r="F57" s="124">
        <v>97.863426000000004</v>
      </c>
      <c r="G57" s="125">
        <v>9.7878800000000005E-3</v>
      </c>
      <c r="H57" s="120" t="s">
        <v>151</v>
      </c>
      <c r="J57" s="8"/>
    </row>
    <row r="58" spans="1:10" x14ac:dyDescent="0.2">
      <c r="A58" s="121">
        <v>52</v>
      </c>
      <c r="B58" s="122" t="s">
        <v>198</v>
      </c>
      <c r="C58" s="122" t="s">
        <v>199</v>
      </c>
      <c r="D58" s="122" t="s">
        <v>200</v>
      </c>
      <c r="E58" s="123">
        <v>1289</v>
      </c>
      <c r="F58" s="124">
        <v>97.637238499999995</v>
      </c>
      <c r="G58" s="125">
        <v>9.7652599999999996E-3</v>
      </c>
      <c r="H58" s="120" t="s">
        <v>151</v>
      </c>
      <c r="J58" s="8"/>
    </row>
    <row r="59" spans="1:10" x14ac:dyDescent="0.2">
      <c r="A59" s="121">
        <v>53</v>
      </c>
      <c r="B59" s="122" t="s">
        <v>83</v>
      </c>
      <c r="C59" s="122" t="s">
        <v>84</v>
      </c>
      <c r="D59" s="122" t="s">
        <v>85</v>
      </c>
      <c r="E59" s="123">
        <v>2039</v>
      </c>
      <c r="F59" s="124">
        <v>97.616105500000003</v>
      </c>
      <c r="G59" s="125">
        <v>9.76314E-3</v>
      </c>
      <c r="H59" s="120" t="s">
        <v>151</v>
      </c>
      <c r="J59" s="8"/>
    </row>
    <row r="60" spans="1:10" x14ac:dyDescent="0.2">
      <c r="A60" s="121">
        <v>54</v>
      </c>
      <c r="B60" s="122" t="s">
        <v>63</v>
      </c>
      <c r="C60" s="122" t="s">
        <v>64</v>
      </c>
      <c r="D60" s="122" t="s">
        <v>48</v>
      </c>
      <c r="E60" s="123">
        <v>12385</v>
      </c>
      <c r="F60" s="124">
        <v>97.581415000000007</v>
      </c>
      <c r="G60" s="125">
        <v>9.7596699999999998E-3</v>
      </c>
      <c r="H60" s="120" t="s">
        <v>151</v>
      </c>
      <c r="J60" s="8"/>
    </row>
    <row r="61" spans="1:10" x14ac:dyDescent="0.2">
      <c r="A61" s="121">
        <v>55</v>
      </c>
      <c r="B61" s="122" t="s">
        <v>474</v>
      </c>
      <c r="C61" s="122" t="s">
        <v>475</v>
      </c>
      <c r="D61" s="122" t="s">
        <v>216</v>
      </c>
      <c r="E61" s="123">
        <v>18018</v>
      </c>
      <c r="F61" s="124">
        <v>97.558460999999994</v>
      </c>
      <c r="G61" s="125">
        <v>9.7573799999999995E-3</v>
      </c>
      <c r="H61" s="120" t="s">
        <v>151</v>
      </c>
      <c r="J61" s="8"/>
    </row>
    <row r="62" spans="1:10" x14ac:dyDescent="0.2">
      <c r="A62" s="121">
        <v>56</v>
      </c>
      <c r="B62" s="122" t="s">
        <v>767</v>
      </c>
      <c r="C62" s="122" t="s">
        <v>768</v>
      </c>
      <c r="D62" s="122" t="s">
        <v>211</v>
      </c>
      <c r="E62" s="123">
        <v>1355</v>
      </c>
      <c r="F62" s="124">
        <v>97.548482500000006</v>
      </c>
      <c r="G62" s="125">
        <v>9.7563800000000003E-3</v>
      </c>
      <c r="H62" s="120" t="s">
        <v>151</v>
      </c>
      <c r="J62" s="8"/>
    </row>
    <row r="63" spans="1:10" ht="25.5" x14ac:dyDescent="0.2">
      <c r="A63" s="121">
        <v>57</v>
      </c>
      <c r="B63" s="122" t="s">
        <v>23</v>
      </c>
      <c r="C63" s="122" t="s">
        <v>24</v>
      </c>
      <c r="D63" s="122" t="s">
        <v>25</v>
      </c>
      <c r="E63" s="123">
        <v>826</v>
      </c>
      <c r="F63" s="124">
        <v>97.484520000000003</v>
      </c>
      <c r="G63" s="125">
        <v>9.7499800000000001E-3</v>
      </c>
      <c r="H63" s="120" t="s">
        <v>151</v>
      </c>
      <c r="J63" s="8"/>
    </row>
    <row r="64" spans="1:10" x14ac:dyDescent="0.2">
      <c r="A64" s="121">
        <v>58</v>
      </c>
      <c r="B64" s="122" t="s">
        <v>355</v>
      </c>
      <c r="C64" s="122" t="s">
        <v>356</v>
      </c>
      <c r="D64" s="122" t="s">
        <v>216</v>
      </c>
      <c r="E64" s="123">
        <v>2283</v>
      </c>
      <c r="F64" s="124">
        <v>97.449854999999999</v>
      </c>
      <c r="G64" s="125">
        <v>9.7465199999999998E-3</v>
      </c>
      <c r="H64" s="120" t="s">
        <v>151</v>
      </c>
      <c r="J64" s="8"/>
    </row>
    <row r="65" spans="1:10" x14ac:dyDescent="0.2">
      <c r="A65" s="121">
        <v>59</v>
      </c>
      <c r="B65" s="122" t="s">
        <v>663</v>
      </c>
      <c r="C65" s="122" t="s">
        <v>664</v>
      </c>
      <c r="D65" s="122" t="s">
        <v>121</v>
      </c>
      <c r="E65" s="123">
        <v>1265</v>
      </c>
      <c r="F65" s="124">
        <v>97.442949999999996</v>
      </c>
      <c r="G65" s="125">
        <v>9.7458300000000005E-3</v>
      </c>
      <c r="H65" s="120" t="s">
        <v>151</v>
      </c>
      <c r="J65" s="8"/>
    </row>
    <row r="66" spans="1:10" x14ac:dyDescent="0.2">
      <c r="A66" s="121">
        <v>60</v>
      </c>
      <c r="B66" s="122" t="s">
        <v>695</v>
      </c>
      <c r="C66" s="122" t="s">
        <v>696</v>
      </c>
      <c r="D66" s="122" t="s">
        <v>283</v>
      </c>
      <c r="E66" s="123">
        <v>3619</v>
      </c>
      <c r="F66" s="124">
        <v>97.349290499999995</v>
      </c>
      <c r="G66" s="125">
        <v>9.7364600000000006E-3</v>
      </c>
      <c r="H66" s="120" t="s">
        <v>151</v>
      </c>
      <c r="J66" s="8"/>
    </row>
    <row r="67" spans="1:10" x14ac:dyDescent="0.2">
      <c r="A67" s="121">
        <v>61</v>
      </c>
      <c r="B67" s="122" t="s">
        <v>769</v>
      </c>
      <c r="C67" s="122" t="s">
        <v>770</v>
      </c>
      <c r="D67" s="122" t="s">
        <v>295</v>
      </c>
      <c r="E67" s="123">
        <v>9665</v>
      </c>
      <c r="F67" s="124">
        <v>97.321717500000005</v>
      </c>
      <c r="G67" s="125">
        <v>9.7336999999999996E-3</v>
      </c>
      <c r="H67" s="120" t="s">
        <v>151</v>
      </c>
      <c r="J67" s="8"/>
    </row>
    <row r="68" spans="1:10" x14ac:dyDescent="0.2">
      <c r="A68" s="121">
        <v>62</v>
      </c>
      <c r="B68" s="122" t="s">
        <v>771</v>
      </c>
      <c r="C68" s="122" t="s">
        <v>772</v>
      </c>
      <c r="D68" s="122" t="s">
        <v>216</v>
      </c>
      <c r="E68" s="123">
        <v>1558</v>
      </c>
      <c r="F68" s="124">
        <v>97.286973000000003</v>
      </c>
      <c r="G68" s="125">
        <v>9.7302299999999994E-3</v>
      </c>
      <c r="H68" s="120" t="s">
        <v>151</v>
      </c>
      <c r="J68" s="8"/>
    </row>
    <row r="69" spans="1:10" x14ac:dyDescent="0.2">
      <c r="A69" s="121">
        <v>63</v>
      </c>
      <c r="B69" s="122" t="s">
        <v>366</v>
      </c>
      <c r="C69" s="122" t="s">
        <v>367</v>
      </c>
      <c r="D69" s="122" t="s">
        <v>368</v>
      </c>
      <c r="E69" s="123">
        <v>18767</v>
      </c>
      <c r="F69" s="124">
        <v>97.241210499999994</v>
      </c>
      <c r="G69" s="125">
        <v>9.7256500000000006E-3</v>
      </c>
      <c r="H69" s="120" t="s">
        <v>151</v>
      </c>
      <c r="J69" s="8"/>
    </row>
    <row r="70" spans="1:10" x14ac:dyDescent="0.2">
      <c r="A70" s="121">
        <v>64</v>
      </c>
      <c r="B70" s="122" t="s">
        <v>710</v>
      </c>
      <c r="C70" s="122" t="s">
        <v>711</v>
      </c>
      <c r="D70" s="122" t="s">
        <v>295</v>
      </c>
      <c r="E70" s="123">
        <v>13543</v>
      </c>
      <c r="F70" s="124">
        <v>97.238740000000007</v>
      </c>
      <c r="G70" s="125">
        <v>9.7254000000000004E-3</v>
      </c>
      <c r="H70" s="120" t="s">
        <v>151</v>
      </c>
      <c r="J70" s="8"/>
    </row>
    <row r="71" spans="1:10" x14ac:dyDescent="0.2">
      <c r="A71" s="121">
        <v>65</v>
      </c>
      <c r="B71" s="122" t="s">
        <v>461</v>
      </c>
      <c r="C71" s="122" t="s">
        <v>462</v>
      </c>
      <c r="D71" s="122" t="s">
        <v>216</v>
      </c>
      <c r="E71" s="123">
        <v>5413</v>
      </c>
      <c r="F71" s="124">
        <v>97.222892999999999</v>
      </c>
      <c r="G71" s="125">
        <v>9.7238199999999993E-3</v>
      </c>
      <c r="H71" s="120" t="s">
        <v>151</v>
      </c>
      <c r="J71" s="8"/>
    </row>
    <row r="72" spans="1:10" ht="25.5" x14ac:dyDescent="0.2">
      <c r="A72" s="121">
        <v>66</v>
      </c>
      <c r="B72" s="122" t="s">
        <v>467</v>
      </c>
      <c r="C72" s="122" t="s">
        <v>468</v>
      </c>
      <c r="D72" s="122" t="s">
        <v>290</v>
      </c>
      <c r="E72" s="123">
        <v>8122</v>
      </c>
      <c r="F72" s="124">
        <v>97.216279</v>
      </c>
      <c r="G72" s="125">
        <v>9.7231499999999998E-3</v>
      </c>
      <c r="H72" s="120" t="s">
        <v>151</v>
      </c>
      <c r="J72" s="8"/>
    </row>
    <row r="73" spans="1:10" x14ac:dyDescent="0.2">
      <c r="A73" s="121">
        <v>67</v>
      </c>
      <c r="B73" s="122" t="s">
        <v>56</v>
      </c>
      <c r="C73" s="122" t="s">
        <v>57</v>
      </c>
      <c r="D73" s="122" t="s">
        <v>58</v>
      </c>
      <c r="E73" s="123">
        <v>32528</v>
      </c>
      <c r="F73" s="124">
        <v>96.803327999999993</v>
      </c>
      <c r="G73" s="125">
        <v>9.6818500000000005E-3</v>
      </c>
      <c r="H73" s="120" t="s">
        <v>151</v>
      </c>
      <c r="J73" s="8"/>
    </row>
    <row r="74" spans="1:10" x14ac:dyDescent="0.2">
      <c r="A74" s="121">
        <v>68</v>
      </c>
      <c r="B74" s="122" t="s">
        <v>773</v>
      </c>
      <c r="C74" s="122" t="s">
        <v>774</v>
      </c>
      <c r="D74" s="122" t="s">
        <v>514</v>
      </c>
      <c r="E74" s="123">
        <v>15473</v>
      </c>
      <c r="F74" s="124">
        <v>96.737195999999997</v>
      </c>
      <c r="G74" s="125">
        <v>9.6752399999999999E-3</v>
      </c>
      <c r="H74" s="120" t="s">
        <v>151</v>
      </c>
      <c r="J74" s="8"/>
    </row>
    <row r="75" spans="1:10" x14ac:dyDescent="0.2">
      <c r="A75" s="121">
        <v>69</v>
      </c>
      <c r="B75" s="122" t="s">
        <v>378</v>
      </c>
      <c r="C75" s="122" t="s">
        <v>379</v>
      </c>
      <c r="D75" s="122" t="s">
        <v>368</v>
      </c>
      <c r="E75" s="123">
        <v>3266</v>
      </c>
      <c r="F75" s="124">
        <v>96.618077999999997</v>
      </c>
      <c r="G75" s="125">
        <v>9.6633299999999995E-3</v>
      </c>
      <c r="H75" s="120" t="s">
        <v>151</v>
      </c>
      <c r="J75" s="8"/>
    </row>
    <row r="76" spans="1:10" x14ac:dyDescent="0.2">
      <c r="A76" s="121">
        <v>70</v>
      </c>
      <c r="B76" s="122" t="s">
        <v>551</v>
      </c>
      <c r="C76" s="122" t="s">
        <v>552</v>
      </c>
      <c r="D76" s="122" t="s">
        <v>216</v>
      </c>
      <c r="E76" s="123">
        <v>6122</v>
      </c>
      <c r="F76" s="124">
        <v>96.556184000000002</v>
      </c>
      <c r="G76" s="125">
        <v>9.6571299999999999E-3</v>
      </c>
      <c r="H76" s="120" t="s">
        <v>151</v>
      </c>
      <c r="J76" s="8"/>
    </row>
    <row r="77" spans="1:10" x14ac:dyDescent="0.2">
      <c r="A77" s="121">
        <v>71</v>
      </c>
      <c r="B77" s="122" t="s">
        <v>459</v>
      </c>
      <c r="C77" s="122" t="s">
        <v>460</v>
      </c>
      <c r="D77" s="122" t="s">
        <v>295</v>
      </c>
      <c r="E77" s="123">
        <v>5226</v>
      </c>
      <c r="F77" s="124">
        <v>96.367440000000002</v>
      </c>
      <c r="G77" s="125">
        <v>9.6382599999999992E-3</v>
      </c>
      <c r="H77" s="120" t="s">
        <v>151</v>
      </c>
      <c r="J77" s="8"/>
    </row>
    <row r="78" spans="1:10" x14ac:dyDescent="0.2">
      <c r="A78" s="121">
        <v>72</v>
      </c>
      <c r="B78" s="122" t="s">
        <v>347</v>
      </c>
      <c r="C78" s="122" t="s">
        <v>348</v>
      </c>
      <c r="D78" s="122" t="s">
        <v>216</v>
      </c>
      <c r="E78" s="123">
        <v>5134</v>
      </c>
      <c r="F78" s="124">
        <v>96.293304000000006</v>
      </c>
      <c r="G78" s="125">
        <v>9.6308399999999999E-3</v>
      </c>
      <c r="H78" s="120" t="s">
        <v>151</v>
      </c>
      <c r="J78" s="8"/>
    </row>
    <row r="79" spans="1:10" ht="25.5" x14ac:dyDescent="0.2">
      <c r="A79" s="121">
        <v>73</v>
      </c>
      <c r="B79" s="122" t="s">
        <v>91</v>
      </c>
      <c r="C79" s="122" t="s">
        <v>92</v>
      </c>
      <c r="D79" s="122" t="s">
        <v>93</v>
      </c>
      <c r="E79" s="123">
        <v>6638</v>
      </c>
      <c r="F79" s="124">
        <v>96.131516000000005</v>
      </c>
      <c r="G79" s="125">
        <v>9.6146600000000006E-3</v>
      </c>
      <c r="H79" s="120" t="s">
        <v>151</v>
      </c>
      <c r="J79" s="8"/>
    </row>
    <row r="80" spans="1:10" ht="25.5" x14ac:dyDescent="0.2">
      <c r="A80" s="121">
        <v>74</v>
      </c>
      <c r="B80" s="122" t="s">
        <v>649</v>
      </c>
      <c r="C80" s="122" t="s">
        <v>650</v>
      </c>
      <c r="D80" s="122" t="s">
        <v>651</v>
      </c>
      <c r="E80" s="123">
        <v>3059</v>
      </c>
      <c r="F80" s="124">
        <v>95.925651500000001</v>
      </c>
      <c r="G80" s="125">
        <v>9.5940699999999997E-3</v>
      </c>
      <c r="H80" s="120" t="s">
        <v>151</v>
      </c>
      <c r="J80" s="8"/>
    </row>
    <row r="81" spans="1:10" x14ac:dyDescent="0.2">
      <c r="A81" s="121">
        <v>75</v>
      </c>
      <c r="B81" s="122" t="s">
        <v>349</v>
      </c>
      <c r="C81" s="122" t="s">
        <v>350</v>
      </c>
      <c r="D81" s="122" t="s">
        <v>48</v>
      </c>
      <c r="E81" s="123">
        <v>7774</v>
      </c>
      <c r="F81" s="124">
        <v>95.791228000000004</v>
      </c>
      <c r="G81" s="125">
        <v>9.5806299999999997E-3</v>
      </c>
      <c r="H81" s="120" t="s">
        <v>151</v>
      </c>
      <c r="J81" s="8"/>
    </row>
    <row r="82" spans="1:10" ht="25.5" x14ac:dyDescent="0.2">
      <c r="A82" s="121">
        <v>76</v>
      </c>
      <c r="B82" s="122" t="s">
        <v>275</v>
      </c>
      <c r="C82" s="122" t="s">
        <v>276</v>
      </c>
      <c r="D82" s="122" t="s">
        <v>121</v>
      </c>
      <c r="E82" s="123">
        <v>5954</v>
      </c>
      <c r="F82" s="124">
        <v>95.740319999999997</v>
      </c>
      <c r="G82" s="125">
        <v>9.5755400000000004E-3</v>
      </c>
      <c r="H82" s="120" t="s">
        <v>151</v>
      </c>
      <c r="J82" s="8"/>
    </row>
    <row r="83" spans="1:10" x14ac:dyDescent="0.2">
      <c r="A83" s="121">
        <v>77</v>
      </c>
      <c r="B83" s="122" t="s">
        <v>775</v>
      </c>
      <c r="C83" s="122" t="s">
        <v>776</v>
      </c>
      <c r="D83" s="122" t="s">
        <v>121</v>
      </c>
      <c r="E83" s="123">
        <v>910</v>
      </c>
      <c r="F83" s="124">
        <v>95.501769999999993</v>
      </c>
      <c r="G83" s="125">
        <v>9.5516799999999999E-3</v>
      </c>
      <c r="H83" s="120" t="s">
        <v>151</v>
      </c>
      <c r="J83" s="8"/>
    </row>
    <row r="84" spans="1:10" x14ac:dyDescent="0.2">
      <c r="A84" s="121">
        <v>78</v>
      </c>
      <c r="B84" s="122" t="s">
        <v>130</v>
      </c>
      <c r="C84" s="122" t="s">
        <v>131</v>
      </c>
      <c r="D84" s="122" t="s">
        <v>55</v>
      </c>
      <c r="E84" s="123">
        <v>1184</v>
      </c>
      <c r="F84" s="124">
        <v>95.371200000000002</v>
      </c>
      <c r="G84" s="125">
        <v>9.5386199999999994E-3</v>
      </c>
      <c r="H84" s="120" t="s">
        <v>151</v>
      </c>
      <c r="J84" s="8"/>
    </row>
    <row r="85" spans="1:10" x14ac:dyDescent="0.2">
      <c r="A85" s="121">
        <v>79</v>
      </c>
      <c r="B85" s="122" t="s">
        <v>351</v>
      </c>
      <c r="C85" s="122" t="s">
        <v>352</v>
      </c>
      <c r="D85" s="122" t="s">
        <v>48</v>
      </c>
      <c r="E85" s="123">
        <v>5130</v>
      </c>
      <c r="F85" s="124">
        <v>95.107635000000002</v>
      </c>
      <c r="G85" s="125">
        <v>9.5122599999999998E-3</v>
      </c>
      <c r="H85" s="120" t="s">
        <v>151</v>
      </c>
      <c r="J85" s="8"/>
    </row>
    <row r="86" spans="1:10" x14ac:dyDescent="0.2">
      <c r="A86" s="121">
        <v>80</v>
      </c>
      <c r="B86" s="122" t="s">
        <v>343</v>
      </c>
      <c r="C86" s="122" t="s">
        <v>344</v>
      </c>
      <c r="D86" s="122" t="s">
        <v>48</v>
      </c>
      <c r="E86" s="123">
        <v>5491</v>
      </c>
      <c r="F86" s="124">
        <v>95.106865499999998</v>
      </c>
      <c r="G86" s="125">
        <v>9.5121800000000003E-3</v>
      </c>
      <c r="H86" s="120" t="s">
        <v>151</v>
      </c>
      <c r="J86" s="8"/>
    </row>
    <row r="87" spans="1:10" x14ac:dyDescent="0.2">
      <c r="A87" s="121">
        <v>81</v>
      </c>
      <c r="B87" s="122" t="s">
        <v>543</v>
      </c>
      <c r="C87" s="122" t="s">
        <v>544</v>
      </c>
      <c r="D87" s="122" t="s">
        <v>261</v>
      </c>
      <c r="E87" s="123">
        <v>5973</v>
      </c>
      <c r="F87" s="124">
        <v>94.964726999999996</v>
      </c>
      <c r="G87" s="125">
        <v>9.4979599999999997E-3</v>
      </c>
      <c r="H87" s="120" t="s">
        <v>151</v>
      </c>
      <c r="J87" s="8"/>
    </row>
    <row r="88" spans="1:10" x14ac:dyDescent="0.2">
      <c r="A88" s="121">
        <v>82</v>
      </c>
      <c r="B88" s="122" t="s">
        <v>14</v>
      </c>
      <c r="C88" s="122" t="s">
        <v>15</v>
      </c>
      <c r="D88" s="122" t="s">
        <v>16</v>
      </c>
      <c r="E88" s="123">
        <v>5550</v>
      </c>
      <c r="F88" s="124">
        <v>94.880025000000003</v>
      </c>
      <c r="G88" s="125">
        <v>9.4894899999999997E-3</v>
      </c>
      <c r="H88" s="120" t="s">
        <v>151</v>
      </c>
      <c r="J88" s="8"/>
    </row>
    <row r="89" spans="1:10" x14ac:dyDescent="0.2">
      <c r="A89" s="121">
        <v>83</v>
      </c>
      <c r="B89" s="122" t="s">
        <v>46</v>
      </c>
      <c r="C89" s="122" t="s">
        <v>47</v>
      </c>
      <c r="D89" s="122" t="s">
        <v>48</v>
      </c>
      <c r="E89" s="123">
        <v>7444</v>
      </c>
      <c r="F89" s="124">
        <v>94.762119999999996</v>
      </c>
      <c r="G89" s="125">
        <v>9.4777000000000004E-3</v>
      </c>
      <c r="H89" s="120" t="s">
        <v>151</v>
      </c>
      <c r="J89" s="8"/>
    </row>
    <row r="90" spans="1:10" x14ac:dyDescent="0.2">
      <c r="A90" s="121">
        <v>84</v>
      </c>
      <c r="B90" s="122" t="s">
        <v>26</v>
      </c>
      <c r="C90" s="122" t="s">
        <v>27</v>
      </c>
      <c r="D90" s="122" t="s">
        <v>19</v>
      </c>
      <c r="E90" s="123">
        <v>26826</v>
      </c>
      <c r="F90" s="124">
        <v>94.655540999999999</v>
      </c>
      <c r="G90" s="125">
        <v>9.4670399999999995E-3</v>
      </c>
      <c r="H90" s="120" t="s">
        <v>151</v>
      </c>
      <c r="J90" s="8"/>
    </row>
    <row r="91" spans="1:10" x14ac:dyDescent="0.2">
      <c r="A91" s="121">
        <v>85</v>
      </c>
      <c r="B91" s="122" t="s">
        <v>652</v>
      </c>
      <c r="C91" s="122" t="s">
        <v>653</v>
      </c>
      <c r="D91" s="122" t="s">
        <v>45</v>
      </c>
      <c r="E91" s="123">
        <v>10574</v>
      </c>
      <c r="F91" s="124">
        <v>94.653160999999997</v>
      </c>
      <c r="G91" s="125">
        <v>9.4667999999999992E-3</v>
      </c>
      <c r="H91" s="120" t="s">
        <v>151</v>
      </c>
      <c r="J91" s="8"/>
    </row>
    <row r="92" spans="1:10" x14ac:dyDescent="0.2">
      <c r="A92" s="121">
        <v>86</v>
      </c>
      <c r="B92" s="122" t="s">
        <v>11</v>
      </c>
      <c r="C92" s="122" t="s">
        <v>12</v>
      </c>
      <c r="D92" s="122" t="s">
        <v>13</v>
      </c>
      <c r="E92" s="123">
        <v>2573</v>
      </c>
      <c r="F92" s="124">
        <v>94.571901499999996</v>
      </c>
      <c r="G92" s="125">
        <v>9.4586800000000006E-3</v>
      </c>
      <c r="H92" s="120" t="s">
        <v>151</v>
      </c>
      <c r="J92" s="8"/>
    </row>
    <row r="93" spans="1:10" x14ac:dyDescent="0.2">
      <c r="A93" s="121">
        <v>87</v>
      </c>
      <c r="B93" s="122" t="s">
        <v>777</v>
      </c>
      <c r="C93" s="122" t="s">
        <v>778</v>
      </c>
      <c r="D93" s="122" t="s">
        <v>19</v>
      </c>
      <c r="E93" s="123">
        <v>14385</v>
      </c>
      <c r="F93" s="124">
        <v>94.387177500000007</v>
      </c>
      <c r="G93" s="125">
        <v>9.4401999999999993E-3</v>
      </c>
      <c r="H93" s="120" t="s">
        <v>151</v>
      </c>
      <c r="J93" s="8"/>
    </row>
    <row r="94" spans="1:10" x14ac:dyDescent="0.2">
      <c r="A94" s="121">
        <v>88</v>
      </c>
      <c r="B94" s="122" t="s">
        <v>371</v>
      </c>
      <c r="C94" s="122" t="s">
        <v>372</v>
      </c>
      <c r="D94" s="122" t="s">
        <v>270</v>
      </c>
      <c r="E94" s="123">
        <v>1652</v>
      </c>
      <c r="F94" s="124">
        <v>94.368848</v>
      </c>
      <c r="G94" s="125">
        <v>9.4383699999999997E-3</v>
      </c>
      <c r="H94" s="120" t="s">
        <v>151</v>
      </c>
      <c r="J94" s="8"/>
    </row>
    <row r="95" spans="1:10" x14ac:dyDescent="0.2">
      <c r="A95" s="121">
        <v>89</v>
      </c>
      <c r="B95" s="122" t="s">
        <v>779</v>
      </c>
      <c r="C95" s="122" t="s">
        <v>780</v>
      </c>
      <c r="D95" s="122" t="s">
        <v>35</v>
      </c>
      <c r="E95" s="123">
        <v>4688</v>
      </c>
      <c r="F95" s="124">
        <v>94.364751999999996</v>
      </c>
      <c r="G95" s="125">
        <v>9.4379600000000004E-3</v>
      </c>
      <c r="H95" s="120" t="s">
        <v>151</v>
      </c>
      <c r="J95" s="8"/>
    </row>
    <row r="96" spans="1:10" ht="25.5" x14ac:dyDescent="0.2">
      <c r="A96" s="121">
        <v>90</v>
      </c>
      <c r="B96" s="122" t="s">
        <v>781</v>
      </c>
      <c r="C96" s="122" t="s">
        <v>782</v>
      </c>
      <c r="D96" s="122" t="s">
        <v>295</v>
      </c>
      <c r="E96" s="123">
        <v>4338</v>
      </c>
      <c r="F96" s="124">
        <v>94.325472000000005</v>
      </c>
      <c r="G96" s="125">
        <v>9.4340299999999995E-3</v>
      </c>
      <c r="H96" s="120" t="s">
        <v>151</v>
      </c>
      <c r="J96" s="8"/>
    </row>
    <row r="97" spans="1:10" x14ac:dyDescent="0.2">
      <c r="A97" s="121">
        <v>91</v>
      </c>
      <c r="B97" s="122" t="s">
        <v>783</v>
      </c>
      <c r="C97" s="122" t="s">
        <v>784</v>
      </c>
      <c r="D97" s="122" t="s">
        <v>514</v>
      </c>
      <c r="E97" s="123">
        <v>6767</v>
      </c>
      <c r="F97" s="124">
        <v>94.291377999999995</v>
      </c>
      <c r="G97" s="125">
        <v>9.4306200000000007E-3</v>
      </c>
      <c r="H97" s="120" t="s">
        <v>151</v>
      </c>
      <c r="J97" s="8"/>
    </row>
    <row r="98" spans="1:10" x14ac:dyDescent="0.2">
      <c r="A98" s="121">
        <v>92</v>
      </c>
      <c r="B98" s="122" t="s">
        <v>345</v>
      </c>
      <c r="C98" s="122" t="s">
        <v>346</v>
      </c>
      <c r="D98" s="122" t="s">
        <v>200</v>
      </c>
      <c r="E98" s="123">
        <v>34501</v>
      </c>
      <c r="F98" s="124">
        <v>94.291233000000005</v>
      </c>
      <c r="G98" s="125">
        <v>9.4306000000000008E-3</v>
      </c>
      <c r="H98" s="120" t="s">
        <v>151</v>
      </c>
      <c r="J98" s="8"/>
    </row>
    <row r="99" spans="1:10" x14ac:dyDescent="0.2">
      <c r="A99" s="121">
        <v>93</v>
      </c>
      <c r="B99" s="122" t="s">
        <v>785</v>
      </c>
      <c r="C99" s="122" t="s">
        <v>786</v>
      </c>
      <c r="D99" s="122" t="s">
        <v>67</v>
      </c>
      <c r="E99" s="123">
        <v>11971</v>
      </c>
      <c r="F99" s="124">
        <v>94.151915000000002</v>
      </c>
      <c r="G99" s="125">
        <v>9.4166700000000002E-3</v>
      </c>
      <c r="H99" s="120" t="s">
        <v>151</v>
      </c>
      <c r="J99" s="8"/>
    </row>
    <row r="100" spans="1:10" x14ac:dyDescent="0.2">
      <c r="A100" s="121">
        <v>94</v>
      </c>
      <c r="B100" s="122" t="s">
        <v>273</v>
      </c>
      <c r="C100" s="122" t="s">
        <v>274</v>
      </c>
      <c r="D100" s="122" t="s">
        <v>48</v>
      </c>
      <c r="E100" s="123">
        <v>76287</v>
      </c>
      <c r="F100" s="124">
        <v>93.657549900000006</v>
      </c>
      <c r="G100" s="125">
        <v>9.3672300000000007E-3</v>
      </c>
      <c r="H100" s="120" t="s">
        <v>151</v>
      </c>
      <c r="J100" s="8"/>
    </row>
    <row r="101" spans="1:10" x14ac:dyDescent="0.2">
      <c r="A101" s="121">
        <v>95</v>
      </c>
      <c r="B101" s="122" t="s">
        <v>357</v>
      </c>
      <c r="C101" s="122" t="s">
        <v>358</v>
      </c>
      <c r="D101" s="122" t="s">
        <v>261</v>
      </c>
      <c r="E101" s="123">
        <v>15393</v>
      </c>
      <c r="F101" s="124">
        <v>93.327759</v>
      </c>
      <c r="G101" s="125">
        <v>9.3342400000000006E-3</v>
      </c>
      <c r="H101" s="120" t="s">
        <v>151</v>
      </c>
      <c r="J101" s="8"/>
    </row>
    <row r="102" spans="1:10" x14ac:dyDescent="0.2">
      <c r="A102" s="121">
        <v>96</v>
      </c>
      <c r="B102" s="122" t="s">
        <v>787</v>
      </c>
      <c r="C102" s="122" t="s">
        <v>788</v>
      </c>
      <c r="D102" s="122" t="s">
        <v>19</v>
      </c>
      <c r="E102" s="123">
        <v>9242</v>
      </c>
      <c r="F102" s="124">
        <v>93.311852999999999</v>
      </c>
      <c r="G102" s="125">
        <v>9.3326499999999996E-3</v>
      </c>
      <c r="H102" s="120" t="s">
        <v>151</v>
      </c>
      <c r="J102" s="8"/>
    </row>
    <row r="103" spans="1:10" x14ac:dyDescent="0.2">
      <c r="A103" s="121">
        <v>97</v>
      </c>
      <c r="B103" s="122" t="s">
        <v>727</v>
      </c>
      <c r="C103" s="122" t="s">
        <v>728</v>
      </c>
      <c r="D103" s="122" t="s">
        <v>200</v>
      </c>
      <c r="E103" s="123">
        <v>1823</v>
      </c>
      <c r="F103" s="124">
        <v>92.905548999999993</v>
      </c>
      <c r="G103" s="125">
        <v>9.2920099999999999E-3</v>
      </c>
      <c r="H103" s="120" t="s">
        <v>151</v>
      </c>
      <c r="J103" s="8"/>
    </row>
    <row r="104" spans="1:10" x14ac:dyDescent="0.2">
      <c r="A104" s="121">
        <v>98</v>
      </c>
      <c r="B104" s="122" t="s">
        <v>789</v>
      </c>
      <c r="C104" s="122" t="s">
        <v>790</v>
      </c>
      <c r="D104" s="122" t="s">
        <v>19</v>
      </c>
      <c r="E104" s="123">
        <v>12638</v>
      </c>
      <c r="F104" s="124">
        <v>92.642859000000001</v>
      </c>
      <c r="G104" s="125">
        <v>9.2657399999999997E-3</v>
      </c>
      <c r="H104" s="120" t="s">
        <v>151</v>
      </c>
      <c r="J104" s="8"/>
    </row>
    <row r="105" spans="1:10" x14ac:dyDescent="0.2">
      <c r="A105" s="121">
        <v>99</v>
      </c>
      <c r="B105" s="122" t="s">
        <v>791</v>
      </c>
      <c r="C105" s="122" t="s">
        <v>792</v>
      </c>
      <c r="D105" s="122" t="s">
        <v>19</v>
      </c>
      <c r="E105" s="123">
        <v>4713</v>
      </c>
      <c r="F105" s="124">
        <v>89.674250999999998</v>
      </c>
      <c r="G105" s="125">
        <v>8.9688300000000006E-3</v>
      </c>
      <c r="H105" s="120" t="s">
        <v>151</v>
      </c>
      <c r="J105" s="8"/>
    </row>
    <row r="106" spans="1:10" x14ac:dyDescent="0.2">
      <c r="A106" s="121">
        <v>100</v>
      </c>
      <c r="B106" s="122" t="s">
        <v>793</v>
      </c>
      <c r="C106" s="122" t="s">
        <v>794</v>
      </c>
      <c r="D106" s="122" t="s">
        <v>45</v>
      </c>
      <c r="E106" s="123">
        <v>7089</v>
      </c>
      <c r="F106" s="124">
        <v>87.506615999999994</v>
      </c>
      <c r="G106" s="125">
        <v>8.7520400000000009E-3</v>
      </c>
      <c r="H106" s="120" t="s">
        <v>151</v>
      </c>
      <c r="J106" s="8"/>
    </row>
    <row r="107" spans="1:10" x14ac:dyDescent="0.2">
      <c r="A107" s="118"/>
      <c r="B107" s="118"/>
      <c r="C107" s="119" t="s">
        <v>150</v>
      </c>
      <c r="D107" s="118"/>
      <c r="E107" s="118" t="s">
        <v>151</v>
      </c>
      <c r="F107" s="126">
        <v>9749.7058171000008</v>
      </c>
      <c r="G107" s="127">
        <v>0.97512376000000001</v>
      </c>
      <c r="H107" s="120" t="s">
        <v>151</v>
      </c>
      <c r="J107" s="8"/>
    </row>
    <row r="108" spans="1:10" x14ac:dyDescent="0.2">
      <c r="A108" s="118"/>
      <c r="B108" s="118"/>
      <c r="C108" s="128"/>
      <c r="D108" s="118"/>
      <c r="E108" s="118"/>
      <c r="F108" s="129"/>
      <c r="G108" s="129"/>
      <c r="H108" s="120" t="s">
        <v>151</v>
      </c>
      <c r="J108" s="8"/>
    </row>
    <row r="109" spans="1:10" x14ac:dyDescent="0.2">
      <c r="A109" s="118"/>
      <c r="B109" s="118"/>
      <c r="C109" s="119" t="s">
        <v>152</v>
      </c>
      <c r="D109" s="118"/>
      <c r="E109" s="118"/>
      <c r="F109" s="118"/>
      <c r="G109" s="118"/>
      <c r="H109" s="120" t="s">
        <v>151</v>
      </c>
      <c r="J109" s="8"/>
    </row>
    <row r="110" spans="1:10" x14ac:dyDescent="0.2">
      <c r="A110" s="118"/>
      <c r="B110" s="118"/>
      <c r="C110" s="119" t="s">
        <v>150</v>
      </c>
      <c r="D110" s="118"/>
      <c r="E110" s="118" t="s">
        <v>151</v>
      </c>
      <c r="F110" s="130" t="s">
        <v>153</v>
      </c>
      <c r="G110" s="127">
        <v>0</v>
      </c>
      <c r="H110" s="120" t="s">
        <v>151</v>
      </c>
      <c r="J110" s="8"/>
    </row>
    <row r="111" spans="1:10" x14ac:dyDescent="0.2">
      <c r="A111" s="118"/>
      <c r="B111" s="118"/>
      <c r="C111" s="128"/>
      <c r="D111" s="118"/>
      <c r="E111" s="118"/>
      <c r="F111" s="129"/>
      <c r="G111" s="129"/>
      <c r="H111" s="120" t="s">
        <v>151</v>
      </c>
      <c r="J111" s="8"/>
    </row>
    <row r="112" spans="1:10" x14ac:dyDescent="0.2">
      <c r="A112" s="118"/>
      <c r="B112" s="118"/>
      <c r="C112" s="119" t="s">
        <v>154</v>
      </c>
      <c r="D112" s="118"/>
      <c r="E112" s="118"/>
      <c r="F112" s="118"/>
      <c r="G112" s="118"/>
      <c r="H112" s="120" t="s">
        <v>151</v>
      </c>
      <c r="J112" s="8"/>
    </row>
    <row r="113" spans="1:10" x14ac:dyDescent="0.2">
      <c r="A113" s="118"/>
      <c r="B113" s="118"/>
      <c r="C113" s="119" t="s">
        <v>150</v>
      </c>
      <c r="D113" s="118"/>
      <c r="E113" s="118" t="s">
        <v>151</v>
      </c>
      <c r="F113" s="130" t="s">
        <v>153</v>
      </c>
      <c r="G113" s="127">
        <v>0</v>
      </c>
      <c r="H113" s="120" t="s">
        <v>151</v>
      </c>
      <c r="J113" s="8"/>
    </row>
    <row r="114" spans="1:10" x14ac:dyDescent="0.2">
      <c r="A114" s="118"/>
      <c r="B114" s="118"/>
      <c r="C114" s="128"/>
      <c r="D114" s="118"/>
      <c r="E114" s="118"/>
      <c r="F114" s="129"/>
      <c r="G114" s="129"/>
      <c r="H114" s="120" t="s">
        <v>151</v>
      </c>
      <c r="J114" s="8"/>
    </row>
    <row r="115" spans="1:10" x14ac:dyDescent="0.2">
      <c r="A115" s="118"/>
      <c r="B115" s="118"/>
      <c r="C115" s="119" t="s">
        <v>155</v>
      </c>
      <c r="D115" s="118"/>
      <c r="E115" s="118"/>
      <c r="F115" s="118"/>
      <c r="G115" s="118"/>
      <c r="H115" s="120" t="s">
        <v>151</v>
      </c>
      <c r="J115" s="8"/>
    </row>
    <row r="116" spans="1:10" x14ac:dyDescent="0.2">
      <c r="A116" s="118"/>
      <c r="B116" s="118"/>
      <c r="C116" s="119" t="s">
        <v>150</v>
      </c>
      <c r="D116" s="118"/>
      <c r="E116" s="118" t="s">
        <v>151</v>
      </c>
      <c r="F116" s="130" t="s">
        <v>153</v>
      </c>
      <c r="G116" s="127">
        <v>0</v>
      </c>
      <c r="H116" s="120" t="s">
        <v>151</v>
      </c>
      <c r="J116" s="8"/>
    </row>
    <row r="117" spans="1:10" x14ac:dyDescent="0.2">
      <c r="A117" s="118"/>
      <c r="B117" s="118"/>
      <c r="C117" s="128"/>
      <c r="D117" s="118"/>
      <c r="E117" s="118"/>
      <c r="F117" s="129"/>
      <c r="G117" s="129"/>
      <c r="H117" s="120" t="s">
        <v>151</v>
      </c>
      <c r="J117" s="8"/>
    </row>
    <row r="118" spans="1:10" x14ac:dyDescent="0.2">
      <c r="A118" s="118"/>
      <c r="B118" s="118"/>
      <c r="C118" s="119" t="s">
        <v>156</v>
      </c>
      <c r="D118" s="118"/>
      <c r="E118" s="118"/>
      <c r="F118" s="129"/>
      <c r="G118" s="129"/>
      <c r="H118" s="120" t="s">
        <v>151</v>
      </c>
      <c r="J118" s="8"/>
    </row>
    <row r="119" spans="1:10" x14ac:dyDescent="0.2">
      <c r="A119" s="118"/>
      <c r="B119" s="118"/>
      <c r="C119" s="119" t="s">
        <v>150</v>
      </c>
      <c r="D119" s="118"/>
      <c r="E119" s="118" t="s">
        <v>151</v>
      </c>
      <c r="F119" s="130" t="s">
        <v>153</v>
      </c>
      <c r="G119" s="127">
        <v>0</v>
      </c>
      <c r="H119" s="120" t="s">
        <v>151</v>
      </c>
      <c r="J119" s="8"/>
    </row>
    <row r="120" spans="1:10" x14ac:dyDescent="0.2">
      <c r="A120" s="118"/>
      <c r="B120" s="118"/>
      <c r="C120" s="128"/>
      <c r="D120" s="118"/>
      <c r="E120" s="118"/>
      <c r="F120" s="129"/>
      <c r="G120" s="129"/>
      <c r="H120" s="120" t="s">
        <v>151</v>
      </c>
      <c r="J120" s="8"/>
    </row>
    <row r="121" spans="1:10" x14ac:dyDescent="0.2">
      <c r="A121" s="118"/>
      <c r="B121" s="118"/>
      <c r="C121" s="119" t="s">
        <v>157</v>
      </c>
      <c r="D121" s="118"/>
      <c r="E121" s="118"/>
      <c r="F121" s="129"/>
      <c r="G121" s="129"/>
      <c r="H121" s="120" t="s">
        <v>151</v>
      </c>
      <c r="J121" s="8"/>
    </row>
    <row r="122" spans="1:10" x14ac:dyDescent="0.2">
      <c r="A122" s="118"/>
      <c r="B122" s="118"/>
      <c r="C122" s="119" t="s">
        <v>150</v>
      </c>
      <c r="D122" s="118"/>
      <c r="E122" s="118" t="s">
        <v>151</v>
      </c>
      <c r="F122" s="130" t="s">
        <v>153</v>
      </c>
      <c r="G122" s="127">
        <v>0</v>
      </c>
      <c r="H122" s="120" t="s">
        <v>151</v>
      </c>
      <c r="J122" s="8"/>
    </row>
    <row r="123" spans="1:10" x14ac:dyDescent="0.2">
      <c r="A123" s="118"/>
      <c r="B123" s="118"/>
      <c r="C123" s="128"/>
      <c r="D123" s="118"/>
      <c r="E123" s="118"/>
      <c r="F123" s="129"/>
      <c r="G123" s="129"/>
      <c r="H123" s="120" t="s">
        <v>151</v>
      </c>
      <c r="J123" s="8"/>
    </row>
    <row r="124" spans="1:10" x14ac:dyDescent="0.2">
      <c r="A124" s="118"/>
      <c r="B124" s="118"/>
      <c r="C124" s="119" t="s">
        <v>158</v>
      </c>
      <c r="D124" s="118"/>
      <c r="E124" s="118"/>
      <c r="F124" s="126">
        <v>9749.7058171000008</v>
      </c>
      <c r="G124" s="127">
        <v>0.97512376000000001</v>
      </c>
      <c r="H124" s="120" t="s">
        <v>151</v>
      </c>
      <c r="J124" s="8"/>
    </row>
    <row r="125" spans="1:10" x14ac:dyDescent="0.2">
      <c r="A125" s="118"/>
      <c r="B125" s="118"/>
      <c r="C125" s="128"/>
      <c r="D125" s="118"/>
      <c r="E125" s="118"/>
      <c r="F125" s="129"/>
      <c r="G125" s="129"/>
      <c r="H125" s="120" t="s">
        <v>151</v>
      </c>
      <c r="J125" s="8"/>
    </row>
    <row r="126" spans="1:10" x14ac:dyDescent="0.2">
      <c r="A126" s="118"/>
      <c r="B126" s="118"/>
      <c r="C126" s="119" t="s">
        <v>159</v>
      </c>
      <c r="D126" s="118"/>
      <c r="E126" s="118"/>
      <c r="F126" s="129"/>
      <c r="G126" s="129"/>
      <c r="H126" s="120" t="s">
        <v>151</v>
      </c>
      <c r="J126" s="8"/>
    </row>
    <row r="127" spans="1:10" ht="25.5" x14ac:dyDescent="0.2">
      <c r="A127" s="118"/>
      <c r="B127" s="118"/>
      <c r="C127" s="119" t="s">
        <v>10</v>
      </c>
      <c r="D127" s="118"/>
      <c r="E127" s="118"/>
      <c r="F127" s="129"/>
      <c r="G127" s="129"/>
      <c r="H127" s="120" t="s">
        <v>151</v>
      </c>
      <c r="J127" s="8"/>
    </row>
    <row r="128" spans="1:10" x14ac:dyDescent="0.2">
      <c r="A128" s="118"/>
      <c r="B128" s="118"/>
      <c r="C128" s="119" t="s">
        <v>150</v>
      </c>
      <c r="D128" s="118"/>
      <c r="E128" s="118" t="s">
        <v>151</v>
      </c>
      <c r="F128" s="130" t="s">
        <v>153</v>
      </c>
      <c r="G128" s="127">
        <v>0</v>
      </c>
      <c r="H128" s="120" t="s">
        <v>151</v>
      </c>
      <c r="J128" s="8"/>
    </row>
    <row r="129" spans="1:10" x14ac:dyDescent="0.2">
      <c r="A129" s="118"/>
      <c r="B129" s="118"/>
      <c r="C129" s="128"/>
      <c r="D129" s="118"/>
      <c r="E129" s="118"/>
      <c r="F129" s="129"/>
      <c r="G129" s="129"/>
      <c r="H129" s="120" t="s">
        <v>151</v>
      </c>
      <c r="J129" s="8"/>
    </row>
    <row r="130" spans="1:10" x14ac:dyDescent="0.2">
      <c r="A130" s="118"/>
      <c r="B130" s="118"/>
      <c r="C130" s="119" t="s">
        <v>160</v>
      </c>
      <c r="D130" s="118"/>
      <c r="E130" s="118"/>
      <c r="F130" s="118"/>
      <c r="G130" s="118"/>
      <c r="H130" s="120" t="s">
        <v>151</v>
      </c>
      <c r="J130" s="8"/>
    </row>
    <row r="131" spans="1:10" x14ac:dyDescent="0.2">
      <c r="A131" s="118"/>
      <c r="B131" s="118"/>
      <c r="C131" s="119" t="s">
        <v>150</v>
      </c>
      <c r="D131" s="118"/>
      <c r="E131" s="118" t="s">
        <v>151</v>
      </c>
      <c r="F131" s="130" t="s">
        <v>153</v>
      </c>
      <c r="G131" s="127">
        <v>0</v>
      </c>
      <c r="H131" s="120" t="s">
        <v>151</v>
      </c>
      <c r="J131" s="8"/>
    </row>
    <row r="132" spans="1:10" x14ac:dyDescent="0.2">
      <c r="A132" s="118"/>
      <c r="B132" s="118"/>
      <c r="C132" s="128"/>
      <c r="D132" s="118"/>
      <c r="E132" s="118"/>
      <c r="F132" s="129"/>
      <c r="G132" s="129"/>
      <c r="H132" s="120" t="s">
        <v>151</v>
      </c>
      <c r="J132" s="8"/>
    </row>
    <row r="133" spans="1:10" x14ac:dyDescent="0.2">
      <c r="A133" s="118"/>
      <c r="B133" s="118"/>
      <c r="C133" s="119" t="s">
        <v>161</v>
      </c>
      <c r="D133" s="118"/>
      <c r="E133" s="118"/>
      <c r="F133" s="118"/>
      <c r="G133" s="118"/>
      <c r="H133" s="120" t="s">
        <v>151</v>
      </c>
      <c r="J133" s="8"/>
    </row>
    <row r="134" spans="1:10" x14ac:dyDescent="0.2">
      <c r="A134" s="118"/>
      <c r="B134" s="118"/>
      <c r="C134" s="119" t="s">
        <v>150</v>
      </c>
      <c r="D134" s="118"/>
      <c r="E134" s="118" t="s">
        <v>151</v>
      </c>
      <c r="F134" s="130" t="s">
        <v>153</v>
      </c>
      <c r="G134" s="127">
        <v>0</v>
      </c>
      <c r="H134" s="120" t="s">
        <v>151</v>
      </c>
      <c r="J134" s="8"/>
    </row>
    <row r="135" spans="1:10" x14ac:dyDescent="0.2">
      <c r="A135" s="118"/>
      <c r="B135" s="118"/>
      <c r="C135" s="128"/>
      <c r="D135" s="118"/>
      <c r="E135" s="118"/>
      <c r="F135" s="129"/>
      <c r="G135" s="129"/>
      <c r="H135" s="120" t="s">
        <v>151</v>
      </c>
      <c r="J135" s="8"/>
    </row>
    <row r="136" spans="1:10" x14ac:dyDescent="0.2">
      <c r="A136" s="118"/>
      <c r="B136" s="118"/>
      <c r="C136" s="119" t="s">
        <v>162</v>
      </c>
      <c r="D136" s="118"/>
      <c r="E136" s="118"/>
      <c r="F136" s="129"/>
      <c r="G136" s="129"/>
      <c r="H136" s="120" t="s">
        <v>151</v>
      </c>
      <c r="J136" s="8"/>
    </row>
    <row r="137" spans="1:10" x14ac:dyDescent="0.2">
      <c r="A137" s="118"/>
      <c r="B137" s="118"/>
      <c r="C137" s="119" t="s">
        <v>150</v>
      </c>
      <c r="D137" s="118"/>
      <c r="E137" s="118" t="s">
        <v>151</v>
      </c>
      <c r="F137" s="130" t="s">
        <v>153</v>
      </c>
      <c r="G137" s="127">
        <v>0</v>
      </c>
      <c r="H137" s="120" t="s">
        <v>151</v>
      </c>
      <c r="J137" s="8"/>
    </row>
    <row r="138" spans="1:10" x14ac:dyDescent="0.2">
      <c r="A138" s="118"/>
      <c r="B138" s="118"/>
      <c r="C138" s="128"/>
      <c r="D138" s="118"/>
      <c r="E138" s="118"/>
      <c r="F138" s="129"/>
      <c r="G138" s="129"/>
      <c r="H138" s="120" t="s">
        <v>151</v>
      </c>
      <c r="J138" s="8"/>
    </row>
    <row r="139" spans="1:10" x14ac:dyDescent="0.2">
      <c r="A139" s="118"/>
      <c r="B139" s="118"/>
      <c r="C139" s="119" t="s">
        <v>163</v>
      </c>
      <c r="D139" s="118"/>
      <c r="E139" s="118"/>
      <c r="F139" s="126">
        <v>0</v>
      </c>
      <c r="G139" s="127">
        <v>0</v>
      </c>
      <c r="H139" s="120" t="s">
        <v>151</v>
      </c>
      <c r="J139" s="8"/>
    </row>
    <row r="140" spans="1:10" x14ac:dyDescent="0.2">
      <c r="A140" s="118"/>
      <c r="B140" s="118"/>
      <c r="C140" s="128"/>
      <c r="D140" s="118"/>
      <c r="E140" s="118"/>
      <c r="F140" s="129"/>
      <c r="G140" s="129"/>
      <c r="H140" s="120" t="s">
        <v>151</v>
      </c>
      <c r="J140" s="8"/>
    </row>
    <row r="141" spans="1:10" x14ac:dyDescent="0.2">
      <c r="A141" s="118"/>
      <c r="B141" s="118"/>
      <c r="C141" s="119" t="s">
        <v>164</v>
      </c>
      <c r="D141" s="118"/>
      <c r="E141" s="118"/>
      <c r="F141" s="129"/>
      <c r="G141" s="129"/>
      <c r="H141" s="120" t="s">
        <v>151</v>
      </c>
      <c r="J141" s="8"/>
    </row>
    <row r="142" spans="1:10" x14ac:dyDescent="0.2">
      <c r="A142" s="118"/>
      <c r="B142" s="118"/>
      <c r="C142" s="119" t="s">
        <v>165</v>
      </c>
      <c r="D142" s="118"/>
      <c r="E142" s="118"/>
      <c r="F142" s="129"/>
      <c r="G142" s="129"/>
      <c r="H142" s="120" t="s">
        <v>151</v>
      </c>
      <c r="J142" s="8"/>
    </row>
    <row r="143" spans="1:10" x14ac:dyDescent="0.2">
      <c r="A143" s="118"/>
      <c r="B143" s="118"/>
      <c r="C143" s="119" t="s">
        <v>150</v>
      </c>
      <c r="D143" s="118"/>
      <c r="E143" s="118" t="s">
        <v>151</v>
      </c>
      <c r="F143" s="130" t="s">
        <v>153</v>
      </c>
      <c r="G143" s="127">
        <v>0</v>
      </c>
      <c r="H143" s="120" t="s">
        <v>151</v>
      </c>
      <c r="J143" s="8"/>
    </row>
    <row r="144" spans="1:10" x14ac:dyDescent="0.2">
      <c r="A144" s="118"/>
      <c r="B144" s="118"/>
      <c r="C144" s="128"/>
      <c r="D144" s="118"/>
      <c r="E144" s="118"/>
      <c r="F144" s="129"/>
      <c r="G144" s="129"/>
      <c r="H144" s="120" t="s">
        <v>151</v>
      </c>
      <c r="J144" s="8"/>
    </row>
    <row r="145" spans="1:10" x14ac:dyDescent="0.2">
      <c r="A145" s="118"/>
      <c r="B145" s="118"/>
      <c r="C145" s="119" t="s">
        <v>166</v>
      </c>
      <c r="D145" s="118"/>
      <c r="E145" s="118"/>
      <c r="F145" s="129"/>
      <c r="G145" s="129"/>
      <c r="H145" s="120" t="s">
        <v>151</v>
      </c>
      <c r="J145" s="8"/>
    </row>
    <row r="146" spans="1:10" x14ac:dyDescent="0.2">
      <c r="A146" s="118"/>
      <c r="B146" s="118"/>
      <c r="C146" s="119" t="s">
        <v>150</v>
      </c>
      <c r="D146" s="118"/>
      <c r="E146" s="118" t="s">
        <v>151</v>
      </c>
      <c r="F146" s="130" t="s">
        <v>153</v>
      </c>
      <c r="G146" s="127">
        <v>0</v>
      </c>
      <c r="H146" s="120" t="s">
        <v>151</v>
      </c>
      <c r="J146" s="8"/>
    </row>
    <row r="147" spans="1:10" x14ac:dyDescent="0.2">
      <c r="A147" s="118"/>
      <c r="B147" s="118"/>
      <c r="C147" s="128"/>
      <c r="D147" s="118"/>
      <c r="E147" s="118"/>
      <c r="F147" s="129"/>
      <c r="G147" s="129"/>
      <c r="H147" s="120" t="s">
        <v>151</v>
      </c>
      <c r="J147" s="8"/>
    </row>
    <row r="148" spans="1:10" x14ac:dyDescent="0.2">
      <c r="A148" s="118"/>
      <c r="B148" s="118"/>
      <c r="C148" s="119" t="s">
        <v>167</v>
      </c>
      <c r="D148" s="118"/>
      <c r="E148" s="118"/>
      <c r="F148" s="129"/>
      <c r="G148" s="129"/>
      <c r="H148" s="120" t="s">
        <v>151</v>
      </c>
      <c r="J148" s="8"/>
    </row>
    <row r="149" spans="1:10" x14ac:dyDescent="0.2">
      <c r="A149" s="118"/>
      <c r="B149" s="118"/>
      <c r="C149" s="119" t="s">
        <v>150</v>
      </c>
      <c r="D149" s="118"/>
      <c r="E149" s="118" t="s">
        <v>151</v>
      </c>
      <c r="F149" s="130" t="s">
        <v>153</v>
      </c>
      <c r="G149" s="127">
        <v>0</v>
      </c>
      <c r="H149" s="120" t="s">
        <v>151</v>
      </c>
      <c r="J149" s="8"/>
    </row>
    <row r="150" spans="1:10" x14ac:dyDescent="0.2">
      <c r="A150" s="118"/>
      <c r="B150" s="118"/>
      <c r="C150" s="128"/>
      <c r="D150" s="118"/>
      <c r="E150" s="118"/>
      <c r="F150" s="129"/>
      <c r="G150" s="129"/>
      <c r="H150" s="120" t="s">
        <v>151</v>
      </c>
      <c r="J150" s="8"/>
    </row>
    <row r="151" spans="1:10" x14ac:dyDescent="0.2">
      <c r="A151" s="118"/>
      <c r="B151" s="118"/>
      <c r="C151" s="119" t="s">
        <v>168</v>
      </c>
      <c r="D151" s="118"/>
      <c r="E151" s="118"/>
      <c r="F151" s="129"/>
      <c r="G151" s="129"/>
      <c r="H151" s="120" t="s">
        <v>151</v>
      </c>
      <c r="J151" s="8"/>
    </row>
    <row r="152" spans="1:10" x14ac:dyDescent="0.2">
      <c r="A152" s="121">
        <v>1</v>
      </c>
      <c r="B152" s="122"/>
      <c r="C152" s="122" t="s">
        <v>169</v>
      </c>
      <c r="D152" s="122"/>
      <c r="E152" s="131"/>
      <c r="F152" s="124">
        <v>434.371998002</v>
      </c>
      <c r="G152" s="125">
        <v>4.344402E-2</v>
      </c>
      <c r="H152" s="120">
        <v>6.61</v>
      </c>
      <c r="J152" s="8"/>
    </row>
    <row r="153" spans="1:10" x14ac:dyDescent="0.2">
      <c r="A153" s="118"/>
      <c r="B153" s="118"/>
      <c r="C153" s="119" t="s">
        <v>150</v>
      </c>
      <c r="D153" s="118"/>
      <c r="E153" s="118" t="s">
        <v>151</v>
      </c>
      <c r="F153" s="126">
        <v>434.371998002</v>
      </c>
      <c r="G153" s="127">
        <v>4.344402E-2</v>
      </c>
      <c r="H153" s="120" t="s">
        <v>151</v>
      </c>
      <c r="J153" s="8"/>
    </row>
    <row r="154" spans="1:10" x14ac:dyDescent="0.2">
      <c r="A154" s="118"/>
      <c r="B154" s="118"/>
      <c r="C154" s="128"/>
      <c r="D154" s="118"/>
      <c r="E154" s="118"/>
      <c r="F154" s="129"/>
      <c r="G154" s="129"/>
      <c r="H154" s="120" t="s">
        <v>151</v>
      </c>
      <c r="J154" s="8"/>
    </row>
    <row r="155" spans="1:10" x14ac:dyDescent="0.2">
      <c r="A155" s="118"/>
      <c r="B155" s="118"/>
      <c r="C155" s="119" t="s">
        <v>170</v>
      </c>
      <c r="D155" s="118"/>
      <c r="E155" s="118"/>
      <c r="F155" s="126">
        <v>434.371998002</v>
      </c>
      <c r="G155" s="127">
        <v>4.344402E-2</v>
      </c>
      <c r="H155" s="120" t="s">
        <v>151</v>
      </c>
      <c r="J155" s="8"/>
    </row>
    <row r="156" spans="1:10" x14ac:dyDescent="0.2">
      <c r="A156" s="118"/>
      <c r="B156" s="118"/>
      <c r="C156" s="129"/>
      <c r="D156" s="118"/>
      <c r="E156" s="118"/>
      <c r="F156" s="118"/>
      <c r="G156" s="118"/>
      <c r="H156" s="120" t="s">
        <v>151</v>
      </c>
      <c r="J156" s="8"/>
    </row>
    <row r="157" spans="1:10" x14ac:dyDescent="0.2">
      <c r="A157" s="118"/>
      <c r="B157" s="118"/>
      <c r="C157" s="119" t="s">
        <v>171</v>
      </c>
      <c r="D157" s="118"/>
      <c r="E157" s="118"/>
      <c r="F157" s="118"/>
      <c r="G157" s="118"/>
      <c r="H157" s="120" t="s">
        <v>151</v>
      </c>
      <c r="J157" s="8"/>
    </row>
    <row r="158" spans="1:10" x14ac:dyDescent="0.2">
      <c r="A158" s="118"/>
      <c r="B158" s="118"/>
      <c r="C158" s="119" t="s">
        <v>172</v>
      </c>
      <c r="D158" s="118"/>
      <c r="E158" s="118"/>
      <c r="F158" s="118"/>
      <c r="G158" s="118"/>
      <c r="H158" s="120" t="s">
        <v>151</v>
      </c>
      <c r="J158" s="8"/>
    </row>
    <row r="159" spans="1:10" x14ac:dyDescent="0.2">
      <c r="A159" s="118"/>
      <c r="B159" s="118"/>
      <c r="C159" s="119" t="s">
        <v>150</v>
      </c>
      <c r="D159" s="118"/>
      <c r="E159" s="118" t="s">
        <v>151</v>
      </c>
      <c r="F159" s="130" t="s">
        <v>153</v>
      </c>
      <c r="G159" s="127">
        <v>0</v>
      </c>
      <c r="H159" s="120" t="s">
        <v>151</v>
      </c>
      <c r="J159" s="8"/>
    </row>
    <row r="160" spans="1:10" x14ac:dyDescent="0.2">
      <c r="A160" s="118"/>
      <c r="B160" s="118"/>
      <c r="C160" s="128"/>
      <c r="D160" s="118"/>
      <c r="E160" s="118"/>
      <c r="F160" s="129"/>
      <c r="G160" s="129"/>
      <c r="H160" s="120" t="s">
        <v>151</v>
      </c>
      <c r="J160" s="8"/>
    </row>
    <row r="161" spans="1:17" x14ac:dyDescent="0.2">
      <c r="A161" s="118"/>
      <c r="B161" s="118"/>
      <c r="C161" s="119" t="s">
        <v>175</v>
      </c>
      <c r="D161" s="118"/>
      <c r="E161" s="118"/>
      <c r="F161" s="118"/>
      <c r="G161" s="118"/>
      <c r="H161" s="120" t="s">
        <v>151</v>
      </c>
      <c r="J161" s="8"/>
    </row>
    <row r="162" spans="1:17" x14ac:dyDescent="0.2">
      <c r="A162" s="118"/>
      <c r="B162" s="118"/>
      <c r="C162" s="119" t="s">
        <v>176</v>
      </c>
      <c r="D162" s="118"/>
      <c r="E162" s="118"/>
      <c r="F162" s="118"/>
      <c r="G162" s="118"/>
      <c r="H162" s="120" t="s">
        <v>151</v>
      </c>
      <c r="J162" s="8"/>
    </row>
    <row r="163" spans="1:17" x14ac:dyDescent="0.2">
      <c r="A163" s="118"/>
      <c r="B163" s="118"/>
      <c r="C163" s="119" t="s">
        <v>150</v>
      </c>
      <c r="D163" s="118"/>
      <c r="E163" s="118" t="s">
        <v>151</v>
      </c>
      <c r="F163" s="130" t="s">
        <v>153</v>
      </c>
      <c r="G163" s="127">
        <v>0</v>
      </c>
      <c r="H163" s="120" t="s">
        <v>151</v>
      </c>
      <c r="J163" s="8"/>
    </row>
    <row r="164" spans="1:17" x14ac:dyDescent="0.2">
      <c r="A164" s="118"/>
      <c r="B164" s="118"/>
      <c r="C164" s="128"/>
      <c r="D164" s="118"/>
      <c r="E164" s="118"/>
      <c r="F164" s="129"/>
      <c r="G164" s="129"/>
      <c r="H164" s="120" t="s">
        <v>151</v>
      </c>
      <c r="J164" s="8"/>
    </row>
    <row r="165" spans="1:17" ht="25.5" x14ac:dyDescent="0.2">
      <c r="A165" s="118"/>
      <c r="B165" s="118"/>
      <c r="C165" s="119" t="s">
        <v>177</v>
      </c>
      <c r="D165" s="118"/>
      <c r="E165" s="118"/>
      <c r="F165" s="129"/>
      <c r="G165" s="129"/>
      <c r="H165" s="120" t="s">
        <v>151</v>
      </c>
      <c r="J165" s="8"/>
    </row>
    <row r="166" spans="1:17" x14ac:dyDescent="0.2">
      <c r="A166" s="118"/>
      <c r="B166" s="118"/>
      <c r="C166" s="119" t="s">
        <v>150</v>
      </c>
      <c r="D166" s="118"/>
      <c r="E166" s="118" t="s">
        <v>151</v>
      </c>
      <c r="F166" s="130" t="s">
        <v>153</v>
      </c>
      <c r="G166" s="127">
        <v>0</v>
      </c>
      <c r="H166" s="120" t="s">
        <v>151</v>
      </c>
      <c r="J166" s="8"/>
    </row>
    <row r="167" spans="1:17" x14ac:dyDescent="0.2">
      <c r="A167" s="118"/>
      <c r="B167" s="122"/>
      <c r="C167" s="122"/>
      <c r="D167" s="119"/>
      <c r="E167" s="118"/>
      <c r="F167" s="122"/>
      <c r="G167" s="131"/>
      <c r="H167" s="120" t="s">
        <v>151</v>
      </c>
      <c r="J167" s="8"/>
    </row>
    <row r="168" spans="1:17" x14ac:dyDescent="0.2">
      <c r="A168" s="131"/>
      <c r="B168" s="122"/>
      <c r="C168" s="200" t="s">
        <v>917</v>
      </c>
      <c r="D168" s="122"/>
      <c r="E168" s="131"/>
      <c r="F168" s="124">
        <v>-185.64760355000001</v>
      </c>
      <c r="G168" s="125">
        <v>-1.856768E-2</v>
      </c>
      <c r="H168" s="120" t="s">
        <v>151</v>
      </c>
      <c r="J168" s="8"/>
    </row>
    <row r="169" spans="1:17" x14ac:dyDescent="0.2">
      <c r="A169" s="128"/>
      <c r="B169" s="128"/>
      <c r="C169" s="119" t="s">
        <v>179</v>
      </c>
      <c r="D169" s="129"/>
      <c r="E169" s="129"/>
      <c r="F169" s="126">
        <v>9998.4302115520004</v>
      </c>
      <c r="G169" s="133">
        <v>1.0000001000000001</v>
      </c>
      <c r="H169" s="120" t="s">
        <v>151</v>
      </c>
      <c r="J169" s="8"/>
    </row>
    <row r="170" spans="1:17" x14ac:dyDescent="0.2">
      <c r="A170" s="134"/>
      <c r="B170" s="134"/>
      <c r="C170" s="134"/>
      <c r="D170" s="135"/>
      <c r="E170" s="135"/>
      <c r="F170" s="135"/>
      <c r="G170" s="135"/>
      <c r="J170" s="8"/>
    </row>
    <row r="171" spans="1:17" x14ac:dyDescent="0.2">
      <c r="A171" s="136"/>
      <c r="B171" s="137" t="s">
        <v>888</v>
      </c>
      <c r="C171" s="137"/>
      <c r="D171" s="137"/>
      <c r="E171" s="137"/>
      <c r="F171" s="137"/>
      <c r="G171" s="137"/>
      <c r="H171" s="137"/>
      <c r="J171" s="8"/>
    </row>
    <row r="172" spans="1:17" x14ac:dyDescent="0.2">
      <c r="A172" s="136"/>
      <c r="B172" s="137" t="s">
        <v>889</v>
      </c>
      <c r="C172" s="137"/>
      <c r="D172" s="137"/>
      <c r="E172" s="137"/>
      <c r="F172" s="137"/>
      <c r="G172" s="137"/>
      <c r="H172" s="137"/>
      <c r="J172" s="8"/>
    </row>
    <row r="173" spans="1:17" x14ac:dyDescent="0.2">
      <c r="A173" s="136"/>
      <c r="B173" s="137" t="s">
        <v>890</v>
      </c>
      <c r="C173" s="137"/>
      <c r="D173" s="137"/>
      <c r="E173" s="137"/>
      <c r="F173" s="137"/>
      <c r="G173" s="137"/>
      <c r="H173" s="137"/>
      <c r="J173" s="8"/>
    </row>
    <row r="174" spans="1:17" s="13" customFormat="1" ht="15" x14ac:dyDescent="0.25">
      <c r="A174" s="138"/>
      <c r="B174" s="139" t="s">
        <v>891</v>
      </c>
      <c r="C174" s="139"/>
      <c r="D174" s="139"/>
      <c r="E174" s="139"/>
      <c r="F174" s="139"/>
      <c r="G174" s="139"/>
      <c r="H174" s="139"/>
      <c r="I174" s="114"/>
      <c r="J174" s="8"/>
      <c r="K174"/>
      <c r="L174"/>
      <c r="M174"/>
      <c r="N174"/>
      <c r="O174"/>
      <c r="P174"/>
      <c r="Q174"/>
    </row>
    <row r="175" spans="1:17" x14ac:dyDescent="0.2">
      <c r="A175" s="136"/>
      <c r="B175" s="137" t="s">
        <v>892</v>
      </c>
      <c r="C175" s="137"/>
      <c r="D175" s="137"/>
      <c r="E175" s="137"/>
      <c r="F175" s="137"/>
      <c r="G175" s="137"/>
      <c r="H175" s="137"/>
      <c r="J175" s="8"/>
    </row>
    <row r="176" spans="1:17" x14ac:dyDescent="0.2">
      <c r="A176" s="140"/>
      <c r="B176" s="140"/>
      <c r="C176" s="140"/>
      <c r="D176" s="141"/>
      <c r="E176" s="141"/>
      <c r="F176" s="141"/>
      <c r="G176" s="141"/>
      <c r="J176" s="8"/>
    </row>
    <row r="177" spans="1:10" x14ac:dyDescent="0.2">
      <c r="A177" s="140"/>
      <c r="B177" s="142" t="s">
        <v>180</v>
      </c>
      <c r="C177" s="143"/>
      <c r="D177" s="144"/>
      <c r="E177" s="145"/>
      <c r="F177" s="141"/>
      <c r="G177" s="141"/>
      <c r="J177" s="8"/>
    </row>
    <row r="178" spans="1:10" x14ac:dyDescent="0.2">
      <c r="A178" s="140"/>
      <c r="B178" s="146" t="s">
        <v>181</v>
      </c>
      <c r="C178" s="147"/>
      <c r="D178" s="119" t="s">
        <v>182</v>
      </c>
      <c r="E178" s="145"/>
      <c r="F178" s="141"/>
      <c r="G178" s="141"/>
      <c r="J178" s="8"/>
    </row>
    <row r="179" spans="1:10" x14ac:dyDescent="0.2">
      <c r="A179" s="140"/>
      <c r="B179" s="146" t="s">
        <v>183</v>
      </c>
      <c r="C179" s="147"/>
      <c r="D179" s="119" t="s">
        <v>182</v>
      </c>
      <c r="E179" s="145"/>
      <c r="F179" s="141"/>
      <c r="G179" s="141"/>
      <c r="J179" s="8"/>
    </row>
    <row r="180" spans="1:10" x14ac:dyDescent="0.2">
      <c r="A180" s="140"/>
      <c r="B180" s="146" t="s">
        <v>184</v>
      </c>
      <c r="C180" s="147"/>
      <c r="D180" s="129" t="s">
        <v>151</v>
      </c>
      <c r="E180" s="145"/>
      <c r="F180" s="141"/>
      <c r="G180" s="141"/>
      <c r="J180" s="8"/>
    </row>
    <row r="181" spans="1:10" x14ac:dyDescent="0.2">
      <c r="A181" s="151"/>
      <c r="B181" s="152" t="s">
        <v>151</v>
      </c>
      <c r="C181" s="152" t="s">
        <v>894</v>
      </c>
      <c r="D181" s="152" t="s">
        <v>185</v>
      </c>
      <c r="E181" s="151"/>
      <c r="F181" s="151"/>
      <c r="G181" s="151"/>
      <c r="H181" s="151"/>
      <c r="J181" s="8"/>
    </row>
    <row r="182" spans="1:10" x14ac:dyDescent="0.2">
      <c r="A182" s="153"/>
      <c r="B182" s="154" t="s">
        <v>186</v>
      </c>
      <c r="C182" s="155">
        <v>45535</v>
      </c>
      <c r="D182" s="155">
        <v>45565</v>
      </c>
      <c r="E182" s="153"/>
      <c r="F182" s="153"/>
      <c r="G182" s="153"/>
      <c r="J182" s="8"/>
    </row>
    <row r="183" spans="1:10" x14ac:dyDescent="0.2">
      <c r="A183" s="153"/>
      <c r="B183" s="122" t="s">
        <v>187</v>
      </c>
      <c r="C183" s="156">
        <v>192.14660000000001</v>
      </c>
      <c r="D183" s="156">
        <v>196.64230000000001</v>
      </c>
      <c r="E183" s="153"/>
      <c r="F183" s="157"/>
      <c r="G183" s="158"/>
      <c r="J183" s="8"/>
    </row>
    <row r="184" spans="1:10" x14ac:dyDescent="0.2">
      <c r="A184" s="153"/>
      <c r="B184" s="122" t="s">
        <v>1038</v>
      </c>
      <c r="C184" s="156">
        <v>97.621499999999997</v>
      </c>
      <c r="D184" s="156">
        <v>99.905600000000007</v>
      </c>
      <c r="E184" s="153"/>
      <c r="F184" s="157"/>
      <c r="G184" s="158"/>
      <c r="J184" s="8"/>
    </row>
    <row r="185" spans="1:10" x14ac:dyDescent="0.2">
      <c r="A185" s="153"/>
      <c r="B185" s="122" t="s">
        <v>188</v>
      </c>
      <c r="C185" s="156">
        <v>183.18729999999999</v>
      </c>
      <c r="D185" s="156">
        <v>187.40100000000001</v>
      </c>
      <c r="E185" s="153"/>
      <c r="F185" s="157"/>
      <c r="G185" s="158"/>
      <c r="J185" s="8"/>
    </row>
    <row r="186" spans="1:10" x14ac:dyDescent="0.2">
      <c r="A186" s="153"/>
      <c r="B186" s="122" t="s">
        <v>1039</v>
      </c>
      <c r="C186" s="156">
        <v>93.0732</v>
      </c>
      <c r="D186" s="156">
        <v>95.213999999999999</v>
      </c>
      <c r="E186" s="153"/>
      <c r="F186" s="157"/>
      <c r="G186" s="158"/>
      <c r="J186" s="8"/>
    </row>
    <row r="187" spans="1:10" x14ac:dyDescent="0.2">
      <c r="A187" s="153"/>
      <c r="B187" s="153"/>
      <c r="C187" s="153"/>
      <c r="D187" s="153"/>
      <c r="E187" s="153"/>
      <c r="F187" s="153"/>
      <c r="G187" s="153"/>
      <c r="J187" s="8"/>
    </row>
    <row r="188" spans="1:10" x14ac:dyDescent="0.2">
      <c r="A188" s="151"/>
      <c r="B188" s="148" t="s">
        <v>895</v>
      </c>
      <c r="C188" s="149"/>
      <c r="D188" s="150" t="s">
        <v>182</v>
      </c>
      <c r="E188" s="151"/>
      <c r="F188" s="151"/>
      <c r="G188" s="151"/>
      <c r="J188" s="8"/>
    </row>
    <row r="189" spans="1:10" x14ac:dyDescent="0.2">
      <c r="A189" s="151"/>
      <c r="B189" s="201"/>
      <c r="C189" s="201"/>
      <c r="D189" s="201"/>
      <c r="E189" s="151"/>
      <c r="F189" s="151"/>
      <c r="G189" s="151"/>
      <c r="J189" s="8"/>
    </row>
    <row r="190" spans="1:10" x14ac:dyDescent="0.2">
      <c r="A190" s="151"/>
      <c r="B190" s="148" t="s">
        <v>189</v>
      </c>
      <c r="C190" s="149"/>
      <c r="D190" s="150" t="s">
        <v>182</v>
      </c>
      <c r="E190" s="160"/>
      <c r="F190" s="151"/>
      <c r="G190" s="151"/>
      <c r="J190" s="8"/>
    </row>
    <row r="191" spans="1:10" x14ac:dyDescent="0.2">
      <c r="A191" s="151"/>
      <c r="B191" s="148" t="s">
        <v>190</v>
      </c>
      <c r="C191" s="149"/>
      <c r="D191" s="150" t="s">
        <v>182</v>
      </c>
      <c r="E191" s="160"/>
      <c r="F191" s="151"/>
      <c r="G191" s="151"/>
      <c r="J191" s="8"/>
    </row>
    <row r="192" spans="1:10" x14ac:dyDescent="0.2">
      <c r="A192" s="151"/>
      <c r="B192" s="148" t="s">
        <v>191</v>
      </c>
      <c r="C192" s="149"/>
      <c r="D192" s="150" t="s">
        <v>182</v>
      </c>
      <c r="E192" s="160"/>
      <c r="F192" s="151"/>
      <c r="G192" s="151"/>
      <c r="J192" s="8"/>
    </row>
    <row r="193" spans="1:10" x14ac:dyDescent="0.2">
      <c r="A193" s="151"/>
      <c r="B193" s="148" t="s">
        <v>192</v>
      </c>
      <c r="C193" s="149"/>
      <c r="D193" s="161">
        <v>0.45741775567839593</v>
      </c>
      <c r="E193" s="151"/>
      <c r="F193" s="159"/>
      <c r="G193" s="162"/>
      <c r="J193" s="8"/>
    </row>
  </sheetData>
  <mergeCells count="17">
    <mergeCell ref="B179:C179"/>
    <mergeCell ref="B180:C180"/>
    <mergeCell ref="B188:C188"/>
    <mergeCell ref="B192:C192"/>
    <mergeCell ref="B193:C193"/>
    <mergeCell ref="B190:C190"/>
    <mergeCell ref="B191:C191"/>
    <mergeCell ref="B178:C178"/>
    <mergeCell ref="A1:H1"/>
    <mergeCell ref="A2:H2"/>
    <mergeCell ref="A3:H3"/>
    <mergeCell ref="B177:D177"/>
    <mergeCell ref="B171:H171"/>
    <mergeCell ref="B172:H172"/>
    <mergeCell ref="B173:H173"/>
    <mergeCell ref="B174:H174"/>
    <mergeCell ref="B175:H175"/>
  </mergeCells>
  <hyperlinks>
    <hyperlink ref="I1" location="Index!B2" display="Index" xr:uid="{05D3DB63-7FEA-49C4-A0F7-641034B25F4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A380D-5E9D-42D4-BF9B-F400A938853D}">
  <sheetPr>
    <outlinePr summaryBelow="0" summaryRight="0"/>
  </sheetPr>
  <dimension ref="A1:Q168"/>
  <sheetViews>
    <sheetView showGridLines="0" workbookViewId="0">
      <selection sqref="A1:H1"/>
    </sheetView>
  </sheetViews>
  <sheetFormatPr defaultRowHeight="12.75" x14ac:dyDescent="0.2"/>
  <cols>
    <col min="1" max="1" width="6.85546875" style="114" customWidth="1"/>
    <col min="2" max="2" width="20.5703125" style="114" customWidth="1"/>
    <col min="3" max="3" width="35.42578125" style="114" customWidth="1"/>
    <col min="4" max="4" width="17.85546875" style="114" customWidth="1"/>
    <col min="5" max="6" width="19.140625" style="114" customWidth="1"/>
    <col min="7" max="7" width="16.42578125" style="114" customWidth="1"/>
    <col min="8" max="9" width="9.140625" style="114"/>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795</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ht="25.5" x14ac:dyDescent="0.2">
      <c r="A6" s="118"/>
      <c r="B6" s="118"/>
      <c r="C6" s="119" t="s">
        <v>10</v>
      </c>
      <c r="D6" s="118"/>
      <c r="E6" s="118"/>
      <c r="F6" s="118"/>
      <c r="G6" s="118"/>
      <c r="H6" s="120" t="s">
        <v>151</v>
      </c>
      <c r="J6" s="8"/>
    </row>
    <row r="7" spans="1:10" x14ac:dyDescent="0.2">
      <c r="A7" s="121">
        <v>1</v>
      </c>
      <c r="B7" s="122" t="s">
        <v>343</v>
      </c>
      <c r="C7" s="122" t="s">
        <v>344</v>
      </c>
      <c r="D7" s="122" t="s">
        <v>48</v>
      </c>
      <c r="E7" s="123">
        <v>606077</v>
      </c>
      <c r="F7" s="124">
        <v>10497.556678499999</v>
      </c>
      <c r="G7" s="125">
        <v>7.3217589999999999E-2</v>
      </c>
      <c r="H7" s="120" t="s">
        <v>151</v>
      </c>
      <c r="J7" s="8"/>
    </row>
    <row r="8" spans="1:10" x14ac:dyDescent="0.2">
      <c r="A8" s="121">
        <v>2</v>
      </c>
      <c r="B8" s="122" t="s">
        <v>46</v>
      </c>
      <c r="C8" s="122" t="s">
        <v>47</v>
      </c>
      <c r="D8" s="122" t="s">
        <v>48</v>
      </c>
      <c r="E8" s="123">
        <v>737000</v>
      </c>
      <c r="F8" s="124">
        <v>9382.01</v>
      </c>
      <c r="G8" s="125">
        <v>6.5436960000000002E-2</v>
      </c>
      <c r="H8" s="120" t="s">
        <v>151</v>
      </c>
      <c r="J8" s="8"/>
    </row>
    <row r="9" spans="1:10" x14ac:dyDescent="0.2">
      <c r="A9" s="121">
        <v>3</v>
      </c>
      <c r="B9" s="122" t="s">
        <v>20</v>
      </c>
      <c r="C9" s="122" t="s">
        <v>21</v>
      </c>
      <c r="D9" s="122" t="s">
        <v>22</v>
      </c>
      <c r="E9" s="123">
        <v>239000</v>
      </c>
      <c r="F9" s="124">
        <v>7058.0285000000003</v>
      </c>
      <c r="G9" s="125">
        <v>4.9227819999999999E-2</v>
      </c>
      <c r="H9" s="120" t="s">
        <v>151</v>
      </c>
      <c r="J9" s="8"/>
    </row>
    <row r="10" spans="1:10" x14ac:dyDescent="0.2">
      <c r="A10" s="121">
        <v>4</v>
      </c>
      <c r="B10" s="122" t="s">
        <v>347</v>
      </c>
      <c r="C10" s="122" t="s">
        <v>348</v>
      </c>
      <c r="D10" s="122" t="s">
        <v>216</v>
      </c>
      <c r="E10" s="123">
        <v>306000</v>
      </c>
      <c r="F10" s="124">
        <v>5739.3360000000002</v>
      </c>
      <c r="G10" s="125">
        <v>4.0030299999999998E-2</v>
      </c>
      <c r="H10" s="120" t="s">
        <v>151</v>
      </c>
      <c r="J10" s="8"/>
    </row>
    <row r="11" spans="1:10" ht="25.5" x14ac:dyDescent="0.2">
      <c r="A11" s="121">
        <v>5</v>
      </c>
      <c r="B11" s="122" t="s">
        <v>353</v>
      </c>
      <c r="C11" s="122" t="s">
        <v>354</v>
      </c>
      <c r="D11" s="122" t="s">
        <v>205</v>
      </c>
      <c r="E11" s="123">
        <v>200000</v>
      </c>
      <c r="F11" s="124">
        <v>3853.4</v>
      </c>
      <c r="G11" s="125">
        <v>2.687641E-2</v>
      </c>
      <c r="H11" s="120" t="s">
        <v>151</v>
      </c>
      <c r="J11" s="8"/>
    </row>
    <row r="12" spans="1:10" ht="15" x14ac:dyDescent="0.2">
      <c r="A12" s="121">
        <v>6</v>
      </c>
      <c r="B12" s="122" t="s">
        <v>349</v>
      </c>
      <c r="C12" s="122" t="s">
        <v>350</v>
      </c>
      <c r="D12" s="122" t="s">
        <v>48</v>
      </c>
      <c r="E12" s="123">
        <v>311000</v>
      </c>
      <c r="F12" s="124">
        <v>3832.1419999999998</v>
      </c>
      <c r="G12" s="125">
        <v>2.6728149999999999E-2</v>
      </c>
      <c r="H12" s="120" t="s">
        <v>151</v>
      </c>
      <c r="J12" s="11"/>
    </row>
    <row r="13" spans="1:10" x14ac:dyDescent="0.2">
      <c r="A13" s="121">
        <v>7</v>
      </c>
      <c r="B13" s="122" t="s">
        <v>473</v>
      </c>
      <c r="C13" s="200" t="s">
        <v>897</v>
      </c>
      <c r="D13" s="122" t="s">
        <v>16</v>
      </c>
      <c r="E13" s="123">
        <v>283000</v>
      </c>
      <c r="F13" s="124">
        <v>3699.942</v>
      </c>
      <c r="G13" s="125">
        <v>2.580609E-2</v>
      </c>
      <c r="H13" s="120" t="s">
        <v>151</v>
      </c>
      <c r="J13" s="8"/>
    </row>
    <row r="14" spans="1:10" x14ac:dyDescent="0.2">
      <c r="A14" s="121">
        <v>8</v>
      </c>
      <c r="B14" s="122" t="s">
        <v>11</v>
      </c>
      <c r="C14" s="122" t="s">
        <v>12</v>
      </c>
      <c r="D14" s="122" t="s">
        <v>13</v>
      </c>
      <c r="E14" s="123">
        <v>96021</v>
      </c>
      <c r="F14" s="124">
        <v>3529.2998655000001</v>
      </c>
      <c r="G14" s="125">
        <v>2.46159E-2</v>
      </c>
      <c r="H14" s="120" t="s">
        <v>151</v>
      </c>
      <c r="J14" s="8"/>
    </row>
    <row r="15" spans="1:10" x14ac:dyDescent="0.2">
      <c r="A15" s="121">
        <v>9</v>
      </c>
      <c r="B15" s="122" t="s">
        <v>63</v>
      </c>
      <c r="C15" s="122" t="s">
        <v>64</v>
      </c>
      <c r="D15" s="122" t="s">
        <v>48</v>
      </c>
      <c r="E15" s="123">
        <v>444000</v>
      </c>
      <c r="F15" s="124">
        <v>3498.2759999999998</v>
      </c>
      <c r="G15" s="125">
        <v>2.4399520000000001E-2</v>
      </c>
      <c r="H15" s="120" t="s">
        <v>151</v>
      </c>
      <c r="J15" s="8"/>
    </row>
    <row r="16" spans="1:10" ht="15" x14ac:dyDescent="0.2">
      <c r="A16" s="121">
        <v>10</v>
      </c>
      <c r="B16" s="122" t="s">
        <v>83</v>
      </c>
      <c r="C16" s="122" t="s">
        <v>84</v>
      </c>
      <c r="D16" s="122" t="s">
        <v>85</v>
      </c>
      <c r="E16" s="123">
        <v>63000</v>
      </c>
      <c r="F16" s="124">
        <v>3016.0934999999999</v>
      </c>
      <c r="G16" s="125">
        <v>2.1036429999999998E-2</v>
      </c>
      <c r="H16" s="120" t="s">
        <v>151</v>
      </c>
      <c r="J16" s="11" t="s">
        <v>992</v>
      </c>
    </row>
    <row r="17" spans="1:10" x14ac:dyDescent="0.2">
      <c r="A17" s="121">
        <v>11</v>
      </c>
      <c r="B17" s="122" t="s">
        <v>366</v>
      </c>
      <c r="C17" s="122" t="s">
        <v>367</v>
      </c>
      <c r="D17" s="122" t="s">
        <v>368</v>
      </c>
      <c r="E17" s="123">
        <v>579000</v>
      </c>
      <c r="F17" s="124">
        <v>3000.0884999999998</v>
      </c>
      <c r="G17" s="125">
        <v>2.09248E-2</v>
      </c>
      <c r="H17" s="120" t="s">
        <v>151</v>
      </c>
      <c r="J17" s="8"/>
    </row>
    <row r="18" spans="1:10" x14ac:dyDescent="0.2">
      <c r="A18" s="121">
        <v>12</v>
      </c>
      <c r="B18" s="122" t="s">
        <v>706</v>
      </c>
      <c r="C18" s="122" t="s">
        <v>707</v>
      </c>
      <c r="D18" s="122" t="s">
        <v>270</v>
      </c>
      <c r="E18" s="123">
        <v>39000</v>
      </c>
      <c r="F18" s="124">
        <v>2917.8629999999998</v>
      </c>
      <c r="G18" s="125">
        <v>2.0351299999999999E-2</v>
      </c>
      <c r="H18" s="120" t="s">
        <v>151</v>
      </c>
      <c r="J18" s="8"/>
    </row>
    <row r="19" spans="1:10" x14ac:dyDescent="0.2">
      <c r="A19" s="121">
        <v>13</v>
      </c>
      <c r="B19" s="122" t="s">
        <v>355</v>
      </c>
      <c r="C19" s="122" t="s">
        <v>356</v>
      </c>
      <c r="D19" s="122" t="s">
        <v>216</v>
      </c>
      <c r="E19" s="123">
        <v>61324</v>
      </c>
      <c r="F19" s="124">
        <v>2617.6149399999999</v>
      </c>
      <c r="G19" s="125">
        <v>1.825715E-2</v>
      </c>
      <c r="H19" s="120" t="s">
        <v>151</v>
      </c>
      <c r="J19" s="8"/>
    </row>
    <row r="20" spans="1:10" x14ac:dyDescent="0.2">
      <c r="A20" s="121">
        <v>14</v>
      </c>
      <c r="B20" s="122" t="s">
        <v>663</v>
      </c>
      <c r="C20" s="122" t="s">
        <v>664</v>
      </c>
      <c r="D20" s="122" t="s">
        <v>121</v>
      </c>
      <c r="E20" s="123">
        <v>32000</v>
      </c>
      <c r="F20" s="124">
        <v>2464.96</v>
      </c>
      <c r="G20" s="125">
        <v>1.719242E-2</v>
      </c>
      <c r="H20" s="120" t="s">
        <v>151</v>
      </c>
      <c r="J20" s="8"/>
    </row>
    <row r="21" spans="1:10" x14ac:dyDescent="0.2">
      <c r="A21" s="121">
        <v>15</v>
      </c>
      <c r="B21" s="122" t="s">
        <v>704</v>
      </c>
      <c r="C21" s="122" t="s">
        <v>705</v>
      </c>
      <c r="D21" s="122" t="s">
        <v>241</v>
      </c>
      <c r="E21" s="123">
        <v>33000</v>
      </c>
      <c r="F21" s="124">
        <v>2388.4409999999998</v>
      </c>
      <c r="G21" s="125">
        <v>1.6658719999999998E-2</v>
      </c>
      <c r="H21" s="120" t="s">
        <v>151</v>
      </c>
      <c r="J21" s="8"/>
    </row>
    <row r="22" spans="1:10" x14ac:dyDescent="0.2">
      <c r="A22" s="121">
        <v>16</v>
      </c>
      <c r="B22" s="122" t="s">
        <v>551</v>
      </c>
      <c r="C22" s="122" t="s">
        <v>552</v>
      </c>
      <c r="D22" s="122" t="s">
        <v>216</v>
      </c>
      <c r="E22" s="123">
        <v>148000</v>
      </c>
      <c r="F22" s="124">
        <v>2334.2559999999999</v>
      </c>
      <c r="G22" s="125">
        <v>1.6280800000000002E-2</v>
      </c>
      <c r="H22" s="120" t="s">
        <v>151</v>
      </c>
      <c r="J22" s="8"/>
    </row>
    <row r="23" spans="1:10" x14ac:dyDescent="0.2">
      <c r="A23" s="121">
        <v>17</v>
      </c>
      <c r="B23" s="122" t="s">
        <v>689</v>
      </c>
      <c r="C23" s="122" t="s">
        <v>690</v>
      </c>
      <c r="D23" s="122" t="s">
        <v>35</v>
      </c>
      <c r="E23" s="123">
        <v>111749</v>
      </c>
      <c r="F23" s="124">
        <v>2306.1641129999998</v>
      </c>
      <c r="G23" s="125">
        <v>1.6084870000000001E-2</v>
      </c>
      <c r="H23" s="120" t="s">
        <v>151</v>
      </c>
      <c r="J23" s="8"/>
    </row>
    <row r="24" spans="1:10" ht="25.5" x14ac:dyDescent="0.2">
      <c r="A24" s="121">
        <v>18</v>
      </c>
      <c r="B24" s="122" t="s">
        <v>275</v>
      </c>
      <c r="C24" s="122" t="s">
        <v>276</v>
      </c>
      <c r="D24" s="122" t="s">
        <v>121</v>
      </c>
      <c r="E24" s="123">
        <v>142000</v>
      </c>
      <c r="F24" s="124">
        <v>2283.36</v>
      </c>
      <c r="G24" s="125">
        <v>1.5925809999999999E-2</v>
      </c>
      <c r="H24" s="120" t="s">
        <v>151</v>
      </c>
      <c r="J24" s="8"/>
    </row>
    <row r="25" spans="1:10" x14ac:dyDescent="0.2">
      <c r="A25" s="121">
        <v>19</v>
      </c>
      <c r="B25" s="122" t="s">
        <v>463</v>
      </c>
      <c r="C25" s="122" t="s">
        <v>464</v>
      </c>
      <c r="D25" s="122" t="s">
        <v>48</v>
      </c>
      <c r="E25" s="123">
        <v>906000</v>
      </c>
      <c r="F25" s="124">
        <v>2245.0680000000002</v>
      </c>
      <c r="G25" s="125">
        <v>1.5658740000000001E-2</v>
      </c>
      <c r="H25" s="120" t="s">
        <v>151</v>
      </c>
      <c r="J25" s="8"/>
    </row>
    <row r="26" spans="1:10" ht="25.5" x14ac:dyDescent="0.2">
      <c r="A26" s="121">
        <v>20</v>
      </c>
      <c r="B26" s="122" t="s">
        <v>23</v>
      </c>
      <c r="C26" s="122" t="s">
        <v>24</v>
      </c>
      <c r="D26" s="122" t="s">
        <v>25</v>
      </c>
      <c r="E26" s="123">
        <v>19000</v>
      </c>
      <c r="F26" s="124">
        <v>2242.38</v>
      </c>
      <c r="G26" s="125">
        <v>1.5639989999999999E-2</v>
      </c>
      <c r="H26" s="120" t="s">
        <v>151</v>
      </c>
      <c r="J26" s="8"/>
    </row>
    <row r="27" spans="1:10" x14ac:dyDescent="0.2">
      <c r="A27" s="121">
        <v>21</v>
      </c>
      <c r="B27" s="122" t="s">
        <v>236</v>
      </c>
      <c r="C27" s="122" t="s">
        <v>237</v>
      </c>
      <c r="D27" s="122" t="s">
        <v>238</v>
      </c>
      <c r="E27" s="123">
        <v>317000</v>
      </c>
      <c r="F27" s="124">
        <v>2161.623</v>
      </c>
      <c r="G27" s="125">
        <v>1.507673E-2</v>
      </c>
      <c r="H27" s="120" t="s">
        <v>151</v>
      </c>
      <c r="J27" s="8"/>
    </row>
    <row r="28" spans="1:10" x14ac:dyDescent="0.2">
      <c r="A28" s="121">
        <v>22</v>
      </c>
      <c r="B28" s="122" t="s">
        <v>378</v>
      </c>
      <c r="C28" s="122" t="s">
        <v>379</v>
      </c>
      <c r="D28" s="122" t="s">
        <v>368</v>
      </c>
      <c r="E28" s="123">
        <v>73000</v>
      </c>
      <c r="F28" s="124">
        <v>2159.5590000000002</v>
      </c>
      <c r="G28" s="125">
        <v>1.506234E-2</v>
      </c>
      <c r="H28" s="120" t="s">
        <v>151</v>
      </c>
      <c r="J28" s="8"/>
    </row>
    <row r="29" spans="1:10" x14ac:dyDescent="0.2">
      <c r="A29" s="121">
        <v>23</v>
      </c>
      <c r="B29" s="122" t="s">
        <v>364</v>
      </c>
      <c r="C29" s="122" t="s">
        <v>365</v>
      </c>
      <c r="D29" s="122" t="s">
        <v>270</v>
      </c>
      <c r="E29" s="123">
        <v>219000</v>
      </c>
      <c r="F29" s="124">
        <v>2134.4834999999998</v>
      </c>
      <c r="G29" s="125">
        <v>1.488744E-2</v>
      </c>
      <c r="H29" s="120" t="s">
        <v>151</v>
      </c>
      <c r="J29" s="8" t="s">
        <v>1023</v>
      </c>
    </row>
    <row r="30" spans="1:10" x14ac:dyDescent="0.2">
      <c r="A30" s="121">
        <v>24</v>
      </c>
      <c r="B30" s="122" t="s">
        <v>547</v>
      </c>
      <c r="C30" s="122" t="s">
        <v>548</v>
      </c>
      <c r="D30" s="122" t="s">
        <v>270</v>
      </c>
      <c r="E30" s="123">
        <v>15000</v>
      </c>
      <c r="F30" s="124">
        <v>1985.7</v>
      </c>
      <c r="G30" s="125">
        <v>1.3849719999999999E-2</v>
      </c>
      <c r="H30" s="120" t="s">
        <v>151</v>
      </c>
      <c r="J30" s="8"/>
    </row>
    <row r="31" spans="1:10" x14ac:dyDescent="0.2">
      <c r="A31" s="121">
        <v>25</v>
      </c>
      <c r="B31" s="122" t="s">
        <v>259</v>
      </c>
      <c r="C31" s="122" t="s">
        <v>260</v>
      </c>
      <c r="D31" s="122" t="s">
        <v>261</v>
      </c>
      <c r="E31" s="123">
        <v>85000</v>
      </c>
      <c r="F31" s="124">
        <v>1849.1324999999999</v>
      </c>
      <c r="G31" s="125">
        <v>1.2897199999999999E-2</v>
      </c>
      <c r="H31" s="120" t="s">
        <v>151</v>
      </c>
      <c r="J31" s="8"/>
    </row>
    <row r="32" spans="1:10" x14ac:dyDescent="0.2">
      <c r="A32" s="121">
        <v>26</v>
      </c>
      <c r="B32" s="122" t="s">
        <v>498</v>
      </c>
      <c r="C32" s="122" t="s">
        <v>499</v>
      </c>
      <c r="D32" s="122" t="s">
        <v>121</v>
      </c>
      <c r="E32" s="123">
        <v>187941</v>
      </c>
      <c r="F32" s="124">
        <v>1847.3660594999999</v>
      </c>
      <c r="G32" s="125">
        <v>1.288487E-2</v>
      </c>
      <c r="H32" s="120" t="s">
        <v>151</v>
      </c>
      <c r="J32" s="8"/>
    </row>
    <row r="33" spans="1:10" x14ac:dyDescent="0.2">
      <c r="A33" s="121">
        <v>27</v>
      </c>
      <c r="B33" s="122" t="s">
        <v>14</v>
      </c>
      <c r="C33" s="122" t="s">
        <v>15</v>
      </c>
      <c r="D33" s="122" t="s">
        <v>16</v>
      </c>
      <c r="E33" s="123">
        <v>105000</v>
      </c>
      <c r="F33" s="124">
        <v>1795.0274999999999</v>
      </c>
      <c r="G33" s="125">
        <v>1.2519829999999999E-2</v>
      </c>
      <c r="H33" s="120" t="s">
        <v>151</v>
      </c>
      <c r="J33" s="8"/>
    </row>
    <row r="34" spans="1:10" x14ac:dyDescent="0.2">
      <c r="A34" s="121">
        <v>28</v>
      </c>
      <c r="B34" s="122" t="s">
        <v>242</v>
      </c>
      <c r="C34" s="122" t="s">
        <v>243</v>
      </c>
      <c r="D34" s="122" t="s">
        <v>200</v>
      </c>
      <c r="E34" s="123">
        <v>22000</v>
      </c>
      <c r="F34" s="124">
        <v>1782.154</v>
      </c>
      <c r="G34" s="125">
        <v>1.243004E-2</v>
      </c>
      <c r="H34" s="120" t="s">
        <v>151</v>
      </c>
      <c r="J34" s="8"/>
    </row>
    <row r="35" spans="1:10" x14ac:dyDescent="0.2">
      <c r="A35" s="121">
        <v>29</v>
      </c>
      <c r="B35" s="122" t="s">
        <v>345</v>
      </c>
      <c r="C35" s="122" t="s">
        <v>346</v>
      </c>
      <c r="D35" s="122" t="s">
        <v>200</v>
      </c>
      <c r="E35" s="123">
        <v>619890</v>
      </c>
      <c r="F35" s="124">
        <v>1694.1593700000001</v>
      </c>
      <c r="G35" s="125">
        <v>1.18163E-2</v>
      </c>
      <c r="H35" s="120" t="s">
        <v>151</v>
      </c>
      <c r="J35" s="8"/>
    </row>
    <row r="36" spans="1:10" x14ac:dyDescent="0.2">
      <c r="A36" s="121">
        <v>30</v>
      </c>
      <c r="B36" s="122" t="s">
        <v>130</v>
      </c>
      <c r="C36" s="122" t="s">
        <v>131</v>
      </c>
      <c r="D36" s="122" t="s">
        <v>55</v>
      </c>
      <c r="E36" s="123">
        <v>21000</v>
      </c>
      <c r="F36" s="124">
        <v>1691.55</v>
      </c>
      <c r="G36" s="125">
        <v>1.1798100000000001E-2</v>
      </c>
      <c r="H36" s="120" t="s">
        <v>151</v>
      </c>
      <c r="J36" s="8"/>
    </row>
    <row r="37" spans="1:10" x14ac:dyDescent="0.2">
      <c r="A37" s="121">
        <v>31</v>
      </c>
      <c r="B37" s="122" t="s">
        <v>124</v>
      </c>
      <c r="C37" s="122" t="s">
        <v>125</v>
      </c>
      <c r="D37" s="122" t="s">
        <v>85</v>
      </c>
      <c r="E37" s="123">
        <v>398000</v>
      </c>
      <c r="F37" s="124">
        <v>1691.5</v>
      </c>
      <c r="G37" s="125">
        <v>1.1797749999999999E-2</v>
      </c>
      <c r="H37" s="120" t="s">
        <v>151</v>
      </c>
      <c r="J37" s="8"/>
    </row>
    <row r="38" spans="1:10" ht="25.5" x14ac:dyDescent="0.2">
      <c r="A38" s="121">
        <v>32</v>
      </c>
      <c r="B38" s="122" t="s">
        <v>465</v>
      </c>
      <c r="C38" s="122" t="s">
        <v>466</v>
      </c>
      <c r="D38" s="122" t="s">
        <v>205</v>
      </c>
      <c r="E38" s="123">
        <v>102000</v>
      </c>
      <c r="F38" s="124">
        <v>1687.182</v>
      </c>
      <c r="G38" s="125">
        <v>1.1767629999999999E-2</v>
      </c>
      <c r="H38" s="120" t="s">
        <v>151</v>
      </c>
      <c r="J38" s="8"/>
    </row>
    <row r="39" spans="1:10" ht="25.5" x14ac:dyDescent="0.2">
      <c r="A39" s="121">
        <v>33</v>
      </c>
      <c r="B39" s="122" t="s">
        <v>304</v>
      </c>
      <c r="C39" s="122" t="s">
        <v>305</v>
      </c>
      <c r="D39" s="122" t="s">
        <v>205</v>
      </c>
      <c r="E39" s="123">
        <v>363480</v>
      </c>
      <c r="F39" s="124">
        <v>1685.09328</v>
      </c>
      <c r="G39" s="125">
        <v>1.1753069999999999E-2</v>
      </c>
      <c r="H39" s="120" t="s">
        <v>151</v>
      </c>
      <c r="J39" s="8"/>
    </row>
    <row r="40" spans="1:10" x14ac:dyDescent="0.2">
      <c r="A40" s="121">
        <v>34</v>
      </c>
      <c r="B40" s="122" t="s">
        <v>41</v>
      </c>
      <c r="C40" s="122" t="s">
        <v>42</v>
      </c>
      <c r="D40" s="122" t="s">
        <v>16</v>
      </c>
      <c r="E40" s="123">
        <v>109000</v>
      </c>
      <c r="F40" s="124">
        <v>1573.415</v>
      </c>
      <c r="G40" s="125">
        <v>1.097414E-2</v>
      </c>
      <c r="H40" s="120" t="s">
        <v>151</v>
      </c>
      <c r="J40" s="8"/>
    </row>
    <row r="41" spans="1:10" x14ac:dyDescent="0.2">
      <c r="A41" s="121">
        <v>35</v>
      </c>
      <c r="B41" s="122" t="s">
        <v>351</v>
      </c>
      <c r="C41" s="122" t="s">
        <v>352</v>
      </c>
      <c r="D41" s="122" t="s">
        <v>48</v>
      </c>
      <c r="E41" s="123">
        <v>83000</v>
      </c>
      <c r="F41" s="124">
        <v>1538.7784999999999</v>
      </c>
      <c r="G41" s="125">
        <v>1.073256E-2</v>
      </c>
      <c r="H41" s="120" t="s">
        <v>151</v>
      </c>
      <c r="J41" s="8"/>
    </row>
    <row r="42" spans="1:10" x14ac:dyDescent="0.2">
      <c r="A42" s="121">
        <v>36</v>
      </c>
      <c r="B42" s="122" t="s">
        <v>388</v>
      </c>
      <c r="C42" s="122" t="s">
        <v>389</v>
      </c>
      <c r="D42" s="122" t="s">
        <v>35</v>
      </c>
      <c r="E42" s="123">
        <v>40000</v>
      </c>
      <c r="F42" s="124">
        <v>1529.58</v>
      </c>
      <c r="G42" s="125">
        <v>1.06684E-2</v>
      </c>
      <c r="H42" s="120" t="s">
        <v>151</v>
      </c>
      <c r="J42" s="8"/>
    </row>
    <row r="43" spans="1:10" x14ac:dyDescent="0.2">
      <c r="A43" s="121">
        <v>37</v>
      </c>
      <c r="B43" s="122" t="s">
        <v>362</v>
      </c>
      <c r="C43" s="122" t="s">
        <v>363</v>
      </c>
      <c r="D43" s="122" t="s">
        <v>241</v>
      </c>
      <c r="E43" s="123">
        <v>27000</v>
      </c>
      <c r="F43" s="124">
        <v>1528.2809999999999</v>
      </c>
      <c r="G43" s="125">
        <v>1.065934E-2</v>
      </c>
      <c r="H43" s="120" t="s">
        <v>151</v>
      </c>
      <c r="J43" s="8"/>
    </row>
    <row r="44" spans="1:10" ht="25.5" x14ac:dyDescent="0.2">
      <c r="A44" s="121">
        <v>38</v>
      </c>
      <c r="B44" s="122" t="s">
        <v>380</v>
      </c>
      <c r="C44" s="122" t="s">
        <v>381</v>
      </c>
      <c r="D44" s="122" t="s">
        <v>205</v>
      </c>
      <c r="E44" s="123">
        <v>104000</v>
      </c>
      <c r="F44" s="124">
        <v>1519.1279999999999</v>
      </c>
      <c r="G44" s="125">
        <v>1.0595500000000001E-2</v>
      </c>
      <c r="H44" s="120" t="s">
        <v>151</v>
      </c>
      <c r="J44" s="8"/>
    </row>
    <row r="45" spans="1:10" x14ac:dyDescent="0.2">
      <c r="A45" s="121">
        <v>39</v>
      </c>
      <c r="B45" s="122" t="s">
        <v>201</v>
      </c>
      <c r="C45" s="122" t="s">
        <v>202</v>
      </c>
      <c r="D45" s="122" t="s">
        <v>48</v>
      </c>
      <c r="E45" s="123">
        <v>722000</v>
      </c>
      <c r="F45" s="124">
        <v>1420.3905999999999</v>
      </c>
      <c r="G45" s="125">
        <v>9.9068400000000001E-3</v>
      </c>
      <c r="H45" s="120" t="s">
        <v>151</v>
      </c>
      <c r="J45" s="8"/>
    </row>
    <row r="46" spans="1:10" x14ac:dyDescent="0.2">
      <c r="A46" s="121">
        <v>40</v>
      </c>
      <c r="B46" s="122" t="s">
        <v>293</v>
      </c>
      <c r="C46" s="122" t="s">
        <v>294</v>
      </c>
      <c r="D46" s="122" t="s">
        <v>295</v>
      </c>
      <c r="E46" s="123">
        <v>117000</v>
      </c>
      <c r="F46" s="124">
        <v>1393.47</v>
      </c>
      <c r="G46" s="125">
        <v>9.7190699999999998E-3</v>
      </c>
      <c r="H46" s="120" t="s">
        <v>151</v>
      </c>
      <c r="J46" s="8"/>
    </row>
    <row r="47" spans="1:10" ht="25.5" x14ac:dyDescent="0.2">
      <c r="A47" s="121">
        <v>41</v>
      </c>
      <c r="B47" s="122" t="s">
        <v>708</v>
      </c>
      <c r="C47" s="122" t="s">
        <v>709</v>
      </c>
      <c r="D47" s="122" t="s">
        <v>205</v>
      </c>
      <c r="E47" s="123">
        <v>53410</v>
      </c>
      <c r="F47" s="124">
        <v>1346.3058699999999</v>
      </c>
      <c r="G47" s="125">
        <v>9.3901200000000001E-3</v>
      </c>
      <c r="H47" s="120" t="s">
        <v>151</v>
      </c>
      <c r="J47" s="8"/>
    </row>
    <row r="48" spans="1:10" x14ac:dyDescent="0.2">
      <c r="A48" s="121">
        <v>42</v>
      </c>
      <c r="B48" s="122" t="s">
        <v>697</v>
      </c>
      <c r="C48" s="122" t="s">
        <v>698</v>
      </c>
      <c r="D48" s="122" t="s">
        <v>58</v>
      </c>
      <c r="E48" s="123">
        <v>225000</v>
      </c>
      <c r="F48" s="124">
        <v>1306.4625000000001</v>
      </c>
      <c r="G48" s="125">
        <v>9.1122200000000007E-3</v>
      </c>
      <c r="H48" s="120" t="s">
        <v>151</v>
      </c>
      <c r="J48" s="8"/>
    </row>
    <row r="49" spans="1:10" x14ac:dyDescent="0.2">
      <c r="A49" s="121">
        <v>43</v>
      </c>
      <c r="B49" s="122" t="s">
        <v>727</v>
      </c>
      <c r="C49" s="122" t="s">
        <v>728</v>
      </c>
      <c r="D49" s="122" t="s">
        <v>200</v>
      </c>
      <c r="E49" s="123">
        <v>25000</v>
      </c>
      <c r="F49" s="124">
        <v>1274.075</v>
      </c>
      <c r="G49" s="125">
        <v>8.8863299999999996E-3</v>
      </c>
      <c r="H49" s="120" t="s">
        <v>151</v>
      </c>
      <c r="J49" s="8"/>
    </row>
    <row r="50" spans="1:10" x14ac:dyDescent="0.2">
      <c r="A50" s="121">
        <v>44</v>
      </c>
      <c r="B50" s="122" t="s">
        <v>75</v>
      </c>
      <c r="C50" s="122" t="s">
        <v>76</v>
      </c>
      <c r="D50" s="122" t="s">
        <v>32</v>
      </c>
      <c r="E50" s="123">
        <v>100000</v>
      </c>
      <c r="F50" s="124">
        <v>1229.3</v>
      </c>
      <c r="G50" s="125">
        <v>8.5740299999999998E-3</v>
      </c>
      <c r="H50" s="120" t="s">
        <v>151</v>
      </c>
      <c r="J50" s="8"/>
    </row>
    <row r="51" spans="1:10" ht="25.5" x14ac:dyDescent="0.2">
      <c r="A51" s="121">
        <v>45</v>
      </c>
      <c r="B51" s="122" t="s">
        <v>753</v>
      </c>
      <c r="C51" s="122" t="s">
        <v>754</v>
      </c>
      <c r="D51" s="122" t="s">
        <v>258</v>
      </c>
      <c r="E51" s="123">
        <v>36000</v>
      </c>
      <c r="F51" s="124">
        <v>1209.384</v>
      </c>
      <c r="G51" s="125">
        <v>8.4351200000000008E-3</v>
      </c>
      <c r="H51" s="120" t="s">
        <v>151</v>
      </c>
      <c r="J51" s="8"/>
    </row>
    <row r="52" spans="1:10" ht="25.5" x14ac:dyDescent="0.2">
      <c r="A52" s="121">
        <v>46</v>
      </c>
      <c r="B52" s="122" t="s">
        <v>796</v>
      </c>
      <c r="C52" s="122" t="s">
        <v>797</v>
      </c>
      <c r="D52" s="122" t="s">
        <v>205</v>
      </c>
      <c r="E52" s="123">
        <v>79880</v>
      </c>
      <c r="F52" s="124">
        <v>1196.68228</v>
      </c>
      <c r="G52" s="125">
        <v>8.3465299999999996E-3</v>
      </c>
      <c r="H52" s="120" t="s">
        <v>151</v>
      </c>
      <c r="J52" s="8"/>
    </row>
    <row r="53" spans="1:10" x14ac:dyDescent="0.2">
      <c r="A53" s="121">
        <v>47</v>
      </c>
      <c r="B53" s="122" t="s">
        <v>384</v>
      </c>
      <c r="C53" s="122" t="s">
        <v>385</v>
      </c>
      <c r="D53" s="122" t="s">
        <v>134</v>
      </c>
      <c r="E53" s="123">
        <v>690000</v>
      </c>
      <c r="F53" s="124">
        <v>1162.9949999999999</v>
      </c>
      <c r="G53" s="125">
        <v>8.1115700000000002E-3</v>
      </c>
      <c r="H53" s="120" t="s">
        <v>151</v>
      </c>
      <c r="J53" s="8"/>
    </row>
    <row r="54" spans="1:10" ht="25.5" x14ac:dyDescent="0.2">
      <c r="A54" s="121">
        <v>48</v>
      </c>
      <c r="B54" s="122" t="s">
        <v>467</v>
      </c>
      <c r="C54" s="122" t="s">
        <v>468</v>
      </c>
      <c r="D54" s="122" t="s">
        <v>290</v>
      </c>
      <c r="E54" s="123">
        <v>96522</v>
      </c>
      <c r="F54" s="124">
        <v>1155.3200790000001</v>
      </c>
      <c r="G54" s="125">
        <v>8.0580400000000007E-3</v>
      </c>
      <c r="H54" s="120" t="s">
        <v>151</v>
      </c>
      <c r="J54" s="8"/>
    </row>
    <row r="55" spans="1:10" ht="51" x14ac:dyDescent="0.2">
      <c r="A55" s="121">
        <v>49</v>
      </c>
      <c r="B55" s="122" t="s">
        <v>798</v>
      </c>
      <c r="C55" s="122" t="s">
        <v>799</v>
      </c>
      <c r="D55" s="122" t="s">
        <v>392</v>
      </c>
      <c r="E55" s="123">
        <v>29000</v>
      </c>
      <c r="F55" s="124">
        <v>1069.5925</v>
      </c>
      <c r="G55" s="125">
        <v>7.4601199999999998E-3</v>
      </c>
      <c r="H55" s="120" t="s">
        <v>151</v>
      </c>
      <c r="J55" s="8"/>
    </row>
    <row r="56" spans="1:10" x14ac:dyDescent="0.2">
      <c r="A56" s="121">
        <v>50</v>
      </c>
      <c r="B56" s="122" t="s">
        <v>53</v>
      </c>
      <c r="C56" s="122" t="s">
        <v>54</v>
      </c>
      <c r="D56" s="122" t="s">
        <v>55</v>
      </c>
      <c r="E56" s="123">
        <v>60000</v>
      </c>
      <c r="F56" s="124">
        <v>1008.6</v>
      </c>
      <c r="G56" s="125">
        <v>7.0347099999999996E-3</v>
      </c>
      <c r="H56" s="120" t="s">
        <v>151</v>
      </c>
      <c r="J56" s="8"/>
    </row>
    <row r="57" spans="1:10" x14ac:dyDescent="0.2">
      <c r="A57" s="121">
        <v>51</v>
      </c>
      <c r="B57" s="122" t="s">
        <v>65</v>
      </c>
      <c r="C57" s="122" t="s">
        <v>66</v>
      </c>
      <c r="D57" s="122" t="s">
        <v>67</v>
      </c>
      <c r="E57" s="123">
        <v>414000</v>
      </c>
      <c r="F57" s="124">
        <v>994.80060000000003</v>
      </c>
      <c r="G57" s="125">
        <v>6.9384599999999996E-3</v>
      </c>
      <c r="H57" s="120" t="s">
        <v>151</v>
      </c>
      <c r="J57" s="8"/>
    </row>
    <row r="58" spans="1:10" x14ac:dyDescent="0.2">
      <c r="A58" s="121">
        <v>52</v>
      </c>
      <c r="B58" s="122" t="s">
        <v>332</v>
      </c>
      <c r="C58" s="122" t="s">
        <v>333</v>
      </c>
      <c r="D58" s="122" t="s">
        <v>35</v>
      </c>
      <c r="E58" s="123">
        <v>66000</v>
      </c>
      <c r="F58" s="124">
        <v>967.49400000000003</v>
      </c>
      <c r="G58" s="125">
        <v>6.7480099999999996E-3</v>
      </c>
      <c r="H58" s="120" t="s">
        <v>151</v>
      </c>
      <c r="J58" s="8"/>
    </row>
    <row r="59" spans="1:10" x14ac:dyDescent="0.2">
      <c r="A59" s="121">
        <v>53</v>
      </c>
      <c r="B59" s="122" t="s">
        <v>105</v>
      </c>
      <c r="C59" s="122" t="s">
        <v>106</v>
      </c>
      <c r="D59" s="122" t="s">
        <v>32</v>
      </c>
      <c r="E59" s="123">
        <v>25000</v>
      </c>
      <c r="F59" s="124">
        <v>951.51250000000005</v>
      </c>
      <c r="G59" s="125">
        <v>6.6365399999999998E-3</v>
      </c>
      <c r="H59" s="120" t="s">
        <v>151</v>
      </c>
      <c r="J59" s="8"/>
    </row>
    <row r="60" spans="1:10" x14ac:dyDescent="0.2">
      <c r="A60" s="121">
        <v>54</v>
      </c>
      <c r="B60" s="122" t="s">
        <v>800</v>
      </c>
      <c r="C60" s="122" t="s">
        <v>801</v>
      </c>
      <c r="D60" s="122" t="s">
        <v>35</v>
      </c>
      <c r="E60" s="123">
        <v>65000</v>
      </c>
      <c r="F60" s="124">
        <v>935.80499999999995</v>
      </c>
      <c r="G60" s="125">
        <v>6.5269899999999999E-3</v>
      </c>
      <c r="H60" s="120" t="s">
        <v>151</v>
      </c>
      <c r="J60" s="8"/>
    </row>
    <row r="61" spans="1:10" x14ac:dyDescent="0.2">
      <c r="A61" s="121">
        <v>55</v>
      </c>
      <c r="B61" s="122" t="s">
        <v>382</v>
      </c>
      <c r="C61" s="122" t="s">
        <v>383</v>
      </c>
      <c r="D61" s="122" t="s">
        <v>38</v>
      </c>
      <c r="E61" s="123">
        <v>20800</v>
      </c>
      <c r="F61" s="124">
        <v>919.49519999999995</v>
      </c>
      <c r="G61" s="125">
        <v>6.4132299999999998E-3</v>
      </c>
      <c r="H61" s="120" t="s">
        <v>151</v>
      </c>
      <c r="J61" s="8"/>
    </row>
    <row r="62" spans="1:10" x14ac:dyDescent="0.2">
      <c r="A62" s="121">
        <v>56</v>
      </c>
      <c r="B62" s="122" t="s">
        <v>693</v>
      </c>
      <c r="C62" s="122" t="s">
        <v>694</v>
      </c>
      <c r="D62" s="122" t="s">
        <v>283</v>
      </c>
      <c r="E62" s="123">
        <v>14000</v>
      </c>
      <c r="F62" s="124">
        <v>887.34100000000001</v>
      </c>
      <c r="G62" s="125">
        <v>6.1889600000000003E-3</v>
      </c>
      <c r="H62" s="120" t="s">
        <v>151</v>
      </c>
      <c r="J62" s="8"/>
    </row>
    <row r="63" spans="1:10" x14ac:dyDescent="0.2">
      <c r="A63" s="121">
        <v>57</v>
      </c>
      <c r="B63" s="122" t="s">
        <v>471</v>
      </c>
      <c r="C63" s="122" t="s">
        <v>472</v>
      </c>
      <c r="D63" s="122" t="s">
        <v>48</v>
      </c>
      <c r="E63" s="123">
        <v>60000</v>
      </c>
      <c r="F63" s="124">
        <v>868.56</v>
      </c>
      <c r="G63" s="125">
        <v>6.0579700000000002E-3</v>
      </c>
      <c r="H63" s="120" t="s">
        <v>151</v>
      </c>
      <c r="J63" s="8"/>
    </row>
    <row r="64" spans="1:10" x14ac:dyDescent="0.2">
      <c r="A64" s="121">
        <v>58</v>
      </c>
      <c r="B64" s="122" t="s">
        <v>266</v>
      </c>
      <c r="C64" s="122" t="s">
        <v>267</v>
      </c>
      <c r="D64" s="122" t="s">
        <v>32</v>
      </c>
      <c r="E64" s="123">
        <v>12000</v>
      </c>
      <c r="F64" s="124">
        <v>834.62400000000002</v>
      </c>
      <c r="G64" s="125">
        <v>5.8212799999999999E-3</v>
      </c>
      <c r="H64" s="120" t="s">
        <v>151</v>
      </c>
      <c r="J64" s="8"/>
    </row>
    <row r="65" spans="1:10" x14ac:dyDescent="0.2">
      <c r="A65" s="121">
        <v>59</v>
      </c>
      <c r="B65" s="122" t="s">
        <v>543</v>
      </c>
      <c r="C65" s="122" t="s">
        <v>544</v>
      </c>
      <c r="D65" s="122" t="s">
        <v>261</v>
      </c>
      <c r="E65" s="123">
        <v>52000</v>
      </c>
      <c r="F65" s="124">
        <v>826.74800000000005</v>
      </c>
      <c r="G65" s="125">
        <v>5.76634E-3</v>
      </c>
      <c r="H65" s="120" t="s">
        <v>151</v>
      </c>
      <c r="J65" s="8"/>
    </row>
    <row r="66" spans="1:10" x14ac:dyDescent="0.2">
      <c r="A66" s="121">
        <v>60</v>
      </c>
      <c r="B66" s="122" t="s">
        <v>227</v>
      </c>
      <c r="C66" s="122" t="s">
        <v>228</v>
      </c>
      <c r="D66" s="122" t="s">
        <v>22</v>
      </c>
      <c r="E66" s="123">
        <v>180000</v>
      </c>
      <c r="F66" s="124">
        <v>792.99</v>
      </c>
      <c r="G66" s="125">
        <v>5.5308900000000001E-3</v>
      </c>
      <c r="H66" s="120" t="s">
        <v>151</v>
      </c>
      <c r="J66" s="8"/>
    </row>
    <row r="67" spans="1:10" ht="25.5" x14ac:dyDescent="0.2">
      <c r="A67" s="121">
        <v>61</v>
      </c>
      <c r="B67" s="122" t="s">
        <v>336</v>
      </c>
      <c r="C67" s="122" t="s">
        <v>337</v>
      </c>
      <c r="D67" s="122" t="s">
        <v>295</v>
      </c>
      <c r="E67" s="123">
        <v>99000</v>
      </c>
      <c r="F67" s="124">
        <v>772.34849999999994</v>
      </c>
      <c r="G67" s="125">
        <v>5.3869199999999999E-3</v>
      </c>
      <c r="H67" s="120" t="s">
        <v>151</v>
      </c>
      <c r="J67" s="8"/>
    </row>
    <row r="68" spans="1:10" x14ac:dyDescent="0.2">
      <c r="A68" s="121">
        <v>62</v>
      </c>
      <c r="B68" s="122" t="s">
        <v>217</v>
      </c>
      <c r="C68" s="122" t="s">
        <v>218</v>
      </c>
      <c r="D68" s="122" t="s">
        <v>45</v>
      </c>
      <c r="E68" s="123">
        <v>38000</v>
      </c>
      <c r="F68" s="124">
        <v>719.03599999999994</v>
      </c>
      <c r="G68" s="125">
        <v>5.0150799999999999E-3</v>
      </c>
      <c r="H68" s="120" t="s">
        <v>151</v>
      </c>
      <c r="J68" s="8"/>
    </row>
    <row r="69" spans="1:10" x14ac:dyDescent="0.2">
      <c r="A69" s="121">
        <v>63</v>
      </c>
      <c r="B69" s="122" t="s">
        <v>128</v>
      </c>
      <c r="C69" s="122" t="s">
        <v>129</v>
      </c>
      <c r="D69" s="122" t="s">
        <v>70</v>
      </c>
      <c r="E69" s="123">
        <v>18000</v>
      </c>
      <c r="F69" s="124">
        <v>704.46600000000001</v>
      </c>
      <c r="G69" s="125">
        <v>4.9134599999999997E-3</v>
      </c>
      <c r="H69" s="120" t="s">
        <v>151</v>
      </c>
      <c r="J69" s="8"/>
    </row>
    <row r="70" spans="1:10" ht="25.5" x14ac:dyDescent="0.2">
      <c r="A70" s="121">
        <v>64</v>
      </c>
      <c r="B70" s="122" t="s">
        <v>91</v>
      </c>
      <c r="C70" s="122" t="s">
        <v>92</v>
      </c>
      <c r="D70" s="122" t="s">
        <v>93</v>
      </c>
      <c r="E70" s="123">
        <v>47000</v>
      </c>
      <c r="F70" s="124">
        <v>680.654</v>
      </c>
      <c r="G70" s="125">
        <v>4.7473799999999998E-3</v>
      </c>
      <c r="H70" s="120" t="s">
        <v>151</v>
      </c>
      <c r="J70" s="8"/>
    </row>
    <row r="71" spans="1:10" ht="25.5" x14ac:dyDescent="0.2">
      <c r="A71" s="121">
        <v>65</v>
      </c>
      <c r="B71" s="122" t="s">
        <v>712</v>
      </c>
      <c r="C71" s="122" t="s">
        <v>713</v>
      </c>
      <c r="D71" s="122" t="s">
        <v>25</v>
      </c>
      <c r="E71" s="123">
        <v>21069</v>
      </c>
      <c r="F71" s="124">
        <v>407.30590799999999</v>
      </c>
      <c r="G71" s="125">
        <v>2.8408499999999998E-3</v>
      </c>
      <c r="H71" s="120" t="s">
        <v>151</v>
      </c>
      <c r="J71" s="8"/>
    </row>
    <row r="72" spans="1:10" x14ac:dyDescent="0.2">
      <c r="A72" s="121">
        <v>66</v>
      </c>
      <c r="B72" s="122" t="s">
        <v>409</v>
      </c>
      <c r="C72" s="122" t="s">
        <v>410</v>
      </c>
      <c r="D72" s="122" t="s">
        <v>238</v>
      </c>
      <c r="E72" s="123">
        <v>70581</v>
      </c>
      <c r="F72" s="124">
        <v>252.08004149999999</v>
      </c>
      <c r="G72" s="125">
        <v>1.75819E-3</v>
      </c>
      <c r="H72" s="120" t="s">
        <v>151</v>
      </c>
      <c r="J72" s="8"/>
    </row>
    <row r="73" spans="1:10" ht="25.5" x14ac:dyDescent="0.2">
      <c r="A73" s="121">
        <v>67</v>
      </c>
      <c r="B73" s="122" t="s">
        <v>324</v>
      </c>
      <c r="C73" s="122" t="s">
        <v>325</v>
      </c>
      <c r="D73" s="122" t="s">
        <v>258</v>
      </c>
      <c r="E73" s="123">
        <v>7000</v>
      </c>
      <c r="F73" s="124">
        <v>240.89449999999999</v>
      </c>
      <c r="G73" s="125">
        <v>1.6801699999999999E-3</v>
      </c>
      <c r="H73" s="120" t="s">
        <v>151</v>
      </c>
      <c r="J73" s="8"/>
    </row>
    <row r="74" spans="1:10" x14ac:dyDescent="0.2">
      <c r="A74" s="118"/>
      <c r="B74" s="118"/>
      <c r="C74" s="119" t="s">
        <v>150</v>
      </c>
      <c r="D74" s="118"/>
      <c r="E74" s="118" t="s">
        <v>151</v>
      </c>
      <c r="F74" s="126">
        <v>138288.72588499996</v>
      </c>
      <c r="G74" s="127">
        <v>0.96452615000000019</v>
      </c>
      <c r="H74" s="120" t="s">
        <v>151</v>
      </c>
      <c r="J74" s="8"/>
    </row>
    <row r="75" spans="1:10" x14ac:dyDescent="0.2">
      <c r="A75" s="118"/>
      <c r="B75" s="118"/>
      <c r="C75" s="128"/>
      <c r="D75" s="118"/>
      <c r="E75" s="118"/>
      <c r="F75" s="129"/>
      <c r="G75" s="129"/>
      <c r="H75" s="120" t="s">
        <v>151</v>
      </c>
      <c r="J75" s="8"/>
    </row>
    <row r="76" spans="1:10" x14ac:dyDescent="0.2">
      <c r="A76" s="118"/>
      <c r="B76" s="118"/>
      <c r="C76" s="119" t="s">
        <v>152</v>
      </c>
      <c r="D76" s="118"/>
      <c r="E76" s="118"/>
      <c r="F76" s="118"/>
      <c r="G76" s="118"/>
      <c r="H76" s="120" t="s">
        <v>151</v>
      </c>
      <c r="J76" s="8"/>
    </row>
    <row r="77" spans="1:10" x14ac:dyDescent="0.2">
      <c r="A77" s="118"/>
      <c r="B77" s="118"/>
      <c r="C77" s="119" t="s">
        <v>150</v>
      </c>
      <c r="D77" s="118"/>
      <c r="E77" s="118" t="s">
        <v>151</v>
      </c>
      <c r="F77" s="130" t="s">
        <v>153</v>
      </c>
      <c r="G77" s="127">
        <v>0</v>
      </c>
      <c r="H77" s="120" t="s">
        <v>151</v>
      </c>
      <c r="J77" s="8"/>
    </row>
    <row r="78" spans="1:10" x14ac:dyDescent="0.2">
      <c r="A78" s="118"/>
      <c r="B78" s="118"/>
      <c r="C78" s="128"/>
      <c r="D78" s="118"/>
      <c r="E78" s="118"/>
      <c r="F78" s="129"/>
      <c r="G78" s="129"/>
      <c r="H78" s="120" t="s">
        <v>151</v>
      </c>
      <c r="J78" s="8"/>
    </row>
    <row r="79" spans="1:10" x14ac:dyDescent="0.2">
      <c r="A79" s="118"/>
      <c r="B79" s="118"/>
      <c r="C79" s="119" t="s">
        <v>154</v>
      </c>
      <c r="D79" s="118"/>
      <c r="E79" s="118"/>
      <c r="F79" s="118"/>
      <c r="G79" s="118"/>
      <c r="H79" s="120" t="s">
        <v>151</v>
      </c>
      <c r="J79" s="8"/>
    </row>
    <row r="80" spans="1:10" x14ac:dyDescent="0.2">
      <c r="A80" s="121">
        <v>1</v>
      </c>
      <c r="B80" s="122" t="s">
        <v>555</v>
      </c>
      <c r="C80" s="122" t="s">
        <v>1013</v>
      </c>
      <c r="D80" s="122" t="s">
        <v>238</v>
      </c>
      <c r="E80" s="123">
        <v>374002</v>
      </c>
      <c r="F80" s="124">
        <v>65.749551600000004</v>
      </c>
      <c r="G80" s="125">
        <v>4.5858999999999999E-4</v>
      </c>
      <c r="H80" s="120" t="s">
        <v>151</v>
      </c>
      <c r="J80" s="8"/>
    </row>
    <row r="81" spans="1:10" x14ac:dyDescent="0.2">
      <c r="A81" s="121">
        <v>2</v>
      </c>
      <c r="B81" s="122" t="s">
        <v>743</v>
      </c>
      <c r="C81" s="122" t="s">
        <v>1019</v>
      </c>
      <c r="D81" s="122"/>
      <c r="E81" s="123">
        <v>200000</v>
      </c>
      <c r="F81" s="124">
        <v>1.9999999999999999E-6</v>
      </c>
      <c r="G81" s="131" t="s">
        <v>149</v>
      </c>
      <c r="H81" s="120" t="s">
        <v>151</v>
      </c>
      <c r="J81" s="8"/>
    </row>
    <row r="82" spans="1:10" x14ac:dyDescent="0.2">
      <c r="A82" s="118"/>
      <c r="B82" s="118"/>
      <c r="C82" s="119" t="s">
        <v>150</v>
      </c>
      <c r="D82" s="118"/>
      <c r="E82" s="118" t="s">
        <v>151</v>
      </c>
      <c r="F82" s="126">
        <v>65.749553599999999</v>
      </c>
      <c r="G82" s="127">
        <v>4.5858999999999999E-4</v>
      </c>
      <c r="H82" s="120" t="s">
        <v>151</v>
      </c>
      <c r="J82" s="8"/>
    </row>
    <row r="83" spans="1:10" x14ac:dyDescent="0.2">
      <c r="A83" s="118"/>
      <c r="B83" s="118"/>
      <c r="C83" s="128"/>
      <c r="D83" s="118"/>
      <c r="E83" s="118"/>
      <c r="F83" s="129"/>
      <c r="G83" s="129"/>
      <c r="H83" s="120" t="s">
        <v>151</v>
      </c>
      <c r="J83" s="8"/>
    </row>
    <row r="84" spans="1:10" x14ac:dyDescent="0.2">
      <c r="A84" s="118"/>
      <c r="B84" s="118"/>
      <c r="C84" s="119" t="s">
        <v>155</v>
      </c>
      <c r="D84" s="118"/>
      <c r="E84" s="118"/>
      <c r="F84" s="118"/>
      <c r="G84" s="118"/>
      <c r="H84" s="120" t="s">
        <v>151</v>
      </c>
      <c r="J84" s="8"/>
    </row>
    <row r="85" spans="1:10" x14ac:dyDescent="0.2">
      <c r="A85" s="118"/>
      <c r="B85" s="118"/>
      <c r="C85" s="119" t="s">
        <v>150</v>
      </c>
      <c r="D85" s="118"/>
      <c r="E85" s="118" t="s">
        <v>151</v>
      </c>
      <c r="F85" s="130" t="s">
        <v>153</v>
      </c>
      <c r="G85" s="127">
        <v>0</v>
      </c>
      <c r="H85" s="120" t="s">
        <v>151</v>
      </c>
      <c r="J85" s="8"/>
    </row>
    <row r="86" spans="1:10" x14ac:dyDescent="0.2">
      <c r="A86" s="118"/>
      <c r="B86" s="118"/>
      <c r="C86" s="128"/>
      <c r="D86" s="118"/>
      <c r="E86" s="118"/>
      <c r="F86" s="129"/>
      <c r="G86" s="129"/>
      <c r="H86" s="120" t="s">
        <v>151</v>
      </c>
      <c r="J86" s="8"/>
    </row>
    <row r="87" spans="1:10" x14ac:dyDescent="0.2">
      <c r="A87" s="118"/>
      <c r="B87" s="118"/>
      <c r="C87" s="119" t="s">
        <v>156</v>
      </c>
      <c r="D87" s="118"/>
      <c r="E87" s="118"/>
      <c r="F87" s="129"/>
      <c r="G87" s="129"/>
      <c r="H87" s="120" t="s">
        <v>151</v>
      </c>
      <c r="J87" s="8"/>
    </row>
    <row r="88" spans="1:10" x14ac:dyDescent="0.2">
      <c r="A88" s="118"/>
      <c r="B88" s="118"/>
      <c r="C88" s="119" t="s">
        <v>150</v>
      </c>
      <c r="D88" s="118"/>
      <c r="E88" s="118" t="s">
        <v>151</v>
      </c>
      <c r="F88" s="130" t="s">
        <v>153</v>
      </c>
      <c r="G88" s="127">
        <v>0</v>
      </c>
      <c r="H88" s="120" t="s">
        <v>151</v>
      </c>
      <c r="J88" s="8"/>
    </row>
    <row r="89" spans="1:10" x14ac:dyDescent="0.2">
      <c r="A89" s="118"/>
      <c r="B89" s="118"/>
      <c r="C89" s="128"/>
      <c r="D89" s="118"/>
      <c r="E89" s="118"/>
      <c r="F89" s="129"/>
      <c r="G89" s="129"/>
      <c r="H89" s="120" t="s">
        <v>151</v>
      </c>
      <c r="J89" s="8"/>
    </row>
    <row r="90" spans="1:10" x14ac:dyDescent="0.2">
      <c r="A90" s="118"/>
      <c r="B90" s="118"/>
      <c r="C90" s="119" t="s">
        <v>157</v>
      </c>
      <c r="D90" s="118"/>
      <c r="E90" s="118"/>
      <c r="F90" s="129"/>
      <c r="G90" s="129"/>
      <c r="H90" s="120" t="s">
        <v>151</v>
      </c>
      <c r="J90" s="8"/>
    </row>
    <row r="91" spans="1:10" x14ac:dyDescent="0.2">
      <c r="A91" s="118"/>
      <c r="B91" s="118"/>
      <c r="C91" s="119" t="s">
        <v>150</v>
      </c>
      <c r="D91" s="118"/>
      <c r="E91" s="118" t="s">
        <v>151</v>
      </c>
      <c r="F91" s="130" t="s">
        <v>153</v>
      </c>
      <c r="G91" s="127">
        <v>0</v>
      </c>
      <c r="H91" s="120" t="s">
        <v>151</v>
      </c>
      <c r="J91" s="8"/>
    </row>
    <row r="92" spans="1:10" x14ac:dyDescent="0.2">
      <c r="A92" s="118"/>
      <c r="B92" s="118"/>
      <c r="C92" s="128"/>
      <c r="D92" s="118"/>
      <c r="E92" s="118"/>
      <c r="F92" s="129"/>
      <c r="G92" s="129"/>
      <c r="H92" s="120" t="s">
        <v>151</v>
      </c>
      <c r="J92" s="8"/>
    </row>
    <row r="93" spans="1:10" x14ac:dyDescent="0.2">
      <c r="A93" s="118"/>
      <c r="B93" s="118"/>
      <c r="C93" s="119" t="s">
        <v>158</v>
      </c>
      <c r="D93" s="118"/>
      <c r="E93" s="118"/>
      <c r="F93" s="126">
        <v>138354.4754386</v>
      </c>
      <c r="G93" s="127">
        <v>0.96498474000000001</v>
      </c>
      <c r="H93" s="120" t="s">
        <v>151</v>
      </c>
      <c r="J93" s="8"/>
    </row>
    <row r="94" spans="1:10" x14ac:dyDescent="0.2">
      <c r="A94" s="118"/>
      <c r="B94" s="118"/>
      <c r="C94" s="128"/>
      <c r="D94" s="118"/>
      <c r="E94" s="118"/>
      <c r="F94" s="129"/>
      <c r="G94" s="129"/>
      <c r="H94" s="120" t="s">
        <v>151</v>
      </c>
      <c r="J94" s="8"/>
    </row>
    <row r="95" spans="1:10" x14ac:dyDescent="0.2">
      <c r="A95" s="118"/>
      <c r="B95" s="118"/>
      <c r="C95" s="119" t="s">
        <v>159</v>
      </c>
      <c r="D95" s="118"/>
      <c r="E95" s="118"/>
      <c r="F95" s="129"/>
      <c r="G95" s="129"/>
      <c r="H95" s="120" t="s">
        <v>151</v>
      </c>
      <c r="J95" s="8"/>
    </row>
    <row r="96" spans="1:10" ht="25.5" x14ac:dyDescent="0.2">
      <c r="A96" s="118"/>
      <c r="B96" s="118"/>
      <c r="C96" s="119" t="s">
        <v>10</v>
      </c>
      <c r="D96" s="118"/>
      <c r="E96" s="118"/>
      <c r="F96" s="129"/>
      <c r="G96" s="129"/>
      <c r="H96" s="120" t="s">
        <v>151</v>
      </c>
      <c r="J96" s="8"/>
    </row>
    <row r="97" spans="1:10" x14ac:dyDescent="0.2">
      <c r="A97" s="118"/>
      <c r="B97" s="118"/>
      <c r="C97" s="119" t="s">
        <v>150</v>
      </c>
      <c r="D97" s="118"/>
      <c r="E97" s="118" t="s">
        <v>151</v>
      </c>
      <c r="F97" s="130" t="s">
        <v>153</v>
      </c>
      <c r="G97" s="127">
        <v>0</v>
      </c>
      <c r="H97" s="120" t="s">
        <v>151</v>
      </c>
      <c r="J97" s="8"/>
    </row>
    <row r="98" spans="1:10" x14ac:dyDescent="0.2">
      <c r="A98" s="118"/>
      <c r="B98" s="118"/>
      <c r="C98" s="128"/>
      <c r="D98" s="118"/>
      <c r="E98" s="118"/>
      <c r="F98" s="129"/>
      <c r="G98" s="129"/>
      <c r="H98" s="120" t="s">
        <v>151</v>
      </c>
      <c r="J98" s="8"/>
    </row>
    <row r="99" spans="1:10" x14ac:dyDescent="0.2">
      <c r="A99" s="118"/>
      <c r="B99" s="118"/>
      <c r="C99" s="119" t="s">
        <v>160</v>
      </c>
      <c r="D99" s="118"/>
      <c r="E99" s="118"/>
      <c r="F99" s="118"/>
      <c r="G99" s="118"/>
      <c r="H99" s="120" t="s">
        <v>151</v>
      </c>
      <c r="J99" s="8"/>
    </row>
    <row r="100" spans="1:10" x14ac:dyDescent="0.2">
      <c r="A100" s="118"/>
      <c r="B100" s="118"/>
      <c r="C100" s="119" t="s">
        <v>150</v>
      </c>
      <c r="D100" s="118"/>
      <c r="E100" s="118" t="s">
        <v>151</v>
      </c>
      <c r="F100" s="130" t="s">
        <v>153</v>
      </c>
      <c r="G100" s="127">
        <v>0</v>
      </c>
      <c r="H100" s="120" t="s">
        <v>151</v>
      </c>
      <c r="J100" s="8"/>
    </row>
    <row r="101" spans="1:10" x14ac:dyDescent="0.2">
      <c r="A101" s="118"/>
      <c r="B101" s="118"/>
      <c r="C101" s="128"/>
      <c r="D101" s="118"/>
      <c r="E101" s="118"/>
      <c r="F101" s="129"/>
      <c r="G101" s="129"/>
      <c r="H101" s="120" t="s">
        <v>151</v>
      </c>
      <c r="J101" s="8"/>
    </row>
    <row r="102" spans="1:10" x14ac:dyDescent="0.2">
      <c r="A102" s="118"/>
      <c r="B102" s="118"/>
      <c r="C102" s="119" t="s">
        <v>161</v>
      </c>
      <c r="D102" s="118"/>
      <c r="E102" s="118"/>
      <c r="F102" s="118"/>
      <c r="G102" s="118"/>
      <c r="H102" s="120" t="s">
        <v>151</v>
      </c>
      <c r="J102" s="8"/>
    </row>
    <row r="103" spans="1:10" x14ac:dyDescent="0.2">
      <c r="A103" s="118"/>
      <c r="B103" s="118"/>
      <c r="C103" s="119" t="s">
        <v>150</v>
      </c>
      <c r="D103" s="118"/>
      <c r="E103" s="118" t="s">
        <v>151</v>
      </c>
      <c r="F103" s="130" t="s">
        <v>153</v>
      </c>
      <c r="G103" s="127">
        <v>0</v>
      </c>
      <c r="H103" s="120" t="s">
        <v>151</v>
      </c>
      <c r="J103" s="8"/>
    </row>
    <row r="104" spans="1:10" x14ac:dyDescent="0.2">
      <c r="A104" s="118"/>
      <c r="B104" s="118"/>
      <c r="C104" s="128"/>
      <c r="D104" s="118"/>
      <c r="E104" s="118"/>
      <c r="F104" s="129"/>
      <c r="G104" s="129"/>
      <c r="H104" s="120" t="s">
        <v>151</v>
      </c>
      <c r="J104" s="8"/>
    </row>
    <row r="105" spans="1:10" x14ac:dyDescent="0.2">
      <c r="A105" s="118"/>
      <c r="B105" s="118"/>
      <c r="C105" s="119" t="s">
        <v>162</v>
      </c>
      <c r="D105" s="118"/>
      <c r="E105" s="118"/>
      <c r="F105" s="129"/>
      <c r="G105" s="129"/>
      <c r="H105" s="120" t="s">
        <v>151</v>
      </c>
      <c r="J105" s="8"/>
    </row>
    <row r="106" spans="1:10" x14ac:dyDescent="0.2">
      <c r="A106" s="118"/>
      <c r="B106" s="118"/>
      <c r="C106" s="119" t="s">
        <v>150</v>
      </c>
      <c r="D106" s="118"/>
      <c r="E106" s="118" t="s">
        <v>151</v>
      </c>
      <c r="F106" s="130" t="s">
        <v>153</v>
      </c>
      <c r="G106" s="127">
        <v>0</v>
      </c>
      <c r="H106" s="120" t="s">
        <v>151</v>
      </c>
      <c r="J106" s="8"/>
    </row>
    <row r="107" spans="1:10" x14ac:dyDescent="0.2">
      <c r="A107" s="118"/>
      <c r="B107" s="118"/>
      <c r="C107" s="128"/>
      <c r="D107" s="118"/>
      <c r="E107" s="118"/>
      <c r="F107" s="129"/>
      <c r="G107" s="129"/>
      <c r="H107" s="120" t="s">
        <v>151</v>
      </c>
      <c r="J107" s="8"/>
    </row>
    <row r="108" spans="1:10" x14ac:dyDescent="0.2">
      <c r="A108" s="118"/>
      <c r="B108" s="118"/>
      <c r="C108" s="119" t="s">
        <v>163</v>
      </c>
      <c r="D108" s="118"/>
      <c r="E108" s="118"/>
      <c r="F108" s="126">
        <v>0</v>
      </c>
      <c r="G108" s="127">
        <v>0</v>
      </c>
      <c r="H108" s="120" t="s">
        <v>151</v>
      </c>
      <c r="J108" s="8"/>
    </row>
    <row r="109" spans="1:10" x14ac:dyDescent="0.2">
      <c r="A109" s="118"/>
      <c r="B109" s="118"/>
      <c r="C109" s="128"/>
      <c r="D109" s="118"/>
      <c r="E109" s="118"/>
      <c r="F109" s="129"/>
      <c r="G109" s="129"/>
      <c r="H109" s="120" t="s">
        <v>151</v>
      </c>
      <c r="J109" s="8"/>
    </row>
    <row r="110" spans="1:10" x14ac:dyDescent="0.2">
      <c r="A110" s="118"/>
      <c r="B110" s="118"/>
      <c r="C110" s="119" t="s">
        <v>164</v>
      </c>
      <c r="D110" s="118"/>
      <c r="E110" s="118"/>
      <c r="F110" s="129"/>
      <c r="G110" s="129"/>
      <c r="H110" s="120" t="s">
        <v>151</v>
      </c>
      <c r="J110" s="8"/>
    </row>
    <row r="111" spans="1:10" x14ac:dyDescent="0.2">
      <c r="A111" s="118"/>
      <c r="B111" s="118"/>
      <c r="C111" s="119" t="s">
        <v>165</v>
      </c>
      <c r="D111" s="118"/>
      <c r="E111" s="118"/>
      <c r="F111" s="129"/>
      <c r="G111" s="129"/>
      <c r="H111" s="120" t="s">
        <v>151</v>
      </c>
      <c r="J111" s="8"/>
    </row>
    <row r="112" spans="1:10" x14ac:dyDescent="0.2">
      <c r="A112" s="118"/>
      <c r="B112" s="118"/>
      <c r="C112" s="119" t="s">
        <v>150</v>
      </c>
      <c r="D112" s="118"/>
      <c r="E112" s="118" t="s">
        <v>151</v>
      </c>
      <c r="F112" s="130" t="s">
        <v>153</v>
      </c>
      <c r="G112" s="127">
        <v>0</v>
      </c>
      <c r="H112" s="120" t="s">
        <v>151</v>
      </c>
      <c r="J112" s="8"/>
    </row>
    <row r="113" spans="1:10" x14ac:dyDescent="0.2">
      <c r="A113" s="118"/>
      <c r="B113" s="118"/>
      <c r="C113" s="128"/>
      <c r="D113" s="118"/>
      <c r="E113" s="118"/>
      <c r="F113" s="129"/>
      <c r="G113" s="129"/>
      <c r="H113" s="120" t="s">
        <v>151</v>
      </c>
      <c r="J113" s="8"/>
    </row>
    <row r="114" spans="1:10" x14ac:dyDescent="0.2">
      <c r="A114" s="118"/>
      <c r="B114" s="118"/>
      <c r="C114" s="119" t="s">
        <v>166</v>
      </c>
      <c r="D114" s="118"/>
      <c r="E114" s="118"/>
      <c r="F114" s="129"/>
      <c r="G114" s="129"/>
      <c r="H114" s="120" t="s">
        <v>151</v>
      </c>
      <c r="J114" s="8"/>
    </row>
    <row r="115" spans="1:10" x14ac:dyDescent="0.2">
      <c r="A115" s="118"/>
      <c r="B115" s="118"/>
      <c r="C115" s="119" t="s">
        <v>150</v>
      </c>
      <c r="D115" s="118"/>
      <c r="E115" s="118" t="s">
        <v>151</v>
      </c>
      <c r="F115" s="130" t="s">
        <v>153</v>
      </c>
      <c r="G115" s="127">
        <v>0</v>
      </c>
      <c r="H115" s="120" t="s">
        <v>151</v>
      </c>
      <c r="J115" s="8"/>
    </row>
    <row r="116" spans="1:10" x14ac:dyDescent="0.2">
      <c r="A116" s="118"/>
      <c r="B116" s="118"/>
      <c r="C116" s="128"/>
      <c r="D116" s="118"/>
      <c r="E116" s="118"/>
      <c r="F116" s="129"/>
      <c r="G116" s="129"/>
      <c r="H116" s="120" t="s">
        <v>151</v>
      </c>
      <c r="J116" s="8"/>
    </row>
    <row r="117" spans="1:10" x14ac:dyDescent="0.2">
      <c r="A117" s="118"/>
      <c r="B117" s="118"/>
      <c r="C117" s="119" t="s">
        <v>167</v>
      </c>
      <c r="D117" s="118"/>
      <c r="E117" s="118"/>
      <c r="F117" s="129"/>
      <c r="G117" s="129"/>
      <c r="H117" s="120" t="s">
        <v>151</v>
      </c>
      <c r="J117" s="8"/>
    </row>
    <row r="118" spans="1:10" x14ac:dyDescent="0.2">
      <c r="A118" s="118"/>
      <c r="B118" s="118"/>
      <c r="C118" s="119" t="s">
        <v>150</v>
      </c>
      <c r="D118" s="118"/>
      <c r="E118" s="118" t="s">
        <v>151</v>
      </c>
      <c r="F118" s="130" t="s">
        <v>153</v>
      </c>
      <c r="G118" s="127">
        <v>0</v>
      </c>
      <c r="H118" s="120" t="s">
        <v>151</v>
      </c>
      <c r="J118" s="8"/>
    </row>
    <row r="119" spans="1:10" x14ac:dyDescent="0.2">
      <c r="A119" s="118"/>
      <c r="B119" s="118"/>
      <c r="C119" s="128"/>
      <c r="D119" s="118"/>
      <c r="E119" s="118"/>
      <c r="F119" s="129"/>
      <c r="G119" s="129"/>
      <c r="H119" s="120" t="s">
        <v>151</v>
      </c>
      <c r="J119" s="8"/>
    </row>
    <row r="120" spans="1:10" x14ac:dyDescent="0.2">
      <c r="A120" s="118"/>
      <c r="B120" s="118"/>
      <c r="C120" s="119" t="s">
        <v>168</v>
      </c>
      <c r="D120" s="118"/>
      <c r="E120" s="118"/>
      <c r="F120" s="129"/>
      <c r="G120" s="129"/>
      <c r="H120" s="120" t="s">
        <v>151</v>
      </c>
      <c r="J120" s="8"/>
    </row>
    <row r="121" spans="1:10" x14ac:dyDescent="0.2">
      <c r="A121" s="121">
        <v>1</v>
      </c>
      <c r="B121" s="122"/>
      <c r="C121" s="122" t="s">
        <v>169</v>
      </c>
      <c r="D121" s="122"/>
      <c r="E121" s="131"/>
      <c r="F121" s="124">
        <v>5093.9726310220003</v>
      </c>
      <c r="G121" s="125">
        <v>3.5529070000000003E-2</v>
      </c>
      <c r="H121" s="120">
        <v>6.61</v>
      </c>
      <c r="J121" s="8"/>
    </row>
    <row r="122" spans="1:10" x14ac:dyDescent="0.2">
      <c r="A122" s="118"/>
      <c r="B122" s="118"/>
      <c r="C122" s="119" t="s">
        <v>150</v>
      </c>
      <c r="D122" s="118"/>
      <c r="E122" s="118" t="s">
        <v>151</v>
      </c>
      <c r="F122" s="126">
        <v>5093.9726310220003</v>
      </c>
      <c r="G122" s="127">
        <v>3.5529070000000003E-2</v>
      </c>
      <c r="H122" s="120" t="s">
        <v>151</v>
      </c>
      <c r="J122" s="8"/>
    </row>
    <row r="123" spans="1:10" x14ac:dyDescent="0.2">
      <c r="A123" s="118"/>
      <c r="B123" s="118"/>
      <c r="C123" s="128"/>
      <c r="D123" s="118"/>
      <c r="E123" s="118"/>
      <c r="F123" s="129"/>
      <c r="G123" s="129"/>
      <c r="H123" s="120" t="s">
        <v>151</v>
      </c>
      <c r="J123" s="8"/>
    </row>
    <row r="124" spans="1:10" x14ac:dyDescent="0.2">
      <c r="A124" s="118"/>
      <c r="B124" s="118"/>
      <c r="C124" s="119" t="s">
        <v>170</v>
      </c>
      <c r="D124" s="118"/>
      <c r="E124" s="118"/>
      <c r="F124" s="126">
        <v>5093.9726310220003</v>
      </c>
      <c r="G124" s="127">
        <v>3.5529070000000003E-2</v>
      </c>
      <c r="H124" s="120" t="s">
        <v>151</v>
      </c>
      <c r="J124" s="8"/>
    </row>
    <row r="125" spans="1:10" x14ac:dyDescent="0.2">
      <c r="A125" s="118"/>
      <c r="B125" s="118"/>
      <c r="C125" s="129"/>
      <c r="D125" s="118"/>
      <c r="E125" s="118"/>
      <c r="F125" s="118"/>
      <c r="G125" s="118"/>
      <c r="H125" s="120" t="s">
        <v>151</v>
      </c>
      <c r="J125" s="8"/>
    </row>
    <row r="126" spans="1:10" x14ac:dyDescent="0.2">
      <c r="A126" s="118"/>
      <c r="B126" s="118"/>
      <c r="C126" s="119" t="s">
        <v>171</v>
      </c>
      <c r="D126" s="118"/>
      <c r="E126" s="118"/>
      <c r="F126" s="118"/>
      <c r="G126" s="118"/>
      <c r="H126" s="120" t="s">
        <v>151</v>
      </c>
      <c r="J126" s="8"/>
    </row>
    <row r="127" spans="1:10" x14ac:dyDescent="0.2">
      <c r="A127" s="118"/>
      <c r="B127" s="118"/>
      <c r="C127" s="119" t="s">
        <v>172</v>
      </c>
      <c r="D127" s="118"/>
      <c r="E127" s="118"/>
      <c r="F127" s="118"/>
      <c r="G127" s="118"/>
      <c r="H127" s="120" t="s">
        <v>151</v>
      </c>
      <c r="J127" s="8"/>
    </row>
    <row r="128" spans="1:10" x14ac:dyDescent="0.2">
      <c r="A128" s="118"/>
      <c r="B128" s="118"/>
      <c r="C128" s="119" t="s">
        <v>150</v>
      </c>
      <c r="D128" s="118"/>
      <c r="E128" s="118" t="s">
        <v>151</v>
      </c>
      <c r="F128" s="130" t="s">
        <v>153</v>
      </c>
      <c r="G128" s="127">
        <v>0</v>
      </c>
      <c r="H128" s="120" t="s">
        <v>151</v>
      </c>
      <c r="J128" s="8"/>
    </row>
    <row r="129" spans="1:17" x14ac:dyDescent="0.2">
      <c r="A129" s="118"/>
      <c r="B129" s="118"/>
      <c r="C129" s="128"/>
      <c r="D129" s="118"/>
      <c r="E129" s="118"/>
      <c r="F129" s="129"/>
      <c r="G129" s="129"/>
      <c r="H129" s="120" t="s">
        <v>151</v>
      </c>
      <c r="J129" s="8"/>
    </row>
    <row r="130" spans="1:17" x14ac:dyDescent="0.2">
      <c r="A130" s="118"/>
      <c r="B130" s="118"/>
      <c r="C130" s="119" t="s">
        <v>175</v>
      </c>
      <c r="D130" s="118"/>
      <c r="E130" s="118"/>
      <c r="F130" s="118"/>
      <c r="G130" s="118"/>
      <c r="H130" s="120" t="s">
        <v>151</v>
      </c>
      <c r="J130" s="8"/>
    </row>
    <row r="131" spans="1:17" x14ac:dyDescent="0.2">
      <c r="A131" s="118"/>
      <c r="B131" s="118"/>
      <c r="C131" s="119" t="s">
        <v>176</v>
      </c>
      <c r="D131" s="118"/>
      <c r="E131" s="118"/>
      <c r="F131" s="118"/>
      <c r="G131" s="118"/>
      <c r="H131" s="120" t="s">
        <v>151</v>
      </c>
      <c r="J131" s="8"/>
    </row>
    <row r="132" spans="1:17" x14ac:dyDescent="0.2">
      <c r="A132" s="118"/>
      <c r="B132" s="118"/>
      <c r="C132" s="119" t="s">
        <v>150</v>
      </c>
      <c r="D132" s="118"/>
      <c r="E132" s="118" t="s">
        <v>151</v>
      </c>
      <c r="F132" s="130" t="s">
        <v>153</v>
      </c>
      <c r="G132" s="127">
        <v>0</v>
      </c>
      <c r="H132" s="120" t="s">
        <v>151</v>
      </c>
      <c r="J132" s="8"/>
    </row>
    <row r="133" spans="1:17" x14ac:dyDescent="0.2">
      <c r="A133" s="118"/>
      <c r="B133" s="118"/>
      <c r="C133" s="128"/>
      <c r="D133" s="118"/>
      <c r="E133" s="118"/>
      <c r="F133" s="129"/>
      <c r="G133" s="129"/>
      <c r="H133" s="120" t="s">
        <v>151</v>
      </c>
      <c r="J133" s="8"/>
    </row>
    <row r="134" spans="1:17" ht="25.5" x14ac:dyDescent="0.2">
      <c r="A134" s="118"/>
      <c r="B134" s="118"/>
      <c r="C134" s="119" t="s">
        <v>177</v>
      </c>
      <c r="D134" s="118"/>
      <c r="E134" s="118"/>
      <c r="F134" s="129"/>
      <c r="G134" s="129"/>
      <c r="H134" s="120" t="s">
        <v>151</v>
      </c>
      <c r="J134" s="8"/>
    </row>
    <row r="135" spans="1:17" x14ac:dyDescent="0.2">
      <c r="A135" s="118"/>
      <c r="B135" s="118"/>
      <c r="C135" s="119" t="s">
        <v>150</v>
      </c>
      <c r="D135" s="118"/>
      <c r="E135" s="118" t="s">
        <v>151</v>
      </c>
      <c r="F135" s="130" t="s">
        <v>153</v>
      </c>
      <c r="G135" s="127">
        <v>0</v>
      </c>
      <c r="H135" s="120" t="s">
        <v>151</v>
      </c>
      <c r="J135" s="8"/>
    </row>
    <row r="136" spans="1:17" x14ac:dyDescent="0.2">
      <c r="A136" s="118"/>
      <c r="B136" s="122"/>
      <c r="C136" s="122"/>
      <c r="D136" s="119"/>
      <c r="E136" s="118"/>
      <c r="F136" s="122"/>
      <c r="G136" s="131"/>
      <c r="H136" s="120" t="s">
        <v>151</v>
      </c>
      <c r="J136" s="8"/>
    </row>
    <row r="137" spans="1:17" x14ac:dyDescent="0.2">
      <c r="A137" s="131"/>
      <c r="B137" s="122"/>
      <c r="C137" s="122" t="s">
        <v>178</v>
      </c>
      <c r="D137" s="122"/>
      <c r="E137" s="131"/>
      <c r="F137" s="124">
        <v>-73.664417639999996</v>
      </c>
      <c r="G137" s="125">
        <v>-5.1378999999999997E-4</v>
      </c>
      <c r="H137" s="120" t="s">
        <v>151</v>
      </c>
      <c r="J137" s="8"/>
    </row>
    <row r="138" spans="1:17" x14ac:dyDescent="0.2">
      <c r="A138" s="128"/>
      <c r="B138" s="128"/>
      <c r="C138" s="119" t="s">
        <v>179</v>
      </c>
      <c r="D138" s="129"/>
      <c r="E138" s="129"/>
      <c r="F138" s="126">
        <v>143374.783651982</v>
      </c>
      <c r="G138" s="133">
        <v>1.0000000200000001</v>
      </c>
      <c r="H138" s="120" t="s">
        <v>151</v>
      </c>
      <c r="J138" s="8"/>
    </row>
    <row r="139" spans="1:17" x14ac:dyDescent="0.2">
      <c r="A139" s="134"/>
      <c r="B139" s="134"/>
      <c r="C139" s="134"/>
      <c r="D139" s="135"/>
      <c r="E139" s="135"/>
      <c r="F139" s="135"/>
      <c r="G139" s="135"/>
      <c r="J139" s="8"/>
    </row>
    <row r="140" spans="1:17" x14ac:dyDescent="0.2">
      <c r="A140" s="136"/>
      <c r="B140" s="137" t="s">
        <v>888</v>
      </c>
      <c r="C140" s="137"/>
      <c r="D140" s="137"/>
      <c r="E140" s="137"/>
      <c r="F140" s="137"/>
      <c r="G140" s="137"/>
      <c r="H140" s="137"/>
      <c r="J140" s="8"/>
    </row>
    <row r="141" spans="1:17" x14ac:dyDescent="0.2">
      <c r="A141" s="136"/>
      <c r="B141" s="137" t="s">
        <v>889</v>
      </c>
      <c r="C141" s="137"/>
      <c r="D141" s="137"/>
      <c r="E141" s="137"/>
      <c r="F141" s="137"/>
      <c r="G141" s="137"/>
      <c r="H141" s="137"/>
      <c r="J141" s="8"/>
    </row>
    <row r="142" spans="1:17" x14ac:dyDescent="0.2">
      <c r="A142" s="136"/>
      <c r="B142" s="137" t="s">
        <v>890</v>
      </c>
      <c r="C142" s="137"/>
      <c r="D142" s="137"/>
      <c r="E142" s="137"/>
      <c r="F142" s="137"/>
      <c r="G142" s="137"/>
      <c r="H142" s="137"/>
      <c r="J142" s="8"/>
    </row>
    <row r="143" spans="1:17" s="13" customFormat="1" ht="66.75" customHeight="1" x14ac:dyDescent="0.25">
      <c r="A143" s="138"/>
      <c r="B143" s="139" t="s">
        <v>891</v>
      </c>
      <c r="C143" s="139"/>
      <c r="D143" s="139"/>
      <c r="E143" s="139"/>
      <c r="F143" s="139"/>
      <c r="G143" s="139"/>
      <c r="H143" s="139"/>
      <c r="I143" s="114"/>
      <c r="J143" s="8"/>
      <c r="K143"/>
      <c r="L143"/>
      <c r="M143"/>
      <c r="N143"/>
      <c r="O143"/>
      <c r="P143"/>
      <c r="Q143"/>
    </row>
    <row r="144" spans="1:17" x14ac:dyDescent="0.2">
      <c r="A144" s="136"/>
      <c r="B144" s="137" t="s">
        <v>892</v>
      </c>
      <c r="C144" s="137"/>
      <c r="D144" s="137"/>
      <c r="E144" s="137"/>
      <c r="F144" s="137"/>
      <c r="G144" s="137"/>
      <c r="H144" s="137"/>
      <c r="J144" s="8"/>
    </row>
    <row r="145" spans="1:10" x14ac:dyDescent="0.2">
      <c r="A145" s="140"/>
      <c r="B145" s="140"/>
      <c r="C145" s="140"/>
      <c r="D145" s="141"/>
      <c r="E145" s="141"/>
      <c r="F145" s="141"/>
      <c r="G145" s="141"/>
      <c r="J145" s="8"/>
    </row>
    <row r="146" spans="1:10" x14ac:dyDescent="0.2">
      <c r="A146" s="140"/>
      <c r="B146" s="142" t="s">
        <v>180</v>
      </c>
      <c r="C146" s="143"/>
      <c r="D146" s="144"/>
      <c r="E146" s="145"/>
      <c r="F146" s="141"/>
      <c r="G146" s="141"/>
      <c r="J146" s="8"/>
    </row>
    <row r="147" spans="1:10" ht="25.5" customHeight="1" x14ac:dyDescent="0.2">
      <c r="A147" s="136"/>
      <c r="B147" s="148" t="s">
        <v>181</v>
      </c>
      <c r="C147" s="149"/>
      <c r="D147" s="150" t="s">
        <v>918</v>
      </c>
      <c r="E147" s="206"/>
      <c r="F147" s="207"/>
      <c r="G147" s="207"/>
      <c r="J147" s="8"/>
    </row>
    <row r="148" spans="1:10" ht="17.100000000000001" customHeight="1" x14ac:dyDescent="0.2">
      <c r="A148" s="136"/>
      <c r="B148" s="148" t="s">
        <v>908</v>
      </c>
      <c r="C148" s="149"/>
      <c r="D148" s="274" t="s">
        <v>1182</v>
      </c>
      <c r="E148" s="206"/>
      <c r="F148" s="207"/>
      <c r="G148" s="207"/>
      <c r="J148" s="8"/>
    </row>
    <row r="149" spans="1:10" x14ac:dyDescent="0.2">
      <c r="A149" s="140"/>
      <c r="B149" s="146" t="s">
        <v>184</v>
      </c>
      <c r="C149" s="147"/>
      <c r="D149" s="129" t="s">
        <v>151</v>
      </c>
      <c r="E149" s="145"/>
      <c r="F149" s="141"/>
      <c r="G149" s="141"/>
      <c r="J149" s="8"/>
    </row>
    <row r="150" spans="1:10" x14ac:dyDescent="0.2">
      <c r="A150" s="151"/>
      <c r="B150" s="152" t="s">
        <v>151</v>
      </c>
      <c r="C150" s="152" t="s">
        <v>894</v>
      </c>
      <c r="D150" s="152" t="s">
        <v>185</v>
      </c>
      <c r="E150" s="151"/>
      <c r="F150" s="151"/>
      <c r="G150" s="151"/>
      <c r="H150" s="151"/>
      <c r="J150" s="8"/>
    </row>
    <row r="151" spans="1:10" x14ac:dyDescent="0.2">
      <c r="A151" s="153"/>
      <c r="B151" s="154" t="s">
        <v>186</v>
      </c>
      <c r="C151" s="155">
        <v>45535</v>
      </c>
      <c r="D151" s="155">
        <v>45565</v>
      </c>
      <c r="E151" s="153"/>
      <c r="F151" s="153"/>
      <c r="G151" s="153"/>
      <c r="J151" s="8"/>
    </row>
    <row r="152" spans="1:10" x14ac:dyDescent="0.2">
      <c r="A152" s="153"/>
      <c r="B152" s="122" t="s">
        <v>187</v>
      </c>
      <c r="C152" s="156">
        <v>543.37980000000005</v>
      </c>
      <c r="D152" s="156">
        <v>554.40179999999998</v>
      </c>
      <c r="E152" s="153"/>
      <c r="F152" s="157"/>
      <c r="G152" s="158"/>
      <c r="J152" s="8"/>
    </row>
    <row r="153" spans="1:10" ht="25.5" x14ac:dyDescent="0.2">
      <c r="A153" s="153"/>
      <c r="B153" s="122" t="s">
        <v>1040</v>
      </c>
      <c r="C153" s="156">
        <v>542.83270000000005</v>
      </c>
      <c r="D153" s="156">
        <v>553.84360000000004</v>
      </c>
      <c r="E153" s="153"/>
      <c r="F153" s="157"/>
      <c r="G153" s="158"/>
      <c r="J153" s="8"/>
    </row>
    <row r="154" spans="1:10" x14ac:dyDescent="0.2">
      <c r="A154" s="153"/>
      <c r="B154" s="122" t="s">
        <v>188</v>
      </c>
      <c r="C154" s="156">
        <v>510.673</v>
      </c>
      <c r="D154" s="156">
        <v>520.79600000000005</v>
      </c>
      <c r="E154" s="153"/>
      <c r="F154" s="157"/>
      <c r="G154" s="158"/>
      <c r="J154" s="8"/>
    </row>
    <row r="155" spans="1:10" ht="25.5" x14ac:dyDescent="0.2">
      <c r="A155" s="153"/>
      <c r="B155" s="122" t="s">
        <v>1041</v>
      </c>
      <c r="C155" s="156">
        <v>441.73129999999998</v>
      </c>
      <c r="D155" s="156">
        <v>434.97539999999998</v>
      </c>
      <c r="E155" s="153"/>
      <c r="F155" s="157"/>
      <c r="G155" s="158"/>
      <c r="J155" s="8"/>
    </row>
    <row r="156" spans="1:10" x14ac:dyDescent="0.2">
      <c r="A156" s="153"/>
      <c r="B156" s="153"/>
      <c r="C156" s="153"/>
      <c r="D156" s="153"/>
      <c r="E156" s="153"/>
      <c r="F156" s="153"/>
      <c r="G156" s="153"/>
      <c r="J156" s="8"/>
    </row>
    <row r="157" spans="1:10" x14ac:dyDescent="0.2">
      <c r="A157" s="153"/>
      <c r="B157" s="146" t="s">
        <v>895</v>
      </c>
      <c r="C157" s="147"/>
      <c r="D157" s="119" t="s">
        <v>151</v>
      </c>
      <c r="E157" s="153"/>
      <c r="F157" s="153"/>
      <c r="G157" s="153"/>
      <c r="J157" s="8"/>
    </row>
    <row r="158" spans="1:10" x14ac:dyDescent="0.2">
      <c r="A158" s="153"/>
      <c r="B158" s="210" t="s">
        <v>186</v>
      </c>
      <c r="C158" s="211" t="s">
        <v>647</v>
      </c>
      <c r="D158" s="211" t="s">
        <v>648</v>
      </c>
      <c r="E158" s="153"/>
      <c r="F158" s="153"/>
      <c r="G158" s="153"/>
      <c r="J158" s="8"/>
    </row>
    <row r="159" spans="1:10" ht="25.5" x14ac:dyDescent="0.2">
      <c r="A159" s="153"/>
      <c r="B159" s="122" t="s">
        <v>1041</v>
      </c>
      <c r="C159" s="212">
        <v>15.31</v>
      </c>
      <c r="D159" s="131" t="s">
        <v>685</v>
      </c>
      <c r="E159" s="153"/>
      <c r="F159" s="157"/>
      <c r="G159" s="158"/>
      <c r="J159" s="8"/>
    </row>
    <row r="160" spans="1:10" x14ac:dyDescent="0.2">
      <c r="A160" s="153"/>
      <c r="B160" s="213"/>
      <c r="C160" s="213"/>
      <c r="D160" s="214"/>
      <c r="E160" s="153"/>
      <c r="F160" s="157"/>
      <c r="G160" s="158"/>
      <c r="J160" s="8"/>
    </row>
    <row r="161" spans="1:10" ht="29.1" customHeight="1" x14ac:dyDescent="0.2">
      <c r="A161" s="151"/>
      <c r="B161" s="148" t="s">
        <v>189</v>
      </c>
      <c r="C161" s="149"/>
      <c r="D161" s="150" t="s">
        <v>182</v>
      </c>
      <c r="E161" s="160"/>
      <c r="F161" s="151"/>
      <c r="G161" s="151"/>
      <c r="J161" s="8"/>
    </row>
    <row r="162" spans="1:10" ht="29.1" customHeight="1" x14ac:dyDescent="0.2">
      <c r="A162" s="151"/>
      <c r="B162" s="148" t="s">
        <v>190</v>
      </c>
      <c r="C162" s="149"/>
      <c r="D162" s="150" t="s">
        <v>182</v>
      </c>
      <c r="E162" s="160"/>
      <c r="F162" s="151"/>
      <c r="G162" s="151"/>
      <c r="J162" s="8"/>
    </row>
    <row r="163" spans="1:10" ht="17.100000000000001" customHeight="1" x14ac:dyDescent="0.2">
      <c r="A163" s="151"/>
      <c r="B163" s="148" t="s">
        <v>191</v>
      </c>
      <c r="C163" s="149"/>
      <c r="D163" s="150" t="s">
        <v>182</v>
      </c>
      <c r="E163" s="160"/>
      <c r="F163" s="151"/>
      <c r="G163" s="151"/>
      <c r="J163" s="8"/>
    </row>
    <row r="164" spans="1:10" ht="17.100000000000001" customHeight="1" x14ac:dyDescent="0.2">
      <c r="A164" s="151"/>
      <c r="B164" s="148" t="s">
        <v>192</v>
      </c>
      <c r="C164" s="149"/>
      <c r="D164" s="161">
        <v>0.23456433659812229</v>
      </c>
      <c r="E164" s="151"/>
      <c r="F164" s="159"/>
      <c r="G164" s="162"/>
      <c r="J164" s="8"/>
    </row>
    <row r="165" spans="1:10" x14ac:dyDescent="0.2">
      <c r="J165" s="8"/>
    </row>
    <row r="166" spans="1:10" ht="13.5" x14ac:dyDescent="0.25">
      <c r="B166" s="269" t="s">
        <v>1064</v>
      </c>
      <c r="C166" s="275"/>
      <c r="D166" s="275"/>
      <c r="E166" s="23"/>
      <c r="F166" s="24"/>
      <c r="J166" s="8"/>
    </row>
    <row r="167" spans="1:10" ht="40.5" x14ac:dyDescent="0.25">
      <c r="B167" s="276" t="s">
        <v>921</v>
      </c>
      <c r="C167" s="276" t="s">
        <v>922</v>
      </c>
      <c r="D167" s="276" t="s">
        <v>923</v>
      </c>
      <c r="E167" s="276" t="s">
        <v>924</v>
      </c>
      <c r="F167" s="276" t="s">
        <v>925</v>
      </c>
      <c r="J167" s="8"/>
    </row>
    <row r="168" spans="1:10" ht="13.5" x14ac:dyDescent="0.2">
      <c r="B168" s="277" t="s">
        <v>1024</v>
      </c>
      <c r="C168" s="278" t="s">
        <v>990</v>
      </c>
      <c r="D168" s="25">
        <v>0</v>
      </c>
      <c r="E168" s="26">
        <v>0</v>
      </c>
      <c r="F168" s="279">
        <v>0.54925000000000002</v>
      </c>
      <c r="J168" s="8"/>
    </row>
  </sheetData>
  <mergeCells count="17">
    <mergeCell ref="A1:H1"/>
    <mergeCell ref="A2:H2"/>
    <mergeCell ref="A3:H3"/>
    <mergeCell ref="B146:D146"/>
    <mergeCell ref="B140:H140"/>
    <mergeCell ref="B141:H141"/>
    <mergeCell ref="B142:H142"/>
    <mergeCell ref="B143:H143"/>
    <mergeCell ref="B144:H144"/>
    <mergeCell ref="B162:C162"/>
    <mergeCell ref="B163:C163"/>
    <mergeCell ref="B164:C164"/>
    <mergeCell ref="B161:C161"/>
    <mergeCell ref="B147:C147"/>
    <mergeCell ref="B148:C148"/>
    <mergeCell ref="B149:C149"/>
    <mergeCell ref="B157:C157"/>
  </mergeCells>
  <hyperlinks>
    <hyperlink ref="I1" location="Index!B2" display="Index" xr:uid="{36D57013-1FC0-43BF-9E1D-E78CC273CF6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E500-A6D0-4E58-A0AE-938D0156403F}">
  <sheetPr>
    <outlinePr summaryBelow="0" summaryRight="0"/>
  </sheetPr>
  <dimension ref="A1:Q127"/>
  <sheetViews>
    <sheetView showGridLines="0" topLeftCell="A2" workbookViewId="0">
      <selection activeCell="A2" sqref="A2:H2"/>
    </sheetView>
  </sheetViews>
  <sheetFormatPr defaultRowHeight="12.75" x14ac:dyDescent="0.2"/>
  <cols>
    <col min="1" max="1" width="5.85546875" style="114" bestFit="1" customWidth="1"/>
    <col min="2" max="2" width="19.7109375" style="114" bestFit="1" customWidth="1"/>
    <col min="3" max="3" width="40.85546875" style="114" customWidth="1"/>
    <col min="4" max="4" width="17" style="114" bestFit="1" customWidth="1"/>
    <col min="5" max="5" width="11.4257812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802</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14</v>
      </c>
      <c r="C7" s="122" t="s">
        <v>15</v>
      </c>
      <c r="D7" s="122" t="s">
        <v>16</v>
      </c>
      <c r="E7" s="123">
        <v>987983</v>
      </c>
      <c r="F7" s="124">
        <v>16890.063376499998</v>
      </c>
      <c r="G7" s="125">
        <v>9.7986829999999997E-2</v>
      </c>
      <c r="H7" s="120" t="s">
        <v>151</v>
      </c>
      <c r="J7" s="8"/>
    </row>
    <row r="8" spans="1:10" x14ac:dyDescent="0.2">
      <c r="A8" s="121">
        <v>2</v>
      </c>
      <c r="B8" s="122" t="s">
        <v>366</v>
      </c>
      <c r="C8" s="122" t="s">
        <v>367</v>
      </c>
      <c r="D8" s="122" t="s">
        <v>368</v>
      </c>
      <c r="E8" s="123">
        <v>2991251</v>
      </c>
      <c r="F8" s="124">
        <v>15499.1670565</v>
      </c>
      <c r="G8" s="125">
        <v>8.9917620000000004E-2</v>
      </c>
      <c r="H8" s="120" t="s">
        <v>151</v>
      </c>
      <c r="J8" s="8"/>
    </row>
    <row r="9" spans="1:10" x14ac:dyDescent="0.2">
      <c r="A9" s="121">
        <v>3</v>
      </c>
      <c r="B9" s="122" t="s">
        <v>194</v>
      </c>
      <c r="C9" s="122" t="s">
        <v>195</v>
      </c>
      <c r="D9" s="122" t="s">
        <v>35</v>
      </c>
      <c r="E9" s="123">
        <v>1910815</v>
      </c>
      <c r="F9" s="124">
        <v>13953.726537500001</v>
      </c>
      <c r="G9" s="125">
        <v>8.0951819999999994E-2</v>
      </c>
      <c r="H9" s="120" t="s">
        <v>151</v>
      </c>
      <c r="J9" s="8"/>
    </row>
    <row r="10" spans="1:10" x14ac:dyDescent="0.2">
      <c r="A10" s="121">
        <v>4</v>
      </c>
      <c r="B10" s="122" t="s">
        <v>549</v>
      </c>
      <c r="C10" s="122" t="s">
        <v>550</v>
      </c>
      <c r="D10" s="122" t="s">
        <v>270</v>
      </c>
      <c r="E10" s="123">
        <v>350492</v>
      </c>
      <c r="F10" s="124">
        <v>10847.376908</v>
      </c>
      <c r="G10" s="125">
        <v>6.29305E-2</v>
      </c>
      <c r="H10" s="120" t="s">
        <v>151</v>
      </c>
      <c r="J10" s="8"/>
    </row>
    <row r="11" spans="1:10" x14ac:dyDescent="0.2">
      <c r="A11" s="121">
        <v>5</v>
      </c>
      <c r="B11" s="122" t="s">
        <v>378</v>
      </c>
      <c r="C11" s="122" t="s">
        <v>379</v>
      </c>
      <c r="D11" s="122" t="s">
        <v>368</v>
      </c>
      <c r="E11" s="123">
        <v>350212</v>
      </c>
      <c r="F11" s="124">
        <v>10360.321596</v>
      </c>
      <c r="G11" s="125">
        <v>6.0104869999999998E-2</v>
      </c>
      <c r="H11" s="120" t="s">
        <v>151</v>
      </c>
      <c r="J11" s="8"/>
    </row>
    <row r="12" spans="1:10" ht="15" x14ac:dyDescent="0.2">
      <c r="A12" s="121">
        <v>6</v>
      </c>
      <c r="B12" s="122" t="s">
        <v>388</v>
      </c>
      <c r="C12" s="122" t="s">
        <v>389</v>
      </c>
      <c r="D12" s="122" t="s">
        <v>35</v>
      </c>
      <c r="E12" s="123">
        <v>255389</v>
      </c>
      <c r="F12" s="124">
        <v>9765.9476654999999</v>
      </c>
      <c r="G12" s="125">
        <v>5.6656640000000001E-2</v>
      </c>
      <c r="H12" s="120" t="s">
        <v>151</v>
      </c>
      <c r="J12" s="11"/>
    </row>
    <row r="13" spans="1:10" x14ac:dyDescent="0.2">
      <c r="A13" s="121">
        <v>7</v>
      </c>
      <c r="B13" s="122" t="s">
        <v>547</v>
      </c>
      <c r="C13" s="122" t="s">
        <v>548</v>
      </c>
      <c r="D13" s="122" t="s">
        <v>270</v>
      </c>
      <c r="E13" s="123">
        <v>65960</v>
      </c>
      <c r="F13" s="124">
        <v>8731.7847999999994</v>
      </c>
      <c r="G13" s="125">
        <v>5.0657000000000001E-2</v>
      </c>
      <c r="H13" s="120" t="s">
        <v>151</v>
      </c>
      <c r="J13" s="8"/>
    </row>
    <row r="14" spans="1:10" x14ac:dyDescent="0.2">
      <c r="A14" s="121">
        <v>8</v>
      </c>
      <c r="B14" s="122" t="s">
        <v>345</v>
      </c>
      <c r="C14" s="122" t="s">
        <v>346</v>
      </c>
      <c r="D14" s="122" t="s">
        <v>200</v>
      </c>
      <c r="E14" s="123">
        <v>3000962</v>
      </c>
      <c r="F14" s="124">
        <v>8201.6291459999993</v>
      </c>
      <c r="G14" s="125">
        <v>4.7581329999999998E-2</v>
      </c>
      <c r="H14" s="120" t="s">
        <v>151</v>
      </c>
      <c r="J14" s="8"/>
    </row>
    <row r="15" spans="1:10" x14ac:dyDescent="0.2">
      <c r="A15" s="121">
        <v>9</v>
      </c>
      <c r="B15" s="122" t="s">
        <v>543</v>
      </c>
      <c r="C15" s="122" t="s">
        <v>544</v>
      </c>
      <c r="D15" s="122" t="s">
        <v>261</v>
      </c>
      <c r="E15" s="123">
        <v>453496</v>
      </c>
      <c r="F15" s="124">
        <v>7210.1329040000001</v>
      </c>
      <c r="G15" s="125">
        <v>4.1829209999999999E-2</v>
      </c>
      <c r="H15" s="120" t="s">
        <v>151</v>
      </c>
      <c r="J15" s="8"/>
    </row>
    <row r="16" spans="1:10" x14ac:dyDescent="0.2">
      <c r="A16" s="121">
        <v>10</v>
      </c>
      <c r="B16" s="122" t="s">
        <v>407</v>
      </c>
      <c r="C16" s="122" t="s">
        <v>408</v>
      </c>
      <c r="D16" s="122" t="s">
        <v>35</v>
      </c>
      <c r="E16" s="123">
        <v>246492</v>
      </c>
      <c r="F16" s="124">
        <v>5795.1501660000004</v>
      </c>
      <c r="G16" s="125">
        <v>3.3620259999999999E-2</v>
      </c>
      <c r="H16" s="120" t="s">
        <v>151</v>
      </c>
      <c r="J16" s="8"/>
    </row>
    <row r="17" spans="1:10" x14ac:dyDescent="0.2">
      <c r="A17" s="121">
        <v>11</v>
      </c>
      <c r="B17" s="122" t="s">
        <v>767</v>
      </c>
      <c r="C17" s="122" t="s">
        <v>768</v>
      </c>
      <c r="D17" s="122" t="s">
        <v>211</v>
      </c>
      <c r="E17" s="123">
        <v>68048</v>
      </c>
      <c r="F17" s="124">
        <v>4898.8775919999998</v>
      </c>
      <c r="G17" s="125">
        <v>2.8420589999999999E-2</v>
      </c>
      <c r="H17" s="120" t="s">
        <v>151</v>
      </c>
      <c r="J17" s="8"/>
    </row>
    <row r="18" spans="1:10" x14ac:dyDescent="0.2">
      <c r="A18" s="121">
        <v>12</v>
      </c>
      <c r="B18" s="122" t="s">
        <v>695</v>
      </c>
      <c r="C18" s="122" t="s">
        <v>696</v>
      </c>
      <c r="D18" s="122" t="s">
        <v>283</v>
      </c>
      <c r="E18" s="123">
        <v>169170</v>
      </c>
      <c r="F18" s="124">
        <v>4550.5884150000002</v>
      </c>
      <c r="G18" s="125">
        <v>2.64E-2</v>
      </c>
      <c r="H18" s="120" t="s">
        <v>151</v>
      </c>
      <c r="J18" s="8"/>
    </row>
    <row r="19" spans="1:10" x14ac:dyDescent="0.2">
      <c r="A19" s="121">
        <v>13</v>
      </c>
      <c r="B19" s="122" t="s">
        <v>43</v>
      </c>
      <c r="C19" s="122" t="s">
        <v>44</v>
      </c>
      <c r="D19" s="122" t="s">
        <v>45</v>
      </c>
      <c r="E19" s="123">
        <v>262525</v>
      </c>
      <c r="F19" s="124">
        <v>3720.1105124999999</v>
      </c>
      <c r="G19" s="125">
        <v>2.1582029999999999E-2</v>
      </c>
      <c r="H19" s="120" t="s">
        <v>151</v>
      </c>
      <c r="J19" s="8" t="s">
        <v>1025</v>
      </c>
    </row>
    <row r="20" spans="1:10" x14ac:dyDescent="0.2">
      <c r="A20" s="121">
        <v>14</v>
      </c>
      <c r="B20" s="122" t="s">
        <v>775</v>
      </c>
      <c r="C20" s="122" t="s">
        <v>776</v>
      </c>
      <c r="D20" s="122" t="s">
        <v>121</v>
      </c>
      <c r="E20" s="123">
        <v>34697</v>
      </c>
      <c r="F20" s="124">
        <v>3641.346059</v>
      </c>
      <c r="G20" s="125">
        <v>2.1125080000000001E-2</v>
      </c>
      <c r="H20" s="120" t="s">
        <v>151</v>
      </c>
      <c r="J20" s="8"/>
    </row>
    <row r="21" spans="1:10" x14ac:dyDescent="0.2">
      <c r="A21" s="121">
        <v>15</v>
      </c>
      <c r="B21" s="122" t="s">
        <v>357</v>
      </c>
      <c r="C21" s="122" t="s">
        <v>358</v>
      </c>
      <c r="D21" s="122" t="s">
        <v>261</v>
      </c>
      <c r="E21" s="123">
        <v>594842</v>
      </c>
      <c r="F21" s="124">
        <v>3606.5270460000002</v>
      </c>
      <c r="G21" s="125">
        <v>2.092308E-2</v>
      </c>
      <c r="H21" s="120" t="s">
        <v>151</v>
      </c>
      <c r="J21" s="8"/>
    </row>
    <row r="22" spans="1:10" ht="15" x14ac:dyDescent="0.2">
      <c r="A22" s="121">
        <v>16</v>
      </c>
      <c r="B22" s="122" t="s">
        <v>242</v>
      </c>
      <c r="C22" s="122" t="s">
        <v>243</v>
      </c>
      <c r="D22" s="122" t="s">
        <v>200</v>
      </c>
      <c r="E22" s="123">
        <v>43401</v>
      </c>
      <c r="F22" s="124">
        <v>3515.784807</v>
      </c>
      <c r="G22" s="125">
        <v>2.0396640000000001E-2</v>
      </c>
      <c r="H22" s="120" t="s">
        <v>151</v>
      </c>
      <c r="J22" s="11"/>
    </row>
    <row r="23" spans="1:10" x14ac:dyDescent="0.2">
      <c r="A23" s="121">
        <v>17</v>
      </c>
      <c r="B23" s="122" t="s">
        <v>693</v>
      </c>
      <c r="C23" s="122" t="s">
        <v>694</v>
      </c>
      <c r="D23" s="122" t="s">
        <v>283</v>
      </c>
      <c r="E23" s="123">
        <v>51578</v>
      </c>
      <c r="F23" s="124">
        <v>3269.091007</v>
      </c>
      <c r="G23" s="125">
        <v>1.896546E-2</v>
      </c>
      <c r="H23" s="120" t="s">
        <v>151</v>
      </c>
      <c r="J23" s="8"/>
    </row>
    <row r="24" spans="1:10" x14ac:dyDescent="0.2">
      <c r="A24" s="121">
        <v>18</v>
      </c>
      <c r="B24" s="122" t="s">
        <v>545</v>
      </c>
      <c r="C24" s="122" t="s">
        <v>546</v>
      </c>
      <c r="D24" s="122" t="s">
        <v>270</v>
      </c>
      <c r="E24" s="123">
        <v>25666</v>
      </c>
      <c r="F24" s="124">
        <v>3168.7115269999999</v>
      </c>
      <c r="G24" s="125">
        <v>1.8383119999999999E-2</v>
      </c>
      <c r="H24" s="120" t="s">
        <v>151</v>
      </c>
      <c r="J24" s="8"/>
    </row>
    <row r="25" spans="1:10" x14ac:dyDescent="0.2">
      <c r="A25" s="121">
        <v>19</v>
      </c>
      <c r="B25" s="122" t="s">
        <v>803</v>
      </c>
      <c r="C25" s="122" t="s">
        <v>804</v>
      </c>
      <c r="D25" s="122" t="s">
        <v>200</v>
      </c>
      <c r="E25" s="123">
        <v>1455430</v>
      </c>
      <c r="F25" s="124">
        <v>3006.3362080000002</v>
      </c>
      <c r="G25" s="125">
        <v>1.7441100000000001E-2</v>
      </c>
      <c r="H25" s="120" t="s">
        <v>151</v>
      </c>
      <c r="J25" s="8"/>
    </row>
    <row r="26" spans="1:10" x14ac:dyDescent="0.2">
      <c r="A26" s="121">
        <v>20</v>
      </c>
      <c r="B26" s="122" t="s">
        <v>198</v>
      </c>
      <c r="C26" s="122" t="s">
        <v>199</v>
      </c>
      <c r="D26" s="122" t="s">
        <v>200</v>
      </c>
      <c r="E26" s="123">
        <v>38625</v>
      </c>
      <c r="F26" s="124">
        <v>2925.7085625</v>
      </c>
      <c r="G26" s="125">
        <v>1.6973350000000002E-2</v>
      </c>
      <c r="H26" s="120" t="s">
        <v>151</v>
      </c>
      <c r="J26" s="8"/>
    </row>
    <row r="27" spans="1:10" x14ac:dyDescent="0.2">
      <c r="A27" s="121">
        <v>21</v>
      </c>
      <c r="B27" s="122" t="s">
        <v>718</v>
      </c>
      <c r="C27" s="122" t="s">
        <v>719</v>
      </c>
      <c r="D27" s="122" t="s">
        <v>35</v>
      </c>
      <c r="E27" s="123">
        <v>83527</v>
      </c>
      <c r="F27" s="124">
        <v>2780.697357</v>
      </c>
      <c r="G27" s="125">
        <v>1.6132069999999998E-2</v>
      </c>
      <c r="H27" s="120" t="s">
        <v>151</v>
      </c>
      <c r="J27" s="8"/>
    </row>
    <row r="28" spans="1:10" x14ac:dyDescent="0.2">
      <c r="A28" s="121">
        <v>22</v>
      </c>
      <c r="B28" s="122" t="s">
        <v>117</v>
      </c>
      <c r="C28" s="122" t="s">
        <v>118</v>
      </c>
      <c r="D28" s="122" t="s">
        <v>70</v>
      </c>
      <c r="E28" s="123">
        <v>276870</v>
      </c>
      <c r="F28" s="124">
        <v>2773.9605299999998</v>
      </c>
      <c r="G28" s="125">
        <v>1.6092990000000001E-2</v>
      </c>
      <c r="H28" s="120" t="s">
        <v>151</v>
      </c>
      <c r="J28" s="8"/>
    </row>
    <row r="29" spans="1:10" x14ac:dyDescent="0.2">
      <c r="A29" s="121">
        <v>23</v>
      </c>
      <c r="B29" s="122" t="s">
        <v>727</v>
      </c>
      <c r="C29" s="122" t="s">
        <v>728</v>
      </c>
      <c r="D29" s="122" t="s">
        <v>200</v>
      </c>
      <c r="E29" s="123">
        <v>47556</v>
      </c>
      <c r="F29" s="124">
        <v>2423.5964279999998</v>
      </c>
      <c r="G29" s="125">
        <v>1.4060370000000001E-2</v>
      </c>
      <c r="H29" s="120" t="s">
        <v>151</v>
      </c>
      <c r="J29" s="8"/>
    </row>
    <row r="30" spans="1:10" x14ac:dyDescent="0.2">
      <c r="A30" s="121">
        <v>24</v>
      </c>
      <c r="B30" s="122" t="s">
        <v>236</v>
      </c>
      <c r="C30" s="122" t="s">
        <v>237</v>
      </c>
      <c r="D30" s="122" t="s">
        <v>238</v>
      </c>
      <c r="E30" s="123">
        <v>279530</v>
      </c>
      <c r="F30" s="124">
        <v>1906.1150700000001</v>
      </c>
      <c r="G30" s="125">
        <v>1.105823E-2</v>
      </c>
      <c r="H30" s="120" t="s">
        <v>151</v>
      </c>
      <c r="J30" s="8"/>
    </row>
    <row r="31" spans="1:10" x14ac:dyDescent="0.2">
      <c r="A31" s="121">
        <v>25</v>
      </c>
      <c r="B31" s="122" t="s">
        <v>281</v>
      </c>
      <c r="C31" s="122" t="s">
        <v>282</v>
      </c>
      <c r="D31" s="122" t="s">
        <v>283</v>
      </c>
      <c r="E31" s="123">
        <v>151951</v>
      </c>
      <c r="F31" s="124">
        <v>1807.305194</v>
      </c>
      <c r="G31" s="125">
        <v>1.048499E-2</v>
      </c>
      <c r="H31" s="120" t="s">
        <v>151</v>
      </c>
      <c r="J31" s="8"/>
    </row>
    <row r="32" spans="1:10" x14ac:dyDescent="0.2">
      <c r="A32" s="121">
        <v>26</v>
      </c>
      <c r="B32" s="122" t="s">
        <v>259</v>
      </c>
      <c r="C32" s="122" t="s">
        <v>260</v>
      </c>
      <c r="D32" s="122" t="s">
        <v>261</v>
      </c>
      <c r="E32" s="123">
        <v>82792</v>
      </c>
      <c r="F32" s="124">
        <v>1801.0985639999999</v>
      </c>
      <c r="G32" s="125">
        <v>1.044898E-2</v>
      </c>
      <c r="H32" s="120" t="s">
        <v>151</v>
      </c>
      <c r="J32" s="8"/>
    </row>
    <row r="33" spans="1:10" x14ac:dyDescent="0.2">
      <c r="A33" s="121">
        <v>27</v>
      </c>
      <c r="B33" s="122" t="s">
        <v>300</v>
      </c>
      <c r="C33" s="122" t="s">
        <v>301</v>
      </c>
      <c r="D33" s="122" t="s">
        <v>238</v>
      </c>
      <c r="E33" s="123">
        <v>766558</v>
      </c>
      <c r="F33" s="124">
        <v>1500.6139407999999</v>
      </c>
      <c r="G33" s="125">
        <v>8.7057300000000001E-3</v>
      </c>
      <c r="H33" s="120" t="s">
        <v>151</v>
      </c>
      <c r="J33" s="8"/>
    </row>
    <row r="34" spans="1:10" x14ac:dyDescent="0.2">
      <c r="A34" s="121">
        <v>28</v>
      </c>
      <c r="B34" s="122" t="s">
        <v>734</v>
      </c>
      <c r="C34" s="122" t="s">
        <v>735</v>
      </c>
      <c r="D34" s="122" t="s">
        <v>375</v>
      </c>
      <c r="E34" s="123">
        <v>246754</v>
      </c>
      <c r="F34" s="124">
        <v>1376.88732</v>
      </c>
      <c r="G34" s="125">
        <v>7.9879400000000007E-3</v>
      </c>
      <c r="H34" s="120" t="s">
        <v>151</v>
      </c>
      <c r="J34" s="8"/>
    </row>
    <row r="35" spans="1:10" x14ac:dyDescent="0.2">
      <c r="A35" s="121">
        <v>29</v>
      </c>
      <c r="B35" s="122" t="s">
        <v>523</v>
      </c>
      <c r="C35" s="122" t="s">
        <v>524</v>
      </c>
      <c r="D35" s="122" t="s">
        <v>514</v>
      </c>
      <c r="E35" s="123">
        <v>157930</v>
      </c>
      <c r="F35" s="124">
        <v>1210.0596599999999</v>
      </c>
      <c r="G35" s="125">
        <v>7.0200999999999996E-3</v>
      </c>
      <c r="H35" s="120" t="s">
        <v>151</v>
      </c>
      <c r="J35" s="8"/>
    </row>
    <row r="36" spans="1:10" ht="25.5" x14ac:dyDescent="0.2">
      <c r="A36" s="121">
        <v>30</v>
      </c>
      <c r="B36" s="122" t="s">
        <v>467</v>
      </c>
      <c r="C36" s="122" t="s">
        <v>468</v>
      </c>
      <c r="D36" s="122" t="s">
        <v>290</v>
      </c>
      <c r="E36" s="123">
        <v>100516</v>
      </c>
      <c r="F36" s="124">
        <v>1203.126262</v>
      </c>
      <c r="G36" s="125">
        <v>6.9798799999999999E-3</v>
      </c>
      <c r="H36" s="120" t="s">
        <v>151</v>
      </c>
      <c r="J36" s="8"/>
    </row>
    <row r="37" spans="1:10" x14ac:dyDescent="0.2">
      <c r="A37" s="121">
        <v>31</v>
      </c>
      <c r="B37" s="122" t="s">
        <v>254</v>
      </c>
      <c r="C37" s="122" t="s">
        <v>255</v>
      </c>
      <c r="D37" s="122" t="s">
        <v>238</v>
      </c>
      <c r="E37" s="123">
        <v>93809</v>
      </c>
      <c r="F37" s="124">
        <v>825.37848650000001</v>
      </c>
      <c r="G37" s="125">
        <v>4.78839E-3</v>
      </c>
      <c r="H37" s="120" t="s">
        <v>151</v>
      </c>
      <c r="J37" s="8"/>
    </row>
    <row r="38" spans="1:10" x14ac:dyDescent="0.2">
      <c r="A38" s="118"/>
      <c r="B38" s="118"/>
      <c r="C38" s="119" t="s">
        <v>150</v>
      </c>
      <c r="D38" s="118"/>
      <c r="E38" s="118" t="s">
        <v>151</v>
      </c>
      <c r="F38" s="126">
        <v>163167.22070430001</v>
      </c>
      <c r="G38" s="127">
        <v>0.94660619999999995</v>
      </c>
      <c r="H38" s="120" t="s">
        <v>151</v>
      </c>
      <c r="J38" s="8"/>
    </row>
    <row r="39" spans="1:10" x14ac:dyDescent="0.2">
      <c r="A39" s="118"/>
      <c r="B39" s="118"/>
      <c r="C39" s="128"/>
      <c r="D39" s="118"/>
      <c r="E39" s="118"/>
      <c r="F39" s="129"/>
      <c r="G39" s="129"/>
      <c r="H39" s="120" t="s">
        <v>151</v>
      </c>
      <c r="J39" s="8"/>
    </row>
    <row r="40" spans="1:10" x14ac:dyDescent="0.2">
      <c r="A40" s="118"/>
      <c r="B40" s="118"/>
      <c r="C40" s="119" t="s">
        <v>152</v>
      </c>
      <c r="D40" s="118"/>
      <c r="E40" s="118"/>
      <c r="F40" s="118"/>
      <c r="G40" s="118"/>
      <c r="H40" s="120" t="s">
        <v>151</v>
      </c>
      <c r="J40" s="8"/>
    </row>
    <row r="41" spans="1:10" x14ac:dyDescent="0.2">
      <c r="A41" s="118"/>
      <c r="B41" s="118"/>
      <c r="C41" s="119" t="s">
        <v>150</v>
      </c>
      <c r="D41" s="118"/>
      <c r="E41" s="118" t="s">
        <v>151</v>
      </c>
      <c r="F41" s="130" t="s">
        <v>153</v>
      </c>
      <c r="G41" s="127">
        <v>0</v>
      </c>
      <c r="H41" s="120" t="s">
        <v>151</v>
      </c>
      <c r="J41" s="8"/>
    </row>
    <row r="42" spans="1:10" x14ac:dyDescent="0.2">
      <c r="A42" s="118"/>
      <c r="B42" s="118"/>
      <c r="C42" s="128"/>
      <c r="D42" s="118"/>
      <c r="E42" s="118"/>
      <c r="F42" s="129"/>
      <c r="G42" s="129"/>
      <c r="H42" s="120" t="s">
        <v>151</v>
      </c>
      <c r="J42" s="8"/>
    </row>
    <row r="43" spans="1:10" x14ac:dyDescent="0.2">
      <c r="A43" s="118"/>
      <c r="B43" s="118"/>
      <c r="C43" s="119" t="s">
        <v>154</v>
      </c>
      <c r="D43" s="118"/>
      <c r="E43" s="118"/>
      <c r="F43" s="118"/>
      <c r="G43" s="118"/>
      <c r="H43" s="120" t="s">
        <v>151</v>
      </c>
      <c r="J43" s="8"/>
    </row>
    <row r="44" spans="1:10" x14ac:dyDescent="0.2">
      <c r="A44" s="118"/>
      <c r="B44" s="118"/>
      <c r="C44" s="119" t="s">
        <v>150</v>
      </c>
      <c r="D44" s="118"/>
      <c r="E44" s="118" t="s">
        <v>151</v>
      </c>
      <c r="F44" s="130" t="s">
        <v>153</v>
      </c>
      <c r="G44" s="127">
        <v>0</v>
      </c>
      <c r="H44" s="120" t="s">
        <v>151</v>
      </c>
      <c r="J44" s="8"/>
    </row>
    <row r="45" spans="1:10" x14ac:dyDescent="0.2">
      <c r="A45" s="118"/>
      <c r="B45" s="118"/>
      <c r="C45" s="128"/>
      <c r="D45" s="118"/>
      <c r="E45" s="118"/>
      <c r="F45" s="129"/>
      <c r="G45" s="129"/>
      <c r="H45" s="120" t="s">
        <v>151</v>
      </c>
      <c r="J45" s="8"/>
    </row>
    <row r="46" spans="1:10" x14ac:dyDescent="0.2">
      <c r="A46" s="118"/>
      <c r="B46" s="118"/>
      <c r="C46" s="119" t="s">
        <v>155</v>
      </c>
      <c r="D46" s="118"/>
      <c r="E46" s="118"/>
      <c r="F46" s="118"/>
      <c r="G46" s="118"/>
      <c r="H46" s="120" t="s">
        <v>151</v>
      </c>
      <c r="J46" s="8"/>
    </row>
    <row r="47" spans="1:10" x14ac:dyDescent="0.2">
      <c r="A47" s="118"/>
      <c r="B47" s="118"/>
      <c r="C47" s="119" t="s">
        <v>150</v>
      </c>
      <c r="D47" s="118"/>
      <c r="E47" s="118" t="s">
        <v>151</v>
      </c>
      <c r="F47" s="130" t="s">
        <v>153</v>
      </c>
      <c r="G47" s="127">
        <v>0</v>
      </c>
      <c r="H47" s="120" t="s">
        <v>151</v>
      </c>
      <c r="J47" s="8"/>
    </row>
    <row r="48" spans="1:10" x14ac:dyDescent="0.2">
      <c r="A48" s="118"/>
      <c r="B48" s="118"/>
      <c r="C48" s="128"/>
      <c r="D48" s="118"/>
      <c r="E48" s="118"/>
      <c r="F48" s="129"/>
      <c r="G48" s="129"/>
      <c r="H48" s="120" t="s">
        <v>151</v>
      </c>
      <c r="J48" s="8"/>
    </row>
    <row r="49" spans="1:10" x14ac:dyDescent="0.2">
      <c r="A49" s="118"/>
      <c r="B49" s="118"/>
      <c r="C49" s="119" t="s">
        <v>156</v>
      </c>
      <c r="D49" s="118"/>
      <c r="E49" s="118"/>
      <c r="F49" s="129"/>
      <c r="G49" s="129"/>
      <c r="H49" s="120" t="s">
        <v>151</v>
      </c>
      <c r="J49" s="8"/>
    </row>
    <row r="50" spans="1:10" x14ac:dyDescent="0.2">
      <c r="A50" s="118"/>
      <c r="B50" s="118"/>
      <c r="C50" s="119" t="s">
        <v>150</v>
      </c>
      <c r="D50" s="118"/>
      <c r="E50" s="118" t="s">
        <v>151</v>
      </c>
      <c r="F50" s="130" t="s">
        <v>153</v>
      </c>
      <c r="G50" s="127">
        <v>0</v>
      </c>
      <c r="H50" s="120" t="s">
        <v>151</v>
      </c>
      <c r="J50" s="8"/>
    </row>
    <row r="51" spans="1:10" x14ac:dyDescent="0.2">
      <c r="A51" s="118"/>
      <c r="B51" s="118"/>
      <c r="C51" s="128"/>
      <c r="D51" s="118"/>
      <c r="E51" s="118"/>
      <c r="F51" s="129"/>
      <c r="G51" s="129"/>
      <c r="H51" s="120" t="s">
        <v>151</v>
      </c>
      <c r="J51" s="8"/>
    </row>
    <row r="52" spans="1:10" x14ac:dyDescent="0.2">
      <c r="A52" s="118"/>
      <c r="B52" s="118"/>
      <c r="C52" s="119" t="s">
        <v>157</v>
      </c>
      <c r="D52" s="118"/>
      <c r="E52" s="118"/>
      <c r="F52" s="129"/>
      <c r="G52" s="129"/>
      <c r="H52" s="120" t="s">
        <v>151</v>
      </c>
      <c r="J52" s="8"/>
    </row>
    <row r="53" spans="1:10" x14ac:dyDescent="0.2">
      <c r="A53" s="118"/>
      <c r="B53" s="118"/>
      <c r="C53" s="119" t="s">
        <v>150</v>
      </c>
      <c r="D53" s="118"/>
      <c r="E53" s="118" t="s">
        <v>151</v>
      </c>
      <c r="F53" s="130" t="s">
        <v>153</v>
      </c>
      <c r="G53" s="127">
        <v>0</v>
      </c>
      <c r="H53" s="120" t="s">
        <v>151</v>
      </c>
      <c r="J53" s="8"/>
    </row>
    <row r="54" spans="1:10" x14ac:dyDescent="0.2">
      <c r="A54" s="118"/>
      <c r="B54" s="118"/>
      <c r="C54" s="128"/>
      <c r="D54" s="118"/>
      <c r="E54" s="118"/>
      <c r="F54" s="129"/>
      <c r="G54" s="129"/>
      <c r="H54" s="120" t="s">
        <v>151</v>
      </c>
      <c r="J54" s="8"/>
    </row>
    <row r="55" spans="1:10" x14ac:dyDescent="0.2">
      <c r="A55" s="118"/>
      <c r="B55" s="118"/>
      <c r="C55" s="119" t="s">
        <v>158</v>
      </c>
      <c r="D55" s="118"/>
      <c r="E55" s="118"/>
      <c r="F55" s="126">
        <v>163167.22070430001</v>
      </c>
      <c r="G55" s="127">
        <v>0.94660619999999995</v>
      </c>
      <c r="H55" s="120" t="s">
        <v>151</v>
      </c>
      <c r="J55" s="8"/>
    </row>
    <row r="56" spans="1:10" x14ac:dyDescent="0.2">
      <c r="A56" s="118"/>
      <c r="B56" s="118"/>
      <c r="C56" s="128"/>
      <c r="D56" s="118"/>
      <c r="E56" s="118"/>
      <c r="F56" s="129"/>
      <c r="G56" s="129"/>
      <c r="H56" s="120" t="s">
        <v>151</v>
      </c>
      <c r="J56" s="8"/>
    </row>
    <row r="57" spans="1:10" x14ac:dyDescent="0.2">
      <c r="A57" s="118"/>
      <c r="B57" s="118"/>
      <c r="C57" s="119" t="s">
        <v>159</v>
      </c>
      <c r="D57" s="118"/>
      <c r="E57" s="118"/>
      <c r="F57" s="129"/>
      <c r="G57" s="129"/>
      <c r="H57" s="120" t="s">
        <v>151</v>
      </c>
      <c r="J57" s="8"/>
    </row>
    <row r="58" spans="1:10" x14ac:dyDescent="0.2">
      <c r="A58" s="118"/>
      <c r="B58" s="118"/>
      <c r="C58" s="119" t="s">
        <v>10</v>
      </c>
      <c r="D58" s="118"/>
      <c r="E58" s="118"/>
      <c r="F58" s="129"/>
      <c r="G58" s="129"/>
      <c r="H58" s="120" t="s">
        <v>151</v>
      </c>
      <c r="J58" s="8"/>
    </row>
    <row r="59" spans="1:10" x14ac:dyDescent="0.2">
      <c r="A59" s="118"/>
      <c r="B59" s="118"/>
      <c r="C59" s="119" t="s">
        <v>150</v>
      </c>
      <c r="D59" s="118"/>
      <c r="E59" s="118" t="s">
        <v>151</v>
      </c>
      <c r="F59" s="130" t="s">
        <v>153</v>
      </c>
      <c r="G59" s="127">
        <v>0</v>
      </c>
      <c r="H59" s="120" t="s">
        <v>151</v>
      </c>
      <c r="J59" s="8"/>
    </row>
    <row r="60" spans="1:10" x14ac:dyDescent="0.2">
      <c r="A60" s="118"/>
      <c r="B60" s="118"/>
      <c r="C60" s="128"/>
      <c r="D60" s="118"/>
      <c r="E60" s="118"/>
      <c r="F60" s="129"/>
      <c r="G60" s="129"/>
      <c r="H60" s="120" t="s">
        <v>151</v>
      </c>
      <c r="J60" s="8"/>
    </row>
    <row r="61" spans="1:10" x14ac:dyDescent="0.2">
      <c r="A61" s="118"/>
      <c r="B61" s="118"/>
      <c r="C61" s="119" t="s">
        <v>160</v>
      </c>
      <c r="D61" s="118"/>
      <c r="E61" s="118"/>
      <c r="F61" s="118"/>
      <c r="G61" s="118"/>
      <c r="H61" s="120" t="s">
        <v>151</v>
      </c>
      <c r="J61" s="8"/>
    </row>
    <row r="62" spans="1:10" x14ac:dyDescent="0.2">
      <c r="A62" s="118"/>
      <c r="B62" s="118"/>
      <c r="C62" s="119" t="s">
        <v>150</v>
      </c>
      <c r="D62" s="118"/>
      <c r="E62" s="118" t="s">
        <v>151</v>
      </c>
      <c r="F62" s="130" t="s">
        <v>153</v>
      </c>
      <c r="G62" s="127">
        <v>0</v>
      </c>
      <c r="H62" s="120" t="s">
        <v>151</v>
      </c>
      <c r="J62" s="8"/>
    </row>
    <row r="63" spans="1:10" x14ac:dyDescent="0.2">
      <c r="A63" s="118"/>
      <c r="B63" s="118"/>
      <c r="C63" s="128"/>
      <c r="D63" s="118"/>
      <c r="E63" s="118"/>
      <c r="F63" s="129"/>
      <c r="G63" s="129"/>
      <c r="H63" s="120" t="s">
        <v>151</v>
      </c>
      <c r="J63" s="8"/>
    </row>
    <row r="64" spans="1:10" x14ac:dyDescent="0.2">
      <c r="A64" s="118"/>
      <c r="B64" s="118"/>
      <c r="C64" s="119" t="s">
        <v>161</v>
      </c>
      <c r="D64" s="118"/>
      <c r="E64" s="118"/>
      <c r="F64" s="118"/>
      <c r="G64" s="118"/>
      <c r="H64" s="120" t="s">
        <v>151</v>
      </c>
      <c r="J64" s="8"/>
    </row>
    <row r="65" spans="1:10" x14ac:dyDescent="0.2">
      <c r="A65" s="118"/>
      <c r="B65" s="118"/>
      <c r="C65" s="119" t="s">
        <v>150</v>
      </c>
      <c r="D65" s="118"/>
      <c r="E65" s="118" t="s">
        <v>151</v>
      </c>
      <c r="F65" s="130" t="s">
        <v>153</v>
      </c>
      <c r="G65" s="127">
        <v>0</v>
      </c>
      <c r="H65" s="120" t="s">
        <v>151</v>
      </c>
      <c r="J65" s="8"/>
    </row>
    <row r="66" spans="1:10" x14ac:dyDescent="0.2">
      <c r="A66" s="118"/>
      <c r="B66" s="118"/>
      <c r="C66" s="128"/>
      <c r="D66" s="118"/>
      <c r="E66" s="118"/>
      <c r="F66" s="129"/>
      <c r="G66" s="129"/>
      <c r="H66" s="120" t="s">
        <v>151</v>
      </c>
      <c r="J66" s="8"/>
    </row>
    <row r="67" spans="1:10" x14ac:dyDescent="0.2">
      <c r="A67" s="118"/>
      <c r="B67" s="118"/>
      <c r="C67" s="119" t="s">
        <v>162</v>
      </c>
      <c r="D67" s="118"/>
      <c r="E67" s="118"/>
      <c r="F67" s="129"/>
      <c r="G67" s="129"/>
      <c r="H67" s="120" t="s">
        <v>151</v>
      </c>
      <c r="J67" s="8"/>
    </row>
    <row r="68" spans="1:10" x14ac:dyDescent="0.2">
      <c r="A68" s="118"/>
      <c r="B68" s="118"/>
      <c r="C68" s="119" t="s">
        <v>150</v>
      </c>
      <c r="D68" s="118"/>
      <c r="E68" s="118" t="s">
        <v>151</v>
      </c>
      <c r="F68" s="130" t="s">
        <v>153</v>
      </c>
      <c r="G68" s="127">
        <v>0</v>
      </c>
      <c r="H68" s="120" t="s">
        <v>151</v>
      </c>
      <c r="J68" s="8"/>
    </row>
    <row r="69" spans="1:10" x14ac:dyDescent="0.2">
      <c r="A69" s="118"/>
      <c r="B69" s="118"/>
      <c r="C69" s="128"/>
      <c r="D69" s="118"/>
      <c r="E69" s="118"/>
      <c r="F69" s="129"/>
      <c r="G69" s="129"/>
      <c r="H69" s="120" t="s">
        <v>151</v>
      </c>
      <c r="J69" s="8"/>
    </row>
    <row r="70" spans="1:10" x14ac:dyDescent="0.2">
      <c r="A70" s="118"/>
      <c r="B70" s="118"/>
      <c r="C70" s="119" t="s">
        <v>163</v>
      </c>
      <c r="D70" s="118"/>
      <c r="E70" s="118"/>
      <c r="F70" s="126">
        <v>0</v>
      </c>
      <c r="G70" s="127">
        <v>0</v>
      </c>
      <c r="H70" s="120" t="s">
        <v>151</v>
      </c>
      <c r="J70" s="8"/>
    </row>
    <row r="71" spans="1:10" x14ac:dyDescent="0.2">
      <c r="A71" s="118"/>
      <c r="B71" s="118"/>
      <c r="C71" s="128"/>
      <c r="D71" s="118"/>
      <c r="E71" s="118"/>
      <c r="F71" s="129"/>
      <c r="G71" s="129"/>
      <c r="H71" s="120" t="s">
        <v>151</v>
      </c>
      <c r="J71" s="8"/>
    </row>
    <row r="72" spans="1:10" x14ac:dyDescent="0.2">
      <c r="A72" s="118"/>
      <c r="B72" s="118"/>
      <c r="C72" s="119" t="s">
        <v>164</v>
      </c>
      <c r="D72" s="118"/>
      <c r="E72" s="118"/>
      <c r="F72" s="129"/>
      <c r="G72" s="129"/>
      <c r="H72" s="120" t="s">
        <v>151</v>
      </c>
      <c r="J72" s="8"/>
    </row>
    <row r="73" spans="1:10" x14ac:dyDescent="0.2">
      <c r="A73" s="118"/>
      <c r="B73" s="118"/>
      <c r="C73" s="119" t="s">
        <v>165</v>
      </c>
      <c r="D73" s="118"/>
      <c r="E73" s="118"/>
      <c r="F73" s="129"/>
      <c r="G73" s="129"/>
      <c r="H73" s="120" t="s">
        <v>151</v>
      </c>
      <c r="J73" s="8"/>
    </row>
    <row r="74" spans="1:10" x14ac:dyDescent="0.2">
      <c r="A74" s="118"/>
      <c r="B74" s="118"/>
      <c r="C74" s="119" t="s">
        <v>150</v>
      </c>
      <c r="D74" s="118"/>
      <c r="E74" s="118" t="s">
        <v>151</v>
      </c>
      <c r="F74" s="130" t="s">
        <v>153</v>
      </c>
      <c r="G74" s="127">
        <v>0</v>
      </c>
      <c r="H74" s="120" t="s">
        <v>151</v>
      </c>
      <c r="J74" s="8"/>
    </row>
    <row r="75" spans="1:10" x14ac:dyDescent="0.2">
      <c r="A75" s="118"/>
      <c r="B75" s="118"/>
      <c r="C75" s="128"/>
      <c r="D75" s="118"/>
      <c r="E75" s="118"/>
      <c r="F75" s="129"/>
      <c r="G75" s="129"/>
      <c r="H75" s="120" t="s">
        <v>151</v>
      </c>
      <c r="J75" s="8"/>
    </row>
    <row r="76" spans="1:10" x14ac:dyDescent="0.2">
      <c r="A76" s="118"/>
      <c r="B76" s="118"/>
      <c r="C76" s="119" t="s">
        <v>166</v>
      </c>
      <c r="D76" s="118"/>
      <c r="E76" s="118"/>
      <c r="F76" s="129"/>
      <c r="G76" s="129"/>
      <c r="H76" s="120" t="s">
        <v>151</v>
      </c>
      <c r="J76" s="8"/>
    </row>
    <row r="77" spans="1:10" x14ac:dyDescent="0.2">
      <c r="A77" s="118"/>
      <c r="B77" s="118"/>
      <c r="C77" s="119" t="s">
        <v>150</v>
      </c>
      <c r="D77" s="118"/>
      <c r="E77" s="118" t="s">
        <v>151</v>
      </c>
      <c r="F77" s="130" t="s">
        <v>153</v>
      </c>
      <c r="G77" s="127">
        <v>0</v>
      </c>
      <c r="H77" s="120" t="s">
        <v>151</v>
      </c>
      <c r="J77" s="8"/>
    </row>
    <row r="78" spans="1:10" x14ac:dyDescent="0.2">
      <c r="A78" s="118"/>
      <c r="B78" s="118"/>
      <c r="C78" s="128"/>
      <c r="D78" s="118"/>
      <c r="E78" s="118"/>
      <c r="F78" s="129"/>
      <c r="G78" s="129"/>
      <c r="H78" s="120" t="s">
        <v>151</v>
      </c>
      <c r="J78" s="8"/>
    </row>
    <row r="79" spans="1:10" x14ac:dyDescent="0.2">
      <c r="A79" s="118"/>
      <c r="B79" s="118"/>
      <c r="C79" s="119" t="s">
        <v>167</v>
      </c>
      <c r="D79" s="118"/>
      <c r="E79" s="118"/>
      <c r="F79" s="129"/>
      <c r="G79" s="129"/>
      <c r="H79" s="120" t="s">
        <v>151</v>
      </c>
      <c r="J79" s="8"/>
    </row>
    <row r="80" spans="1:10" x14ac:dyDescent="0.2">
      <c r="A80" s="118"/>
      <c r="B80" s="118"/>
      <c r="C80" s="119" t="s">
        <v>150</v>
      </c>
      <c r="D80" s="118"/>
      <c r="E80" s="118" t="s">
        <v>151</v>
      </c>
      <c r="F80" s="130" t="s">
        <v>153</v>
      </c>
      <c r="G80" s="127">
        <v>0</v>
      </c>
      <c r="H80" s="120" t="s">
        <v>151</v>
      </c>
      <c r="J80" s="8"/>
    </row>
    <row r="81" spans="1:10" x14ac:dyDescent="0.2">
      <c r="A81" s="118"/>
      <c r="B81" s="118"/>
      <c r="C81" s="128"/>
      <c r="D81" s="118"/>
      <c r="E81" s="118"/>
      <c r="F81" s="129"/>
      <c r="G81" s="129"/>
      <c r="H81" s="120" t="s">
        <v>151</v>
      </c>
      <c r="J81" s="8"/>
    </row>
    <row r="82" spans="1:10" x14ac:dyDescent="0.2">
      <c r="A82" s="118"/>
      <c r="B82" s="118"/>
      <c r="C82" s="119" t="s">
        <v>168</v>
      </c>
      <c r="D82" s="118"/>
      <c r="E82" s="118"/>
      <c r="F82" s="129"/>
      <c r="G82" s="129"/>
      <c r="H82" s="120" t="s">
        <v>151</v>
      </c>
      <c r="J82" s="8"/>
    </row>
    <row r="83" spans="1:10" x14ac:dyDescent="0.2">
      <c r="A83" s="121">
        <v>1</v>
      </c>
      <c r="B83" s="122"/>
      <c r="C83" s="122" t="s">
        <v>169</v>
      </c>
      <c r="D83" s="122"/>
      <c r="E83" s="131"/>
      <c r="F83" s="124">
        <v>6188.6938670139998</v>
      </c>
      <c r="G83" s="125">
        <v>3.590339E-2</v>
      </c>
      <c r="H83" s="120">
        <v>6.61</v>
      </c>
      <c r="J83" s="8"/>
    </row>
    <row r="84" spans="1:10" x14ac:dyDescent="0.2">
      <c r="A84" s="118"/>
      <c r="B84" s="118"/>
      <c r="C84" s="119" t="s">
        <v>150</v>
      </c>
      <c r="D84" s="118"/>
      <c r="E84" s="118" t="s">
        <v>151</v>
      </c>
      <c r="F84" s="126">
        <v>6188.6938670139998</v>
      </c>
      <c r="G84" s="127">
        <v>3.590339E-2</v>
      </c>
      <c r="H84" s="120" t="s">
        <v>151</v>
      </c>
      <c r="J84" s="8"/>
    </row>
    <row r="85" spans="1:10" x14ac:dyDescent="0.2">
      <c r="A85" s="118"/>
      <c r="B85" s="118"/>
      <c r="C85" s="128"/>
      <c r="D85" s="118"/>
      <c r="E85" s="118"/>
      <c r="F85" s="129"/>
      <c r="G85" s="129"/>
      <c r="H85" s="120" t="s">
        <v>151</v>
      </c>
      <c r="J85" s="8"/>
    </row>
    <row r="86" spans="1:10" x14ac:dyDescent="0.2">
      <c r="A86" s="118"/>
      <c r="B86" s="118"/>
      <c r="C86" s="119" t="s">
        <v>170</v>
      </c>
      <c r="D86" s="118"/>
      <c r="E86" s="118"/>
      <c r="F86" s="126">
        <v>6188.6938670139998</v>
      </c>
      <c r="G86" s="127">
        <v>3.590339E-2</v>
      </c>
      <c r="H86" s="120" t="s">
        <v>151</v>
      </c>
      <c r="J86" s="8"/>
    </row>
    <row r="87" spans="1:10" x14ac:dyDescent="0.2">
      <c r="A87" s="118"/>
      <c r="B87" s="118"/>
      <c r="C87" s="129"/>
      <c r="D87" s="118"/>
      <c r="E87" s="118"/>
      <c r="F87" s="118"/>
      <c r="G87" s="118"/>
      <c r="H87" s="120" t="s">
        <v>151</v>
      </c>
      <c r="J87" s="8"/>
    </row>
    <row r="88" spans="1:10" x14ac:dyDescent="0.2">
      <c r="A88" s="118"/>
      <c r="B88" s="118"/>
      <c r="C88" s="119" t="s">
        <v>171</v>
      </c>
      <c r="D88" s="118"/>
      <c r="E88" s="118"/>
      <c r="F88" s="118"/>
      <c r="G88" s="118"/>
      <c r="H88" s="120" t="s">
        <v>151</v>
      </c>
      <c r="J88" s="8"/>
    </row>
    <row r="89" spans="1:10" x14ac:dyDescent="0.2">
      <c r="A89" s="118"/>
      <c r="B89" s="118"/>
      <c r="C89" s="119" t="s">
        <v>172</v>
      </c>
      <c r="D89" s="118"/>
      <c r="E89" s="118"/>
      <c r="F89" s="118"/>
      <c r="G89" s="118"/>
      <c r="H89" s="120" t="s">
        <v>151</v>
      </c>
      <c r="J89" s="8"/>
    </row>
    <row r="90" spans="1:10" x14ac:dyDescent="0.2">
      <c r="A90" s="121">
        <v>1</v>
      </c>
      <c r="B90" s="122" t="s">
        <v>173</v>
      </c>
      <c r="C90" s="122" t="s">
        <v>174</v>
      </c>
      <c r="D90" s="122"/>
      <c r="E90" s="132">
        <v>158379.842</v>
      </c>
      <c r="F90" s="124">
        <v>3500.9468124499999</v>
      </c>
      <c r="G90" s="125">
        <v>2.0310559999999998E-2</v>
      </c>
      <c r="H90" s="120" t="s">
        <v>151</v>
      </c>
      <c r="J90" s="8"/>
    </row>
    <row r="91" spans="1:10" x14ac:dyDescent="0.2">
      <c r="A91" s="118"/>
      <c r="B91" s="118"/>
      <c r="C91" s="119" t="s">
        <v>150</v>
      </c>
      <c r="D91" s="118"/>
      <c r="E91" s="118" t="s">
        <v>151</v>
      </c>
      <c r="F91" s="126">
        <v>3500.9468124499999</v>
      </c>
      <c r="G91" s="127">
        <v>2.0310559999999998E-2</v>
      </c>
      <c r="H91" s="120" t="s">
        <v>151</v>
      </c>
      <c r="J91" s="8"/>
    </row>
    <row r="92" spans="1:10" x14ac:dyDescent="0.2">
      <c r="A92" s="118"/>
      <c r="B92" s="118"/>
      <c r="C92" s="128"/>
      <c r="D92" s="118"/>
      <c r="E92" s="118"/>
      <c r="F92" s="129"/>
      <c r="G92" s="129"/>
      <c r="H92" s="120" t="s">
        <v>151</v>
      </c>
      <c r="J92" s="8"/>
    </row>
    <row r="93" spans="1:10" x14ac:dyDescent="0.2">
      <c r="A93" s="118"/>
      <c r="B93" s="118"/>
      <c r="C93" s="119" t="s">
        <v>175</v>
      </c>
      <c r="D93" s="118"/>
      <c r="E93" s="118"/>
      <c r="F93" s="118"/>
      <c r="G93" s="118"/>
      <c r="H93" s="120" t="s">
        <v>151</v>
      </c>
      <c r="J93" s="8"/>
    </row>
    <row r="94" spans="1:10" x14ac:dyDescent="0.2">
      <c r="A94" s="118"/>
      <c r="B94" s="118"/>
      <c r="C94" s="119" t="s">
        <v>176</v>
      </c>
      <c r="D94" s="118"/>
      <c r="E94" s="118"/>
      <c r="F94" s="118"/>
      <c r="G94" s="118"/>
      <c r="H94" s="120" t="s">
        <v>151</v>
      </c>
      <c r="J94" s="8"/>
    </row>
    <row r="95" spans="1:10" x14ac:dyDescent="0.2">
      <c r="A95" s="118"/>
      <c r="B95" s="118"/>
      <c r="C95" s="119" t="s">
        <v>150</v>
      </c>
      <c r="D95" s="118"/>
      <c r="E95" s="118" t="s">
        <v>151</v>
      </c>
      <c r="F95" s="130" t="s">
        <v>153</v>
      </c>
      <c r="G95" s="127">
        <v>0</v>
      </c>
      <c r="H95" s="120" t="s">
        <v>151</v>
      </c>
      <c r="J95" s="8"/>
    </row>
    <row r="96" spans="1:10" x14ac:dyDescent="0.2">
      <c r="A96" s="118"/>
      <c r="B96" s="118"/>
      <c r="C96" s="128"/>
      <c r="D96" s="118"/>
      <c r="E96" s="118"/>
      <c r="F96" s="129"/>
      <c r="G96" s="129"/>
      <c r="H96" s="120" t="s">
        <v>151</v>
      </c>
      <c r="J96" s="8"/>
    </row>
    <row r="97" spans="1:17" x14ac:dyDescent="0.2">
      <c r="A97" s="118"/>
      <c r="B97" s="118"/>
      <c r="C97" s="119" t="s">
        <v>177</v>
      </c>
      <c r="D97" s="118"/>
      <c r="E97" s="118"/>
      <c r="F97" s="129"/>
      <c r="G97" s="129"/>
      <c r="H97" s="120" t="s">
        <v>151</v>
      </c>
      <c r="J97" s="8"/>
    </row>
    <row r="98" spans="1:17" x14ac:dyDescent="0.2">
      <c r="A98" s="118"/>
      <c r="B98" s="118"/>
      <c r="C98" s="119" t="s">
        <v>150</v>
      </c>
      <c r="D98" s="118"/>
      <c r="E98" s="118" t="s">
        <v>151</v>
      </c>
      <c r="F98" s="130" t="s">
        <v>153</v>
      </c>
      <c r="G98" s="127">
        <v>0</v>
      </c>
      <c r="H98" s="120" t="s">
        <v>151</v>
      </c>
      <c r="J98" s="8"/>
    </row>
    <row r="99" spans="1:17" x14ac:dyDescent="0.2">
      <c r="A99" s="118"/>
      <c r="B99" s="118"/>
      <c r="C99" s="128"/>
      <c r="D99" s="118"/>
      <c r="E99" s="118"/>
      <c r="F99" s="129"/>
      <c r="G99" s="129"/>
      <c r="H99" s="120" t="s">
        <v>151</v>
      </c>
      <c r="J99" s="8"/>
    </row>
    <row r="100" spans="1:17" x14ac:dyDescent="0.2">
      <c r="A100" s="131"/>
      <c r="B100" s="122"/>
      <c r="C100" s="122" t="s">
        <v>178</v>
      </c>
      <c r="D100" s="122"/>
      <c r="E100" s="131"/>
      <c r="F100" s="124">
        <v>-486.10864280999999</v>
      </c>
      <c r="G100" s="125">
        <v>-2.8201300000000001E-3</v>
      </c>
      <c r="H100" s="120" t="s">
        <v>151</v>
      </c>
      <c r="J100" s="8"/>
    </row>
    <row r="101" spans="1:17" x14ac:dyDescent="0.2">
      <c r="A101" s="128"/>
      <c r="B101" s="128"/>
      <c r="C101" s="119" t="s">
        <v>179</v>
      </c>
      <c r="D101" s="129"/>
      <c r="E101" s="129"/>
      <c r="F101" s="126">
        <v>172370.75274095399</v>
      </c>
      <c r="G101" s="133">
        <v>1.0000000200000001</v>
      </c>
      <c r="H101" s="120" t="s">
        <v>151</v>
      </c>
      <c r="J101" s="8"/>
    </row>
    <row r="102" spans="1:17" x14ac:dyDescent="0.2">
      <c r="A102" s="134"/>
      <c r="B102" s="134"/>
      <c r="C102" s="134"/>
      <c r="D102" s="135"/>
      <c r="E102" s="135"/>
      <c r="F102" s="135"/>
      <c r="G102" s="135"/>
      <c r="J102" s="8"/>
    </row>
    <row r="103" spans="1:17" x14ac:dyDescent="0.2">
      <c r="A103" s="136"/>
      <c r="B103" s="137" t="s">
        <v>888</v>
      </c>
      <c r="C103" s="137"/>
      <c r="D103" s="137"/>
      <c r="E103" s="137"/>
      <c r="F103" s="137"/>
      <c r="G103" s="137"/>
      <c r="H103" s="137"/>
      <c r="J103" s="8"/>
    </row>
    <row r="104" spans="1:17" x14ac:dyDescent="0.2">
      <c r="A104" s="136"/>
      <c r="B104" s="137" t="s">
        <v>889</v>
      </c>
      <c r="C104" s="137"/>
      <c r="D104" s="137"/>
      <c r="E104" s="137"/>
      <c r="F104" s="137"/>
      <c r="G104" s="137"/>
      <c r="H104" s="137"/>
      <c r="J104" s="8"/>
    </row>
    <row r="105" spans="1:17" x14ac:dyDescent="0.2">
      <c r="A105" s="136"/>
      <c r="B105" s="137" t="s">
        <v>890</v>
      </c>
      <c r="C105" s="137"/>
      <c r="D105" s="137"/>
      <c r="E105" s="137"/>
      <c r="F105" s="137"/>
      <c r="G105" s="137"/>
      <c r="H105" s="137"/>
      <c r="J105" s="8"/>
    </row>
    <row r="106" spans="1:17" s="13" customFormat="1" ht="65.25" customHeight="1" x14ac:dyDescent="0.25">
      <c r="A106" s="138"/>
      <c r="B106" s="139" t="s">
        <v>891</v>
      </c>
      <c r="C106" s="139"/>
      <c r="D106" s="139"/>
      <c r="E106" s="139"/>
      <c r="F106" s="139"/>
      <c r="G106" s="139"/>
      <c r="H106" s="139"/>
      <c r="I106" s="114"/>
      <c r="J106" s="8"/>
      <c r="K106"/>
      <c r="L106"/>
      <c r="M106"/>
      <c r="N106"/>
      <c r="O106"/>
      <c r="P106"/>
      <c r="Q106"/>
    </row>
    <row r="107" spans="1:17" x14ac:dyDescent="0.2">
      <c r="A107" s="136"/>
      <c r="B107" s="137" t="s">
        <v>892</v>
      </c>
      <c r="C107" s="137"/>
      <c r="D107" s="137"/>
      <c r="E107" s="137"/>
      <c r="F107" s="137"/>
      <c r="G107" s="137"/>
      <c r="H107" s="137"/>
      <c r="J107" s="8"/>
    </row>
    <row r="108" spans="1:17" x14ac:dyDescent="0.2">
      <c r="A108" s="140"/>
      <c r="B108" s="140"/>
      <c r="C108" s="140"/>
      <c r="D108" s="141"/>
      <c r="E108" s="141"/>
      <c r="F108" s="141"/>
      <c r="G108" s="141"/>
      <c r="J108" s="8"/>
    </row>
    <row r="109" spans="1:17" x14ac:dyDescent="0.2">
      <c r="A109" s="140"/>
      <c r="B109" s="142" t="s">
        <v>180</v>
      </c>
      <c r="C109" s="143"/>
      <c r="D109" s="144"/>
      <c r="E109" s="145"/>
      <c r="F109" s="141"/>
      <c r="G109" s="141"/>
      <c r="J109" s="8"/>
    </row>
    <row r="110" spans="1:17" x14ac:dyDescent="0.2">
      <c r="A110" s="140"/>
      <c r="B110" s="146" t="s">
        <v>181</v>
      </c>
      <c r="C110" s="147"/>
      <c r="D110" s="119" t="s">
        <v>182</v>
      </c>
      <c r="E110" s="145"/>
      <c r="F110" s="141"/>
      <c r="G110" s="141"/>
      <c r="J110" s="8"/>
    </row>
    <row r="111" spans="1:17" x14ac:dyDescent="0.2">
      <c r="A111" s="140"/>
      <c r="B111" s="146" t="s">
        <v>183</v>
      </c>
      <c r="C111" s="147"/>
      <c r="D111" s="119" t="s">
        <v>182</v>
      </c>
      <c r="E111" s="145"/>
      <c r="F111" s="141"/>
      <c r="G111" s="141"/>
      <c r="J111" s="8"/>
    </row>
    <row r="112" spans="1:17" x14ac:dyDescent="0.2">
      <c r="A112" s="140"/>
      <c r="B112" s="146" t="s">
        <v>184</v>
      </c>
      <c r="C112" s="147"/>
      <c r="D112" s="129" t="s">
        <v>151</v>
      </c>
      <c r="E112" s="145"/>
      <c r="F112" s="141"/>
      <c r="G112" s="141"/>
      <c r="J112" s="8"/>
    </row>
    <row r="113" spans="1:10" x14ac:dyDescent="0.2">
      <c r="A113" s="151"/>
      <c r="B113" s="152" t="s">
        <v>151</v>
      </c>
      <c r="C113" s="152" t="s">
        <v>894</v>
      </c>
      <c r="D113" s="152" t="s">
        <v>185</v>
      </c>
      <c r="E113" s="151"/>
      <c r="F113" s="151"/>
      <c r="G113" s="151"/>
      <c r="H113" s="151"/>
      <c r="J113" s="8"/>
    </row>
    <row r="114" spans="1:10" x14ac:dyDescent="0.2">
      <c r="A114" s="153"/>
      <c r="B114" s="154" t="s">
        <v>186</v>
      </c>
      <c r="C114" s="155">
        <v>45535</v>
      </c>
      <c r="D114" s="155">
        <v>45565</v>
      </c>
      <c r="E114" s="153"/>
      <c r="F114" s="153"/>
      <c r="G114" s="153"/>
      <c r="J114" s="8"/>
    </row>
    <row r="115" spans="1:10" x14ac:dyDescent="0.2">
      <c r="A115" s="153"/>
      <c r="B115" s="122" t="s">
        <v>187</v>
      </c>
      <c r="C115" s="156">
        <v>108.78579999999999</v>
      </c>
      <c r="D115" s="156">
        <v>115.2941</v>
      </c>
      <c r="E115" s="153"/>
      <c r="F115" s="157"/>
      <c r="G115" s="158"/>
      <c r="J115" s="8"/>
    </row>
    <row r="116" spans="1:10" x14ac:dyDescent="0.2">
      <c r="A116" s="153"/>
      <c r="B116" s="122" t="s">
        <v>1038</v>
      </c>
      <c r="C116" s="156">
        <v>36.225700000000003</v>
      </c>
      <c r="D116" s="156">
        <v>38.393000000000001</v>
      </c>
      <c r="E116" s="153"/>
      <c r="F116" s="157"/>
      <c r="G116" s="158"/>
      <c r="J116" s="8"/>
    </row>
    <row r="117" spans="1:10" x14ac:dyDescent="0.2">
      <c r="A117" s="153"/>
      <c r="B117" s="122" t="s">
        <v>188</v>
      </c>
      <c r="C117" s="156">
        <v>99.992800000000003</v>
      </c>
      <c r="D117" s="156">
        <v>105.901</v>
      </c>
      <c r="E117" s="153"/>
      <c r="F117" s="157"/>
      <c r="G117" s="158"/>
      <c r="J117" s="8"/>
    </row>
    <row r="118" spans="1:10" x14ac:dyDescent="0.2">
      <c r="A118" s="153"/>
      <c r="B118" s="122" t="s">
        <v>1039</v>
      </c>
      <c r="C118" s="156">
        <v>32.746400000000001</v>
      </c>
      <c r="D118" s="156">
        <v>34.6813</v>
      </c>
      <c r="E118" s="153"/>
      <c r="F118" s="157"/>
      <c r="G118" s="158"/>
      <c r="J118" s="8"/>
    </row>
    <row r="119" spans="1:10" x14ac:dyDescent="0.2">
      <c r="A119" s="153"/>
      <c r="B119" s="153"/>
      <c r="C119" s="153"/>
      <c r="D119" s="153"/>
      <c r="E119" s="153"/>
      <c r="F119" s="153"/>
      <c r="G119" s="153"/>
      <c r="J119" s="8"/>
    </row>
    <row r="120" spans="1:10" x14ac:dyDescent="0.2">
      <c r="A120" s="151"/>
      <c r="B120" s="148" t="s">
        <v>895</v>
      </c>
      <c r="C120" s="149"/>
      <c r="D120" s="150" t="s">
        <v>182</v>
      </c>
      <c r="E120" s="151"/>
      <c r="F120" s="151"/>
      <c r="G120" s="151"/>
      <c r="J120" s="8"/>
    </row>
    <row r="121" spans="1:10" x14ac:dyDescent="0.2">
      <c r="A121" s="151"/>
      <c r="B121" s="201"/>
      <c r="C121" s="201"/>
      <c r="D121" s="201"/>
      <c r="E121" s="151"/>
      <c r="F121" s="151"/>
      <c r="G121" s="151"/>
      <c r="J121" s="8"/>
    </row>
    <row r="122" spans="1:10" ht="29.1" customHeight="1" x14ac:dyDescent="0.2">
      <c r="A122" s="151"/>
      <c r="B122" s="148" t="s">
        <v>189</v>
      </c>
      <c r="C122" s="149"/>
      <c r="D122" s="150" t="s">
        <v>182</v>
      </c>
      <c r="E122" s="160"/>
      <c r="F122" s="151"/>
      <c r="G122" s="151"/>
      <c r="J122" s="8"/>
    </row>
    <row r="123" spans="1:10" ht="29.1" customHeight="1" x14ac:dyDescent="0.2">
      <c r="A123" s="151"/>
      <c r="B123" s="148" t="s">
        <v>190</v>
      </c>
      <c r="C123" s="149"/>
      <c r="D123" s="150" t="s">
        <v>182</v>
      </c>
      <c r="E123" s="160"/>
      <c r="F123" s="151"/>
      <c r="G123" s="151"/>
      <c r="J123" s="8"/>
    </row>
    <row r="124" spans="1:10" ht="17.100000000000001" customHeight="1" x14ac:dyDescent="0.2">
      <c r="A124" s="151"/>
      <c r="B124" s="148" t="s">
        <v>191</v>
      </c>
      <c r="C124" s="149"/>
      <c r="D124" s="150" t="s">
        <v>182</v>
      </c>
      <c r="E124" s="160"/>
      <c r="F124" s="151"/>
      <c r="G124" s="151"/>
      <c r="J124" s="8"/>
    </row>
    <row r="125" spans="1:10" ht="17.100000000000001" customHeight="1" x14ac:dyDescent="0.2">
      <c r="A125" s="151"/>
      <c r="B125" s="148" t="s">
        <v>192</v>
      </c>
      <c r="C125" s="149"/>
      <c r="D125" s="161">
        <v>0.23554868551177596</v>
      </c>
      <c r="E125" s="151"/>
      <c r="F125" s="159"/>
      <c r="G125" s="162"/>
      <c r="J125" s="8"/>
    </row>
    <row r="126" spans="1:10" x14ac:dyDescent="0.2">
      <c r="J126" s="8"/>
    </row>
    <row r="127" spans="1:10" x14ac:dyDescent="0.2">
      <c r="J127" s="8"/>
    </row>
  </sheetData>
  <mergeCells count="17">
    <mergeCell ref="B111:C111"/>
    <mergeCell ref="B112:C112"/>
    <mergeCell ref="B120:C120"/>
    <mergeCell ref="B124:C124"/>
    <mergeCell ref="B125:C125"/>
    <mergeCell ref="B122:C122"/>
    <mergeCell ref="B123:C123"/>
    <mergeCell ref="B110:C110"/>
    <mergeCell ref="A1:H1"/>
    <mergeCell ref="A2:H2"/>
    <mergeCell ref="A3:H3"/>
    <mergeCell ref="B109:D109"/>
    <mergeCell ref="B103:H103"/>
    <mergeCell ref="B104:H104"/>
    <mergeCell ref="B105:H105"/>
    <mergeCell ref="B106:H106"/>
    <mergeCell ref="B107:H107"/>
  </mergeCells>
  <hyperlinks>
    <hyperlink ref="I1" location="Index!B2" display="Index" xr:uid="{97664DF0-A072-4350-951E-C2A8096FEBF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E4FD9-8C7C-4A8D-855F-2262D57B9527}">
  <sheetPr>
    <outlinePr summaryBelow="0" summaryRight="0"/>
  </sheetPr>
  <dimension ref="A1:Q147"/>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34.28515625" style="114" customWidth="1"/>
    <col min="4" max="4" width="17.5703125" style="114" bestFit="1" customWidth="1"/>
    <col min="5" max="5" width="11.42578125" style="114" bestFit="1" customWidth="1"/>
    <col min="6" max="6" width="10.140625" style="114" bestFit="1" customWidth="1"/>
    <col min="7" max="7" width="14" style="114" bestFit="1" customWidth="1"/>
    <col min="8" max="8" width="8.42578125" style="114" bestFit="1"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805</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ht="25.5" x14ac:dyDescent="0.2">
      <c r="A6" s="118"/>
      <c r="B6" s="118"/>
      <c r="C6" s="119" t="s">
        <v>10</v>
      </c>
      <c r="D6" s="118"/>
      <c r="E6" s="118"/>
      <c r="F6" s="118"/>
      <c r="G6" s="118"/>
      <c r="H6" s="120" t="s">
        <v>151</v>
      </c>
      <c r="J6" s="8"/>
    </row>
    <row r="7" spans="1:10" x14ac:dyDescent="0.2">
      <c r="A7" s="121">
        <v>1</v>
      </c>
      <c r="B7" s="122" t="s">
        <v>14</v>
      </c>
      <c r="C7" s="122" t="s">
        <v>15</v>
      </c>
      <c r="D7" s="122" t="s">
        <v>16</v>
      </c>
      <c r="E7" s="123">
        <v>1980418</v>
      </c>
      <c r="F7" s="124">
        <v>33856.235918999999</v>
      </c>
      <c r="G7" s="125">
        <v>8.3232630000000002E-2</v>
      </c>
      <c r="H7" s="120" t="s">
        <v>151</v>
      </c>
      <c r="J7" s="8"/>
    </row>
    <row r="8" spans="1:10" x14ac:dyDescent="0.2">
      <c r="A8" s="121">
        <v>2</v>
      </c>
      <c r="B8" s="122" t="s">
        <v>663</v>
      </c>
      <c r="C8" s="122" t="s">
        <v>664</v>
      </c>
      <c r="D8" s="122" t="s">
        <v>121</v>
      </c>
      <c r="E8" s="123">
        <v>273367</v>
      </c>
      <c r="F8" s="124">
        <v>21057.460009999999</v>
      </c>
      <c r="G8" s="125">
        <v>5.1767939999999998E-2</v>
      </c>
      <c r="H8" s="120" t="s">
        <v>151</v>
      </c>
      <c r="J8" s="8"/>
    </row>
    <row r="9" spans="1:10" x14ac:dyDescent="0.2">
      <c r="A9" s="121">
        <v>3</v>
      </c>
      <c r="B9" s="122" t="s">
        <v>343</v>
      </c>
      <c r="C9" s="122" t="s">
        <v>344</v>
      </c>
      <c r="D9" s="122" t="s">
        <v>48</v>
      </c>
      <c r="E9" s="123">
        <v>1122909</v>
      </c>
      <c r="F9" s="124">
        <v>19449.345334500002</v>
      </c>
      <c r="G9" s="125">
        <v>4.7814530000000001E-2</v>
      </c>
      <c r="H9" s="120" t="s">
        <v>151</v>
      </c>
      <c r="J9" s="8"/>
    </row>
    <row r="10" spans="1:10" x14ac:dyDescent="0.2">
      <c r="A10" s="121">
        <v>4</v>
      </c>
      <c r="B10" s="122" t="s">
        <v>20</v>
      </c>
      <c r="C10" s="122" t="s">
        <v>21</v>
      </c>
      <c r="D10" s="122" t="s">
        <v>22</v>
      </c>
      <c r="E10" s="123">
        <v>654721</v>
      </c>
      <c r="F10" s="124">
        <v>19334.893211499999</v>
      </c>
      <c r="G10" s="125">
        <v>4.7533159999999998E-2</v>
      </c>
      <c r="H10" s="120" t="s">
        <v>151</v>
      </c>
      <c r="J10" s="8"/>
    </row>
    <row r="11" spans="1:10" x14ac:dyDescent="0.2">
      <c r="A11" s="121">
        <v>5</v>
      </c>
      <c r="B11" s="122" t="s">
        <v>46</v>
      </c>
      <c r="C11" s="122" t="s">
        <v>47</v>
      </c>
      <c r="D11" s="122" t="s">
        <v>48</v>
      </c>
      <c r="E11" s="123">
        <v>1159150</v>
      </c>
      <c r="F11" s="124">
        <v>14755.979499999999</v>
      </c>
      <c r="G11" s="125">
        <v>3.6276299999999997E-2</v>
      </c>
      <c r="H11" s="120" t="s">
        <v>151</v>
      </c>
      <c r="J11" s="8"/>
    </row>
    <row r="12" spans="1:10" ht="15" x14ac:dyDescent="0.2">
      <c r="A12" s="121">
        <v>6</v>
      </c>
      <c r="B12" s="122" t="s">
        <v>244</v>
      </c>
      <c r="C12" s="122" t="s">
        <v>245</v>
      </c>
      <c r="D12" s="122" t="s">
        <v>121</v>
      </c>
      <c r="E12" s="123">
        <v>704583</v>
      </c>
      <c r="F12" s="124">
        <v>14399.562771000001</v>
      </c>
      <c r="G12" s="125">
        <v>3.540008E-2</v>
      </c>
      <c r="H12" s="120" t="s">
        <v>151</v>
      </c>
      <c r="J12" s="11"/>
    </row>
    <row r="13" spans="1:10" x14ac:dyDescent="0.2">
      <c r="A13" s="121">
        <v>7</v>
      </c>
      <c r="B13" s="122" t="s">
        <v>349</v>
      </c>
      <c r="C13" s="122" t="s">
        <v>350</v>
      </c>
      <c r="D13" s="122" t="s">
        <v>48</v>
      </c>
      <c r="E13" s="123">
        <v>981474</v>
      </c>
      <c r="F13" s="124">
        <v>12093.722628</v>
      </c>
      <c r="G13" s="125">
        <v>2.973137E-2</v>
      </c>
      <c r="H13" s="120" t="s">
        <v>151</v>
      </c>
      <c r="J13" s="8"/>
    </row>
    <row r="14" spans="1:10" ht="25.5" x14ac:dyDescent="0.2">
      <c r="A14" s="121">
        <v>8</v>
      </c>
      <c r="B14" s="122" t="s">
        <v>767</v>
      </c>
      <c r="C14" s="122" t="s">
        <v>768</v>
      </c>
      <c r="D14" s="122" t="s">
        <v>211</v>
      </c>
      <c r="E14" s="123">
        <v>155851</v>
      </c>
      <c r="F14" s="124">
        <v>11219.947266499999</v>
      </c>
      <c r="G14" s="125">
        <v>2.758327E-2</v>
      </c>
      <c r="H14" s="120" t="s">
        <v>151</v>
      </c>
      <c r="J14" s="8" t="s">
        <v>1026</v>
      </c>
    </row>
    <row r="15" spans="1:10" ht="25.5" x14ac:dyDescent="0.2">
      <c r="A15" s="121">
        <v>9</v>
      </c>
      <c r="B15" s="122" t="s">
        <v>336</v>
      </c>
      <c r="C15" s="122" t="s">
        <v>337</v>
      </c>
      <c r="D15" s="122" t="s">
        <v>295</v>
      </c>
      <c r="E15" s="123">
        <v>1431993</v>
      </c>
      <c r="F15" s="124">
        <v>11171.6933895</v>
      </c>
      <c r="G15" s="125">
        <v>2.7464639999999998E-2</v>
      </c>
      <c r="H15" s="120" t="s">
        <v>151</v>
      </c>
      <c r="J15" s="8"/>
    </row>
    <row r="16" spans="1:10" x14ac:dyDescent="0.2">
      <c r="A16" s="121">
        <v>10</v>
      </c>
      <c r="B16" s="122" t="s">
        <v>471</v>
      </c>
      <c r="C16" s="122" t="s">
        <v>472</v>
      </c>
      <c r="D16" s="122" t="s">
        <v>48</v>
      </c>
      <c r="E16" s="123">
        <v>749709</v>
      </c>
      <c r="F16" s="124">
        <v>10852.787484</v>
      </c>
      <c r="G16" s="125">
        <v>2.6680639999999999E-2</v>
      </c>
      <c r="H16" s="120" t="s">
        <v>151</v>
      </c>
      <c r="J16" s="8"/>
    </row>
    <row r="17" spans="1:10" x14ac:dyDescent="0.2">
      <c r="A17" s="121">
        <v>11</v>
      </c>
      <c r="B17" s="122" t="s">
        <v>362</v>
      </c>
      <c r="C17" s="122" t="s">
        <v>363</v>
      </c>
      <c r="D17" s="122" t="s">
        <v>241</v>
      </c>
      <c r="E17" s="123">
        <v>189671</v>
      </c>
      <c r="F17" s="124">
        <v>10735.947613</v>
      </c>
      <c r="G17" s="125">
        <v>2.6393400000000001E-2</v>
      </c>
      <c r="H17" s="120" t="s">
        <v>151</v>
      </c>
      <c r="J17" s="8"/>
    </row>
    <row r="18" spans="1:10" x14ac:dyDescent="0.2">
      <c r="A18" s="121">
        <v>12</v>
      </c>
      <c r="B18" s="122" t="s">
        <v>388</v>
      </c>
      <c r="C18" s="122" t="s">
        <v>389</v>
      </c>
      <c r="D18" s="122" t="s">
        <v>35</v>
      </c>
      <c r="E18" s="123">
        <v>264011</v>
      </c>
      <c r="F18" s="124">
        <v>10095.648634499999</v>
      </c>
      <c r="G18" s="125">
        <v>2.4819279999999999E-2</v>
      </c>
      <c r="H18" s="120" t="s">
        <v>151</v>
      </c>
      <c r="J18" s="8"/>
    </row>
    <row r="19" spans="1:10" x14ac:dyDescent="0.2">
      <c r="A19" s="121">
        <v>13</v>
      </c>
      <c r="B19" s="122" t="s">
        <v>345</v>
      </c>
      <c r="C19" s="122" t="s">
        <v>346</v>
      </c>
      <c r="D19" s="122" t="s">
        <v>200</v>
      </c>
      <c r="E19" s="123">
        <v>3542187</v>
      </c>
      <c r="F19" s="124">
        <v>9680.7970710000009</v>
      </c>
      <c r="G19" s="125">
        <v>2.3799399999999998E-2</v>
      </c>
      <c r="H19" s="120" t="s">
        <v>151</v>
      </c>
      <c r="J19" s="8"/>
    </row>
    <row r="20" spans="1:10" x14ac:dyDescent="0.2">
      <c r="A20" s="121">
        <v>14</v>
      </c>
      <c r="B20" s="122" t="s">
        <v>284</v>
      </c>
      <c r="C20" s="122" t="s">
        <v>285</v>
      </c>
      <c r="D20" s="122" t="s">
        <v>216</v>
      </c>
      <c r="E20" s="123">
        <v>115379</v>
      </c>
      <c r="F20" s="124">
        <v>8095.5098454999998</v>
      </c>
      <c r="G20" s="125">
        <v>1.9902110000000001E-2</v>
      </c>
      <c r="H20" s="120" t="s">
        <v>151</v>
      </c>
      <c r="J20" s="8"/>
    </row>
    <row r="21" spans="1:10" x14ac:dyDescent="0.2">
      <c r="A21" s="121">
        <v>15</v>
      </c>
      <c r="B21" s="122" t="s">
        <v>135</v>
      </c>
      <c r="C21" s="122" t="s">
        <v>136</v>
      </c>
      <c r="D21" s="122" t="s">
        <v>16</v>
      </c>
      <c r="E21" s="123">
        <v>1984792</v>
      </c>
      <c r="F21" s="124">
        <v>7791.3009959999999</v>
      </c>
      <c r="G21" s="125">
        <v>1.9154239999999999E-2</v>
      </c>
      <c r="H21" s="120" t="s">
        <v>151</v>
      </c>
      <c r="J21" s="8"/>
    </row>
    <row r="22" spans="1:10" ht="15" x14ac:dyDescent="0.2">
      <c r="A22" s="121">
        <v>16</v>
      </c>
      <c r="B22" s="122" t="s">
        <v>420</v>
      </c>
      <c r="C22" s="122" t="s">
        <v>421</v>
      </c>
      <c r="D22" s="122" t="s">
        <v>48</v>
      </c>
      <c r="E22" s="123">
        <v>18470366</v>
      </c>
      <c r="F22" s="124">
        <v>7467.5689738000001</v>
      </c>
      <c r="G22" s="125">
        <v>1.8358369999999999E-2</v>
      </c>
      <c r="H22" s="120" t="s">
        <v>151</v>
      </c>
      <c r="J22" s="11"/>
    </row>
    <row r="23" spans="1:10" x14ac:dyDescent="0.2">
      <c r="A23" s="121">
        <v>17</v>
      </c>
      <c r="B23" s="122" t="s">
        <v>209</v>
      </c>
      <c r="C23" s="122" t="s">
        <v>210</v>
      </c>
      <c r="D23" s="122" t="s">
        <v>211</v>
      </c>
      <c r="E23" s="123">
        <v>1188668</v>
      </c>
      <c r="F23" s="124">
        <v>7311.4968680000002</v>
      </c>
      <c r="G23" s="125">
        <v>1.797468E-2</v>
      </c>
      <c r="H23" s="120" t="s">
        <v>151</v>
      </c>
      <c r="J23" s="8"/>
    </row>
    <row r="24" spans="1:10" x14ac:dyDescent="0.2">
      <c r="A24" s="121">
        <v>18</v>
      </c>
      <c r="B24" s="122" t="s">
        <v>393</v>
      </c>
      <c r="C24" s="122" t="s">
        <v>394</v>
      </c>
      <c r="D24" s="122" t="s">
        <v>395</v>
      </c>
      <c r="E24" s="123">
        <v>453931</v>
      </c>
      <c r="F24" s="124">
        <v>7210.2400040000002</v>
      </c>
      <c r="G24" s="125">
        <v>1.7725749999999998E-2</v>
      </c>
      <c r="H24" s="120" t="s">
        <v>151</v>
      </c>
      <c r="J24" s="8"/>
    </row>
    <row r="25" spans="1:10" x14ac:dyDescent="0.2">
      <c r="A25" s="121">
        <v>19</v>
      </c>
      <c r="B25" s="122" t="s">
        <v>415</v>
      </c>
      <c r="C25" s="122" t="s">
        <v>416</v>
      </c>
      <c r="D25" s="122" t="s">
        <v>417</v>
      </c>
      <c r="E25" s="123">
        <v>425515</v>
      </c>
      <c r="F25" s="124">
        <v>7079.0802974999997</v>
      </c>
      <c r="G25" s="125">
        <v>1.7403310000000002E-2</v>
      </c>
      <c r="H25" s="120" t="s">
        <v>151</v>
      </c>
      <c r="J25" s="8"/>
    </row>
    <row r="26" spans="1:10" ht="25.5" x14ac:dyDescent="0.2">
      <c r="A26" s="121">
        <v>20</v>
      </c>
      <c r="B26" s="122" t="s">
        <v>422</v>
      </c>
      <c r="C26" s="122" t="s">
        <v>423</v>
      </c>
      <c r="D26" s="122" t="s">
        <v>216</v>
      </c>
      <c r="E26" s="123">
        <v>936647</v>
      </c>
      <c r="F26" s="124">
        <v>6866.5591569999997</v>
      </c>
      <c r="G26" s="125">
        <v>1.6880840000000001E-2</v>
      </c>
      <c r="H26" s="120" t="s">
        <v>151</v>
      </c>
      <c r="J26" s="8" t="s">
        <v>1027</v>
      </c>
    </row>
    <row r="27" spans="1:10" x14ac:dyDescent="0.2">
      <c r="A27" s="121">
        <v>21</v>
      </c>
      <c r="B27" s="122" t="s">
        <v>439</v>
      </c>
      <c r="C27" s="122" t="s">
        <v>440</v>
      </c>
      <c r="D27" s="122" t="s">
        <v>238</v>
      </c>
      <c r="E27" s="123">
        <v>717133</v>
      </c>
      <c r="F27" s="124">
        <v>6772.2454854999996</v>
      </c>
      <c r="G27" s="125">
        <v>1.6648980000000001E-2</v>
      </c>
      <c r="H27" s="120" t="s">
        <v>151</v>
      </c>
      <c r="J27" s="8"/>
    </row>
    <row r="28" spans="1:10" x14ac:dyDescent="0.2">
      <c r="A28" s="121">
        <v>22</v>
      </c>
      <c r="B28" s="122" t="s">
        <v>413</v>
      </c>
      <c r="C28" s="122" t="s">
        <v>414</v>
      </c>
      <c r="D28" s="122" t="s">
        <v>48</v>
      </c>
      <c r="E28" s="123">
        <v>8587852</v>
      </c>
      <c r="F28" s="124">
        <v>6630.6805291999999</v>
      </c>
      <c r="G28" s="125">
        <v>1.6300950000000002E-2</v>
      </c>
      <c r="H28" s="120" t="s">
        <v>151</v>
      </c>
      <c r="J28" s="8"/>
    </row>
    <row r="29" spans="1:10" x14ac:dyDescent="0.2">
      <c r="A29" s="121">
        <v>23</v>
      </c>
      <c r="B29" s="122" t="s">
        <v>411</v>
      </c>
      <c r="C29" s="122" t="s">
        <v>412</v>
      </c>
      <c r="D29" s="122" t="s">
        <v>211</v>
      </c>
      <c r="E29" s="123">
        <v>1552344</v>
      </c>
      <c r="F29" s="124">
        <v>6443.7799439999999</v>
      </c>
      <c r="G29" s="125">
        <v>1.5841480000000002E-2</v>
      </c>
      <c r="H29" s="120" t="s">
        <v>151</v>
      </c>
      <c r="J29" s="8"/>
    </row>
    <row r="30" spans="1:10" x14ac:dyDescent="0.2">
      <c r="A30" s="121">
        <v>24</v>
      </c>
      <c r="B30" s="122" t="s">
        <v>254</v>
      </c>
      <c r="C30" s="122" t="s">
        <v>255</v>
      </c>
      <c r="D30" s="122" t="s">
        <v>238</v>
      </c>
      <c r="E30" s="123">
        <v>732261</v>
      </c>
      <c r="F30" s="124">
        <v>6442.7984084999998</v>
      </c>
      <c r="G30" s="125">
        <v>1.5839059999999999E-2</v>
      </c>
      <c r="H30" s="120" t="s">
        <v>151</v>
      </c>
      <c r="J30" s="8"/>
    </row>
    <row r="31" spans="1:10" x14ac:dyDescent="0.2">
      <c r="A31" s="121">
        <v>25</v>
      </c>
      <c r="B31" s="122" t="s">
        <v>771</v>
      </c>
      <c r="C31" s="122" t="s">
        <v>772</v>
      </c>
      <c r="D31" s="122" t="s">
        <v>216</v>
      </c>
      <c r="E31" s="123">
        <v>102950</v>
      </c>
      <c r="F31" s="124">
        <v>6428.558325</v>
      </c>
      <c r="G31" s="125">
        <v>1.5804060000000002E-2</v>
      </c>
      <c r="H31" s="120" t="s">
        <v>151</v>
      </c>
      <c r="J31" s="8"/>
    </row>
    <row r="32" spans="1:10" x14ac:dyDescent="0.2">
      <c r="A32" s="121">
        <v>26</v>
      </c>
      <c r="B32" s="122" t="s">
        <v>242</v>
      </c>
      <c r="C32" s="122" t="s">
        <v>243</v>
      </c>
      <c r="D32" s="122" t="s">
        <v>200</v>
      </c>
      <c r="E32" s="123">
        <v>77583</v>
      </c>
      <c r="F32" s="124">
        <v>6284.7660809999998</v>
      </c>
      <c r="G32" s="125">
        <v>1.545055E-2</v>
      </c>
      <c r="H32" s="120" t="s">
        <v>151</v>
      </c>
      <c r="J32" s="8"/>
    </row>
    <row r="33" spans="1:10" x14ac:dyDescent="0.2">
      <c r="A33" s="121">
        <v>27</v>
      </c>
      <c r="B33" s="122" t="s">
        <v>41</v>
      </c>
      <c r="C33" s="122" t="s">
        <v>42</v>
      </c>
      <c r="D33" s="122" t="s">
        <v>16</v>
      </c>
      <c r="E33" s="123">
        <v>415901</v>
      </c>
      <c r="F33" s="124">
        <v>6003.5309349999998</v>
      </c>
      <c r="G33" s="125">
        <v>1.475916E-2</v>
      </c>
      <c r="H33" s="120" t="s">
        <v>151</v>
      </c>
      <c r="J33" s="8"/>
    </row>
    <row r="34" spans="1:10" x14ac:dyDescent="0.2">
      <c r="A34" s="121">
        <v>28</v>
      </c>
      <c r="B34" s="122" t="s">
        <v>453</v>
      </c>
      <c r="C34" s="122" t="s">
        <v>454</v>
      </c>
      <c r="D34" s="122" t="s">
        <v>45</v>
      </c>
      <c r="E34" s="123">
        <v>315956</v>
      </c>
      <c r="F34" s="124">
        <v>5831.441914</v>
      </c>
      <c r="G34" s="125">
        <v>1.4336099999999999E-2</v>
      </c>
      <c r="H34" s="120" t="s">
        <v>151</v>
      </c>
      <c r="J34" s="8"/>
    </row>
    <row r="35" spans="1:10" x14ac:dyDescent="0.2">
      <c r="A35" s="121">
        <v>29</v>
      </c>
      <c r="B35" s="122" t="s">
        <v>214</v>
      </c>
      <c r="C35" s="122" t="s">
        <v>215</v>
      </c>
      <c r="D35" s="122" t="s">
        <v>216</v>
      </c>
      <c r="E35" s="123">
        <v>106441</v>
      </c>
      <c r="F35" s="124">
        <v>5801.4602640000003</v>
      </c>
      <c r="G35" s="125">
        <v>1.426239E-2</v>
      </c>
      <c r="H35" s="120" t="s">
        <v>151</v>
      </c>
      <c r="J35" s="8"/>
    </row>
    <row r="36" spans="1:10" x14ac:dyDescent="0.2">
      <c r="A36" s="121">
        <v>30</v>
      </c>
      <c r="B36" s="122" t="s">
        <v>119</v>
      </c>
      <c r="C36" s="122" t="s">
        <v>120</v>
      </c>
      <c r="D36" s="122" t="s">
        <v>121</v>
      </c>
      <c r="E36" s="123">
        <v>936336</v>
      </c>
      <c r="F36" s="124">
        <v>5191.9831199999999</v>
      </c>
      <c r="G36" s="125">
        <v>1.2764040000000001E-2</v>
      </c>
      <c r="H36" s="120" t="s">
        <v>151</v>
      </c>
      <c r="J36" s="8"/>
    </row>
    <row r="37" spans="1:10" x14ac:dyDescent="0.2">
      <c r="A37" s="121">
        <v>31</v>
      </c>
      <c r="B37" s="122" t="s">
        <v>396</v>
      </c>
      <c r="C37" s="122" t="s">
        <v>397</v>
      </c>
      <c r="D37" s="122" t="s">
        <v>398</v>
      </c>
      <c r="E37" s="123">
        <v>11684</v>
      </c>
      <c r="F37" s="124">
        <v>5012.9267280000004</v>
      </c>
      <c r="G37" s="125">
        <v>1.2323850000000001E-2</v>
      </c>
      <c r="H37" s="120" t="s">
        <v>151</v>
      </c>
      <c r="J37" s="8"/>
    </row>
    <row r="38" spans="1:10" x14ac:dyDescent="0.2">
      <c r="A38" s="121">
        <v>32</v>
      </c>
      <c r="B38" s="122" t="s">
        <v>409</v>
      </c>
      <c r="C38" s="122" t="s">
        <v>410</v>
      </c>
      <c r="D38" s="122" t="s">
        <v>238</v>
      </c>
      <c r="E38" s="123">
        <v>1367540</v>
      </c>
      <c r="F38" s="124">
        <v>4884.1691099999998</v>
      </c>
      <c r="G38" s="125">
        <v>1.200731E-2</v>
      </c>
      <c r="H38" s="120" t="s">
        <v>151</v>
      </c>
      <c r="J38" s="8"/>
    </row>
    <row r="39" spans="1:10" x14ac:dyDescent="0.2">
      <c r="A39" s="121">
        <v>33</v>
      </c>
      <c r="B39" s="122" t="s">
        <v>432</v>
      </c>
      <c r="C39" s="122" t="s">
        <v>433</v>
      </c>
      <c r="D39" s="122" t="s">
        <v>241</v>
      </c>
      <c r="E39" s="123">
        <v>190363</v>
      </c>
      <c r="F39" s="124">
        <v>4876.5289709999997</v>
      </c>
      <c r="G39" s="125">
        <v>1.1988530000000001E-2</v>
      </c>
      <c r="H39" s="120" t="s">
        <v>151</v>
      </c>
      <c r="J39" s="8"/>
    </row>
    <row r="40" spans="1:10" x14ac:dyDescent="0.2">
      <c r="A40" s="121">
        <v>34</v>
      </c>
      <c r="B40" s="122" t="s">
        <v>291</v>
      </c>
      <c r="C40" s="122" t="s">
        <v>292</v>
      </c>
      <c r="D40" s="122" t="s">
        <v>121</v>
      </c>
      <c r="E40" s="123">
        <v>265869</v>
      </c>
      <c r="F40" s="124">
        <v>4829.3774505000001</v>
      </c>
      <c r="G40" s="125">
        <v>1.187261E-2</v>
      </c>
      <c r="H40" s="120" t="s">
        <v>151</v>
      </c>
      <c r="J40" s="8"/>
    </row>
    <row r="41" spans="1:10" x14ac:dyDescent="0.2">
      <c r="A41" s="121">
        <v>35</v>
      </c>
      <c r="B41" s="122" t="s">
        <v>424</v>
      </c>
      <c r="C41" s="122" t="s">
        <v>425</v>
      </c>
      <c r="D41" s="122" t="s">
        <v>48</v>
      </c>
      <c r="E41" s="123">
        <v>1496154</v>
      </c>
      <c r="F41" s="124">
        <v>4688.1985590000004</v>
      </c>
      <c r="G41" s="125">
        <v>1.1525530000000001E-2</v>
      </c>
      <c r="H41" s="120" t="s">
        <v>151</v>
      </c>
      <c r="J41" s="8"/>
    </row>
    <row r="42" spans="1:10" x14ac:dyDescent="0.2">
      <c r="A42" s="121">
        <v>36</v>
      </c>
      <c r="B42" s="122" t="s">
        <v>498</v>
      </c>
      <c r="C42" s="122" t="s">
        <v>499</v>
      </c>
      <c r="D42" s="122" t="s">
        <v>121</v>
      </c>
      <c r="E42" s="123">
        <v>446544</v>
      </c>
      <c r="F42" s="124">
        <v>4389.3042480000004</v>
      </c>
      <c r="G42" s="125">
        <v>1.079073E-2</v>
      </c>
      <c r="H42" s="120" t="s">
        <v>151</v>
      </c>
      <c r="J42" s="8"/>
    </row>
    <row r="43" spans="1:10" x14ac:dyDescent="0.2">
      <c r="A43" s="121">
        <v>37</v>
      </c>
      <c r="B43" s="122" t="s">
        <v>551</v>
      </c>
      <c r="C43" s="122" t="s">
        <v>552</v>
      </c>
      <c r="D43" s="122" t="s">
        <v>216</v>
      </c>
      <c r="E43" s="123">
        <v>275867</v>
      </c>
      <c r="F43" s="124">
        <v>4350.9743239999998</v>
      </c>
      <c r="G43" s="125">
        <v>1.0696489999999999E-2</v>
      </c>
      <c r="H43" s="120" t="s">
        <v>151</v>
      </c>
      <c r="J43" s="8"/>
    </row>
    <row r="44" spans="1:10" ht="25.5" x14ac:dyDescent="0.2">
      <c r="A44" s="121">
        <v>38</v>
      </c>
      <c r="B44" s="122" t="s">
        <v>231</v>
      </c>
      <c r="C44" s="122" t="s">
        <v>232</v>
      </c>
      <c r="D44" s="122" t="s">
        <v>233</v>
      </c>
      <c r="E44" s="123">
        <v>250000</v>
      </c>
      <c r="F44" s="124">
        <v>4049.875</v>
      </c>
      <c r="G44" s="125">
        <v>9.9562699999999997E-3</v>
      </c>
      <c r="H44" s="120" t="s">
        <v>151</v>
      </c>
      <c r="J44" s="8"/>
    </row>
    <row r="45" spans="1:10" ht="25.5" x14ac:dyDescent="0.2">
      <c r="A45" s="121">
        <v>39</v>
      </c>
      <c r="B45" s="122" t="s">
        <v>434</v>
      </c>
      <c r="C45" s="122" t="s">
        <v>435</v>
      </c>
      <c r="D45" s="122" t="s">
        <v>436</v>
      </c>
      <c r="E45" s="123">
        <v>941308</v>
      </c>
      <c r="F45" s="124">
        <v>3930.902208</v>
      </c>
      <c r="G45" s="125">
        <v>9.6637800000000003E-3</v>
      </c>
      <c r="H45" s="120" t="s">
        <v>151</v>
      </c>
      <c r="J45" s="8"/>
    </row>
    <row r="46" spans="1:10" x14ac:dyDescent="0.2">
      <c r="A46" s="121">
        <v>40</v>
      </c>
      <c r="B46" s="122" t="s">
        <v>451</v>
      </c>
      <c r="C46" s="122" t="s">
        <v>452</v>
      </c>
      <c r="D46" s="122" t="s">
        <v>85</v>
      </c>
      <c r="E46" s="123">
        <v>347498</v>
      </c>
      <c r="F46" s="124">
        <v>3720.313588</v>
      </c>
      <c r="G46" s="125">
        <v>9.1460699999999992E-3</v>
      </c>
      <c r="H46" s="120" t="s">
        <v>151</v>
      </c>
      <c r="J46" s="8"/>
    </row>
    <row r="47" spans="1:10" x14ac:dyDescent="0.2">
      <c r="A47" s="121">
        <v>41</v>
      </c>
      <c r="B47" s="122" t="s">
        <v>124</v>
      </c>
      <c r="C47" s="122" t="s">
        <v>125</v>
      </c>
      <c r="D47" s="122" t="s">
        <v>85</v>
      </c>
      <c r="E47" s="123">
        <v>847110</v>
      </c>
      <c r="F47" s="124">
        <v>3600.2175000000002</v>
      </c>
      <c r="G47" s="125">
        <v>8.8508200000000006E-3</v>
      </c>
      <c r="H47" s="120" t="s">
        <v>151</v>
      </c>
      <c r="J47" s="8"/>
    </row>
    <row r="48" spans="1:10" x14ac:dyDescent="0.2">
      <c r="A48" s="121">
        <v>42</v>
      </c>
      <c r="B48" s="122" t="s">
        <v>502</v>
      </c>
      <c r="C48" s="122" t="s">
        <v>503</v>
      </c>
      <c r="D48" s="122" t="s">
        <v>35</v>
      </c>
      <c r="E48" s="123">
        <v>217386</v>
      </c>
      <c r="F48" s="124">
        <v>3111.0110460000001</v>
      </c>
      <c r="G48" s="125">
        <v>7.6481500000000003E-3</v>
      </c>
      <c r="H48" s="120" t="s">
        <v>151</v>
      </c>
      <c r="J48" s="8"/>
    </row>
    <row r="49" spans="1:10" x14ac:dyDescent="0.2">
      <c r="A49" s="121">
        <v>43</v>
      </c>
      <c r="B49" s="122" t="s">
        <v>730</v>
      </c>
      <c r="C49" s="122" t="s">
        <v>731</v>
      </c>
      <c r="D49" s="122" t="s">
        <v>211</v>
      </c>
      <c r="E49" s="123">
        <v>139519</v>
      </c>
      <c r="F49" s="124">
        <v>3058.3262395000002</v>
      </c>
      <c r="G49" s="125">
        <v>7.5186300000000001E-3</v>
      </c>
      <c r="H49" s="120" t="s">
        <v>151</v>
      </c>
      <c r="J49" s="8"/>
    </row>
    <row r="50" spans="1:10" x14ac:dyDescent="0.2">
      <c r="A50" s="121">
        <v>44</v>
      </c>
      <c r="B50" s="122" t="s">
        <v>194</v>
      </c>
      <c r="C50" s="122" t="s">
        <v>195</v>
      </c>
      <c r="D50" s="122" t="s">
        <v>35</v>
      </c>
      <c r="E50" s="123">
        <v>406334</v>
      </c>
      <c r="F50" s="124">
        <v>2967.2540349999999</v>
      </c>
      <c r="G50" s="125">
        <v>7.2947400000000001E-3</v>
      </c>
      <c r="H50" s="120" t="s">
        <v>151</v>
      </c>
      <c r="J50" s="8"/>
    </row>
    <row r="51" spans="1:10" x14ac:dyDescent="0.2">
      <c r="A51" s="121">
        <v>45</v>
      </c>
      <c r="B51" s="122" t="s">
        <v>510</v>
      </c>
      <c r="C51" s="122" t="s">
        <v>511</v>
      </c>
      <c r="D51" s="122" t="s">
        <v>241</v>
      </c>
      <c r="E51" s="123">
        <v>236039</v>
      </c>
      <c r="F51" s="124">
        <v>2925.3493465000001</v>
      </c>
      <c r="G51" s="125">
        <v>7.1917200000000004E-3</v>
      </c>
      <c r="H51" s="120" t="s">
        <v>151</v>
      </c>
      <c r="J51" s="8"/>
    </row>
    <row r="52" spans="1:10" x14ac:dyDescent="0.2">
      <c r="A52" s="121">
        <v>46</v>
      </c>
      <c r="B52" s="122" t="s">
        <v>529</v>
      </c>
      <c r="C52" s="122" t="s">
        <v>530</v>
      </c>
      <c r="D52" s="122" t="s">
        <v>295</v>
      </c>
      <c r="E52" s="123">
        <v>423052</v>
      </c>
      <c r="F52" s="124">
        <v>2791.0855700000002</v>
      </c>
      <c r="G52" s="125">
        <v>6.8616399999999996E-3</v>
      </c>
      <c r="H52" s="120" t="s">
        <v>151</v>
      </c>
      <c r="J52" s="8"/>
    </row>
    <row r="53" spans="1:10" x14ac:dyDescent="0.2">
      <c r="A53" s="121">
        <v>47</v>
      </c>
      <c r="B53" s="122" t="s">
        <v>447</v>
      </c>
      <c r="C53" s="122" t="s">
        <v>448</v>
      </c>
      <c r="D53" s="122" t="s">
        <v>121</v>
      </c>
      <c r="E53" s="123">
        <v>207221</v>
      </c>
      <c r="F53" s="124">
        <v>2481.6786959999999</v>
      </c>
      <c r="G53" s="125">
        <v>6.1009899999999997E-3</v>
      </c>
      <c r="H53" s="120" t="s">
        <v>151</v>
      </c>
      <c r="J53" s="8"/>
    </row>
    <row r="54" spans="1:10" ht="25.5" x14ac:dyDescent="0.2">
      <c r="A54" s="121">
        <v>48</v>
      </c>
      <c r="B54" s="122" t="s">
        <v>806</v>
      </c>
      <c r="C54" s="122" t="s">
        <v>807</v>
      </c>
      <c r="D54" s="122" t="s">
        <v>241</v>
      </c>
      <c r="E54" s="123">
        <v>210000</v>
      </c>
      <c r="F54" s="124">
        <v>2183.16</v>
      </c>
      <c r="G54" s="125">
        <v>5.3671099999999996E-3</v>
      </c>
      <c r="H54" s="120" t="s">
        <v>151</v>
      </c>
      <c r="J54" s="8"/>
    </row>
    <row r="55" spans="1:10" x14ac:dyDescent="0.2">
      <c r="A55" s="121">
        <v>49</v>
      </c>
      <c r="B55" s="122" t="s">
        <v>273</v>
      </c>
      <c r="C55" s="122" t="s">
        <v>274</v>
      </c>
      <c r="D55" s="122" t="s">
        <v>48</v>
      </c>
      <c r="E55" s="123">
        <v>1650061</v>
      </c>
      <c r="F55" s="124">
        <v>2025.7798897</v>
      </c>
      <c r="G55" s="125">
        <v>4.9802099999999997E-3</v>
      </c>
      <c r="H55" s="120" t="s">
        <v>151</v>
      </c>
      <c r="J55" s="8"/>
    </row>
    <row r="56" spans="1:10" x14ac:dyDescent="0.2">
      <c r="A56" s="121">
        <v>50</v>
      </c>
      <c r="B56" s="122" t="s">
        <v>808</v>
      </c>
      <c r="C56" s="122" t="s">
        <v>809</v>
      </c>
      <c r="D56" s="122" t="s">
        <v>241</v>
      </c>
      <c r="E56" s="123">
        <v>42806</v>
      </c>
      <c r="F56" s="124">
        <v>1840.358358</v>
      </c>
      <c r="G56" s="125">
        <v>4.5243599999999998E-3</v>
      </c>
      <c r="H56" s="120" t="s">
        <v>151</v>
      </c>
      <c r="J56" s="8"/>
    </row>
    <row r="57" spans="1:10" x14ac:dyDescent="0.2">
      <c r="A57" s="118"/>
      <c r="B57" s="118"/>
      <c r="C57" s="119" t="s">
        <v>150</v>
      </c>
      <c r="D57" s="118"/>
      <c r="E57" s="118" t="s">
        <v>151</v>
      </c>
      <c r="F57" s="126">
        <v>384073.81284770003</v>
      </c>
      <c r="G57" s="127">
        <v>0.94421224999999998</v>
      </c>
      <c r="H57" s="120" t="s">
        <v>151</v>
      </c>
      <c r="J57" s="8"/>
    </row>
    <row r="58" spans="1:10" x14ac:dyDescent="0.2">
      <c r="A58" s="118"/>
      <c r="B58" s="118"/>
      <c r="C58" s="128"/>
      <c r="D58" s="118"/>
      <c r="E58" s="118"/>
      <c r="F58" s="129"/>
      <c r="G58" s="129"/>
      <c r="H58" s="120" t="s">
        <v>151</v>
      </c>
      <c r="J58" s="8"/>
    </row>
    <row r="59" spans="1:10" x14ac:dyDescent="0.2">
      <c r="A59" s="118"/>
      <c r="B59" s="118"/>
      <c r="C59" s="119" t="s">
        <v>152</v>
      </c>
      <c r="D59" s="118"/>
      <c r="E59" s="118"/>
      <c r="F59" s="118"/>
      <c r="G59" s="118"/>
      <c r="H59" s="120" t="s">
        <v>151</v>
      </c>
      <c r="J59" s="8"/>
    </row>
    <row r="60" spans="1:10" x14ac:dyDescent="0.2">
      <c r="A60" s="121">
        <v>1</v>
      </c>
      <c r="B60" s="122" t="s">
        <v>810</v>
      </c>
      <c r="C60" s="122" t="s">
        <v>1028</v>
      </c>
      <c r="D60" s="122" t="s">
        <v>238</v>
      </c>
      <c r="E60" s="123">
        <v>37829</v>
      </c>
      <c r="F60" s="124">
        <v>2946.1864358779999</v>
      </c>
      <c r="G60" s="125">
        <v>7.2429399999999998E-3</v>
      </c>
      <c r="H60" s="120" t="s">
        <v>151</v>
      </c>
      <c r="J60" s="8"/>
    </row>
    <row r="61" spans="1:10" x14ac:dyDescent="0.2">
      <c r="A61" s="118"/>
      <c r="B61" s="118"/>
      <c r="C61" s="119" t="s">
        <v>150</v>
      </c>
      <c r="D61" s="118"/>
      <c r="E61" s="118" t="s">
        <v>151</v>
      </c>
      <c r="F61" s="126">
        <v>2946.1864358779999</v>
      </c>
      <c r="G61" s="127">
        <v>7.2429399999999998E-3</v>
      </c>
      <c r="H61" s="120" t="s">
        <v>151</v>
      </c>
      <c r="J61" s="8"/>
    </row>
    <row r="62" spans="1:10" x14ac:dyDescent="0.2">
      <c r="A62" s="118"/>
      <c r="B62" s="118"/>
      <c r="C62" s="128"/>
      <c r="D62" s="118"/>
      <c r="E62" s="118"/>
      <c r="F62" s="129"/>
      <c r="G62" s="129"/>
      <c r="H62" s="120" t="s">
        <v>151</v>
      </c>
      <c r="J62" s="8"/>
    </row>
    <row r="63" spans="1:10" x14ac:dyDescent="0.2">
      <c r="A63" s="118"/>
      <c r="B63" s="118"/>
      <c r="C63" s="119" t="s">
        <v>154</v>
      </c>
      <c r="D63" s="118"/>
      <c r="E63" s="118"/>
      <c r="F63" s="118"/>
      <c r="G63" s="118"/>
      <c r="H63" s="120" t="s">
        <v>151</v>
      </c>
      <c r="J63" s="8"/>
    </row>
    <row r="64" spans="1:10" x14ac:dyDescent="0.2">
      <c r="A64" s="118"/>
      <c r="B64" s="118"/>
      <c r="C64" s="119" t="s">
        <v>150</v>
      </c>
      <c r="D64" s="118"/>
      <c r="E64" s="118" t="s">
        <v>151</v>
      </c>
      <c r="F64" s="130" t="s">
        <v>153</v>
      </c>
      <c r="G64" s="127">
        <v>0</v>
      </c>
      <c r="H64" s="120" t="s">
        <v>151</v>
      </c>
      <c r="J64" s="8"/>
    </row>
    <row r="65" spans="1:10" x14ac:dyDescent="0.2">
      <c r="A65" s="118"/>
      <c r="B65" s="118"/>
      <c r="C65" s="128"/>
      <c r="D65" s="118"/>
      <c r="E65" s="118"/>
      <c r="F65" s="129"/>
      <c r="G65" s="129"/>
      <c r="H65" s="120" t="s">
        <v>151</v>
      </c>
      <c r="J65" s="8"/>
    </row>
    <row r="66" spans="1:10" x14ac:dyDescent="0.2">
      <c r="A66" s="118"/>
      <c r="B66" s="118"/>
      <c r="C66" s="119" t="s">
        <v>155</v>
      </c>
      <c r="D66" s="118"/>
      <c r="E66" s="118"/>
      <c r="F66" s="118"/>
      <c r="G66" s="118"/>
      <c r="H66" s="120" t="s">
        <v>151</v>
      </c>
      <c r="J66" s="8"/>
    </row>
    <row r="67" spans="1:10" x14ac:dyDescent="0.2">
      <c r="A67" s="118"/>
      <c r="B67" s="118"/>
      <c r="C67" s="119" t="s">
        <v>150</v>
      </c>
      <c r="D67" s="118"/>
      <c r="E67" s="118" t="s">
        <v>151</v>
      </c>
      <c r="F67" s="130" t="s">
        <v>153</v>
      </c>
      <c r="G67" s="127">
        <v>0</v>
      </c>
      <c r="H67" s="120" t="s">
        <v>151</v>
      </c>
      <c r="J67" s="8"/>
    </row>
    <row r="68" spans="1:10" x14ac:dyDescent="0.2">
      <c r="A68" s="118"/>
      <c r="B68" s="118"/>
      <c r="C68" s="128"/>
      <c r="D68" s="118"/>
      <c r="E68" s="118"/>
      <c r="F68" s="129"/>
      <c r="G68" s="129"/>
      <c r="H68" s="120" t="s">
        <v>151</v>
      </c>
      <c r="J68" s="8"/>
    </row>
    <row r="69" spans="1:10" x14ac:dyDescent="0.2">
      <c r="A69" s="118"/>
      <c r="B69" s="118"/>
      <c r="C69" s="119" t="s">
        <v>156</v>
      </c>
      <c r="D69" s="118"/>
      <c r="E69" s="118"/>
      <c r="F69" s="129"/>
      <c r="G69" s="129"/>
      <c r="H69" s="120" t="s">
        <v>151</v>
      </c>
      <c r="J69" s="8"/>
    </row>
    <row r="70" spans="1:10" x14ac:dyDescent="0.2">
      <c r="A70" s="118"/>
      <c r="B70" s="118"/>
      <c r="C70" s="119" t="s">
        <v>150</v>
      </c>
      <c r="D70" s="118"/>
      <c r="E70" s="118" t="s">
        <v>151</v>
      </c>
      <c r="F70" s="130" t="s">
        <v>153</v>
      </c>
      <c r="G70" s="127">
        <v>0</v>
      </c>
      <c r="H70" s="120" t="s">
        <v>151</v>
      </c>
      <c r="J70" s="8"/>
    </row>
    <row r="71" spans="1:10" x14ac:dyDescent="0.2">
      <c r="A71" s="118"/>
      <c r="B71" s="118"/>
      <c r="C71" s="128"/>
      <c r="D71" s="118"/>
      <c r="E71" s="118"/>
      <c r="F71" s="129"/>
      <c r="G71" s="129"/>
      <c r="H71" s="120" t="s">
        <v>151</v>
      </c>
      <c r="J71" s="8"/>
    </row>
    <row r="72" spans="1:10" x14ac:dyDescent="0.2">
      <c r="A72" s="118"/>
      <c r="B72" s="118"/>
      <c r="C72" s="119" t="s">
        <v>157</v>
      </c>
      <c r="D72" s="118"/>
      <c r="E72" s="118"/>
      <c r="F72" s="129"/>
      <c r="G72" s="129"/>
      <c r="H72" s="120" t="s">
        <v>151</v>
      </c>
      <c r="J72" s="8"/>
    </row>
    <row r="73" spans="1:10" x14ac:dyDescent="0.2">
      <c r="A73" s="118"/>
      <c r="B73" s="118"/>
      <c r="C73" s="119" t="s">
        <v>150</v>
      </c>
      <c r="D73" s="118"/>
      <c r="E73" s="118" t="s">
        <v>151</v>
      </c>
      <c r="F73" s="130" t="s">
        <v>153</v>
      </c>
      <c r="G73" s="127">
        <v>0</v>
      </c>
      <c r="H73" s="120" t="s">
        <v>151</v>
      </c>
      <c r="J73" s="8"/>
    </row>
    <row r="74" spans="1:10" x14ac:dyDescent="0.2">
      <c r="A74" s="118"/>
      <c r="B74" s="118"/>
      <c r="C74" s="128"/>
      <c r="D74" s="118"/>
      <c r="E74" s="118"/>
      <c r="F74" s="129"/>
      <c r="G74" s="129"/>
      <c r="H74" s="120" t="s">
        <v>151</v>
      </c>
      <c r="J74" s="8"/>
    </row>
    <row r="75" spans="1:10" x14ac:dyDescent="0.2">
      <c r="A75" s="118"/>
      <c r="B75" s="118"/>
      <c r="C75" s="119" t="s">
        <v>158</v>
      </c>
      <c r="D75" s="118"/>
      <c r="E75" s="118"/>
      <c r="F75" s="126">
        <v>387019.99928357801</v>
      </c>
      <c r="G75" s="127">
        <v>0.95145519000000001</v>
      </c>
      <c r="H75" s="120" t="s">
        <v>151</v>
      </c>
      <c r="J75" s="8"/>
    </row>
    <row r="76" spans="1:10" x14ac:dyDescent="0.2">
      <c r="A76" s="118"/>
      <c r="B76" s="118"/>
      <c r="C76" s="128"/>
      <c r="D76" s="118"/>
      <c r="E76" s="118"/>
      <c r="F76" s="129"/>
      <c r="G76" s="129"/>
      <c r="H76" s="120" t="s">
        <v>151</v>
      </c>
      <c r="J76" s="8"/>
    </row>
    <row r="77" spans="1:10" x14ac:dyDescent="0.2">
      <c r="A77" s="118"/>
      <c r="B77" s="118"/>
      <c r="C77" s="119" t="s">
        <v>159</v>
      </c>
      <c r="D77" s="118"/>
      <c r="E77" s="118"/>
      <c r="F77" s="129"/>
      <c r="G77" s="129"/>
      <c r="H77" s="120" t="s">
        <v>151</v>
      </c>
      <c r="J77" s="8"/>
    </row>
    <row r="78" spans="1:10" ht="25.5" x14ac:dyDescent="0.2">
      <c r="A78" s="118"/>
      <c r="B78" s="118"/>
      <c r="C78" s="119" t="s">
        <v>10</v>
      </c>
      <c r="D78" s="118"/>
      <c r="E78" s="118"/>
      <c r="F78" s="129"/>
      <c r="G78" s="129"/>
      <c r="H78" s="120" t="s">
        <v>151</v>
      </c>
      <c r="J78" s="8"/>
    </row>
    <row r="79" spans="1:10" x14ac:dyDescent="0.2">
      <c r="A79" s="118"/>
      <c r="B79" s="118"/>
      <c r="C79" s="119" t="s">
        <v>150</v>
      </c>
      <c r="D79" s="118"/>
      <c r="E79" s="118" t="s">
        <v>151</v>
      </c>
      <c r="F79" s="130" t="s">
        <v>153</v>
      </c>
      <c r="G79" s="127">
        <v>0</v>
      </c>
      <c r="H79" s="120" t="s">
        <v>151</v>
      </c>
      <c r="J79" s="8"/>
    </row>
    <row r="80" spans="1:10" x14ac:dyDescent="0.2">
      <c r="A80" s="118"/>
      <c r="B80" s="118"/>
      <c r="C80" s="128"/>
      <c r="D80" s="118"/>
      <c r="E80" s="118"/>
      <c r="F80" s="129"/>
      <c r="G80" s="129"/>
      <c r="H80" s="120" t="s">
        <v>151</v>
      </c>
      <c r="J80" s="8"/>
    </row>
    <row r="81" spans="1:10" x14ac:dyDescent="0.2">
      <c r="A81" s="118"/>
      <c r="B81" s="118"/>
      <c r="C81" s="119" t="s">
        <v>160</v>
      </c>
      <c r="D81" s="118"/>
      <c r="E81" s="118"/>
      <c r="F81" s="118"/>
      <c r="G81" s="118"/>
      <c r="H81" s="120" t="s">
        <v>151</v>
      </c>
      <c r="J81" s="8"/>
    </row>
    <row r="82" spans="1:10" x14ac:dyDescent="0.2">
      <c r="A82" s="118"/>
      <c r="B82" s="118"/>
      <c r="C82" s="119" t="s">
        <v>150</v>
      </c>
      <c r="D82" s="118"/>
      <c r="E82" s="118" t="s">
        <v>151</v>
      </c>
      <c r="F82" s="130" t="s">
        <v>153</v>
      </c>
      <c r="G82" s="127">
        <v>0</v>
      </c>
      <c r="H82" s="120" t="s">
        <v>151</v>
      </c>
      <c r="J82" s="8"/>
    </row>
    <row r="83" spans="1:10" x14ac:dyDescent="0.2">
      <c r="A83" s="118"/>
      <c r="B83" s="118"/>
      <c r="C83" s="128"/>
      <c r="D83" s="118"/>
      <c r="E83" s="118"/>
      <c r="F83" s="129"/>
      <c r="G83" s="129"/>
      <c r="H83" s="120" t="s">
        <v>151</v>
      </c>
      <c r="J83" s="8"/>
    </row>
    <row r="84" spans="1:10" x14ac:dyDescent="0.2">
      <c r="A84" s="118"/>
      <c r="B84" s="118"/>
      <c r="C84" s="119" t="s">
        <v>161</v>
      </c>
      <c r="D84" s="118"/>
      <c r="E84" s="118"/>
      <c r="F84" s="118"/>
      <c r="G84" s="118"/>
      <c r="H84" s="120" t="s">
        <v>151</v>
      </c>
      <c r="J84" s="8"/>
    </row>
    <row r="85" spans="1:10" x14ac:dyDescent="0.2">
      <c r="A85" s="118"/>
      <c r="B85" s="118"/>
      <c r="C85" s="119" t="s">
        <v>150</v>
      </c>
      <c r="D85" s="118"/>
      <c r="E85" s="118" t="s">
        <v>151</v>
      </c>
      <c r="F85" s="130" t="s">
        <v>153</v>
      </c>
      <c r="G85" s="127">
        <v>0</v>
      </c>
      <c r="H85" s="120" t="s">
        <v>151</v>
      </c>
      <c r="J85" s="8"/>
    </row>
    <row r="86" spans="1:10" x14ac:dyDescent="0.2">
      <c r="A86" s="118"/>
      <c r="B86" s="118"/>
      <c r="C86" s="128"/>
      <c r="D86" s="118"/>
      <c r="E86" s="118"/>
      <c r="F86" s="129"/>
      <c r="G86" s="129"/>
      <c r="H86" s="120" t="s">
        <v>151</v>
      </c>
      <c r="J86" s="8"/>
    </row>
    <row r="87" spans="1:10" x14ac:dyDescent="0.2">
      <c r="A87" s="118"/>
      <c r="B87" s="118"/>
      <c r="C87" s="119" t="s">
        <v>162</v>
      </c>
      <c r="D87" s="118"/>
      <c r="E87" s="118"/>
      <c r="F87" s="129"/>
      <c r="G87" s="129"/>
      <c r="H87" s="120" t="s">
        <v>151</v>
      </c>
      <c r="J87" s="8"/>
    </row>
    <row r="88" spans="1:10" x14ac:dyDescent="0.2">
      <c r="A88" s="118"/>
      <c r="B88" s="118"/>
      <c r="C88" s="119" t="s">
        <v>150</v>
      </c>
      <c r="D88" s="118"/>
      <c r="E88" s="118" t="s">
        <v>151</v>
      </c>
      <c r="F88" s="130" t="s">
        <v>153</v>
      </c>
      <c r="G88" s="127">
        <v>0</v>
      </c>
      <c r="H88" s="120" t="s">
        <v>151</v>
      </c>
      <c r="J88" s="8"/>
    </row>
    <row r="89" spans="1:10" x14ac:dyDescent="0.2">
      <c r="A89" s="118"/>
      <c r="B89" s="118"/>
      <c r="C89" s="128"/>
      <c r="D89" s="118"/>
      <c r="E89" s="118"/>
      <c r="F89" s="129"/>
      <c r="G89" s="129"/>
      <c r="H89" s="120" t="s">
        <v>151</v>
      </c>
      <c r="J89" s="8"/>
    </row>
    <row r="90" spans="1:10" x14ac:dyDescent="0.2">
      <c r="A90" s="118"/>
      <c r="B90" s="118"/>
      <c r="C90" s="119" t="s">
        <v>163</v>
      </c>
      <c r="D90" s="118"/>
      <c r="E90" s="118"/>
      <c r="F90" s="126">
        <v>0</v>
      </c>
      <c r="G90" s="127">
        <v>0</v>
      </c>
      <c r="H90" s="120" t="s">
        <v>151</v>
      </c>
      <c r="J90" s="8"/>
    </row>
    <row r="91" spans="1:10" x14ac:dyDescent="0.2">
      <c r="A91" s="118"/>
      <c r="B91" s="118"/>
      <c r="C91" s="128"/>
      <c r="D91" s="118"/>
      <c r="E91" s="118"/>
      <c r="F91" s="129"/>
      <c r="G91" s="129"/>
      <c r="H91" s="120" t="s">
        <v>151</v>
      </c>
      <c r="J91" s="8"/>
    </row>
    <row r="92" spans="1:10" x14ac:dyDescent="0.2">
      <c r="A92" s="118"/>
      <c r="B92" s="118"/>
      <c r="C92" s="119" t="s">
        <v>164</v>
      </c>
      <c r="D92" s="118"/>
      <c r="E92" s="118"/>
      <c r="F92" s="129"/>
      <c r="G92" s="129"/>
      <c r="H92" s="120" t="s">
        <v>151</v>
      </c>
      <c r="J92" s="8"/>
    </row>
    <row r="93" spans="1:10" x14ac:dyDescent="0.2">
      <c r="A93" s="118"/>
      <c r="B93" s="118"/>
      <c r="C93" s="119" t="s">
        <v>165</v>
      </c>
      <c r="D93" s="118"/>
      <c r="E93" s="118"/>
      <c r="F93" s="129"/>
      <c r="G93" s="129"/>
      <c r="H93" s="120" t="s">
        <v>151</v>
      </c>
      <c r="J93" s="8"/>
    </row>
    <row r="94" spans="1:10" x14ac:dyDescent="0.2">
      <c r="A94" s="118"/>
      <c r="B94" s="118"/>
      <c r="C94" s="119" t="s">
        <v>150</v>
      </c>
      <c r="D94" s="118"/>
      <c r="E94" s="118" t="s">
        <v>151</v>
      </c>
      <c r="F94" s="130" t="s">
        <v>153</v>
      </c>
      <c r="G94" s="127">
        <v>0</v>
      </c>
      <c r="H94" s="120" t="s">
        <v>151</v>
      </c>
      <c r="J94" s="8"/>
    </row>
    <row r="95" spans="1:10" x14ac:dyDescent="0.2">
      <c r="A95" s="118"/>
      <c r="B95" s="118"/>
      <c r="C95" s="128"/>
      <c r="D95" s="118"/>
      <c r="E95" s="118"/>
      <c r="F95" s="129"/>
      <c r="G95" s="129"/>
      <c r="H95" s="120" t="s">
        <v>151</v>
      </c>
      <c r="J95" s="8"/>
    </row>
    <row r="96" spans="1:10" x14ac:dyDescent="0.2">
      <c r="A96" s="118"/>
      <c r="B96" s="118"/>
      <c r="C96" s="119" t="s">
        <v>166</v>
      </c>
      <c r="D96" s="118"/>
      <c r="E96" s="118"/>
      <c r="F96" s="129"/>
      <c r="G96" s="129"/>
      <c r="H96" s="120" t="s">
        <v>151</v>
      </c>
      <c r="J96" s="8"/>
    </row>
    <row r="97" spans="1:10" x14ac:dyDescent="0.2">
      <c r="A97" s="118"/>
      <c r="B97" s="118"/>
      <c r="C97" s="119" t="s">
        <v>150</v>
      </c>
      <c r="D97" s="118"/>
      <c r="E97" s="118" t="s">
        <v>151</v>
      </c>
      <c r="F97" s="130" t="s">
        <v>153</v>
      </c>
      <c r="G97" s="127">
        <v>0</v>
      </c>
      <c r="H97" s="120" t="s">
        <v>151</v>
      </c>
      <c r="J97" s="8"/>
    </row>
    <row r="98" spans="1:10" x14ac:dyDescent="0.2">
      <c r="A98" s="118"/>
      <c r="B98" s="118"/>
      <c r="C98" s="128"/>
      <c r="D98" s="118"/>
      <c r="E98" s="118"/>
      <c r="F98" s="129"/>
      <c r="G98" s="129"/>
      <c r="H98" s="120" t="s">
        <v>151</v>
      </c>
      <c r="J98" s="8"/>
    </row>
    <row r="99" spans="1:10" x14ac:dyDescent="0.2">
      <c r="A99" s="118"/>
      <c r="B99" s="118"/>
      <c r="C99" s="119" t="s">
        <v>167</v>
      </c>
      <c r="D99" s="118"/>
      <c r="E99" s="118"/>
      <c r="F99" s="129"/>
      <c r="G99" s="129"/>
      <c r="H99" s="120" t="s">
        <v>151</v>
      </c>
      <c r="J99" s="8"/>
    </row>
    <row r="100" spans="1:10" x14ac:dyDescent="0.2">
      <c r="A100" s="121">
        <v>1</v>
      </c>
      <c r="B100" s="122" t="s">
        <v>672</v>
      </c>
      <c r="C100" s="122" t="s">
        <v>1054</v>
      </c>
      <c r="D100" s="122" t="s">
        <v>541</v>
      </c>
      <c r="E100" s="123">
        <v>2000000</v>
      </c>
      <c r="F100" s="124">
        <v>1996.856</v>
      </c>
      <c r="G100" s="125">
        <v>4.9090999999999996E-3</v>
      </c>
      <c r="H100" s="120">
        <v>6.3856000000000002</v>
      </c>
      <c r="J100" s="8"/>
    </row>
    <row r="101" spans="1:10" x14ac:dyDescent="0.2">
      <c r="A101" s="121">
        <v>2</v>
      </c>
      <c r="B101" s="122" t="s">
        <v>540</v>
      </c>
      <c r="C101" s="122" t="s">
        <v>1051</v>
      </c>
      <c r="D101" s="122" t="s">
        <v>541</v>
      </c>
      <c r="E101" s="123">
        <v>1000000</v>
      </c>
      <c r="F101" s="124">
        <v>963.18399999999997</v>
      </c>
      <c r="G101" s="125">
        <v>2.36791E-3</v>
      </c>
      <c r="H101" s="120">
        <v>6.55</v>
      </c>
      <c r="J101" s="8"/>
    </row>
    <row r="102" spans="1:10" x14ac:dyDescent="0.2">
      <c r="A102" s="118"/>
      <c r="B102" s="118"/>
      <c r="C102" s="119" t="s">
        <v>150</v>
      </c>
      <c r="D102" s="118"/>
      <c r="E102" s="118" t="s">
        <v>151</v>
      </c>
      <c r="F102" s="126">
        <v>2960.04</v>
      </c>
      <c r="G102" s="127">
        <v>7.2770100000000004E-3</v>
      </c>
      <c r="H102" s="120" t="s">
        <v>151</v>
      </c>
      <c r="J102" s="8"/>
    </row>
    <row r="103" spans="1:10" x14ac:dyDescent="0.2">
      <c r="A103" s="118"/>
      <c r="B103" s="118"/>
      <c r="C103" s="128"/>
      <c r="D103" s="118"/>
      <c r="E103" s="118"/>
      <c r="F103" s="129"/>
      <c r="G103" s="129"/>
      <c r="H103" s="120" t="s">
        <v>151</v>
      </c>
      <c r="J103" s="8"/>
    </row>
    <row r="104" spans="1:10" x14ac:dyDescent="0.2">
      <c r="A104" s="118"/>
      <c r="B104" s="118"/>
      <c r="C104" s="119" t="s">
        <v>168</v>
      </c>
      <c r="D104" s="118"/>
      <c r="E104" s="118"/>
      <c r="F104" s="129"/>
      <c r="G104" s="129"/>
      <c r="H104" s="120" t="s">
        <v>151</v>
      </c>
      <c r="J104" s="8"/>
    </row>
    <row r="105" spans="1:10" x14ac:dyDescent="0.2">
      <c r="A105" s="121">
        <v>1</v>
      </c>
      <c r="B105" s="122"/>
      <c r="C105" s="122" t="s">
        <v>169</v>
      </c>
      <c r="D105" s="122"/>
      <c r="E105" s="131"/>
      <c r="F105" s="124">
        <v>7089.4592380000004</v>
      </c>
      <c r="G105" s="125">
        <v>1.7428820000000001E-2</v>
      </c>
      <c r="H105" s="120">
        <v>6.61</v>
      </c>
      <c r="J105" s="8"/>
    </row>
    <row r="106" spans="1:10" x14ac:dyDescent="0.2">
      <c r="A106" s="118"/>
      <c r="B106" s="118"/>
      <c r="C106" s="119" t="s">
        <v>150</v>
      </c>
      <c r="D106" s="118"/>
      <c r="E106" s="118" t="s">
        <v>151</v>
      </c>
      <c r="F106" s="126">
        <v>7089.4592380000004</v>
      </c>
      <c r="G106" s="127">
        <v>1.7428820000000001E-2</v>
      </c>
      <c r="H106" s="120" t="s">
        <v>151</v>
      </c>
      <c r="J106" s="8"/>
    </row>
    <row r="107" spans="1:10" x14ac:dyDescent="0.2">
      <c r="A107" s="118"/>
      <c r="B107" s="118"/>
      <c r="C107" s="128"/>
      <c r="D107" s="118"/>
      <c r="E107" s="118"/>
      <c r="F107" s="129"/>
      <c r="G107" s="129"/>
      <c r="H107" s="120" t="s">
        <v>151</v>
      </c>
      <c r="J107" s="8"/>
    </row>
    <row r="108" spans="1:10" x14ac:dyDescent="0.2">
      <c r="A108" s="118"/>
      <c r="B108" s="118"/>
      <c r="C108" s="119" t="s">
        <v>170</v>
      </c>
      <c r="D108" s="118"/>
      <c r="E108" s="118"/>
      <c r="F108" s="126">
        <v>10049.499238</v>
      </c>
      <c r="G108" s="127">
        <v>2.4705830000000002E-2</v>
      </c>
      <c r="H108" s="120" t="s">
        <v>151</v>
      </c>
      <c r="J108" s="8"/>
    </row>
    <row r="109" spans="1:10" x14ac:dyDescent="0.2">
      <c r="A109" s="118"/>
      <c r="B109" s="118"/>
      <c r="C109" s="129"/>
      <c r="D109" s="118"/>
      <c r="E109" s="118"/>
      <c r="F109" s="118"/>
      <c r="G109" s="118"/>
      <c r="H109" s="120" t="s">
        <v>151</v>
      </c>
      <c r="J109" s="8"/>
    </row>
    <row r="110" spans="1:10" x14ac:dyDescent="0.2">
      <c r="A110" s="118"/>
      <c r="B110" s="118"/>
      <c r="C110" s="119" t="s">
        <v>171</v>
      </c>
      <c r="D110" s="118"/>
      <c r="E110" s="118"/>
      <c r="F110" s="118"/>
      <c r="G110" s="118"/>
      <c r="H110" s="120" t="s">
        <v>151</v>
      </c>
      <c r="J110" s="8"/>
    </row>
    <row r="111" spans="1:10" x14ac:dyDescent="0.2">
      <c r="A111" s="118"/>
      <c r="B111" s="118"/>
      <c r="C111" s="119" t="s">
        <v>172</v>
      </c>
      <c r="D111" s="118"/>
      <c r="E111" s="118"/>
      <c r="F111" s="118"/>
      <c r="G111" s="118"/>
      <c r="H111" s="120" t="s">
        <v>151</v>
      </c>
      <c r="J111" s="8"/>
    </row>
    <row r="112" spans="1:10" x14ac:dyDescent="0.2">
      <c r="A112" s="121">
        <v>1</v>
      </c>
      <c r="B112" s="122" t="s">
        <v>173</v>
      </c>
      <c r="C112" s="122" t="s">
        <v>174</v>
      </c>
      <c r="D112" s="122"/>
      <c r="E112" s="132">
        <v>452513.83439999999</v>
      </c>
      <c r="F112" s="124">
        <v>10002.705180953</v>
      </c>
      <c r="G112" s="125">
        <v>2.4590790000000001E-2</v>
      </c>
      <c r="H112" s="120" t="s">
        <v>151</v>
      </c>
      <c r="J112" s="8"/>
    </row>
    <row r="113" spans="1:17" x14ac:dyDescent="0.2">
      <c r="A113" s="118"/>
      <c r="B113" s="118"/>
      <c r="C113" s="119" t="s">
        <v>150</v>
      </c>
      <c r="D113" s="118"/>
      <c r="E113" s="118" t="s">
        <v>151</v>
      </c>
      <c r="F113" s="126">
        <v>10002.705180953</v>
      </c>
      <c r="G113" s="127">
        <v>2.4590790000000001E-2</v>
      </c>
      <c r="H113" s="120" t="s">
        <v>151</v>
      </c>
      <c r="J113" s="8"/>
    </row>
    <row r="114" spans="1:17" x14ac:dyDescent="0.2">
      <c r="A114" s="118"/>
      <c r="B114" s="118"/>
      <c r="C114" s="128"/>
      <c r="D114" s="118"/>
      <c r="E114" s="118"/>
      <c r="F114" s="129"/>
      <c r="G114" s="129"/>
      <c r="H114" s="120" t="s">
        <v>151</v>
      </c>
      <c r="J114" s="8"/>
    </row>
    <row r="115" spans="1:17" x14ac:dyDescent="0.2">
      <c r="A115" s="118"/>
      <c r="B115" s="118"/>
      <c r="C115" s="119" t="s">
        <v>175</v>
      </c>
      <c r="D115" s="118"/>
      <c r="E115" s="118"/>
      <c r="F115" s="118"/>
      <c r="G115" s="118"/>
      <c r="H115" s="120" t="s">
        <v>151</v>
      </c>
      <c r="J115" s="8"/>
    </row>
    <row r="116" spans="1:17" x14ac:dyDescent="0.2">
      <c r="A116" s="118"/>
      <c r="B116" s="118"/>
      <c r="C116" s="119" t="s">
        <v>176</v>
      </c>
      <c r="D116" s="118"/>
      <c r="E116" s="118"/>
      <c r="F116" s="118"/>
      <c r="G116" s="118"/>
      <c r="H116" s="120" t="s">
        <v>151</v>
      </c>
      <c r="J116" s="8"/>
    </row>
    <row r="117" spans="1:17" x14ac:dyDescent="0.2">
      <c r="A117" s="118"/>
      <c r="B117" s="118"/>
      <c r="C117" s="119" t="s">
        <v>150</v>
      </c>
      <c r="D117" s="118"/>
      <c r="E117" s="118" t="s">
        <v>151</v>
      </c>
      <c r="F117" s="130" t="s">
        <v>153</v>
      </c>
      <c r="G117" s="127">
        <v>0</v>
      </c>
      <c r="H117" s="120" t="s">
        <v>151</v>
      </c>
      <c r="J117" s="8"/>
    </row>
    <row r="118" spans="1:17" x14ac:dyDescent="0.2">
      <c r="A118" s="118"/>
      <c r="B118" s="118"/>
      <c r="C118" s="128"/>
      <c r="D118" s="118"/>
      <c r="E118" s="118"/>
      <c r="F118" s="129"/>
      <c r="G118" s="129"/>
      <c r="H118" s="120" t="s">
        <v>151</v>
      </c>
      <c r="J118" s="8"/>
    </row>
    <row r="119" spans="1:17" ht="25.5" x14ac:dyDescent="0.2">
      <c r="A119" s="118"/>
      <c r="B119" s="118"/>
      <c r="C119" s="119" t="s">
        <v>177</v>
      </c>
      <c r="D119" s="118"/>
      <c r="E119" s="118"/>
      <c r="F119" s="129"/>
      <c r="G119" s="129"/>
      <c r="H119" s="120" t="s">
        <v>151</v>
      </c>
      <c r="J119" s="8"/>
    </row>
    <row r="120" spans="1:17" x14ac:dyDescent="0.2">
      <c r="A120" s="118"/>
      <c r="B120" s="118"/>
      <c r="C120" s="119" t="s">
        <v>150</v>
      </c>
      <c r="D120" s="118"/>
      <c r="E120" s="118" t="s">
        <v>151</v>
      </c>
      <c r="F120" s="130" t="s">
        <v>153</v>
      </c>
      <c r="G120" s="127">
        <v>0</v>
      </c>
      <c r="H120" s="120" t="s">
        <v>151</v>
      </c>
      <c r="J120" s="8"/>
    </row>
    <row r="121" spans="1:17" x14ac:dyDescent="0.2">
      <c r="A121" s="118"/>
      <c r="B121" s="118"/>
      <c r="C121" s="128"/>
      <c r="D121" s="118"/>
      <c r="E121" s="118"/>
      <c r="F121" s="129"/>
      <c r="G121" s="129"/>
      <c r="H121" s="120" t="s">
        <v>151</v>
      </c>
      <c r="J121" s="8"/>
    </row>
    <row r="122" spans="1:17" x14ac:dyDescent="0.2">
      <c r="A122" s="131"/>
      <c r="B122" s="122"/>
      <c r="C122" s="200" t="s">
        <v>917</v>
      </c>
      <c r="D122" s="122"/>
      <c r="E122" s="131"/>
      <c r="F122" s="124">
        <v>-305.80563071</v>
      </c>
      <c r="G122" s="125">
        <v>-7.5179999999999995E-4</v>
      </c>
      <c r="H122" s="120" t="s">
        <v>151</v>
      </c>
      <c r="J122" s="8"/>
    </row>
    <row r="123" spans="1:17" x14ac:dyDescent="0.2">
      <c r="A123" s="128"/>
      <c r="B123" s="128"/>
      <c r="C123" s="119" t="s">
        <v>179</v>
      </c>
      <c r="D123" s="129"/>
      <c r="E123" s="129"/>
      <c r="F123" s="126">
        <v>406766.39807182102</v>
      </c>
      <c r="G123" s="133">
        <v>1.0000000099999999</v>
      </c>
      <c r="H123" s="120" t="s">
        <v>151</v>
      </c>
      <c r="J123" s="8"/>
    </row>
    <row r="124" spans="1:17" x14ac:dyDescent="0.2">
      <c r="A124" s="134"/>
      <c r="B124" s="134"/>
      <c r="C124" s="134"/>
      <c r="D124" s="135"/>
      <c r="E124" s="135"/>
      <c r="F124" s="135"/>
      <c r="G124" s="135"/>
      <c r="J124" s="8"/>
    </row>
    <row r="125" spans="1:17" x14ac:dyDescent="0.2">
      <c r="A125" s="136"/>
      <c r="B125" s="137" t="s">
        <v>888</v>
      </c>
      <c r="C125" s="137"/>
      <c r="D125" s="137"/>
      <c r="E125" s="137"/>
      <c r="F125" s="137"/>
      <c r="G125" s="137"/>
      <c r="H125" s="137"/>
      <c r="J125" s="8"/>
    </row>
    <row r="126" spans="1:17" x14ac:dyDescent="0.2">
      <c r="A126" s="136"/>
      <c r="B126" s="137" t="s">
        <v>889</v>
      </c>
      <c r="C126" s="137"/>
      <c r="D126" s="137"/>
      <c r="E126" s="137"/>
      <c r="F126" s="137"/>
      <c r="G126" s="137"/>
      <c r="H126" s="137"/>
      <c r="J126" s="8"/>
    </row>
    <row r="127" spans="1:17" x14ac:dyDescent="0.2">
      <c r="A127" s="136"/>
      <c r="B127" s="137" t="s">
        <v>890</v>
      </c>
      <c r="C127" s="137"/>
      <c r="D127" s="137"/>
      <c r="E127" s="137"/>
      <c r="F127" s="137"/>
      <c r="G127" s="137"/>
      <c r="H127" s="137"/>
      <c r="J127" s="8"/>
    </row>
    <row r="128" spans="1:17" s="13" customFormat="1" ht="67.5" customHeight="1" x14ac:dyDescent="0.25">
      <c r="A128" s="138"/>
      <c r="B128" s="139" t="s">
        <v>891</v>
      </c>
      <c r="C128" s="139"/>
      <c r="D128" s="139"/>
      <c r="E128" s="139"/>
      <c r="F128" s="139"/>
      <c r="G128" s="139"/>
      <c r="H128" s="139"/>
      <c r="I128" s="114"/>
      <c r="J128" s="8"/>
      <c r="K128"/>
      <c r="L128"/>
      <c r="M128"/>
      <c r="N128"/>
      <c r="O128"/>
      <c r="P128"/>
      <c r="Q128"/>
    </row>
    <row r="129" spans="1:10" x14ac:dyDescent="0.2">
      <c r="A129" s="136"/>
      <c r="B129" s="137" t="s">
        <v>892</v>
      </c>
      <c r="C129" s="137"/>
      <c r="D129" s="137"/>
      <c r="E129" s="137"/>
      <c r="F129" s="137"/>
      <c r="G129" s="137"/>
      <c r="H129" s="137"/>
      <c r="J129" s="8"/>
    </row>
    <row r="130" spans="1:10" x14ac:dyDescent="0.2">
      <c r="A130" s="140"/>
      <c r="B130" s="140"/>
      <c r="C130" s="140"/>
      <c r="D130" s="141"/>
      <c r="E130" s="141"/>
      <c r="F130" s="141"/>
      <c r="G130" s="141"/>
      <c r="J130" s="8"/>
    </row>
    <row r="131" spans="1:10" x14ac:dyDescent="0.2">
      <c r="A131" s="140"/>
      <c r="B131" s="142" t="s">
        <v>180</v>
      </c>
      <c r="C131" s="143"/>
      <c r="D131" s="144"/>
      <c r="E131" s="145"/>
      <c r="F131" s="141"/>
      <c r="G131" s="141"/>
      <c r="J131" s="8"/>
    </row>
    <row r="132" spans="1:10" x14ac:dyDescent="0.2">
      <c r="A132" s="140"/>
      <c r="B132" s="146" t="s">
        <v>181</v>
      </c>
      <c r="C132" s="147"/>
      <c r="D132" s="119" t="s">
        <v>182</v>
      </c>
      <c r="E132" s="145"/>
      <c r="F132" s="141"/>
      <c r="G132" s="141"/>
      <c r="J132" s="8"/>
    </row>
    <row r="133" spans="1:10" x14ac:dyDescent="0.2">
      <c r="A133" s="140"/>
      <c r="B133" s="146" t="s">
        <v>183</v>
      </c>
      <c r="C133" s="147"/>
      <c r="D133" s="119" t="s">
        <v>182</v>
      </c>
      <c r="E133" s="145"/>
      <c r="F133" s="141"/>
      <c r="G133" s="141"/>
      <c r="J133" s="8"/>
    </row>
    <row r="134" spans="1:10" x14ac:dyDescent="0.2">
      <c r="A134" s="140"/>
      <c r="B134" s="146" t="s">
        <v>184</v>
      </c>
      <c r="C134" s="147"/>
      <c r="D134" s="129" t="s">
        <v>151</v>
      </c>
      <c r="E134" s="145"/>
      <c r="F134" s="141"/>
      <c r="G134" s="141"/>
      <c r="J134" s="8"/>
    </row>
    <row r="135" spans="1:10" x14ac:dyDescent="0.2">
      <c r="A135" s="151"/>
      <c r="B135" s="152" t="s">
        <v>151</v>
      </c>
      <c r="C135" s="152" t="s">
        <v>894</v>
      </c>
      <c r="D135" s="152" t="s">
        <v>185</v>
      </c>
      <c r="E135" s="151"/>
      <c r="F135" s="151"/>
      <c r="G135" s="151"/>
      <c r="H135" s="151"/>
      <c r="J135" s="8"/>
    </row>
    <row r="136" spans="1:10" x14ac:dyDescent="0.2">
      <c r="A136" s="153"/>
      <c r="B136" s="154" t="s">
        <v>186</v>
      </c>
      <c r="C136" s="155">
        <v>45535</v>
      </c>
      <c r="D136" s="155">
        <v>45565</v>
      </c>
      <c r="E136" s="153"/>
      <c r="F136" s="153"/>
      <c r="G136" s="153"/>
      <c r="J136" s="8"/>
    </row>
    <row r="137" spans="1:10" x14ac:dyDescent="0.2">
      <c r="A137" s="153"/>
      <c r="B137" s="122" t="s">
        <v>187</v>
      </c>
      <c r="C137" s="156">
        <v>35.354100000000003</v>
      </c>
      <c r="D137" s="156">
        <v>36.932000000000002</v>
      </c>
      <c r="E137" s="153"/>
      <c r="F137" s="157"/>
      <c r="G137" s="158"/>
      <c r="J137" s="8"/>
    </row>
    <row r="138" spans="1:10" x14ac:dyDescent="0.2">
      <c r="A138" s="153"/>
      <c r="B138" s="122" t="s">
        <v>1038</v>
      </c>
      <c r="C138" s="156">
        <v>26.1541</v>
      </c>
      <c r="D138" s="156">
        <v>27.321400000000001</v>
      </c>
      <c r="E138" s="153"/>
      <c r="F138" s="157"/>
      <c r="G138" s="158"/>
      <c r="J138" s="8"/>
    </row>
    <row r="139" spans="1:10" x14ac:dyDescent="0.2">
      <c r="A139" s="153"/>
      <c r="B139" s="122" t="s">
        <v>188</v>
      </c>
      <c r="C139" s="156">
        <v>32.988599999999998</v>
      </c>
      <c r="D139" s="156">
        <v>34.427500000000002</v>
      </c>
      <c r="E139" s="153"/>
      <c r="F139" s="157"/>
      <c r="G139" s="158"/>
      <c r="J139" s="8"/>
    </row>
    <row r="140" spans="1:10" x14ac:dyDescent="0.2">
      <c r="A140" s="153"/>
      <c r="B140" s="122" t="s">
        <v>1039</v>
      </c>
      <c r="C140" s="156">
        <v>24.378399999999999</v>
      </c>
      <c r="D140" s="156">
        <v>25.441800000000001</v>
      </c>
      <c r="E140" s="153"/>
      <c r="F140" s="157"/>
      <c r="G140" s="158"/>
      <c r="J140" s="8"/>
    </row>
    <row r="141" spans="1:10" x14ac:dyDescent="0.2">
      <c r="A141" s="153"/>
      <c r="B141" s="153"/>
      <c r="C141" s="153"/>
      <c r="D141" s="153"/>
      <c r="E141" s="153"/>
      <c r="F141" s="153"/>
      <c r="G141" s="153"/>
      <c r="J141" s="8"/>
    </row>
    <row r="142" spans="1:10" x14ac:dyDescent="0.2">
      <c r="A142" s="153"/>
      <c r="B142" s="146" t="s">
        <v>895</v>
      </c>
      <c r="C142" s="147"/>
      <c r="D142" s="196" t="s">
        <v>182</v>
      </c>
      <c r="E142" s="153"/>
      <c r="F142" s="153"/>
      <c r="G142" s="153"/>
      <c r="J142" s="8"/>
    </row>
    <row r="143" spans="1:10" x14ac:dyDescent="0.2">
      <c r="A143" s="153"/>
      <c r="B143" s="201"/>
      <c r="C143" s="201"/>
      <c r="D143" s="201"/>
      <c r="E143" s="153"/>
      <c r="F143" s="153"/>
      <c r="G143" s="153"/>
      <c r="J143" s="8"/>
    </row>
    <row r="144" spans="1:10" ht="29.1" customHeight="1" x14ac:dyDescent="0.2">
      <c r="A144" s="151"/>
      <c r="B144" s="148" t="s">
        <v>189</v>
      </c>
      <c r="C144" s="149"/>
      <c r="D144" s="150" t="s">
        <v>182</v>
      </c>
      <c r="E144" s="151"/>
      <c r="F144" s="151"/>
      <c r="G144" s="151"/>
      <c r="H144" s="151"/>
      <c r="J144" s="8"/>
    </row>
    <row r="145" spans="1:10" ht="29.1" customHeight="1" x14ac:dyDescent="0.2">
      <c r="A145" s="151"/>
      <c r="B145" s="148" t="s">
        <v>190</v>
      </c>
      <c r="C145" s="149"/>
      <c r="D145" s="280" t="s">
        <v>1183</v>
      </c>
      <c r="E145" s="160"/>
      <c r="F145" s="151"/>
      <c r="G145" s="151"/>
      <c r="H145" s="151"/>
      <c r="J145" s="8"/>
    </row>
    <row r="146" spans="1:10" ht="17.100000000000001" customHeight="1" x14ac:dyDescent="0.2">
      <c r="A146" s="151"/>
      <c r="B146" s="148" t="s">
        <v>191</v>
      </c>
      <c r="C146" s="149"/>
      <c r="D146" s="150" t="s">
        <v>182</v>
      </c>
      <c r="E146" s="160"/>
      <c r="F146" s="151"/>
      <c r="G146" s="151"/>
      <c r="H146" s="151"/>
      <c r="J146" s="8"/>
    </row>
    <row r="147" spans="1:10" ht="17.100000000000001" customHeight="1" x14ac:dyDescent="0.2">
      <c r="A147" s="151"/>
      <c r="B147" s="148" t="s">
        <v>192</v>
      </c>
      <c r="C147" s="149"/>
      <c r="D147" s="161">
        <v>0.91255322499037284</v>
      </c>
      <c r="E147" s="151"/>
      <c r="F147" s="159"/>
      <c r="G147" s="162"/>
      <c r="H147" s="162"/>
      <c r="J147" s="8"/>
    </row>
  </sheetData>
  <mergeCells count="17">
    <mergeCell ref="B133:C133"/>
    <mergeCell ref="B134:C134"/>
    <mergeCell ref="B142:C142"/>
    <mergeCell ref="B146:C146"/>
    <mergeCell ref="B147:C147"/>
    <mergeCell ref="B144:C144"/>
    <mergeCell ref="B145:C145"/>
    <mergeCell ref="B132:C132"/>
    <mergeCell ref="A1:H1"/>
    <mergeCell ref="A2:H2"/>
    <mergeCell ref="A3:H3"/>
    <mergeCell ref="B131:D131"/>
    <mergeCell ref="B125:H125"/>
    <mergeCell ref="B126:H126"/>
    <mergeCell ref="B127:H127"/>
    <mergeCell ref="B128:H128"/>
    <mergeCell ref="B129:H129"/>
  </mergeCells>
  <hyperlinks>
    <hyperlink ref="I1" location="Index!B2" display="Index" xr:uid="{7CDD726E-0D58-4A06-8CF2-A7A006BFDE0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3261-69A2-4A09-AD8A-D3009C05E79B}">
  <sheetPr>
    <outlinePr summaryBelow="0" summaryRight="0"/>
  </sheetPr>
  <dimension ref="A1:Q163"/>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33.85546875" style="114" bestFit="1" customWidth="1"/>
    <col min="4" max="4" width="17.4257812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9.140625" style="114"/>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811</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886</v>
      </c>
      <c r="I4" s="117"/>
      <c r="J4" s="8"/>
    </row>
    <row r="5" spans="1:10" x14ac:dyDescent="0.2">
      <c r="A5" s="118"/>
      <c r="B5" s="118"/>
      <c r="C5" s="119" t="s">
        <v>9</v>
      </c>
      <c r="D5" s="118"/>
      <c r="E5" s="118"/>
      <c r="F5" s="118"/>
      <c r="G5" s="118"/>
      <c r="H5" s="120" t="s">
        <v>151</v>
      </c>
      <c r="J5" s="8"/>
    </row>
    <row r="6" spans="1:10" ht="25.5" x14ac:dyDescent="0.2">
      <c r="A6" s="118"/>
      <c r="B6" s="118"/>
      <c r="C6" s="119" t="s">
        <v>10</v>
      </c>
      <c r="D6" s="118"/>
      <c r="E6" s="118"/>
      <c r="F6" s="118"/>
      <c r="G6" s="118"/>
      <c r="H6" s="120" t="s">
        <v>151</v>
      </c>
      <c r="J6" s="8"/>
    </row>
    <row r="7" spans="1:10" x14ac:dyDescent="0.2">
      <c r="A7" s="121">
        <v>1</v>
      </c>
      <c r="B7" s="122" t="s">
        <v>343</v>
      </c>
      <c r="C7" s="122" t="s">
        <v>344</v>
      </c>
      <c r="D7" s="122" t="s">
        <v>48</v>
      </c>
      <c r="E7" s="123">
        <v>767171</v>
      </c>
      <c r="F7" s="124">
        <v>13287.7853055</v>
      </c>
      <c r="G7" s="125">
        <v>7.9055700000000007E-2</v>
      </c>
      <c r="H7" s="120" t="s">
        <v>151</v>
      </c>
      <c r="J7" s="8"/>
    </row>
    <row r="8" spans="1:10" x14ac:dyDescent="0.2">
      <c r="A8" s="121">
        <v>2</v>
      </c>
      <c r="B8" s="122" t="s">
        <v>46</v>
      </c>
      <c r="C8" s="122" t="s">
        <v>47</v>
      </c>
      <c r="D8" s="122" t="s">
        <v>48</v>
      </c>
      <c r="E8" s="123">
        <v>883000</v>
      </c>
      <c r="F8" s="124">
        <v>11240.59</v>
      </c>
      <c r="G8" s="125">
        <v>6.6875900000000002E-2</v>
      </c>
      <c r="H8" s="120" t="s">
        <v>151</v>
      </c>
      <c r="J8" s="8"/>
    </row>
    <row r="9" spans="1:10" x14ac:dyDescent="0.2">
      <c r="A9" s="121">
        <v>3</v>
      </c>
      <c r="B9" s="122" t="s">
        <v>20</v>
      </c>
      <c r="C9" s="122" t="s">
        <v>21</v>
      </c>
      <c r="D9" s="122" t="s">
        <v>22</v>
      </c>
      <c r="E9" s="123">
        <v>283000</v>
      </c>
      <c r="F9" s="124">
        <v>8357.4145000000008</v>
      </c>
      <c r="G9" s="125">
        <v>4.9722450000000001E-2</v>
      </c>
      <c r="H9" s="120" t="s">
        <v>151</v>
      </c>
      <c r="J9" s="8"/>
    </row>
    <row r="10" spans="1:10" x14ac:dyDescent="0.2">
      <c r="A10" s="121">
        <v>4</v>
      </c>
      <c r="B10" s="122" t="s">
        <v>347</v>
      </c>
      <c r="C10" s="122" t="s">
        <v>348</v>
      </c>
      <c r="D10" s="122" t="s">
        <v>216</v>
      </c>
      <c r="E10" s="123">
        <v>364000</v>
      </c>
      <c r="F10" s="124">
        <v>6827.1840000000002</v>
      </c>
      <c r="G10" s="125">
        <v>4.0618340000000003E-2</v>
      </c>
      <c r="H10" s="120" t="s">
        <v>151</v>
      </c>
      <c r="J10" s="8"/>
    </row>
    <row r="11" spans="1:10" x14ac:dyDescent="0.2">
      <c r="A11" s="121">
        <v>5</v>
      </c>
      <c r="B11" s="122" t="s">
        <v>11</v>
      </c>
      <c r="C11" s="122" t="s">
        <v>12</v>
      </c>
      <c r="D11" s="122" t="s">
        <v>13</v>
      </c>
      <c r="E11" s="123">
        <v>156446</v>
      </c>
      <c r="F11" s="124">
        <v>5750.2509529999998</v>
      </c>
      <c r="G11" s="125">
        <v>3.4211129999999999E-2</v>
      </c>
      <c r="H11" s="120" t="s">
        <v>151</v>
      </c>
      <c r="J11" s="8"/>
    </row>
    <row r="12" spans="1:10" ht="15" x14ac:dyDescent="0.2">
      <c r="A12" s="121">
        <v>6</v>
      </c>
      <c r="B12" s="122" t="s">
        <v>14</v>
      </c>
      <c r="C12" s="122" t="s">
        <v>15</v>
      </c>
      <c r="D12" s="122" t="s">
        <v>16</v>
      </c>
      <c r="E12" s="123">
        <v>304000</v>
      </c>
      <c r="F12" s="124">
        <v>5197.0320000000002</v>
      </c>
      <c r="G12" s="125">
        <v>3.0919749999999999E-2</v>
      </c>
      <c r="H12" s="120" t="s">
        <v>151</v>
      </c>
      <c r="J12" s="11"/>
    </row>
    <row r="13" spans="1:10" x14ac:dyDescent="0.2">
      <c r="A13" s="121">
        <v>7</v>
      </c>
      <c r="B13" s="122" t="s">
        <v>349</v>
      </c>
      <c r="C13" s="122" t="s">
        <v>350</v>
      </c>
      <c r="D13" s="122" t="s">
        <v>48</v>
      </c>
      <c r="E13" s="123">
        <v>419000</v>
      </c>
      <c r="F13" s="124">
        <v>5162.9179999999997</v>
      </c>
      <c r="G13" s="125">
        <v>3.0716790000000001E-2</v>
      </c>
      <c r="H13" s="120" t="s">
        <v>151</v>
      </c>
      <c r="J13" s="8"/>
    </row>
    <row r="14" spans="1:10" x14ac:dyDescent="0.2">
      <c r="A14" s="121">
        <v>8</v>
      </c>
      <c r="B14" s="122" t="s">
        <v>355</v>
      </c>
      <c r="C14" s="122" t="s">
        <v>356</v>
      </c>
      <c r="D14" s="122" t="s">
        <v>216</v>
      </c>
      <c r="E14" s="123">
        <v>114734</v>
      </c>
      <c r="F14" s="124">
        <v>4897.4207900000001</v>
      </c>
      <c r="G14" s="125">
        <v>2.913721E-2</v>
      </c>
      <c r="H14" s="120" t="s">
        <v>151</v>
      </c>
      <c r="J14" s="8" t="s">
        <v>992</v>
      </c>
    </row>
    <row r="15" spans="1:10" ht="25.5" x14ac:dyDescent="0.2">
      <c r="A15" s="121">
        <v>9</v>
      </c>
      <c r="B15" s="122" t="s">
        <v>353</v>
      </c>
      <c r="C15" s="122" t="s">
        <v>354</v>
      </c>
      <c r="D15" s="122" t="s">
        <v>205</v>
      </c>
      <c r="E15" s="123">
        <v>235000</v>
      </c>
      <c r="F15" s="124">
        <v>4527.7449999999999</v>
      </c>
      <c r="G15" s="125">
        <v>2.6937829999999999E-2</v>
      </c>
      <c r="H15" s="120" t="s">
        <v>151</v>
      </c>
      <c r="J15" s="8"/>
    </row>
    <row r="16" spans="1:10" x14ac:dyDescent="0.2">
      <c r="A16" s="121">
        <v>10</v>
      </c>
      <c r="B16" s="122" t="s">
        <v>63</v>
      </c>
      <c r="C16" s="122" t="s">
        <v>64</v>
      </c>
      <c r="D16" s="122" t="s">
        <v>48</v>
      </c>
      <c r="E16" s="123">
        <v>545000</v>
      </c>
      <c r="F16" s="124">
        <v>4294.0550000000003</v>
      </c>
      <c r="G16" s="125">
        <v>2.5547489999999999E-2</v>
      </c>
      <c r="H16" s="120" t="s">
        <v>151</v>
      </c>
      <c r="J16" s="8"/>
    </row>
    <row r="17" spans="1:10" x14ac:dyDescent="0.2">
      <c r="A17" s="121">
        <v>11</v>
      </c>
      <c r="B17" s="122" t="s">
        <v>83</v>
      </c>
      <c r="C17" s="122" t="s">
        <v>84</v>
      </c>
      <c r="D17" s="122" t="s">
        <v>85</v>
      </c>
      <c r="E17" s="123">
        <v>83000</v>
      </c>
      <c r="F17" s="124">
        <v>3973.5835000000002</v>
      </c>
      <c r="G17" s="125">
        <v>2.364084E-2</v>
      </c>
      <c r="H17" s="120" t="s">
        <v>151</v>
      </c>
      <c r="J17" s="8"/>
    </row>
    <row r="18" spans="1:10" x14ac:dyDescent="0.2">
      <c r="A18" s="121">
        <v>12</v>
      </c>
      <c r="B18" s="122" t="s">
        <v>366</v>
      </c>
      <c r="C18" s="122" t="s">
        <v>367</v>
      </c>
      <c r="D18" s="122" t="s">
        <v>368</v>
      </c>
      <c r="E18" s="123">
        <v>670000</v>
      </c>
      <c r="F18" s="124">
        <v>3471.605</v>
      </c>
      <c r="G18" s="125">
        <v>2.065432E-2</v>
      </c>
      <c r="H18" s="120" t="s">
        <v>151</v>
      </c>
      <c r="J18" s="8"/>
    </row>
    <row r="19" spans="1:10" x14ac:dyDescent="0.2">
      <c r="A19" s="121">
        <v>13</v>
      </c>
      <c r="B19" s="122" t="s">
        <v>378</v>
      </c>
      <c r="C19" s="122" t="s">
        <v>379</v>
      </c>
      <c r="D19" s="122" t="s">
        <v>368</v>
      </c>
      <c r="E19" s="123">
        <v>103000</v>
      </c>
      <c r="F19" s="124">
        <v>3047.049</v>
      </c>
      <c r="G19" s="125">
        <v>1.8128419999999999E-2</v>
      </c>
      <c r="H19" s="120" t="s">
        <v>151</v>
      </c>
      <c r="J19" s="8"/>
    </row>
    <row r="20" spans="1:10" x14ac:dyDescent="0.2">
      <c r="A20" s="121">
        <v>14</v>
      </c>
      <c r="B20" s="122" t="s">
        <v>236</v>
      </c>
      <c r="C20" s="122" t="s">
        <v>237</v>
      </c>
      <c r="D20" s="122" t="s">
        <v>238</v>
      </c>
      <c r="E20" s="123">
        <v>439000</v>
      </c>
      <c r="F20" s="124">
        <v>2993.5410000000002</v>
      </c>
      <c r="G20" s="125">
        <v>1.7810079999999999E-2</v>
      </c>
      <c r="H20" s="120" t="s">
        <v>151</v>
      </c>
      <c r="J20" s="8"/>
    </row>
    <row r="21" spans="1:10" ht="25.5" x14ac:dyDescent="0.2">
      <c r="A21" s="121">
        <v>15</v>
      </c>
      <c r="B21" s="122" t="s">
        <v>23</v>
      </c>
      <c r="C21" s="122" t="s">
        <v>24</v>
      </c>
      <c r="D21" s="122" t="s">
        <v>25</v>
      </c>
      <c r="E21" s="123">
        <v>25000</v>
      </c>
      <c r="F21" s="124">
        <v>2950.5</v>
      </c>
      <c r="G21" s="125">
        <v>1.7554E-2</v>
      </c>
      <c r="H21" s="120" t="s">
        <v>151</v>
      </c>
      <c r="J21" s="8"/>
    </row>
    <row r="22" spans="1:10" ht="25.5" x14ac:dyDescent="0.2">
      <c r="A22" s="121">
        <v>16</v>
      </c>
      <c r="B22" s="122" t="s">
        <v>275</v>
      </c>
      <c r="C22" s="122" t="s">
        <v>276</v>
      </c>
      <c r="D22" s="122" t="s">
        <v>121</v>
      </c>
      <c r="E22" s="123">
        <v>181078</v>
      </c>
      <c r="F22" s="124">
        <v>2911.7342400000002</v>
      </c>
      <c r="G22" s="125">
        <v>1.7323370000000001E-2</v>
      </c>
      <c r="H22" s="120" t="s">
        <v>151</v>
      </c>
      <c r="J22" s="11"/>
    </row>
    <row r="23" spans="1:10" x14ac:dyDescent="0.2">
      <c r="A23" s="121">
        <v>17</v>
      </c>
      <c r="B23" s="122" t="s">
        <v>689</v>
      </c>
      <c r="C23" s="122" t="s">
        <v>690</v>
      </c>
      <c r="D23" s="122" t="s">
        <v>35</v>
      </c>
      <c r="E23" s="123">
        <v>138229</v>
      </c>
      <c r="F23" s="124">
        <v>2852.6318729999998</v>
      </c>
      <c r="G23" s="125">
        <v>1.6971739999999999E-2</v>
      </c>
      <c r="H23" s="120" t="s">
        <v>151</v>
      </c>
      <c r="J23" s="8"/>
    </row>
    <row r="24" spans="1:10" x14ac:dyDescent="0.2">
      <c r="A24" s="121">
        <v>18</v>
      </c>
      <c r="B24" s="122" t="s">
        <v>364</v>
      </c>
      <c r="C24" s="122" t="s">
        <v>365</v>
      </c>
      <c r="D24" s="122" t="s">
        <v>270</v>
      </c>
      <c r="E24" s="123">
        <v>290000</v>
      </c>
      <c r="F24" s="124">
        <v>2826.4850000000001</v>
      </c>
      <c r="G24" s="125">
        <v>1.681618E-2</v>
      </c>
      <c r="H24" s="120" t="s">
        <v>151</v>
      </c>
      <c r="J24" s="8"/>
    </row>
    <row r="25" spans="1:10" x14ac:dyDescent="0.2">
      <c r="A25" s="121">
        <v>19</v>
      </c>
      <c r="B25" s="122" t="s">
        <v>547</v>
      </c>
      <c r="C25" s="122" t="s">
        <v>548</v>
      </c>
      <c r="D25" s="122" t="s">
        <v>270</v>
      </c>
      <c r="E25" s="123">
        <v>21000</v>
      </c>
      <c r="F25" s="124">
        <v>2779.98</v>
      </c>
      <c r="G25" s="125">
        <v>1.6539499999999999E-2</v>
      </c>
      <c r="H25" s="120" t="s">
        <v>151</v>
      </c>
      <c r="J25" s="8" t="s">
        <v>1023</v>
      </c>
    </row>
    <row r="26" spans="1:10" x14ac:dyDescent="0.2">
      <c r="A26" s="121">
        <v>20</v>
      </c>
      <c r="B26" s="122" t="s">
        <v>704</v>
      </c>
      <c r="C26" s="122" t="s">
        <v>705</v>
      </c>
      <c r="D26" s="122" t="s">
        <v>241</v>
      </c>
      <c r="E26" s="123">
        <v>37000</v>
      </c>
      <c r="F26" s="124">
        <v>2677.9490000000001</v>
      </c>
      <c r="G26" s="125">
        <v>1.5932459999999999E-2</v>
      </c>
      <c r="H26" s="120" t="s">
        <v>151</v>
      </c>
      <c r="J26" s="8"/>
    </row>
    <row r="27" spans="1:10" x14ac:dyDescent="0.2">
      <c r="A27" s="121">
        <v>21</v>
      </c>
      <c r="B27" s="122" t="s">
        <v>242</v>
      </c>
      <c r="C27" s="122" t="s">
        <v>243</v>
      </c>
      <c r="D27" s="122" t="s">
        <v>200</v>
      </c>
      <c r="E27" s="123">
        <v>31000</v>
      </c>
      <c r="F27" s="124">
        <v>2511.2170000000001</v>
      </c>
      <c r="G27" s="125">
        <v>1.4940490000000001E-2</v>
      </c>
      <c r="H27" s="120" t="s">
        <v>151</v>
      </c>
      <c r="J27" s="8"/>
    </row>
    <row r="28" spans="1:10" x14ac:dyDescent="0.2">
      <c r="A28" s="121">
        <v>22</v>
      </c>
      <c r="B28" s="122" t="s">
        <v>357</v>
      </c>
      <c r="C28" s="122" t="s">
        <v>358</v>
      </c>
      <c r="D28" s="122" t="s">
        <v>261</v>
      </c>
      <c r="E28" s="123">
        <v>402500</v>
      </c>
      <c r="F28" s="124">
        <v>2440.3575000000001</v>
      </c>
      <c r="G28" s="125">
        <v>1.4518909999999999E-2</v>
      </c>
      <c r="H28" s="120" t="s">
        <v>151</v>
      </c>
      <c r="J28" s="8"/>
    </row>
    <row r="29" spans="1:10" ht="25.5" x14ac:dyDescent="0.2">
      <c r="A29" s="121">
        <v>23</v>
      </c>
      <c r="B29" s="122" t="s">
        <v>465</v>
      </c>
      <c r="C29" s="122" t="s">
        <v>466</v>
      </c>
      <c r="D29" s="122" t="s">
        <v>205</v>
      </c>
      <c r="E29" s="123">
        <v>139000</v>
      </c>
      <c r="F29" s="124">
        <v>2299.1990000000001</v>
      </c>
      <c r="G29" s="125">
        <v>1.367909E-2</v>
      </c>
      <c r="H29" s="120" t="s">
        <v>151</v>
      </c>
      <c r="J29" s="8"/>
    </row>
    <row r="30" spans="1:10" x14ac:dyDescent="0.2">
      <c r="A30" s="121">
        <v>24</v>
      </c>
      <c r="B30" s="122" t="s">
        <v>678</v>
      </c>
      <c r="C30" s="122" t="s">
        <v>679</v>
      </c>
      <c r="D30" s="122" t="s">
        <v>121</v>
      </c>
      <c r="E30" s="123">
        <v>113000</v>
      </c>
      <c r="F30" s="124">
        <v>2229.942</v>
      </c>
      <c r="G30" s="125">
        <v>1.3267040000000001E-2</v>
      </c>
      <c r="H30" s="120" t="s">
        <v>151</v>
      </c>
      <c r="J30" s="8"/>
    </row>
    <row r="31" spans="1:10" x14ac:dyDescent="0.2">
      <c r="A31" s="121">
        <v>25</v>
      </c>
      <c r="B31" s="122" t="s">
        <v>498</v>
      </c>
      <c r="C31" s="122" t="s">
        <v>499</v>
      </c>
      <c r="D31" s="122" t="s">
        <v>121</v>
      </c>
      <c r="E31" s="123">
        <v>226727</v>
      </c>
      <c r="F31" s="124">
        <v>2228.6130465000001</v>
      </c>
      <c r="G31" s="125">
        <v>1.3259140000000001E-2</v>
      </c>
      <c r="H31" s="120" t="s">
        <v>151</v>
      </c>
      <c r="J31" s="8"/>
    </row>
    <row r="32" spans="1:10" x14ac:dyDescent="0.2">
      <c r="A32" s="121">
        <v>26</v>
      </c>
      <c r="B32" s="122" t="s">
        <v>463</v>
      </c>
      <c r="C32" s="122" t="s">
        <v>464</v>
      </c>
      <c r="D32" s="122" t="s">
        <v>48</v>
      </c>
      <c r="E32" s="123">
        <v>885000</v>
      </c>
      <c r="F32" s="124">
        <v>2193.0300000000002</v>
      </c>
      <c r="G32" s="125">
        <v>1.304744E-2</v>
      </c>
      <c r="H32" s="120" t="s">
        <v>151</v>
      </c>
      <c r="J32" s="8"/>
    </row>
    <row r="33" spans="1:10" x14ac:dyDescent="0.2">
      <c r="A33" s="121">
        <v>27</v>
      </c>
      <c r="B33" s="122" t="s">
        <v>551</v>
      </c>
      <c r="C33" s="122" t="s">
        <v>552</v>
      </c>
      <c r="D33" s="122" t="s">
        <v>216</v>
      </c>
      <c r="E33" s="123">
        <v>139000</v>
      </c>
      <c r="F33" s="124">
        <v>2192.308</v>
      </c>
      <c r="G33" s="125">
        <v>1.304314E-2</v>
      </c>
      <c r="H33" s="120" t="s">
        <v>151</v>
      </c>
      <c r="J33" s="8"/>
    </row>
    <row r="34" spans="1:10" x14ac:dyDescent="0.2">
      <c r="A34" s="121">
        <v>28</v>
      </c>
      <c r="B34" s="122" t="s">
        <v>293</v>
      </c>
      <c r="C34" s="122" t="s">
        <v>294</v>
      </c>
      <c r="D34" s="122" t="s">
        <v>295</v>
      </c>
      <c r="E34" s="123">
        <v>171000</v>
      </c>
      <c r="F34" s="124">
        <v>2036.61</v>
      </c>
      <c r="G34" s="125">
        <v>1.211681E-2</v>
      </c>
      <c r="H34" s="120" t="s">
        <v>151</v>
      </c>
      <c r="J34" s="8"/>
    </row>
    <row r="35" spans="1:10" ht="25.5" x14ac:dyDescent="0.2">
      <c r="A35" s="121">
        <v>29</v>
      </c>
      <c r="B35" s="122" t="s">
        <v>467</v>
      </c>
      <c r="C35" s="122" t="s">
        <v>468</v>
      </c>
      <c r="D35" s="122" t="s">
        <v>290</v>
      </c>
      <c r="E35" s="123">
        <v>169962</v>
      </c>
      <c r="F35" s="124">
        <v>2034.3601590000001</v>
      </c>
      <c r="G35" s="125">
        <v>1.210343E-2</v>
      </c>
      <c r="H35" s="120" t="s">
        <v>151</v>
      </c>
      <c r="J35" s="8"/>
    </row>
    <row r="36" spans="1:10" x14ac:dyDescent="0.2">
      <c r="A36" s="121">
        <v>30</v>
      </c>
      <c r="B36" s="122" t="s">
        <v>124</v>
      </c>
      <c r="C36" s="122" t="s">
        <v>125</v>
      </c>
      <c r="D36" s="122" t="s">
        <v>85</v>
      </c>
      <c r="E36" s="123">
        <v>475000</v>
      </c>
      <c r="F36" s="124">
        <v>2018.75</v>
      </c>
      <c r="G36" s="125">
        <v>1.201056E-2</v>
      </c>
      <c r="H36" s="120" t="s">
        <v>151</v>
      </c>
      <c r="J36" s="8"/>
    </row>
    <row r="37" spans="1:10" x14ac:dyDescent="0.2">
      <c r="A37" s="121">
        <v>31</v>
      </c>
      <c r="B37" s="122" t="s">
        <v>132</v>
      </c>
      <c r="C37" s="122" t="s">
        <v>133</v>
      </c>
      <c r="D37" s="122" t="s">
        <v>134</v>
      </c>
      <c r="E37" s="123">
        <v>194000</v>
      </c>
      <c r="F37" s="124">
        <v>2016.921</v>
      </c>
      <c r="G37" s="125">
        <v>1.199967E-2</v>
      </c>
      <c r="H37" s="120" t="s">
        <v>151</v>
      </c>
      <c r="J37" s="8"/>
    </row>
    <row r="38" spans="1:10" x14ac:dyDescent="0.2">
      <c r="A38" s="121">
        <v>32</v>
      </c>
      <c r="B38" s="122" t="s">
        <v>130</v>
      </c>
      <c r="C38" s="122" t="s">
        <v>131</v>
      </c>
      <c r="D38" s="122" t="s">
        <v>55</v>
      </c>
      <c r="E38" s="123">
        <v>25000</v>
      </c>
      <c r="F38" s="124">
        <v>2013.75</v>
      </c>
      <c r="G38" s="125">
        <v>1.198081E-2</v>
      </c>
      <c r="H38" s="120" t="s">
        <v>151</v>
      </c>
      <c r="J38" s="8"/>
    </row>
    <row r="39" spans="1:10" ht="25.5" x14ac:dyDescent="0.2">
      <c r="A39" s="121">
        <v>33</v>
      </c>
      <c r="B39" s="122" t="s">
        <v>304</v>
      </c>
      <c r="C39" s="122" t="s">
        <v>305</v>
      </c>
      <c r="D39" s="122" t="s">
        <v>205</v>
      </c>
      <c r="E39" s="123">
        <v>430978</v>
      </c>
      <c r="F39" s="124">
        <v>1998.0140080000001</v>
      </c>
      <c r="G39" s="125">
        <v>1.1887190000000001E-2</v>
      </c>
      <c r="H39" s="120" t="s">
        <v>151</v>
      </c>
      <c r="J39" s="8"/>
    </row>
    <row r="40" spans="1:10" x14ac:dyDescent="0.2">
      <c r="A40" s="121">
        <v>34</v>
      </c>
      <c r="B40" s="122" t="s">
        <v>388</v>
      </c>
      <c r="C40" s="122" t="s">
        <v>389</v>
      </c>
      <c r="D40" s="122" t="s">
        <v>35</v>
      </c>
      <c r="E40" s="123">
        <v>49000</v>
      </c>
      <c r="F40" s="124">
        <v>1873.7355</v>
      </c>
      <c r="G40" s="125">
        <v>1.1147789999999999E-2</v>
      </c>
      <c r="H40" s="120" t="s">
        <v>151</v>
      </c>
      <c r="J40" s="8"/>
    </row>
    <row r="41" spans="1:10" x14ac:dyDescent="0.2">
      <c r="A41" s="121">
        <v>35</v>
      </c>
      <c r="B41" s="122" t="s">
        <v>201</v>
      </c>
      <c r="C41" s="122" t="s">
        <v>202</v>
      </c>
      <c r="D41" s="122" t="s">
        <v>48</v>
      </c>
      <c r="E41" s="123">
        <v>923000</v>
      </c>
      <c r="F41" s="124">
        <v>1815.8179</v>
      </c>
      <c r="G41" s="125">
        <v>1.0803210000000001E-2</v>
      </c>
      <c r="H41" s="120" t="s">
        <v>151</v>
      </c>
      <c r="J41" s="8"/>
    </row>
    <row r="42" spans="1:10" ht="25.5" x14ac:dyDescent="0.2">
      <c r="A42" s="121">
        <v>36</v>
      </c>
      <c r="B42" s="122" t="s">
        <v>380</v>
      </c>
      <c r="C42" s="122" t="s">
        <v>381</v>
      </c>
      <c r="D42" s="122" t="s">
        <v>205</v>
      </c>
      <c r="E42" s="123">
        <v>124000</v>
      </c>
      <c r="F42" s="124">
        <v>1811.268</v>
      </c>
      <c r="G42" s="125">
        <v>1.077614E-2</v>
      </c>
      <c r="H42" s="120" t="s">
        <v>151</v>
      </c>
      <c r="J42" s="8"/>
    </row>
    <row r="43" spans="1:10" x14ac:dyDescent="0.2">
      <c r="A43" s="121">
        <v>37</v>
      </c>
      <c r="B43" s="122" t="s">
        <v>351</v>
      </c>
      <c r="C43" s="122" t="s">
        <v>352</v>
      </c>
      <c r="D43" s="122" t="s">
        <v>48</v>
      </c>
      <c r="E43" s="123">
        <v>96000</v>
      </c>
      <c r="F43" s="124">
        <v>1779.7919999999999</v>
      </c>
      <c r="G43" s="125">
        <v>1.058888E-2</v>
      </c>
      <c r="H43" s="120" t="s">
        <v>151</v>
      </c>
      <c r="J43" s="8"/>
    </row>
    <row r="44" spans="1:10" x14ac:dyDescent="0.2">
      <c r="A44" s="121">
        <v>38</v>
      </c>
      <c r="B44" s="122" t="s">
        <v>259</v>
      </c>
      <c r="C44" s="122" t="s">
        <v>260</v>
      </c>
      <c r="D44" s="122" t="s">
        <v>261</v>
      </c>
      <c r="E44" s="123">
        <v>79000</v>
      </c>
      <c r="F44" s="124">
        <v>1718.6054999999999</v>
      </c>
      <c r="G44" s="125">
        <v>1.0224850000000001E-2</v>
      </c>
      <c r="H44" s="120" t="s">
        <v>151</v>
      </c>
      <c r="J44" s="8"/>
    </row>
    <row r="45" spans="1:10" x14ac:dyDescent="0.2">
      <c r="A45" s="121">
        <v>39</v>
      </c>
      <c r="B45" s="122" t="s">
        <v>697</v>
      </c>
      <c r="C45" s="122" t="s">
        <v>698</v>
      </c>
      <c r="D45" s="122" t="s">
        <v>58</v>
      </c>
      <c r="E45" s="123">
        <v>274000</v>
      </c>
      <c r="F45" s="124">
        <v>1590.981</v>
      </c>
      <c r="G45" s="125">
        <v>9.4655399999999997E-3</v>
      </c>
      <c r="H45" s="120" t="s">
        <v>151</v>
      </c>
      <c r="J45" s="8"/>
    </row>
    <row r="46" spans="1:10" x14ac:dyDescent="0.2">
      <c r="A46" s="121">
        <v>40</v>
      </c>
      <c r="B46" s="122" t="s">
        <v>100</v>
      </c>
      <c r="C46" s="122" t="s">
        <v>101</v>
      </c>
      <c r="D46" s="122" t="s">
        <v>32</v>
      </c>
      <c r="E46" s="123">
        <v>63826</v>
      </c>
      <c r="F46" s="124">
        <v>1535.3344300000001</v>
      </c>
      <c r="G46" s="125">
        <v>9.1344700000000004E-3</v>
      </c>
      <c r="H46" s="120" t="s">
        <v>151</v>
      </c>
      <c r="J46" s="8"/>
    </row>
    <row r="47" spans="1:10" x14ac:dyDescent="0.2">
      <c r="A47" s="121">
        <v>41</v>
      </c>
      <c r="B47" s="122" t="s">
        <v>543</v>
      </c>
      <c r="C47" s="122" t="s">
        <v>544</v>
      </c>
      <c r="D47" s="122" t="s">
        <v>261</v>
      </c>
      <c r="E47" s="123">
        <v>96000</v>
      </c>
      <c r="F47" s="124">
        <v>1526.3040000000001</v>
      </c>
      <c r="G47" s="125">
        <v>9.0807500000000003E-3</v>
      </c>
      <c r="H47" s="120" t="s">
        <v>151</v>
      </c>
      <c r="J47" s="8"/>
    </row>
    <row r="48" spans="1:10" ht="25.5" x14ac:dyDescent="0.2">
      <c r="A48" s="121">
        <v>42</v>
      </c>
      <c r="B48" s="122" t="s">
        <v>753</v>
      </c>
      <c r="C48" s="122" t="s">
        <v>754</v>
      </c>
      <c r="D48" s="122" t="s">
        <v>258</v>
      </c>
      <c r="E48" s="123">
        <v>45000</v>
      </c>
      <c r="F48" s="124">
        <v>1511.73</v>
      </c>
      <c r="G48" s="125">
        <v>8.99404E-3</v>
      </c>
      <c r="H48" s="120" t="s">
        <v>151</v>
      </c>
      <c r="J48" s="8"/>
    </row>
    <row r="49" spans="1:10" x14ac:dyDescent="0.2">
      <c r="A49" s="121">
        <v>43</v>
      </c>
      <c r="B49" s="122" t="s">
        <v>727</v>
      </c>
      <c r="C49" s="122" t="s">
        <v>728</v>
      </c>
      <c r="D49" s="122" t="s">
        <v>200</v>
      </c>
      <c r="E49" s="123">
        <v>29000</v>
      </c>
      <c r="F49" s="124">
        <v>1477.9269999999999</v>
      </c>
      <c r="G49" s="125">
        <v>8.7929299999999991E-3</v>
      </c>
      <c r="H49" s="120" t="s">
        <v>151</v>
      </c>
      <c r="J49" s="8"/>
    </row>
    <row r="50" spans="1:10" x14ac:dyDescent="0.2">
      <c r="A50" s="121">
        <v>44</v>
      </c>
      <c r="B50" s="122" t="s">
        <v>693</v>
      </c>
      <c r="C50" s="122" t="s">
        <v>694</v>
      </c>
      <c r="D50" s="122" t="s">
        <v>283</v>
      </c>
      <c r="E50" s="123">
        <v>22000</v>
      </c>
      <c r="F50" s="124">
        <v>1394.393</v>
      </c>
      <c r="G50" s="125">
        <v>8.2959399999999999E-3</v>
      </c>
      <c r="H50" s="120" t="s">
        <v>151</v>
      </c>
      <c r="J50" s="8"/>
    </row>
    <row r="51" spans="1:10" x14ac:dyDescent="0.2">
      <c r="A51" s="121">
        <v>45</v>
      </c>
      <c r="B51" s="122" t="s">
        <v>800</v>
      </c>
      <c r="C51" s="122" t="s">
        <v>801</v>
      </c>
      <c r="D51" s="122" t="s">
        <v>35</v>
      </c>
      <c r="E51" s="123">
        <v>96000</v>
      </c>
      <c r="F51" s="124">
        <v>1382.1120000000001</v>
      </c>
      <c r="G51" s="125">
        <v>8.2228800000000001E-3</v>
      </c>
      <c r="H51" s="120" t="s">
        <v>151</v>
      </c>
      <c r="J51" s="8"/>
    </row>
    <row r="52" spans="1:10" x14ac:dyDescent="0.2">
      <c r="A52" s="121">
        <v>46</v>
      </c>
      <c r="B52" s="122" t="s">
        <v>471</v>
      </c>
      <c r="C52" s="122" t="s">
        <v>472</v>
      </c>
      <c r="D52" s="122" t="s">
        <v>48</v>
      </c>
      <c r="E52" s="123">
        <v>84000</v>
      </c>
      <c r="F52" s="124">
        <v>1215.9839999999999</v>
      </c>
      <c r="G52" s="125">
        <v>7.2344999999999996E-3</v>
      </c>
      <c r="H52" s="120" t="s">
        <v>151</v>
      </c>
      <c r="J52" s="8"/>
    </row>
    <row r="53" spans="1:10" x14ac:dyDescent="0.2">
      <c r="A53" s="121">
        <v>47</v>
      </c>
      <c r="B53" s="122" t="s">
        <v>345</v>
      </c>
      <c r="C53" s="122" t="s">
        <v>346</v>
      </c>
      <c r="D53" s="122" t="s">
        <v>200</v>
      </c>
      <c r="E53" s="123">
        <v>444000</v>
      </c>
      <c r="F53" s="124">
        <v>1213.452</v>
      </c>
      <c r="G53" s="125">
        <v>7.2194299999999998E-3</v>
      </c>
      <c r="H53" s="120" t="s">
        <v>151</v>
      </c>
      <c r="J53" s="8"/>
    </row>
    <row r="54" spans="1:10" x14ac:dyDescent="0.2">
      <c r="A54" s="121">
        <v>48</v>
      </c>
      <c r="B54" s="122" t="s">
        <v>65</v>
      </c>
      <c r="C54" s="122" t="s">
        <v>66</v>
      </c>
      <c r="D54" s="122" t="s">
        <v>67</v>
      </c>
      <c r="E54" s="123">
        <v>498000</v>
      </c>
      <c r="F54" s="124">
        <v>1196.6442</v>
      </c>
      <c r="G54" s="125">
        <v>7.1194400000000003E-3</v>
      </c>
      <c r="H54" s="120" t="s">
        <v>151</v>
      </c>
      <c r="J54" s="8"/>
    </row>
    <row r="55" spans="1:10" x14ac:dyDescent="0.2">
      <c r="A55" s="121">
        <v>49</v>
      </c>
      <c r="B55" s="122" t="s">
        <v>332</v>
      </c>
      <c r="C55" s="122" t="s">
        <v>333</v>
      </c>
      <c r="D55" s="122" t="s">
        <v>35</v>
      </c>
      <c r="E55" s="123">
        <v>80000</v>
      </c>
      <c r="F55" s="124">
        <v>1172.72</v>
      </c>
      <c r="G55" s="125">
        <v>6.9771E-3</v>
      </c>
      <c r="H55" s="120" t="s">
        <v>151</v>
      </c>
      <c r="J55" s="8"/>
    </row>
    <row r="56" spans="1:10" x14ac:dyDescent="0.2">
      <c r="A56" s="121">
        <v>50</v>
      </c>
      <c r="B56" s="122" t="s">
        <v>217</v>
      </c>
      <c r="C56" s="122" t="s">
        <v>218</v>
      </c>
      <c r="D56" s="122" t="s">
        <v>45</v>
      </c>
      <c r="E56" s="123">
        <v>55000</v>
      </c>
      <c r="F56" s="124">
        <v>1040.71</v>
      </c>
      <c r="G56" s="125">
        <v>6.1917099999999996E-3</v>
      </c>
      <c r="H56" s="120" t="s">
        <v>151</v>
      </c>
      <c r="J56" s="8"/>
    </row>
    <row r="57" spans="1:10" x14ac:dyDescent="0.2">
      <c r="A57" s="121">
        <v>51</v>
      </c>
      <c r="B57" s="122" t="s">
        <v>53</v>
      </c>
      <c r="C57" s="122" t="s">
        <v>54</v>
      </c>
      <c r="D57" s="122" t="s">
        <v>55</v>
      </c>
      <c r="E57" s="123">
        <v>60000</v>
      </c>
      <c r="F57" s="124">
        <v>1008.6</v>
      </c>
      <c r="G57" s="125">
        <v>6.0006699999999996E-3</v>
      </c>
      <c r="H57" s="120" t="s">
        <v>151</v>
      </c>
      <c r="J57" s="8"/>
    </row>
    <row r="58" spans="1:10" ht="25.5" x14ac:dyDescent="0.2">
      <c r="A58" s="121">
        <v>52</v>
      </c>
      <c r="B58" s="122" t="s">
        <v>708</v>
      </c>
      <c r="C58" s="122" t="s">
        <v>709</v>
      </c>
      <c r="D58" s="122" t="s">
        <v>205</v>
      </c>
      <c r="E58" s="123">
        <v>38000</v>
      </c>
      <c r="F58" s="124">
        <v>957.86599999999999</v>
      </c>
      <c r="G58" s="125">
        <v>5.6988300000000002E-3</v>
      </c>
      <c r="H58" s="120" t="s">
        <v>151</v>
      </c>
      <c r="J58" s="8"/>
    </row>
    <row r="59" spans="1:10" x14ac:dyDescent="0.2">
      <c r="A59" s="121">
        <v>53</v>
      </c>
      <c r="B59" s="122" t="s">
        <v>266</v>
      </c>
      <c r="C59" s="122" t="s">
        <v>267</v>
      </c>
      <c r="D59" s="122" t="s">
        <v>32</v>
      </c>
      <c r="E59" s="123">
        <v>13672</v>
      </c>
      <c r="F59" s="124">
        <v>950.91494399999999</v>
      </c>
      <c r="G59" s="125">
        <v>5.6574700000000004E-3</v>
      </c>
      <c r="H59" s="120" t="s">
        <v>151</v>
      </c>
      <c r="J59" s="8"/>
    </row>
    <row r="60" spans="1:10" ht="25.5" x14ac:dyDescent="0.2">
      <c r="A60" s="121">
        <v>54</v>
      </c>
      <c r="B60" s="122" t="s">
        <v>336</v>
      </c>
      <c r="C60" s="122" t="s">
        <v>337</v>
      </c>
      <c r="D60" s="122" t="s">
        <v>295</v>
      </c>
      <c r="E60" s="123">
        <v>119000</v>
      </c>
      <c r="F60" s="124">
        <v>928.37850000000003</v>
      </c>
      <c r="G60" s="125">
        <v>5.5233900000000004E-3</v>
      </c>
      <c r="H60" s="120" t="s">
        <v>151</v>
      </c>
      <c r="J60" s="8"/>
    </row>
    <row r="61" spans="1:10" ht="25.5" x14ac:dyDescent="0.2">
      <c r="A61" s="121">
        <v>55</v>
      </c>
      <c r="B61" s="122" t="s">
        <v>91</v>
      </c>
      <c r="C61" s="122" t="s">
        <v>92</v>
      </c>
      <c r="D61" s="122" t="s">
        <v>93</v>
      </c>
      <c r="E61" s="123">
        <v>64000</v>
      </c>
      <c r="F61" s="124">
        <v>926.84799999999996</v>
      </c>
      <c r="G61" s="125">
        <v>5.5142799999999999E-3</v>
      </c>
      <c r="H61" s="120" t="s">
        <v>151</v>
      </c>
      <c r="J61" s="8"/>
    </row>
    <row r="62" spans="1:10" x14ac:dyDescent="0.2">
      <c r="A62" s="121">
        <v>56</v>
      </c>
      <c r="B62" s="122" t="s">
        <v>128</v>
      </c>
      <c r="C62" s="122" t="s">
        <v>129</v>
      </c>
      <c r="D62" s="122" t="s">
        <v>70</v>
      </c>
      <c r="E62" s="123">
        <v>22000</v>
      </c>
      <c r="F62" s="124">
        <v>861.01400000000001</v>
      </c>
      <c r="G62" s="125">
        <v>5.1225999999999997E-3</v>
      </c>
      <c r="H62" s="120" t="s">
        <v>151</v>
      </c>
      <c r="J62" s="8"/>
    </row>
    <row r="63" spans="1:10" ht="25.5" x14ac:dyDescent="0.2">
      <c r="A63" s="121">
        <v>57</v>
      </c>
      <c r="B63" s="122" t="s">
        <v>324</v>
      </c>
      <c r="C63" s="122" t="s">
        <v>325</v>
      </c>
      <c r="D63" s="122" t="s">
        <v>258</v>
      </c>
      <c r="E63" s="123">
        <v>20000</v>
      </c>
      <c r="F63" s="124">
        <v>688.27</v>
      </c>
      <c r="G63" s="125">
        <v>4.0948599999999996E-3</v>
      </c>
      <c r="H63" s="120" t="s">
        <v>151</v>
      </c>
      <c r="J63" s="8"/>
    </row>
    <row r="64" spans="1:10" ht="25.5" x14ac:dyDescent="0.2">
      <c r="A64" s="121">
        <v>58</v>
      </c>
      <c r="B64" s="122" t="s">
        <v>712</v>
      </c>
      <c r="C64" s="122" t="s">
        <v>713</v>
      </c>
      <c r="D64" s="122" t="s">
        <v>25</v>
      </c>
      <c r="E64" s="123">
        <v>32737</v>
      </c>
      <c r="F64" s="124">
        <v>632.87168399999996</v>
      </c>
      <c r="G64" s="125">
        <v>3.7652699999999998E-3</v>
      </c>
      <c r="H64" s="120" t="s">
        <v>151</v>
      </c>
      <c r="J64" s="8"/>
    </row>
    <row r="65" spans="1:10" x14ac:dyDescent="0.2">
      <c r="A65" s="121">
        <v>59</v>
      </c>
      <c r="B65" s="122" t="s">
        <v>384</v>
      </c>
      <c r="C65" s="122" t="s">
        <v>385</v>
      </c>
      <c r="D65" s="122" t="s">
        <v>134</v>
      </c>
      <c r="E65" s="123">
        <v>300000</v>
      </c>
      <c r="F65" s="124">
        <v>505.65</v>
      </c>
      <c r="G65" s="125">
        <v>3.0083699999999998E-3</v>
      </c>
      <c r="H65" s="120" t="s">
        <v>151</v>
      </c>
      <c r="J65" s="8"/>
    </row>
    <row r="66" spans="1:10" x14ac:dyDescent="0.2">
      <c r="A66" s="121">
        <v>60</v>
      </c>
      <c r="B66" s="122" t="s">
        <v>41</v>
      </c>
      <c r="C66" s="122" t="s">
        <v>42</v>
      </c>
      <c r="D66" s="122" t="s">
        <v>16</v>
      </c>
      <c r="E66" s="123">
        <v>35000</v>
      </c>
      <c r="F66" s="124">
        <v>505.22500000000002</v>
      </c>
      <c r="G66" s="125">
        <v>3.0058400000000001E-3</v>
      </c>
      <c r="H66" s="120" t="s">
        <v>151</v>
      </c>
      <c r="J66" s="8"/>
    </row>
    <row r="67" spans="1:10" x14ac:dyDescent="0.2">
      <c r="A67" s="121">
        <v>61</v>
      </c>
      <c r="B67" s="122" t="s">
        <v>362</v>
      </c>
      <c r="C67" s="122" t="s">
        <v>363</v>
      </c>
      <c r="D67" s="122" t="s">
        <v>241</v>
      </c>
      <c r="E67" s="123">
        <v>8719</v>
      </c>
      <c r="F67" s="124">
        <v>493.52155699999997</v>
      </c>
      <c r="G67" s="125">
        <v>2.9362099999999999E-3</v>
      </c>
      <c r="H67" s="120" t="s">
        <v>151</v>
      </c>
      <c r="J67" s="8"/>
    </row>
    <row r="68" spans="1:10" x14ac:dyDescent="0.2">
      <c r="A68" s="121">
        <v>62</v>
      </c>
      <c r="B68" s="122" t="s">
        <v>409</v>
      </c>
      <c r="C68" s="122" t="s">
        <v>410</v>
      </c>
      <c r="D68" s="122" t="s">
        <v>238</v>
      </c>
      <c r="E68" s="123">
        <v>124874</v>
      </c>
      <c r="F68" s="124">
        <v>445.98749099999998</v>
      </c>
      <c r="G68" s="125">
        <v>2.6534000000000002E-3</v>
      </c>
      <c r="H68" s="120" t="s">
        <v>151</v>
      </c>
      <c r="J68" s="8"/>
    </row>
    <row r="69" spans="1:10" x14ac:dyDescent="0.2">
      <c r="A69" s="121">
        <v>63</v>
      </c>
      <c r="B69" s="122" t="s">
        <v>227</v>
      </c>
      <c r="C69" s="122" t="s">
        <v>228</v>
      </c>
      <c r="D69" s="122" t="s">
        <v>22</v>
      </c>
      <c r="E69" s="123">
        <v>90000</v>
      </c>
      <c r="F69" s="124">
        <v>396.495</v>
      </c>
      <c r="G69" s="125">
        <v>2.3589499999999998E-3</v>
      </c>
      <c r="H69" s="120" t="s">
        <v>151</v>
      </c>
      <c r="J69" s="8"/>
    </row>
    <row r="70" spans="1:10" x14ac:dyDescent="0.2">
      <c r="A70" s="118"/>
      <c r="B70" s="118"/>
      <c r="C70" s="119" t="s">
        <v>150</v>
      </c>
      <c r="D70" s="118"/>
      <c r="E70" s="118" t="s">
        <v>151</v>
      </c>
      <c r="F70" s="126">
        <v>162799.67858099999</v>
      </c>
      <c r="G70" s="127">
        <v>0.96857696000000004</v>
      </c>
      <c r="H70" s="120" t="s">
        <v>151</v>
      </c>
      <c r="J70" s="8"/>
    </row>
    <row r="71" spans="1:10" x14ac:dyDescent="0.2">
      <c r="A71" s="118"/>
      <c r="B71" s="118"/>
      <c r="C71" s="128"/>
      <c r="D71" s="118"/>
      <c r="E71" s="118"/>
      <c r="F71" s="129"/>
      <c r="G71" s="129"/>
      <c r="H71" s="120" t="s">
        <v>151</v>
      </c>
      <c r="J71" s="8"/>
    </row>
    <row r="72" spans="1:10" x14ac:dyDescent="0.2">
      <c r="A72" s="118"/>
      <c r="B72" s="118"/>
      <c r="C72" s="119" t="s">
        <v>152</v>
      </c>
      <c r="D72" s="118"/>
      <c r="E72" s="118"/>
      <c r="F72" s="118"/>
      <c r="G72" s="118"/>
      <c r="H72" s="120" t="s">
        <v>151</v>
      </c>
      <c r="J72" s="8"/>
    </row>
    <row r="73" spans="1:10" x14ac:dyDescent="0.2">
      <c r="A73" s="118"/>
      <c r="B73" s="118"/>
      <c r="C73" s="119" t="s">
        <v>150</v>
      </c>
      <c r="D73" s="118"/>
      <c r="E73" s="118" t="s">
        <v>151</v>
      </c>
      <c r="F73" s="130" t="s">
        <v>153</v>
      </c>
      <c r="G73" s="127">
        <v>0</v>
      </c>
      <c r="H73" s="120" t="s">
        <v>151</v>
      </c>
      <c r="J73" s="8"/>
    </row>
    <row r="74" spans="1:10" x14ac:dyDescent="0.2">
      <c r="A74" s="118"/>
      <c r="B74" s="118"/>
      <c r="C74" s="128"/>
      <c r="D74" s="118"/>
      <c r="E74" s="118"/>
      <c r="F74" s="129"/>
      <c r="G74" s="129"/>
      <c r="H74" s="120" t="s">
        <v>151</v>
      </c>
      <c r="J74" s="8"/>
    </row>
    <row r="75" spans="1:10" x14ac:dyDescent="0.2">
      <c r="A75" s="118"/>
      <c r="B75" s="118"/>
      <c r="C75" s="119" t="s">
        <v>154</v>
      </c>
      <c r="D75" s="118"/>
      <c r="E75" s="118"/>
      <c r="F75" s="118"/>
      <c r="G75" s="118"/>
      <c r="H75" s="120" t="s">
        <v>151</v>
      </c>
      <c r="J75" s="8"/>
    </row>
    <row r="76" spans="1:10" x14ac:dyDescent="0.2">
      <c r="A76" s="118"/>
      <c r="B76" s="118"/>
      <c r="C76" s="119" t="s">
        <v>150</v>
      </c>
      <c r="D76" s="118"/>
      <c r="E76" s="118" t="s">
        <v>151</v>
      </c>
      <c r="F76" s="130" t="s">
        <v>153</v>
      </c>
      <c r="G76" s="127">
        <v>0</v>
      </c>
      <c r="H76" s="120" t="s">
        <v>151</v>
      </c>
      <c r="J76" s="8"/>
    </row>
    <row r="77" spans="1:10" x14ac:dyDescent="0.2">
      <c r="A77" s="118"/>
      <c r="B77" s="118"/>
      <c r="C77" s="128"/>
      <c r="D77" s="118"/>
      <c r="E77" s="118"/>
      <c r="F77" s="129"/>
      <c r="G77" s="129"/>
      <c r="H77" s="120" t="s">
        <v>151</v>
      </c>
      <c r="J77" s="8"/>
    </row>
    <row r="78" spans="1:10" x14ac:dyDescent="0.2">
      <c r="A78" s="118"/>
      <c r="B78" s="118"/>
      <c r="C78" s="119" t="s">
        <v>155</v>
      </c>
      <c r="D78" s="118"/>
      <c r="E78" s="118"/>
      <c r="F78" s="118"/>
      <c r="G78" s="118"/>
      <c r="H78" s="120" t="s">
        <v>151</v>
      </c>
      <c r="J78" s="8"/>
    </row>
    <row r="79" spans="1:10" x14ac:dyDescent="0.2">
      <c r="A79" s="118"/>
      <c r="B79" s="118"/>
      <c r="C79" s="119" t="s">
        <v>150</v>
      </c>
      <c r="D79" s="118"/>
      <c r="E79" s="118" t="s">
        <v>151</v>
      </c>
      <c r="F79" s="130" t="s">
        <v>153</v>
      </c>
      <c r="G79" s="127">
        <v>0</v>
      </c>
      <c r="H79" s="120" t="s">
        <v>151</v>
      </c>
      <c r="J79" s="8"/>
    </row>
    <row r="80" spans="1:10" x14ac:dyDescent="0.2">
      <c r="A80" s="118"/>
      <c r="B80" s="118"/>
      <c r="C80" s="128"/>
      <c r="D80" s="118"/>
      <c r="E80" s="118"/>
      <c r="F80" s="129"/>
      <c r="G80" s="129"/>
      <c r="H80" s="120" t="s">
        <v>151</v>
      </c>
      <c r="J80" s="8"/>
    </row>
    <row r="81" spans="1:10" x14ac:dyDescent="0.2">
      <c r="A81" s="118"/>
      <c r="B81" s="118"/>
      <c r="C81" s="119" t="s">
        <v>156</v>
      </c>
      <c r="D81" s="118"/>
      <c r="E81" s="118"/>
      <c r="F81" s="129"/>
      <c r="G81" s="129"/>
      <c r="H81" s="120" t="s">
        <v>151</v>
      </c>
      <c r="J81" s="8"/>
    </row>
    <row r="82" spans="1:10" x14ac:dyDescent="0.2">
      <c r="A82" s="118"/>
      <c r="B82" s="118"/>
      <c r="C82" s="119" t="s">
        <v>150</v>
      </c>
      <c r="D82" s="118"/>
      <c r="E82" s="118" t="s">
        <v>151</v>
      </c>
      <c r="F82" s="130" t="s">
        <v>153</v>
      </c>
      <c r="G82" s="127">
        <v>0</v>
      </c>
      <c r="H82" s="120" t="s">
        <v>151</v>
      </c>
      <c r="J82" s="8"/>
    </row>
    <row r="83" spans="1:10" x14ac:dyDescent="0.2">
      <c r="A83" s="118"/>
      <c r="B83" s="118"/>
      <c r="C83" s="128"/>
      <c r="D83" s="118"/>
      <c r="E83" s="118"/>
      <c r="F83" s="129"/>
      <c r="G83" s="129"/>
      <c r="H83" s="120" t="s">
        <v>151</v>
      </c>
      <c r="J83" s="8"/>
    </row>
    <row r="84" spans="1:10" x14ac:dyDescent="0.2">
      <c r="A84" s="118"/>
      <c r="B84" s="118"/>
      <c r="C84" s="119" t="s">
        <v>157</v>
      </c>
      <c r="D84" s="118"/>
      <c r="E84" s="118"/>
      <c r="F84" s="129"/>
      <c r="G84" s="129"/>
      <c r="H84" s="120" t="s">
        <v>151</v>
      </c>
      <c r="J84" s="8"/>
    </row>
    <row r="85" spans="1:10" x14ac:dyDescent="0.2">
      <c r="A85" s="118"/>
      <c r="B85" s="118"/>
      <c r="C85" s="119" t="s">
        <v>150</v>
      </c>
      <c r="D85" s="118"/>
      <c r="E85" s="118" t="s">
        <v>151</v>
      </c>
      <c r="F85" s="130" t="s">
        <v>153</v>
      </c>
      <c r="G85" s="127">
        <v>0</v>
      </c>
      <c r="H85" s="120" t="s">
        <v>151</v>
      </c>
      <c r="J85" s="8"/>
    </row>
    <row r="86" spans="1:10" x14ac:dyDescent="0.2">
      <c r="A86" s="118"/>
      <c r="B86" s="118"/>
      <c r="C86" s="128"/>
      <c r="D86" s="118"/>
      <c r="E86" s="118"/>
      <c r="F86" s="129"/>
      <c r="G86" s="129"/>
      <c r="H86" s="120" t="s">
        <v>151</v>
      </c>
      <c r="J86" s="8"/>
    </row>
    <row r="87" spans="1:10" x14ac:dyDescent="0.2">
      <c r="A87" s="118"/>
      <c r="B87" s="118"/>
      <c r="C87" s="119" t="s">
        <v>158</v>
      </c>
      <c r="D87" s="118"/>
      <c r="E87" s="118"/>
      <c r="F87" s="126">
        <v>162799.67858099999</v>
      </c>
      <c r="G87" s="127">
        <v>0.96857696000000004</v>
      </c>
      <c r="H87" s="120" t="s">
        <v>151</v>
      </c>
      <c r="J87" s="8"/>
    </row>
    <row r="88" spans="1:10" x14ac:dyDescent="0.2">
      <c r="A88" s="118"/>
      <c r="B88" s="118"/>
      <c r="C88" s="128"/>
      <c r="D88" s="118"/>
      <c r="E88" s="118"/>
      <c r="F88" s="129"/>
      <c r="G88" s="129"/>
      <c r="H88" s="120" t="s">
        <v>151</v>
      </c>
      <c r="J88" s="8"/>
    </row>
    <row r="89" spans="1:10" x14ac:dyDescent="0.2">
      <c r="A89" s="118"/>
      <c r="B89" s="118"/>
      <c r="C89" s="119" t="s">
        <v>159</v>
      </c>
      <c r="D89" s="118"/>
      <c r="E89" s="118"/>
      <c r="F89" s="129"/>
      <c r="G89" s="129"/>
      <c r="H89" s="120" t="s">
        <v>151</v>
      </c>
      <c r="J89" s="8"/>
    </row>
    <row r="90" spans="1:10" ht="25.5" x14ac:dyDescent="0.2">
      <c r="A90" s="118"/>
      <c r="B90" s="118"/>
      <c r="C90" s="119" t="s">
        <v>10</v>
      </c>
      <c r="D90" s="118"/>
      <c r="E90" s="118"/>
      <c r="F90" s="129"/>
      <c r="G90" s="129"/>
      <c r="H90" s="120" t="s">
        <v>151</v>
      </c>
      <c r="J90" s="8"/>
    </row>
    <row r="91" spans="1:10" x14ac:dyDescent="0.2">
      <c r="A91" s="118"/>
      <c r="B91" s="118"/>
      <c r="C91" s="119" t="s">
        <v>150</v>
      </c>
      <c r="D91" s="118"/>
      <c r="E91" s="118" t="s">
        <v>151</v>
      </c>
      <c r="F91" s="130" t="s">
        <v>153</v>
      </c>
      <c r="G91" s="127">
        <v>0</v>
      </c>
      <c r="H91" s="120" t="s">
        <v>151</v>
      </c>
      <c r="J91" s="8"/>
    </row>
    <row r="92" spans="1:10" x14ac:dyDescent="0.2">
      <c r="A92" s="118"/>
      <c r="B92" s="118"/>
      <c r="C92" s="128"/>
      <c r="D92" s="118"/>
      <c r="E92" s="118"/>
      <c r="F92" s="129"/>
      <c r="G92" s="129"/>
      <c r="H92" s="120" t="s">
        <v>151</v>
      </c>
      <c r="J92" s="8"/>
    </row>
    <row r="93" spans="1:10" x14ac:dyDescent="0.2">
      <c r="A93" s="118"/>
      <c r="B93" s="118"/>
      <c r="C93" s="119" t="s">
        <v>160</v>
      </c>
      <c r="D93" s="118"/>
      <c r="E93" s="118"/>
      <c r="F93" s="118"/>
      <c r="G93" s="118"/>
      <c r="H93" s="120" t="s">
        <v>151</v>
      </c>
      <c r="J93" s="8"/>
    </row>
    <row r="94" spans="1:10" x14ac:dyDescent="0.2">
      <c r="A94" s="118"/>
      <c r="B94" s="118"/>
      <c r="C94" s="119" t="s">
        <v>150</v>
      </c>
      <c r="D94" s="118"/>
      <c r="E94" s="118" t="s">
        <v>151</v>
      </c>
      <c r="F94" s="130" t="s">
        <v>153</v>
      </c>
      <c r="G94" s="127">
        <v>0</v>
      </c>
      <c r="H94" s="120" t="s">
        <v>151</v>
      </c>
      <c r="J94" s="8"/>
    </row>
    <row r="95" spans="1:10" x14ac:dyDescent="0.2">
      <c r="A95" s="118"/>
      <c r="B95" s="118"/>
      <c r="C95" s="128"/>
      <c r="D95" s="118"/>
      <c r="E95" s="118"/>
      <c r="F95" s="129"/>
      <c r="G95" s="129"/>
      <c r="H95" s="120" t="s">
        <v>151</v>
      </c>
      <c r="J95" s="8"/>
    </row>
    <row r="96" spans="1:10" x14ac:dyDescent="0.2">
      <c r="A96" s="118"/>
      <c r="B96" s="118"/>
      <c r="C96" s="119" t="s">
        <v>161</v>
      </c>
      <c r="D96" s="118"/>
      <c r="E96" s="118"/>
      <c r="F96" s="118"/>
      <c r="G96" s="118"/>
      <c r="H96" s="120" t="s">
        <v>151</v>
      </c>
      <c r="J96" s="8"/>
    </row>
    <row r="97" spans="1:10" x14ac:dyDescent="0.2">
      <c r="A97" s="118"/>
      <c r="B97" s="118"/>
      <c r="C97" s="119" t="s">
        <v>150</v>
      </c>
      <c r="D97" s="118"/>
      <c r="E97" s="118" t="s">
        <v>151</v>
      </c>
      <c r="F97" s="130" t="s">
        <v>153</v>
      </c>
      <c r="G97" s="127">
        <v>0</v>
      </c>
      <c r="H97" s="120" t="s">
        <v>151</v>
      </c>
      <c r="J97" s="8"/>
    </row>
    <row r="98" spans="1:10" x14ac:dyDescent="0.2">
      <c r="A98" s="118"/>
      <c r="B98" s="118"/>
      <c r="C98" s="128"/>
      <c r="D98" s="118"/>
      <c r="E98" s="118"/>
      <c r="F98" s="129"/>
      <c r="G98" s="129"/>
      <c r="H98" s="120" t="s">
        <v>151</v>
      </c>
      <c r="J98" s="8"/>
    </row>
    <row r="99" spans="1:10" x14ac:dyDescent="0.2">
      <c r="A99" s="118"/>
      <c r="B99" s="118"/>
      <c r="C99" s="119" t="s">
        <v>162</v>
      </c>
      <c r="D99" s="118"/>
      <c r="E99" s="118"/>
      <c r="F99" s="129"/>
      <c r="G99" s="129"/>
      <c r="H99" s="120" t="s">
        <v>151</v>
      </c>
      <c r="J99" s="8"/>
    </row>
    <row r="100" spans="1:10" x14ac:dyDescent="0.2">
      <c r="A100" s="118"/>
      <c r="B100" s="118"/>
      <c r="C100" s="119" t="s">
        <v>150</v>
      </c>
      <c r="D100" s="118"/>
      <c r="E100" s="118" t="s">
        <v>151</v>
      </c>
      <c r="F100" s="130" t="s">
        <v>153</v>
      </c>
      <c r="G100" s="127">
        <v>0</v>
      </c>
      <c r="H100" s="120" t="s">
        <v>151</v>
      </c>
      <c r="J100" s="8"/>
    </row>
    <row r="101" spans="1:10" x14ac:dyDescent="0.2">
      <c r="A101" s="118"/>
      <c r="B101" s="118"/>
      <c r="C101" s="128"/>
      <c r="D101" s="118"/>
      <c r="E101" s="118"/>
      <c r="F101" s="129"/>
      <c r="G101" s="129"/>
      <c r="H101" s="120" t="s">
        <v>151</v>
      </c>
      <c r="J101" s="8"/>
    </row>
    <row r="102" spans="1:10" x14ac:dyDescent="0.2">
      <c r="A102" s="118"/>
      <c r="B102" s="118"/>
      <c r="C102" s="119" t="s">
        <v>163</v>
      </c>
      <c r="D102" s="118"/>
      <c r="E102" s="118"/>
      <c r="F102" s="126">
        <v>0</v>
      </c>
      <c r="G102" s="127">
        <v>0</v>
      </c>
      <c r="H102" s="120" t="s">
        <v>151</v>
      </c>
      <c r="J102" s="8"/>
    </row>
    <row r="103" spans="1:10" x14ac:dyDescent="0.2">
      <c r="A103" s="118"/>
      <c r="B103" s="118"/>
      <c r="C103" s="128"/>
      <c r="D103" s="118"/>
      <c r="E103" s="118"/>
      <c r="F103" s="129"/>
      <c r="G103" s="129"/>
      <c r="H103" s="120" t="s">
        <v>151</v>
      </c>
      <c r="J103" s="8"/>
    </row>
    <row r="104" spans="1:10" x14ac:dyDescent="0.2">
      <c r="A104" s="118"/>
      <c r="B104" s="118"/>
      <c r="C104" s="119" t="s">
        <v>164</v>
      </c>
      <c r="D104" s="118"/>
      <c r="E104" s="118"/>
      <c r="F104" s="129"/>
      <c r="G104" s="129"/>
      <c r="H104" s="120" t="s">
        <v>151</v>
      </c>
      <c r="J104" s="8"/>
    </row>
    <row r="105" spans="1:10" x14ac:dyDescent="0.2">
      <c r="A105" s="118"/>
      <c r="B105" s="118"/>
      <c r="C105" s="119" t="s">
        <v>165</v>
      </c>
      <c r="D105" s="118"/>
      <c r="E105" s="118"/>
      <c r="F105" s="129"/>
      <c r="G105" s="129"/>
      <c r="H105" s="120" t="s">
        <v>151</v>
      </c>
      <c r="J105" s="8"/>
    </row>
    <row r="106" spans="1:10" x14ac:dyDescent="0.2">
      <c r="A106" s="118"/>
      <c r="B106" s="118"/>
      <c r="C106" s="119" t="s">
        <v>150</v>
      </c>
      <c r="D106" s="118"/>
      <c r="E106" s="118" t="s">
        <v>151</v>
      </c>
      <c r="F106" s="130" t="s">
        <v>153</v>
      </c>
      <c r="G106" s="127">
        <v>0</v>
      </c>
      <c r="H106" s="120" t="s">
        <v>151</v>
      </c>
      <c r="J106" s="8"/>
    </row>
    <row r="107" spans="1:10" x14ac:dyDescent="0.2">
      <c r="A107" s="118"/>
      <c r="B107" s="118"/>
      <c r="C107" s="128"/>
      <c r="D107" s="118"/>
      <c r="E107" s="118"/>
      <c r="F107" s="129"/>
      <c r="G107" s="129"/>
      <c r="H107" s="120" t="s">
        <v>151</v>
      </c>
      <c r="J107" s="8"/>
    </row>
    <row r="108" spans="1:10" x14ac:dyDescent="0.2">
      <c r="A108" s="118"/>
      <c r="B108" s="118"/>
      <c r="C108" s="119" t="s">
        <v>166</v>
      </c>
      <c r="D108" s="118"/>
      <c r="E108" s="118"/>
      <c r="F108" s="129"/>
      <c r="G108" s="129"/>
      <c r="H108" s="120" t="s">
        <v>151</v>
      </c>
      <c r="J108" s="8"/>
    </row>
    <row r="109" spans="1:10" x14ac:dyDescent="0.2">
      <c r="A109" s="118"/>
      <c r="B109" s="118"/>
      <c r="C109" s="119" t="s">
        <v>150</v>
      </c>
      <c r="D109" s="118"/>
      <c r="E109" s="118" t="s">
        <v>151</v>
      </c>
      <c r="F109" s="130" t="s">
        <v>153</v>
      </c>
      <c r="G109" s="127">
        <v>0</v>
      </c>
      <c r="H109" s="120" t="s">
        <v>151</v>
      </c>
      <c r="J109" s="8"/>
    </row>
    <row r="110" spans="1:10" x14ac:dyDescent="0.2">
      <c r="A110" s="118"/>
      <c r="B110" s="118"/>
      <c r="C110" s="128"/>
      <c r="D110" s="118"/>
      <c r="E110" s="118"/>
      <c r="F110" s="129"/>
      <c r="G110" s="129"/>
      <c r="H110" s="120" t="s">
        <v>151</v>
      </c>
      <c r="J110" s="8"/>
    </row>
    <row r="111" spans="1:10" x14ac:dyDescent="0.2">
      <c r="A111" s="118"/>
      <c r="B111" s="118"/>
      <c r="C111" s="119" t="s">
        <v>167</v>
      </c>
      <c r="D111" s="118"/>
      <c r="E111" s="118"/>
      <c r="F111" s="129"/>
      <c r="G111" s="129"/>
      <c r="H111" s="120" t="s">
        <v>151</v>
      </c>
      <c r="J111" s="8"/>
    </row>
    <row r="112" spans="1:10" x14ac:dyDescent="0.2">
      <c r="A112" s="118"/>
      <c r="B112" s="118"/>
      <c r="C112" s="119" t="s">
        <v>150</v>
      </c>
      <c r="D112" s="118"/>
      <c r="E112" s="118" t="s">
        <v>151</v>
      </c>
      <c r="F112" s="130" t="s">
        <v>153</v>
      </c>
      <c r="G112" s="127">
        <v>0</v>
      </c>
      <c r="H112" s="120" t="s">
        <v>151</v>
      </c>
      <c r="J112" s="8"/>
    </row>
    <row r="113" spans="1:10" x14ac:dyDescent="0.2">
      <c r="A113" s="118"/>
      <c r="B113" s="118"/>
      <c r="C113" s="128"/>
      <c r="D113" s="118"/>
      <c r="E113" s="118"/>
      <c r="F113" s="129"/>
      <c r="G113" s="129"/>
      <c r="H113" s="120" t="s">
        <v>151</v>
      </c>
      <c r="J113" s="8"/>
    </row>
    <row r="114" spans="1:10" x14ac:dyDescent="0.2">
      <c r="A114" s="118"/>
      <c r="B114" s="118"/>
      <c r="C114" s="119" t="s">
        <v>168</v>
      </c>
      <c r="D114" s="118"/>
      <c r="E114" s="118"/>
      <c r="F114" s="129"/>
      <c r="G114" s="129"/>
      <c r="H114" s="120" t="s">
        <v>151</v>
      </c>
      <c r="J114" s="8"/>
    </row>
    <row r="115" spans="1:10" x14ac:dyDescent="0.2">
      <c r="A115" s="121">
        <v>1</v>
      </c>
      <c r="B115" s="122"/>
      <c r="C115" s="122" t="s">
        <v>169</v>
      </c>
      <c r="D115" s="122"/>
      <c r="E115" s="131"/>
      <c r="F115" s="124">
        <v>5186.0994079869997</v>
      </c>
      <c r="G115" s="125">
        <v>3.085471E-2</v>
      </c>
      <c r="H115" s="120">
        <v>6.61</v>
      </c>
      <c r="J115" s="8"/>
    </row>
    <row r="116" spans="1:10" x14ac:dyDescent="0.2">
      <c r="A116" s="118"/>
      <c r="B116" s="118"/>
      <c r="C116" s="119" t="s">
        <v>150</v>
      </c>
      <c r="D116" s="118"/>
      <c r="E116" s="118" t="s">
        <v>151</v>
      </c>
      <c r="F116" s="126">
        <v>5186.0994079869997</v>
      </c>
      <c r="G116" s="127">
        <v>3.085471E-2</v>
      </c>
      <c r="H116" s="120" t="s">
        <v>151</v>
      </c>
      <c r="J116" s="8"/>
    </row>
    <row r="117" spans="1:10" x14ac:dyDescent="0.2">
      <c r="A117" s="118"/>
      <c r="B117" s="118"/>
      <c r="C117" s="128"/>
      <c r="D117" s="118"/>
      <c r="E117" s="118"/>
      <c r="F117" s="129"/>
      <c r="G117" s="129"/>
      <c r="H117" s="120" t="s">
        <v>151</v>
      </c>
      <c r="J117" s="8"/>
    </row>
    <row r="118" spans="1:10" x14ac:dyDescent="0.2">
      <c r="A118" s="118"/>
      <c r="B118" s="118"/>
      <c r="C118" s="119" t="s">
        <v>170</v>
      </c>
      <c r="D118" s="118"/>
      <c r="E118" s="118"/>
      <c r="F118" s="126">
        <v>5186.0994079869997</v>
      </c>
      <c r="G118" s="127">
        <v>3.085471E-2</v>
      </c>
      <c r="H118" s="120" t="s">
        <v>151</v>
      </c>
      <c r="J118" s="8"/>
    </row>
    <row r="119" spans="1:10" x14ac:dyDescent="0.2">
      <c r="A119" s="118"/>
      <c r="B119" s="118"/>
      <c r="C119" s="129"/>
      <c r="D119" s="118"/>
      <c r="E119" s="118"/>
      <c r="F119" s="118"/>
      <c r="G119" s="118"/>
      <c r="H119" s="120" t="s">
        <v>151</v>
      </c>
      <c r="J119" s="8"/>
    </row>
    <row r="120" spans="1:10" x14ac:dyDescent="0.2">
      <c r="A120" s="118"/>
      <c r="B120" s="118"/>
      <c r="C120" s="119" t="s">
        <v>171</v>
      </c>
      <c r="D120" s="118"/>
      <c r="E120" s="118"/>
      <c r="F120" s="118"/>
      <c r="G120" s="118"/>
      <c r="H120" s="120" t="s">
        <v>151</v>
      </c>
      <c r="J120" s="8"/>
    </row>
    <row r="121" spans="1:10" x14ac:dyDescent="0.2">
      <c r="A121" s="118"/>
      <c r="B121" s="118"/>
      <c r="C121" s="119" t="s">
        <v>172</v>
      </c>
      <c r="D121" s="118"/>
      <c r="E121" s="118"/>
      <c r="F121" s="118"/>
      <c r="G121" s="118"/>
      <c r="H121" s="120" t="s">
        <v>151</v>
      </c>
      <c r="J121" s="8"/>
    </row>
    <row r="122" spans="1:10" x14ac:dyDescent="0.2">
      <c r="A122" s="118"/>
      <c r="B122" s="118"/>
      <c r="C122" s="119" t="s">
        <v>150</v>
      </c>
      <c r="D122" s="118"/>
      <c r="E122" s="118" t="s">
        <v>151</v>
      </c>
      <c r="F122" s="130" t="s">
        <v>153</v>
      </c>
      <c r="G122" s="127">
        <v>0</v>
      </c>
      <c r="H122" s="120" t="s">
        <v>151</v>
      </c>
      <c r="J122" s="8"/>
    </row>
    <row r="123" spans="1:10" x14ac:dyDescent="0.2">
      <c r="A123" s="118"/>
      <c r="B123" s="118"/>
      <c r="C123" s="128"/>
      <c r="D123" s="118"/>
      <c r="E123" s="118"/>
      <c r="F123" s="129"/>
      <c r="G123" s="129"/>
      <c r="H123" s="120" t="s">
        <v>151</v>
      </c>
      <c r="J123" s="8"/>
    </row>
    <row r="124" spans="1:10" x14ac:dyDescent="0.2">
      <c r="A124" s="118"/>
      <c r="B124" s="118"/>
      <c r="C124" s="119" t="s">
        <v>175</v>
      </c>
      <c r="D124" s="118"/>
      <c r="E124" s="118"/>
      <c r="F124" s="118"/>
      <c r="G124" s="118"/>
      <c r="H124" s="120" t="s">
        <v>151</v>
      </c>
      <c r="J124" s="8"/>
    </row>
    <row r="125" spans="1:10" x14ac:dyDescent="0.2">
      <c r="A125" s="118"/>
      <c r="B125" s="118"/>
      <c r="C125" s="119" t="s">
        <v>176</v>
      </c>
      <c r="D125" s="118"/>
      <c r="E125" s="118"/>
      <c r="F125" s="118"/>
      <c r="G125" s="118"/>
      <c r="H125" s="120" t="s">
        <v>151</v>
      </c>
      <c r="J125" s="8"/>
    </row>
    <row r="126" spans="1:10" x14ac:dyDescent="0.2">
      <c r="A126" s="118"/>
      <c r="B126" s="118"/>
      <c r="C126" s="119" t="s">
        <v>150</v>
      </c>
      <c r="D126" s="118"/>
      <c r="E126" s="118" t="s">
        <v>151</v>
      </c>
      <c r="F126" s="130" t="s">
        <v>153</v>
      </c>
      <c r="G126" s="127">
        <v>0</v>
      </c>
      <c r="H126" s="120" t="s">
        <v>151</v>
      </c>
      <c r="J126" s="8"/>
    </row>
    <row r="127" spans="1:10" x14ac:dyDescent="0.2">
      <c r="A127" s="118"/>
      <c r="B127" s="118"/>
      <c r="C127" s="128"/>
      <c r="D127" s="118"/>
      <c r="E127" s="118"/>
      <c r="F127" s="129"/>
      <c r="G127" s="129"/>
      <c r="H127" s="120" t="s">
        <v>151</v>
      </c>
      <c r="J127" s="8"/>
    </row>
    <row r="128" spans="1:10" ht="25.5" x14ac:dyDescent="0.2">
      <c r="A128" s="118"/>
      <c r="B128" s="118"/>
      <c r="C128" s="119" t="s">
        <v>177</v>
      </c>
      <c r="D128" s="118"/>
      <c r="E128" s="118"/>
      <c r="F128" s="129"/>
      <c r="G128" s="129"/>
      <c r="H128" s="120" t="s">
        <v>151</v>
      </c>
      <c r="J128" s="8"/>
    </row>
    <row r="129" spans="1:17" x14ac:dyDescent="0.2">
      <c r="A129" s="118"/>
      <c r="B129" s="118"/>
      <c r="C129" s="119" t="s">
        <v>150</v>
      </c>
      <c r="D129" s="118"/>
      <c r="E129" s="118" t="s">
        <v>151</v>
      </c>
      <c r="F129" s="130" t="s">
        <v>153</v>
      </c>
      <c r="G129" s="127">
        <v>0</v>
      </c>
      <c r="H129" s="120" t="s">
        <v>151</v>
      </c>
      <c r="J129" s="8"/>
    </row>
    <row r="130" spans="1:17" x14ac:dyDescent="0.2">
      <c r="A130" s="118"/>
      <c r="B130" s="118"/>
      <c r="C130" s="128"/>
      <c r="D130" s="118"/>
      <c r="E130" s="118"/>
      <c r="F130" s="129"/>
      <c r="G130" s="129"/>
      <c r="H130" s="120" t="s">
        <v>151</v>
      </c>
      <c r="J130" s="8"/>
    </row>
    <row r="131" spans="1:17" x14ac:dyDescent="0.2">
      <c r="A131" s="131"/>
      <c r="B131" s="122"/>
      <c r="C131" s="122" t="s">
        <v>178</v>
      </c>
      <c r="D131" s="122"/>
      <c r="E131" s="131"/>
      <c r="F131" s="124">
        <v>95.537831740000001</v>
      </c>
      <c r="G131" s="125">
        <v>5.6840000000000005E-4</v>
      </c>
      <c r="H131" s="120" t="s">
        <v>151</v>
      </c>
      <c r="J131" s="8"/>
    </row>
    <row r="132" spans="1:17" x14ac:dyDescent="0.2">
      <c r="A132" s="128"/>
      <c r="B132" s="128"/>
      <c r="C132" s="119" t="s">
        <v>179</v>
      </c>
      <c r="D132" s="129"/>
      <c r="E132" s="129"/>
      <c r="F132" s="126">
        <v>168081.315820727</v>
      </c>
      <c r="G132" s="133">
        <v>1.00000007</v>
      </c>
      <c r="H132" s="120" t="s">
        <v>151</v>
      </c>
      <c r="J132" s="8"/>
    </row>
    <row r="133" spans="1:17" x14ac:dyDescent="0.2">
      <c r="A133" s="134"/>
      <c r="B133" s="134"/>
      <c r="C133" s="134"/>
      <c r="D133" s="135"/>
      <c r="E133" s="135"/>
      <c r="F133" s="135"/>
      <c r="G133" s="135"/>
      <c r="J133" s="8"/>
    </row>
    <row r="134" spans="1:17" x14ac:dyDescent="0.2">
      <c r="A134" s="136"/>
      <c r="B134" s="137" t="s">
        <v>888</v>
      </c>
      <c r="C134" s="137"/>
      <c r="D134" s="137"/>
      <c r="E134" s="137"/>
      <c r="F134" s="137"/>
      <c r="G134" s="137"/>
      <c r="H134" s="137"/>
      <c r="J134" s="8"/>
    </row>
    <row r="135" spans="1:17" x14ac:dyDescent="0.2">
      <c r="A135" s="136"/>
      <c r="B135" s="137" t="s">
        <v>889</v>
      </c>
      <c r="C135" s="137"/>
      <c r="D135" s="137"/>
      <c r="E135" s="137"/>
      <c r="F135" s="137"/>
      <c r="G135" s="137"/>
      <c r="H135" s="137"/>
      <c r="J135" s="8"/>
    </row>
    <row r="136" spans="1:17" x14ac:dyDescent="0.2">
      <c r="A136" s="136"/>
      <c r="B136" s="137" t="s">
        <v>890</v>
      </c>
      <c r="C136" s="137"/>
      <c r="D136" s="137"/>
      <c r="E136" s="137"/>
      <c r="F136" s="137"/>
      <c r="G136" s="137"/>
      <c r="H136" s="137"/>
      <c r="J136" s="8"/>
    </row>
    <row r="137" spans="1:17" s="13" customFormat="1" ht="15" x14ac:dyDescent="0.25">
      <c r="A137" s="138"/>
      <c r="B137" s="139" t="s">
        <v>891</v>
      </c>
      <c r="C137" s="139"/>
      <c r="D137" s="139"/>
      <c r="E137" s="139"/>
      <c r="F137" s="139"/>
      <c r="G137" s="139"/>
      <c r="H137" s="139"/>
      <c r="I137" s="114"/>
      <c r="J137" s="8"/>
      <c r="K137"/>
      <c r="L137"/>
      <c r="M137"/>
      <c r="N137"/>
      <c r="O137"/>
      <c r="P137"/>
      <c r="Q137"/>
    </row>
    <row r="138" spans="1:17" x14ac:dyDescent="0.2">
      <c r="A138" s="136"/>
      <c r="B138" s="137" t="s">
        <v>892</v>
      </c>
      <c r="C138" s="137"/>
      <c r="D138" s="137"/>
      <c r="E138" s="137"/>
      <c r="F138" s="137"/>
      <c r="G138" s="137"/>
      <c r="H138" s="137"/>
      <c r="J138" s="8"/>
    </row>
    <row r="139" spans="1:17" x14ac:dyDescent="0.2">
      <c r="A139" s="140"/>
      <c r="B139" s="140"/>
      <c r="C139" s="140"/>
      <c r="D139" s="141"/>
      <c r="E139" s="141"/>
      <c r="F139" s="141"/>
      <c r="G139" s="141"/>
      <c r="J139" s="8"/>
    </row>
    <row r="140" spans="1:17" x14ac:dyDescent="0.2">
      <c r="A140" s="140"/>
      <c r="B140" s="142" t="s">
        <v>180</v>
      </c>
      <c r="C140" s="143"/>
      <c r="D140" s="144"/>
      <c r="E140" s="145"/>
      <c r="F140" s="141"/>
      <c r="G140" s="141"/>
      <c r="J140" s="8"/>
    </row>
    <row r="141" spans="1:17" x14ac:dyDescent="0.2">
      <c r="A141" s="140"/>
      <c r="B141" s="146" t="s">
        <v>181</v>
      </c>
      <c r="C141" s="147"/>
      <c r="D141" s="119" t="s">
        <v>182</v>
      </c>
      <c r="E141" s="145"/>
      <c r="F141" s="141"/>
      <c r="G141" s="141"/>
      <c r="J141" s="8"/>
    </row>
    <row r="142" spans="1:17" x14ac:dyDescent="0.2">
      <c r="A142" s="140"/>
      <c r="B142" s="146" t="s">
        <v>183</v>
      </c>
      <c r="C142" s="147"/>
      <c r="D142" s="119" t="s">
        <v>182</v>
      </c>
      <c r="E142" s="145"/>
      <c r="F142" s="141"/>
      <c r="G142" s="141"/>
      <c r="J142" s="8"/>
    </row>
    <row r="143" spans="1:17" x14ac:dyDescent="0.2">
      <c r="A143" s="140"/>
      <c r="B143" s="146" t="s">
        <v>184</v>
      </c>
      <c r="C143" s="147"/>
      <c r="D143" s="129" t="s">
        <v>151</v>
      </c>
      <c r="E143" s="145"/>
      <c r="F143" s="141"/>
      <c r="G143" s="141"/>
      <c r="J143" s="8"/>
    </row>
    <row r="144" spans="1:17" x14ac:dyDescent="0.2">
      <c r="A144" s="151"/>
      <c r="B144" s="152" t="s">
        <v>151</v>
      </c>
      <c r="C144" s="152" t="s">
        <v>894</v>
      </c>
      <c r="D144" s="152" t="s">
        <v>185</v>
      </c>
      <c r="E144" s="151"/>
      <c r="F144" s="151"/>
      <c r="G144" s="151"/>
      <c r="H144" s="151"/>
      <c r="J144" s="8"/>
    </row>
    <row r="145" spans="1:10" x14ac:dyDescent="0.2">
      <c r="A145" s="153"/>
      <c r="B145" s="154" t="s">
        <v>186</v>
      </c>
      <c r="C145" s="155">
        <v>45535</v>
      </c>
      <c r="D145" s="155">
        <v>45565</v>
      </c>
      <c r="E145" s="153"/>
      <c r="F145" s="153"/>
      <c r="G145" s="153"/>
      <c r="J145" s="8"/>
    </row>
    <row r="146" spans="1:10" x14ac:dyDescent="0.2">
      <c r="A146" s="153"/>
      <c r="B146" s="122" t="s">
        <v>187</v>
      </c>
      <c r="C146" s="156">
        <v>234.04830000000001</v>
      </c>
      <c r="D146" s="156">
        <v>238.8014</v>
      </c>
      <c r="E146" s="153"/>
      <c r="F146" s="157"/>
      <c r="G146" s="158"/>
      <c r="J146" s="8"/>
    </row>
    <row r="147" spans="1:10" x14ac:dyDescent="0.2">
      <c r="A147" s="153"/>
      <c r="B147" s="122" t="s">
        <v>1038</v>
      </c>
      <c r="C147" s="156">
        <v>21.2791</v>
      </c>
      <c r="D147" s="156">
        <v>21.550599999999999</v>
      </c>
      <c r="E147" s="153"/>
      <c r="F147" s="157"/>
      <c r="G147" s="158"/>
      <c r="J147" s="8"/>
    </row>
    <row r="148" spans="1:10" x14ac:dyDescent="0.2">
      <c r="A148" s="153"/>
      <c r="B148" s="122" t="s">
        <v>188</v>
      </c>
      <c r="C148" s="156">
        <v>221.97839999999999</v>
      </c>
      <c r="D148" s="156">
        <v>226.38210000000001</v>
      </c>
      <c r="E148" s="153"/>
      <c r="F148" s="157"/>
      <c r="G148" s="158"/>
      <c r="J148" s="8"/>
    </row>
    <row r="149" spans="1:10" x14ac:dyDescent="0.2">
      <c r="A149" s="153"/>
      <c r="B149" s="122" t="s">
        <v>1039</v>
      </c>
      <c r="C149" s="156">
        <v>17.595500000000001</v>
      </c>
      <c r="D149" s="156">
        <v>17.811800000000002</v>
      </c>
      <c r="E149" s="153"/>
      <c r="F149" s="157"/>
      <c r="G149" s="158"/>
      <c r="J149" s="8"/>
    </row>
    <row r="150" spans="1:10" x14ac:dyDescent="0.2">
      <c r="A150" s="153"/>
      <c r="B150" s="153"/>
      <c r="C150" s="153"/>
      <c r="D150" s="153"/>
      <c r="E150" s="153"/>
      <c r="F150" s="153"/>
      <c r="G150" s="153"/>
      <c r="J150" s="8"/>
    </row>
    <row r="151" spans="1:10" x14ac:dyDescent="0.2">
      <c r="A151" s="153"/>
      <c r="B151" s="146" t="s">
        <v>895</v>
      </c>
      <c r="C151" s="147"/>
      <c r="D151" s="119" t="s">
        <v>151</v>
      </c>
      <c r="E151" s="153"/>
      <c r="F151" s="153"/>
      <c r="G151" s="153"/>
      <c r="J151" s="8"/>
    </row>
    <row r="152" spans="1:10" x14ac:dyDescent="0.2">
      <c r="A152" s="153"/>
      <c r="B152" s="210" t="s">
        <v>186</v>
      </c>
      <c r="C152" s="211" t="s">
        <v>647</v>
      </c>
      <c r="D152" s="211" t="s">
        <v>648</v>
      </c>
      <c r="E152" s="153"/>
      <c r="F152" s="153"/>
      <c r="G152" s="153"/>
      <c r="J152" s="8"/>
    </row>
    <row r="153" spans="1:10" x14ac:dyDescent="0.2">
      <c r="A153" s="153"/>
      <c r="B153" s="122" t="s">
        <v>1038</v>
      </c>
      <c r="C153" s="212">
        <v>0.161</v>
      </c>
      <c r="D153" s="212">
        <v>0.161</v>
      </c>
      <c r="E153" s="153"/>
      <c r="F153" s="157"/>
      <c r="G153" s="158"/>
      <c r="J153" s="8"/>
    </row>
    <row r="154" spans="1:10" x14ac:dyDescent="0.2">
      <c r="A154" s="153"/>
      <c r="B154" s="122" t="s">
        <v>1039</v>
      </c>
      <c r="C154" s="212">
        <v>0.13300000000000001</v>
      </c>
      <c r="D154" s="212">
        <v>0.13300000000000001</v>
      </c>
      <c r="E154" s="153"/>
      <c r="F154" s="157"/>
      <c r="G154" s="158"/>
      <c r="J154" s="8"/>
    </row>
    <row r="155" spans="1:10" x14ac:dyDescent="0.2">
      <c r="A155" s="153"/>
      <c r="B155" s="213"/>
      <c r="C155" s="213"/>
      <c r="D155" s="214"/>
      <c r="E155" s="153"/>
      <c r="F155" s="157"/>
      <c r="G155" s="158"/>
      <c r="J155" s="8"/>
    </row>
    <row r="156" spans="1:10" x14ac:dyDescent="0.2">
      <c r="A156" s="151"/>
      <c r="B156" s="197" t="s">
        <v>189</v>
      </c>
      <c r="C156" s="198"/>
      <c r="D156" s="196" t="s">
        <v>182</v>
      </c>
      <c r="E156" s="160"/>
      <c r="F156" s="151"/>
      <c r="G156" s="151"/>
      <c r="J156" s="8"/>
    </row>
    <row r="157" spans="1:10" x14ac:dyDescent="0.2">
      <c r="A157" s="151"/>
      <c r="B157" s="197" t="s">
        <v>190</v>
      </c>
      <c r="C157" s="198"/>
      <c r="D157" s="196" t="s">
        <v>182</v>
      </c>
      <c r="E157" s="160"/>
      <c r="F157" s="151"/>
      <c r="G157" s="151"/>
      <c r="J157" s="8"/>
    </row>
    <row r="158" spans="1:10" x14ac:dyDescent="0.2">
      <c r="A158" s="151"/>
      <c r="B158" s="197" t="s">
        <v>191</v>
      </c>
      <c r="C158" s="198"/>
      <c r="D158" s="196" t="s">
        <v>182</v>
      </c>
      <c r="E158" s="160"/>
      <c r="F158" s="151"/>
      <c r="G158" s="151"/>
      <c r="J158" s="8"/>
    </row>
    <row r="159" spans="1:10" x14ac:dyDescent="0.2">
      <c r="A159" s="151"/>
      <c r="B159" s="197" t="s">
        <v>192</v>
      </c>
      <c r="C159" s="198"/>
      <c r="D159" s="199">
        <v>0.14967933318864754</v>
      </c>
      <c r="E159" s="151"/>
      <c r="F159" s="159"/>
      <c r="G159" s="162"/>
      <c r="J159" s="8"/>
    </row>
    <row r="160" spans="1:10" x14ac:dyDescent="0.2">
      <c r="J160" s="8"/>
    </row>
    <row r="161" spans="10:10" x14ac:dyDescent="0.2">
      <c r="J161" s="8"/>
    </row>
    <row r="162" spans="10:10" x14ac:dyDescent="0.2">
      <c r="J162" s="8"/>
    </row>
    <row r="163" spans="10:10" x14ac:dyDescent="0.2">
      <c r="J163" s="8"/>
    </row>
  </sheetData>
  <mergeCells count="17">
    <mergeCell ref="B159:C159"/>
    <mergeCell ref="B156:C156"/>
    <mergeCell ref="B142:C142"/>
    <mergeCell ref="B143:C143"/>
    <mergeCell ref="B151:C151"/>
    <mergeCell ref="B157:C157"/>
    <mergeCell ref="B158:C158"/>
    <mergeCell ref="B141:C141"/>
    <mergeCell ref="A1:H1"/>
    <mergeCell ref="A2:H2"/>
    <mergeCell ref="A3:H3"/>
    <mergeCell ref="B140:D140"/>
    <mergeCell ref="B134:H134"/>
    <mergeCell ref="B135:H135"/>
    <mergeCell ref="B136:H136"/>
    <mergeCell ref="B137:H137"/>
    <mergeCell ref="B138:H138"/>
  </mergeCells>
  <hyperlinks>
    <hyperlink ref="I1" location="Index!B2" display="Index" xr:uid="{2BE29EF8-F8B2-4F59-AAEA-718C3366F62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FB940-53C8-4D6A-8D98-3F8B7F976774}">
  <sheetPr>
    <outlinePr summaryBelow="0" summaryRight="0"/>
  </sheetPr>
  <dimension ref="A1:Q153"/>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33.85546875" style="114" bestFit="1" customWidth="1"/>
    <col min="4" max="4" width="17.710937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9.140625" style="114"/>
    <col min="10" max="10" width="50.7109375" customWidth="1"/>
  </cols>
  <sheetData>
    <row r="1" spans="1:10" ht="15" x14ac:dyDescent="0.2">
      <c r="A1" s="113" t="s">
        <v>0</v>
      </c>
      <c r="B1" s="113"/>
      <c r="C1" s="113"/>
      <c r="D1" s="113"/>
      <c r="E1" s="113"/>
      <c r="F1" s="113"/>
      <c r="G1" s="113"/>
      <c r="H1" s="113"/>
      <c r="I1" s="7" t="s">
        <v>884</v>
      </c>
      <c r="J1" s="27"/>
    </row>
    <row r="2" spans="1:10" ht="15" x14ac:dyDescent="0.2">
      <c r="A2" s="113" t="s">
        <v>812</v>
      </c>
      <c r="B2" s="113"/>
      <c r="C2" s="113"/>
      <c r="D2" s="113"/>
      <c r="E2" s="113"/>
      <c r="F2" s="113"/>
      <c r="G2" s="113"/>
      <c r="H2" s="113"/>
      <c r="J2" s="9" t="s">
        <v>885</v>
      </c>
    </row>
    <row r="3" spans="1:10" ht="15" x14ac:dyDescent="0.2">
      <c r="A3" s="113" t="s">
        <v>887</v>
      </c>
      <c r="B3" s="113"/>
      <c r="C3" s="113"/>
      <c r="D3" s="113"/>
      <c r="E3" s="113"/>
      <c r="F3" s="113"/>
      <c r="G3" s="113"/>
      <c r="H3" s="113"/>
      <c r="J3" s="27"/>
    </row>
    <row r="4" spans="1:10" s="10" customFormat="1" ht="30" x14ac:dyDescent="0.2">
      <c r="A4" s="115" t="s">
        <v>2</v>
      </c>
      <c r="B4" s="115" t="s">
        <v>3</v>
      </c>
      <c r="C4" s="115" t="s">
        <v>4</v>
      </c>
      <c r="D4" s="115" t="s">
        <v>5</v>
      </c>
      <c r="E4" s="115" t="s">
        <v>6</v>
      </c>
      <c r="F4" s="115" t="s">
        <v>7</v>
      </c>
      <c r="G4" s="115" t="s">
        <v>8</v>
      </c>
      <c r="H4" s="116" t="s">
        <v>886</v>
      </c>
      <c r="I4" s="117"/>
      <c r="J4" s="28"/>
    </row>
    <row r="5" spans="1:10" x14ac:dyDescent="0.2">
      <c r="A5" s="118"/>
      <c r="B5" s="118"/>
      <c r="C5" s="119" t="s">
        <v>9</v>
      </c>
      <c r="D5" s="118"/>
      <c r="E5" s="118"/>
      <c r="F5" s="118"/>
      <c r="G5" s="118"/>
      <c r="H5" s="120" t="s">
        <v>151</v>
      </c>
      <c r="J5" s="27"/>
    </row>
    <row r="6" spans="1:10" ht="25.5" x14ac:dyDescent="0.2">
      <c r="A6" s="118"/>
      <c r="B6" s="118"/>
      <c r="C6" s="119" t="s">
        <v>10</v>
      </c>
      <c r="D6" s="118"/>
      <c r="E6" s="118"/>
      <c r="F6" s="118"/>
      <c r="G6" s="118"/>
      <c r="H6" s="120" t="s">
        <v>151</v>
      </c>
      <c r="J6" s="27"/>
    </row>
    <row r="7" spans="1:10" x14ac:dyDescent="0.2">
      <c r="A7" s="121">
        <v>1</v>
      </c>
      <c r="B7" s="122" t="s">
        <v>343</v>
      </c>
      <c r="C7" s="122" t="s">
        <v>344</v>
      </c>
      <c r="D7" s="122" t="s">
        <v>48</v>
      </c>
      <c r="E7" s="123">
        <v>1839000</v>
      </c>
      <c r="F7" s="124">
        <v>31852.3995</v>
      </c>
      <c r="G7" s="125">
        <v>8.6016110000000007E-2</v>
      </c>
      <c r="H7" s="120" t="s">
        <v>151</v>
      </c>
      <c r="J7" s="27"/>
    </row>
    <row r="8" spans="1:10" x14ac:dyDescent="0.2">
      <c r="A8" s="121">
        <v>2</v>
      </c>
      <c r="B8" s="122" t="s">
        <v>46</v>
      </c>
      <c r="C8" s="122" t="s">
        <v>47</v>
      </c>
      <c r="D8" s="122" t="s">
        <v>48</v>
      </c>
      <c r="E8" s="123">
        <v>2365000</v>
      </c>
      <c r="F8" s="124">
        <v>30106.45</v>
      </c>
      <c r="G8" s="125">
        <v>8.1301239999999997E-2</v>
      </c>
      <c r="H8" s="120" t="s">
        <v>151</v>
      </c>
      <c r="J8" s="27"/>
    </row>
    <row r="9" spans="1:10" x14ac:dyDescent="0.2">
      <c r="A9" s="121">
        <v>3</v>
      </c>
      <c r="B9" s="122" t="s">
        <v>20</v>
      </c>
      <c r="C9" s="122" t="s">
        <v>21</v>
      </c>
      <c r="D9" s="122" t="s">
        <v>22</v>
      </c>
      <c r="E9" s="123">
        <v>752000</v>
      </c>
      <c r="F9" s="124">
        <v>22207.687999999998</v>
      </c>
      <c r="G9" s="125">
        <v>5.9970959999999997E-2</v>
      </c>
      <c r="H9" s="120" t="s">
        <v>151</v>
      </c>
      <c r="J9" s="27"/>
    </row>
    <row r="10" spans="1:10" x14ac:dyDescent="0.2">
      <c r="A10" s="121">
        <v>4</v>
      </c>
      <c r="B10" s="122" t="s">
        <v>11</v>
      </c>
      <c r="C10" s="122" t="s">
        <v>12</v>
      </c>
      <c r="D10" s="122" t="s">
        <v>13</v>
      </c>
      <c r="E10" s="123">
        <v>555000</v>
      </c>
      <c r="F10" s="124">
        <v>20399.302500000002</v>
      </c>
      <c r="G10" s="125">
        <v>5.5087490000000003E-2</v>
      </c>
      <c r="H10" s="120" t="s">
        <v>151</v>
      </c>
      <c r="J10" s="27"/>
    </row>
    <row r="11" spans="1:10" x14ac:dyDescent="0.2">
      <c r="A11" s="121">
        <v>5</v>
      </c>
      <c r="B11" s="122" t="s">
        <v>347</v>
      </c>
      <c r="C11" s="122" t="s">
        <v>348</v>
      </c>
      <c r="D11" s="122" t="s">
        <v>216</v>
      </c>
      <c r="E11" s="123">
        <v>1067000</v>
      </c>
      <c r="F11" s="124">
        <v>20012.651999999998</v>
      </c>
      <c r="G11" s="125">
        <v>5.4043349999999997E-2</v>
      </c>
      <c r="H11" s="120" t="s">
        <v>151</v>
      </c>
      <c r="J11" s="27"/>
    </row>
    <row r="12" spans="1:10" ht="15" x14ac:dyDescent="0.2">
      <c r="A12" s="121">
        <v>6</v>
      </c>
      <c r="B12" s="122" t="s">
        <v>14</v>
      </c>
      <c r="C12" s="122" t="s">
        <v>15</v>
      </c>
      <c r="D12" s="122" t="s">
        <v>16</v>
      </c>
      <c r="E12" s="123">
        <v>977000</v>
      </c>
      <c r="F12" s="124">
        <v>16702.303500000002</v>
      </c>
      <c r="G12" s="125">
        <v>4.5103890000000001E-2</v>
      </c>
      <c r="H12" s="120" t="s">
        <v>151</v>
      </c>
      <c r="J12" s="11"/>
    </row>
    <row r="13" spans="1:10" x14ac:dyDescent="0.2">
      <c r="A13" s="121">
        <v>7</v>
      </c>
      <c r="B13" s="122" t="s">
        <v>349</v>
      </c>
      <c r="C13" s="122" t="s">
        <v>350</v>
      </c>
      <c r="D13" s="122" t="s">
        <v>48</v>
      </c>
      <c r="E13" s="123">
        <v>1109000</v>
      </c>
      <c r="F13" s="124">
        <v>13665.098</v>
      </c>
      <c r="G13" s="125">
        <v>3.6902039999999997E-2</v>
      </c>
      <c r="H13" s="120" t="s">
        <v>151</v>
      </c>
      <c r="J13" s="8"/>
    </row>
    <row r="14" spans="1:10" x14ac:dyDescent="0.2">
      <c r="A14" s="121">
        <v>8</v>
      </c>
      <c r="B14" s="122" t="s">
        <v>63</v>
      </c>
      <c r="C14" s="122" t="s">
        <v>64</v>
      </c>
      <c r="D14" s="122" t="s">
        <v>48</v>
      </c>
      <c r="E14" s="123">
        <v>1717000</v>
      </c>
      <c r="F14" s="124">
        <v>13528.243</v>
      </c>
      <c r="G14" s="125">
        <v>3.6532469999999997E-2</v>
      </c>
      <c r="H14" s="120" t="s">
        <v>151</v>
      </c>
      <c r="J14" s="8" t="s">
        <v>1029</v>
      </c>
    </row>
    <row r="15" spans="1:10" ht="25.5" x14ac:dyDescent="0.2">
      <c r="A15" s="121">
        <v>9</v>
      </c>
      <c r="B15" s="122" t="s">
        <v>353</v>
      </c>
      <c r="C15" s="122" t="s">
        <v>354</v>
      </c>
      <c r="D15" s="122" t="s">
        <v>205</v>
      </c>
      <c r="E15" s="123">
        <v>662000</v>
      </c>
      <c r="F15" s="124">
        <v>12754.754000000001</v>
      </c>
      <c r="G15" s="125">
        <v>3.4443689999999999E-2</v>
      </c>
      <c r="H15" s="120" t="s">
        <v>151</v>
      </c>
      <c r="J15" s="27"/>
    </row>
    <row r="16" spans="1:10" x14ac:dyDescent="0.2">
      <c r="A16" s="121">
        <v>10</v>
      </c>
      <c r="B16" s="122" t="s">
        <v>547</v>
      </c>
      <c r="C16" s="122" t="s">
        <v>548</v>
      </c>
      <c r="D16" s="122" t="s">
        <v>270</v>
      </c>
      <c r="E16" s="123">
        <v>66000</v>
      </c>
      <c r="F16" s="124">
        <v>8737.08</v>
      </c>
      <c r="G16" s="125">
        <v>2.3594130000000001E-2</v>
      </c>
      <c r="H16" s="120" t="s">
        <v>151</v>
      </c>
      <c r="J16" s="27"/>
    </row>
    <row r="17" spans="1:10" x14ac:dyDescent="0.2">
      <c r="A17" s="121">
        <v>11</v>
      </c>
      <c r="B17" s="122" t="s">
        <v>17</v>
      </c>
      <c r="C17" s="122" t="s">
        <v>18</v>
      </c>
      <c r="D17" s="122" t="s">
        <v>19</v>
      </c>
      <c r="E17" s="123">
        <v>1967000</v>
      </c>
      <c r="F17" s="124">
        <v>8717.7440000000006</v>
      </c>
      <c r="G17" s="125">
        <v>2.3541909999999999E-2</v>
      </c>
      <c r="H17" s="120" t="s">
        <v>151</v>
      </c>
      <c r="J17" s="27"/>
    </row>
    <row r="18" spans="1:10" x14ac:dyDescent="0.2">
      <c r="A18" s="121">
        <v>12</v>
      </c>
      <c r="B18" s="122" t="s">
        <v>355</v>
      </c>
      <c r="C18" s="122" t="s">
        <v>356</v>
      </c>
      <c r="D18" s="122" t="s">
        <v>216</v>
      </c>
      <c r="E18" s="123">
        <v>203752</v>
      </c>
      <c r="F18" s="124">
        <v>8697.1541199999992</v>
      </c>
      <c r="G18" s="125">
        <v>2.348631E-2</v>
      </c>
      <c r="H18" s="120" t="s">
        <v>151</v>
      </c>
      <c r="J18" s="27"/>
    </row>
    <row r="19" spans="1:10" x14ac:dyDescent="0.2">
      <c r="A19" s="121">
        <v>13</v>
      </c>
      <c r="B19" s="122" t="s">
        <v>364</v>
      </c>
      <c r="C19" s="122" t="s">
        <v>365</v>
      </c>
      <c r="D19" s="122" t="s">
        <v>270</v>
      </c>
      <c r="E19" s="123">
        <v>807850</v>
      </c>
      <c r="F19" s="124">
        <v>7873.7100250000003</v>
      </c>
      <c r="G19" s="125">
        <v>2.1262630000000001E-2</v>
      </c>
      <c r="H19" s="120" t="s">
        <v>151</v>
      </c>
      <c r="J19" s="27"/>
    </row>
    <row r="20" spans="1:10" x14ac:dyDescent="0.2">
      <c r="A20" s="121">
        <v>14</v>
      </c>
      <c r="B20" s="122" t="s">
        <v>378</v>
      </c>
      <c r="C20" s="122" t="s">
        <v>379</v>
      </c>
      <c r="D20" s="122" t="s">
        <v>368</v>
      </c>
      <c r="E20" s="123">
        <v>260000</v>
      </c>
      <c r="F20" s="124">
        <v>7691.58</v>
      </c>
      <c r="G20" s="125">
        <v>2.0770799999999999E-2</v>
      </c>
      <c r="H20" s="120" t="s">
        <v>151</v>
      </c>
      <c r="J20" s="27"/>
    </row>
    <row r="21" spans="1:10" x14ac:dyDescent="0.2">
      <c r="A21" s="121">
        <v>15</v>
      </c>
      <c r="B21" s="122" t="s">
        <v>357</v>
      </c>
      <c r="C21" s="122" t="s">
        <v>358</v>
      </c>
      <c r="D21" s="122" t="s">
        <v>261</v>
      </c>
      <c r="E21" s="123">
        <v>1187500</v>
      </c>
      <c r="F21" s="124">
        <v>7199.8125</v>
      </c>
      <c r="G21" s="125">
        <v>1.94428E-2</v>
      </c>
      <c r="H21" s="120" t="s">
        <v>151</v>
      </c>
      <c r="J21" s="27"/>
    </row>
    <row r="22" spans="1:10" ht="15" x14ac:dyDescent="0.2">
      <c r="A22" s="121">
        <v>16</v>
      </c>
      <c r="B22" s="122" t="s">
        <v>83</v>
      </c>
      <c r="C22" s="122" t="s">
        <v>84</v>
      </c>
      <c r="D22" s="122" t="s">
        <v>85</v>
      </c>
      <c r="E22" s="123">
        <v>145000</v>
      </c>
      <c r="F22" s="124">
        <v>6941.8024999999998</v>
      </c>
      <c r="G22" s="125">
        <v>1.8746059999999998E-2</v>
      </c>
      <c r="H22" s="120" t="s">
        <v>151</v>
      </c>
      <c r="J22" s="11"/>
    </row>
    <row r="23" spans="1:10" ht="25.5" x14ac:dyDescent="0.2">
      <c r="A23" s="121">
        <v>17</v>
      </c>
      <c r="B23" s="122" t="s">
        <v>465</v>
      </c>
      <c r="C23" s="122" t="s">
        <v>466</v>
      </c>
      <c r="D23" s="122" t="s">
        <v>205</v>
      </c>
      <c r="E23" s="123">
        <v>401000</v>
      </c>
      <c r="F23" s="124">
        <v>6632.9409999999998</v>
      </c>
      <c r="G23" s="125">
        <v>1.7911989999999999E-2</v>
      </c>
      <c r="H23" s="120" t="s">
        <v>151</v>
      </c>
      <c r="J23" s="8"/>
    </row>
    <row r="24" spans="1:10" ht="25.5" x14ac:dyDescent="0.2">
      <c r="A24" s="121">
        <v>18</v>
      </c>
      <c r="B24" s="122" t="s">
        <v>23</v>
      </c>
      <c r="C24" s="122" t="s">
        <v>24</v>
      </c>
      <c r="D24" s="122" t="s">
        <v>25</v>
      </c>
      <c r="E24" s="123">
        <v>50000</v>
      </c>
      <c r="F24" s="124">
        <v>5901</v>
      </c>
      <c r="G24" s="125">
        <v>1.5935410000000001E-2</v>
      </c>
      <c r="H24" s="120" t="s">
        <v>151</v>
      </c>
      <c r="J24" s="27"/>
    </row>
    <row r="25" spans="1:10" x14ac:dyDescent="0.2">
      <c r="A25" s="121">
        <v>19</v>
      </c>
      <c r="B25" s="122" t="s">
        <v>471</v>
      </c>
      <c r="C25" s="122" t="s">
        <v>472</v>
      </c>
      <c r="D25" s="122" t="s">
        <v>48</v>
      </c>
      <c r="E25" s="123">
        <v>398000</v>
      </c>
      <c r="F25" s="124">
        <v>5761.4480000000003</v>
      </c>
      <c r="G25" s="125">
        <v>1.5558560000000001E-2</v>
      </c>
      <c r="H25" s="120" t="s">
        <v>151</v>
      </c>
      <c r="J25" s="8"/>
    </row>
    <row r="26" spans="1:10" ht="25.5" x14ac:dyDescent="0.2">
      <c r="A26" s="121">
        <v>20</v>
      </c>
      <c r="B26" s="122" t="s">
        <v>275</v>
      </c>
      <c r="C26" s="122" t="s">
        <v>276</v>
      </c>
      <c r="D26" s="122" t="s">
        <v>121</v>
      </c>
      <c r="E26" s="123">
        <v>322206</v>
      </c>
      <c r="F26" s="124">
        <v>5181.0724799999998</v>
      </c>
      <c r="G26" s="125">
        <v>1.399128E-2</v>
      </c>
      <c r="H26" s="120" t="s">
        <v>151</v>
      </c>
      <c r="J26" s="8" t="s">
        <v>1030</v>
      </c>
    </row>
    <row r="27" spans="1:10" x14ac:dyDescent="0.2">
      <c r="A27" s="121">
        <v>21</v>
      </c>
      <c r="B27" s="122" t="s">
        <v>461</v>
      </c>
      <c r="C27" s="122" t="s">
        <v>462</v>
      </c>
      <c r="D27" s="122" t="s">
        <v>216</v>
      </c>
      <c r="E27" s="123">
        <v>285965</v>
      </c>
      <c r="F27" s="124">
        <v>5136.2173650000004</v>
      </c>
      <c r="G27" s="125">
        <v>1.3870149999999999E-2</v>
      </c>
      <c r="H27" s="120" t="s">
        <v>151</v>
      </c>
      <c r="J27" s="27"/>
    </row>
    <row r="28" spans="1:10" x14ac:dyDescent="0.2">
      <c r="A28" s="121">
        <v>22</v>
      </c>
      <c r="B28" s="122" t="s">
        <v>663</v>
      </c>
      <c r="C28" s="122" t="s">
        <v>664</v>
      </c>
      <c r="D28" s="122" t="s">
        <v>121</v>
      </c>
      <c r="E28" s="123">
        <v>63000</v>
      </c>
      <c r="F28" s="124">
        <v>4852.8900000000003</v>
      </c>
      <c r="G28" s="125">
        <v>1.310503E-2</v>
      </c>
      <c r="H28" s="120" t="s">
        <v>151</v>
      </c>
      <c r="J28" s="27"/>
    </row>
    <row r="29" spans="1:10" x14ac:dyDescent="0.2">
      <c r="A29" s="121">
        <v>23</v>
      </c>
      <c r="B29" s="122" t="s">
        <v>678</v>
      </c>
      <c r="C29" s="122" t="s">
        <v>679</v>
      </c>
      <c r="D29" s="122" t="s">
        <v>121</v>
      </c>
      <c r="E29" s="123">
        <v>241000</v>
      </c>
      <c r="F29" s="124">
        <v>4755.8940000000002</v>
      </c>
      <c r="G29" s="125">
        <v>1.28431E-2</v>
      </c>
      <c r="H29" s="120" t="s">
        <v>151</v>
      </c>
      <c r="J29" s="27"/>
    </row>
    <row r="30" spans="1:10" x14ac:dyDescent="0.2">
      <c r="A30" s="121">
        <v>24</v>
      </c>
      <c r="B30" s="122" t="s">
        <v>551</v>
      </c>
      <c r="C30" s="122" t="s">
        <v>552</v>
      </c>
      <c r="D30" s="122" t="s">
        <v>216</v>
      </c>
      <c r="E30" s="123">
        <v>291000</v>
      </c>
      <c r="F30" s="124">
        <v>4589.652</v>
      </c>
      <c r="G30" s="125">
        <v>1.2394169999999999E-2</v>
      </c>
      <c r="H30" s="120" t="s">
        <v>151</v>
      </c>
      <c r="J30" s="27"/>
    </row>
    <row r="31" spans="1:10" x14ac:dyDescent="0.2">
      <c r="A31" s="121">
        <v>25</v>
      </c>
      <c r="B31" s="122" t="s">
        <v>366</v>
      </c>
      <c r="C31" s="122" t="s">
        <v>367</v>
      </c>
      <c r="D31" s="122" t="s">
        <v>368</v>
      </c>
      <c r="E31" s="123">
        <v>885000</v>
      </c>
      <c r="F31" s="124">
        <v>4585.6274999999996</v>
      </c>
      <c r="G31" s="125">
        <v>1.23833E-2</v>
      </c>
      <c r="H31" s="120" t="s">
        <v>151</v>
      </c>
      <c r="J31" s="27"/>
    </row>
    <row r="32" spans="1:10" x14ac:dyDescent="0.2">
      <c r="A32" s="121">
        <v>26</v>
      </c>
      <c r="B32" s="122" t="s">
        <v>345</v>
      </c>
      <c r="C32" s="122" t="s">
        <v>346</v>
      </c>
      <c r="D32" s="122" t="s">
        <v>200</v>
      </c>
      <c r="E32" s="123">
        <v>1538000</v>
      </c>
      <c r="F32" s="124">
        <v>4203.3540000000003</v>
      </c>
      <c r="G32" s="125">
        <v>1.135099E-2</v>
      </c>
      <c r="H32" s="120" t="s">
        <v>151</v>
      </c>
      <c r="J32" s="27"/>
    </row>
    <row r="33" spans="1:10" x14ac:dyDescent="0.2">
      <c r="A33" s="121">
        <v>27</v>
      </c>
      <c r="B33" s="122" t="s">
        <v>351</v>
      </c>
      <c r="C33" s="122" t="s">
        <v>352</v>
      </c>
      <c r="D33" s="122" t="s">
        <v>48</v>
      </c>
      <c r="E33" s="123">
        <v>220000</v>
      </c>
      <c r="F33" s="124">
        <v>4078.69</v>
      </c>
      <c r="G33" s="125">
        <v>1.1014339999999999E-2</v>
      </c>
      <c r="H33" s="120" t="s">
        <v>151</v>
      </c>
      <c r="J33" s="27"/>
    </row>
    <row r="34" spans="1:10" ht="25.5" x14ac:dyDescent="0.2">
      <c r="A34" s="121">
        <v>28</v>
      </c>
      <c r="B34" s="122" t="s">
        <v>91</v>
      </c>
      <c r="C34" s="122" t="s">
        <v>92</v>
      </c>
      <c r="D34" s="122" t="s">
        <v>93</v>
      </c>
      <c r="E34" s="123">
        <v>267000</v>
      </c>
      <c r="F34" s="124">
        <v>3866.694</v>
      </c>
      <c r="G34" s="125">
        <v>1.0441850000000001E-2</v>
      </c>
      <c r="H34" s="120" t="s">
        <v>151</v>
      </c>
      <c r="J34" s="27"/>
    </row>
    <row r="35" spans="1:10" ht="25.5" x14ac:dyDescent="0.2">
      <c r="A35" s="121">
        <v>29</v>
      </c>
      <c r="B35" s="122" t="s">
        <v>467</v>
      </c>
      <c r="C35" s="122" t="s">
        <v>468</v>
      </c>
      <c r="D35" s="122" t="s">
        <v>290</v>
      </c>
      <c r="E35" s="123">
        <v>319989</v>
      </c>
      <c r="F35" s="124">
        <v>3830.1083355000001</v>
      </c>
      <c r="G35" s="125">
        <v>1.0343049999999999E-2</v>
      </c>
      <c r="H35" s="120" t="s">
        <v>151</v>
      </c>
      <c r="J35" s="27"/>
    </row>
    <row r="36" spans="1:10" x14ac:dyDescent="0.2">
      <c r="A36" s="121">
        <v>30</v>
      </c>
      <c r="B36" s="122" t="s">
        <v>242</v>
      </c>
      <c r="C36" s="122" t="s">
        <v>243</v>
      </c>
      <c r="D36" s="122" t="s">
        <v>200</v>
      </c>
      <c r="E36" s="123">
        <v>47000</v>
      </c>
      <c r="F36" s="124">
        <v>3807.3290000000002</v>
      </c>
      <c r="G36" s="125">
        <v>1.028154E-2</v>
      </c>
      <c r="H36" s="120" t="s">
        <v>151</v>
      </c>
      <c r="J36" s="27"/>
    </row>
    <row r="37" spans="1:10" x14ac:dyDescent="0.2">
      <c r="A37" s="121">
        <v>31</v>
      </c>
      <c r="B37" s="122" t="s">
        <v>543</v>
      </c>
      <c r="C37" s="122" t="s">
        <v>544</v>
      </c>
      <c r="D37" s="122" t="s">
        <v>261</v>
      </c>
      <c r="E37" s="123">
        <v>237000</v>
      </c>
      <c r="F37" s="124">
        <v>3768.0630000000001</v>
      </c>
      <c r="G37" s="125">
        <v>1.0175500000000001E-2</v>
      </c>
      <c r="H37" s="120" t="s">
        <v>151</v>
      </c>
      <c r="J37" s="27"/>
    </row>
    <row r="38" spans="1:10" ht="25.5" x14ac:dyDescent="0.2">
      <c r="A38" s="121">
        <v>32</v>
      </c>
      <c r="B38" s="122" t="s">
        <v>403</v>
      </c>
      <c r="C38" s="122" t="s">
        <v>404</v>
      </c>
      <c r="D38" s="122" t="s">
        <v>25</v>
      </c>
      <c r="E38" s="123">
        <v>134000</v>
      </c>
      <c r="F38" s="124">
        <v>3746.0369999999998</v>
      </c>
      <c r="G38" s="125">
        <v>1.011602E-2</v>
      </c>
      <c r="H38" s="120" t="s">
        <v>151</v>
      </c>
      <c r="J38" s="27"/>
    </row>
    <row r="39" spans="1:10" x14ac:dyDescent="0.2">
      <c r="A39" s="121">
        <v>33</v>
      </c>
      <c r="B39" s="122" t="s">
        <v>41</v>
      </c>
      <c r="C39" s="122" t="s">
        <v>42</v>
      </c>
      <c r="D39" s="122" t="s">
        <v>16</v>
      </c>
      <c r="E39" s="123">
        <v>256000</v>
      </c>
      <c r="F39" s="124">
        <v>3695.36</v>
      </c>
      <c r="G39" s="125">
        <v>9.9791700000000007E-3</v>
      </c>
      <c r="H39" s="120" t="s">
        <v>151</v>
      </c>
      <c r="J39" s="27"/>
    </row>
    <row r="40" spans="1:10" x14ac:dyDescent="0.2">
      <c r="A40" s="121">
        <v>34</v>
      </c>
      <c r="B40" s="122" t="s">
        <v>310</v>
      </c>
      <c r="C40" s="122" t="s">
        <v>311</v>
      </c>
      <c r="D40" s="122" t="s">
        <v>70</v>
      </c>
      <c r="E40" s="123">
        <v>493000</v>
      </c>
      <c r="F40" s="124">
        <v>3664.962</v>
      </c>
      <c r="G40" s="125">
        <v>9.8970800000000008E-3</v>
      </c>
      <c r="H40" s="120" t="s">
        <v>151</v>
      </c>
      <c r="J40" s="27"/>
    </row>
    <row r="41" spans="1:10" x14ac:dyDescent="0.2">
      <c r="A41" s="121">
        <v>35</v>
      </c>
      <c r="B41" s="122" t="s">
        <v>388</v>
      </c>
      <c r="C41" s="122" t="s">
        <v>389</v>
      </c>
      <c r="D41" s="122" t="s">
        <v>35</v>
      </c>
      <c r="E41" s="123">
        <v>95000</v>
      </c>
      <c r="F41" s="124">
        <v>3632.7525000000001</v>
      </c>
      <c r="G41" s="125">
        <v>9.8101000000000004E-3</v>
      </c>
      <c r="H41" s="120" t="s">
        <v>151</v>
      </c>
      <c r="J41" s="27"/>
    </row>
    <row r="42" spans="1:10" ht="25.5" x14ac:dyDescent="0.2">
      <c r="A42" s="121">
        <v>36</v>
      </c>
      <c r="B42" s="122" t="s">
        <v>380</v>
      </c>
      <c r="C42" s="122" t="s">
        <v>381</v>
      </c>
      <c r="D42" s="122" t="s">
        <v>205</v>
      </c>
      <c r="E42" s="123">
        <v>241000</v>
      </c>
      <c r="F42" s="124">
        <v>3520.2869999999998</v>
      </c>
      <c r="G42" s="125">
        <v>9.50639E-3</v>
      </c>
      <c r="H42" s="120" t="s">
        <v>151</v>
      </c>
      <c r="J42" s="27"/>
    </row>
    <row r="43" spans="1:10" x14ac:dyDescent="0.2">
      <c r="A43" s="121">
        <v>37</v>
      </c>
      <c r="B43" s="122" t="s">
        <v>359</v>
      </c>
      <c r="C43" s="122" t="s">
        <v>360</v>
      </c>
      <c r="D43" s="122" t="s">
        <v>361</v>
      </c>
      <c r="E43" s="123">
        <v>352868</v>
      </c>
      <c r="F43" s="124">
        <v>2668.3878159999999</v>
      </c>
      <c r="G43" s="125">
        <v>7.2058699999999996E-3</v>
      </c>
      <c r="H43" s="120" t="s">
        <v>151</v>
      </c>
      <c r="J43" s="27"/>
    </row>
    <row r="44" spans="1:10" x14ac:dyDescent="0.2">
      <c r="A44" s="121">
        <v>38</v>
      </c>
      <c r="B44" s="122" t="s">
        <v>459</v>
      </c>
      <c r="C44" s="122" t="s">
        <v>460</v>
      </c>
      <c r="D44" s="122" t="s">
        <v>295</v>
      </c>
      <c r="E44" s="123">
        <v>143000</v>
      </c>
      <c r="F44" s="124">
        <v>2636.92</v>
      </c>
      <c r="G44" s="125">
        <v>7.1209000000000003E-3</v>
      </c>
      <c r="H44" s="120" t="s">
        <v>151</v>
      </c>
      <c r="J44" s="27"/>
    </row>
    <row r="45" spans="1:10" x14ac:dyDescent="0.2">
      <c r="A45" s="121">
        <v>39</v>
      </c>
      <c r="B45" s="122" t="s">
        <v>779</v>
      </c>
      <c r="C45" s="122" t="s">
        <v>780</v>
      </c>
      <c r="D45" s="122" t="s">
        <v>35</v>
      </c>
      <c r="E45" s="123">
        <v>127000</v>
      </c>
      <c r="F45" s="124">
        <v>2556.3829999999998</v>
      </c>
      <c r="G45" s="125">
        <v>6.9034099999999996E-3</v>
      </c>
      <c r="H45" s="120" t="s">
        <v>151</v>
      </c>
      <c r="J45" s="27"/>
    </row>
    <row r="46" spans="1:10" x14ac:dyDescent="0.2">
      <c r="A46" s="121">
        <v>40</v>
      </c>
      <c r="B46" s="122" t="s">
        <v>697</v>
      </c>
      <c r="C46" s="122" t="s">
        <v>698</v>
      </c>
      <c r="D46" s="122" t="s">
        <v>58</v>
      </c>
      <c r="E46" s="123">
        <v>437000</v>
      </c>
      <c r="F46" s="124">
        <v>2537.4405000000002</v>
      </c>
      <c r="G46" s="125">
        <v>6.8522599999999998E-3</v>
      </c>
      <c r="H46" s="120" t="s">
        <v>151</v>
      </c>
      <c r="J46" s="27"/>
    </row>
    <row r="47" spans="1:10" x14ac:dyDescent="0.2">
      <c r="A47" s="121">
        <v>41</v>
      </c>
      <c r="B47" s="122" t="s">
        <v>693</v>
      </c>
      <c r="C47" s="122" t="s">
        <v>694</v>
      </c>
      <c r="D47" s="122" t="s">
        <v>283</v>
      </c>
      <c r="E47" s="123">
        <v>38000</v>
      </c>
      <c r="F47" s="124">
        <v>2408.4969999999998</v>
      </c>
      <c r="G47" s="125">
        <v>6.5040499999999999E-3</v>
      </c>
      <c r="H47" s="120" t="s">
        <v>151</v>
      </c>
      <c r="J47" s="27"/>
    </row>
    <row r="48" spans="1:10" x14ac:dyDescent="0.2">
      <c r="A48" s="121">
        <v>42</v>
      </c>
      <c r="B48" s="122" t="s">
        <v>65</v>
      </c>
      <c r="C48" s="122" t="s">
        <v>66</v>
      </c>
      <c r="D48" s="122" t="s">
        <v>67</v>
      </c>
      <c r="E48" s="123">
        <v>927000</v>
      </c>
      <c r="F48" s="124">
        <v>2227.4883</v>
      </c>
      <c r="G48" s="125">
        <v>6.0152399999999998E-3</v>
      </c>
      <c r="H48" s="120" t="s">
        <v>151</v>
      </c>
      <c r="J48" s="27"/>
    </row>
    <row r="49" spans="1:10" x14ac:dyDescent="0.2">
      <c r="A49" s="121">
        <v>43</v>
      </c>
      <c r="B49" s="122" t="s">
        <v>727</v>
      </c>
      <c r="C49" s="122" t="s">
        <v>728</v>
      </c>
      <c r="D49" s="122" t="s">
        <v>200</v>
      </c>
      <c r="E49" s="123">
        <v>42000</v>
      </c>
      <c r="F49" s="124">
        <v>2140.4459999999999</v>
      </c>
      <c r="G49" s="125">
        <v>5.7801900000000002E-3</v>
      </c>
      <c r="H49" s="120" t="s">
        <v>151</v>
      </c>
      <c r="J49" s="27"/>
    </row>
    <row r="50" spans="1:10" x14ac:dyDescent="0.2">
      <c r="A50" s="121">
        <v>44</v>
      </c>
      <c r="B50" s="122" t="s">
        <v>53</v>
      </c>
      <c r="C50" s="122" t="s">
        <v>54</v>
      </c>
      <c r="D50" s="122" t="s">
        <v>55</v>
      </c>
      <c r="E50" s="123">
        <v>125000</v>
      </c>
      <c r="F50" s="124">
        <v>2101.25</v>
      </c>
      <c r="G50" s="125">
        <v>5.6743399999999999E-3</v>
      </c>
      <c r="H50" s="120" t="s">
        <v>151</v>
      </c>
      <c r="J50" s="27"/>
    </row>
    <row r="51" spans="1:10" ht="25.5" x14ac:dyDescent="0.2">
      <c r="A51" s="121">
        <v>45</v>
      </c>
      <c r="B51" s="122" t="s">
        <v>708</v>
      </c>
      <c r="C51" s="122" t="s">
        <v>709</v>
      </c>
      <c r="D51" s="122" t="s">
        <v>205</v>
      </c>
      <c r="E51" s="123">
        <v>83000</v>
      </c>
      <c r="F51" s="124">
        <v>2092.181</v>
      </c>
      <c r="G51" s="125">
        <v>5.6498499999999997E-3</v>
      </c>
      <c r="H51" s="120" t="s">
        <v>151</v>
      </c>
      <c r="J51" s="27"/>
    </row>
    <row r="52" spans="1:10" x14ac:dyDescent="0.2">
      <c r="A52" s="121">
        <v>46</v>
      </c>
      <c r="B52" s="122" t="s">
        <v>227</v>
      </c>
      <c r="C52" s="122" t="s">
        <v>228</v>
      </c>
      <c r="D52" s="122" t="s">
        <v>22</v>
      </c>
      <c r="E52" s="123">
        <v>465000</v>
      </c>
      <c r="F52" s="124">
        <v>2048.5574999999999</v>
      </c>
      <c r="G52" s="125">
        <v>5.5320500000000002E-3</v>
      </c>
      <c r="H52" s="120" t="s">
        <v>151</v>
      </c>
      <c r="J52" s="27"/>
    </row>
    <row r="53" spans="1:10" x14ac:dyDescent="0.2">
      <c r="A53" s="121">
        <v>47</v>
      </c>
      <c r="B53" s="122" t="s">
        <v>119</v>
      </c>
      <c r="C53" s="122" t="s">
        <v>120</v>
      </c>
      <c r="D53" s="122" t="s">
        <v>121</v>
      </c>
      <c r="E53" s="123">
        <v>355000</v>
      </c>
      <c r="F53" s="124">
        <v>1968.4749999999999</v>
      </c>
      <c r="G53" s="125">
        <v>5.3157899999999999E-3</v>
      </c>
      <c r="H53" s="120" t="s">
        <v>151</v>
      </c>
      <c r="J53" s="27"/>
    </row>
    <row r="54" spans="1:10" x14ac:dyDescent="0.2">
      <c r="A54" s="121">
        <v>48</v>
      </c>
      <c r="B54" s="122" t="s">
        <v>26</v>
      </c>
      <c r="C54" s="122" t="s">
        <v>27</v>
      </c>
      <c r="D54" s="122" t="s">
        <v>19</v>
      </c>
      <c r="E54" s="123">
        <v>540000</v>
      </c>
      <c r="F54" s="124">
        <v>1905.39</v>
      </c>
      <c r="G54" s="125">
        <v>5.1454300000000003E-3</v>
      </c>
      <c r="H54" s="120" t="s">
        <v>151</v>
      </c>
      <c r="J54" s="27"/>
    </row>
    <row r="55" spans="1:10" x14ac:dyDescent="0.2">
      <c r="A55" s="121">
        <v>49</v>
      </c>
      <c r="B55" s="122" t="s">
        <v>246</v>
      </c>
      <c r="C55" s="122" t="s">
        <v>247</v>
      </c>
      <c r="D55" s="122" t="s">
        <v>121</v>
      </c>
      <c r="E55" s="123">
        <v>370000</v>
      </c>
      <c r="F55" s="124">
        <v>1805.7850000000001</v>
      </c>
      <c r="G55" s="125">
        <v>4.8764500000000001E-3</v>
      </c>
      <c r="H55" s="120" t="s">
        <v>151</v>
      </c>
      <c r="J55" s="27"/>
    </row>
    <row r="56" spans="1:10" ht="25.5" x14ac:dyDescent="0.2">
      <c r="A56" s="121">
        <v>50</v>
      </c>
      <c r="B56" s="122" t="s">
        <v>369</v>
      </c>
      <c r="C56" s="122" t="s">
        <v>370</v>
      </c>
      <c r="D56" s="122" t="s">
        <v>205</v>
      </c>
      <c r="E56" s="123">
        <v>25000</v>
      </c>
      <c r="F56" s="124">
        <v>1687.9</v>
      </c>
      <c r="G56" s="125">
        <v>4.5581099999999998E-3</v>
      </c>
      <c r="H56" s="120" t="s">
        <v>151</v>
      </c>
      <c r="J56" s="27"/>
    </row>
    <row r="57" spans="1:10" x14ac:dyDescent="0.2">
      <c r="A57" s="121">
        <v>51</v>
      </c>
      <c r="B57" s="122" t="s">
        <v>767</v>
      </c>
      <c r="C57" s="122" t="s">
        <v>768</v>
      </c>
      <c r="D57" s="122" t="s">
        <v>211</v>
      </c>
      <c r="E57" s="123">
        <v>19000</v>
      </c>
      <c r="F57" s="124">
        <v>1367.8385000000001</v>
      </c>
      <c r="G57" s="125">
        <v>3.6937900000000002E-3</v>
      </c>
      <c r="H57" s="120" t="s">
        <v>151</v>
      </c>
      <c r="J57" s="27"/>
    </row>
    <row r="58" spans="1:10" x14ac:dyDescent="0.2">
      <c r="A58" s="121">
        <v>52</v>
      </c>
      <c r="B58" s="122" t="s">
        <v>384</v>
      </c>
      <c r="C58" s="122" t="s">
        <v>385</v>
      </c>
      <c r="D58" s="122" t="s">
        <v>134</v>
      </c>
      <c r="E58" s="123">
        <v>800000</v>
      </c>
      <c r="F58" s="124">
        <v>1348.4</v>
      </c>
      <c r="G58" s="125">
        <v>3.6413000000000001E-3</v>
      </c>
      <c r="H58" s="120" t="s">
        <v>151</v>
      </c>
      <c r="J58" s="27"/>
    </row>
    <row r="59" spans="1:10" x14ac:dyDescent="0.2">
      <c r="A59" s="121">
        <v>53</v>
      </c>
      <c r="B59" s="122" t="s">
        <v>130</v>
      </c>
      <c r="C59" s="122" t="s">
        <v>131</v>
      </c>
      <c r="D59" s="122" t="s">
        <v>55</v>
      </c>
      <c r="E59" s="123">
        <v>13000</v>
      </c>
      <c r="F59" s="124">
        <v>1047.1500000000001</v>
      </c>
      <c r="G59" s="125">
        <v>2.8277900000000002E-3</v>
      </c>
      <c r="H59" s="120" t="s">
        <v>151</v>
      </c>
      <c r="J59" s="27"/>
    </row>
    <row r="60" spans="1:10" x14ac:dyDescent="0.2">
      <c r="A60" s="121">
        <v>54</v>
      </c>
      <c r="B60" s="122" t="s">
        <v>710</v>
      </c>
      <c r="C60" s="122" t="s">
        <v>711</v>
      </c>
      <c r="D60" s="122" t="s">
        <v>295</v>
      </c>
      <c r="E60" s="123">
        <v>110000</v>
      </c>
      <c r="F60" s="124">
        <v>789.8</v>
      </c>
      <c r="G60" s="125">
        <v>2.1328200000000001E-3</v>
      </c>
      <c r="H60" s="120" t="s">
        <v>151</v>
      </c>
      <c r="J60" s="27"/>
    </row>
    <row r="61" spans="1:10" x14ac:dyDescent="0.2">
      <c r="A61" s="121">
        <v>55</v>
      </c>
      <c r="B61" s="122" t="s">
        <v>382</v>
      </c>
      <c r="C61" s="122" t="s">
        <v>383</v>
      </c>
      <c r="D61" s="122" t="s">
        <v>38</v>
      </c>
      <c r="E61" s="123">
        <v>16000</v>
      </c>
      <c r="F61" s="124">
        <v>707.30399999999997</v>
      </c>
      <c r="G61" s="125">
        <v>1.9100499999999999E-3</v>
      </c>
      <c r="H61" s="120" t="s">
        <v>151</v>
      </c>
      <c r="J61" s="27"/>
    </row>
    <row r="62" spans="1:10" ht="25.5" x14ac:dyDescent="0.2">
      <c r="A62" s="121">
        <v>56</v>
      </c>
      <c r="B62" s="122" t="s">
        <v>712</v>
      </c>
      <c r="C62" s="122" t="s">
        <v>713</v>
      </c>
      <c r="D62" s="122" t="s">
        <v>25</v>
      </c>
      <c r="E62" s="123">
        <v>31690</v>
      </c>
      <c r="F62" s="124">
        <v>612.63108</v>
      </c>
      <c r="G62" s="125">
        <v>1.6543899999999999E-3</v>
      </c>
      <c r="H62" s="120" t="s">
        <v>151</v>
      </c>
      <c r="J62" s="27"/>
    </row>
    <row r="63" spans="1:10" x14ac:dyDescent="0.2">
      <c r="A63" s="118"/>
      <c r="B63" s="118"/>
      <c r="C63" s="119" t="s">
        <v>150</v>
      </c>
      <c r="D63" s="118"/>
      <c r="E63" s="118" t="s">
        <v>151</v>
      </c>
      <c r="F63" s="126">
        <v>362956.37752149999</v>
      </c>
      <c r="G63" s="127">
        <v>0.98014897999999995</v>
      </c>
      <c r="H63" s="120" t="s">
        <v>151</v>
      </c>
      <c r="J63" s="27"/>
    </row>
    <row r="64" spans="1:10" x14ac:dyDescent="0.2">
      <c r="A64" s="118"/>
      <c r="B64" s="118"/>
      <c r="C64" s="128"/>
      <c r="D64" s="118"/>
      <c r="E64" s="118"/>
      <c r="F64" s="129"/>
      <c r="G64" s="129"/>
      <c r="H64" s="120" t="s">
        <v>151</v>
      </c>
      <c r="J64" s="27"/>
    </row>
    <row r="65" spans="1:10" x14ac:dyDescent="0.2">
      <c r="A65" s="118"/>
      <c r="B65" s="118"/>
      <c r="C65" s="119" t="s">
        <v>152</v>
      </c>
      <c r="D65" s="118"/>
      <c r="E65" s="118"/>
      <c r="F65" s="118"/>
      <c r="G65" s="118"/>
      <c r="H65" s="120" t="s">
        <v>151</v>
      </c>
      <c r="J65" s="27"/>
    </row>
    <row r="66" spans="1:10" x14ac:dyDescent="0.2">
      <c r="A66" s="118"/>
      <c r="B66" s="118"/>
      <c r="C66" s="119" t="s">
        <v>150</v>
      </c>
      <c r="D66" s="118"/>
      <c r="E66" s="118" t="s">
        <v>151</v>
      </c>
      <c r="F66" s="130" t="s">
        <v>153</v>
      </c>
      <c r="G66" s="127">
        <v>0</v>
      </c>
      <c r="H66" s="120" t="s">
        <v>151</v>
      </c>
      <c r="J66" s="27"/>
    </row>
    <row r="67" spans="1:10" x14ac:dyDescent="0.2">
      <c r="A67" s="118"/>
      <c r="B67" s="118"/>
      <c r="C67" s="128"/>
      <c r="D67" s="118"/>
      <c r="E67" s="118"/>
      <c r="F67" s="129"/>
      <c r="G67" s="129"/>
      <c r="H67" s="120" t="s">
        <v>151</v>
      </c>
      <c r="J67" s="27"/>
    </row>
    <row r="68" spans="1:10" x14ac:dyDescent="0.2">
      <c r="A68" s="118"/>
      <c r="B68" s="118"/>
      <c r="C68" s="119" t="s">
        <v>154</v>
      </c>
      <c r="D68" s="118"/>
      <c r="E68" s="118"/>
      <c r="F68" s="118"/>
      <c r="G68" s="118"/>
      <c r="H68" s="120" t="s">
        <v>151</v>
      </c>
      <c r="J68" s="27"/>
    </row>
    <row r="69" spans="1:10" x14ac:dyDescent="0.2">
      <c r="A69" s="118"/>
      <c r="B69" s="118"/>
      <c r="C69" s="119" t="s">
        <v>150</v>
      </c>
      <c r="D69" s="118"/>
      <c r="E69" s="118" t="s">
        <v>151</v>
      </c>
      <c r="F69" s="130" t="s">
        <v>153</v>
      </c>
      <c r="G69" s="127">
        <v>0</v>
      </c>
      <c r="H69" s="120" t="s">
        <v>151</v>
      </c>
      <c r="J69" s="27"/>
    </row>
    <row r="70" spans="1:10" x14ac:dyDescent="0.2">
      <c r="A70" s="118"/>
      <c r="B70" s="118"/>
      <c r="C70" s="128"/>
      <c r="D70" s="118"/>
      <c r="E70" s="118"/>
      <c r="F70" s="129"/>
      <c r="G70" s="129"/>
      <c r="H70" s="120" t="s">
        <v>151</v>
      </c>
      <c r="J70" s="27"/>
    </row>
    <row r="71" spans="1:10" x14ac:dyDescent="0.2">
      <c r="A71" s="118"/>
      <c r="B71" s="118"/>
      <c r="C71" s="119" t="s">
        <v>155</v>
      </c>
      <c r="D71" s="118"/>
      <c r="E71" s="118"/>
      <c r="F71" s="118"/>
      <c r="G71" s="118"/>
      <c r="H71" s="120" t="s">
        <v>151</v>
      </c>
      <c r="J71" s="27"/>
    </row>
    <row r="72" spans="1:10" x14ac:dyDescent="0.2">
      <c r="A72" s="118"/>
      <c r="B72" s="118"/>
      <c r="C72" s="119" t="s">
        <v>150</v>
      </c>
      <c r="D72" s="118"/>
      <c r="E72" s="118" t="s">
        <v>151</v>
      </c>
      <c r="F72" s="130" t="s">
        <v>153</v>
      </c>
      <c r="G72" s="127">
        <v>0</v>
      </c>
      <c r="H72" s="120" t="s">
        <v>151</v>
      </c>
      <c r="J72" s="27"/>
    </row>
    <row r="73" spans="1:10" x14ac:dyDescent="0.2">
      <c r="A73" s="118"/>
      <c r="B73" s="118"/>
      <c r="C73" s="128"/>
      <c r="D73" s="118"/>
      <c r="E73" s="118"/>
      <c r="F73" s="129"/>
      <c r="G73" s="129"/>
      <c r="H73" s="120" t="s">
        <v>151</v>
      </c>
      <c r="J73" s="27"/>
    </row>
    <row r="74" spans="1:10" x14ac:dyDescent="0.2">
      <c r="A74" s="118"/>
      <c r="B74" s="118"/>
      <c r="C74" s="119" t="s">
        <v>156</v>
      </c>
      <c r="D74" s="118"/>
      <c r="E74" s="118"/>
      <c r="F74" s="129"/>
      <c r="G74" s="129"/>
      <c r="H74" s="120" t="s">
        <v>151</v>
      </c>
      <c r="J74" s="27"/>
    </row>
    <row r="75" spans="1:10" x14ac:dyDescent="0.2">
      <c r="A75" s="118"/>
      <c r="B75" s="118"/>
      <c r="C75" s="119" t="s">
        <v>150</v>
      </c>
      <c r="D75" s="118"/>
      <c r="E75" s="118" t="s">
        <v>151</v>
      </c>
      <c r="F75" s="130" t="s">
        <v>153</v>
      </c>
      <c r="G75" s="127">
        <v>0</v>
      </c>
      <c r="H75" s="120" t="s">
        <v>151</v>
      </c>
      <c r="J75" s="27"/>
    </row>
    <row r="76" spans="1:10" x14ac:dyDescent="0.2">
      <c r="A76" s="118"/>
      <c r="B76" s="118"/>
      <c r="C76" s="128"/>
      <c r="D76" s="118"/>
      <c r="E76" s="118"/>
      <c r="F76" s="129"/>
      <c r="G76" s="129"/>
      <c r="H76" s="120" t="s">
        <v>151</v>
      </c>
      <c r="J76" s="27"/>
    </row>
    <row r="77" spans="1:10" x14ac:dyDescent="0.2">
      <c r="A77" s="118"/>
      <c r="B77" s="118"/>
      <c r="C77" s="119" t="s">
        <v>157</v>
      </c>
      <c r="D77" s="118"/>
      <c r="E77" s="118"/>
      <c r="F77" s="129"/>
      <c r="G77" s="129"/>
      <c r="H77" s="120" t="s">
        <v>151</v>
      </c>
      <c r="J77" s="27"/>
    </row>
    <row r="78" spans="1:10" x14ac:dyDescent="0.2">
      <c r="A78" s="118"/>
      <c r="B78" s="118"/>
      <c r="C78" s="119" t="s">
        <v>150</v>
      </c>
      <c r="D78" s="118"/>
      <c r="E78" s="118" t="s">
        <v>151</v>
      </c>
      <c r="F78" s="130" t="s">
        <v>153</v>
      </c>
      <c r="G78" s="127">
        <v>0</v>
      </c>
      <c r="H78" s="120" t="s">
        <v>151</v>
      </c>
      <c r="J78" s="27"/>
    </row>
    <row r="79" spans="1:10" x14ac:dyDescent="0.2">
      <c r="A79" s="118"/>
      <c r="B79" s="118"/>
      <c r="C79" s="128"/>
      <c r="D79" s="118"/>
      <c r="E79" s="118"/>
      <c r="F79" s="129"/>
      <c r="G79" s="129"/>
      <c r="H79" s="120" t="s">
        <v>151</v>
      </c>
      <c r="J79" s="27"/>
    </row>
    <row r="80" spans="1:10" x14ac:dyDescent="0.2">
      <c r="A80" s="118"/>
      <c r="B80" s="118"/>
      <c r="C80" s="119" t="s">
        <v>158</v>
      </c>
      <c r="D80" s="118"/>
      <c r="E80" s="118"/>
      <c r="F80" s="126">
        <v>362956.37752149999</v>
      </c>
      <c r="G80" s="127">
        <v>0.98014897999999995</v>
      </c>
      <c r="H80" s="120" t="s">
        <v>151</v>
      </c>
      <c r="J80" s="27"/>
    </row>
    <row r="81" spans="1:10" x14ac:dyDescent="0.2">
      <c r="A81" s="118"/>
      <c r="B81" s="118"/>
      <c r="C81" s="128"/>
      <c r="D81" s="118"/>
      <c r="E81" s="118"/>
      <c r="F81" s="129"/>
      <c r="G81" s="129"/>
      <c r="H81" s="120" t="s">
        <v>151</v>
      </c>
      <c r="J81" s="27"/>
    </row>
    <row r="82" spans="1:10" x14ac:dyDescent="0.2">
      <c r="A82" s="118"/>
      <c r="B82" s="118"/>
      <c r="C82" s="119" t="s">
        <v>159</v>
      </c>
      <c r="D82" s="118"/>
      <c r="E82" s="118"/>
      <c r="F82" s="129"/>
      <c r="G82" s="129"/>
      <c r="H82" s="120" t="s">
        <v>151</v>
      </c>
      <c r="J82" s="27"/>
    </row>
    <row r="83" spans="1:10" ht="25.5" x14ac:dyDescent="0.2">
      <c r="A83" s="118"/>
      <c r="B83" s="118"/>
      <c r="C83" s="119" t="s">
        <v>10</v>
      </c>
      <c r="D83" s="118"/>
      <c r="E83" s="118"/>
      <c r="F83" s="129"/>
      <c r="G83" s="129"/>
      <c r="H83" s="120" t="s">
        <v>151</v>
      </c>
      <c r="J83" s="27"/>
    </row>
    <row r="84" spans="1:10" x14ac:dyDescent="0.2">
      <c r="A84" s="118"/>
      <c r="B84" s="118"/>
      <c r="C84" s="119" t="s">
        <v>150</v>
      </c>
      <c r="D84" s="118"/>
      <c r="E84" s="118" t="s">
        <v>151</v>
      </c>
      <c r="F84" s="130" t="s">
        <v>153</v>
      </c>
      <c r="G84" s="127">
        <v>0</v>
      </c>
      <c r="H84" s="120" t="s">
        <v>151</v>
      </c>
      <c r="J84" s="27"/>
    </row>
    <row r="85" spans="1:10" x14ac:dyDescent="0.2">
      <c r="A85" s="118"/>
      <c r="B85" s="118"/>
      <c r="C85" s="128"/>
      <c r="D85" s="118"/>
      <c r="E85" s="118"/>
      <c r="F85" s="129"/>
      <c r="G85" s="129"/>
      <c r="H85" s="120" t="s">
        <v>151</v>
      </c>
      <c r="J85" s="27"/>
    </row>
    <row r="86" spans="1:10" x14ac:dyDescent="0.2">
      <c r="A86" s="118"/>
      <c r="B86" s="118"/>
      <c r="C86" s="119" t="s">
        <v>160</v>
      </c>
      <c r="D86" s="118"/>
      <c r="E86" s="118"/>
      <c r="F86" s="118"/>
      <c r="G86" s="118"/>
      <c r="H86" s="120" t="s">
        <v>151</v>
      </c>
      <c r="J86" s="27"/>
    </row>
    <row r="87" spans="1:10" x14ac:dyDescent="0.2">
      <c r="A87" s="118"/>
      <c r="B87" s="118"/>
      <c r="C87" s="119" t="s">
        <v>150</v>
      </c>
      <c r="D87" s="118"/>
      <c r="E87" s="118" t="s">
        <v>151</v>
      </c>
      <c r="F87" s="130" t="s">
        <v>153</v>
      </c>
      <c r="G87" s="127">
        <v>0</v>
      </c>
      <c r="H87" s="120" t="s">
        <v>151</v>
      </c>
      <c r="J87" s="27"/>
    </row>
    <row r="88" spans="1:10" x14ac:dyDescent="0.2">
      <c r="A88" s="118"/>
      <c r="B88" s="118"/>
      <c r="C88" s="128"/>
      <c r="D88" s="118"/>
      <c r="E88" s="118"/>
      <c r="F88" s="129"/>
      <c r="G88" s="129"/>
      <c r="H88" s="120" t="s">
        <v>151</v>
      </c>
      <c r="J88" s="27"/>
    </row>
    <row r="89" spans="1:10" x14ac:dyDescent="0.2">
      <c r="A89" s="118"/>
      <c r="B89" s="118"/>
      <c r="C89" s="119" t="s">
        <v>161</v>
      </c>
      <c r="D89" s="118"/>
      <c r="E89" s="118"/>
      <c r="F89" s="118"/>
      <c r="G89" s="118"/>
      <c r="H89" s="120" t="s">
        <v>151</v>
      </c>
      <c r="J89" s="27"/>
    </row>
    <row r="90" spans="1:10" x14ac:dyDescent="0.2">
      <c r="A90" s="118"/>
      <c r="B90" s="118"/>
      <c r="C90" s="119" t="s">
        <v>150</v>
      </c>
      <c r="D90" s="118"/>
      <c r="E90" s="118" t="s">
        <v>151</v>
      </c>
      <c r="F90" s="130" t="s">
        <v>153</v>
      </c>
      <c r="G90" s="127">
        <v>0</v>
      </c>
      <c r="H90" s="120" t="s">
        <v>151</v>
      </c>
      <c r="J90" s="27"/>
    </row>
    <row r="91" spans="1:10" x14ac:dyDescent="0.2">
      <c r="A91" s="118"/>
      <c r="B91" s="118"/>
      <c r="C91" s="128"/>
      <c r="D91" s="118"/>
      <c r="E91" s="118"/>
      <c r="F91" s="129"/>
      <c r="G91" s="129"/>
      <c r="H91" s="120" t="s">
        <v>151</v>
      </c>
      <c r="J91" s="27"/>
    </row>
    <row r="92" spans="1:10" x14ac:dyDescent="0.2">
      <c r="A92" s="118"/>
      <c r="B92" s="118"/>
      <c r="C92" s="119" t="s">
        <v>162</v>
      </c>
      <c r="D92" s="118"/>
      <c r="E92" s="118"/>
      <c r="F92" s="129"/>
      <c r="G92" s="129"/>
      <c r="H92" s="120" t="s">
        <v>151</v>
      </c>
      <c r="J92" s="27"/>
    </row>
    <row r="93" spans="1:10" x14ac:dyDescent="0.2">
      <c r="A93" s="118"/>
      <c r="B93" s="118"/>
      <c r="C93" s="119" t="s">
        <v>150</v>
      </c>
      <c r="D93" s="118"/>
      <c r="E93" s="118" t="s">
        <v>151</v>
      </c>
      <c r="F93" s="130" t="s">
        <v>153</v>
      </c>
      <c r="G93" s="127">
        <v>0</v>
      </c>
      <c r="H93" s="120" t="s">
        <v>151</v>
      </c>
      <c r="J93" s="27"/>
    </row>
    <row r="94" spans="1:10" x14ac:dyDescent="0.2">
      <c r="A94" s="118"/>
      <c r="B94" s="118"/>
      <c r="C94" s="128"/>
      <c r="D94" s="118"/>
      <c r="E94" s="118"/>
      <c r="F94" s="129"/>
      <c r="G94" s="129"/>
      <c r="H94" s="120" t="s">
        <v>151</v>
      </c>
      <c r="J94" s="27"/>
    </row>
    <row r="95" spans="1:10" x14ac:dyDescent="0.2">
      <c r="A95" s="118"/>
      <c r="B95" s="118"/>
      <c r="C95" s="119" t="s">
        <v>163</v>
      </c>
      <c r="D95" s="118"/>
      <c r="E95" s="118"/>
      <c r="F95" s="126">
        <v>0</v>
      </c>
      <c r="G95" s="127">
        <v>0</v>
      </c>
      <c r="H95" s="120" t="s">
        <v>151</v>
      </c>
      <c r="J95" s="27"/>
    </row>
    <row r="96" spans="1:10" x14ac:dyDescent="0.2">
      <c r="A96" s="118"/>
      <c r="B96" s="118"/>
      <c r="C96" s="128"/>
      <c r="D96" s="118"/>
      <c r="E96" s="118"/>
      <c r="F96" s="129"/>
      <c r="G96" s="129"/>
      <c r="H96" s="120" t="s">
        <v>151</v>
      </c>
      <c r="J96" s="27"/>
    </row>
    <row r="97" spans="1:10" x14ac:dyDescent="0.2">
      <c r="A97" s="118"/>
      <c r="B97" s="118"/>
      <c r="C97" s="119" t="s">
        <v>164</v>
      </c>
      <c r="D97" s="118"/>
      <c r="E97" s="118"/>
      <c r="F97" s="129"/>
      <c r="G97" s="129"/>
      <c r="H97" s="120" t="s">
        <v>151</v>
      </c>
      <c r="J97" s="27"/>
    </row>
    <row r="98" spans="1:10" x14ac:dyDescent="0.2">
      <c r="A98" s="118"/>
      <c r="B98" s="118"/>
      <c r="C98" s="119" t="s">
        <v>165</v>
      </c>
      <c r="D98" s="118"/>
      <c r="E98" s="118"/>
      <c r="F98" s="129"/>
      <c r="G98" s="129"/>
      <c r="H98" s="120" t="s">
        <v>151</v>
      </c>
      <c r="J98" s="27"/>
    </row>
    <row r="99" spans="1:10" x14ac:dyDescent="0.2">
      <c r="A99" s="118"/>
      <c r="B99" s="118"/>
      <c r="C99" s="119" t="s">
        <v>150</v>
      </c>
      <c r="D99" s="118"/>
      <c r="E99" s="118" t="s">
        <v>151</v>
      </c>
      <c r="F99" s="130" t="s">
        <v>153</v>
      </c>
      <c r="G99" s="127">
        <v>0</v>
      </c>
      <c r="H99" s="120" t="s">
        <v>151</v>
      </c>
      <c r="J99" s="27"/>
    </row>
    <row r="100" spans="1:10" x14ac:dyDescent="0.2">
      <c r="A100" s="118"/>
      <c r="B100" s="118"/>
      <c r="C100" s="128"/>
      <c r="D100" s="118"/>
      <c r="E100" s="118"/>
      <c r="F100" s="129"/>
      <c r="G100" s="129"/>
      <c r="H100" s="120" t="s">
        <v>151</v>
      </c>
      <c r="J100" s="27"/>
    </row>
    <row r="101" spans="1:10" x14ac:dyDescent="0.2">
      <c r="A101" s="118"/>
      <c r="B101" s="118"/>
      <c r="C101" s="119" t="s">
        <v>166</v>
      </c>
      <c r="D101" s="118"/>
      <c r="E101" s="118"/>
      <c r="F101" s="129"/>
      <c r="G101" s="129"/>
      <c r="H101" s="120" t="s">
        <v>151</v>
      </c>
      <c r="J101" s="27"/>
    </row>
    <row r="102" spans="1:10" x14ac:dyDescent="0.2">
      <c r="A102" s="118"/>
      <c r="B102" s="118"/>
      <c r="C102" s="119" t="s">
        <v>150</v>
      </c>
      <c r="D102" s="118"/>
      <c r="E102" s="118" t="s">
        <v>151</v>
      </c>
      <c r="F102" s="130" t="s">
        <v>153</v>
      </c>
      <c r="G102" s="127">
        <v>0</v>
      </c>
      <c r="H102" s="120" t="s">
        <v>151</v>
      </c>
      <c r="J102" s="27"/>
    </row>
    <row r="103" spans="1:10" x14ac:dyDescent="0.2">
      <c r="A103" s="118"/>
      <c r="B103" s="118"/>
      <c r="C103" s="128"/>
      <c r="D103" s="118"/>
      <c r="E103" s="118"/>
      <c r="F103" s="129"/>
      <c r="G103" s="129"/>
      <c r="H103" s="120" t="s">
        <v>151</v>
      </c>
      <c r="J103" s="27"/>
    </row>
    <row r="104" spans="1:10" x14ac:dyDescent="0.2">
      <c r="A104" s="118"/>
      <c r="B104" s="118"/>
      <c r="C104" s="119" t="s">
        <v>167</v>
      </c>
      <c r="D104" s="118"/>
      <c r="E104" s="118"/>
      <c r="F104" s="129"/>
      <c r="G104" s="129"/>
      <c r="H104" s="120" t="s">
        <v>151</v>
      </c>
      <c r="J104" s="27"/>
    </row>
    <row r="105" spans="1:10" x14ac:dyDescent="0.2">
      <c r="A105" s="118"/>
      <c r="B105" s="118"/>
      <c r="C105" s="119" t="s">
        <v>150</v>
      </c>
      <c r="D105" s="118"/>
      <c r="E105" s="118" t="s">
        <v>151</v>
      </c>
      <c r="F105" s="130" t="s">
        <v>153</v>
      </c>
      <c r="G105" s="127">
        <v>0</v>
      </c>
      <c r="H105" s="120" t="s">
        <v>151</v>
      </c>
      <c r="J105" s="27"/>
    </row>
    <row r="106" spans="1:10" x14ac:dyDescent="0.2">
      <c r="A106" s="118"/>
      <c r="B106" s="118"/>
      <c r="C106" s="128"/>
      <c r="D106" s="118"/>
      <c r="E106" s="118"/>
      <c r="F106" s="129"/>
      <c r="G106" s="129"/>
      <c r="H106" s="120" t="s">
        <v>151</v>
      </c>
      <c r="J106" s="27"/>
    </row>
    <row r="107" spans="1:10" x14ac:dyDescent="0.2">
      <c r="A107" s="118"/>
      <c r="B107" s="118"/>
      <c r="C107" s="119" t="s">
        <v>168</v>
      </c>
      <c r="D107" s="118"/>
      <c r="E107" s="118"/>
      <c r="F107" s="129"/>
      <c r="G107" s="129"/>
      <c r="H107" s="120" t="s">
        <v>151</v>
      </c>
      <c r="J107" s="27"/>
    </row>
    <row r="108" spans="1:10" x14ac:dyDescent="0.2">
      <c r="A108" s="121">
        <v>1</v>
      </c>
      <c r="B108" s="122"/>
      <c r="C108" s="122" t="s">
        <v>169</v>
      </c>
      <c r="D108" s="122"/>
      <c r="E108" s="131"/>
      <c r="F108" s="124">
        <v>8097.3870639670004</v>
      </c>
      <c r="G108" s="125">
        <v>2.186666E-2</v>
      </c>
      <c r="H108" s="120">
        <v>6.61</v>
      </c>
      <c r="J108" s="27"/>
    </row>
    <row r="109" spans="1:10" x14ac:dyDescent="0.2">
      <c r="A109" s="118"/>
      <c r="B109" s="118"/>
      <c r="C109" s="119" t="s">
        <v>150</v>
      </c>
      <c r="D109" s="118"/>
      <c r="E109" s="118" t="s">
        <v>151</v>
      </c>
      <c r="F109" s="126">
        <v>8097.3870639670004</v>
      </c>
      <c r="G109" s="127">
        <v>2.186666E-2</v>
      </c>
      <c r="H109" s="120" t="s">
        <v>151</v>
      </c>
      <c r="J109" s="27"/>
    </row>
    <row r="110" spans="1:10" x14ac:dyDescent="0.2">
      <c r="A110" s="118"/>
      <c r="B110" s="118"/>
      <c r="C110" s="128"/>
      <c r="D110" s="118"/>
      <c r="E110" s="118"/>
      <c r="F110" s="129"/>
      <c r="G110" s="129"/>
      <c r="H110" s="120" t="s">
        <v>151</v>
      </c>
      <c r="J110" s="27"/>
    </row>
    <row r="111" spans="1:10" x14ac:dyDescent="0.2">
      <c r="A111" s="118"/>
      <c r="B111" s="118"/>
      <c r="C111" s="119" t="s">
        <v>170</v>
      </c>
      <c r="D111" s="118"/>
      <c r="E111" s="118"/>
      <c r="F111" s="126">
        <v>8097.3870639670004</v>
      </c>
      <c r="G111" s="127">
        <v>2.186666E-2</v>
      </c>
      <c r="H111" s="120" t="s">
        <v>151</v>
      </c>
      <c r="J111" s="27"/>
    </row>
    <row r="112" spans="1:10" x14ac:dyDescent="0.2">
      <c r="A112" s="118"/>
      <c r="B112" s="118"/>
      <c r="C112" s="129"/>
      <c r="D112" s="118"/>
      <c r="E112" s="118"/>
      <c r="F112" s="118"/>
      <c r="G112" s="118"/>
      <c r="H112" s="120" t="s">
        <v>151</v>
      </c>
      <c r="J112" s="27"/>
    </row>
    <row r="113" spans="1:10" x14ac:dyDescent="0.2">
      <c r="A113" s="118"/>
      <c r="B113" s="118"/>
      <c r="C113" s="119" t="s">
        <v>171</v>
      </c>
      <c r="D113" s="118"/>
      <c r="E113" s="118"/>
      <c r="F113" s="118"/>
      <c r="G113" s="118"/>
      <c r="H113" s="120" t="s">
        <v>151</v>
      </c>
      <c r="J113" s="27"/>
    </row>
    <row r="114" spans="1:10" x14ac:dyDescent="0.2">
      <c r="A114" s="118"/>
      <c r="B114" s="118"/>
      <c r="C114" s="119" t="s">
        <v>172</v>
      </c>
      <c r="D114" s="118"/>
      <c r="E114" s="118"/>
      <c r="F114" s="118"/>
      <c r="G114" s="118"/>
      <c r="H114" s="120" t="s">
        <v>151</v>
      </c>
      <c r="J114" s="27"/>
    </row>
    <row r="115" spans="1:10" x14ac:dyDescent="0.2">
      <c r="A115" s="118"/>
      <c r="B115" s="118"/>
      <c r="C115" s="119" t="s">
        <v>150</v>
      </c>
      <c r="D115" s="118"/>
      <c r="E115" s="118" t="s">
        <v>151</v>
      </c>
      <c r="F115" s="130" t="s">
        <v>153</v>
      </c>
      <c r="G115" s="127">
        <v>0</v>
      </c>
      <c r="H115" s="120" t="s">
        <v>151</v>
      </c>
      <c r="J115" s="27"/>
    </row>
    <row r="116" spans="1:10" x14ac:dyDescent="0.2">
      <c r="A116" s="118"/>
      <c r="B116" s="118"/>
      <c r="C116" s="128"/>
      <c r="D116" s="118"/>
      <c r="E116" s="118"/>
      <c r="F116" s="129"/>
      <c r="G116" s="129"/>
      <c r="H116" s="120" t="s">
        <v>151</v>
      </c>
      <c r="J116" s="27"/>
    </row>
    <row r="117" spans="1:10" x14ac:dyDescent="0.2">
      <c r="A117" s="118"/>
      <c r="B117" s="118"/>
      <c r="C117" s="119" t="s">
        <v>175</v>
      </c>
      <c r="D117" s="118"/>
      <c r="E117" s="118"/>
      <c r="F117" s="118"/>
      <c r="G117" s="118"/>
      <c r="H117" s="120" t="s">
        <v>151</v>
      </c>
      <c r="J117" s="27"/>
    </row>
    <row r="118" spans="1:10" x14ac:dyDescent="0.2">
      <c r="A118" s="118"/>
      <c r="B118" s="118"/>
      <c r="C118" s="119" t="s">
        <v>176</v>
      </c>
      <c r="D118" s="118"/>
      <c r="E118" s="118"/>
      <c r="F118" s="118"/>
      <c r="G118" s="118"/>
      <c r="H118" s="120" t="s">
        <v>151</v>
      </c>
      <c r="J118" s="27"/>
    </row>
    <row r="119" spans="1:10" x14ac:dyDescent="0.2">
      <c r="A119" s="118"/>
      <c r="B119" s="118"/>
      <c r="C119" s="119" t="s">
        <v>150</v>
      </c>
      <c r="D119" s="118"/>
      <c r="E119" s="118" t="s">
        <v>151</v>
      </c>
      <c r="F119" s="130" t="s">
        <v>153</v>
      </c>
      <c r="G119" s="127">
        <v>0</v>
      </c>
      <c r="H119" s="120" t="s">
        <v>151</v>
      </c>
      <c r="J119" s="27"/>
    </row>
    <row r="120" spans="1:10" x14ac:dyDescent="0.2">
      <c r="A120" s="118"/>
      <c r="B120" s="118"/>
      <c r="C120" s="128"/>
      <c r="D120" s="118"/>
      <c r="E120" s="118"/>
      <c r="F120" s="129"/>
      <c r="G120" s="129"/>
      <c r="H120" s="120" t="s">
        <v>151</v>
      </c>
      <c r="J120" s="27"/>
    </row>
    <row r="121" spans="1:10" ht="25.5" x14ac:dyDescent="0.2">
      <c r="A121" s="118"/>
      <c r="B121" s="118"/>
      <c r="C121" s="119" t="s">
        <v>177</v>
      </c>
      <c r="D121" s="118"/>
      <c r="E121" s="118"/>
      <c r="F121" s="129"/>
      <c r="G121" s="129"/>
      <c r="H121" s="120" t="s">
        <v>151</v>
      </c>
      <c r="J121" s="27"/>
    </row>
    <row r="122" spans="1:10" x14ac:dyDescent="0.2">
      <c r="A122" s="118"/>
      <c r="B122" s="118"/>
      <c r="C122" s="119" t="s">
        <v>150</v>
      </c>
      <c r="D122" s="118"/>
      <c r="E122" s="118" t="s">
        <v>151</v>
      </c>
      <c r="F122" s="130" t="s">
        <v>153</v>
      </c>
      <c r="G122" s="127">
        <v>0</v>
      </c>
      <c r="H122" s="120" t="s">
        <v>151</v>
      </c>
      <c r="J122" s="27"/>
    </row>
    <row r="123" spans="1:10" x14ac:dyDescent="0.2">
      <c r="A123" s="118"/>
      <c r="B123" s="122"/>
      <c r="C123" s="122"/>
      <c r="D123" s="119"/>
      <c r="E123" s="118"/>
      <c r="F123" s="122"/>
      <c r="G123" s="131"/>
      <c r="H123" s="120" t="s">
        <v>151</v>
      </c>
      <c r="J123" s="27"/>
    </row>
    <row r="124" spans="1:10" x14ac:dyDescent="0.2">
      <c r="A124" s="131"/>
      <c r="B124" s="122"/>
      <c r="C124" s="200" t="s">
        <v>178</v>
      </c>
      <c r="D124" s="122"/>
      <c r="E124" s="131"/>
      <c r="F124" s="124">
        <v>-746.39067308999995</v>
      </c>
      <c r="G124" s="125">
        <v>-2.0156000000000002E-3</v>
      </c>
      <c r="H124" s="120" t="s">
        <v>151</v>
      </c>
      <c r="J124" s="27"/>
    </row>
    <row r="125" spans="1:10" x14ac:dyDescent="0.2">
      <c r="A125" s="128"/>
      <c r="B125" s="128"/>
      <c r="C125" s="119" t="s">
        <v>179</v>
      </c>
      <c r="D125" s="129"/>
      <c r="E125" s="129"/>
      <c r="F125" s="126">
        <v>370307.37391237699</v>
      </c>
      <c r="G125" s="133">
        <v>1.00000004</v>
      </c>
      <c r="H125" s="120" t="s">
        <v>151</v>
      </c>
      <c r="J125" s="8"/>
    </row>
    <row r="126" spans="1:10" x14ac:dyDescent="0.2">
      <c r="A126" s="134"/>
      <c r="B126" s="134"/>
      <c r="C126" s="134"/>
      <c r="D126" s="135"/>
      <c r="E126" s="135"/>
      <c r="F126" s="135"/>
      <c r="G126" s="135"/>
      <c r="J126" s="8"/>
    </row>
    <row r="127" spans="1:10" x14ac:dyDescent="0.2">
      <c r="A127" s="136"/>
      <c r="B127" s="137" t="s">
        <v>888</v>
      </c>
      <c r="C127" s="137"/>
      <c r="D127" s="137"/>
      <c r="E127" s="137"/>
      <c r="F127" s="137"/>
      <c r="G127" s="137"/>
      <c r="H127" s="137"/>
      <c r="J127" s="8"/>
    </row>
    <row r="128" spans="1:10" x14ac:dyDescent="0.2">
      <c r="A128" s="136"/>
      <c r="B128" s="137" t="s">
        <v>889</v>
      </c>
      <c r="C128" s="137"/>
      <c r="D128" s="137"/>
      <c r="E128" s="137"/>
      <c r="F128" s="137"/>
      <c r="G128" s="137"/>
      <c r="H128" s="137"/>
      <c r="J128" s="8"/>
    </row>
    <row r="129" spans="1:17" x14ac:dyDescent="0.2">
      <c r="A129" s="136"/>
      <c r="B129" s="137" t="s">
        <v>890</v>
      </c>
      <c r="C129" s="137"/>
      <c r="D129" s="137"/>
      <c r="E129" s="137"/>
      <c r="F129" s="137"/>
      <c r="G129" s="137"/>
      <c r="H129" s="137"/>
      <c r="J129" s="8"/>
    </row>
    <row r="130" spans="1:17" s="13" customFormat="1" ht="15" x14ac:dyDescent="0.25">
      <c r="A130" s="138"/>
      <c r="B130" s="139" t="s">
        <v>891</v>
      </c>
      <c r="C130" s="139"/>
      <c r="D130" s="139"/>
      <c r="E130" s="139"/>
      <c r="F130" s="139"/>
      <c r="G130" s="139"/>
      <c r="H130" s="139"/>
      <c r="I130" s="114"/>
      <c r="J130" s="8"/>
      <c r="K130"/>
      <c r="L130"/>
      <c r="M130"/>
      <c r="N130"/>
      <c r="O130"/>
      <c r="P130"/>
      <c r="Q130"/>
    </row>
    <row r="131" spans="1:17" x14ac:dyDescent="0.2">
      <c r="A131" s="136"/>
      <c r="B131" s="137" t="s">
        <v>892</v>
      </c>
      <c r="C131" s="137"/>
      <c r="D131" s="137"/>
      <c r="E131" s="137"/>
      <c r="F131" s="137"/>
      <c r="G131" s="137"/>
      <c r="H131" s="137"/>
      <c r="J131" s="27"/>
    </row>
    <row r="132" spans="1:17" x14ac:dyDescent="0.2">
      <c r="A132" s="140"/>
      <c r="B132" s="140"/>
      <c r="C132" s="140"/>
      <c r="D132" s="141"/>
      <c r="E132" s="141"/>
      <c r="F132" s="141"/>
      <c r="G132" s="141"/>
      <c r="J132" s="8"/>
    </row>
    <row r="133" spans="1:17" x14ac:dyDescent="0.2">
      <c r="A133" s="140"/>
      <c r="B133" s="142" t="s">
        <v>180</v>
      </c>
      <c r="C133" s="143"/>
      <c r="D133" s="144"/>
      <c r="E133" s="145"/>
      <c r="F133" s="141"/>
      <c r="G133" s="141"/>
      <c r="J133" s="8"/>
    </row>
    <row r="134" spans="1:17" x14ac:dyDescent="0.2">
      <c r="A134" s="140"/>
      <c r="B134" s="146" t="s">
        <v>181</v>
      </c>
      <c r="C134" s="147"/>
      <c r="D134" s="119" t="s">
        <v>182</v>
      </c>
      <c r="E134" s="145"/>
      <c r="F134" s="141"/>
      <c r="G134" s="141"/>
      <c r="J134" s="27"/>
    </row>
    <row r="135" spans="1:17" x14ac:dyDescent="0.2">
      <c r="A135" s="140"/>
      <c r="B135" s="146" t="s">
        <v>183</v>
      </c>
      <c r="C135" s="147"/>
      <c r="D135" s="119" t="s">
        <v>182</v>
      </c>
      <c r="E135" s="145"/>
      <c r="F135" s="141"/>
      <c r="G135" s="141"/>
      <c r="J135" s="27"/>
    </row>
    <row r="136" spans="1:17" x14ac:dyDescent="0.2">
      <c r="A136" s="140"/>
      <c r="B136" s="146" t="s">
        <v>184</v>
      </c>
      <c r="C136" s="147"/>
      <c r="D136" s="129" t="s">
        <v>151</v>
      </c>
      <c r="E136" s="145"/>
      <c r="F136" s="141"/>
      <c r="G136" s="141"/>
      <c r="J136" s="27"/>
    </row>
    <row r="137" spans="1:17" x14ac:dyDescent="0.2">
      <c r="A137" s="151"/>
      <c r="B137" s="152" t="s">
        <v>151</v>
      </c>
      <c r="C137" s="152" t="s">
        <v>894</v>
      </c>
      <c r="D137" s="152" t="s">
        <v>185</v>
      </c>
      <c r="E137" s="151"/>
      <c r="F137" s="151"/>
      <c r="G137" s="151"/>
      <c r="H137" s="151"/>
      <c r="J137" s="27"/>
    </row>
    <row r="138" spans="1:17" x14ac:dyDescent="0.2">
      <c r="A138" s="153"/>
      <c r="B138" s="154" t="s">
        <v>186</v>
      </c>
      <c r="C138" s="155">
        <v>45535</v>
      </c>
      <c r="D138" s="155">
        <v>45565</v>
      </c>
      <c r="E138" s="153"/>
      <c r="F138" s="153"/>
      <c r="G138" s="153"/>
      <c r="J138" s="27"/>
    </row>
    <row r="139" spans="1:17" x14ac:dyDescent="0.2">
      <c r="A139" s="153"/>
      <c r="B139" s="122" t="s">
        <v>187</v>
      </c>
      <c r="C139" s="156">
        <v>23.244399999999999</v>
      </c>
      <c r="D139" s="156">
        <v>23.6508</v>
      </c>
      <c r="E139" s="153"/>
      <c r="F139" s="157"/>
      <c r="G139" s="158"/>
      <c r="J139" s="27"/>
    </row>
    <row r="140" spans="1:17" x14ac:dyDescent="0.2">
      <c r="A140" s="153"/>
      <c r="B140" s="122" t="s">
        <v>1038</v>
      </c>
      <c r="C140" s="156">
        <v>19.739799999999999</v>
      </c>
      <c r="D140" s="156">
        <v>19.7943</v>
      </c>
      <c r="E140" s="153"/>
      <c r="F140" s="157"/>
      <c r="G140" s="158"/>
      <c r="J140" s="27"/>
    </row>
    <row r="141" spans="1:17" x14ac:dyDescent="0.2">
      <c r="A141" s="153"/>
      <c r="B141" s="122" t="s">
        <v>188</v>
      </c>
      <c r="C141" s="156">
        <v>21.8949</v>
      </c>
      <c r="D141" s="156">
        <v>22.254200000000001</v>
      </c>
      <c r="E141" s="153"/>
      <c r="F141" s="157"/>
      <c r="G141" s="158"/>
      <c r="J141" s="8"/>
    </row>
    <row r="142" spans="1:17" x14ac:dyDescent="0.2">
      <c r="A142" s="153"/>
      <c r="B142" s="122" t="s">
        <v>1039</v>
      </c>
      <c r="C142" s="156">
        <v>18.5761</v>
      </c>
      <c r="D142" s="156">
        <v>18.607299999999999</v>
      </c>
      <c r="E142" s="153"/>
      <c r="F142" s="157"/>
      <c r="G142" s="158"/>
      <c r="J142" s="27"/>
    </row>
    <row r="143" spans="1:17" x14ac:dyDescent="0.2">
      <c r="A143" s="153"/>
      <c r="B143" s="153"/>
      <c r="C143" s="153"/>
      <c r="D143" s="153"/>
      <c r="E143" s="153"/>
      <c r="F143" s="153"/>
      <c r="G143" s="153"/>
      <c r="J143" s="27"/>
    </row>
    <row r="144" spans="1:17" x14ac:dyDescent="0.2">
      <c r="A144" s="153"/>
      <c r="B144" s="146" t="s">
        <v>895</v>
      </c>
      <c r="C144" s="147"/>
      <c r="D144" s="119" t="s">
        <v>151</v>
      </c>
      <c r="E144" s="153"/>
      <c r="F144" s="153"/>
      <c r="G144" s="153"/>
      <c r="J144" s="27"/>
    </row>
    <row r="145" spans="1:10" x14ac:dyDescent="0.2">
      <c r="A145" s="153"/>
      <c r="B145" s="210" t="s">
        <v>186</v>
      </c>
      <c r="C145" s="211" t="s">
        <v>647</v>
      </c>
      <c r="D145" s="211" t="s">
        <v>648</v>
      </c>
      <c r="E145" s="153"/>
      <c r="F145" s="153"/>
      <c r="G145" s="153"/>
      <c r="J145" s="27"/>
    </row>
    <row r="146" spans="1:10" x14ac:dyDescent="0.2">
      <c r="A146" s="153"/>
      <c r="B146" s="122" t="s">
        <v>1038</v>
      </c>
      <c r="C146" s="212">
        <v>0.29299999999999998</v>
      </c>
      <c r="D146" s="212">
        <v>0.29299999999999998</v>
      </c>
      <c r="E146" s="153"/>
      <c r="F146" s="157"/>
      <c r="G146" s="158"/>
      <c r="J146" s="27"/>
    </row>
    <row r="147" spans="1:10" x14ac:dyDescent="0.2">
      <c r="A147" s="153"/>
      <c r="B147" s="122" t="s">
        <v>1039</v>
      </c>
      <c r="C147" s="212">
        <v>0.27600000000000002</v>
      </c>
      <c r="D147" s="212">
        <v>0.27600000000000002</v>
      </c>
      <c r="E147" s="153"/>
      <c r="F147" s="157"/>
      <c r="G147" s="158"/>
      <c r="J147" s="27"/>
    </row>
    <row r="148" spans="1:10" x14ac:dyDescent="0.2">
      <c r="A148" s="153"/>
      <c r="B148" s="213"/>
      <c r="C148" s="213"/>
      <c r="D148" s="214"/>
      <c r="E148" s="153"/>
      <c r="F148" s="157"/>
      <c r="G148" s="158"/>
      <c r="J148" s="27"/>
    </row>
    <row r="149" spans="1:10" x14ac:dyDescent="0.2">
      <c r="A149" s="151"/>
      <c r="B149" s="197" t="s">
        <v>189</v>
      </c>
      <c r="C149" s="198"/>
      <c r="D149" s="196" t="s">
        <v>182</v>
      </c>
      <c r="E149" s="160"/>
      <c r="F149" s="151"/>
      <c r="G149" s="151"/>
      <c r="J149" s="27"/>
    </row>
    <row r="150" spans="1:10" x14ac:dyDescent="0.2">
      <c r="A150" s="151"/>
      <c r="B150" s="197" t="s">
        <v>190</v>
      </c>
      <c r="C150" s="198"/>
      <c r="D150" s="196" t="s">
        <v>182</v>
      </c>
      <c r="E150" s="160"/>
      <c r="F150" s="151"/>
      <c r="G150" s="151"/>
      <c r="J150" s="27"/>
    </row>
    <row r="151" spans="1:10" x14ac:dyDescent="0.2">
      <c r="A151" s="151"/>
      <c r="B151" s="197" t="s">
        <v>191</v>
      </c>
      <c r="C151" s="198"/>
      <c r="D151" s="196" t="s">
        <v>182</v>
      </c>
      <c r="E151" s="160"/>
      <c r="F151" s="151"/>
      <c r="G151" s="151"/>
      <c r="J151" s="27"/>
    </row>
    <row r="152" spans="1:10" x14ac:dyDescent="0.2">
      <c r="A152" s="151"/>
      <c r="B152" s="197" t="s">
        <v>192</v>
      </c>
      <c r="C152" s="198"/>
      <c r="D152" s="199">
        <v>0.13399298692144257</v>
      </c>
      <c r="E152" s="151"/>
      <c r="F152" s="159"/>
      <c r="G152" s="162"/>
      <c r="J152" s="27"/>
    </row>
    <row r="153" spans="1:10" x14ac:dyDescent="0.2">
      <c r="J153" s="27"/>
    </row>
  </sheetData>
  <mergeCells count="17">
    <mergeCell ref="B152:C152"/>
    <mergeCell ref="B149:C149"/>
    <mergeCell ref="B135:C135"/>
    <mergeCell ref="B136:C136"/>
    <mergeCell ref="B144:C144"/>
    <mergeCell ref="B150:C150"/>
    <mergeCell ref="B151:C151"/>
    <mergeCell ref="B134:C134"/>
    <mergeCell ref="A1:H1"/>
    <mergeCell ref="A2:H2"/>
    <mergeCell ref="A3:H3"/>
    <mergeCell ref="B133:D133"/>
    <mergeCell ref="B127:H127"/>
    <mergeCell ref="B128:H128"/>
    <mergeCell ref="B129:H129"/>
    <mergeCell ref="B130:H130"/>
    <mergeCell ref="B131:H131"/>
  </mergeCells>
  <hyperlinks>
    <hyperlink ref="I1" location="Index!B2" display="Index" xr:uid="{9D30C5E9-F8F1-446D-AF17-F461D9F70E3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34C8F-B4FD-4BA9-9ECE-316E3C2C7B05}">
  <sheetPr>
    <outlinePr summaryBelow="0" summaryRight="0"/>
  </sheetPr>
  <dimension ref="A1:Q142"/>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39.42578125" style="114" customWidth="1"/>
    <col min="4" max="4" width="17.7109375" style="114" bestFit="1" customWidth="1"/>
    <col min="5" max="5" width="11.42578125" style="114" bestFit="1" customWidth="1"/>
    <col min="6" max="6" width="10.140625" style="114" bestFit="1" customWidth="1"/>
    <col min="7" max="7" width="14" style="114" bestFit="1" customWidth="1"/>
    <col min="8" max="8" width="8.42578125" style="114" bestFit="1" customWidth="1"/>
    <col min="9" max="9" width="9.140625" style="114"/>
    <col min="10" max="10" width="50.7109375" customWidth="1"/>
  </cols>
  <sheetData>
    <row r="1" spans="1:10" ht="15" x14ac:dyDescent="0.2">
      <c r="A1" s="113" t="s">
        <v>0</v>
      </c>
      <c r="B1" s="113"/>
      <c r="C1" s="113"/>
      <c r="D1" s="113"/>
      <c r="E1" s="113"/>
      <c r="F1" s="113"/>
      <c r="G1" s="113"/>
      <c r="H1" s="113"/>
      <c r="I1" s="7" t="s">
        <v>884</v>
      </c>
      <c r="J1" s="27"/>
    </row>
    <row r="2" spans="1:10" ht="15" x14ac:dyDescent="0.2">
      <c r="A2" s="113" t="s">
        <v>813</v>
      </c>
      <c r="B2" s="113"/>
      <c r="C2" s="113"/>
      <c r="D2" s="113"/>
      <c r="E2" s="113"/>
      <c r="F2" s="113"/>
      <c r="G2" s="113"/>
      <c r="H2" s="113"/>
      <c r="J2" s="9" t="s">
        <v>885</v>
      </c>
    </row>
    <row r="3" spans="1:10" ht="15" x14ac:dyDescent="0.2">
      <c r="A3" s="113" t="s">
        <v>887</v>
      </c>
      <c r="B3" s="113"/>
      <c r="C3" s="113"/>
      <c r="D3" s="113"/>
      <c r="E3" s="113"/>
      <c r="F3" s="113"/>
      <c r="G3" s="113"/>
      <c r="H3" s="113"/>
      <c r="J3" s="27"/>
    </row>
    <row r="4" spans="1:10" s="10" customFormat="1" ht="30" x14ac:dyDescent="0.2">
      <c r="A4" s="115" t="s">
        <v>2</v>
      </c>
      <c r="B4" s="115" t="s">
        <v>3</v>
      </c>
      <c r="C4" s="115" t="s">
        <v>4</v>
      </c>
      <c r="D4" s="115" t="s">
        <v>5</v>
      </c>
      <c r="E4" s="115" t="s">
        <v>6</v>
      </c>
      <c r="F4" s="115" t="s">
        <v>7</v>
      </c>
      <c r="G4" s="115" t="s">
        <v>8</v>
      </c>
      <c r="H4" s="116" t="s">
        <v>886</v>
      </c>
      <c r="I4" s="117"/>
      <c r="J4" s="28"/>
    </row>
    <row r="5" spans="1:10" x14ac:dyDescent="0.2">
      <c r="A5" s="118"/>
      <c r="B5" s="118"/>
      <c r="C5" s="119" t="s">
        <v>9</v>
      </c>
      <c r="D5" s="118"/>
      <c r="E5" s="118"/>
      <c r="F5" s="118"/>
      <c r="G5" s="118"/>
      <c r="H5" s="120" t="s">
        <v>151</v>
      </c>
      <c r="J5" s="27"/>
    </row>
    <row r="6" spans="1:10" x14ac:dyDescent="0.2">
      <c r="A6" s="118"/>
      <c r="B6" s="118"/>
      <c r="C6" s="119" t="s">
        <v>10</v>
      </c>
      <c r="D6" s="118"/>
      <c r="E6" s="118"/>
      <c r="F6" s="118"/>
      <c r="G6" s="118"/>
      <c r="H6" s="120" t="s">
        <v>151</v>
      </c>
      <c r="J6" s="27"/>
    </row>
    <row r="7" spans="1:10" x14ac:dyDescent="0.2">
      <c r="A7" s="121">
        <v>1</v>
      </c>
      <c r="B7" s="122" t="s">
        <v>14</v>
      </c>
      <c r="C7" s="122" t="s">
        <v>15</v>
      </c>
      <c r="D7" s="122" t="s">
        <v>16</v>
      </c>
      <c r="E7" s="123">
        <v>470538</v>
      </c>
      <c r="F7" s="124">
        <v>8044.0823790000004</v>
      </c>
      <c r="G7" s="125">
        <v>5.3853060000000001E-2</v>
      </c>
      <c r="H7" s="120" t="s">
        <v>151</v>
      </c>
      <c r="J7" s="27"/>
    </row>
    <row r="8" spans="1:10" x14ac:dyDescent="0.2">
      <c r="A8" s="121">
        <v>2</v>
      </c>
      <c r="B8" s="122" t="s">
        <v>11</v>
      </c>
      <c r="C8" s="122" t="s">
        <v>12</v>
      </c>
      <c r="D8" s="122" t="s">
        <v>13</v>
      </c>
      <c r="E8" s="123">
        <v>202839</v>
      </c>
      <c r="F8" s="124">
        <v>7455.4488645000001</v>
      </c>
      <c r="G8" s="125">
        <v>4.9912310000000001E-2</v>
      </c>
      <c r="H8" s="120" t="s">
        <v>151</v>
      </c>
      <c r="J8" s="27"/>
    </row>
    <row r="9" spans="1:10" x14ac:dyDescent="0.2">
      <c r="A9" s="121">
        <v>3</v>
      </c>
      <c r="B9" s="122" t="s">
        <v>20</v>
      </c>
      <c r="C9" s="122" t="s">
        <v>21</v>
      </c>
      <c r="D9" s="122" t="s">
        <v>22</v>
      </c>
      <c r="E9" s="123">
        <v>222279</v>
      </c>
      <c r="F9" s="124">
        <v>6564.2322885000003</v>
      </c>
      <c r="G9" s="125">
        <v>4.394584E-2</v>
      </c>
      <c r="H9" s="120" t="s">
        <v>151</v>
      </c>
      <c r="J9" s="27"/>
    </row>
    <row r="10" spans="1:10" x14ac:dyDescent="0.2">
      <c r="A10" s="121">
        <v>4</v>
      </c>
      <c r="B10" s="122" t="s">
        <v>351</v>
      </c>
      <c r="C10" s="122" t="s">
        <v>352</v>
      </c>
      <c r="D10" s="122" t="s">
        <v>48</v>
      </c>
      <c r="E10" s="123">
        <v>280987</v>
      </c>
      <c r="F10" s="124">
        <v>5209.3584865000003</v>
      </c>
      <c r="G10" s="125">
        <v>3.487531E-2</v>
      </c>
      <c r="H10" s="120" t="s">
        <v>151</v>
      </c>
      <c r="J10" s="27"/>
    </row>
    <row r="11" spans="1:10" x14ac:dyDescent="0.2">
      <c r="A11" s="121">
        <v>5</v>
      </c>
      <c r="B11" s="122" t="s">
        <v>409</v>
      </c>
      <c r="C11" s="122" t="s">
        <v>410</v>
      </c>
      <c r="D11" s="122" t="s">
        <v>238</v>
      </c>
      <c r="E11" s="123">
        <v>1379495</v>
      </c>
      <c r="F11" s="124">
        <v>4926.8663925000001</v>
      </c>
      <c r="G11" s="125">
        <v>3.2984100000000002E-2</v>
      </c>
      <c r="H11" s="120" t="s">
        <v>151</v>
      </c>
      <c r="J11" s="27"/>
    </row>
    <row r="12" spans="1:10" ht="15" x14ac:dyDescent="0.2">
      <c r="A12" s="121">
        <v>6</v>
      </c>
      <c r="B12" s="122" t="s">
        <v>345</v>
      </c>
      <c r="C12" s="122" t="s">
        <v>346</v>
      </c>
      <c r="D12" s="122" t="s">
        <v>200</v>
      </c>
      <c r="E12" s="123">
        <v>1765865</v>
      </c>
      <c r="F12" s="124">
        <v>4826.1090450000002</v>
      </c>
      <c r="G12" s="125">
        <v>3.2309560000000001E-2</v>
      </c>
      <c r="H12" s="120" t="s">
        <v>151</v>
      </c>
      <c r="J12" s="11"/>
    </row>
    <row r="13" spans="1:10" x14ac:dyDescent="0.2">
      <c r="A13" s="121">
        <v>7</v>
      </c>
      <c r="B13" s="122" t="s">
        <v>33</v>
      </c>
      <c r="C13" s="122" t="s">
        <v>34</v>
      </c>
      <c r="D13" s="122" t="s">
        <v>35</v>
      </c>
      <c r="E13" s="123">
        <v>97542</v>
      </c>
      <c r="F13" s="124">
        <v>4690.8923219999997</v>
      </c>
      <c r="G13" s="125">
        <v>3.1404309999999998E-2</v>
      </c>
      <c r="H13" s="120" t="s">
        <v>151</v>
      </c>
      <c r="J13" s="8"/>
    </row>
    <row r="14" spans="1:10" x14ac:dyDescent="0.2">
      <c r="A14" s="121">
        <v>8</v>
      </c>
      <c r="B14" s="122" t="s">
        <v>236</v>
      </c>
      <c r="C14" s="122" t="s">
        <v>237</v>
      </c>
      <c r="D14" s="122" t="s">
        <v>238</v>
      </c>
      <c r="E14" s="123">
        <v>552793</v>
      </c>
      <c r="F14" s="124">
        <v>3769.4954670000002</v>
      </c>
      <c r="G14" s="125">
        <v>2.5235799999999999E-2</v>
      </c>
      <c r="H14" s="120" t="s">
        <v>151</v>
      </c>
      <c r="J14" s="8"/>
    </row>
    <row r="15" spans="1:10" x14ac:dyDescent="0.2">
      <c r="A15" s="121">
        <v>9</v>
      </c>
      <c r="B15" s="122" t="s">
        <v>359</v>
      </c>
      <c r="C15" s="122" t="s">
        <v>360</v>
      </c>
      <c r="D15" s="122" t="s">
        <v>361</v>
      </c>
      <c r="E15" s="123">
        <v>495412</v>
      </c>
      <c r="F15" s="124">
        <v>3746.3055439999998</v>
      </c>
      <c r="G15" s="125">
        <v>2.508055E-2</v>
      </c>
      <c r="H15" s="120" t="s">
        <v>151</v>
      </c>
      <c r="J15" s="27"/>
    </row>
    <row r="16" spans="1:10" x14ac:dyDescent="0.2">
      <c r="A16" s="121">
        <v>10</v>
      </c>
      <c r="B16" s="122" t="s">
        <v>362</v>
      </c>
      <c r="C16" s="122" t="s">
        <v>363</v>
      </c>
      <c r="D16" s="122" t="s">
        <v>241</v>
      </c>
      <c r="E16" s="123">
        <v>64307</v>
      </c>
      <c r="F16" s="124">
        <v>3639.9691210000001</v>
      </c>
      <c r="G16" s="125">
        <v>2.4368649999999999E-2</v>
      </c>
      <c r="H16" s="120" t="s">
        <v>151</v>
      </c>
      <c r="J16" s="8" t="s">
        <v>1031</v>
      </c>
    </row>
    <row r="17" spans="1:10" x14ac:dyDescent="0.2">
      <c r="A17" s="121">
        <v>11</v>
      </c>
      <c r="B17" s="122" t="s">
        <v>710</v>
      </c>
      <c r="C17" s="122" t="s">
        <v>711</v>
      </c>
      <c r="D17" s="122" t="s">
        <v>295</v>
      </c>
      <c r="E17" s="123">
        <v>504673</v>
      </c>
      <c r="F17" s="124">
        <v>3623.5521399999998</v>
      </c>
      <c r="G17" s="125">
        <v>2.4258749999999999E-2</v>
      </c>
      <c r="H17" s="120" t="s">
        <v>151</v>
      </c>
      <c r="J17" s="27"/>
    </row>
    <row r="18" spans="1:10" x14ac:dyDescent="0.2">
      <c r="A18" s="121">
        <v>12</v>
      </c>
      <c r="B18" s="122" t="s">
        <v>545</v>
      </c>
      <c r="C18" s="122" t="s">
        <v>546</v>
      </c>
      <c r="D18" s="122" t="s">
        <v>270</v>
      </c>
      <c r="E18" s="123">
        <v>27544</v>
      </c>
      <c r="F18" s="124">
        <v>3400.5684679999999</v>
      </c>
      <c r="G18" s="125">
        <v>2.276593E-2</v>
      </c>
      <c r="H18" s="120" t="s">
        <v>151</v>
      </c>
      <c r="J18" s="27"/>
    </row>
    <row r="19" spans="1:10" x14ac:dyDescent="0.2">
      <c r="A19" s="121">
        <v>13</v>
      </c>
      <c r="B19" s="122" t="s">
        <v>814</v>
      </c>
      <c r="C19" s="122" t="s">
        <v>815</v>
      </c>
      <c r="D19" s="122" t="s">
        <v>211</v>
      </c>
      <c r="E19" s="123">
        <v>271786</v>
      </c>
      <c r="F19" s="124">
        <v>3400.1787530000001</v>
      </c>
      <c r="G19" s="125">
        <v>2.276332E-2</v>
      </c>
      <c r="H19" s="120" t="s">
        <v>151</v>
      </c>
      <c r="J19" s="27"/>
    </row>
    <row r="20" spans="1:10" ht="25.5" x14ac:dyDescent="0.2">
      <c r="A20" s="121">
        <v>14</v>
      </c>
      <c r="B20" s="122" t="s">
        <v>806</v>
      </c>
      <c r="C20" s="122" t="s">
        <v>807</v>
      </c>
      <c r="D20" s="122" t="s">
        <v>241</v>
      </c>
      <c r="E20" s="123">
        <v>313687</v>
      </c>
      <c r="F20" s="124">
        <v>3261.090052</v>
      </c>
      <c r="G20" s="125">
        <v>2.183216E-2</v>
      </c>
      <c r="H20" s="120" t="s">
        <v>151</v>
      </c>
      <c r="J20" s="27"/>
    </row>
    <row r="21" spans="1:10" x14ac:dyDescent="0.2">
      <c r="A21" s="121">
        <v>15</v>
      </c>
      <c r="B21" s="122" t="s">
        <v>364</v>
      </c>
      <c r="C21" s="122" t="s">
        <v>365</v>
      </c>
      <c r="D21" s="122" t="s">
        <v>270</v>
      </c>
      <c r="E21" s="123">
        <v>324264</v>
      </c>
      <c r="F21" s="124">
        <v>3160.4390760000001</v>
      </c>
      <c r="G21" s="125">
        <v>2.1158320000000001E-2</v>
      </c>
      <c r="H21" s="120" t="s">
        <v>151</v>
      </c>
      <c r="J21" s="27"/>
    </row>
    <row r="22" spans="1:10" ht="15" x14ac:dyDescent="0.2">
      <c r="A22" s="121">
        <v>16</v>
      </c>
      <c r="B22" s="122" t="s">
        <v>194</v>
      </c>
      <c r="C22" s="122" t="s">
        <v>195</v>
      </c>
      <c r="D22" s="122" t="s">
        <v>35</v>
      </c>
      <c r="E22" s="123">
        <v>427085</v>
      </c>
      <c r="F22" s="124">
        <v>3118.7882125000001</v>
      </c>
      <c r="G22" s="125">
        <v>2.0879479999999999E-2</v>
      </c>
      <c r="H22" s="120" t="s">
        <v>151</v>
      </c>
      <c r="J22" s="11"/>
    </row>
    <row r="23" spans="1:10" x14ac:dyDescent="0.2">
      <c r="A23" s="121">
        <v>17</v>
      </c>
      <c r="B23" s="122" t="s">
        <v>94</v>
      </c>
      <c r="C23" s="122" t="s">
        <v>95</v>
      </c>
      <c r="D23" s="122" t="s">
        <v>32</v>
      </c>
      <c r="E23" s="123">
        <v>227524</v>
      </c>
      <c r="F23" s="124">
        <v>3017.423288</v>
      </c>
      <c r="G23" s="125">
        <v>2.0200869999999999E-2</v>
      </c>
      <c r="H23" s="120" t="s">
        <v>151</v>
      </c>
      <c r="J23" s="8"/>
    </row>
    <row r="24" spans="1:10" x14ac:dyDescent="0.2">
      <c r="A24" s="121">
        <v>18</v>
      </c>
      <c r="B24" s="122" t="s">
        <v>422</v>
      </c>
      <c r="C24" s="122" t="s">
        <v>423</v>
      </c>
      <c r="D24" s="122" t="s">
        <v>216</v>
      </c>
      <c r="E24" s="123">
        <v>372038</v>
      </c>
      <c r="F24" s="124">
        <v>2727.410578</v>
      </c>
      <c r="G24" s="125">
        <v>1.8259310000000001E-2</v>
      </c>
      <c r="H24" s="120" t="s">
        <v>151</v>
      </c>
      <c r="J24" s="27"/>
    </row>
    <row r="25" spans="1:10" x14ac:dyDescent="0.2">
      <c r="A25" s="121">
        <v>19</v>
      </c>
      <c r="B25" s="122" t="s">
        <v>393</v>
      </c>
      <c r="C25" s="122" t="s">
        <v>394</v>
      </c>
      <c r="D25" s="122" t="s">
        <v>395</v>
      </c>
      <c r="E25" s="123">
        <v>151754</v>
      </c>
      <c r="F25" s="124">
        <v>2410.460536</v>
      </c>
      <c r="G25" s="125">
        <v>1.6137410000000001E-2</v>
      </c>
      <c r="H25" s="120" t="s">
        <v>151</v>
      </c>
      <c r="J25" s="8"/>
    </row>
    <row r="26" spans="1:10" x14ac:dyDescent="0.2">
      <c r="A26" s="121">
        <v>20</v>
      </c>
      <c r="B26" s="122" t="s">
        <v>239</v>
      </c>
      <c r="C26" s="122" t="s">
        <v>240</v>
      </c>
      <c r="D26" s="122" t="s">
        <v>241</v>
      </c>
      <c r="E26" s="123">
        <v>53653</v>
      </c>
      <c r="F26" s="124">
        <v>2365.614423</v>
      </c>
      <c r="G26" s="125">
        <v>1.5837179999999999E-2</v>
      </c>
      <c r="H26" s="120" t="s">
        <v>151</v>
      </c>
      <c r="J26" s="8"/>
    </row>
    <row r="27" spans="1:10" x14ac:dyDescent="0.2">
      <c r="A27" s="121">
        <v>21</v>
      </c>
      <c r="B27" s="122" t="s">
        <v>543</v>
      </c>
      <c r="C27" s="122" t="s">
        <v>544</v>
      </c>
      <c r="D27" s="122" t="s">
        <v>261</v>
      </c>
      <c r="E27" s="123">
        <v>145079</v>
      </c>
      <c r="F27" s="124">
        <v>2306.6110210000002</v>
      </c>
      <c r="G27" s="125">
        <v>1.544217E-2</v>
      </c>
      <c r="H27" s="120" t="s">
        <v>151</v>
      </c>
      <c r="J27" s="27"/>
    </row>
    <row r="28" spans="1:10" ht="25.5" x14ac:dyDescent="0.2">
      <c r="A28" s="121">
        <v>22</v>
      </c>
      <c r="B28" s="122" t="s">
        <v>231</v>
      </c>
      <c r="C28" s="122" t="s">
        <v>232</v>
      </c>
      <c r="D28" s="122" t="s">
        <v>233</v>
      </c>
      <c r="E28" s="123">
        <v>142371</v>
      </c>
      <c r="F28" s="124">
        <v>2306.3390144999998</v>
      </c>
      <c r="G28" s="125">
        <v>1.544035E-2</v>
      </c>
      <c r="H28" s="120" t="s">
        <v>151</v>
      </c>
      <c r="J28" s="27"/>
    </row>
    <row r="29" spans="1:10" x14ac:dyDescent="0.2">
      <c r="A29" s="121">
        <v>23</v>
      </c>
      <c r="B29" s="122" t="s">
        <v>143</v>
      </c>
      <c r="C29" s="122" t="s">
        <v>144</v>
      </c>
      <c r="D29" s="122" t="s">
        <v>55</v>
      </c>
      <c r="E29" s="123">
        <v>212553</v>
      </c>
      <c r="F29" s="124">
        <v>2301.736437</v>
      </c>
      <c r="G29" s="125">
        <v>1.5409529999999999E-2</v>
      </c>
      <c r="H29" s="120" t="s">
        <v>151</v>
      </c>
      <c r="J29" s="27"/>
    </row>
    <row r="30" spans="1:10" x14ac:dyDescent="0.2">
      <c r="A30" s="121">
        <v>24</v>
      </c>
      <c r="B30" s="122" t="s">
        <v>816</v>
      </c>
      <c r="C30" s="122" t="s">
        <v>817</v>
      </c>
      <c r="D30" s="122" t="s">
        <v>200</v>
      </c>
      <c r="E30" s="123">
        <v>1121418</v>
      </c>
      <c r="F30" s="124">
        <v>2193.6057498</v>
      </c>
      <c r="G30" s="125">
        <v>1.468563E-2</v>
      </c>
      <c r="H30" s="120" t="s">
        <v>151</v>
      </c>
      <c r="J30" s="27"/>
    </row>
    <row r="31" spans="1:10" x14ac:dyDescent="0.2">
      <c r="A31" s="121">
        <v>25</v>
      </c>
      <c r="B31" s="122" t="s">
        <v>124</v>
      </c>
      <c r="C31" s="122" t="s">
        <v>125</v>
      </c>
      <c r="D31" s="122" t="s">
        <v>85</v>
      </c>
      <c r="E31" s="123">
        <v>493246</v>
      </c>
      <c r="F31" s="124">
        <v>2096.2955000000002</v>
      </c>
      <c r="G31" s="125">
        <v>1.403416E-2</v>
      </c>
      <c r="H31" s="120" t="s">
        <v>151</v>
      </c>
      <c r="J31" s="27"/>
    </row>
    <row r="32" spans="1:10" x14ac:dyDescent="0.2">
      <c r="A32" s="121">
        <v>26</v>
      </c>
      <c r="B32" s="122" t="s">
        <v>504</v>
      </c>
      <c r="C32" s="122" t="s">
        <v>505</v>
      </c>
      <c r="D32" s="122" t="s">
        <v>32</v>
      </c>
      <c r="E32" s="123">
        <v>37210</v>
      </c>
      <c r="F32" s="124">
        <v>2022.8100199999999</v>
      </c>
      <c r="G32" s="125">
        <v>1.3542190000000001E-2</v>
      </c>
      <c r="H32" s="120" t="s">
        <v>151</v>
      </c>
      <c r="J32" s="27"/>
    </row>
    <row r="33" spans="1:10" x14ac:dyDescent="0.2">
      <c r="A33" s="121">
        <v>27</v>
      </c>
      <c r="B33" s="122" t="s">
        <v>489</v>
      </c>
      <c r="C33" s="122" t="s">
        <v>490</v>
      </c>
      <c r="D33" s="122" t="s">
        <v>395</v>
      </c>
      <c r="E33" s="123">
        <v>102548</v>
      </c>
      <c r="F33" s="124">
        <v>1928.6715099999999</v>
      </c>
      <c r="G33" s="125">
        <v>1.291196E-2</v>
      </c>
      <c r="H33" s="120" t="s">
        <v>151</v>
      </c>
      <c r="J33" s="27"/>
    </row>
    <row r="34" spans="1:10" x14ac:dyDescent="0.2">
      <c r="A34" s="121">
        <v>28</v>
      </c>
      <c r="B34" s="122" t="s">
        <v>68</v>
      </c>
      <c r="C34" s="122" t="s">
        <v>69</v>
      </c>
      <c r="D34" s="122" t="s">
        <v>70</v>
      </c>
      <c r="E34" s="123">
        <v>28879</v>
      </c>
      <c r="F34" s="124">
        <v>1869.7997339999999</v>
      </c>
      <c r="G34" s="125">
        <v>1.2517830000000001E-2</v>
      </c>
      <c r="H34" s="120" t="s">
        <v>151</v>
      </c>
      <c r="J34" s="27"/>
    </row>
    <row r="35" spans="1:10" x14ac:dyDescent="0.2">
      <c r="A35" s="121">
        <v>29</v>
      </c>
      <c r="B35" s="122" t="s">
        <v>818</v>
      </c>
      <c r="C35" s="122" t="s">
        <v>819</v>
      </c>
      <c r="D35" s="122" t="s">
        <v>70</v>
      </c>
      <c r="E35" s="123">
        <v>127711</v>
      </c>
      <c r="F35" s="124">
        <v>1821.0950045</v>
      </c>
      <c r="G35" s="125">
        <v>1.2191759999999999E-2</v>
      </c>
      <c r="H35" s="120" t="s">
        <v>151</v>
      </c>
      <c r="J35" s="27"/>
    </row>
    <row r="36" spans="1:10" x14ac:dyDescent="0.2">
      <c r="A36" s="121">
        <v>30</v>
      </c>
      <c r="B36" s="122" t="s">
        <v>259</v>
      </c>
      <c r="C36" s="122" t="s">
        <v>260</v>
      </c>
      <c r="D36" s="122" t="s">
        <v>261</v>
      </c>
      <c r="E36" s="123">
        <v>76493</v>
      </c>
      <c r="F36" s="124">
        <v>1664.0669685</v>
      </c>
      <c r="G36" s="125">
        <v>1.1140499999999999E-2</v>
      </c>
      <c r="H36" s="120" t="s">
        <v>151</v>
      </c>
      <c r="J36" s="27"/>
    </row>
    <row r="37" spans="1:10" x14ac:dyDescent="0.2">
      <c r="A37" s="121">
        <v>31</v>
      </c>
      <c r="B37" s="122" t="s">
        <v>316</v>
      </c>
      <c r="C37" s="122" t="s">
        <v>317</v>
      </c>
      <c r="D37" s="122" t="s">
        <v>211</v>
      </c>
      <c r="E37" s="123">
        <v>49635</v>
      </c>
      <c r="F37" s="124">
        <v>1639.295145</v>
      </c>
      <c r="G37" s="125">
        <v>1.0974660000000001E-2</v>
      </c>
      <c r="H37" s="120" t="s">
        <v>151</v>
      </c>
      <c r="J37" s="27"/>
    </row>
    <row r="38" spans="1:10" x14ac:dyDescent="0.2">
      <c r="A38" s="121">
        <v>32</v>
      </c>
      <c r="B38" s="122" t="s">
        <v>326</v>
      </c>
      <c r="C38" s="122" t="s">
        <v>327</v>
      </c>
      <c r="D38" s="122" t="s">
        <v>55</v>
      </c>
      <c r="E38" s="123">
        <v>1896944</v>
      </c>
      <c r="F38" s="124">
        <v>1518.5036720000001</v>
      </c>
      <c r="G38" s="125">
        <v>1.016599E-2</v>
      </c>
      <c r="H38" s="120" t="s">
        <v>151</v>
      </c>
      <c r="J38" s="27"/>
    </row>
    <row r="39" spans="1:10" x14ac:dyDescent="0.2">
      <c r="A39" s="121">
        <v>33</v>
      </c>
      <c r="B39" s="122" t="s">
        <v>820</v>
      </c>
      <c r="C39" s="122" t="s">
        <v>821</v>
      </c>
      <c r="D39" s="122" t="s">
        <v>32</v>
      </c>
      <c r="E39" s="123">
        <v>249723</v>
      </c>
      <c r="F39" s="124">
        <v>1474.614315</v>
      </c>
      <c r="G39" s="125">
        <v>9.8721599999999996E-3</v>
      </c>
      <c r="H39" s="120" t="s">
        <v>151</v>
      </c>
      <c r="J39" s="27"/>
    </row>
    <row r="40" spans="1:10" ht="25.5" x14ac:dyDescent="0.2">
      <c r="A40" s="121">
        <v>34</v>
      </c>
      <c r="B40" s="122" t="s">
        <v>256</v>
      </c>
      <c r="C40" s="122" t="s">
        <v>257</v>
      </c>
      <c r="D40" s="122" t="s">
        <v>258</v>
      </c>
      <c r="E40" s="123">
        <v>50477</v>
      </c>
      <c r="F40" s="124">
        <v>1467.4168669999999</v>
      </c>
      <c r="G40" s="125">
        <v>9.8239799999999995E-3</v>
      </c>
      <c r="H40" s="120" t="s">
        <v>151</v>
      </c>
      <c r="J40" s="27"/>
    </row>
    <row r="41" spans="1:10" ht="25.5" x14ac:dyDescent="0.2">
      <c r="A41" s="121">
        <v>35</v>
      </c>
      <c r="B41" s="122" t="s">
        <v>822</v>
      </c>
      <c r="C41" s="122" t="s">
        <v>823</v>
      </c>
      <c r="D41" s="122" t="s">
        <v>88</v>
      </c>
      <c r="E41" s="123">
        <v>182846</v>
      </c>
      <c r="F41" s="124">
        <v>1466.3334970000001</v>
      </c>
      <c r="G41" s="125">
        <v>9.8167199999999993E-3</v>
      </c>
      <c r="H41" s="120" t="s">
        <v>151</v>
      </c>
      <c r="J41" s="27"/>
    </row>
    <row r="42" spans="1:10" x14ac:dyDescent="0.2">
      <c r="A42" s="121">
        <v>36</v>
      </c>
      <c r="B42" s="122" t="s">
        <v>531</v>
      </c>
      <c r="C42" s="122" t="s">
        <v>532</v>
      </c>
      <c r="D42" s="122" t="s">
        <v>35</v>
      </c>
      <c r="E42" s="123">
        <v>152583</v>
      </c>
      <c r="F42" s="124">
        <v>1393.998288</v>
      </c>
      <c r="G42" s="125">
        <v>9.3324600000000008E-3</v>
      </c>
      <c r="H42" s="120" t="s">
        <v>151</v>
      </c>
      <c r="J42" s="27"/>
    </row>
    <row r="43" spans="1:10" x14ac:dyDescent="0.2">
      <c r="A43" s="121">
        <v>37</v>
      </c>
      <c r="B43" s="122" t="s">
        <v>761</v>
      </c>
      <c r="C43" s="122" t="s">
        <v>762</v>
      </c>
      <c r="D43" s="122" t="s">
        <v>70</v>
      </c>
      <c r="E43" s="123">
        <v>3661</v>
      </c>
      <c r="F43" s="124">
        <v>1379.4245289999999</v>
      </c>
      <c r="G43" s="125">
        <v>9.2348900000000008E-3</v>
      </c>
      <c r="H43" s="120" t="s">
        <v>151</v>
      </c>
      <c r="J43" s="27"/>
    </row>
    <row r="44" spans="1:10" x14ac:dyDescent="0.2">
      <c r="A44" s="121">
        <v>38</v>
      </c>
      <c r="B44" s="122" t="s">
        <v>312</v>
      </c>
      <c r="C44" s="122" t="s">
        <v>313</v>
      </c>
      <c r="D44" s="122" t="s">
        <v>270</v>
      </c>
      <c r="E44" s="123">
        <v>1382371</v>
      </c>
      <c r="F44" s="124">
        <v>1377.1179901999999</v>
      </c>
      <c r="G44" s="125">
        <v>9.2194500000000006E-3</v>
      </c>
      <c r="H44" s="120" t="s">
        <v>151</v>
      </c>
      <c r="J44" s="27"/>
    </row>
    <row r="45" spans="1:10" x14ac:dyDescent="0.2">
      <c r="A45" s="121">
        <v>39</v>
      </c>
      <c r="B45" s="122" t="s">
        <v>803</v>
      </c>
      <c r="C45" s="122" t="s">
        <v>804</v>
      </c>
      <c r="D45" s="122" t="s">
        <v>200</v>
      </c>
      <c r="E45" s="123">
        <v>628203</v>
      </c>
      <c r="F45" s="124">
        <v>1297.6161168000001</v>
      </c>
      <c r="G45" s="125">
        <v>8.6872100000000008E-3</v>
      </c>
      <c r="H45" s="120" t="s">
        <v>151</v>
      </c>
      <c r="J45" s="27"/>
    </row>
    <row r="46" spans="1:10" x14ac:dyDescent="0.2">
      <c r="A46" s="121">
        <v>40</v>
      </c>
      <c r="B46" s="122" t="s">
        <v>117</v>
      </c>
      <c r="C46" s="122" t="s">
        <v>118</v>
      </c>
      <c r="D46" s="122" t="s">
        <v>70</v>
      </c>
      <c r="E46" s="123">
        <v>100174</v>
      </c>
      <c r="F46" s="124">
        <v>1003.6433060000001</v>
      </c>
      <c r="G46" s="125">
        <v>6.7191300000000002E-3</v>
      </c>
      <c r="H46" s="120" t="s">
        <v>151</v>
      </c>
      <c r="J46" s="27"/>
    </row>
    <row r="47" spans="1:10" x14ac:dyDescent="0.2">
      <c r="A47" s="121">
        <v>41</v>
      </c>
      <c r="B47" s="122" t="s">
        <v>730</v>
      </c>
      <c r="C47" s="122" t="s">
        <v>731</v>
      </c>
      <c r="D47" s="122" t="s">
        <v>211</v>
      </c>
      <c r="E47" s="123">
        <v>43287</v>
      </c>
      <c r="F47" s="124">
        <v>948.87268349999999</v>
      </c>
      <c r="G47" s="125">
        <v>6.3524599999999999E-3</v>
      </c>
      <c r="H47" s="120" t="s">
        <v>151</v>
      </c>
      <c r="J47" s="27"/>
    </row>
    <row r="48" spans="1:10" x14ac:dyDescent="0.2">
      <c r="A48" s="121">
        <v>42</v>
      </c>
      <c r="B48" s="122" t="s">
        <v>36</v>
      </c>
      <c r="C48" s="122" t="s">
        <v>37</v>
      </c>
      <c r="D48" s="122" t="s">
        <v>38</v>
      </c>
      <c r="E48" s="123">
        <v>264084</v>
      </c>
      <c r="F48" s="124">
        <v>752.90348400000005</v>
      </c>
      <c r="G48" s="125">
        <v>5.0404999999999998E-3</v>
      </c>
      <c r="H48" s="120" t="s">
        <v>151</v>
      </c>
      <c r="J48" s="27"/>
    </row>
    <row r="49" spans="1:10" x14ac:dyDescent="0.2">
      <c r="A49" s="121">
        <v>43</v>
      </c>
      <c r="B49" s="122" t="s">
        <v>407</v>
      </c>
      <c r="C49" s="122" t="s">
        <v>408</v>
      </c>
      <c r="D49" s="122" t="s">
        <v>35</v>
      </c>
      <c r="E49" s="123">
        <v>26667</v>
      </c>
      <c r="F49" s="124">
        <v>626.95450349999999</v>
      </c>
      <c r="G49" s="125">
        <v>4.1973000000000002E-3</v>
      </c>
      <c r="H49" s="120" t="s">
        <v>151</v>
      </c>
      <c r="J49" s="27"/>
    </row>
    <row r="50" spans="1:10" x14ac:dyDescent="0.2">
      <c r="A50" s="121">
        <v>44</v>
      </c>
      <c r="B50" s="122" t="s">
        <v>115</v>
      </c>
      <c r="C50" s="122" t="s">
        <v>116</v>
      </c>
      <c r="D50" s="122" t="s">
        <v>32</v>
      </c>
      <c r="E50" s="123">
        <v>269818</v>
      </c>
      <c r="F50" s="124">
        <v>471.02128260000001</v>
      </c>
      <c r="G50" s="125">
        <v>3.15337E-3</v>
      </c>
      <c r="H50" s="120" t="s">
        <v>151</v>
      </c>
      <c r="J50" s="27"/>
    </row>
    <row r="51" spans="1:10" x14ac:dyDescent="0.2">
      <c r="A51" s="118"/>
      <c r="B51" s="118"/>
      <c r="C51" s="119" t="s">
        <v>150</v>
      </c>
      <c r="D51" s="118"/>
      <c r="E51" s="118" t="s">
        <v>151</v>
      </c>
      <c r="F51" s="126">
        <v>120687.0320754</v>
      </c>
      <c r="G51" s="127">
        <v>0.80796858000000005</v>
      </c>
      <c r="H51" s="120" t="s">
        <v>151</v>
      </c>
      <c r="J51" s="27"/>
    </row>
    <row r="52" spans="1:10" x14ac:dyDescent="0.2">
      <c r="A52" s="118"/>
      <c r="B52" s="118"/>
      <c r="C52" s="128"/>
      <c r="D52" s="118"/>
      <c r="E52" s="118"/>
      <c r="F52" s="129"/>
      <c r="G52" s="129"/>
      <c r="H52" s="120" t="s">
        <v>151</v>
      </c>
      <c r="J52" s="27"/>
    </row>
    <row r="53" spans="1:10" x14ac:dyDescent="0.2">
      <c r="A53" s="118"/>
      <c r="B53" s="118"/>
      <c r="C53" s="119" t="s">
        <v>152</v>
      </c>
      <c r="D53" s="118"/>
      <c r="E53" s="118"/>
      <c r="F53" s="118"/>
      <c r="G53" s="118"/>
      <c r="H53" s="120" t="s">
        <v>151</v>
      </c>
      <c r="J53" s="27"/>
    </row>
    <row r="54" spans="1:10" x14ac:dyDescent="0.2">
      <c r="A54" s="118"/>
      <c r="B54" s="118"/>
      <c r="C54" s="119" t="s">
        <v>150</v>
      </c>
      <c r="D54" s="118"/>
      <c r="E54" s="118" t="s">
        <v>151</v>
      </c>
      <c r="F54" s="130" t="s">
        <v>153</v>
      </c>
      <c r="G54" s="127">
        <v>0</v>
      </c>
      <c r="H54" s="120" t="s">
        <v>151</v>
      </c>
      <c r="J54" s="27"/>
    </row>
    <row r="55" spans="1:10" x14ac:dyDescent="0.2">
      <c r="A55" s="118"/>
      <c r="B55" s="118"/>
      <c r="C55" s="128"/>
      <c r="D55" s="118"/>
      <c r="E55" s="118"/>
      <c r="F55" s="129"/>
      <c r="G55" s="129"/>
      <c r="H55" s="120" t="s">
        <v>151</v>
      </c>
      <c r="J55" s="27"/>
    </row>
    <row r="56" spans="1:10" x14ac:dyDescent="0.2">
      <c r="A56" s="118"/>
      <c r="B56" s="118"/>
      <c r="C56" s="119" t="s">
        <v>154</v>
      </c>
      <c r="D56" s="118"/>
      <c r="E56" s="118"/>
      <c r="F56" s="118"/>
      <c r="G56" s="118"/>
      <c r="H56" s="120" t="s">
        <v>151</v>
      </c>
      <c r="J56" s="27"/>
    </row>
    <row r="57" spans="1:10" x14ac:dyDescent="0.2">
      <c r="A57" s="118"/>
      <c r="B57" s="118"/>
      <c r="C57" s="119" t="s">
        <v>150</v>
      </c>
      <c r="D57" s="118"/>
      <c r="E57" s="118" t="s">
        <v>151</v>
      </c>
      <c r="F57" s="130" t="s">
        <v>153</v>
      </c>
      <c r="G57" s="127">
        <v>0</v>
      </c>
      <c r="H57" s="120" t="s">
        <v>151</v>
      </c>
      <c r="J57" s="27"/>
    </row>
    <row r="58" spans="1:10" x14ac:dyDescent="0.2">
      <c r="A58" s="118"/>
      <c r="B58" s="118"/>
      <c r="C58" s="128"/>
      <c r="D58" s="118"/>
      <c r="E58" s="118"/>
      <c r="F58" s="129"/>
      <c r="G58" s="129"/>
      <c r="H58" s="120" t="s">
        <v>151</v>
      </c>
      <c r="J58" s="27"/>
    </row>
    <row r="59" spans="1:10" x14ac:dyDescent="0.2">
      <c r="A59" s="118"/>
      <c r="B59" s="118"/>
      <c r="C59" s="119" t="s">
        <v>155</v>
      </c>
      <c r="D59" s="118"/>
      <c r="E59" s="118"/>
      <c r="F59" s="118"/>
      <c r="G59" s="118"/>
      <c r="H59" s="120" t="s">
        <v>151</v>
      </c>
      <c r="J59" s="27"/>
    </row>
    <row r="60" spans="1:10" x14ac:dyDescent="0.2">
      <c r="A60" s="118"/>
      <c r="B60" s="118"/>
      <c r="C60" s="119" t="s">
        <v>150</v>
      </c>
      <c r="D60" s="118"/>
      <c r="E60" s="118" t="s">
        <v>151</v>
      </c>
      <c r="F60" s="130" t="s">
        <v>153</v>
      </c>
      <c r="G60" s="127">
        <v>0</v>
      </c>
      <c r="H60" s="120" t="s">
        <v>151</v>
      </c>
      <c r="J60" s="27"/>
    </row>
    <row r="61" spans="1:10" x14ac:dyDescent="0.2">
      <c r="A61" s="118"/>
      <c r="B61" s="118"/>
      <c r="C61" s="128"/>
      <c r="D61" s="118"/>
      <c r="E61" s="118"/>
      <c r="F61" s="129"/>
      <c r="G61" s="129"/>
      <c r="H61" s="120" t="s">
        <v>151</v>
      </c>
      <c r="J61" s="27"/>
    </row>
    <row r="62" spans="1:10" x14ac:dyDescent="0.2">
      <c r="A62" s="118"/>
      <c r="B62" s="118"/>
      <c r="C62" s="119" t="s">
        <v>156</v>
      </c>
      <c r="D62" s="118"/>
      <c r="E62" s="118"/>
      <c r="F62" s="129"/>
      <c r="G62" s="129"/>
      <c r="H62" s="120" t="s">
        <v>151</v>
      </c>
      <c r="J62" s="27"/>
    </row>
    <row r="63" spans="1:10" x14ac:dyDescent="0.2">
      <c r="A63" s="118"/>
      <c r="B63" s="118"/>
      <c r="C63" s="119" t="s">
        <v>150</v>
      </c>
      <c r="D63" s="118"/>
      <c r="E63" s="118" t="s">
        <v>151</v>
      </c>
      <c r="F63" s="130" t="s">
        <v>153</v>
      </c>
      <c r="G63" s="127">
        <v>0</v>
      </c>
      <c r="H63" s="120" t="s">
        <v>151</v>
      </c>
      <c r="J63" s="27"/>
    </row>
    <row r="64" spans="1:10" x14ac:dyDescent="0.2">
      <c r="A64" s="118"/>
      <c r="B64" s="118"/>
      <c r="C64" s="128"/>
      <c r="D64" s="118"/>
      <c r="E64" s="118"/>
      <c r="F64" s="129"/>
      <c r="G64" s="129"/>
      <c r="H64" s="120" t="s">
        <v>151</v>
      </c>
      <c r="J64" s="27"/>
    </row>
    <row r="65" spans="1:10" x14ac:dyDescent="0.2">
      <c r="A65" s="118"/>
      <c r="B65" s="118"/>
      <c r="C65" s="119" t="s">
        <v>157</v>
      </c>
      <c r="D65" s="118"/>
      <c r="E65" s="118"/>
      <c r="F65" s="129"/>
      <c r="G65" s="129"/>
      <c r="H65" s="120" t="s">
        <v>151</v>
      </c>
      <c r="J65" s="27"/>
    </row>
    <row r="66" spans="1:10" x14ac:dyDescent="0.2">
      <c r="A66" s="118"/>
      <c r="B66" s="118"/>
      <c r="C66" s="119" t="s">
        <v>150</v>
      </c>
      <c r="D66" s="118"/>
      <c r="E66" s="118" t="s">
        <v>151</v>
      </c>
      <c r="F66" s="130" t="s">
        <v>153</v>
      </c>
      <c r="G66" s="127">
        <v>0</v>
      </c>
      <c r="H66" s="120" t="s">
        <v>151</v>
      </c>
      <c r="J66" s="27"/>
    </row>
    <row r="67" spans="1:10" x14ac:dyDescent="0.2">
      <c r="A67" s="118"/>
      <c r="B67" s="118"/>
      <c r="C67" s="128"/>
      <c r="D67" s="118"/>
      <c r="E67" s="118"/>
      <c r="F67" s="129"/>
      <c r="G67" s="129"/>
      <c r="H67" s="120" t="s">
        <v>151</v>
      </c>
      <c r="J67" s="27"/>
    </row>
    <row r="68" spans="1:10" x14ac:dyDescent="0.2">
      <c r="A68" s="118"/>
      <c r="B68" s="118"/>
      <c r="C68" s="119" t="s">
        <v>158</v>
      </c>
      <c r="D68" s="118"/>
      <c r="E68" s="118"/>
      <c r="F68" s="126">
        <v>120687.0320754</v>
      </c>
      <c r="G68" s="127">
        <v>0.80796858000000005</v>
      </c>
      <c r="H68" s="120" t="s">
        <v>151</v>
      </c>
      <c r="J68" s="27"/>
    </row>
    <row r="69" spans="1:10" x14ac:dyDescent="0.2">
      <c r="A69" s="118"/>
      <c r="B69" s="118"/>
      <c r="C69" s="128"/>
      <c r="D69" s="118"/>
      <c r="E69" s="118"/>
      <c r="F69" s="129"/>
      <c r="G69" s="129"/>
      <c r="H69" s="120" t="s">
        <v>151</v>
      </c>
      <c r="J69" s="27"/>
    </row>
    <row r="70" spans="1:10" x14ac:dyDescent="0.2">
      <c r="A70" s="118"/>
      <c r="B70" s="118"/>
      <c r="C70" s="119" t="s">
        <v>159</v>
      </c>
      <c r="D70" s="118"/>
      <c r="E70" s="118"/>
      <c r="F70" s="129"/>
      <c r="G70" s="129"/>
      <c r="H70" s="120" t="s">
        <v>151</v>
      </c>
      <c r="J70" s="27"/>
    </row>
    <row r="71" spans="1:10" x14ac:dyDescent="0.2">
      <c r="A71" s="118"/>
      <c r="B71" s="118"/>
      <c r="C71" s="119" t="s">
        <v>10</v>
      </c>
      <c r="D71" s="118"/>
      <c r="E71" s="118"/>
      <c r="F71" s="129"/>
      <c r="G71" s="129"/>
      <c r="H71" s="120" t="s">
        <v>151</v>
      </c>
      <c r="J71" s="27"/>
    </row>
    <row r="72" spans="1:10" x14ac:dyDescent="0.2">
      <c r="A72" s="118"/>
      <c r="B72" s="118"/>
      <c r="C72" s="119" t="s">
        <v>150</v>
      </c>
      <c r="D72" s="118"/>
      <c r="E72" s="118" t="s">
        <v>151</v>
      </c>
      <c r="F72" s="130" t="s">
        <v>153</v>
      </c>
      <c r="G72" s="127">
        <v>0</v>
      </c>
      <c r="H72" s="120" t="s">
        <v>151</v>
      </c>
      <c r="J72" s="27"/>
    </row>
    <row r="73" spans="1:10" x14ac:dyDescent="0.2">
      <c r="A73" s="118"/>
      <c r="B73" s="118"/>
      <c r="C73" s="128"/>
      <c r="D73" s="118"/>
      <c r="E73" s="118"/>
      <c r="F73" s="129"/>
      <c r="G73" s="129"/>
      <c r="H73" s="120" t="s">
        <v>151</v>
      </c>
      <c r="J73" s="27"/>
    </row>
    <row r="74" spans="1:10" x14ac:dyDescent="0.2">
      <c r="A74" s="118"/>
      <c r="B74" s="118"/>
      <c r="C74" s="119" t="s">
        <v>160</v>
      </c>
      <c r="D74" s="118"/>
      <c r="E74" s="118"/>
      <c r="F74" s="118"/>
      <c r="G74" s="118"/>
      <c r="H74" s="120" t="s">
        <v>151</v>
      </c>
      <c r="J74" s="27"/>
    </row>
    <row r="75" spans="1:10" x14ac:dyDescent="0.2">
      <c r="A75" s="118"/>
      <c r="B75" s="118"/>
      <c r="C75" s="119" t="s">
        <v>150</v>
      </c>
      <c r="D75" s="118"/>
      <c r="E75" s="118" t="s">
        <v>151</v>
      </c>
      <c r="F75" s="130" t="s">
        <v>153</v>
      </c>
      <c r="G75" s="127">
        <v>0</v>
      </c>
      <c r="H75" s="120" t="s">
        <v>151</v>
      </c>
      <c r="J75" s="27"/>
    </row>
    <row r="76" spans="1:10" x14ac:dyDescent="0.2">
      <c r="A76" s="118"/>
      <c r="B76" s="118"/>
      <c r="C76" s="128"/>
      <c r="D76" s="118"/>
      <c r="E76" s="118"/>
      <c r="F76" s="129"/>
      <c r="G76" s="129"/>
      <c r="H76" s="120" t="s">
        <v>151</v>
      </c>
      <c r="J76" s="27"/>
    </row>
    <row r="77" spans="1:10" x14ac:dyDescent="0.2">
      <c r="A77" s="118"/>
      <c r="B77" s="118"/>
      <c r="C77" s="119" t="s">
        <v>161</v>
      </c>
      <c r="D77" s="118"/>
      <c r="E77" s="118"/>
      <c r="F77" s="118"/>
      <c r="G77" s="118"/>
      <c r="H77" s="120" t="s">
        <v>151</v>
      </c>
      <c r="J77" s="27"/>
    </row>
    <row r="78" spans="1:10" x14ac:dyDescent="0.2">
      <c r="A78" s="118"/>
      <c r="B78" s="118"/>
      <c r="C78" s="119" t="s">
        <v>150</v>
      </c>
      <c r="D78" s="118"/>
      <c r="E78" s="118" t="s">
        <v>151</v>
      </c>
      <c r="F78" s="130" t="s">
        <v>153</v>
      </c>
      <c r="G78" s="127">
        <v>0</v>
      </c>
      <c r="H78" s="120" t="s">
        <v>151</v>
      </c>
      <c r="J78" s="27"/>
    </row>
    <row r="79" spans="1:10" x14ac:dyDescent="0.2">
      <c r="A79" s="118"/>
      <c r="B79" s="118"/>
      <c r="C79" s="128"/>
      <c r="D79" s="118"/>
      <c r="E79" s="118"/>
      <c r="F79" s="129"/>
      <c r="G79" s="129"/>
      <c r="H79" s="120" t="s">
        <v>151</v>
      </c>
      <c r="J79" s="27"/>
    </row>
    <row r="80" spans="1:10" x14ac:dyDescent="0.2">
      <c r="A80" s="118"/>
      <c r="B80" s="118"/>
      <c r="C80" s="119" t="s">
        <v>162</v>
      </c>
      <c r="D80" s="118"/>
      <c r="E80" s="118"/>
      <c r="F80" s="129"/>
      <c r="G80" s="129"/>
      <c r="H80" s="120" t="s">
        <v>151</v>
      </c>
      <c r="J80" s="27"/>
    </row>
    <row r="81" spans="1:10" x14ac:dyDescent="0.2">
      <c r="A81" s="118"/>
      <c r="B81" s="118"/>
      <c r="C81" s="119" t="s">
        <v>150</v>
      </c>
      <c r="D81" s="118"/>
      <c r="E81" s="118" t="s">
        <v>151</v>
      </c>
      <c r="F81" s="130" t="s">
        <v>153</v>
      </c>
      <c r="G81" s="127">
        <v>0</v>
      </c>
      <c r="H81" s="120" t="s">
        <v>151</v>
      </c>
      <c r="J81" s="27"/>
    </row>
    <row r="82" spans="1:10" x14ac:dyDescent="0.2">
      <c r="A82" s="118"/>
      <c r="B82" s="118"/>
      <c r="C82" s="128"/>
      <c r="D82" s="118"/>
      <c r="E82" s="118"/>
      <c r="F82" s="129"/>
      <c r="G82" s="129"/>
      <c r="H82" s="120" t="s">
        <v>151</v>
      </c>
      <c r="J82" s="27"/>
    </row>
    <row r="83" spans="1:10" x14ac:dyDescent="0.2">
      <c r="A83" s="118"/>
      <c r="B83" s="118"/>
      <c r="C83" s="119" t="s">
        <v>163</v>
      </c>
      <c r="D83" s="118"/>
      <c r="E83" s="118"/>
      <c r="F83" s="126">
        <v>0</v>
      </c>
      <c r="G83" s="127">
        <v>0</v>
      </c>
      <c r="H83" s="120" t="s">
        <v>151</v>
      </c>
      <c r="J83" s="27"/>
    </row>
    <row r="84" spans="1:10" x14ac:dyDescent="0.2">
      <c r="A84" s="118"/>
      <c r="B84" s="118"/>
      <c r="C84" s="128"/>
      <c r="D84" s="118"/>
      <c r="E84" s="118"/>
      <c r="F84" s="129"/>
      <c r="G84" s="129"/>
      <c r="H84" s="120" t="s">
        <v>151</v>
      </c>
      <c r="J84" s="27"/>
    </row>
    <row r="85" spans="1:10" x14ac:dyDescent="0.2">
      <c r="A85" s="118"/>
      <c r="B85" s="118"/>
      <c r="C85" s="119" t="s">
        <v>164</v>
      </c>
      <c r="D85" s="118"/>
      <c r="E85" s="118"/>
      <c r="F85" s="129"/>
      <c r="G85" s="129"/>
      <c r="H85" s="120" t="s">
        <v>151</v>
      </c>
      <c r="J85" s="27"/>
    </row>
    <row r="86" spans="1:10" x14ac:dyDescent="0.2">
      <c r="A86" s="118"/>
      <c r="B86" s="118"/>
      <c r="C86" s="119" t="s">
        <v>165</v>
      </c>
      <c r="D86" s="118"/>
      <c r="E86" s="118"/>
      <c r="F86" s="129"/>
      <c r="G86" s="129"/>
      <c r="H86" s="120" t="s">
        <v>151</v>
      </c>
      <c r="J86" s="27"/>
    </row>
    <row r="87" spans="1:10" x14ac:dyDescent="0.2">
      <c r="A87" s="118"/>
      <c r="B87" s="118"/>
      <c r="C87" s="119" t="s">
        <v>150</v>
      </c>
      <c r="D87" s="118"/>
      <c r="E87" s="118" t="s">
        <v>151</v>
      </c>
      <c r="F87" s="130" t="s">
        <v>153</v>
      </c>
      <c r="G87" s="127">
        <v>0</v>
      </c>
      <c r="H87" s="120" t="s">
        <v>151</v>
      </c>
      <c r="J87" s="27"/>
    </row>
    <row r="88" spans="1:10" x14ac:dyDescent="0.2">
      <c r="A88" s="118"/>
      <c r="B88" s="118"/>
      <c r="C88" s="128"/>
      <c r="D88" s="118"/>
      <c r="E88" s="118"/>
      <c r="F88" s="129"/>
      <c r="G88" s="129"/>
      <c r="H88" s="120" t="s">
        <v>151</v>
      </c>
      <c r="J88" s="27"/>
    </row>
    <row r="89" spans="1:10" x14ac:dyDescent="0.2">
      <c r="A89" s="118"/>
      <c r="B89" s="118"/>
      <c r="C89" s="119" t="s">
        <v>166</v>
      </c>
      <c r="D89" s="118"/>
      <c r="E89" s="118"/>
      <c r="F89" s="129"/>
      <c r="G89" s="129"/>
      <c r="H89" s="120" t="s">
        <v>151</v>
      </c>
      <c r="J89" s="27"/>
    </row>
    <row r="90" spans="1:10" x14ac:dyDescent="0.2">
      <c r="A90" s="118"/>
      <c r="B90" s="118"/>
      <c r="C90" s="119" t="s">
        <v>150</v>
      </c>
      <c r="D90" s="118"/>
      <c r="E90" s="118" t="s">
        <v>151</v>
      </c>
      <c r="F90" s="130" t="s">
        <v>153</v>
      </c>
      <c r="G90" s="127">
        <v>0</v>
      </c>
      <c r="H90" s="120" t="s">
        <v>151</v>
      </c>
      <c r="J90" s="27"/>
    </row>
    <row r="91" spans="1:10" x14ac:dyDescent="0.2">
      <c r="A91" s="118"/>
      <c r="B91" s="118"/>
      <c r="C91" s="128"/>
      <c r="D91" s="118"/>
      <c r="E91" s="118"/>
      <c r="F91" s="129"/>
      <c r="G91" s="129"/>
      <c r="H91" s="120" t="s">
        <v>151</v>
      </c>
      <c r="J91" s="27"/>
    </row>
    <row r="92" spans="1:10" x14ac:dyDescent="0.2">
      <c r="A92" s="118"/>
      <c r="B92" s="118"/>
      <c r="C92" s="119" t="s">
        <v>167</v>
      </c>
      <c r="D92" s="118"/>
      <c r="E92" s="118"/>
      <c r="F92" s="129"/>
      <c r="G92" s="129"/>
      <c r="H92" s="120" t="s">
        <v>151</v>
      </c>
      <c r="J92" s="27"/>
    </row>
    <row r="93" spans="1:10" x14ac:dyDescent="0.2">
      <c r="A93" s="118"/>
      <c r="B93" s="118"/>
      <c r="C93" s="119" t="s">
        <v>150</v>
      </c>
      <c r="D93" s="118"/>
      <c r="E93" s="118" t="s">
        <v>151</v>
      </c>
      <c r="F93" s="130" t="s">
        <v>153</v>
      </c>
      <c r="G93" s="127">
        <v>0</v>
      </c>
      <c r="H93" s="120" t="s">
        <v>151</v>
      </c>
      <c r="J93" s="27"/>
    </row>
    <row r="94" spans="1:10" x14ac:dyDescent="0.2">
      <c r="A94" s="118"/>
      <c r="B94" s="118"/>
      <c r="C94" s="128"/>
      <c r="D94" s="118"/>
      <c r="E94" s="118"/>
      <c r="F94" s="129"/>
      <c r="G94" s="129"/>
      <c r="H94" s="120" t="s">
        <v>151</v>
      </c>
      <c r="J94" s="27"/>
    </row>
    <row r="95" spans="1:10" x14ac:dyDescent="0.2">
      <c r="A95" s="118"/>
      <c r="B95" s="118"/>
      <c r="C95" s="119" t="s">
        <v>168</v>
      </c>
      <c r="D95" s="118"/>
      <c r="E95" s="118"/>
      <c r="F95" s="129"/>
      <c r="G95" s="129"/>
      <c r="H95" s="120" t="s">
        <v>151</v>
      </c>
      <c r="J95" s="27"/>
    </row>
    <row r="96" spans="1:10" x14ac:dyDescent="0.2">
      <c r="A96" s="121">
        <v>1</v>
      </c>
      <c r="B96" s="122"/>
      <c r="C96" s="122" t="s">
        <v>169</v>
      </c>
      <c r="D96" s="122"/>
      <c r="E96" s="131"/>
      <c r="F96" s="124">
        <v>24313.833221882</v>
      </c>
      <c r="G96" s="125">
        <v>0.16277484</v>
      </c>
      <c r="H96" s="120">
        <v>6.61</v>
      </c>
      <c r="J96" s="27"/>
    </row>
    <row r="97" spans="1:10" x14ac:dyDescent="0.2">
      <c r="A97" s="118"/>
      <c r="B97" s="118"/>
      <c r="C97" s="119" t="s">
        <v>150</v>
      </c>
      <c r="D97" s="118"/>
      <c r="E97" s="118" t="s">
        <v>151</v>
      </c>
      <c r="F97" s="126">
        <v>24313.833221882</v>
      </c>
      <c r="G97" s="127">
        <v>0.16277484</v>
      </c>
      <c r="H97" s="120" t="s">
        <v>151</v>
      </c>
      <c r="J97" s="27"/>
    </row>
    <row r="98" spans="1:10" x14ac:dyDescent="0.2">
      <c r="A98" s="118"/>
      <c r="B98" s="118"/>
      <c r="C98" s="128"/>
      <c r="D98" s="118"/>
      <c r="E98" s="118"/>
      <c r="F98" s="129"/>
      <c r="G98" s="129"/>
      <c r="H98" s="120" t="s">
        <v>151</v>
      </c>
      <c r="J98" s="27"/>
    </row>
    <row r="99" spans="1:10" x14ac:dyDescent="0.2">
      <c r="A99" s="118"/>
      <c r="B99" s="118"/>
      <c r="C99" s="119" t="s">
        <v>170</v>
      </c>
      <c r="D99" s="118"/>
      <c r="E99" s="118"/>
      <c r="F99" s="126">
        <v>24313.833221882</v>
      </c>
      <c r="G99" s="127">
        <v>0.16277484</v>
      </c>
      <c r="H99" s="120" t="s">
        <v>151</v>
      </c>
      <c r="J99" s="27"/>
    </row>
    <row r="100" spans="1:10" x14ac:dyDescent="0.2">
      <c r="A100" s="118"/>
      <c r="B100" s="118"/>
      <c r="C100" s="129"/>
      <c r="D100" s="118"/>
      <c r="E100" s="118"/>
      <c r="F100" s="118"/>
      <c r="G100" s="118"/>
      <c r="H100" s="120" t="s">
        <v>151</v>
      </c>
      <c r="J100" s="27"/>
    </row>
    <row r="101" spans="1:10" x14ac:dyDescent="0.2">
      <c r="A101" s="118"/>
      <c r="B101" s="118"/>
      <c r="C101" s="119" t="s">
        <v>171</v>
      </c>
      <c r="D101" s="118"/>
      <c r="E101" s="118"/>
      <c r="F101" s="118"/>
      <c r="G101" s="118"/>
      <c r="H101" s="120" t="s">
        <v>151</v>
      </c>
      <c r="J101" s="27"/>
    </row>
    <row r="102" spans="1:10" x14ac:dyDescent="0.2">
      <c r="A102" s="118"/>
      <c r="B102" s="118"/>
      <c r="C102" s="119" t="s">
        <v>172</v>
      </c>
      <c r="D102" s="118"/>
      <c r="E102" s="118"/>
      <c r="F102" s="118"/>
      <c r="G102" s="118"/>
      <c r="H102" s="120" t="s">
        <v>151</v>
      </c>
      <c r="J102" s="27"/>
    </row>
    <row r="103" spans="1:10" x14ac:dyDescent="0.2">
      <c r="A103" s="121">
        <v>1</v>
      </c>
      <c r="B103" s="122" t="s">
        <v>173</v>
      </c>
      <c r="C103" s="122" t="s">
        <v>174</v>
      </c>
      <c r="D103" s="122"/>
      <c r="E103" s="132">
        <v>226565.63260000001</v>
      </c>
      <c r="F103" s="124">
        <v>5008.1766672149997</v>
      </c>
      <c r="G103" s="125">
        <v>3.3528450000000001E-2</v>
      </c>
      <c r="H103" s="120" t="s">
        <v>151</v>
      </c>
      <c r="J103" s="27"/>
    </row>
    <row r="104" spans="1:10" x14ac:dyDescent="0.2">
      <c r="A104" s="118"/>
      <c r="B104" s="118"/>
      <c r="C104" s="119" t="s">
        <v>150</v>
      </c>
      <c r="D104" s="118"/>
      <c r="E104" s="118" t="s">
        <v>151</v>
      </c>
      <c r="F104" s="126">
        <v>5008.1766672149997</v>
      </c>
      <c r="G104" s="127">
        <v>3.3528450000000001E-2</v>
      </c>
      <c r="H104" s="120" t="s">
        <v>151</v>
      </c>
      <c r="J104" s="27"/>
    </row>
    <row r="105" spans="1:10" x14ac:dyDescent="0.2">
      <c r="A105" s="118"/>
      <c r="B105" s="118"/>
      <c r="C105" s="128"/>
      <c r="D105" s="118"/>
      <c r="E105" s="118"/>
      <c r="F105" s="129"/>
      <c r="G105" s="129"/>
      <c r="H105" s="120" t="s">
        <v>151</v>
      </c>
      <c r="J105" s="27"/>
    </row>
    <row r="106" spans="1:10" x14ac:dyDescent="0.2">
      <c r="A106" s="118"/>
      <c r="B106" s="118"/>
      <c r="C106" s="119" t="s">
        <v>175</v>
      </c>
      <c r="D106" s="118"/>
      <c r="E106" s="118"/>
      <c r="F106" s="118"/>
      <c r="G106" s="118"/>
      <c r="H106" s="120" t="s">
        <v>151</v>
      </c>
      <c r="J106" s="27"/>
    </row>
    <row r="107" spans="1:10" x14ac:dyDescent="0.2">
      <c r="A107" s="118"/>
      <c r="B107" s="118"/>
      <c r="C107" s="119" t="s">
        <v>176</v>
      </c>
      <c r="D107" s="118"/>
      <c r="E107" s="118"/>
      <c r="F107" s="118"/>
      <c r="G107" s="118"/>
      <c r="H107" s="120" t="s">
        <v>151</v>
      </c>
      <c r="J107" s="27"/>
    </row>
    <row r="108" spans="1:10" x14ac:dyDescent="0.2">
      <c r="A108" s="118"/>
      <c r="B108" s="118"/>
      <c r="C108" s="119" t="s">
        <v>150</v>
      </c>
      <c r="D108" s="118"/>
      <c r="E108" s="118" t="s">
        <v>151</v>
      </c>
      <c r="F108" s="130" t="s">
        <v>153</v>
      </c>
      <c r="G108" s="127">
        <v>0</v>
      </c>
      <c r="H108" s="120" t="s">
        <v>151</v>
      </c>
      <c r="J108" s="27"/>
    </row>
    <row r="109" spans="1:10" x14ac:dyDescent="0.2">
      <c r="A109" s="118"/>
      <c r="B109" s="118"/>
      <c r="C109" s="128"/>
      <c r="D109" s="118"/>
      <c r="E109" s="118"/>
      <c r="F109" s="129"/>
      <c r="G109" s="129"/>
      <c r="H109" s="120" t="s">
        <v>151</v>
      </c>
      <c r="J109" s="27"/>
    </row>
    <row r="110" spans="1:10" x14ac:dyDescent="0.2">
      <c r="A110" s="118"/>
      <c r="B110" s="118"/>
      <c r="C110" s="119" t="s">
        <v>177</v>
      </c>
      <c r="D110" s="118"/>
      <c r="E110" s="118"/>
      <c r="F110" s="129"/>
      <c r="G110" s="129"/>
      <c r="H110" s="120" t="s">
        <v>151</v>
      </c>
      <c r="J110" s="27"/>
    </row>
    <row r="111" spans="1:10" x14ac:dyDescent="0.2">
      <c r="A111" s="118"/>
      <c r="B111" s="118"/>
      <c r="C111" s="119" t="s">
        <v>150</v>
      </c>
      <c r="D111" s="118"/>
      <c r="E111" s="118" t="s">
        <v>151</v>
      </c>
      <c r="F111" s="130" t="s">
        <v>153</v>
      </c>
      <c r="G111" s="127">
        <v>0</v>
      </c>
      <c r="H111" s="120" t="s">
        <v>151</v>
      </c>
      <c r="J111" s="27"/>
    </row>
    <row r="112" spans="1:10" x14ac:dyDescent="0.2">
      <c r="A112" s="118"/>
      <c r="B112" s="118"/>
      <c r="C112" s="128"/>
      <c r="D112" s="118"/>
      <c r="E112" s="118"/>
      <c r="F112" s="129"/>
      <c r="G112" s="129"/>
      <c r="H112" s="120" t="s">
        <v>151</v>
      </c>
      <c r="J112" s="27"/>
    </row>
    <row r="113" spans="1:17" x14ac:dyDescent="0.2">
      <c r="A113" s="131"/>
      <c r="B113" s="122"/>
      <c r="C113" s="122" t="s">
        <v>178</v>
      </c>
      <c r="D113" s="122"/>
      <c r="E113" s="131"/>
      <c r="F113" s="124">
        <v>-638.08819942000002</v>
      </c>
      <c r="G113" s="125">
        <v>-4.2718399999999998E-3</v>
      </c>
      <c r="H113" s="120" t="s">
        <v>151</v>
      </c>
      <c r="J113" s="27"/>
    </row>
    <row r="114" spans="1:17" x14ac:dyDescent="0.2">
      <c r="A114" s="128"/>
      <c r="B114" s="128"/>
      <c r="C114" s="119" t="s">
        <v>179</v>
      </c>
      <c r="D114" s="129"/>
      <c r="E114" s="129"/>
      <c r="F114" s="126">
        <v>149370.95376507699</v>
      </c>
      <c r="G114" s="133">
        <v>1.00000003</v>
      </c>
      <c r="H114" s="120" t="s">
        <v>151</v>
      </c>
      <c r="J114" s="27"/>
    </row>
    <row r="115" spans="1:17" x14ac:dyDescent="0.2">
      <c r="A115" s="134"/>
      <c r="B115" s="134"/>
      <c r="C115" s="134"/>
      <c r="D115" s="135"/>
      <c r="E115" s="135"/>
      <c r="F115" s="135"/>
      <c r="G115" s="135"/>
      <c r="J115" s="27"/>
    </row>
    <row r="116" spans="1:17" x14ac:dyDescent="0.2">
      <c r="A116" s="136"/>
      <c r="B116" s="137" t="s">
        <v>888</v>
      </c>
      <c r="C116" s="137"/>
      <c r="D116" s="137"/>
      <c r="E116" s="137"/>
      <c r="F116" s="137"/>
      <c r="G116" s="137"/>
      <c r="H116" s="137"/>
      <c r="J116" s="27"/>
    </row>
    <row r="117" spans="1:17" x14ac:dyDescent="0.2">
      <c r="A117" s="136"/>
      <c r="B117" s="137" t="s">
        <v>889</v>
      </c>
      <c r="C117" s="137"/>
      <c r="D117" s="137"/>
      <c r="E117" s="137"/>
      <c r="F117" s="137"/>
      <c r="G117" s="137"/>
      <c r="H117" s="137"/>
      <c r="J117" s="27"/>
    </row>
    <row r="118" spans="1:17" x14ac:dyDescent="0.2">
      <c r="A118" s="136"/>
      <c r="B118" s="137" t="s">
        <v>890</v>
      </c>
      <c r="C118" s="137"/>
      <c r="D118" s="137"/>
      <c r="E118" s="137"/>
      <c r="F118" s="137"/>
      <c r="G118" s="137"/>
      <c r="H118" s="137"/>
      <c r="J118" s="27"/>
    </row>
    <row r="119" spans="1:17" s="13" customFormat="1" ht="66.75" customHeight="1" x14ac:dyDescent="0.25">
      <c r="A119" s="138"/>
      <c r="B119" s="139" t="s">
        <v>891</v>
      </c>
      <c r="C119" s="139"/>
      <c r="D119" s="139"/>
      <c r="E119" s="139"/>
      <c r="F119" s="139"/>
      <c r="G119" s="139"/>
      <c r="H119" s="139"/>
      <c r="I119" s="114"/>
      <c r="J119" s="27"/>
      <c r="K119"/>
      <c r="L119"/>
      <c r="M119"/>
      <c r="N119"/>
      <c r="O119"/>
      <c r="P119"/>
      <c r="Q119"/>
    </row>
    <row r="120" spans="1:17" x14ac:dyDescent="0.2">
      <c r="A120" s="136"/>
      <c r="B120" s="137" t="s">
        <v>892</v>
      </c>
      <c r="C120" s="137"/>
      <c r="D120" s="137"/>
      <c r="E120" s="137"/>
      <c r="F120" s="137"/>
      <c r="G120" s="137"/>
      <c r="H120" s="137"/>
      <c r="J120" s="27"/>
    </row>
    <row r="121" spans="1:17" x14ac:dyDescent="0.2">
      <c r="A121" s="140"/>
      <c r="B121" s="140"/>
      <c r="C121" s="140"/>
      <c r="D121" s="141"/>
      <c r="E121" s="141"/>
      <c r="F121" s="141"/>
      <c r="G121" s="141"/>
      <c r="J121" s="27"/>
    </row>
    <row r="122" spans="1:17" x14ac:dyDescent="0.2">
      <c r="A122" s="140"/>
      <c r="B122" s="142" t="s">
        <v>180</v>
      </c>
      <c r="C122" s="143"/>
      <c r="D122" s="144"/>
      <c r="E122" s="145"/>
      <c r="F122" s="141"/>
      <c r="G122" s="141"/>
      <c r="J122" s="27"/>
    </row>
    <row r="123" spans="1:17" x14ac:dyDescent="0.2">
      <c r="A123" s="140"/>
      <c r="B123" s="146" t="s">
        <v>181</v>
      </c>
      <c r="C123" s="147"/>
      <c r="D123" s="119" t="s">
        <v>182</v>
      </c>
      <c r="E123" s="145"/>
      <c r="F123" s="141"/>
      <c r="G123" s="141"/>
      <c r="J123" s="27"/>
    </row>
    <row r="124" spans="1:17" x14ac:dyDescent="0.2">
      <c r="A124" s="140"/>
      <c r="B124" s="146" t="s">
        <v>183</v>
      </c>
      <c r="C124" s="147"/>
      <c r="D124" s="119" t="s">
        <v>182</v>
      </c>
      <c r="E124" s="145"/>
      <c r="F124" s="141"/>
      <c r="G124" s="141"/>
      <c r="J124" s="27"/>
    </row>
    <row r="125" spans="1:17" x14ac:dyDescent="0.2">
      <c r="A125" s="140"/>
      <c r="B125" s="146" t="s">
        <v>184</v>
      </c>
      <c r="C125" s="147"/>
      <c r="D125" s="129" t="s">
        <v>151</v>
      </c>
      <c r="E125" s="145"/>
      <c r="F125" s="141"/>
      <c r="G125" s="141"/>
      <c r="J125" s="27"/>
    </row>
    <row r="126" spans="1:17" x14ac:dyDescent="0.2">
      <c r="A126" s="151"/>
      <c r="B126" s="152" t="s">
        <v>151</v>
      </c>
      <c r="C126" s="152" t="s">
        <v>894</v>
      </c>
      <c r="D126" s="152" t="s">
        <v>185</v>
      </c>
      <c r="E126" s="151"/>
      <c r="F126" s="151"/>
      <c r="G126" s="151"/>
      <c r="H126" s="151"/>
      <c r="J126" s="27"/>
    </row>
    <row r="127" spans="1:17" x14ac:dyDescent="0.2">
      <c r="A127" s="153"/>
      <c r="B127" s="154" t="s">
        <v>186</v>
      </c>
      <c r="C127" s="155">
        <v>45535</v>
      </c>
      <c r="D127" s="155">
        <v>45565</v>
      </c>
      <c r="E127" s="153"/>
      <c r="F127" s="153"/>
      <c r="G127" s="153"/>
      <c r="J127" s="27"/>
    </row>
    <row r="128" spans="1:17" x14ac:dyDescent="0.2">
      <c r="A128" s="153"/>
      <c r="B128" s="122" t="s">
        <v>187</v>
      </c>
      <c r="C128" s="156">
        <v>10.6691</v>
      </c>
      <c r="D128" s="156">
        <v>10.990500000000001</v>
      </c>
      <c r="E128" s="153"/>
      <c r="F128" s="157"/>
      <c r="G128" s="158"/>
      <c r="J128" s="27"/>
    </row>
    <row r="129" spans="1:10" x14ac:dyDescent="0.2">
      <c r="A129" s="153"/>
      <c r="B129" s="122" t="s">
        <v>1038</v>
      </c>
      <c r="C129" s="156">
        <v>10.6691</v>
      </c>
      <c r="D129" s="156">
        <v>10.990500000000001</v>
      </c>
      <c r="E129" s="153"/>
      <c r="F129" s="157"/>
      <c r="G129" s="158"/>
      <c r="J129" s="27"/>
    </row>
    <row r="130" spans="1:10" x14ac:dyDescent="0.2">
      <c r="A130" s="153"/>
      <c r="B130" s="122" t="s">
        <v>188</v>
      </c>
      <c r="C130" s="156">
        <v>10.636100000000001</v>
      </c>
      <c r="D130" s="156">
        <v>10.941700000000001</v>
      </c>
      <c r="E130" s="153"/>
      <c r="F130" s="157"/>
      <c r="G130" s="158"/>
      <c r="J130" s="8"/>
    </row>
    <row r="131" spans="1:10" x14ac:dyDescent="0.2">
      <c r="A131" s="153"/>
      <c r="B131" s="122" t="s">
        <v>1039</v>
      </c>
      <c r="C131" s="156">
        <v>10.636100000000001</v>
      </c>
      <c r="D131" s="156">
        <v>10.941700000000001</v>
      </c>
      <c r="E131" s="153"/>
      <c r="F131" s="157"/>
      <c r="G131" s="158"/>
      <c r="J131" s="8"/>
    </row>
    <row r="132" spans="1:10" x14ac:dyDescent="0.2">
      <c r="A132" s="153"/>
      <c r="B132" s="153"/>
      <c r="C132" s="153"/>
      <c r="D132" s="153"/>
      <c r="E132" s="153"/>
      <c r="F132" s="153"/>
      <c r="G132" s="153"/>
      <c r="J132" s="8"/>
    </row>
    <row r="133" spans="1:10" x14ac:dyDescent="0.2">
      <c r="A133" s="151"/>
      <c r="B133" s="197" t="s">
        <v>895</v>
      </c>
      <c r="C133" s="198"/>
      <c r="D133" s="196" t="s">
        <v>182</v>
      </c>
      <c r="E133" s="151"/>
      <c r="F133" s="151"/>
      <c r="G133" s="151"/>
      <c r="J133" s="8"/>
    </row>
    <row r="134" spans="1:10" x14ac:dyDescent="0.2">
      <c r="A134" s="151"/>
      <c r="B134" s="159"/>
      <c r="C134" s="159"/>
      <c r="D134" s="151"/>
      <c r="E134" s="151"/>
      <c r="F134" s="151"/>
      <c r="G134" s="151"/>
      <c r="J134" s="27"/>
    </row>
    <row r="135" spans="1:10" ht="12.75" customHeight="1" x14ac:dyDescent="0.2">
      <c r="A135" s="151"/>
      <c r="B135" s="197" t="s">
        <v>189</v>
      </c>
      <c r="C135" s="198"/>
      <c r="D135" s="196" t="s">
        <v>182</v>
      </c>
      <c r="E135" s="160"/>
      <c r="F135" s="151"/>
      <c r="G135" s="151"/>
      <c r="J135" s="27"/>
    </row>
    <row r="136" spans="1:10" ht="27" customHeight="1" x14ac:dyDescent="0.2">
      <c r="A136" s="151"/>
      <c r="B136" s="197" t="s">
        <v>190</v>
      </c>
      <c r="C136" s="198"/>
      <c r="D136" s="196" t="s">
        <v>182</v>
      </c>
      <c r="E136" s="160"/>
      <c r="F136" s="151"/>
      <c r="G136" s="151"/>
      <c r="J136" s="27"/>
    </row>
    <row r="137" spans="1:10" ht="12.75" customHeight="1" x14ac:dyDescent="0.2">
      <c r="A137" s="151"/>
      <c r="B137" s="197" t="s">
        <v>191</v>
      </c>
      <c r="C137" s="198"/>
      <c r="D137" s="196" t="s">
        <v>182</v>
      </c>
      <c r="E137" s="160"/>
      <c r="F137" s="151"/>
      <c r="G137" s="151"/>
      <c r="J137" s="27"/>
    </row>
    <row r="138" spans="1:10" x14ac:dyDescent="0.2">
      <c r="A138" s="151"/>
      <c r="B138" s="197" t="s">
        <v>192</v>
      </c>
      <c r="C138" s="198"/>
      <c r="D138" s="199">
        <v>2.2366260460785232E-2</v>
      </c>
      <c r="E138" s="151"/>
      <c r="F138" s="159"/>
      <c r="G138" s="162"/>
      <c r="J138" s="27"/>
    </row>
    <row r="139" spans="1:10" x14ac:dyDescent="0.2">
      <c r="J139" s="27"/>
    </row>
    <row r="140" spans="1:10" x14ac:dyDescent="0.2">
      <c r="J140" s="27"/>
    </row>
    <row r="141" spans="1:10" x14ac:dyDescent="0.2">
      <c r="J141" s="27"/>
    </row>
    <row r="142" spans="1:10" x14ac:dyDescent="0.2">
      <c r="J142" s="27"/>
    </row>
  </sheetData>
  <mergeCells count="17">
    <mergeCell ref="B124:C124"/>
    <mergeCell ref="B125:C125"/>
    <mergeCell ref="B133:C133"/>
    <mergeCell ref="B137:C137"/>
    <mergeCell ref="B138:C138"/>
    <mergeCell ref="B135:C135"/>
    <mergeCell ref="B136:C136"/>
    <mergeCell ref="B123:C123"/>
    <mergeCell ref="A1:H1"/>
    <mergeCell ref="A2:H2"/>
    <mergeCell ref="A3:H3"/>
    <mergeCell ref="B122:D122"/>
    <mergeCell ref="B116:H116"/>
    <mergeCell ref="B117:H117"/>
    <mergeCell ref="B118:H118"/>
    <mergeCell ref="B119:H119"/>
    <mergeCell ref="B120:H120"/>
  </mergeCells>
  <hyperlinks>
    <hyperlink ref="I1" location="Index!B2" display="Index" xr:uid="{BD1E389C-16FF-46FE-AB2F-66D97276341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51A41-B99F-41B7-B8D3-66B662ED9EE6}">
  <sheetPr>
    <outlinePr summaryBelow="0" summaryRight="0"/>
  </sheetPr>
  <dimension ref="A1:Q157"/>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45.85546875" style="114" customWidth="1"/>
    <col min="4" max="4" width="17.42578125" style="114" bestFit="1" customWidth="1"/>
    <col min="5" max="5" width="8.7109375" style="114" bestFit="1" customWidth="1"/>
    <col min="6" max="6" width="10.140625" style="114" bestFit="1" customWidth="1"/>
    <col min="7" max="7" width="14" style="114" bestFit="1" customWidth="1"/>
    <col min="8" max="8" width="8.42578125" style="114" bestFit="1" customWidth="1"/>
    <col min="9" max="9" width="9.140625" style="114"/>
    <col min="10" max="10" width="50.7109375" customWidth="1"/>
  </cols>
  <sheetData>
    <row r="1" spans="1:10" ht="15" x14ac:dyDescent="0.2">
      <c r="A1" s="113" t="s">
        <v>0</v>
      </c>
      <c r="B1" s="113"/>
      <c r="C1" s="113"/>
      <c r="D1" s="113"/>
      <c r="E1" s="113"/>
      <c r="F1" s="113"/>
      <c r="G1" s="113"/>
      <c r="H1" s="113"/>
      <c r="I1" s="7" t="s">
        <v>884</v>
      </c>
      <c r="J1" s="27"/>
    </row>
    <row r="2" spans="1:10" ht="15" x14ac:dyDescent="0.2">
      <c r="A2" s="113" t="s">
        <v>824</v>
      </c>
      <c r="B2" s="113"/>
      <c r="C2" s="113"/>
      <c r="D2" s="113"/>
      <c r="E2" s="113"/>
      <c r="F2" s="113"/>
      <c r="G2" s="113"/>
      <c r="H2" s="113"/>
      <c r="J2" s="9" t="s">
        <v>885</v>
      </c>
    </row>
    <row r="3" spans="1:10" ht="15" x14ac:dyDescent="0.2">
      <c r="A3" s="113" t="s">
        <v>887</v>
      </c>
      <c r="B3" s="113"/>
      <c r="C3" s="113"/>
      <c r="D3" s="113"/>
      <c r="E3" s="113"/>
      <c r="F3" s="113"/>
      <c r="G3" s="113"/>
      <c r="H3" s="113"/>
      <c r="J3" s="27"/>
    </row>
    <row r="4" spans="1:10" s="10" customFormat="1" ht="30" x14ac:dyDescent="0.2">
      <c r="A4" s="115" t="s">
        <v>2</v>
      </c>
      <c r="B4" s="115" t="s">
        <v>3</v>
      </c>
      <c r="C4" s="115" t="s">
        <v>4</v>
      </c>
      <c r="D4" s="115" t="s">
        <v>5</v>
      </c>
      <c r="E4" s="115" t="s">
        <v>6</v>
      </c>
      <c r="F4" s="115" t="s">
        <v>7</v>
      </c>
      <c r="G4" s="115" t="s">
        <v>8</v>
      </c>
      <c r="H4" s="116" t="s">
        <v>886</v>
      </c>
      <c r="I4" s="117"/>
      <c r="J4" s="28"/>
    </row>
    <row r="5" spans="1:10" x14ac:dyDescent="0.2">
      <c r="A5" s="118"/>
      <c r="B5" s="118"/>
      <c r="C5" s="119" t="s">
        <v>9</v>
      </c>
      <c r="D5" s="118"/>
      <c r="E5" s="118"/>
      <c r="F5" s="118"/>
      <c r="G5" s="118"/>
      <c r="H5" s="120" t="s">
        <v>151</v>
      </c>
      <c r="J5" s="27"/>
    </row>
    <row r="6" spans="1:10" x14ac:dyDescent="0.2">
      <c r="A6" s="118"/>
      <c r="B6" s="118"/>
      <c r="C6" s="119" t="s">
        <v>10</v>
      </c>
      <c r="D6" s="118"/>
      <c r="E6" s="118"/>
      <c r="F6" s="118"/>
      <c r="G6" s="118"/>
      <c r="H6" s="120" t="s">
        <v>151</v>
      </c>
      <c r="J6" s="27"/>
    </row>
    <row r="7" spans="1:10" x14ac:dyDescent="0.2">
      <c r="A7" s="121">
        <v>1</v>
      </c>
      <c r="B7" s="122" t="s">
        <v>343</v>
      </c>
      <c r="C7" s="122" t="s">
        <v>344</v>
      </c>
      <c r="D7" s="122" t="s">
        <v>48</v>
      </c>
      <c r="E7" s="123">
        <v>1055765</v>
      </c>
      <c r="F7" s="124">
        <v>18286.377682499999</v>
      </c>
      <c r="G7" s="125">
        <v>8.1041580000000002E-2</v>
      </c>
      <c r="H7" s="120" t="s">
        <v>151</v>
      </c>
      <c r="J7" s="27"/>
    </row>
    <row r="8" spans="1:10" x14ac:dyDescent="0.2">
      <c r="A8" s="121">
        <v>2</v>
      </c>
      <c r="B8" s="122" t="s">
        <v>46</v>
      </c>
      <c r="C8" s="122" t="s">
        <v>47</v>
      </c>
      <c r="D8" s="122" t="s">
        <v>48</v>
      </c>
      <c r="E8" s="123">
        <v>1151000</v>
      </c>
      <c r="F8" s="124">
        <v>14652.23</v>
      </c>
      <c r="G8" s="125">
        <v>6.4935759999999995E-2</v>
      </c>
      <c r="H8" s="120" t="s">
        <v>151</v>
      </c>
      <c r="J8" s="27"/>
    </row>
    <row r="9" spans="1:10" x14ac:dyDescent="0.2">
      <c r="A9" s="121">
        <v>3</v>
      </c>
      <c r="B9" s="122" t="s">
        <v>20</v>
      </c>
      <c r="C9" s="122" t="s">
        <v>21</v>
      </c>
      <c r="D9" s="122" t="s">
        <v>22</v>
      </c>
      <c r="E9" s="123">
        <v>380000</v>
      </c>
      <c r="F9" s="124">
        <v>11221.97</v>
      </c>
      <c r="G9" s="125">
        <v>4.9733529999999998E-2</v>
      </c>
      <c r="H9" s="120" t="s">
        <v>151</v>
      </c>
      <c r="J9" s="27"/>
    </row>
    <row r="10" spans="1:10" x14ac:dyDescent="0.2">
      <c r="A10" s="121">
        <v>4</v>
      </c>
      <c r="B10" s="122" t="s">
        <v>347</v>
      </c>
      <c r="C10" s="122" t="s">
        <v>348</v>
      </c>
      <c r="D10" s="122" t="s">
        <v>216</v>
      </c>
      <c r="E10" s="123">
        <v>502000</v>
      </c>
      <c r="F10" s="124">
        <v>9415.5120000000006</v>
      </c>
      <c r="G10" s="125">
        <v>4.1727670000000001E-2</v>
      </c>
      <c r="H10" s="120" t="s">
        <v>151</v>
      </c>
      <c r="J10" s="27"/>
    </row>
    <row r="11" spans="1:10" x14ac:dyDescent="0.2">
      <c r="A11" s="121">
        <v>5</v>
      </c>
      <c r="B11" s="122" t="s">
        <v>11</v>
      </c>
      <c r="C11" s="122" t="s">
        <v>12</v>
      </c>
      <c r="D11" s="122" t="s">
        <v>13</v>
      </c>
      <c r="E11" s="123">
        <v>202401</v>
      </c>
      <c r="F11" s="124">
        <v>7439.3499554999999</v>
      </c>
      <c r="G11" s="125">
        <v>3.2969709999999999E-2</v>
      </c>
      <c r="H11" s="120" t="s">
        <v>151</v>
      </c>
      <c r="J11" s="27"/>
    </row>
    <row r="12" spans="1:10" ht="15" x14ac:dyDescent="0.2">
      <c r="A12" s="121">
        <v>6</v>
      </c>
      <c r="B12" s="122" t="s">
        <v>14</v>
      </c>
      <c r="C12" s="122" t="s">
        <v>15</v>
      </c>
      <c r="D12" s="122" t="s">
        <v>16</v>
      </c>
      <c r="E12" s="123">
        <v>427000</v>
      </c>
      <c r="F12" s="124">
        <v>7299.7785000000003</v>
      </c>
      <c r="G12" s="125">
        <v>3.2351159999999997E-2</v>
      </c>
      <c r="H12" s="120" t="s">
        <v>151</v>
      </c>
      <c r="J12" s="11"/>
    </row>
    <row r="13" spans="1:10" ht="25.5" x14ac:dyDescent="0.2">
      <c r="A13" s="121">
        <v>7</v>
      </c>
      <c r="B13" s="122" t="s">
        <v>353</v>
      </c>
      <c r="C13" s="122" t="s">
        <v>354</v>
      </c>
      <c r="D13" s="122" t="s">
        <v>205</v>
      </c>
      <c r="E13" s="123">
        <v>305000</v>
      </c>
      <c r="F13" s="124">
        <v>5876.4350000000004</v>
      </c>
      <c r="G13" s="125">
        <v>2.6043190000000001E-2</v>
      </c>
      <c r="H13" s="120" t="s">
        <v>151</v>
      </c>
      <c r="J13" s="29"/>
    </row>
    <row r="14" spans="1:10" x14ac:dyDescent="0.2">
      <c r="A14" s="121">
        <v>8</v>
      </c>
      <c r="B14" s="122" t="s">
        <v>63</v>
      </c>
      <c r="C14" s="122" t="s">
        <v>64</v>
      </c>
      <c r="D14" s="122" t="s">
        <v>48</v>
      </c>
      <c r="E14" s="123">
        <v>716000</v>
      </c>
      <c r="F14" s="124">
        <v>5641.3639999999996</v>
      </c>
      <c r="G14" s="125">
        <v>2.50014E-2</v>
      </c>
      <c r="H14" s="120" t="s">
        <v>151</v>
      </c>
      <c r="J14" s="29"/>
    </row>
    <row r="15" spans="1:10" x14ac:dyDescent="0.2">
      <c r="A15" s="121">
        <v>9</v>
      </c>
      <c r="B15" s="122" t="s">
        <v>83</v>
      </c>
      <c r="C15" s="122" t="s">
        <v>84</v>
      </c>
      <c r="D15" s="122" t="s">
        <v>85</v>
      </c>
      <c r="E15" s="123">
        <v>109000</v>
      </c>
      <c r="F15" s="124">
        <v>5218.3204999999998</v>
      </c>
      <c r="G15" s="125">
        <v>2.3126560000000001E-2</v>
      </c>
      <c r="H15" s="120" t="s">
        <v>151</v>
      </c>
      <c r="J15" s="29" t="s">
        <v>1009</v>
      </c>
    </row>
    <row r="16" spans="1:10" x14ac:dyDescent="0.2">
      <c r="A16" s="121">
        <v>10</v>
      </c>
      <c r="B16" s="122" t="s">
        <v>366</v>
      </c>
      <c r="C16" s="122" t="s">
        <v>367</v>
      </c>
      <c r="D16" s="122" t="s">
        <v>368</v>
      </c>
      <c r="E16" s="123">
        <v>970000</v>
      </c>
      <c r="F16" s="124">
        <v>5026.0550000000003</v>
      </c>
      <c r="G16" s="125">
        <v>2.2274470000000001E-2</v>
      </c>
      <c r="H16" s="120" t="s">
        <v>151</v>
      </c>
      <c r="J16" s="27"/>
    </row>
    <row r="17" spans="1:10" x14ac:dyDescent="0.2">
      <c r="A17" s="121">
        <v>11</v>
      </c>
      <c r="B17" s="122" t="s">
        <v>355</v>
      </c>
      <c r="C17" s="122" t="s">
        <v>356</v>
      </c>
      <c r="D17" s="122" t="s">
        <v>216</v>
      </c>
      <c r="E17" s="123">
        <v>117702</v>
      </c>
      <c r="F17" s="124">
        <v>5024.1098700000002</v>
      </c>
      <c r="G17" s="125">
        <v>2.226585E-2</v>
      </c>
      <c r="H17" s="120" t="s">
        <v>151</v>
      </c>
      <c r="J17" s="27"/>
    </row>
    <row r="18" spans="1:10" ht="25.5" x14ac:dyDescent="0.2">
      <c r="A18" s="121">
        <v>12</v>
      </c>
      <c r="B18" s="122" t="s">
        <v>23</v>
      </c>
      <c r="C18" s="122" t="s">
        <v>24</v>
      </c>
      <c r="D18" s="122" t="s">
        <v>25</v>
      </c>
      <c r="E18" s="123">
        <v>42000</v>
      </c>
      <c r="F18" s="124">
        <v>4956.84</v>
      </c>
      <c r="G18" s="125">
        <v>2.1967730000000001E-2</v>
      </c>
      <c r="H18" s="120" t="s">
        <v>151</v>
      </c>
      <c r="J18" s="27"/>
    </row>
    <row r="19" spans="1:10" x14ac:dyDescent="0.2">
      <c r="A19" s="121">
        <v>13</v>
      </c>
      <c r="B19" s="122" t="s">
        <v>349</v>
      </c>
      <c r="C19" s="122" t="s">
        <v>350</v>
      </c>
      <c r="D19" s="122" t="s">
        <v>48</v>
      </c>
      <c r="E19" s="123">
        <v>401535</v>
      </c>
      <c r="F19" s="124">
        <v>4947.7142700000004</v>
      </c>
      <c r="G19" s="125">
        <v>2.192728E-2</v>
      </c>
      <c r="H19" s="120" t="s">
        <v>151</v>
      </c>
      <c r="J19" s="27"/>
    </row>
    <row r="20" spans="1:10" x14ac:dyDescent="0.2">
      <c r="A20" s="121">
        <v>14</v>
      </c>
      <c r="B20" s="122" t="s">
        <v>547</v>
      </c>
      <c r="C20" s="122" t="s">
        <v>548</v>
      </c>
      <c r="D20" s="122" t="s">
        <v>270</v>
      </c>
      <c r="E20" s="123">
        <v>36500</v>
      </c>
      <c r="F20" s="124">
        <v>4831.87</v>
      </c>
      <c r="G20" s="125">
        <v>2.141388E-2</v>
      </c>
      <c r="H20" s="120" t="s">
        <v>151</v>
      </c>
      <c r="J20" s="27"/>
    </row>
    <row r="21" spans="1:10" x14ac:dyDescent="0.2">
      <c r="A21" s="121">
        <v>15</v>
      </c>
      <c r="B21" s="122" t="s">
        <v>378</v>
      </c>
      <c r="C21" s="122" t="s">
        <v>379</v>
      </c>
      <c r="D21" s="122" t="s">
        <v>368</v>
      </c>
      <c r="E21" s="123">
        <v>140000</v>
      </c>
      <c r="F21" s="124">
        <v>4141.62</v>
      </c>
      <c r="G21" s="125">
        <v>1.8354829999999999E-2</v>
      </c>
      <c r="H21" s="120" t="s">
        <v>151</v>
      </c>
      <c r="J21" s="27"/>
    </row>
    <row r="22" spans="1:10" ht="15" x14ac:dyDescent="0.2">
      <c r="A22" s="121">
        <v>16</v>
      </c>
      <c r="B22" s="122" t="s">
        <v>126</v>
      </c>
      <c r="C22" s="122" t="s">
        <v>127</v>
      </c>
      <c r="D22" s="122" t="s">
        <v>55</v>
      </c>
      <c r="E22" s="123">
        <v>578000</v>
      </c>
      <c r="F22" s="124">
        <v>3958.7220000000002</v>
      </c>
      <c r="G22" s="125">
        <v>1.7544270000000001E-2</v>
      </c>
      <c r="H22" s="120" t="s">
        <v>151</v>
      </c>
      <c r="J22" s="11"/>
    </row>
    <row r="23" spans="1:10" x14ac:dyDescent="0.2">
      <c r="A23" s="121">
        <v>17</v>
      </c>
      <c r="B23" s="122" t="s">
        <v>663</v>
      </c>
      <c r="C23" s="122" t="s">
        <v>664</v>
      </c>
      <c r="D23" s="122" t="s">
        <v>121</v>
      </c>
      <c r="E23" s="123">
        <v>50000</v>
      </c>
      <c r="F23" s="124">
        <v>3851.5</v>
      </c>
      <c r="G23" s="125">
        <v>1.706908E-2</v>
      </c>
      <c r="H23" s="120" t="s">
        <v>151</v>
      </c>
      <c r="J23" s="8"/>
    </row>
    <row r="24" spans="1:10" x14ac:dyDescent="0.2">
      <c r="A24" s="121">
        <v>18</v>
      </c>
      <c r="B24" s="122" t="s">
        <v>275</v>
      </c>
      <c r="C24" s="122" t="s">
        <v>276</v>
      </c>
      <c r="D24" s="122" t="s">
        <v>121</v>
      </c>
      <c r="E24" s="123">
        <v>235000</v>
      </c>
      <c r="F24" s="124">
        <v>3778.8</v>
      </c>
      <c r="G24" s="125">
        <v>1.674689E-2</v>
      </c>
      <c r="H24" s="120" t="s">
        <v>151</v>
      </c>
      <c r="J24" s="8"/>
    </row>
    <row r="25" spans="1:10" x14ac:dyDescent="0.2">
      <c r="A25" s="121">
        <v>19</v>
      </c>
      <c r="B25" s="122" t="s">
        <v>471</v>
      </c>
      <c r="C25" s="122" t="s">
        <v>472</v>
      </c>
      <c r="D25" s="122" t="s">
        <v>48</v>
      </c>
      <c r="E25" s="123">
        <v>240000</v>
      </c>
      <c r="F25" s="124">
        <v>3474.24</v>
      </c>
      <c r="G25" s="125">
        <v>1.539714E-2</v>
      </c>
      <c r="H25" s="120" t="s">
        <v>151</v>
      </c>
      <c r="J25" s="8" t="s">
        <v>1032</v>
      </c>
    </row>
    <row r="26" spans="1:10" x14ac:dyDescent="0.2">
      <c r="A26" s="121">
        <v>20</v>
      </c>
      <c r="B26" s="122" t="s">
        <v>689</v>
      </c>
      <c r="C26" s="122" t="s">
        <v>690</v>
      </c>
      <c r="D26" s="122" t="s">
        <v>35</v>
      </c>
      <c r="E26" s="123">
        <v>167000</v>
      </c>
      <c r="F26" s="124">
        <v>3446.3789999999999</v>
      </c>
      <c r="G26" s="125">
        <v>1.527366E-2</v>
      </c>
      <c r="H26" s="120" t="s">
        <v>151</v>
      </c>
      <c r="J26" s="27"/>
    </row>
    <row r="27" spans="1:10" x14ac:dyDescent="0.2">
      <c r="A27" s="121">
        <v>21</v>
      </c>
      <c r="B27" s="122" t="s">
        <v>17</v>
      </c>
      <c r="C27" s="122" t="s">
        <v>18</v>
      </c>
      <c r="D27" s="122" t="s">
        <v>19</v>
      </c>
      <c r="E27" s="123">
        <v>770000</v>
      </c>
      <c r="F27" s="124">
        <v>3412.64</v>
      </c>
      <c r="G27" s="125">
        <v>1.5124139999999999E-2</v>
      </c>
      <c r="H27" s="120" t="s">
        <v>151</v>
      </c>
      <c r="J27" s="27"/>
    </row>
    <row r="28" spans="1:10" x14ac:dyDescent="0.2">
      <c r="A28" s="121">
        <v>22</v>
      </c>
      <c r="B28" s="122" t="s">
        <v>242</v>
      </c>
      <c r="C28" s="122" t="s">
        <v>243</v>
      </c>
      <c r="D28" s="122" t="s">
        <v>200</v>
      </c>
      <c r="E28" s="123">
        <v>42000</v>
      </c>
      <c r="F28" s="124">
        <v>3402.2939999999999</v>
      </c>
      <c r="G28" s="125">
        <v>1.5078289999999999E-2</v>
      </c>
      <c r="H28" s="120" t="s">
        <v>151</v>
      </c>
      <c r="J28" s="27"/>
    </row>
    <row r="29" spans="1:10" x14ac:dyDescent="0.2">
      <c r="A29" s="121">
        <v>23</v>
      </c>
      <c r="B29" s="122" t="s">
        <v>704</v>
      </c>
      <c r="C29" s="122" t="s">
        <v>705</v>
      </c>
      <c r="D29" s="122" t="s">
        <v>241</v>
      </c>
      <c r="E29" s="123">
        <v>46000</v>
      </c>
      <c r="F29" s="124">
        <v>3329.3420000000001</v>
      </c>
      <c r="G29" s="125">
        <v>1.4754979999999999E-2</v>
      </c>
      <c r="H29" s="120" t="s">
        <v>151</v>
      </c>
      <c r="J29" s="27"/>
    </row>
    <row r="30" spans="1:10" ht="25.5" x14ac:dyDescent="0.2">
      <c r="A30" s="121">
        <v>24</v>
      </c>
      <c r="B30" s="122" t="s">
        <v>380</v>
      </c>
      <c r="C30" s="122" t="s">
        <v>381</v>
      </c>
      <c r="D30" s="122" t="s">
        <v>205</v>
      </c>
      <c r="E30" s="123">
        <v>226000</v>
      </c>
      <c r="F30" s="124">
        <v>3301.1819999999998</v>
      </c>
      <c r="G30" s="125">
        <v>1.463018E-2</v>
      </c>
      <c r="H30" s="120" t="s">
        <v>151</v>
      </c>
      <c r="J30" s="27"/>
    </row>
    <row r="31" spans="1:10" ht="25.5" x14ac:dyDescent="0.2">
      <c r="A31" s="121">
        <v>25</v>
      </c>
      <c r="B31" s="122" t="s">
        <v>465</v>
      </c>
      <c r="C31" s="122" t="s">
        <v>466</v>
      </c>
      <c r="D31" s="122" t="s">
        <v>205</v>
      </c>
      <c r="E31" s="123">
        <v>196000</v>
      </c>
      <c r="F31" s="124">
        <v>3242.0360000000001</v>
      </c>
      <c r="G31" s="125">
        <v>1.436806E-2</v>
      </c>
      <c r="H31" s="120" t="s">
        <v>151</v>
      </c>
      <c r="J31" s="27"/>
    </row>
    <row r="32" spans="1:10" x14ac:dyDescent="0.2">
      <c r="A32" s="121">
        <v>26</v>
      </c>
      <c r="B32" s="122" t="s">
        <v>551</v>
      </c>
      <c r="C32" s="122" t="s">
        <v>552</v>
      </c>
      <c r="D32" s="122" t="s">
        <v>216</v>
      </c>
      <c r="E32" s="123">
        <v>201000</v>
      </c>
      <c r="F32" s="124">
        <v>3170.172</v>
      </c>
      <c r="G32" s="125">
        <v>1.4049570000000001E-2</v>
      </c>
      <c r="H32" s="120" t="s">
        <v>151</v>
      </c>
      <c r="J32" s="27"/>
    </row>
    <row r="33" spans="1:10" x14ac:dyDescent="0.2">
      <c r="A33" s="121">
        <v>27</v>
      </c>
      <c r="B33" s="122" t="s">
        <v>498</v>
      </c>
      <c r="C33" s="122" t="s">
        <v>499</v>
      </c>
      <c r="D33" s="122" t="s">
        <v>121</v>
      </c>
      <c r="E33" s="123">
        <v>295284</v>
      </c>
      <c r="F33" s="124">
        <v>2902.4940780000002</v>
      </c>
      <c r="G33" s="125">
        <v>1.286328E-2</v>
      </c>
      <c r="H33" s="120" t="s">
        <v>151</v>
      </c>
      <c r="J33" s="27"/>
    </row>
    <row r="34" spans="1:10" x14ac:dyDescent="0.2">
      <c r="A34" s="121">
        <v>28</v>
      </c>
      <c r="B34" s="122" t="s">
        <v>730</v>
      </c>
      <c r="C34" s="122" t="s">
        <v>731</v>
      </c>
      <c r="D34" s="122" t="s">
        <v>211</v>
      </c>
      <c r="E34" s="123">
        <v>127000</v>
      </c>
      <c r="F34" s="124">
        <v>2783.9034999999999</v>
      </c>
      <c r="G34" s="125">
        <v>1.233771E-2</v>
      </c>
      <c r="H34" s="120" t="s">
        <v>151</v>
      </c>
      <c r="J34" s="27"/>
    </row>
    <row r="35" spans="1:10" x14ac:dyDescent="0.2">
      <c r="A35" s="121">
        <v>29</v>
      </c>
      <c r="B35" s="122" t="s">
        <v>384</v>
      </c>
      <c r="C35" s="122" t="s">
        <v>385</v>
      </c>
      <c r="D35" s="122" t="s">
        <v>134</v>
      </c>
      <c r="E35" s="123">
        <v>1625000</v>
      </c>
      <c r="F35" s="124">
        <v>2738.9375</v>
      </c>
      <c r="G35" s="125">
        <v>1.213842E-2</v>
      </c>
      <c r="H35" s="120" t="s">
        <v>151</v>
      </c>
      <c r="J35" s="27"/>
    </row>
    <row r="36" spans="1:10" x14ac:dyDescent="0.2">
      <c r="A36" s="121">
        <v>30</v>
      </c>
      <c r="B36" s="122" t="s">
        <v>293</v>
      </c>
      <c r="C36" s="122" t="s">
        <v>294</v>
      </c>
      <c r="D36" s="122" t="s">
        <v>295</v>
      </c>
      <c r="E36" s="123">
        <v>226000</v>
      </c>
      <c r="F36" s="124">
        <v>2691.66</v>
      </c>
      <c r="G36" s="125">
        <v>1.1928899999999999E-2</v>
      </c>
      <c r="H36" s="120" t="s">
        <v>151</v>
      </c>
      <c r="J36" s="27"/>
    </row>
    <row r="37" spans="1:10" x14ac:dyDescent="0.2">
      <c r="A37" s="121">
        <v>31</v>
      </c>
      <c r="B37" s="122" t="s">
        <v>124</v>
      </c>
      <c r="C37" s="122" t="s">
        <v>125</v>
      </c>
      <c r="D37" s="122" t="s">
        <v>85</v>
      </c>
      <c r="E37" s="123">
        <v>629000</v>
      </c>
      <c r="F37" s="124">
        <v>2673.25</v>
      </c>
      <c r="G37" s="125">
        <v>1.184731E-2</v>
      </c>
      <c r="H37" s="120" t="s">
        <v>151</v>
      </c>
      <c r="J37" s="27"/>
    </row>
    <row r="38" spans="1:10" ht="25.5" x14ac:dyDescent="0.2">
      <c r="A38" s="121">
        <v>32</v>
      </c>
      <c r="B38" s="122" t="s">
        <v>304</v>
      </c>
      <c r="C38" s="122" t="s">
        <v>305</v>
      </c>
      <c r="D38" s="122" t="s">
        <v>205</v>
      </c>
      <c r="E38" s="123">
        <v>573396</v>
      </c>
      <c r="F38" s="124">
        <v>2658.263856</v>
      </c>
      <c r="G38" s="125">
        <v>1.17809E-2</v>
      </c>
      <c r="H38" s="120" t="s">
        <v>151</v>
      </c>
      <c r="J38" s="27"/>
    </row>
    <row r="39" spans="1:10" x14ac:dyDescent="0.2">
      <c r="A39" s="121">
        <v>33</v>
      </c>
      <c r="B39" s="122" t="s">
        <v>517</v>
      </c>
      <c r="C39" s="122" t="s">
        <v>518</v>
      </c>
      <c r="D39" s="122" t="s">
        <v>241</v>
      </c>
      <c r="E39" s="123">
        <v>101000</v>
      </c>
      <c r="F39" s="124">
        <v>2628.6765</v>
      </c>
      <c r="G39" s="125">
        <v>1.164977E-2</v>
      </c>
      <c r="H39" s="120" t="s">
        <v>151</v>
      </c>
      <c r="J39" s="27"/>
    </row>
    <row r="40" spans="1:10" x14ac:dyDescent="0.2">
      <c r="A40" s="121">
        <v>34</v>
      </c>
      <c r="B40" s="122" t="s">
        <v>345</v>
      </c>
      <c r="C40" s="122" t="s">
        <v>346</v>
      </c>
      <c r="D40" s="122" t="s">
        <v>200</v>
      </c>
      <c r="E40" s="123">
        <v>937000</v>
      </c>
      <c r="F40" s="124">
        <v>2560.8209999999999</v>
      </c>
      <c r="G40" s="125">
        <v>1.1349049999999999E-2</v>
      </c>
      <c r="H40" s="120" t="s">
        <v>151</v>
      </c>
      <c r="J40" s="27"/>
    </row>
    <row r="41" spans="1:10" ht="25.5" x14ac:dyDescent="0.2">
      <c r="A41" s="121">
        <v>35</v>
      </c>
      <c r="B41" s="122" t="s">
        <v>91</v>
      </c>
      <c r="C41" s="122" t="s">
        <v>92</v>
      </c>
      <c r="D41" s="122" t="s">
        <v>93</v>
      </c>
      <c r="E41" s="123">
        <v>175000</v>
      </c>
      <c r="F41" s="124">
        <v>2534.35</v>
      </c>
      <c r="G41" s="125">
        <v>1.1231730000000001E-2</v>
      </c>
      <c r="H41" s="120" t="s">
        <v>151</v>
      </c>
      <c r="J41" s="27"/>
    </row>
    <row r="42" spans="1:10" x14ac:dyDescent="0.2">
      <c r="A42" s="121">
        <v>36</v>
      </c>
      <c r="B42" s="122" t="s">
        <v>388</v>
      </c>
      <c r="C42" s="122" t="s">
        <v>389</v>
      </c>
      <c r="D42" s="122" t="s">
        <v>35</v>
      </c>
      <c r="E42" s="123">
        <v>64000</v>
      </c>
      <c r="F42" s="124">
        <v>2447.328</v>
      </c>
      <c r="G42" s="125">
        <v>1.0846069999999999E-2</v>
      </c>
      <c r="H42" s="120" t="s">
        <v>151</v>
      </c>
      <c r="J42" s="27"/>
    </row>
    <row r="43" spans="1:10" x14ac:dyDescent="0.2">
      <c r="A43" s="121">
        <v>37</v>
      </c>
      <c r="B43" s="122" t="s">
        <v>364</v>
      </c>
      <c r="C43" s="122" t="s">
        <v>365</v>
      </c>
      <c r="D43" s="122" t="s">
        <v>270</v>
      </c>
      <c r="E43" s="123">
        <v>250000</v>
      </c>
      <c r="F43" s="124">
        <v>2436.625</v>
      </c>
      <c r="G43" s="125">
        <v>1.079864E-2</v>
      </c>
      <c r="H43" s="120" t="s">
        <v>151</v>
      </c>
      <c r="J43" s="27"/>
    </row>
    <row r="44" spans="1:10" ht="25.5" x14ac:dyDescent="0.2">
      <c r="A44" s="121">
        <v>38</v>
      </c>
      <c r="B44" s="122" t="s">
        <v>753</v>
      </c>
      <c r="C44" s="122" t="s">
        <v>754</v>
      </c>
      <c r="D44" s="122" t="s">
        <v>258</v>
      </c>
      <c r="E44" s="123">
        <v>70000</v>
      </c>
      <c r="F44" s="124">
        <v>2351.58</v>
      </c>
      <c r="G44" s="125">
        <v>1.0421730000000001E-2</v>
      </c>
      <c r="H44" s="120" t="s">
        <v>151</v>
      </c>
      <c r="J44" s="27"/>
    </row>
    <row r="45" spans="1:10" x14ac:dyDescent="0.2">
      <c r="A45" s="121">
        <v>39</v>
      </c>
      <c r="B45" s="122" t="s">
        <v>41</v>
      </c>
      <c r="C45" s="122" t="s">
        <v>42</v>
      </c>
      <c r="D45" s="122" t="s">
        <v>16</v>
      </c>
      <c r="E45" s="123">
        <v>158000</v>
      </c>
      <c r="F45" s="124">
        <v>2280.73</v>
      </c>
      <c r="G45" s="125">
        <v>1.010774E-2</v>
      </c>
      <c r="H45" s="120" t="s">
        <v>151</v>
      </c>
      <c r="J45" s="27"/>
    </row>
    <row r="46" spans="1:10" x14ac:dyDescent="0.2">
      <c r="A46" s="121">
        <v>40</v>
      </c>
      <c r="B46" s="122" t="s">
        <v>362</v>
      </c>
      <c r="C46" s="122" t="s">
        <v>363</v>
      </c>
      <c r="D46" s="122" t="s">
        <v>241</v>
      </c>
      <c r="E46" s="123">
        <v>39000</v>
      </c>
      <c r="F46" s="124">
        <v>2207.5169999999998</v>
      </c>
      <c r="G46" s="125">
        <v>9.7832800000000001E-3</v>
      </c>
      <c r="H46" s="120" t="s">
        <v>151</v>
      </c>
      <c r="J46" s="27"/>
    </row>
    <row r="47" spans="1:10" x14ac:dyDescent="0.2">
      <c r="A47" s="121">
        <v>41</v>
      </c>
      <c r="B47" s="122" t="s">
        <v>512</v>
      </c>
      <c r="C47" s="122" t="s">
        <v>513</v>
      </c>
      <c r="D47" s="122" t="s">
        <v>514</v>
      </c>
      <c r="E47" s="123">
        <v>26000</v>
      </c>
      <c r="F47" s="124">
        <v>2204.3969999999999</v>
      </c>
      <c r="G47" s="125">
        <v>9.7694500000000007E-3</v>
      </c>
      <c r="H47" s="120" t="s">
        <v>151</v>
      </c>
      <c r="J47" s="27"/>
    </row>
    <row r="48" spans="1:10" ht="25.5" x14ac:dyDescent="0.2">
      <c r="A48" s="121">
        <v>42</v>
      </c>
      <c r="B48" s="122" t="s">
        <v>712</v>
      </c>
      <c r="C48" s="122" t="s">
        <v>713</v>
      </c>
      <c r="D48" s="122" t="s">
        <v>25</v>
      </c>
      <c r="E48" s="123">
        <v>110137</v>
      </c>
      <c r="F48" s="124">
        <v>2129.1684839999998</v>
      </c>
      <c r="G48" s="125">
        <v>9.4360499999999996E-3</v>
      </c>
      <c r="H48" s="120" t="s">
        <v>151</v>
      </c>
      <c r="J48" s="27"/>
    </row>
    <row r="49" spans="1:10" x14ac:dyDescent="0.2">
      <c r="A49" s="121">
        <v>43</v>
      </c>
      <c r="B49" s="122" t="s">
        <v>697</v>
      </c>
      <c r="C49" s="122" t="s">
        <v>698</v>
      </c>
      <c r="D49" s="122" t="s">
        <v>58</v>
      </c>
      <c r="E49" s="123">
        <v>356000</v>
      </c>
      <c r="F49" s="124">
        <v>2067.114</v>
      </c>
      <c r="G49" s="125">
        <v>9.1610400000000005E-3</v>
      </c>
      <c r="H49" s="120" t="s">
        <v>151</v>
      </c>
      <c r="J49" s="27"/>
    </row>
    <row r="50" spans="1:10" x14ac:dyDescent="0.2">
      <c r="A50" s="121">
        <v>44</v>
      </c>
      <c r="B50" s="122" t="s">
        <v>351</v>
      </c>
      <c r="C50" s="122" t="s">
        <v>352</v>
      </c>
      <c r="D50" s="122" t="s">
        <v>48</v>
      </c>
      <c r="E50" s="123">
        <v>110000</v>
      </c>
      <c r="F50" s="124">
        <v>2039.345</v>
      </c>
      <c r="G50" s="125">
        <v>9.0379699999999993E-3</v>
      </c>
      <c r="H50" s="120" t="s">
        <v>151</v>
      </c>
      <c r="J50" s="27"/>
    </row>
    <row r="51" spans="1:10" x14ac:dyDescent="0.2">
      <c r="A51" s="121">
        <v>45</v>
      </c>
      <c r="B51" s="122" t="s">
        <v>26</v>
      </c>
      <c r="C51" s="122" t="s">
        <v>27</v>
      </c>
      <c r="D51" s="122" t="s">
        <v>19</v>
      </c>
      <c r="E51" s="123">
        <v>560000</v>
      </c>
      <c r="F51" s="124">
        <v>1975.96</v>
      </c>
      <c r="G51" s="125">
        <v>8.7570600000000005E-3</v>
      </c>
      <c r="H51" s="120" t="s">
        <v>151</v>
      </c>
      <c r="J51" s="27"/>
    </row>
    <row r="52" spans="1:10" x14ac:dyDescent="0.2">
      <c r="A52" s="121">
        <v>46</v>
      </c>
      <c r="B52" s="122" t="s">
        <v>236</v>
      </c>
      <c r="C52" s="122" t="s">
        <v>237</v>
      </c>
      <c r="D52" s="122" t="s">
        <v>238</v>
      </c>
      <c r="E52" s="123">
        <v>285000</v>
      </c>
      <c r="F52" s="124">
        <v>1943.415</v>
      </c>
      <c r="G52" s="125">
        <v>8.6128300000000001E-3</v>
      </c>
      <c r="H52" s="120" t="s">
        <v>151</v>
      </c>
      <c r="J52" s="27"/>
    </row>
    <row r="53" spans="1:10" x14ac:dyDescent="0.2">
      <c r="A53" s="121">
        <v>47</v>
      </c>
      <c r="B53" s="122" t="s">
        <v>727</v>
      </c>
      <c r="C53" s="122" t="s">
        <v>728</v>
      </c>
      <c r="D53" s="122" t="s">
        <v>200</v>
      </c>
      <c r="E53" s="123">
        <v>37000</v>
      </c>
      <c r="F53" s="124">
        <v>1885.6310000000001</v>
      </c>
      <c r="G53" s="125">
        <v>8.3567399999999997E-3</v>
      </c>
      <c r="H53" s="120" t="s">
        <v>151</v>
      </c>
      <c r="J53" s="27"/>
    </row>
    <row r="54" spans="1:10" x14ac:dyDescent="0.2">
      <c r="A54" s="121">
        <v>48</v>
      </c>
      <c r="B54" s="122" t="s">
        <v>53</v>
      </c>
      <c r="C54" s="122" t="s">
        <v>54</v>
      </c>
      <c r="D54" s="122" t="s">
        <v>55</v>
      </c>
      <c r="E54" s="123">
        <v>109000</v>
      </c>
      <c r="F54" s="124">
        <v>1832.29</v>
      </c>
      <c r="G54" s="125">
        <v>8.1203400000000002E-3</v>
      </c>
      <c r="H54" s="120" t="s">
        <v>151</v>
      </c>
      <c r="J54" s="27"/>
    </row>
    <row r="55" spans="1:10" x14ac:dyDescent="0.2">
      <c r="A55" s="121">
        <v>49</v>
      </c>
      <c r="B55" s="122" t="s">
        <v>201</v>
      </c>
      <c r="C55" s="122" t="s">
        <v>202</v>
      </c>
      <c r="D55" s="122" t="s">
        <v>48</v>
      </c>
      <c r="E55" s="123">
        <v>865456</v>
      </c>
      <c r="F55" s="124">
        <v>1702.6115887999999</v>
      </c>
      <c r="G55" s="125">
        <v>7.5456400000000002E-3</v>
      </c>
      <c r="H55" s="120" t="s">
        <v>151</v>
      </c>
      <c r="J55" s="27"/>
    </row>
    <row r="56" spans="1:10" x14ac:dyDescent="0.2">
      <c r="A56" s="121">
        <v>50</v>
      </c>
      <c r="B56" s="122" t="s">
        <v>65</v>
      </c>
      <c r="C56" s="122" t="s">
        <v>66</v>
      </c>
      <c r="D56" s="122" t="s">
        <v>67</v>
      </c>
      <c r="E56" s="123">
        <v>651000</v>
      </c>
      <c r="F56" s="124">
        <v>1564.2879</v>
      </c>
      <c r="G56" s="125">
        <v>6.9326099999999996E-3</v>
      </c>
      <c r="H56" s="120" t="s">
        <v>151</v>
      </c>
      <c r="J56" s="27"/>
    </row>
    <row r="57" spans="1:10" x14ac:dyDescent="0.2">
      <c r="A57" s="121">
        <v>51</v>
      </c>
      <c r="B57" s="122" t="s">
        <v>332</v>
      </c>
      <c r="C57" s="122" t="s">
        <v>333</v>
      </c>
      <c r="D57" s="122" t="s">
        <v>35</v>
      </c>
      <c r="E57" s="123">
        <v>104000</v>
      </c>
      <c r="F57" s="124">
        <v>1524.5360000000001</v>
      </c>
      <c r="G57" s="125">
        <v>6.7564399999999998E-3</v>
      </c>
      <c r="H57" s="120" t="s">
        <v>151</v>
      </c>
      <c r="J57" s="27"/>
    </row>
    <row r="58" spans="1:10" x14ac:dyDescent="0.2">
      <c r="A58" s="121">
        <v>52</v>
      </c>
      <c r="B58" s="122" t="s">
        <v>117</v>
      </c>
      <c r="C58" s="122" t="s">
        <v>118</v>
      </c>
      <c r="D58" s="122" t="s">
        <v>70</v>
      </c>
      <c r="E58" s="123">
        <v>145000</v>
      </c>
      <c r="F58" s="124">
        <v>1452.7550000000001</v>
      </c>
      <c r="G58" s="125">
        <v>6.43832E-3</v>
      </c>
      <c r="H58" s="120" t="s">
        <v>151</v>
      </c>
      <c r="J58" s="27"/>
    </row>
    <row r="59" spans="1:10" x14ac:dyDescent="0.2">
      <c r="A59" s="121">
        <v>53</v>
      </c>
      <c r="B59" s="122" t="s">
        <v>105</v>
      </c>
      <c r="C59" s="122" t="s">
        <v>106</v>
      </c>
      <c r="D59" s="122" t="s">
        <v>32</v>
      </c>
      <c r="E59" s="123">
        <v>38000</v>
      </c>
      <c r="F59" s="124">
        <v>1446.299</v>
      </c>
      <c r="G59" s="125">
        <v>6.4097099999999999E-3</v>
      </c>
      <c r="H59" s="120" t="s">
        <v>151</v>
      </c>
      <c r="J59" s="27"/>
    </row>
    <row r="60" spans="1:10" x14ac:dyDescent="0.2">
      <c r="A60" s="121">
        <v>54</v>
      </c>
      <c r="B60" s="122" t="s">
        <v>259</v>
      </c>
      <c r="C60" s="122" t="s">
        <v>260</v>
      </c>
      <c r="D60" s="122" t="s">
        <v>261</v>
      </c>
      <c r="E60" s="123">
        <v>64000</v>
      </c>
      <c r="F60" s="124">
        <v>1392.288</v>
      </c>
      <c r="G60" s="125">
        <v>6.1703399999999999E-3</v>
      </c>
      <c r="H60" s="120" t="s">
        <v>151</v>
      </c>
      <c r="J60" s="27"/>
    </row>
    <row r="61" spans="1:10" ht="25.5" x14ac:dyDescent="0.2">
      <c r="A61" s="121">
        <v>55</v>
      </c>
      <c r="B61" s="122" t="s">
        <v>708</v>
      </c>
      <c r="C61" s="122" t="s">
        <v>709</v>
      </c>
      <c r="D61" s="122" t="s">
        <v>205</v>
      </c>
      <c r="E61" s="123">
        <v>51000</v>
      </c>
      <c r="F61" s="124">
        <v>1285.557</v>
      </c>
      <c r="G61" s="125">
        <v>5.6973299999999996E-3</v>
      </c>
      <c r="H61" s="120" t="s">
        <v>151</v>
      </c>
      <c r="J61" s="27"/>
    </row>
    <row r="62" spans="1:10" x14ac:dyDescent="0.2">
      <c r="A62" s="121">
        <v>56</v>
      </c>
      <c r="B62" s="122" t="s">
        <v>336</v>
      </c>
      <c r="C62" s="122" t="s">
        <v>337</v>
      </c>
      <c r="D62" s="122" t="s">
        <v>295</v>
      </c>
      <c r="E62" s="123">
        <v>155000</v>
      </c>
      <c r="F62" s="124">
        <v>1209.2325000000001</v>
      </c>
      <c r="G62" s="125">
        <v>5.3590799999999996E-3</v>
      </c>
      <c r="H62" s="120" t="s">
        <v>151</v>
      </c>
      <c r="J62" s="27"/>
    </row>
    <row r="63" spans="1:10" x14ac:dyDescent="0.2">
      <c r="A63" s="121">
        <v>57</v>
      </c>
      <c r="B63" s="122" t="s">
        <v>445</v>
      </c>
      <c r="C63" s="122" t="s">
        <v>446</v>
      </c>
      <c r="D63" s="122" t="s">
        <v>35</v>
      </c>
      <c r="E63" s="123">
        <v>112224</v>
      </c>
      <c r="F63" s="124">
        <v>1101.422448</v>
      </c>
      <c r="G63" s="125">
        <v>4.88128E-3</v>
      </c>
      <c r="H63" s="120" t="s">
        <v>151</v>
      </c>
      <c r="J63" s="27"/>
    </row>
    <row r="64" spans="1:10" x14ac:dyDescent="0.2">
      <c r="A64" s="121">
        <v>58</v>
      </c>
      <c r="B64" s="122" t="s">
        <v>714</v>
      </c>
      <c r="C64" s="122" t="s">
        <v>715</v>
      </c>
      <c r="D64" s="122" t="s">
        <v>395</v>
      </c>
      <c r="E64" s="123">
        <v>77000</v>
      </c>
      <c r="F64" s="124">
        <v>849.42550000000006</v>
      </c>
      <c r="G64" s="125">
        <v>3.7644800000000002E-3</v>
      </c>
      <c r="H64" s="120" t="s">
        <v>151</v>
      </c>
      <c r="J64" s="27"/>
    </row>
    <row r="65" spans="1:10" x14ac:dyDescent="0.2">
      <c r="A65" s="121">
        <v>59</v>
      </c>
      <c r="B65" s="122" t="s">
        <v>128</v>
      </c>
      <c r="C65" s="122" t="s">
        <v>129</v>
      </c>
      <c r="D65" s="122" t="s">
        <v>70</v>
      </c>
      <c r="E65" s="123">
        <v>21000</v>
      </c>
      <c r="F65" s="124">
        <v>821.87699999999995</v>
      </c>
      <c r="G65" s="125">
        <v>3.6424000000000001E-3</v>
      </c>
      <c r="H65" s="120" t="s">
        <v>151</v>
      </c>
      <c r="J65" s="27"/>
    </row>
    <row r="66" spans="1:10" x14ac:dyDescent="0.2">
      <c r="A66" s="121">
        <v>60</v>
      </c>
      <c r="B66" s="122" t="s">
        <v>800</v>
      </c>
      <c r="C66" s="122" t="s">
        <v>801</v>
      </c>
      <c r="D66" s="122" t="s">
        <v>35</v>
      </c>
      <c r="E66" s="123">
        <v>40000</v>
      </c>
      <c r="F66" s="124">
        <v>575.88</v>
      </c>
      <c r="G66" s="125">
        <v>2.5521900000000002E-3</v>
      </c>
      <c r="H66" s="120" t="s">
        <v>151</v>
      </c>
      <c r="J66" s="27"/>
    </row>
    <row r="67" spans="1:10" ht="25.5" x14ac:dyDescent="0.2">
      <c r="A67" s="121">
        <v>61</v>
      </c>
      <c r="B67" s="122" t="s">
        <v>139</v>
      </c>
      <c r="C67" s="122" t="s">
        <v>140</v>
      </c>
      <c r="D67" s="122" t="s">
        <v>25</v>
      </c>
      <c r="E67" s="123">
        <v>250000</v>
      </c>
      <c r="F67" s="124">
        <v>559.97500000000002</v>
      </c>
      <c r="G67" s="125">
        <v>2.4816999999999999E-3</v>
      </c>
      <c r="H67" s="120" t="s">
        <v>151</v>
      </c>
      <c r="J67" s="27"/>
    </row>
    <row r="68" spans="1:10" x14ac:dyDescent="0.2">
      <c r="A68" s="121">
        <v>62</v>
      </c>
      <c r="B68" s="122" t="s">
        <v>266</v>
      </c>
      <c r="C68" s="122" t="s">
        <v>267</v>
      </c>
      <c r="D68" s="122" t="s">
        <v>32</v>
      </c>
      <c r="E68" s="123">
        <v>7000</v>
      </c>
      <c r="F68" s="124">
        <v>486.86399999999998</v>
      </c>
      <c r="G68" s="125">
        <v>2.1576799999999999E-3</v>
      </c>
      <c r="H68" s="120" t="s">
        <v>151</v>
      </c>
      <c r="J68" s="27"/>
    </row>
    <row r="69" spans="1:10" x14ac:dyDescent="0.2">
      <c r="A69" s="121">
        <v>63</v>
      </c>
      <c r="B69" s="122" t="s">
        <v>485</v>
      </c>
      <c r="C69" s="122" t="s">
        <v>486</v>
      </c>
      <c r="D69" s="122" t="s">
        <v>70</v>
      </c>
      <c r="E69" s="123">
        <v>10904</v>
      </c>
      <c r="F69" s="124">
        <v>343.999392</v>
      </c>
      <c r="G69" s="125">
        <v>1.52454E-3</v>
      </c>
      <c r="H69" s="120" t="s">
        <v>151</v>
      </c>
      <c r="J69" s="27"/>
    </row>
    <row r="70" spans="1:10" x14ac:dyDescent="0.2">
      <c r="A70" s="121">
        <v>64</v>
      </c>
      <c r="B70" s="122" t="s">
        <v>825</v>
      </c>
      <c r="C70" s="122" t="s">
        <v>826</v>
      </c>
      <c r="D70" s="122" t="s">
        <v>121</v>
      </c>
      <c r="E70" s="123">
        <v>10465</v>
      </c>
      <c r="F70" s="124">
        <v>177.19337999999999</v>
      </c>
      <c r="G70" s="125">
        <v>7.8529000000000001E-4</v>
      </c>
      <c r="H70" s="120" t="s">
        <v>151</v>
      </c>
      <c r="J70" s="27"/>
    </row>
    <row r="71" spans="1:10" x14ac:dyDescent="0.2">
      <c r="A71" s="118"/>
      <c r="B71" s="118"/>
      <c r="C71" s="119" t="s">
        <v>150</v>
      </c>
      <c r="D71" s="118"/>
      <c r="E71" s="118" t="s">
        <v>151</v>
      </c>
      <c r="F71" s="126">
        <v>220814.51440479999</v>
      </c>
      <c r="G71" s="127">
        <v>0.97860590000000003</v>
      </c>
      <c r="H71" s="120" t="s">
        <v>151</v>
      </c>
      <c r="J71" s="27"/>
    </row>
    <row r="72" spans="1:10" x14ac:dyDescent="0.2">
      <c r="A72" s="118"/>
      <c r="B72" s="118"/>
      <c r="C72" s="128"/>
      <c r="D72" s="118"/>
      <c r="E72" s="118"/>
      <c r="F72" s="129"/>
      <c r="G72" s="129"/>
      <c r="H72" s="120" t="s">
        <v>151</v>
      </c>
      <c r="J72" s="27"/>
    </row>
    <row r="73" spans="1:10" x14ac:dyDescent="0.2">
      <c r="A73" s="118"/>
      <c r="B73" s="118"/>
      <c r="C73" s="119" t="s">
        <v>152</v>
      </c>
      <c r="D73" s="118"/>
      <c r="E73" s="118"/>
      <c r="F73" s="118"/>
      <c r="G73" s="118"/>
      <c r="H73" s="120" t="s">
        <v>151</v>
      </c>
      <c r="J73" s="27"/>
    </row>
    <row r="74" spans="1:10" x14ac:dyDescent="0.2">
      <c r="A74" s="118"/>
      <c r="B74" s="118"/>
      <c r="C74" s="119" t="s">
        <v>150</v>
      </c>
      <c r="D74" s="118"/>
      <c r="E74" s="118" t="s">
        <v>151</v>
      </c>
      <c r="F74" s="130" t="s">
        <v>153</v>
      </c>
      <c r="G74" s="127">
        <v>0</v>
      </c>
      <c r="H74" s="120" t="s">
        <v>151</v>
      </c>
      <c r="J74" s="27"/>
    </row>
    <row r="75" spans="1:10" x14ac:dyDescent="0.2">
      <c r="A75" s="118"/>
      <c r="B75" s="118"/>
      <c r="C75" s="128"/>
      <c r="D75" s="118"/>
      <c r="E75" s="118"/>
      <c r="F75" s="129"/>
      <c r="G75" s="129"/>
      <c r="H75" s="120" t="s">
        <v>151</v>
      </c>
      <c r="J75" s="27"/>
    </row>
    <row r="76" spans="1:10" x14ac:dyDescent="0.2">
      <c r="A76" s="118"/>
      <c r="B76" s="118"/>
      <c r="C76" s="119" t="s">
        <v>154</v>
      </c>
      <c r="D76" s="118"/>
      <c r="E76" s="118"/>
      <c r="F76" s="118"/>
      <c r="G76" s="118"/>
      <c r="H76" s="120" t="s">
        <v>151</v>
      </c>
      <c r="J76" s="27"/>
    </row>
    <row r="77" spans="1:10" x14ac:dyDescent="0.2">
      <c r="A77" s="118"/>
      <c r="B77" s="118"/>
      <c r="C77" s="119" t="s">
        <v>150</v>
      </c>
      <c r="D77" s="118"/>
      <c r="E77" s="118" t="s">
        <v>151</v>
      </c>
      <c r="F77" s="130" t="s">
        <v>153</v>
      </c>
      <c r="G77" s="127">
        <v>0</v>
      </c>
      <c r="H77" s="120" t="s">
        <v>151</v>
      </c>
      <c r="J77" s="27"/>
    </row>
    <row r="78" spans="1:10" x14ac:dyDescent="0.2">
      <c r="A78" s="118"/>
      <c r="B78" s="118"/>
      <c r="C78" s="128"/>
      <c r="D78" s="118"/>
      <c r="E78" s="118"/>
      <c r="F78" s="129"/>
      <c r="G78" s="129"/>
      <c r="H78" s="120" t="s">
        <v>151</v>
      </c>
      <c r="J78" s="27"/>
    </row>
    <row r="79" spans="1:10" x14ac:dyDescent="0.2">
      <c r="A79" s="118"/>
      <c r="B79" s="118"/>
      <c r="C79" s="119" t="s">
        <v>155</v>
      </c>
      <c r="D79" s="118"/>
      <c r="E79" s="118"/>
      <c r="F79" s="118"/>
      <c r="G79" s="118"/>
      <c r="H79" s="120" t="s">
        <v>151</v>
      </c>
      <c r="J79" s="27"/>
    </row>
    <row r="80" spans="1:10" x14ac:dyDescent="0.2">
      <c r="A80" s="118"/>
      <c r="B80" s="118"/>
      <c r="C80" s="119" t="s">
        <v>150</v>
      </c>
      <c r="D80" s="118"/>
      <c r="E80" s="118" t="s">
        <v>151</v>
      </c>
      <c r="F80" s="130" t="s">
        <v>153</v>
      </c>
      <c r="G80" s="127">
        <v>0</v>
      </c>
      <c r="H80" s="120" t="s">
        <v>151</v>
      </c>
      <c r="J80" s="27"/>
    </row>
    <row r="81" spans="1:10" x14ac:dyDescent="0.2">
      <c r="A81" s="118"/>
      <c r="B81" s="118"/>
      <c r="C81" s="128"/>
      <c r="D81" s="118"/>
      <c r="E81" s="118"/>
      <c r="F81" s="129"/>
      <c r="G81" s="129"/>
      <c r="H81" s="120" t="s">
        <v>151</v>
      </c>
      <c r="J81" s="27"/>
    </row>
    <row r="82" spans="1:10" x14ac:dyDescent="0.2">
      <c r="A82" s="118"/>
      <c r="B82" s="118"/>
      <c r="C82" s="119" t="s">
        <v>156</v>
      </c>
      <c r="D82" s="118"/>
      <c r="E82" s="118"/>
      <c r="F82" s="129"/>
      <c r="G82" s="129"/>
      <c r="H82" s="120" t="s">
        <v>151</v>
      </c>
      <c r="J82" s="27"/>
    </row>
    <row r="83" spans="1:10" x14ac:dyDescent="0.2">
      <c r="A83" s="118"/>
      <c r="B83" s="118"/>
      <c r="C83" s="119" t="s">
        <v>150</v>
      </c>
      <c r="D83" s="118"/>
      <c r="E83" s="118" t="s">
        <v>151</v>
      </c>
      <c r="F83" s="130" t="s">
        <v>153</v>
      </c>
      <c r="G83" s="127">
        <v>0</v>
      </c>
      <c r="H83" s="120" t="s">
        <v>151</v>
      </c>
      <c r="J83" s="27"/>
    </row>
    <row r="84" spans="1:10" x14ac:dyDescent="0.2">
      <c r="A84" s="118"/>
      <c r="B84" s="118"/>
      <c r="C84" s="128"/>
      <c r="D84" s="118"/>
      <c r="E84" s="118"/>
      <c r="F84" s="129"/>
      <c r="G84" s="129"/>
      <c r="H84" s="120" t="s">
        <v>151</v>
      </c>
      <c r="J84" s="27"/>
    </row>
    <row r="85" spans="1:10" x14ac:dyDescent="0.2">
      <c r="A85" s="118"/>
      <c r="B85" s="118"/>
      <c r="C85" s="119" t="s">
        <v>157</v>
      </c>
      <c r="D85" s="118"/>
      <c r="E85" s="118"/>
      <c r="F85" s="129"/>
      <c r="G85" s="129"/>
      <c r="H85" s="120" t="s">
        <v>151</v>
      </c>
      <c r="J85" s="27"/>
    </row>
    <row r="86" spans="1:10" x14ac:dyDescent="0.2">
      <c r="A86" s="118"/>
      <c r="B86" s="118"/>
      <c r="C86" s="119" t="s">
        <v>150</v>
      </c>
      <c r="D86" s="118"/>
      <c r="E86" s="118" t="s">
        <v>151</v>
      </c>
      <c r="F86" s="130" t="s">
        <v>153</v>
      </c>
      <c r="G86" s="127">
        <v>0</v>
      </c>
      <c r="H86" s="120" t="s">
        <v>151</v>
      </c>
      <c r="J86" s="27"/>
    </row>
    <row r="87" spans="1:10" x14ac:dyDescent="0.2">
      <c r="A87" s="118"/>
      <c r="B87" s="118"/>
      <c r="C87" s="128"/>
      <c r="D87" s="118"/>
      <c r="E87" s="118"/>
      <c r="F87" s="129"/>
      <c r="G87" s="129"/>
      <c r="H87" s="120" t="s">
        <v>151</v>
      </c>
      <c r="J87" s="27"/>
    </row>
    <row r="88" spans="1:10" x14ac:dyDescent="0.2">
      <c r="A88" s="118"/>
      <c r="B88" s="118"/>
      <c r="C88" s="119" t="s">
        <v>158</v>
      </c>
      <c r="D88" s="118"/>
      <c r="E88" s="118"/>
      <c r="F88" s="126">
        <v>220814.51440479999</v>
      </c>
      <c r="G88" s="127">
        <v>0.97860590000000003</v>
      </c>
      <c r="H88" s="120" t="s">
        <v>151</v>
      </c>
      <c r="J88" s="27"/>
    </row>
    <row r="89" spans="1:10" x14ac:dyDescent="0.2">
      <c r="A89" s="118"/>
      <c r="B89" s="118"/>
      <c r="C89" s="128"/>
      <c r="D89" s="118"/>
      <c r="E89" s="118"/>
      <c r="F89" s="129"/>
      <c r="G89" s="129"/>
      <c r="H89" s="120" t="s">
        <v>151</v>
      </c>
      <c r="J89" s="27"/>
    </row>
    <row r="90" spans="1:10" x14ac:dyDescent="0.2">
      <c r="A90" s="118"/>
      <c r="B90" s="118"/>
      <c r="C90" s="119" t="s">
        <v>159</v>
      </c>
      <c r="D90" s="118"/>
      <c r="E90" s="118"/>
      <c r="F90" s="129"/>
      <c r="G90" s="129"/>
      <c r="H90" s="120" t="s">
        <v>151</v>
      </c>
      <c r="J90" s="27"/>
    </row>
    <row r="91" spans="1:10" x14ac:dyDescent="0.2">
      <c r="A91" s="118"/>
      <c r="B91" s="118"/>
      <c r="C91" s="119" t="s">
        <v>10</v>
      </c>
      <c r="D91" s="118"/>
      <c r="E91" s="118"/>
      <c r="F91" s="129"/>
      <c r="G91" s="129"/>
      <c r="H91" s="120" t="s">
        <v>151</v>
      </c>
      <c r="J91" s="27"/>
    </row>
    <row r="92" spans="1:10" x14ac:dyDescent="0.2">
      <c r="A92" s="118"/>
      <c r="B92" s="118"/>
      <c r="C92" s="119" t="s">
        <v>150</v>
      </c>
      <c r="D92" s="118"/>
      <c r="E92" s="118" t="s">
        <v>151</v>
      </c>
      <c r="F92" s="130" t="s">
        <v>153</v>
      </c>
      <c r="G92" s="127">
        <v>0</v>
      </c>
      <c r="H92" s="120" t="s">
        <v>151</v>
      </c>
      <c r="J92" s="27"/>
    </row>
    <row r="93" spans="1:10" x14ac:dyDescent="0.2">
      <c r="A93" s="118"/>
      <c r="B93" s="118"/>
      <c r="C93" s="128"/>
      <c r="D93" s="118"/>
      <c r="E93" s="118"/>
      <c r="F93" s="129"/>
      <c r="G93" s="129"/>
      <c r="H93" s="120" t="s">
        <v>151</v>
      </c>
      <c r="J93" s="27"/>
    </row>
    <row r="94" spans="1:10" x14ac:dyDescent="0.2">
      <c r="A94" s="118"/>
      <c r="B94" s="118"/>
      <c r="C94" s="119" t="s">
        <v>160</v>
      </c>
      <c r="D94" s="118"/>
      <c r="E94" s="118"/>
      <c r="F94" s="118"/>
      <c r="G94" s="118"/>
      <c r="H94" s="120" t="s">
        <v>151</v>
      </c>
      <c r="J94" s="27"/>
    </row>
    <row r="95" spans="1:10" x14ac:dyDescent="0.2">
      <c r="A95" s="118"/>
      <c r="B95" s="118"/>
      <c r="C95" s="119" t="s">
        <v>150</v>
      </c>
      <c r="D95" s="118"/>
      <c r="E95" s="118" t="s">
        <v>151</v>
      </c>
      <c r="F95" s="130" t="s">
        <v>153</v>
      </c>
      <c r="G95" s="127">
        <v>0</v>
      </c>
      <c r="H95" s="120" t="s">
        <v>151</v>
      </c>
      <c r="J95" s="27"/>
    </row>
    <row r="96" spans="1:10" x14ac:dyDescent="0.2">
      <c r="A96" s="118"/>
      <c r="B96" s="118"/>
      <c r="C96" s="128"/>
      <c r="D96" s="118"/>
      <c r="E96" s="118"/>
      <c r="F96" s="129"/>
      <c r="G96" s="129"/>
      <c r="H96" s="120" t="s">
        <v>151</v>
      </c>
      <c r="J96" s="27"/>
    </row>
    <row r="97" spans="1:10" x14ac:dyDescent="0.2">
      <c r="A97" s="118"/>
      <c r="B97" s="118"/>
      <c r="C97" s="119" t="s">
        <v>161</v>
      </c>
      <c r="D97" s="118"/>
      <c r="E97" s="118"/>
      <c r="F97" s="118"/>
      <c r="G97" s="118"/>
      <c r="H97" s="120" t="s">
        <v>151</v>
      </c>
      <c r="J97" s="27"/>
    </row>
    <row r="98" spans="1:10" x14ac:dyDescent="0.2">
      <c r="A98" s="118"/>
      <c r="B98" s="118"/>
      <c r="C98" s="119" t="s">
        <v>150</v>
      </c>
      <c r="D98" s="118"/>
      <c r="E98" s="118" t="s">
        <v>151</v>
      </c>
      <c r="F98" s="130" t="s">
        <v>153</v>
      </c>
      <c r="G98" s="127">
        <v>0</v>
      </c>
      <c r="H98" s="120" t="s">
        <v>151</v>
      </c>
      <c r="J98" s="27"/>
    </row>
    <row r="99" spans="1:10" x14ac:dyDescent="0.2">
      <c r="A99" s="118"/>
      <c r="B99" s="118"/>
      <c r="C99" s="128"/>
      <c r="D99" s="118"/>
      <c r="E99" s="118"/>
      <c r="F99" s="129"/>
      <c r="G99" s="129"/>
      <c r="H99" s="120" t="s">
        <v>151</v>
      </c>
      <c r="J99" s="27"/>
    </row>
    <row r="100" spans="1:10" x14ac:dyDescent="0.2">
      <c r="A100" s="118"/>
      <c r="B100" s="118"/>
      <c r="C100" s="119" t="s">
        <v>162</v>
      </c>
      <c r="D100" s="118"/>
      <c r="E100" s="118"/>
      <c r="F100" s="129"/>
      <c r="G100" s="129"/>
      <c r="H100" s="120" t="s">
        <v>151</v>
      </c>
      <c r="J100" s="27"/>
    </row>
    <row r="101" spans="1:10" x14ac:dyDescent="0.2">
      <c r="A101" s="118"/>
      <c r="B101" s="118"/>
      <c r="C101" s="119" t="s">
        <v>150</v>
      </c>
      <c r="D101" s="118"/>
      <c r="E101" s="118" t="s">
        <v>151</v>
      </c>
      <c r="F101" s="130" t="s">
        <v>153</v>
      </c>
      <c r="G101" s="127">
        <v>0</v>
      </c>
      <c r="H101" s="120" t="s">
        <v>151</v>
      </c>
      <c r="J101" s="27"/>
    </row>
    <row r="102" spans="1:10" x14ac:dyDescent="0.2">
      <c r="A102" s="118"/>
      <c r="B102" s="118"/>
      <c r="C102" s="128"/>
      <c r="D102" s="118"/>
      <c r="E102" s="118"/>
      <c r="F102" s="129"/>
      <c r="G102" s="129"/>
      <c r="H102" s="120" t="s">
        <v>151</v>
      </c>
      <c r="J102" s="27"/>
    </row>
    <row r="103" spans="1:10" x14ac:dyDescent="0.2">
      <c r="A103" s="118"/>
      <c r="B103" s="118"/>
      <c r="C103" s="119" t="s">
        <v>163</v>
      </c>
      <c r="D103" s="118"/>
      <c r="E103" s="118"/>
      <c r="F103" s="126">
        <v>0</v>
      </c>
      <c r="G103" s="127">
        <v>0</v>
      </c>
      <c r="H103" s="120" t="s">
        <v>151</v>
      </c>
      <c r="J103" s="27"/>
    </row>
    <row r="104" spans="1:10" x14ac:dyDescent="0.2">
      <c r="A104" s="118"/>
      <c r="B104" s="118"/>
      <c r="C104" s="128"/>
      <c r="D104" s="118"/>
      <c r="E104" s="118"/>
      <c r="F104" s="129"/>
      <c r="G104" s="129"/>
      <c r="H104" s="120" t="s">
        <v>151</v>
      </c>
      <c r="J104" s="27"/>
    </row>
    <row r="105" spans="1:10" x14ac:dyDescent="0.2">
      <c r="A105" s="118"/>
      <c r="B105" s="118"/>
      <c r="C105" s="119" t="s">
        <v>164</v>
      </c>
      <c r="D105" s="118"/>
      <c r="E105" s="118"/>
      <c r="F105" s="129"/>
      <c r="G105" s="129"/>
      <c r="H105" s="120" t="s">
        <v>151</v>
      </c>
      <c r="J105" s="27"/>
    </row>
    <row r="106" spans="1:10" x14ac:dyDescent="0.2">
      <c r="A106" s="118"/>
      <c r="B106" s="118"/>
      <c r="C106" s="119" t="s">
        <v>165</v>
      </c>
      <c r="D106" s="118"/>
      <c r="E106" s="118"/>
      <c r="F106" s="129"/>
      <c r="G106" s="129"/>
      <c r="H106" s="120" t="s">
        <v>151</v>
      </c>
      <c r="J106" s="27"/>
    </row>
    <row r="107" spans="1:10" x14ac:dyDescent="0.2">
      <c r="A107" s="118"/>
      <c r="B107" s="118"/>
      <c r="C107" s="119" t="s">
        <v>150</v>
      </c>
      <c r="D107" s="118"/>
      <c r="E107" s="118" t="s">
        <v>151</v>
      </c>
      <c r="F107" s="130" t="s">
        <v>153</v>
      </c>
      <c r="G107" s="127">
        <v>0</v>
      </c>
      <c r="H107" s="120" t="s">
        <v>151</v>
      </c>
      <c r="J107" s="27"/>
    </row>
    <row r="108" spans="1:10" x14ac:dyDescent="0.2">
      <c r="A108" s="118"/>
      <c r="B108" s="118"/>
      <c r="C108" s="128"/>
      <c r="D108" s="118"/>
      <c r="E108" s="118"/>
      <c r="F108" s="129"/>
      <c r="G108" s="129"/>
      <c r="H108" s="120" t="s">
        <v>151</v>
      </c>
      <c r="J108" s="27"/>
    </row>
    <row r="109" spans="1:10" x14ac:dyDescent="0.2">
      <c r="A109" s="118"/>
      <c r="B109" s="118"/>
      <c r="C109" s="119" t="s">
        <v>166</v>
      </c>
      <c r="D109" s="118"/>
      <c r="E109" s="118"/>
      <c r="F109" s="129"/>
      <c r="G109" s="129"/>
      <c r="H109" s="120" t="s">
        <v>151</v>
      </c>
      <c r="J109" s="27"/>
    </row>
    <row r="110" spans="1:10" x14ac:dyDescent="0.2">
      <c r="A110" s="118"/>
      <c r="B110" s="118"/>
      <c r="C110" s="119" t="s">
        <v>150</v>
      </c>
      <c r="D110" s="118"/>
      <c r="E110" s="118" t="s">
        <v>151</v>
      </c>
      <c r="F110" s="130" t="s">
        <v>153</v>
      </c>
      <c r="G110" s="127">
        <v>0</v>
      </c>
      <c r="H110" s="120" t="s">
        <v>151</v>
      </c>
      <c r="J110" s="27"/>
    </row>
    <row r="111" spans="1:10" x14ac:dyDescent="0.2">
      <c r="A111" s="118"/>
      <c r="B111" s="118"/>
      <c r="C111" s="128"/>
      <c r="D111" s="118"/>
      <c r="E111" s="118"/>
      <c r="F111" s="129"/>
      <c r="G111" s="129"/>
      <c r="H111" s="120" t="s">
        <v>151</v>
      </c>
      <c r="J111" s="27"/>
    </row>
    <row r="112" spans="1:10" x14ac:dyDescent="0.2">
      <c r="A112" s="118"/>
      <c r="B112" s="118"/>
      <c r="C112" s="119" t="s">
        <v>167</v>
      </c>
      <c r="D112" s="118"/>
      <c r="E112" s="118"/>
      <c r="F112" s="129"/>
      <c r="G112" s="129"/>
      <c r="H112" s="120" t="s">
        <v>151</v>
      </c>
      <c r="J112" s="27"/>
    </row>
    <row r="113" spans="1:10" x14ac:dyDescent="0.2">
      <c r="A113" s="118"/>
      <c r="B113" s="118"/>
      <c r="C113" s="119" t="s">
        <v>150</v>
      </c>
      <c r="D113" s="118"/>
      <c r="E113" s="118" t="s">
        <v>151</v>
      </c>
      <c r="F113" s="130" t="s">
        <v>153</v>
      </c>
      <c r="G113" s="127">
        <v>0</v>
      </c>
      <c r="H113" s="120" t="s">
        <v>151</v>
      </c>
      <c r="J113" s="27"/>
    </row>
    <row r="114" spans="1:10" x14ac:dyDescent="0.2">
      <c r="A114" s="118"/>
      <c r="B114" s="118"/>
      <c r="C114" s="128"/>
      <c r="D114" s="118"/>
      <c r="E114" s="118"/>
      <c r="F114" s="129"/>
      <c r="G114" s="129"/>
      <c r="H114" s="120" t="s">
        <v>151</v>
      </c>
      <c r="J114" s="27"/>
    </row>
    <row r="115" spans="1:10" x14ac:dyDescent="0.2">
      <c r="A115" s="118"/>
      <c r="B115" s="118"/>
      <c r="C115" s="119" t="s">
        <v>168</v>
      </c>
      <c r="D115" s="118"/>
      <c r="E115" s="118"/>
      <c r="F115" s="129"/>
      <c r="G115" s="129"/>
      <c r="H115" s="120" t="s">
        <v>151</v>
      </c>
      <c r="J115" s="27"/>
    </row>
    <row r="116" spans="1:10" x14ac:dyDescent="0.2">
      <c r="A116" s="121">
        <v>1</v>
      </c>
      <c r="B116" s="122"/>
      <c r="C116" s="122" t="s">
        <v>169</v>
      </c>
      <c r="D116" s="122"/>
      <c r="E116" s="131"/>
      <c r="F116" s="124">
        <v>5125.0329019990004</v>
      </c>
      <c r="G116" s="125">
        <v>2.271312E-2</v>
      </c>
      <c r="H116" s="120">
        <v>6.61</v>
      </c>
      <c r="J116" s="27"/>
    </row>
    <row r="117" spans="1:10" x14ac:dyDescent="0.2">
      <c r="A117" s="118"/>
      <c r="B117" s="118"/>
      <c r="C117" s="119" t="s">
        <v>150</v>
      </c>
      <c r="D117" s="118"/>
      <c r="E117" s="118" t="s">
        <v>151</v>
      </c>
      <c r="F117" s="126">
        <v>5125.0329019990004</v>
      </c>
      <c r="G117" s="127">
        <v>2.271312E-2</v>
      </c>
      <c r="H117" s="120" t="s">
        <v>151</v>
      </c>
      <c r="J117" s="27"/>
    </row>
    <row r="118" spans="1:10" x14ac:dyDescent="0.2">
      <c r="A118" s="118"/>
      <c r="B118" s="118"/>
      <c r="C118" s="128"/>
      <c r="D118" s="118"/>
      <c r="E118" s="118"/>
      <c r="F118" s="129"/>
      <c r="G118" s="129"/>
      <c r="H118" s="120" t="s">
        <v>151</v>
      </c>
      <c r="J118" s="27"/>
    </row>
    <row r="119" spans="1:10" x14ac:dyDescent="0.2">
      <c r="A119" s="118"/>
      <c r="B119" s="118"/>
      <c r="C119" s="119" t="s">
        <v>170</v>
      </c>
      <c r="D119" s="118"/>
      <c r="E119" s="118"/>
      <c r="F119" s="126">
        <v>5125.0329019990004</v>
      </c>
      <c r="G119" s="127">
        <v>2.271312E-2</v>
      </c>
      <c r="H119" s="120" t="s">
        <v>151</v>
      </c>
      <c r="J119" s="27"/>
    </row>
    <row r="120" spans="1:10" x14ac:dyDescent="0.2">
      <c r="A120" s="118"/>
      <c r="B120" s="118"/>
      <c r="C120" s="129"/>
      <c r="D120" s="118"/>
      <c r="E120" s="118"/>
      <c r="F120" s="118"/>
      <c r="G120" s="118"/>
      <c r="H120" s="120" t="s">
        <v>151</v>
      </c>
      <c r="J120" s="27"/>
    </row>
    <row r="121" spans="1:10" x14ac:dyDescent="0.2">
      <c r="A121" s="118"/>
      <c r="B121" s="118"/>
      <c r="C121" s="119" t="s">
        <v>171</v>
      </c>
      <c r="D121" s="118"/>
      <c r="E121" s="118"/>
      <c r="F121" s="118"/>
      <c r="G121" s="118"/>
      <c r="H121" s="120" t="s">
        <v>151</v>
      </c>
      <c r="J121" s="27"/>
    </row>
    <row r="122" spans="1:10" x14ac:dyDescent="0.2">
      <c r="A122" s="118"/>
      <c r="B122" s="118"/>
      <c r="C122" s="119" t="s">
        <v>172</v>
      </c>
      <c r="D122" s="118"/>
      <c r="E122" s="118"/>
      <c r="F122" s="118"/>
      <c r="G122" s="118"/>
      <c r="H122" s="120" t="s">
        <v>151</v>
      </c>
      <c r="J122" s="27"/>
    </row>
    <row r="123" spans="1:10" x14ac:dyDescent="0.2">
      <c r="A123" s="118"/>
      <c r="B123" s="118"/>
      <c r="C123" s="119" t="s">
        <v>150</v>
      </c>
      <c r="D123" s="118"/>
      <c r="E123" s="118" t="s">
        <v>151</v>
      </c>
      <c r="F123" s="130" t="s">
        <v>153</v>
      </c>
      <c r="G123" s="127">
        <v>0</v>
      </c>
      <c r="H123" s="120" t="s">
        <v>151</v>
      </c>
      <c r="J123" s="27"/>
    </row>
    <row r="124" spans="1:10" x14ac:dyDescent="0.2">
      <c r="A124" s="118"/>
      <c r="B124" s="118"/>
      <c r="C124" s="128"/>
      <c r="D124" s="118"/>
      <c r="E124" s="118"/>
      <c r="F124" s="129"/>
      <c r="G124" s="129"/>
      <c r="H124" s="120" t="s">
        <v>151</v>
      </c>
      <c r="J124" s="27"/>
    </row>
    <row r="125" spans="1:10" x14ac:dyDescent="0.2">
      <c r="A125" s="118"/>
      <c r="B125" s="118"/>
      <c r="C125" s="119" t="s">
        <v>175</v>
      </c>
      <c r="D125" s="118"/>
      <c r="E125" s="118"/>
      <c r="F125" s="118"/>
      <c r="G125" s="118"/>
      <c r="H125" s="120" t="s">
        <v>151</v>
      </c>
      <c r="J125" s="27"/>
    </row>
    <row r="126" spans="1:10" x14ac:dyDescent="0.2">
      <c r="A126" s="118"/>
      <c r="B126" s="118"/>
      <c r="C126" s="119" t="s">
        <v>176</v>
      </c>
      <c r="D126" s="118"/>
      <c r="E126" s="118"/>
      <c r="F126" s="118"/>
      <c r="G126" s="118"/>
      <c r="H126" s="120" t="s">
        <v>151</v>
      </c>
      <c r="J126" s="27"/>
    </row>
    <row r="127" spans="1:10" x14ac:dyDescent="0.2">
      <c r="A127" s="118"/>
      <c r="B127" s="118"/>
      <c r="C127" s="119" t="s">
        <v>150</v>
      </c>
      <c r="D127" s="118"/>
      <c r="E127" s="118" t="s">
        <v>151</v>
      </c>
      <c r="F127" s="130" t="s">
        <v>153</v>
      </c>
      <c r="G127" s="127">
        <v>0</v>
      </c>
      <c r="H127" s="120" t="s">
        <v>151</v>
      </c>
      <c r="J127" s="27"/>
    </row>
    <row r="128" spans="1:10" x14ac:dyDescent="0.2">
      <c r="A128" s="118"/>
      <c r="B128" s="118"/>
      <c r="C128" s="128"/>
      <c r="D128" s="118"/>
      <c r="E128" s="118"/>
      <c r="F128" s="129"/>
      <c r="G128" s="129"/>
      <c r="H128" s="120" t="s">
        <v>151</v>
      </c>
      <c r="J128" s="27"/>
    </row>
    <row r="129" spans="1:17" x14ac:dyDescent="0.2">
      <c r="A129" s="118"/>
      <c r="B129" s="118"/>
      <c r="C129" s="119" t="s">
        <v>177</v>
      </c>
      <c r="D129" s="118"/>
      <c r="E129" s="118"/>
      <c r="F129" s="129"/>
      <c r="G129" s="129"/>
      <c r="H129" s="120" t="s">
        <v>151</v>
      </c>
      <c r="J129" s="27"/>
    </row>
    <row r="130" spans="1:17" x14ac:dyDescent="0.2">
      <c r="A130" s="118"/>
      <c r="B130" s="118"/>
      <c r="C130" s="119" t="s">
        <v>150</v>
      </c>
      <c r="D130" s="118"/>
      <c r="E130" s="118" t="s">
        <v>151</v>
      </c>
      <c r="F130" s="130" t="s">
        <v>153</v>
      </c>
      <c r="G130" s="127">
        <v>0</v>
      </c>
      <c r="H130" s="120" t="s">
        <v>151</v>
      </c>
      <c r="J130" s="27"/>
    </row>
    <row r="131" spans="1:17" x14ac:dyDescent="0.2">
      <c r="A131" s="118"/>
      <c r="B131" s="122"/>
      <c r="C131" s="122"/>
      <c r="D131" s="119"/>
      <c r="E131" s="118"/>
      <c r="F131" s="122"/>
      <c r="G131" s="131"/>
      <c r="H131" s="120" t="s">
        <v>151</v>
      </c>
      <c r="J131" s="27"/>
    </row>
    <row r="132" spans="1:17" x14ac:dyDescent="0.2">
      <c r="A132" s="131"/>
      <c r="B132" s="122"/>
      <c r="C132" s="122" t="s">
        <v>178</v>
      </c>
      <c r="D132" s="122"/>
      <c r="E132" s="131"/>
      <c r="F132" s="124">
        <v>-297.61787845999999</v>
      </c>
      <c r="G132" s="125">
        <v>-1.31898E-3</v>
      </c>
      <c r="H132" s="120" t="s">
        <v>151</v>
      </c>
      <c r="J132" s="8"/>
    </row>
    <row r="133" spans="1:17" x14ac:dyDescent="0.2">
      <c r="A133" s="128"/>
      <c r="B133" s="128"/>
      <c r="C133" s="119" t="s">
        <v>179</v>
      </c>
      <c r="D133" s="129"/>
      <c r="E133" s="129"/>
      <c r="F133" s="126">
        <v>225641.929428339</v>
      </c>
      <c r="G133" s="133">
        <v>1.00000004</v>
      </c>
      <c r="H133" s="120" t="s">
        <v>151</v>
      </c>
      <c r="J133" s="8"/>
    </row>
    <row r="134" spans="1:17" x14ac:dyDescent="0.2">
      <c r="A134" s="134"/>
      <c r="B134" s="134"/>
      <c r="C134" s="134"/>
      <c r="D134" s="135"/>
      <c r="E134" s="135"/>
      <c r="F134" s="135"/>
      <c r="G134" s="135"/>
      <c r="J134" s="8"/>
    </row>
    <row r="135" spans="1:17" x14ac:dyDescent="0.2">
      <c r="A135" s="136"/>
      <c r="B135" s="137" t="s">
        <v>888</v>
      </c>
      <c r="C135" s="137"/>
      <c r="D135" s="137"/>
      <c r="E135" s="137"/>
      <c r="F135" s="137"/>
      <c r="G135" s="137"/>
      <c r="H135" s="137"/>
      <c r="J135" s="8"/>
    </row>
    <row r="136" spans="1:17" x14ac:dyDescent="0.2">
      <c r="A136" s="136"/>
      <c r="B136" s="137" t="s">
        <v>889</v>
      </c>
      <c r="C136" s="137"/>
      <c r="D136" s="137"/>
      <c r="E136" s="137"/>
      <c r="F136" s="137"/>
      <c r="G136" s="137"/>
      <c r="H136" s="137"/>
      <c r="J136" s="8"/>
    </row>
    <row r="137" spans="1:17" x14ac:dyDescent="0.2">
      <c r="A137" s="136"/>
      <c r="B137" s="137" t="s">
        <v>890</v>
      </c>
      <c r="C137" s="137"/>
      <c r="D137" s="137"/>
      <c r="E137" s="137"/>
      <c r="F137" s="137"/>
      <c r="G137" s="137"/>
      <c r="H137" s="137"/>
      <c r="J137" s="27"/>
    </row>
    <row r="138" spans="1:17" s="13" customFormat="1" ht="67.5" customHeight="1" x14ac:dyDescent="0.25">
      <c r="A138" s="138"/>
      <c r="B138" s="139" t="s">
        <v>891</v>
      </c>
      <c r="C138" s="139"/>
      <c r="D138" s="139"/>
      <c r="E138" s="139"/>
      <c r="F138" s="139"/>
      <c r="G138" s="139"/>
      <c r="H138" s="139"/>
      <c r="I138" s="114"/>
      <c r="J138" s="27"/>
      <c r="K138"/>
      <c r="L138"/>
      <c r="M138"/>
      <c r="N138"/>
      <c r="O138"/>
      <c r="P138"/>
      <c r="Q138"/>
    </row>
    <row r="139" spans="1:17" x14ac:dyDescent="0.2">
      <c r="A139" s="136"/>
      <c r="B139" s="137" t="s">
        <v>892</v>
      </c>
      <c r="C139" s="137"/>
      <c r="D139" s="137"/>
      <c r="E139" s="137"/>
      <c r="F139" s="137"/>
      <c r="G139" s="137"/>
      <c r="H139" s="137"/>
      <c r="J139" s="27"/>
    </row>
    <row r="140" spans="1:17" x14ac:dyDescent="0.2">
      <c r="A140" s="140"/>
      <c r="B140" s="140"/>
      <c r="C140" s="140"/>
      <c r="D140" s="141"/>
      <c r="E140" s="141"/>
      <c r="F140" s="141"/>
      <c r="G140" s="141"/>
      <c r="J140" s="8"/>
    </row>
    <row r="141" spans="1:17" x14ac:dyDescent="0.2">
      <c r="A141" s="140"/>
      <c r="B141" s="142" t="s">
        <v>180</v>
      </c>
      <c r="C141" s="143"/>
      <c r="D141" s="144"/>
      <c r="E141" s="145"/>
      <c r="F141" s="141"/>
      <c r="G141" s="141"/>
      <c r="J141" s="27"/>
    </row>
    <row r="142" spans="1:17" x14ac:dyDescent="0.2">
      <c r="A142" s="140"/>
      <c r="B142" s="146" t="s">
        <v>181</v>
      </c>
      <c r="C142" s="147"/>
      <c r="D142" s="119" t="s">
        <v>182</v>
      </c>
      <c r="E142" s="145"/>
      <c r="F142" s="141"/>
      <c r="G142" s="141"/>
      <c r="J142" s="27"/>
    </row>
    <row r="143" spans="1:17" x14ac:dyDescent="0.2">
      <c r="A143" s="140"/>
      <c r="B143" s="146" t="s">
        <v>183</v>
      </c>
      <c r="C143" s="147"/>
      <c r="D143" s="119" t="s">
        <v>182</v>
      </c>
      <c r="E143" s="145"/>
      <c r="F143" s="141"/>
      <c r="G143" s="141"/>
      <c r="J143" s="27"/>
    </row>
    <row r="144" spans="1:17" x14ac:dyDescent="0.2">
      <c r="A144" s="140"/>
      <c r="B144" s="146" t="s">
        <v>184</v>
      </c>
      <c r="C144" s="147"/>
      <c r="D144" s="129" t="s">
        <v>151</v>
      </c>
      <c r="E144" s="145"/>
      <c r="F144" s="141"/>
      <c r="G144" s="141"/>
      <c r="J144" s="27"/>
    </row>
    <row r="145" spans="1:10" x14ac:dyDescent="0.2">
      <c r="A145" s="151"/>
      <c r="B145" s="152" t="s">
        <v>151</v>
      </c>
      <c r="C145" s="152" t="s">
        <v>894</v>
      </c>
      <c r="D145" s="152" t="s">
        <v>185</v>
      </c>
      <c r="E145" s="151"/>
      <c r="F145" s="151"/>
      <c r="G145" s="151"/>
      <c r="H145" s="151"/>
      <c r="J145" s="27"/>
    </row>
    <row r="146" spans="1:10" x14ac:dyDescent="0.2">
      <c r="A146" s="153"/>
      <c r="B146" s="154" t="s">
        <v>186</v>
      </c>
      <c r="C146" s="155">
        <v>45535</v>
      </c>
      <c r="D146" s="155">
        <v>45565</v>
      </c>
      <c r="E146" s="153"/>
      <c r="F146" s="153"/>
      <c r="G146" s="153"/>
      <c r="J146" s="27"/>
    </row>
    <row r="147" spans="1:10" x14ac:dyDescent="0.2">
      <c r="A147" s="153"/>
      <c r="B147" s="122" t="s">
        <v>187</v>
      </c>
      <c r="C147" s="156">
        <v>15.2324</v>
      </c>
      <c r="D147" s="156">
        <v>15.587899999999999</v>
      </c>
      <c r="E147" s="153"/>
      <c r="F147" s="157"/>
      <c r="G147" s="158"/>
      <c r="J147" s="27"/>
    </row>
    <row r="148" spans="1:10" x14ac:dyDescent="0.2">
      <c r="A148" s="153"/>
      <c r="B148" s="122" t="s">
        <v>1038</v>
      </c>
      <c r="C148" s="156">
        <v>15.231999999999999</v>
      </c>
      <c r="D148" s="156">
        <v>15.5875</v>
      </c>
      <c r="E148" s="153"/>
      <c r="F148" s="157"/>
      <c r="G148" s="158"/>
      <c r="J148" s="27"/>
    </row>
    <row r="149" spans="1:10" x14ac:dyDescent="0.2">
      <c r="A149" s="153"/>
      <c r="B149" s="122" t="s">
        <v>188</v>
      </c>
      <c r="C149" s="156">
        <v>14.7394</v>
      </c>
      <c r="D149" s="156">
        <v>15.065899999999999</v>
      </c>
      <c r="E149" s="153"/>
      <c r="F149" s="157"/>
      <c r="G149" s="158"/>
      <c r="J149" s="27"/>
    </row>
    <row r="150" spans="1:10" x14ac:dyDescent="0.2">
      <c r="A150" s="153"/>
      <c r="B150" s="122" t="s">
        <v>1039</v>
      </c>
      <c r="C150" s="156">
        <v>14.7392</v>
      </c>
      <c r="D150" s="156">
        <v>15.0657</v>
      </c>
      <c r="E150" s="153"/>
      <c r="F150" s="157"/>
      <c r="G150" s="158"/>
      <c r="J150" s="8"/>
    </row>
    <row r="151" spans="1:10" x14ac:dyDescent="0.2">
      <c r="A151" s="153"/>
      <c r="B151" s="153"/>
      <c r="C151" s="153"/>
      <c r="D151" s="153"/>
      <c r="E151" s="153"/>
      <c r="F151" s="153"/>
      <c r="G151" s="153"/>
      <c r="J151" s="27"/>
    </row>
    <row r="152" spans="1:10" x14ac:dyDescent="0.2">
      <c r="A152" s="151"/>
      <c r="B152" s="197" t="s">
        <v>895</v>
      </c>
      <c r="C152" s="198"/>
      <c r="D152" s="196" t="s">
        <v>182</v>
      </c>
      <c r="E152" s="151"/>
      <c r="F152" s="151"/>
      <c r="G152" s="151"/>
      <c r="J152" s="27"/>
    </row>
    <row r="153" spans="1:10" x14ac:dyDescent="0.2">
      <c r="A153" s="151"/>
      <c r="B153" s="201"/>
      <c r="C153" s="201"/>
      <c r="D153" s="201"/>
      <c r="E153" s="151"/>
      <c r="F153" s="151"/>
      <c r="G153" s="151"/>
      <c r="J153" s="27"/>
    </row>
    <row r="154" spans="1:10" x14ac:dyDescent="0.2">
      <c r="A154" s="151"/>
      <c r="B154" s="197" t="s">
        <v>189</v>
      </c>
      <c r="C154" s="198"/>
      <c r="D154" s="196" t="s">
        <v>182</v>
      </c>
      <c r="E154" s="160"/>
      <c r="F154" s="151"/>
      <c r="G154" s="151"/>
      <c r="J154" s="27"/>
    </row>
    <row r="155" spans="1:10" x14ac:dyDescent="0.2">
      <c r="A155" s="151"/>
      <c r="B155" s="197" t="s">
        <v>190</v>
      </c>
      <c r="C155" s="198"/>
      <c r="D155" s="196" t="s">
        <v>182</v>
      </c>
      <c r="E155" s="160"/>
      <c r="F155" s="151"/>
      <c r="G155" s="151"/>
      <c r="J155" s="27"/>
    </row>
    <row r="156" spans="1:10" x14ac:dyDescent="0.2">
      <c r="A156" s="151"/>
      <c r="B156" s="197" t="s">
        <v>191</v>
      </c>
      <c r="C156" s="198"/>
      <c r="D156" s="196" t="s">
        <v>182</v>
      </c>
      <c r="E156" s="160"/>
      <c r="F156" s="151"/>
      <c r="G156" s="151"/>
      <c r="J156" s="27"/>
    </row>
    <row r="157" spans="1:10" x14ac:dyDescent="0.2">
      <c r="A157" s="151"/>
      <c r="B157" s="197" t="s">
        <v>192</v>
      </c>
      <c r="C157" s="198"/>
      <c r="D157" s="199">
        <v>0.21238725020203467</v>
      </c>
      <c r="E157" s="151"/>
      <c r="F157" s="159"/>
      <c r="G157" s="162"/>
    </row>
  </sheetData>
  <mergeCells count="17">
    <mergeCell ref="B143:C143"/>
    <mergeCell ref="B144:C144"/>
    <mergeCell ref="B152:C152"/>
    <mergeCell ref="B156:C156"/>
    <mergeCell ref="B157:C157"/>
    <mergeCell ref="B154:C154"/>
    <mergeCell ref="B155:C155"/>
    <mergeCell ref="B142:C142"/>
    <mergeCell ref="A1:H1"/>
    <mergeCell ref="A2:H2"/>
    <mergeCell ref="A3:H3"/>
    <mergeCell ref="B141:D141"/>
    <mergeCell ref="B135:H135"/>
    <mergeCell ref="B136:H136"/>
    <mergeCell ref="B137:H137"/>
    <mergeCell ref="B138:H138"/>
    <mergeCell ref="B139:H139"/>
  </mergeCells>
  <hyperlinks>
    <hyperlink ref="I1" location="Index!B2" display="Index" xr:uid="{AF83DB66-FD9A-4CAA-8FD0-B1F01E8D401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6ED52-7771-4F19-A8FF-72A5B6EDABE5}">
  <sheetPr>
    <outlinePr summaryBelow="0" summaryRight="0"/>
  </sheetPr>
  <dimension ref="A1:Q127"/>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42.5703125" style="114" customWidth="1"/>
    <col min="4" max="4" width="17.42578125" style="114" bestFit="1" customWidth="1"/>
    <col min="5" max="5" width="11.42578125" style="114" bestFit="1" customWidth="1"/>
    <col min="6" max="6" width="10.140625" style="114" bestFit="1" customWidth="1"/>
    <col min="7" max="7" width="14" style="114" bestFit="1" customWidth="1"/>
    <col min="8" max="8" width="8.42578125" style="114" bestFit="1" customWidth="1"/>
    <col min="9" max="9" width="9.140625" style="114"/>
    <col min="10" max="10" width="50.7109375" style="10" customWidth="1"/>
  </cols>
  <sheetData>
    <row r="1" spans="1:10" ht="15" x14ac:dyDescent="0.2">
      <c r="A1" s="113" t="s">
        <v>0</v>
      </c>
      <c r="B1" s="113"/>
      <c r="C1" s="113"/>
      <c r="D1" s="113"/>
      <c r="E1" s="113"/>
      <c r="F1" s="113"/>
      <c r="G1" s="113"/>
      <c r="H1" s="113"/>
      <c r="I1" s="7" t="s">
        <v>884</v>
      </c>
      <c r="J1" s="28"/>
    </row>
    <row r="2" spans="1:10" ht="15" x14ac:dyDescent="0.2">
      <c r="A2" s="113" t="s">
        <v>827</v>
      </c>
      <c r="B2" s="113"/>
      <c r="C2" s="113"/>
      <c r="D2" s="113"/>
      <c r="E2" s="113"/>
      <c r="F2" s="113"/>
      <c r="G2" s="113"/>
      <c r="H2" s="113"/>
      <c r="J2" s="9" t="s">
        <v>885</v>
      </c>
    </row>
    <row r="3" spans="1:10" ht="15" x14ac:dyDescent="0.2">
      <c r="A3" s="113" t="s">
        <v>887</v>
      </c>
      <c r="B3" s="113"/>
      <c r="C3" s="113"/>
      <c r="D3" s="113"/>
      <c r="E3" s="113"/>
      <c r="F3" s="113"/>
      <c r="G3" s="113"/>
      <c r="H3" s="113"/>
      <c r="J3" s="28"/>
    </row>
    <row r="4" spans="1:10" s="10" customFormat="1" ht="30" x14ac:dyDescent="0.2">
      <c r="A4" s="115" t="s">
        <v>2</v>
      </c>
      <c r="B4" s="115" t="s">
        <v>3</v>
      </c>
      <c r="C4" s="115" t="s">
        <v>4</v>
      </c>
      <c r="D4" s="115" t="s">
        <v>5</v>
      </c>
      <c r="E4" s="115" t="s">
        <v>6</v>
      </c>
      <c r="F4" s="115" t="s">
        <v>7</v>
      </c>
      <c r="G4" s="115" t="s">
        <v>8</v>
      </c>
      <c r="H4" s="116" t="s">
        <v>886</v>
      </c>
      <c r="I4" s="117"/>
      <c r="J4" s="28"/>
    </row>
    <row r="5" spans="1:10" x14ac:dyDescent="0.2">
      <c r="A5" s="118"/>
      <c r="B5" s="118"/>
      <c r="C5" s="119" t="s">
        <v>9</v>
      </c>
      <c r="D5" s="118"/>
      <c r="E5" s="118"/>
      <c r="F5" s="118"/>
      <c r="G5" s="118"/>
      <c r="H5" s="120" t="s">
        <v>151</v>
      </c>
      <c r="J5" s="28"/>
    </row>
    <row r="6" spans="1:10" x14ac:dyDescent="0.2">
      <c r="A6" s="118"/>
      <c r="B6" s="118"/>
      <c r="C6" s="119" t="s">
        <v>10</v>
      </c>
      <c r="D6" s="118"/>
      <c r="E6" s="118"/>
      <c r="F6" s="118"/>
      <c r="G6" s="118"/>
      <c r="H6" s="120" t="s">
        <v>151</v>
      </c>
      <c r="J6" s="28"/>
    </row>
    <row r="7" spans="1:10" x14ac:dyDescent="0.2">
      <c r="A7" s="121">
        <v>1</v>
      </c>
      <c r="B7" s="122" t="s">
        <v>343</v>
      </c>
      <c r="C7" s="122" t="s">
        <v>344</v>
      </c>
      <c r="D7" s="122" t="s">
        <v>48</v>
      </c>
      <c r="E7" s="123">
        <v>1040586</v>
      </c>
      <c r="F7" s="124">
        <v>18023.469813</v>
      </c>
      <c r="G7" s="125">
        <v>0.12032558</v>
      </c>
      <c r="H7" s="120" t="s">
        <v>151</v>
      </c>
      <c r="J7" s="28"/>
    </row>
    <row r="8" spans="1:10" x14ac:dyDescent="0.2">
      <c r="A8" s="121">
        <v>2</v>
      </c>
      <c r="B8" s="122" t="s">
        <v>46</v>
      </c>
      <c r="C8" s="122" t="s">
        <v>47</v>
      </c>
      <c r="D8" s="122" t="s">
        <v>48</v>
      </c>
      <c r="E8" s="123">
        <v>1155800</v>
      </c>
      <c r="F8" s="124">
        <v>14713.334000000001</v>
      </c>
      <c r="G8" s="125">
        <v>9.8226949999999993E-2</v>
      </c>
      <c r="H8" s="120" t="s">
        <v>151</v>
      </c>
      <c r="J8" s="28"/>
    </row>
    <row r="9" spans="1:10" x14ac:dyDescent="0.2">
      <c r="A9" s="121">
        <v>3</v>
      </c>
      <c r="B9" s="122" t="s">
        <v>349</v>
      </c>
      <c r="C9" s="122" t="s">
        <v>350</v>
      </c>
      <c r="D9" s="122" t="s">
        <v>48</v>
      </c>
      <c r="E9" s="123">
        <v>1135593</v>
      </c>
      <c r="F9" s="124">
        <v>13992.776946</v>
      </c>
      <c r="G9" s="125">
        <v>9.3416470000000001E-2</v>
      </c>
      <c r="H9" s="120" t="s">
        <v>151</v>
      </c>
      <c r="J9" s="28"/>
    </row>
    <row r="10" spans="1:10" x14ac:dyDescent="0.2">
      <c r="A10" s="121">
        <v>4</v>
      </c>
      <c r="B10" s="122" t="s">
        <v>663</v>
      </c>
      <c r="C10" s="122" t="s">
        <v>664</v>
      </c>
      <c r="D10" s="122" t="s">
        <v>121</v>
      </c>
      <c r="E10" s="123">
        <v>99201</v>
      </c>
      <c r="F10" s="124">
        <v>7641.4530299999997</v>
      </c>
      <c r="G10" s="125">
        <v>5.101472E-2</v>
      </c>
      <c r="H10" s="120" t="s">
        <v>151</v>
      </c>
      <c r="J10" s="28"/>
    </row>
    <row r="11" spans="1:10" x14ac:dyDescent="0.2">
      <c r="A11" s="121">
        <v>5</v>
      </c>
      <c r="B11" s="122" t="s">
        <v>63</v>
      </c>
      <c r="C11" s="122" t="s">
        <v>64</v>
      </c>
      <c r="D11" s="122" t="s">
        <v>48</v>
      </c>
      <c r="E11" s="123">
        <v>885294</v>
      </c>
      <c r="F11" s="124">
        <v>6975.2314260000003</v>
      </c>
      <c r="G11" s="125">
        <v>4.6566990000000003E-2</v>
      </c>
      <c r="H11" s="120" t="s">
        <v>151</v>
      </c>
      <c r="J11" s="28"/>
    </row>
    <row r="12" spans="1:10" x14ac:dyDescent="0.2">
      <c r="A12" s="121">
        <v>6</v>
      </c>
      <c r="B12" s="122" t="s">
        <v>234</v>
      </c>
      <c r="C12" s="122" t="s">
        <v>235</v>
      </c>
      <c r="D12" s="122" t="s">
        <v>121</v>
      </c>
      <c r="E12" s="123">
        <v>188623</v>
      </c>
      <c r="F12" s="124">
        <v>6746.9503985000001</v>
      </c>
      <c r="G12" s="125">
        <v>4.5042980000000003E-2</v>
      </c>
      <c r="H12" s="120" t="s">
        <v>151</v>
      </c>
      <c r="J12" s="28"/>
    </row>
    <row r="13" spans="1:10" x14ac:dyDescent="0.2">
      <c r="A13" s="121">
        <v>7</v>
      </c>
      <c r="B13" s="122" t="s">
        <v>244</v>
      </c>
      <c r="C13" s="122" t="s">
        <v>245</v>
      </c>
      <c r="D13" s="122" t="s">
        <v>121</v>
      </c>
      <c r="E13" s="123">
        <v>299282</v>
      </c>
      <c r="F13" s="124">
        <v>6116.4262339999996</v>
      </c>
      <c r="G13" s="125">
        <v>4.0833559999999998E-2</v>
      </c>
      <c r="H13" s="120" t="s">
        <v>151</v>
      </c>
      <c r="J13" s="28"/>
    </row>
    <row r="14" spans="1:10" x14ac:dyDescent="0.2">
      <c r="A14" s="121">
        <v>8</v>
      </c>
      <c r="B14" s="122" t="s">
        <v>471</v>
      </c>
      <c r="C14" s="122" t="s">
        <v>472</v>
      </c>
      <c r="D14" s="122" t="s">
        <v>48</v>
      </c>
      <c r="E14" s="123">
        <v>397378</v>
      </c>
      <c r="F14" s="124">
        <v>5752.4439279999997</v>
      </c>
      <c r="G14" s="125">
        <v>3.8403600000000003E-2</v>
      </c>
      <c r="H14" s="120" t="s">
        <v>151</v>
      </c>
      <c r="J14" s="28"/>
    </row>
    <row r="15" spans="1:10" x14ac:dyDescent="0.2">
      <c r="A15" s="121">
        <v>9</v>
      </c>
      <c r="B15" s="122" t="s">
        <v>413</v>
      </c>
      <c r="C15" s="122" t="s">
        <v>414</v>
      </c>
      <c r="D15" s="122" t="s">
        <v>48</v>
      </c>
      <c r="E15" s="123">
        <v>7028032</v>
      </c>
      <c r="F15" s="124">
        <v>5426.3435072000002</v>
      </c>
      <c r="G15" s="125">
        <v>3.6226540000000002E-2</v>
      </c>
      <c r="H15" s="120" t="s">
        <v>151</v>
      </c>
      <c r="J15" s="28"/>
    </row>
    <row r="16" spans="1:10" x14ac:dyDescent="0.2">
      <c r="A16" s="121">
        <v>10</v>
      </c>
      <c r="B16" s="122" t="s">
        <v>463</v>
      </c>
      <c r="C16" s="122" t="s">
        <v>464</v>
      </c>
      <c r="D16" s="122" t="s">
        <v>48</v>
      </c>
      <c r="E16" s="123">
        <v>2143196</v>
      </c>
      <c r="F16" s="124">
        <v>5310.839688</v>
      </c>
      <c r="G16" s="125">
        <v>3.5455430000000003E-2</v>
      </c>
      <c r="H16" s="120" t="s">
        <v>151</v>
      </c>
      <c r="J16" s="8" t="s">
        <v>1033</v>
      </c>
    </row>
    <row r="17" spans="1:10" x14ac:dyDescent="0.2">
      <c r="A17" s="121">
        <v>11</v>
      </c>
      <c r="B17" s="122" t="s">
        <v>424</v>
      </c>
      <c r="C17" s="122" t="s">
        <v>425</v>
      </c>
      <c r="D17" s="122" t="s">
        <v>48</v>
      </c>
      <c r="E17" s="123">
        <v>1599400</v>
      </c>
      <c r="F17" s="124">
        <v>5011.7199000000001</v>
      </c>
      <c r="G17" s="125">
        <v>3.345849E-2</v>
      </c>
      <c r="H17" s="120" t="s">
        <v>151</v>
      </c>
      <c r="J17" s="28"/>
    </row>
    <row r="18" spans="1:10" x14ac:dyDescent="0.2">
      <c r="A18" s="121">
        <v>12</v>
      </c>
      <c r="B18" s="122" t="s">
        <v>420</v>
      </c>
      <c r="C18" s="122" t="s">
        <v>421</v>
      </c>
      <c r="D18" s="122" t="s">
        <v>48</v>
      </c>
      <c r="E18" s="123">
        <v>11862990</v>
      </c>
      <c r="F18" s="124">
        <v>4796.2068570000001</v>
      </c>
      <c r="G18" s="125">
        <v>3.201971E-2</v>
      </c>
      <c r="H18" s="120" t="s">
        <v>151</v>
      </c>
      <c r="J18" s="28"/>
    </row>
    <row r="19" spans="1:10" x14ac:dyDescent="0.2">
      <c r="A19" s="121">
        <v>13</v>
      </c>
      <c r="B19" s="122" t="s">
        <v>506</v>
      </c>
      <c r="C19" s="122" t="s">
        <v>507</v>
      </c>
      <c r="D19" s="122" t="s">
        <v>48</v>
      </c>
      <c r="E19" s="123">
        <v>3899658</v>
      </c>
      <c r="F19" s="124">
        <v>4313.0217480000001</v>
      </c>
      <c r="G19" s="125">
        <v>2.8793949999999999E-2</v>
      </c>
      <c r="H19" s="120" t="s">
        <v>151</v>
      </c>
      <c r="J19" s="28"/>
    </row>
    <row r="20" spans="1:10" x14ac:dyDescent="0.2">
      <c r="A20" s="121">
        <v>14</v>
      </c>
      <c r="B20" s="122" t="s">
        <v>828</v>
      </c>
      <c r="C20" s="122" t="s">
        <v>829</v>
      </c>
      <c r="D20" s="122" t="s">
        <v>241</v>
      </c>
      <c r="E20" s="123">
        <v>483829</v>
      </c>
      <c r="F20" s="124">
        <v>4223.3433409999998</v>
      </c>
      <c r="G20" s="125">
        <v>2.8195250000000002E-2</v>
      </c>
      <c r="H20" s="120" t="s">
        <v>151</v>
      </c>
      <c r="J20" s="28"/>
    </row>
    <row r="21" spans="1:10" x14ac:dyDescent="0.2">
      <c r="A21" s="121">
        <v>15</v>
      </c>
      <c r="B21" s="122" t="s">
        <v>119</v>
      </c>
      <c r="C21" s="122" t="s">
        <v>120</v>
      </c>
      <c r="D21" s="122" t="s">
        <v>121</v>
      </c>
      <c r="E21" s="123">
        <v>752875</v>
      </c>
      <c r="F21" s="124">
        <v>4174.6918750000004</v>
      </c>
      <c r="G21" s="125">
        <v>2.7870450000000001E-2</v>
      </c>
      <c r="H21" s="120" t="s">
        <v>151</v>
      </c>
      <c r="J21" s="28"/>
    </row>
    <row r="22" spans="1:10" ht="15" x14ac:dyDescent="0.2">
      <c r="A22" s="121">
        <v>16</v>
      </c>
      <c r="B22" s="122" t="s">
        <v>246</v>
      </c>
      <c r="C22" s="122" t="s">
        <v>247</v>
      </c>
      <c r="D22" s="122" t="s">
        <v>121</v>
      </c>
      <c r="E22" s="123">
        <v>754580</v>
      </c>
      <c r="F22" s="124">
        <v>3682.7276900000002</v>
      </c>
      <c r="G22" s="125">
        <v>2.4586070000000002E-2</v>
      </c>
      <c r="H22" s="120" t="s">
        <v>151</v>
      </c>
      <c r="J22" s="11"/>
    </row>
    <row r="23" spans="1:10" x14ac:dyDescent="0.2">
      <c r="A23" s="121">
        <v>17</v>
      </c>
      <c r="B23" s="122" t="s">
        <v>447</v>
      </c>
      <c r="C23" s="122" t="s">
        <v>448</v>
      </c>
      <c r="D23" s="122" t="s">
        <v>121</v>
      </c>
      <c r="E23" s="123">
        <v>293597</v>
      </c>
      <c r="F23" s="124">
        <v>3516.1176719999999</v>
      </c>
      <c r="G23" s="125">
        <v>2.347378E-2</v>
      </c>
      <c r="H23" s="120" t="s">
        <v>151</v>
      </c>
      <c r="J23" s="28"/>
    </row>
    <row r="24" spans="1:10" x14ac:dyDescent="0.2">
      <c r="A24" s="121">
        <v>18</v>
      </c>
      <c r="B24" s="122" t="s">
        <v>336</v>
      </c>
      <c r="C24" s="122" t="s">
        <v>337</v>
      </c>
      <c r="D24" s="122" t="s">
        <v>295</v>
      </c>
      <c r="E24" s="123">
        <v>438147</v>
      </c>
      <c r="F24" s="124">
        <v>3418.2038204999999</v>
      </c>
      <c r="G24" s="125">
        <v>2.2820099999999999E-2</v>
      </c>
      <c r="H24" s="120" t="s">
        <v>151</v>
      </c>
      <c r="J24" s="28"/>
    </row>
    <row r="25" spans="1:10" x14ac:dyDescent="0.2">
      <c r="A25" s="121">
        <v>19</v>
      </c>
      <c r="B25" s="122" t="s">
        <v>362</v>
      </c>
      <c r="C25" s="122" t="s">
        <v>363</v>
      </c>
      <c r="D25" s="122" t="s">
        <v>241</v>
      </c>
      <c r="E25" s="123">
        <v>58863</v>
      </c>
      <c r="F25" s="124">
        <v>3331.8223889999999</v>
      </c>
      <c r="G25" s="125">
        <v>2.2243410000000002E-2</v>
      </c>
      <c r="H25" s="120" t="s">
        <v>151</v>
      </c>
      <c r="J25" s="28"/>
    </row>
    <row r="26" spans="1:10" x14ac:dyDescent="0.2">
      <c r="A26" s="121">
        <v>20</v>
      </c>
      <c r="B26" s="122" t="s">
        <v>533</v>
      </c>
      <c r="C26" s="122" t="s">
        <v>534</v>
      </c>
      <c r="D26" s="122" t="s">
        <v>48</v>
      </c>
      <c r="E26" s="123">
        <v>2500000</v>
      </c>
      <c r="F26" s="124">
        <v>3068</v>
      </c>
      <c r="G26" s="125">
        <v>2.0482119999999999E-2</v>
      </c>
      <c r="H26" s="120" t="s">
        <v>151</v>
      </c>
      <c r="J26" s="28"/>
    </row>
    <row r="27" spans="1:10" x14ac:dyDescent="0.2">
      <c r="A27" s="121">
        <v>21</v>
      </c>
      <c r="B27" s="122" t="s">
        <v>515</v>
      </c>
      <c r="C27" s="122" t="s">
        <v>516</v>
      </c>
      <c r="D27" s="122" t="s">
        <v>48</v>
      </c>
      <c r="E27" s="123">
        <v>1164816</v>
      </c>
      <c r="F27" s="124">
        <v>2379.4861248000002</v>
      </c>
      <c r="G27" s="125">
        <v>1.5885570000000002E-2</v>
      </c>
      <c r="H27" s="120" t="s">
        <v>151</v>
      </c>
      <c r="J27" s="28"/>
    </row>
    <row r="28" spans="1:10" x14ac:dyDescent="0.2">
      <c r="A28" s="121">
        <v>22</v>
      </c>
      <c r="B28" s="122" t="s">
        <v>291</v>
      </c>
      <c r="C28" s="122" t="s">
        <v>292</v>
      </c>
      <c r="D28" s="122" t="s">
        <v>121</v>
      </c>
      <c r="E28" s="123">
        <v>121433</v>
      </c>
      <c r="F28" s="124">
        <v>2205.7697284999999</v>
      </c>
      <c r="G28" s="125">
        <v>1.4725830000000001E-2</v>
      </c>
      <c r="H28" s="120" t="s">
        <v>151</v>
      </c>
      <c r="J28" s="28"/>
    </row>
    <row r="29" spans="1:10" x14ac:dyDescent="0.2">
      <c r="A29" s="121">
        <v>23</v>
      </c>
      <c r="B29" s="122" t="s">
        <v>498</v>
      </c>
      <c r="C29" s="122" t="s">
        <v>499</v>
      </c>
      <c r="D29" s="122" t="s">
        <v>121</v>
      </c>
      <c r="E29" s="123">
        <v>177602</v>
      </c>
      <c r="F29" s="124">
        <v>1745.738859</v>
      </c>
      <c r="G29" s="125">
        <v>1.1654640000000001E-2</v>
      </c>
      <c r="H29" s="120" t="s">
        <v>151</v>
      </c>
      <c r="J29" s="28"/>
    </row>
    <row r="30" spans="1:10" x14ac:dyDescent="0.2">
      <c r="A30" s="121">
        <v>24</v>
      </c>
      <c r="B30" s="122" t="s">
        <v>432</v>
      </c>
      <c r="C30" s="122" t="s">
        <v>433</v>
      </c>
      <c r="D30" s="122" t="s">
        <v>241</v>
      </c>
      <c r="E30" s="123">
        <v>63671</v>
      </c>
      <c r="F30" s="124">
        <v>1631.060007</v>
      </c>
      <c r="G30" s="125">
        <v>1.0889039999999999E-2</v>
      </c>
      <c r="H30" s="120" t="s">
        <v>151</v>
      </c>
      <c r="J30" s="28"/>
    </row>
    <row r="31" spans="1:10" ht="25.5" x14ac:dyDescent="0.2">
      <c r="A31" s="121">
        <v>25</v>
      </c>
      <c r="B31" s="122" t="s">
        <v>231</v>
      </c>
      <c r="C31" s="122" t="s">
        <v>232</v>
      </c>
      <c r="D31" s="122" t="s">
        <v>233</v>
      </c>
      <c r="E31" s="123">
        <v>95000</v>
      </c>
      <c r="F31" s="124">
        <v>1538.9525000000001</v>
      </c>
      <c r="G31" s="125">
        <v>1.0274119999999999E-2</v>
      </c>
      <c r="H31" s="120" t="s">
        <v>151</v>
      </c>
      <c r="J31" s="28"/>
    </row>
    <row r="32" spans="1:10" x14ac:dyDescent="0.2">
      <c r="A32" s="121">
        <v>26</v>
      </c>
      <c r="B32" s="122" t="s">
        <v>273</v>
      </c>
      <c r="C32" s="122" t="s">
        <v>274</v>
      </c>
      <c r="D32" s="122" t="s">
        <v>48</v>
      </c>
      <c r="E32" s="123">
        <v>944001</v>
      </c>
      <c r="F32" s="124">
        <v>1158.9500277</v>
      </c>
      <c r="G32" s="125">
        <v>7.7372099999999996E-3</v>
      </c>
      <c r="H32" s="120" t="s">
        <v>151</v>
      </c>
      <c r="J32" s="28"/>
    </row>
    <row r="33" spans="1:10" ht="25.5" x14ac:dyDescent="0.2">
      <c r="A33" s="121">
        <v>27</v>
      </c>
      <c r="B33" s="122" t="s">
        <v>806</v>
      </c>
      <c r="C33" s="122" t="s">
        <v>807</v>
      </c>
      <c r="D33" s="122" t="s">
        <v>241</v>
      </c>
      <c r="E33" s="123">
        <v>80000</v>
      </c>
      <c r="F33" s="124">
        <v>831.68</v>
      </c>
      <c r="G33" s="125">
        <v>5.5523400000000002E-3</v>
      </c>
      <c r="H33" s="120" t="s">
        <v>151</v>
      </c>
      <c r="J33" s="28"/>
    </row>
    <row r="34" spans="1:10" x14ac:dyDescent="0.2">
      <c r="A34" s="121">
        <v>28</v>
      </c>
      <c r="B34" s="122" t="s">
        <v>830</v>
      </c>
      <c r="C34" s="122" t="s">
        <v>831</v>
      </c>
      <c r="D34" s="122" t="s">
        <v>241</v>
      </c>
      <c r="E34" s="123">
        <v>110327</v>
      </c>
      <c r="F34" s="124">
        <v>718.83556850000002</v>
      </c>
      <c r="G34" s="125">
        <v>4.7989800000000004E-3</v>
      </c>
      <c r="H34" s="120" t="s">
        <v>151</v>
      </c>
      <c r="J34" s="28"/>
    </row>
    <row r="35" spans="1:10" x14ac:dyDescent="0.2">
      <c r="A35" s="118"/>
      <c r="B35" s="118"/>
      <c r="C35" s="119" t="s">
        <v>150</v>
      </c>
      <c r="D35" s="118"/>
      <c r="E35" s="118" t="s">
        <v>151</v>
      </c>
      <c r="F35" s="126">
        <v>142445.5970787</v>
      </c>
      <c r="G35" s="127">
        <v>0.95097388000000005</v>
      </c>
      <c r="H35" s="120" t="s">
        <v>151</v>
      </c>
      <c r="J35" s="28"/>
    </row>
    <row r="36" spans="1:10" x14ac:dyDescent="0.2">
      <c r="A36" s="118"/>
      <c r="B36" s="118"/>
      <c r="C36" s="128"/>
      <c r="D36" s="118"/>
      <c r="E36" s="118"/>
      <c r="F36" s="129"/>
      <c r="G36" s="129"/>
      <c r="H36" s="120" t="s">
        <v>151</v>
      </c>
      <c r="J36" s="28"/>
    </row>
    <row r="37" spans="1:10" x14ac:dyDescent="0.2">
      <c r="A37" s="118"/>
      <c r="B37" s="118"/>
      <c r="C37" s="119" t="s">
        <v>152</v>
      </c>
      <c r="D37" s="118"/>
      <c r="E37" s="118"/>
      <c r="F37" s="118"/>
      <c r="G37" s="118"/>
      <c r="H37" s="120" t="s">
        <v>151</v>
      </c>
      <c r="J37" s="28"/>
    </row>
    <row r="38" spans="1:10" x14ac:dyDescent="0.2">
      <c r="A38" s="118"/>
      <c r="B38" s="118"/>
      <c r="C38" s="119" t="s">
        <v>150</v>
      </c>
      <c r="D38" s="118"/>
      <c r="E38" s="118" t="s">
        <v>151</v>
      </c>
      <c r="F38" s="130" t="s">
        <v>153</v>
      </c>
      <c r="G38" s="127">
        <v>0</v>
      </c>
      <c r="H38" s="120" t="s">
        <v>151</v>
      </c>
      <c r="J38" s="28"/>
    </row>
    <row r="39" spans="1:10" x14ac:dyDescent="0.2">
      <c r="A39" s="118"/>
      <c r="B39" s="118"/>
      <c r="C39" s="128"/>
      <c r="D39" s="118"/>
      <c r="E39" s="118"/>
      <c r="F39" s="129"/>
      <c r="G39" s="129"/>
      <c r="H39" s="120" t="s">
        <v>151</v>
      </c>
      <c r="J39" s="28"/>
    </row>
    <row r="40" spans="1:10" x14ac:dyDescent="0.2">
      <c r="A40" s="118"/>
      <c r="B40" s="118"/>
      <c r="C40" s="119" t="s">
        <v>154</v>
      </c>
      <c r="D40" s="118"/>
      <c r="E40" s="118"/>
      <c r="F40" s="118"/>
      <c r="G40" s="118"/>
      <c r="H40" s="120" t="s">
        <v>151</v>
      </c>
      <c r="J40" s="28"/>
    </row>
    <row r="41" spans="1:10" x14ac:dyDescent="0.2">
      <c r="A41" s="118"/>
      <c r="B41" s="118"/>
      <c r="C41" s="119" t="s">
        <v>150</v>
      </c>
      <c r="D41" s="118"/>
      <c r="E41" s="118" t="s">
        <v>151</v>
      </c>
      <c r="F41" s="130" t="s">
        <v>153</v>
      </c>
      <c r="G41" s="127">
        <v>0</v>
      </c>
      <c r="H41" s="120" t="s">
        <v>151</v>
      </c>
      <c r="J41" s="28"/>
    </row>
    <row r="42" spans="1:10" x14ac:dyDescent="0.2">
      <c r="A42" s="118"/>
      <c r="B42" s="118"/>
      <c r="C42" s="128"/>
      <c r="D42" s="118"/>
      <c r="E42" s="118"/>
      <c r="F42" s="129"/>
      <c r="G42" s="129"/>
      <c r="H42" s="120" t="s">
        <v>151</v>
      </c>
      <c r="J42" s="28"/>
    </row>
    <row r="43" spans="1:10" x14ac:dyDescent="0.2">
      <c r="A43" s="118"/>
      <c r="B43" s="118"/>
      <c r="C43" s="119" t="s">
        <v>155</v>
      </c>
      <c r="D43" s="118"/>
      <c r="E43" s="118"/>
      <c r="F43" s="118"/>
      <c r="G43" s="118"/>
      <c r="H43" s="120" t="s">
        <v>151</v>
      </c>
      <c r="J43" s="28"/>
    </row>
    <row r="44" spans="1:10" x14ac:dyDescent="0.2">
      <c r="A44" s="118"/>
      <c r="B44" s="118"/>
      <c r="C44" s="119" t="s">
        <v>150</v>
      </c>
      <c r="D44" s="118"/>
      <c r="E44" s="118" t="s">
        <v>151</v>
      </c>
      <c r="F44" s="130" t="s">
        <v>153</v>
      </c>
      <c r="G44" s="127">
        <v>0</v>
      </c>
      <c r="H44" s="120" t="s">
        <v>151</v>
      </c>
      <c r="J44" s="28"/>
    </row>
    <row r="45" spans="1:10" x14ac:dyDescent="0.2">
      <c r="A45" s="118"/>
      <c r="B45" s="118"/>
      <c r="C45" s="128"/>
      <c r="D45" s="118"/>
      <c r="E45" s="118"/>
      <c r="F45" s="129"/>
      <c r="G45" s="129"/>
      <c r="H45" s="120" t="s">
        <v>151</v>
      </c>
      <c r="J45" s="28"/>
    </row>
    <row r="46" spans="1:10" x14ac:dyDescent="0.2">
      <c r="A46" s="118"/>
      <c r="B46" s="118"/>
      <c r="C46" s="119" t="s">
        <v>156</v>
      </c>
      <c r="D46" s="118"/>
      <c r="E46" s="118"/>
      <c r="F46" s="129"/>
      <c r="G46" s="129"/>
      <c r="H46" s="120" t="s">
        <v>151</v>
      </c>
      <c r="J46" s="28"/>
    </row>
    <row r="47" spans="1:10" x14ac:dyDescent="0.2">
      <c r="A47" s="118"/>
      <c r="B47" s="118"/>
      <c r="C47" s="119" t="s">
        <v>150</v>
      </c>
      <c r="D47" s="118"/>
      <c r="E47" s="118" t="s">
        <v>151</v>
      </c>
      <c r="F47" s="130" t="s">
        <v>153</v>
      </c>
      <c r="G47" s="127">
        <v>0</v>
      </c>
      <c r="H47" s="120" t="s">
        <v>151</v>
      </c>
      <c r="J47" s="28"/>
    </row>
    <row r="48" spans="1:10" x14ac:dyDescent="0.2">
      <c r="A48" s="118"/>
      <c r="B48" s="118"/>
      <c r="C48" s="128"/>
      <c r="D48" s="118"/>
      <c r="E48" s="118"/>
      <c r="F48" s="129"/>
      <c r="G48" s="129"/>
      <c r="H48" s="120" t="s">
        <v>151</v>
      </c>
      <c r="J48" s="28"/>
    </row>
    <row r="49" spans="1:10" x14ac:dyDescent="0.2">
      <c r="A49" s="118"/>
      <c r="B49" s="118"/>
      <c r="C49" s="119" t="s">
        <v>157</v>
      </c>
      <c r="D49" s="118"/>
      <c r="E49" s="118"/>
      <c r="F49" s="129"/>
      <c r="G49" s="129"/>
      <c r="H49" s="120" t="s">
        <v>151</v>
      </c>
      <c r="J49" s="28"/>
    </row>
    <row r="50" spans="1:10" x14ac:dyDescent="0.2">
      <c r="A50" s="118"/>
      <c r="B50" s="118"/>
      <c r="C50" s="119" t="s">
        <v>150</v>
      </c>
      <c r="D50" s="118"/>
      <c r="E50" s="118" t="s">
        <v>151</v>
      </c>
      <c r="F50" s="130" t="s">
        <v>153</v>
      </c>
      <c r="G50" s="127">
        <v>0</v>
      </c>
      <c r="H50" s="120" t="s">
        <v>151</v>
      </c>
      <c r="J50" s="28"/>
    </row>
    <row r="51" spans="1:10" x14ac:dyDescent="0.2">
      <c r="A51" s="118"/>
      <c r="B51" s="118"/>
      <c r="C51" s="128"/>
      <c r="D51" s="118"/>
      <c r="E51" s="118"/>
      <c r="F51" s="129"/>
      <c r="G51" s="129"/>
      <c r="H51" s="120" t="s">
        <v>151</v>
      </c>
      <c r="J51" s="28"/>
    </row>
    <row r="52" spans="1:10" x14ac:dyDescent="0.2">
      <c r="A52" s="118"/>
      <c r="B52" s="118"/>
      <c r="C52" s="119" t="s">
        <v>158</v>
      </c>
      <c r="D52" s="118"/>
      <c r="E52" s="118"/>
      <c r="F52" s="126">
        <v>142445.5970787</v>
      </c>
      <c r="G52" s="127">
        <v>0.95097388000000005</v>
      </c>
      <c r="H52" s="120" t="s">
        <v>151</v>
      </c>
      <c r="J52" s="28"/>
    </row>
    <row r="53" spans="1:10" x14ac:dyDescent="0.2">
      <c r="A53" s="118"/>
      <c r="B53" s="118"/>
      <c r="C53" s="128"/>
      <c r="D53" s="118"/>
      <c r="E53" s="118"/>
      <c r="F53" s="129"/>
      <c r="G53" s="129"/>
      <c r="H53" s="120" t="s">
        <v>151</v>
      </c>
      <c r="J53" s="28"/>
    </row>
    <row r="54" spans="1:10" x14ac:dyDescent="0.2">
      <c r="A54" s="118"/>
      <c r="B54" s="118"/>
      <c r="C54" s="119" t="s">
        <v>159</v>
      </c>
      <c r="D54" s="118"/>
      <c r="E54" s="118"/>
      <c r="F54" s="129"/>
      <c r="G54" s="129"/>
      <c r="H54" s="120" t="s">
        <v>151</v>
      </c>
      <c r="J54" s="28"/>
    </row>
    <row r="55" spans="1:10" x14ac:dyDescent="0.2">
      <c r="A55" s="118"/>
      <c r="B55" s="118"/>
      <c r="C55" s="119" t="s">
        <v>10</v>
      </c>
      <c r="D55" s="118"/>
      <c r="E55" s="118"/>
      <c r="F55" s="129"/>
      <c r="G55" s="129"/>
      <c r="H55" s="120" t="s">
        <v>151</v>
      </c>
      <c r="J55" s="28"/>
    </row>
    <row r="56" spans="1:10" x14ac:dyDescent="0.2">
      <c r="A56" s="118"/>
      <c r="B56" s="118"/>
      <c r="C56" s="119" t="s">
        <v>150</v>
      </c>
      <c r="D56" s="118"/>
      <c r="E56" s="118" t="s">
        <v>151</v>
      </c>
      <c r="F56" s="130" t="s">
        <v>153</v>
      </c>
      <c r="G56" s="127">
        <v>0</v>
      </c>
      <c r="H56" s="120" t="s">
        <v>151</v>
      </c>
      <c r="J56" s="28"/>
    </row>
    <row r="57" spans="1:10" x14ac:dyDescent="0.2">
      <c r="A57" s="118"/>
      <c r="B57" s="118"/>
      <c r="C57" s="128"/>
      <c r="D57" s="118"/>
      <c r="E57" s="118"/>
      <c r="F57" s="129"/>
      <c r="G57" s="129"/>
      <c r="H57" s="120" t="s">
        <v>151</v>
      </c>
      <c r="J57" s="28"/>
    </row>
    <row r="58" spans="1:10" x14ac:dyDescent="0.2">
      <c r="A58" s="118"/>
      <c r="B58" s="118"/>
      <c r="C58" s="119" t="s">
        <v>160</v>
      </c>
      <c r="D58" s="118"/>
      <c r="E58" s="118"/>
      <c r="F58" s="118"/>
      <c r="G58" s="118"/>
      <c r="H58" s="120" t="s">
        <v>151</v>
      </c>
      <c r="J58" s="28"/>
    </row>
    <row r="59" spans="1:10" x14ac:dyDescent="0.2">
      <c r="A59" s="118"/>
      <c r="B59" s="118"/>
      <c r="C59" s="119" t="s">
        <v>150</v>
      </c>
      <c r="D59" s="118"/>
      <c r="E59" s="118" t="s">
        <v>151</v>
      </c>
      <c r="F59" s="130" t="s">
        <v>153</v>
      </c>
      <c r="G59" s="127">
        <v>0</v>
      </c>
      <c r="H59" s="120" t="s">
        <v>151</v>
      </c>
      <c r="J59" s="28"/>
    </row>
    <row r="60" spans="1:10" x14ac:dyDescent="0.2">
      <c r="A60" s="118"/>
      <c r="B60" s="118"/>
      <c r="C60" s="128"/>
      <c r="D60" s="118"/>
      <c r="E60" s="118"/>
      <c r="F60" s="129"/>
      <c r="G60" s="129"/>
      <c r="H60" s="120" t="s">
        <v>151</v>
      </c>
      <c r="J60" s="28"/>
    </row>
    <row r="61" spans="1:10" x14ac:dyDescent="0.2">
      <c r="A61" s="118"/>
      <c r="B61" s="118"/>
      <c r="C61" s="119" t="s">
        <v>161</v>
      </c>
      <c r="D61" s="118"/>
      <c r="E61" s="118"/>
      <c r="F61" s="118"/>
      <c r="G61" s="118"/>
      <c r="H61" s="120" t="s">
        <v>151</v>
      </c>
      <c r="J61" s="28"/>
    </row>
    <row r="62" spans="1:10" x14ac:dyDescent="0.2">
      <c r="A62" s="118"/>
      <c r="B62" s="118"/>
      <c r="C62" s="119" t="s">
        <v>150</v>
      </c>
      <c r="D62" s="118"/>
      <c r="E62" s="118" t="s">
        <v>151</v>
      </c>
      <c r="F62" s="130" t="s">
        <v>153</v>
      </c>
      <c r="G62" s="127">
        <v>0</v>
      </c>
      <c r="H62" s="120" t="s">
        <v>151</v>
      </c>
      <c r="J62" s="28"/>
    </row>
    <row r="63" spans="1:10" x14ac:dyDescent="0.2">
      <c r="A63" s="118"/>
      <c r="B63" s="118"/>
      <c r="C63" s="128"/>
      <c r="D63" s="118"/>
      <c r="E63" s="118"/>
      <c r="F63" s="129"/>
      <c r="G63" s="129"/>
      <c r="H63" s="120" t="s">
        <v>151</v>
      </c>
      <c r="J63" s="28"/>
    </row>
    <row r="64" spans="1:10" x14ac:dyDescent="0.2">
      <c r="A64" s="118"/>
      <c r="B64" s="118"/>
      <c r="C64" s="119" t="s">
        <v>162</v>
      </c>
      <c r="D64" s="118"/>
      <c r="E64" s="118"/>
      <c r="F64" s="129"/>
      <c r="G64" s="129"/>
      <c r="H64" s="120" t="s">
        <v>151</v>
      </c>
      <c r="J64" s="28"/>
    </row>
    <row r="65" spans="1:10" x14ac:dyDescent="0.2">
      <c r="A65" s="118"/>
      <c r="B65" s="118"/>
      <c r="C65" s="119" t="s">
        <v>150</v>
      </c>
      <c r="D65" s="118"/>
      <c r="E65" s="118" t="s">
        <v>151</v>
      </c>
      <c r="F65" s="130" t="s">
        <v>153</v>
      </c>
      <c r="G65" s="127">
        <v>0</v>
      </c>
      <c r="H65" s="120" t="s">
        <v>151</v>
      </c>
      <c r="J65" s="28"/>
    </row>
    <row r="66" spans="1:10" x14ac:dyDescent="0.2">
      <c r="A66" s="118"/>
      <c r="B66" s="118"/>
      <c r="C66" s="128"/>
      <c r="D66" s="118"/>
      <c r="E66" s="118"/>
      <c r="F66" s="129"/>
      <c r="G66" s="129"/>
      <c r="H66" s="120" t="s">
        <v>151</v>
      </c>
      <c r="J66" s="28"/>
    </row>
    <row r="67" spans="1:10" x14ac:dyDescent="0.2">
      <c r="A67" s="118"/>
      <c r="B67" s="118"/>
      <c r="C67" s="119" t="s">
        <v>163</v>
      </c>
      <c r="D67" s="118"/>
      <c r="E67" s="118"/>
      <c r="F67" s="126">
        <v>0</v>
      </c>
      <c r="G67" s="127">
        <v>0</v>
      </c>
      <c r="H67" s="120" t="s">
        <v>151</v>
      </c>
      <c r="J67" s="28"/>
    </row>
    <row r="68" spans="1:10" x14ac:dyDescent="0.2">
      <c r="A68" s="118"/>
      <c r="B68" s="118"/>
      <c r="C68" s="128"/>
      <c r="D68" s="118"/>
      <c r="E68" s="118"/>
      <c r="F68" s="129"/>
      <c r="G68" s="129"/>
      <c r="H68" s="120" t="s">
        <v>151</v>
      </c>
      <c r="J68" s="28"/>
    </row>
    <row r="69" spans="1:10" x14ac:dyDescent="0.2">
      <c r="A69" s="118"/>
      <c r="B69" s="118"/>
      <c r="C69" s="119" t="s">
        <v>164</v>
      </c>
      <c r="D69" s="118"/>
      <c r="E69" s="118"/>
      <c r="F69" s="129"/>
      <c r="G69" s="129"/>
      <c r="H69" s="120" t="s">
        <v>151</v>
      </c>
      <c r="J69" s="28"/>
    </row>
    <row r="70" spans="1:10" x14ac:dyDescent="0.2">
      <c r="A70" s="118"/>
      <c r="B70" s="118"/>
      <c r="C70" s="119" t="s">
        <v>165</v>
      </c>
      <c r="D70" s="118"/>
      <c r="E70" s="118"/>
      <c r="F70" s="129"/>
      <c r="G70" s="129"/>
      <c r="H70" s="120" t="s">
        <v>151</v>
      </c>
      <c r="J70" s="28"/>
    </row>
    <row r="71" spans="1:10" x14ac:dyDescent="0.2">
      <c r="A71" s="118"/>
      <c r="B71" s="118"/>
      <c r="C71" s="119" t="s">
        <v>150</v>
      </c>
      <c r="D71" s="118"/>
      <c r="E71" s="118" t="s">
        <v>151</v>
      </c>
      <c r="F71" s="130" t="s">
        <v>153</v>
      </c>
      <c r="G71" s="127">
        <v>0</v>
      </c>
      <c r="H71" s="120" t="s">
        <v>151</v>
      </c>
      <c r="J71" s="28"/>
    </row>
    <row r="72" spans="1:10" x14ac:dyDescent="0.2">
      <c r="A72" s="118"/>
      <c r="B72" s="118"/>
      <c r="C72" s="128"/>
      <c r="D72" s="118"/>
      <c r="E72" s="118"/>
      <c r="F72" s="129"/>
      <c r="G72" s="129"/>
      <c r="H72" s="120" t="s">
        <v>151</v>
      </c>
      <c r="J72" s="28"/>
    </row>
    <row r="73" spans="1:10" x14ac:dyDescent="0.2">
      <c r="A73" s="118"/>
      <c r="B73" s="118"/>
      <c r="C73" s="119" t="s">
        <v>166</v>
      </c>
      <c r="D73" s="118"/>
      <c r="E73" s="118"/>
      <c r="F73" s="129"/>
      <c r="G73" s="129"/>
      <c r="H73" s="120" t="s">
        <v>151</v>
      </c>
      <c r="J73" s="28"/>
    </row>
    <row r="74" spans="1:10" x14ac:dyDescent="0.2">
      <c r="A74" s="118"/>
      <c r="B74" s="118"/>
      <c r="C74" s="119" t="s">
        <v>150</v>
      </c>
      <c r="D74" s="118"/>
      <c r="E74" s="118" t="s">
        <v>151</v>
      </c>
      <c r="F74" s="130" t="s">
        <v>153</v>
      </c>
      <c r="G74" s="127">
        <v>0</v>
      </c>
      <c r="H74" s="120" t="s">
        <v>151</v>
      </c>
      <c r="J74" s="28"/>
    </row>
    <row r="75" spans="1:10" x14ac:dyDescent="0.2">
      <c r="A75" s="118"/>
      <c r="B75" s="118"/>
      <c r="C75" s="128"/>
      <c r="D75" s="118"/>
      <c r="E75" s="118"/>
      <c r="F75" s="129"/>
      <c r="G75" s="129"/>
      <c r="H75" s="120" t="s">
        <v>151</v>
      </c>
      <c r="J75" s="28"/>
    </row>
    <row r="76" spans="1:10" x14ac:dyDescent="0.2">
      <c r="A76" s="118"/>
      <c r="B76" s="118"/>
      <c r="C76" s="119" t="s">
        <v>167</v>
      </c>
      <c r="D76" s="118"/>
      <c r="E76" s="118"/>
      <c r="F76" s="129"/>
      <c r="G76" s="129"/>
      <c r="H76" s="120" t="s">
        <v>151</v>
      </c>
      <c r="J76" s="28"/>
    </row>
    <row r="77" spans="1:10" x14ac:dyDescent="0.2">
      <c r="A77" s="121">
        <v>1</v>
      </c>
      <c r="B77" s="122" t="s">
        <v>672</v>
      </c>
      <c r="C77" s="122" t="s">
        <v>1054</v>
      </c>
      <c r="D77" s="122" t="s">
        <v>541</v>
      </c>
      <c r="E77" s="123">
        <v>500000</v>
      </c>
      <c r="F77" s="124">
        <v>499.214</v>
      </c>
      <c r="G77" s="125">
        <v>3.33278E-3</v>
      </c>
      <c r="H77" s="120">
        <v>6.3856000000000002</v>
      </c>
      <c r="J77" s="28"/>
    </row>
    <row r="78" spans="1:10" x14ac:dyDescent="0.2">
      <c r="A78" s="118"/>
      <c r="B78" s="118"/>
      <c r="C78" s="119" t="s">
        <v>150</v>
      </c>
      <c r="D78" s="118"/>
      <c r="E78" s="118" t="s">
        <v>151</v>
      </c>
      <c r="F78" s="126">
        <v>499.214</v>
      </c>
      <c r="G78" s="127">
        <v>3.33278E-3</v>
      </c>
      <c r="H78" s="120" t="s">
        <v>151</v>
      </c>
      <c r="J78" s="28"/>
    </row>
    <row r="79" spans="1:10" x14ac:dyDescent="0.2">
      <c r="A79" s="118"/>
      <c r="B79" s="118"/>
      <c r="C79" s="128"/>
      <c r="D79" s="118"/>
      <c r="E79" s="118"/>
      <c r="F79" s="129"/>
      <c r="G79" s="129"/>
      <c r="H79" s="120" t="s">
        <v>151</v>
      </c>
      <c r="J79" s="28"/>
    </row>
    <row r="80" spans="1:10" x14ac:dyDescent="0.2">
      <c r="A80" s="118"/>
      <c r="B80" s="118"/>
      <c r="C80" s="119" t="s">
        <v>168</v>
      </c>
      <c r="D80" s="118"/>
      <c r="E80" s="118"/>
      <c r="F80" s="129"/>
      <c r="G80" s="129"/>
      <c r="H80" s="120" t="s">
        <v>151</v>
      </c>
      <c r="J80" s="28"/>
    </row>
    <row r="81" spans="1:10" x14ac:dyDescent="0.2">
      <c r="A81" s="121">
        <v>1</v>
      </c>
      <c r="B81" s="122"/>
      <c r="C81" s="122" t="s">
        <v>169</v>
      </c>
      <c r="D81" s="122"/>
      <c r="E81" s="131"/>
      <c r="F81" s="124">
        <v>4428.4406960140004</v>
      </c>
      <c r="G81" s="125">
        <v>2.9564489999999999E-2</v>
      </c>
      <c r="H81" s="120">
        <v>6.61</v>
      </c>
      <c r="J81" s="28"/>
    </row>
    <row r="82" spans="1:10" x14ac:dyDescent="0.2">
      <c r="A82" s="118"/>
      <c r="B82" s="118"/>
      <c r="C82" s="119" t="s">
        <v>150</v>
      </c>
      <c r="D82" s="118"/>
      <c r="E82" s="118" t="s">
        <v>151</v>
      </c>
      <c r="F82" s="126">
        <v>4428.4406960140004</v>
      </c>
      <c r="G82" s="127">
        <v>2.9564489999999999E-2</v>
      </c>
      <c r="H82" s="120" t="s">
        <v>151</v>
      </c>
      <c r="J82" s="28"/>
    </row>
    <row r="83" spans="1:10" x14ac:dyDescent="0.2">
      <c r="A83" s="118"/>
      <c r="B83" s="118"/>
      <c r="C83" s="128"/>
      <c r="D83" s="118"/>
      <c r="E83" s="118"/>
      <c r="F83" s="129"/>
      <c r="G83" s="129"/>
      <c r="H83" s="120" t="s">
        <v>151</v>
      </c>
      <c r="J83" s="28"/>
    </row>
    <row r="84" spans="1:10" x14ac:dyDescent="0.2">
      <c r="A84" s="118"/>
      <c r="B84" s="118"/>
      <c r="C84" s="119" t="s">
        <v>170</v>
      </c>
      <c r="D84" s="118"/>
      <c r="E84" s="118"/>
      <c r="F84" s="126">
        <v>4927.6546960140004</v>
      </c>
      <c r="G84" s="127">
        <v>3.2897269999999999E-2</v>
      </c>
      <c r="H84" s="120" t="s">
        <v>151</v>
      </c>
      <c r="J84" s="28"/>
    </row>
    <row r="85" spans="1:10" x14ac:dyDescent="0.2">
      <c r="A85" s="118"/>
      <c r="B85" s="118"/>
      <c r="C85" s="129"/>
      <c r="D85" s="118"/>
      <c r="E85" s="118"/>
      <c r="F85" s="118"/>
      <c r="G85" s="118"/>
      <c r="H85" s="120" t="s">
        <v>151</v>
      </c>
      <c r="J85" s="28"/>
    </row>
    <row r="86" spans="1:10" x14ac:dyDescent="0.2">
      <c r="A86" s="118"/>
      <c r="B86" s="118"/>
      <c r="C86" s="119" t="s">
        <v>171</v>
      </c>
      <c r="D86" s="118"/>
      <c r="E86" s="118"/>
      <c r="F86" s="118"/>
      <c r="G86" s="118"/>
      <c r="H86" s="120" t="s">
        <v>151</v>
      </c>
      <c r="J86" s="28"/>
    </row>
    <row r="87" spans="1:10" x14ac:dyDescent="0.2">
      <c r="A87" s="118"/>
      <c r="B87" s="118"/>
      <c r="C87" s="119" t="s">
        <v>172</v>
      </c>
      <c r="D87" s="118"/>
      <c r="E87" s="118"/>
      <c r="F87" s="118"/>
      <c r="G87" s="118"/>
      <c r="H87" s="120" t="s">
        <v>151</v>
      </c>
      <c r="J87" s="28"/>
    </row>
    <row r="88" spans="1:10" x14ac:dyDescent="0.2">
      <c r="A88" s="121">
        <v>1</v>
      </c>
      <c r="B88" s="122" t="s">
        <v>173</v>
      </c>
      <c r="C88" s="122" t="s">
        <v>174</v>
      </c>
      <c r="D88" s="122"/>
      <c r="E88" s="132">
        <v>113128.4586</v>
      </c>
      <c r="F88" s="124">
        <v>2500.676295238</v>
      </c>
      <c r="G88" s="125">
        <v>1.669464E-2</v>
      </c>
      <c r="H88" s="120" t="s">
        <v>151</v>
      </c>
      <c r="J88" s="28"/>
    </row>
    <row r="89" spans="1:10" x14ac:dyDescent="0.2">
      <c r="A89" s="118"/>
      <c r="B89" s="118"/>
      <c r="C89" s="119" t="s">
        <v>150</v>
      </c>
      <c r="D89" s="118"/>
      <c r="E89" s="118" t="s">
        <v>151</v>
      </c>
      <c r="F89" s="126">
        <v>2500.676295238</v>
      </c>
      <c r="G89" s="127">
        <v>1.669464E-2</v>
      </c>
      <c r="H89" s="120" t="s">
        <v>151</v>
      </c>
      <c r="J89" s="28"/>
    </row>
    <row r="90" spans="1:10" x14ac:dyDescent="0.2">
      <c r="A90" s="118"/>
      <c r="B90" s="118"/>
      <c r="C90" s="128"/>
      <c r="D90" s="118"/>
      <c r="E90" s="118"/>
      <c r="F90" s="129"/>
      <c r="G90" s="129"/>
      <c r="H90" s="120" t="s">
        <v>151</v>
      </c>
      <c r="J90" s="28"/>
    </row>
    <row r="91" spans="1:10" x14ac:dyDescent="0.2">
      <c r="A91" s="118"/>
      <c r="B91" s="118"/>
      <c r="C91" s="119" t="s">
        <v>175</v>
      </c>
      <c r="D91" s="118"/>
      <c r="E91" s="118"/>
      <c r="F91" s="118"/>
      <c r="G91" s="118"/>
      <c r="H91" s="120" t="s">
        <v>151</v>
      </c>
      <c r="J91" s="28"/>
    </row>
    <row r="92" spans="1:10" x14ac:dyDescent="0.2">
      <c r="A92" s="118"/>
      <c r="B92" s="118"/>
      <c r="C92" s="119" t="s">
        <v>176</v>
      </c>
      <c r="D92" s="118"/>
      <c r="E92" s="118"/>
      <c r="F92" s="118"/>
      <c r="G92" s="118"/>
      <c r="H92" s="120" t="s">
        <v>151</v>
      </c>
      <c r="J92" s="28"/>
    </row>
    <row r="93" spans="1:10" x14ac:dyDescent="0.2">
      <c r="A93" s="118"/>
      <c r="B93" s="118"/>
      <c r="C93" s="119" t="s">
        <v>150</v>
      </c>
      <c r="D93" s="118"/>
      <c r="E93" s="118" t="s">
        <v>151</v>
      </c>
      <c r="F93" s="130" t="s">
        <v>153</v>
      </c>
      <c r="G93" s="127">
        <v>0</v>
      </c>
      <c r="H93" s="120" t="s">
        <v>151</v>
      </c>
      <c r="J93" s="28"/>
    </row>
    <row r="94" spans="1:10" x14ac:dyDescent="0.2">
      <c r="A94" s="118"/>
      <c r="B94" s="118"/>
      <c r="C94" s="128"/>
      <c r="D94" s="118"/>
      <c r="E94" s="118"/>
      <c r="F94" s="129"/>
      <c r="G94" s="129"/>
      <c r="H94" s="120" t="s">
        <v>151</v>
      </c>
      <c r="J94" s="28"/>
    </row>
    <row r="95" spans="1:10" x14ac:dyDescent="0.2">
      <c r="A95" s="118"/>
      <c r="B95" s="118"/>
      <c r="C95" s="119" t="s">
        <v>177</v>
      </c>
      <c r="D95" s="118"/>
      <c r="E95" s="118"/>
      <c r="F95" s="129"/>
      <c r="G95" s="129"/>
      <c r="H95" s="120" t="s">
        <v>151</v>
      </c>
      <c r="J95" s="28"/>
    </row>
    <row r="96" spans="1:10" x14ac:dyDescent="0.2">
      <c r="A96" s="118"/>
      <c r="B96" s="118"/>
      <c r="C96" s="119" t="s">
        <v>150</v>
      </c>
      <c r="D96" s="118"/>
      <c r="E96" s="118" t="s">
        <v>151</v>
      </c>
      <c r="F96" s="130" t="s">
        <v>153</v>
      </c>
      <c r="G96" s="127">
        <v>0</v>
      </c>
      <c r="H96" s="120" t="s">
        <v>151</v>
      </c>
      <c r="J96" s="8"/>
    </row>
    <row r="97" spans="1:17" x14ac:dyDescent="0.2">
      <c r="A97" s="118"/>
      <c r="B97" s="122"/>
      <c r="C97" s="122"/>
      <c r="D97" s="119"/>
      <c r="E97" s="118"/>
      <c r="F97" s="122"/>
      <c r="G97" s="131"/>
      <c r="H97" s="120" t="s">
        <v>151</v>
      </c>
      <c r="J97" s="8"/>
    </row>
    <row r="98" spans="1:17" x14ac:dyDescent="0.2">
      <c r="A98" s="131"/>
      <c r="B98" s="122"/>
      <c r="C98" s="200" t="s">
        <v>917</v>
      </c>
      <c r="D98" s="122"/>
      <c r="E98" s="131"/>
      <c r="F98" s="124">
        <v>-84.744391570000005</v>
      </c>
      <c r="G98" s="125">
        <v>-5.6576E-4</v>
      </c>
      <c r="H98" s="120" t="s">
        <v>151</v>
      </c>
      <c r="J98" s="8"/>
    </row>
    <row r="99" spans="1:17" x14ac:dyDescent="0.2">
      <c r="A99" s="128"/>
      <c r="B99" s="128"/>
      <c r="C99" s="119" t="s">
        <v>179</v>
      </c>
      <c r="D99" s="129"/>
      <c r="E99" s="129"/>
      <c r="F99" s="126">
        <v>149789.18367838199</v>
      </c>
      <c r="G99" s="133">
        <v>1.00000003</v>
      </c>
      <c r="H99" s="120" t="s">
        <v>151</v>
      </c>
      <c r="J99" s="28"/>
    </row>
    <row r="100" spans="1:17" x14ac:dyDescent="0.2">
      <c r="A100" s="134"/>
      <c r="B100" s="134"/>
      <c r="C100" s="134"/>
      <c r="D100" s="135"/>
      <c r="E100" s="135"/>
      <c r="F100" s="135"/>
      <c r="G100" s="135"/>
      <c r="J100" s="28"/>
    </row>
    <row r="101" spans="1:17" x14ac:dyDescent="0.2">
      <c r="A101" s="136"/>
      <c r="B101" s="137" t="s">
        <v>888</v>
      </c>
      <c r="C101" s="137"/>
      <c r="D101" s="137"/>
      <c r="E101" s="137"/>
      <c r="F101" s="137"/>
      <c r="G101" s="137"/>
      <c r="H101" s="137"/>
      <c r="J101" s="8"/>
    </row>
    <row r="102" spans="1:17" x14ac:dyDescent="0.2">
      <c r="A102" s="136"/>
      <c r="B102" s="137" t="s">
        <v>889</v>
      </c>
      <c r="C102" s="137"/>
      <c r="D102" s="137"/>
      <c r="E102" s="137"/>
      <c r="F102" s="137"/>
      <c r="G102" s="137"/>
      <c r="H102" s="137"/>
      <c r="J102" s="28"/>
    </row>
    <row r="103" spans="1:17" x14ac:dyDescent="0.2">
      <c r="A103" s="136"/>
      <c r="B103" s="137" t="s">
        <v>890</v>
      </c>
      <c r="C103" s="137"/>
      <c r="D103" s="137"/>
      <c r="E103" s="137"/>
      <c r="F103" s="137"/>
      <c r="G103" s="137"/>
      <c r="H103" s="137"/>
      <c r="J103" s="28"/>
    </row>
    <row r="104" spans="1:17" s="13" customFormat="1" ht="66.75" customHeight="1" x14ac:dyDescent="0.25">
      <c r="A104" s="138"/>
      <c r="B104" s="139" t="s">
        <v>891</v>
      </c>
      <c r="C104" s="139"/>
      <c r="D104" s="139"/>
      <c r="E104" s="139"/>
      <c r="F104" s="139"/>
      <c r="G104" s="139"/>
      <c r="H104" s="139"/>
      <c r="I104" s="114"/>
      <c r="J104" s="28"/>
      <c r="K104"/>
      <c r="L104"/>
      <c r="M104"/>
      <c r="N104"/>
      <c r="O104"/>
      <c r="P104"/>
      <c r="Q104"/>
    </row>
    <row r="105" spans="1:17" x14ac:dyDescent="0.2">
      <c r="A105" s="136"/>
      <c r="B105" s="137" t="s">
        <v>892</v>
      </c>
      <c r="C105" s="137"/>
      <c r="D105" s="137"/>
      <c r="E105" s="137"/>
      <c r="F105" s="137"/>
      <c r="G105" s="137"/>
      <c r="H105" s="137"/>
      <c r="J105" s="28"/>
    </row>
    <row r="106" spans="1:17" x14ac:dyDescent="0.2">
      <c r="A106" s="140"/>
      <c r="B106" s="140"/>
      <c r="C106" s="140"/>
      <c r="D106" s="141"/>
      <c r="E106" s="141"/>
      <c r="F106" s="141"/>
      <c r="G106" s="141"/>
      <c r="J106" s="28"/>
    </row>
    <row r="107" spans="1:17" x14ac:dyDescent="0.2">
      <c r="A107" s="140"/>
      <c r="B107" s="142" t="s">
        <v>180</v>
      </c>
      <c r="C107" s="143"/>
      <c r="D107" s="144"/>
      <c r="E107" s="145"/>
      <c r="F107" s="141"/>
      <c r="G107" s="141"/>
      <c r="J107" s="28"/>
    </row>
    <row r="108" spans="1:17" x14ac:dyDescent="0.2">
      <c r="A108" s="140"/>
      <c r="B108" s="146" t="s">
        <v>181</v>
      </c>
      <c r="C108" s="147"/>
      <c r="D108" s="119" t="s">
        <v>182</v>
      </c>
      <c r="E108" s="145"/>
      <c r="F108" s="141"/>
      <c r="G108" s="141"/>
      <c r="J108" s="28"/>
    </row>
    <row r="109" spans="1:17" x14ac:dyDescent="0.2">
      <c r="A109" s="140"/>
      <c r="B109" s="146" t="s">
        <v>183</v>
      </c>
      <c r="C109" s="147"/>
      <c r="D109" s="119" t="s">
        <v>182</v>
      </c>
      <c r="E109" s="145"/>
      <c r="F109" s="141"/>
      <c r="G109" s="141"/>
      <c r="J109" s="28"/>
    </row>
    <row r="110" spans="1:17" x14ac:dyDescent="0.2">
      <c r="A110" s="140"/>
      <c r="B110" s="146" t="s">
        <v>184</v>
      </c>
      <c r="C110" s="147"/>
      <c r="D110" s="129" t="s">
        <v>151</v>
      </c>
      <c r="E110" s="145"/>
      <c r="F110" s="141"/>
      <c r="G110" s="141"/>
      <c r="J110" s="28"/>
    </row>
    <row r="111" spans="1:17" x14ac:dyDescent="0.2">
      <c r="A111" s="151"/>
      <c r="B111" s="152" t="s">
        <v>151</v>
      </c>
      <c r="C111" s="152" t="s">
        <v>894</v>
      </c>
      <c r="D111" s="152" t="s">
        <v>185</v>
      </c>
      <c r="E111" s="151"/>
      <c r="F111" s="151"/>
      <c r="G111" s="151"/>
      <c r="H111" s="151"/>
      <c r="J111" s="28"/>
    </row>
    <row r="112" spans="1:17" x14ac:dyDescent="0.2">
      <c r="A112" s="153"/>
      <c r="B112" s="154" t="s">
        <v>186</v>
      </c>
      <c r="C112" s="155">
        <v>45535</v>
      </c>
      <c r="D112" s="155">
        <v>45565</v>
      </c>
      <c r="E112" s="153"/>
      <c r="F112" s="153"/>
      <c r="G112" s="153"/>
      <c r="J112" s="28"/>
    </row>
    <row r="113" spans="1:10" x14ac:dyDescent="0.2">
      <c r="A113" s="153"/>
      <c r="B113" s="122" t="s">
        <v>187</v>
      </c>
      <c r="C113" s="156">
        <v>111.01390000000001</v>
      </c>
      <c r="D113" s="156">
        <v>113.8129</v>
      </c>
      <c r="E113" s="153"/>
      <c r="F113" s="157"/>
      <c r="G113" s="158"/>
      <c r="J113" s="8"/>
    </row>
    <row r="114" spans="1:10" x14ac:dyDescent="0.2">
      <c r="A114" s="153"/>
      <c r="B114" s="122" t="s">
        <v>1038</v>
      </c>
      <c r="C114" s="156">
        <v>37.737200000000001</v>
      </c>
      <c r="D114" s="156">
        <v>38.688699999999997</v>
      </c>
      <c r="E114" s="153"/>
      <c r="F114" s="157"/>
      <c r="G114" s="158"/>
      <c r="J114" s="28"/>
    </row>
    <row r="115" spans="1:10" ht="25.5" x14ac:dyDescent="0.2">
      <c r="A115" s="153"/>
      <c r="B115" s="122" t="s">
        <v>832</v>
      </c>
      <c r="C115" s="156">
        <v>114.1427</v>
      </c>
      <c r="D115" s="156">
        <v>117.0205</v>
      </c>
      <c r="E115" s="153"/>
      <c r="F115" s="157"/>
      <c r="G115" s="158"/>
      <c r="J115" s="28"/>
    </row>
    <row r="116" spans="1:10" ht="25.5" x14ac:dyDescent="0.2">
      <c r="A116" s="153"/>
      <c r="B116" s="122" t="s">
        <v>1044</v>
      </c>
      <c r="C116" s="156">
        <v>38.389299999999999</v>
      </c>
      <c r="D116" s="156">
        <v>39.357100000000003</v>
      </c>
      <c r="E116" s="153"/>
      <c r="F116" s="157"/>
      <c r="G116" s="158"/>
      <c r="J116" s="28"/>
    </row>
    <row r="117" spans="1:10" x14ac:dyDescent="0.2">
      <c r="A117" s="153"/>
      <c r="B117" s="122" t="s">
        <v>188</v>
      </c>
      <c r="C117" s="156">
        <v>99.533000000000001</v>
      </c>
      <c r="D117" s="156">
        <v>101.9294</v>
      </c>
      <c r="E117" s="153"/>
      <c r="F117" s="157"/>
      <c r="G117" s="158"/>
      <c r="J117" s="28"/>
    </row>
    <row r="118" spans="1:10" x14ac:dyDescent="0.2">
      <c r="A118" s="153"/>
      <c r="B118" s="122" t="s">
        <v>1039</v>
      </c>
      <c r="C118" s="156">
        <v>33.282699999999998</v>
      </c>
      <c r="D118" s="156">
        <v>34.084000000000003</v>
      </c>
      <c r="E118" s="153"/>
      <c r="F118" s="157"/>
      <c r="G118" s="158"/>
      <c r="J118" s="28"/>
    </row>
    <row r="119" spans="1:10" x14ac:dyDescent="0.2">
      <c r="A119" s="153"/>
      <c r="B119" s="153"/>
      <c r="C119" s="153"/>
      <c r="D119" s="153"/>
      <c r="E119" s="153"/>
      <c r="F119" s="153"/>
      <c r="G119" s="153"/>
      <c r="J119" s="28"/>
    </row>
    <row r="120" spans="1:10" x14ac:dyDescent="0.2">
      <c r="A120" s="151"/>
      <c r="B120" s="197" t="s">
        <v>895</v>
      </c>
      <c r="C120" s="198"/>
      <c r="D120" s="196" t="s">
        <v>182</v>
      </c>
      <c r="E120" s="151"/>
      <c r="F120" s="151"/>
      <c r="G120" s="151"/>
      <c r="J120" s="28"/>
    </row>
    <row r="121" spans="1:10" x14ac:dyDescent="0.2">
      <c r="A121" s="151"/>
      <c r="B121" s="201"/>
      <c r="C121" s="201"/>
      <c r="D121" s="201"/>
      <c r="E121" s="151"/>
      <c r="F121" s="151"/>
      <c r="G121" s="151"/>
      <c r="J121" s="28"/>
    </row>
    <row r="122" spans="1:10" x14ac:dyDescent="0.2">
      <c r="A122" s="151"/>
      <c r="B122" s="197" t="s">
        <v>189</v>
      </c>
      <c r="C122" s="198"/>
      <c r="D122" s="196" t="s">
        <v>182</v>
      </c>
      <c r="E122" s="160"/>
      <c r="F122" s="151"/>
      <c r="G122" s="151"/>
      <c r="J122" s="28"/>
    </row>
    <row r="123" spans="1:10" x14ac:dyDescent="0.2">
      <c r="A123" s="151"/>
      <c r="B123" s="197" t="s">
        <v>190</v>
      </c>
      <c r="C123" s="198"/>
      <c r="D123" s="196" t="s">
        <v>182</v>
      </c>
      <c r="E123" s="160"/>
      <c r="F123" s="151"/>
      <c r="G123" s="151"/>
      <c r="J123" s="28"/>
    </row>
    <row r="124" spans="1:10" x14ac:dyDescent="0.2">
      <c r="A124" s="151"/>
      <c r="B124" s="197" t="s">
        <v>191</v>
      </c>
      <c r="C124" s="198"/>
      <c r="D124" s="196" t="s">
        <v>182</v>
      </c>
      <c r="E124" s="160"/>
      <c r="F124" s="151"/>
      <c r="G124" s="151"/>
      <c r="J124" s="28"/>
    </row>
    <row r="125" spans="1:10" x14ac:dyDescent="0.2">
      <c r="A125" s="151"/>
      <c r="B125" s="197" t="s">
        <v>192</v>
      </c>
      <c r="C125" s="198"/>
      <c r="D125" s="199">
        <v>0.76729270174398567</v>
      </c>
      <c r="E125" s="151"/>
      <c r="F125" s="159"/>
      <c r="G125" s="162"/>
      <c r="J125" s="28"/>
    </row>
    <row r="126" spans="1:10" x14ac:dyDescent="0.2">
      <c r="J126" s="28"/>
    </row>
    <row r="127" spans="1:10" x14ac:dyDescent="0.2">
      <c r="J127" s="28"/>
    </row>
  </sheetData>
  <mergeCells count="17">
    <mergeCell ref="B109:C109"/>
    <mergeCell ref="B110:C110"/>
    <mergeCell ref="B120:C120"/>
    <mergeCell ref="B124:C124"/>
    <mergeCell ref="B125:C125"/>
    <mergeCell ref="B122:C122"/>
    <mergeCell ref="B123:C123"/>
    <mergeCell ref="B108:C108"/>
    <mergeCell ref="A1:H1"/>
    <mergeCell ref="A2:H2"/>
    <mergeCell ref="A3:H3"/>
    <mergeCell ref="B107:D107"/>
    <mergeCell ref="B101:H101"/>
    <mergeCell ref="B102:H102"/>
    <mergeCell ref="B103:H103"/>
    <mergeCell ref="B104:H104"/>
    <mergeCell ref="B105:H105"/>
  </mergeCells>
  <hyperlinks>
    <hyperlink ref="I1" location="Index!B2" display="Index" xr:uid="{877F5898-D732-49D3-8C2A-CEE5EE0938A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EA183-388B-4AE1-8DD5-8D7F6177C11F}">
  <sheetPr>
    <outlinePr summaryBelow="0" summaryRight="0"/>
  </sheetPr>
  <dimension ref="A1:Q183"/>
  <sheetViews>
    <sheetView showGridLines="0" workbookViewId="0">
      <selection sqref="A1:H1"/>
    </sheetView>
  </sheetViews>
  <sheetFormatPr defaultRowHeight="12.75" x14ac:dyDescent="0.2"/>
  <cols>
    <col min="1" max="1" width="5.85546875" style="114" bestFit="1" customWidth="1"/>
    <col min="2" max="2" width="19.7109375" style="114" bestFit="1" customWidth="1"/>
    <col min="3" max="3" width="43.85546875" style="114" customWidth="1"/>
    <col min="4" max="4" width="17.7109375" style="114" bestFit="1" customWidth="1"/>
    <col min="5" max="5" width="13.5703125" style="114" bestFit="1" customWidth="1"/>
    <col min="6" max="6" width="10.140625" style="114" bestFit="1" customWidth="1"/>
    <col min="7" max="7" width="14" style="114" bestFit="1" customWidth="1"/>
    <col min="8" max="8" width="6" style="114" customWidth="1"/>
    <col min="9" max="9" width="5.7109375" style="114" bestFit="1" customWidth="1"/>
    <col min="10" max="10" width="50.7109375" style="12" customWidth="1"/>
  </cols>
  <sheetData>
    <row r="1" spans="1:10" ht="15" x14ac:dyDescent="0.2">
      <c r="A1" s="113" t="s">
        <v>0</v>
      </c>
      <c r="B1" s="113"/>
      <c r="C1" s="113"/>
      <c r="D1" s="113"/>
      <c r="E1" s="113"/>
      <c r="F1" s="113"/>
      <c r="G1" s="113"/>
      <c r="H1" s="113"/>
      <c r="I1" s="7" t="s">
        <v>884</v>
      </c>
      <c r="J1" s="8"/>
    </row>
    <row r="2" spans="1:10" ht="15" x14ac:dyDescent="0.2">
      <c r="A2" s="113" t="s">
        <v>833</v>
      </c>
      <c r="B2" s="113"/>
      <c r="C2" s="113"/>
      <c r="D2" s="113"/>
      <c r="E2" s="113"/>
      <c r="F2" s="113"/>
      <c r="G2" s="113"/>
      <c r="H2" s="113"/>
      <c r="J2" s="9" t="s">
        <v>885</v>
      </c>
    </row>
    <row r="3" spans="1:10" ht="15" x14ac:dyDescent="0.2">
      <c r="A3" s="113" t="s">
        <v>887</v>
      </c>
      <c r="B3" s="113"/>
      <c r="C3" s="113"/>
      <c r="D3" s="113"/>
      <c r="E3" s="113"/>
      <c r="F3" s="113"/>
      <c r="G3" s="113"/>
      <c r="H3" s="113"/>
      <c r="J3" s="8"/>
    </row>
    <row r="4" spans="1:10" s="10" customFormat="1" ht="30" x14ac:dyDescent="0.2">
      <c r="A4" s="115" t="s">
        <v>2</v>
      </c>
      <c r="B4" s="115" t="s">
        <v>3</v>
      </c>
      <c r="C4" s="115" t="s">
        <v>4</v>
      </c>
      <c r="D4" s="115" t="s">
        <v>5</v>
      </c>
      <c r="E4" s="115" t="s">
        <v>6</v>
      </c>
      <c r="F4" s="115" t="s">
        <v>7</v>
      </c>
      <c r="G4" s="115" t="s">
        <v>8</v>
      </c>
      <c r="H4" s="116" t="s">
        <v>1045</v>
      </c>
      <c r="I4" s="117"/>
      <c r="J4" s="8"/>
    </row>
    <row r="5" spans="1:10" x14ac:dyDescent="0.2">
      <c r="A5" s="118"/>
      <c r="B5" s="118"/>
      <c r="C5" s="119" t="s">
        <v>9</v>
      </c>
      <c r="D5" s="118"/>
      <c r="E5" s="118"/>
      <c r="F5" s="118"/>
      <c r="G5" s="118"/>
      <c r="H5" s="120" t="s">
        <v>151</v>
      </c>
      <c r="J5" s="8"/>
    </row>
    <row r="6" spans="1:10" x14ac:dyDescent="0.2">
      <c r="A6" s="118"/>
      <c r="B6" s="118"/>
      <c r="C6" s="119" t="s">
        <v>10</v>
      </c>
      <c r="D6" s="118"/>
      <c r="E6" s="118"/>
      <c r="F6" s="118"/>
      <c r="G6" s="118"/>
      <c r="H6" s="120" t="s">
        <v>151</v>
      </c>
      <c r="J6" s="8"/>
    </row>
    <row r="7" spans="1:10" x14ac:dyDescent="0.2">
      <c r="A7" s="121">
        <v>1</v>
      </c>
      <c r="B7" s="122" t="s">
        <v>20</v>
      </c>
      <c r="C7" s="122" t="s">
        <v>21</v>
      </c>
      <c r="D7" s="122" t="s">
        <v>22</v>
      </c>
      <c r="E7" s="123">
        <v>362485</v>
      </c>
      <c r="F7" s="124">
        <v>10704.7257775</v>
      </c>
      <c r="G7" s="125">
        <v>4.3483670000000002E-2</v>
      </c>
      <c r="H7" s="120" t="s">
        <v>151</v>
      </c>
      <c r="J7" s="8"/>
    </row>
    <row r="8" spans="1:10" x14ac:dyDescent="0.2">
      <c r="A8" s="121">
        <v>2</v>
      </c>
      <c r="B8" s="122" t="s">
        <v>14</v>
      </c>
      <c r="C8" s="122" t="s">
        <v>15</v>
      </c>
      <c r="D8" s="122" t="s">
        <v>16</v>
      </c>
      <c r="E8" s="123">
        <v>529709</v>
      </c>
      <c r="F8" s="124">
        <v>9055.6402094999994</v>
      </c>
      <c r="G8" s="125">
        <v>3.6784919999999999E-2</v>
      </c>
      <c r="H8" s="120" t="s">
        <v>151</v>
      </c>
      <c r="J8" s="8"/>
    </row>
    <row r="9" spans="1:10" x14ac:dyDescent="0.2">
      <c r="A9" s="121">
        <v>3</v>
      </c>
      <c r="B9" s="122" t="s">
        <v>549</v>
      </c>
      <c r="C9" s="122" t="s">
        <v>550</v>
      </c>
      <c r="D9" s="122" t="s">
        <v>270</v>
      </c>
      <c r="E9" s="123">
        <v>290993</v>
      </c>
      <c r="F9" s="124">
        <v>9005.9423569999999</v>
      </c>
      <c r="G9" s="125">
        <v>3.6583039999999997E-2</v>
      </c>
      <c r="H9" s="120" t="s">
        <v>151</v>
      </c>
      <c r="J9" s="8"/>
    </row>
    <row r="10" spans="1:10" x14ac:dyDescent="0.2">
      <c r="A10" s="121">
        <v>4</v>
      </c>
      <c r="B10" s="122" t="s">
        <v>347</v>
      </c>
      <c r="C10" s="122" t="s">
        <v>348</v>
      </c>
      <c r="D10" s="122" t="s">
        <v>216</v>
      </c>
      <c r="E10" s="123">
        <v>472818</v>
      </c>
      <c r="F10" s="124">
        <v>8868.1744080000008</v>
      </c>
      <c r="G10" s="125">
        <v>3.6023409999999999E-2</v>
      </c>
      <c r="H10" s="120" t="s">
        <v>151</v>
      </c>
      <c r="J10" s="8"/>
    </row>
    <row r="11" spans="1:10" x14ac:dyDescent="0.2">
      <c r="A11" s="121">
        <v>5</v>
      </c>
      <c r="B11" s="122" t="s">
        <v>343</v>
      </c>
      <c r="C11" s="122" t="s">
        <v>344</v>
      </c>
      <c r="D11" s="122" t="s">
        <v>48</v>
      </c>
      <c r="E11" s="123">
        <v>453879</v>
      </c>
      <c r="F11" s="124">
        <v>7861.4112194999998</v>
      </c>
      <c r="G11" s="125">
        <v>3.1933839999999998E-2</v>
      </c>
      <c r="H11" s="120" t="s">
        <v>151</v>
      </c>
      <c r="J11" s="8"/>
    </row>
    <row r="12" spans="1:10" ht="15" x14ac:dyDescent="0.2">
      <c r="A12" s="121">
        <v>6</v>
      </c>
      <c r="B12" s="122" t="s">
        <v>11</v>
      </c>
      <c r="C12" s="122" t="s">
        <v>12</v>
      </c>
      <c r="D12" s="122" t="s">
        <v>13</v>
      </c>
      <c r="E12" s="123">
        <v>211893</v>
      </c>
      <c r="F12" s="124">
        <v>7788.2331615000003</v>
      </c>
      <c r="G12" s="125">
        <v>3.1636579999999997E-2</v>
      </c>
      <c r="H12" s="120" t="s">
        <v>151</v>
      </c>
      <c r="J12" s="11"/>
    </row>
    <row r="13" spans="1:10" x14ac:dyDescent="0.2">
      <c r="A13" s="121">
        <v>7</v>
      </c>
      <c r="B13" s="122" t="s">
        <v>349</v>
      </c>
      <c r="C13" s="122" t="s">
        <v>350</v>
      </c>
      <c r="D13" s="122" t="s">
        <v>48</v>
      </c>
      <c r="E13" s="123">
        <v>478536</v>
      </c>
      <c r="F13" s="124">
        <v>5896.5205919999999</v>
      </c>
      <c r="G13" s="125">
        <v>2.395226E-2</v>
      </c>
      <c r="H13" s="120" t="s">
        <v>151</v>
      </c>
      <c r="J13" s="8"/>
    </row>
    <row r="14" spans="1:10" ht="45" x14ac:dyDescent="0.2">
      <c r="A14" s="121">
        <v>8</v>
      </c>
      <c r="B14" s="122" t="s">
        <v>828</v>
      </c>
      <c r="C14" s="122" t="s">
        <v>829</v>
      </c>
      <c r="D14" s="122" t="s">
        <v>241</v>
      </c>
      <c r="E14" s="123">
        <v>520394</v>
      </c>
      <c r="F14" s="124">
        <v>4542.5192260000003</v>
      </c>
      <c r="G14" s="125">
        <v>1.845217E-2</v>
      </c>
      <c r="H14" s="120" t="s">
        <v>151</v>
      </c>
      <c r="J14" s="8" t="s">
        <v>1034</v>
      </c>
    </row>
    <row r="15" spans="1:10" x14ac:dyDescent="0.2">
      <c r="A15" s="121">
        <v>9</v>
      </c>
      <c r="B15" s="122" t="s">
        <v>663</v>
      </c>
      <c r="C15" s="122" t="s">
        <v>664</v>
      </c>
      <c r="D15" s="122" t="s">
        <v>121</v>
      </c>
      <c r="E15" s="123">
        <v>58175</v>
      </c>
      <c r="F15" s="124">
        <v>4481.2202500000003</v>
      </c>
      <c r="G15" s="125">
        <v>1.8203170000000001E-2</v>
      </c>
      <c r="H15" s="120" t="s">
        <v>151</v>
      </c>
      <c r="J15" s="8"/>
    </row>
    <row r="16" spans="1:10" x14ac:dyDescent="0.2">
      <c r="A16" s="121">
        <v>10</v>
      </c>
      <c r="B16" s="122" t="s">
        <v>345</v>
      </c>
      <c r="C16" s="122" t="s">
        <v>346</v>
      </c>
      <c r="D16" s="122" t="s">
        <v>200</v>
      </c>
      <c r="E16" s="123">
        <v>1405752</v>
      </c>
      <c r="F16" s="124">
        <v>3841.920216</v>
      </c>
      <c r="G16" s="125">
        <v>1.560626E-2</v>
      </c>
      <c r="H16" s="120" t="s">
        <v>151</v>
      </c>
      <c r="J16" s="8"/>
    </row>
    <row r="17" spans="1:10" x14ac:dyDescent="0.2">
      <c r="A17" s="121">
        <v>11</v>
      </c>
      <c r="B17" s="122" t="s">
        <v>471</v>
      </c>
      <c r="C17" s="122" t="s">
        <v>472</v>
      </c>
      <c r="D17" s="122" t="s">
        <v>48</v>
      </c>
      <c r="E17" s="123">
        <v>262143</v>
      </c>
      <c r="F17" s="124">
        <v>3794.782068</v>
      </c>
      <c r="G17" s="125">
        <v>1.5414779999999999E-2</v>
      </c>
      <c r="H17" s="120" t="s">
        <v>151</v>
      </c>
      <c r="J17" s="8"/>
    </row>
    <row r="18" spans="1:10" x14ac:dyDescent="0.2">
      <c r="A18" s="121">
        <v>12</v>
      </c>
      <c r="B18" s="122" t="s">
        <v>135</v>
      </c>
      <c r="C18" s="122" t="s">
        <v>136</v>
      </c>
      <c r="D18" s="122" t="s">
        <v>16</v>
      </c>
      <c r="E18" s="123">
        <v>942804</v>
      </c>
      <c r="F18" s="124">
        <v>3700.9771019999998</v>
      </c>
      <c r="G18" s="125">
        <v>1.503374E-2</v>
      </c>
      <c r="H18" s="120" t="s">
        <v>151</v>
      </c>
      <c r="J18" s="8"/>
    </row>
    <row r="19" spans="1:10" x14ac:dyDescent="0.2">
      <c r="A19" s="121">
        <v>13</v>
      </c>
      <c r="B19" s="122" t="s">
        <v>234</v>
      </c>
      <c r="C19" s="122" t="s">
        <v>235</v>
      </c>
      <c r="D19" s="122" t="s">
        <v>121</v>
      </c>
      <c r="E19" s="123">
        <v>93600</v>
      </c>
      <c r="F19" s="124">
        <v>3348.0252</v>
      </c>
      <c r="G19" s="125">
        <v>1.3600009999999999E-2</v>
      </c>
      <c r="H19" s="120" t="s">
        <v>151</v>
      </c>
      <c r="J19" s="8"/>
    </row>
    <row r="20" spans="1:10" x14ac:dyDescent="0.2">
      <c r="A20" s="121">
        <v>14</v>
      </c>
      <c r="B20" s="122" t="s">
        <v>366</v>
      </c>
      <c r="C20" s="122" t="s">
        <v>367</v>
      </c>
      <c r="D20" s="122" t="s">
        <v>368</v>
      </c>
      <c r="E20" s="123">
        <v>643989</v>
      </c>
      <c r="F20" s="124">
        <v>3336.8290035</v>
      </c>
      <c r="G20" s="125">
        <v>1.355453E-2</v>
      </c>
      <c r="H20" s="120" t="s">
        <v>151</v>
      </c>
      <c r="J20" s="8"/>
    </row>
    <row r="21" spans="1:10" x14ac:dyDescent="0.2">
      <c r="A21" s="121">
        <v>15</v>
      </c>
      <c r="B21" s="122" t="s">
        <v>364</v>
      </c>
      <c r="C21" s="122" t="s">
        <v>365</v>
      </c>
      <c r="D21" s="122" t="s">
        <v>270</v>
      </c>
      <c r="E21" s="123">
        <v>330507</v>
      </c>
      <c r="F21" s="124">
        <v>3221.2864755000001</v>
      </c>
      <c r="G21" s="125">
        <v>1.308519E-2</v>
      </c>
      <c r="H21" s="120" t="s">
        <v>151</v>
      </c>
      <c r="J21" s="8"/>
    </row>
    <row r="22" spans="1:10" ht="15" x14ac:dyDescent="0.2">
      <c r="A22" s="121">
        <v>16</v>
      </c>
      <c r="B22" s="122" t="s">
        <v>63</v>
      </c>
      <c r="C22" s="122" t="s">
        <v>64</v>
      </c>
      <c r="D22" s="122" t="s">
        <v>48</v>
      </c>
      <c r="E22" s="123">
        <v>403297</v>
      </c>
      <c r="F22" s="124">
        <v>3177.5770630000002</v>
      </c>
      <c r="G22" s="125">
        <v>1.290764E-2</v>
      </c>
      <c r="H22" s="120" t="s">
        <v>151</v>
      </c>
      <c r="J22" s="11"/>
    </row>
    <row r="23" spans="1:10" x14ac:dyDescent="0.2">
      <c r="A23" s="121">
        <v>17</v>
      </c>
      <c r="B23" s="122" t="s">
        <v>384</v>
      </c>
      <c r="C23" s="122" t="s">
        <v>385</v>
      </c>
      <c r="D23" s="122" t="s">
        <v>134</v>
      </c>
      <c r="E23" s="123">
        <v>1735968</v>
      </c>
      <c r="F23" s="124">
        <v>2925.974064</v>
      </c>
      <c r="G23" s="125">
        <v>1.18856E-2</v>
      </c>
      <c r="H23" s="120" t="s">
        <v>151</v>
      </c>
      <c r="J23" s="8"/>
    </row>
    <row r="24" spans="1:10" x14ac:dyDescent="0.2">
      <c r="A24" s="121">
        <v>18</v>
      </c>
      <c r="B24" s="122" t="s">
        <v>551</v>
      </c>
      <c r="C24" s="122" t="s">
        <v>552</v>
      </c>
      <c r="D24" s="122" t="s">
        <v>216</v>
      </c>
      <c r="E24" s="123">
        <v>181865</v>
      </c>
      <c r="F24" s="124">
        <v>2868.3747800000001</v>
      </c>
      <c r="G24" s="125">
        <v>1.165163E-2</v>
      </c>
      <c r="H24" s="120" t="s">
        <v>151</v>
      </c>
      <c r="J24" s="8"/>
    </row>
    <row r="25" spans="1:10" x14ac:dyDescent="0.2">
      <c r="A25" s="121">
        <v>19</v>
      </c>
      <c r="B25" s="122" t="s">
        <v>28</v>
      </c>
      <c r="C25" s="122" t="s">
        <v>29</v>
      </c>
      <c r="D25" s="122" t="s">
        <v>22</v>
      </c>
      <c r="E25" s="123">
        <v>758578</v>
      </c>
      <c r="F25" s="124">
        <v>2806.3593110000002</v>
      </c>
      <c r="G25" s="125">
        <v>1.139971E-2</v>
      </c>
      <c r="H25" s="120" t="s">
        <v>151</v>
      </c>
      <c r="J25" s="8"/>
    </row>
    <row r="26" spans="1:10" x14ac:dyDescent="0.2">
      <c r="A26" s="121">
        <v>20</v>
      </c>
      <c r="B26" s="122" t="s">
        <v>65</v>
      </c>
      <c r="C26" s="122" t="s">
        <v>66</v>
      </c>
      <c r="D26" s="122" t="s">
        <v>67</v>
      </c>
      <c r="E26" s="123">
        <v>1160050</v>
      </c>
      <c r="F26" s="124">
        <v>2787.4841449999999</v>
      </c>
      <c r="G26" s="125">
        <v>1.1323039999999999E-2</v>
      </c>
      <c r="H26" s="120" t="s">
        <v>151</v>
      </c>
      <c r="J26" s="8"/>
    </row>
    <row r="27" spans="1:10" ht="25.5" x14ac:dyDescent="0.2">
      <c r="A27" s="121">
        <v>21</v>
      </c>
      <c r="B27" s="122" t="s">
        <v>23</v>
      </c>
      <c r="C27" s="122" t="s">
        <v>24</v>
      </c>
      <c r="D27" s="122" t="s">
        <v>25</v>
      </c>
      <c r="E27" s="123">
        <v>23061</v>
      </c>
      <c r="F27" s="124">
        <v>2721.65922</v>
      </c>
      <c r="G27" s="125">
        <v>1.105565E-2</v>
      </c>
      <c r="H27" s="120" t="s">
        <v>151</v>
      </c>
      <c r="J27" s="8"/>
    </row>
    <row r="28" spans="1:10" ht="25.5" x14ac:dyDescent="0.2">
      <c r="A28" s="121">
        <v>22</v>
      </c>
      <c r="B28" s="122" t="s">
        <v>353</v>
      </c>
      <c r="C28" s="122" t="s">
        <v>354</v>
      </c>
      <c r="D28" s="122" t="s">
        <v>205</v>
      </c>
      <c r="E28" s="123">
        <v>136432</v>
      </c>
      <c r="F28" s="124">
        <v>2628.6353439999998</v>
      </c>
      <c r="G28" s="125">
        <v>1.067778E-2</v>
      </c>
      <c r="H28" s="120" t="s">
        <v>151</v>
      </c>
      <c r="J28" s="8"/>
    </row>
    <row r="29" spans="1:10" x14ac:dyDescent="0.2">
      <c r="A29" s="121">
        <v>23</v>
      </c>
      <c r="B29" s="122" t="s">
        <v>227</v>
      </c>
      <c r="C29" s="122" t="s">
        <v>228</v>
      </c>
      <c r="D29" s="122" t="s">
        <v>22</v>
      </c>
      <c r="E29" s="123">
        <v>584138</v>
      </c>
      <c r="F29" s="124">
        <v>2573.4199589999998</v>
      </c>
      <c r="G29" s="125">
        <v>1.0453489999999999E-2</v>
      </c>
      <c r="H29" s="120" t="s">
        <v>151</v>
      </c>
      <c r="J29" s="8"/>
    </row>
    <row r="30" spans="1:10" x14ac:dyDescent="0.2">
      <c r="A30" s="121">
        <v>24</v>
      </c>
      <c r="B30" s="122" t="s">
        <v>273</v>
      </c>
      <c r="C30" s="122" t="s">
        <v>274</v>
      </c>
      <c r="D30" s="122" t="s">
        <v>48</v>
      </c>
      <c r="E30" s="123">
        <v>2004174</v>
      </c>
      <c r="F30" s="124">
        <v>2460.5244198</v>
      </c>
      <c r="G30" s="125">
        <v>9.9948999999999993E-3</v>
      </c>
      <c r="H30" s="120" t="s">
        <v>151</v>
      </c>
      <c r="J30" s="8"/>
    </row>
    <row r="31" spans="1:10" x14ac:dyDescent="0.2">
      <c r="A31" s="121">
        <v>25</v>
      </c>
      <c r="B31" s="122" t="s">
        <v>547</v>
      </c>
      <c r="C31" s="122" t="s">
        <v>548</v>
      </c>
      <c r="D31" s="122" t="s">
        <v>270</v>
      </c>
      <c r="E31" s="123">
        <v>18479</v>
      </c>
      <c r="F31" s="124">
        <v>2446.2500199999999</v>
      </c>
      <c r="G31" s="125">
        <v>9.9369100000000002E-3</v>
      </c>
      <c r="H31" s="120" t="s">
        <v>151</v>
      </c>
      <c r="J31" s="8"/>
    </row>
    <row r="32" spans="1:10" x14ac:dyDescent="0.2">
      <c r="A32" s="121">
        <v>26</v>
      </c>
      <c r="B32" s="122" t="s">
        <v>378</v>
      </c>
      <c r="C32" s="122" t="s">
        <v>379</v>
      </c>
      <c r="D32" s="122" t="s">
        <v>368</v>
      </c>
      <c r="E32" s="123">
        <v>81793</v>
      </c>
      <c r="F32" s="124">
        <v>2419.682319</v>
      </c>
      <c r="G32" s="125">
        <v>9.8289899999999993E-3</v>
      </c>
      <c r="H32" s="120" t="s">
        <v>151</v>
      </c>
      <c r="J32" s="8"/>
    </row>
    <row r="33" spans="1:10" ht="25.5" x14ac:dyDescent="0.2">
      <c r="A33" s="121">
        <v>27</v>
      </c>
      <c r="B33" s="122" t="s">
        <v>229</v>
      </c>
      <c r="C33" s="122" t="s">
        <v>230</v>
      </c>
      <c r="D33" s="122" t="s">
        <v>205</v>
      </c>
      <c r="E33" s="123">
        <v>39723</v>
      </c>
      <c r="F33" s="124">
        <v>2404.353744</v>
      </c>
      <c r="G33" s="125">
        <v>9.7667299999999995E-3</v>
      </c>
      <c r="H33" s="120" t="s">
        <v>151</v>
      </c>
      <c r="J33" s="8"/>
    </row>
    <row r="34" spans="1:10" x14ac:dyDescent="0.2">
      <c r="A34" s="121">
        <v>28</v>
      </c>
      <c r="B34" s="122" t="s">
        <v>102</v>
      </c>
      <c r="C34" s="122" t="s">
        <v>103</v>
      </c>
      <c r="D34" s="122" t="s">
        <v>104</v>
      </c>
      <c r="E34" s="123">
        <v>463177</v>
      </c>
      <c r="F34" s="124">
        <v>2362.8974655000002</v>
      </c>
      <c r="G34" s="125">
        <v>9.5983300000000004E-3</v>
      </c>
      <c r="H34" s="120" t="s">
        <v>151</v>
      </c>
      <c r="J34" s="8"/>
    </row>
    <row r="35" spans="1:10" x14ac:dyDescent="0.2">
      <c r="A35" s="121">
        <v>29</v>
      </c>
      <c r="B35" s="122" t="s">
        <v>413</v>
      </c>
      <c r="C35" s="122" t="s">
        <v>414</v>
      </c>
      <c r="D35" s="122" t="s">
        <v>48</v>
      </c>
      <c r="E35" s="123">
        <v>2956670</v>
      </c>
      <c r="F35" s="124">
        <v>2282.8449070000001</v>
      </c>
      <c r="G35" s="125">
        <v>9.2731399999999992E-3</v>
      </c>
      <c r="H35" s="120" t="s">
        <v>151</v>
      </c>
      <c r="J35" s="8"/>
    </row>
    <row r="36" spans="1:10" x14ac:dyDescent="0.2">
      <c r="A36" s="121">
        <v>30</v>
      </c>
      <c r="B36" s="122" t="s">
        <v>359</v>
      </c>
      <c r="C36" s="122" t="s">
        <v>360</v>
      </c>
      <c r="D36" s="122" t="s">
        <v>361</v>
      </c>
      <c r="E36" s="123">
        <v>285600</v>
      </c>
      <c r="F36" s="124">
        <v>2159.7071999999998</v>
      </c>
      <c r="G36" s="125">
        <v>8.7729499999999998E-3</v>
      </c>
      <c r="H36" s="120" t="s">
        <v>151</v>
      </c>
      <c r="J36" s="8"/>
    </row>
    <row r="37" spans="1:10" x14ac:dyDescent="0.2">
      <c r="A37" s="121">
        <v>31</v>
      </c>
      <c r="B37" s="122" t="s">
        <v>420</v>
      </c>
      <c r="C37" s="122" t="s">
        <v>421</v>
      </c>
      <c r="D37" s="122" t="s">
        <v>48</v>
      </c>
      <c r="E37" s="123">
        <v>5324759</v>
      </c>
      <c r="F37" s="124">
        <v>2152.8000637</v>
      </c>
      <c r="G37" s="125">
        <v>8.74489E-3</v>
      </c>
      <c r="H37" s="120" t="s">
        <v>151</v>
      </c>
      <c r="J37" s="8"/>
    </row>
    <row r="38" spans="1:10" x14ac:dyDescent="0.2">
      <c r="A38" s="121">
        <v>32</v>
      </c>
      <c r="B38" s="122" t="s">
        <v>355</v>
      </c>
      <c r="C38" s="122" t="s">
        <v>356</v>
      </c>
      <c r="D38" s="122" t="s">
        <v>216</v>
      </c>
      <c r="E38" s="123">
        <v>49239</v>
      </c>
      <c r="F38" s="124">
        <v>2101.7667150000002</v>
      </c>
      <c r="G38" s="125">
        <v>8.5375899999999994E-3</v>
      </c>
      <c r="H38" s="120" t="s">
        <v>151</v>
      </c>
      <c r="J38" s="8"/>
    </row>
    <row r="39" spans="1:10" x14ac:dyDescent="0.2">
      <c r="A39" s="121">
        <v>33</v>
      </c>
      <c r="B39" s="122" t="s">
        <v>388</v>
      </c>
      <c r="C39" s="122" t="s">
        <v>389</v>
      </c>
      <c r="D39" s="122" t="s">
        <v>35</v>
      </c>
      <c r="E39" s="123">
        <v>52329</v>
      </c>
      <c r="F39" s="124">
        <v>2001.0347955</v>
      </c>
      <c r="G39" s="125">
        <v>8.1283999999999992E-3</v>
      </c>
      <c r="H39" s="120" t="s">
        <v>151</v>
      </c>
      <c r="J39" s="8"/>
    </row>
    <row r="40" spans="1:10" x14ac:dyDescent="0.2">
      <c r="A40" s="121">
        <v>34</v>
      </c>
      <c r="B40" s="122" t="s">
        <v>246</v>
      </c>
      <c r="C40" s="122" t="s">
        <v>247</v>
      </c>
      <c r="D40" s="122" t="s">
        <v>121</v>
      </c>
      <c r="E40" s="123">
        <v>406125</v>
      </c>
      <c r="F40" s="124">
        <v>1982.0930625000001</v>
      </c>
      <c r="G40" s="125">
        <v>8.0514599999999999E-3</v>
      </c>
      <c r="H40" s="120" t="s">
        <v>151</v>
      </c>
      <c r="J40" s="8"/>
    </row>
    <row r="41" spans="1:10" x14ac:dyDescent="0.2">
      <c r="A41" s="121">
        <v>35</v>
      </c>
      <c r="B41" s="122" t="s">
        <v>695</v>
      </c>
      <c r="C41" s="122" t="s">
        <v>696</v>
      </c>
      <c r="D41" s="122" t="s">
        <v>283</v>
      </c>
      <c r="E41" s="123">
        <v>71472</v>
      </c>
      <c r="F41" s="124">
        <v>1922.561064</v>
      </c>
      <c r="G41" s="125">
        <v>7.8096399999999996E-3</v>
      </c>
      <c r="H41" s="120" t="s">
        <v>151</v>
      </c>
      <c r="J41" s="8"/>
    </row>
    <row r="42" spans="1:10" x14ac:dyDescent="0.2">
      <c r="A42" s="121">
        <v>36</v>
      </c>
      <c r="B42" s="122" t="s">
        <v>268</v>
      </c>
      <c r="C42" s="122" t="s">
        <v>269</v>
      </c>
      <c r="D42" s="122" t="s">
        <v>270</v>
      </c>
      <c r="E42" s="123">
        <v>66850</v>
      </c>
      <c r="F42" s="124">
        <v>1898.439725</v>
      </c>
      <c r="G42" s="125">
        <v>7.7116499999999996E-3</v>
      </c>
      <c r="H42" s="120" t="s">
        <v>151</v>
      </c>
      <c r="J42" s="8"/>
    </row>
    <row r="43" spans="1:10" x14ac:dyDescent="0.2">
      <c r="A43" s="121">
        <v>37</v>
      </c>
      <c r="B43" s="122" t="s">
        <v>119</v>
      </c>
      <c r="C43" s="122" t="s">
        <v>120</v>
      </c>
      <c r="D43" s="122" t="s">
        <v>121</v>
      </c>
      <c r="E43" s="123">
        <v>336975</v>
      </c>
      <c r="F43" s="124">
        <v>1868.5263749999999</v>
      </c>
      <c r="G43" s="125">
        <v>7.5901400000000004E-3</v>
      </c>
      <c r="H43" s="120" t="s">
        <v>151</v>
      </c>
      <c r="J43" s="8"/>
    </row>
    <row r="44" spans="1:10" x14ac:dyDescent="0.2">
      <c r="A44" s="121">
        <v>38</v>
      </c>
      <c r="B44" s="122" t="s">
        <v>461</v>
      </c>
      <c r="C44" s="122" t="s">
        <v>462</v>
      </c>
      <c r="D44" s="122" t="s">
        <v>216</v>
      </c>
      <c r="E44" s="123">
        <v>101081</v>
      </c>
      <c r="F44" s="124">
        <v>1815.5158409999999</v>
      </c>
      <c r="G44" s="125">
        <v>7.3748099999999999E-3</v>
      </c>
      <c r="H44" s="120" t="s">
        <v>151</v>
      </c>
      <c r="J44" s="8"/>
    </row>
    <row r="45" spans="1:10" x14ac:dyDescent="0.2">
      <c r="A45" s="121">
        <v>39</v>
      </c>
      <c r="B45" s="122" t="s">
        <v>194</v>
      </c>
      <c r="C45" s="122" t="s">
        <v>195</v>
      </c>
      <c r="D45" s="122" t="s">
        <v>35</v>
      </c>
      <c r="E45" s="123">
        <v>223126</v>
      </c>
      <c r="F45" s="124">
        <v>1629.3776150000001</v>
      </c>
      <c r="G45" s="125">
        <v>6.6186999999999999E-3</v>
      </c>
      <c r="H45" s="120" t="s">
        <v>151</v>
      </c>
      <c r="J45" s="8"/>
    </row>
    <row r="46" spans="1:10" ht="25.5" x14ac:dyDescent="0.2">
      <c r="A46" s="121">
        <v>40</v>
      </c>
      <c r="B46" s="122" t="s">
        <v>206</v>
      </c>
      <c r="C46" s="122" t="s">
        <v>207</v>
      </c>
      <c r="D46" s="122" t="s">
        <v>208</v>
      </c>
      <c r="E46" s="123">
        <v>92591</v>
      </c>
      <c r="F46" s="124">
        <v>1550.5751815000001</v>
      </c>
      <c r="G46" s="125">
        <v>6.2985899999999997E-3</v>
      </c>
      <c r="H46" s="120" t="s">
        <v>151</v>
      </c>
      <c r="J46" s="8"/>
    </row>
    <row r="47" spans="1:10" ht="25.5" x14ac:dyDescent="0.2">
      <c r="A47" s="121">
        <v>41</v>
      </c>
      <c r="B47" s="122" t="s">
        <v>203</v>
      </c>
      <c r="C47" s="122" t="s">
        <v>204</v>
      </c>
      <c r="D47" s="122" t="s">
        <v>205</v>
      </c>
      <c r="E47" s="123">
        <v>68182</v>
      </c>
      <c r="F47" s="124">
        <v>1493.935802</v>
      </c>
      <c r="G47" s="125">
        <v>6.06852E-3</v>
      </c>
      <c r="H47" s="120" t="s">
        <v>151</v>
      </c>
      <c r="J47" s="8"/>
    </row>
    <row r="48" spans="1:10" ht="25.5" x14ac:dyDescent="0.2">
      <c r="A48" s="121">
        <v>42</v>
      </c>
      <c r="B48" s="122" t="s">
        <v>139</v>
      </c>
      <c r="C48" s="122" t="s">
        <v>140</v>
      </c>
      <c r="D48" s="122" t="s">
        <v>25</v>
      </c>
      <c r="E48" s="123">
        <v>660253</v>
      </c>
      <c r="F48" s="124">
        <v>1478.9006947</v>
      </c>
      <c r="G48" s="125">
        <v>6.0074400000000002E-3</v>
      </c>
      <c r="H48" s="120" t="s">
        <v>151</v>
      </c>
      <c r="J48" s="8"/>
    </row>
    <row r="49" spans="1:10" x14ac:dyDescent="0.2">
      <c r="A49" s="121">
        <v>43</v>
      </c>
      <c r="B49" s="122" t="s">
        <v>432</v>
      </c>
      <c r="C49" s="122" t="s">
        <v>433</v>
      </c>
      <c r="D49" s="122" t="s">
        <v>241</v>
      </c>
      <c r="E49" s="123">
        <v>52790</v>
      </c>
      <c r="F49" s="124">
        <v>1352.32143</v>
      </c>
      <c r="G49" s="125">
        <v>5.4932699999999998E-3</v>
      </c>
      <c r="H49" s="120" t="s">
        <v>151</v>
      </c>
      <c r="J49" s="8"/>
    </row>
    <row r="50" spans="1:10" x14ac:dyDescent="0.2">
      <c r="A50" s="121">
        <v>44</v>
      </c>
      <c r="B50" s="122" t="s">
        <v>262</v>
      </c>
      <c r="C50" s="122" t="s">
        <v>263</v>
      </c>
      <c r="D50" s="122" t="s">
        <v>70</v>
      </c>
      <c r="E50" s="123">
        <v>235313</v>
      </c>
      <c r="F50" s="124">
        <v>1289.1622705</v>
      </c>
      <c r="G50" s="125">
        <v>5.2367100000000003E-3</v>
      </c>
      <c r="H50" s="120" t="s">
        <v>151</v>
      </c>
      <c r="J50" s="8"/>
    </row>
    <row r="51" spans="1:10" x14ac:dyDescent="0.2">
      <c r="A51" s="121">
        <v>45</v>
      </c>
      <c r="B51" s="122" t="s">
        <v>43</v>
      </c>
      <c r="C51" s="122" t="s">
        <v>44</v>
      </c>
      <c r="D51" s="122" t="s">
        <v>45</v>
      </c>
      <c r="E51" s="123">
        <v>78262</v>
      </c>
      <c r="F51" s="124">
        <v>1109.011671</v>
      </c>
      <c r="G51" s="125">
        <v>4.5049199999999999E-3</v>
      </c>
      <c r="H51" s="120" t="s">
        <v>151</v>
      </c>
      <c r="J51" s="8"/>
    </row>
    <row r="52" spans="1:10" x14ac:dyDescent="0.2">
      <c r="A52" s="121">
        <v>46</v>
      </c>
      <c r="B52" s="122" t="s">
        <v>718</v>
      </c>
      <c r="C52" s="122" t="s">
        <v>719</v>
      </c>
      <c r="D52" s="122" t="s">
        <v>35</v>
      </c>
      <c r="E52" s="123">
        <v>33200</v>
      </c>
      <c r="F52" s="124">
        <v>1105.2611999999999</v>
      </c>
      <c r="G52" s="125">
        <v>4.4896800000000002E-3</v>
      </c>
      <c r="H52" s="120" t="s">
        <v>151</v>
      </c>
      <c r="J52" s="8"/>
    </row>
    <row r="53" spans="1:10" x14ac:dyDescent="0.2">
      <c r="A53" s="121">
        <v>47</v>
      </c>
      <c r="B53" s="122" t="s">
        <v>105</v>
      </c>
      <c r="C53" s="122" t="s">
        <v>106</v>
      </c>
      <c r="D53" s="122" t="s">
        <v>32</v>
      </c>
      <c r="E53" s="123">
        <v>28964</v>
      </c>
      <c r="F53" s="124">
        <v>1102.3843220000001</v>
      </c>
      <c r="G53" s="125">
        <v>4.4780000000000002E-3</v>
      </c>
      <c r="H53" s="120" t="s">
        <v>151</v>
      </c>
      <c r="J53" s="8"/>
    </row>
    <row r="54" spans="1:10" x14ac:dyDescent="0.2">
      <c r="A54" s="121">
        <v>48</v>
      </c>
      <c r="B54" s="122" t="s">
        <v>284</v>
      </c>
      <c r="C54" s="122" t="s">
        <v>285</v>
      </c>
      <c r="D54" s="122" t="s">
        <v>216</v>
      </c>
      <c r="E54" s="123">
        <v>14498</v>
      </c>
      <c r="F54" s="124">
        <v>1017.244921</v>
      </c>
      <c r="G54" s="125">
        <v>4.1321500000000002E-3</v>
      </c>
      <c r="H54" s="120" t="s">
        <v>151</v>
      </c>
      <c r="J54" s="8"/>
    </row>
    <row r="55" spans="1:10" x14ac:dyDescent="0.2">
      <c r="A55" s="121">
        <v>49</v>
      </c>
      <c r="B55" s="122" t="s">
        <v>83</v>
      </c>
      <c r="C55" s="122" t="s">
        <v>84</v>
      </c>
      <c r="D55" s="122" t="s">
        <v>85</v>
      </c>
      <c r="E55" s="123">
        <v>21091</v>
      </c>
      <c r="F55" s="124">
        <v>1009.7210795</v>
      </c>
      <c r="G55" s="125">
        <v>4.1015899999999996E-3</v>
      </c>
      <c r="H55" s="120" t="s">
        <v>151</v>
      </c>
      <c r="J55" s="8"/>
    </row>
    <row r="56" spans="1:10" x14ac:dyDescent="0.2">
      <c r="A56" s="121">
        <v>50</v>
      </c>
      <c r="B56" s="122" t="s">
        <v>242</v>
      </c>
      <c r="C56" s="122" t="s">
        <v>243</v>
      </c>
      <c r="D56" s="122" t="s">
        <v>200</v>
      </c>
      <c r="E56" s="123">
        <v>12300</v>
      </c>
      <c r="F56" s="124">
        <v>996.38610000000006</v>
      </c>
      <c r="G56" s="125">
        <v>4.0474200000000004E-3</v>
      </c>
      <c r="H56" s="120" t="s">
        <v>151</v>
      </c>
      <c r="J56" s="8"/>
    </row>
    <row r="57" spans="1:10" x14ac:dyDescent="0.2">
      <c r="A57" s="121">
        <v>51</v>
      </c>
      <c r="B57" s="122" t="s">
        <v>382</v>
      </c>
      <c r="C57" s="122" t="s">
        <v>383</v>
      </c>
      <c r="D57" s="122" t="s">
        <v>38</v>
      </c>
      <c r="E57" s="123">
        <v>22500</v>
      </c>
      <c r="F57" s="124">
        <v>994.64625000000001</v>
      </c>
      <c r="G57" s="125">
        <v>4.0403499999999998E-3</v>
      </c>
      <c r="H57" s="120" t="s">
        <v>151</v>
      </c>
      <c r="J57" s="8"/>
    </row>
    <row r="58" spans="1:10" x14ac:dyDescent="0.2">
      <c r="A58" s="121">
        <v>52</v>
      </c>
      <c r="B58" s="122" t="s">
        <v>17</v>
      </c>
      <c r="C58" s="122" t="s">
        <v>18</v>
      </c>
      <c r="D58" s="122" t="s">
        <v>19</v>
      </c>
      <c r="E58" s="123">
        <v>66000</v>
      </c>
      <c r="F58" s="124">
        <v>292.512</v>
      </c>
      <c r="G58" s="125">
        <v>1.1882100000000001E-3</v>
      </c>
      <c r="H58" s="120" t="s">
        <v>151</v>
      </c>
      <c r="J58" s="8"/>
    </row>
    <row r="59" spans="1:10" x14ac:dyDescent="0.2">
      <c r="A59" s="121">
        <v>53</v>
      </c>
      <c r="B59" s="122" t="s">
        <v>46</v>
      </c>
      <c r="C59" s="122" t="s">
        <v>47</v>
      </c>
      <c r="D59" s="122" t="s">
        <v>48</v>
      </c>
      <c r="E59" s="123">
        <v>1163</v>
      </c>
      <c r="F59" s="124">
        <v>14.80499</v>
      </c>
      <c r="G59" s="125">
        <v>6.0139999999999997E-5</v>
      </c>
      <c r="H59" s="120" t="s">
        <v>151</v>
      </c>
      <c r="J59" s="8"/>
    </row>
    <row r="60" spans="1:10" x14ac:dyDescent="0.2">
      <c r="A60" s="118"/>
      <c r="B60" s="118"/>
      <c r="C60" s="119" t="s">
        <v>150</v>
      </c>
      <c r="D60" s="118"/>
      <c r="E60" s="118" t="s">
        <v>151</v>
      </c>
      <c r="F60" s="126">
        <v>160652.9343962</v>
      </c>
      <c r="G60" s="127">
        <v>0.65258833000000005</v>
      </c>
      <c r="H60" s="120" t="s">
        <v>151</v>
      </c>
      <c r="J60" s="8"/>
    </row>
    <row r="61" spans="1:10" x14ac:dyDescent="0.2">
      <c r="A61" s="118"/>
      <c r="B61" s="118"/>
      <c r="C61" s="128"/>
      <c r="D61" s="118"/>
      <c r="E61" s="118"/>
      <c r="F61" s="129"/>
      <c r="G61" s="129"/>
      <c r="H61" s="120" t="s">
        <v>151</v>
      </c>
      <c r="J61" s="8"/>
    </row>
    <row r="62" spans="1:10" x14ac:dyDescent="0.2">
      <c r="A62" s="118"/>
      <c r="B62" s="118"/>
      <c r="C62" s="119" t="s">
        <v>152</v>
      </c>
      <c r="D62" s="118"/>
      <c r="E62" s="118"/>
      <c r="F62" s="118"/>
      <c r="G62" s="118"/>
      <c r="H62" s="120" t="s">
        <v>151</v>
      </c>
      <c r="J62" s="8"/>
    </row>
    <row r="63" spans="1:10" x14ac:dyDescent="0.2">
      <c r="A63" s="118"/>
      <c r="B63" s="118"/>
      <c r="C63" s="119" t="s">
        <v>150</v>
      </c>
      <c r="D63" s="118"/>
      <c r="E63" s="118" t="s">
        <v>151</v>
      </c>
      <c r="F63" s="130" t="s">
        <v>153</v>
      </c>
      <c r="G63" s="127">
        <v>0</v>
      </c>
      <c r="H63" s="120" t="s">
        <v>151</v>
      </c>
      <c r="J63" s="8"/>
    </row>
    <row r="64" spans="1:10" x14ac:dyDescent="0.2">
      <c r="A64" s="118"/>
      <c r="B64" s="118"/>
      <c r="C64" s="128"/>
      <c r="D64" s="118"/>
      <c r="E64" s="118"/>
      <c r="F64" s="129"/>
      <c r="G64" s="129"/>
      <c r="H64" s="120" t="s">
        <v>151</v>
      </c>
      <c r="J64" s="8"/>
    </row>
    <row r="65" spans="1:10" x14ac:dyDescent="0.2">
      <c r="A65" s="118"/>
      <c r="B65" s="118"/>
      <c r="C65" s="119" t="s">
        <v>154</v>
      </c>
      <c r="D65" s="118"/>
      <c r="E65" s="118"/>
      <c r="F65" s="118"/>
      <c r="G65" s="118"/>
      <c r="H65" s="120" t="s">
        <v>151</v>
      </c>
      <c r="J65" s="8"/>
    </row>
    <row r="66" spans="1:10" x14ac:dyDescent="0.2">
      <c r="A66" s="118"/>
      <c r="B66" s="118"/>
      <c r="C66" s="119" t="s">
        <v>150</v>
      </c>
      <c r="D66" s="118"/>
      <c r="E66" s="118" t="s">
        <v>151</v>
      </c>
      <c r="F66" s="130" t="s">
        <v>153</v>
      </c>
      <c r="G66" s="127">
        <v>0</v>
      </c>
      <c r="H66" s="120" t="s">
        <v>151</v>
      </c>
      <c r="J66" s="8"/>
    </row>
    <row r="67" spans="1:10" x14ac:dyDescent="0.2">
      <c r="A67" s="118"/>
      <c r="B67" s="118"/>
      <c r="C67" s="128"/>
      <c r="D67" s="118"/>
      <c r="E67" s="118"/>
      <c r="F67" s="129"/>
      <c r="G67" s="129"/>
      <c r="H67" s="120" t="s">
        <v>151</v>
      </c>
      <c r="J67" s="8"/>
    </row>
    <row r="68" spans="1:10" x14ac:dyDescent="0.2">
      <c r="A68" s="118"/>
      <c r="B68" s="118"/>
      <c r="C68" s="119" t="s">
        <v>155</v>
      </c>
      <c r="D68" s="118"/>
      <c r="E68" s="118"/>
      <c r="F68" s="118"/>
      <c r="G68" s="118"/>
      <c r="H68" s="120" t="s">
        <v>151</v>
      </c>
      <c r="J68" s="8"/>
    </row>
    <row r="69" spans="1:10" x14ac:dyDescent="0.2">
      <c r="A69" s="118"/>
      <c r="B69" s="118"/>
      <c r="C69" s="119" t="s">
        <v>150</v>
      </c>
      <c r="D69" s="118"/>
      <c r="E69" s="118" t="s">
        <v>151</v>
      </c>
      <c r="F69" s="130" t="s">
        <v>153</v>
      </c>
      <c r="G69" s="127">
        <v>0</v>
      </c>
      <c r="H69" s="120" t="s">
        <v>151</v>
      </c>
      <c r="J69" s="8"/>
    </row>
    <row r="70" spans="1:10" x14ac:dyDescent="0.2">
      <c r="A70" s="118"/>
      <c r="B70" s="118"/>
      <c r="C70" s="128"/>
      <c r="D70" s="118"/>
      <c r="E70" s="118"/>
      <c r="F70" s="129"/>
      <c r="G70" s="129"/>
      <c r="H70" s="120" t="s">
        <v>151</v>
      </c>
      <c r="J70" s="8"/>
    </row>
    <row r="71" spans="1:10" x14ac:dyDescent="0.2">
      <c r="A71" s="118"/>
      <c r="B71" s="118"/>
      <c r="C71" s="119" t="s">
        <v>156</v>
      </c>
      <c r="D71" s="118"/>
      <c r="E71" s="118"/>
      <c r="F71" s="129"/>
      <c r="G71" s="129"/>
      <c r="H71" s="120" t="s">
        <v>151</v>
      </c>
      <c r="J71" s="8"/>
    </row>
    <row r="72" spans="1:10" x14ac:dyDescent="0.2">
      <c r="A72" s="118"/>
      <c r="B72" s="118"/>
      <c r="C72" s="119" t="s">
        <v>150</v>
      </c>
      <c r="D72" s="118"/>
      <c r="E72" s="118" t="s">
        <v>151</v>
      </c>
      <c r="F72" s="130" t="s">
        <v>153</v>
      </c>
      <c r="G72" s="127">
        <v>0</v>
      </c>
      <c r="H72" s="120" t="s">
        <v>151</v>
      </c>
      <c r="J72" s="8"/>
    </row>
    <row r="73" spans="1:10" x14ac:dyDescent="0.2">
      <c r="A73" s="118"/>
      <c r="B73" s="118"/>
      <c r="C73" s="128"/>
      <c r="D73" s="118"/>
      <c r="E73" s="118"/>
      <c r="F73" s="129"/>
      <c r="G73" s="129"/>
      <c r="H73" s="120" t="s">
        <v>151</v>
      </c>
      <c r="J73" s="8"/>
    </row>
    <row r="74" spans="1:10" x14ac:dyDescent="0.2">
      <c r="A74" s="118"/>
      <c r="B74" s="118"/>
      <c r="C74" s="119" t="s">
        <v>157</v>
      </c>
      <c r="D74" s="118"/>
      <c r="E74" s="118"/>
      <c r="F74" s="129"/>
      <c r="G74" s="129"/>
      <c r="H74" s="120" t="s">
        <v>151</v>
      </c>
      <c r="J74" s="8"/>
    </row>
    <row r="75" spans="1:10" x14ac:dyDescent="0.2">
      <c r="A75" s="121">
        <v>1</v>
      </c>
      <c r="B75" s="122"/>
      <c r="C75" s="122" t="s">
        <v>980</v>
      </c>
      <c r="D75" s="122" t="s">
        <v>667</v>
      </c>
      <c r="E75" s="123">
        <v>-4000</v>
      </c>
      <c r="F75" s="124">
        <v>-58.23</v>
      </c>
      <c r="G75" s="125">
        <v>-2.3653608384551026E-4</v>
      </c>
      <c r="H75" s="120" t="s">
        <v>151</v>
      </c>
      <c r="J75" s="8"/>
    </row>
    <row r="76" spans="1:10" x14ac:dyDescent="0.2">
      <c r="A76" s="121">
        <v>2</v>
      </c>
      <c r="B76" s="122"/>
      <c r="C76" s="122" t="s">
        <v>1035</v>
      </c>
      <c r="D76" s="122" t="s">
        <v>667</v>
      </c>
      <c r="E76" s="123">
        <v>-1400</v>
      </c>
      <c r="F76" s="124">
        <v>-166.5566</v>
      </c>
      <c r="G76" s="125">
        <v>-6.7656956727843237E-4</v>
      </c>
      <c r="H76" s="120" t="s">
        <v>151</v>
      </c>
      <c r="J76" s="8"/>
    </row>
    <row r="77" spans="1:10" x14ac:dyDescent="0.2">
      <c r="A77" s="121">
        <v>3</v>
      </c>
      <c r="B77" s="122"/>
      <c r="C77" s="122" t="s">
        <v>952</v>
      </c>
      <c r="D77" s="122" t="s">
        <v>667</v>
      </c>
      <c r="E77" s="123">
        <v>-26250</v>
      </c>
      <c r="F77" s="124">
        <v>-208.08375000000001</v>
      </c>
      <c r="G77" s="125">
        <v>-8.452570038964142E-4</v>
      </c>
      <c r="H77" s="120" t="s">
        <v>151</v>
      </c>
      <c r="J77" s="8"/>
    </row>
    <row r="78" spans="1:10" x14ac:dyDescent="0.2">
      <c r="A78" s="121">
        <v>4</v>
      </c>
      <c r="B78" s="122"/>
      <c r="C78" s="122" t="s">
        <v>955</v>
      </c>
      <c r="D78" s="122" t="s">
        <v>667</v>
      </c>
      <c r="E78" s="123">
        <v>-203500</v>
      </c>
      <c r="F78" s="124">
        <v>-344.83075000000002</v>
      </c>
      <c r="G78" s="125">
        <v>-1.4007369945820058E-3</v>
      </c>
      <c r="H78" s="120" t="s">
        <v>151</v>
      </c>
      <c r="J78" s="8"/>
    </row>
    <row r="79" spans="1:10" x14ac:dyDescent="0.2">
      <c r="A79" s="121">
        <v>5</v>
      </c>
      <c r="B79" s="122"/>
      <c r="C79" s="122" t="s">
        <v>974</v>
      </c>
      <c r="D79" s="122" t="s">
        <v>667</v>
      </c>
      <c r="E79" s="123">
        <v>-32450</v>
      </c>
      <c r="F79" s="124">
        <v>-566.67435</v>
      </c>
      <c r="G79" s="125">
        <v>-2.3018878853632153E-3</v>
      </c>
      <c r="H79" s="120" t="s">
        <v>151</v>
      </c>
      <c r="J79" s="8"/>
    </row>
    <row r="80" spans="1:10" x14ac:dyDescent="0.2">
      <c r="A80" s="121">
        <v>6</v>
      </c>
      <c r="B80" s="122"/>
      <c r="C80" s="122" t="s">
        <v>961</v>
      </c>
      <c r="D80" s="122" t="s">
        <v>667</v>
      </c>
      <c r="E80" s="123">
        <v>-52500</v>
      </c>
      <c r="F80" s="124">
        <v>-652.3125</v>
      </c>
      <c r="G80" s="125">
        <v>-2.649758615721697E-3</v>
      </c>
      <c r="H80" s="120" t="s">
        <v>151</v>
      </c>
      <c r="J80" s="8"/>
    </row>
    <row r="81" spans="1:10" x14ac:dyDescent="0.2">
      <c r="A81" s="121">
        <v>7</v>
      </c>
      <c r="B81" s="122"/>
      <c r="C81" s="122" t="s">
        <v>1036</v>
      </c>
      <c r="D81" s="122" t="s">
        <v>667</v>
      </c>
      <c r="E81" s="123">
        <v>-22500</v>
      </c>
      <c r="F81" s="124">
        <v>-1001.37375</v>
      </c>
      <c r="G81" s="125">
        <v>-4.0676803244151308E-3</v>
      </c>
      <c r="H81" s="120" t="s">
        <v>151</v>
      </c>
      <c r="J81" s="8"/>
    </row>
    <row r="82" spans="1:10" x14ac:dyDescent="0.2">
      <c r="A82" s="121">
        <v>8</v>
      </c>
      <c r="B82" s="122"/>
      <c r="C82" s="122" t="s">
        <v>1008</v>
      </c>
      <c r="D82" s="122" t="s">
        <v>667</v>
      </c>
      <c r="E82" s="123">
        <v>-67450</v>
      </c>
      <c r="F82" s="124">
        <v>-1162.939175</v>
      </c>
      <c r="G82" s="125">
        <v>-4.7239752396535896E-3</v>
      </c>
      <c r="H82" s="120" t="s">
        <v>151</v>
      </c>
      <c r="J82" s="8"/>
    </row>
    <row r="83" spans="1:10" x14ac:dyDescent="0.2">
      <c r="A83" s="121">
        <v>9</v>
      </c>
      <c r="B83" s="122"/>
      <c r="C83" s="122" t="s">
        <v>956</v>
      </c>
      <c r="D83" s="122" t="s">
        <v>667</v>
      </c>
      <c r="E83" s="123">
        <v>-33150</v>
      </c>
      <c r="F83" s="124">
        <v>-1228.3069499999999</v>
      </c>
      <c r="G83" s="125">
        <v>-4.9895056794302421E-3</v>
      </c>
      <c r="H83" s="120" t="s">
        <v>151</v>
      </c>
      <c r="J83" s="8"/>
    </row>
    <row r="84" spans="1:10" x14ac:dyDescent="0.2">
      <c r="A84" s="121">
        <v>10</v>
      </c>
      <c r="B84" s="122"/>
      <c r="C84" s="122" t="s">
        <v>1037</v>
      </c>
      <c r="D84" s="122" t="s">
        <v>667</v>
      </c>
      <c r="E84" s="123">
        <v>-66850</v>
      </c>
      <c r="F84" s="124">
        <v>-1914.9851000000001</v>
      </c>
      <c r="G84" s="125">
        <v>-7.7788610025159351E-3</v>
      </c>
      <c r="H84" s="120" t="s">
        <v>151</v>
      </c>
      <c r="J84" s="8"/>
    </row>
    <row r="85" spans="1:10" x14ac:dyDescent="0.2">
      <c r="A85" s="121">
        <v>11</v>
      </c>
      <c r="B85" s="122"/>
      <c r="C85" s="122" t="s">
        <v>1007</v>
      </c>
      <c r="D85" s="122" t="s">
        <v>667</v>
      </c>
      <c r="E85" s="123">
        <v>-198000</v>
      </c>
      <c r="F85" s="124">
        <v>-3710.3220000000001</v>
      </c>
      <c r="G85" s="125">
        <v>-1.5071699050074557E-2</v>
      </c>
      <c r="H85" s="120" t="s">
        <v>151</v>
      </c>
      <c r="J85" s="8"/>
    </row>
    <row r="86" spans="1:10" x14ac:dyDescent="0.2">
      <c r="A86" s="121">
        <v>12</v>
      </c>
      <c r="B86" s="122"/>
      <c r="C86" s="122" t="s">
        <v>953</v>
      </c>
      <c r="D86" s="122" t="s">
        <v>667</v>
      </c>
      <c r="E86" s="123">
        <v>-192500</v>
      </c>
      <c r="F86" s="124">
        <v>-6007.4437500000004</v>
      </c>
      <c r="G86" s="125">
        <v>-2.4402837344104186E-2</v>
      </c>
      <c r="H86" s="120" t="s">
        <v>151</v>
      </c>
      <c r="J86" s="8"/>
    </row>
    <row r="87" spans="1:10" x14ac:dyDescent="0.2">
      <c r="A87" s="118"/>
      <c r="B87" s="118"/>
      <c r="C87" s="119" t="s">
        <v>150</v>
      </c>
      <c r="D87" s="118"/>
      <c r="E87" s="118" t="s">
        <v>151</v>
      </c>
      <c r="F87" s="126">
        <v>-17022.058675</v>
      </c>
      <c r="G87" s="127">
        <v>-6.9145330000000005E-2</v>
      </c>
      <c r="H87" s="120" t="s">
        <v>151</v>
      </c>
      <c r="J87" s="8"/>
    </row>
    <row r="88" spans="1:10" x14ac:dyDescent="0.2">
      <c r="A88" s="118"/>
      <c r="B88" s="118"/>
      <c r="C88" s="128"/>
      <c r="D88" s="118"/>
      <c r="E88" s="118"/>
      <c r="F88" s="129"/>
      <c r="G88" s="129"/>
      <c r="H88" s="120" t="s">
        <v>151</v>
      </c>
      <c r="J88" s="8"/>
    </row>
    <row r="89" spans="1:10" x14ac:dyDescent="0.2">
      <c r="A89" s="118"/>
      <c r="B89" s="118"/>
      <c r="C89" s="119" t="s">
        <v>158</v>
      </c>
      <c r="D89" s="118"/>
      <c r="E89" s="118"/>
      <c r="F89" s="126">
        <v>160652.9343962</v>
      </c>
      <c r="G89" s="127">
        <v>0.65258833000000005</v>
      </c>
      <c r="H89" s="120" t="s">
        <v>151</v>
      </c>
      <c r="J89" s="8"/>
    </row>
    <row r="90" spans="1:10" x14ac:dyDescent="0.2">
      <c r="A90" s="118"/>
      <c r="B90" s="118"/>
      <c r="C90" s="128"/>
      <c r="D90" s="118"/>
      <c r="E90" s="118"/>
      <c r="F90" s="129"/>
      <c r="G90" s="129"/>
      <c r="H90" s="120" t="s">
        <v>151</v>
      </c>
      <c r="J90" s="8"/>
    </row>
    <row r="91" spans="1:10" x14ac:dyDescent="0.2">
      <c r="A91" s="118"/>
      <c r="B91" s="118"/>
      <c r="C91" s="119" t="s">
        <v>159</v>
      </c>
      <c r="D91" s="118"/>
      <c r="E91" s="118"/>
      <c r="F91" s="129"/>
      <c r="G91" s="129"/>
      <c r="H91" s="120" t="s">
        <v>151</v>
      </c>
      <c r="J91" s="8"/>
    </row>
    <row r="92" spans="1:10" x14ac:dyDescent="0.2">
      <c r="A92" s="118"/>
      <c r="B92" s="118"/>
      <c r="C92" s="119" t="s">
        <v>10</v>
      </c>
      <c r="D92" s="118"/>
      <c r="E92" s="118"/>
      <c r="F92" s="129"/>
      <c r="G92" s="129"/>
      <c r="H92" s="120" t="s">
        <v>151</v>
      </c>
      <c r="J92" s="8"/>
    </row>
    <row r="93" spans="1:10" x14ac:dyDescent="0.2">
      <c r="A93" s="118"/>
      <c r="B93" s="118"/>
      <c r="C93" s="119" t="s">
        <v>150</v>
      </c>
      <c r="D93" s="118"/>
      <c r="E93" s="118" t="s">
        <v>151</v>
      </c>
      <c r="F93" s="130" t="s">
        <v>153</v>
      </c>
      <c r="G93" s="127">
        <v>0</v>
      </c>
      <c r="H93" s="120" t="s">
        <v>151</v>
      </c>
      <c r="J93" s="8"/>
    </row>
    <row r="94" spans="1:10" x14ac:dyDescent="0.2">
      <c r="A94" s="118"/>
      <c r="B94" s="118"/>
      <c r="C94" s="128"/>
      <c r="D94" s="118"/>
      <c r="E94" s="118"/>
      <c r="F94" s="129"/>
      <c r="G94" s="129"/>
      <c r="H94" s="120" t="s">
        <v>151</v>
      </c>
      <c r="J94" s="8"/>
    </row>
    <row r="95" spans="1:10" x14ac:dyDescent="0.2">
      <c r="A95" s="118"/>
      <c r="B95" s="118"/>
      <c r="C95" s="119" t="s">
        <v>160</v>
      </c>
      <c r="D95" s="118"/>
      <c r="E95" s="118"/>
      <c r="F95" s="118"/>
      <c r="G95" s="118"/>
      <c r="H95" s="120" t="s">
        <v>151</v>
      </c>
      <c r="J95" s="8"/>
    </row>
    <row r="96" spans="1:10" x14ac:dyDescent="0.2">
      <c r="A96" s="118"/>
      <c r="B96" s="118"/>
      <c r="C96" s="119" t="s">
        <v>150</v>
      </c>
      <c r="D96" s="118"/>
      <c r="E96" s="118" t="s">
        <v>151</v>
      </c>
      <c r="F96" s="130" t="s">
        <v>153</v>
      </c>
      <c r="G96" s="127">
        <v>0</v>
      </c>
      <c r="H96" s="120" t="s">
        <v>151</v>
      </c>
      <c r="J96" s="8"/>
    </row>
    <row r="97" spans="1:10" x14ac:dyDescent="0.2">
      <c r="A97" s="118"/>
      <c r="B97" s="118"/>
      <c r="C97" s="128"/>
      <c r="D97" s="118"/>
      <c r="E97" s="118"/>
      <c r="F97" s="129"/>
      <c r="G97" s="129"/>
      <c r="H97" s="120" t="s">
        <v>151</v>
      </c>
      <c r="J97" s="8"/>
    </row>
    <row r="98" spans="1:10" x14ac:dyDescent="0.2">
      <c r="A98" s="118"/>
      <c r="B98" s="118"/>
      <c r="C98" s="119" t="s">
        <v>161</v>
      </c>
      <c r="D98" s="118"/>
      <c r="E98" s="118"/>
      <c r="F98" s="118"/>
      <c r="G98" s="118"/>
      <c r="H98" s="120" t="s">
        <v>151</v>
      </c>
      <c r="J98" s="8"/>
    </row>
    <row r="99" spans="1:10" x14ac:dyDescent="0.2">
      <c r="A99" s="121">
        <v>1</v>
      </c>
      <c r="B99" s="122" t="s">
        <v>668</v>
      </c>
      <c r="C99" s="122" t="s">
        <v>1056</v>
      </c>
      <c r="D99" s="122" t="s">
        <v>541</v>
      </c>
      <c r="E99" s="123">
        <v>10500000</v>
      </c>
      <c r="F99" s="124">
        <v>10682.6685</v>
      </c>
      <c r="G99" s="125">
        <v>4.339407E-2</v>
      </c>
      <c r="H99" s="120">
        <v>6.7748999999999997</v>
      </c>
      <c r="J99" s="8"/>
    </row>
    <row r="100" spans="1:10" x14ac:dyDescent="0.2">
      <c r="A100" s="121">
        <v>2</v>
      </c>
      <c r="B100" s="122" t="s">
        <v>670</v>
      </c>
      <c r="C100" s="122" t="s">
        <v>671</v>
      </c>
      <c r="D100" s="122" t="s">
        <v>541</v>
      </c>
      <c r="E100" s="123">
        <v>5500000</v>
      </c>
      <c r="F100" s="124">
        <v>5570.3945000000003</v>
      </c>
      <c r="G100" s="125">
        <v>2.2627499999999998E-2</v>
      </c>
      <c r="H100" s="120">
        <v>6.7675999999999998</v>
      </c>
      <c r="J100" s="8"/>
    </row>
    <row r="101" spans="1:10" x14ac:dyDescent="0.2">
      <c r="A101" s="121">
        <v>3</v>
      </c>
      <c r="B101" s="122" t="s">
        <v>625</v>
      </c>
      <c r="C101" s="122" t="s">
        <v>1061</v>
      </c>
      <c r="D101" s="122" t="s">
        <v>541</v>
      </c>
      <c r="E101" s="123">
        <v>3500000</v>
      </c>
      <c r="F101" s="124">
        <v>3596.1205</v>
      </c>
      <c r="G101" s="125">
        <v>1.4607800000000001E-2</v>
      </c>
      <c r="H101" s="120">
        <v>6.8757999999999999</v>
      </c>
      <c r="J101" s="8"/>
    </row>
    <row r="102" spans="1:10" x14ac:dyDescent="0.2">
      <c r="A102" s="121">
        <v>4</v>
      </c>
      <c r="B102" s="122" t="s">
        <v>682</v>
      </c>
      <c r="C102" s="122" t="s">
        <v>1060</v>
      </c>
      <c r="D102" s="122" t="s">
        <v>541</v>
      </c>
      <c r="E102" s="123">
        <v>3000000</v>
      </c>
      <c r="F102" s="124">
        <v>3093.1379999999999</v>
      </c>
      <c r="G102" s="125">
        <v>1.256464E-2</v>
      </c>
      <c r="H102" s="120">
        <v>6.8029000000000002</v>
      </c>
      <c r="J102" s="8"/>
    </row>
    <row r="103" spans="1:10" x14ac:dyDescent="0.2">
      <c r="A103" s="121">
        <v>5</v>
      </c>
      <c r="B103" s="122" t="s">
        <v>627</v>
      </c>
      <c r="C103" s="122" t="s">
        <v>628</v>
      </c>
      <c r="D103" s="122" t="s">
        <v>541</v>
      </c>
      <c r="E103" s="123">
        <v>1500000</v>
      </c>
      <c r="F103" s="124">
        <v>1536.444</v>
      </c>
      <c r="G103" s="125">
        <v>6.2411899999999998E-3</v>
      </c>
      <c r="H103" s="120">
        <v>6.8635000000000002</v>
      </c>
      <c r="J103" s="8"/>
    </row>
    <row r="104" spans="1:10" x14ac:dyDescent="0.2">
      <c r="A104" s="121">
        <v>6</v>
      </c>
      <c r="B104" s="122" t="s">
        <v>722</v>
      </c>
      <c r="C104" s="122" t="s">
        <v>723</v>
      </c>
      <c r="D104" s="122" t="s">
        <v>541</v>
      </c>
      <c r="E104" s="123">
        <v>500000</v>
      </c>
      <c r="F104" s="124">
        <v>512.22550000000001</v>
      </c>
      <c r="G104" s="125">
        <v>2.0807099999999999E-3</v>
      </c>
      <c r="H104" s="120">
        <v>6.7821999999999996</v>
      </c>
      <c r="J104" s="8"/>
    </row>
    <row r="105" spans="1:10" x14ac:dyDescent="0.2">
      <c r="A105" s="118"/>
      <c r="B105" s="118"/>
      <c r="C105" s="119" t="s">
        <v>150</v>
      </c>
      <c r="D105" s="118"/>
      <c r="E105" s="118" t="s">
        <v>151</v>
      </c>
      <c r="F105" s="126">
        <v>24990.991000000002</v>
      </c>
      <c r="G105" s="127">
        <v>0.10151591</v>
      </c>
      <c r="H105" s="120" t="s">
        <v>151</v>
      </c>
      <c r="J105" s="8"/>
    </row>
    <row r="106" spans="1:10" x14ac:dyDescent="0.2">
      <c r="A106" s="118"/>
      <c r="B106" s="118"/>
      <c r="C106" s="128"/>
      <c r="D106" s="118"/>
      <c r="E106" s="118"/>
      <c r="F106" s="129"/>
      <c r="G106" s="129"/>
      <c r="H106" s="120" t="s">
        <v>151</v>
      </c>
      <c r="J106" s="8"/>
    </row>
    <row r="107" spans="1:10" x14ac:dyDescent="0.2">
      <c r="A107" s="118"/>
      <c r="B107" s="118"/>
      <c r="C107" s="119" t="s">
        <v>162</v>
      </c>
      <c r="D107" s="118"/>
      <c r="E107" s="118"/>
      <c r="F107" s="129"/>
      <c r="G107" s="129"/>
      <c r="H107" s="120" t="s">
        <v>151</v>
      </c>
      <c r="J107" s="8"/>
    </row>
    <row r="108" spans="1:10" x14ac:dyDescent="0.2">
      <c r="A108" s="118"/>
      <c r="B108" s="118"/>
      <c r="C108" s="119" t="s">
        <v>150</v>
      </c>
      <c r="D108" s="118"/>
      <c r="E108" s="118" t="s">
        <v>151</v>
      </c>
      <c r="F108" s="130" t="s">
        <v>153</v>
      </c>
      <c r="G108" s="127">
        <v>0</v>
      </c>
      <c r="H108" s="120" t="s">
        <v>151</v>
      </c>
      <c r="J108" s="8"/>
    </row>
    <row r="109" spans="1:10" x14ac:dyDescent="0.2">
      <c r="A109" s="118"/>
      <c r="B109" s="118"/>
      <c r="C109" s="128"/>
      <c r="D109" s="118"/>
      <c r="E109" s="118"/>
      <c r="F109" s="129"/>
      <c r="G109" s="129"/>
      <c r="H109" s="120" t="s">
        <v>151</v>
      </c>
      <c r="J109" s="8"/>
    </row>
    <row r="110" spans="1:10" x14ac:dyDescent="0.2">
      <c r="A110" s="118"/>
      <c r="B110" s="118"/>
      <c r="C110" s="119" t="s">
        <v>163</v>
      </c>
      <c r="D110" s="118"/>
      <c r="E110" s="118"/>
      <c r="F110" s="126">
        <v>24990.991000000002</v>
      </c>
      <c r="G110" s="127">
        <v>0.10151591</v>
      </c>
      <c r="H110" s="120" t="s">
        <v>151</v>
      </c>
      <c r="J110" s="8"/>
    </row>
    <row r="111" spans="1:10" x14ac:dyDescent="0.2">
      <c r="A111" s="118"/>
      <c r="B111" s="118"/>
      <c r="C111" s="128"/>
      <c r="D111" s="118"/>
      <c r="E111" s="118"/>
      <c r="F111" s="129"/>
      <c r="G111" s="129"/>
      <c r="H111" s="120" t="s">
        <v>151</v>
      </c>
      <c r="J111" s="8"/>
    </row>
    <row r="112" spans="1:10" x14ac:dyDescent="0.2">
      <c r="A112" s="118"/>
      <c r="B112" s="118"/>
      <c r="C112" s="119" t="s">
        <v>164</v>
      </c>
      <c r="D112" s="118"/>
      <c r="E112" s="118"/>
      <c r="F112" s="129"/>
      <c r="G112" s="129"/>
      <c r="H112" s="120" t="s">
        <v>151</v>
      </c>
      <c r="J112" s="8"/>
    </row>
    <row r="113" spans="1:10" x14ac:dyDescent="0.2">
      <c r="A113" s="118"/>
      <c r="B113" s="118"/>
      <c r="C113" s="119" t="s">
        <v>165</v>
      </c>
      <c r="D113" s="118"/>
      <c r="E113" s="118"/>
      <c r="F113" s="129"/>
      <c r="G113" s="129"/>
      <c r="H113" s="120" t="s">
        <v>151</v>
      </c>
      <c r="J113" s="8"/>
    </row>
    <row r="114" spans="1:10" x14ac:dyDescent="0.2">
      <c r="A114" s="118"/>
      <c r="B114" s="118"/>
      <c r="C114" s="119" t="s">
        <v>150</v>
      </c>
      <c r="D114" s="118"/>
      <c r="E114" s="118" t="s">
        <v>151</v>
      </c>
      <c r="F114" s="130" t="s">
        <v>153</v>
      </c>
      <c r="G114" s="127">
        <v>0</v>
      </c>
      <c r="H114" s="120" t="s">
        <v>151</v>
      </c>
      <c r="J114" s="8"/>
    </row>
    <row r="115" spans="1:10" x14ac:dyDescent="0.2">
      <c r="A115" s="118"/>
      <c r="B115" s="118"/>
      <c r="C115" s="128"/>
      <c r="D115" s="118"/>
      <c r="E115" s="118"/>
      <c r="F115" s="129"/>
      <c r="G115" s="129"/>
      <c r="H115" s="120" t="s">
        <v>151</v>
      </c>
      <c r="J115" s="8"/>
    </row>
    <row r="116" spans="1:10" x14ac:dyDescent="0.2">
      <c r="A116" s="118"/>
      <c r="B116" s="118"/>
      <c r="C116" s="119" t="s">
        <v>166</v>
      </c>
      <c r="D116" s="118"/>
      <c r="E116" s="118"/>
      <c r="F116" s="129"/>
      <c r="G116" s="129"/>
      <c r="H116" s="120" t="s">
        <v>151</v>
      </c>
      <c r="J116" s="8"/>
    </row>
    <row r="117" spans="1:10" x14ac:dyDescent="0.2">
      <c r="A117" s="118"/>
      <c r="B117" s="118"/>
      <c r="C117" s="119" t="s">
        <v>150</v>
      </c>
      <c r="D117" s="118"/>
      <c r="E117" s="118" t="s">
        <v>151</v>
      </c>
      <c r="F117" s="130" t="s">
        <v>153</v>
      </c>
      <c r="G117" s="127">
        <v>0</v>
      </c>
      <c r="H117" s="120" t="s">
        <v>151</v>
      </c>
      <c r="J117" s="8"/>
    </row>
    <row r="118" spans="1:10" x14ac:dyDescent="0.2">
      <c r="A118" s="118"/>
      <c r="B118" s="118"/>
      <c r="C118" s="128"/>
      <c r="D118" s="118"/>
      <c r="E118" s="118"/>
      <c r="F118" s="129"/>
      <c r="G118" s="129"/>
      <c r="H118" s="120" t="s">
        <v>151</v>
      </c>
      <c r="J118" s="8"/>
    </row>
    <row r="119" spans="1:10" x14ac:dyDescent="0.2">
      <c r="A119" s="118"/>
      <c r="B119" s="118"/>
      <c r="C119" s="119" t="s">
        <v>167</v>
      </c>
      <c r="D119" s="118"/>
      <c r="E119" s="118"/>
      <c r="F119" s="129"/>
      <c r="G119" s="129"/>
      <c r="H119" s="120" t="s">
        <v>151</v>
      </c>
      <c r="J119" s="8"/>
    </row>
    <row r="120" spans="1:10" x14ac:dyDescent="0.2">
      <c r="A120" s="118"/>
      <c r="B120" s="118"/>
      <c r="C120" s="119" t="s">
        <v>150</v>
      </c>
      <c r="D120" s="118"/>
      <c r="E120" s="118" t="s">
        <v>151</v>
      </c>
      <c r="F120" s="130" t="s">
        <v>153</v>
      </c>
      <c r="G120" s="127">
        <v>0</v>
      </c>
      <c r="H120" s="120" t="s">
        <v>151</v>
      </c>
      <c r="J120" s="8"/>
    </row>
    <row r="121" spans="1:10" x14ac:dyDescent="0.2">
      <c r="A121" s="118"/>
      <c r="B121" s="118"/>
      <c r="C121" s="128"/>
      <c r="D121" s="118"/>
      <c r="E121" s="118"/>
      <c r="F121" s="129"/>
      <c r="G121" s="129"/>
      <c r="H121" s="120" t="s">
        <v>151</v>
      </c>
      <c r="J121" s="8"/>
    </row>
    <row r="122" spans="1:10" x14ac:dyDescent="0.2">
      <c r="A122" s="118"/>
      <c r="B122" s="118"/>
      <c r="C122" s="119" t="s">
        <v>168</v>
      </c>
      <c r="D122" s="118"/>
      <c r="E122" s="118"/>
      <c r="F122" s="129"/>
      <c r="G122" s="129"/>
      <c r="H122" s="120" t="s">
        <v>151</v>
      </c>
      <c r="J122" s="8"/>
    </row>
    <row r="123" spans="1:10" x14ac:dyDescent="0.2">
      <c r="A123" s="121">
        <v>1</v>
      </c>
      <c r="B123" s="122"/>
      <c r="C123" s="122" t="s">
        <v>169</v>
      </c>
      <c r="D123" s="122"/>
      <c r="E123" s="131"/>
      <c r="F123" s="124">
        <v>3131.8909129970002</v>
      </c>
      <c r="G123" s="125">
        <v>1.272205E-2</v>
      </c>
      <c r="H123" s="120">
        <v>6.61</v>
      </c>
      <c r="J123" s="8"/>
    </row>
    <row r="124" spans="1:10" x14ac:dyDescent="0.2">
      <c r="A124" s="118"/>
      <c r="B124" s="118"/>
      <c r="C124" s="119" t="s">
        <v>150</v>
      </c>
      <c r="D124" s="118"/>
      <c r="E124" s="118" t="s">
        <v>151</v>
      </c>
      <c r="F124" s="126">
        <v>3131.8909129970002</v>
      </c>
      <c r="G124" s="127">
        <v>1.272205E-2</v>
      </c>
      <c r="H124" s="120" t="s">
        <v>151</v>
      </c>
      <c r="J124" s="8"/>
    </row>
    <row r="125" spans="1:10" x14ac:dyDescent="0.2">
      <c r="A125" s="118"/>
      <c r="B125" s="118"/>
      <c r="C125" s="128"/>
      <c r="D125" s="118"/>
      <c r="E125" s="118"/>
      <c r="F125" s="129"/>
      <c r="G125" s="129"/>
      <c r="H125" s="120" t="s">
        <v>151</v>
      </c>
      <c r="J125" s="8"/>
    </row>
    <row r="126" spans="1:10" x14ac:dyDescent="0.2">
      <c r="A126" s="118"/>
      <c r="B126" s="118"/>
      <c r="C126" s="119" t="s">
        <v>170</v>
      </c>
      <c r="D126" s="118"/>
      <c r="E126" s="118"/>
      <c r="F126" s="126">
        <v>3131.8909129970002</v>
      </c>
      <c r="G126" s="127">
        <v>1.272205E-2</v>
      </c>
      <c r="H126" s="120" t="s">
        <v>151</v>
      </c>
      <c r="J126" s="8"/>
    </row>
    <row r="127" spans="1:10" x14ac:dyDescent="0.2">
      <c r="A127" s="118"/>
      <c r="B127" s="118"/>
      <c r="C127" s="129"/>
      <c r="D127" s="118"/>
      <c r="E127" s="118"/>
      <c r="F127" s="118"/>
      <c r="G127" s="118"/>
      <c r="H127" s="120" t="s">
        <v>151</v>
      </c>
      <c r="J127" s="8"/>
    </row>
    <row r="128" spans="1:10" x14ac:dyDescent="0.2">
      <c r="A128" s="118"/>
      <c r="B128" s="118"/>
      <c r="C128" s="119" t="s">
        <v>171</v>
      </c>
      <c r="D128" s="118"/>
      <c r="E128" s="118"/>
      <c r="F128" s="118"/>
      <c r="G128" s="118"/>
      <c r="H128" s="120" t="s">
        <v>151</v>
      </c>
      <c r="J128" s="8"/>
    </row>
    <row r="129" spans="1:10" x14ac:dyDescent="0.2">
      <c r="A129" s="118"/>
      <c r="B129" s="118"/>
      <c r="C129" s="119" t="s">
        <v>172</v>
      </c>
      <c r="D129" s="118"/>
      <c r="E129" s="118"/>
      <c r="F129" s="118"/>
      <c r="G129" s="118"/>
      <c r="H129" s="120" t="s">
        <v>151</v>
      </c>
      <c r="J129" s="8"/>
    </row>
    <row r="130" spans="1:10" x14ac:dyDescent="0.2">
      <c r="A130" s="121">
        <v>1</v>
      </c>
      <c r="B130" s="122" t="s">
        <v>834</v>
      </c>
      <c r="C130" s="122" t="s">
        <v>835</v>
      </c>
      <c r="D130" s="122"/>
      <c r="E130" s="132">
        <v>25010352</v>
      </c>
      <c r="F130" s="124">
        <v>15894.078696</v>
      </c>
      <c r="G130" s="125">
        <v>6.4563339999999997E-2</v>
      </c>
      <c r="H130" s="120" t="s">
        <v>151</v>
      </c>
      <c r="J130" s="8"/>
    </row>
    <row r="131" spans="1:10" x14ac:dyDescent="0.2">
      <c r="A131" s="121">
        <v>2</v>
      </c>
      <c r="B131" s="122" t="s">
        <v>836</v>
      </c>
      <c r="C131" s="122" t="s">
        <v>837</v>
      </c>
      <c r="D131" s="122"/>
      <c r="E131" s="132">
        <v>23220835</v>
      </c>
      <c r="F131" s="124">
        <v>15225.9015095</v>
      </c>
      <c r="G131" s="125">
        <v>6.1849139999999997E-2</v>
      </c>
      <c r="H131" s="120" t="s">
        <v>151</v>
      </c>
      <c r="J131" s="8"/>
    </row>
    <row r="132" spans="1:10" x14ac:dyDescent="0.2">
      <c r="A132" s="121">
        <v>3</v>
      </c>
      <c r="B132" s="122" t="s">
        <v>838</v>
      </c>
      <c r="C132" s="122" t="s">
        <v>839</v>
      </c>
      <c r="D132" s="122"/>
      <c r="E132" s="132">
        <v>22362366</v>
      </c>
      <c r="F132" s="124">
        <v>14663.0033862</v>
      </c>
      <c r="G132" s="125">
        <v>5.9562589999999999E-2</v>
      </c>
      <c r="H132" s="120" t="s">
        <v>151</v>
      </c>
      <c r="J132" s="8"/>
    </row>
    <row r="133" spans="1:10" x14ac:dyDescent="0.2">
      <c r="A133" s="121">
        <v>4</v>
      </c>
      <c r="B133" s="122" t="s">
        <v>840</v>
      </c>
      <c r="C133" s="122" t="s">
        <v>841</v>
      </c>
      <c r="D133" s="122"/>
      <c r="E133" s="132">
        <v>13860861</v>
      </c>
      <c r="F133" s="124">
        <v>8865.4066956000006</v>
      </c>
      <c r="G133" s="125">
        <v>3.6012170000000003E-2</v>
      </c>
      <c r="H133" s="120" t="s">
        <v>151</v>
      </c>
      <c r="J133" s="8"/>
    </row>
    <row r="134" spans="1:10" x14ac:dyDescent="0.2">
      <c r="A134" s="121">
        <v>5</v>
      </c>
      <c r="B134" s="122" t="s">
        <v>842</v>
      </c>
      <c r="C134" s="122" t="s">
        <v>843</v>
      </c>
      <c r="D134" s="122"/>
      <c r="E134" s="132">
        <v>4448000</v>
      </c>
      <c r="F134" s="124">
        <v>3304.864</v>
      </c>
      <c r="G134" s="125">
        <v>1.342469E-2</v>
      </c>
      <c r="H134" s="120" t="s">
        <v>151</v>
      </c>
      <c r="J134" s="8"/>
    </row>
    <row r="135" spans="1:10" x14ac:dyDescent="0.2">
      <c r="A135" s="118"/>
      <c r="B135" s="118"/>
      <c r="C135" s="119" t="s">
        <v>150</v>
      </c>
      <c r="D135" s="118"/>
      <c r="E135" s="118" t="s">
        <v>151</v>
      </c>
      <c r="F135" s="126">
        <v>57953.254287299998</v>
      </c>
      <c r="G135" s="127">
        <v>0.23541192999999999</v>
      </c>
      <c r="H135" s="120" t="s">
        <v>151</v>
      </c>
      <c r="J135" s="8"/>
    </row>
    <row r="136" spans="1:10" x14ac:dyDescent="0.2">
      <c r="A136" s="118"/>
      <c r="B136" s="118"/>
      <c r="C136" s="128"/>
      <c r="D136" s="118"/>
      <c r="E136" s="118"/>
      <c r="F136" s="129"/>
      <c r="G136" s="129"/>
      <c r="H136" s="120" t="s">
        <v>151</v>
      </c>
      <c r="J136" s="8"/>
    </row>
    <row r="137" spans="1:10" x14ac:dyDescent="0.2">
      <c r="A137" s="118"/>
      <c r="B137" s="118"/>
      <c r="C137" s="119" t="s">
        <v>175</v>
      </c>
      <c r="D137" s="118"/>
      <c r="E137" s="118"/>
      <c r="F137" s="118"/>
      <c r="G137" s="118"/>
      <c r="H137" s="120" t="s">
        <v>151</v>
      </c>
      <c r="J137" s="8"/>
    </row>
    <row r="138" spans="1:10" x14ac:dyDescent="0.2">
      <c r="A138" s="118"/>
      <c r="B138" s="118"/>
      <c r="C138" s="119" t="s">
        <v>176</v>
      </c>
      <c r="D138" s="118"/>
      <c r="E138" s="118"/>
      <c r="F138" s="118"/>
      <c r="G138" s="118"/>
      <c r="H138" s="120" t="s">
        <v>151</v>
      </c>
      <c r="J138" s="8"/>
    </row>
    <row r="139" spans="1:10" x14ac:dyDescent="0.2">
      <c r="A139" s="118"/>
      <c r="B139" s="118"/>
      <c r="C139" s="119" t="s">
        <v>150</v>
      </c>
      <c r="D139" s="118"/>
      <c r="E139" s="118" t="s">
        <v>151</v>
      </c>
      <c r="F139" s="130" t="s">
        <v>153</v>
      </c>
      <c r="G139" s="127">
        <v>0</v>
      </c>
      <c r="H139" s="120" t="s">
        <v>151</v>
      </c>
      <c r="J139" s="8"/>
    </row>
    <row r="140" spans="1:10" x14ac:dyDescent="0.2">
      <c r="A140" s="118"/>
      <c r="B140" s="118"/>
      <c r="C140" s="128"/>
      <c r="D140" s="118"/>
      <c r="E140" s="118"/>
      <c r="F140" s="129"/>
      <c r="G140" s="129"/>
      <c r="H140" s="120" t="s">
        <v>151</v>
      </c>
      <c r="J140" s="8"/>
    </row>
    <row r="141" spans="1:10" x14ac:dyDescent="0.2">
      <c r="A141" s="118"/>
      <c r="B141" s="118"/>
      <c r="C141" s="119" t="s">
        <v>177</v>
      </c>
      <c r="D141" s="118"/>
      <c r="E141" s="118"/>
      <c r="F141" s="129"/>
      <c r="G141" s="129"/>
      <c r="H141" s="120" t="s">
        <v>151</v>
      </c>
      <c r="J141" s="8"/>
    </row>
    <row r="142" spans="1:10" x14ac:dyDescent="0.2">
      <c r="A142" s="118"/>
      <c r="B142" s="118"/>
      <c r="C142" s="119" t="s">
        <v>150</v>
      </c>
      <c r="D142" s="118"/>
      <c r="E142" s="118" t="s">
        <v>151</v>
      </c>
      <c r="F142" s="130" t="s">
        <v>153</v>
      </c>
      <c r="G142" s="127">
        <v>0</v>
      </c>
      <c r="H142" s="120" t="s">
        <v>151</v>
      </c>
      <c r="J142" s="8"/>
    </row>
    <row r="143" spans="1:10" x14ac:dyDescent="0.2">
      <c r="A143" s="118"/>
      <c r="B143" s="118"/>
      <c r="C143" s="128"/>
      <c r="D143" s="118"/>
      <c r="E143" s="118"/>
      <c r="F143" s="129"/>
      <c r="G143" s="129"/>
      <c r="H143" s="120" t="s">
        <v>151</v>
      </c>
      <c r="J143" s="8"/>
    </row>
    <row r="144" spans="1:10" x14ac:dyDescent="0.2">
      <c r="A144" s="131"/>
      <c r="B144" s="122"/>
      <c r="C144" s="122" t="s">
        <v>342</v>
      </c>
      <c r="D144" s="122"/>
      <c r="E144" s="131"/>
      <c r="F144" s="124">
        <v>459.53608000000003</v>
      </c>
      <c r="G144" s="125">
        <v>1.8666799999999999E-3</v>
      </c>
      <c r="H144" s="120" t="s">
        <v>151</v>
      </c>
      <c r="J144" s="8"/>
    </row>
    <row r="145" spans="1:17" x14ac:dyDescent="0.2">
      <c r="A145" s="131"/>
      <c r="B145" s="122"/>
      <c r="C145" s="255" t="s">
        <v>917</v>
      </c>
      <c r="D145" s="122"/>
      <c r="E145" s="131"/>
      <c r="F145" s="124">
        <v>-1010.5223296200002</v>
      </c>
      <c r="G145" s="125">
        <v>-4.1048427698223726E-3</v>
      </c>
      <c r="H145" s="120" t="s">
        <v>151</v>
      </c>
      <c r="J145" s="8"/>
    </row>
    <row r="146" spans="1:17" x14ac:dyDescent="0.2">
      <c r="A146" s="128"/>
      <c r="B146" s="128"/>
      <c r="C146" s="119" t="s">
        <v>179</v>
      </c>
      <c r="D146" s="129"/>
      <c r="E146" s="129"/>
      <c r="F146" s="126">
        <v>246178.084346877</v>
      </c>
      <c r="G146" s="127">
        <v>1.0000000572301777</v>
      </c>
      <c r="H146" s="120" t="s">
        <v>151</v>
      </c>
      <c r="J146" s="8"/>
    </row>
    <row r="147" spans="1:17" x14ac:dyDescent="0.2">
      <c r="A147" s="134"/>
      <c r="B147" s="134"/>
      <c r="C147" s="134"/>
      <c r="D147" s="135"/>
      <c r="E147" s="135"/>
      <c r="F147" s="135"/>
      <c r="G147" s="135"/>
      <c r="J147" s="8"/>
    </row>
    <row r="148" spans="1:17" x14ac:dyDescent="0.2">
      <c r="A148" s="136"/>
      <c r="B148" s="137" t="s">
        <v>888</v>
      </c>
      <c r="C148" s="137"/>
      <c r="D148" s="137"/>
      <c r="E148" s="137"/>
      <c r="F148" s="137"/>
      <c r="G148" s="137"/>
      <c r="H148" s="137"/>
      <c r="J148" s="8"/>
    </row>
    <row r="149" spans="1:17" x14ac:dyDescent="0.2">
      <c r="A149" s="136"/>
      <c r="B149" s="137" t="s">
        <v>889</v>
      </c>
      <c r="C149" s="137"/>
      <c r="D149" s="137"/>
      <c r="E149" s="137"/>
      <c r="F149" s="137"/>
      <c r="G149" s="137"/>
      <c r="H149" s="137"/>
      <c r="J149" s="8"/>
    </row>
    <row r="150" spans="1:17" x14ac:dyDescent="0.2">
      <c r="A150" s="136"/>
      <c r="B150" s="137" t="s">
        <v>890</v>
      </c>
      <c r="C150" s="137"/>
      <c r="D150" s="137"/>
      <c r="E150" s="137"/>
      <c r="F150" s="137"/>
      <c r="G150" s="137"/>
      <c r="H150" s="137"/>
      <c r="J150" s="8"/>
    </row>
    <row r="151" spans="1:17" s="13" customFormat="1" ht="65.25" customHeight="1" x14ac:dyDescent="0.25">
      <c r="A151" s="138"/>
      <c r="B151" s="139" t="s">
        <v>891</v>
      </c>
      <c r="C151" s="139"/>
      <c r="D151" s="139"/>
      <c r="E151" s="139"/>
      <c r="F151" s="139"/>
      <c r="G151" s="139"/>
      <c r="H151" s="139"/>
      <c r="I151" s="114"/>
      <c r="J151" s="8"/>
      <c r="K151"/>
      <c r="L151"/>
      <c r="M151"/>
      <c r="N151"/>
      <c r="O151"/>
      <c r="P151"/>
      <c r="Q151"/>
    </row>
    <row r="152" spans="1:17" x14ac:dyDescent="0.2">
      <c r="A152" s="136"/>
      <c r="B152" s="137" t="s">
        <v>892</v>
      </c>
      <c r="C152" s="137"/>
      <c r="D152" s="137"/>
      <c r="E152" s="137"/>
      <c r="F152" s="137"/>
      <c r="G152" s="137"/>
      <c r="H152" s="137"/>
      <c r="J152" s="8"/>
    </row>
    <row r="153" spans="1:17" x14ac:dyDescent="0.2">
      <c r="A153" s="140"/>
      <c r="B153" s="140"/>
      <c r="C153" s="140"/>
      <c r="D153" s="141"/>
      <c r="E153" s="141"/>
      <c r="F153" s="141"/>
      <c r="G153" s="141"/>
      <c r="J153" s="8"/>
    </row>
    <row r="154" spans="1:17" x14ac:dyDescent="0.2">
      <c r="A154" s="140"/>
      <c r="B154" s="142" t="s">
        <v>180</v>
      </c>
      <c r="C154" s="143"/>
      <c r="D154" s="144"/>
      <c r="E154" s="145"/>
      <c r="F154" s="141"/>
      <c r="G154" s="141"/>
      <c r="J154" s="8"/>
    </row>
    <row r="155" spans="1:17" x14ac:dyDescent="0.2">
      <c r="A155" s="140"/>
      <c r="B155" s="146" t="s">
        <v>181</v>
      </c>
      <c r="C155" s="147"/>
      <c r="D155" s="119" t="s">
        <v>182</v>
      </c>
      <c r="E155" s="145"/>
      <c r="F155" s="141"/>
      <c r="G155" s="141"/>
      <c r="J155" s="8"/>
    </row>
    <row r="156" spans="1:17" x14ac:dyDescent="0.2">
      <c r="A156" s="140"/>
      <c r="B156" s="146" t="s">
        <v>183</v>
      </c>
      <c r="C156" s="147"/>
      <c r="D156" s="119" t="s">
        <v>182</v>
      </c>
      <c r="E156" s="145"/>
      <c r="F156" s="141"/>
      <c r="G156" s="141"/>
      <c r="J156" s="8"/>
    </row>
    <row r="157" spans="1:17" x14ac:dyDescent="0.2">
      <c r="A157" s="140"/>
      <c r="B157" s="146" t="s">
        <v>184</v>
      </c>
      <c r="C157" s="147"/>
      <c r="D157" s="129" t="s">
        <v>151</v>
      </c>
      <c r="E157" s="145"/>
      <c r="F157" s="141"/>
      <c r="G157" s="141"/>
      <c r="J157" s="8"/>
    </row>
    <row r="158" spans="1:17" x14ac:dyDescent="0.2">
      <c r="A158" s="151"/>
      <c r="B158" s="152" t="s">
        <v>151</v>
      </c>
      <c r="C158" s="152" t="s">
        <v>894</v>
      </c>
      <c r="D158" s="152" t="s">
        <v>185</v>
      </c>
      <c r="E158" s="151"/>
      <c r="F158" s="151"/>
      <c r="G158" s="151"/>
      <c r="H158" s="151"/>
      <c r="J158" s="8"/>
    </row>
    <row r="159" spans="1:17" x14ac:dyDescent="0.2">
      <c r="A159" s="153"/>
      <c r="B159" s="154" t="s">
        <v>186</v>
      </c>
      <c r="C159" s="155">
        <v>45535</v>
      </c>
      <c r="D159" s="155">
        <v>45565</v>
      </c>
      <c r="E159" s="153"/>
      <c r="F159" s="153"/>
      <c r="G159" s="153"/>
      <c r="J159" s="8"/>
    </row>
    <row r="160" spans="1:17" x14ac:dyDescent="0.2">
      <c r="A160" s="153"/>
      <c r="B160" s="122" t="s">
        <v>187</v>
      </c>
      <c r="C160" s="156">
        <v>11.6404</v>
      </c>
      <c r="D160" s="156">
        <v>11.903600000000001</v>
      </c>
      <c r="E160" s="153"/>
      <c r="F160" s="157"/>
      <c r="G160" s="158"/>
      <c r="J160" s="8"/>
    </row>
    <row r="161" spans="1:10" x14ac:dyDescent="0.2">
      <c r="A161" s="153"/>
      <c r="B161" s="122" t="s">
        <v>1038</v>
      </c>
      <c r="C161" s="156">
        <v>11.6404</v>
      </c>
      <c r="D161" s="156">
        <v>11.903600000000001</v>
      </c>
      <c r="E161" s="153"/>
      <c r="F161" s="157"/>
      <c r="G161" s="158"/>
      <c r="J161" s="8"/>
    </row>
    <row r="162" spans="1:10" x14ac:dyDescent="0.2">
      <c r="A162" s="153"/>
      <c r="B162" s="122" t="s">
        <v>188</v>
      </c>
      <c r="C162" s="156">
        <v>11.5206</v>
      </c>
      <c r="D162" s="156">
        <v>11.7644</v>
      </c>
      <c r="E162" s="153"/>
      <c r="F162" s="157"/>
      <c r="G162" s="158"/>
      <c r="J162" s="8"/>
    </row>
    <row r="163" spans="1:10" x14ac:dyDescent="0.2">
      <c r="A163" s="153"/>
      <c r="B163" s="122" t="s">
        <v>1039</v>
      </c>
      <c r="C163" s="156">
        <v>11.5206</v>
      </c>
      <c r="D163" s="156">
        <v>11.7644</v>
      </c>
      <c r="E163" s="153"/>
      <c r="F163" s="157"/>
      <c r="G163" s="158"/>
      <c r="J163" s="8"/>
    </row>
    <row r="164" spans="1:10" x14ac:dyDescent="0.2">
      <c r="A164" s="153"/>
      <c r="B164" s="153"/>
      <c r="C164" s="153"/>
      <c r="D164" s="153"/>
      <c r="E164" s="153"/>
      <c r="F164" s="153"/>
      <c r="G164" s="153"/>
      <c r="J164" s="8"/>
    </row>
    <row r="165" spans="1:10" x14ac:dyDescent="0.2">
      <c r="A165" s="151"/>
      <c r="B165" s="197" t="s">
        <v>895</v>
      </c>
      <c r="C165" s="198"/>
      <c r="D165" s="196" t="s">
        <v>182</v>
      </c>
      <c r="E165" s="151"/>
      <c r="F165" s="151"/>
      <c r="G165" s="151"/>
      <c r="J165" s="8"/>
    </row>
    <row r="166" spans="1:10" x14ac:dyDescent="0.2">
      <c r="A166" s="151"/>
      <c r="B166" s="201"/>
      <c r="C166" s="201"/>
      <c r="D166" s="201"/>
      <c r="E166" s="151"/>
      <c r="F166" s="151"/>
      <c r="G166" s="151"/>
      <c r="J166" s="8"/>
    </row>
    <row r="167" spans="1:10" ht="29.1" customHeight="1" x14ac:dyDescent="0.2">
      <c r="A167" s="151"/>
      <c r="B167" s="197" t="s">
        <v>189</v>
      </c>
      <c r="C167" s="198"/>
      <c r="D167" s="196" t="s">
        <v>909</v>
      </c>
      <c r="E167" s="160"/>
      <c r="F167" s="151"/>
      <c r="G167" s="151"/>
      <c r="J167" s="8"/>
    </row>
    <row r="168" spans="1:10" ht="29.1" customHeight="1" x14ac:dyDescent="0.2">
      <c r="A168" s="151"/>
      <c r="B168" s="197" t="s">
        <v>190</v>
      </c>
      <c r="C168" s="198"/>
      <c r="D168" s="196" t="s">
        <v>182</v>
      </c>
      <c r="E168" s="160"/>
      <c r="F168" s="151"/>
      <c r="G168" s="151"/>
      <c r="J168" s="8"/>
    </row>
    <row r="169" spans="1:10" ht="17.100000000000001" customHeight="1" x14ac:dyDescent="0.2">
      <c r="A169" s="151"/>
      <c r="B169" s="197" t="s">
        <v>191</v>
      </c>
      <c r="C169" s="198"/>
      <c r="D169" s="196" t="s">
        <v>182</v>
      </c>
      <c r="E169" s="160"/>
      <c r="F169" s="151"/>
      <c r="G169" s="151"/>
      <c r="J169" s="8"/>
    </row>
    <row r="170" spans="1:10" ht="17.100000000000001" customHeight="1" x14ac:dyDescent="0.2">
      <c r="A170" s="151"/>
      <c r="B170" s="197" t="s">
        <v>192</v>
      </c>
      <c r="C170" s="198"/>
      <c r="D170" s="199">
        <v>1.7483538276625341</v>
      </c>
      <c r="E170" s="151"/>
      <c r="F170" s="159"/>
      <c r="G170" s="162"/>
      <c r="J170" s="8"/>
    </row>
    <row r="171" spans="1:10" x14ac:dyDescent="0.2">
      <c r="J171" s="8"/>
    </row>
    <row r="172" spans="1:10" x14ac:dyDescent="0.2">
      <c r="B172" s="281" t="s">
        <v>940</v>
      </c>
      <c r="C172" s="282"/>
      <c r="D172" s="283"/>
      <c r="J172" s="8"/>
    </row>
    <row r="173" spans="1:10" ht="38.25" x14ac:dyDescent="0.2">
      <c r="B173" s="284" t="s">
        <v>941</v>
      </c>
      <c r="C173" s="284"/>
      <c r="D173" s="285" t="s">
        <v>833</v>
      </c>
      <c r="J173" s="8"/>
    </row>
    <row r="174" spans="1:10" x14ac:dyDescent="0.2">
      <c r="B174" s="284" t="s">
        <v>942</v>
      </c>
      <c r="C174" s="284"/>
      <c r="D174" s="286"/>
      <c r="J174" s="8"/>
    </row>
    <row r="175" spans="1:10" x14ac:dyDescent="0.2">
      <c r="B175" s="287"/>
      <c r="C175" s="288"/>
      <c r="D175" s="289"/>
      <c r="J175" s="8"/>
    </row>
    <row r="176" spans="1:10" x14ac:dyDescent="0.2">
      <c r="B176" s="284" t="s">
        <v>943</v>
      </c>
      <c r="C176" s="284"/>
      <c r="D176" s="290">
        <v>6.7840217911545775</v>
      </c>
      <c r="J176" s="8"/>
    </row>
    <row r="177" spans="2:10" x14ac:dyDescent="0.2">
      <c r="B177" s="287"/>
      <c r="C177" s="288"/>
      <c r="D177" s="289"/>
      <c r="J177" s="8"/>
    </row>
    <row r="178" spans="2:10" x14ac:dyDescent="0.2">
      <c r="B178" s="284" t="s">
        <v>944</v>
      </c>
      <c r="C178" s="284"/>
      <c r="D178" s="290">
        <v>3.2839883788185182</v>
      </c>
      <c r="J178" s="8"/>
    </row>
    <row r="179" spans="2:10" x14ac:dyDescent="0.2">
      <c r="B179" s="284" t="s">
        <v>1177</v>
      </c>
      <c r="C179" s="284"/>
      <c r="D179" s="290">
        <v>4.0090477845187174</v>
      </c>
      <c r="J179" s="8"/>
    </row>
    <row r="180" spans="2:10" x14ac:dyDescent="0.2">
      <c r="B180" s="287"/>
      <c r="C180" s="288"/>
      <c r="D180" s="289"/>
      <c r="J180" s="8"/>
    </row>
    <row r="181" spans="2:10" x14ac:dyDescent="0.2">
      <c r="B181" s="284" t="s">
        <v>945</v>
      </c>
      <c r="C181" s="284"/>
      <c r="D181" s="291" t="s">
        <v>1066</v>
      </c>
      <c r="J181" s="8"/>
    </row>
    <row r="182" spans="2:10" x14ac:dyDescent="0.2">
      <c r="B182" s="287" t="s">
        <v>946</v>
      </c>
      <c r="C182" s="292"/>
      <c r="D182" s="288"/>
      <c r="J182" s="8"/>
    </row>
    <row r="183" spans="2:10" x14ac:dyDescent="0.2">
      <c r="J183" s="8"/>
    </row>
  </sheetData>
  <mergeCells count="28">
    <mergeCell ref="B173:C173"/>
    <mergeCell ref="B156:C156"/>
    <mergeCell ref="B157:C157"/>
    <mergeCell ref="B165:C165"/>
    <mergeCell ref="B169:C169"/>
    <mergeCell ref="B170:C170"/>
    <mergeCell ref="B167:C167"/>
    <mergeCell ref="B168:C168"/>
    <mergeCell ref="B172:D172"/>
    <mergeCell ref="B155:C155"/>
    <mergeCell ref="A1:H1"/>
    <mergeCell ref="A2:H2"/>
    <mergeCell ref="A3:H3"/>
    <mergeCell ref="B154:D154"/>
    <mergeCell ref="B148:H148"/>
    <mergeCell ref="B149:H149"/>
    <mergeCell ref="B150:H150"/>
    <mergeCell ref="B151:H151"/>
    <mergeCell ref="B152:H152"/>
    <mergeCell ref="B179:C179"/>
    <mergeCell ref="B180:C180"/>
    <mergeCell ref="B181:C181"/>
    <mergeCell ref="B182:D182"/>
    <mergeCell ref="B174:C174"/>
    <mergeCell ref="B175:C175"/>
    <mergeCell ref="B176:C176"/>
    <mergeCell ref="B177:C177"/>
    <mergeCell ref="B178:C178"/>
  </mergeCells>
  <hyperlinks>
    <hyperlink ref="I1" location="Index!B2" display="Index" xr:uid="{D889875A-53F3-4FAB-8B37-F01C93DB4BF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56F0-F0F0-4983-8BB9-B016841A671F}">
  <sheetPr>
    <pageSetUpPr fitToPage="1"/>
  </sheetPr>
  <dimension ref="B1:L217"/>
  <sheetViews>
    <sheetView zoomScaleNormal="100" workbookViewId="0">
      <selection activeCell="B13" sqref="B13"/>
    </sheetView>
  </sheetViews>
  <sheetFormatPr defaultRowHeight="13.5" x14ac:dyDescent="0.25"/>
  <cols>
    <col min="1" max="1" width="4.28515625" style="31" customWidth="1"/>
    <col min="2" max="2" width="33" style="31" customWidth="1"/>
    <col min="3" max="3" width="36.5703125" style="31" customWidth="1"/>
    <col min="4" max="4" width="17" style="31" bestFit="1" customWidth="1"/>
    <col min="5" max="5" width="20" style="31" bestFit="1" customWidth="1"/>
    <col min="6" max="6" width="16.42578125" style="31" bestFit="1" customWidth="1"/>
    <col min="7" max="7" width="17.5703125" style="31" bestFit="1" customWidth="1"/>
    <col min="8" max="8" width="17.5703125" style="31" customWidth="1"/>
    <col min="9" max="9" width="15.5703125" style="31" bestFit="1" customWidth="1"/>
    <col min="10" max="10" width="13.5703125" style="31" customWidth="1"/>
    <col min="11" max="11" width="20.5703125" style="31" customWidth="1"/>
    <col min="12" max="12" width="12.42578125" style="31" bestFit="1" customWidth="1"/>
    <col min="13" max="256" width="9.140625" style="31"/>
    <col min="257" max="257" width="23" style="31" customWidth="1"/>
    <col min="258" max="258" width="42" style="31" customWidth="1"/>
    <col min="259" max="259" width="54.7109375" style="31" customWidth="1"/>
    <col min="260" max="260" width="17.28515625" style="31" bestFit="1" customWidth="1"/>
    <col min="261" max="261" width="20.140625" style="31" bestFit="1" customWidth="1"/>
    <col min="262" max="262" width="16.5703125" style="31" customWidth="1"/>
    <col min="263" max="263" width="18.7109375" style="31" bestFit="1" customWidth="1"/>
    <col min="264" max="264" width="17.5703125" style="31" customWidth="1"/>
    <col min="265" max="265" width="15.5703125" style="31" bestFit="1" customWidth="1"/>
    <col min="266" max="266" width="13.5703125" style="31" customWidth="1"/>
    <col min="267" max="267" width="20.5703125" style="31" customWidth="1"/>
    <col min="268" max="268" width="12.42578125" style="31" bestFit="1" customWidth="1"/>
    <col min="269" max="512" width="9.140625" style="31"/>
    <col min="513" max="513" width="23" style="31" customWidth="1"/>
    <col min="514" max="514" width="42" style="31" customWidth="1"/>
    <col min="515" max="515" width="54.7109375" style="31" customWidth="1"/>
    <col min="516" max="516" width="17.28515625" style="31" bestFit="1" customWidth="1"/>
    <col min="517" max="517" width="20.140625" style="31" bestFit="1" customWidth="1"/>
    <col min="518" max="518" width="16.5703125" style="31" customWidth="1"/>
    <col min="519" max="519" width="18.7109375" style="31" bestFit="1" customWidth="1"/>
    <col min="520" max="520" width="17.5703125" style="31" customWidth="1"/>
    <col min="521" max="521" width="15.5703125" style="31" bestFit="1" customWidth="1"/>
    <col min="522" max="522" width="13.5703125" style="31" customWidth="1"/>
    <col min="523" max="523" width="20.5703125" style="31" customWidth="1"/>
    <col min="524" max="524" width="12.42578125" style="31" bestFit="1" customWidth="1"/>
    <col min="525" max="768" width="9.140625" style="31"/>
    <col min="769" max="769" width="23" style="31" customWidth="1"/>
    <col min="770" max="770" width="42" style="31" customWidth="1"/>
    <col min="771" max="771" width="54.7109375" style="31" customWidth="1"/>
    <col min="772" max="772" width="17.28515625" style="31" bestFit="1" customWidth="1"/>
    <col min="773" max="773" width="20.140625" style="31" bestFit="1" customWidth="1"/>
    <col min="774" max="774" width="16.5703125" style="31" customWidth="1"/>
    <col min="775" max="775" width="18.7109375" style="31" bestFit="1" customWidth="1"/>
    <col min="776" max="776" width="17.5703125" style="31" customWidth="1"/>
    <col min="777" max="777" width="15.5703125" style="31" bestFit="1" customWidth="1"/>
    <col min="778" max="778" width="13.5703125" style="31" customWidth="1"/>
    <col min="779" max="779" width="20.5703125" style="31" customWidth="1"/>
    <col min="780" max="780" width="12.42578125" style="31" bestFit="1" customWidth="1"/>
    <col min="781" max="1024" width="9.140625" style="31"/>
    <col min="1025" max="1025" width="23" style="31" customWidth="1"/>
    <col min="1026" max="1026" width="42" style="31" customWidth="1"/>
    <col min="1027" max="1027" width="54.7109375" style="31" customWidth="1"/>
    <col min="1028" max="1028" width="17.28515625" style="31" bestFit="1" customWidth="1"/>
    <col min="1029" max="1029" width="20.140625" style="31" bestFit="1" customWidth="1"/>
    <col min="1030" max="1030" width="16.5703125" style="31" customWidth="1"/>
    <col min="1031" max="1031" width="18.7109375" style="31" bestFit="1" customWidth="1"/>
    <col min="1032" max="1032" width="17.5703125" style="31" customWidth="1"/>
    <col min="1033" max="1033" width="15.5703125" style="31" bestFit="1" customWidth="1"/>
    <col min="1034" max="1034" width="13.5703125" style="31" customWidth="1"/>
    <col min="1035" max="1035" width="20.5703125" style="31" customWidth="1"/>
    <col min="1036" max="1036" width="12.42578125" style="31" bestFit="1" customWidth="1"/>
    <col min="1037" max="1280" width="9.140625" style="31"/>
    <col min="1281" max="1281" width="23" style="31" customWidth="1"/>
    <col min="1282" max="1282" width="42" style="31" customWidth="1"/>
    <col min="1283" max="1283" width="54.7109375" style="31" customWidth="1"/>
    <col min="1284" max="1284" width="17.28515625" style="31" bestFit="1" customWidth="1"/>
    <col min="1285" max="1285" width="20.140625" style="31" bestFit="1" customWidth="1"/>
    <col min="1286" max="1286" width="16.5703125" style="31" customWidth="1"/>
    <col min="1287" max="1287" width="18.7109375" style="31" bestFit="1" customWidth="1"/>
    <col min="1288" max="1288" width="17.5703125" style="31" customWidth="1"/>
    <col min="1289" max="1289" width="15.5703125" style="31" bestFit="1" customWidth="1"/>
    <col min="1290" max="1290" width="13.5703125" style="31" customWidth="1"/>
    <col min="1291" max="1291" width="20.5703125" style="31" customWidth="1"/>
    <col min="1292" max="1292" width="12.42578125" style="31" bestFit="1" customWidth="1"/>
    <col min="1293" max="1536" width="9.140625" style="31"/>
    <col min="1537" max="1537" width="23" style="31" customWidth="1"/>
    <col min="1538" max="1538" width="42" style="31" customWidth="1"/>
    <col min="1539" max="1539" width="54.7109375" style="31" customWidth="1"/>
    <col min="1540" max="1540" width="17.28515625" style="31" bestFit="1" customWidth="1"/>
    <col min="1541" max="1541" width="20.140625" style="31" bestFit="1" customWidth="1"/>
    <col min="1542" max="1542" width="16.5703125" style="31" customWidth="1"/>
    <col min="1543" max="1543" width="18.7109375" style="31" bestFit="1" customWidth="1"/>
    <col min="1544" max="1544" width="17.5703125" style="31" customWidth="1"/>
    <col min="1545" max="1545" width="15.5703125" style="31" bestFit="1" customWidth="1"/>
    <col min="1546" max="1546" width="13.5703125" style="31" customWidth="1"/>
    <col min="1547" max="1547" width="20.5703125" style="31" customWidth="1"/>
    <col min="1548" max="1548" width="12.42578125" style="31" bestFit="1" customWidth="1"/>
    <col min="1549" max="1792" width="9.140625" style="31"/>
    <col min="1793" max="1793" width="23" style="31" customWidth="1"/>
    <col min="1794" max="1794" width="42" style="31" customWidth="1"/>
    <col min="1795" max="1795" width="54.7109375" style="31" customWidth="1"/>
    <col min="1796" max="1796" width="17.28515625" style="31" bestFit="1" customWidth="1"/>
    <col min="1797" max="1797" width="20.140625" style="31" bestFit="1" customWidth="1"/>
    <col min="1798" max="1798" width="16.5703125" style="31" customWidth="1"/>
    <col min="1799" max="1799" width="18.7109375" style="31" bestFit="1" customWidth="1"/>
    <col min="1800" max="1800" width="17.5703125" style="31" customWidth="1"/>
    <col min="1801" max="1801" width="15.5703125" style="31" bestFit="1" customWidth="1"/>
    <col min="1802" max="1802" width="13.5703125" style="31" customWidth="1"/>
    <col min="1803" max="1803" width="20.5703125" style="31" customWidth="1"/>
    <col min="1804" max="1804" width="12.42578125" style="31" bestFit="1" customWidth="1"/>
    <col min="1805" max="2048" width="9.140625" style="31"/>
    <col min="2049" max="2049" width="23" style="31" customWidth="1"/>
    <col min="2050" max="2050" width="42" style="31" customWidth="1"/>
    <col min="2051" max="2051" width="54.7109375" style="31" customWidth="1"/>
    <col min="2052" max="2052" width="17.28515625" style="31" bestFit="1" customWidth="1"/>
    <col min="2053" max="2053" width="20.140625" style="31" bestFit="1" customWidth="1"/>
    <col min="2054" max="2054" width="16.5703125" style="31" customWidth="1"/>
    <col min="2055" max="2055" width="18.7109375" style="31" bestFit="1" customWidth="1"/>
    <col min="2056" max="2056" width="17.5703125" style="31" customWidth="1"/>
    <col min="2057" max="2057" width="15.5703125" style="31" bestFit="1" customWidth="1"/>
    <col min="2058" max="2058" width="13.5703125" style="31" customWidth="1"/>
    <col min="2059" max="2059" width="20.5703125" style="31" customWidth="1"/>
    <col min="2060" max="2060" width="12.42578125" style="31" bestFit="1" customWidth="1"/>
    <col min="2061" max="2304" width="9.140625" style="31"/>
    <col min="2305" max="2305" width="23" style="31" customWidth="1"/>
    <col min="2306" max="2306" width="42" style="31" customWidth="1"/>
    <col min="2307" max="2307" width="54.7109375" style="31" customWidth="1"/>
    <col min="2308" max="2308" width="17.28515625" style="31" bestFit="1" customWidth="1"/>
    <col min="2309" max="2309" width="20.140625" style="31" bestFit="1" customWidth="1"/>
    <col min="2310" max="2310" width="16.5703125" style="31" customWidth="1"/>
    <col min="2311" max="2311" width="18.7109375" style="31" bestFit="1" customWidth="1"/>
    <col min="2312" max="2312" width="17.5703125" style="31" customWidth="1"/>
    <col min="2313" max="2313" width="15.5703125" style="31" bestFit="1" customWidth="1"/>
    <col min="2314" max="2314" width="13.5703125" style="31" customWidth="1"/>
    <col min="2315" max="2315" width="20.5703125" style="31" customWidth="1"/>
    <col min="2316" max="2316" width="12.42578125" style="31" bestFit="1" customWidth="1"/>
    <col min="2317" max="2560" width="9.140625" style="31"/>
    <col min="2561" max="2561" width="23" style="31" customWidth="1"/>
    <col min="2562" max="2562" width="42" style="31" customWidth="1"/>
    <col min="2563" max="2563" width="54.7109375" style="31" customWidth="1"/>
    <col min="2564" max="2564" width="17.28515625" style="31" bestFit="1" customWidth="1"/>
    <col min="2565" max="2565" width="20.140625" style="31" bestFit="1" customWidth="1"/>
    <col min="2566" max="2566" width="16.5703125" style="31" customWidth="1"/>
    <col min="2567" max="2567" width="18.7109375" style="31" bestFit="1" customWidth="1"/>
    <col min="2568" max="2568" width="17.5703125" style="31" customWidth="1"/>
    <col min="2569" max="2569" width="15.5703125" style="31" bestFit="1" customWidth="1"/>
    <col min="2570" max="2570" width="13.5703125" style="31" customWidth="1"/>
    <col min="2571" max="2571" width="20.5703125" style="31" customWidth="1"/>
    <col min="2572" max="2572" width="12.42578125" style="31" bestFit="1" customWidth="1"/>
    <col min="2573" max="2816" width="9.140625" style="31"/>
    <col min="2817" max="2817" width="23" style="31" customWidth="1"/>
    <col min="2818" max="2818" width="42" style="31" customWidth="1"/>
    <col min="2819" max="2819" width="54.7109375" style="31" customWidth="1"/>
    <col min="2820" max="2820" width="17.28515625" style="31" bestFit="1" customWidth="1"/>
    <col min="2821" max="2821" width="20.140625" style="31" bestFit="1" customWidth="1"/>
    <col min="2822" max="2822" width="16.5703125" style="31" customWidth="1"/>
    <col min="2823" max="2823" width="18.7109375" style="31" bestFit="1" customWidth="1"/>
    <col min="2824" max="2824" width="17.5703125" style="31" customWidth="1"/>
    <col min="2825" max="2825" width="15.5703125" style="31" bestFit="1" customWidth="1"/>
    <col min="2826" max="2826" width="13.5703125" style="31" customWidth="1"/>
    <col min="2827" max="2827" width="20.5703125" style="31" customWidth="1"/>
    <col min="2828" max="2828" width="12.42578125" style="31" bestFit="1" customWidth="1"/>
    <col min="2829" max="3072" width="9.140625" style="31"/>
    <col min="3073" max="3073" width="23" style="31" customWidth="1"/>
    <col min="3074" max="3074" width="42" style="31" customWidth="1"/>
    <col min="3075" max="3075" width="54.7109375" style="31" customWidth="1"/>
    <col min="3076" max="3076" width="17.28515625" style="31" bestFit="1" customWidth="1"/>
    <col min="3077" max="3077" width="20.140625" style="31" bestFit="1" customWidth="1"/>
    <col min="3078" max="3078" width="16.5703125" style="31" customWidth="1"/>
    <col min="3079" max="3079" width="18.7109375" style="31" bestFit="1" customWidth="1"/>
    <col min="3080" max="3080" width="17.5703125" style="31" customWidth="1"/>
    <col min="3081" max="3081" width="15.5703125" style="31" bestFit="1" customWidth="1"/>
    <col min="3082" max="3082" width="13.5703125" style="31" customWidth="1"/>
    <col min="3083" max="3083" width="20.5703125" style="31" customWidth="1"/>
    <col min="3084" max="3084" width="12.42578125" style="31" bestFit="1" customWidth="1"/>
    <col min="3085" max="3328" width="9.140625" style="31"/>
    <col min="3329" max="3329" width="23" style="31" customWidth="1"/>
    <col min="3330" max="3330" width="42" style="31" customWidth="1"/>
    <col min="3331" max="3331" width="54.7109375" style="31" customWidth="1"/>
    <col min="3332" max="3332" width="17.28515625" style="31" bestFit="1" customWidth="1"/>
    <col min="3333" max="3333" width="20.140625" style="31" bestFit="1" customWidth="1"/>
    <col min="3334" max="3334" width="16.5703125" style="31" customWidth="1"/>
    <col min="3335" max="3335" width="18.7109375" style="31" bestFit="1" customWidth="1"/>
    <col min="3336" max="3336" width="17.5703125" style="31" customWidth="1"/>
    <col min="3337" max="3337" width="15.5703125" style="31" bestFit="1" customWidth="1"/>
    <col min="3338" max="3338" width="13.5703125" style="31" customWidth="1"/>
    <col min="3339" max="3339" width="20.5703125" style="31" customWidth="1"/>
    <col min="3340" max="3340" width="12.42578125" style="31" bestFit="1" customWidth="1"/>
    <col min="3341" max="3584" width="9.140625" style="31"/>
    <col min="3585" max="3585" width="23" style="31" customWidth="1"/>
    <col min="3586" max="3586" width="42" style="31" customWidth="1"/>
    <col min="3587" max="3587" width="54.7109375" style="31" customWidth="1"/>
    <col min="3588" max="3588" width="17.28515625" style="31" bestFit="1" customWidth="1"/>
    <col min="3589" max="3589" width="20.140625" style="31" bestFit="1" customWidth="1"/>
    <col min="3590" max="3590" width="16.5703125" style="31" customWidth="1"/>
    <col min="3591" max="3591" width="18.7109375" style="31" bestFit="1" customWidth="1"/>
    <col min="3592" max="3592" width="17.5703125" style="31" customWidth="1"/>
    <col min="3593" max="3593" width="15.5703125" style="31" bestFit="1" customWidth="1"/>
    <col min="3594" max="3594" width="13.5703125" style="31" customWidth="1"/>
    <col min="3595" max="3595" width="20.5703125" style="31" customWidth="1"/>
    <col min="3596" max="3596" width="12.42578125" style="31" bestFit="1" customWidth="1"/>
    <col min="3597" max="3840" width="9.140625" style="31"/>
    <col min="3841" max="3841" width="23" style="31" customWidth="1"/>
    <col min="3842" max="3842" width="42" style="31" customWidth="1"/>
    <col min="3843" max="3843" width="54.7109375" style="31" customWidth="1"/>
    <col min="3844" max="3844" width="17.28515625" style="31" bestFit="1" customWidth="1"/>
    <col min="3845" max="3845" width="20.140625" style="31" bestFit="1" customWidth="1"/>
    <col min="3846" max="3846" width="16.5703125" style="31" customWidth="1"/>
    <col min="3847" max="3847" width="18.7109375" style="31" bestFit="1" customWidth="1"/>
    <col min="3848" max="3848" width="17.5703125" style="31" customWidth="1"/>
    <col min="3849" max="3849" width="15.5703125" style="31" bestFit="1" customWidth="1"/>
    <col min="3850" max="3850" width="13.5703125" style="31" customWidth="1"/>
    <col min="3851" max="3851" width="20.5703125" style="31" customWidth="1"/>
    <col min="3852" max="3852" width="12.42578125" style="31" bestFit="1" customWidth="1"/>
    <col min="3853" max="4096" width="9.140625" style="31"/>
    <col min="4097" max="4097" width="23" style="31" customWidth="1"/>
    <col min="4098" max="4098" width="42" style="31" customWidth="1"/>
    <col min="4099" max="4099" width="54.7109375" style="31" customWidth="1"/>
    <col min="4100" max="4100" width="17.28515625" style="31" bestFit="1" customWidth="1"/>
    <col min="4101" max="4101" width="20.140625" style="31" bestFit="1" customWidth="1"/>
    <col min="4102" max="4102" width="16.5703125" style="31" customWidth="1"/>
    <col min="4103" max="4103" width="18.7109375" style="31" bestFit="1" customWidth="1"/>
    <col min="4104" max="4104" width="17.5703125" style="31" customWidth="1"/>
    <col min="4105" max="4105" width="15.5703125" style="31" bestFit="1" customWidth="1"/>
    <col min="4106" max="4106" width="13.5703125" style="31" customWidth="1"/>
    <col min="4107" max="4107" width="20.5703125" style="31" customWidth="1"/>
    <col min="4108" max="4108" width="12.42578125" style="31" bestFit="1" customWidth="1"/>
    <col min="4109" max="4352" width="9.140625" style="31"/>
    <col min="4353" max="4353" width="23" style="31" customWidth="1"/>
    <col min="4354" max="4354" width="42" style="31" customWidth="1"/>
    <col min="4355" max="4355" width="54.7109375" style="31" customWidth="1"/>
    <col min="4356" max="4356" width="17.28515625" style="31" bestFit="1" customWidth="1"/>
    <col min="4357" max="4357" width="20.140625" style="31" bestFit="1" customWidth="1"/>
    <col min="4358" max="4358" width="16.5703125" style="31" customWidth="1"/>
    <col min="4359" max="4359" width="18.7109375" style="31" bestFit="1" customWidth="1"/>
    <col min="4360" max="4360" width="17.5703125" style="31" customWidth="1"/>
    <col min="4361" max="4361" width="15.5703125" style="31" bestFit="1" customWidth="1"/>
    <col min="4362" max="4362" width="13.5703125" style="31" customWidth="1"/>
    <col min="4363" max="4363" width="20.5703125" style="31" customWidth="1"/>
    <col min="4364" max="4364" width="12.42578125" style="31" bestFit="1" customWidth="1"/>
    <col min="4365" max="4608" width="9.140625" style="31"/>
    <col min="4609" max="4609" width="23" style="31" customWidth="1"/>
    <col min="4610" max="4610" width="42" style="31" customWidth="1"/>
    <col min="4611" max="4611" width="54.7109375" style="31" customWidth="1"/>
    <col min="4612" max="4612" width="17.28515625" style="31" bestFit="1" customWidth="1"/>
    <col min="4613" max="4613" width="20.140625" style="31" bestFit="1" customWidth="1"/>
    <col min="4614" max="4614" width="16.5703125" style="31" customWidth="1"/>
    <col min="4615" max="4615" width="18.7109375" style="31" bestFit="1" customWidth="1"/>
    <col min="4616" max="4616" width="17.5703125" style="31" customWidth="1"/>
    <col min="4617" max="4617" width="15.5703125" style="31" bestFit="1" customWidth="1"/>
    <col min="4618" max="4618" width="13.5703125" style="31" customWidth="1"/>
    <col min="4619" max="4619" width="20.5703125" style="31" customWidth="1"/>
    <col min="4620" max="4620" width="12.42578125" style="31" bestFit="1" customWidth="1"/>
    <col min="4621" max="4864" width="9.140625" style="31"/>
    <col min="4865" max="4865" width="23" style="31" customWidth="1"/>
    <col min="4866" max="4866" width="42" style="31" customWidth="1"/>
    <col min="4867" max="4867" width="54.7109375" style="31" customWidth="1"/>
    <col min="4868" max="4868" width="17.28515625" style="31" bestFit="1" customWidth="1"/>
    <col min="4869" max="4869" width="20.140625" style="31" bestFit="1" customWidth="1"/>
    <col min="4870" max="4870" width="16.5703125" style="31" customWidth="1"/>
    <col min="4871" max="4871" width="18.7109375" style="31" bestFit="1" customWidth="1"/>
    <col min="4872" max="4872" width="17.5703125" style="31" customWidth="1"/>
    <col min="4873" max="4873" width="15.5703125" style="31" bestFit="1" customWidth="1"/>
    <col min="4874" max="4874" width="13.5703125" style="31" customWidth="1"/>
    <col min="4875" max="4875" width="20.5703125" style="31" customWidth="1"/>
    <col min="4876" max="4876" width="12.42578125" style="31" bestFit="1" customWidth="1"/>
    <col min="4877" max="5120" width="9.140625" style="31"/>
    <col min="5121" max="5121" width="23" style="31" customWidth="1"/>
    <col min="5122" max="5122" width="42" style="31" customWidth="1"/>
    <col min="5123" max="5123" width="54.7109375" style="31" customWidth="1"/>
    <col min="5124" max="5124" width="17.28515625" style="31" bestFit="1" customWidth="1"/>
    <col min="5125" max="5125" width="20.140625" style="31" bestFit="1" customWidth="1"/>
    <col min="5126" max="5126" width="16.5703125" style="31" customWidth="1"/>
    <col min="5127" max="5127" width="18.7109375" style="31" bestFit="1" customWidth="1"/>
    <col min="5128" max="5128" width="17.5703125" style="31" customWidth="1"/>
    <col min="5129" max="5129" width="15.5703125" style="31" bestFit="1" customWidth="1"/>
    <col min="5130" max="5130" width="13.5703125" style="31" customWidth="1"/>
    <col min="5131" max="5131" width="20.5703125" style="31" customWidth="1"/>
    <col min="5132" max="5132" width="12.42578125" style="31" bestFit="1" customWidth="1"/>
    <col min="5133" max="5376" width="9.140625" style="31"/>
    <col min="5377" max="5377" width="23" style="31" customWidth="1"/>
    <col min="5378" max="5378" width="42" style="31" customWidth="1"/>
    <col min="5379" max="5379" width="54.7109375" style="31" customWidth="1"/>
    <col min="5380" max="5380" width="17.28515625" style="31" bestFit="1" customWidth="1"/>
    <col min="5381" max="5381" width="20.140625" style="31" bestFit="1" customWidth="1"/>
    <col min="5382" max="5382" width="16.5703125" style="31" customWidth="1"/>
    <col min="5383" max="5383" width="18.7109375" style="31" bestFit="1" customWidth="1"/>
    <col min="5384" max="5384" width="17.5703125" style="31" customWidth="1"/>
    <col min="5385" max="5385" width="15.5703125" style="31" bestFit="1" customWidth="1"/>
    <col min="5386" max="5386" width="13.5703125" style="31" customWidth="1"/>
    <col min="5387" max="5387" width="20.5703125" style="31" customWidth="1"/>
    <col min="5388" max="5388" width="12.42578125" style="31" bestFit="1" customWidth="1"/>
    <col min="5389" max="5632" width="9.140625" style="31"/>
    <col min="5633" max="5633" width="23" style="31" customWidth="1"/>
    <col min="5634" max="5634" width="42" style="31" customWidth="1"/>
    <col min="5635" max="5635" width="54.7109375" style="31" customWidth="1"/>
    <col min="5636" max="5636" width="17.28515625" style="31" bestFit="1" customWidth="1"/>
    <col min="5637" max="5637" width="20.140625" style="31" bestFit="1" customWidth="1"/>
    <col min="5638" max="5638" width="16.5703125" style="31" customWidth="1"/>
    <col min="5639" max="5639" width="18.7109375" style="31" bestFit="1" customWidth="1"/>
    <col min="5640" max="5640" width="17.5703125" style="31" customWidth="1"/>
    <col min="5641" max="5641" width="15.5703125" style="31" bestFit="1" customWidth="1"/>
    <col min="5642" max="5642" width="13.5703125" style="31" customWidth="1"/>
    <col min="5643" max="5643" width="20.5703125" style="31" customWidth="1"/>
    <col min="5644" max="5644" width="12.42578125" style="31" bestFit="1" customWidth="1"/>
    <col min="5645" max="5888" width="9.140625" style="31"/>
    <col min="5889" max="5889" width="23" style="31" customWidth="1"/>
    <col min="5890" max="5890" width="42" style="31" customWidth="1"/>
    <col min="5891" max="5891" width="54.7109375" style="31" customWidth="1"/>
    <col min="5892" max="5892" width="17.28515625" style="31" bestFit="1" customWidth="1"/>
    <col min="5893" max="5893" width="20.140625" style="31" bestFit="1" customWidth="1"/>
    <col min="5894" max="5894" width="16.5703125" style="31" customWidth="1"/>
    <col min="5895" max="5895" width="18.7109375" style="31" bestFit="1" customWidth="1"/>
    <col min="5896" max="5896" width="17.5703125" style="31" customWidth="1"/>
    <col min="5897" max="5897" width="15.5703125" style="31" bestFit="1" customWidth="1"/>
    <col min="5898" max="5898" width="13.5703125" style="31" customWidth="1"/>
    <col min="5899" max="5899" width="20.5703125" style="31" customWidth="1"/>
    <col min="5900" max="5900" width="12.42578125" style="31" bestFit="1" customWidth="1"/>
    <col min="5901" max="6144" width="9.140625" style="31"/>
    <col min="6145" max="6145" width="23" style="31" customWidth="1"/>
    <col min="6146" max="6146" width="42" style="31" customWidth="1"/>
    <col min="6147" max="6147" width="54.7109375" style="31" customWidth="1"/>
    <col min="6148" max="6148" width="17.28515625" style="31" bestFit="1" customWidth="1"/>
    <col min="6149" max="6149" width="20.140625" style="31" bestFit="1" customWidth="1"/>
    <col min="6150" max="6150" width="16.5703125" style="31" customWidth="1"/>
    <col min="6151" max="6151" width="18.7109375" style="31" bestFit="1" customWidth="1"/>
    <col min="6152" max="6152" width="17.5703125" style="31" customWidth="1"/>
    <col min="6153" max="6153" width="15.5703125" style="31" bestFit="1" customWidth="1"/>
    <col min="6154" max="6154" width="13.5703125" style="31" customWidth="1"/>
    <col min="6155" max="6155" width="20.5703125" style="31" customWidth="1"/>
    <col min="6156" max="6156" width="12.42578125" style="31" bestFit="1" customWidth="1"/>
    <col min="6157" max="6400" width="9.140625" style="31"/>
    <col min="6401" max="6401" width="23" style="31" customWidth="1"/>
    <col min="6402" max="6402" width="42" style="31" customWidth="1"/>
    <col min="6403" max="6403" width="54.7109375" style="31" customWidth="1"/>
    <col min="6404" max="6404" width="17.28515625" style="31" bestFit="1" customWidth="1"/>
    <col min="6405" max="6405" width="20.140625" style="31" bestFit="1" customWidth="1"/>
    <col min="6406" max="6406" width="16.5703125" style="31" customWidth="1"/>
    <col min="6407" max="6407" width="18.7109375" style="31" bestFit="1" customWidth="1"/>
    <col min="6408" max="6408" width="17.5703125" style="31" customWidth="1"/>
    <col min="6409" max="6409" width="15.5703125" style="31" bestFit="1" customWidth="1"/>
    <col min="6410" max="6410" width="13.5703125" style="31" customWidth="1"/>
    <col min="6411" max="6411" width="20.5703125" style="31" customWidth="1"/>
    <col min="6412" max="6412" width="12.42578125" style="31" bestFit="1" customWidth="1"/>
    <col min="6413" max="6656" width="9.140625" style="31"/>
    <col min="6657" max="6657" width="23" style="31" customWidth="1"/>
    <col min="6658" max="6658" width="42" style="31" customWidth="1"/>
    <col min="6659" max="6659" width="54.7109375" style="31" customWidth="1"/>
    <col min="6660" max="6660" width="17.28515625" style="31" bestFit="1" customWidth="1"/>
    <col min="6661" max="6661" width="20.140625" style="31" bestFit="1" customWidth="1"/>
    <col min="6662" max="6662" width="16.5703125" style="31" customWidth="1"/>
    <col min="6663" max="6663" width="18.7109375" style="31" bestFit="1" customWidth="1"/>
    <col min="6664" max="6664" width="17.5703125" style="31" customWidth="1"/>
    <col min="6665" max="6665" width="15.5703125" style="31" bestFit="1" customWidth="1"/>
    <col min="6666" max="6666" width="13.5703125" style="31" customWidth="1"/>
    <col min="6667" max="6667" width="20.5703125" style="31" customWidth="1"/>
    <col min="6668" max="6668" width="12.42578125" style="31" bestFit="1" customWidth="1"/>
    <col min="6669" max="6912" width="9.140625" style="31"/>
    <col min="6913" max="6913" width="23" style="31" customWidth="1"/>
    <col min="6914" max="6914" width="42" style="31" customWidth="1"/>
    <col min="6915" max="6915" width="54.7109375" style="31" customWidth="1"/>
    <col min="6916" max="6916" width="17.28515625" style="31" bestFit="1" customWidth="1"/>
    <col min="6917" max="6917" width="20.140625" style="31" bestFit="1" customWidth="1"/>
    <col min="6918" max="6918" width="16.5703125" style="31" customWidth="1"/>
    <col min="6919" max="6919" width="18.7109375" style="31" bestFit="1" customWidth="1"/>
    <col min="6920" max="6920" width="17.5703125" style="31" customWidth="1"/>
    <col min="6921" max="6921" width="15.5703125" style="31" bestFit="1" customWidth="1"/>
    <col min="6922" max="6922" width="13.5703125" style="31" customWidth="1"/>
    <col min="6923" max="6923" width="20.5703125" style="31" customWidth="1"/>
    <col min="6924" max="6924" width="12.42578125" style="31" bestFit="1" customWidth="1"/>
    <col min="6925" max="7168" width="9.140625" style="31"/>
    <col min="7169" max="7169" width="23" style="31" customWidth="1"/>
    <col min="7170" max="7170" width="42" style="31" customWidth="1"/>
    <col min="7171" max="7171" width="54.7109375" style="31" customWidth="1"/>
    <col min="7172" max="7172" width="17.28515625" style="31" bestFit="1" customWidth="1"/>
    <col min="7173" max="7173" width="20.140625" style="31" bestFit="1" customWidth="1"/>
    <col min="7174" max="7174" width="16.5703125" style="31" customWidth="1"/>
    <col min="7175" max="7175" width="18.7109375" style="31" bestFit="1" customWidth="1"/>
    <col min="7176" max="7176" width="17.5703125" style="31" customWidth="1"/>
    <col min="7177" max="7177" width="15.5703125" style="31" bestFit="1" customWidth="1"/>
    <col min="7178" max="7178" width="13.5703125" style="31" customWidth="1"/>
    <col min="7179" max="7179" width="20.5703125" style="31" customWidth="1"/>
    <col min="7180" max="7180" width="12.42578125" style="31" bestFit="1" customWidth="1"/>
    <col min="7181" max="7424" width="9.140625" style="31"/>
    <col min="7425" max="7425" width="23" style="31" customWidth="1"/>
    <col min="7426" max="7426" width="42" style="31" customWidth="1"/>
    <col min="7427" max="7427" width="54.7109375" style="31" customWidth="1"/>
    <col min="7428" max="7428" width="17.28515625" style="31" bestFit="1" customWidth="1"/>
    <col min="7429" max="7429" width="20.140625" style="31" bestFit="1" customWidth="1"/>
    <col min="7430" max="7430" width="16.5703125" style="31" customWidth="1"/>
    <col min="7431" max="7431" width="18.7109375" style="31" bestFit="1" customWidth="1"/>
    <col min="7432" max="7432" width="17.5703125" style="31" customWidth="1"/>
    <col min="7433" max="7433" width="15.5703125" style="31" bestFit="1" customWidth="1"/>
    <col min="7434" max="7434" width="13.5703125" style="31" customWidth="1"/>
    <col min="7435" max="7435" width="20.5703125" style="31" customWidth="1"/>
    <col min="7436" max="7436" width="12.42578125" style="31" bestFit="1" customWidth="1"/>
    <col min="7437" max="7680" width="9.140625" style="31"/>
    <col min="7681" max="7681" width="23" style="31" customWidth="1"/>
    <col min="7682" max="7682" width="42" style="31" customWidth="1"/>
    <col min="7683" max="7683" width="54.7109375" style="31" customWidth="1"/>
    <col min="7684" max="7684" width="17.28515625" style="31" bestFit="1" customWidth="1"/>
    <col min="7685" max="7685" width="20.140625" style="31" bestFit="1" customWidth="1"/>
    <col min="7686" max="7686" width="16.5703125" style="31" customWidth="1"/>
    <col min="7687" max="7687" width="18.7109375" style="31" bestFit="1" customWidth="1"/>
    <col min="7688" max="7688" width="17.5703125" style="31" customWidth="1"/>
    <col min="7689" max="7689" width="15.5703125" style="31" bestFit="1" customWidth="1"/>
    <col min="7690" max="7690" width="13.5703125" style="31" customWidth="1"/>
    <col min="7691" max="7691" width="20.5703125" style="31" customWidth="1"/>
    <col min="7692" max="7692" width="12.42578125" style="31" bestFit="1" customWidth="1"/>
    <col min="7693" max="7936" width="9.140625" style="31"/>
    <col min="7937" max="7937" width="23" style="31" customWidth="1"/>
    <col min="7938" max="7938" width="42" style="31" customWidth="1"/>
    <col min="7939" max="7939" width="54.7109375" style="31" customWidth="1"/>
    <col min="7940" max="7940" width="17.28515625" style="31" bestFit="1" customWidth="1"/>
    <col min="7941" max="7941" width="20.140625" style="31" bestFit="1" customWidth="1"/>
    <col min="7942" max="7942" width="16.5703125" style="31" customWidth="1"/>
    <col min="7943" max="7943" width="18.7109375" style="31" bestFit="1" customWidth="1"/>
    <col min="7944" max="7944" width="17.5703125" style="31" customWidth="1"/>
    <col min="7945" max="7945" width="15.5703125" style="31" bestFit="1" customWidth="1"/>
    <col min="7946" max="7946" width="13.5703125" style="31" customWidth="1"/>
    <col min="7947" max="7947" width="20.5703125" style="31" customWidth="1"/>
    <col min="7948" max="7948" width="12.42578125" style="31" bestFit="1" customWidth="1"/>
    <col min="7949" max="8192" width="9.140625" style="31"/>
    <col min="8193" max="8193" width="23" style="31" customWidth="1"/>
    <col min="8194" max="8194" width="42" style="31" customWidth="1"/>
    <col min="8195" max="8195" width="54.7109375" style="31" customWidth="1"/>
    <col min="8196" max="8196" width="17.28515625" style="31" bestFit="1" customWidth="1"/>
    <col min="8197" max="8197" width="20.140625" style="31" bestFit="1" customWidth="1"/>
    <col min="8198" max="8198" width="16.5703125" style="31" customWidth="1"/>
    <col min="8199" max="8199" width="18.7109375" style="31" bestFit="1" customWidth="1"/>
    <col min="8200" max="8200" width="17.5703125" style="31" customWidth="1"/>
    <col min="8201" max="8201" width="15.5703125" style="31" bestFit="1" customWidth="1"/>
    <col min="8202" max="8202" width="13.5703125" style="31" customWidth="1"/>
    <col min="8203" max="8203" width="20.5703125" style="31" customWidth="1"/>
    <col min="8204" max="8204" width="12.42578125" style="31" bestFit="1" customWidth="1"/>
    <col min="8205" max="8448" width="9.140625" style="31"/>
    <col min="8449" max="8449" width="23" style="31" customWidth="1"/>
    <col min="8450" max="8450" width="42" style="31" customWidth="1"/>
    <col min="8451" max="8451" width="54.7109375" style="31" customWidth="1"/>
    <col min="8452" max="8452" width="17.28515625" style="31" bestFit="1" customWidth="1"/>
    <col min="8453" max="8453" width="20.140625" style="31" bestFit="1" customWidth="1"/>
    <col min="8454" max="8454" width="16.5703125" style="31" customWidth="1"/>
    <col min="8455" max="8455" width="18.7109375" style="31" bestFit="1" customWidth="1"/>
    <col min="8456" max="8456" width="17.5703125" style="31" customWidth="1"/>
    <col min="8457" max="8457" width="15.5703125" style="31" bestFit="1" customWidth="1"/>
    <col min="8458" max="8458" width="13.5703125" style="31" customWidth="1"/>
    <col min="8459" max="8459" width="20.5703125" style="31" customWidth="1"/>
    <col min="8460" max="8460" width="12.42578125" style="31" bestFit="1" customWidth="1"/>
    <col min="8461" max="8704" width="9.140625" style="31"/>
    <col min="8705" max="8705" width="23" style="31" customWidth="1"/>
    <col min="8706" max="8706" width="42" style="31" customWidth="1"/>
    <col min="8707" max="8707" width="54.7109375" style="31" customWidth="1"/>
    <col min="8708" max="8708" width="17.28515625" style="31" bestFit="1" customWidth="1"/>
    <col min="8709" max="8709" width="20.140625" style="31" bestFit="1" customWidth="1"/>
    <col min="8710" max="8710" width="16.5703125" style="31" customWidth="1"/>
    <col min="8711" max="8711" width="18.7109375" style="31" bestFit="1" customWidth="1"/>
    <col min="8712" max="8712" width="17.5703125" style="31" customWidth="1"/>
    <col min="8713" max="8713" width="15.5703125" style="31" bestFit="1" customWidth="1"/>
    <col min="8714" max="8714" width="13.5703125" style="31" customWidth="1"/>
    <col min="8715" max="8715" width="20.5703125" style="31" customWidth="1"/>
    <col min="8716" max="8716" width="12.42578125" style="31" bestFit="1" customWidth="1"/>
    <col min="8717" max="8960" width="9.140625" style="31"/>
    <col min="8961" max="8961" width="23" style="31" customWidth="1"/>
    <col min="8962" max="8962" width="42" style="31" customWidth="1"/>
    <col min="8963" max="8963" width="54.7109375" style="31" customWidth="1"/>
    <col min="8964" max="8964" width="17.28515625" style="31" bestFit="1" customWidth="1"/>
    <col min="8965" max="8965" width="20.140625" style="31" bestFit="1" customWidth="1"/>
    <col min="8966" max="8966" width="16.5703125" style="31" customWidth="1"/>
    <col min="8967" max="8967" width="18.7109375" style="31" bestFit="1" customWidth="1"/>
    <col min="8968" max="8968" width="17.5703125" style="31" customWidth="1"/>
    <col min="8969" max="8969" width="15.5703125" style="31" bestFit="1" customWidth="1"/>
    <col min="8970" max="8970" width="13.5703125" style="31" customWidth="1"/>
    <col min="8971" max="8971" width="20.5703125" style="31" customWidth="1"/>
    <col min="8972" max="8972" width="12.42578125" style="31" bestFit="1" customWidth="1"/>
    <col min="8973" max="9216" width="9.140625" style="31"/>
    <col min="9217" max="9217" width="23" style="31" customWidth="1"/>
    <col min="9218" max="9218" width="42" style="31" customWidth="1"/>
    <col min="9219" max="9219" width="54.7109375" style="31" customWidth="1"/>
    <col min="9220" max="9220" width="17.28515625" style="31" bestFit="1" customWidth="1"/>
    <col min="9221" max="9221" width="20.140625" style="31" bestFit="1" customWidth="1"/>
    <col min="9222" max="9222" width="16.5703125" style="31" customWidth="1"/>
    <col min="9223" max="9223" width="18.7109375" style="31" bestFit="1" customWidth="1"/>
    <col min="9224" max="9224" width="17.5703125" style="31" customWidth="1"/>
    <col min="9225" max="9225" width="15.5703125" style="31" bestFit="1" customWidth="1"/>
    <col min="9226" max="9226" width="13.5703125" style="31" customWidth="1"/>
    <col min="9227" max="9227" width="20.5703125" style="31" customWidth="1"/>
    <col min="9228" max="9228" width="12.42578125" style="31" bestFit="1" customWidth="1"/>
    <col min="9229" max="9472" width="9.140625" style="31"/>
    <col min="9473" max="9473" width="23" style="31" customWidth="1"/>
    <col min="9474" max="9474" width="42" style="31" customWidth="1"/>
    <col min="9475" max="9475" width="54.7109375" style="31" customWidth="1"/>
    <col min="9476" max="9476" width="17.28515625" style="31" bestFit="1" customWidth="1"/>
    <col min="9477" max="9477" width="20.140625" style="31" bestFit="1" customWidth="1"/>
    <col min="9478" max="9478" width="16.5703125" style="31" customWidth="1"/>
    <col min="9479" max="9479" width="18.7109375" style="31" bestFit="1" customWidth="1"/>
    <col min="9480" max="9480" width="17.5703125" style="31" customWidth="1"/>
    <col min="9481" max="9481" width="15.5703125" style="31" bestFit="1" customWidth="1"/>
    <col min="9482" max="9482" width="13.5703125" style="31" customWidth="1"/>
    <col min="9483" max="9483" width="20.5703125" style="31" customWidth="1"/>
    <col min="9484" max="9484" width="12.42578125" style="31" bestFit="1" customWidth="1"/>
    <col min="9485" max="9728" width="9.140625" style="31"/>
    <col min="9729" max="9729" width="23" style="31" customWidth="1"/>
    <col min="9730" max="9730" width="42" style="31" customWidth="1"/>
    <col min="9731" max="9731" width="54.7109375" style="31" customWidth="1"/>
    <col min="9732" max="9732" width="17.28515625" style="31" bestFit="1" customWidth="1"/>
    <col min="9733" max="9733" width="20.140625" style="31" bestFit="1" customWidth="1"/>
    <col min="9734" max="9734" width="16.5703125" style="31" customWidth="1"/>
    <col min="9735" max="9735" width="18.7109375" style="31" bestFit="1" customWidth="1"/>
    <col min="9736" max="9736" width="17.5703125" style="31" customWidth="1"/>
    <col min="9737" max="9737" width="15.5703125" style="31" bestFit="1" customWidth="1"/>
    <col min="9738" max="9738" width="13.5703125" style="31" customWidth="1"/>
    <col min="9739" max="9739" width="20.5703125" style="31" customWidth="1"/>
    <col min="9740" max="9740" width="12.42578125" style="31" bestFit="1" customWidth="1"/>
    <col min="9741" max="9984" width="9.140625" style="31"/>
    <col min="9985" max="9985" width="23" style="31" customWidth="1"/>
    <col min="9986" max="9986" width="42" style="31" customWidth="1"/>
    <col min="9987" max="9987" width="54.7109375" style="31" customWidth="1"/>
    <col min="9988" max="9988" width="17.28515625" style="31" bestFit="1" customWidth="1"/>
    <col min="9989" max="9989" width="20.140625" style="31" bestFit="1" customWidth="1"/>
    <col min="9990" max="9990" width="16.5703125" style="31" customWidth="1"/>
    <col min="9991" max="9991" width="18.7109375" style="31" bestFit="1" customWidth="1"/>
    <col min="9992" max="9992" width="17.5703125" style="31" customWidth="1"/>
    <col min="9993" max="9993" width="15.5703125" style="31" bestFit="1" customWidth="1"/>
    <col min="9994" max="9994" width="13.5703125" style="31" customWidth="1"/>
    <col min="9995" max="9995" width="20.5703125" style="31" customWidth="1"/>
    <col min="9996" max="9996" width="12.42578125" style="31" bestFit="1" customWidth="1"/>
    <col min="9997" max="10240" width="9.140625" style="31"/>
    <col min="10241" max="10241" width="23" style="31" customWidth="1"/>
    <col min="10242" max="10242" width="42" style="31" customWidth="1"/>
    <col min="10243" max="10243" width="54.7109375" style="31" customWidth="1"/>
    <col min="10244" max="10244" width="17.28515625" style="31" bestFit="1" customWidth="1"/>
    <col min="10245" max="10245" width="20.140625" style="31" bestFit="1" customWidth="1"/>
    <col min="10246" max="10246" width="16.5703125" style="31" customWidth="1"/>
    <col min="10247" max="10247" width="18.7109375" style="31" bestFit="1" customWidth="1"/>
    <col min="10248" max="10248" width="17.5703125" style="31" customWidth="1"/>
    <col min="10249" max="10249" width="15.5703125" style="31" bestFit="1" customWidth="1"/>
    <col min="10250" max="10250" width="13.5703125" style="31" customWidth="1"/>
    <col min="10251" max="10251" width="20.5703125" style="31" customWidth="1"/>
    <col min="10252" max="10252" width="12.42578125" style="31" bestFit="1" customWidth="1"/>
    <col min="10253" max="10496" width="9.140625" style="31"/>
    <col min="10497" max="10497" width="23" style="31" customWidth="1"/>
    <col min="10498" max="10498" width="42" style="31" customWidth="1"/>
    <col min="10499" max="10499" width="54.7109375" style="31" customWidth="1"/>
    <col min="10500" max="10500" width="17.28515625" style="31" bestFit="1" customWidth="1"/>
    <col min="10501" max="10501" width="20.140625" style="31" bestFit="1" customWidth="1"/>
    <col min="10502" max="10502" width="16.5703125" style="31" customWidth="1"/>
    <col min="10503" max="10503" width="18.7109375" style="31" bestFit="1" customWidth="1"/>
    <col min="10504" max="10504" width="17.5703125" style="31" customWidth="1"/>
    <col min="10505" max="10505" width="15.5703125" style="31" bestFit="1" customWidth="1"/>
    <col min="10506" max="10506" width="13.5703125" style="31" customWidth="1"/>
    <col min="10507" max="10507" width="20.5703125" style="31" customWidth="1"/>
    <col min="10508" max="10508" width="12.42578125" style="31" bestFit="1" customWidth="1"/>
    <col min="10509" max="10752" width="9.140625" style="31"/>
    <col min="10753" max="10753" width="23" style="31" customWidth="1"/>
    <col min="10754" max="10754" width="42" style="31" customWidth="1"/>
    <col min="10755" max="10755" width="54.7109375" style="31" customWidth="1"/>
    <col min="10756" max="10756" width="17.28515625" style="31" bestFit="1" customWidth="1"/>
    <col min="10757" max="10757" width="20.140625" style="31" bestFit="1" customWidth="1"/>
    <col min="10758" max="10758" width="16.5703125" style="31" customWidth="1"/>
    <col min="10759" max="10759" width="18.7109375" style="31" bestFit="1" customWidth="1"/>
    <col min="10760" max="10760" width="17.5703125" style="31" customWidth="1"/>
    <col min="10761" max="10761" width="15.5703125" style="31" bestFit="1" customWidth="1"/>
    <col min="10762" max="10762" width="13.5703125" style="31" customWidth="1"/>
    <col min="10763" max="10763" width="20.5703125" style="31" customWidth="1"/>
    <col min="10764" max="10764" width="12.42578125" style="31" bestFit="1" customWidth="1"/>
    <col min="10765" max="11008" width="9.140625" style="31"/>
    <col min="11009" max="11009" width="23" style="31" customWidth="1"/>
    <col min="11010" max="11010" width="42" style="31" customWidth="1"/>
    <col min="11011" max="11011" width="54.7109375" style="31" customWidth="1"/>
    <col min="11012" max="11012" width="17.28515625" style="31" bestFit="1" customWidth="1"/>
    <col min="11013" max="11013" width="20.140625" style="31" bestFit="1" customWidth="1"/>
    <col min="11014" max="11014" width="16.5703125" style="31" customWidth="1"/>
    <col min="11015" max="11015" width="18.7109375" style="31" bestFit="1" customWidth="1"/>
    <col min="11016" max="11016" width="17.5703125" style="31" customWidth="1"/>
    <col min="11017" max="11017" width="15.5703125" style="31" bestFit="1" customWidth="1"/>
    <col min="11018" max="11018" width="13.5703125" style="31" customWidth="1"/>
    <col min="11019" max="11019" width="20.5703125" style="31" customWidth="1"/>
    <col min="11020" max="11020" width="12.42578125" style="31" bestFit="1" customWidth="1"/>
    <col min="11021" max="11264" width="9.140625" style="31"/>
    <col min="11265" max="11265" width="23" style="31" customWidth="1"/>
    <col min="11266" max="11266" width="42" style="31" customWidth="1"/>
    <col min="11267" max="11267" width="54.7109375" style="31" customWidth="1"/>
    <col min="11268" max="11268" width="17.28515625" style="31" bestFit="1" customWidth="1"/>
    <col min="11269" max="11269" width="20.140625" style="31" bestFit="1" customWidth="1"/>
    <col min="11270" max="11270" width="16.5703125" style="31" customWidth="1"/>
    <col min="11271" max="11271" width="18.7109375" style="31" bestFit="1" customWidth="1"/>
    <col min="11272" max="11272" width="17.5703125" style="31" customWidth="1"/>
    <col min="11273" max="11273" width="15.5703125" style="31" bestFit="1" customWidth="1"/>
    <col min="11274" max="11274" width="13.5703125" style="31" customWidth="1"/>
    <col min="11275" max="11275" width="20.5703125" style="31" customWidth="1"/>
    <col min="11276" max="11276" width="12.42578125" style="31" bestFit="1" customWidth="1"/>
    <col min="11277" max="11520" width="9.140625" style="31"/>
    <col min="11521" max="11521" width="23" style="31" customWidth="1"/>
    <col min="11522" max="11522" width="42" style="31" customWidth="1"/>
    <col min="11523" max="11523" width="54.7109375" style="31" customWidth="1"/>
    <col min="11524" max="11524" width="17.28515625" style="31" bestFit="1" customWidth="1"/>
    <col min="11525" max="11525" width="20.140625" style="31" bestFit="1" customWidth="1"/>
    <col min="11526" max="11526" width="16.5703125" style="31" customWidth="1"/>
    <col min="11527" max="11527" width="18.7109375" style="31" bestFit="1" customWidth="1"/>
    <col min="11528" max="11528" width="17.5703125" style="31" customWidth="1"/>
    <col min="11529" max="11529" width="15.5703125" style="31" bestFit="1" customWidth="1"/>
    <col min="11530" max="11530" width="13.5703125" style="31" customWidth="1"/>
    <col min="11531" max="11531" width="20.5703125" style="31" customWidth="1"/>
    <col min="11532" max="11532" width="12.42578125" style="31" bestFit="1" customWidth="1"/>
    <col min="11533" max="11776" width="9.140625" style="31"/>
    <col min="11777" max="11777" width="23" style="31" customWidth="1"/>
    <col min="11778" max="11778" width="42" style="31" customWidth="1"/>
    <col min="11779" max="11779" width="54.7109375" style="31" customWidth="1"/>
    <col min="11780" max="11780" width="17.28515625" style="31" bestFit="1" customWidth="1"/>
    <col min="11781" max="11781" width="20.140625" style="31" bestFit="1" customWidth="1"/>
    <col min="11782" max="11782" width="16.5703125" style="31" customWidth="1"/>
    <col min="11783" max="11783" width="18.7109375" style="31" bestFit="1" customWidth="1"/>
    <col min="11784" max="11784" width="17.5703125" style="31" customWidth="1"/>
    <col min="11785" max="11785" width="15.5703125" style="31" bestFit="1" customWidth="1"/>
    <col min="11786" max="11786" width="13.5703125" style="31" customWidth="1"/>
    <col min="11787" max="11787" width="20.5703125" style="31" customWidth="1"/>
    <col min="11788" max="11788" width="12.42578125" style="31" bestFit="1" customWidth="1"/>
    <col min="11789" max="12032" width="9.140625" style="31"/>
    <col min="12033" max="12033" width="23" style="31" customWidth="1"/>
    <col min="12034" max="12034" width="42" style="31" customWidth="1"/>
    <col min="12035" max="12035" width="54.7109375" style="31" customWidth="1"/>
    <col min="12036" max="12036" width="17.28515625" style="31" bestFit="1" customWidth="1"/>
    <col min="12037" max="12037" width="20.140625" style="31" bestFit="1" customWidth="1"/>
    <col min="12038" max="12038" width="16.5703125" style="31" customWidth="1"/>
    <col min="12039" max="12039" width="18.7109375" style="31" bestFit="1" customWidth="1"/>
    <col min="12040" max="12040" width="17.5703125" style="31" customWidth="1"/>
    <col min="12041" max="12041" width="15.5703125" style="31" bestFit="1" customWidth="1"/>
    <col min="12042" max="12042" width="13.5703125" style="31" customWidth="1"/>
    <col min="12043" max="12043" width="20.5703125" style="31" customWidth="1"/>
    <col min="12044" max="12044" width="12.42578125" style="31" bestFit="1" customWidth="1"/>
    <col min="12045" max="12288" width="9.140625" style="31"/>
    <col min="12289" max="12289" width="23" style="31" customWidth="1"/>
    <col min="12290" max="12290" width="42" style="31" customWidth="1"/>
    <col min="12291" max="12291" width="54.7109375" style="31" customWidth="1"/>
    <col min="12292" max="12292" width="17.28515625" style="31" bestFit="1" customWidth="1"/>
    <col min="12293" max="12293" width="20.140625" style="31" bestFit="1" customWidth="1"/>
    <col min="12294" max="12294" width="16.5703125" style="31" customWidth="1"/>
    <col min="12295" max="12295" width="18.7109375" style="31" bestFit="1" customWidth="1"/>
    <col min="12296" max="12296" width="17.5703125" style="31" customWidth="1"/>
    <col min="12297" max="12297" width="15.5703125" style="31" bestFit="1" customWidth="1"/>
    <col min="12298" max="12298" width="13.5703125" style="31" customWidth="1"/>
    <col min="12299" max="12299" width="20.5703125" style="31" customWidth="1"/>
    <col min="12300" max="12300" width="12.42578125" style="31" bestFit="1" customWidth="1"/>
    <col min="12301" max="12544" width="9.140625" style="31"/>
    <col min="12545" max="12545" width="23" style="31" customWidth="1"/>
    <col min="12546" max="12546" width="42" style="31" customWidth="1"/>
    <col min="12547" max="12547" width="54.7109375" style="31" customWidth="1"/>
    <col min="12548" max="12548" width="17.28515625" style="31" bestFit="1" customWidth="1"/>
    <col min="12549" max="12549" width="20.140625" style="31" bestFit="1" customWidth="1"/>
    <col min="12550" max="12550" width="16.5703125" style="31" customWidth="1"/>
    <col min="12551" max="12551" width="18.7109375" style="31" bestFit="1" customWidth="1"/>
    <col min="12552" max="12552" width="17.5703125" style="31" customWidth="1"/>
    <col min="12553" max="12553" width="15.5703125" style="31" bestFit="1" customWidth="1"/>
    <col min="12554" max="12554" width="13.5703125" style="31" customWidth="1"/>
    <col min="12555" max="12555" width="20.5703125" style="31" customWidth="1"/>
    <col min="12556" max="12556" width="12.42578125" style="31" bestFit="1" customWidth="1"/>
    <col min="12557" max="12800" width="9.140625" style="31"/>
    <col min="12801" max="12801" width="23" style="31" customWidth="1"/>
    <col min="12802" max="12802" width="42" style="31" customWidth="1"/>
    <col min="12803" max="12803" width="54.7109375" style="31" customWidth="1"/>
    <col min="12804" max="12804" width="17.28515625" style="31" bestFit="1" customWidth="1"/>
    <col min="12805" max="12805" width="20.140625" style="31" bestFit="1" customWidth="1"/>
    <col min="12806" max="12806" width="16.5703125" style="31" customWidth="1"/>
    <col min="12807" max="12807" width="18.7109375" style="31" bestFit="1" customWidth="1"/>
    <col min="12808" max="12808" width="17.5703125" style="31" customWidth="1"/>
    <col min="12809" max="12809" width="15.5703125" style="31" bestFit="1" customWidth="1"/>
    <col min="12810" max="12810" width="13.5703125" style="31" customWidth="1"/>
    <col min="12811" max="12811" width="20.5703125" style="31" customWidth="1"/>
    <col min="12812" max="12812" width="12.42578125" style="31" bestFit="1" customWidth="1"/>
    <col min="12813" max="13056" width="9.140625" style="31"/>
    <col min="13057" max="13057" width="23" style="31" customWidth="1"/>
    <col min="13058" max="13058" width="42" style="31" customWidth="1"/>
    <col min="13059" max="13059" width="54.7109375" style="31" customWidth="1"/>
    <col min="13060" max="13060" width="17.28515625" style="31" bestFit="1" customWidth="1"/>
    <col min="13061" max="13061" width="20.140625" style="31" bestFit="1" customWidth="1"/>
    <col min="13062" max="13062" width="16.5703125" style="31" customWidth="1"/>
    <col min="13063" max="13063" width="18.7109375" style="31" bestFit="1" customWidth="1"/>
    <col min="13064" max="13064" width="17.5703125" style="31" customWidth="1"/>
    <col min="13065" max="13065" width="15.5703125" style="31" bestFit="1" customWidth="1"/>
    <col min="13066" max="13066" width="13.5703125" style="31" customWidth="1"/>
    <col min="13067" max="13067" width="20.5703125" style="31" customWidth="1"/>
    <col min="13068" max="13068" width="12.42578125" style="31" bestFit="1" customWidth="1"/>
    <col min="13069" max="13312" width="9.140625" style="31"/>
    <col min="13313" max="13313" width="23" style="31" customWidth="1"/>
    <col min="13314" max="13314" width="42" style="31" customWidth="1"/>
    <col min="13315" max="13315" width="54.7109375" style="31" customWidth="1"/>
    <col min="13316" max="13316" width="17.28515625" style="31" bestFit="1" customWidth="1"/>
    <col min="13317" max="13317" width="20.140625" style="31" bestFit="1" customWidth="1"/>
    <col min="13318" max="13318" width="16.5703125" style="31" customWidth="1"/>
    <col min="13319" max="13319" width="18.7109375" style="31" bestFit="1" customWidth="1"/>
    <col min="13320" max="13320" width="17.5703125" style="31" customWidth="1"/>
    <col min="13321" max="13321" width="15.5703125" style="31" bestFit="1" customWidth="1"/>
    <col min="13322" max="13322" width="13.5703125" style="31" customWidth="1"/>
    <col min="13323" max="13323" width="20.5703125" style="31" customWidth="1"/>
    <col min="13324" max="13324" width="12.42578125" style="31" bestFit="1" customWidth="1"/>
    <col min="13325" max="13568" width="9.140625" style="31"/>
    <col min="13569" max="13569" width="23" style="31" customWidth="1"/>
    <col min="13570" max="13570" width="42" style="31" customWidth="1"/>
    <col min="13571" max="13571" width="54.7109375" style="31" customWidth="1"/>
    <col min="13572" max="13572" width="17.28515625" style="31" bestFit="1" customWidth="1"/>
    <col min="13573" max="13573" width="20.140625" style="31" bestFit="1" customWidth="1"/>
    <col min="13574" max="13574" width="16.5703125" style="31" customWidth="1"/>
    <col min="13575" max="13575" width="18.7109375" style="31" bestFit="1" customWidth="1"/>
    <col min="13576" max="13576" width="17.5703125" style="31" customWidth="1"/>
    <col min="13577" max="13577" width="15.5703125" style="31" bestFit="1" customWidth="1"/>
    <col min="13578" max="13578" width="13.5703125" style="31" customWidth="1"/>
    <col min="13579" max="13579" width="20.5703125" style="31" customWidth="1"/>
    <col min="13580" max="13580" width="12.42578125" style="31" bestFit="1" customWidth="1"/>
    <col min="13581" max="13824" width="9.140625" style="31"/>
    <col min="13825" max="13825" width="23" style="31" customWidth="1"/>
    <col min="13826" max="13826" width="42" style="31" customWidth="1"/>
    <col min="13827" max="13827" width="54.7109375" style="31" customWidth="1"/>
    <col min="13828" max="13828" width="17.28515625" style="31" bestFit="1" customWidth="1"/>
    <col min="13829" max="13829" width="20.140625" style="31" bestFit="1" customWidth="1"/>
    <col min="13830" max="13830" width="16.5703125" style="31" customWidth="1"/>
    <col min="13831" max="13831" width="18.7109375" style="31" bestFit="1" customWidth="1"/>
    <col min="13832" max="13832" width="17.5703125" style="31" customWidth="1"/>
    <col min="13833" max="13833" width="15.5703125" style="31" bestFit="1" customWidth="1"/>
    <col min="13834" max="13834" width="13.5703125" style="31" customWidth="1"/>
    <col min="13835" max="13835" width="20.5703125" style="31" customWidth="1"/>
    <col min="13836" max="13836" width="12.42578125" style="31" bestFit="1" customWidth="1"/>
    <col min="13837" max="14080" width="9.140625" style="31"/>
    <col min="14081" max="14081" width="23" style="31" customWidth="1"/>
    <col min="14082" max="14082" width="42" style="31" customWidth="1"/>
    <col min="14083" max="14083" width="54.7109375" style="31" customWidth="1"/>
    <col min="14084" max="14084" width="17.28515625" style="31" bestFit="1" customWidth="1"/>
    <col min="14085" max="14085" width="20.140625" style="31" bestFit="1" customWidth="1"/>
    <col min="14086" max="14086" width="16.5703125" style="31" customWidth="1"/>
    <col min="14087" max="14087" width="18.7109375" style="31" bestFit="1" customWidth="1"/>
    <col min="14088" max="14088" width="17.5703125" style="31" customWidth="1"/>
    <col min="14089" max="14089" width="15.5703125" style="31" bestFit="1" customWidth="1"/>
    <col min="14090" max="14090" width="13.5703125" style="31" customWidth="1"/>
    <col min="14091" max="14091" width="20.5703125" style="31" customWidth="1"/>
    <col min="14092" max="14092" width="12.42578125" style="31" bestFit="1" customWidth="1"/>
    <col min="14093" max="14336" width="9.140625" style="31"/>
    <col min="14337" max="14337" width="23" style="31" customWidth="1"/>
    <col min="14338" max="14338" width="42" style="31" customWidth="1"/>
    <col min="14339" max="14339" width="54.7109375" style="31" customWidth="1"/>
    <col min="14340" max="14340" width="17.28515625" style="31" bestFit="1" customWidth="1"/>
    <col min="14341" max="14341" width="20.140625" style="31" bestFit="1" customWidth="1"/>
    <col min="14342" max="14342" width="16.5703125" style="31" customWidth="1"/>
    <col min="14343" max="14343" width="18.7109375" style="31" bestFit="1" customWidth="1"/>
    <col min="14344" max="14344" width="17.5703125" style="31" customWidth="1"/>
    <col min="14345" max="14345" width="15.5703125" style="31" bestFit="1" customWidth="1"/>
    <col min="14346" max="14346" width="13.5703125" style="31" customWidth="1"/>
    <col min="14347" max="14347" width="20.5703125" style="31" customWidth="1"/>
    <col min="14348" max="14348" width="12.42578125" style="31" bestFit="1" customWidth="1"/>
    <col min="14349" max="14592" width="9.140625" style="31"/>
    <col min="14593" max="14593" width="23" style="31" customWidth="1"/>
    <col min="14594" max="14594" width="42" style="31" customWidth="1"/>
    <col min="14595" max="14595" width="54.7109375" style="31" customWidth="1"/>
    <col min="14596" max="14596" width="17.28515625" style="31" bestFit="1" customWidth="1"/>
    <col min="14597" max="14597" width="20.140625" style="31" bestFit="1" customWidth="1"/>
    <col min="14598" max="14598" width="16.5703125" style="31" customWidth="1"/>
    <col min="14599" max="14599" width="18.7109375" style="31" bestFit="1" customWidth="1"/>
    <col min="14600" max="14600" width="17.5703125" style="31" customWidth="1"/>
    <col min="14601" max="14601" width="15.5703125" style="31" bestFit="1" customWidth="1"/>
    <col min="14602" max="14602" width="13.5703125" style="31" customWidth="1"/>
    <col min="14603" max="14603" width="20.5703125" style="31" customWidth="1"/>
    <col min="14604" max="14604" width="12.42578125" style="31" bestFit="1" customWidth="1"/>
    <col min="14605" max="14848" width="9.140625" style="31"/>
    <col min="14849" max="14849" width="23" style="31" customWidth="1"/>
    <col min="14850" max="14850" width="42" style="31" customWidth="1"/>
    <col min="14851" max="14851" width="54.7109375" style="31" customWidth="1"/>
    <col min="14852" max="14852" width="17.28515625" style="31" bestFit="1" customWidth="1"/>
    <col min="14853" max="14853" width="20.140625" style="31" bestFit="1" customWidth="1"/>
    <col min="14854" max="14854" width="16.5703125" style="31" customWidth="1"/>
    <col min="14855" max="14855" width="18.7109375" style="31" bestFit="1" customWidth="1"/>
    <col min="14856" max="14856" width="17.5703125" style="31" customWidth="1"/>
    <col min="14857" max="14857" width="15.5703125" style="31" bestFit="1" customWidth="1"/>
    <col min="14858" max="14858" width="13.5703125" style="31" customWidth="1"/>
    <col min="14859" max="14859" width="20.5703125" style="31" customWidth="1"/>
    <col min="14860" max="14860" width="12.42578125" style="31" bestFit="1" customWidth="1"/>
    <col min="14861" max="15104" width="9.140625" style="31"/>
    <col min="15105" max="15105" width="23" style="31" customWidth="1"/>
    <col min="15106" max="15106" width="42" style="31" customWidth="1"/>
    <col min="15107" max="15107" width="54.7109375" style="31" customWidth="1"/>
    <col min="15108" max="15108" width="17.28515625" style="31" bestFit="1" customWidth="1"/>
    <col min="15109" max="15109" width="20.140625" style="31" bestFit="1" customWidth="1"/>
    <col min="15110" max="15110" width="16.5703125" style="31" customWidth="1"/>
    <col min="15111" max="15111" width="18.7109375" style="31" bestFit="1" customWidth="1"/>
    <col min="15112" max="15112" width="17.5703125" style="31" customWidth="1"/>
    <col min="15113" max="15113" width="15.5703125" style="31" bestFit="1" customWidth="1"/>
    <col min="15114" max="15114" width="13.5703125" style="31" customWidth="1"/>
    <col min="15115" max="15115" width="20.5703125" style="31" customWidth="1"/>
    <col min="15116" max="15116" width="12.42578125" style="31" bestFit="1" customWidth="1"/>
    <col min="15117" max="15360" width="9.140625" style="31"/>
    <col min="15361" max="15361" width="23" style="31" customWidth="1"/>
    <col min="15362" max="15362" width="42" style="31" customWidth="1"/>
    <col min="15363" max="15363" width="54.7109375" style="31" customWidth="1"/>
    <col min="15364" max="15364" width="17.28515625" style="31" bestFit="1" customWidth="1"/>
    <col min="15365" max="15365" width="20.140625" style="31" bestFit="1" customWidth="1"/>
    <col min="15366" max="15366" width="16.5703125" style="31" customWidth="1"/>
    <col min="15367" max="15367" width="18.7109375" style="31" bestFit="1" customWidth="1"/>
    <col min="15368" max="15368" width="17.5703125" style="31" customWidth="1"/>
    <col min="15369" max="15369" width="15.5703125" style="31" bestFit="1" customWidth="1"/>
    <col min="15370" max="15370" width="13.5703125" style="31" customWidth="1"/>
    <col min="15371" max="15371" width="20.5703125" style="31" customWidth="1"/>
    <col min="15372" max="15372" width="12.42578125" style="31" bestFit="1" customWidth="1"/>
    <col min="15373" max="15616" width="9.140625" style="31"/>
    <col min="15617" max="15617" width="23" style="31" customWidth="1"/>
    <col min="15618" max="15618" width="42" style="31" customWidth="1"/>
    <col min="15619" max="15619" width="54.7109375" style="31" customWidth="1"/>
    <col min="15620" max="15620" width="17.28515625" style="31" bestFit="1" customWidth="1"/>
    <col min="15621" max="15621" width="20.140625" style="31" bestFit="1" customWidth="1"/>
    <col min="15622" max="15622" width="16.5703125" style="31" customWidth="1"/>
    <col min="15623" max="15623" width="18.7109375" style="31" bestFit="1" customWidth="1"/>
    <col min="15624" max="15624" width="17.5703125" style="31" customWidth="1"/>
    <col min="15625" max="15625" width="15.5703125" style="31" bestFit="1" customWidth="1"/>
    <col min="15626" max="15626" width="13.5703125" style="31" customWidth="1"/>
    <col min="15627" max="15627" width="20.5703125" style="31" customWidth="1"/>
    <col min="15628" max="15628" width="12.42578125" style="31" bestFit="1" customWidth="1"/>
    <col min="15629" max="15872" width="9.140625" style="31"/>
    <col min="15873" max="15873" width="23" style="31" customWidth="1"/>
    <col min="15874" max="15874" width="42" style="31" customWidth="1"/>
    <col min="15875" max="15875" width="54.7109375" style="31" customWidth="1"/>
    <col min="15876" max="15876" width="17.28515625" style="31" bestFit="1" customWidth="1"/>
    <col min="15877" max="15877" width="20.140625" style="31" bestFit="1" customWidth="1"/>
    <col min="15878" max="15878" width="16.5703125" style="31" customWidth="1"/>
    <col min="15879" max="15879" width="18.7109375" style="31" bestFit="1" customWidth="1"/>
    <col min="15880" max="15880" width="17.5703125" style="31" customWidth="1"/>
    <col min="15881" max="15881" width="15.5703125" style="31" bestFit="1" customWidth="1"/>
    <col min="15882" max="15882" width="13.5703125" style="31" customWidth="1"/>
    <col min="15883" max="15883" width="20.5703125" style="31" customWidth="1"/>
    <col min="15884" max="15884" width="12.42578125" style="31" bestFit="1" customWidth="1"/>
    <col min="15885" max="16128" width="9.140625" style="31"/>
    <col min="16129" max="16129" width="23" style="31" customWidth="1"/>
    <col min="16130" max="16130" width="42" style="31" customWidth="1"/>
    <col min="16131" max="16131" width="54.7109375" style="31" customWidth="1"/>
    <col min="16132" max="16132" width="17.28515625" style="31" bestFit="1" customWidth="1"/>
    <col min="16133" max="16133" width="20.140625" style="31" bestFit="1" customWidth="1"/>
    <col min="16134" max="16134" width="16.5703125" style="31" customWidth="1"/>
    <col min="16135" max="16135" width="18.7109375" style="31" bestFit="1" customWidth="1"/>
    <col min="16136" max="16136" width="17.5703125" style="31" customWidth="1"/>
    <col min="16137" max="16137" width="15.5703125" style="31" bestFit="1" customWidth="1"/>
    <col min="16138" max="16138" width="13.5703125" style="31" customWidth="1"/>
    <col min="16139" max="16139" width="20.5703125" style="31" customWidth="1"/>
    <col min="16140" max="16140" width="12.42578125" style="31" bestFit="1" customWidth="1"/>
    <col min="16141" max="16384" width="9.140625" style="31"/>
  </cols>
  <sheetData>
    <row r="1" spans="2:7" x14ac:dyDescent="0.25">
      <c r="G1" s="32" t="s">
        <v>909</v>
      </c>
    </row>
    <row r="2" spans="2:7" x14ac:dyDescent="0.25">
      <c r="B2" s="112" t="s">
        <v>1070</v>
      </c>
      <c r="C2" s="112"/>
      <c r="D2" s="112"/>
      <c r="E2" s="112"/>
      <c r="F2" s="112"/>
      <c r="G2" s="112"/>
    </row>
    <row r="3" spans="2:7" x14ac:dyDescent="0.25">
      <c r="B3" s="112" t="s">
        <v>1071</v>
      </c>
      <c r="C3" s="112"/>
      <c r="D3" s="112"/>
      <c r="E3" s="112"/>
      <c r="F3" s="112"/>
      <c r="G3" s="112"/>
    </row>
    <row r="4" spans="2:7" x14ac:dyDescent="0.25">
      <c r="B4" s="32"/>
      <c r="C4" s="32"/>
      <c r="D4" s="32"/>
      <c r="E4" s="32"/>
      <c r="F4" s="32"/>
      <c r="G4" s="32"/>
    </row>
    <row r="5" spans="2:7" x14ac:dyDescent="0.25">
      <c r="B5" s="112" t="s">
        <v>1072</v>
      </c>
      <c r="C5" s="112"/>
      <c r="D5" s="112"/>
      <c r="E5" s="112"/>
      <c r="F5" s="112"/>
      <c r="G5" s="112"/>
    </row>
    <row r="6" spans="2:7" x14ac:dyDescent="0.25">
      <c r="B6" s="32" t="s">
        <v>1073</v>
      </c>
    </row>
    <row r="8" spans="2:7" ht="27" x14ac:dyDescent="0.25">
      <c r="B8" s="33" t="s">
        <v>1074</v>
      </c>
      <c r="C8" s="33" t="s">
        <v>1075</v>
      </c>
      <c r="D8" s="33" t="s">
        <v>1076</v>
      </c>
      <c r="E8" s="34" t="s">
        <v>1077</v>
      </c>
      <c r="F8" s="34" t="s">
        <v>1078</v>
      </c>
      <c r="G8" s="34" t="s">
        <v>1079</v>
      </c>
    </row>
    <row r="9" spans="2:7" x14ac:dyDescent="0.25">
      <c r="B9" s="35" t="s">
        <v>976</v>
      </c>
      <c r="C9" s="35" t="s">
        <v>1080</v>
      </c>
      <c r="D9" s="36" t="s">
        <v>1081</v>
      </c>
      <c r="E9" s="37">
        <v>3107.11</v>
      </c>
      <c r="F9" s="38">
        <v>3155.1</v>
      </c>
      <c r="G9" s="39">
        <v>236.96346750000001</v>
      </c>
    </row>
    <row r="10" spans="2:7" x14ac:dyDescent="0.25">
      <c r="B10" s="35" t="s">
        <v>976</v>
      </c>
      <c r="C10" s="35" t="s">
        <v>1082</v>
      </c>
      <c r="D10" s="36" t="s">
        <v>1081</v>
      </c>
      <c r="E10" s="37">
        <v>234.89</v>
      </c>
      <c r="F10" s="38">
        <v>238.89</v>
      </c>
      <c r="G10" s="39">
        <v>53.691759900000001</v>
      </c>
    </row>
    <row r="11" spans="2:7" x14ac:dyDescent="0.25">
      <c r="B11" s="35" t="s">
        <v>976</v>
      </c>
      <c r="C11" s="35" t="s">
        <v>1083</v>
      </c>
      <c r="D11" s="36" t="s">
        <v>1081</v>
      </c>
      <c r="E11" s="37">
        <v>2485.35</v>
      </c>
      <c r="F11" s="38">
        <v>2530.6999999999998</v>
      </c>
      <c r="G11" s="39">
        <v>9.3683610000000002</v>
      </c>
    </row>
    <row r="12" spans="2:7" x14ac:dyDescent="0.25">
      <c r="B12" s="35" t="s">
        <v>976</v>
      </c>
      <c r="C12" s="35" t="s">
        <v>1084</v>
      </c>
      <c r="D12" s="36" t="s">
        <v>1081</v>
      </c>
      <c r="E12" s="37">
        <v>1512.86</v>
      </c>
      <c r="F12" s="38">
        <v>1470.05</v>
      </c>
      <c r="G12" s="39">
        <v>37.2809904</v>
      </c>
    </row>
    <row r="13" spans="2:7" x14ac:dyDescent="0.25">
      <c r="B13" s="35" t="s">
        <v>976</v>
      </c>
      <c r="C13" s="35" t="s">
        <v>1085</v>
      </c>
      <c r="D13" s="36" t="s">
        <v>1081</v>
      </c>
      <c r="E13" s="37">
        <v>1249.5999999999999</v>
      </c>
      <c r="F13" s="38">
        <v>1242.5</v>
      </c>
      <c r="G13" s="39">
        <v>43.564203899999995</v>
      </c>
    </row>
    <row r="14" spans="2:7" x14ac:dyDescent="0.25">
      <c r="B14" s="35" t="s">
        <v>976</v>
      </c>
      <c r="C14" s="35" t="s">
        <v>1086</v>
      </c>
      <c r="D14" s="36" t="s">
        <v>1081</v>
      </c>
      <c r="E14" s="37">
        <v>7648.27</v>
      </c>
      <c r="F14" s="38">
        <v>7761.1</v>
      </c>
      <c r="G14" s="39">
        <v>17.206106000000002</v>
      </c>
    </row>
    <row r="15" spans="2:7" x14ac:dyDescent="0.25">
      <c r="B15" s="35" t="s">
        <v>976</v>
      </c>
      <c r="C15" s="35" t="s">
        <v>1087</v>
      </c>
      <c r="D15" s="36" t="s">
        <v>1081</v>
      </c>
      <c r="E15" s="37">
        <v>242.94</v>
      </c>
      <c r="F15" s="38">
        <v>249.05</v>
      </c>
      <c r="G15" s="39">
        <v>88.920714599999997</v>
      </c>
    </row>
    <row r="16" spans="2:7" x14ac:dyDescent="0.25">
      <c r="B16" s="35" t="s">
        <v>976</v>
      </c>
      <c r="C16" s="35" t="s">
        <v>1088</v>
      </c>
      <c r="D16" s="36" t="s">
        <v>1081</v>
      </c>
      <c r="E16" s="37">
        <v>287.74</v>
      </c>
      <c r="F16" s="38">
        <v>286.75</v>
      </c>
      <c r="G16" s="39">
        <v>29.483071499999998</v>
      </c>
    </row>
    <row r="17" spans="2:7" x14ac:dyDescent="0.25">
      <c r="B17" s="35" t="s">
        <v>976</v>
      </c>
      <c r="C17" s="35" t="s">
        <v>1089</v>
      </c>
      <c r="D17" s="36" t="s">
        <v>1081</v>
      </c>
      <c r="E17" s="37">
        <v>108.23</v>
      </c>
      <c r="F17" s="38">
        <v>112</v>
      </c>
      <c r="G17" s="39">
        <v>43.2</v>
      </c>
    </row>
    <row r="18" spans="2:7" x14ac:dyDescent="0.25">
      <c r="B18" s="35" t="s">
        <v>976</v>
      </c>
      <c r="C18" s="35" t="s">
        <v>1090</v>
      </c>
      <c r="D18" s="36" t="s">
        <v>1081</v>
      </c>
      <c r="E18" s="37">
        <v>910.35</v>
      </c>
      <c r="F18" s="38">
        <v>901</v>
      </c>
      <c r="G18" s="39">
        <v>164.2426552</v>
      </c>
    </row>
    <row r="19" spans="2:7" x14ac:dyDescent="0.25">
      <c r="B19" s="35" t="s">
        <v>976</v>
      </c>
      <c r="C19" s="35" t="s">
        <v>1091</v>
      </c>
      <c r="D19" s="36" t="s">
        <v>1081</v>
      </c>
      <c r="E19" s="37">
        <v>625.42999999999995</v>
      </c>
      <c r="F19" s="38">
        <v>636.20000000000005</v>
      </c>
      <c r="G19" s="39">
        <v>206.69327999999999</v>
      </c>
    </row>
    <row r="20" spans="2:7" x14ac:dyDescent="0.25">
      <c r="B20" s="35" t="s">
        <v>976</v>
      </c>
      <c r="C20" s="35" t="s">
        <v>1092</v>
      </c>
      <c r="D20" s="36" t="s">
        <v>1081</v>
      </c>
      <c r="E20" s="37">
        <v>1786.1</v>
      </c>
      <c r="F20" s="38">
        <v>1746.3</v>
      </c>
      <c r="G20" s="39">
        <v>230.76195300000001</v>
      </c>
    </row>
    <row r="21" spans="2:7" x14ac:dyDescent="0.25">
      <c r="B21" s="35" t="s">
        <v>976</v>
      </c>
      <c r="C21" s="35" t="s">
        <v>1093</v>
      </c>
      <c r="D21" s="36" t="s">
        <v>1081</v>
      </c>
      <c r="E21" s="37">
        <v>710.6</v>
      </c>
      <c r="F21" s="38">
        <v>690.45</v>
      </c>
      <c r="G21" s="39">
        <v>71.642632500000005</v>
      </c>
    </row>
    <row r="22" spans="2:7" x14ac:dyDescent="0.25">
      <c r="B22" s="35" t="s">
        <v>976</v>
      </c>
      <c r="C22" s="35" t="s">
        <v>1094</v>
      </c>
      <c r="D22" s="36" t="s">
        <v>1081</v>
      </c>
      <c r="E22" s="37">
        <v>170.14</v>
      </c>
      <c r="F22" s="38">
        <v>181.14</v>
      </c>
      <c r="G22" s="39">
        <v>11.132520600000001</v>
      </c>
    </row>
    <row r="23" spans="2:7" x14ac:dyDescent="0.25">
      <c r="B23" s="35" t="s">
        <v>976</v>
      </c>
      <c r="C23" s="35" t="s">
        <v>1095</v>
      </c>
      <c r="D23" s="36" t="s">
        <v>1081</v>
      </c>
      <c r="E23" s="37">
        <v>404.58</v>
      </c>
      <c r="F23" s="38">
        <v>394.7</v>
      </c>
      <c r="G23" s="39">
        <v>289.83973199999997</v>
      </c>
    </row>
    <row r="24" spans="2:7" x14ac:dyDescent="0.25">
      <c r="B24" s="35" t="s">
        <v>976</v>
      </c>
      <c r="C24" s="35" t="s">
        <v>1096</v>
      </c>
      <c r="D24" s="36" t="s">
        <v>1081</v>
      </c>
      <c r="E24" s="37">
        <v>519.69000000000005</v>
      </c>
      <c r="F24" s="38">
        <v>522.45000000000005</v>
      </c>
      <c r="G24" s="39">
        <v>8.9035920000000015</v>
      </c>
    </row>
    <row r="25" spans="2:7" x14ac:dyDescent="0.25">
      <c r="B25" s="35" t="s">
        <v>976</v>
      </c>
      <c r="C25" s="35" t="s">
        <v>1097</v>
      </c>
      <c r="D25" s="36" t="s">
        <v>1081</v>
      </c>
      <c r="E25" s="37">
        <v>1941.74</v>
      </c>
      <c r="F25" s="38">
        <v>1869.75</v>
      </c>
      <c r="G25" s="39">
        <v>30.559754999999999</v>
      </c>
    </row>
    <row r="26" spans="2:7" x14ac:dyDescent="0.25">
      <c r="B26" s="35" t="s">
        <v>976</v>
      </c>
      <c r="C26" s="35" t="s">
        <v>1098</v>
      </c>
      <c r="D26" s="36" t="s">
        <v>1081</v>
      </c>
      <c r="E26" s="37">
        <v>3821.87</v>
      </c>
      <c r="F26" s="38">
        <v>3705.3</v>
      </c>
      <c r="G26" s="39">
        <v>29.590449</v>
      </c>
    </row>
    <row r="27" spans="2:7" x14ac:dyDescent="0.25">
      <c r="B27" s="35" t="s">
        <v>976</v>
      </c>
      <c r="C27" s="35" t="s">
        <v>1099</v>
      </c>
      <c r="D27" s="36" t="s">
        <v>1081</v>
      </c>
      <c r="E27" s="37">
        <v>3087.37</v>
      </c>
      <c r="F27" s="38">
        <v>3120.75</v>
      </c>
      <c r="G27" s="39">
        <v>23.4170959</v>
      </c>
    </row>
    <row r="28" spans="2:7" x14ac:dyDescent="0.25">
      <c r="B28" s="35" t="s">
        <v>976</v>
      </c>
      <c r="C28" s="40" t="s">
        <v>1100</v>
      </c>
      <c r="D28" s="36" t="s">
        <v>1081</v>
      </c>
      <c r="E28" s="37">
        <v>210.28</v>
      </c>
      <c r="F28" s="38">
        <v>202.6</v>
      </c>
      <c r="G28" s="39">
        <v>143.51903999999999</v>
      </c>
    </row>
    <row r="29" spans="2:7" x14ac:dyDescent="0.25">
      <c r="B29" s="35" t="s">
        <v>976</v>
      </c>
      <c r="C29" s="40" t="s">
        <v>1101</v>
      </c>
      <c r="D29" s="36" t="s">
        <v>1081</v>
      </c>
      <c r="E29" s="37">
        <v>12321.43</v>
      </c>
      <c r="F29" s="38">
        <v>13342.25</v>
      </c>
      <c r="G29" s="39">
        <v>63.320393200000005</v>
      </c>
    </row>
    <row r="30" spans="2:7" x14ac:dyDescent="0.25">
      <c r="B30" s="35" t="s">
        <v>976</v>
      </c>
      <c r="C30" s="40" t="s">
        <v>1102</v>
      </c>
      <c r="D30" s="36" t="s">
        <v>1081</v>
      </c>
      <c r="E30" s="37">
        <v>432.47</v>
      </c>
      <c r="F30" s="38">
        <v>445.75</v>
      </c>
      <c r="G30" s="39">
        <v>11.738419199999999</v>
      </c>
    </row>
    <row r="31" spans="2:7" x14ac:dyDescent="0.25">
      <c r="B31" s="35" t="s">
        <v>976</v>
      </c>
      <c r="C31" s="40" t="s">
        <v>1103</v>
      </c>
      <c r="D31" s="36" t="s">
        <v>1081</v>
      </c>
      <c r="E31" s="37">
        <v>2998.24</v>
      </c>
      <c r="F31" s="38">
        <v>2977.2</v>
      </c>
      <c r="G31" s="39">
        <v>190.00173000000001</v>
      </c>
    </row>
    <row r="32" spans="2:7" x14ac:dyDescent="0.25">
      <c r="B32" s="35" t="s">
        <v>976</v>
      </c>
      <c r="C32" s="40" t="s">
        <v>1104</v>
      </c>
      <c r="D32" s="36" t="s">
        <v>1081</v>
      </c>
      <c r="E32" s="37">
        <v>798.75</v>
      </c>
      <c r="F32" s="38">
        <v>792.7</v>
      </c>
      <c r="G32" s="39">
        <v>20.0130084</v>
      </c>
    </row>
    <row r="33" spans="2:7" x14ac:dyDescent="0.25">
      <c r="B33" s="35" t="s">
        <v>976</v>
      </c>
      <c r="C33" s="40" t="s">
        <v>1105</v>
      </c>
      <c r="D33" s="36" t="s">
        <v>1081</v>
      </c>
      <c r="E33" s="37">
        <v>983.11</v>
      </c>
      <c r="F33" s="38">
        <v>982.35</v>
      </c>
      <c r="G33" s="39">
        <v>58.909531999999999</v>
      </c>
    </row>
    <row r="34" spans="2:7" x14ac:dyDescent="0.25">
      <c r="B34" s="35" t="s">
        <v>976</v>
      </c>
      <c r="C34" s="40" t="s">
        <v>1106</v>
      </c>
      <c r="D34" s="36" t="s">
        <v>1081</v>
      </c>
      <c r="E34" s="37">
        <v>464.11</v>
      </c>
      <c r="F34" s="38">
        <v>485.55</v>
      </c>
      <c r="G34" s="39">
        <v>44.626434399999994</v>
      </c>
    </row>
    <row r="35" spans="2:7" x14ac:dyDescent="0.25">
      <c r="B35" s="35" t="s">
        <v>976</v>
      </c>
      <c r="C35" s="40" t="s">
        <v>1107</v>
      </c>
      <c r="D35" s="36" t="s">
        <v>1081</v>
      </c>
      <c r="E35" s="37">
        <v>152.75</v>
      </c>
      <c r="F35" s="38">
        <v>169.45</v>
      </c>
      <c r="G35" s="39">
        <v>30.883752099999999</v>
      </c>
    </row>
    <row r="36" spans="2:7" x14ac:dyDescent="0.25">
      <c r="B36" s="35" t="s">
        <v>976</v>
      </c>
      <c r="C36" s="40" t="s">
        <v>1108</v>
      </c>
      <c r="D36" s="36" t="s">
        <v>1081</v>
      </c>
      <c r="E36" s="37">
        <v>474.16</v>
      </c>
      <c r="F36" s="38">
        <v>511.9</v>
      </c>
      <c r="G36" s="39">
        <v>106.48870050000001</v>
      </c>
    </row>
    <row r="37" spans="2:7" x14ac:dyDescent="0.25">
      <c r="B37" s="35"/>
      <c r="C37" s="41"/>
      <c r="D37" s="36"/>
      <c r="E37" s="37"/>
      <c r="F37" s="42"/>
      <c r="G37" s="43"/>
    </row>
    <row r="38" spans="2:7" x14ac:dyDescent="0.25">
      <c r="B38" s="35" t="s">
        <v>677</v>
      </c>
      <c r="C38" s="44" t="s">
        <v>1086</v>
      </c>
      <c r="D38" s="36" t="s">
        <v>1081</v>
      </c>
      <c r="E38" s="45">
        <v>7558.67</v>
      </c>
      <c r="F38" s="46">
        <v>7761.1</v>
      </c>
      <c r="G38" s="39">
        <v>237.44426280000002</v>
      </c>
    </row>
    <row r="39" spans="2:7" x14ac:dyDescent="0.25">
      <c r="B39" s="35" t="s">
        <v>677</v>
      </c>
      <c r="C39" s="44" t="s">
        <v>1109</v>
      </c>
      <c r="D39" s="36" t="s">
        <v>1081</v>
      </c>
      <c r="E39" s="45">
        <v>1933.84</v>
      </c>
      <c r="F39" s="46">
        <v>1989.6</v>
      </c>
      <c r="G39" s="39">
        <v>270.61016000000001</v>
      </c>
    </row>
    <row r="40" spans="2:7" x14ac:dyDescent="0.25">
      <c r="B40" s="35" t="s">
        <v>677</v>
      </c>
      <c r="C40" s="44" t="s">
        <v>1087</v>
      </c>
      <c r="D40" s="36" t="s">
        <v>1081</v>
      </c>
      <c r="E40" s="45">
        <v>245.5</v>
      </c>
      <c r="F40" s="47">
        <v>249.05</v>
      </c>
      <c r="G40" s="48">
        <v>523.64420819999998</v>
      </c>
    </row>
    <row r="41" spans="2:7" x14ac:dyDescent="0.25">
      <c r="B41" s="35" t="s">
        <v>677</v>
      </c>
      <c r="C41" s="44" t="s">
        <v>1089</v>
      </c>
      <c r="D41" s="36" t="s">
        <v>1081</v>
      </c>
      <c r="E41" s="45">
        <v>110.84</v>
      </c>
      <c r="F41" s="46">
        <v>112</v>
      </c>
      <c r="G41" s="49">
        <v>490.75200000000001</v>
      </c>
    </row>
    <row r="42" spans="2:7" x14ac:dyDescent="0.25">
      <c r="B42" s="35" t="s">
        <v>677</v>
      </c>
      <c r="C42" s="44" t="s">
        <v>1110</v>
      </c>
      <c r="D42" s="36" t="s">
        <v>1081</v>
      </c>
      <c r="E42" s="45">
        <v>1659.3</v>
      </c>
      <c r="F42" s="46">
        <v>1668.1</v>
      </c>
      <c r="G42" s="49">
        <v>381.76732439999995</v>
      </c>
    </row>
    <row r="43" spans="2:7" x14ac:dyDescent="0.25">
      <c r="B43" s="35" t="s">
        <v>677</v>
      </c>
      <c r="C43" s="44" t="s">
        <v>1092</v>
      </c>
      <c r="D43" s="36" t="s">
        <v>1081</v>
      </c>
      <c r="E43" s="45">
        <v>1785.12</v>
      </c>
      <c r="F43" s="46">
        <v>1746.3</v>
      </c>
      <c r="G43" s="49">
        <v>610.23716460000003</v>
      </c>
    </row>
    <row r="44" spans="2:7" x14ac:dyDescent="0.25">
      <c r="B44" s="35" t="s">
        <v>677</v>
      </c>
      <c r="C44" s="44" t="s">
        <v>1111</v>
      </c>
      <c r="D44" s="36" t="s">
        <v>1081</v>
      </c>
      <c r="E44" s="45">
        <v>1470.79</v>
      </c>
      <c r="F44" s="46">
        <v>1455.75</v>
      </c>
      <c r="G44" s="49">
        <v>268.26429150000001</v>
      </c>
    </row>
    <row r="45" spans="2:7" x14ac:dyDescent="0.25">
      <c r="B45" s="35" t="s">
        <v>677</v>
      </c>
      <c r="C45" s="44" t="s">
        <v>1097</v>
      </c>
      <c r="D45" s="36" t="s">
        <v>1081</v>
      </c>
      <c r="E45" s="45">
        <v>1939.46</v>
      </c>
      <c r="F45" s="46">
        <v>1869.75</v>
      </c>
      <c r="G45" s="49">
        <v>290.98201499999999</v>
      </c>
    </row>
    <row r="46" spans="2:7" x14ac:dyDescent="0.25">
      <c r="B46" s="35" t="s">
        <v>677</v>
      </c>
      <c r="C46" s="44" t="s">
        <v>1103</v>
      </c>
      <c r="D46" s="36" t="s">
        <v>1081</v>
      </c>
      <c r="E46" s="45">
        <v>3011.93</v>
      </c>
      <c r="F46" s="46">
        <v>2977.2</v>
      </c>
      <c r="G46" s="49">
        <v>423.12441999999999</v>
      </c>
    </row>
    <row r="47" spans="2:7" x14ac:dyDescent="0.25">
      <c r="B47" s="35"/>
      <c r="C47" s="44"/>
      <c r="D47" s="36"/>
      <c r="E47" s="45"/>
      <c r="F47" s="50"/>
      <c r="G47" s="49"/>
    </row>
    <row r="48" spans="2:7" x14ac:dyDescent="0.25">
      <c r="B48" s="35" t="s">
        <v>686</v>
      </c>
      <c r="C48" s="44" t="s">
        <v>1105</v>
      </c>
      <c r="D48" s="36" t="s">
        <v>1081</v>
      </c>
      <c r="E48" s="45">
        <v>975.62</v>
      </c>
      <c r="F48" s="50">
        <v>982.35</v>
      </c>
      <c r="G48" s="49">
        <v>80.331180000000003</v>
      </c>
    </row>
    <row r="49" spans="2:8" x14ac:dyDescent="0.25">
      <c r="B49" s="35"/>
      <c r="C49" s="44"/>
      <c r="D49" s="36"/>
      <c r="E49" s="45"/>
      <c r="F49" s="50"/>
      <c r="G49" s="49"/>
    </row>
    <row r="50" spans="2:8" x14ac:dyDescent="0.25">
      <c r="B50" s="35" t="s">
        <v>703</v>
      </c>
      <c r="C50" s="51" t="s">
        <v>1080</v>
      </c>
      <c r="D50" s="36" t="s">
        <v>1081</v>
      </c>
      <c r="E50" s="52">
        <v>3070.23</v>
      </c>
      <c r="F50" s="53">
        <v>3155.1</v>
      </c>
      <c r="G50" s="54">
        <v>117.08783099999999</v>
      </c>
      <c r="H50" s="55"/>
    </row>
    <row r="51" spans="2:8" x14ac:dyDescent="0.25">
      <c r="B51" s="35" t="s">
        <v>703</v>
      </c>
      <c r="C51" s="51" t="s">
        <v>1083</v>
      </c>
      <c r="D51" s="36" t="s">
        <v>1081</v>
      </c>
      <c r="E51" s="52">
        <v>2479.9499999999998</v>
      </c>
      <c r="F51" s="53">
        <v>2530.6999999999998</v>
      </c>
      <c r="G51" s="54">
        <v>45.280411500000007</v>
      </c>
      <c r="H51" s="55"/>
    </row>
    <row r="52" spans="2:8" x14ac:dyDescent="0.25">
      <c r="B52" s="35" t="s">
        <v>703</v>
      </c>
      <c r="C52" s="51" t="s">
        <v>1084</v>
      </c>
      <c r="D52" s="36" t="s">
        <v>1081</v>
      </c>
      <c r="E52" s="52">
        <v>1519.26</v>
      </c>
      <c r="F52" s="53">
        <v>1470.05</v>
      </c>
      <c r="G52" s="54">
        <v>124.26996799999999</v>
      </c>
      <c r="H52" s="55"/>
    </row>
    <row r="53" spans="2:8" x14ac:dyDescent="0.25">
      <c r="B53" s="35" t="s">
        <v>703</v>
      </c>
      <c r="C53" s="51" t="s">
        <v>1085</v>
      </c>
      <c r="D53" s="36" t="s">
        <v>1081</v>
      </c>
      <c r="E53" s="52">
        <v>1252</v>
      </c>
      <c r="F53" s="53">
        <v>1242.5</v>
      </c>
      <c r="G53" s="54">
        <v>642.22068330000002</v>
      </c>
      <c r="H53" s="55"/>
    </row>
    <row r="54" spans="2:8" x14ac:dyDescent="0.25">
      <c r="B54" s="35" t="s">
        <v>703</v>
      </c>
      <c r="C54" s="51" t="s">
        <v>1112</v>
      </c>
      <c r="D54" s="36" t="s">
        <v>1081</v>
      </c>
      <c r="E54" s="52">
        <v>12449.17</v>
      </c>
      <c r="F54" s="53">
        <v>12451.75</v>
      </c>
      <c r="G54" s="54">
        <v>50.404077000000001</v>
      </c>
      <c r="H54" s="55"/>
    </row>
    <row r="55" spans="2:8" x14ac:dyDescent="0.25">
      <c r="B55" s="35" t="s">
        <v>703</v>
      </c>
      <c r="C55" s="51" t="s">
        <v>1086</v>
      </c>
      <c r="D55" s="36" t="s">
        <v>1081</v>
      </c>
      <c r="E55" s="52">
        <v>7667.38</v>
      </c>
      <c r="F55" s="53">
        <v>7761.1</v>
      </c>
      <c r="G55" s="54">
        <v>304.54807620000003</v>
      </c>
      <c r="H55" s="55"/>
    </row>
    <row r="56" spans="2:8" x14ac:dyDescent="0.25">
      <c r="B56" s="35" t="s">
        <v>703</v>
      </c>
      <c r="C56" s="51" t="s">
        <v>1109</v>
      </c>
      <c r="D56" s="36" t="s">
        <v>1081</v>
      </c>
      <c r="E56" s="52">
        <v>1941.06</v>
      </c>
      <c r="F56" s="53">
        <v>1989.6</v>
      </c>
      <c r="G56" s="54">
        <v>44.508249999999997</v>
      </c>
      <c r="H56" s="55"/>
    </row>
    <row r="57" spans="2:8" x14ac:dyDescent="0.25">
      <c r="B57" s="35" t="s">
        <v>703</v>
      </c>
      <c r="C57" s="51" t="s">
        <v>1087</v>
      </c>
      <c r="D57" s="36" t="s">
        <v>1081</v>
      </c>
      <c r="E57" s="52">
        <v>242.18</v>
      </c>
      <c r="F57" s="53">
        <v>249.05</v>
      </c>
      <c r="G57" s="54">
        <v>228.8885061</v>
      </c>
      <c r="H57" s="55"/>
    </row>
    <row r="58" spans="2:8" x14ac:dyDescent="0.25">
      <c r="B58" s="35" t="s">
        <v>703</v>
      </c>
      <c r="C58" s="51" t="s">
        <v>1113</v>
      </c>
      <c r="D58" s="36" t="s">
        <v>1081</v>
      </c>
      <c r="E58" s="52">
        <v>1616.7</v>
      </c>
      <c r="F58" s="53">
        <v>1529.75</v>
      </c>
      <c r="G58" s="54">
        <v>1.6524563000000001</v>
      </c>
      <c r="H58" s="55"/>
    </row>
    <row r="59" spans="2:8" x14ac:dyDescent="0.25">
      <c r="B59" s="35" t="s">
        <v>703</v>
      </c>
      <c r="C59" s="51" t="s">
        <v>1114</v>
      </c>
      <c r="D59" s="36" t="s">
        <v>1081</v>
      </c>
      <c r="E59" s="52">
        <v>1738.68</v>
      </c>
      <c r="F59" s="53">
        <v>1724.15</v>
      </c>
      <c r="G59" s="54">
        <v>655.70384009999998</v>
      </c>
      <c r="H59" s="55"/>
    </row>
    <row r="60" spans="2:8" x14ac:dyDescent="0.25">
      <c r="B60" s="35" t="s">
        <v>703</v>
      </c>
      <c r="C60" s="51" t="s">
        <v>1090</v>
      </c>
      <c r="D60" s="36" t="s">
        <v>1081</v>
      </c>
      <c r="E60" s="52">
        <v>892.17</v>
      </c>
      <c r="F60" s="53">
        <v>901</v>
      </c>
      <c r="G60" s="54">
        <v>67.908020899999997</v>
      </c>
      <c r="H60" s="55"/>
    </row>
    <row r="61" spans="2:8" x14ac:dyDescent="0.25">
      <c r="B61" s="35" t="s">
        <v>703</v>
      </c>
      <c r="C61" s="51" t="s">
        <v>1091</v>
      </c>
      <c r="D61" s="36" t="s">
        <v>1081</v>
      </c>
      <c r="E61" s="52">
        <v>625.1</v>
      </c>
      <c r="F61" s="53">
        <v>636.20000000000005</v>
      </c>
      <c r="G61" s="54">
        <v>12.918329999999999</v>
      </c>
      <c r="H61" s="55"/>
    </row>
    <row r="62" spans="2:8" x14ac:dyDescent="0.25">
      <c r="B62" s="35" t="s">
        <v>703</v>
      </c>
      <c r="C62" s="51" t="s">
        <v>1115</v>
      </c>
      <c r="D62" s="36" t="s">
        <v>1081</v>
      </c>
      <c r="E62" s="52">
        <v>1750.44</v>
      </c>
      <c r="F62" s="53">
        <v>1797.1</v>
      </c>
      <c r="G62" s="54">
        <v>190.70256599999999</v>
      </c>
      <c r="H62" s="55"/>
    </row>
    <row r="63" spans="2:8" x14ac:dyDescent="0.25">
      <c r="B63" s="35" t="s">
        <v>703</v>
      </c>
      <c r="C63" s="51" t="s">
        <v>1092</v>
      </c>
      <c r="D63" s="36" t="s">
        <v>1081</v>
      </c>
      <c r="E63" s="52">
        <v>1745.5</v>
      </c>
      <c r="F63" s="53">
        <v>1746.3</v>
      </c>
      <c r="G63" s="54">
        <v>104.2702158</v>
      </c>
      <c r="H63" s="55"/>
    </row>
    <row r="64" spans="2:8" x14ac:dyDescent="0.25">
      <c r="B64" s="35" t="s">
        <v>703</v>
      </c>
      <c r="C64" s="51" t="s">
        <v>1116</v>
      </c>
      <c r="D64" s="36" t="s">
        <v>1081</v>
      </c>
      <c r="E64" s="52">
        <v>724.84</v>
      </c>
      <c r="F64" s="53">
        <v>724.05</v>
      </c>
      <c r="G64" s="54">
        <v>101.0315303</v>
      </c>
      <c r="H64" s="55"/>
    </row>
    <row r="65" spans="2:8" x14ac:dyDescent="0.25">
      <c r="B65" s="35" t="s">
        <v>703</v>
      </c>
      <c r="C65" s="51" t="s">
        <v>1117</v>
      </c>
      <c r="D65" s="36" t="s">
        <v>1081</v>
      </c>
      <c r="E65" s="52">
        <v>694.24</v>
      </c>
      <c r="F65" s="53">
        <v>760.3</v>
      </c>
      <c r="G65" s="54">
        <v>213.40311300000002</v>
      </c>
      <c r="H65" s="55"/>
    </row>
    <row r="66" spans="2:8" x14ac:dyDescent="0.25">
      <c r="B66" s="35" t="s">
        <v>703</v>
      </c>
      <c r="C66" s="51" t="s">
        <v>1118</v>
      </c>
      <c r="D66" s="36" t="s">
        <v>1081</v>
      </c>
      <c r="E66" s="52">
        <v>410.38</v>
      </c>
      <c r="F66" s="53">
        <v>443.2</v>
      </c>
      <c r="G66" s="54">
        <v>255.32471699999999</v>
      </c>
      <c r="H66" s="55"/>
    </row>
    <row r="67" spans="2:8" x14ac:dyDescent="0.25">
      <c r="B67" s="35" t="s">
        <v>703</v>
      </c>
      <c r="C67" s="51" t="s">
        <v>1119</v>
      </c>
      <c r="D67" s="36" t="s">
        <v>1081</v>
      </c>
      <c r="E67" s="52">
        <v>2999.57</v>
      </c>
      <c r="F67" s="53">
        <v>2978.4</v>
      </c>
      <c r="G67" s="54">
        <v>251.28073800000001</v>
      </c>
      <c r="H67" s="55"/>
    </row>
    <row r="68" spans="2:8" x14ac:dyDescent="0.25">
      <c r="B68" s="35" t="s">
        <v>703</v>
      </c>
      <c r="C68" s="51" t="s">
        <v>1111</v>
      </c>
      <c r="D68" s="36" t="s">
        <v>1081</v>
      </c>
      <c r="E68" s="52">
        <v>1477.58</v>
      </c>
      <c r="F68" s="53">
        <v>1455.75</v>
      </c>
      <c r="G68" s="54">
        <v>518.20809480000003</v>
      </c>
      <c r="H68" s="55"/>
    </row>
    <row r="69" spans="2:8" x14ac:dyDescent="0.25">
      <c r="B69" s="35" t="s">
        <v>703</v>
      </c>
      <c r="C69" s="51" t="s">
        <v>1120</v>
      </c>
      <c r="D69" s="36" t="s">
        <v>1081</v>
      </c>
      <c r="E69" s="52">
        <v>1883.75</v>
      </c>
      <c r="F69" s="53">
        <v>1873.9</v>
      </c>
      <c r="G69" s="54">
        <v>562.46044200000006</v>
      </c>
      <c r="H69" s="55"/>
    </row>
    <row r="70" spans="2:8" x14ac:dyDescent="0.25">
      <c r="B70" s="35" t="s">
        <v>703</v>
      </c>
      <c r="C70" s="51" t="s">
        <v>1121</v>
      </c>
      <c r="D70" s="36" t="s">
        <v>1081</v>
      </c>
      <c r="E70" s="52">
        <v>4972.1000000000004</v>
      </c>
      <c r="F70" s="53">
        <v>4826.75</v>
      </c>
      <c r="G70" s="54">
        <v>97.534108000000003</v>
      </c>
      <c r="H70" s="55"/>
    </row>
    <row r="71" spans="2:8" x14ac:dyDescent="0.25">
      <c r="B71" s="35" t="s">
        <v>703</v>
      </c>
      <c r="C71" s="51" t="s">
        <v>1096</v>
      </c>
      <c r="D71" s="36" t="s">
        <v>1081</v>
      </c>
      <c r="E71" s="52">
        <v>519.47</v>
      </c>
      <c r="F71" s="53">
        <v>522.45000000000005</v>
      </c>
      <c r="G71" s="54">
        <v>16.323252</v>
      </c>
      <c r="H71" s="55"/>
    </row>
    <row r="72" spans="2:8" x14ac:dyDescent="0.25">
      <c r="B72" s="35" t="s">
        <v>703</v>
      </c>
      <c r="C72" s="51" t="s">
        <v>1122</v>
      </c>
      <c r="D72" s="36" t="s">
        <v>1081</v>
      </c>
      <c r="E72" s="52">
        <v>989.57</v>
      </c>
      <c r="F72" s="53">
        <v>1035.8</v>
      </c>
      <c r="G72" s="54">
        <v>35.513553700000003</v>
      </c>
      <c r="H72" s="55"/>
    </row>
    <row r="73" spans="2:8" x14ac:dyDescent="0.25">
      <c r="B73" s="35" t="s">
        <v>703</v>
      </c>
      <c r="C73" s="51" t="s">
        <v>1098</v>
      </c>
      <c r="D73" s="36" t="s">
        <v>1081</v>
      </c>
      <c r="E73" s="52">
        <v>3728.02</v>
      </c>
      <c r="F73" s="53">
        <v>3705.3</v>
      </c>
      <c r="G73" s="54">
        <v>152.88398649999999</v>
      </c>
      <c r="H73" s="55"/>
    </row>
    <row r="74" spans="2:8" x14ac:dyDescent="0.25">
      <c r="B74" s="35" t="s">
        <v>703</v>
      </c>
      <c r="C74" s="51" t="s">
        <v>1099</v>
      </c>
      <c r="D74" s="36" t="s">
        <v>1081</v>
      </c>
      <c r="E74" s="52">
        <v>3072.12</v>
      </c>
      <c r="F74" s="53">
        <v>3120.75</v>
      </c>
      <c r="G74" s="54">
        <v>306.5510736</v>
      </c>
      <c r="H74" s="55"/>
    </row>
    <row r="75" spans="2:8" x14ac:dyDescent="0.25">
      <c r="B75" s="35" t="s">
        <v>703</v>
      </c>
      <c r="C75" s="51" t="s">
        <v>1101</v>
      </c>
      <c r="D75" s="36" t="s">
        <v>1081</v>
      </c>
      <c r="E75" s="52">
        <v>12779.34</v>
      </c>
      <c r="F75" s="53">
        <v>13342.25</v>
      </c>
      <c r="G75" s="54">
        <v>211.46621879999998</v>
      </c>
      <c r="H75" s="55"/>
    </row>
    <row r="76" spans="2:8" x14ac:dyDescent="0.25">
      <c r="B76" s="35" t="s">
        <v>703</v>
      </c>
      <c r="C76" s="51" t="s">
        <v>1102</v>
      </c>
      <c r="D76" s="36" t="s">
        <v>1081</v>
      </c>
      <c r="E76" s="52">
        <v>431.32</v>
      </c>
      <c r="F76" s="53">
        <v>445.75</v>
      </c>
      <c r="G76" s="54">
        <v>76.951859200000001</v>
      </c>
      <c r="H76" s="55"/>
    </row>
    <row r="77" spans="2:8" x14ac:dyDescent="0.25">
      <c r="B77" s="35" t="s">
        <v>703</v>
      </c>
      <c r="C77" s="51" t="s">
        <v>1103</v>
      </c>
      <c r="D77" s="36" t="s">
        <v>1081</v>
      </c>
      <c r="E77" s="52">
        <v>3020.26</v>
      </c>
      <c r="F77" s="53">
        <v>2977.2</v>
      </c>
      <c r="G77" s="54">
        <v>923.05804999999998</v>
      </c>
      <c r="H77" s="55"/>
    </row>
    <row r="78" spans="2:8" x14ac:dyDescent="0.25">
      <c r="B78" s="35" t="s">
        <v>703</v>
      </c>
      <c r="C78" s="51" t="s">
        <v>1123</v>
      </c>
      <c r="D78" s="36" t="s">
        <v>1081</v>
      </c>
      <c r="E78" s="52">
        <v>1872.57</v>
      </c>
      <c r="F78" s="53">
        <v>1940.9</v>
      </c>
      <c r="G78" s="54">
        <v>44.746331100000006</v>
      </c>
      <c r="H78" s="55"/>
    </row>
    <row r="79" spans="2:8" x14ac:dyDescent="0.25">
      <c r="B79" s="35" t="s">
        <v>703</v>
      </c>
      <c r="C79" s="51" t="s">
        <v>1124</v>
      </c>
      <c r="D79" s="36" t="s">
        <v>1081</v>
      </c>
      <c r="E79" s="52">
        <v>4277.5</v>
      </c>
      <c r="F79" s="53">
        <v>4289.8</v>
      </c>
      <c r="G79" s="54">
        <v>200.52979500000001</v>
      </c>
      <c r="H79" s="55"/>
    </row>
    <row r="80" spans="2:8" x14ac:dyDescent="0.25">
      <c r="B80" s="35" t="s">
        <v>703</v>
      </c>
      <c r="C80" s="51" t="s">
        <v>1125</v>
      </c>
      <c r="D80" s="36" t="s">
        <v>1081</v>
      </c>
      <c r="E80" s="52">
        <v>1572.31</v>
      </c>
      <c r="F80" s="53">
        <v>1604.05</v>
      </c>
      <c r="G80" s="54">
        <v>51.611879800000004</v>
      </c>
      <c r="H80" s="55"/>
    </row>
    <row r="81" spans="2:8" x14ac:dyDescent="0.25">
      <c r="B81" s="35" t="s">
        <v>703</v>
      </c>
      <c r="C81" s="51" t="s">
        <v>1126</v>
      </c>
      <c r="D81" s="36" t="s">
        <v>1081</v>
      </c>
      <c r="E81" s="52">
        <v>454.94</v>
      </c>
      <c r="F81" s="53">
        <v>511.9</v>
      </c>
      <c r="G81" s="54">
        <v>76.453426000000007</v>
      </c>
      <c r="H81" s="55"/>
    </row>
    <row r="82" spans="2:8" x14ac:dyDescent="0.25">
      <c r="B82" s="35"/>
      <c r="C82" s="51"/>
      <c r="D82" s="36"/>
      <c r="E82" s="52"/>
      <c r="F82" s="53"/>
      <c r="G82" s="54"/>
      <c r="H82" s="55"/>
    </row>
    <row r="83" spans="2:8" hidden="1" x14ac:dyDescent="0.25">
      <c r="B83" s="35" t="s">
        <v>1127</v>
      </c>
      <c r="C83" s="51"/>
      <c r="D83" s="36" t="s">
        <v>1081</v>
      </c>
      <c r="E83" s="52"/>
      <c r="F83" s="53"/>
      <c r="G83" s="56"/>
      <c r="H83" s="55"/>
    </row>
    <row r="84" spans="2:8" hidden="1" x14ac:dyDescent="0.25">
      <c r="B84" s="35"/>
      <c r="C84" s="51"/>
      <c r="D84" s="36"/>
      <c r="E84" s="52"/>
      <c r="F84" s="53"/>
      <c r="G84" s="56"/>
      <c r="H84" s="55"/>
    </row>
    <row r="85" spans="2:8" x14ac:dyDescent="0.25">
      <c r="B85" s="35" t="s">
        <v>833</v>
      </c>
      <c r="C85" s="51" t="s">
        <v>1085</v>
      </c>
      <c r="D85" s="36" t="s">
        <v>1081</v>
      </c>
      <c r="E85" s="52">
        <v>1247.48</v>
      </c>
      <c r="F85" s="57">
        <v>1242.5</v>
      </c>
      <c r="G85" s="58">
        <v>118.04493960000001</v>
      </c>
      <c r="H85" s="55"/>
    </row>
    <row r="86" spans="2:8" x14ac:dyDescent="0.25">
      <c r="B86" s="35" t="s">
        <v>833</v>
      </c>
      <c r="C86" s="51" t="s">
        <v>1114</v>
      </c>
      <c r="D86" s="36" t="s">
        <v>1081</v>
      </c>
      <c r="E86" s="52">
        <v>1767.8</v>
      </c>
      <c r="F86" s="57">
        <v>1724.15</v>
      </c>
      <c r="G86" s="58">
        <v>207.37181579999998</v>
      </c>
      <c r="H86" s="55"/>
    </row>
    <row r="87" spans="2:8" x14ac:dyDescent="0.25">
      <c r="B87" s="35" t="s">
        <v>833</v>
      </c>
      <c r="C87" s="51" t="s">
        <v>1092</v>
      </c>
      <c r="D87" s="36" t="s">
        <v>1081</v>
      </c>
      <c r="E87" s="52">
        <v>1739.54</v>
      </c>
      <c r="F87" s="57">
        <v>1746.3</v>
      </c>
      <c r="G87" s="58">
        <v>100.8515202</v>
      </c>
      <c r="H87" s="55"/>
    </row>
    <row r="88" spans="2:8" x14ac:dyDescent="0.25">
      <c r="B88" s="35" t="s">
        <v>833</v>
      </c>
      <c r="C88" s="51" t="s">
        <v>1128</v>
      </c>
      <c r="D88" s="36" t="s">
        <v>1081</v>
      </c>
      <c r="E88" s="52">
        <v>4422.8900000000003</v>
      </c>
      <c r="F88" s="57">
        <v>4450.55</v>
      </c>
      <c r="G88" s="58">
        <v>246.59983500000004</v>
      </c>
      <c r="H88" s="55"/>
    </row>
    <row r="89" spans="2:8" x14ac:dyDescent="0.25">
      <c r="B89" s="35" t="s">
        <v>833</v>
      </c>
      <c r="C89" s="51" t="s">
        <v>1111</v>
      </c>
      <c r="D89" s="36" t="s">
        <v>1081</v>
      </c>
      <c r="E89" s="52">
        <v>1464.5</v>
      </c>
      <c r="F89" s="57">
        <v>1455.75</v>
      </c>
      <c r="G89" s="58">
        <v>10.468850400000001</v>
      </c>
      <c r="H89" s="55"/>
    </row>
    <row r="90" spans="2:8" x14ac:dyDescent="0.25">
      <c r="B90" s="35" t="s">
        <v>833</v>
      </c>
      <c r="C90" s="51" t="s">
        <v>1120</v>
      </c>
      <c r="D90" s="36" t="s">
        <v>1081</v>
      </c>
      <c r="E90" s="52">
        <v>1879.5</v>
      </c>
      <c r="F90" s="57">
        <v>1873.9</v>
      </c>
      <c r="G90" s="58">
        <v>667.66886999999997</v>
      </c>
      <c r="H90" s="55"/>
    </row>
    <row r="91" spans="2:8" x14ac:dyDescent="0.25">
      <c r="B91" s="35" t="s">
        <v>833</v>
      </c>
      <c r="C91" s="51" t="s">
        <v>1098</v>
      </c>
      <c r="D91" s="36" t="s">
        <v>1081</v>
      </c>
      <c r="E91" s="52">
        <v>3846</v>
      </c>
      <c r="F91" s="57">
        <v>3705.3</v>
      </c>
      <c r="G91" s="39">
        <v>217.9829743</v>
      </c>
      <c r="H91" s="55"/>
    </row>
    <row r="92" spans="2:8" x14ac:dyDescent="0.25">
      <c r="B92" s="35" t="s">
        <v>833</v>
      </c>
      <c r="C92" s="51" t="s">
        <v>1099</v>
      </c>
      <c r="D92" s="36" t="s">
        <v>1081</v>
      </c>
      <c r="E92" s="52">
        <v>3075.58</v>
      </c>
      <c r="F92" s="57">
        <v>3120.75</v>
      </c>
      <c r="G92" s="39">
        <v>1170.854795</v>
      </c>
      <c r="H92" s="55"/>
    </row>
    <row r="93" spans="2:8" x14ac:dyDescent="0.25">
      <c r="B93" s="35" t="s">
        <v>833</v>
      </c>
      <c r="C93" s="51" t="s">
        <v>1104</v>
      </c>
      <c r="D93" s="36" t="s">
        <v>1081</v>
      </c>
      <c r="E93" s="52">
        <v>807.87</v>
      </c>
      <c r="F93" s="57">
        <v>792.7</v>
      </c>
      <c r="G93" s="39">
        <v>38.914183000000001</v>
      </c>
      <c r="H93" s="55"/>
    </row>
    <row r="94" spans="2:8" x14ac:dyDescent="0.25">
      <c r="B94" s="35" t="s">
        <v>833</v>
      </c>
      <c r="C94" s="51" t="s">
        <v>1107</v>
      </c>
      <c r="D94" s="36" t="s">
        <v>1081</v>
      </c>
      <c r="E94" s="52">
        <v>160.13</v>
      </c>
      <c r="F94" s="57">
        <v>169.45</v>
      </c>
      <c r="G94" s="39">
        <v>67.217578100000011</v>
      </c>
      <c r="H94" s="55"/>
    </row>
    <row r="95" spans="2:8" x14ac:dyDescent="0.25">
      <c r="B95" s="35" t="s">
        <v>833</v>
      </c>
      <c r="C95" s="51" t="s">
        <v>1129</v>
      </c>
      <c r="D95" s="36" t="s">
        <v>1081</v>
      </c>
      <c r="E95" s="52">
        <v>2884.44</v>
      </c>
      <c r="F95" s="57">
        <v>2864.6</v>
      </c>
      <c r="G95" s="39">
        <v>347.9214935</v>
      </c>
      <c r="H95" s="55"/>
    </row>
    <row r="96" spans="2:8" x14ac:dyDescent="0.25">
      <c r="B96" s="35" t="s">
        <v>833</v>
      </c>
      <c r="C96" s="51" t="s">
        <v>1130</v>
      </c>
      <c r="D96" s="36" t="s">
        <v>1081</v>
      </c>
      <c r="E96" s="52">
        <v>11977.76</v>
      </c>
      <c r="F96" s="57">
        <v>11896.9</v>
      </c>
      <c r="G96" s="39">
        <v>29.666161000000002</v>
      </c>
      <c r="H96" s="55"/>
    </row>
    <row r="97" spans="2:8" x14ac:dyDescent="0.25">
      <c r="B97" s="35"/>
      <c r="C97" s="51"/>
      <c r="D97" s="36" t="s">
        <v>1081</v>
      </c>
      <c r="E97" s="52"/>
      <c r="F97" s="57"/>
      <c r="G97" s="39"/>
      <c r="H97" s="55"/>
    </row>
    <row r="98" spans="2:8" hidden="1" x14ac:dyDescent="0.25">
      <c r="B98" s="35"/>
      <c r="C98" s="51"/>
      <c r="D98" s="36" t="s">
        <v>1081</v>
      </c>
      <c r="E98" s="52"/>
      <c r="F98" s="57"/>
      <c r="G98" s="39"/>
      <c r="H98" s="55"/>
    </row>
    <row r="99" spans="2:8" hidden="1" x14ac:dyDescent="0.25">
      <c r="B99" s="35"/>
      <c r="C99" s="51"/>
      <c r="D99" s="36"/>
      <c r="E99" s="52"/>
      <c r="F99" s="57"/>
      <c r="G99" s="39"/>
      <c r="H99" s="55"/>
    </row>
    <row r="101" spans="2:8" x14ac:dyDescent="0.25">
      <c r="B101" s="32" t="s">
        <v>1131</v>
      </c>
      <c r="E101" s="59"/>
      <c r="F101" s="59"/>
      <c r="G101" s="59"/>
    </row>
    <row r="103" spans="2:8" x14ac:dyDescent="0.25">
      <c r="B103" s="60" t="s">
        <v>1074</v>
      </c>
      <c r="C103" s="60" t="s">
        <v>1132</v>
      </c>
    </row>
    <row r="104" spans="2:8" x14ac:dyDescent="0.25">
      <c r="B104" s="35" t="s">
        <v>976</v>
      </c>
      <c r="C104" s="61">
        <v>64.819999999999993</v>
      </c>
    </row>
    <row r="105" spans="2:8" x14ac:dyDescent="0.25">
      <c r="B105" s="35" t="s">
        <v>677</v>
      </c>
      <c r="C105" s="61">
        <v>11.54</v>
      </c>
    </row>
    <row r="106" spans="2:8" x14ac:dyDescent="0.25">
      <c r="B106" s="35" t="s">
        <v>686</v>
      </c>
      <c r="C106" s="61">
        <v>0.41</v>
      </c>
    </row>
    <row r="107" spans="2:8" x14ac:dyDescent="0.25">
      <c r="B107" s="62" t="s">
        <v>703</v>
      </c>
      <c r="C107" s="61">
        <v>35.96</v>
      </c>
    </row>
    <row r="108" spans="2:8" x14ac:dyDescent="0.25">
      <c r="B108" s="35" t="s">
        <v>833</v>
      </c>
      <c r="C108" s="61">
        <v>6.91</v>
      </c>
    </row>
    <row r="110" spans="2:8" x14ac:dyDescent="0.25">
      <c r="B110" s="32" t="s">
        <v>1133</v>
      </c>
    </row>
    <row r="111" spans="2:8" x14ac:dyDescent="0.25">
      <c r="B111" s="32"/>
    </row>
    <row r="112" spans="2:8" ht="67.5" x14ac:dyDescent="0.25">
      <c r="B112" s="33" t="s">
        <v>1074</v>
      </c>
      <c r="C112" s="34" t="s">
        <v>1134</v>
      </c>
      <c r="D112" s="34" t="s">
        <v>1135</v>
      </c>
      <c r="E112" s="34" t="s">
        <v>1136</v>
      </c>
      <c r="F112" s="34" t="s">
        <v>1137</v>
      </c>
      <c r="G112" s="34" t="s">
        <v>1138</v>
      </c>
    </row>
    <row r="113" spans="2:12" x14ac:dyDescent="0.25">
      <c r="B113" s="35" t="s">
        <v>976</v>
      </c>
      <c r="C113" s="63">
        <f>912+1103+1186+1219+1218+1462</f>
        <v>7100</v>
      </c>
      <c r="D113" s="63">
        <f>912+828+1186+1219+1218+1462</f>
        <v>6825</v>
      </c>
      <c r="E113" s="64">
        <f>8477.8731052+7835.06+8411.01+9148.21+9403.79+11559.27</f>
        <v>54835.213105200004</v>
      </c>
      <c r="F113" s="64">
        <f>8115.8591468+7688.55+8255.85+8867.82+9318.69+11399.08</f>
        <v>53645.849146800007</v>
      </c>
      <c r="G113" s="65">
        <f>+F113-E113-1.24-17.94</f>
        <v>-1208.5439583999976</v>
      </c>
      <c r="H113" s="66"/>
      <c r="I113" s="67"/>
      <c r="J113" s="68"/>
      <c r="K113" s="68"/>
      <c r="L113" s="68"/>
    </row>
    <row r="114" spans="2:12" x14ac:dyDescent="0.25">
      <c r="B114" s="62" t="s">
        <v>193</v>
      </c>
      <c r="C114" s="63">
        <v>225</v>
      </c>
      <c r="D114" s="63">
        <v>225</v>
      </c>
      <c r="E114" s="64">
        <v>1405.32</v>
      </c>
      <c r="F114" s="64">
        <v>1468.82</v>
      </c>
      <c r="G114" s="65">
        <f t="shared" ref="G114:G123" si="0">+F114-E114</f>
        <v>63.5</v>
      </c>
      <c r="H114" s="66"/>
      <c r="I114" s="67"/>
      <c r="J114" s="68"/>
      <c r="K114" s="68"/>
      <c r="L114" s="68"/>
    </row>
    <row r="115" spans="2:12" x14ac:dyDescent="0.25">
      <c r="B115" s="35" t="s">
        <v>677</v>
      </c>
      <c r="C115" s="69">
        <f>3245+3155+2924+2541+3243+3074</f>
        <v>18182</v>
      </c>
      <c r="D115" s="69">
        <f>3245+2998+2924+2541+3243+3074</f>
        <v>18025</v>
      </c>
      <c r="E115" s="70">
        <f>23251.216376+23062.4+21744.09+19598.03+24956+25024.07</f>
        <v>137635.80637599999</v>
      </c>
      <c r="F115" s="70">
        <f>23019.2019576+23214.46+21076.82+20110.06+24675.94+24242.68</f>
        <v>136339.16195759998</v>
      </c>
      <c r="G115" s="65">
        <f>+F115-E115-132.42-16.96</f>
        <v>-1446.0244184000139</v>
      </c>
      <c r="H115" s="66"/>
      <c r="I115" s="67"/>
      <c r="J115" s="68"/>
      <c r="K115" s="68"/>
      <c r="L115" s="68"/>
    </row>
    <row r="116" spans="2:12" x14ac:dyDescent="0.25">
      <c r="B116" s="35" t="s">
        <v>812</v>
      </c>
      <c r="C116" s="71">
        <v>201</v>
      </c>
      <c r="D116" s="71">
        <v>201</v>
      </c>
      <c r="E116" s="72">
        <v>1072.8</v>
      </c>
      <c r="F116" s="72">
        <v>1079.4000000000001</v>
      </c>
      <c r="G116" s="73">
        <f>+F116-E116</f>
        <v>6.6000000000001364</v>
      </c>
      <c r="H116" s="66"/>
      <c r="I116" s="67"/>
      <c r="J116" s="68"/>
      <c r="K116" s="68"/>
      <c r="L116" s="68"/>
    </row>
    <row r="117" spans="2:12" x14ac:dyDescent="0.25">
      <c r="B117" s="62" t="s">
        <v>703</v>
      </c>
      <c r="C117" s="63">
        <f>3089+4164+4870+4542+4513+3956</f>
        <v>25134</v>
      </c>
      <c r="D117" s="63">
        <f>3089+3947+4908+4542+4513+3956</f>
        <v>24955</v>
      </c>
      <c r="E117" s="64">
        <f>24138.034131+30739.91+37416.97+33839.96+34390.31+30767.02</f>
        <v>191292.20413099998</v>
      </c>
      <c r="F117" s="64">
        <f>24403.3776278+29771.72+36515.77+33211.34+33851.65+30024.32</f>
        <v>187778.1776278</v>
      </c>
      <c r="G117" s="65">
        <f>+F117-E117-48.32-25.39</f>
        <v>-3587.7365031999734</v>
      </c>
      <c r="H117" s="66"/>
      <c r="I117" s="67"/>
      <c r="J117" s="68"/>
      <c r="K117" s="68"/>
      <c r="L117" s="68"/>
    </row>
    <row r="118" spans="2:12" x14ac:dyDescent="0.25">
      <c r="B118" s="35" t="s">
        <v>833</v>
      </c>
      <c r="C118" s="63">
        <f>4959+5302+4294+476+1880+274+2236+2373</f>
        <v>21794</v>
      </c>
      <c r="D118" s="63">
        <f>4959+4664+4294+476+1880+274+2236+2373</f>
        <v>21156</v>
      </c>
      <c r="E118" s="64">
        <f>40992.0946058+39677.53+34589.48+4020.61+16080.28+2010+19023.11+20375.96</f>
        <v>176769.0646058</v>
      </c>
      <c r="F118" s="64">
        <f>39810.9031062+37471.77+33066.64+3901.15+16290.6+1963.48+18272.45+19889.24</f>
        <v>170666.2331062</v>
      </c>
      <c r="G118" s="65">
        <f>+F118-E118-33.85</f>
        <v>-6136.6814995999976</v>
      </c>
      <c r="H118" s="66"/>
      <c r="I118" s="67"/>
      <c r="J118" s="68"/>
      <c r="K118" s="68"/>
      <c r="L118" s="68"/>
    </row>
    <row r="119" spans="2:12" x14ac:dyDescent="0.25">
      <c r="B119" s="35" t="s">
        <v>542</v>
      </c>
      <c r="C119" s="69">
        <f>483+890+804+1436+500+341</f>
        <v>4454</v>
      </c>
      <c r="D119" s="69">
        <f>483+890+804+1436+500+341</f>
        <v>4454</v>
      </c>
      <c r="E119" s="70">
        <f>4091.83035+6117.58+5527.23+9588.2+4330.44+2769.25</f>
        <v>32424.530349999997</v>
      </c>
      <c r="F119" s="70">
        <f>4034.4795033+6049.53+5215.07+9786.63+3840.54+2682.77</f>
        <v>31609.019503300002</v>
      </c>
      <c r="G119" s="65">
        <f>+F119-E119-5.43</f>
        <v>-820.9408466999954</v>
      </c>
      <c r="H119" s="66"/>
      <c r="I119" s="67"/>
      <c r="J119" s="68"/>
      <c r="K119" s="68"/>
      <c r="L119" s="68"/>
    </row>
    <row r="120" spans="2:12" x14ac:dyDescent="0.25">
      <c r="B120" s="35" t="s">
        <v>1139</v>
      </c>
      <c r="C120" s="69">
        <v>670</v>
      </c>
      <c r="D120" s="69">
        <v>670</v>
      </c>
      <c r="E120" s="74">
        <v>5121.43109</v>
      </c>
      <c r="F120" s="70">
        <v>4914.7043400000002</v>
      </c>
      <c r="G120" s="65">
        <f t="shared" si="0"/>
        <v>-206.72674999999981</v>
      </c>
      <c r="H120" s="66"/>
      <c r="I120" s="67"/>
      <c r="J120" s="68"/>
      <c r="K120" s="68"/>
      <c r="L120" s="68"/>
    </row>
    <row r="121" spans="2:12" x14ac:dyDescent="0.25">
      <c r="B121" s="35" t="s">
        <v>1140</v>
      </c>
      <c r="C121" s="69">
        <f>718+1240+625+44</f>
        <v>2627</v>
      </c>
      <c r="D121" s="69">
        <f>718+1240+625+44</f>
        <v>2627</v>
      </c>
      <c r="E121" s="74">
        <f>3497.925475+10412.86+4374.88+384.03</f>
        <v>18669.695475</v>
      </c>
      <c r="F121" s="70">
        <f>3490.3374814+9799.72+4402.45+366.83</f>
        <v>18059.337481400002</v>
      </c>
      <c r="G121" s="65">
        <f t="shared" si="0"/>
        <v>-610.35799359999874</v>
      </c>
      <c r="H121" s="66"/>
      <c r="I121" s="67"/>
      <c r="J121" s="68"/>
      <c r="K121" s="68"/>
      <c r="L121" s="68"/>
    </row>
    <row r="122" spans="2:12" x14ac:dyDescent="0.25">
      <c r="B122" s="35" t="s">
        <v>1127</v>
      </c>
      <c r="C122" s="69">
        <v>360</v>
      </c>
      <c r="D122" s="69">
        <v>360</v>
      </c>
      <c r="E122" s="74">
        <v>2769.5745981</v>
      </c>
      <c r="F122" s="70">
        <v>2703.3112599999999</v>
      </c>
      <c r="G122" s="65">
        <f t="shared" si="0"/>
        <v>-66.263338100000055</v>
      </c>
      <c r="H122" s="66"/>
      <c r="I122" s="67"/>
      <c r="J122" s="68"/>
    </row>
    <row r="123" spans="2:12" x14ac:dyDescent="0.25">
      <c r="B123" s="35" t="s">
        <v>805</v>
      </c>
      <c r="C123" s="71">
        <v>620</v>
      </c>
      <c r="D123" s="71">
        <v>620</v>
      </c>
      <c r="E123" s="72">
        <v>4655.3843317000001</v>
      </c>
      <c r="F123" s="72">
        <v>4447.8628870000002</v>
      </c>
      <c r="G123" s="65">
        <f t="shared" si="0"/>
        <v>-207.52144469999985</v>
      </c>
      <c r="H123" s="66"/>
      <c r="I123" s="67"/>
      <c r="J123" s="68"/>
    </row>
    <row r="124" spans="2:12" x14ac:dyDescent="0.25">
      <c r="H124" s="66"/>
      <c r="I124" s="67"/>
      <c r="J124" s="68"/>
    </row>
    <row r="125" spans="2:12" x14ac:dyDescent="0.25">
      <c r="E125" s="68"/>
      <c r="F125" s="68"/>
      <c r="H125" s="66"/>
      <c r="I125" s="67"/>
      <c r="L125" s="66"/>
    </row>
    <row r="126" spans="2:12" x14ac:dyDescent="0.25">
      <c r="B126" s="32" t="s">
        <v>1141</v>
      </c>
      <c r="F126" s="68"/>
      <c r="G126" s="67"/>
      <c r="H126" s="75"/>
      <c r="L126" s="67"/>
    </row>
    <row r="128" spans="2:12" ht="27" x14ac:dyDescent="0.25">
      <c r="B128" s="33" t="s">
        <v>1074</v>
      </c>
      <c r="C128" s="33" t="s">
        <v>1075</v>
      </c>
      <c r="D128" s="33" t="s">
        <v>1076</v>
      </c>
      <c r="E128" s="34" t="s">
        <v>1077</v>
      </c>
      <c r="F128" s="34" t="s">
        <v>1078</v>
      </c>
      <c r="G128" s="34" t="s">
        <v>1142</v>
      </c>
    </row>
    <row r="129" spans="2:12" hidden="1" x14ac:dyDescent="0.25">
      <c r="B129" s="36" t="s">
        <v>685</v>
      </c>
      <c r="C129" s="36" t="s">
        <v>685</v>
      </c>
      <c r="D129" s="36" t="s">
        <v>1143</v>
      </c>
      <c r="E129" s="36" t="s">
        <v>685</v>
      </c>
      <c r="F129" s="36" t="s">
        <v>685</v>
      </c>
      <c r="G129" s="36" t="s">
        <v>685</v>
      </c>
    </row>
    <row r="130" spans="2:12" hidden="1" x14ac:dyDescent="0.25">
      <c r="B130" s="35"/>
      <c r="C130" s="51"/>
      <c r="D130" s="36" t="s">
        <v>1143</v>
      </c>
      <c r="E130" s="52"/>
      <c r="F130" s="57"/>
      <c r="G130" s="39"/>
    </row>
    <row r="131" spans="2:12" hidden="1" x14ac:dyDescent="0.25">
      <c r="B131" s="35"/>
      <c r="C131" s="51"/>
      <c r="D131" s="36" t="s">
        <v>1143</v>
      </c>
      <c r="E131" s="52"/>
      <c r="F131" s="57"/>
      <c r="G131" s="39"/>
    </row>
    <row r="132" spans="2:12" hidden="1" x14ac:dyDescent="0.25">
      <c r="B132" s="35"/>
      <c r="C132" s="51"/>
      <c r="D132" s="36" t="s">
        <v>1143</v>
      </c>
      <c r="E132" s="52"/>
      <c r="F132" s="57"/>
      <c r="G132" s="39"/>
    </row>
    <row r="133" spans="2:12" x14ac:dyDescent="0.25">
      <c r="B133" s="35"/>
      <c r="C133" s="51"/>
      <c r="D133" s="36" t="s">
        <v>1143</v>
      </c>
      <c r="E133" s="52"/>
      <c r="F133" s="57"/>
      <c r="G133" s="39"/>
      <c r="I133" s="67"/>
    </row>
    <row r="134" spans="2:12" x14ac:dyDescent="0.25">
      <c r="C134" s="76"/>
      <c r="D134" s="77"/>
      <c r="E134" s="78"/>
      <c r="F134" s="79"/>
      <c r="G134" s="79"/>
      <c r="I134" s="67"/>
    </row>
    <row r="135" spans="2:12" x14ac:dyDescent="0.25">
      <c r="B135" s="32" t="s">
        <v>1144</v>
      </c>
      <c r="I135" s="67"/>
      <c r="L135" s="68"/>
    </row>
    <row r="137" spans="2:12" x14ac:dyDescent="0.25">
      <c r="B137" s="60" t="s">
        <v>1074</v>
      </c>
      <c r="C137" s="60" t="s">
        <v>1132</v>
      </c>
    </row>
    <row r="138" spans="2:12" hidden="1" x14ac:dyDescent="0.25">
      <c r="B138" s="36" t="s">
        <v>685</v>
      </c>
      <c r="C138" s="36" t="s">
        <v>685</v>
      </c>
    </row>
    <row r="139" spans="2:12" hidden="1" x14ac:dyDescent="0.25">
      <c r="B139" s="35"/>
      <c r="C139" s="80"/>
    </row>
    <row r="140" spans="2:12" x14ac:dyDescent="0.25">
      <c r="B140" s="35"/>
      <c r="C140" s="80"/>
    </row>
    <row r="141" spans="2:12" x14ac:dyDescent="0.25">
      <c r="B141" s="81"/>
      <c r="C141" s="82"/>
    </row>
    <row r="142" spans="2:12" x14ac:dyDescent="0.25">
      <c r="B142" s="32" t="s">
        <v>1145</v>
      </c>
    </row>
    <row r="143" spans="2:12" x14ac:dyDescent="0.25">
      <c r="B143" s="32"/>
    </row>
    <row r="144" spans="2:12" ht="54" x14ac:dyDescent="0.25">
      <c r="B144" s="33" t="s">
        <v>1074</v>
      </c>
      <c r="C144" s="34" t="s">
        <v>1134</v>
      </c>
      <c r="D144" s="34" t="s">
        <v>1135</v>
      </c>
      <c r="E144" s="34" t="s">
        <v>1136</v>
      </c>
      <c r="F144" s="34" t="s">
        <v>1146</v>
      </c>
      <c r="G144" s="34" t="s">
        <v>1147</v>
      </c>
      <c r="H144" s="66"/>
      <c r="I144" s="67">
        <f>+C145-D145</f>
        <v>0</v>
      </c>
    </row>
    <row r="145" spans="2:9" x14ac:dyDescent="0.25">
      <c r="B145" s="35" t="s">
        <v>677</v>
      </c>
      <c r="C145" s="69">
        <f>40+45+142+80+386+1079</f>
        <v>1772</v>
      </c>
      <c r="D145" s="69">
        <f>40+45+142+80+386+1079</f>
        <v>1772</v>
      </c>
      <c r="E145" s="70">
        <f>361.4+420.93+1363.34+727.42+2935.74+9538.32</f>
        <v>15347.15</v>
      </c>
      <c r="F145" s="70">
        <f>361.08+406.27+1552.43+730.32+2881.01+9664.59</f>
        <v>15595.7</v>
      </c>
      <c r="G145" s="73">
        <f t="shared" ref="G145:G154" si="1">+F145-E145</f>
        <v>248.55000000000109</v>
      </c>
      <c r="H145" s="83"/>
      <c r="I145" s="67">
        <f>+C146-D146</f>
        <v>0</v>
      </c>
    </row>
    <row r="146" spans="2:9" x14ac:dyDescent="0.25">
      <c r="B146" s="62" t="s">
        <v>193</v>
      </c>
      <c r="C146" s="84">
        <f>391+1139+575+1178+900+52</f>
        <v>4235</v>
      </c>
      <c r="D146" s="84">
        <f>391+1139+575+1178+900+52</f>
        <v>4235</v>
      </c>
      <c r="E146" s="72">
        <f>4455.76011+7301.72+4339.13+9157+6390.78+298.69</f>
        <v>31943.080109999999</v>
      </c>
      <c r="F146" s="72">
        <f>4461.37606+7701.07+4325.89+9572.11+5998.05+296.33</f>
        <v>32354.826059999999</v>
      </c>
      <c r="G146" s="73">
        <f t="shared" si="1"/>
        <v>411.74595000000045</v>
      </c>
      <c r="H146" s="85"/>
      <c r="I146" s="67">
        <f>+C116-D116</f>
        <v>0</v>
      </c>
    </row>
    <row r="147" spans="2:9" x14ac:dyDescent="0.25">
      <c r="B147" s="35" t="s">
        <v>1148</v>
      </c>
      <c r="C147" s="71">
        <f>195+743+378+200</f>
        <v>1516</v>
      </c>
      <c r="D147" s="71">
        <f>195+743+378+200</f>
        <v>1516</v>
      </c>
      <c r="E147" s="72">
        <f>1270.8968768+6369.19+2606.56+1422.23</f>
        <v>11668.876876799999</v>
      </c>
      <c r="F147" s="72">
        <f>1484.0392128+6919.27+2767.79+1332.9</f>
        <v>12503.999212799999</v>
      </c>
      <c r="G147" s="73">
        <f t="shared" si="1"/>
        <v>835.12233600000036</v>
      </c>
      <c r="H147" s="85"/>
      <c r="I147" s="67"/>
    </row>
    <row r="148" spans="2:9" x14ac:dyDescent="0.25">
      <c r="B148" s="35" t="s">
        <v>833</v>
      </c>
      <c r="C148" s="71">
        <v>60</v>
      </c>
      <c r="D148" s="71">
        <v>60</v>
      </c>
      <c r="E148" s="72">
        <v>621.71165069999995</v>
      </c>
      <c r="F148" s="72">
        <v>686.31184439999993</v>
      </c>
      <c r="G148" s="73">
        <f t="shared" si="1"/>
        <v>64.600193699999977</v>
      </c>
      <c r="H148" s="85"/>
      <c r="I148" s="67"/>
    </row>
    <row r="149" spans="2:9" x14ac:dyDescent="0.25">
      <c r="B149" s="35" t="s">
        <v>805</v>
      </c>
      <c r="C149" s="69">
        <f>1800+1818+1024+299+1000</f>
        <v>5941</v>
      </c>
      <c r="D149" s="69">
        <f>1800+1818+1024+299+1000</f>
        <v>5941</v>
      </c>
      <c r="E149" s="70">
        <f>10398.53+10825.91+7998.89+2728.05+9293.28</f>
        <v>41244.660000000003</v>
      </c>
      <c r="F149" s="70">
        <f>11332.17+11195.48+8495.89+2777.74+9303.7</f>
        <v>43104.979999999996</v>
      </c>
      <c r="G149" s="65">
        <f t="shared" si="1"/>
        <v>1860.3199999999924</v>
      </c>
      <c r="H149" s="85"/>
      <c r="I149" s="67"/>
    </row>
    <row r="150" spans="2:9" x14ac:dyDescent="0.25">
      <c r="B150" s="35" t="s">
        <v>1140</v>
      </c>
      <c r="C150" s="69">
        <f>1262+398</f>
        <v>1660</v>
      </c>
      <c r="D150" s="69">
        <f>1262+398</f>
        <v>1660</v>
      </c>
      <c r="E150" s="70">
        <f>10073.6+2590.33</f>
        <v>12663.93</v>
      </c>
      <c r="F150" s="70">
        <f>10153.0829+2668.21</f>
        <v>12821.2929</v>
      </c>
      <c r="G150" s="65">
        <f t="shared" si="1"/>
        <v>157.36290000000008</v>
      </c>
      <c r="H150" s="85"/>
      <c r="I150" s="67"/>
    </row>
    <row r="151" spans="2:9" x14ac:dyDescent="0.25">
      <c r="B151" s="35" t="s">
        <v>542</v>
      </c>
      <c r="C151" s="71">
        <f>120+216+964+240+1946+2107</f>
        <v>5593</v>
      </c>
      <c r="D151" s="71">
        <f>120+216+964+240+1946+2107</f>
        <v>5593</v>
      </c>
      <c r="E151" s="72">
        <f>1084.24392+1751.03+7741.11+1775.38+14240.58+17586.06</f>
        <v>44178.403919999997</v>
      </c>
      <c r="F151" s="72">
        <f>1083.24+1668.12+8697.72+1854.3+14281.6+17603.03</f>
        <v>45188.009999999995</v>
      </c>
      <c r="G151" s="73">
        <f t="shared" si="1"/>
        <v>1009.6060799999977</v>
      </c>
      <c r="H151" s="85"/>
      <c r="I151" s="67">
        <f>+C151-D151</f>
        <v>0</v>
      </c>
    </row>
    <row r="152" spans="2:9" x14ac:dyDescent="0.25">
      <c r="B152" s="35" t="s">
        <v>1139</v>
      </c>
      <c r="C152" s="71">
        <f>568+422+422</f>
        <v>1412</v>
      </c>
      <c r="D152" s="71">
        <f>568+422+422</f>
        <v>1412</v>
      </c>
      <c r="E152" s="72">
        <f>5003.84058+2228.39+2294.16</f>
        <v>9526.3905799999993</v>
      </c>
      <c r="F152" s="72">
        <f>5272.9444+2330.96+2470.62</f>
        <v>10074.5244</v>
      </c>
      <c r="G152" s="73">
        <f t="shared" si="1"/>
        <v>548.13382000000092</v>
      </c>
      <c r="H152" s="85"/>
      <c r="I152" s="67"/>
    </row>
    <row r="153" spans="2:9" x14ac:dyDescent="0.25">
      <c r="B153" s="35" t="s">
        <v>813</v>
      </c>
      <c r="C153" s="71">
        <v>120</v>
      </c>
      <c r="D153" s="71">
        <v>120</v>
      </c>
      <c r="E153" s="72">
        <v>635.07510000000002</v>
      </c>
      <c r="F153" s="72">
        <v>651.447</v>
      </c>
      <c r="G153" s="73">
        <f t="shared" si="1"/>
        <v>16.371899999999982</v>
      </c>
      <c r="H153" s="85"/>
      <c r="I153" s="67"/>
    </row>
    <row r="154" spans="2:9" x14ac:dyDescent="0.25">
      <c r="B154" s="35" t="s">
        <v>1127</v>
      </c>
      <c r="C154" s="69">
        <f>102+142</f>
        <v>244</v>
      </c>
      <c r="D154" s="69">
        <f>102+142</f>
        <v>244</v>
      </c>
      <c r="E154" s="70">
        <f>821.2406+1315.54</f>
        <v>2136.7806</v>
      </c>
      <c r="F154" s="70">
        <f>881.3522+1321.13</f>
        <v>2202.4822000000004</v>
      </c>
      <c r="G154" s="73">
        <f t="shared" si="1"/>
        <v>65.701600000000326</v>
      </c>
      <c r="H154" s="66"/>
      <c r="I154" s="67"/>
    </row>
    <row r="155" spans="2:9" x14ac:dyDescent="0.25">
      <c r="H155" s="66"/>
      <c r="I155" s="67"/>
    </row>
    <row r="156" spans="2:9" x14ac:dyDescent="0.25">
      <c r="B156" s="86"/>
      <c r="C156" s="87"/>
      <c r="D156" s="87"/>
      <c r="E156" s="88"/>
      <c r="F156" s="88"/>
      <c r="G156" s="88"/>
      <c r="H156" s="67"/>
    </row>
    <row r="157" spans="2:9" x14ac:dyDescent="0.25">
      <c r="B157" s="32" t="s">
        <v>1149</v>
      </c>
      <c r="D157" s="89"/>
    </row>
    <row r="159" spans="2:9" ht="27" x14ac:dyDescent="0.25">
      <c r="B159" s="34" t="s">
        <v>1074</v>
      </c>
      <c r="C159" s="34" t="s">
        <v>1075</v>
      </c>
      <c r="D159" s="34" t="s">
        <v>1150</v>
      </c>
      <c r="E159" s="34" t="s">
        <v>1151</v>
      </c>
      <c r="F159" s="34" t="s">
        <v>1152</v>
      </c>
      <c r="G159" s="34" t="s">
        <v>1153</v>
      </c>
    </row>
    <row r="160" spans="2:9" x14ac:dyDescent="0.25">
      <c r="B160" s="90" t="s">
        <v>685</v>
      </c>
      <c r="C160" s="90" t="s">
        <v>685</v>
      </c>
      <c r="D160" s="90" t="s">
        <v>685</v>
      </c>
      <c r="E160" s="90" t="s">
        <v>685</v>
      </c>
      <c r="F160" s="90" t="s">
        <v>685</v>
      </c>
      <c r="G160" s="90" t="s">
        <v>685</v>
      </c>
    </row>
    <row r="161" spans="2:7" x14ac:dyDescent="0.25">
      <c r="D161" s="89"/>
      <c r="E161" s="89"/>
      <c r="F161" s="91"/>
      <c r="G161" s="91"/>
    </row>
    <row r="162" spans="2:7" x14ac:dyDescent="0.25">
      <c r="D162" s="89"/>
      <c r="E162" s="89"/>
      <c r="F162" s="91"/>
      <c r="G162" s="91"/>
    </row>
    <row r="163" spans="2:7" x14ac:dyDescent="0.25">
      <c r="B163" s="32" t="s">
        <v>1154</v>
      </c>
      <c r="G163" s="31" t="s">
        <v>1155</v>
      </c>
    </row>
    <row r="164" spans="2:7" x14ac:dyDescent="0.25">
      <c r="B164" s="32"/>
    </row>
    <row r="165" spans="2:7" x14ac:dyDescent="0.25">
      <c r="B165" s="60" t="s">
        <v>1074</v>
      </c>
      <c r="C165" s="60" t="s">
        <v>1132</v>
      </c>
    </row>
    <row r="166" spans="2:7" x14ac:dyDescent="0.25">
      <c r="B166" s="90" t="s">
        <v>685</v>
      </c>
      <c r="C166" s="90" t="s">
        <v>685</v>
      </c>
    </row>
    <row r="167" spans="2:7" x14ac:dyDescent="0.25">
      <c r="C167" s="92"/>
      <c r="D167" s="82"/>
    </row>
    <row r="168" spans="2:7" x14ac:dyDescent="0.25">
      <c r="B168" s="32" t="s">
        <v>1156</v>
      </c>
    </row>
    <row r="170" spans="2:7" ht="40.5" x14ac:dyDescent="0.25">
      <c r="B170" s="33" t="s">
        <v>1074</v>
      </c>
      <c r="C170" s="34" t="s">
        <v>1157</v>
      </c>
      <c r="D170" s="34" t="s">
        <v>1158</v>
      </c>
      <c r="E170" s="34" t="s">
        <v>1159</v>
      </c>
      <c r="F170" s="34" t="s">
        <v>1160</v>
      </c>
    </row>
    <row r="171" spans="2:7" x14ac:dyDescent="0.25">
      <c r="B171" s="93"/>
      <c r="C171" s="90"/>
      <c r="D171" s="94"/>
      <c r="E171" s="73"/>
      <c r="F171" s="73">
        <f>+E171-D171</f>
        <v>0</v>
      </c>
    </row>
    <row r="172" spans="2:7" x14ac:dyDescent="0.25">
      <c r="B172" s="95"/>
      <c r="C172" s="96"/>
      <c r="D172" s="97"/>
      <c r="E172" s="97"/>
      <c r="F172" s="98"/>
    </row>
    <row r="173" spans="2:7" x14ac:dyDescent="0.25">
      <c r="B173" s="95"/>
      <c r="C173" s="96"/>
      <c r="D173" s="97"/>
      <c r="E173" s="97"/>
      <c r="F173" s="98"/>
    </row>
    <row r="175" spans="2:7" x14ac:dyDescent="0.25">
      <c r="B175" s="32" t="s">
        <v>1161</v>
      </c>
    </row>
    <row r="177" spans="2:7" ht="27" x14ac:dyDescent="0.25">
      <c r="B177" s="34" t="s">
        <v>1074</v>
      </c>
      <c r="C177" s="34" t="s">
        <v>1075</v>
      </c>
      <c r="D177" s="34" t="s">
        <v>1150</v>
      </c>
      <c r="E177" s="34" t="s">
        <v>1151</v>
      </c>
      <c r="F177" s="34" t="s">
        <v>1152</v>
      </c>
      <c r="G177" s="34" t="s">
        <v>1153</v>
      </c>
    </row>
    <row r="178" spans="2:7" x14ac:dyDescent="0.25">
      <c r="B178" s="35" t="s">
        <v>685</v>
      </c>
      <c r="C178" s="35" t="s">
        <v>685</v>
      </c>
      <c r="D178" s="35" t="s">
        <v>685</v>
      </c>
      <c r="E178" s="35" t="s">
        <v>685</v>
      </c>
      <c r="F178" s="35" t="s">
        <v>685</v>
      </c>
      <c r="G178" s="35" t="s">
        <v>685</v>
      </c>
    </row>
    <row r="179" spans="2:7" x14ac:dyDescent="0.25">
      <c r="C179" s="76"/>
      <c r="D179" s="99"/>
      <c r="E179" s="100"/>
      <c r="F179" s="91"/>
      <c r="G179" s="91"/>
    </row>
    <row r="180" spans="2:7" x14ac:dyDescent="0.25">
      <c r="B180" s="32" t="s">
        <v>1162</v>
      </c>
    </row>
    <row r="181" spans="2:7" x14ac:dyDescent="0.25">
      <c r="B181" s="32"/>
    </row>
    <row r="182" spans="2:7" x14ac:dyDescent="0.25">
      <c r="B182" s="60" t="s">
        <v>1074</v>
      </c>
      <c r="C182" s="60" t="s">
        <v>1132</v>
      </c>
    </row>
    <row r="183" spans="2:7" x14ac:dyDescent="0.25">
      <c r="B183" s="35" t="s">
        <v>685</v>
      </c>
      <c r="C183" s="35" t="s">
        <v>685</v>
      </c>
    </row>
    <row r="184" spans="2:7" x14ac:dyDescent="0.25">
      <c r="B184" s="81"/>
      <c r="C184" s="82"/>
    </row>
    <row r="185" spans="2:7" x14ac:dyDescent="0.25">
      <c r="B185" s="32" t="s">
        <v>1163</v>
      </c>
    </row>
    <row r="187" spans="2:7" ht="40.5" x14ac:dyDescent="0.25">
      <c r="B187" s="33" t="s">
        <v>1074</v>
      </c>
      <c r="C187" s="34" t="s">
        <v>1157</v>
      </c>
      <c r="D187" s="34" t="s">
        <v>1164</v>
      </c>
      <c r="E187" s="34" t="s">
        <v>1165</v>
      </c>
      <c r="F187" s="34" t="s">
        <v>1160</v>
      </c>
    </row>
    <row r="188" spans="2:7" x14ac:dyDescent="0.25">
      <c r="B188" s="35"/>
      <c r="C188" s="90"/>
      <c r="D188" s="94"/>
      <c r="E188" s="90"/>
      <c r="F188" s="90"/>
    </row>
    <row r="189" spans="2:7" x14ac:dyDescent="0.25">
      <c r="G189" s="101"/>
    </row>
    <row r="190" spans="2:7" x14ac:dyDescent="0.25">
      <c r="F190" s="102"/>
      <c r="G190" s="68"/>
    </row>
    <row r="191" spans="2:7" x14ac:dyDescent="0.25">
      <c r="B191" s="32" t="s">
        <v>1166</v>
      </c>
    </row>
    <row r="192" spans="2:7" x14ac:dyDescent="0.25">
      <c r="B192" s="32"/>
    </row>
    <row r="193" spans="2:10" x14ac:dyDescent="0.25">
      <c r="E193" s="68"/>
    </row>
    <row r="194" spans="2:10" x14ac:dyDescent="0.25">
      <c r="B194" s="32" t="s">
        <v>1167</v>
      </c>
      <c r="E194" s="68"/>
    </row>
    <row r="195" spans="2:10" x14ac:dyDescent="0.25">
      <c r="E195" s="68"/>
    </row>
    <row r="196" spans="2:10" ht="27" x14ac:dyDescent="0.25">
      <c r="B196" s="33" t="s">
        <v>1074</v>
      </c>
      <c r="C196" s="34" t="s">
        <v>1075</v>
      </c>
      <c r="D196" s="34" t="s">
        <v>1076</v>
      </c>
      <c r="E196" s="34" t="s">
        <v>1168</v>
      </c>
      <c r="F196" s="34" t="s">
        <v>1169</v>
      </c>
      <c r="G196" s="34" t="s">
        <v>1170</v>
      </c>
    </row>
    <row r="197" spans="2:10" x14ac:dyDescent="0.25">
      <c r="B197" s="62" t="s">
        <v>685</v>
      </c>
      <c r="C197" s="103" t="s">
        <v>685</v>
      </c>
      <c r="D197" s="104" t="s">
        <v>685</v>
      </c>
      <c r="E197" s="105" t="s">
        <v>685</v>
      </c>
      <c r="F197" s="105" t="s">
        <v>685</v>
      </c>
      <c r="G197" s="105" t="s">
        <v>685</v>
      </c>
    </row>
    <row r="198" spans="2:10" x14ac:dyDescent="0.25">
      <c r="E198" s="68"/>
    </row>
    <row r="199" spans="2:10" x14ac:dyDescent="0.25">
      <c r="B199" s="32" t="s">
        <v>1171</v>
      </c>
      <c r="E199" s="68"/>
    </row>
    <row r="200" spans="2:10" x14ac:dyDescent="0.25">
      <c r="B200" s="32"/>
      <c r="E200" s="68"/>
    </row>
    <row r="201" spans="2:10" x14ac:dyDescent="0.25">
      <c r="B201" s="60" t="s">
        <v>1074</v>
      </c>
      <c r="C201" s="60" t="s">
        <v>1132</v>
      </c>
      <c r="E201" s="68"/>
    </row>
    <row r="202" spans="2:10" x14ac:dyDescent="0.25">
      <c r="B202" s="90" t="s">
        <v>685</v>
      </c>
      <c r="C202" s="84" t="s">
        <v>685</v>
      </c>
      <c r="E202" s="68"/>
    </row>
    <row r="203" spans="2:10" x14ac:dyDescent="0.25">
      <c r="E203" s="68"/>
    </row>
    <row r="204" spans="2:10" x14ac:dyDescent="0.25">
      <c r="B204" s="32" t="s">
        <v>1172</v>
      </c>
      <c r="E204" s="68"/>
    </row>
    <row r="205" spans="2:10" x14ac:dyDescent="0.25">
      <c r="E205" s="68"/>
    </row>
    <row r="206" spans="2:10" ht="67.5" x14ac:dyDescent="0.25">
      <c r="B206" s="33" t="s">
        <v>1074</v>
      </c>
      <c r="C206" s="34" t="s">
        <v>1134</v>
      </c>
      <c r="D206" s="34" t="s">
        <v>1135</v>
      </c>
      <c r="E206" s="34" t="s">
        <v>1136</v>
      </c>
      <c r="F206" s="34" t="s">
        <v>1137</v>
      </c>
      <c r="G206" s="34" t="s">
        <v>1138</v>
      </c>
    </row>
    <row r="207" spans="2:10" x14ac:dyDescent="0.25">
      <c r="B207" s="84"/>
      <c r="C207" s="84"/>
      <c r="D207" s="63"/>
      <c r="E207" s="106"/>
      <c r="F207" s="107"/>
      <c r="G207" s="108"/>
      <c r="I207" s="67"/>
      <c r="J207" s="68"/>
    </row>
    <row r="208" spans="2:10" x14ac:dyDescent="0.25">
      <c r="E208" s="68"/>
    </row>
    <row r="209" spans="2:7" x14ac:dyDescent="0.25">
      <c r="E209" s="68"/>
    </row>
    <row r="210" spans="2:7" x14ac:dyDescent="0.25">
      <c r="B210" s="32" t="s">
        <v>1173</v>
      </c>
      <c r="E210" s="68"/>
    </row>
    <row r="211" spans="2:7" x14ac:dyDescent="0.25">
      <c r="E211" s="68"/>
    </row>
    <row r="212" spans="2:7" ht="67.5" x14ac:dyDescent="0.25">
      <c r="B212" s="33" t="s">
        <v>1074</v>
      </c>
      <c r="C212" s="34" t="s">
        <v>1134</v>
      </c>
      <c r="D212" s="34" t="s">
        <v>1135</v>
      </c>
      <c r="E212" s="34" t="s">
        <v>1136</v>
      </c>
      <c r="F212" s="34" t="s">
        <v>1137</v>
      </c>
      <c r="G212" s="34" t="s">
        <v>1138</v>
      </c>
    </row>
    <row r="213" spans="2:7" x14ac:dyDescent="0.25">
      <c r="B213" s="36"/>
      <c r="C213" s="90"/>
      <c r="D213" s="90"/>
      <c r="E213" s="109"/>
      <c r="F213" s="109"/>
      <c r="G213" s="109"/>
    </row>
    <row r="214" spans="2:7" x14ac:dyDescent="0.25">
      <c r="E214" s="68"/>
    </row>
    <row r="215" spans="2:7" x14ac:dyDescent="0.25">
      <c r="E215" s="68"/>
    </row>
    <row r="216" spans="2:7" x14ac:dyDescent="0.25">
      <c r="E216" s="68"/>
    </row>
    <row r="217" spans="2:7" x14ac:dyDescent="0.25">
      <c r="B217" s="31" t="s">
        <v>1174</v>
      </c>
    </row>
  </sheetData>
  <mergeCells count="3">
    <mergeCell ref="B2:G2"/>
    <mergeCell ref="B3:G3"/>
    <mergeCell ref="B5:G5"/>
  </mergeCells>
  <printOptions horizontalCentered="1"/>
  <pageMargins left="0.17" right="0.15748031496062992" top="0.43307086614173229" bottom="0.47244094488188981" header="0.31496062992125984" footer="0.31496062992125984"/>
  <pageSetup paperSize="9" scale="48"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Index</vt:lpstr>
      <vt:lpstr>CAPEXG</vt:lpstr>
      <vt:lpstr>GLOB</vt:lpstr>
      <vt:lpstr>MIDCAP</vt:lpstr>
      <vt:lpstr>MULTIP</vt:lpstr>
      <vt:lpstr>SLTADV3</vt:lpstr>
      <vt:lpstr>SLTADV4</vt:lpstr>
      <vt:lpstr>SLTAX1</vt:lpstr>
      <vt:lpstr>SLTAX3</vt:lpstr>
      <vt:lpstr>SLTAX2</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 Subramani P - Sundaram Mutual</cp:lastModifiedBy>
  <dcterms:created xsi:type="dcterms:W3CDTF">2024-10-01T14:32:54Z</dcterms:created>
  <dcterms:modified xsi:type="dcterms:W3CDTF">2024-10-09T13:38:52Z</dcterms:modified>
</cp:coreProperties>
</file>